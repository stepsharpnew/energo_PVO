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codeName="ЭтаКнига" defaultThemeVersion="124226"/>
  <xr:revisionPtr revIDLastSave="0" documentId="13_ncr:1_{0E36F797-F68B-4DCE-A343-206795773536}" xr6:coauthVersionLast="45" xr6:coauthVersionMax="47" xr10:uidLastSave="{00000000-0000-0000-0000-000000000000}"/>
  <bookViews>
    <workbookView xWindow="-120" yWindow="-120" windowWidth="29040" windowHeight="15840" tabRatio="938" activeTab="2" xr2:uid="{00000000-000D-0000-FFFF-FFFF00000000}"/>
  </bookViews>
  <sheets>
    <sheet name="Данные организации" sheetId="53" r:id="rId1"/>
    <sheet name="Данные объект" sheetId="54" r:id="rId2"/>
    <sheet name=" Журнал АВК" sheetId="52" r:id="rId3"/>
    <sheet name="КТП" sheetId="16" r:id="rId4"/>
    <sheet name="ТМГ" sheetId="17" r:id="rId5"/>
    <sheet name="РЛК" sheetId="14" state="hidden" r:id="rId6"/>
    <sheet name="ПРВТ" sheetId="15" state="hidden" r:id="rId7"/>
    <sheet name="счетчик СТЭМ" sheetId="51" r:id="rId8"/>
    <sheet name="выключатели ВА" sheetId="34" state="hidden" r:id="rId9"/>
    <sheet name="стойки" sheetId="13" r:id="rId10"/>
    <sheet name="лин.армат 6-10к" sheetId="23" state="hidden" r:id="rId11"/>
    <sheet name="лин.армат 0,4" sheetId="18" r:id="rId12"/>
    <sheet name="ВРЩ" sheetId="22" state="hidden" r:id="rId13"/>
    <sheet name="изоляторы" sheetId="28" state="hidden" r:id="rId14"/>
    <sheet name=" муфты " sheetId="30" state="hidden" r:id="rId15"/>
    <sheet name="ПКТ" sheetId="29" state="hidden" r:id="rId16"/>
    <sheet name="ТТ Т-0,66" sheetId="32" state="hidden" r:id="rId17"/>
    <sheet name="РМК" sheetId="33" state="hidden" r:id="rId18"/>
    <sheet name="КРН" sheetId="47" state="hidden" r:id="rId19"/>
    <sheet name="КСО" sheetId="37" state="hidden" r:id="rId20"/>
    <sheet name="ТОЛ" sheetId="38" state="hidden" r:id="rId21"/>
    <sheet name="Провод СИП 3" sheetId="12" state="hidden" r:id="rId22"/>
    <sheet name="Провод СИП 2" sheetId="55" r:id="rId23"/>
    <sheet name="провод Пувг" sheetId="39" state="hidden" r:id="rId24"/>
    <sheet name="провод ПВС" sheetId="48" state="hidden" r:id="rId25"/>
    <sheet name="каб.АСБ" sheetId="35" r:id="rId26"/>
    <sheet name="АВБшв" sheetId="49" state="hidden" r:id="rId27"/>
    <sheet name="КВВГ" sheetId="40" state="hidden" r:id="rId28"/>
    <sheet name=" фунд.КТП" sheetId="26" state="hidden" r:id="rId29"/>
    <sheet name="труба" sheetId="43" state="hidden" r:id="rId30"/>
    <sheet name="песок" sheetId="72" state="hidden" r:id="rId31"/>
    <sheet name="краска" sheetId="71" r:id="rId32"/>
    <sheet name="уголок 50" sheetId="20" r:id="rId33"/>
    <sheet name="уголок  63" sheetId="56" r:id="rId34"/>
    <sheet name="пол.40х4" sheetId="24" r:id="rId35"/>
    <sheet name="пол.50х4" sheetId="57" r:id="rId36"/>
    <sheet name="арм. 10" sheetId="21" state="hidden" r:id="rId37"/>
    <sheet name="арм. 12" sheetId="25" r:id="rId38"/>
    <sheet name="арм. 8" sheetId="27" r:id="rId39"/>
    <sheet name="швеллер" sheetId="45" r:id="rId40"/>
    <sheet name="Профлист" sheetId="69" r:id="rId41"/>
    <sheet name="упл.каб.прох." sheetId="44" state="hidden" r:id="rId42"/>
    <sheet name="сиг.лента" sheetId="50" state="hidden" r:id="rId43"/>
    <sheet name="ПЗК" sheetId="31" state="hidden" r:id="rId44"/>
    <sheet name="Лист1" sheetId="73" state="hidden" r:id="rId45"/>
    <sheet name="ПНД" sheetId="42" state="hidden" r:id="rId46"/>
  </sheets>
  <externalReferences>
    <externalReference r:id="rId47"/>
    <externalReference r:id="rId48"/>
    <externalReference r:id="rId49"/>
  </externalReferences>
  <definedNames>
    <definedName name="_xlnm.Print_Area" localSheetId="2">' Журнал АВК'!$A$1:$J$86</definedName>
    <definedName name="_xlnm.Print_Area" localSheetId="14">' муфты '!$A$1:$L$95</definedName>
    <definedName name="_xlnm.Print_Area" localSheetId="28">' фунд.КТП'!$A$1:$L$93</definedName>
    <definedName name="_xlnm.Print_Area" localSheetId="26">АВБшв!$A$1:$L$95</definedName>
    <definedName name="_xlnm.Print_Area" localSheetId="36">'арм. 10'!$A$1:$L$97</definedName>
    <definedName name="_xlnm.Print_Area" localSheetId="37">'арм. 12'!$A$1:$L$97</definedName>
    <definedName name="_xlnm.Print_Area" localSheetId="38">'арм. 8'!$A$1:$L$97</definedName>
    <definedName name="_xlnm.Print_Area" localSheetId="12">ВРЩ!$A$1:$L$97</definedName>
    <definedName name="_xlnm.Print_Area" localSheetId="8">'выключатели ВА'!$A$1:$L$96</definedName>
    <definedName name="_xlnm.Print_Area" localSheetId="13">изоляторы!$A$1:$L$97</definedName>
    <definedName name="_xlnm.Print_Area" localSheetId="25">каб.АСБ!$A$1:$L$95</definedName>
    <definedName name="_xlnm.Print_Area" localSheetId="27">КВВГ!$A$1:$L$95</definedName>
    <definedName name="_xlnm.Print_Area" localSheetId="31">краска!$A$1:$L$100</definedName>
    <definedName name="_xlnm.Print_Area" localSheetId="18">КРН!$A$1:$L$95</definedName>
    <definedName name="_xlnm.Print_Area" localSheetId="19">КСО!$A$1:$L$95</definedName>
    <definedName name="_xlnm.Print_Area" localSheetId="3">КТП!$A$1:$L$95</definedName>
    <definedName name="_xlnm.Print_Area" localSheetId="11">'лин.армат 0,4'!$A$1:$L$110</definedName>
    <definedName name="_xlnm.Print_Area" localSheetId="10">'лин.армат 6-10к'!$A$1:$L$107</definedName>
    <definedName name="_xlnm.Print_Area" localSheetId="30">песок!$A$1:$L$97</definedName>
    <definedName name="_xlnm.Print_Area" localSheetId="43">ПЗК!$A$1:$L$95</definedName>
    <definedName name="_xlnm.Print_Area" localSheetId="15">ПКТ!$A$1:$L$95</definedName>
    <definedName name="_xlnm.Print_Area" localSheetId="45">ПНД!$A$1:$L$95</definedName>
    <definedName name="_xlnm.Print_Area" localSheetId="34">пол.40х4!$A$1:$L$97</definedName>
    <definedName name="_xlnm.Print_Area" localSheetId="35">пол.50х4!$A$1:$L$97</definedName>
    <definedName name="_xlnm.Print_Area" localSheetId="6">ПРВТ!$A$1:$L$95</definedName>
    <definedName name="_xlnm.Print_Area" localSheetId="24">'провод ПВС'!$A$1:$L$95</definedName>
    <definedName name="_xlnm.Print_Area" localSheetId="23">'провод Пувг'!$A$1:$L$95</definedName>
    <definedName name="_xlnm.Print_Area" localSheetId="22">'Провод СИП 2'!$A$1:$L$99</definedName>
    <definedName name="_xlnm.Print_Area" localSheetId="21">'Провод СИП 3'!$A$1:$L$97</definedName>
    <definedName name="_xlnm.Print_Area" localSheetId="40">Профлист!$A$1:$L$95</definedName>
    <definedName name="_xlnm.Print_Area" localSheetId="5">РЛК!$A$1:$L$97</definedName>
    <definedName name="_xlnm.Print_Area" localSheetId="17">РМК!$A$1:$L$95</definedName>
    <definedName name="_xlnm.Print_Area" localSheetId="42">сиг.лента!$A$1:$L$95</definedName>
    <definedName name="_xlnm.Print_Area" localSheetId="9">стойки!$A$1:$L$97</definedName>
    <definedName name="_xlnm.Print_Area" localSheetId="7">'счетчик СТЭМ'!$A$1:$L$93</definedName>
    <definedName name="_xlnm.Print_Area" localSheetId="4">ТМГ!$A$1:$L$97</definedName>
    <definedName name="_xlnm.Print_Area" localSheetId="20">ТОЛ!$A$1:$L$95</definedName>
    <definedName name="_xlnm.Print_Area" localSheetId="29">труба!$A$1:$L$97</definedName>
    <definedName name="_xlnm.Print_Area" localSheetId="16">'ТТ Т-0,66'!$A$1:$L$95</definedName>
    <definedName name="_xlnm.Print_Area" localSheetId="33">'уголок  63'!$A$1:$L$99</definedName>
    <definedName name="_xlnm.Print_Area" localSheetId="32">'уголок 50'!$A$1:$L$97</definedName>
    <definedName name="_xlnm.Print_Area" localSheetId="41">'упл.каб.прох.'!$A$1:$L$97</definedName>
    <definedName name="_xlnm.Print_Area" localSheetId="39">швеллер!$A$1:$L$95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6" i="52" l="1"/>
  <c r="E76" i="52"/>
  <c r="D76" i="52"/>
  <c r="C76" i="52"/>
  <c r="B76" i="52"/>
  <c r="G13" i="72" l="1"/>
  <c r="A16" i="72"/>
  <c r="A9" i="72"/>
  <c r="A59" i="72"/>
  <c r="C34" i="72"/>
  <c r="C30" i="72"/>
  <c r="A93" i="72" s="1"/>
  <c r="C28" i="72"/>
  <c r="A90" i="72" s="1"/>
  <c r="C26" i="72"/>
  <c r="A88" i="72" s="1"/>
  <c r="C22" i="72"/>
  <c r="A85" i="72" s="1"/>
  <c r="H19" i="72"/>
  <c r="C19" i="72"/>
  <c r="K16" i="72"/>
  <c r="C29" i="71" l="1"/>
  <c r="C27" i="71"/>
  <c r="A92" i="71" s="1"/>
  <c r="C14" i="71"/>
  <c r="A11" i="71"/>
  <c r="G8" i="71"/>
  <c r="A4" i="71"/>
  <c r="A54" i="71"/>
  <c r="H14" i="71"/>
  <c r="K11" i="71"/>
  <c r="G24" i="53" l="1"/>
  <c r="F24" i="53"/>
  <c r="G23" i="53" l="1"/>
  <c r="A9" i="51" l="1"/>
  <c r="C20" i="52" l="1"/>
  <c r="C21" i="52"/>
  <c r="C22" i="52"/>
  <c r="A57" i="26" l="1"/>
  <c r="A57" i="42"/>
  <c r="C45" i="16"/>
  <c r="A16" i="16"/>
  <c r="E54" i="52" l="1"/>
  <c r="D54" i="52"/>
  <c r="C54" i="52"/>
  <c r="C30" i="27"/>
  <c r="H19" i="42" l="1"/>
  <c r="H19" i="43"/>
  <c r="H19" i="31"/>
  <c r="H19" i="50"/>
  <c r="H19" i="44"/>
  <c r="H19" i="69"/>
  <c r="H19" i="45"/>
  <c r="H19" i="27"/>
  <c r="H19" i="25"/>
  <c r="H19" i="21"/>
  <c r="H19" i="57"/>
  <c r="H19" i="24"/>
  <c r="H19" i="56"/>
  <c r="H19" i="20"/>
  <c r="H19" i="26"/>
  <c r="H19" i="40"/>
  <c r="H19" i="49"/>
  <c r="H19" i="35"/>
  <c r="H19" i="48"/>
  <c r="H19" i="39"/>
  <c r="H19" i="55"/>
  <c r="H19" i="12"/>
  <c r="H19" i="38"/>
  <c r="H19" i="37"/>
  <c r="H19" i="47"/>
  <c r="H19" i="33"/>
  <c r="H19" i="32"/>
  <c r="H19" i="29"/>
  <c r="H19" i="30"/>
  <c r="H19" i="28"/>
  <c r="H19" i="22"/>
  <c r="H19" i="18"/>
  <c r="H19" i="23"/>
  <c r="H19" i="13"/>
  <c r="H19" i="34"/>
  <c r="H19" i="51"/>
  <c r="H19" i="15"/>
  <c r="H19" i="14"/>
  <c r="H19" i="17"/>
  <c r="H19" i="16"/>
  <c r="C32" i="42"/>
  <c r="C34" i="43"/>
  <c r="C32" i="31"/>
  <c r="C32" i="50"/>
  <c r="C34" i="44"/>
  <c r="C32" i="69"/>
  <c r="C32" i="45"/>
  <c r="C32" i="27"/>
  <c r="C32" i="25"/>
  <c r="C32" i="21"/>
  <c r="C32" i="57"/>
  <c r="C32" i="24"/>
  <c r="C34" i="56"/>
  <c r="C32" i="20"/>
  <c r="C32" i="26"/>
  <c r="C32" i="40"/>
  <c r="C32" i="49"/>
  <c r="C32" i="35"/>
  <c r="C32" i="48"/>
  <c r="C32" i="39"/>
  <c r="C34" i="55"/>
  <c r="C32" i="12"/>
  <c r="C32" i="38"/>
  <c r="C32" i="37"/>
  <c r="C32" i="47"/>
  <c r="C32" i="33"/>
  <c r="C32" i="32"/>
  <c r="C32" i="29"/>
  <c r="C32" i="30"/>
  <c r="C34" i="28"/>
  <c r="C32" i="22"/>
  <c r="C32" i="18"/>
  <c r="C32" i="23"/>
  <c r="C32" i="13"/>
  <c r="C32" i="34"/>
  <c r="C32" i="51"/>
  <c r="C32" i="15"/>
  <c r="C32" i="14"/>
  <c r="C32" i="17"/>
  <c r="C32" i="16"/>
  <c r="C30" i="44"/>
  <c r="A93" i="44" s="1"/>
  <c r="A16" i="44"/>
  <c r="C30" i="43"/>
  <c r="A93" i="43" s="1"/>
  <c r="A16" i="43"/>
  <c r="C30" i="42"/>
  <c r="C30" i="31"/>
  <c r="C30" i="50"/>
  <c r="A91" i="50" s="1"/>
  <c r="A16" i="50"/>
  <c r="C30" i="48"/>
  <c r="A91" i="48" s="1"/>
  <c r="A16" i="48"/>
  <c r="C30" i="40"/>
  <c r="A91" i="40" s="1"/>
  <c r="A16" i="40"/>
  <c r="C30" i="49"/>
  <c r="C30" i="39"/>
  <c r="A91" i="39" s="1"/>
  <c r="C30" i="38"/>
  <c r="A91" i="38" s="1"/>
  <c r="C30" i="37"/>
  <c r="A91" i="37" s="1"/>
  <c r="C30" i="47"/>
  <c r="A91" i="47" s="1"/>
  <c r="C30" i="35"/>
  <c r="A91" i="35" s="1"/>
  <c r="C30" i="33"/>
  <c r="A91" i="33" s="1"/>
  <c r="C30" i="32"/>
  <c r="A91" i="32" s="1"/>
  <c r="C30" i="30"/>
  <c r="A57" i="69"/>
  <c r="C30" i="69"/>
  <c r="C30" i="29"/>
  <c r="A91" i="29" s="1"/>
  <c r="C30" i="28"/>
  <c r="A93" i="28" s="1"/>
  <c r="C30" i="45"/>
  <c r="A91" i="27"/>
  <c r="C30" i="25"/>
  <c r="C30" i="57"/>
  <c r="C30" i="22"/>
  <c r="A91" i="22" s="1"/>
  <c r="C30" i="21"/>
  <c r="A91" i="21" s="1"/>
  <c r="C30" i="20"/>
  <c r="C30" i="24"/>
  <c r="C32" i="56"/>
  <c r="C30" i="18"/>
  <c r="C30" i="23"/>
  <c r="C30" i="34"/>
  <c r="A90" i="34" s="1"/>
  <c r="C30" i="26"/>
  <c r="A57" i="51"/>
  <c r="C30" i="51"/>
  <c r="C19" i="51"/>
  <c r="C30" i="17"/>
  <c r="A57" i="16"/>
  <c r="C30" i="16"/>
  <c r="C19" i="18"/>
  <c r="C19" i="23"/>
  <c r="C19" i="34"/>
  <c r="C19" i="26"/>
  <c r="C19" i="17"/>
  <c r="C19" i="16"/>
  <c r="C19" i="15"/>
  <c r="C19" i="14"/>
  <c r="C19" i="13"/>
  <c r="C30" i="15"/>
  <c r="A91" i="15" s="1"/>
  <c r="C30" i="14"/>
  <c r="A93" i="14" s="1"/>
  <c r="C30" i="55"/>
  <c r="C30" i="13"/>
  <c r="A93" i="13" s="1"/>
  <c r="H24" i="53"/>
  <c r="C30" i="12"/>
  <c r="C49" i="54"/>
  <c r="C47" i="54"/>
  <c r="C45" i="54"/>
  <c r="C28" i="28" l="1"/>
  <c r="C23" i="71"/>
  <c r="A85" i="71" s="1"/>
  <c r="C26" i="31"/>
  <c r="C21" i="71"/>
  <c r="A83" i="71" s="1"/>
  <c r="C22" i="12"/>
  <c r="C17" i="71"/>
  <c r="A80" i="71" s="1"/>
  <c r="C28" i="40"/>
  <c r="C28" i="55"/>
  <c r="C28" i="33"/>
  <c r="C28" i="32"/>
  <c r="C28" i="17"/>
  <c r="C28" i="31"/>
  <c r="C28" i="13"/>
  <c r="C28" i="27"/>
  <c r="C28" i="29"/>
  <c r="C28" i="51"/>
  <c r="C28" i="25"/>
  <c r="C28" i="37"/>
  <c r="C28" i="23"/>
  <c r="C28" i="38"/>
  <c r="C28" i="20"/>
  <c r="C26" i="40"/>
  <c r="C26" i="27"/>
  <c r="C26" i="33"/>
  <c r="C26" i="23"/>
  <c r="C26" i="25"/>
  <c r="C26" i="55"/>
  <c r="C26" i="18"/>
  <c r="C26" i="37"/>
  <c r="C26" i="13"/>
  <c r="C26" i="42"/>
  <c r="C26" i="17"/>
  <c r="C26" i="29"/>
  <c r="C26" i="20"/>
  <c r="C26" i="69"/>
  <c r="C26" i="51"/>
  <c r="C26" i="21"/>
  <c r="C22" i="33"/>
  <c r="C22" i="20"/>
  <c r="C22" i="51"/>
  <c r="C22" i="29"/>
  <c r="C22" i="21"/>
  <c r="C22" i="69"/>
  <c r="C22" i="38"/>
  <c r="C22" i="42"/>
  <c r="C22" i="23"/>
  <c r="C22" i="27"/>
  <c r="C22" i="13"/>
  <c r="C22" i="18"/>
  <c r="C22" i="25"/>
  <c r="C22" i="55"/>
  <c r="C22" i="40"/>
  <c r="C26" i="38"/>
  <c r="C28" i="42"/>
  <c r="C22" i="48"/>
  <c r="C22" i="35"/>
  <c r="C26" i="48"/>
  <c r="C22" i="43"/>
  <c r="C28" i="18"/>
  <c r="C28" i="21"/>
  <c r="C28" i="69"/>
  <c r="C26" i="35"/>
  <c r="C22" i="39"/>
  <c r="C28" i="48"/>
  <c r="C28" i="35"/>
  <c r="C26" i="39"/>
  <c r="C26" i="43"/>
  <c r="C28" i="39"/>
  <c r="C28" i="43"/>
  <c r="C22" i="56"/>
  <c r="C26" i="14"/>
  <c r="C26" i="45"/>
  <c r="C22" i="30"/>
  <c r="C22" i="47"/>
  <c r="C22" i="50"/>
  <c r="C28" i="14"/>
  <c r="C26" i="16"/>
  <c r="C28" i="26"/>
  <c r="C28" i="56"/>
  <c r="C26" i="22"/>
  <c r="C28" i="45"/>
  <c r="C26" i="30"/>
  <c r="C26" i="47"/>
  <c r="C22" i="49"/>
  <c r="C26" i="50"/>
  <c r="C22" i="44"/>
  <c r="C22" i="14"/>
  <c r="C22" i="45"/>
  <c r="C22" i="16"/>
  <c r="C28" i="30"/>
  <c r="C28" i="12"/>
  <c r="C22" i="34"/>
  <c r="C22" i="57"/>
  <c r="C22" i="28"/>
  <c r="C28" i="49"/>
  <c r="C26" i="44"/>
  <c r="C22" i="26"/>
  <c r="C22" i="22"/>
  <c r="C28" i="50"/>
  <c r="C22" i="15"/>
  <c r="C26" i="15"/>
  <c r="C26" i="34"/>
  <c r="C26" i="24"/>
  <c r="C26" i="57"/>
  <c r="C26" i="28"/>
  <c r="C22" i="32"/>
  <c r="C22" i="31"/>
  <c r="C28" i="44"/>
  <c r="C26" i="26"/>
  <c r="C26" i="56"/>
  <c r="C26" i="12"/>
  <c r="C28" i="16"/>
  <c r="C28" i="22"/>
  <c r="C28" i="47"/>
  <c r="C26" i="49"/>
  <c r="C22" i="24"/>
  <c r="C28" i="15"/>
  <c r="A88" i="15" s="1"/>
  <c r="C22" i="17"/>
  <c r="C28" i="34"/>
  <c r="C28" i="24"/>
  <c r="C28" i="57"/>
  <c r="C26" i="32"/>
  <c r="C22" i="37"/>
  <c r="A16" i="42"/>
  <c r="A16" i="31"/>
  <c r="A16" i="49"/>
  <c r="A16" i="30"/>
  <c r="A16" i="69"/>
  <c r="A16" i="45"/>
  <c r="A16" i="25"/>
  <c r="A16" i="57"/>
  <c r="A16" i="24"/>
  <c r="A16" i="20"/>
  <c r="A16" i="56"/>
  <c r="A16" i="18"/>
  <c r="A16" i="23"/>
  <c r="A16" i="26"/>
  <c r="A16" i="51"/>
  <c r="A16" i="17"/>
  <c r="A91" i="16" l="1"/>
  <c r="A93" i="17"/>
  <c r="A89" i="51"/>
  <c r="A89" i="26"/>
  <c r="A104" i="23"/>
  <c r="A107" i="18"/>
  <c r="A93" i="56"/>
  <c r="A91" i="20"/>
  <c r="A91" i="24"/>
  <c r="A91" i="57"/>
  <c r="A91" i="25"/>
  <c r="A91" i="45"/>
  <c r="A91" i="69"/>
  <c r="A91" i="30"/>
  <c r="A91" i="49"/>
  <c r="A91" i="31"/>
  <c r="A91" i="42"/>
  <c r="D75" i="52"/>
  <c r="E75" i="52"/>
  <c r="F75" i="52"/>
  <c r="C75" i="52"/>
  <c r="F51" i="52"/>
  <c r="E51" i="52"/>
  <c r="D51" i="52"/>
  <c r="C51" i="52"/>
  <c r="G43" i="69"/>
  <c r="A86" i="69"/>
  <c r="A83" i="69"/>
  <c r="K16" i="69"/>
  <c r="G13" i="69"/>
  <c r="A9" i="69"/>
  <c r="A57" i="57" l="1"/>
  <c r="A86" i="57"/>
  <c r="A83" i="57"/>
  <c r="K16" i="57"/>
  <c r="G13" i="57"/>
  <c r="A9" i="57"/>
  <c r="F37" i="52"/>
  <c r="E37" i="52"/>
  <c r="D37" i="52"/>
  <c r="C37" i="52"/>
  <c r="F45" i="52"/>
  <c r="F44" i="52"/>
  <c r="E45" i="52"/>
  <c r="D45" i="52"/>
  <c r="C45" i="52"/>
  <c r="A59" i="56"/>
  <c r="A88" i="56"/>
  <c r="A85" i="56"/>
  <c r="K16" i="56"/>
  <c r="G13" i="56"/>
  <c r="A9" i="56"/>
  <c r="A95" i="55" l="1"/>
  <c r="A92" i="55"/>
  <c r="A90" i="55"/>
  <c r="A87" i="55"/>
  <c r="A59" i="55"/>
  <c r="C19" i="55"/>
  <c r="K16" i="55"/>
  <c r="A16" i="55"/>
  <c r="G13" i="55"/>
  <c r="A9" i="55"/>
  <c r="C23" i="53"/>
  <c r="B23" i="53"/>
  <c r="A86" i="45" l="1"/>
  <c r="A83" i="45"/>
  <c r="A88" i="44"/>
  <c r="A85" i="44"/>
  <c r="A88" i="43"/>
  <c r="A85" i="43"/>
  <c r="A86" i="42"/>
  <c r="A83" i="42"/>
  <c r="A86" i="31"/>
  <c r="A83" i="31"/>
  <c r="A86" i="50"/>
  <c r="A83" i="50"/>
  <c r="A86" i="48"/>
  <c r="A83" i="48"/>
  <c r="A86" i="40"/>
  <c r="A83" i="40"/>
  <c r="A86" i="49"/>
  <c r="A83" i="49"/>
  <c r="A86" i="39"/>
  <c r="A83" i="39"/>
  <c r="A86" i="38"/>
  <c r="A83" i="38"/>
  <c r="A86" i="37"/>
  <c r="A83" i="37"/>
  <c r="A86" i="47"/>
  <c r="A83" i="47"/>
  <c r="A86" i="35"/>
  <c r="A83" i="35"/>
  <c r="A85" i="34"/>
  <c r="A82" i="34"/>
  <c r="A86" i="33"/>
  <c r="A83" i="33"/>
  <c r="A86" i="32"/>
  <c r="A83" i="32"/>
  <c r="A86" i="30"/>
  <c r="A83" i="30"/>
  <c r="A86" i="29"/>
  <c r="A83" i="29"/>
  <c r="A86" i="15"/>
  <c r="A88" i="14"/>
  <c r="A85" i="14"/>
  <c r="A57" i="17"/>
  <c r="A57" i="15"/>
  <c r="A57" i="14"/>
  <c r="A88" i="13"/>
  <c r="A85" i="13"/>
  <c r="A90" i="12"/>
  <c r="A88" i="12"/>
  <c r="A85" i="12"/>
  <c r="A83" i="16" l="1"/>
  <c r="A83" i="15"/>
  <c r="A90" i="13"/>
  <c r="A86" i="16" l="1"/>
  <c r="A85" i="17"/>
  <c r="A93" i="12"/>
  <c r="A88" i="17" l="1"/>
  <c r="A99" i="18"/>
  <c r="A90" i="14"/>
  <c r="K16" i="42"/>
  <c r="G13" i="42"/>
  <c r="A9" i="42"/>
  <c r="A9" i="39"/>
  <c r="K16" i="38"/>
  <c r="G13" i="38"/>
  <c r="A9" i="38"/>
  <c r="K16" i="37"/>
  <c r="G13" i="37"/>
  <c r="A9" i="37"/>
  <c r="K16" i="30"/>
  <c r="G13" i="30"/>
  <c r="A9" i="30"/>
  <c r="K16" i="24"/>
  <c r="G13" i="24"/>
  <c r="A9" i="24"/>
  <c r="K16" i="51"/>
  <c r="G13" i="51"/>
  <c r="K16" i="20"/>
  <c r="G13" i="20"/>
  <c r="A9" i="20"/>
  <c r="A102" i="18" l="1"/>
  <c r="A83" i="20"/>
  <c r="A88" i="16"/>
  <c r="F74" i="52"/>
  <c r="F73" i="52"/>
  <c r="F72" i="52"/>
  <c r="F71" i="52"/>
  <c r="F70" i="52"/>
  <c r="F69" i="52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0" i="52"/>
  <c r="E74" i="52"/>
  <c r="E73" i="52"/>
  <c r="E72" i="52"/>
  <c r="E71" i="52"/>
  <c r="E70" i="52"/>
  <c r="E69" i="52"/>
  <c r="E68" i="52"/>
  <c r="E67" i="52"/>
  <c r="E66" i="52"/>
  <c r="E65" i="52"/>
  <c r="E64" i="52"/>
  <c r="E63" i="52"/>
  <c r="E62" i="52"/>
  <c r="E61" i="52"/>
  <c r="E60" i="52"/>
  <c r="E59" i="52"/>
  <c r="E58" i="52"/>
  <c r="E57" i="52"/>
  <c r="E56" i="52"/>
  <c r="E55" i="52"/>
  <c r="E53" i="52"/>
  <c r="E52" i="52"/>
  <c r="E50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3" i="52"/>
  <c r="D52" i="52"/>
  <c r="D50" i="52"/>
  <c r="F49" i="52"/>
  <c r="E49" i="52"/>
  <c r="E48" i="52"/>
  <c r="E47" i="52"/>
  <c r="E46" i="52"/>
  <c r="E44" i="52"/>
  <c r="D49" i="52"/>
  <c r="F48" i="52"/>
  <c r="D48" i="52"/>
  <c r="F47" i="52"/>
  <c r="D47" i="52"/>
  <c r="C74" i="52"/>
  <c r="C73" i="52"/>
  <c r="C72" i="52"/>
  <c r="C71" i="52"/>
  <c r="C70" i="52"/>
  <c r="C69" i="52"/>
  <c r="C68" i="52"/>
  <c r="C67" i="52"/>
  <c r="C66" i="52"/>
  <c r="C65" i="52"/>
  <c r="C64" i="52"/>
  <c r="C63" i="52"/>
  <c r="C62" i="52"/>
  <c r="C61" i="52"/>
  <c r="C60" i="52"/>
  <c r="C59" i="52"/>
  <c r="C58" i="52"/>
  <c r="C57" i="52"/>
  <c r="C56" i="52"/>
  <c r="C55" i="52"/>
  <c r="C53" i="52"/>
  <c r="C52" i="52"/>
  <c r="C50" i="52"/>
  <c r="C49" i="52"/>
  <c r="C48" i="52"/>
  <c r="C47" i="52"/>
  <c r="F46" i="52"/>
  <c r="D46" i="52"/>
  <c r="C46" i="52"/>
  <c r="F43" i="52"/>
  <c r="D44" i="52"/>
  <c r="C44" i="52"/>
  <c r="E43" i="52"/>
  <c r="D43" i="52"/>
  <c r="C43" i="52"/>
  <c r="F42" i="52"/>
  <c r="E42" i="52"/>
  <c r="D42" i="52"/>
  <c r="C42" i="52"/>
  <c r="F41" i="52"/>
  <c r="E41" i="52"/>
  <c r="D41" i="52"/>
  <c r="C41" i="52"/>
  <c r="F40" i="52"/>
  <c r="E40" i="52"/>
  <c r="D39" i="52"/>
  <c r="C40" i="52"/>
  <c r="F39" i="52"/>
  <c r="E39" i="52"/>
  <c r="C39" i="52"/>
  <c r="F38" i="52"/>
  <c r="E38" i="52"/>
  <c r="D38" i="52"/>
  <c r="C38" i="52"/>
  <c r="F36" i="52"/>
  <c r="E36" i="52"/>
  <c r="D36" i="52"/>
  <c r="C36" i="52"/>
  <c r="C19" i="12"/>
  <c r="A16" i="12"/>
  <c r="K16" i="12"/>
  <c r="K16" i="13" s="1"/>
  <c r="G13" i="12"/>
  <c r="A9" i="12"/>
  <c r="A9" i="32" s="1"/>
  <c r="A16" i="37" l="1"/>
  <c r="A16" i="47"/>
  <c r="A16" i="39"/>
  <c r="A16" i="38"/>
  <c r="C19" i="69"/>
  <c r="C19" i="56"/>
  <c r="C19" i="57"/>
  <c r="C19" i="28"/>
  <c r="C19" i="32"/>
  <c r="C19" i="27"/>
  <c r="C19" i="22"/>
  <c r="C19" i="30"/>
  <c r="C19" i="39"/>
  <c r="C19" i="48"/>
  <c r="C19" i="21"/>
  <c r="C19" i="42"/>
  <c r="C19" i="45"/>
  <c r="C19" i="35"/>
  <c r="C19" i="47" s="1"/>
  <c r="C19" i="31"/>
  <c r="C19" i="38"/>
  <c r="C19" i="40"/>
  <c r="C19" i="44"/>
  <c r="C19" i="25"/>
  <c r="C19" i="37"/>
  <c r="C19" i="20"/>
  <c r="C19" i="49"/>
  <c r="C19" i="24"/>
  <c r="C19" i="50"/>
  <c r="C19" i="29"/>
  <c r="C19" i="43"/>
  <c r="C19" i="33"/>
  <c r="A86" i="20"/>
  <c r="A83" i="21"/>
  <c r="A90" i="56"/>
  <c r="A90" i="17"/>
  <c r="I28" i="52"/>
  <c r="I27" i="52"/>
  <c r="B51" i="52" s="1"/>
  <c r="C31" i="54"/>
  <c r="C30" i="54"/>
  <c r="C29" i="54"/>
  <c r="C28" i="54"/>
  <c r="C27" i="54"/>
  <c r="C26" i="54"/>
  <c r="B25" i="54"/>
  <c r="B24" i="54"/>
  <c r="C23" i="54" s="1"/>
  <c r="C21" i="54"/>
  <c r="C20" i="54"/>
  <c r="C19" i="54"/>
  <c r="C18" i="54"/>
  <c r="C17" i="54"/>
  <c r="C16" i="54"/>
  <c r="C15" i="54"/>
  <c r="C11" i="54"/>
  <c r="C29" i="53"/>
  <c r="B29" i="53"/>
  <c r="F28" i="53"/>
  <c r="C28" i="53"/>
  <c r="B28" i="53"/>
  <c r="H27" i="53"/>
  <c r="F27" i="53"/>
  <c r="C27" i="53"/>
  <c r="B27" i="53"/>
  <c r="H26" i="53"/>
  <c r="F26" i="53"/>
  <c r="C26" i="53"/>
  <c r="B26" i="53"/>
  <c r="H25" i="53"/>
  <c r="F25" i="53"/>
  <c r="C25" i="53"/>
  <c r="B25" i="53"/>
  <c r="C24" i="53"/>
  <c r="B24" i="53"/>
  <c r="H23" i="53"/>
  <c r="F23" i="53"/>
  <c r="B45" i="52" l="1"/>
  <c r="B37" i="52"/>
  <c r="A86" i="21"/>
  <c r="A83" i="22"/>
  <c r="A104" i="18"/>
  <c r="B54" i="52"/>
  <c r="B39" i="52"/>
  <c r="B53" i="52"/>
  <c r="B42" i="52"/>
  <c r="B38" i="52"/>
  <c r="B52" i="52"/>
  <c r="B41" i="52"/>
  <c r="B58" i="52"/>
  <c r="B57" i="52"/>
  <c r="B56" i="52"/>
  <c r="B55" i="52"/>
  <c r="B50" i="52"/>
  <c r="B44" i="52"/>
  <c r="B49" i="52"/>
  <c r="B47" i="52"/>
  <c r="B43" i="52"/>
  <c r="B60" i="52"/>
  <c r="B75" i="52" s="1"/>
  <c r="B48" i="52"/>
  <c r="B36" i="52"/>
  <c r="B59" i="52"/>
  <c r="B40" i="52"/>
  <c r="B46" i="52"/>
  <c r="A57" i="38"/>
  <c r="G43" i="51"/>
  <c r="A86" i="22" l="1"/>
  <c r="A81" i="51"/>
  <c r="A88" i="20"/>
  <c r="B69" i="52"/>
  <c r="B67" i="52"/>
  <c r="B61" i="52"/>
  <c r="B70" i="52"/>
  <c r="B63" i="52"/>
  <c r="B68" i="52"/>
  <c r="B71" i="52"/>
  <c r="B64" i="52"/>
  <c r="B72" i="52"/>
  <c r="B73" i="52"/>
  <c r="B74" i="52"/>
  <c r="B66" i="52"/>
  <c r="B62" i="52"/>
  <c r="B65" i="52"/>
  <c r="G13" i="14"/>
  <c r="G13" i="45"/>
  <c r="G13" i="44"/>
  <c r="G13" i="43"/>
  <c r="G13" i="31"/>
  <c r="G13" i="50"/>
  <c r="G13" i="48"/>
  <c r="G13" i="40"/>
  <c r="G13" i="49"/>
  <c r="G13" i="39"/>
  <c r="G13" i="47"/>
  <c r="G13" i="35"/>
  <c r="G13" i="34"/>
  <c r="G13" i="33"/>
  <c r="G13" i="32"/>
  <c r="G13" i="29"/>
  <c r="G13" i="28"/>
  <c r="G13" i="27"/>
  <c r="G13" i="26"/>
  <c r="G13" i="25"/>
  <c r="G13" i="23"/>
  <c r="G13" i="22"/>
  <c r="G13" i="21"/>
  <c r="G13" i="18"/>
  <c r="G13" i="17"/>
  <c r="G13" i="16"/>
  <c r="G13" i="15"/>
  <c r="G13" i="13"/>
  <c r="A57" i="50"/>
  <c r="G43" i="50"/>
  <c r="K16" i="50"/>
  <c r="A9" i="50"/>
  <c r="A84" i="51" l="1"/>
  <c r="A96" i="23"/>
  <c r="A88" i="21"/>
  <c r="K16" i="49"/>
  <c r="A9" i="49"/>
  <c r="A99" i="23" l="1"/>
  <c r="A83" i="24"/>
  <c r="A88" i="22"/>
  <c r="A57" i="48"/>
  <c r="G43" i="48"/>
  <c r="K16" i="48"/>
  <c r="A9" i="48"/>
  <c r="A86" i="24" l="1"/>
  <c r="A83" i="25"/>
  <c r="A86" i="51"/>
  <c r="A88" i="57"/>
  <c r="A57" i="47"/>
  <c r="G43" i="47"/>
  <c r="K16" i="47"/>
  <c r="A9" i="47"/>
  <c r="A86" i="25" l="1"/>
  <c r="A81" i="26"/>
  <c r="A101" i="23"/>
  <c r="A57" i="45"/>
  <c r="G43" i="45"/>
  <c r="K16" i="45"/>
  <c r="A9" i="45"/>
  <c r="A59" i="44"/>
  <c r="G45" i="44"/>
  <c r="K16" i="44"/>
  <c r="A9" i="44"/>
  <c r="A59" i="43"/>
  <c r="G45" i="43"/>
  <c r="K16" i="43"/>
  <c r="A9" i="43"/>
  <c r="A57" i="31"/>
  <c r="A84" i="26" l="1"/>
  <c r="A83" i="27"/>
  <c r="A88" i="24"/>
  <c r="A57" i="40"/>
  <c r="G43" i="40"/>
  <c r="K16" i="40"/>
  <c r="A9" i="40"/>
  <c r="A86" i="27" l="1"/>
  <c r="A85" i="28"/>
  <c r="A88" i="25"/>
  <c r="A57" i="39"/>
  <c r="G43" i="39"/>
  <c r="K16" i="39"/>
  <c r="A88" i="28" l="1"/>
  <c r="A86" i="26"/>
  <c r="G43" i="38"/>
  <c r="A57" i="37"/>
  <c r="G43" i="37"/>
  <c r="A88" i="27" l="1"/>
  <c r="A57" i="35"/>
  <c r="K16" i="35"/>
  <c r="A16" i="35"/>
  <c r="A9" i="35"/>
  <c r="A57" i="34"/>
  <c r="G43" i="34"/>
  <c r="K16" i="34"/>
  <c r="A16" i="34"/>
  <c r="A9" i="34"/>
  <c r="A90" i="28" l="1"/>
  <c r="A57" i="33"/>
  <c r="G43" i="33"/>
  <c r="K16" i="33"/>
  <c r="A16" i="33"/>
  <c r="A9" i="33"/>
  <c r="A88" i="29" l="1"/>
  <c r="A57" i="25"/>
  <c r="A57" i="24"/>
  <c r="A57" i="21"/>
  <c r="A57" i="20"/>
  <c r="A88" i="30" l="1"/>
  <c r="A16" i="28"/>
  <c r="K16" i="27"/>
  <c r="A16" i="27"/>
  <c r="K16" i="26"/>
  <c r="K16" i="25"/>
  <c r="K16" i="23"/>
  <c r="K16" i="22"/>
  <c r="A16" i="22"/>
  <c r="K16" i="21"/>
  <c r="A16" i="21"/>
  <c r="K16" i="18"/>
  <c r="A88" i="32" l="1"/>
  <c r="A57" i="32"/>
  <c r="G43" i="32"/>
  <c r="K16" i="32"/>
  <c r="A16" i="32"/>
  <c r="A88" i="33" l="1"/>
  <c r="G43" i="31"/>
  <c r="K16" i="31"/>
  <c r="A9" i="31"/>
  <c r="G43" i="30"/>
  <c r="A9" i="27"/>
  <c r="A9" i="25"/>
  <c r="A9" i="23"/>
  <c r="A9" i="22"/>
  <c r="A9" i="21"/>
  <c r="A9" i="18"/>
  <c r="A57" i="29"/>
  <c r="G43" i="29"/>
  <c r="K16" i="29"/>
  <c r="A16" i="29"/>
  <c r="A9" i="29"/>
  <c r="A59" i="28"/>
  <c r="K16" i="28"/>
  <c r="A9" i="28"/>
  <c r="A57" i="27"/>
  <c r="G43" i="26"/>
  <c r="A9" i="26"/>
  <c r="A87" i="34" l="1"/>
  <c r="G43" i="23"/>
  <c r="A57" i="22"/>
  <c r="G43" i="22"/>
  <c r="G43" i="18"/>
  <c r="A88" i="35" l="1"/>
  <c r="K16" i="17"/>
  <c r="A9" i="17"/>
  <c r="K16" i="16"/>
  <c r="A9" i="16"/>
  <c r="K16" i="15"/>
  <c r="A16" i="15"/>
  <c r="A9" i="15"/>
  <c r="K16" i="14"/>
  <c r="A16" i="14"/>
  <c r="A9" i="14"/>
  <c r="A57" i="12"/>
  <c r="A57" i="13"/>
  <c r="A16" i="13"/>
  <c r="A9" i="13"/>
  <c r="A88" i="47" l="1"/>
  <c r="A88" i="38" l="1"/>
  <c r="A88" i="37"/>
  <c r="A88" i="39" l="1"/>
  <c r="A88" i="49"/>
  <c r="A88" i="40" l="1"/>
  <c r="A88" i="48" l="1"/>
  <c r="A88" i="69" l="1"/>
  <c r="A88" i="50"/>
  <c r="A88" i="31" l="1"/>
  <c r="A88" i="42" l="1"/>
  <c r="A90" i="43" l="1"/>
  <c r="A88" i="45" l="1"/>
  <c r="A90" i="44"/>
</calcChain>
</file>

<file path=xl/sharedStrings.xml><?xml version="1.0" encoding="utf-8"?>
<sst xmlns="http://schemas.openxmlformats.org/spreadsheetml/2006/main" count="4672" uniqueCount="523">
  <si>
    <t>входного контроля</t>
  </si>
  <si>
    <t>(место проведения)</t>
  </si>
  <si>
    <t>(должность, организация, фамилия, имя, отчество)</t>
  </si>
  <si>
    <t>(документ, устанавливающий требевания по организации и проведению входного контроля продукции)</t>
  </si>
  <si>
    <t>составила настоящий акт о выполненном входном контроле продукции для строительства.</t>
  </si>
  <si>
    <t>1. К входному контролю представлена следующая продукция:</t>
  </si>
  <si>
    <t>(наименование продукции)</t>
  </si>
  <si>
    <t>3. При входном контроле проведены следующие контрольные мероприятия:</t>
  </si>
  <si>
    <t>Визуальным
 осмотром</t>
  </si>
  <si>
    <t>Вид контроля (НТД)
и дата сдачи образцов (проб) на контроль</t>
  </si>
  <si>
    <t>Приборы контроля</t>
  </si>
  <si>
    <t>№ прибора 
и дата поверки прибора</t>
  </si>
  <si>
    <t>Заключение 
по контролю (годен/не годен)</t>
  </si>
  <si>
    <t>4. В результате проведенного входного контроля представленной продукции установлено:</t>
  </si>
  <si>
    <t>Продукция признана непригодной по следующим причинам:</t>
  </si>
  <si>
    <t>№ и дата  протокола контроля</t>
  </si>
  <si>
    <t>и членов комиссии:</t>
  </si>
  <si>
    <t>Количество, масса, объем 
проверенной продукции (в ед. изм.)</t>
  </si>
  <si>
    <t>годен</t>
  </si>
  <si>
    <t>Инструментальными
 и приборными методами</t>
  </si>
  <si>
    <t>(соответствуют/не соответствуют)</t>
  </si>
  <si>
    <t xml:space="preserve">                                                                                                 (указать последующее действие с непригодной продукцией)</t>
  </si>
  <si>
    <t>Члены комиссии:</t>
  </si>
  <si>
    <t>Председатель:</t>
  </si>
  <si>
    <t>Особые отметки:</t>
  </si>
  <si>
    <t>(организация, от которой сформирована комиссия)</t>
  </si>
  <si>
    <t>(дата)</t>
  </si>
  <si>
    <t>Нами, комиссией</t>
  </si>
  <si>
    <t>1.2. Кол-во:</t>
  </si>
  <si>
    <t xml:space="preserve">1.1. Наименование, номер документа, удостоверяющего качество и НТД на продукцию: </t>
  </si>
  <si>
    <r>
      <t xml:space="preserve">1.3. Поставщик: </t>
    </r>
    <r>
      <rPr>
        <u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</t>
    </r>
  </si>
  <si>
    <t>Договор</t>
  </si>
  <si>
    <t xml:space="preserve">                                         (наименование организации)                                                                             (реквизиты договора на поставку)</t>
  </si>
  <si>
    <r>
      <t xml:space="preserve">2. Подготовка продукции к контролю по НТД: </t>
    </r>
    <r>
      <rPr>
        <u/>
        <sz val="11"/>
        <color theme="1"/>
        <rFont val="Times New Roman"/>
        <family val="1"/>
        <charset val="204"/>
      </rPr>
      <t/>
    </r>
  </si>
  <si>
    <t xml:space="preserve">                                                                                                                   (выполнена/не выполнена)</t>
  </si>
  <si>
    <t>пригодной</t>
  </si>
  <si>
    <t xml:space="preserve">руководствуясь, </t>
  </si>
  <si>
    <t>(результат контроля продукции)</t>
  </si>
  <si>
    <t>-</t>
  </si>
  <si>
    <t>Визуальный</t>
  </si>
  <si>
    <t>ГОДЕН</t>
  </si>
  <si>
    <t>(изготовитель,</t>
  </si>
  <si>
    <t>№ документа и дата, № партии, дата изготовления)                                                                (ГОСТ, ТУ, чертеж КМД)</t>
  </si>
  <si>
    <t xml:space="preserve"> (соответствует/не соответствует)</t>
  </si>
  <si>
    <t>(соответствует/не соответствует)</t>
  </si>
  <si>
    <t xml:space="preserve">                                                                                                                                                                                             (пригодной/непригодной)</t>
  </si>
  <si>
    <r>
      <t xml:space="preserve">Председателя:                                                                                                       </t>
    </r>
    <r>
      <rPr>
        <sz val="11"/>
        <color theme="0"/>
        <rFont val="Times New Roman"/>
        <family val="1"/>
        <charset val="204"/>
      </rPr>
      <t>.</t>
    </r>
  </si>
  <si>
    <t xml:space="preserve">    (допущена/не допущена)                                                                                  (указать последующее действие с пригодной продукцией)</t>
  </si>
  <si>
    <t>(должность, организация, подпись, фамилия, имя, отчество)</t>
  </si>
  <si>
    <t>Присутствующие:</t>
  </si>
  <si>
    <r>
      <t xml:space="preserve">Заказчик строительства: </t>
    </r>
    <r>
      <rPr>
        <u/>
        <sz val="11"/>
        <color theme="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</si>
  <si>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НТД</t>
  </si>
  <si>
    <t xml:space="preserve">Объект строительства: </t>
  </si>
  <si>
    <t xml:space="preserve">                                        (штуки, объем, вес в ед. изм.)                                                  (штуки, объем, вес в ед. изм.)</t>
  </si>
  <si>
    <t>Кол-во партии:</t>
  </si>
  <si>
    <t>г) Выполнение консервации:</t>
  </si>
  <si>
    <t>в) Целостность и сохранность упаковки:</t>
  </si>
  <si>
    <r>
      <t xml:space="preserve">б) Комплектность (в т.ч. ЗИП): </t>
    </r>
    <r>
      <rPr>
        <u/>
        <sz val="11"/>
        <color theme="1"/>
        <rFont val="Times New Roman"/>
        <family val="1"/>
        <charset val="204"/>
      </rPr>
      <t xml:space="preserve"> </t>
    </r>
  </si>
  <si>
    <t>Проверенная продукция для последующего применения признана:</t>
  </si>
  <si>
    <t>ГОСТ 31946-2012</t>
  </si>
  <si>
    <t>соответствует</t>
  </si>
  <si>
    <t>­</t>
  </si>
  <si>
    <t xml:space="preserve">                                                                                            </t>
  </si>
  <si>
    <t xml:space="preserve">                                                                (указать причины отбраковки, документальные результаты контроля,  протоколы испытания и прочие документы)</t>
  </si>
  <si>
    <t>выполнена</t>
  </si>
  <si>
    <t>ООО "Энергосистемы"</t>
  </si>
  <si>
    <t>ТУ 5863-007-96502166-2016</t>
  </si>
  <si>
    <t>Разъединитель трехполюсный с приводом РЛК 10/400</t>
  </si>
  <si>
    <t>1 шт</t>
  </si>
  <si>
    <t>ГОСТ Р 52726-2007</t>
  </si>
  <si>
    <t>3 шт</t>
  </si>
  <si>
    <t>1 комп.</t>
  </si>
  <si>
    <t xml:space="preserve">И.о.зам.начальника СРЭС филиала ПАО "Россети Московский Регион" Минин А.Л. </t>
  </si>
  <si>
    <t>1 шт.</t>
  </si>
  <si>
    <r>
      <t xml:space="preserve">Заказчик строительства: </t>
    </r>
    <r>
      <rPr>
        <u/>
        <sz val="1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</si>
  <si>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Председателя:                                                                                                       .</t>
  </si>
  <si>
    <r>
      <t xml:space="preserve">1.3. Поставщик: </t>
    </r>
    <r>
      <rPr>
        <u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</t>
    </r>
  </si>
  <si>
    <t>ТУ 3449-001-96363109-2016</t>
  </si>
  <si>
    <t>Уголок 50х50х5</t>
  </si>
  <si>
    <r>
      <t xml:space="preserve">Сталь круглая </t>
    </r>
    <r>
      <rPr>
        <sz val="11"/>
        <rFont val="Calibri"/>
        <family val="2"/>
        <charset val="204"/>
      </rPr>
      <t>Ø</t>
    </r>
    <r>
      <rPr>
        <sz val="11"/>
        <rFont val="Times New Roman"/>
        <family val="1"/>
        <charset val="204"/>
      </rPr>
      <t>10</t>
    </r>
  </si>
  <si>
    <t>ГОСТ 2590-88</t>
  </si>
  <si>
    <t>ВРЩ-0,4кВ</t>
  </si>
  <si>
    <t>ТУ 3430-001-45723747-2019</t>
  </si>
  <si>
    <t>ООО "МФК Техэнерго"</t>
  </si>
  <si>
    <t xml:space="preserve">№Т1/22-238 </t>
  </si>
  <si>
    <t>ООО "ЭнергоТранс"</t>
  </si>
  <si>
    <t>ООО ТК "Норма-кабель"</t>
  </si>
  <si>
    <t>ТУ 3449-001-52819896-2010</t>
  </si>
  <si>
    <t>Стальная полоса 40х4</t>
  </si>
  <si>
    <t>ГОСТ 380-2005/ ГОСТ 535-2005/ ГОСТ 103-2006</t>
  </si>
  <si>
    <t>МЗ  Балаково</t>
  </si>
  <si>
    <t>ГОСТ 5781-82</t>
  </si>
  <si>
    <t>ООО "Метал Сталь"</t>
  </si>
  <si>
    <t>№2911/22-1</t>
  </si>
  <si>
    <t>ГОСТ 13579-78</t>
  </si>
  <si>
    <t>2 шт</t>
  </si>
  <si>
    <r>
      <t xml:space="preserve">Сталь круглая </t>
    </r>
    <r>
      <rPr>
        <sz val="11"/>
        <rFont val="Calibri"/>
        <family val="2"/>
        <charset val="204"/>
      </rPr>
      <t>Ø12</t>
    </r>
  </si>
  <si>
    <t>ОАО "Белорусский металлургический завод"</t>
  </si>
  <si>
    <t>ГОСТ 34028-2016</t>
  </si>
  <si>
    <t>Изолятор штырьевой ШФ20-Г</t>
  </si>
  <si>
    <t>6 шт</t>
  </si>
  <si>
    <t>Предохранитель высоковольтный с кварцевым наполнителем  3ПКТ-103-6-100А-31,5УЗ</t>
  </si>
  <si>
    <t>ООО «Экопром»</t>
  </si>
  <si>
    <t>Сертификат соответствия №РОСС RU.04РИД0.ОСП04.С00591 срок действия от 14.01.2022г до 13.01.2025г</t>
  </si>
  <si>
    <t>ТУ 1491-001-02863030-2004</t>
  </si>
  <si>
    <t>АО "ПЗЭМИ"</t>
  </si>
  <si>
    <t>ООО "Главстройэнерго"</t>
  </si>
  <si>
    <t>№204 от 03.10.2017г</t>
  </si>
  <si>
    <t>№НК-375 от 30.11.2022</t>
  </si>
  <si>
    <t>Трансформатор тока Т-0,66 400/5</t>
  </si>
  <si>
    <t>Декларация о соответствии №ЕАЭС №RU Д-RU.НВ11.В.00611/19 от 19.11.2019г</t>
  </si>
  <si>
    <t>ТУ 27.11.42-033-08826343-2007</t>
  </si>
  <si>
    <t>ФК ИК-1</t>
  </si>
  <si>
    <t>АО "НПО "Стример"</t>
  </si>
  <si>
    <t>Сертификат соответствия №РОСС RU.ЕФ01.Н00004-22 срок действия от 10.04.2022г до 09.04.2025</t>
  </si>
  <si>
    <t>ТУ 3414-001-45533350-2009</t>
  </si>
  <si>
    <t xml:space="preserve">Длинно-искровой разрядник РМК </t>
  </si>
  <si>
    <t>ООО "КЭАЗ"</t>
  </si>
  <si>
    <t xml:space="preserve">Кабель АСБл-10 3х120  </t>
  </si>
  <si>
    <t>ООО "Камский кабель"</t>
  </si>
  <si>
    <t>ГОСТ 18410-73</t>
  </si>
  <si>
    <t>ООО "Главстрой энерго"</t>
  </si>
  <si>
    <t>ООО "НТЗ"Волхов"</t>
  </si>
  <si>
    <t>ГОСТ 7746-2015</t>
  </si>
  <si>
    <t>ГОСТ 31947-2012</t>
  </si>
  <si>
    <t>Декларация о соответствии №РОСС RU Д-RU.РА01.В.23898/22 срок действия от 06.07.2022г по 05.07.2025г</t>
  </si>
  <si>
    <t>ТУ 3414-121-70937441-2008</t>
  </si>
  <si>
    <t>АО"ГК"Электрощит" - ТМ Самара"</t>
  </si>
  <si>
    <t>ООО "Электросистемс""</t>
  </si>
  <si>
    <t>№203502/21 от 22.01.2021г</t>
  </si>
  <si>
    <t>Кабель контрольный КВВГнг 10х2,5</t>
  </si>
  <si>
    <t>2,6 м</t>
  </si>
  <si>
    <t>Сертификат соответствия № ЕАЭС RU C-RU.МЕ80.В.00003/19 от 27.03.2019г до 26.03.2024г</t>
  </si>
  <si>
    <t>АО "Людиновокабель"</t>
  </si>
  <si>
    <t>ТУ 16.К71-310-2001</t>
  </si>
  <si>
    <t>Плиты ПЗК 240х480 (над кабелем)</t>
  </si>
  <si>
    <t>ТУ 22.21.21-003-27680566-2018</t>
  </si>
  <si>
    <t>527 шт</t>
  </si>
  <si>
    <t>3 м</t>
  </si>
  <si>
    <t>Уплотнитель кабельных проходов УКПТ 175/55</t>
  </si>
  <si>
    <t>30 шт</t>
  </si>
  <si>
    <t>ООО"Сфера"</t>
  </si>
  <si>
    <t xml:space="preserve">Информационное письмо Исх.№14052021-296 от 23.11.2021г </t>
  </si>
  <si>
    <t>ООО «УГМК-Сталь»</t>
  </si>
  <si>
    <t>ГОСТ 8509-93</t>
  </si>
  <si>
    <t>Швеллер №10П</t>
  </si>
  <si>
    <t xml:space="preserve">Зам.начальника СРЭС филиала ПАО "Россети Московский Регион" Минин А.Л. </t>
  </si>
  <si>
    <t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t>
  </si>
  <si>
    <t>АО"ЧЭАЗ"</t>
  </si>
  <si>
    <t>Декларация о соответствии №РОСС RU Д-RU.АЯ96.В.00016/20 от 11.02.2020г</t>
  </si>
  <si>
    <t>ГОСТ 14693-90</t>
  </si>
  <si>
    <t>Провод с резиновой изоляцией ПВС 2х2,5</t>
  </si>
  <si>
    <t>81 м</t>
  </si>
  <si>
    <t>ООО "Электрокабель НН"</t>
  </si>
  <si>
    <t>Декларация о соответствии №ЕАЭС № RU Д-RU.НВ11.В.07850/20 от 10.03.2020</t>
  </si>
  <si>
    <t>ГОСТ 7399-97</t>
  </si>
  <si>
    <t>Сигнальная лента ЛЭС 450</t>
  </si>
  <si>
    <t>ООО "НПК Протэкт"</t>
  </si>
  <si>
    <t>Сертификат соответствия №ПФЛ4.RU.0501.Н.00192 от 12.05.2022г</t>
  </si>
  <si>
    <t>СТО 80696777.022-2020</t>
  </si>
  <si>
    <t>АКТ № 0/</t>
  </si>
  <si>
    <t>АКТ №0/</t>
  </si>
  <si>
    <t>ООО «Энерго ЖБИ»</t>
  </si>
  <si>
    <t>ООО «Гжельский завод Электроизолятор»</t>
  </si>
  <si>
    <t>ГОСТ 1232-2017</t>
  </si>
  <si>
    <t>Сертификат соответствия №РОСС RU.АЖ49.Н01642 срок действия от 24.08.2021г до 23.08.2024г</t>
  </si>
  <si>
    <t>ООО «ФОРМА ЖБИ»</t>
  </si>
  <si>
    <t>ООО  "ФОРМА ЖБИ"</t>
  </si>
  <si>
    <t>АКТ №4/</t>
  </si>
  <si>
    <t>АКТ № 5/</t>
  </si>
  <si>
    <t>АКТ № 3/</t>
  </si>
  <si>
    <t>АКТ № 4/</t>
  </si>
  <si>
    <t>а) Сопроводительные документы:</t>
  </si>
  <si>
    <t>д) Наличие ЗАК/протокола КДО:</t>
  </si>
  <si>
    <t>(номер ЗАК или протокола КДО и дата выдачм/отсутствует)</t>
  </si>
  <si>
    <r>
      <t xml:space="preserve">и </t>
    </r>
    <r>
      <rPr>
        <u/>
        <sz val="11"/>
        <rFont val="Times New Roman"/>
        <family val="1"/>
        <charset val="204"/>
      </rPr>
      <t xml:space="preserve">       допущена       </t>
    </r>
    <r>
      <rPr>
        <sz val="11"/>
        <rFont val="Times New Roman"/>
        <family val="1"/>
        <charset val="204"/>
      </rPr>
      <t xml:space="preserve"> к применению </t>
    </r>
    <r>
      <rPr>
        <u/>
        <sz val="11"/>
        <rFont val="Times New Roman"/>
        <family val="1"/>
        <charset val="204"/>
      </rPr>
      <t xml:space="preserve"> при строительно-монтажных работах на объекте</t>
    </r>
    <r>
      <rPr>
        <sz val="11"/>
        <rFont val="Times New Roman"/>
        <family val="1"/>
        <charset val="204"/>
      </rPr>
      <t>____________________________________________________________</t>
    </r>
  </si>
  <si>
    <t>непригодная продукия подлежит:</t>
  </si>
  <si>
    <t>ЗАК №I3-88/21 от 06.07.2021 г. до 06.07.2026 г.</t>
  </si>
  <si>
    <t>ЗАК №I3-93/21 от 07.07.2021 г. до 07.07.2026 г.</t>
  </si>
  <si>
    <t>ЗАК №I3-156/22 от 22.07.2022 г. до 22.07.2027 г.</t>
  </si>
  <si>
    <t>ЗАК №I3-71/21 до 28.05.2026 г.</t>
  </si>
  <si>
    <t>ЗАК №I3-224/15 от 02.08.2021 г. до 02.08.2026 г.</t>
  </si>
  <si>
    <t>ЗАК №IП-183/21 от 02.12.2021 г. до 02.12.2026 г.</t>
  </si>
  <si>
    <t>ЗАК №IЗ-66/21 от 20.05.2021 г. до 20.05.2026 г.</t>
  </si>
  <si>
    <t>ЗАК №IЗ-98/20 до 25.05.2025 г.</t>
  </si>
  <si>
    <t>ЗАК №IЗ-178/15 от 28.05.2021 г. до 28.05.2026 г.</t>
  </si>
  <si>
    <t>ООО "ГЛАВСТРОЙЭНЕРГО"</t>
  </si>
  <si>
    <t>ТУ 22.23.19-001-33651922-2023</t>
  </si>
  <si>
    <t>АКТ № 14/</t>
  </si>
  <si>
    <t>ООО "СИ-АРТ"</t>
  </si>
  <si>
    <t>ТР ТС 004/2011, ТР ТС 020/2011</t>
  </si>
  <si>
    <t>Сертификат соответствия №ЕАЭС RU.С-RU.АБ53.В.02348/21 с 11.11.2021 по 10.11.2026</t>
  </si>
  <si>
    <t>ТУ 3422-037-05758109-2011</t>
  </si>
  <si>
    <t>Солнечногорский р-н</t>
  </si>
  <si>
    <t>Ячейка КСО-298 MSI</t>
  </si>
  <si>
    <t>28 шт</t>
  </si>
  <si>
    <t>ЗАК №IЗ-201/18 от 27.12.2018 г. до 27.12.2025 г.</t>
  </si>
  <si>
    <t>Трансформатор тока ТОЛ-10 300А.</t>
  </si>
  <si>
    <t>Декларация о соответствии №РОСС RU Д-RU.АБ69.В.03247/20 срок действия от 04.02.2020г до 03.2.2025г</t>
  </si>
  <si>
    <t>№НК-375 от 30.11.2023</t>
  </si>
  <si>
    <t>6шт</t>
  </si>
  <si>
    <t>АКТ № 6/</t>
  </si>
  <si>
    <t>Начат</t>
  </si>
  <si>
    <t>Окончен</t>
  </si>
  <si>
    <t>3 шт.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</si>
  <si>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</si>
  <si>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</si>
  <si>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</si>
  <si>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</si>
  <si>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</si>
  <si>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</si>
  <si>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</si>
  <si>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</si>
  <si>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</si>
  <si>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</si>
  <si>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</si>
  <si>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</si>
  <si>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</si>
  <si>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</si>
  <si>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</si>
  <si>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</si>
  <si>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</si>
  <si>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</si>
  <si>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</si>
  <si>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</si>
  <si>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</si>
  <si>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</si>
  <si>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</si>
  <si>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</si>
  <si>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</si>
  <si>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</si>
  <si>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</si>
  <si>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Инженер по строительному контролю</t>
  </si>
  <si>
    <t>Специалист по строительному контролю</t>
  </si>
  <si>
    <t>Гл. специалист ССК УКС</t>
  </si>
  <si>
    <t>Приказ стр.контр.</t>
  </si>
  <si>
    <t>Приказ № 18-ОТ/24 от 03 июня 2024 (НОСТРОЙ С-50-188017)</t>
  </si>
  <si>
    <t>Приказ №01/24-ОТ от 15.01.2024 (НРС № С-61-104369)</t>
  </si>
  <si>
    <t>Приказ №263 от 31 января 2024г (НОСТРОЙ С-50-138711)</t>
  </si>
  <si>
    <t>ФИО стр.контр.</t>
  </si>
  <si>
    <t>Капитонов Д.А.</t>
  </si>
  <si>
    <t>Саженова Л.В.</t>
  </si>
  <si>
    <t>Жижкевич М.А.</t>
  </si>
  <si>
    <t>Хлебнов Д.Ф.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</si>
  <si>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</si>
  <si>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</si>
  <si>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</si>
  <si>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</si>
  <si>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Гл.инженер</t>
  </si>
  <si>
    <t>Ефремкин Е.И.</t>
  </si>
  <si>
    <t>Игнатьев К.А.</t>
  </si>
  <si>
    <t>Гл. специалист ПТГ</t>
  </si>
  <si>
    <t>Царькова Н.К.</t>
  </si>
  <si>
    <t>Прораб</t>
  </si>
  <si>
    <t xml:space="preserve">Мастер электромонтажного участка </t>
  </si>
  <si>
    <t>Приказ прораб</t>
  </si>
  <si>
    <t>Приказ №05-ОТ/24 от 09 января 2024г</t>
  </si>
  <si>
    <t>Приказ №01/24-ОТ от 15.01.2024</t>
  </si>
  <si>
    <t>ФИО прораб</t>
  </si>
  <si>
    <t>Волков М.Ю.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</si>
  <si>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</si>
  <si>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</si>
  <si>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</si>
  <si>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</si>
  <si>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</si>
  <si>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титул</t>
  </si>
  <si>
    <t>р-н</t>
  </si>
  <si>
    <t>Адрес</t>
  </si>
  <si>
    <t>Дата старт</t>
  </si>
  <si>
    <t>Дата финиш</t>
  </si>
  <si>
    <t>Наименование электроустановки</t>
  </si>
  <si>
    <t>ТП</t>
  </si>
  <si>
    <t>ТП№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</si>
  <si>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</si>
  <si>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</si>
  <si>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</si>
  <si>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</si>
  <si>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</si>
  <si>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</si>
  <si>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</si>
  <si>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</si>
  <si>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</si>
  <si>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</si>
  <si>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</si>
  <si>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№</t>
  </si>
  <si>
    <t>проект</t>
  </si>
  <si>
    <t>Название</t>
  </si>
  <si>
    <t>Представитель ХРЭС филиала ПАО "Россети Московский Регион"</t>
  </si>
  <si>
    <t>методическими указаниями ПАО "Россети Московский регион" (утв. Приказом от 05.10.2023 г. № 1021)</t>
  </si>
  <si>
    <t>ООО «Нилед»</t>
  </si>
  <si>
    <t>ЗАК №IЗ-171/22 от 12.08.2022 г. до 12.08.2027 г.</t>
  </si>
  <si>
    <t>ЗАК №IПД-132/24 от 24.07.2024 г. до 24.07.2029 г.</t>
  </si>
  <si>
    <t>ООО «Цветлит»</t>
  </si>
  <si>
    <t>№НК-398 от 30.11.2023</t>
  </si>
  <si>
    <t>ЗАК №IЗ-207/20 от 30.10.2020 г. до 30.10.2025 г.</t>
  </si>
  <si>
    <t>№198 от 16.03.2023г</t>
  </si>
  <si>
    <t>№НК-3985 от 30.11.2023</t>
  </si>
  <si>
    <t>ООО "ИЭК Холдинг"</t>
  </si>
  <si>
    <t>№216 от 03.10.2023г</t>
  </si>
  <si>
    <t>№214785/23 от 22.01.2023г</t>
  </si>
  <si>
    <t>№2016 от 03.10.2023г</t>
  </si>
  <si>
    <t>Провод 3СИП3 1х70</t>
  </si>
  <si>
    <t>6031 м.</t>
  </si>
  <si>
    <t>ТУ-3412-002-03769014-2017</t>
  </si>
  <si>
    <t>ГОСТ 11677-85</t>
  </si>
  <si>
    <t>ТОО "Уральский трансформаторный завод"</t>
  </si>
  <si>
    <t>Трансформатор ТМГ-250/10-0,4УХЛ1</t>
  </si>
  <si>
    <t>ЗАК№IIЗ-27/23 от 12.07.2023 до 12.07.2028гг</t>
  </si>
  <si>
    <t>Фундаментные блоки ФБС 24.4.6-Т;</t>
  </si>
  <si>
    <t>RP150 - 3 шт</t>
  </si>
  <si>
    <t>Уголок 63х63х5</t>
  </si>
  <si>
    <t>ООО "Тулачермет-сталь"</t>
  </si>
  <si>
    <t>Документ о качестве №2305390 от 18.02.2024 г.</t>
  </si>
  <si>
    <t>АО "ЕВРАЗ ЗСМК"</t>
  </si>
  <si>
    <t>Сертификат соответствия №РОСС RU.32001.04ИБФ1.ОСП28.45002 срок действия с 20.12.2023 по 19.12.2026 гг.</t>
  </si>
  <si>
    <t>ГОСТ 34839-2022</t>
  </si>
  <si>
    <t>АКТ №9/</t>
  </si>
  <si>
    <t>Профлист оцинкованный</t>
  </si>
  <si>
    <t>СТО 57398459-18-2006</t>
  </si>
  <si>
    <t>ООО "Стальные конструкции-Профлист"</t>
  </si>
  <si>
    <t>Паспорт качества №2349/24С от 00.05.2024г.</t>
  </si>
  <si>
    <t>ГОСТ 31996-2012</t>
  </si>
  <si>
    <t>2450 м</t>
  </si>
  <si>
    <t>Технический паспорт №3006/05 от 30.06.2023г.</t>
  </si>
  <si>
    <t>Труба ПНД ∅160мм</t>
  </si>
  <si>
    <t>Стальная полоса 50х4</t>
  </si>
  <si>
    <t>АКТ № 7/</t>
  </si>
  <si>
    <t>АКТ № 15/</t>
  </si>
  <si>
    <t>методическими указаниями ПАО "Россети Московский регион" (утв. Приказом от 14.11.2024 г. № 1254)</t>
  </si>
  <si>
    <t>Члены комиссии</t>
  </si>
  <si>
    <t>Фечин А.А.</t>
  </si>
  <si>
    <t xml:space="preserve">Главный энергетик ООО "Энергосистемы" </t>
  </si>
  <si>
    <t xml:space="preserve">Прораб ООО "Энергосистемы" </t>
  </si>
  <si>
    <t xml:space="preserve">Инженер-электрик ООО "Энергосистемы" </t>
  </si>
  <si>
    <t>Высоцкий А.В.</t>
  </si>
  <si>
    <t xml:space="preserve">Генеральный директор ООО "Гефест" </t>
  </si>
  <si>
    <t>Звездов Р.Е.</t>
  </si>
  <si>
    <t xml:space="preserve">Мастер электромонтажного участка ООО "Гефест" </t>
  </si>
  <si>
    <t xml:space="preserve">Главный специалист проектного отдела ООО "Гефест" </t>
  </si>
  <si>
    <t>Павлова К.П.</t>
  </si>
  <si>
    <t>Приказы НТД</t>
  </si>
  <si>
    <t>От 14.11.24</t>
  </si>
  <si>
    <t>До 14.11.24</t>
  </si>
  <si>
    <t>1. Энергосистемы</t>
  </si>
  <si>
    <t>2. Гефест</t>
  </si>
  <si>
    <t>Приказы</t>
  </si>
  <si>
    <t>по приказу №05-ОТ/24 от 09 января 2024г. в  составе:</t>
  </si>
  <si>
    <t>по приказу №01/24-ОТ от 15.01.2024г. в  составе:</t>
  </si>
  <si>
    <t>5996 м.</t>
  </si>
  <si>
    <t>Сертификат качества №8683-2722</t>
  </si>
  <si>
    <t>Р70 - 4 шт</t>
  </si>
  <si>
    <r>
      <t xml:space="preserve">Сталь круглая </t>
    </r>
    <r>
      <rPr>
        <sz val="11"/>
        <rFont val="Calibri"/>
        <family val="2"/>
        <charset val="204"/>
      </rPr>
      <t>Ø8</t>
    </r>
  </si>
  <si>
    <t>Кабель алюминиевый АВБбШв- 4х150 мм2</t>
  </si>
  <si>
    <t>Паспорт №б/н</t>
  </si>
  <si>
    <t>Провод установочный с медной жилой на напряжение 380 В гибкий сечением 10 мм² ПуГВ 1х10</t>
  </si>
  <si>
    <t>Сертификат соответствия № ЕАЭС RU C-RU.МЕ77.В.01309/24 срок действия от 13.05.2024г до 12.05.2029г</t>
  </si>
  <si>
    <t>ООО "Рыбинскэлектрокабель"</t>
  </si>
  <si>
    <t>Труба профильная 80х80х3</t>
  </si>
  <si>
    <t>Сертификат качества №23515/166</t>
  </si>
  <si>
    <t>ООО "КТЗ"</t>
  </si>
  <si>
    <t>ГОСТ 8639-82</t>
  </si>
  <si>
    <t>3,5 м</t>
  </si>
  <si>
    <t>129 м</t>
  </si>
  <si>
    <t>4х150 - 129м</t>
  </si>
  <si>
    <t>8,1 м</t>
  </si>
  <si>
    <t>АКТ № 1/</t>
  </si>
  <si>
    <t>АКТ № 8/</t>
  </si>
  <si>
    <t>АКТ № 10/</t>
  </si>
  <si>
    <t>АКТ № 11/</t>
  </si>
  <si>
    <t>АКТ №14/</t>
  </si>
  <si>
    <t>по приказу №05-ОТ/24 от 09 января 2023г. в  составе:</t>
  </si>
  <si>
    <t>Паспорт №5009 от 13.07.2023г.</t>
  </si>
  <si>
    <t xml:space="preserve">Комплектная трансформаторная подстанция КТП-ТК/ВК-250/10/0,4 </t>
  </si>
  <si>
    <t>ООО "КТП-Энерго"</t>
  </si>
  <si>
    <t>№79-КТП-Энерго/2023 от 20.06.2023г</t>
  </si>
  <si>
    <t>Паспорт №2204ФГ406</t>
  </si>
  <si>
    <t>Выключатель автоматический ВА57-35 (250А) - 2 шт.</t>
  </si>
  <si>
    <t>Счетчик электрической энергии СТЭМ 300</t>
  </si>
  <si>
    <t>Паспорт №25001237 от 06.05.2025г.</t>
  </si>
  <si>
    <t>Паспорт №№20, 33, 44</t>
  </si>
  <si>
    <t>ОАО "ЗЭТО"</t>
  </si>
  <si>
    <t>Предохранитель-разъеденитель выхлопной ПРВТ-1-10.II-50Л-У1</t>
  </si>
  <si>
    <t>ТУ-3414-083-49040910-2010</t>
  </si>
  <si>
    <t>Паспорт №302 от 12.02.2023</t>
  </si>
  <si>
    <t>36 шт</t>
  </si>
  <si>
    <t>64 м</t>
  </si>
  <si>
    <t>Паспорт качества на барабан № 23Т1-8223 от 09.01.2023г.</t>
  </si>
  <si>
    <t>ООО "УГМК-Сталь"</t>
  </si>
  <si>
    <t>Сертификат качества №2020647172</t>
  </si>
  <si>
    <t>18 м</t>
  </si>
  <si>
    <t>Сертификат качества №2021644263</t>
  </si>
  <si>
    <t>Сертификат качества №21010194</t>
  </si>
  <si>
    <t>Паспорт качества №10793/23</t>
  </si>
  <si>
    <t>1030 м</t>
  </si>
  <si>
    <t>136 м</t>
  </si>
  <si>
    <t>Муфта концевая термоусаживаемая   3 КВНТп-1 70/120</t>
  </si>
  <si>
    <t>3 КВНТп-1 70/120</t>
  </si>
  <si>
    <t>151 м</t>
  </si>
  <si>
    <t>Паспорт качества №48 от 20.03.2023г.</t>
  </si>
  <si>
    <t>1632 м</t>
  </si>
  <si>
    <t>ООО "НЗПМ"</t>
  </si>
  <si>
    <t>41,6 м</t>
  </si>
  <si>
    <t>37 м</t>
  </si>
  <si>
    <t>Документ №119 от 03.03.2023г.</t>
  </si>
  <si>
    <t>Сертификат качества №3968968</t>
  </si>
  <si>
    <t>Сертификат качества №2024647014</t>
  </si>
  <si>
    <t>Сертификат соответствия №РОСС RU.32001.04ИБФ1.ОСП28.47246</t>
  </si>
  <si>
    <t>3,76 м2</t>
  </si>
  <si>
    <t>Сертификат качества №2060647170</t>
  </si>
  <si>
    <t>ООО "УГМК Сталь"</t>
  </si>
  <si>
    <t>3,4 м</t>
  </si>
  <si>
    <t>102 м</t>
  </si>
  <si>
    <t>30 м</t>
  </si>
  <si>
    <t>Сертификат соответствия №РОСС RU.АМ05.Н22141</t>
  </si>
  <si>
    <t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t>
  </si>
  <si>
    <t>ТМ74 - 1 шт</t>
  </si>
  <si>
    <t>ТМ73 - 1 шт</t>
  </si>
  <si>
    <t>SLW.36 - 3 шт</t>
  </si>
  <si>
    <t>CD35 - 2 шт</t>
  </si>
  <si>
    <t>TM63 - 3 шт</t>
  </si>
  <si>
    <t>ЗП1-1 - 2 шт</t>
  </si>
  <si>
    <t>IF27 - 9 шт</t>
  </si>
  <si>
    <t>K-9 - 9 шт</t>
  </si>
  <si>
    <t>CB70 - 24 шт</t>
  </si>
  <si>
    <t>ПС-1-1 - 4 шт</t>
  </si>
  <si>
    <t>X51 - 20 шт</t>
  </si>
  <si>
    <t>NC20 - 6 шт</t>
  </si>
  <si>
    <t>F207 - 16 шт</t>
  </si>
  <si>
    <t>CD70 -18 шт</t>
  </si>
  <si>
    <t>121 шт</t>
  </si>
  <si>
    <t>Ж/б опоры СВ110-5</t>
  </si>
  <si>
    <t>146 шт</t>
  </si>
  <si>
    <t>АКТ № 2/</t>
  </si>
  <si>
    <t>АКТ №6/</t>
  </si>
  <si>
    <t>АКТ №12/</t>
  </si>
  <si>
    <t>АКТ №13/</t>
  </si>
  <si>
    <t>АКТ № 16/</t>
  </si>
  <si>
    <t>АКТ № 17/</t>
  </si>
  <si>
    <t>АКТ № 18/</t>
  </si>
  <si>
    <t>АКТ № 19/</t>
  </si>
  <si>
    <t>АКТ № 20/</t>
  </si>
  <si>
    <t>АКТ №1/</t>
  </si>
  <si>
    <t>Провод СИП2 3х70+1х70</t>
  </si>
  <si>
    <t>135 м</t>
  </si>
  <si>
    <t>Линейная арматура 0,4кВ (Заземляющий проводник ЗП6, Зажим Р72, Ответвительный зажим Р70, Натяжной зажим РА1500, Плашечный зажим ПС-2-1, Анкерный кронштейн CS10.3, Комплект промежуточной подвески ES1500, Стяжной хомут Е778, Мателлическая летна F207, Скрепа NC20, Бугель NB20, Герметичный зажим РС481, Ограничитель перенапряжения ОР600/28, Колпачек изолирующий СЕ16-150)</t>
  </si>
  <si>
    <t>ЗП6 - 4 шт</t>
  </si>
  <si>
    <t>Р72 - 6 шт</t>
  </si>
  <si>
    <t>РА1500 - 6 шт</t>
  </si>
  <si>
    <t>ПС-2-1 - 9 шт</t>
  </si>
  <si>
    <t>CS10.3 -5  шт</t>
  </si>
  <si>
    <t>ES1500 - 3 шт</t>
  </si>
  <si>
    <t>Е778 - 12 шт</t>
  </si>
  <si>
    <t>NB20 - 10 шт</t>
  </si>
  <si>
    <t>РС481 - 8 шт</t>
  </si>
  <si>
    <t>OP600/28 - 3 шт</t>
  </si>
  <si>
    <t>CE16-150 - 4 шт</t>
  </si>
  <si>
    <t>106 шт</t>
  </si>
  <si>
    <t>SAP - 288007</t>
  </si>
  <si>
    <t>Строительство ТП-10/0,4 кВ, ВЛЗ-10 кВ от ВЛЗ-10 кВ ф. «Кочугино» ПС №185 "Воробьево", ВЛИ-0,38 кВ, рлр, в т.ч. ПИР, МО, Солнечногорский р-н, г. Солнечногорск</t>
  </si>
  <si>
    <t>141533,Российская Федерация, г.о.Солнечногорск</t>
  </si>
  <si>
    <t>25.09.2024</t>
  </si>
  <si>
    <t>15.01.2025</t>
  </si>
  <si>
    <t>ОГРН 1077762950055 ИНН 7743668640 КПП 770801001</t>
  </si>
  <si>
    <t>107140, г.Москва, ул. Краснопрудная, д. 12/1, стр. 1, помещ. 1/6</t>
  </si>
  <si>
    <t>Горбан Г.К.</t>
  </si>
  <si>
    <t>ООО «Энком»</t>
  </si>
  <si>
    <t>Генеральный директор ООО "Энком"</t>
  </si>
  <si>
    <t>Дандре Г.А.</t>
  </si>
  <si>
    <t>Главный инженер ООО "Энком"</t>
  </si>
  <si>
    <t>Специалист по строительному контролю ООО "Энком"</t>
  </si>
  <si>
    <t>Филлипов А.Ю.</t>
  </si>
  <si>
    <t>3. Энком</t>
  </si>
  <si>
    <t xml:space="preserve">Главный инженер </t>
  </si>
  <si>
    <t>Приказ № ОТ-25 от 12.01.2024</t>
  </si>
  <si>
    <t>Приложение 2</t>
  </si>
  <si>
    <t>Приложение 49 к приказу 
от 19.12.2019 № 1414</t>
  </si>
  <si>
    <t>ЖУРНАЛ №</t>
  </si>
  <si>
    <t>Наименование объекта</t>
  </si>
  <si>
    <t>Адрес объекта</t>
  </si>
  <si>
    <t>Наименование строительной организации</t>
  </si>
  <si>
    <t>УЧЕТА РЕЗУЛЬТАТОВ ВХОДНОГО КОНТРОЛЯ И КОНТРОЛЯ КАЧЕСТВА ПОЛУЧАЕМЫХ ДЕТАЛЕЙ,</t>
  </si>
  <si>
    <t>МАТЕРИАЛОВ,  ИЗДЕЛИЙ, КОНСТРУКЦИЙ И ОБОРУДОВАНИЯ</t>
  </si>
  <si>
    <t>(ПРОДУКЦИИ ДЛЯ ЦЕЛЕЙ СТРОИТЕЛЬСТВА / РЕКОНСТРУКЦИИ)</t>
  </si>
  <si>
    <t>Приложение 1</t>
  </si>
  <si>
    <t>Приложение 48 к приказу от
19.12.2019 № 1414</t>
  </si>
  <si>
    <t xml:space="preserve">                              </t>
  </si>
  <si>
    <t>ФОРМА</t>
  </si>
  <si>
    <t>Наименование деталей, материалов, изделий, конструкций, оборудования</t>
  </si>
  <si>
    <t>Количество</t>
  </si>
  <si>
    <t>Поставщик</t>
  </si>
  <si>
    <t>Наименование и номер документа изготовителя</t>
  </si>
  <si>
    <t>Решение о необходимости проведения инструментального контроля</t>
  </si>
  <si>
    <t>Результат инструментального контроля</t>
  </si>
  <si>
    <t>Подпись лица, осуществляющего контроль со стороны лица, осуществляющего строительство, и застройщика (технического заказчика)</t>
  </si>
  <si>
    <t>____</t>
  </si>
  <si>
    <t>Сертификат соответствия №РОСС RU.МЛ10.10783 срок действия от 25.11.2022 до 19.11.2028г</t>
  </si>
  <si>
    <t>Паспорт качества на барабан № 22409668</t>
  </si>
  <si>
    <t>ЗАК №IПД-75/24 от 30.05.2024 г. до 30.05.2029 г.</t>
  </si>
  <si>
    <t>АО «Кирскабель»</t>
  </si>
  <si>
    <t>Алексанян Г.Р.</t>
  </si>
  <si>
    <t>Шатковский А.Н.</t>
  </si>
  <si>
    <t>ООО "НИЛЕД"</t>
  </si>
  <si>
    <t>Сертификат соответствия №РОСС RU.HE42.Н01995 срок действия с 01.10.2024г по 30.09.2027г</t>
  </si>
  <si>
    <t>ЗАК №IЗ-139/24 от 24.10.2025 г. до 14.05.2029 г.</t>
  </si>
  <si>
    <t>Приказ №53 от 13 марта 2025г. (НРС С-50-77-262451)</t>
  </si>
  <si>
    <t>/</t>
  </si>
  <si>
    <t>Дата
поставки</t>
  </si>
  <si>
    <t>Результат проверки сопроводительных документов изготовителя и визуального осмотра на соответствие требованиям утвержденной проектной документации и соответствующим документам по стандартизации</t>
  </si>
  <si>
    <t>№ п.п.</t>
  </si>
  <si>
    <t>Краска ПФ 115</t>
  </si>
  <si>
    <t>2,8 кг</t>
  </si>
  <si>
    <t>(должность, организация, подпись фамилия, имя, отчество)</t>
  </si>
  <si>
    <t>АО "Пигмент"</t>
  </si>
  <si>
    <t>Сертификат соответствия №РОСС RU.НЕ42.Н03935 срок действия с 05.11.2024 по 04.11.2027г</t>
  </si>
  <si>
    <t>ГОСТ 6465-2023</t>
  </si>
  <si>
    <t>Гл. специалист ССК УКС ПАО "Россети Московский регион" Алексанян Г.Р.</t>
  </si>
  <si>
    <t>Песок для строительных работ фракционированный, средний 1 класс</t>
  </si>
  <si>
    <t>ООО "Облнерудпром"</t>
  </si>
  <si>
    <t>Паспорт б/н</t>
  </si>
  <si>
    <t>3,5 м2</t>
  </si>
  <si>
    <t>Приказ №2363 от 29 июля 2025г (НРС С-50-069023)</t>
  </si>
  <si>
    <t>Приказ №2363 от 29 июля 2025г (НОСТРОЙ С-50-15922)</t>
  </si>
  <si>
    <t>Арнаутов А.П.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</si>
</sst>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9" fillId="0" borderId="0"/>
  </cellStyleXfs>
  <cellXfs count="3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18" fillId="0" borderId="16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0" fontId="18" fillId="0" borderId="16" xfId="1" applyFont="1" applyBorder="1"/>
    <xf numFmtId="0" fontId="13" fillId="0" borderId="0" xfId="1"/>
    <xf numFmtId="0" fontId="13" fillId="4" borderId="1" xfId="1" applyFill="1" applyBorder="1" applyAlignment="1">
      <alignment vertical="center"/>
    </xf>
    <xf numFmtId="0" fontId="13" fillId="4" borderId="1" xfId="1" applyFill="1" applyBorder="1" applyAlignment="1">
      <alignment horizontal="center"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" xfId="1" applyBorder="1" applyAlignment="1">
      <alignment vertical="center"/>
    </xf>
    <xf numFmtId="0" fontId="13" fillId="0" borderId="1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4" borderId="1" xfId="1" applyFill="1" applyBorder="1"/>
    <xf numFmtId="0" fontId="13" fillId="0" borderId="0" xfId="1" applyAlignment="1">
      <alignment wrapText="1"/>
    </xf>
    <xf numFmtId="0" fontId="13" fillId="5" borderId="1" xfId="1" applyFill="1" applyBorder="1" applyAlignment="1">
      <alignment wrapText="1"/>
    </xf>
    <xf numFmtId="0" fontId="13" fillId="5" borderId="0" xfId="1" applyFill="1" applyAlignment="1">
      <alignment wrapText="1"/>
    </xf>
    <xf numFmtId="0" fontId="13" fillId="6" borderId="0" xfId="1" applyFill="1" applyAlignment="1">
      <alignment wrapText="1"/>
    </xf>
    <xf numFmtId="0" fontId="13" fillId="7" borderId="1" xfId="1" applyFill="1" applyBorder="1" applyAlignment="1">
      <alignment wrapText="1"/>
    </xf>
    <xf numFmtId="0" fontId="13" fillId="7" borderId="0" xfId="1" applyFill="1" applyAlignment="1">
      <alignment wrapText="1"/>
    </xf>
    <xf numFmtId="0" fontId="13" fillId="6" borderId="1" xfId="1" applyFill="1" applyBorder="1" applyAlignment="1">
      <alignment wrapText="1"/>
    </xf>
    <xf numFmtId="0" fontId="13" fillId="8" borderId="0" xfId="1" applyFill="1" applyAlignment="1">
      <alignment wrapText="1"/>
    </xf>
    <xf numFmtId="0" fontId="13" fillId="6" borderId="1" xfId="1" applyFill="1" applyBorder="1"/>
    <xf numFmtId="0" fontId="19" fillId="0" borderId="0" xfId="2"/>
    <xf numFmtId="0" fontId="1" fillId="0" borderId="1" xfId="2" applyFont="1" applyBorder="1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3" xfId="2" applyFont="1" applyBorder="1" applyAlignment="1">
      <alignment horizontal="center" wrapText="1"/>
    </xf>
    <xf numFmtId="14" fontId="19" fillId="0" borderId="0" xfId="2" applyNumberFormat="1"/>
    <xf numFmtId="0" fontId="21" fillId="0" borderId="13" xfId="2" applyFont="1" applyBorder="1" applyAlignment="1">
      <alignment horizontal="center" wrapText="1"/>
    </xf>
    <xf numFmtId="164" fontId="21" fillId="10" borderId="1" xfId="2" applyNumberFormat="1" applyFont="1" applyFill="1" applyBorder="1" applyAlignment="1">
      <alignment horizontal="center" wrapText="1"/>
    </xf>
    <xf numFmtId="0" fontId="21" fillId="7" borderId="1" xfId="2" applyFont="1" applyFill="1" applyBorder="1" applyAlignment="1">
      <alignment horizontal="center" wrapText="1"/>
    </xf>
    <xf numFmtId="0" fontId="19" fillId="0" borderId="1" xfId="2" applyBorder="1"/>
    <xf numFmtId="0" fontId="13" fillId="0" borderId="1" xfId="2" applyFont="1" applyBorder="1"/>
    <xf numFmtId="0" fontId="21" fillId="0" borderId="6" xfId="2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 wrapText="1"/>
    </xf>
    <xf numFmtId="0" fontId="21" fillId="8" borderId="1" xfId="2" applyFont="1" applyFill="1" applyBorder="1" applyAlignment="1">
      <alignment horizontal="center"/>
    </xf>
    <xf numFmtId="0" fontId="13" fillId="0" borderId="0" xfId="2" applyFont="1"/>
    <xf numFmtId="0" fontId="21" fillId="6" borderId="1" xfId="2" applyFont="1" applyFill="1" applyBorder="1" applyAlignment="1">
      <alignment horizontal="center" wrapText="1"/>
    </xf>
    <xf numFmtId="0" fontId="19" fillId="0" borderId="0" xfId="2" applyAlignment="1">
      <alignment horizontal="center"/>
    </xf>
    <xf numFmtId="0" fontId="22" fillId="0" borderId="0" xfId="2" applyFont="1" applyAlignment="1">
      <alignment vertical="center" wrapText="1"/>
    </xf>
    <xf numFmtId="0" fontId="22" fillId="0" borderId="0" xfId="2" applyFont="1" applyAlignment="1">
      <alignment vertical="center"/>
    </xf>
    <xf numFmtId="0" fontId="19" fillId="0" borderId="0" xfId="2" applyAlignment="1">
      <alignment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2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8" xfId="0" applyFont="1" applyFill="1" applyBorder="1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3" fillId="0" borderId="1" xfId="1" applyBorder="1"/>
    <xf numFmtId="0" fontId="18" fillId="0" borderId="1" xfId="1" applyFont="1" applyBorder="1" applyAlignment="1">
      <alignment wrapText="1"/>
    </xf>
    <xf numFmtId="0" fontId="13" fillId="0" borderId="1" xfId="1" applyBorder="1" applyAlignment="1">
      <alignment wrapText="1"/>
    </xf>
    <xf numFmtId="0" fontId="19" fillId="0" borderId="0" xfId="2" applyBorder="1" applyAlignment="1">
      <alignment horizontal="center"/>
    </xf>
    <xf numFmtId="0" fontId="19" fillId="0" borderId="0" xfId="2" applyBorder="1"/>
    <xf numFmtId="0" fontId="22" fillId="0" borderId="0" xfId="2" applyFont="1" applyBorder="1" applyAlignment="1">
      <alignment vertical="center" wrapText="1"/>
    </xf>
    <xf numFmtId="0" fontId="13" fillId="0" borderId="1" xfId="2" applyFont="1" applyBorder="1" applyAlignment="1">
      <alignment horizontal="center"/>
    </xf>
    <xf numFmtId="0" fontId="19" fillId="3" borderId="1" xfId="2" applyFill="1" applyBorder="1"/>
    <xf numFmtId="0" fontId="26" fillId="0" borderId="0" xfId="2" applyFont="1"/>
    <xf numFmtId="0" fontId="13" fillId="12" borderId="1" xfId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0" fillId="0" borderId="0" xfId="2" applyFont="1" applyBorder="1" applyAlignment="1"/>
    <xf numFmtId="0" fontId="20" fillId="0" borderId="1" xfId="2" applyFont="1" applyBorder="1" applyAlignment="1"/>
    <xf numFmtId="0" fontId="13" fillId="11" borderId="1" xfId="1" applyFill="1" applyBorder="1"/>
    <xf numFmtId="0" fontId="21" fillId="0" borderId="1" xfId="2" applyFont="1" applyBorder="1" applyAlignment="1">
      <alignment horizontal="center"/>
    </xf>
    <xf numFmtId="0" fontId="21" fillId="11" borderId="14" xfId="2" applyFont="1" applyFill="1" applyBorder="1" applyAlignment="1">
      <alignment horizontal="center" vertical="center"/>
    </xf>
    <xf numFmtId="0" fontId="19" fillId="11" borderId="1" xfId="2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3" fillId="11" borderId="1" xfId="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" fillId="0" borderId="8" xfId="0" applyFont="1" applyFill="1" applyBorder="1" applyAlignment="1">
      <alignment vertical="center"/>
    </xf>
    <xf numFmtId="49" fontId="21" fillId="9" borderId="1" xfId="0" applyNumberFormat="1" applyFont="1" applyFill="1" applyBorder="1" applyAlignment="1">
      <alignment horizontal="center" wrapText="1"/>
    </xf>
    <xf numFmtId="14" fontId="23" fillId="0" borderId="1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wrapText="1"/>
    </xf>
    <xf numFmtId="0" fontId="13" fillId="4" borderId="0" xfId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4" fillId="0" borderId="0" xfId="0" applyFont="1" applyBorder="1" applyAlignment="1"/>
    <xf numFmtId="0" fontId="3" fillId="0" borderId="0" xfId="0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0" borderId="8" xfId="0" applyFont="1" applyBorder="1"/>
    <xf numFmtId="0" fontId="20" fillId="0" borderId="13" xfId="2" applyFont="1" applyBorder="1" applyAlignment="1">
      <alignment horizontal="center"/>
    </xf>
    <xf numFmtId="0" fontId="20" fillId="0" borderId="14" xfId="2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3" fillId="4" borderId="13" xfId="1" applyFill="1" applyBorder="1" applyAlignment="1">
      <alignment horizontal="center" vertical="center" wrapText="1"/>
    </xf>
    <xf numFmtId="0" fontId="13" fillId="4" borderId="14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0" borderId="14" xfId="1" applyBorder="1" applyAlignment="1">
      <alignment horizontal="center" vertical="center" wrapText="1"/>
    </xf>
    <xf numFmtId="0" fontId="13" fillId="0" borderId="1" xfId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0" fillId="0" borderId="13" xfId="2" applyFont="1" applyBorder="1" applyAlignment="1">
      <alignment horizontal="center" wrapText="1"/>
    </xf>
    <xf numFmtId="0" fontId="20" fillId="0" borderId="14" xfId="2" applyFont="1" applyBorder="1" applyAlignment="1">
      <alignment horizontal="center" wrapText="1"/>
    </xf>
    <xf numFmtId="0" fontId="20" fillId="0" borderId="17" xfId="2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12" xfId="0" applyFont="1" applyBorder="1" applyAlignment="1">
      <alignment horizontal="center" vertical="top"/>
    </xf>
    <xf numFmtId="0" fontId="1" fillId="0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" fillId="0" borderId="8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8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top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8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4" fillId="0" borderId="8" xfId="0" applyFont="1" applyFill="1" applyBorder="1" applyAlignment="1">
      <alignment horizontal="left" wrapText="1"/>
    </xf>
    <xf numFmtId="0" fontId="11" fillId="0" borderId="0" xfId="0" applyFont="1" applyFill="1" applyAlignment="1">
      <alignment horizontal="center" vertical="top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Fill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4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238DD360-3848-474E-AE0B-CDC8DE1E00E4}"/>
    <cellStyle name="Обычный 3" xfId="2" xr:uid="{FF3E4FA9-D74F-4C60-9F3F-68C904802C5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8;&#105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5&#1075;/3985/&#1076;&#1086;&#1082;&#1091;&#1084;&#1077;&#1085;&#1090;&#1099;/&#1040;&#1082;&#1090;%20&#1074;&#1093;.%20&#1082;&#1086;&#1085;&#1090;&#1088;&#1086;&#1083;&#1103;%20&#1080;%20&#1078;&#1091;&#1088;&#1085;&#1072;&#1083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  <sheetName val="АОСР-7"/>
      <sheetName val="АОСР-8"/>
      <sheetName val="АОСР-9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 Журнал АВК"/>
      <sheetName val="Провод СИП "/>
      <sheetName val="стойки"/>
      <sheetName val="РЛК"/>
      <sheetName val="ОПН "/>
      <sheetName val="КТП"/>
      <sheetName val="ТМГ"/>
      <sheetName val="лин.армат 0,4"/>
      <sheetName val="уголок "/>
      <sheetName val="арм. 10"/>
      <sheetName val="краска"/>
      <sheetName val="ВРЩ"/>
      <sheetName val="счетчик СТЭМ"/>
      <sheetName val="лин.армат 6-10к"/>
      <sheetName val="пол.40х4"/>
      <sheetName val="арм. 8"/>
      <sheetName val=" фунд.КТП"/>
      <sheetName val="арм. 12"/>
      <sheetName val="изоляторы"/>
      <sheetName val="ПКТ"/>
      <sheetName val=" муфты "/>
      <sheetName val="ТТ Т-0,66"/>
      <sheetName val="РМК"/>
      <sheetName val="выключатели ВА"/>
      <sheetName val="каб.АСБ"/>
      <sheetName val="КРН"/>
      <sheetName val="КСО"/>
      <sheetName val="ТОЛ"/>
      <sheetName val="провод Пувг"/>
      <sheetName val="АВБшв"/>
      <sheetName val="КВВГ"/>
      <sheetName val="провод ПВС"/>
      <sheetName val="сиг.лента"/>
      <sheetName val="ПЗК"/>
      <sheetName val="ПНД"/>
      <sheetName val="тр.хц"/>
      <sheetName val="упл.каб.прох."/>
      <sheetName val="швеллер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Строительство КЛ-0,4 кВ от ТП-10/0,4кВ № 2961, ПС №35 "Октябрьская", в т.ч. ПИР, МО, Солнечногорский р-н, д. Юрлово, уч.88 (III)</v>
          </cell>
        </row>
        <row r="11">
          <cell r="K11">
            <v>45827</v>
          </cell>
        </row>
        <row r="14">
          <cell r="H14" t="str">
            <v>по приказу №05-ОТ/24 от "09" января 2024г. в  составе: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3">
          <cell r="C23" t="str">
            <v>Прораб ООО "Энергосистемы" Волков М.Ю.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B902-A60F-4A85-8745-567FE467C625}">
  <dimension ref="A1:M37"/>
  <sheetViews>
    <sheetView topLeftCell="C1" zoomScale="85" zoomScaleNormal="85" workbookViewId="0">
      <selection activeCell="J14" sqref="J14"/>
    </sheetView>
  </sheetViews>
  <sheetFormatPr defaultColWidth="9.140625" defaultRowHeight="12.75" x14ac:dyDescent="0.2"/>
  <cols>
    <col min="1" max="1" width="18.7109375" style="40" customWidth="1"/>
    <col min="2" max="2" width="36.5703125" style="40" customWidth="1"/>
    <col min="3" max="5" width="34.85546875" style="40" customWidth="1"/>
    <col min="6" max="7" width="36.7109375" style="40" customWidth="1"/>
    <col min="8" max="8" width="36.140625" style="40" customWidth="1"/>
    <col min="9" max="9" width="20.28515625" style="40" customWidth="1"/>
    <col min="10" max="11" width="20.85546875" style="40" customWidth="1"/>
    <col min="12" max="12" width="21.140625" style="40" customWidth="1"/>
    <col min="13" max="16384" width="9.140625" style="40"/>
  </cols>
  <sheetData>
    <row r="1" spans="1:13" ht="15" x14ac:dyDescent="0.25">
      <c r="A1" s="37" t="s">
        <v>205</v>
      </c>
      <c r="B1" s="38" t="s">
        <v>65</v>
      </c>
      <c r="C1" s="38" t="s">
        <v>207</v>
      </c>
      <c r="D1" s="38" t="s">
        <v>208</v>
      </c>
      <c r="E1" s="39"/>
      <c r="F1" s="198" t="s">
        <v>209</v>
      </c>
      <c r="G1" s="198"/>
      <c r="H1" s="198"/>
      <c r="I1" s="203" t="s">
        <v>329</v>
      </c>
      <c r="J1" s="203"/>
      <c r="K1" s="203"/>
      <c r="L1" s="203"/>
    </row>
    <row r="2" spans="1:13" ht="25.5" customHeight="1" x14ac:dyDescent="0.25">
      <c r="A2" s="41" t="s">
        <v>210</v>
      </c>
      <c r="B2" s="42" t="s">
        <v>211</v>
      </c>
      <c r="C2" s="42" t="s">
        <v>212</v>
      </c>
      <c r="D2" s="170" t="s">
        <v>462</v>
      </c>
      <c r="E2" s="43"/>
      <c r="F2" s="199" t="s">
        <v>213</v>
      </c>
      <c r="G2" s="200"/>
      <c r="H2" s="200"/>
      <c r="I2" s="129" t="s">
        <v>206</v>
      </c>
      <c r="J2" s="130" t="s">
        <v>207</v>
      </c>
      <c r="K2" s="130" t="s">
        <v>465</v>
      </c>
      <c r="L2" s="132" t="s">
        <v>209</v>
      </c>
    </row>
    <row r="3" spans="1:13" ht="63" customHeight="1" x14ac:dyDescent="0.2">
      <c r="A3" s="44" t="s">
        <v>214</v>
      </c>
      <c r="B3" s="45" t="s">
        <v>215</v>
      </c>
      <c r="C3" s="45" t="s">
        <v>216</v>
      </c>
      <c r="D3" s="171" t="s">
        <v>463</v>
      </c>
      <c r="E3" s="46"/>
      <c r="F3" s="201" t="s">
        <v>217</v>
      </c>
      <c r="G3" s="202"/>
      <c r="H3" s="202"/>
      <c r="I3" s="133" t="s">
        <v>331</v>
      </c>
      <c r="J3" s="133" t="s">
        <v>335</v>
      </c>
      <c r="K3" s="133" t="s">
        <v>466</v>
      </c>
      <c r="L3" s="133"/>
      <c r="M3" s="133"/>
    </row>
    <row r="4" spans="1:13" x14ac:dyDescent="0.2">
      <c r="A4" s="41" t="s">
        <v>218</v>
      </c>
      <c r="B4" s="42"/>
      <c r="C4" s="42"/>
      <c r="D4" s="42"/>
      <c r="E4" s="42"/>
      <c r="F4" s="42" t="s">
        <v>193</v>
      </c>
      <c r="G4" s="182"/>
      <c r="H4" s="126" t="s">
        <v>219</v>
      </c>
      <c r="I4" s="133" t="s">
        <v>330</v>
      </c>
      <c r="J4" s="133" t="s">
        <v>336</v>
      </c>
      <c r="K4" s="133" t="s">
        <v>467</v>
      </c>
      <c r="L4" s="133"/>
      <c r="M4" s="133"/>
    </row>
    <row r="5" spans="1:13" ht="38.25" x14ac:dyDescent="0.2">
      <c r="A5" s="44"/>
      <c r="B5" s="45"/>
      <c r="C5" s="45"/>
      <c r="D5" s="45"/>
      <c r="E5" s="45"/>
      <c r="F5" s="45" t="s">
        <v>220</v>
      </c>
      <c r="G5" s="183"/>
      <c r="H5" s="127" t="s">
        <v>221</v>
      </c>
      <c r="I5" s="133" t="s">
        <v>332</v>
      </c>
      <c r="J5" s="133" t="s">
        <v>337</v>
      </c>
      <c r="K5" s="133" t="s">
        <v>468</v>
      </c>
      <c r="L5" s="133"/>
      <c r="M5" s="133"/>
    </row>
    <row r="6" spans="1:13" ht="15" x14ac:dyDescent="0.2">
      <c r="A6" s="41" t="s">
        <v>222</v>
      </c>
      <c r="B6" s="42" t="s">
        <v>223</v>
      </c>
      <c r="C6" s="42" t="s">
        <v>224</v>
      </c>
      <c r="D6" s="172" t="s">
        <v>224</v>
      </c>
      <c r="E6" s="42"/>
      <c r="F6" s="42" t="s">
        <v>225</v>
      </c>
      <c r="G6" s="182"/>
      <c r="H6" s="126" t="s">
        <v>226</v>
      </c>
      <c r="I6" s="133" t="s">
        <v>259</v>
      </c>
      <c r="J6" s="133" t="s">
        <v>260</v>
      </c>
      <c r="K6" s="133" t="s">
        <v>464</v>
      </c>
      <c r="L6" s="131"/>
    </row>
    <row r="7" spans="1:13" ht="51" x14ac:dyDescent="0.2">
      <c r="A7" s="44" t="s">
        <v>227</v>
      </c>
      <c r="B7" s="45" t="s">
        <v>228</v>
      </c>
      <c r="C7" s="45" t="s">
        <v>229</v>
      </c>
      <c r="D7" s="173" t="s">
        <v>467</v>
      </c>
      <c r="E7" s="45"/>
      <c r="F7" s="45" t="s">
        <v>230</v>
      </c>
      <c r="G7" s="183"/>
      <c r="H7" s="127" t="s">
        <v>522</v>
      </c>
      <c r="I7" s="133" t="s">
        <v>333</v>
      </c>
      <c r="J7" s="133" t="s">
        <v>338</v>
      </c>
      <c r="K7" s="133" t="s">
        <v>469</v>
      </c>
      <c r="L7" s="131"/>
    </row>
    <row r="8" spans="1:13" x14ac:dyDescent="0.2">
      <c r="A8" s="41" t="s">
        <v>231</v>
      </c>
      <c r="B8" s="42" t="s">
        <v>232</v>
      </c>
      <c r="C8" s="42" t="s">
        <v>233</v>
      </c>
      <c r="D8" s="42"/>
      <c r="E8" s="42"/>
      <c r="F8" s="42" t="s">
        <v>234</v>
      </c>
      <c r="G8" s="182" t="s">
        <v>234</v>
      </c>
      <c r="H8" s="126" t="s">
        <v>234</v>
      </c>
      <c r="I8" s="133" t="s">
        <v>334</v>
      </c>
      <c r="J8" s="133" t="s">
        <v>339</v>
      </c>
      <c r="K8" s="133" t="s">
        <v>470</v>
      </c>
      <c r="L8" s="131"/>
    </row>
    <row r="9" spans="1:13" ht="25.5" x14ac:dyDescent="0.2">
      <c r="A9" s="44" t="s">
        <v>235</v>
      </c>
      <c r="B9" s="45" t="s">
        <v>236</v>
      </c>
      <c r="C9" s="45" t="s">
        <v>237</v>
      </c>
      <c r="D9" s="45"/>
      <c r="E9" s="45"/>
      <c r="F9" s="45" t="s">
        <v>520</v>
      </c>
      <c r="G9" s="183" t="s">
        <v>504</v>
      </c>
      <c r="H9" s="127" t="s">
        <v>521</v>
      </c>
      <c r="I9" s="131"/>
      <c r="J9" s="131"/>
      <c r="K9" s="131"/>
      <c r="L9" s="131"/>
    </row>
    <row r="10" spans="1:13" x14ac:dyDescent="0.2">
      <c r="A10" s="41" t="s">
        <v>239</v>
      </c>
      <c r="B10" s="42" t="s">
        <v>240</v>
      </c>
      <c r="C10" s="42" t="s">
        <v>241</v>
      </c>
      <c r="D10" s="42"/>
      <c r="E10" s="42"/>
      <c r="F10" s="42" t="s">
        <v>499</v>
      </c>
      <c r="G10" s="182" t="s">
        <v>500</v>
      </c>
      <c r="H10" s="126" t="s">
        <v>243</v>
      </c>
      <c r="I10" s="131"/>
      <c r="J10" s="131"/>
      <c r="K10" s="131"/>
      <c r="L10" s="131"/>
    </row>
    <row r="11" spans="1:13" x14ac:dyDescent="0.2">
      <c r="A11" s="44" t="s">
        <v>244</v>
      </c>
      <c r="B11" s="45"/>
      <c r="C11" s="45"/>
      <c r="D11" s="45"/>
      <c r="E11" s="45"/>
      <c r="F11" s="45" t="s">
        <v>245</v>
      </c>
      <c r="G11" s="183"/>
      <c r="H11" s="127" t="s">
        <v>245</v>
      </c>
      <c r="I11" s="131"/>
      <c r="J11" s="131"/>
      <c r="K11" s="131"/>
      <c r="L11" s="131"/>
    </row>
    <row r="12" spans="1:13" x14ac:dyDescent="0.2">
      <c r="A12" s="41" t="s">
        <v>246</v>
      </c>
      <c r="B12" s="42"/>
      <c r="C12" s="42"/>
      <c r="D12" s="42"/>
      <c r="E12" s="42"/>
      <c r="F12" s="42"/>
      <c r="G12" s="182"/>
      <c r="H12" s="126"/>
      <c r="I12" s="131"/>
      <c r="J12" s="131"/>
      <c r="K12" s="131"/>
      <c r="L12" s="131"/>
    </row>
    <row r="13" spans="1:13" x14ac:dyDescent="0.2">
      <c r="A13" s="41"/>
      <c r="B13" s="42"/>
      <c r="C13" s="42"/>
      <c r="D13" s="42"/>
      <c r="E13" s="42"/>
      <c r="F13" s="42"/>
      <c r="G13" s="182"/>
      <c r="H13" s="126"/>
      <c r="I13" s="131"/>
      <c r="J13" s="131"/>
      <c r="K13" s="131"/>
      <c r="L13" s="131"/>
    </row>
    <row r="14" spans="1:13" ht="25.5" x14ac:dyDescent="0.2">
      <c r="A14" s="44"/>
      <c r="B14" s="45"/>
      <c r="C14" s="45"/>
      <c r="D14" s="45"/>
      <c r="E14" s="45"/>
      <c r="F14" s="45" t="s">
        <v>247</v>
      </c>
      <c r="G14" s="183"/>
      <c r="H14" s="127" t="s">
        <v>248</v>
      </c>
      <c r="I14" s="131"/>
      <c r="J14" s="131"/>
      <c r="K14" s="131"/>
      <c r="L14" s="131"/>
    </row>
    <row r="15" spans="1:13" x14ac:dyDescent="0.2">
      <c r="A15" s="41"/>
      <c r="B15" s="42"/>
      <c r="C15" s="42"/>
      <c r="D15" s="42"/>
      <c r="E15" s="42"/>
      <c r="F15" s="42" t="s">
        <v>249</v>
      </c>
      <c r="G15" s="182"/>
      <c r="H15" s="126" t="s">
        <v>250</v>
      </c>
      <c r="I15" s="131"/>
      <c r="J15" s="131"/>
      <c r="K15" s="131"/>
      <c r="L15" s="131"/>
    </row>
    <row r="16" spans="1:13" x14ac:dyDescent="0.2">
      <c r="A16" s="44"/>
      <c r="B16" s="45"/>
      <c r="C16" s="45"/>
      <c r="D16" s="45"/>
      <c r="E16" s="45"/>
      <c r="F16" s="45" t="s">
        <v>251</v>
      </c>
      <c r="G16" s="183"/>
      <c r="H16" s="127"/>
      <c r="I16" s="131"/>
      <c r="J16" s="131"/>
      <c r="K16" s="131"/>
      <c r="L16" s="131"/>
    </row>
    <row r="17" spans="1:12" x14ac:dyDescent="0.2">
      <c r="A17" s="41"/>
      <c r="B17" s="42"/>
      <c r="C17" s="42"/>
      <c r="D17" s="42"/>
      <c r="E17" s="42"/>
      <c r="F17" s="42" t="s">
        <v>252</v>
      </c>
      <c r="G17" s="182"/>
      <c r="H17" s="126"/>
      <c r="I17" s="131"/>
      <c r="J17" s="131"/>
      <c r="K17" s="131"/>
      <c r="L17" s="131"/>
    </row>
    <row r="18" spans="1:12" ht="15" x14ac:dyDescent="0.2">
      <c r="A18" s="44" t="s">
        <v>253</v>
      </c>
      <c r="B18" s="45" t="s">
        <v>253</v>
      </c>
      <c r="C18" s="45" t="s">
        <v>254</v>
      </c>
      <c r="D18" s="173" t="s">
        <v>472</v>
      </c>
      <c r="E18" s="45"/>
      <c r="F18" s="42"/>
      <c r="G18" s="182"/>
      <c r="H18" s="126"/>
      <c r="I18" s="131"/>
      <c r="J18" s="131"/>
      <c r="K18" s="131"/>
      <c r="L18" s="131"/>
    </row>
    <row r="19" spans="1:12" ht="15" x14ac:dyDescent="0.2">
      <c r="A19" s="41" t="s">
        <v>255</v>
      </c>
      <c r="B19" s="42" t="s">
        <v>256</v>
      </c>
      <c r="C19" s="42" t="s">
        <v>257</v>
      </c>
      <c r="D19" s="172" t="s">
        <v>473</v>
      </c>
      <c r="E19" s="42"/>
      <c r="F19" s="42"/>
      <c r="G19" s="182"/>
      <c r="H19" s="126"/>
      <c r="I19" s="131"/>
      <c r="J19" s="131"/>
      <c r="K19" s="131"/>
      <c r="L19" s="131"/>
    </row>
    <row r="20" spans="1:12" ht="15" x14ac:dyDescent="0.2">
      <c r="A20" s="44" t="s">
        <v>258</v>
      </c>
      <c r="B20" s="45" t="s">
        <v>259</v>
      </c>
      <c r="C20" s="45" t="s">
        <v>260</v>
      </c>
      <c r="D20" s="173" t="s">
        <v>464</v>
      </c>
      <c r="E20" s="45"/>
      <c r="F20" s="45"/>
      <c r="G20" s="183"/>
      <c r="H20" s="127"/>
      <c r="I20" s="131"/>
      <c r="J20" s="131"/>
      <c r="K20" s="131"/>
      <c r="L20" s="131"/>
    </row>
    <row r="21" spans="1:12" x14ac:dyDescent="0.2">
      <c r="A21" s="47"/>
      <c r="B21" s="42"/>
      <c r="C21" s="42"/>
      <c r="D21" s="42"/>
      <c r="E21" s="42"/>
      <c r="F21" s="42"/>
      <c r="G21" s="182"/>
      <c r="H21" s="126"/>
      <c r="I21" s="131"/>
      <c r="J21" s="131"/>
      <c r="K21" s="131"/>
      <c r="L21" s="131"/>
    </row>
    <row r="23" spans="1:12" ht="79.5" customHeight="1" x14ac:dyDescent="0.2">
      <c r="A23" s="48" t="s">
        <v>261</v>
      </c>
      <c r="B23" s="49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49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50"/>
      <c r="F23" s="51" t="str">
        <f>CONCATENATE(F8," ",F1,"-",F10," .",F9)</f>
        <v>Гл. специалист ССК УКС ПАО "Россети Московский регион"-Алексанян Г.Р. .Приказ №2363 от 29 июля 2025г (НРС С-50-069023)</v>
      </c>
      <c r="G23" s="51" t="str">
        <f>CONCATENATE(G8," ",F1,"-",G9,".",G10)</f>
        <v>Гл. специалист ССК УКС ПАО "Россети Московский регион"-Приказ №53 от 13 марта 2025г. (НРС С-50-77-262451).Шатковский А.Н.</v>
      </c>
      <c r="H23" s="51" t="str">
        <f>CONCATENATE(H8," ",F1,"-",H10," .",H9)</f>
        <v>Гл. специалист ССК УКС ПАО "Россети Московский регион"-Хлебнов Д.Ф. .Приказ №2363 от 29 июля 2025г (НОСТРОЙ С-50-15922)</v>
      </c>
    </row>
    <row r="24" spans="1:12" ht="76.5" x14ac:dyDescent="0.2">
      <c r="A24" s="48" t="s">
        <v>261</v>
      </c>
      <c r="B24" s="49" t="str">
        <f>CONCATENATE(B1,",",B2,",",B3)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49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50"/>
      <c r="F24" s="51" t="str">
        <f>CONCATENATE(F8," ",F1," ",F10)</f>
        <v>Гл. специалист ССК УКС ПАО "Россети Московский регион" Алексанян Г.Р.</v>
      </c>
      <c r="G24" s="51" t="str">
        <f>CONCATENATE(G8," ",F1," ",G10)</f>
        <v>Гл. специалист ССК УКС ПАО "Россети Московский регион" Шатковский А.Н.</v>
      </c>
      <c r="H24" s="51" t="str">
        <f>CONCATENATE(H8," ",F1," ",H10)</f>
        <v>Гл. специалист ССК УКС ПАО "Россети Московский регион" Хлебнов Д.Ф.</v>
      </c>
      <c r="I24" s="42" t="s">
        <v>146</v>
      </c>
      <c r="J24" s="42" t="s">
        <v>287</v>
      </c>
      <c r="K24" s="169"/>
    </row>
    <row r="25" spans="1:12" ht="51" x14ac:dyDescent="0.2">
      <c r="B25" s="52" t="str">
        <f>CONCATENATE(B8," ",B1,"-",B10,".",B9)</f>
        <v>Инженер по строительному контролю ООО "Энергосистемы"-Капитонов Д.А..Приказ № 18-ОТ/24 от 03 июня 2024 (НОСТРОЙ С-50-188017)</v>
      </c>
      <c r="C25" s="52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53"/>
      <c r="F25" s="51" t="str">
        <f>CONCATENATE(F8," ",F1)</f>
        <v>Гл. специалист ССК УКС ПАО "Россети Московский регион"</v>
      </c>
      <c r="G25" s="51"/>
      <c r="H25" s="51" t="str">
        <f>CONCATENATE(H8," ",F1)</f>
        <v>Гл. специалист ССК УКС ПАО "Россети Московский регион"</v>
      </c>
    </row>
    <row r="26" spans="1:12" ht="25.5" x14ac:dyDescent="0.2">
      <c r="B26" s="52" t="str">
        <f>CONCATENATE(B8," ",B1)</f>
        <v>Инженер по строительному контролю ООО "Энергосистемы"</v>
      </c>
      <c r="C26" s="52" t="str">
        <f>CONCATENATE(C8," ",C1)</f>
        <v>Специалист по строительному контролю ООО «Гефест»</v>
      </c>
      <c r="D26" s="53"/>
      <c r="F26" s="48" t="str">
        <f>CONCATENATE(F6," ",F1," ",F7)</f>
        <v>Начальник СРЭС СЭС филиала ПАО "Россети Московский регион" Чуев А.Н.</v>
      </c>
      <c r="G26" s="48"/>
      <c r="H26" s="48" t="str">
        <f>CONCATENATE(H6," ",F1," ",H7)</f>
        <v>Начальник ХРЭС СЭС филиала ПАО "Россети Московский регион" Арнаутов А.П.</v>
      </c>
    </row>
    <row r="27" spans="1:12" ht="38.25" x14ac:dyDescent="0.2">
      <c r="B27" s="54" t="str">
        <f>CONCATENATE(B18," ",B1,"-",B20,".",B19)</f>
        <v>Прораб ООО "Энергосистемы"-Волков М.Ю..Приказ №05-ОТ/24 от 09 января 2024г</v>
      </c>
      <c r="C27" s="54" t="str">
        <f>CONCATENATE(C18," ",C1,"-",C20,".",C19)</f>
        <v>Мастер электромонтажного участка  ООО «Гефест»-Красилов К.А..Приказ №01/24-ОТ от 15.01.2024</v>
      </c>
      <c r="D27" s="51"/>
      <c r="F27" s="55" t="str">
        <f>CONCATENATE(F14," ",F1," ",F15)</f>
        <v>Гл. спец. сектора по льготным договорам тп ПАО "Россети Московский регион" Ефремкин Е.И.</v>
      </c>
      <c r="G27" s="55"/>
      <c r="H27" s="55" t="str">
        <f>CONCATENATE(H14," ",F1," ",H15)</f>
        <v>Гл.инженер ПАО "Россети Московский регион" Игнатьев К.А.</v>
      </c>
    </row>
    <row r="28" spans="1:12" ht="25.5" x14ac:dyDescent="0.2">
      <c r="B28" s="54" t="str">
        <f>CONCATENATE(B18," ",B1," ",B20)</f>
        <v>Прораб ООО "Энергосистемы" Волков М.Ю.</v>
      </c>
      <c r="C28" s="54" t="str">
        <f>CONCATENATE(C18," ",C1,"-",C20)</f>
        <v>Мастер электромонтажного участка  ООО «Гефест»-Красилов К.А.</v>
      </c>
      <c r="D28" s="51"/>
      <c r="F28" s="48" t="str">
        <f>CONCATENATE(F16," ",F1," ",F17)</f>
        <v>Гл. специалист ПТГ ПАО "Россети Московский регион" Царькова Н.К.</v>
      </c>
      <c r="G28" s="48"/>
    </row>
    <row r="29" spans="1:12" ht="25.5" x14ac:dyDescent="0.2">
      <c r="B29" s="56" t="str">
        <f>CONCATENATE(B18," ",B1)</f>
        <v>Прораб ООО "Энергосистемы"</v>
      </c>
      <c r="C29" s="54" t="str">
        <f>CONCATENATE(C18," ",C1)</f>
        <v>Мастер электромонтажного участка  ООО «Гефест»</v>
      </c>
      <c r="D29" s="51"/>
    </row>
    <row r="32" spans="1:12" ht="14.25" x14ac:dyDescent="0.2">
      <c r="A32" s="196" t="s">
        <v>340</v>
      </c>
      <c r="B32" s="197"/>
    </row>
    <row r="33" spans="1:3" x14ac:dyDescent="0.2">
      <c r="A33" s="137" t="s">
        <v>342</v>
      </c>
      <c r="B33" s="65" t="s">
        <v>288</v>
      </c>
    </row>
    <row r="34" spans="1:3" ht="15" x14ac:dyDescent="0.25">
      <c r="A34" s="141" t="s">
        <v>341</v>
      </c>
      <c r="B34" s="142" t="s">
        <v>328</v>
      </c>
    </row>
    <row r="35" spans="1:3" ht="14.25" x14ac:dyDescent="0.2">
      <c r="A35" s="131"/>
      <c r="B35" s="144" t="s">
        <v>345</v>
      </c>
      <c r="C35" s="143"/>
    </row>
    <row r="36" spans="1:3" ht="25.5" x14ac:dyDescent="0.2">
      <c r="A36" s="145"/>
      <c r="B36" s="140" t="s">
        <v>346</v>
      </c>
    </row>
    <row r="37" spans="1:3" ht="25.5" x14ac:dyDescent="0.2">
      <c r="A37" s="145"/>
      <c r="B37" s="140" t="s">
        <v>347</v>
      </c>
    </row>
  </sheetData>
  <mergeCells count="5">
    <mergeCell ref="A32:B32"/>
    <mergeCell ref="F1:H1"/>
    <mergeCell ref="F2:H2"/>
    <mergeCell ref="F3:H3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F4E5-E427-49B3-B9D1-3B71CB7EAF1F}">
  <sheetPr>
    <tabColor rgb="FFFF0000"/>
  </sheetPr>
  <dimension ref="A1:AK73"/>
  <sheetViews>
    <sheetView workbookViewId="0">
      <selection activeCell="B32" sqref="B32"/>
    </sheetView>
  </sheetViews>
  <sheetFormatPr defaultColWidth="9.140625" defaultRowHeight="12.75" x14ac:dyDescent="0.2"/>
  <cols>
    <col min="1" max="1" width="30" style="72" customWidth="1"/>
    <col min="2" max="2" width="116.7109375" style="57" customWidth="1"/>
    <col min="3" max="3" width="46.7109375" style="57" customWidth="1"/>
    <col min="4" max="4" width="9.140625" style="57"/>
    <col min="5" max="5" width="10.28515625" style="57" customWidth="1"/>
    <col min="6" max="6" width="5.85546875" style="57" customWidth="1"/>
    <col min="7" max="7" width="9.140625" style="57"/>
    <col min="8" max="8" width="33.28515625" style="57" customWidth="1"/>
    <col min="9" max="9" width="22.7109375" style="57" customWidth="1"/>
    <col min="10" max="10" width="4.7109375" style="57" customWidth="1"/>
    <col min="11" max="12" width="9.140625" style="57"/>
    <col min="13" max="13" width="57.140625" style="57" customWidth="1"/>
    <col min="14" max="16384" width="9.140625" style="57"/>
  </cols>
  <sheetData>
    <row r="1" spans="1:3" ht="14.25" x14ac:dyDescent="0.2">
      <c r="A1" s="205" t="s">
        <v>262</v>
      </c>
      <c r="B1" s="206"/>
    </row>
    <row r="2" spans="1:3" ht="15" x14ac:dyDescent="0.25">
      <c r="A2" s="58" t="s">
        <v>263</v>
      </c>
      <c r="B2" s="97" t="s">
        <v>457</v>
      </c>
    </row>
    <row r="3" spans="1:3" ht="30" x14ac:dyDescent="0.25">
      <c r="A3" s="59" t="s">
        <v>264</v>
      </c>
      <c r="B3" s="98" t="s">
        <v>458</v>
      </c>
    </row>
    <row r="4" spans="1:3" ht="15" x14ac:dyDescent="0.25">
      <c r="A4" s="60" t="s">
        <v>266</v>
      </c>
      <c r="B4" s="99" t="s">
        <v>193</v>
      </c>
    </row>
    <row r="5" spans="1:3" ht="15" x14ac:dyDescent="0.25">
      <c r="A5" s="60" t="s">
        <v>267</v>
      </c>
      <c r="B5" s="99" t="s">
        <v>459</v>
      </c>
    </row>
    <row r="6" spans="1:3" ht="15" x14ac:dyDescent="0.25">
      <c r="A6" s="60" t="s">
        <v>268</v>
      </c>
      <c r="B6" s="166" t="s">
        <v>460</v>
      </c>
    </row>
    <row r="7" spans="1:3" ht="15" x14ac:dyDescent="0.25">
      <c r="A7" s="60" t="s">
        <v>269</v>
      </c>
      <c r="B7" s="166" t="s">
        <v>461</v>
      </c>
      <c r="C7" s="61"/>
    </row>
    <row r="8" spans="1:3" ht="14.25" hidden="1" x14ac:dyDescent="0.2">
      <c r="A8" s="205" t="s">
        <v>270</v>
      </c>
      <c r="B8" s="206"/>
    </row>
    <row r="9" spans="1:3" ht="15" hidden="1" x14ac:dyDescent="0.25">
      <c r="A9" s="62" t="s">
        <v>271</v>
      </c>
      <c r="B9" s="63" t="s">
        <v>272</v>
      </c>
    </row>
    <row r="10" spans="1:3" ht="14.25" x14ac:dyDescent="0.2">
      <c r="A10" s="205" t="s">
        <v>273</v>
      </c>
      <c r="B10" s="206"/>
    </row>
    <row r="11" spans="1:3" ht="15" x14ac:dyDescent="0.25">
      <c r="A11" s="60" t="s">
        <v>274</v>
      </c>
      <c r="B11" s="168" t="s">
        <v>65</v>
      </c>
      <c r="C11" s="65" t="str">
        <f>CONCATENATE(B11," ",B12," ",B13)</f>
        <v>ООО "Энергосистемы" ОГРН 1077762950055 ИНН 7743668640 КПП 770801001 107140, г.Москва, ул. Краснопрудная, д. 12/1, стр. 1, помещ. 1/6</v>
      </c>
    </row>
    <row r="12" spans="1:3" ht="15" x14ac:dyDescent="0.25">
      <c r="A12" s="60" t="s">
        <v>275</v>
      </c>
      <c r="B12" s="168" t="s">
        <v>462</v>
      </c>
      <c r="C12" s="65"/>
    </row>
    <row r="13" spans="1:3" ht="15" x14ac:dyDescent="0.25">
      <c r="A13" s="60" t="s">
        <v>214</v>
      </c>
      <c r="B13" s="168" t="s">
        <v>463</v>
      </c>
      <c r="C13" s="65"/>
    </row>
    <row r="14" spans="1:3" ht="15" hidden="1" x14ac:dyDescent="0.25">
      <c r="A14" s="60" t="s">
        <v>276</v>
      </c>
      <c r="B14" s="64" t="s">
        <v>224</v>
      </c>
      <c r="C14" s="65"/>
    </row>
    <row r="15" spans="1:3" ht="15" hidden="1" x14ac:dyDescent="0.25">
      <c r="A15" s="60" t="s">
        <v>277</v>
      </c>
      <c r="B15" s="64" t="s">
        <v>229</v>
      </c>
      <c r="C15" s="65" t="str">
        <f>CONCATENATE(B14," ",B11," ",B15)</f>
        <v xml:space="preserve">Генеральный директор ООО "Энергосистемы" Звездов Р.Е. </v>
      </c>
    </row>
    <row r="16" spans="1:3" ht="15" hidden="1" x14ac:dyDescent="0.25">
      <c r="A16" s="60" t="s">
        <v>276</v>
      </c>
      <c r="B16" s="64" t="s">
        <v>232</v>
      </c>
      <c r="C16" s="65" t="str">
        <f>CONCATENATE(B16," ",B11)</f>
        <v>Инженер по строительному контролю ООО "Энергосистемы"</v>
      </c>
    </row>
    <row r="17" spans="1:3" ht="15" hidden="1" x14ac:dyDescent="0.25">
      <c r="A17" s="60" t="s">
        <v>278</v>
      </c>
      <c r="B17" s="64" t="s">
        <v>240</v>
      </c>
      <c r="C17" s="66" t="str">
        <f>CONCATENATE(B16," ",B11," ",B17)</f>
        <v>Инженер по строительному контролю ООО "Энергосистемы" Капитонов Д.А.</v>
      </c>
    </row>
    <row r="18" spans="1:3" ht="15" hidden="1" x14ac:dyDescent="0.25">
      <c r="A18" s="60" t="s">
        <v>279</v>
      </c>
      <c r="B18" s="64" t="s">
        <v>236</v>
      </c>
      <c r="C18" s="66" t="str">
        <f>CONCATENATE(B16," ",B11," ",B17,".",B18)</f>
        <v>Инженер по строительному контролю ООО "Энергосистемы" Капитонов Д.А..Приказ № 18-ОТ/24 от 03 июня 2024 (НОСТРОЙ С-50-188017)</v>
      </c>
    </row>
    <row r="19" spans="1:3" ht="15" x14ac:dyDescent="0.25">
      <c r="A19" s="60" t="s">
        <v>276</v>
      </c>
      <c r="B19" s="168" t="s">
        <v>253</v>
      </c>
      <c r="C19" s="65" t="str">
        <f>CONCATENATE(B19," ",B11)</f>
        <v>Прораб ООО "Энергосистемы"</v>
      </c>
    </row>
    <row r="20" spans="1:3" ht="15" x14ac:dyDescent="0.25">
      <c r="A20" s="60" t="s">
        <v>278</v>
      </c>
      <c r="B20" s="168" t="s">
        <v>259</v>
      </c>
      <c r="C20" s="66" t="str">
        <f>CONCATENATE(B19," ",B11," ",B20)</f>
        <v>Прораб ООО "Энергосистемы" Волков М.Ю.</v>
      </c>
    </row>
    <row r="21" spans="1:3" ht="15" hidden="1" x14ac:dyDescent="0.25">
      <c r="A21" s="67" t="s">
        <v>279</v>
      </c>
      <c r="B21" s="64" t="s">
        <v>256</v>
      </c>
      <c r="C21" s="66" t="str">
        <f>CONCATENATE(B19," ",B11," ",B20,".",B21)</f>
        <v>Прораб ООО "Энергосистемы" Волков М.Ю..Приказ №05-ОТ/24 от 09 января 2024г</v>
      </c>
    </row>
    <row r="22" spans="1:3" ht="14.25" x14ac:dyDescent="0.2">
      <c r="A22" s="196" t="s">
        <v>280</v>
      </c>
      <c r="B22" s="197"/>
    </row>
    <row r="23" spans="1:3" ht="15" x14ac:dyDescent="0.25">
      <c r="A23" s="67" t="s">
        <v>274</v>
      </c>
      <c r="B23" s="68" t="s">
        <v>209</v>
      </c>
      <c r="C23" s="57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67" t="s">
        <v>275</v>
      </c>
      <c r="B24" s="68" t="str">
        <f>'[1]Данные организации'!F2</f>
        <v>ОГРН 1057746555811 ИНН 5036065113 КПП 772501001</v>
      </c>
    </row>
    <row r="25" spans="1:3" ht="15" x14ac:dyDescent="0.25">
      <c r="A25" s="67" t="s">
        <v>214</v>
      </c>
      <c r="B25" s="68" t="str">
        <f>'[1]Данные организации'!F3</f>
        <v>115114, город Москва, проезд Павелецкий 2-й, дом 3, строение 2</v>
      </c>
    </row>
    <row r="26" spans="1:3" ht="15" hidden="1" x14ac:dyDescent="0.25">
      <c r="A26" s="67" t="s">
        <v>276</v>
      </c>
      <c r="B26" s="69" t="s">
        <v>225</v>
      </c>
      <c r="C26" s="57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67" t="s">
        <v>278</v>
      </c>
      <c r="B27" s="68" t="s">
        <v>230</v>
      </c>
      <c r="C27" s="5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67" t="s">
        <v>276</v>
      </c>
      <c r="B28" s="68" t="s">
        <v>247</v>
      </c>
      <c r="C28" s="57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67" t="s">
        <v>278</v>
      </c>
      <c r="B29" s="68" t="s">
        <v>249</v>
      </c>
      <c r="C29" s="57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67" t="s">
        <v>276</v>
      </c>
      <c r="B30" s="68" t="s">
        <v>251</v>
      </c>
      <c r="C30" s="57" t="str">
        <f>CONCATENATE(B30," ",B23)</f>
        <v>Гл. специалист ПТГ ПАО "Россети Московский регион"</v>
      </c>
    </row>
    <row r="31" spans="1:3" ht="15" hidden="1" x14ac:dyDescent="0.25">
      <c r="A31" s="67" t="s">
        <v>278</v>
      </c>
      <c r="B31" s="68" t="s">
        <v>252</v>
      </c>
      <c r="C31" s="57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67" t="s">
        <v>276</v>
      </c>
      <c r="B32" s="68" t="s">
        <v>515</v>
      </c>
    </row>
    <row r="33" spans="1:31" ht="15" hidden="1" x14ac:dyDescent="0.25">
      <c r="A33" s="67" t="s">
        <v>278</v>
      </c>
      <c r="B33" s="68" t="s">
        <v>242</v>
      </c>
      <c r="C33" s="70"/>
    </row>
    <row r="34" spans="1:31" ht="15" hidden="1" x14ac:dyDescent="0.25">
      <c r="A34" s="67" t="s">
        <v>279</v>
      </c>
      <c r="B34" s="68" t="s">
        <v>238</v>
      </c>
    </row>
    <row r="35" spans="1:31" ht="14.25" hidden="1" x14ac:dyDescent="0.2">
      <c r="A35" s="205" t="s">
        <v>281</v>
      </c>
      <c r="B35" s="207"/>
    </row>
    <row r="36" spans="1:31" ht="15" hidden="1" x14ac:dyDescent="0.25">
      <c r="A36" s="59" t="s">
        <v>274</v>
      </c>
      <c r="B36" s="71" t="s">
        <v>206</v>
      </c>
    </row>
    <row r="37" spans="1:31" ht="15" hidden="1" x14ac:dyDescent="0.25">
      <c r="A37" s="60" t="s">
        <v>275</v>
      </c>
      <c r="B37" s="71" t="s">
        <v>211</v>
      </c>
    </row>
    <row r="38" spans="1:31" ht="30" hidden="1" x14ac:dyDescent="0.25">
      <c r="A38" s="60" t="s">
        <v>214</v>
      </c>
      <c r="B38" s="71" t="s">
        <v>215</v>
      </c>
    </row>
    <row r="39" spans="1:31" ht="15" hidden="1" x14ac:dyDescent="0.25">
      <c r="A39" s="59" t="s">
        <v>282</v>
      </c>
      <c r="B39" s="71" t="s">
        <v>283</v>
      </c>
    </row>
    <row r="40" spans="1:31" ht="15" hidden="1" x14ac:dyDescent="0.25">
      <c r="A40" s="59" t="s">
        <v>284</v>
      </c>
      <c r="B40" s="71" t="s">
        <v>285</v>
      </c>
    </row>
    <row r="41" spans="1:31" ht="15" hidden="1" x14ac:dyDescent="0.25">
      <c r="A41" s="59" t="s">
        <v>286</v>
      </c>
      <c r="B41" s="71" t="s">
        <v>265</v>
      </c>
    </row>
    <row r="42" spans="1:31" ht="14.25" x14ac:dyDescent="0.2">
      <c r="A42" s="196" t="s">
        <v>329</v>
      </c>
      <c r="B42" s="197"/>
      <c r="C42" s="139" t="s">
        <v>343</v>
      </c>
    </row>
    <row r="43" spans="1:31" ht="15" x14ac:dyDescent="0.25">
      <c r="A43" s="146" t="s">
        <v>279</v>
      </c>
      <c r="B43" s="147" t="s">
        <v>370</v>
      </c>
      <c r="C43" s="139" t="s">
        <v>344</v>
      </c>
    </row>
    <row r="44" spans="1:31" ht="15" x14ac:dyDescent="0.25">
      <c r="A44" s="60" t="s">
        <v>278</v>
      </c>
      <c r="B44" s="153" t="s">
        <v>331</v>
      </c>
      <c r="C44" s="139" t="s">
        <v>471</v>
      </c>
    </row>
    <row r="45" spans="1:31" ht="15" x14ac:dyDescent="0.25">
      <c r="A45" s="60" t="s">
        <v>278</v>
      </c>
      <c r="B45" s="153" t="s">
        <v>330</v>
      </c>
      <c r="C45" s="65" t="str">
        <f>CONCATENATE(B44," ",B45)</f>
        <v>Главный энергетик ООО "Энергосистемы"  Фечин А.А.</v>
      </c>
      <c r="D45" s="73"/>
      <c r="E45" s="73"/>
      <c r="F45" s="73"/>
      <c r="G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spans="1:31" ht="15" x14ac:dyDescent="0.25">
      <c r="A46" s="60" t="s">
        <v>278</v>
      </c>
      <c r="B46" s="148" t="s">
        <v>332</v>
      </c>
      <c r="C46" s="74"/>
      <c r="D46" s="73"/>
      <c r="E46" s="73"/>
      <c r="F46" s="73"/>
      <c r="G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spans="1:31" ht="15" x14ac:dyDescent="0.25">
      <c r="A47" s="60" t="s">
        <v>278</v>
      </c>
      <c r="B47" s="148" t="s">
        <v>259</v>
      </c>
      <c r="C47" s="65" t="str">
        <f>CONCATENATE(B46," ",B47)</f>
        <v>Прораб ООО "Энергосистемы"  Волков М.Ю.</v>
      </c>
      <c r="D47" s="73"/>
      <c r="E47" s="73"/>
      <c r="F47" s="73"/>
      <c r="G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spans="1:31" ht="15" x14ac:dyDescent="0.25">
      <c r="A48" s="60" t="s">
        <v>278</v>
      </c>
      <c r="B48" s="148" t="s">
        <v>333</v>
      </c>
      <c r="C48" s="74"/>
      <c r="D48" s="73"/>
      <c r="E48" s="73"/>
      <c r="F48" s="73"/>
      <c r="G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spans="1:37" ht="15" x14ac:dyDescent="0.25">
      <c r="A49" s="60" t="s">
        <v>278</v>
      </c>
      <c r="B49" s="148" t="s">
        <v>334</v>
      </c>
      <c r="C49" s="65" t="str">
        <f>CONCATENATE(B48," ",B49)</f>
        <v>Инженер-электрик ООО "Энергосистемы"  Высоцкий А.В.</v>
      </c>
      <c r="D49" s="73"/>
      <c r="E49" s="73"/>
      <c r="F49" s="73"/>
      <c r="G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spans="1:37" ht="14.25" x14ac:dyDescent="0.2">
      <c r="A50" s="196" t="s">
        <v>340</v>
      </c>
      <c r="B50" s="197"/>
      <c r="C50" s="73"/>
      <c r="D50" s="73"/>
      <c r="E50" s="73"/>
      <c r="F50" s="73"/>
      <c r="G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spans="1:37" x14ac:dyDescent="0.2">
      <c r="A51" s="137" t="s">
        <v>284</v>
      </c>
      <c r="B51" s="138" t="s">
        <v>328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spans="1:37" s="135" customFormat="1" x14ac:dyDescent="0.2">
      <c r="A52" s="134"/>
    </row>
    <row r="53" spans="1:37" s="135" customFormat="1" ht="15" x14ac:dyDescent="0.25">
      <c r="A53" s="134"/>
      <c r="B53" s="204"/>
      <c r="C53" s="204"/>
      <c r="D53" s="204"/>
      <c r="E53" s="204"/>
      <c r="F53" s="204"/>
      <c r="G53" s="204"/>
      <c r="H53" s="204"/>
      <c r="I53" s="204"/>
      <c r="J53" s="204"/>
      <c r="K53" s="204"/>
    </row>
    <row r="54" spans="1:37" s="135" customFormat="1" ht="14.45" customHeight="1" x14ac:dyDescent="0.2">
      <c r="A54" s="134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</row>
    <row r="55" spans="1:37" ht="14.45" customHeight="1" x14ac:dyDescent="0.2"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spans="1:37" x14ac:dyDescent="0.2"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</row>
    <row r="57" spans="1:37" x14ac:dyDescent="0.2"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x14ac:dyDescent="0.2"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x14ac:dyDescent="0.2"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spans="1:37" x14ac:dyDescent="0.2"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x14ac:dyDescent="0.2"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spans="1:37" x14ac:dyDescent="0.2"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spans="1:37" x14ac:dyDescent="0.2"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x14ac:dyDescent="0.2"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spans="2:37" x14ac:dyDescent="0.2"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spans="2:37" x14ac:dyDescent="0.2"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spans="2:37" x14ac:dyDescent="0.2"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2:37" ht="14.45" customHeight="1" x14ac:dyDescent="0.2"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73" spans="2:37" ht="16.149999999999999" customHeight="1" x14ac:dyDescent="0.2">
      <c r="B73" s="75"/>
    </row>
  </sheetData>
  <dataConsolidate/>
  <mergeCells count="8">
    <mergeCell ref="A42:B42"/>
    <mergeCell ref="B53:K53"/>
    <mergeCell ref="A50:B50"/>
    <mergeCell ref="A1:B1"/>
    <mergeCell ref="A8:B8"/>
    <mergeCell ref="A10:B10"/>
    <mergeCell ref="A22:B22"/>
    <mergeCell ref="A35:B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725B237-D5F1-458D-86EC-D29CAD4FA095}">
          <x14:formula1>
            <xm:f>'Y:\Папки сотрудников\Трушина Татьяна\ПТО\_ШАБЛОНЫ к ИД\[АОСР КТП.xlsx]Данные организации'!#REF!</xm:f>
          </x14:formula1>
          <xm:sqref>B33:B34 B36:B38 B16:B18 B21</xm:sqref>
        </x14:dataValidation>
        <x14:dataValidation type="list" allowBlank="1" showInputMessage="1" showErrorMessage="1" xr:uid="{F1181293-7521-4494-B012-AEC5CE7274E7}">
          <x14:formula1>
            <xm:f>'Данные организации'!$I$3:$K$3</xm:f>
          </x14:formula1>
          <xm:sqref>B44</xm:sqref>
        </x14:dataValidation>
        <x14:dataValidation type="list" allowBlank="1" showInputMessage="1" showErrorMessage="1" xr:uid="{02F9FB36-4FDE-423A-9CFF-1B621D7F6582}">
          <x14:formula1>
            <xm:f>'Данные организации'!$I$4:$K$4</xm:f>
          </x14:formula1>
          <xm:sqref>B45</xm:sqref>
        </x14:dataValidation>
        <x14:dataValidation type="list" allowBlank="1" showInputMessage="1" showErrorMessage="1" xr:uid="{E484CF59-B5AF-4E1B-806F-53D27C3F13AD}">
          <x14:formula1>
            <xm:f>'Данные организации'!$I$5:$K$5</xm:f>
          </x14:formula1>
          <xm:sqref>B46</xm:sqref>
        </x14:dataValidation>
        <x14:dataValidation type="list" allowBlank="1" showInputMessage="1" showErrorMessage="1" xr:uid="{354DE58F-0DF1-44ED-9FDD-15E549B3177D}">
          <x14:formula1>
            <xm:f>'Данные организации'!$I$6:$K$6</xm:f>
          </x14:formula1>
          <xm:sqref>B47</xm:sqref>
        </x14:dataValidation>
        <x14:dataValidation type="list" allowBlank="1" showInputMessage="1" showErrorMessage="1" xr:uid="{30BCDB1C-3DA7-4F7B-9149-6C468C3494BA}">
          <x14:formula1>
            <xm:f>'Данные организации'!$I$7:$K$7</xm:f>
          </x14:formula1>
          <xm:sqref>B48</xm:sqref>
        </x14:dataValidation>
        <x14:dataValidation type="list" allowBlank="1" showInputMessage="1" showErrorMessage="1" xr:uid="{E59E5FD6-6B58-47E0-8F89-9E3AA67A6B05}">
          <x14:formula1>
            <xm:f>'Данные организации'!$I$8:$K$8</xm:f>
          </x14:formula1>
          <xm:sqref>B49</xm:sqref>
        </x14:dataValidation>
        <x14:dataValidation type="list" allowBlank="1" showInputMessage="1" showErrorMessage="1" xr:uid="{3C88346E-96D2-4120-A3A6-27AF8BC9711D}">
          <x14:formula1>
            <xm:f>'Данные организации'!$B$33:$B$34</xm:f>
          </x14:formula1>
          <xm:sqref>B51</xm:sqref>
        </x14:dataValidation>
        <x14:dataValidation type="list" allowBlank="1" showInputMessage="1" showErrorMessage="1" xr:uid="{958D138A-366B-4CBD-89B8-CFEBD33AAB86}">
          <x14:formula1>
            <xm:f>'Данные организации'!$F$4:$H$4</xm:f>
          </x14:formula1>
          <xm:sqref>B4</xm:sqref>
        </x14:dataValidation>
        <x14:dataValidation type="list" allowBlank="1" showInputMessage="1" showErrorMessage="1" xr:uid="{8549F03F-9FB3-4556-B73D-9182C0850694}">
          <x14:formula1>
            <xm:f>'Данные организации'!$B$20:$D$20</xm:f>
          </x14:formula1>
          <xm:sqref>B20</xm:sqref>
        </x14:dataValidation>
        <x14:dataValidation type="list" allowBlank="1" showInputMessage="1" showErrorMessage="1" xr:uid="{871369C9-A956-44F1-AC36-2B937CB50289}">
          <x14:formula1>
            <xm:f>'Данные организации'!$B$1:$D$1</xm:f>
          </x14:formula1>
          <xm:sqref>B11</xm:sqref>
        </x14:dataValidation>
        <x14:dataValidation type="list" allowBlank="1" showInputMessage="1" showErrorMessage="1" xr:uid="{6CFAEAF5-1F0A-415F-AD35-8CCF2DF08223}">
          <x14:formula1>
            <xm:f>'Данные организации'!$B$2:$D$2</xm:f>
          </x14:formula1>
          <xm:sqref>B12</xm:sqref>
        </x14:dataValidation>
        <x14:dataValidation type="list" allowBlank="1" showInputMessage="1" showErrorMessage="1" xr:uid="{DB49A8CC-3417-4DFD-B16F-0391D99D201E}">
          <x14:formula1>
            <xm:f>'Данные организации'!$B$3:$D$3</xm:f>
          </x14:formula1>
          <xm:sqref>B13</xm:sqref>
        </x14:dataValidation>
        <x14:dataValidation type="list" allowBlank="1" showInputMessage="1" showErrorMessage="1" xr:uid="{5E4F4472-484A-49E3-B69B-B3B77342A3F3}">
          <x14:formula1>
            <xm:f>'Данные организации'!$B$18:$D$18</xm:f>
          </x14:formula1>
          <xm:sqref>B19</xm:sqref>
        </x14:dataValidation>
        <x14:dataValidation type="list" allowBlank="1" showInputMessage="1" showErrorMessage="1" xr:uid="{66347BEE-E694-4A7F-A71C-44C3DBC2BC21}">
          <x14:formula1>
            <xm:f>'Данные организации'!$F$24:$H$24</xm:f>
          </x14:formula1>
          <xm:sqref>B32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4064-E45B-4C40-A8B6-DB1B06C34F31}">
  <dimension ref="A1:P86"/>
  <sheetViews>
    <sheetView tabSelected="1" view="pageBreakPreview" topLeftCell="A70" zoomScaleNormal="100" zoomScaleSheetLayoutView="100" workbookViewId="0">
      <selection activeCell="B77" sqref="B77"/>
    </sheetView>
  </sheetViews>
  <sheetFormatPr defaultRowHeight="15" x14ac:dyDescent="0.25"/>
  <cols>
    <col min="1" max="1" width="7.140625" customWidth="1"/>
    <col min="2" max="2" width="9.42578125" customWidth="1"/>
    <col min="3" max="3" width="29.42578125" style="115" customWidth="1"/>
    <col min="4" max="4" width="9.5703125" customWidth="1"/>
    <col min="5" max="5" width="18.140625" customWidth="1"/>
    <col min="6" max="6" width="17.140625" style="112" customWidth="1"/>
    <col min="7" max="7" width="16.28515625" style="112" customWidth="1"/>
    <col min="8" max="8" width="14.42578125" customWidth="1"/>
    <col min="9" max="9" width="13" customWidth="1"/>
    <col min="10" max="10" width="20.7109375" customWidth="1"/>
  </cols>
  <sheetData>
    <row r="1" spans="2:16" x14ac:dyDescent="0.25">
      <c r="J1" t="s">
        <v>474</v>
      </c>
    </row>
    <row r="2" spans="2:16" x14ac:dyDescent="0.25">
      <c r="B2" s="1"/>
      <c r="C2" s="116"/>
      <c r="D2" s="1"/>
      <c r="E2" s="1"/>
      <c r="F2" s="113"/>
      <c r="G2" s="113"/>
      <c r="H2" s="1"/>
      <c r="I2" s="1"/>
      <c r="J2" s="1"/>
      <c r="K2" s="1"/>
      <c r="L2" s="1"/>
      <c r="M2" s="1"/>
      <c r="N2" s="1"/>
      <c r="O2" s="1"/>
      <c r="P2" s="1"/>
    </row>
    <row r="3" spans="2:16" ht="45" x14ac:dyDescent="0.25">
      <c r="B3" s="1"/>
      <c r="C3" s="116"/>
      <c r="D3" s="1"/>
      <c r="E3" s="1"/>
      <c r="F3" s="113"/>
      <c r="G3" s="113"/>
      <c r="H3" s="1"/>
      <c r="I3" s="1"/>
      <c r="J3" s="177" t="s">
        <v>475</v>
      </c>
      <c r="K3" s="1"/>
      <c r="L3" s="1"/>
      <c r="M3" s="1"/>
      <c r="N3" s="1"/>
      <c r="O3" s="1"/>
      <c r="P3" s="1"/>
    </row>
    <row r="4" spans="2:16" ht="18.75" x14ac:dyDescent="0.3">
      <c r="B4" s="175"/>
      <c r="C4" s="175"/>
      <c r="D4" s="175"/>
      <c r="E4" s="175"/>
      <c r="F4" s="175"/>
      <c r="G4" s="175"/>
      <c r="H4" s="175"/>
      <c r="I4" s="175"/>
      <c r="J4" s="175"/>
      <c r="K4" s="28"/>
      <c r="L4" s="28"/>
      <c r="M4" s="28"/>
      <c r="N4" s="28"/>
      <c r="O4" s="28"/>
      <c r="P4" s="28"/>
    </row>
    <row r="5" spans="2:16" x14ac:dyDescent="0.25">
      <c r="B5" s="176"/>
      <c r="C5" s="176"/>
      <c r="D5" s="176"/>
      <c r="E5" s="176"/>
      <c r="F5" s="176"/>
      <c r="G5" s="176"/>
      <c r="H5" s="176"/>
      <c r="I5" s="176"/>
      <c r="J5" s="176"/>
      <c r="K5" s="9"/>
      <c r="L5" s="9"/>
      <c r="M5" s="9"/>
      <c r="N5" s="9"/>
      <c r="O5" s="9"/>
      <c r="P5" s="9"/>
    </row>
    <row r="6" spans="2:16" x14ac:dyDescent="0.25">
      <c r="B6" s="1"/>
      <c r="C6" s="116"/>
      <c r="D6" s="1"/>
      <c r="E6" s="1"/>
      <c r="F6" s="113"/>
      <c r="G6" s="113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1"/>
      <c r="C7" s="116"/>
      <c r="D7" s="1"/>
      <c r="E7" s="1"/>
      <c r="F7" s="113"/>
      <c r="G7" s="113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1"/>
      <c r="C8" s="116"/>
      <c r="D8" s="1"/>
      <c r="E8" s="1"/>
      <c r="F8" s="113"/>
      <c r="G8" s="113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1"/>
      <c r="C9" s="116"/>
      <c r="D9" s="1"/>
      <c r="E9" s="1"/>
      <c r="F9" s="113"/>
      <c r="G9" s="113"/>
      <c r="H9" s="1"/>
      <c r="I9" s="1"/>
      <c r="J9" s="1"/>
      <c r="K9" s="1"/>
      <c r="L9" s="1"/>
      <c r="M9" s="1"/>
      <c r="N9" s="1"/>
      <c r="O9" s="1"/>
      <c r="P9" s="1"/>
    </row>
    <row r="10" spans="2:16" ht="18.75" x14ac:dyDescent="0.3">
      <c r="B10" s="208" t="s">
        <v>476</v>
      </c>
      <c r="C10" s="208"/>
      <c r="D10" s="208"/>
      <c r="E10" s="208"/>
      <c r="F10" s="208"/>
      <c r="G10" s="208"/>
      <c r="H10" s="208"/>
      <c r="I10" s="208"/>
      <c r="J10" s="208"/>
      <c r="K10" s="1"/>
      <c r="L10" s="1"/>
      <c r="M10" s="1"/>
      <c r="N10" s="1"/>
      <c r="O10" s="1"/>
      <c r="P10" s="1"/>
    </row>
    <row r="11" spans="2:16" ht="18.75" x14ac:dyDescent="0.3">
      <c r="B11" s="208" t="s">
        <v>480</v>
      </c>
      <c r="C11" s="208"/>
      <c r="D11" s="208"/>
      <c r="E11" s="208"/>
      <c r="F11" s="208"/>
      <c r="G11" s="208"/>
      <c r="H11" s="208"/>
      <c r="I11" s="208"/>
      <c r="J11" s="208"/>
      <c r="K11" s="1"/>
      <c r="L11" s="1"/>
      <c r="M11" s="1"/>
      <c r="N11" s="1"/>
      <c r="O11" s="1"/>
      <c r="P11" s="1"/>
    </row>
    <row r="12" spans="2:16" ht="18.75" x14ac:dyDescent="0.3">
      <c r="B12" s="208" t="s">
        <v>481</v>
      </c>
      <c r="C12" s="208"/>
      <c r="D12" s="208"/>
      <c r="E12" s="208"/>
      <c r="F12" s="208"/>
      <c r="G12" s="208"/>
      <c r="H12" s="208"/>
      <c r="I12" s="208"/>
      <c r="J12" s="208"/>
      <c r="K12" s="178"/>
      <c r="L12" s="178"/>
      <c r="M12" s="178"/>
      <c r="N12" s="178"/>
      <c r="O12" s="178"/>
      <c r="P12" s="178"/>
    </row>
    <row r="13" spans="2:16" ht="18.75" x14ac:dyDescent="0.3">
      <c r="B13" s="208" t="s">
        <v>482</v>
      </c>
      <c r="C13" s="208"/>
      <c r="D13" s="208"/>
      <c r="E13" s="208"/>
      <c r="F13" s="208"/>
      <c r="G13" s="208"/>
      <c r="H13" s="208"/>
      <c r="I13" s="208"/>
      <c r="J13" s="208"/>
      <c r="K13" s="1"/>
      <c r="L13" s="1"/>
      <c r="M13" s="1"/>
      <c r="N13" s="1"/>
      <c r="O13" s="1"/>
      <c r="P13" s="1"/>
    </row>
    <row r="14" spans="2:16" ht="20.25" x14ac:dyDescent="0.3">
      <c r="K14" s="29"/>
      <c r="L14" s="29"/>
      <c r="M14" s="29"/>
      <c r="N14" s="29"/>
      <c r="O14" s="29"/>
      <c r="P14" s="29"/>
    </row>
    <row r="15" spans="2:16" ht="20.25" x14ac:dyDescent="0.3">
      <c r="K15" s="29"/>
      <c r="L15" s="29"/>
      <c r="M15" s="29"/>
      <c r="N15" s="29"/>
      <c r="O15" s="29"/>
      <c r="P15" s="29"/>
    </row>
    <row r="16" spans="2:16" ht="20.25" x14ac:dyDescent="0.3">
      <c r="K16" s="29"/>
      <c r="L16" s="29"/>
      <c r="M16" s="29"/>
      <c r="N16" s="29"/>
      <c r="O16" s="29"/>
      <c r="P16" s="29"/>
    </row>
    <row r="17" spans="2:16" x14ac:dyDescent="0.25">
      <c r="B17" s="1"/>
      <c r="C17" s="116"/>
      <c r="D17" s="1"/>
      <c r="E17" s="1"/>
      <c r="F17" s="113"/>
      <c r="G17" s="113"/>
      <c r="H17" s="1"/>
      <c r="I17" s="1"/>
      <c r="J17" s="1"/>
      <c r="K17" s="1"/>
      <c r="L17" s="1"/>
      <c r="M17" s="1"/>
      <c r="N17" s="1"/>
      <c r="O17" s="1"/>
      <c r="P17" s="1"/>
    </row>
    <row r="18" spans="2:16" ht="35.25" customHeight="1" x14ac:dyDescent="0.25">
      <c r="B18" s="1"/>
      <c r="C18" s="180"/>
      <c r="D18" s="180"/>
      <c r="E18" s="180"/>
      <c r="F18" s="180"/>
      <c r="G18" s="180"/>
      <c r="H18" s="180"/>
      <c r="I18" s="180"/>
      <c r="J18" s="1"/>
      <c r="K18" s="1"/>
      <c r="L18" s="1"/>
      <c r="O18" s="1"/>
      <c r="P18" s="1"/>
    </row>
    <row r="19" spans="2:16" x14ac:dyDescent="0.25">
      <c r="B19" s="1"/>
      <c r="C19" s="176"/>
      <c r="D19" s="176"/>
      <c r="E19" s="176"/>
      <c r="F19" s="176"/>
      <c r="G19" s="176"/>
      <c r="H19" s="176"/>
      <c r="I19" s="176"/>
      <c r="J19" s="9"/>
      <c r="K19" s="9"/>
      <c r="L19" s="9"/>
      <c r="M19" s="9"/>
      <c r="N19" s="9"/>
      <c r="O19" s="1"/>
      <c r="P19" s="1"/>
    </row>
    <row r="20" spans="2:16" ht="45.75" customHeight="1" x14ac:dyDescent="0.25">
      <c r="B20" s="179" t="s">
        <v>477</v>
      </c>
      <c r="C20" s="210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D20" s="210"/>
      <c r="E20" s="210"/>
      <c r="F20" s="181"/>
      <c r="G20" s="181"/>
      <c r="H20" s="181"/>
      <c r="I20" s="181"/>
      <c r="J20" s="180"/>
      <c r="K20" s="1"/>
      <c r="L20" s="1"/>
      <c r="M20" s="1"/>
      <c r="N20" s="1"/>
      <c r="O20" s="1"/>
      <c r="P20" s="1"/>
    </row>
    <row r="21" spans="2:16" ht="29.25" customHeight="1" x14ac:dyDescent="0.25">
      <c r="B21" s="179" t="s">
        <v>478</v>
      </c>
      <c r="C21" s="210" t="str">
        <f>'Данные объект'!B5</f>
        <v>141533,Российская Федерация, г.о.Солнечногорск</v>
      </c>
      <c r="D21" s="210"/>
      <c r="E21" s="210"/>
      <c r="F21" s="180"/>
      <c r="G21" s="180"/>
      <c r="H21" s="180"/>
      <c r="I21" s="180"/>
      <c r="J21" s="180"/>
      <c r="K21" s="1"/>
      <c r="L21" s="1"/>
      <c r="M21" s="1"/>
      <c r="N21" s="1"/>
      <c r="O21" s="1"/>
      <c r="P21" s="1"/>
    </row>
    <row r="22" spans="2:16" ht="51" customHeight="1" x14ac:dyDescent="0.25">
      <c r="B22" s="179" t="s">
        <v>479</v>
      </c>
      <c r="C22" s="210" t="str">
        <f>'Данные объект'!B11</f>
        <v>ООО "Энергосистемы"</v>
      </c>
      <c r="D22" s="210"/>
      <c r="E22" s="210"/>
      <c r="F22" s="180"/>
      <c r="G22" s="180"/>
      <c r="H22" s="180"/>
      <c r="I22" s="180"/>
      <c r="J22" s="180"/>
      <c r="K22" s="1"/>
      <c r="L22" s="1"/>
      <c r="M22" s="1"/>
      <c r="N22" s="1"/>
      <c r="O22" s="1"/>
      <c r="P22" s="1"/>
    </row>
    <row r="23" spans="2:16" x14ac:dyDescent="0.25">
      <c r="B23" s="1"/>
      <c r="F23" s="113"/>
      <c r="G23" s="113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25">
      <c r="B24" s="1"/>
      <c r="F24" s="113"/>
      <c r="G24" s="113"/>
      <c r="H24" s="1"/>
      <c r="I24" s="1"/>
      <c r="J24" s="1"/>
      <c r="K24" s="1"/>
      <c r="L24" s="1"/>
      <c r="M24" s="1"/>
      <c r="N24" s="1"/>
      <c r="O24" s="1"/>
      <c r="P24" s="1"/>
    </row>
    <row r="25" spans="2:16" ht="30" customHeight="1" x14ac:dyDescent="0.25">
      <c r="B25" s="1"/>
      <c r="F25" s="113"/>
      <c r="G25" s="113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B26" s="1"/>
      <c r="C26" s="116"/>
      <c r="D26" s="1"/>
      <c r="E26" s="1"/>
      <c r="F26" s="113"/>
      <c r="G26" s="113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25">
      <c r="B27" s="1"/>
      <c r="C27" s="116"/>
      <c r="D27" s="1"/>
      <c r="E27" s="1"/>
      <c r="H27" s="30" t="s">
        <v>202</v>
      </c>
      <c r="I27" s="209" t="str">
        <f>'Данные объект'!B6</f>
        <v>25.09.2024</v>
      </c>
      <c r="J27" s="209"/>
      <c r="K27" s="1"/>
      <c r="L27" s="1"/>
      <c r="M27" s="1"/>
      <c r="N27" s="1"/>
      <c r="O27" s="1"/>
      <c r="P27" s="1"/>
    </row>
    <row r="28" spans="2:16" x14ac:dyDescent="0.25">
      <c r="B28" s="1"/>
      <c r="C28" s="116"/>
      <c r="D28" s="1"/>
      <c r="E28" s="1"/>
      <c r="H28" s="30" t="s">
        <v>203</v>
      </c>
      <c r="I28" s="209" t="str">
        <f>'Данные объект'!B7</f>
        <v>15.01.2025</v>
      </c>
      <c r="J28" s="209"/>
      <c r="K28" s="1"/>
      <c r="L28" s="1"/>
      <c r="M28" s="1"/>
      <c r="N28" s="1"/>
      <c r="O28" s="1"/>
      <c r="P28" s="1"/>
    </row>
    <row r="29" spans="2:16" x14ac:dyDescent="0.25">
      <c r="B29" s="1"/>
      <c r="C29" s="116"/>
      <c r="D29" s="1"/>
      <c r="E29" s="1"/>
      <c r="F29" s="113"/>
      <c r="G29" s="113"/>
      <c r="H29" s="1"/>
      <c r="I29" s="1"/>
      <c r="J29" s="1"/>
      <c r="K29" s="1"/>
      <c r="L29" s="1"/>
    </row>
    <row r="30" spans="2:16" x14ac:dyDescent="0.25">
      <c r="B30" s="1"/>
      <c r="C30" s="116"/>
      <c r="D30" s="1"/>
      <c r="E30" s="1"/>
      <c r="F30" s="113"/>
      <c r="G30" s="113"/>
      <c r="H30" s="1"/>
      <c r="I30" s="1"/>
      <c r="J30" s="1"/>
      <c r="K30" s="1"/>
      <c r="L30" s="1"/>
    </row>
    <row r="31" spans="2:16" x14ac:dyDescent="0.25">
      <c r="B31" s="1"/>
      <c r="C31" s="116"/>
      <c r="D31" s="1"/>
      <c r="E31" s="1"/>
      <c r="F31" s="113"/>
      <c r="G31" s="113"/>
      <c r="H31" s="1"/>
      <c r="I31" s="1"/>
      <c r="J31" s="1"/>
      <c r="K31" s="1"/>
      <c r="L31" s="1"/>
      <c r="M31" s="1"/>
      <c r="N31" s="1"/>
      <c r="O31" s="1"/>
      <c r="P31" s="1"/>
    </row>
    <row r="34" spans="1:16" ht="180" x14ac:dyDescent="0.25">
      <c r="A34" s="83" t="s">
        <v>508</v>
      </c>
      <c r="B34" s="83" t="s">
        <v>506</v>
      </c>
      <c r="C34" s="83" t="s">
        <v>487</v>
      </c>
      <c r="D34" s="83" t="s">
        <v>488</v>
      </c>
      <c r="E34" s="83" t="s">
        <v>489</v>
      </c>
      <c r="F34" s="83" t="s">
        <v>490</v>
      </c>
      <c r="G34" s="83" t="s">
        <v>507</v>
      </c>
      <c r="H34" s="83" t="s">
        <v>491</v>
      </c>
      <c r="I34" s="83" t="s">
        <v>492</v>
      </c>
      <c r="J34" s="83" t="s">
        <v>493</v>
      </c>
      <c r="L34" s="31"/>
      <c r="N34" s="31"/>
      <c r="P34" s="31"/>
    </row>
    <row r="35" spans="1:16" x14ac:dyDescent="0.25">
      <c r="A35" s="83">
        <v>1</v>
      </c>
      <c r="B35" s="84">
        <v>2</v>
      </c>
      <c r="C35" s="117">
        <v>3</v>
      </c>
      <c r="D35" s="84">
        <v>4</v>
      </c>
      <c r="E35" s="84">
        <v>5</v>
      </c>
      <c r="F35" s="84">
        <v>6</v>
      </c>
      <c r="G35" s="84">
        <v>7</v>
      </c>
      <c r="H35" s="84">
        <v>8</v>
      </c>
      <c r="I35" s="84">
        <v>9</v>
      </c>
      <c r="J35" s="84">
        <v>10</v>
      </c>
    </row>
    <row r="36" spans="1:16" ht="33.75" x14ac:dyDescent="0.25">
      <c r="A36" s="114">
        <v>1</v>
      </c>
      <c r="B36" s="77" t="str">
        <f>I27</f>
        <v>25.09.2024</v>
      </c>
      <c r="C36" s="110" t="str">
        <f>'Провод СИП 3'!A37</f>
        <v>Провод 3СИП3 1х70</v>
      </c>
      <c r="D36" s="78" t="str">
        <f>'Провод СИП 3'!C43</f>
        <v>64 м</v>
      </c>
      <c r="E36" s="27" t="str">
        <f>'Провод СИП 3'!K39</f>
        <v>ООО «Цветлит»</v>
      </c>
      <c r="F36" s="76" t="str">
        <f>'Провод СИП 3'!A41</f>
        <v>Паспорт качества на барабан № 23Т1-8223 от 09.01.2023г.</v>
      </c>
      <c r="G36" s="76" t="s">
        <v>39</v>
      </c>
      <c r="H36" s="78" t="s">
        <v>494</v>
      </c>
      <c r="I36" s="78" t="s">
        <v>494</v>
      </c>
      <c r="J36" s="184" t="s">
        <v>505</v>
      </c>
    </row>
    <row r="37" spans="1:16" ht="22.5" x14ac:dyDescent="0.25">
      <c r="A37" s="114">
        <v>2</v>
      </c>
      <c r="B37" s="77" t="str">
        <f>I27</f>
        <v>25.09.2024</v>
      </c>
      <c r="C37" s="110" t="str">
        <f>'Провод СИП 2'!A39</f>
        <v>Провод СИП2 3х70+1х70</v>
      </c>
      <c r="D37" s="78" t="str">
        <f>'Провод СИП 2'!C45</f>
        <v>135 м</v>
      </c>
      <c r="E37" s="27" t="str">
        <f>'Провод СИП 2'!K41</f>
        <v>АО «Кирскабель»</v>
      </c>
      <c r="F37" s="76" t="str">
        <f>'Провод СИП 2'!A43</f>
        <v>Паспорт качества на барабан № 22409668</v>
      </c>
      <c r="G37" s="76" t="s">
        <v>39</v>
      </c>
      <c r="H37" s="78" t="s">
        <v>494</v>
      </c>
      <c r="I37" s="78" t="s">
        <v>494</v>
      </c>
      <c r="J37" s="184" t="s">
        <v>505</v>
      </c>
    </row>
    <row r="38" spans="1:16" ht="22.5" x14ac:dyDescent="0.25">
      <c r="A38" s="114">
        <v>3</v>
      </c>
      <c r="B38" s="77" t="str">
        <f>I27</f>
        <v>25.09.2024</v>
      </c>
      <c r="C38" s="110" t="str">
        <f>стойки!A37</f>
        <v>Ж/б опоры СВ110-5</v>
      </c>
      <c r="D38" s="78" t="str">
        <f>стойки!C43</f>
        <v>2 шт</v>
      </c>
      <c r="E38" s="27" t="str">
        <f>стойки!K39</f>
        <v>ООО «Энерго ЖБИ»</v>
      </c>
      <c r="F38" s="76" t="str">
        <f>стойки!A41</f>
        <v>Паспорт №302 от 12.02.2023</v>
      </c>
      <c r="G38" s="76" t="s">
        <v>39</v>
      </c>
      <c r="H38" s="78" t="s">
        <v>494</v>
      </c>
      <c r="I38" s="78" t="s">
        <v>494</v>
      </c>
      <c r="J38" s="184" t="s">
        <v>505</v>
      </c>
    </row>
    <row r="39" spans="1:16" ht="22.5" x14ac:dyDescent="0.25">
      <c r="A39" s="114">
        <v>4</v>
      </c>
      <c r="B39" s="77" t="str">
        <f>I27</f>
        <v>25.09.2024</v>
      </c>
      <c r="C39" s="110" t="str">
        <f>РЛК!A37</f>
        <v>Разъединитель трехполюсный с приводом РЛК 10/400</v>
      </c>
      <c r="D39" s="78" t="str">
        <f>РЛК!C43</f>
        <v>1 шт</v>
      </c>
      <c r="E39" s="27" t="str">
        <f>РЛК!K39</f>
        <v>ООО "НИЛЕД"</v>
      </c>
      <c r="F39" s="79" t="str">
        <f>РЛК!K39</f>
        <v>ООО "НИЛЕД"</v>
      </c>
      <c r="G39" s="76" t="s">
        <v>39</v>
      </c>
      <c r="H39" s="78" t="s">
        <v>494</v>
      </c>
      <c r="I39" s="78" t="s">
        <v>494</v>
      </c>
      <c r="J39" s="184" t="s">
        <v>505</v>
      </c>
      <c r="K39" s="33"/>
      <c r="L39" s="33"/>
      <c r="M39" s="33"/>
    </row>
    <row r="40" spans="1:16" ht="22.5" x14ac:dyDescent="0.25">
      <c r="A40" s="114">
        <v>5</v>
      </c>
      <c r="B40" s="77" t="str">
        <f>I27</f>
        <v>25.09.2024</v>
      </c>
      <c r="C40" s="110" t="str">
        <f>ПРВТ!A37</f>
        <v>Предохранитель-разъеденитель выхлопной ПРВТ-1-10.II-50Л-У1</v>
      </c>
      <c r="D40" s="78" t="s">
        <v>204</v>
      </c>
      <c r="E40" s="27" t="str">
        <f>ПРВТ!K39</f>
        <v>ОАО "ЗЭТО"</v>
      </c>
      <c r="F40" s="79" t="str">
        <f>ПРВТ!A41</f>
        <v>Паспорт №№20, 33, 44</v>
      </c>
      <c r="G40" s="76" t="s">
        <v>39</v>
      </c>
      <c r="H40" s="78" t="s">
        <v>494</v>
      </c>
      <c r="I40" s="78" t="s">
        <v>494</v>
      </c>
      <c r="J40" s="184" t="s">
        <v>505</v>
      </c>
      <c r="K40" s="34"/>
      <c r="L40" s="34"/>
      <c r="M40" s="34"/>
    </row>
    <row r="41" spans="1:16" ht="22.5" x14ac:dyDescent="0.25">
      <c r="A41" s="114">
        <v>6</v>
      </c>
      <c r="B41" s="77" t="str">
        <f>I27</f>
        <v>25.09.2024</v>
      </c>
      <c r="C41" s="110" t="str">
        <f>КТП!A37</f>
        <v xml:space="preserve">Комплектная трансформаторная подстанция КТП-ТК/ВК-250/10/0,4 </v>
      </c>
      <c r="D41" s="78" t="str">
        <f>КТП!C43</f>
        <v>1 комп.</v>
      </c>
      <c r="E41" s="76" t="str">
        <f>КТП!K39</f>
        <v>ООО "КТП-Энерго"</v>
      </c>
      <c r="F41" s="80" t="str">
        <f>КТП!A41</f>
        <v>Паспорт №5009 от 13.07.2023г.</v>
      </c>
      <c r="G41" s="76" t="s">
        <v>39</v>
      </c>
      <c r="H41" s="78" t="s">
        <v>494</v>
      </c>
      <c r="I41" s="78" t="s">
        <v>494</v>
      </c>
      <c r="J41" s="184" t="s">
        <v>505</v>
      </c>
      <c r="K41" s="35"/>
      <c r="L41" s="35"/>
      <c r="M41" s="35"/>
    </row>
    <row r="42" spans="1:16" ht="33.75" x14ac:dyDescent="0.25">
      <c r="A42" s="114">
        <v>7</v>
      </c>
      <c r="B42" s="77" t="str">
        <f>I27</f>
        <v>25.09.2024</v>
      </c>
      <c r="C42" s="110" t="str">
        <f>ТМГ!A37</f>
        <v>Трансформатор ТМГ-250/10-0,4УХЛ1</v>
      </c>
      <c r="D42" s="78" t="str">
        <f>ТМГ!C43</f>
        <v>1 шт.</v>
      </c>
      <c r="E42" s="27" t="str">
        <f>ТМГ!K39</f>
        <v>ТОО "Уральский трансформаторный завод"</v>
      </c>
      <c r="F42" s="80" t="str">
        <f>ТМГ!A41</f>
        <v>Паспорт №2204ФГ406</v>
      </c>
      <c r="G42" s="76" t="s">
        <v>39</v>
      </c>
      <c r="H42" s="78" t="s">
        <v>494</v>
      </c>
      <c r="I42" s="78" t="s">
        <v>494</v>
      </c>
      <c r="J42" s="184" t="s">
        <v>505</v>
      </c>
      <c r="K42" s="36"/>
      <c r="L42" s="36"/>
      <c r="M42" s="36"/>
    </row>
    <row r="43" spans="1:16" ht="135" x14ac:dyDescent="0.25">
      <c r="A43" s="114">
        <v>8</v>
      </c>
      <c r="B43" s="77" t="str">
        <f>I27</f>
        <v>25.09.2024</v>
      </c>
      <c r="C43" s="110" t="str">
        <f>'лин.армат 0,4'!A37</f>
        <v>Линейная арматура 0,4кВ (Заземляющий проводник ЗП6, Зажим Р72, Ответвительный зажим Р70, Натяжной зажим РА1500, Плашечный зажим ПС-2-1, Анкерный кронштейн CS10.3, Комплект промежуточной подвески ES1500, Стяжной хомут Е778, Мателлическая летна F207, Скрепа NC20, Бугель NB20, Герметичный зажим РС481, Ограничитель перенапряжения ОР600/28, Колпачек изолирующий СЕ16-150)</v>
      </c>
      <c r="D43" s="78" t="str">
        <f>'лин.армат 0,4'!C43</f>
        <v>106 шт</v>
      </c>
      <c r="E43" s="79" t="str">
        <f>'лин.армат 0,4'!K39</f>
        <v>ООО «Нилед»</v>
      </c>
      <c r="F43" s="80" t="str">
        <f>'лин.армат 0,4'!A41</f>
        <v>Сертификат соответствия №РОСС RU.МЛ10.10783 срок действия от 25.11.2022 до 19.11.2028г</v>
      </c>
      <c r="G43" s="76" t="s">
        <v>39</v>
      </c>
      <c r="H43" s="78" t="s">
        <v>494</v>
      </c>
      <c r="I43" s="78" t="s">
        <v>494</v>
      </c>
      <c r="J43" s="184" t="s">
        <v>505</v>
      </c>
    </row>
    <row r="44" spans="1:16" ht="22.5" x14ac:dyDescent="0.25">
      <c r="A44" s="114">
        <v>9</v>
      </c>
      <c r="B44" s="77" t="str">
        <f>I27</f>
        <v>25.09.2024</v>
      </c>
      <c r="C44" s="110" t="str">
        <f>'уголок 50'!A37</f>
        <v>Уголок 50х50х5</v>
      </c>
      <c r="D44" s="78" t="str">
        <f>'уголок 50'!C43</f>
        <v>41,6 м</v>
      </c>
      <c r="E44" s="79" t="str">
        <f>'уголок 50'!K39</f>
        <v>ООО «УГМК-Сталь»</v>
      </c>
      <c r="F44" s="80" t="str">
        <f>'уголок 50'!A41</f>
        <v>Сертификат качества №2021644263</v>
      </c>
      <c r="G44" s="76" t="s">
        <v>39</v>
      </c>
      <c r="H44" s="78" t="s">
        <v>494</v>
      </c>
      <c r="I44" s="78" t="s">
        <v>494</v>
      </c>
      <c r="J44" s="184" t="s">
        <v>505</v>
      </c>
    </row>
    <row r="45" spans="1:16" ht="22.5" x14ac:dyDescent="0.25">
      <c r="A45" s="114">
        <v>10</v>
      </c>
      <c r="B45" s="77" t="str">
        <f>I27</f>
        <v>25.09.2024</v>
      </c>
      <c r="C45" s="110" t="str">
        <f>'уголок  63'!A39</f>
        <v>Уголок 63х63х5</v>
      </c>
      <c r="D45" s="78" t="str">
        <f>'уголок  63'!C45</f>
        <v>30 м</v>
      </c>
      <c r="E45" s="78" t="str">
        <f>'уголок  63'!K41</f>
        <v>ООО «УГМК-Сталь»</v>
      </c>
      <c r="F45" s="76" t="str">
        <f>'уголок  63'!A43</f>
        <v>Сертификат качества №2024647014</v>
      </c>
      <c r="G45" s="76" t="s">
        <v>39</v>
      </c>
      <c r="H45" s="78" t="s">
        <v>494</v>
      </c>
      <c r="I45" s="78" t="s">
        <v>494</v>
      </c>
      <c r="J45" s="184" t="s">
        <v>505</v>
      </c>
    </row>
    <row r="46" spans="1:16" ht="22.5" x14ac:dyDescent="0.25">
      <c r="A46" s="114">
        <v>11</v>
      </c>
      <c r="B46" s="77" t="str">
        <f>I27</f>
        <v>25.09.2024</v>
      </c>
      <c r="C46" s="118" t="str">
        <f>'арм. 10'!A37</f>
        <v>Сталь круглая Ø10</v>
      </c>
      <c r="D46" s="79" t="str">
        <f>'арм. 10'!C43</f>
        <v>18 м</v>
      </c>
      <c r="E46" s="79" t="str">
        <f>'арм. 10'!K39</f>
        <v>ООО "УГМК-Сталь"</v>
      </c>
      <c r="F46" s="79" t="str">
        <f>'уголок 50'!A41</f>
        <v>Сертификат качества №2021644263</v>
      </c>
      <c r="G46" s="76" t="s">
        <v>39</v>
      </c>
      <c r="H46" s="78" t="s">
        <v>494</v>
      </c>
      <c r="I46" s="78" t="s">
        <v>494</v>
      </c>
      <c r="J46" s="184" t="s">
        <v>505</v>
      </c>
    </row>
    <row r="47" spans="1:16" ht="15.75" x14ac:dyDescent="0.25">
      <c r="A47" s="114">
        <v>12</v>
      </c>
      <c r="B47" s="77" t="str">
        <f>I27</f>
        <v>25.09.2024</v>
      </c>
      <c r="C47" s="118" t="str">
        <f>ВРЩ!A37</f>
        <v>ВРЩ-0,4кВ</v>
      </c>
      <c r="D47" s="79" t="str">
        <f>ВРЩ!C43</f>
        <v>1 шт</v>
      </c>
      <c r="E47" s="79" t="str">
        <f>ВРЩ!K39</f>
        <v>ООО "ИЭК Холдинг"</v>
      </c>
      <c r="F47" s="79" t="str">
        <f>ВРЩ!A41</f>
        <v>Паспорт №б/н</v>
      </c>
      <c r="G47" s="76" t="s">
        <v>39</v>
      </c>
      <c r="H47" s="78" t="s">
        <v>494</v>
      </c>
      <c r="I47" s="78" t="s">
        <v>494</v>
      </c>
      <c r="J47" s="184" t="s">
        <v>505</v>
      </c>
    </row>
    <row r="48" spans="1:16" ht="22.5" x14ac:dyDescent="0.25">
      <c r="A48" s="114">
        <v>13</v>
      </c>
      <c r="B48" s="77" t="str">
        <f>I27</f>
        <v>25.09.2024</v>
      </c>
      <c r="C48" s="110" t="str">
        <f>'счетчик СТЭМ'!A37</f>
        <v>Счетчик электрической энергии СТЭМ 300</v>
      </c>
      <c r="D48" s="76" t="str">
        <f>'счетчик СТЭМ'!C43</f>
        <v>1 шт</v>
      </c>
      <c r="E48" s="76" t="str">
        <f>'счетчик СТЭМ'!K39</f>
        <v>ООО "СИ-АРТ"</v>
      </c>
      <c r="F48" s="76" t="str">
        <f>'счетчик СТЭМ'!A41</f>
        <v>Паспорт №25001237 от 06.05.2025г.</v>
      </c>
      <c r="G48" s="76" t="s">
        <v>39</v>
      </c>
      <c r="H48" s="78" t="s">
        <v>494</v>
      </c>
      <c r="I48" s="78" t="s">
        <v>494</v>
      </c>
      <c r="J48" s="184" t="s">
        <v>505</v>
      </c>
    </row>
    <row r="49" spans="1:10" ht="112.5" x14ac:dyDescent="0.25">
      <c r="A49" s="114">
        <v>14</v>
      </c>
      <c r="B49" s="77" t="str">
        <f>I27</f>
        <v>25.09.2024</v>
      </c>
      <c r="C49" s="110" t="str">
        <f>'лин.армат 6-10к'!A37</f>
        <v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v>
      </c>
      <c r="D49" s="76" t="str">
        <f>'лин.армат 6-10к'!C43</f>
        <v>121 шт</v>
      </c>
      <c r="E49" s="76" t="str">
        <f>'лин.армат 6-10к'!K39</f>
        <v>ООО «Нилед»</v>
      </c>
      <c r="F49" s="76" t="str">
        <f>'лин.армат 6-10к'!A41</f>
        <v>Сертификат соответствия №РОСС RU.АМ05.Н22141</v>
      </c>
      <c r="G49" s="76" t="s">
        <v>39</v>
      </c>
      <c r="H49" s="78" t="s">
        <v>494</v>
      </c>
      <c r="I49" s="78" t="s">
        <v>494</v>
      </c>
      <c r="J49" s="184" t="s">
        <v>505</v>
      </c>
    </row>
    <row r="50" spans="1:10" ht="22.5" x14ac:dyDescent="0.25">
      <c r="A50" s="114">
        <v>15</v>
      </c>
      <c r="B50" s="77" t="str">
        <f>I27</f>
        <v>25.09.2024</v>
      </c>
      <c r="C50" s="110" t="str">
        <f>пол.40х4!A37</f>
        <v>Стальная полоса 40х4</v>
      </c>
      <c r="D50" s="76" t="str">
        <f>пол.40х4!C43</f>
        <v>37 м</v>
      </c>
      <c r="E50" s="76" t="str">
        <f>пол.40х4!K39</f>
        <v>МЗ  Балаково</v>
      </c>
      <c r="F50" s="76" t="str">
        <f>пол.40х4!A41</f>
        <v>Сертификат качества №21010194</v>
      </c>
      <c r="G50" s="76" t="s">
        <v>39</v>
      </c>
      <c r="H50" s="78" t="s">
        <v>494</v>
      </c>
      <c r="I50" s="78" t="s">
        <v>494</v>
      </c>
      <c r="J50" s="184" t="s">
        <v>505</v>
      </c>
    </row>
    <row r="51" spans="1:10" ht="22.5" x14ac:dyDescent="0.25">
      <c r="A51" s="114">
        <v>16</v>
      </c>
      <c r="B51" s="77" t="str">
        <f>I27</f>
        <v>25.09.2024</v>
      </c>
      <c r="C51" s="110" t="str">
        <f>пол.50х4!A37</f>
        <v>Стальная полоса 50х4</v>
      </c>
      <c r="D51" s="76" t="str">
        <f>пол.50х4!C43</f>
        <v>3 м</v>
      </c>
      <c r="E51" s="76" t="str">
        <f>пол.50х4!K39</f>
        <v>ООО "Тулачермет-сталь"</v>
      </c>
      <c r="F51" s="76" t="str">
        <f>пол.50х4!A41</f>
        <v>Сертификат качества №3968968</v>
      </c>
      <c r="G51" s="76" t="s">
        <v>39</v>
      </c>
      <c r="H51" s="78" t="s">
        <v>494</v>
      </c>
      <c r="I51" s="78" t="s">
        <v>494</v>
      </c>
      <c r="J51" s="184" t="s">
        <v>505</v>
      </c>
    </row>
    <row r="52" spans="1:10" ht="22.5" x14ac:dyDescent="0.25">
      <c r="A52" s="114">
        <v>17</v>
      </c>
      <c r="B52" s="77" t="str">
        <f>I27</f>
        <v>25.09.2024</v>
      </c>
      <c r="C52" s="110" t="str">
        <f>'арм. 12'!A37</f>
        <v>Сталь круглая Ø12</v>
      </c>
      <c r="D52" s="76" t="str">
        <f>'арм. 12'!C43</f>
        <v>102 м</v>
      </c>
      <c r="E52" s="76" t="str">
        <f>'арм. 12'!K39</f>
        <v>ООО "УГМК Сталь"</v>
      </c>
      <c r="F52" s="76" t="str">
        <f>'арм. 12'!A41</f>
        <v>Сертификат качества №2060647170</v>
      </c>
      <c r="G52" s="76" t="s">
        <v>39</v>
      </c>
      <c r="H52" s="78" t="s">
        <v>494</v>
      </c>
      <c r="I52" s="78" t="s">
        <v>494</v>
      </c>
      <c r="J52" s="184" t="s">
        <v>505</v>
      </c>
    </row>
    <row r="53" spans="1:10" ht="22.5" x14ac:dyDescent="0.25">
      <c r="A53" s="114">
        <v>18</v>
      </c>
      <c r="B53" s="77" t="str">
        <f>I27</f>
        <v>25.09.2024</v>
      </c>
      <c r="C53" s="110" t="str">
        <f>' фунд.КТП'!A37</f>
        <v>Фундаментные блоки ФБС 24.4.6-Т;</v>
      </c>
      <c r="D53" s="76" t="str">
        <f>' фунд.КТП'!C43</f>
        <v>2 шт</v>
      </c>
      <c r="E53" s="76" t="str">
        <f>' фунд.КТП'!K39</f>
        <v>ООО «ФОРМА ЖБИ»</v>
      </c>
      <c r="F53" s="76" t="str">
        <f>' фунд.КТП'!A41</f>
        <v>Документ №119 от 03.03.2023г.</v>
      </c>
      <c r="G53" s="76" t="s">
        <v>39</v>
      </c>
      <c r="H53" s="78" t="s">
        <v>494</v>
      </c>
      <c r="I53" s="78" t="s">
        <v>494</v>
      </c>
      <c r="J53" s="184" t="s">
        <v>505</v>
      </c>
    </row>
    <row r="54" spans="1:10" ht="33.75" x14ac:dyDescent="0.25">
      <c r="A54" s="114">
        <v>19</v>
      </c>
      <c r="B54" s="77" t="str">
        <f>I27</f>
        <v>25.09.2024</v>
      </c>
      <c r="C54" s="110" t="str">
        <f>'арм. 8'!A37</f>
        <v>Сталь круглая Ø8</v>
      </c>
      <c r="D54" s="76" t="str">
        <f>'арм. 8'!C43</f>
        <v>8,1 м</v>
      </c>
      <c r="E54" s="76" t="str">
        <f>'арм. 8'!K39</f>
        <v>ОАО "Белорусский металлургический завод"</v>
      </c>
      <c r="F54" s="76" t="str">
        <f>'арм. 8'!A41</f>
        <v>Сертификат качества №8683-2722</v>
      </c>
      <c r="G54" s="76" t="s">
        <v>39</v>
      </c>
      <c r="H54" s="78" t="s">
        <v>494</v>
      </c>
      <c r="I54" s="78" t="s">
        <v>494</v>
      </c>
      <c r="J54" s="184" t="s">
        <v>505</v>
      </c>
    </row>
    <row r="55" spans="1:10" ht="67.5" x14ac:dyDescent="0.25">
      <c r="A55" s="114">
        <v>20</v>
      </c>
      <c r="B55" s="77" t="str">
        <f>I27</f>
        <v>25.09.2024</v>
      </c>
      <c r="C55" s="110" t="str">
        <f>изоляторы!A39</f>
        <v>Изолятор штырьевой ШФ20-Г</v>
      </c>
      <c r="D55" s="76" t="str">
        <f>изоляторы!C45</f>
        <v>6 шт</v>
      </c>
      <c r="E55" s="76" t="str">
        <f>изоляторы!K41</f>
        <v>ООО «Гжельский завод Электроизолятор»</v>
      </c>
      <c r="F55" s="76" t="str">
        <f>изоляторы!A43</f>
        <v>Сертификат соответствия №РОСС RU.АЖ49.Н01642 срок действия от 24.08.2021г до 23.08.2024г</v>
      </c>
      <c r="G55" s="76" t="s">
        <v>39</v>
      </c>
      <c r="H55" s="78" t="s">
        <v>494</v>
      </c>
      <c r="I55" s="78" t="s">
        <v>494</v>
      </c>
      <c r="J55" s="184" t="s">
        <v>505</v>
      </c>
    </row>
    <row r="56" spans="1:10" ht="67.5" x14ac:dyDescent="0.25">
      <c r="A56" s="114">
        <v>21</v>
      </c>
      <c r="B56" s="77" t="str">
        <f>I27</f>
        <v>25.09.2024</v>
      </c>
      <c r="C56" s="110" t="str">
        <f>ПКТ!A37</f>
        <v>Предохранитель высоковольтный с кварцевым наполнителем  3ПКТ-103-6-100А-31,5УЗ</v>
      </c>
      <c r="D56" s="76" t="str">
        <f>ПКТ!C43</f>
        <v>3 шт</v>
      </c>
      <c r="E56" s="76" t="str">
        <f>ПКТ!K39</f>
        <v>ООО «Экопром»</v>
      </c>
      <c r="F56" s="76" t="str">
        <f>ПКТ!A41</f>
        <v>Сертификат соответствия №РОСС RU.04РИД0.ОСП04.С00591 срок действия от 14.01.2022г до 13.01.2025г</v>
      </c>
      <c r="G56" s="76" t="s">
        <v>39</v>
      </c>
      <c r="H56" s="78" t="s">
        <v>494</v>
      </c>
      <c r="I56" s="78" t="s">
        <v>494</v>
      </c>
      <c r="J56" s="184" t="s">
        <v>505</v>
      </c>
    </row>
    <row r="57" spans="1:10" ht="67.5" x14ac:dyDescent="0.25">
      <c r="A57" s="114">
        <v>22</v>
      </c>
      <c r="B57" s="77" t="str">
        <f>I27</f>
        <v>25.09.2024</v>
      </c>
      <c r="C57" s="110" t="str">
        <f>' муфты '!A37</f>
        <v>Муфта концевая термоусаживаемая   3 КВНТп-1 70/120</v>
      </c>
      <c r="D57" s="76" t="str">
        <f>' муфты '!C43</f>
        <v>2 шт</v>
      </c>
      <c r="E57" s="76" t="str">
        <f>' муфты '!K39</f>
        <v>АО "ПЗЭМИ"</v>
      </c>
      <c r="F57" s="76" t="str">
        <f>' муфты '!A41</f>
        <v>Сертификат соответствия №РОСС RU.32001.04ИБФ1.ОСП28.45002 срок действия с 20.12.2023 по 19.12.2026 гг.</v>
      </c>
      <c r="G57" s="76" t="s">
        <v>39</v>
      </c>
      <c r="H57" s="78" t="s">
        <v>494</v>
      </c>
      <c r="I57" s="78" t="s">
        <v>494</v>
      </c>
      <c r="J57" s="184" t="s">
        <v>505</v>
      </c>
    </row>
    <row r="58" spans="1:10" ht="56.25" x14ac:dyDescent="0.25">
      <c r="A58" s="114">
        <v>23</v>
      </c>
      <c r="B58" s="77" t="str">
        <f>I27</f>
        <v>25.09.2024</v>
      </c>
      <c r="C58" s="110" t="str">
        <f>'ТТ Т-0,66'!A37</f>
        <v>Трансформатор тока Т-0,66 400/5</v>
      </c>
      <c r="D58" s="76" t="str">
        <f>'ТТ Т-0,66'!C43</f>
        <v>3 шт</v>
      </c>
      <c r="E58" s="76" t="str">
        <f>'ТТ Т-0,66'!K39</f>
        <v>ФК ИК-1</v>
      </c>
      <c r="F58" s="76" t="str">
        <f>'ТТ Т-0,66'!A41</f>
        <v>Декларация о соответствии №ЕАЭС №RU Д-RU.НВ11.В.00611/19 от 19.11.2019г</v>
      </c>
      <c r="G58" s="76" t="s">
        <v>39</v>
      </c>
      <c r="H58" s="78" t="s">
        <v>494</v>
      </c>
      <c r="I58" s="78" t="s">
        <v>494</v>
      </c>
      <c r="J58" s="184" t="s">
        <v>505</v>
      </c>
    </row>
    <row r="59" spans="1:10" ht="67.5" x14ac:dyDescent="0.25">
      <c r="A59" s="114">
        <v>24</v>
      </c>
      <c r="B59" s="77" t="str">
        <f>I27</f>
        <v>25.09.2024</v>
      </c>
      <c r="C59" s="110" t="str">
        <f>РМК!A37</f>
        <v xml:space="preserve">Длинно-искровой разрядник РМК </v>
      </c>
      <c r="D59" s="76" t="str">
        <f>РМК!C43</f>
        <v>3 шт</v>
      </c>
      <c r="E59" s="76" t="str">
        <f>РМК!K39</f>
        <v>АО "НПО "Стример"</v>
      </c>
      <c r="F59" s="76" t="str">
        <f>РМК!A41</f>
        <v>Сертификат соответствия №РОСС RU.ЕФ01.Н00004-22 срок действия от 10.04.2022г до 09.04.2025</v>
      </c>
      <c r="G59" s="76" t="s">
        <v>39</v>
      </c>
      <c r="H59" s="78" t="s">
        <v>494</v>
      </c>
      <c r="I59" s="78" t="s">
        <v>494</v>
      </c>
      <c r="J59" s="184" t="s">
        <v>505</v>
      </c>
    </row>
    <row r="60" spans="1:10" ht="67.5" x14ac:dyDescent="0.25">
      <c r="A60" s="114">
        <v>25</v>
      </c>
      <c r="B60" s="77" t="str">
        <f>I27</f>
        <v>25.09.2024</v>
      </c>
      <c r="C60" s="110" t="str">
        <f>'выключатели ВА'!A37</f>
        <v>Выключатель автоматический ВА57-35 (250А) - 2 шт.</v>
      </c>
      <c r="D60" s="76">
        <f>'выключатели ВА'!C43</f>
        <v>2</v>
      </c>
      <c r="E60" s="76" t="str">
        <f>'выключатели ВА'!K39</f>
        <v>ООО "КЭАЗ"</v>
      </c>
      <c r="F60" s="76" t="str">
        <f>'выключатели ВА'!A41</f>
        <v>Сертификат соответствия №ЕАЭС RU.С-RU.АБ53.В.02348/21 с 11.11.2021 по 10.11.2026</v>
      </c>
      <c r="G60" s="76" t="s">
        <v>39</v>
      </c>
      <c r="H60" s="78" t="s">
        <v>494</v>
      </c>
      <c r="I60" s="78" t="s">
        <v>494</v>
      </c>
      <c r="J60" s="184" t="s">
        <v>505</v>
      </c>
    </row>
    <row r="61" spans="1:10" ht="22.5" x14ac:dyDescent="0.25">
      <c r="A61" s="114">
        <v>26</v>
      </c>
      <c r="B61" s="77" t="str">
        <f>$B$60</f>
        <v>25.09.2024</v>
      </c>
      <c r="C61" s="119" t="str">
        <f>каб.АСБ!A37</f>
        <v xml:space="preserve">Кабель АСБл-10 3х120  </v>
      </c>
      <c r="D61" s="81" t="str">
        <f>каб.АСБ!C43</f>
        <v>136 м</v>
      </c>
      <c r="E61" s="81" t="str">
        <f>каб.АСБ!K39</f>
        <v>ООО "Камский кабель"</v>
      </c>
      <c r="F61" s="111" t="str">
        <f>каб.АСБ!A41</f>
        <v>Паспорт качества №10793/23</v>
      </c>
      <c r="G61" s="76" t="s">
        <v>39</v>
      </c>
      <c r="H61" s="78" t="s">
        <v>494</v>
      </c>
      <c r="I61" s="78" t="s">
        <v>494</v>
      </c>
      <c r="J61" s="184" t="s">
        <v>505</v>
      </c>
    </row>
    <row r="62" spans="1:10" ht="68.25" x14ac:dyDescent="0.25">
      <c r="A62" s="114">
        <v>27</v>
      </c>
      <c r="B62" s="82" t="str">
        <f t="shared" ref="B62:B68" si="0">$B$60</f>
        <v>25.09.2024</v>
      </c>
      <c r="C62" s="119" t="str">
        <f>КРН!A37</f>
        <v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v>
      </c>
      <c r="D62" s="81" t="str">
        <f>КРН!C43</f>
        <v>2 шт</v>
      </c>
      <c r="E62" s="81" t="str">
        <f>КРН!K39</f>
        <v>АО"ЧЭАЗ"</v>
      </c>
      <c r="F62" s="111" t="str">
        <f>КРН!A41</f>
        <v>Декларация о соответствии №РОСС RU Д-RU.АЯ96.В.00016/20 от 11.02.2020г</v>
      </c>
      <c r="G62" s="76" t="s">
        <v>39</v>
      </c>
      <c r="H62" s="78" t="s">
        <v>494</v>
      </c>
      <c r="I62" s="78" t="s">
        <v>494</v>
      </c>
      <c r="J62" s="184" t="s">
        <v>505</v>
      </c>
    </row>
    <row r="63" spans="1:10" ht="78.75" x14ac:dyDescent="0.25">
      <c r="A63" s="114">
        <v>28</v>
      </c>
      <c r="B63" s="82" t="str">
        <f t="shared" si="0"/>
        <v>25.09.2024</v>
      </c>
      <c r="C63" s="119" t="str">
        <f>КСО!A37</f>
        <v>Ячейка КСО-298 MSI</v>
      </c>
      <c r="D63" s="81" t="str">
        <f>КСО!C43</f>
        <v>28 шт</v>
      </c>
      <c r="E63" s="81" t="str">
        <f>КСО!K39</f>
        <v>АО"ГК"Электрощит" - ТМ Самара"</v>
      </c>
      <c r="F63" s="111" t="str">
        <f>КСО!A41</f>
        <v>Декларация о соответствии №РОСС RU Д-RU.РА01.В.23898/22 срок действия от 06.07.2022г по 05.07.2025г</v>
      </c>
      <c r="G63" s="76" t="s">
        <v>39</v>
      </c>
      <c r="H63" s="78" t="s">
        <v>494</v>
      </c>
      <c r="I63" s="78" t="s">
        <v>494</v>
      </c>
      <c r="J63" s="184" t="s">
        <v>505</v>
      </c>
    </row>
    <row r="64" spans="1:10" ht="78.75" x14ac:dyDescent="0.25">
      <c r="A64" s="114">
        <v>29</v>
      </c>
      <c r="B64" s="82" t="str">
        <f t="shared" si="0"/>
        <v>25.09.2024</v>
      </c>
      <c r="C64" s="119" t="str">
        <f>ТОЛ!A37</f>
        <v>Трансформатор тока ТОЛ-10 300А.</v>
      </c>
      <c r="D64" s="81" t="str">
        <f>ТОЛ!C43</f>
        <v>6шт</v>
      </c>
      <c r="E64" s="81" t="str">
        <f>ТОЛ!K39</f>
        <v>ООО "НТЗ"Волхов"</v>
      </c>
      <c r="F64" s="111" t="str">
        <f>ТОЛ!A41</f>
        <v>Декларация о соответствии №РОСС RU Д-RU.АБ69.В.03247/20 срок действия от 04.02.2020г до 03.2.2025г</v>
      </c>
      <c r="G64" s="76" t="s">
        <v>39</v>
      </c>
      <c r="H64" s="78" t="s">
        <v>494</v>
      </c>
      <c r="I64" s="78" t="s">
        <v>494</v>
      </c>
      <c r="J64" s="184" t="s">
        <v>505</v>
      </c>
    </row>
    <row r="65" spans="1:10" ht="78.75" x14ac:dyDescent="0.25">
      <c r="A65" s="114">
        <v>30</v>
      </c>
      <c r="B65" s="82" t="str">
        <f t="shared" si="0"/>
        <v>25.09.2024</v>
      </c>
      <c r="C65" s="119" t="str">
        <f>'провод Пувг'!A37</f>
        <v>Провод установочный с медной жилой на напряжение 380 В гибкий сечением 10 мм² ПуГВ 1х10</v>
      </c>
      <c r="D65" s="81" t="str">
        <f>'провод Пувг'!C43</f>
        <v>3 м</v>
      </c>
      <c r="E65" s="81" t="str">
        <f>'провод Пувг'!K39</f>
        <v>ООО "Рыбинскэлектрокабель"</v>
      </c>
      <c r="F65" s="111" t="str">
        <f>'провод Пувг'!A41</f>
        <v>Сертификат соответствия № ЕАЭС RU C-RU.МЕ77.В.01309/24 срок действия от 13.05.2024г до 12.05.2029г</v>
      </c>
      <c r="G65" s="76" t="s">
        <v>39</v>
      </c>
      <c r="H65" s="78" t="s">
        <v>494</v>
      </c>
      <c r="I65" s="78" t="s">
        <v>494</v>
      </c>
      <c r="J65" s="184" t="s">
        <v>505</v>
      </c>
    </row>
    <row r="66" spans="1:10" ht="33.75" x14ac:dyDescent="0.25">
      <c r="A66" s="114">
        <v>31</v>
      </c>
      <c r="B66" s="82" t="str">
        <f t="shared" si="0"/>
        <v>25.09.2024</v>
      </c>
      <c r="C66" s="119" t="str">
        <f>АВБшв!A37</f>
        <v>Кабель алюминиевый АВБбШв- 4х150 мм2</v>
      </c>
      <c r="D66" s="81" t="str">
        <f>АВБшв!C43</f>
        <v>129 м</v>
      </c>
      <c r="E66" s="81" t="str">
        <f>АВБшв!K39</f>
        <v>ООО "Главстройэнерго"</v>
      </c>
      <c r="F66" s="111" t="str">
        <f>АВБшв!A41</f>
        <v>Паспорт качества №2349/24С от 00.05.2024г.</v>
      </c>
      <c r="G66" s="76" t="s">
        <v>39</v>
      </c>
      <c r="H66" s="78" t="s">
        <v>494</v>
      </c>
      <c r="I66" s="78" t="s">
        <v>494</v>
      </c>
      <c r="J66" s="184" t="s">
        <v>505</v>
      </c>
    </row>
    <row r="67" spans="1:10" ht="67.5" x14ac:dyDescent="0.25">
      <c r="A67" s="114">
        <v>32</v>
      </c>
      <c r="B67" s="82" t="str">
        <f t="shared" si="0"/>
        <v>25.09.2024</v>
      </c>
      <c r="C67" s="119" t="str">
        <f>КВВГ!A37</f>
        <v>Кабель контрольный КВВГнг 10х2,5</v>
      </c>
      <c r="D67" s="81" t="str">
        <f>КВВГ!C43</f>
        <v>2,6 м</v>
      </c>
      <c r="E67" s="81" t="str">
        <f>КВВГ!K39</f>
        <v>АО "Людиновокабель"</v>
      </c>
      <c r="F67" s="111" t="str">
        <f>КВВГ!A41</f>
        <v>Сертификат соответствия № ЕАЭС RU C-RU.МЕ80.В.00003/19 от 27.03.2019г до 26.03.2024г</v>
      </c>
      <c r="G67" s="76" t="s">
        <v>39</v>
      </c>
      <c r="H67" s="78" t="s">
        <v>494</v>
      </c>
      <c r="I67" s="78" t="s">
        <v>494</v>
      </c>
      <c r="J67" s="184" t="s">
        <v>505</v>
      </c>
    </row>
    <row r="68" spans="1:10" ht="56.25" x14ac:dyDescent="0.25">
      <c r="A68" s="114">
        <v>33</v>
      </c>
      <c r="B68" s="82" t="str">
        <f t="shared" si="0"/>
        <v>25.09.2024</v>
      </c>
      <c r="C68" s="119" t="str">
        <f>'провод ПВС'!A37</f>
        <v>Провод с резиновой изоляцией ПВС 2х2,5</v>
      </c>
      <c r="D68" s="81" t="str">
        <f>'провод ПВС'!C43</f>
        <v>81 м</v>
      </c>
      <c r="E68" s="81" t="str">
        <f>'провод ПВС'!K39</f>
        <v>ООО "Электрокабель НН"</v>
      </c>
      <c r="F68" s="111" t="str">
        <f>'провод ПВС'!A41</f>
        <v>Декларация о соответствии №ЕАЭС № RU Д-RU.НВ11.В.07850/20 от 10.03.2020</v>
      </c>
      <c r="G68" s="76" t="s">
        <v>39</v>
      </c>
      <c r="H68" s="78" t="s">
        <v>494</v>
      </c>
      <c r="I68" s="78" t="s">
        <v>494</v>
      </c>
      <c r="J68" s="184" t="s">
        <v>505</v>
      </c>
    </row>
    <row r="69" spans="1:10" ht="45" x14ac:dyDescent="0.25">
      <c r="A69" s="114">
        <v>34</v>
      </c>
      <c r="B69" s="82" t="str">
        <f t="shared" ref="B69:B75" si="1">$B$60</f>
        <v>25.09.2024</v>
      </c>
      <c r="C69" s="119" t="str">
        <f>сиг.лента!A37</f>
        <v>Сигнальная лента ЛЭС 450</v>
      </c>
      <c r="D69" s="81" t="str">
        <f>сиг.лента!C43</f>
        <v>527 шт</v>
      </c>
      <c r="E69" s="81" t="str">
        <f>сиг.лента!K39</f>
        <v>ООО "НПК Протэкт"</v>
      </c>
      <c r="F69" s="111" t="str">
        <f>сиг.лента!A41</f>
        <v>Сертификат соответствия №ПФЛ4.RU.0501.Н.00192 от 12.05.2022г</v>
      </c>
      <c r="G69" s="76" t="s">
        <v>39</v>
      </c>
      <c r="H69" s="78" t="s">
        <v>494</v>
      </c>
      <c r="I69" s="78" t="s">
        <v>494</v>
      </c>
      <c r="J69" s="184" t="s">
        <v>505</v>
      </c>
    </row>
    <row r="70" spans="1:10" ht="33.75" x14ac:dyDescent="0.25">
      <c r="A70" s="114">
        <v>35</v>
      </c>
      <c r="B70" s="82" t="str">
        <f t="shared" si="1"/>
        <v>25.09.2024</v>
      </c>
      <c r="C70" s="119" t="str">
        <f>ПЗК!A37</f>
        <v>Плиты ПЗК 240х480 (над кабелем)</v>
      </c>
      <c r="D70" s="81" t="str">
        <f>ПЗК!C43</f>
        <v>146 шт</v>
      </c>
      <c r="E70" s="81" t="str">
        <f>ПЗК!K39</f>
        <v>ООО "ГЛАВСТРОЙЭНЕРГО"</v>
      </c>
      <c r="F70" s="111" t="str">
        <f>ПЗК!A41</f>
        <v>Технический паспорт №3006/05 от 30.06.2023г.</v>
      </c>
      <c r="G70" s="76" t="s">
        <v>39</v>
      </c>
      <c r="H70" s="78" t="s">
        <v>494</v>
      </c>
      <c r="I70" s="78" t="s">
        <v>494</v>
      </c>
      <c r="J70" s="184" t="s">
        <v>505</v>
      </c>
    </row>
    <row r="71" spans="1:10" ht="22.5" x14ac:dyDescent="0.25">
      <c r="A71" s="114">
        <v>36</v>
      </c>
      <c r="B71" s="82" t="str">
        <f t="shared" si="1"/>
        <v>25.09.2024</v>
      </c>
      <c r="C71" s="119" t="str">
        <f>ПНД!A37</f>
        <v>Труба ПНД ∅160мм</v>
      </c>
      <c r="D71" s="81" t="str">
        <f>ПНД!C43</f>
        <v>151 м</v>
      </c>
      <c r="E71" s="81" t="str">
        <f>ПНД!K39</f>
        <v>ООО "НЗПМ"</v>
      </c>
      <c r="F71" s="111" t="str">
        <f>ПНД!A41</f>
        <v>Паспорт качества №48 от 20.03.2023г.</v>
      </c>
      <c r="G71" s="76" t="s">
        <v>39</v>
      </c>
      <c r="H71" s="78" t="s">
        <v>494</v>
      </c>
      <c r="I71" s="78" t="s">
        <v>494</v>
      </c>
      <c r="J71" s="184" t="s">
        <v>505</v>
      </c>
    </row>
    <row r="72" spans="1:10" ht="22.5" x14ac:dyDescent="0.25">
      <c r="A72" s="114">
        <v>37</v>
      </c>
      <c r="B72" s="82" t="str">
        <f t="shared" si="1"/>
        <v>25.09.2024</v>
      </c>
      <c r="C72" s="119" t="str">
        <f>труба!A39</f>
        <v>Труба профильная 80х80х3</v>
      </c>
      <c r="D72" s="81" t="str">
        <f>труба!C45</f>
        <v>3,5 м</v>
      </c>
      <c r="E72" s="81" t="str">
        <f>труба!K41</f>
        <v>ООО "КТЗ"</v>
      </c>
      <c r="F72" s="111" t="str">
        <f>труба!A43</f>
        <v>Сертификат качества №23515/166</v>
      </c>
      <c r="G72" s="76" t="s">
        <v>39</v>
      </c>
      <c r="H72" s="78" t="s">
        <v>494</v>
      </c>
      <c r="I72" s="78" t="s">
        <v>494</v>
      </c>
      <c r="J72" s="184" t="s">
        <v>505</v>
      </c>
    </row>
    <row r="73" spans="1:10" ht="45" x14ac:dyDescent="0.25">
      <c r="A73" s="114">
        <v>38</v>
      </c>
      <c r="B73" s="82" t="str">
        <f t="shared" si="1"/>
        <v>25.09.2024</v>
      </c>
      <c r="C73" s="119" t="str">
        <f>'упл.каб.прох.'!A39</f>
        <v>Уплотнитель кабельных проходов УКПТ 175/55</v>
      </c>
      <c r="D73" s="81" t="str">
        <f>'упл.каб.прох.'!C45</f>
        <v>30 шт</v>
      </c>
      <c r="E73" s="81" t="str">
        <f>'упл.каб.прох.'!K41</f>
        <v>ООО"Сфера"</v>
      </c>
      <c r="F73" s="111" t="str">
        <f>'упл.каб.прох.'!A43</f>
        <v xml:space="preserve">Информационное письмо Исх.№14052021-296 от 23.11.2021г </v>
      </c>
      <c r="G73" s="76" t="s">
        <v>39</v>
      </c>
      <c r="H73" s="78" t="s">
        <v>494</v>
      </c>
      <c r="I73" s="78" t="s">
        <v>494</v>
      </c>
      <c r="J73" s="184" t="s">
        <v>505</v>
      </c>
    </row>
    <row r="74" spans="1:10" ht="33.75" x14ac:dyDescent="0.25">
      <c r="A74" s="114">
        <v>39</v>
      </c>
      <c r="B74" s="82" t="str">
        <f t="shared" si="1"/>
        <v>25.09.2024</v>
      </c>
      <c r="C74" s="119" t="str">
        <f>швеллер!A37</f>
        <v>Швеллер №10П</v>
      </c>
      <c r="D74" s="81" t="str">
        <f>швеллер!C43</f>
        <v>3,4 м</v>
      </c>
      <c r="E74" s="81" t="str">
        <f>швеллер!K39</f>
        <v>АО "ЕВРАЗ ЗСМК"</v>
      </c>
      <c r="F74" s="111" t="str">
        <f>швеллер!A41</f>
        <v>Документ о качестве №2305390 от 18.02.2024 г.</v>
      </c>
      <c r="G74" s="76" t="s">
        <v>39</v>
      </c>
      <c r="H74" s="78" t="s">
        <v>494</v>
      </c>
      <c r="I74" s="78" t="s">
        <v>494</v>
      </c>
      <c r="J74" s="184" t="s">
        <v>505</v>
      </c>
    </row>
    <row r="75" spans="1:10" ht="45" x14ac:dyDescent="0.25">
      <c r="A75" s="114">
        <v>40</v>
      </c>
      <c r="B75" s="167" t="str">
        <f t="shared" si="1"/>
        <v>25.09.2024</v>
      </c>
      <c r="C75" s="120" t="str">
        <f>Профлист!A37</f>
        <v>Профлист оцинкованный</v>
      </c>
      <c r="D75" s="111" t="str">
        <f>Профлист!C43</f>
        <v>3,76 м2</v>
      </c>
      <c r="E75" s="111" t="str">
        <f>Профлист!K39</f>
        <v>ООО "Стальные конструкции-Профлист"</v>
      </c>
      <c r="F75" s="111" t="str">
        <f>Профлист!A41</f>
        <v>Сертификат соответствия №РОСС RU.32001.04ИБФ1.ОСП28.47246</v>
      </c>
      <c r="G75" s="76" t="s">
        <v>39</v>
      </c>
      <c r="H75" s="78" t="s">
        <v>494</v>
      </c>
      <c r="I75" s="78" t="s">
        <v>494</v>
      </c>
      <c r="J75" s="184" t="s">
        <v>505</v>
      </c>
    </row>
    <row r="76" spans="1:10" ht="56.25" x14ac:dyDescent="0.25">
      <c r="A76" s="114">
        <v>41</v>
      </c>
      <c r="B76" s="167" t="str">
        <f>B75</f>
        <v>25.09.2024</v>
      </c>
      <c r="C76" s="167" t="str">
        <f>краска!A34</f>
        <v>Краска ПФ 115</v>
      </c>
      <c r="D76" s="167" t="str">
        <f>краска!C40</f>
        <v>2,8 кг</v>
      </c>
      <c r="E76" s="167" t="str">
        <f>краска!K36</f>
        <v>АО "Пигмент"</v>
      </c>
      <c r="F76" s="370" t="str">
        <f>краска!A38</f>
        <v>Сертификат соответствия №РОСС RU.НЕ42.Н03935 срок действия с 05.11.2024 по 04.11.2027г</v>
      </c>
      <c r="G76" s="76" t="s">
        <v>39</v>
      </c>
      <c r="H76" s="78" t="s">
        <v>494</v>
      </c>
      <c r="I76" s="78" t="s">
        <v>494</v>
      </c>
      <c r="J76" s="184" t="s">
        <v>505</v>
      </c>
    </row>
    <row r="77" spans="1:10" ht="15.75" x14ac:dyDescent="0.25">
      <c r="A77" s="114">
        <v>42</v>
      </c>
      <c r="B77" s="167"/>
      <c r="C77" s="167"/>
      <c r="D77" s="167"/>
      <c r="E77" s="167"/>
      <c r="F77" s="167"/>
      <c r="G77" s="76" t="s">
        <v>39</v>
      </c>
      <c r="H77" s="78" t="s">
        <v>494</v>
      </c>
      <c r="I77" s="78" t="s">
        <v>494</v>
      </c>
      <c r="J77" s="184" t="s">
        <v>505</v>
      </c>
    </row>
    <row r="78" spans="1:10" ht="15.75" x14ac:dyDescent="0.25">
      <c r="A78" s="114">
        <v>43</v>
      </c>
      <c r="B78" s="32"/>
      <c r="C78" s="121"/>
      <c r="D78" s="32"/>
      <c r="E78" s="32"/>
      <c r="F78" s="114"/>
      <c r="G78" s="76" t="s">
        <v>39</v>
      </c>
      <c r="H78" s="78" t="s">
        <v>494</v>
      </c>
      <c r="I78" s="78" t="s">
        <v>494</v>
      </c>
      <c r="J78" s="184" t="s">
        <v>505</v>
      </c>
    </row>
    <row r="79" spans="1:10" ht="15.75" x14ac:dyDescent="0.25">
      <c r="A79" s="114">
        <v>44</v>
      </c>
      <c r="B79" s="32"/>
      <c r="C79" s="121"/>
      <c r="D79" s="32"/>
      <c r="E79" s="32"/>
      <c r="F79" s="114"/>
      <c r="G79" s="76" t="s">
        <v>39</v>
      </c>
      <c r="H79" s="78" t="s">
        <v>494</v>
      </c>
      <c r="I79" s="78" t="s">
        <v>494</v>
      </c>
      <c r="J79" s="184" t="s">
        <v>505</v>
      </c>
    </row>
    <row r="80" spans="1:10" ht="15.75" x14ac:dyDescent="0.25">
      <c r="A80" s="114">
        <v>45</v>
      </c>
      <c r="B80" s="32"/>
      <c r="C80" s="121"/>
      <c r="D80" s="32"/>
      <c r="E80" s="32"/>
      <c r="F80" s="114"/>
      <c r="G80" s="76" t="s">
        <v>39</v>
      </c>
      <c r="H80" s="78" t="s">
        <v>494</v>
      </c>
      <c r="I80" s="78" t="s">
        <v>494</v>
      </c>
      <c r="J80" s="184" t="s">
        <v>505</v>
      </c>
    </row>
    <row r="81" spans="1:10" ht="15.75" x14ac:dyDescent="0.25">
      <c r="A81" s="114">
        <v>46</v>
      </c>
      <c r="B81" s="32"/>
      <c r="C81" s="121"/>
      <c r="D81" s="32"/>
      <c r="E81" s="32"/>
      <c r="F81" s="114"/>
      <c r="G81" s="76" t="s">
        <v>39</v>
      </c>
      <c r="H81" s="78" t="s">
        <v>494</v>
      </c>
      <c r="I81" s="78" t="s">
        <v>494</v>
      </c>
      <c r="J81" s="184" t="s">
        <v>505</v>
      </c>
    </row>
    <row r="82" spans="1:10" ht="15.75" x14ac:dyDescent="0.25">
      <c r="A82" s="114">
        <v>47</v>
      </c>
      <c r="B82" s="32"/>
      <c r="C82" s="121"/>
      <c r="D82" s="32"/>
      <c r="E82" s="32"/>
      <c r="F82" s="114"/>
      <c r="G82" s="76" t="s">
        <v>39</v>
      </c>
      <c r="H82" s="78" t="s">
        <v>494</v>
      </c>
      <c r="I82" s="78" t="s">
        <v>494</v>
      </c>
      <c r="J82" s="184" t="s">
        <v>505</v>
      </c>
    </row>
    <row r="83" spans="1:10" ht="15.75" x14ac:dyDescent="0.25">
      <c r="A83" s="114">
        <v>48</v>
      </c>
      <c r="B83" s="32"/>
      <c r="C83" s="121"/>
      <c r="D83" s="32"/>
      <c r="E83" s="32"/>
      <c r="F83" s="114"/>
      <c r="G83" s="76" t="s">
        <v>39</v>
      </c>
      <c r="H83" s="78" t="s">
        <v>494</v>
      </c>
      <c r="I83" s="78" t="s">
        <v>494</v>
      </c>
      <c r="J83" s="184" t="s">
        <v>505</v>
      </c>
    </row>
    <row r="84" spans="1:10" ht="15.75" x14ac:dyDescent="0.25">
      <c r="A84" s="114">
        <v>49</v>
      </c>
      <c r="B84" s="32"/>
      <c r="C84" s="121"/>
      <c r="D84" s="32"/>
      <c r="E84" s="32"/>
      <c r="F84" s="114"/>
      <c r="G84" s="76" t="s">
        <v>39</v>
      </c>
      <c r="H84" s="78" t="s">
        <v>494</v>
      </c>
      <c r="I84" s="78" t="s">
        <v>494</v>
      </c>
      <c r="J84" s="184" t="s">
        <v>505</v>
      </c>
    </row>
    <row r="85" spans="1:10" ht="15.75" x14ac:dyDescent="0.25">
      <c r="A85" s="114">
        <v>50</v>
      </c>
      <c r="B85" s="32"/>
      <c r="C85" s="121"/>
      <c r="D85" s="32"/>
      <c r="E85" s="32"/>
      <c r="F85" s="114"/>
      <c r="G85" s="76" t="s">
        <v>39</v>
      </c>
      <c r="H85" s="78" t="s">
        <v>494</v>
      </c>
      <c r="I85" s="78" t="s">
        <v>494</v>
      </c>
      <c r="J85" s="184" t="s">
        <v>505</v>
      </c>
    </row>
    <row r="86" spans="1:10" ht="15.75" x14ac:dyDescent="0.25">
      <c r="A86" s="114">
        <v>51</v>
      </c>
      <c r="B86" s="32"/>
      <c r="C86" s="121"/>
      <c r="D86" s="32"/>
      <c r="E86" s="32"/>
      <c r="F86" s="114"/>
      <c r="G86" s="76" t="s">
        <v>39</v>
      </c>
      <c r="H86" s="78" t="s">
        <v>494</v>
      </c>
      <c r="I86" s="78" t="s">
        <v>494</v>
      </c>
      <c r="J86" s="184" t="s">
        <v>505</v>
      </c>
    </row>
  </sheetData>
  <mergeCells count="9">
    <mergeCell ref="B11:J11"/>
    <mergeCell ref="B10:J10"/>
    <mergeCell ref="B13:J13"/>
    <mergeCell ref="I27:J27"/>
    <mergeCell ref="I28:J28"/>
    <mergeCell ref="B12:J12"/>
    <mergeCell ref="C20:E20"/>
    <mergeCell ref="C21:E21"/>
    <mergeCell ref="C22:E22"/>
  </mergeCells>
  <pageMargins left="0.65476190476190477" right="0.46130952380952384" top="0.75" bottom="0.75" header="0.3" footer="0.3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949-09AA-4E94-8A1E-CA91F554BCD1}">
  <sheetPr codeName="Лист5"/>
  <dimension ref="A1:L96"/>
  <sheetViews>
    <sheetView view="pageBreakPreview" topLeftCell="A10" zoomScaleNormal="100" zoomScaleSheetLayoutView="100" workbookViewId="0">
      <selection activeCell="P35" sqref="P3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x14ac:dyDescent="0.25">
      <c r="K1" s="1" t="s">
        <v>483</v>
      </c>
    </row>
    <row r="3" spans="1:12" ht="30.75" customHeight="1" x14ac:dyDescent="0.25">
      <c r="K3" s="262" t="s">
        <v>484</v>
      </c>
      <c r="L3" s="262"/>
    </row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365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9.149999999999999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14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372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373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 t="s">
        <v>371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303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71</v>
      </c>
      <c r="D43" s="232"/>
      <c r="E43" s="231" t="s">
        <v>54</v>
      </c>
      <c r="F43" s="231"/>
      <c r="G43" s="232" t="s">
        <v>71</v>
      </c>
      <c r="H43" s="232"/>
      <c r="I43" s="232"/>
      <c r="J43" s="232"/>
      <c r="K43" s="106"/>
      <c r="L43" s="106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tr">
        <f>K39</f>
        <v>ООО "КТП-Энерго"</v>
      </c>
      <c r="D45" s="241"/>
      <c r="E45" s="241"/>
      <c r="F45" s="5" t="s">
        <v>31</v>
      </c>
      <c r="G45" s="242" t="s">
        <v>374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C43</f>
        <v>1 комп.</v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67" t="s">
        <v>291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K3:L3"/>
    <mergeCell ref="F5:G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95:L95"/>
    <mergeCell ref="A69:L69"/>
    <mergeCell ref="A70:C70"/>
    <mergeCell ref="D70:L70"/>
    <mergeCell ref="A82:L82"/>
    <mergeCell ref="A71:L71"/>
    <mergeCell ref="A72:G72"/>
    <mergeCell ref="H72:L72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I6:K6"/>
    <mergeCell ref="I7:K7"/>
    <mergeCell ref="A8:L8"/>
    <mergeCell ref="A9:L9"/>
    <mergeCell ref="A11:L11"/>
    <mergeCell ref="A13:F13"/>
    <mergeCell ref="G13:L13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585A-62B1-4688-AFD9-B83CE5CE96E6}">
  <sheetPr codeName="Лист6"/>
  <dimension ref="A1:L98"/>
  <sheetViews>
    <sheetView view="pageBreakPreview" topLeftCell="A43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x14ac:dyDescent="0.25">
      <c r="I6" s="211" t="s">
        <v>40</v>
      </c>
      <c r="J6" s="212"/>
      <c r="K6" s="213"/>
    </row>
    <row r="7" spans="1:12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9.25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2" spans="1:12" ht="18.75" customHeight="1" x14ac:dyDescent="0.25"/>
    <row r="13" spans="1:12" ht="15.75" x14ac:dyDescent="0.25">
      <c r="A13" s="218" t="s">
        <v>432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5" spans="1:12" ht="21.6" customHeight="1" x14ac:dyDescent="0.25"/>
    <row r="16" spans="1:12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23.4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ht="15" customHeight="1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ht="19.149999999999999" customHeight="1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ht="18" customHeight="1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customHeight="1" x14ac:dyDescent="0.25">
      <c r="A25" s="215" t="s">
        <v>16</v>
      </c>
      <c r="B25" s="215"/>
      <c r="C25" s="215"/>
    </row>
    <row r="26" spans="1:12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9.2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4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29.25" customHeight="1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ht="15" customHeight="1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x14ac:dyDescent="0.25">
      <c r="A37" s="234" t="s">
        <v>306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ht="15" customHeight="1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1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305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x14ac:dyDescent="0.25">
      <c r="A41" s="238" t="s">
        <v>375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304</v>
      </c>
      <c r="J41" s="232"/>
      <c r="K41" s="232"/>
      <c r="L41" s="232"/>
    </row>
    <row r="42" spans="1:12" ht="15" customHeight="1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x14ac:dyDescent="0.25">
      <c r="A43" s="231" t="s">
        <v>28</v>
      </c>
      <c r="B43" s="231"/>
      <c r="C43" s="232" t="s">
        <v>73</v>
      </c>
      <c r="D43" s="232"/>
      <c r="E43" s="231" t="s">
        <v>54</v>
      </c>
      <c r="F43" s="231"/>
      <c r="G43" s="232" t="s">
        <v>73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x14ac:dyDescent="0.25">
      <c r="A45" s="235" t="s">
        <v>30</v>
      </c>
      <c r="B45" s="235"/>
      <c r="C45" s="238" t="s">
        <v>85</v>
      </c>
      <c r="D45" s="238"/>
      <c r="E45" s="238"/>
      <c r="F45" s="105" t="s">
        <v>31</v>
      </c>
      <c r="G45" s="232" t="s">
        <v>295</v>
      </c>
      <c r="H45" s="232"/>
      <c r="I45" s="232"/>
      <c r="J45" s="232"/>
      <c r="K45" s="232"/>
      <c r="L45" s="232"/>
    </row>
    <row r="46" spans="1:12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69" t="str">
        <f>C43</f>
        <v>1 шт.</v>
      </c>
      <c r="B57" s="269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69"/>
      <c r="B58" s="269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69"/>
      <c r="B59" s="269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173</v>
      </c>
      <c r="B70" s="231"/>
      <c r="C70" s="231"/>
      <c r="D70" s="267" t="s">
        <v>290</v>
      </c>
      <c r="E70" s="267"/>
      <c r="F70" s="267"/>
      <c r="G70" s="267"/>
      <c r="H70" s="267"/>
      <c r="I70" s="267"/>
      <c r="J70" s="267"/>
      <c r="K70" s="267"/>
      <c r="L70" s="267"/>
    </row>
    <row r="71" spans="1:12" ht="12.75" customHeight="1" x14ac:dyDescent="0.25">
      <c r="A71" s="230" t="s">
        <v>174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ht="12.75" customHeight="1" x14ac:dyDescent="0.25">
      <c r="A72" s="235" t="s">
        <v>58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hidden="1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hidden="1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ht="12.75" customHeight="1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6" spans="1:12" ht="12.75" customHeight="1" x14ac:dyDescent="0.25"/>
    <row r="77" spans="1:12" ht="17.25" customHeight="1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21.6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1.2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ht="19.149999999999999" customHeight="1" x14ac:dyDescent="0.25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8.600000000000001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1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0.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5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97:L97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9:L69"/>
    <mergeCell ref="A70:C70"/>
    <mergeCell ref="D70:L70"/>
    <mergeCell ref="A80:L80"/>
    <mergeCell ref="A81:L81"/>
    <mergeCell ref="A84:L84"/>
    <mergeCell ref="A71:L71"/>
    <mergeCell ref="A72:G72"/>
    <mergeCell ref="H72:L72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A13:F13"/>
    <mergeCell ref="G13:L13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2009-7326-401C-8358-090607D1CB36}">
  <sheetPr codeName="Лист3"/>
  <dimension ref="A1:L98"/>
  <sheetViews>
    <sheetView view="pageBreakPreview" topLeftCell="A28" zoomScaleNormal="100" zoomScaleSheetLayoutView="100" workbookViewId="0">
      <selection activeCell="R41" sqref="R41"/>
    </sheetView>
  </sheetViews>
  <sheetFormatPr defaultColWidth="9.140625" defaultRowHeight="15" x14ac:dyDescent="0.25"/>
  <cols>
    <col min="1" max="1" width="8.5703125" style="1" customWidth="1"/>
    <col min="2" max="2" width="9.5703125" style="1" customWidth="1"/>
    <col min="3" max="3" width="12.140625" style="1" customWidth="1"/>
    <col min="4" max="4" width="10.2851562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161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8.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3.45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67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72" t="s">
        <v>501</v>
      </c>
      <c r="L39" s="27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241" t="s">
        <v>502</v>
      </c>
      <c r="B41" s="241"/>
      <c r="C41" s="241"/>
      <c r="D41" s="241"/>
      <c r="E41" s="241"/>
      <c r="F41" s="241"/>
      <c r="G41" s="241"/>
      <c r="H41" s="8" t="s">
        <v>51</v>
      </c>
      <c r="I41" s="232" t="s">
        <v>69</v>
      </c>
      <c r="J41" s="232"/>
      <c r="K41" s="232"/>
      <c r="L41" s="23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68</v>
      </c>
      <c r="D43" s="271"/>
      <c r="E43" s="215" t="s">
        <v>54</v>
      </c>
      <c r="F43" s="215"/>
      <c r="G43" s="271" t="s">
        <v>68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86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C43</f>
        <v>1 шт</v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8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55" t="s">
        <v>503</v>
      </c>
      <c r="E70" s="255"/>
      <c r="F70" s="255"/>
      <c r="G70" s="255"/>
      <c r="H70" s="255"/>
      <c r="I70" s="255"/>
      <c r="J70" s="255"/>
      <c r="K70" s="255"/>
      <c r="L70" s="255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.7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15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6.25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0.45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6.149999999999999" customHeight="1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70:C70"/>
    <mergeCell ref="D70:L70"/>
    <mergeCell ref="A71:L71"/>
    <mergeCell ref="A72:G72"/>
    <mergeCell ref="H72:L72"/>
    <mergeCell ref="A80:L8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B973-1E6F-4C5E-B8C3-4EEF5485ADFF}">
  <sheetPr codeName="Лист4"/>
  <dimension ref="A1:L96"/>
  <sheetViews>
    <sheetView view="pageBreakPreview" topLeftCell="A31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8554687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170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3.4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2.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381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380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 t="s">
        <v>379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382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70</v>
      </c>
      <c r="D43" s="232"/>
      <c r="E43" s="231" t="s">
        <v>54</v>
      </c>
      <c r="F43" s="231"/>
      <c r="G43" s="232" t="s">
        <v>70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86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C43</f>
        <v>3 шт</v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9.14999999999999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K3:L3"/>
    <mergeCell ref="F5:G5"/>
    <mergeCell ref="A95:L9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70:C70"/>
    <mergeCell ref="D70:L70"/>
    <mergeCell ref="A71:L71"/>
    <mergeCell ref="A72:G72"/>
    <mergeCell ref="H72:L72"/>
    <mergeCell ref="A82:L82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B723-85DF-4071-86BE-1E186B7EF849}">
  <dimension ref="A1:L94"/>
  <sheetViews>
    <sheetView view="pageBreakPreview" topLeftCell="A49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171</v>
      </c>
      <c r="B13" s="218"/>
      <c r="C13" s="218"/>
      <c r="D13" s="218"/>
      <c r="E13" s="218"/>
      <c r="F13" s="218"/>
      <c r="G13" s="275" t="str">
        <f>'Данные объект'!B2</f>
        <v>SAP - 288007</v>
      </c>
      <c r="H13" s="275"/>
      <c r="I13" s="275"/>
      <c r="J13" s="275"/>
      <c r="K13" s="275"/>
      <c r="L13" s="275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6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0.45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 t="s">
        <v>377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189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 t="s">
        <v>378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190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68</v>
      </c>
      <c r="D43" s="232"/>
      <c r="E43" s="231" t="s">
        <v>54</v>
      </c>
      <c r="F43" s="231"/>
      <c r="G43" s="232" t="str">
        <f>C43</f>
        <v>1 шт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40" t="s">
        <v>30</v>
      </c>
      <c r="B45" s="240"/>
      <c r="C45" s="241" t="s">
        <v>86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76" t="str">
        <f>C43</f>
        <v>1 шт</v>
      </c>
      <c r="B57" s="277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56</v>
      </c>
      <c r="B64" s="231"/>
      <c r="C64" s="231"/>
      <c r="D64" s="231"/>
      <c r="E64" s="267" t="s">
        <v>60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67" t="s">
        <v>60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173</v>
      </c>
      <c r="B68" s="231"/>
      <c r="C68" s="231"/>
      <c r="D68" s="267" t="s">
        <v>307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174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58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175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68" t="s">
        <v>47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10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4.45" customHeight="1" x14ac:dyDescent="0.25">
      <c r="A78" s="226" t="s">
        <v>176</v>
      </c>
      <c r="B78" s="226"/>
      <c r="C78" s="226"/>
      <c r="D78" s="255" t="s">
        <v>38</v>
      </c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22" t="s">
        <v>21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7.25" customHeight="1" x14ac:dyDescent="0.25">
      <c r="A80" s="265" t="s">
        <v>23</v>
      </c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</row>
    <row r="81" spans="1:12" ht="25.9" customHeight="1" x14ac:dyDescent="0.25">
      <c r="A81" s="257" t="str">
        <f>C22</f>
        <v>Главный энергетик ООО "Энергосистемы"  Фечин А.А.</v>
      </c>
      <c r="B81" s="257"/>
      <c r="C81" s="257"/>
      <c r="D81" s="257"/>
      <c r="E81" s="257"/>
      <c r="F81" s="257"/>
      <c r="G81" s="257"/>
      <c r="H81" s="257"/>
      <c r="I81" s="257"/>
      <c r="J81" s="7"/>
      <c r="K81" s="258"/>
      <c r="L81" s="258"/>
    </row>
    <row r="82" spans="1:12" ht="11.25" customHeight="1" x14ac:dyDescent="0.25">
      <c r="A82" s="222" t="s">
        <v>48</v>
      </c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</row>
    <row r="83" spans="1:12" x14ac:dyDescent="0.25">
      <c r="A83" s="265" t="s">
        <v>22</v>
      </c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</row>
    <row r="84" spans="1:12" ht="22.9" customHeight="1" x14ac:dyDescent="0.25">
      <c r="A84" s="257" t="str">
        <f>C26</f>
        <v>Прораб ООО "Энергосистемы"  Волков М.Ю.</v>
      </c>
      <c r="B84" s="257"/>
      <c r="C84" s="257"/>
      <c r="D84" s="257"/>
      <c r="E84" s="257"/>
      <c r="F84" s="257"/>
      <c r="G84" s="257"/>
      <c r="H84" s="257"/>
      <c r="I84" s="257"/>
      <c r="J84" s="7"/>
      <c r="K84" s="258"/>
      <c r="L84" s="258"/>
    </row>
    <row r="85" spans="1:12" ht="12" customHeight="1" x14ac:dyDescent="0.25">
      <c r="A85" s="222" t="s">
        <v>48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20.45" customHeight="1" x14ac:dyDescent="0.25">
      <c r="A86" s="257" t="str">
        <f>C28</f>
        <v>Инженер-электрик ООО "Энергосистемы"  Высоцкий А.В.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1.25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x14ac:dyDescent="0.25">
      <c r="A88" s="265" t="s">
        <v>49</v>
      </c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</row>
    <row r="89" spans="1:12" x14ac:dyDescent="0.25">
      <c r="A89" s="257" t="str">
        <f>C30</f>
        <v>Гл. специалист ССК УКС ПАО "Россети Московский регион" Алексанян Г.Р.</v>
      </c>
      <c r="B89" s="257"/>
      <c r="C89" s="257"/>
      <c r="D89" s="257"/>
      <c r="E89" s="257"/>
      <c r="F89" s="257"/>
      <c r="G89" s="257"/>
      <c r="H89" s="257"/>
      <c r="I89" s="257"/>
      <c r="J89" s="257"/>
      <c r="K89" s="266"/>
      <c r="L89" s="266"/>
    </row>
    <row r="90" spans="1:12" x14ac:dyDescent="0.25">
      <c r="A90" s="222" t="s">
        <v>2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x14ac:dyDescent="0.25">
      <c r="A91" s="265" t="s">
        <v>24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0.5" customHeight="1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</row>
    <row r="93" spans="1:12" ht="13.5" customHeight="1" x14ac:dyDescent="0.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</row>
    <row r="94" spans="1:12" x14ac:dyDescent="0.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</row>
  </sheetData>
  <mergeCells count="118">
    <mergeCell ref="A93:L93"/>
    <mergeCell ref="A94:L94"/>
    <mergeCell ref="A90:L90"/>
    <mergeCell ref="A91:L91"/>
    <mergeCell ref="A92:L92"/>
    <mergeCell ref="A88:L88"/>
    <mergeCell ref="A89:J89"/>
    <mergeCell ref="K89:L89"/>
    <mergeCell ref="A85:L85"/>
    <mergeCell ref="A86:I86"/>
    <mergeCell ref="K86:L86"/>
    <mergeCell ref="A87:L87"/>
    <mergeCell ref="A81:I81"/>
    <mergeCell ref="K81:L81"/>
    <mergeCell ref="A82:L82"/>
    <mergeCell ref="A83:L83"/>
    <mergeCell ref="A84:I84"/>
    <mergeCell ref="K84:L84"/>
    <mergeCell ref="A78:C78"/>
    <mergeCell ref="D78:L78"/>
    <mergeCell ref="A79:L79"/>
    <mergeCell ref="A80:L80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0A9-D9A0-49F5-A3E7-652E3EDDBC4D}">
  <dimension ref="A1:L97"/>
  <sheetViews>
    <sheetView view="pageBreakPreview" topLeftCell="A40" zoomScaleNormal="100" zoomScaleSheetLayoutView="100" workbookViewId="0">
      <selection activeCell="N21" sqref="N2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169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0.4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2.15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5.6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78" t="s">
        <v>36</v>
      </c>
      <c r="B32" s="278"/>
      <c r="C32" s="279" t="str">
        <f>'Данные объект'!B51</f>
        <v>методическими указаниями ПАО "Россети Московский регион" (утв. Приказом от 14.11.2024 г. № 1254)</v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 t="s">
        <v>376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117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 t="s">
        <v>191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192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>
        <v>2</v>
      </c>
      <c r="D43" s="232"/>
      <c r="E43" s="231" t="s">
        <v>54</v>
      </c>
      <c r="F43" s="231"/>
      <c r="G43" s="232">
        <f>C43</f>
        <v>2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86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>
        <f>C43</f>
        <v>2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172</v>
      </c>
      <c r="B60" s="231"/>
      <c r="C60" s="231"/>
      <c r="D60" s="231"/>
      <c r="E60" s="267" t="s">
        <v>60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31" t="s">
        <v>57</v>
      </c>
      <c r="B62" s="231"/>
      <c r="C62" s="231"/>
      <c r="D62" s="267" t="s">
        <v>60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56</v>
      </c>
      <c r="B64" s="231"/>
      <c r="C64" s="231"/>
      <c r="D64" s="231"/>
      <c r="E64" s="267" t="s">
        <v>60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67" t="s">
        <v>60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173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174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58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175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68" t="s">
        <v>47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103"/>
    </row>
    <row r="74" spans="1:12" x14ac:dyDescent="0.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</row>
    <row r="75" spans="1:12" x14ac:dyDescent="0.25">
      <c r="A75" s="231" t="s">
        <v>14</v>
      </c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</row>
    <row r="76" spans="1:12" x14ac:dyDescent="0.25">
      <c r="A76" s="295" t="s">
        <v>61</v>
      </c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</row>
    <row r="77" spans="1:12" ht="12.75" customHeight="1" x14ac:dyDescent="0.25">
      <c r="A77" s="296" t="s">
        <v>63</v>
      </c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</row>
    <row r="78" spans="1:12" x14ac:dyDescent="0.25">
      <c r="A78" s="290" t="s">
        <v>62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</row>
    <row r="79" spans="1:12" ht="14.45" customHeight="1" x14ac:dyDescent="0.25">
      <c r="A79" s="297" t="s">
        <v>176</v>
      </c>
      <c r="B79" s="297"/>
      <c r="C79" s="297"/>
      <c r="D79" s="267" t="s">
        <v>38</v>
      </c>
      <c r="E79" s="267"/>
      <c r="F79" s="267"/>
      <c r="G79" s="267"/>
      <c r="H79" s="267"/>
      <c r="I79" s="267"/>
      <c r="J79" s="267"/>
      <c r="K79" s="267"/>
      <c r="L79" s="267"/>
    </row>
    <row r="80" spans="1:12" ht="12.75" customHeight="1" x14ac:dyDescent="0.25">
      <c r="A80" s="230" t="s">
        <v>21</v>
      </c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</row>
    <row r="81" spans="1:12" ht="17.25" customHeight="1" x14ac:dyDescent="0.25">
      <c r="A81" s="294" t="s">
        <v>23</v>
      </c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</row>
    <row r="82" spans="1:12" ht="22.15" customHeight="1" x14ac:dyDescent="0.25">
      <c r="A82" s="221" t="str">
        <f>C22</f>
        <v>Главный энергетик ООО "Энергосистемы"  Фечин А.А.</v>
      </c>
      <c r="B82" s="221"/>
      <c r="C82" s="221"/>
      <c r="D82" s="221"/>
      <c r="E82" s="221"/>
      <c r="F82" s="221"/>
      <c r="G82" s="221"/>
      <c r="H82" s="221"/>
      <c r="I82" s="221"/>
      <c r="J82" s="165"/>
      <c r="K82" s="293"/>
      <c r="L82" s="293"/>
    </row>
    <row r="83" spans="1:12" ht="11.25" customHeight="1" x14ac:dyDescent="0.25">
      <c r="A83" s="230" t="s">
        <v>48</v>
      </c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</row>
    <row r="84" spans="1:12" x14ac:dyDescent="0.25">
      <c r="A84" s="294" t="s">
        <v>22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</row>
    <row r="85" spans="1:12" ht="22.15" customHeight="1" x14ac:dyDescent="0.25">
      <c r="A85" s="221" t="str">
        <f>C26</f>
        <v>Прораб ООО "Энергосистемы"  Волков М.Ю.</v>
      </c>
      <c r="B85" s="221"/>
      <c r="C85" s="221"/>
      <c r="D85" s="221"/>
      <c r="E85" s="221"/>
      <c r="F85" s="221"/>
      <c r="G85" s="221"/>
      <c r="H85" s="221"/>
      <c r="I85" s="221"/>
      <c r="J85" s="165"/>
      <c r="K85" s="293"/>
      <c r="L85" s="293"/>
    </row>
    <row r="86" spans="1:12" ht="12" customHeight="1" x14ac:dyDescent="0.25">
      <c r="A86" s="230" t="s">
        <v>48</v>
      </c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</row>
    <row r="87" spans="1:12" ht="21" customHeight="1" x14ac:dyDescent="0.25">
      <c r="A87" s="221" t="str">
        <f>C28</f>
        <v>Инженер-электрик ООО "Энергосистемы"  Высоцкий А.В.</v>
      </c>
      <c r="B87" s="221"/>
      <c r="C87" s="221"/>
      <c r="D87" s="221"/>
      <c r="E87" s="221"/>
      <c r="F87" s="221"/>
      <c r="G87" s="221"/>
      <c r="H87" s="221"/>
      <c r="I87" s="221"/>
      <c r="J87" s="165"/>
      <c r="K87" s="293"/>
      <c r="L87" s="293"/>
    </row>
    <row r="88" spans="1:12" ht="11.25" customHeight="1" x14ac:dyDescent="0.25">
      <c r="A88" s="230" t="s">
        <v>48</v>
      </c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</row>
    <row r="89" spans="1:12" x14ac:dyDescent="0.25">
      <c r="A89" s="294" t="s">
        <v>49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</row>
    <row r="90" spans="1:12" x14ac:dyDescent="0.25">
      <c r="A90" s="221" t="str">
        <f>C30</f>
        <v>Гл. специалист ССК УКС ПАО "Россети Московский регион" Алексанян Г.Р.</v>
      </c>
      <c r="B90" s="221"/>
      <c r="C90" s="221"/>
      <c r="D90" s="221"/>
      <c r="E90" s="221"/>
      <c r="F90" s="221"/>
      <c r="G90" s="221"/>
      <c r="H90" s="221"/>
      <c r="I90" s="221"/>
      <c r="J90" s="221"/>
      <c r="K90" s="232"/>
      <c r="L90" s="232"/>
    </row>
    <row r="91" spans="1:12" x14ac:dyDescent="0.25">
      <c r="A91" s="230" t="s">
        <v>2</v>
      </c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</row>
    <row r="92" spans="1:12" ht="16.149999999999999" customHeight="1" x14ac:dyDescent="0.25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66"/>
      <c r="L92" s="266"/>
    </row>
    <row r="93" spans="1:12" x14ac:dyDescent="0.25">
      <c r="A93" s="222" t="s">
        <v>2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x14ac:dyDescent="0.25">
      <c r="A94" s="265" t="s">
        <v>24</v>
      </c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</row>
    <row r="95" spans="1:12" ht="10.5" customHeight="1" x14ac:dyDescent="0.25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</row>
    <row r="96" spans="1:12" ht="13.5" customHeight="1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  <row r="97" spans="1:12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</sheetData>
  <mergeCells count="122">
    <mergeCell ref="A97:L97"/>
    <mergeCell ref="A89:L89"/>
    <mergeCell ref="K90:L90"/>
    <mergeCell ref="A91:L91"/>
    <mergeCell ref="K92:L92"/>
    <mergeCell ref="A90:J90"/>
    <mergeCell ref="A92:J92"/>
    <mergeCell ref="A73:K73"/>
    <mergeCell ref="A79:C79"/>
    <mergeCell ref="D79:L79"/>
    <mergeCell ref="A80:L80"/>
    <mergeCell ref="A72:L72"/>
    <mergeCell ref="A93:L93"/>
    <mergeCell ref="A94:L94"/>
    <mergeCell ref="A95:L95"/>
    <mergeCell ref="A96:L96"/>
    <mergeCell ref="A85:I85"/>
    <mergeCell ref="K85:L85"/>
    <mergeCell ref="A86:L86"/>
    <mergeCell ref="A87:I87"/>
    <mergeCell ref="K87:L87"/>
    <mergeCell ref="A88:L88"/>
    <mergeCell ref="A81:L81"/>
    <mergeCell ref="A82:I82"/>
    <mergeCell ref="K82:L82"/>
    <mergeCell ref="A83:L83"/>
    <mergeCell ref="A84:L84"/>
    <mergeCell ref="A75:L75"/>
    <mergeCell ref="A76:L76"/>
    <mergeCell ref="A77:L77"/>
    <mergeCell ref="A78:L78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09E1-59B0-4B4C-8058-4F837DF12C7C}">
  <sheetPr codeName="Лист2"/>
  <dimension ref="A1:R98"/>
  <sheetViews>
    <sheetView view="pageBreakPreview" topLeftCell="A52" zoomScaleNormal="100" zoomScaleSheetLayoutView="100" workbookViewId="0">
      <selection activeCell="P13" sqref="P1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433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5" spans="1:12" x14ac:dyDescent="0.25">
      <c r="J15" s="128"/>
    </row>
    <row r="16" spans="1:12" ht="27.7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3.4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3.45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430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162</v>
      </c>
      <c r="L39" s="236"/>
    </row>
    <row r="40" spans="1:12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237" t="s">
        <v>41</v>
      </c>
      <c r="L40" s="237"/>
    </row>
    <row r="41" spans="1:12" ht="29.25" customHeight="1" x14ac:dyDescent="0.25">
      <c r="A41" s="238" t="s">
        <v>383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66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95</v>
      </c>
      <c r="D43" s="232"/>
      <c r="E43" s="231" t="s">
        <v>54</v>
      </c>
      <c r="F43" s="231"/>
      <c r="G43" s="232" t="s">
        <v>384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86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C43</f>
        <v>2 шт</v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67" t="s">
        <v>177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8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8" ht="12.7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8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8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8" ht="20.45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  <c r="R85" s="15"/>
    </row>
    <row r="86" spans="1:18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8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8" ht="21.6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8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8" ht="23.45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8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8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8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8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8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8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3:J93"/>
    <mergeCell ref="A14:L14"/>
    <mergeCell ref="K16:L16"/>
    <mergeCell ref="K17:L17"/>
    <mergeCell ref="A19:B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I6:K6"/>
    <mergeCell ref="I7:K7"/>
    <mergeCell ref="A8:L8"/>
    <mergeCell ref="A9:L9"/>
    <mergeCell ref="A11:L11"/>
    <mergeCell ref="A27:L27"/>
    <mergeCell ref="C28:L28"/>
    <mergeCell ref="A29:L29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C20:F20"/>
    <mergeCell ref="C19:F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90:I90"/>
    <mergeCell ref="A70:C70"/>
    <mergeCell ref="D70:L70"/>
    <mergeCell ref="A71:L71"/>
    <mergeCell ref="A72:G72"/>
    <mergeCell ref="H72:L72"/>
    <mergeCell ref="K90:L9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ED68-1E39-446F-9B81-429CB2A503DE}">
  <sheetPr codeName="Лист11"/>
  <dimension ref="A1:L108"/>
  <sheetViews>
    <sheetView view="pageBreakPreview" topLeftCell="A43" zoomScaleNormal="100" zoomScaleSheetLayoutView="100" workbookViewId="0">
      <selection activeCell="O37" sqref="O3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ht="13.9" customHeight="1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09" t="s">
        <v>326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3.9" customHeight="1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  <v>25.09.2024</v>
      </c>
      <c r="L16" s="300"/>
    </row>
    <row r="17" spans="1:12" ht="13.9" customHeight="1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'Данные объект'!B11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9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8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45" customHeight="1" x14ac:dyDescent="0.25">
      <c r="A37" s="305" t="s">
        <v>414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289</v>
      </c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 t="s">
        <v>413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87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429</v>
      </c>
      <c r="D43" s="312"/>
      <c r="E43" s="278" t="s">
        <v>54</v>
      </c>
      <c r="F43" s="278"/>
      <c r="G43" s="312" t="str">
        <f>C43</f>
        <v>121 шт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86</v>
      </c>
      <c r="D45" s="236"/>
      <c r="E45" s="236"/>
      <c r="F45" s="122" t="s">
        <v>31</v>
      </c>
      <c r="G45" s="312" t="s">
        <v>108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25" t="s">
        <v>415</v>
      </c>
      <c r="B57" s="325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ht="15" customHeight="1" x14ac:dyDescent="0.25">
      <c r="A58" s="325" t="s">
        <v>416</v>
      </c>
      <c r="B58" s="325"/>
      <c r="C58" s="298" t="s">
        <v>38</v>
      </c>
      <c r="D58" s="298"/>
      <c r="E58" s="298" t="s">
        <v>39</v>
      </c>
      <c r="F58" s="298"/>
      <c r="G58" s="298" t="s">
        <v>38</v>
      </c>
      <c r="H58" s="298"/>
      <c r="I58" s="298" t="s">
        <v>38</v>
      </c>
      <c r="J58" s="298"/>
      <c r="K58" s="24" t="s">
        <v>38</v>
      </c>
      <c r="L58" s="25" t="s">
        <v>18</v>
      </c>
    </row>
    <row r="59" spans="1:12" x14ac:dyDescent="0.25">
      <c r="A59" s="325" t="s">
        <v>417</v>
      </c>
      <c r="B59" s="325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24" t="s">
        <v>38</v>
      </c>
      <c r="L59" s="25" t="s">
        <v>18</v>
      </c>
    </row>
    <row r="60" spans="1:12" x14ac:dyDescent="0.25">
      <c r="A60" s="325" t="s">
        <v>421</v>
      </c>
      <c r="B60" s="325"/>
      <c r="C60" s="298" t="s">
        <v>38</v>
      </c>
      <c r="D60" s="298"/>
      <c r="E60" s="298" t="s">
        <v>39</v>
      </c>
      <c r="F60" s="298"/>
      <c r="G60" s="298" t="s">
        <v>38</v>
      </c>
      <c r="H60" s="298"/>
      <c r="I60" s="298" t="s">
        <v>38</v>
      </c>
      <c r="J60" s="298"/>
      <c r="K60" s="24" t="s">
        <v>38</v>
      </c>
      <c r="L60" s="25" t="s">
        <v>18</v>
      </c>
    </row>
    <row r="61" spans="1:12" x14ac:dyDescent="0.25">
      <c r="A61" s="325" t="s">
        <v>422</v>
      </c>
      <c r="B61" s="325"/>
      <c r="C61" s="298" t="s">
        <v>38</v>
      </c>
      <c r="D61" s="298"/>
      <c r="E61" s="298" t="s">
        <v>39</v>
      </c>
      <c r="F61" s="298"/>
      <c r="G61" s="298" t="s">
        <v>38</v>
      </c>
      <c r="H61" s="298"/>
      <c r="I61" s="298" t="s">
        <v>38</v>
      </c>
      <c r="J61" s="298"/>
      <c r="K61" s="24" t="s">
        <v>38</v>
      </c>
      <c r="L61" s="25" t="s">
        <v>18</v>
      </c>
    </row>
    <row r="62" spans="1:12" x14ac:dyDescent="0.25">
      <c r="A62" s="325" t="s">
        <v>420</v>
      </c>
      <c r="B62" s="325"/>
      <c r="C62" s="298" t="s">
        <v>38</v>
      </c>
      <c r="D62" s="298"/>
      <c r="E62" s="298" t="s">
        <v>39</v>
      </c>
      <c r="F62" s="298"/>
      <c r="G62" s="298" t="s">
        <v>38</v>
      </c>
      <c r="H62" s="298"/>
      <c r="I62" s="298" t="s">
        <v>38</v>
      </c>
      <c r="J62" s="298"/>
      <c r="K62" s="24" t="s">
        <v>38</v>
      </c>
      <c r="L62" s="25" t="s">
        <v>18</v>
      </c>
    </row>
    <row r="63" spans="1:12" x14ac:dyDescent="0.25">
      <c r="A63" s="325" t="s">
        <v>418</v>
      </c>
      <c r="B63" s="325"/>
      <c r="C63" s="298" t="s">
        <v>38</v>
      </c>
      <c r="D63" s="298"/>
      <c r="E63" s="298" t="s">
        <v>39</v>
      </c>
      <c r="F63" s="298"/>
      <c r="G63" s="298" t="s">
        <v>38</v>
      </c>
      <c r="H63" s="298"/>
      <c r="I63" s="298" t="s">
        <v>38</v>
      </c>
      <c r="J63" s="298"/>
      <c r="K63" s="24" t="s">
        <v>38</v>
      </c>
      <c r="L63" s="25" t="s">
        <v>18</v>
      </c>
    </row>
    <row r="64" spans="1:12" x14ac:dyDescent="0.25">
      <c r="A64" s="325" t="s">
        <v>309</v>
      </c>
      <c r="B64" s="325"/>
      <c r="C64" s="298" t="s">
        <v>38</v>
      </c>
      <c r="D64" s="298"/>
      <c r="E64" s="298" t="s">
        <v>39</v>
      </c>
      <c r="F64" s="298"/>
      <c r="G64" s="298" t="s">
        <v>38</v>
      </c>
      <c r="H64" s="298"/>
      <c r="I64" s="298" t="s">
        <v>38</v>
      </c>
      <c r="J64" s="298"/>
      <c r="K64" s="24" t="s">
        <v>38</v>
      </c>
      <c r="L64" s="25" t="s">
        <v>18</v>
      </c>
    </row>
    <row r="65" spans="1:12" x14ac:dyDescent="0.25">
      <c r="A65" s="325" t="s">
        <v>425</v>
      </c>
      <c r="B65" s="325"/>
      <c r="C65" s="298" t="s">
        <v>38</v>
      </c>
      <c r="D65" s="298"/>
      <c r="E65" s="298" t="s">
        <v>39</v>
      </c>
      <c r="F65" s="298"/>
      <c r="G65" s="298" t="s">
        <v>38</v>
      </c>
      <c r="H65" s="298"/>
      <c r="I65" s="298" t="s">
        <v>38</v>
      </c>
      <c r="J65" s="298"/>
      <c r="K65" s="24" t="s">
        <v>38</v>
      </c>
      <c r="L65" s="25" t="s">
        <v>18</v>
      </c>
    </row>
    <row r="66" spans="1:12" x14ac:dyDescent="0.25">
      <c r="A66" s="325" t="s">
        <v>423</v>
      </c>
      <c r="B66" s="325"/>
      <c r="C66" s="298" t="s">
        <v>38</v>
      </c>
      <c r="D66" s="298"/>
      <c r="E66" s="298" t="s">
        <v>39</v>
      </c>
      <c r="F66" s="298"/>
      <c r="G66" s="298" t="s">
        <v>38</v>
      </c>
      <c r="H66" s="298"/>
      <c r="I66" s="298" t="s">
        <v>38</v>
      </c>
      <c r="J66" s="298"/>
      <c r="K66" s="24" t="s">
        <v>38</v>
      </c>
      <c r="L66" s="25" t="s">
        <v>18</v>
      </c>
    </row>
    <row r="67" spans="1:12" x14ac:dyDescent="0.25">
      <c r="A67" s="325" t="s">
        <v>419</v>
      </c>
      <c r="B67" s="325"/>
      <c r="C67" s="298" t="s">
        <v>38</v>
      </c>
      <c r="D67" s="298"/>
      <c r="E67" s="298" t="s">
        <v>39</v>
      </c>
      <c r="F67" s="298"/>
      <c r="G67" s="298" t="s">
        <v>38</v>
      </c>
      <c r="H67" s="298"/>
      <c r="I67" s="298" t="s">
        <v>38</v>
      </c>
      <c r="J67" s="298"/>
      <c r="K67" s="24" t="s">
        <v>38</v>
      </c>
      <c r="L67" s="25" t="s">
        <v>18</v>
      </c>
    </row>
    <row r="68" spans="1:12" x14ac:dyDescent="0.25">
      <c r="A68" s="325" t="s">
        <v>428</v>
      </c>
      <c r="B68" s="325"/>
      <c r="C68" s="298" t="s">
        <v>38</v>
      </c>
      <c r="D68" s="298"/>
      <c r="E68" s="298" t="s">
        <v>39</v>
      </c>
      <c r="F68" s="298"/>
      <c r="G68" s="298" t="s">
        <v>38</v>
      </c>
      <c r="H68" s="298"/>
      <c r="I68" s="298" t="s">
        <v>38</v>
      </c>
      <c r="J68" s="298"/>
      <c r="K68" s="24" t="s">
        <v>38</v>
      </c>
      <c r="L68" s="25" t="s">
        <v>18</v>
      </c>
    </row>
    <row r="69" spans="1:12" x14ac:dyDescent="0.25">
      <c r="A69" s="325" t="s">
        <v>427</v>
      </c>
      <c r="B69" s="325"/>
      <c r="C69" s="298" t="s">
        <v>38</v>
      </c>
      <c r="D69" s="298"/>
      <c r="E69" s="298" t="s">
        <v>39</v>
      </c>
      <c r="F69" s="298"/>
      <c r="G69" s="298" t="s">
        <v>38</v>
      </c>
      <c r="H69" s="298"/>
      <c r="I69" s="298" t="s">
        <v>38</v>
      </c>
      <c r="J69" s="298"/>
      <c r="K69" s="163" t="s">
        <v>38</v>
      </c>
      <c r="L69" s="25" t="s">
        <v>18</v>
      </c>
    </row>
    <row r="70" spans="1:12" x14ac:dyDescent="0.25">
      <c r="A70" s="325" t="s">
        <v>424</v>
      </c>
      <c r="B70" s="325"/>
      <c r="C70" s="298" t="s">
        <v>38</v>
      </c>
      <c r="D70" s="298"/>
      <c r="E70" s="298" t="s">
        <v>39</v>
      </c>
      <c r="F70" s="298"/>
      <c r="G70" s="298" t="s">
        <v>38</v>
      </c>
      <c r="H70" s="298"/>
      <c r="I70" s="298" t="s">
        <v>38</v>
      </c>
      <c r="J70" s="298"/>
      <c r="K70" s="163" t="s">
        <v>38</v>
      </c>
      <c r="L70" s="25" t="s">
        <v>18</v>
      </c>
    </row>
    <row r="71" spans="1:12" x14ac:dyDescent="0.25">
      <c r="A71" s="325" t="s">
        <v>426</v>
      </c>
      <c r="B71" s="325"/>
      <c r="C71" s="298" t="s">
        <v>38</v>
      </c>
      <c r="D71" s="298"/>
      <c r="E71" s="298" t="s">
        <v>39</v>
      </c>
      <c r="F71" s="298"/>
      <c r="G71" s="298" t="s">
        <v>38</v>
      </c>
      <c r="H71" s="298"/>
      <c r="I71" s="298" t="s">
        <v>38</v>
      </c>
      <c r="J71" s="298"/>
      <c r="K71" s="163" t="s">
        <v>38</v>
      </c>
      <c r="L71" s="25" t="s">
        <v>18</v>
      </c>
    </row>
    <row r="72" spans="1:12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x14ac:dyDescent="0.25">
      <c r="A73" s="240" t="s">
        <v>13</v>
      </c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</row>
    <row r="74" spans="1:12" x14ac:dyDescent="0.25">
      <c r="A74" s="215" t="s">
        <v>172</v>
      </c>
      <c r="B74" s="215"/>
      <c r="C74" s="215"/>
      <c r="D74" s="215"/>
      <c r="E74" s="255" t="s">
        <v>60</v>
      </c>
      <c r="F74" s="255"/>
      <c r="G74" s="255"/>
      <c r="H74" s="255"/>
      <c r="I74" s="255"/>
      <c r="J74" s="255"/>
      <c r="K74" s="255"/>
      <c r="L74" s="255"/>
    </row>
    <row r="75" spans="1:12" x14ac:dyDescent="0.25">
      <c r="A75" s="222" t="s">
        <v>20</v>
      </c>
      <c r="B75" s="222"/>
      <c r="C75" s="222"/>
      <c r="D75" s="222"/>
      <c r="E75" s="220"/>
      <c r="F75" s="220"/>
      <c r="G75" s="220"/>
      <c r="H75" s="220"/>
      <c r="I75" s="220"/>
      <c r="J75" s="220"/>
      <c r="K75" s="220"/>
      <c r="L75" s="220"/>
    </row>
    <row r="76" spans="1:12" x14ac:dyDescent="0.25">
      <c r="A76" s="215" t="s">
        <v>57</v>
      </c>
      <c r="B76" s="215"/>
      <c r="C76" s="215"/>
      <c r="D76" s="255" t="s">
        <v>60</v>
      </c>
      <c r="E76" s="255"/>
      <c r="F76" s="255"/>
      <c r="G76" s="255"/>
      <c r="H76" s="255"/>
      <c r="I76" s="255"/>
      <c r="J76" s="255"/>
      <c r="K76" s="255"/>
      <c r="L76" s="255"/>
    </row>
    <row r="77" spans="1:12" x14ac:dyDescent="0.25">
      <c r="A77" s="222" t="s">
        <v>43</v>
      </c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</row>
    <row r="78" spans="1:12" x14ac:dyDescent="0.25">
      <c r="A78" s="215" t="s">
        <v>56</v>
      </c>
      <c r="B78" s="215"/>
      <c r="C78" s="215"/>
      <c r="D78" s="215"/>
      <c r="E78" s="255" t="s">
        <v>60</v>
      </c>
      <c r="F78" s="255"/>
      <c r="G78" s="255"/>
      <c r="H78" s="255"/>
      <c r="I78" s="255"/>
      <c r="J78" s="255"/>
      <c r="K78" s="255"/>
      <c r="L78" s="255"/>
    </row>
    <row r="79" spans="1:12" x14ac:dyDescent="0.25">
      <c r="A79" s="222" t="s">
        <v>44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x14ac:dyDescent="0.25">
      <c r="A80" s="215" t="s">
        <v>55</v>
      </c>
      <c r="B80" s="215"/>
      <c r="C80" s="215"/>
      <c r="D80" s="225" t="s">
        <v>60</v>
      </c>
      <c r="E80" s="225"/>
      <c r="F80" s="225"/>
      <c r="G80" s="225"/>
      <c r="H80" s="225"/>
      <c r="I80" s="225"/>
      <c r="J80" s="225"/>
      <c r="K80" s="225"/>
      <c r="L80" s="225"/>
    </row>
    <row r="81" spans="1:12" x14ac:dyDescent="0.25">
      <c r="A81" s="222" t="s">
        <v>44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15" t="s">
        <v>173</v>
      </c>
      <c r="B82" s="215"/>
      <c r="C82" s="215"/>
      <c r="D82" s="267" t="s">
        <v>178</v>
      </c>
      <c r="E82" s="267"/>
      <c r="F82" s="267"/>
      <c r="G82" s="267"/>
      <c r="H82" s="267"/>
      <c r="I82" s="267"/>
      <c r="J82" s="267"/>
      <c r="K82" s="267"/>
      <c r="L82" s="267"/>
    </row>
    <row r="83" spans="1:12" x14ac:dyDescent="0.25">
      <c r="A83" s="222" t="s">
        <v>174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40" t="s">
        <v>58</v>
      </c>
      <c r="B84" s="240"/>
      <c r="C84" s="240"/>
      <c r="D84" s="240"/>
      <c r="E84" s="240"/>
      <c r="F84" s="240"/>
      <c r="G84" s="240"/>
      <c r="H84" s="256" t="s">
        <v>35</v>
      </c>
      <c r="I84" s="256"/>
      <c r="J84" s="256"/>
      <c r="K84" s="256"/>
      <c r="L84" s="256"/>
    </row>
    <row r="85" spans="1:12" x14ac:dyDescent="0.25">
      <c r="A85" s="233" t="s">
        <v>45</v>
      </c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</row>
    <row r="86" spans="1:12" x14ac:dyDescent="0.25">
      <c r="A86" s="261" t="s">
        <v>175</v>
      </c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</row>
    <row r="87" spans="1:12" x14ac:dyDescent="0.25">
      <c r="A87" s="233" t="s">
        <v>47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</row>
    <row r="89" spans="1:12" x14ac:dyDescent="0.25">
      <c r="A89" s="215" t="s">
        <v>14</v>
      </c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</row>
    <row r="90" spans="1:12" x14ac:dyDescent="0.25">
      <c r="A90" s="259" t="s">
        <v>61</v>
      </c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</row>
    <row r="91" spans="1:12" ht="12.75" customHeight="1" x14ac:dyDescent="0.25">
      <c r="A91" s="326" t="s">
        <v>63</v>
      </c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</row>
    <row r="92" spans="1:12" x14ac:dyDescent="0.25">
      <c r="A92" s="327" t="s">
        <v>62</v>
      </c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</row>
    <row r="93" spans="1:12" ht="14.45" customHeight="1" x14ac:dyDescent="0.25">
      <c r="A93" s="226" t="s">
        <v>176</v>
      </c>
      <c r="B93" s="226"/>
      <c r="C93" s="226"/>
      <c r="D93" s="255" t="s">
        <v>38</v>
      </c>
      <c r="E93" s="255"/>
      <c r="F93" s="255"/>
      <c r="G93" s="255"/>
      <c r="H93" s="255"/>
      <c r="I93" s="255"/>
      <c r="J93" s="255"/>
      <c r="K93" s="255"/>
      <c r="L93" s="255"/>
    </row>
    <row r="94" spans="1:12" ht="12.75" customHeight="1" x14ac:dyDescent="0.25">
      <c r="A94" s="222" t="s">
        <v>21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ht="13.15" customHeight="1" x14ac:dyDescent="0.25">
      <c r="A95" s="265" t="s">
        <v>23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x14ac:dyDescent="0.25">
      <c r="A96" s="257" t="str">
        <f>C22</f>
        <v>Главный энергетик ООО "Энергосистемы"  Фечин А.А.</v>
      </c>
      <c r="B96" s="257"/>
      <c r="C96" s="257"/>
      <c r="D96" s="257"/>
      <c r="E96" s="257"/>
      <c r="F96" s="257"/>
      <c r="G96" s="257"/>
      <c r="H96" s="257"/>
      <c r="I96" s="257"/>
      <c r="J96" s="7"/>
      <c r="K96" s="258"/>
      <c r="L96" s="258"/>
    </row>
    <row r="97" spans="1:12" x14ac:dyDescent="0.25">
      <c r="A97" s="222" t="s">
        <v>48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</row>
    <row r="98" spans="1:12" ht="10.5" customHeight="1" x14ac:dyDescent="0.25">
      <c r="A98" s="265" t="s">
        <v>22</v>
      </c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</row>
    <row r="99" spans="1:12" ht="13.5" customHeight="1" x14ac:dyDescent="0.25">
      <c r="A99" s="257" t="str">
        <f>C26</f>
        <v>Прораб ООО "Энергосистемы"  Волков М.Ю.</v>
      </c>
      <c r="B99" s="257"/>
      <c r="C99" s="257"/>
      <c r="D99" s="257"/>
      <c r="E99" s="257"/>
      <c r="F99" s="257"/>
      <c r="G99" s="257"/>
      <c r="H99" s="257"/>
      <c r="I99" s="257"/>
      <c r="J99" s="7"/>
      <c r="K99" s="258"/>
      <c r="L99" s="258"/>
    </row>
    <row r="100" spans="1:12" x14ac:dyDescent="0.25">
      <c r="A100" s="222" t="s">
        <v>48</v>
      </c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</row>
    <row r="101" spans="1:12" x14ac:dyDescent="0.25">
      <c r="A101" s="257" t="str">
        <f>C28</f>
        <v>Инженер-электрик ООО "Энергосистемы"  Высоцкий А.В.</v>
      </c>
      <c r="B101" s="257"/>
      <c r="C101" s="257"/>
      <c r="D101" s="257"/>
      <c r="E101" s="257"/>
      <c r="F101" s="257"/>
      <c r="G101" s="257"/>
      <c r="H101" s="257"/>
      <c r="I101" s="257"/>
      <c r="J101" s="7"/>
      <c r="K101" s="258"/>
      <c r="L101" s="258"/>
    </row>
    <row r="102" spans="1:12" x14ac:dyDescent="0.25">
      <c r="A102" s="222" t="s">
        <v>48</v>
      </c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</row>
    <row r="103" spans="1:12" x14ac:dyDescent="0.25">
      <c r="A103" s="265" t="s">
        <v>49</v>
      </c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</row>
    <row r="104" spans="1:12" x14ac:dyDescent="0.25">
      <c r="A104" s="257" t="str">
        <f>C30</f>
        <v>Гл. специалист ССК УКС ПАО "Россети Московский регион" Алексанян Г.Р.</v>
      </c>
      <c r="B104" s="257"/>
      <c r="C104" s="257"/>
      <c r="D104" s="257"/>
      <c r="E104" s="257"/>
      <c r="F104" s="257"/>
      <c r="G104" s="257"/>
      <c r="H104" s="257"/>
      <c r="I104" s="257"/>
      <c r="J104" s="257"/>
      <c r="K104" s="266"/>
      <c r="L104" s="266"/>
    </row>
    <row r="105" spans="1:12" x14ac:dyDescent="0.25">
      <c r="A105" s="222" t="s">
        <v>2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</row>
    <row r="106" spans="1:12" x14ac:dyDescent="0.25">
      <c r="A106" s="265" t="s">
        <v>24</v>
      </c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</row>
    <row r="107" spans="1:12" x14ac:dyDescent="0.25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</row>
    <row r="108" spans="1:12" x14ac:dyDescent="0.25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</row>
  </sheetData>
  <mergeCells count="188">
    <mergeCell ref="A107:L107"/>
    <mergeCell ref="A108:L108"/>
    <mergeCell ref="A105:L105"/>
    <mergeCell ref="A106:L106"/>
    <mergeCell ref="A103:L103"/>
    <mergeCell ref="K104:L104"/>
    <mergeCell ref="A104:J104"/>
    <mergeCell ref="A83:L83"/>
    <mergeCell ref="A84:G84"/>
    <mergeCell ref="H84:L84"/>
    <mergeCell ref="A86:L86"/>
    <mergeCell ref="A87:K87"/>
    <mergeCell ref="A93:C93"/>
    <mergeCell ref="D93:L93"/>
    <mergeCell ref="A94:L94"/>
    <mergeCell ref="A89:L89"/>
    <mergeCell ref="A90:L90"/>
    <mergeCell ref="A91:L91"/>
    <mergeCell ref="A92:L92"/>
    <mergeCell ref="A85:L85"/>
    <mergeCell ref="A100:L100"/>
    <mergeCell ref="A101:I101"/>
    <mergeCell ref="K101:L101"/>
    <mergeCell ref="A102:L102"/>
    <mergeCell ref="A95:L95"/>
    <mergeCell ref="A96:I96"/>
    <mergeCell ref="K96:L96"/>
    <mergeCell ref="A97:L97"/>
    <mergeCell ref="A98:L98"/>
    <mergeCell ref="A99:I99"/>
    <mergeCell ref="K99:L99"/>
    <mergeCell ref="A68:B68"/>
    <mergeCell ref="C68:D68"/>
    <mergeCell ref="E68:F68"/>
    <mergeCell ref="G68:H68"/>
    <mergeCell ref="I68:J68"/>
    <mergeCell ref="A80:C80"/>
    <mergeCell ref="D80:L80"/>
    <mergeCell ref="A81:L81"/>
    <mergeCell ref="A82:C82"/>
    <mergeCell ref="A73:L73"/>
    <mergeCell ref="A75:L75"/>
    <mergeCell ref="A74:D74"/>
    <mergeCell ref="E74:L74"/>
    <mergeCell ref="A76:C76"/>
    <mergeCell ref="D76:L76"/>
    <mergeCell ref="A77:L77"/>
    <mergeCell ref="A78:D78"/>
    <mergeCell ref="E78:L78"/>
    <mergeCell ref="A79:L79"/>
    <mergeCell ref="D82:L82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9:B69"/>
    <mergeCell ref="C69:D69"/>
    <mergeCell ref="E69:F69"/>
    <mergeCell ref="G69:H69"/>
    <mergeCell ref="I69:J69"/>
    <mergeCell ref="A71:B71"/>
    <mergeCell ref="C71:D71"/>
    <mergeCell ref="E71:F71"/>
    <mergeCell ref="G71:H71"/>
    <mergeCell ref="I71:J71"/>
    <mergeCell ref="A70:B70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39:J39"/>
    <mergeCell ref="K39:L3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C70:D70"/>
    <mergeCell ref="E70:F70"/>
    <mergeCell ref="G70:H70"/>
    <mergeCell ref="I70:J70"/>
    <mergeCell ref="A14:L14"/>
    <mergeCell ref="K16:L16"/>
    <mergeCell ref="K17:L17"/>
    <mergeCell ref="A19:B19"/>
    <mergeCell ref="C19:F19"/>
    <mergeCell ref="H19:L19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FE6-7A8C-462A-A4AD-C2C6FD4FC071}">
  <sheetPr codeName="Лист7"/>
  <dimension ref="A1:L111"/>
  <sheetViews>
    <sheetView view="pageBreakPreview" topLeftCell="A61" zoomScaleNormal="100" zoomScaleSheetLayoutView="100" workbookViewId="0">
      <selection activeCell="N81" sqref="N8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ht="13.9" customHeight="1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29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09" t="s">
        <v>369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3.9" customHeight="1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8.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  <v>25.09.2024</v>
      </c>
      <c r="L16" s="300"/>
    </row>
    <row r="17" spans="1:12" ht="13.9" customHeight="1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'Данные объект'!B11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7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7.4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1.6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63" customHeight="1" x14ac:dyDescent="0.25">
      <c r="A37" s="305" t="s">
        <v>444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289</v>
      </c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 t="s">
        <v>495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77</v>
      </c>
      <c r="J41" s="312"/>
      <c r="K41" s="312"/>
      <c r="L41" s="312"/>
    </row>
    <row r="42" spans="1:12" x14ac:dyDescent="0.25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456</v>
      </c>
      <c r="D43" s="312"/>
      <c r="E43" s="278" t="s">
        <v>54</v>
      </c>
      <c r="F43" s="278"/>
      <c r="G43" s="312" t="str">
        <f>C43</f>
        <v>106 шт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86</v>
      </c>
      <c r="D45" s="236"/>
      <c r="E45" s="236"/>
      <c r="F45" s="122" t="s">
        <v>31</v>
      </c>
      <c r="G45" s="312" t="s">
        <v>296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28" t="s">
        <v>445</v>
      </c>
      <c r="B57" s="328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328" t="s">
        <v>446</v>
      </c>
      <c r="B58" s="328"/>
      <c r="C58" s="298" t="s">
        <v>38</v>
      </c>
      <c r="D58" s="298"/>
      <c r="E58" s="298" t="s">
        <v>39</v>
      </c>
      <c r="F58" s="298"/>
      <c r="G58" s="298" t="s">
        <v>38</v>
      </c>
      <c r="H58" s="298"/>
      <c r="I58" s="298" t="s">
        <v>38</v>
      </c>
      <c r="J58" s="298"/>
      <c r="K58" s="24" t="s">
        <v>38</v>
      </c>
      <c r="L58" s="25" t="s">
        <v>18</v>
      </c>
    </row>
    <row r="59" spans="1:12" ht="15" customHeight="1" x14ac:dyDescent="0.25">
      <c r="A59" s="328" t="s">
        <v>350</v>
      </c>
      <c r="B59" s="328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24" t="s">
        <v>38</v>
      </c>
      <c r="L59" s="25" t="s">
        <v>18</v>
      </c>
    </row>
    <row r="60" spans="1:12" x14ac:dyDescent="0.25">
      <c r="A60" s="328" t="s">
        <v>447</v>
      </c>
      <c r="B60" s="328"/>
      <c r="C60" s="298" t="s">
        <v>38</v>
      </c>
      <c r="D60" s="298"/>
      <c r="E60" s="298" t="s">
        <v>39</v>
      </c>
      <c r="F60" s="298"/>
      <c r="G60" s="298" t="s">
        <v>38</v>
      </c>
      <c r="H60" s="298"/>
      <c r="I60" s="298" t="s">
        <v>38</v>
      </c>
      <c r="J60" s="298"/>
      <c r="K60" s="24" t="s">
        <v>38</v>
      </c>
      <c r="L60" s="25" t="s">
        <v>18</v>
      </c>
    </row>
    <row r="61" spans="1:12" x14ac:dyDescent="0.25">
      <c r="A61" s="328" t="s">
        <v>448</v>
      </c>
      <c r="B61" s="328"/>
      <c r="C61" s="298" t="s">
        <v>38</v>
      </c>
      <c r="D61" s="298"/>
      <c r="E61" s="298" t="s">
        <v>39</v>
      </c>
      <c r="F61" s="298"/>
      <c r="G61" s="298" t="s">
        <v>38</v>
      </c>
      <c r="H61" s="298"/>
      <c r="I61" s="298" t="s">
        <v>38</v>
      </c>
      <c r="J61" s="298"/>
      <c r="K61" s="158" t="s">
        <v>38</v>
      </c>
      <c r="L61" s="25" t="s">
        <v>18</v>
      </c>
    </row>
    <row r="62" spans="1:12" x14ac:dyDescent="0.25">
      <c r="A62" s="328" t="s">
        <v>449</v>
      </c>
      <c r="B62" s="328"/>
      <c r="C62" s="298" t="s">
        <v>38</v>
      </c>
      <c r="D62" s="298"/>
      <c r="E62" s="298" t="s">
        <v>39</v>
      </c>
      <c r="F62" s="298"/>
      <c r="G62" s="298" t="s">
        <v>38</v>
      </c>
      <c r="H62" s="298"/>
      <c r="I62" s="298" t="s">
        <v>38</v>
      </c>
      <c r="J62" s="298"/>
      <c r="K62" s="150" t="s">
        <v>38</v>
      </c>
      <c r="L62" s="25" t="s">
        <v>18</v>
      </c>
    </row>
    <row r="63" spans="1:12" x14ac:dyDescent="0.25">
      <c r="A63" s="328" t="s">
        <v>450</v>
      </c>
      <c r="B63" s="328"/>
      <c r="C63" s="298" t="s">
        <v>38</v>
      </c>
      <c r="D63" s="298"/>
      <c r="E63" s="298" t="s">
        <v>39</v>
      </c>
      <c r="F63" s="298"/>
      <c r="G63" s="298" t="s">
        <v>38</v>
      </c>
      <c r="H63" s="298"/>
      <c r="I63" s="298" t="s">
        <v>38</v>
      </c>
      <c r="J63" s="298"/>
      <c r="K63" s="150" t="s">
        <v>38</v>
      </c>
      <c r="L63" s="25" t="s">
        <v>18</v>
      </c>
    </row>
    <row r="64" spans="1:12" x14ac:dyDescent="0.25">
      <c r="A64" s="328" t="s">
        <v>451</v>
      </c>
      <c r="B64" s="328"/>
      <c r="C64" s="298" t="s">
        <v>38</v>
      </c>
      <c r="D64" s="298"/>
      <c r="E64" s="298" t="s">
        <v>39</v>
      </c>
      <c r="F64" s="298"/>
      <c r="G64" s="298" t="s">
        <v>38</v>
      </c>
      <c r="H64" s="298"/>
      <c r="I64" s="298" t="s">
        <v>38</v>
      </c>
      <c r="J64" s="298"/>
      <c r="K64" s="150" t="s">
        <v>38</v>
      </c>
      <c r="L64" s="25" t="s">
        <v>18</v>
      </c>
    </row>
    <row r="65" spans="1:12" x14ac:dyDescent="0.25">
      <c r="A65" s="328" t="s">
        <v>427</v>
      </c>
      <c r="B65" s="328"/>
      <c r="C65" s="298" t="s">
        <v>38</v>
      </c>
      <c r="D65" s="298"/>
      <c r="E65" s="298" t="s">
        <v>39</v>
      </c>
      <c r="F65" s="298"/>
      <c r="G65" s="298" t="s">
        <v>38</v>
      </c>
      <c r="H65" s="298"/>
      <c r="I65" s="298" t="s">
        <v>38</v>
      </c>
      <c r="J65" s="298"/>
      <c r="K65" s="158" t="s">
        <v>38</v>
      </c>
      <c r="L65" s="25" t="s">
        <v>18</v>
      </c>
    </row>
    <row r="66" spans="1:12" x14ac:dyDescent="0.25">
      <c r="A66" s="328" t="s">
        <v>426</v>
      </c>
      <c r="B66" s="328"/>
      <c r="C66" s="298" t="s">
        <v>38</v>
      </c>
      <c r="D66" s="298"/>
      <c r="E66" s="298" t="s">
        <v>39</v>
      </c>
      <c r="F66" s="298"/>
      <c r="G66" s="298" t="s">
        <v>38</v>
      </c>
      <c r="H66" s="298"/>
      <c r="I66" s="298" t="s">
        <v>38</v>
      </c>
      <c r="J66" s="298"/>
      <c r="K66" s="158" t="s">
        <v>38</v>
      </c>
      <c r="L66" s="25" t="s">
        <v>18</v>
      </c>
    </row>
    <row r="67" spans="1:12" x14ac:dyDescent="0.25">
      <c r="A67" s="328" t="s">
        <v>452</v>
      </c>
      <c r="B67" s="328"/>
      <c r="C67" s="298" t="s">
        <v>38</v>
      </c>
      <c r="D67" s="298"/>
      <c r="E67" s="298" t="s">
        <v>39</v>
      </c>
      <c r="F67" s="298"/>
      <c r="G67" s="298" t="s">
        <v>38</v>
      </c>
      <c r="H67" s="298"/>
      <c r="I67" s="298" t="s">
        <v>38</v>
      </c>
      <c r="J67" s="298"/>
      <c r="K67" s="158" t="s">
        <v>38</v>
      </c>
      <c r="L67" s="25" t="s">
        <v>18</v>
      </c>
    </row>
    <row r="68" spans="1:12" x14ac:dyDescent="0.25">
      <c r="A68" s="328" t="s">
        <v>453</v>
      </c>
      <c r="B68" s="328"/>
      <c r="C68" s="298" t="s">
        <v>38</v>
      </c>
      <c r="D68" s="298"/>
      <c r="E68" s="298" t="s">
        <v>39</v>
      </c>
      <c r="F68" s="298"/>
      <c r="G68" s="298" t="s">
        <v>38</v>
      </c>
      <c r="H68" s="298"/>
      <c r="I68" s="298" t="s">
        <v>38</v>
      </c>
      <c r="J68" s="298"/>
      <c r="K68" s="158" t="s">
        <v>38</v>
      </c>
      <c r="L68" s="25" t="s">
        <v>18</v>
      </c>
    </row>
    <row r="69" spans="1:12" x14ac:dyDescent="0.25">
      <c r="A69" s="328" t="s">
        <v>454</v>
      </c>
      <c r="B69" s="328"/>
      <c r="C69" s="298" t="s">
        <v>38</v>
      </c>
      <c r="D69" s="298"/>
      <c r="E69" s="298" t="s">
        <v>39</v>
      </c>
      <c r="F69" s="298"/>
      <c r="G69" s="298" t="s">
        <v>38</v>
      </c>
      <c r="H69" s="298"/>
      <c r="I69" s="298" t="s">
        <v>38</v>
      </c>
      <c r="J69" s="298"/>
      <c r="K69" s="158" t="s">
        <v>38</v>
      </c>
      <c r="L69" s="25" t="s">
        <v>18</v>
      </c>
    </row>
    <row r="70" spans="1:12" x14ac:dyDescent="0.25">
      <c r="A70" s="328" t="s">
        <v>455</v>
      </c>
      <c r="B70" s="328"/>
      <c r="C70" s="298" t="s">
        <v>38</v>
      </c>
      <c r="D70" s="298"/>
      <c r="E70" s="298" t="s">
        <v>39</v>
      </c>
      <c r="F70" s="298"/>
      <c r="G70" s="298" t="s">
        <v>38</v>
      </c>
      <c r="H70" s="298"/>
      <c r="I70" s="298" t="s">
        <v>38</v>
      </c>
      <c r="J70" s="298"/>
      <c r="K70" s="150" t="s">
        <v>38</v>
      </c>
      <c r="L70" s="25" t="s">
        <v>18</v>
      </c>
    </row>
    <row r="71" spans="1:12" ht="15" hidden="1" customHeight="1" x14ac:dyDescent="0.25">
      <c r="A71" s="328"/>
      <c r="B71" s="328"/>
      <c r="C71" s="298"/>
      <c r="D71" s="298"/>
      <c r="E71" s="298"/>
      <c r="F71" s="298"/>
      <c r="G71" s="298"/>
      <c r="H71" s="298"/>
      <c r="I71" s="298"/>
      <c r="J71" s="298"/>
      <c r="K71" s="158"/>
      <c r="L71" s="25"/>
    </row>
    <row r="72" spans="1:12" hidden="1" x14ac:dyDescent="0.25">
      <c r="A72" s="328"/>
      <c r="B72" s="328"/>
      <c r="C72" s="298"/>
      <c r="D72" s="298"/>
      <c r="E72" s="298"/>
      <c r="F72" s="298"/>
      <c r="G72" s="298"/>
      <c r="H72" s="298"/>
      <c r="I72" s="298"/>
      <c r="J72" s="298"/>
      <c r="K72" s="150"/>
      <c r="L72" s="25"/>
    </row>
    <row r="73" spans="1:12" hidden="1" x14ac:dyDescent="0.25">
      <c r="A73" s="328"/>
      <c r="B73" s="328"/>
      <c r="C73" s="298"/>
      <c r="D73" s="298"/>
      <c r="E73" s="298"/>
      <c r="F73" s="298"/>
      <c r="G73" s="298"/>
      <c r="H73" s="298"/>
      <c r="I73" s="298"/>
      <c r="J73" s="298"/>
      <c r="K73" s="24"/>
      <c r="L73" s="25"/>
    </row>
    <row r="74" spans="1:12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x14ac:dyDescent="0.25">
      <c r="A75" s="240" t="s">
        <v>13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</row>
    <row r="76" spans="1:12" x14ac:dyDescent="0.25">
      <c r="A76" s="215" t="s">
        <v>172</v>
      </c>
      <c r="B76" s="215"/>
      <c r="C76" s="215"/>
      <c r="D76" s="215"/>
      <c r="E76" s="255" t="s">
        <v>60</v>
      </c>
      <c r="F76" s="255"/>
      <c r="G76" s="255"/>
      <c r="H76" s="255"/>
      <c r="I76" s="255"/>
      <c r="J76" s="255"/>
      <c r="K76" s="255"/>
      <c r="L76" s="255"/>
    </row>
    <row r="77" spans="1:12" x14ac:dyDescent="0.25">
      <c r="A77" s="222" t="s">
        <v>20</v>
      </c>
      <c r="B77" s="222"/>
      <c r="C77" s="222"/>
      <c r="D77" s="222"/>
      <c r="E77" s="220"/>
      <c r="F77" s="220"/>
      <c r="G77" s="220"/>
      <c r="H77" s="220"/>
      <c r="I77" s="220"/>
      <c r="J77" s="220"/>
      <c r="K77" s="220"/>
      <c r="L77" s="220"/>
    </row>
    <row r="78" spans="1:12" x14ac:dyDescent="0.25">
      <c r="A78" s="215" t="s">
        <v>57</v>
      </c>
      <c r="B78" s="215"/>
      <c r="C78" s="215"/>
      <c r="D78" s="255" t="s">
        <v>60</v>
      </c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2" t="s">
        <v>43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x14ac:dyDescent="0.25">
      <c r="A80" s="215" t="s">
        <v>56</v>
      </c>
      <c r="B80" s="215"/>
      <c r="C80" s="215"/>
      <c r="D80" s="215"/>
      <c r="E80" s="255" t="s">
        <v>60</v>
      </c>
      <c r="F80" s="255"/>
      <c r="G80" s="255"/>
      <c r="H80" s="255"/>
      <c r="I80" s="255"/>
      <c r="J80" s="255"/>
      <c r="K80" s="255"/>
      <c r="L80" s="255"/>
    </row>
    <row r="81" spans="1:12" x14ac:dyDescent="0.25">
      <c r="A81" s="222" t="s">
        <v>44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15" t="s">
        <v>55</v>
      </c>
      <c r="B82" s="215"/>
      <c r="C82" s="215"/>
      <c r="D82" s="225" t="s">
        <v>60</v>
      </c>
      <c r="E82" s="225"/>
      <c r="F82" s="225"/>
      <c r="G82" s="225"/>
      <c r="H82" s="225"/>
      <c r="I82" s="225"/>
      <c r="J82" s="225"/>
      <c r="K82" s="225"/>
      <c r="L82" s="225"/>
    </row>
    <row r="83" spans="1:12" x14ac:dyDescent="0.25">
      <c r="A83" s="222" t="s">
        <v>44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15" t="s">
        <v>173</v>
      </c>
      <c r="B84" s="215"/>
      <c r="C84" s="215"/>
      <c r="D84" s="267" t="s">
        <v>178</v>
      </c>
      <c r="E84" s="267"/>
      <c r="F84" s="267"/>
      <c r="G84" s="267"/>
      <c r="H84" s="267"/>
      <c r="I84" s="267"/>
      <c r="J84" s="267"/>
      <c r="K84" s="267"/>
      <c r="L84" s="267"/>
    </row>
    <row r="85" spans="1:12" x14ac:dyDescent="0.25">
      <c r="A85" s="222" t="s">
        <v>174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x14ac:dyDescent="0.25">
      <c r="A86" s="240" t="s">
        <v>58</v>
      </c>
      <c r="B86" s="240"/>
      <c r="C86" s="240"/>
      <c r="D86" s="240"/>
      <c r="E86" s="240"/>
      <c r="F86" s="240"/>
      <c r="G86" s="240"/>
      <c r="H86" s="256" t="s">
        <v>35</v>
      </c>
      <c r="I86" s="256"/>
      <c r="J86" s="256"/>
      <c r="K86" s="256"/>
      <c r="L86" s="256"/>
    </row>
    <row r="87" spans="1:12" x14ac:dyDescent="0.25">
      <c r="A87" s="233" t="s">
        <v>45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</row>
    <row r="88" spans="1:12" x14ac:dyDescent="0.25">
      <c r="A88" s="261" t="s">
        <v>175</v>
      </c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</row>
    <row r="89" spans="1:12" x14ac:dyDescent="0.25">
      <c r="A89" s="233" t="s">
        <v>47</v>
      </c>
      <c r="B89" s="233"/>
      <c r="C89" s="233"/>
      <c r="D89" s="233"/>
      <c r="E89" s="233"/>
      <c r="F89" s="233"/>
      <c r="G89" s="233"/>
      <c r="H89" s="233"/>
      <c r="I89" s="233"/>
      <c r="J89" s="233"/>
      <c r="K89" s="233"/>
    </row>
    <row r="91" spans="1:12" x14ac:dyDescent="0.25">
      <c r="A91" s="215" t="s">
        <v>14</v>
      </c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</row>
    <row r="92" spans="1:12" x14ac:dyDescent="0.25">
      <c r="A92" s="259" t="s">
        <v>61</v>
      </c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</row>
    <row r="93" spans="1:12" ht="12.75" customHeight="1" x14ac:dyDescent="0.25">
      <c r="A93" s="260" t="s">
        <v>63</v>
      </c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</row>
    <row r="94" spans="1:12" ht="12.75" hidden="1" customHeight="1" x14ac:dyDescent="0.25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</row>
    <row r="95" spans="1:12" x14ac:dyDescent="0.25">
      <c r="A95" s="220" t="s">
        <v>62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4.45" customHeight="1" x14ac:dyDescent="0.25">
      <c r="A96" s="226" t="s">
        <v>176</v>
      </c>
      <c r="B96" s="226"/>
      <c r="C96" s="226"/>
      <c r="D96" s="255" t="s">
        <v>38</v>
      </c>
      <c r="E96" s="255"/>
      <c r="F96" s="255"/>
      <c r="G96" s="255"/>
      <c r="H96" s="255"/>
      <c r="I96" s="255"/>
      <c r="J96" s="255"/>
      <c r="K96" s="255"/>
      <c r="L96" s="255"/>
    </row>
    <row r="97" spans="1:12" ht="12.75" customHeight="1" x14ac:dyDescent="0.25">
      <c r="A97" s="222" t="s">
        <v>21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</row>
    <row r="98" spans="1:12" ht="13.15" customHeight="1" x14ac:dyDescent="0.25">
      <c r="A98" s="265" t="s">
        <v>23</v>
      </c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</row>
    <row r="99" spans="1:12" ht="19.149999999999999" customHeight="1" x14ac:dyDescent="0.25">
      <c r="A99" s="257" t="str">
        <f>C22</f>
        <v>Главный энергетик ООО "Энергосистемы"  Фечин А.А.</v>
      </c>
      <c r="B99" s="257"/>
      <c r="C99" s="257"/>
      <c r="D99" s="257"/>
      <c r="E99" s="257"/>
      <c r="F99" s="257"/>
      <c r="G99" s="257"/>
      <c r="H99" s="257"/>
      <c r="I99" s="257"/>
      <c r="J99" s="7"/>
      <c r="K99" s="258"/>
      <c r="L99" s="258"/>
    </row>
    <row r="100" spans="1:12" x14ac:dyDescent="0.25">
      <c r="A100" s="222" t="s">
        <v>48</v>
      </c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</row>
    <row r="101" spans="1:12" ht="10.5" customHeight="1" x14ac:dyDescent="0.25">
      <c r="A101" s="265" t="s">
        <v>22</v>
      </c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</row>
    <row r="102" spans="1:12" ht="18" customHeight="1" x14ac:dyDescent="0.25">
      <c r="A102" s="257" t="str">
        <f>C26</f>
        <v>Прораб ООО "Энергосистемы"  Волков М.Ю.</v>
      </c>
      <c r="B102" s="257"/>
      <c r="C102" s="257"/>
      <c r="D102" s="257"/>
      <c r="E102" s="257"/>
      <c r="F102" s="257"/>
      <c r="G102" s="257"/>
      <c r="H102" s="257"/>
      <c r="I102" s="257"/>
      <c r="J102" s="7"/>
      <c r="K102" s="258"/>
      <c r="L102" s="258"/>
    </row>
    <row r="103" spans="1:12" x14ac:dyDescent="0.25">
      <c r="A103" s="222" t="s">
        <v>48</v>
      </c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</row>
    <row r="104" spans="1:12" x14ac:dyDescent="0.25">
      <c r="A104" s="257" t="str">
        <f>C28</f>
        <v>Инженер-электрик ООО "Энергосистемы"  Высоцкий А.В.</v>
      </c>
      <c r="B104" s="257"/>
      <c r="C104" s="257"/>
      <c r="D104" s="257"/>
      <c r="E104" s="257"/>
      <c r="F104" s="257"/>
      <c r="G104" s="257"/>
      <c r="H104" s="257"/>
      <c r="I104" s="257"/>
      <c r="J104" s="7"/>
      <c r="K104" s="258"/>
      <c r="L104" s="258"/>
    </row>
    <row r="105" spans="1:12" x14ac:dyDescent="0.25">
      <c r="A105" s="222" t="s">
        <v>48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</row>
    <row r="106" spans="1:12" x14ac:dyDescent="0.25">
      <c r="A106" s="265" t="s">
        <v>49</v>
      </c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</row>
    <row r="107" spans="1:12" x14ac:dyDescent="0.25">
      <c r="A107" s="257" t="str">
        <f>C30</f>
        <v>Гл. специалист ССК УКС ПАО "Россети Московский регион" Алексанян Г.Р.</v>
      </c>
      <c r="B107" s="257"/>
      <c r="C107" s="257"/>
      <c r="D107" s="257"/>
      <c r="E107" s="257"/>
      <c r="F107" s="257"/>
      <c r="G107" s="257"/>
      <c r="H107" s="257"/>
      <c r="I107" s="257"/>
      <c r="J107" s="257"/>
      <c r="K107" s="266"/>
      <c r="L107" s="266"/>
    </row>
    <row r="108" spans="1:12" x14ac:dyDescent="0.25">
      <c r="A108" s="222" t="s">
        <v>2</v>
      </c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</row>
    <row r="109" spans="1:12" x14ac:dyDescent="0.25">
      <c r="A109" s="265" t="s">
        <v>24</v>
      </c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</row>
    <row r="110" spans="1:12" x14ac:dyDescent="0.25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</row>
    <row r="111" spans="1:12" x14ac:dyDescent="0.25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</row>
  </sheetData>
  <mergeCells count="199">
    <mergeCell ref="A75:L75"/>
    <mergeCell ref="A61:B61"/>
    <mergeCell ref="C61:D61"/>
    <mergeCell ref="E61:F61"/>
    <mergeCell ref="G61:H61"/>
    <mergeCell ref="I61:J61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I66:J66"/>
    <mergeCell ref="A67:B67"/>
    <mergeCell ref="C67:D67"/>
    <mergeCell ref="A104:I104"/>
    <mergeCell ref="K104:L104"/>
    <mergeCell ref="A76:D76"/>
    <mergeCell ref="E76:L76"/>
    <mergeCell ref="A78:C78"/>
    <mergeCell ref="D78:L78"/>
    <mergeCell ref="A79:L79"/>
    <mergeCell ref="A80:D80"/>
    <mergeCell ref="E80:L80"/>
    <mergeCell ref="A81:L81"/>
    <mergeCell ref="A82:C82"/>
    <mergeCell ref="D82:L82"/>
    <mergeCell ref="A77:L77"/>
    <mergeCell ref="A111:L111"/>
    <mergeCell ref="A108:L108"/>
    <mergeCell ref="A109:L109"/>
    <mergeCell ref="A106:L106"/>
    <mergeCell ref="K107:L107"/>
    <mergeCell ref="A107:J107"/>
    <mergeCell ref="A83:L83"/>
    <mergeCell ref="A84:C84"/>
    <mergeCell ref="D84:L84"/>
    <mergeCell ref="A85:L85"/>
    <mergeCell ref="A86:G86"/>
    <mergeCell ref="H86:L86"/>
    <mergeCell ref="A88:L88"/>
    <mergeCell ref="A89:K89"/>
    <mergeCell ref="A110:L110"/>
    <mergeCell ref="A97:L97"/>
    <mergeCell ref="A87:L87"/>
    <mergeCell ref="A102:I102"/>
    <mergeCell ref="A96:C96"/>
    <mergeCell ref="D96:L96"/>
    <mergeCell ref="A91:L91"/>
    <mergeCell ref="A92:L92"/>
    <mergeCell ref="A105:L105"/>
    <mergeCell ref="K102:L102"/>
    <mergeCell ref="G60:H60"/>
    <mergeCell ref="A103:L103"/>
    <mergeCell ref="A100:L100"/>
    <mergeCell ref="A101:L101"/>
    <mergeCell ref="A98:L98"/>
    <mergeCell ref="A99:I99"/>
    <mergeCell ref="K99:L99"/>
    <mergeCell ref="A93:L93"/>
    <mergeCell ref="A94:L94"/>
    <mergeCell ref="A95:L95"/>
    <mergeCell ref="A63:B63"/>
    <mergeCell ref="C63:D63"/>
    <mergeCell ref="E63:F63"/>
    <mergeCell ref="G63:H63"/>
    <mergeCell ref="I63:J63"/>
    <mergeCell ref="A72:B72"/>
    <mergeCell ref="C72:D72"/>
    <mergeCell ref="E72:F72"/>
    <mergeCell ref="G72:H72"/>
    <mergeCell ref="I72:J72"/>
    <mergeCell ref="A64:B64"/>
    <mergeCell ref="C64:D64"/>
    <mergeCell ref="E64:F64"/>
    <mergeCell ref="G64:H64"/>
    <mergeCell ref="I58:J58"/>
    <mergeCell ref="A73:B73"/>
    <mergeCell ref="C73:D73"/>
    <mergeCell ref="E73:F73"/>
    <mergeCell ref="G73:H73"/>
    <mergeCell ref="I73:J73"/>
    <mergeCell ref="I59:J59"/>
    <mergeCell ref="I60:J60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A62:B62"/>
    <mergeCell ref="C62:D62"/>
    <mergeCell ref="E62:F62"/>
    <mergeCell ref="G62:H62"/>
    <mergeCell ref="I62:J62"/>
    <mergeCell ref="A56:B56"/>
    <mergeCell ref="C56:D56"/>
    <mergeCell ref="E56:F56"/>
    <mergeCell ref="G56:H56"/>
    <mergeCell ref="I56:J56"/>
    <mergeCell ref="I57:J57"/>
    <mergeCell ref="A57:B57"/>
    <mergeCell ref="C57:D57"/>
    <mergeCell ref="E57:F57"/>
    <mergeCell ref="G57:H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I64:J64"/>
    <mergeCell ref="A70:B70"/>
    <mergeCell ref="C70:D70"/>
    <mergeCell ref="E70:F70"/>
    <mergeCell ref="G70:H70"/>
    <mergeCell ref="I70:J70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G67:H67"/>
    <mergeCell ref="I67:J67"/>
    <mergeCell ref="E67:F67"/>
    <mergeCell ref="A14:L14"/>
    <mergeCell ref="K16:L16"/>
    <mergeCell ref="K17:L17"/>
    <mergeCell ref="A19:B19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1BD-771D-4E1F-9BD9-EA2DD819C9E1}">
  <sheetPr codeName="Лист10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29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170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9.25" customHeight="1" x14ac:dyDescent="0.25">
      <c r="A16" s="330" t="str">
        <f>'Провод СИП 3'!A16</f>
        <v>141533,Российская Федерация, г.о.Солнечногорск</v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  <v>25.09.2024</v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3.4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8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149999999999999" customHeight="1" x14ac:dyDescent="0.25">
      <c r="A30" s="18"/>
      <c r="B30" s="18"/>
      <c r="C30" s="305" t="str">
        <f>'Данные объект'!B32</f>
        <v>Гл. специалист ССК УКС ПАО "Россети Московский регион" Алексанян Г.Р.</v>
      </c>
      <c r="D30" s="305"/>
      <c r="E30" s="305"/>
      <c r="F30" s="305"/>
      <c r="G30" s="305"/>
      <c r="H30" s="305"/>
      <c r="I30" s="305"/>
      <c r="J30" s="305"/>
      <c r="K30" s="305"/>
      <c r="L30" s="305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6" t="s">
        <v>3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81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297</v>
      </c>
      <c r="L39" s="236"/>
    </row>
    <row r="40" spans="1:12" x14ac:dyDescent="0.2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311" t="s">
        <v>41</v>
      </c>
      <c r="L40" s="311"/>
    </row>
    <row r="41" spans="1:12" ht="29.25" customHeight="1" x14ac:dyDescent="0.25">
      <c r="A41" s="236" t="s">
        <v>353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82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68</v>
      </c>
      <c r="D43" s="312"/>
      <c r="E43" s="278" t="s">
        <v>54</v>
      </c>
      <c r="F43" s="278"/>
      <c r="G43" s="312" t="str">
        <f>C43</f>
        <v>1 шт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83</v>
      </c>
      <c r="D45" s="236"/>
      <c r="E45" s="236"/>
      <c r="F45" s="122" t="s">
        <v>31</v>
      </c>
      <c r="G45" s="312" t="s">
        <v>84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57">
        <v>6</v>
      </c>
      <c r="L56" s="157">
        <v>7</v>
      </c>
    </row>
    <row r="57" spans="1:12" ht="13.9" customHeight="1" x14ac:dyDescent="0.25">
      <c r="A57" s="325" t="str">
        <f>C43</f>
        <v>1 шт</v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57" t="s">
        <v>38</v>
      </c>
      <c r="L57" s="125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172</v>
      </c>
      <c r="B60" s="231"/>
      <c r="C60" s="231"/>
      <c r="D60" s="231"/>
      <c r="E60" s="267" t="s">
        <v>60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31" t="s">
        <v>57</v>
      </c>
      <c r="B62" s="231"/>
      <c r="C62" s="231"/>
      <c r="D62" s="267" t="s">
        <v>60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1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15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17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87E7-A757-413A-87B6-6B2BA5185D65}">
  <sheetPr codeName="Лист17"/>
  <dimension ref="A1:L98"/>
  <sheetViews>
    <sheetView view="pageBreakPreview" zoomScaleNormal="100" zoomScaleSheetLayoutView="100" workbookViewId="0">
      <selection activeCell="P18" sqref="P18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14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'Данные объект'!B51</f>
        <v>методическими указаниями ПАО "Россети Московский регион" (утв. Приказом от 14.11.2024 г. № 1254)</v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345" t="s">
        <v>99</v>
      </c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x14ac:dyDescent="0.25">
      <c r="A40" s="222" t="s">
        <v>6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</row>
    <row r="41" spans="1:12" ht="34.5" customHeight="1" x14ac:dyDescent="0.25">
      <c r="A41" s="240" t="s">
        <v>29</v>
      </c>
      <c r="B41" s="240"/>
      <c r="C41" s="240"/>
      <c r="D41" s="240"/>
      <c r="E41" s="240"/>
      <c r="F41" s="240"/>
      <c r="G41" s="240"/>
      <c r="H41" s="240"/>
      <c r="I41" s="240"/>
      <c r="J41" s="240"/>
      <c r="K41" s="346" t="s">
        <v>163</v>
      </c>
      <c r="L41" s="346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3" t="s">
        <v>41</v>
      </c>
      <c r="L42" s="273"/>
    </row>
    <row r="43" spans="1:12" ht="29.25" customHeight="1" x14ac:dyDescent="0.25">
      <c r="A43" s="347" t="s">
        <v>165</v>
      </c>
      <c r="B43" s="347"/>
      <c r="C43" s="347"/>
      <c r="D43" s="347"/>
      <c r="E43" s="347"/>
      <c r="F43" s="347"/>
      <c r="G43" s="347"/>
      <c r="H43" s="8" t="s">
        <v>51</v>
      </c>
      <c r="I43" s="271" t="s">
        <v>164</v>
      </c>
      <c r="J43" s="271"/>
      <c r="K43" s="271"/>
      <c r="L43" s="271"/>
    </row>
    <row r="44" spans="1:12" x14ac:dyDescent="0.25">
      <c r="A44" s="222" t="s">
        <v>42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</row>
    <row r="45" spans="1:12" ht="15" customHeight="1" x14ac:dyDescent="0.25">
      <c r="A45" s="215" t="s">
        <v>28</v>
      </c>
      <c r="B45" s="215"/>
      <c r="C45" s="271" t="s">
        <v>100</v>
      </c>
      <c r="D45" s="271"/>
      <c r="E45" s="215" t="s">
        <v>54</v>
      </c>
      <c r="F45" s="215"/>
      <c r="G45" s="271"/>
      <c r="H45" s="271"/>
      <c r="I45" s="271"/>
      <c r="J45" s="271"/>
      <c r="K45" s="4"/>
      <c r="L45" s="4"/>
    </row>
    <row r="46" spans="1:12" x14ac:dyDescent="0.25">
      <c r="A46" s="233" t="s">
        <v>53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ht="15" customHeight="1" x14ac:dyDescent="0.25">
      <c r="A47" s="240" t="s">
        <v>30</v>
      </c>
      <c r="B47" s="240"/>
      <c r="C47" s="241" t="s">
        <v>86</v>
      </c>
      <c r="D47" s="241"/>
      <c r="E47" s="241"/>
      <c r="F47" s="5" t="s">
        <v>31</v>
      </c>
      <c r="G47" s="242" t="s">
        <v>293</v>
      </c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64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11">
        <v>6</v>
      </c>
      <c r="L58" s="11">
        <v>7</v>
      </c>
    </row>
    <row r="59" spans="1:12" ht="26.45" customHeight="1" x14ac:dyDescent="0.25">
      <c r="A59" s="342" t="str">
        <f>C45</f>
        <v>6 шт</v>
      </c>
      <c r="B59" s="343"/>
      <c r="C59" s="276" t="s">
        <v>38</v>
      </c>
      <c r="D59" s="277"/>
      <c r="E59" s="276" t="s">
        <v>39</v>
      </c>
      <c r="F59" s="277"/>
      <c r="G59" s="276" t="s">
        <v>38</v>
      </c>
      <c r="H59" s="277"/>
      <c r="I59" s="276" t="s">
        <v>38</v>
      </c>
      <c r="J59" s="277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341" t="s">
        <v>179</v>
      </c>
      <c r="E70" s="341"/>
      <c r="F70" s="341"/>
      <c r="G70" s="341"/>
      <c r="H70" s="341"/>
      <c r="I70" s="341"/>
      <c r="J70" s="341"/>
      <c r="K70" s="341"/>
      <c r="L70" s="341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9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0.45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2.9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83:L83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61:L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82:C82"/>
    <mergeCell ref="A63:L63"/>
    <mergeCell ref="A62:D62"/>
    <mergeCell ref="E62:L62"/>
    <mergeCell ref="A64:C64"/>
    <mergeCell ref="D64:L64"/>
    <mergeCell ref="A65:L65"/>
    <mergeCell ref="A66:D66"/>
    <mergeCell ref="E66:L66"/>
    <mergeCell ref="A67:L67"/>
    <mergeCell ref="D82:L82"/>
    <mergeCell ref="A70:C70"/>
    <mergeCell ref="A77:L77"/>
    <mergeCell ref="A78:L78"/>
    <mergeCell ref="A79:L79"/>
    <mergeCell ref="A80:L80"/>
    <mergeCell ref="A81:L81"/>
    <mergeCell ref="A73:L73"/>
    <mergeCell ref="D70:L70"/>
    <mergeCell ref="A71:L71"/>
    <mergeCell ref="A72:G72"/>
    <mergeCell ref="H72:L72"/>
    <mergeCell ref="A74:L74"/>
    <mergeCell ref="A75:K75"/>
    <mergeCell ref="K3:L3"/>
    <mergeCell ref="F5:G5"/>
    <mergeCell ref="A96:L96"/>
    <mergeCell ref="A97:L97"/>
    <mergeCell ref="A98:L98"/>
    <mergeCell ref="A94:L94"/>
    <mergeCell ref="A95:L95"/>
    <mergeCell ref="A92:L92"/>
    <mergeCell ref="K93:L93"/>
    <mergeCell ref="A89:L89"/>
    <mergeCell ref="A90:I90"/>
    <mergeCell ref="K90:L90"/>
    <mergeCell ref="A91:L91"/>
    <mergeCell ref="A93:J93"/>
    <mergeCell ref="A84:L84"/>
    <mergeCell ref="A85:I85"/>
    <mergeCell ref="K85:L85"/>
    <mergeCell ref="A86:L86"/>
    <mergeCell ref="A87:L87"/>
    <mergeCell ref="A88:I88"/>
    <mergeCell ref="K88:L88"/>
    <mergeCell ref="A68:C68"/>
    <mergeCell ref="D68:L68"/>
    <mergeCell ref="A69:L6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D017-8308-4EAB-8615-AE22ED4C367D}">
  <sheetPr codeName="Лист19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366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9.149999999999999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6.89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6.89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395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105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45" customHeight="1" x14ac:dyDescent="0.25">
      <c r="A41" s="238" t="s">
        <v>314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315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95</v>
      </c>
      <c r="D43" s="232"/>
      <c r="E43" s="231" t="s">
        <v>54</v>
      </c>
      <c r="F43" s="231"/>
      <c r="G43" s="232" t="str">
        <f>C43</f>
        <v>2 шт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106</v>
      </c>
      <c r="D45" s="238"/>
      <c r="E45" s="238"/>
      <c r="F45" s="105" t="s">
        <v>31</v>
      </c>
      <c r="G45" s="232" t="s">
        <v>298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9.25" customHeight="1" x14ac:dyDescent="0.25">
      <c r="A57" s="291" t="s">
        <v>396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2.1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41:G41"/>
    <mergeCell ref="I41:L41"/>
    <mergeCell ref="A32:B32"/>
    <mergeCell ref="C32:L32"/>
    <mergeCell ref="A16:G16"/>
    <mergeCell ref="A33:L33"/>
    <mergeCell ref="A34:L34"/>
    <mergeCell ref="C30:L30"/>
    <mergeCell ref="A31:L31"/>
    <mergeCell ref="A37:L37"/>
    <mergeCell ref="A38:L38"/>
    <mergeCell ref="A39:J39"/>
    <mergeCell ref="K39:L39"/>
    <mergeCell ref="K40:L40"/>
    <mergeCell ref="A36:L36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4:L14"/>
    <mergeCell ref="A19:B19"/>
    <mergeCell ref="C19:F19"/>
    <mergeCell ref="H19:L19"/>
    <mergeCell ref="A17:G17"/>
    <mergeCell ref="K16:L16"/>
    <mergeCell ref="K17:L1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5:B45"/>
    <mergeCell ref="C45:E45"/>
    <mergeCell ref="G45:L45"/>
    <mergeCell ref="A59:L59"/>
    <mergeCell ref="A61:L61"/>
    <mergeCell ref="A56:B56"/>
    <mergeCell ref="C56:D56"/>
    <mergeCell ref="E56:F56"/>
    <mergeCell ref="G56:H56"/>
    <mergeCell ref="I56:J56"/>
    <mergeCell ref="A60:D60"/>
    <mergeCell ref="E60:L60"/>
    <mergeCell ref="A57:B57"/>
    <mergeCell ref="C57:D57"/>
    <mergeCell ref="E57:F57"/>
    <mergeCell ref="G57:H57"/>
    <mergeCell ref="I57:J57"/>
    <mergeCell ref="A80:C80"/>
    <mergeCell ref="D80:L80"/>
    <mergeCell ref="A81:L81"/>
    <mergeCell ref="A86:I86"/>
    <mergeCell ref="K86:L86"/>
    <mergeCell ref="A87:L87"/>
    <mergeCell ref="A88:I88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72:L72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58C1-4AFD-45BB-8823-92BA96CE99BC}">
  <sheetPr codeName="Лист18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2.2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9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101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102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103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104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70</v>
      </c>
      <c r="D43" s="271"/>
      <c r="E43" s="215" t="s">
        <v>54</v>
      </c>
      <c r="F43" s="215"/>
      <c r="G43" s="271" t="str">
        <f>C43</f>
        <v>3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86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3 шт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4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7.45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142F-1681-49BA-A492-4593E601F033}">
  <sheetPr codeName="Лист21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9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0.45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109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112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110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111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70</v>
      </c>
      <c r="D43" s="271"/>
      <c r="E43" s="215" t="s">
        <v>54</v>
      </c>
      <c r="F43" s="215"/>
      <c r="G43" s="271" t="str">
        <f>C43</f>
        <v>3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86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3 шт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180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3.4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9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6E05-41D7-4DFB-92ED-8F4ADC33E33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6.89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116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113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114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115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70</v>
      </c>
      <c r="D43" s="271"/>
      <c r="E43" s="215" t="s">
        <v>54</v>
      </c>
      <c r="F43" s="215"/>
      <c r="G43" s="271" t="str">
        <f>C43</f>
        <v>3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86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3 шт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181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9735-9588-4833-A365-A0DEA154FE98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каб.АСБ!C19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149999999999999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1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33" customHeight="1" x14ac:dyDescent="0.25">
      <c r="A37" s="345" t="s">
        <v>147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148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149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150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95</v>
      </c>
      <c r="D43" s="271"/>
      <c r="E43" s="215" t="s">
        <v>54</v>
      </c>
      <c r="F43" s="215"/>
      <c r="G43" s="271" t="str">
        <f>C43</f>
        <v>2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 t="s">
        <v>128</v>
      </c>
      <c r="D45" s="272"/>
      <c r="E45" s="272"/>
      <c r="F45" s="23" t="s">
        <v>31</v>
      </c>
      <c r="G45" s="349" t="s">
        <v>299</v>
      </c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ht="13.9" customHeight="1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ht="13.9" customHeight="1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2 шт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182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CCA-BAF3-4AD0-9FD5-2D680E60606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168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3.4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4.6" customHeight="1" x14ac:dyDescent="0.25">
      <c r="A37" s="345" t="s">
        <v>194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127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125</v>
      </c>
      <c r="B41" s="347"/>
      <c r="C41" s="347"/>
      <c r="D41" s="347"/>
      <c r="E41" s="347"/>
      <c r="F41" s="347"/>
      <c r="G41" s="347"/>
      <c r="H41" s="8" t="s">
        <v>51</v>
      </c>
      <c r="I41" s="242" t="s">
        <v>126</v>
      </c>
      <c r="J41" s="242"/>
      <c r="K41" s="242"/>
      <c r="L41" s="24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195</v>
      </c>
      <c r="D43" s="271"/>
      <c r="E43" s="215" t="s">
        <v>54</v>
      </c>
      <c r="F43" s="215"/>
      <c r="G43" s="271" t="str">
        <f>C43</f>
        <v>28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 t="s">
        <v>128</v>
      </c>
      <c r="D45" s="272"/>
      <c r="E45" s="272"/>
      <c r="F45" s="23" t="s">
        <v>31</v>
      </c>
      <c r="G45" s="349" t="s">
        <v>129</v>
      </c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C43</f>
        <v>28 шт</v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196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.6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3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D807-34D4-4967-B521-C73BB2489B9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169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.7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4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1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197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122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198</v>
      </c>
      <c r="B41" s="347"/>
      <c r="C41" s="347"/>
      <c r="D41" s="347"/>
      <c r="E41" s="347"/>
      <c r="F41" s="347"/>
      <c r="G41" s="347"/>
      <c r="H41" s="8" t="s">
        <v>51</v>
      </c>
      <c r="I41" s="242" t="s">
        <v>123</v>
      </c>
      <c r="J41" s="242"/>
      <c r="K41" s="242"/>
      <c r="L41" s="24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200</v>
      </c>
      <c r="D43" s="271"/>
      <c r="E43" s="215" t="s">
        <v>54</v>
      </c>
      <c r="F43" s="215"/>
      <c r="G43" s="271" t="str">
        <f>C43</f>
        <v>6шт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 t="s">
        <v>121</v>
      </c>
      <c r="D45" s="272"/>
      <c r="E45" s="272"/>
      <c r="F45" s="5" t="s">
        <v>31</v>
      </c>
      <c r="G45" s="349" t="s">
        <v>199</v>
      </c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C43</f>
        <v>6шт</v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183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8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A8A0-75F4-46F1-B4E1-F3EFA8BAC059}">
  <sheetPr codeName="Лист1"/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35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316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225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290"/>
      <c r="H20" s="100"/>
      <c r="I20" s="100"/>
      <c r="J20" s="100"/>
      <c r="K20" s="100"/>
      <c r="L20" s="100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1" t="s">
        <v>46</v>
      </c>
      <c r="B22" s="231"/>
      <c r="C22" s="238" t="str">
        <f>'Данные объект'!C45</f>
        <v>Главный энергетик ООО "Энергосистемы"  Фечин А.А.</v>
      </c>
      <c r="D22" s="238"/>
      <c r="E22" s="238"/>
      <c r="F22" s="238"/>
      <c r="G22" s="238"/>
      <c r="H22" s="238"/>
      <c r="I22" s="238"/>
      <c r="J22" s="238"/>
      <c r="K22" s="238"/>
      <c r="L22" s="238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2.9" customHeight="1" x14ac:dyDescent="0.25">
      <c r="A28" s="103"/>
      <c r="B28" s="103"/>
      <c r="C28" s="234" t="str">
        <f>'Данные объект'!C49</f>
        <v>Инженер-электрик ООО "Энергосистемы"  Высоцкий А.В.</v>
      </c>
      <c r="D28" s="234"/>
      <c r="E28" s="234"/>
      <c r="F28" s="234"/>
      <c r="G28" s="234"/>
      <c r="H28" s="234"/>
      <c r="I28" s="234"/>
      <c r="J28" s="234"/>
      <c r="K28" s="234"/>
      <c r="L28" s="234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4.6" customHeight="1" x14ac:dyDescent="0.25">
      <c r="C30" s="210" t="str">
        <f>'Данные объект'!B32</f>
        <v>Гл. специалист ССК УКС ПАО "Россети Московский регион" Алексанян Г.Р.</v>
      </c>
      <c r="D30" s="210"/>
      <c r="E30" s="210"/>
      <c r="F30" s="210"/>
      <c r="G30" s="210"/>
      <c r="H30" s="210"/>
      <c r="I30" s="210"/>
      <c r="J30" s="210"/>
      <c r="K30" s="210"/>
      <c r="L30" s="210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301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292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 t="s">
        <v>386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59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385</v>
      </c>
      <c r="D43" s="232"/>
      <c r="E43" s="231" t="s">
        <v>54</v>
      </c>
      <c r="F43" s="231"/>
      <c r="G43" s="232" t="s">
        <v>302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86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C43</f>
        <v>64 м</v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31" t="s">
        <v>173</v>
      </c>
      <c r="B70" s="231"/>
      <c r="C70" s="231"/>
      <c r="D70" s="267" t="s">
        <v>294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174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58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68" t="s">
        <v>45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</row>
    <row r="74" spans="1:12" x14ac:dyDescent="0.25">
      <c r="A74" s="278" t="s">
        <v>175</v>
      </c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</row>
    <row r="75" spans="1:12" x14ac:dyDescent="0.25">
      <c r="A75" s="268" t="s">
        <v>47</v>
      </c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103"/>
    </row>
    <row r="76" spans="1:12" x14ac:dyDescent="0.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.7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19.899999999999999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0.45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0.45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3.9" customHeight="1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3:J93"/>
    <mergeCell ref="A14:L14"/>
    <mergeCell ref="K16:L16"/>
    <mergeCell ref="K17:L17"/>
    <mergeCell ref="A19:B19"/>
    <mergeCell ref="A31:L31"/>
    <mergeCell ref="A37:L37"/>
    <mergeCell ref="A38:L38"/>
    <mergeCell ref="A39:J39"/>
    <mergeCell ref="K39:L39"/>
    <mergeCell ref="K40:L40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I6:K6"/>
    <mergeCell ref="I7:K7"/>
    <mergeCell ref="A8:L8"/>
    <mergeCell ref="A9:L9"/>
    <mergeCell ref="A11:L11"/>
    <mergeCell ref="A27:L27"/>
    <mergeCell ref="C28:L28"/>
    <mergeCell ref="A29:L29"/>
    <mergeCell ref="C30:L30"/>
    <mergeCell ref="C20:G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90:L90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41:G41"/>
    <mergeCell ref="C19:G19"/>
    <mergeCell ref="H19:L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70:C70"/>
    <mergeCell ref="D70:L70"/>
    <mergeCell ref="A71:L71"/>
    <mergeCell ref="A72:G72"/>
    <mergeCell ref="H72:L72"/>
    <mergeCell ref="A90:I90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F3F-931C-4876-A688-2806217A92C6}">
  <dimension ref="A1:L100"/>
  <sheetViews>
    <sheetView view="pageBreakPreview" topLeftCell="A4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352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</row>
    <row r="10" spans="1:12" x14ac:dyDescent="0.25">
      <c r="A10" s="2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441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225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220"/>
      <c r="H20" s="9"/>
      <c r="I20" s="9"/>
      <c r="J20" s="9"/>
      <c r="K20" s="9"/>
      <c r="L20" s="9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1" t="s">
        <v>46</v>
      </c>
      <c r="B22" s="231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2.9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4.6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'Данные объект'!B51</f>
        <v>методическими указаниями ПАО "Россети Московский регион" (утв. Приказом от 14.11.2024 г. № 1254)</v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234" t="s">
        <v>442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72" t="s">
        <v>498</v>
      </c>
      <c r="L41" s="272"/>
    </row>
    <row r="42" spans="1:12" x14ac:dyDescent="0.25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237" t="s">
        <v>41</v>
      </c>
      <c r="L42" s="237"/>
    </row>
    <row r="43" spans="1:12" ht="29.25" customHeight="1" x14ac:dyDescent="0.25">
      <c r="A43" s="238" t="s">
        <v>496</v>
      </c>
      <c r="B43" s="238"/>
      <c r="C43" s="238"/>
      <c r="D43" s="238"/>
      <c r="E43" s="238"/>
      <c r="F43" s="238"/>
      <c r="G43" s="238"/>
      <c r="H43" s="105" t="s">
        <v>51</v>
      </c>
      <c r="I43" s="232" t="s">
        <v>59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32" t="s">
        <v>443</v>
      </c>
      <c r="D45" s="232"/>
      <c r="E45" s="231" t="s">
        <v>54</v>
      </c>
      <c r="F45" s="231"/>
      <c r="G45" s="232" t="s">
        <v>348</v>
      </c>
      <c r="H45" s="232"/>
      <c r="I45" s="232"/>
      <c r="J45" s="232"/>
      <c r="K45" s="106"/>
      <c r="L45" s="106"/>
    </row>
    <row r="46" spans="1:12" x14ac:dyDescent="0.25">
      <c r="A46" s="268" t="s">
        <v>53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40" t="s">
        <v>30</v>
      </c>
      <c r="B47" s="240"/>
      <c r="C47" s="241" t="s">
        <v>86</v>
      </c>
      <c r="D47" s="241"/>
      <c r="E47" s="241"/>
      <c r="F47" s="5" t="s">
        <v>31</v>
      </c>
      <c r="G47" s="242" t="s">
        <v>293</v>
      </c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64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87">
        <v>6</v>
      </c>
      <c r="L58" s="87">
        <v>7</v>
      </c>
    </row>
    <row r="59" spans="1:12" x14ac:dyDescent="0.25">
      <c r="A59" s="254" t="str">
        <f>C45</f>
        <v>135 м</v>
      </c>
      <c r="B59" s="254"/>
      <c r="C59" s="239" t="s">
        <v>38</v>
      </c>
      <c r="D59" s="239"/>
      <c r="E59" s="239" t="s">
        <v>39</v>
      </c>
      <c r="F59" s="239"/>
      <c r="G59" s="239" t="s">
        <v>38</v>
      </c>
      <c r="H59" s="239"/>
      <c r="I59" s="239" t="s">
        <v>38</v>
      </c>
      <c r="J59" s="239"/>
      <c r="K59" s="239" t="s">
        <v>38</v>
      </c>
      <c r="L59" s="239" t="s">
        <v>18</v>
      </c>
    </row>
    <row r="60" spans="1:12" x14ac:dyDescent="0.25">
      <c r="A60" s="254"/>
      <c r="B60" s="254"/>
      <c r="C60" s="239"/>
      <c r="D60" s="239"/>
      <c r="E60" s="239"/>
      <c r="F60" s="239"/>
      <c r="G60" s="239"/>
      <c r="H60" s="239"/>
      <c r="I60" s="239"/>
      <c r="J60" s="239"/>
      <c r="K60" s="239"/>
      <c r="L60" s="239"/>
    </row>
    <row r="61" spans="1:12" x14ac:dyDescent="0.25">
      <c r="A61" s="254"/>
      <c r="B61" s="254"/>
      <c r="C61" s="239"/>
      <c r="D61" s="239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1:12" x14ac:dyDescent="0.25">
      <c r="A63" s="240" t="s">
        <v>13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</row>
    <row r="64" spans="1:12" x14ac:dyDescent="0.25">
      <c r="A64" s="215" t="s">
        <v>172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20</v>
      </c>
      <c r="B65" s="222"/>
      <c r="C65" s="222"/>
      <c r="D65" s="222"/>
      <c r="E65" s="220"/>
      <c r="F65" s="220"/>
      <c r="G65" s="220"/>
      <c r="H65" s="220"/>
      <c r="I65" s="220"/>
      <c r="J65" s="220"/>
      <c r="K65" s="220"/>
      <c r="L65" s="220"/>
    </row>
    <row r="66" spans="1:12" x14ac:dyDescent="0.25">
      <c r="A66" s="215" t="s">
        <v>57</v>
      </c>
      <c r="B66" s="215"/>
      <c r="C66" s="215"/>
      <c r="D66" s="255" t="s">
        <v>60</v>
      </c>
      <c r="E66" s="255"/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43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56</v>
      </c>
      <c r="B68" s="215"/>
      <c r="C68" s="215"/>
      <c r="D68" s="215"/>
      <c r="E68" s="255" t="s">
        <v>60</v>
      </c>
      <c r="F68" s="255"/>
      <c r="G68" s="255"/>
      <c r="H68" s="255"/>
      <c r="I68" s="255"/>
      <c r="J68" s="255"/>
      <c r="K68" s="255"/>
      <c r="L68" s="25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55</v>
      </c>
      <c r="B70" s="215"/>
      <c r="C70" s="215"/>
      <c r="D70" s="225" t="s">
        <v>60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44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15" t="s">
        <v>173</v>
      </c>
      <c r="B72" s="215"/>
      <c r="C72" s="215"/>
      <c r="D72" s="255" t="s">
        <v>497</v>
      </c>
      <c r="E72" s="255"/>
      <c r="F72" s="255"/>
      <c r="G72" s="255"/>
      <c r="H72" s="255"/>
      <c r="I72" s="255"/>
      <c r="J72" s="255"/>
      <c r="K72" s="255"/>
      <c r="L72" s="255"/>
    </row>
    <row r="73" spans="1:12" x14ac:dyDescent="0.25">
      <c r="A73" s="222" t="s">
        <v>174</v>
      </c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</row>
    <row r="74" spans="1:12" x14ac:dyDescent="0.25">
      <c r="A74" s="240" t="s">
        <v>58</v>
      </c>
      <c r="B74" s="240"/>
      <c r="C74" s="240"/>
      <c r="D74" s="240"/>
      <c r="E74" s="240"/>
      <c r="F74" s="240"/>
      <c r="G74" s="240"/>
      <c r="H74" s="256" t="s">
        <v>35</v>
      </c>
      <c r="I74" s="256"/>
      <c r="J74" s="256"/>
      <c r="K74" s="256"/>
      <c r="L74" s="256"/>
    </row>
    <row r="75" spans="1:12" x14ac:dyDescent="0.25">
      <c r="A75" s="233" t="s">
        <v>45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</row>
    <row r="76" spans="1:12" x14ac:dyDescent="0.25">
      <c r="A76" s="261" t="s">
        <v>175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x14ac:dyDescent="0.25">
      <c r="A77" s="233" t="s">
        <v>47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</row>
    <row r="79" spans="1:12" x14ac:dyDescent="0.25">
      <c r="A79" s="215" t="s">
        <v>14</v>
      </c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</row>
    <row r="80" spans="1:12" ht="12.75" customHeight="1" x14ac:dyDescent="0.25">
      <c r="A80" s="259" t="s">
        <v>61</v>
      </c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60" t="s">
        <v>63</v>
      </c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</row>
    <row r="82" spans="1:12" x14ac:dyDescent="0.25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</row>
    <row r="83" spans="1:12" x14ac:dyDescent="0.25">
      <c r="A83" s="220" t="s">
        <v>62</v>
      </c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 ht="12.75" customHeight="1" x14ac:dyDescent="0.25">
      <c r="A84" s="226" t="s">
        <v>176</v>
      </c>
      <c r="B84" s="226"/>
      <c r="C84" s="226"/>
      <c r="D84" s="255" t="s">
        <v>38</v>
      </c>
      <c r="E84" s="255"/>
      <c r="F84" s="255"/>
      <c r="G84" s="255"/>
      <c r="H84" s="255"/>
      <c r="I84" s="255"/>
      <c r="J84" s="255"/>
      <c r="K84" s="255"/>
      <c r="L84" s="255"/>
    </row>
    <row r="85" spans="1:12" ht="12.75" customHeight="1" x14ac:dyDescent="0.25">
      <c r="A85" s="222" t="s">
        <v>21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17.25" customHeight="1" x14ac:dyDescent="0.25">
      <c r="A86" s="265" t="s">
        <v>23</v>
      </c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</row>
    <row r="87" spans="1:12" ht="19.899999999999999" customHeight="1" x14ac:dyDescent="0.25">
      <c r="A87" s="257" t="str">
        <f>C22</f>
        <v>Главный энергетик ООО "Энергосистемы"  Фечин А.А.</v>
      </c>
      <c r="B87" s="257"/>
      <c r="C87" s="257"/>
      <c r="D87" s="257"/>
      <c r="E87" s="257"/>
      <c r="F87" s="257"/>
      <c r="G87" s="257"/>
      <c r="H87" s="257"/>
      <c r="I87" s="257"/>
      <c r="J87" s="7"/>
      <c r="K87" s="258"/>
      <c r="L87" s="258"/>
    </row>
    <row r="88" spans="1:12" ht="11.25" customHeight="1" x14ac:dyDescent="0.25">
      <c r="A88" s="222" t="s">
        <v>48</v>
      </c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</row>
    <row r="89" spans="1:12" x14ac:dyDescent="0.25">
      <c r="A89" s="265" t="s">
        <v>22</v>
      </c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</row>
    <row r="90" spans="1:12" ht="20.45" customHeight="1" x14ac:dyDescent="0.25">
      <c r="A90" s="257" t="str">
        <f>C26</f>
        <v>Прораб ООО "Энергосистемы"  Волков М.Ю.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2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ht="20.45" customHeight="1" x14ac:dyDescent="0.25">
      <c r="A92" s="257" t="str">
        <f>C28</f>
        <v>Инженер-электрик ООО "Энергосистемы"  Высоцкий А.В.</v>
      </c>
      <c r="B92" s="257"/>
      <c r="C92" s="257"/>
      <c r="D92" s="257"/>
      <c r="E92" s="257"/>
      <c r="F92" s="257"/>
      <c r="G92" s="257"/>
      <c r="H92" s="257"/>
      <c r="I92" s="257"/>
      <c r="J92" s="7"/>
      <c r="K92" s="258"/>
      <c r="L92" s="258"/>
    </row>
    <row r="93" spans="1:12" ht="11.25" customHeight="1" x14ac:dyDescent="0.25">
      <c r="A93" s="222" t="s">
        <v>48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x14ac:dyDescent="0.25">
      <c r="A94" s="265" t="s">
        <v>49</v>
      </c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</row>
    <row r="95" spans="1:12" ht="13.9" customHeight="1" x14ac:dyDescent="0.25">
      <c r="A95" s="257" t="str">
        <f>C30</f>
        <v>Гл. специалист ССК УКС ПАО "Россети Московский регион" Алексанян Г.Р.</v>
      </c>
      <c r="B95" s="257"/>
      <c r="C95" s="257"/>
      <c r="D95" s="257"/>
      <c r="E95" s="257"/>
      <c r="F95" s="257"/>
      <c r="G95" s="257"/>
      <c r="H95" s="257"/>
      <c r="I95" s="257"/>
      <c r="J95" s="257"/>
      <c r="K95" s="266"/>
      <c r="L95" s="266"/>
    </row>
    <row r="96" spans="1:12" x14ac:dyDescent="0.25">
      <c r="A96" s="222" t="s">
        <v>2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</row>
    <row r="97" spans="1:12" x14ac:dyDescent="0.25">
      <c r="A97" s="265" t="s">
        <v>24</v>
      </c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</row>
    <row r="98" spans="1:12" ht="10.5" customHeight="1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</row>
    <row r="99" spans="1:12" ht="13.5" customHeight="1" x14ac:dyDescent="0.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</row>
    <row r="100" spans="1:12" x14ac:dyDescent="0.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</row>
  </sheetData>
  <mergeCells count="124">
    <mergeCell ref="A14:L14"/>
    <mergeCell ref="K16:L16"/>
    <mergeCell ref="K17:L17"/>
    <mergeCell ref="A19:B19"/>
    <mergeCell ref="C19:G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32:L32"/>
    <mergeCell ref="C20:G20"/>
    <mergeCell ref="A22:B22"/>
    <mergeCell ref="C22:L22"/>
    <mergeCell ref="A23:L23"/>
    <mergeCell ref="A25:C25"/>
    <mergeCell ref="C26:L2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K59:K61"/>
    <mergeCell ref="L59:L61"/>
    <mergeCell ref="A63:L63"/>
    <mergeCell ref="A64:D64"/>
    <mergeCell ref="E64:L64"/>
    <mergeCell ref="A65:L65"/>
    <mergeCell ref="A58:B58"/>
    <mergeCell ref="C58:D58"/>
    <mergeCell ref="E58:F58"/>
    <mergeCell ref="G58:H58"/>
    <mergeCell ref="I58:J58"/>
    <mergeCell ref="A59:B61"/>
    <mergeCell ref="C59:D61"/>
    <mergeCell ref="E59:F61"/>
    <mergeCell ref="G59:H61"/>
    <mergeCell ref="I59:J61"/>
    <mergeCell ref="A70:C70"/>
    <mergeCell ref="D70:L70"/>
    <mergeCell ref="A71:L71"/>
    <mergeCell ref="A72:C72"/>
    <mergeCell ref="D72:L72"/>
    <mergeCell ref="A73:L73"/>
    <mergeCell ref="A66:C66"/>
    <mergeCell ref="D66:L66"/>
    <mergeCell ref="A67:L67"/>
    <mergeCell ref="A68:D68"/>
    <mergeCell ref="E68:L68"/>
    <mergeCell ref="A69:L69"/>
    <mergeCell ref="A82:L82"/>
    <mergeCell ref="A83:L83"/>
    <mergeCell ref="A84:C84"/>
    <mergeCell ref="D84:L84"/>
    <mergeCell ref="A74:G74"/>
    <mergeCell ref="H74:L74"/>
    <mergeCell ref="A75:L75"/>
    <mergeCell ref="A76:L76"/>
    <mergeCell ref="A77:K77"/>
    <mergeCell ref="A79:L79"/>
    <mergeCell ref="K3:L3"/>
    <mergeCell ref="F5:G5"/>
    <mergeCell ref="A97:L97"/>
    <mergeCell ref="A98:L98"/>
    <mergeCell ref="A99:L99"/>
    <mergeCell ref="A100:L100"/>
    <mergeCell ref="A94:L94"/>
    <mergeCell ref="A95:J95"/>
    <mergeCell ref="K95:L95"/>
    <mergeCell ref="A96:L96"/>
    <mergeCell ref="A90:I90"/>
    <mergeCell ref="K90:L90"/>
    <mergeCell ref="A91:L91"/>
    <mergeCell ref="A92:I92"/>
    <mergeCell ref="K92:L92"/>
    <mergeCell ref="A93:L93"/>
    <mergeCell ref="A85:L85"/>
    <mergeCell ref="A86:L86"/>
    <mergeCell ref="A87:I87"/>
    <mergeCell ref="K87:L87"/>
    <mergeCell ref="A88:L88"/>
    <mergeCell ref="A89:L89"/>
    <mergeCell ref="A80:L80"/>
    <mergeCell ref="A81:L81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066-4708-4045-9AB3-4C18E2BAEE34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201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8.5" customHeight="1" x14ac:dyDescent="0.25">
      <c r="A16" s="227" t="str">
        <f>'Провод СИП 3'!A16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354" t="str">
        <f>'Провод СИП 3'!K16:L16</f>
        <v>25.09.2024</v>
      </c>
      <c r="L16" s="35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234" t="s">
        <v>354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9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356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 t="s">
        <v>355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124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138</v>
      </c>
      <c r="D43" s="232"/>
      <c r="E43" s="231" t="s">
        <v>54</v>
      </c>
      <c r="F43" s="231"/>
      <c r="G43" s="232" t="str">
        <f>C43</f>
        <v>3 м</v>
      </c>
      <c r="H43" s="232"/>
      <c r="I43" s="232"/>
      <c r="J43" s="232"/>
      <c r="K43" s="106"/>
      <c r="L43" s="106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 t="s">
        <v>121</v>
      </c>
      <c r="D45" s="272"/>
      <c r="E45" s="272"/>
      <c r="F45" s="5" t="s">
        <v>31</v>
      </c>
      <c r="G45" s="349" t="s">
        <v>293</v>
      </c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 t="str">
        <f>C43</f>
        <v>3 м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172</v>
      </c>
      <c r="B60" s="231"/>
      <c r="C60" s="231"/>
      <c r="D60" s="231"/>
      <c r="E60" s="267" t="s">
        <v>60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</row>
    <row r="62" spans="1:12" x14ac:dyDescent="0.25">
      <c r="A62" s="231" t="s">
        <v>57</v>
      </c>
      <c r="B62" s="231"/>
      <c r="C62" s="231"/>
      <c r="D62" s="267" t="s">
        <v>60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56</v>
      </c>
      <c r="B64" s="231"/>
      <c r="C64" s="231"/>
      <c r="D64" s="231"/>
      <c r="E64" s="267" t="s">
        <v>60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67" t="s">
        <v>60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173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174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58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175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3.4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2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750E-71AC-4845-B2F1-EDA9F92AF7D5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151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9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153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154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155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152</v>
      </c>
      <c r="D43" s="271"/>
      <c r="E43" s="215" t="s">
        <v>54</v>
      </c>
      <c r="F43" s="215"/>
      <c r="G43" s="271" t="str">
        <f>C43</f>
        <v>81 м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121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81 м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38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A91:J91"/>
    <mergeCell ref="K91:L91"/>
    <mergeCell ref="A92:L92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D1D-5F85-48D2-9666-50D91975C1C3}">
  <dimension ref="A1:L96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31" t="s">
        <v>50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</row>
    <row r="12" spans="1:12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5.75" x14ac:dyDescent="0.25">
      <c r="A13" s="356" t="s">
        <v>367</v>
      </c>
      <c r="B13" s="356"/>
      <c r="C13" s="356"/>
      <c r="D13" s="356"/>
      <c r="E13" s="356"/>
      <c r="F13" s="356"/>
      <c r="G13" s="357" t="str">
        <f>'Провод СИП 3'!G13</f>
        <v>SAP - 288007</v>
      </c>
      <c r="H13" s="357"/>
      <c r="I13" s="357"/>
      <c r="J13" s="357"/>
      <c r="K13" s="357"/>
      <c r="L13" s="357"/>
    </row>
    <row r="14" spans="1:12" ht="15.75" x14ac:dyDescent="0.25">
      <c r="A14" s="355" t="s">
        <v>0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</row>
    <row r="15" spans="1:12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ht="29.25" customHeight="1" x14ac:dyDescent="0.25">
      <c r="A16" s="358" t="str">
        <f>'Провод СИП 3'!A16</f>
        <v>141533,Российская Федерация, г.о.Солнечногорск</v>
      </c>
      <c r="B16" s="358"/>
      <c r="C16" s="358"/>
      <c r="D16" s="358"/>
      <c r="E16" s="358"/>
      <c r="F16" s="358"/>
      <c r="G16" s="358"/>
      <c r="H16" s="103"/>
      <c r="I16" s="103"/>
      <c r="J16" s="103"/>
      <c r="K16" s="354" t="str">
        <f>'Провод СИП 3'!K16:L16</f>
        <v>25.09.2024</v>
      </c>
      <c r="L16" s="354"/>
    </row>
    <row r="17" spans="1:12" x14ac:dyDescent="0.25">
      <c r="A17" s="230" t="s">
        <v>1</v>
      </c>
      <c r="B17" s="230"/>
      <c r="C17" s="230"/>
      <c r="D17" s="230"/>
      <c r="E17" s="230"/>
      <c r="F17" s="230"/>
      <c r="G17" s="230"/>
      <c r="H17" s="103"/>
      <c r="I17" s="103"/>
      <c r="J17" s="103"/>
      <c r="K17" s="290" t="s">
        <v>26</v>
      </c>
      <c r="L17" s="290"/>
    </row>
    <row r="18" spans="1:12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ht="18.75" customHeight="1" x14ac:dyDescent="0.25">
      <c r="A19" s="231" t="s">
        <v>27</v>
      </c>
      <c r="B19" s="231"/>
      <c r="C19" s="267" t="str">
        <f>'Провод СИП 3'!C19:G19</f>
        <v>ООО "Энергосистемы"</v>
      </c>
      <c r="D19" s="267"/>
      <c r="E19" s="267"/>
      <c r="F19" s="267"/>
      <c r="G19" s="103"/>
      <c r="H19" s="297" t="str">
        <f>'Данные объект'!B43</f>
        <v>по приказу №05-ОТ/24 от 09 января 2023г. в  составе:</v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</row>
    <row r="22" spans="1:12" ht="18" customHeight="1" x14ac:dyDescent="0.25">
      <c r="A22" s="231" t="s">
        <v>46</v>
      </c>
      <c r="B22" s="231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1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1.6" customHeight="1" x14ac:dyDescent="0.25">
      <c r="A30" s="103"/>
      <c r="B30" s="103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'Данные объект'!B51</f>
        <v>методическими указаниями ПАО "Россети Московский регион" (утв. Приказом от 14.11.2024 г. № 1254)</v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 t="s">
        <v>118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119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 t="s">
        <v>392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120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394</v>
      </c>
      <c r="D43" s="232"/>
      <c r="E43" s="231" t="s">
        <v>54</v>
      </c>
      <c r="F43" s="231"/>
      <c r="G43" s="232" t="s">
        <v>393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121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62">
        <v>6</v>
      </c>
      <c r="L56" s="162">
        <v>7</v>
      </c>
    </row>
    <row r="57" spans="1:12" ht="26.45" customHeight="1" x14ac:dyDescent="0.25">
      <c r="A57" s="291" t="str">
        <f>C43</f>
        <v>136 м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62" t="s">
        <v>38</v>
      </c>
      <c r="L57" s="162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172</v>
      </c>
      <c r="B60" s="231"/>
      <c r="C60" s="231"/>
      <c r="D60" s="231"/>
      <c r="E60" s="267" t="s">
        <v>60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</row>
    <row r="62" spans="1:12" x14ac:dyDescent="0.25">
      <c r="A62" s="231" t="s">
        <v>57</v>
      </c>
      <c r="B62" s="231"/>
      <c r="C62" s="231"/>
      <c r="D62" s="267" t="s">
        <v>60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56</v>
      </c>
      <c r="B64" s="231"/>
      <c r="C64" s="231"/>
      <c r="D64" s="231"/>
      <c r="E64" s="267" t="s">
        <v>60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67" t="s">
        <v>60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173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174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58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175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9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877F-653E-4A6E-98B1-C0437B653167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326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3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5.9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0.45" customHeight="1" x14ac:dyDescent="0.25">
      <c r="A30" s="103"/>
      <c r="B30" s="103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'Данные объект'!B51</f>
        <v>методическими указаниями ПАО "Россети Московский регион" (утв. Приказом от 14.11.2024 г. № 1254)</v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9.899999999999999" customHeight="1" x14ac:dyDescent="0.25">
      <c r="A37" s="234" t="s">
        <v>352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9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106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 t="s">
        <v>320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321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362</v>
      </c>
      <c r="D43" s="232"/>
      <c r="E43" s="231" t="s">
        <v>54</v>
      </c>
      <c r="F43" s="231"/>
      <c r="G43" s="232" t="s">
        <v>322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121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ht="13.9" customHeight="1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ht="13.9" customHeight="1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 t="s">
        <v>363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173</v>
      </c>
      <c r="B68" s="231"/>
      <c r="C68" s="231"/>
      <c r="D68" s="267" t="s">
        <v>184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174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9.89999999999999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3:L63"/>
    <mergeCell ref="A64:D64"/>
    <mergeCell ref="E64:L64"/>
    <mergeCell ref="A65:L65"/>
    <mergeCell ref="A66:C66"/>
    <mergeCell ref="D66:L66"/>
    <mergeCell ref="A59:L59"/>
    <mergeCell ref="A61:L61"/>
    <mergeCell ref="A62:C62"/>
    <mergeCell ref="D62:L62"/>
    <mergeCell ref="A60:D60"/>
    <mergeCell ref="E60:L60"/>
    <mergeCell ref="A95:L95"/>
    <mergeCell ref="A75:L75"/>
    <mergeCell ref="A76:L76"/>
    <mergeCell ref="A77:L77"/>
    <mergeCell ref="A78:L78"/>
    <mergeCell ref="A67:L67"/>
    <mergeCell ref="A69:L69"/>
    <mergeCell ref="A68:C68"/>
    <mergeCell ref="D68:L68"/>
    <mergeCell ref="A70:G70"/>
    <mergeCell ref="H70:L70"/>
    <mergeCell ref="A71:L71"/>
    <mergeCell ref="A72:L72"/>
    <mergeCell ref="A73:K73"/>
    <mergeCell ref="K3:L3"/>
    <mergeCell ref="F5:G5"/>
    <mergeCell ref="A96:L96"/>
    <mergeCell ref="A90:L90"/>
    <mergeCell ref="A91:J91"/>
    <mergeCell ref="K91:L91"/>
    <mergeCell ref="A92:L92"/>
    <mergeCell ref="A79:L79"/>
    <mergeCell ref="A82:L82"/>
    <mergeCell ref="A83:I83"/>
    <mergeCell ref="K83:L83"/>
    <mergeCell ref="A84:L84"/>
    <mergeCell ref="A85:L85"/>
    <mergeCell ref="A80:C80"/>
    <mergeCell ref="D80:L80"/>
    <mergeCell ref="A81:L81"/>
    <mergeCell ref="A86:I86"/>
    <mergeCell ref="K86:L86"/>
    <mergeCell ref="A87:L87"/>
    <mergeCell ref="A88:I88"/>
    <mergeCell ref="K88:L88"/>
    <mergeCell ref="A89:L89"/>
    <mergeCell ref="A93:L93"/>
    <mergeCell ref="A94:L94"/>
  </mergeCells>
  <pageMargins left="0.78740157480314965" right="0.39370078740157483" top="0.39370078740157483" bottom="0.39370078740157483" header="0" footer="0"/>
  <pageSetup paperSize="9" scale="80" fitToHeight="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1BA4-382A-4E12-8D89-312D84CE656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130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9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133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132</v>
      </c>
      <c r="B41" s="347"/>
      <c r="C41" s="347"/>
      <c r="D41" s="347"/>
      <c r="E41" s="347"/>
      <c r="F41" s="347"/>
      <c r="G41" s="347"/>
      <c r="H41" s="8" t="s">
        <v>51</v>
      </c>
      <c r="I41" s="271" t="s">
        <v>134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131</v>
      </c>
      <c r="D43" s="271"/>
      <c r="E43" s="215" t="s">
        <v>54</v>
      </c>
      <c r="F43" s="215"/>
      <c r="G43" s="271" t="str">
        <f>C43</f>
        <v>2,6 м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121</v>
      </c>
      <c r="D45" s="241"/>
      <c r="E45" s="241"/>
      <c r="F45" s="5" t="s">
        <v>31</v>
      </c>
      <c r="G45" s="242" t="s">
        <v>293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2,6 м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341" t="s">
        <v>185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63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2.1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D7F1-CE0C-435D-B698-2EA7E7F36A0A}">
  <sheetPr codeName="Лист14"/>
  <dimension ref="A1:L94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368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6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'Данные объект'!B11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.6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308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166</v>
      </c>
      <c r="L39" s="236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7" t="s">
        <v>41</v>
      </c>
      <c r="L40" s="237"/>
    </row>
    <row r="41" spans="1:12" ht="29.25" customHeight="1" x14ac:dyDescent="0.25">
      <c r="A41" s="238" t="s">
        <v>403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94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95</v>
      </c>
      <c r="D43" s="232"/>
      <c r="E43" s="231" t="s">
        <v>54</v>
      </c>
      <c r="F43" s="231"/>
      <c r="G43" s="232" t="str">
        <f>C43</f>
        <v>2 шт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167</v>
      </c>
      <c r="D45" s="238"/>
      <c r="E45" s="238"/>
      <c r="F45" s="105" t="s">
        <v>31</v>
      </c>
      <c r="G45" s="232" t="s">
        <v>293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07">
        <v>6</v>
      </c>
      <c r="L56" s="107">
        <v>7</v>
      </c>
    </row>
    <row r="57" spans="1:12" ht="26.45" customHeight="1" x14ac:dyDescent="0.25">
      <c r="A57" s="291" t="str">
        <f>C43</f>
        <v>2 шт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4.45" customHeight="1" x14ac:dyDescent="0.25">
      <c r="A78" s="226" t="s">
        <v>176</v>
      </c>
      <c r="B78" s="226"/>
      <c r="C78" s="226"/>
      <c r="D78" s="255" t="s">
        <v>38</v>
      </c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22" t="s">
        <v>21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7.25" customHeight="1" x14ac:dyDescent="0.25">
      <c r="A80" s="265" t="s">
        <v>23</v>
      </c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</row>
    <row r="81" spans="1:12" ht="22.9" customHeight="1" x14ac:dyDescent="0.25">
      <c r="A81" s="257" t="str">
        <f>C22</f>
        <v>Главный энергетик ООО "Энергосистемы"  Фечин А.А.</v>
      </c>
      <c r="B81" s="257"/>
      <c r="C81" s="257"/>
      <c r="D81" s="257"/>
      <c r="E81" s="257"/>
      <c r="F81" s="257"/>
      <c r="G81" s="257"/>
      <c r="H81" s="257"/>
      <c r="I81" s="257"/>
      <c r="J81" s="7"/>
      <c r="K81" s="258"/>
      <c r="L81" s="258"/>
    </row>
    <row r="82" spans="1:12" ht="11.25" customHeight="1" x14ac:dyDescent="0.25">
      <c r="A82" s="222" t="s">
        <v>48</v>
      </c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</row>
    <row r="83" spans="1:12" x14ac:dyDescent="0.25">
      <c r="A83" s="265" t="s">
        <v>22</v>
      </c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</row>
    <row r="84" spans="1:12" ht="21" customHeight="1" x14ac:dyDescent="0.25">
      <c r="A84" s="257" t="str">
        <f>C26</f>
        <v>Прораб ООО "Энергосистемы"  Волков М.Ю.</v>
      </c>
      <c r="B84" s="257"/>
      <c r="C84" s="257"/>
      <c r="D84" s="257"/>
      <c r="E84" s="257"/>
      <c r="F84" s="257"/>
      <c r="G84" s="257"/>
      <c r="H84" s="257"/>
      <c r="I84" s="257"/>
      <c r="J84" s="7"/>
      <c r="K84" s="258"/>
      <c r="L84" s="258"/>
    </row>
    <row r="85" spans="1:12" ht="12" customHeight="1" x14ac:dyDescent="0.25">
      <c r="A85" s="222" t="s">
        <v>48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22.15" customHeight="1" x14ac:dyDescent="0.25">
      <c r="A86" s="257" t="str">
        <f>C28</f>
        <v>Инженер-электрик ООО "Энергосистемы"  Высоцкий А.В.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1.25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x14ac:dyDescent="0.25">
      <c r="A88" s="265" t="s">
        <v>49</v>
      </c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</row>
    <row r="89" spans="1:12" x14ac:dyDescent="0.25">
      <c r="A89" s="257" t="str">
        <f>C30</f>
        <v>Гл. специалист ССК УКС ПАО "Россети Московский регион" Алексанян Г.Р.</v>
      </c>
      <c r="B89" s="257"/>
      <c r="C89" s="257"/>
      <c r="D89" s="257"/>
      <c r="E89" s="257"/>
      <c r="F89" s="257"/>
      <c r="G89" s="257"/>
      <c r="H89" s="257"/>
      <c r="I89" s="257"/>
      <c r="J89" s="257"/>
      <c r="K89" s="266"/>
      <c r="L89" s="266"/>
    </row>
    <row r="90" spans="1:12" x14ac:dyDescent="0.25">
      <c r="A90" s="222" t="s">
        <v>2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x14ac:dyDescent="0.25">
      <c r="A91" s="265" t="s">
        <v>24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0.5" customHeight="1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</row>
    <row r="93" spans="1:12" ht="13.5" customHeight="1" x14ac:dyDescent="0.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</row>
    <row r="94" spans="1:12" x14ac:dyDescent="0.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</row>
  </sheetData>
  <mergeCells count="118">
    <mergeCell ref="A89:J89"/>
    <mergeCell ref="A14:L14"/>
    <mergeCell ref="K16:L16"/>
    <mergeCell ref="K17:L17"/>
    <mergeCell ref="A19:B19"/>
    <mergeCell ref="C19:F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6:B56"/>
    <mergeCell ref="C56:D56"/>
    <mergeCell ref="E56:F56"/>
    <mergeCell ref="G56:H56"/>
    <mergeCell ref="I56:J56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60:D60"/>
    <mergeCell ref="E60:L60"/>
    <mergeCell ref="A62:C62"/>
    <mergeCell ref="D62:L62"/>
    <mergeCell ref="A63:L63"/>
    <mergeCell ref="A64:D64"/>
    <mergeCell ref="E64:L64"/>
    <mergeCell ref="K81:L81"/>
    <mergeCell ref="A78:C78"/>
    <mergeCell ref="D78:L78"/>
    <mergeCell ref="A79:L79"/>
    <mergeCell ref="A65:L65"/>
    <mergeCell ref="A66:C66"/>
    <mergeCell ref="D66:L66"/>
    <mergeCell ref="A71:L71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72:L72"/>
    <mergeCell ref="A73:K73"/>
    <mergeCell ref="K3:L3"/>
    <mergeCell ref="F5:G5"/>
    <mergeCell ref="A93:L93"/>
    <mergeCell ref="A94:L94"/>
    <mergeCell ref="A57:B57"/>
    <mergeCell ref="C57:D57"/>
    <mergeCell ref="E57:F57"/>
    <mergeCell ref="G57:H57"/>
    <mergeCell ref="I57:J57"/>
    <mergeCell ref="A91:L91"/>
    <mergeCell ref="A92:L92"/>
    <mergeCell ref="A88:L88"/>
    <mergeCell ref="K89:L89"/>
    <mergeCell ref="A90:L90"/>
    <mergeCell ref="A87:L87"/>
    <mergeCell ref="A82:L82"/>
    <mergeCell ref="A83:L83"/>
    <mergeCell ref="A84:I84"/>
    <mergeCell ref="K84:L84"/>
    <mergeCell ref="A85:L85"/>
    <mergeCell ref="A86:I86"/>
    <mergeCell ref="K86:L86"/>
    <mergeCell ref="A80:L80"/>
    <mergeCell ref="A81:I8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29D-E1E2-4F2D-A32C-4F517E0C0A68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366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31" t="s">
        <v>27</v>
      </c>
      <c r="B19" s="231"/>
      <c r="C19" s="267" t="str">
        <f>'Провод СИП 3'!C19:G19</f>
        <v>ООО "Энергосистемы"</v>
      </c>
      <c r="D19" s="267"/>
      <c r="E19" s="267"/>
      <c r="F19" s="267"/>
      <c r="G19" s="103"/>
      <c r="H19" s="297" t="str">
        <f>'Данные объект'!B43</f>
        <v>по приказу №05-ОТ/24 от 09 января 2023г. в  составе:</v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20.45" customHeight="1" x14ac:dyDescent="0.25">
      <c r="A22" s="231" t="s">
        <v>46</v>
      </c>
      <c r="B22" s="231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15.6" customHeight="1" x14ac:dyDescent="0.25">
      <c r="A30" s="103"/>
      <c r="B30" s="103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30" hidden="1" customHeight="1" x14ac:dyDescent="0.25">
      <c r="A32" s="103"/>
      <c r="B32" s="103"/>
      <c r="C32" s="359"/>
      <c r="D32" s="359"/>
      <c r="E32" s="359"/>
      <c r="F32" s="359"/>
      <c r="G32" s="359"/>
      <c r="H32" s="359"/>
      <c r="I32" s="359"/>
      <c r="J32" s="359"/>
      <c r="K32" s="359"/>
      <c r="L32" s="359"/>
    </row>
    <row r="33" spans="1:12" hidden="1" x14ac:dyDescent="0.25">
      <c r="A33" s="230" t="s">
        <v>2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ht="16.5" customHeight="1" x14ac:dyDescent="0.25">
      <c r="A34" s="278" t="s">
        <v>36</v>
      </c>
      <c r="B34" s="278"/>
      <c r="C34" s="279" t="str">
        <f>'Данные объект'!B51</f>
        <v>методическими указаниями ПАО "Россети Московский регион" (утв. Приказом от 14.11.2024 г. № 1254)</v>
      </c>
      <c r="D34" s="279"/>
      <c r="E34" s="279"/>
      <c r="F34" s="279"/>
      <c r="G34" s="279"/>
      <c r="H34" s="279"/>
      <c r="I34" s="279"/>
      <c r="J34" s="279"/>
      <c r="K34" s="279"/>
      <c r="L34" s="279"/>
    </row>
    <row r="35" spans="1:12" x14ac:dyDescent="0.25">
      <c r="A35" s="230" t="s">
        <v>3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spans="1:12" x14ac:dyDescent="0.25">
      <c r="A36" s="231" t="s">
        <v>4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1" t="s">
        <v>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</row>
    <row r="39" spans="1:12" ht="29.25" customHeight="1" x14ac:dyDescent="0.25">
      <c r="A39" s="234" t="s">
        <v>357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6" t="s">
        <v>359</v>
      </c>
      <c r="L41" s="236"/>
    </row>
    <row r="42" spans="1:12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237" t="s">
        <v>41</v>
      </c>
      <c r="L42" s="237"/>
    </row>
    <row r="43" spans="1:12" ht="29.25" customHeight="1" x14ac:dyDescent="0.25">
      <c r="A43" s="238" t="s">
        <v>358</v>
      </c>
      <c r="B43" s="238"/>
      <c r="C43" s="238"/>
      <c r="D43" s="238"/>
      <c r="E43" s="238"/>
      <c r="F43" s="238"/>
      <c r="G43" s="238"/>
      <c r="H43" s="105" t="s">
        <v>51</v>
      </c>
      <c r="I43" s="232" t="s">
        <v>360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32" t="s">
        <v>361</v>
      </c>
      <c r="D45" s="232"/>
      <c r="E45" s="231" t="s">
        <v>54</v>
      </c>
      <c r="F45" s="231"/>
      <c r="G45" s="232" t="str">
        <f>C45</f>
        <v>3,5 м</v>
      </c>
      <c r="H45" s="232"/>
      <c r="I45" s="232"/>
      <c r="J45" s="232"/>
      <c r="K45" s="106"/>
      <c r="L45" s="106"/>
    </row>
    <row r="46" spans="1:12" x14ac:dyDescent="0.25">
      <c r="A46" s="268" t="s">
        <v>53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35" t="s">
        <v>30</v>
      </c>
      <c r="B47" s="235"/>
      <c r="C47" s="238" t="s">
        <v>106</v>
      </c>
      <c r="D47" s="238"/>
      <c r="E47" s="238"/>
      <c r="F47" s="105" t="s">
        <v>31</v>
      </c>
      <c r="G47" s="232" t="s">
        <v>107</v>
      </c>
      <c r="H47" s="232"/>
      <c r="I47" s="232"/>
      <c r="J47" s="232"/>
      <c r="K47" s="232"/>
      <c r="L47" s="232"/>
    </row>
    <row r="48" spans="1:12" ht="15" customHeight="1" x14ac:dyDescent="0.25">
      <c r="A48" s="268" t="s">
        <v>32</v>
      </c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</row>
    <row r="49" spans="1:12" x14ac:dyDescent="0.25">
      <c r="A49" s="231" t="s">
        <v>33</v>
      </c>
      <c r="B49" s="231"/>
      <c r="C49" s="231"/>
      <c r="D49" s="231"/>
      <c r="E49" s="231"/>
      <c r="F49" s="274" t="s">
        <v>64</v>
      </c>
      <c r="G49" s="274"/>
      <c r="H49" s="274"/>
      <c r="I49" s="274"/>
      <c r="J49" s="274"/>
      <c r="K49" s="274"/>
      <c r="L49" s="274"/>
    </row>
    <row r="50" spans="1:12" x14ac:dyDescent="0.25">
      <c r="A50" s="230" t="s">
        <v>34</v>
      </c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</row>
    <row r="51" spans="1:12" ht="15" customHeight="1" x14ac:dyDescent="0.25">
      <c r="A51" s="231" t="s">
        <v>7</v>
      </c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0" t="s">
        <v>17</v>
      </c>
      <c r="B53" s="281"/>
      <c r="C53" s="281"/>
      <c r="D53" s="282"/>
      <c r="E53" s="280" t="s">
        <v>9</v>
      </c>
      <c r="F53" s="282"/>
      <c r="G53" s="280" t="s">
        <v>10</v>
      </c>
      <c r="H53" s="282"/>
      <c r="I53" s="280" t="s">
        <v>11</v>
      </c>
      <c r="J53" s="282"/>
      <c r="K53" s="287" t="s">
        <v>15</v>
      </c>
      <c r="L53" s="287" t="s">
        <v>12</v>
      </c>
    </row>
    <row r="54" spans="1:12" x14ac:dyDescent="0.25">
      <c r="A54" s="283"/>
      <c r="B54" s="238"/>
      <c r="C54" s="238"/>
      <c r="D54" s="284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0" t="s">
        <v>8</v>
      </c>
      <c r="B55" s="282"/>
      <c r="C55" s="280" t="s">
        <v>19</v>
      </c>
      <c r="D55" s="282"/>
      <c r="E55" s="285"/>
      <c r="F55" s="286"/>
      <c r="G55" s="285"/>
      <c r="H55" s="286"/>
      <c r="I55" s="285"/>
      <c r="J55" s="286"/>
      <c r="K55" s="288"/>
      <c r="L55" s="288"/>
    </row>
    <row r="56" spans="1:12" x14ac:dyDescent="0.25">
      <c r="A56" s="285"/>
      <c r="B56" s="286"/>
      <c r="C56" s="285"/>
      <c r="D56" s="286"/>
      <c r="E56" s="285"/>
      <c r="F56" s="286"/>
      <c r="G56" s="285"/>
      <c r="H56" s="286"/>
      <c r="I56" s="285"/>
      <c r="J56" s="286"/>
      <c r="K56" s="288"/>
      <c r="L56" s="288"/>
    </row>
    <row r="57" spans="1:12" x14ac:dyDescent="0.25">
      <c r="A57" s="283"/>
      <c r="B57" s="284"/>
      <c r="C57" s="283"/>
      <c r="D57" s="284"/>
      <c r="E57" s="283"/>
      <c r="F57" s="284"/>
      <c r="G57" s="283"/>
      <c r="H57" s="284"/>
      <c r="I57" s="283"/>
      <c r="J57" s="284"/>
      <c r="K57" s="289"/>
      <c r="L57" s="289"/>
    </row>
    <row r="58" spans="1:12" x14ac:dyDescent="0.25">
      <c r="A58" s="269">
        <v>1</v>
      </c>
      <c r="B58" s="269"/>
      <c r="C58" s="269">
        <v>2</v>
      </c>
      <c r="D58" s="269"/>
      <c r="E58" s="269">
        <v>3</v>
      </c>
      <c r="F58" s="269"/>
      <c r="G58" s="269">
        <v>4</v>
      </c>
      <c r="H58" s="269"/>
      <c r="I58" s="269">
        <v>5</v>
      </c>
      <c r="J58" s="269"/>
      <c r="K58" s="154">
        <v>6</v>
      </c>
      <c r="L58" s="154">
        <v>7</v>
      </c>
    </row>
    <row r="59" spans="1:12" ht="26.45" customHeight="1" x14ac:dyDescent="0.25">
      <c r="A59" s="291" t="str">
        <f>C45</f>
        <v>3,5 м</v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54" t="s">
        <v>38</v>
      </c>
      <c r="L59" s="154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5" t="s">
        <v>13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</row>
    <row r="62" spans="1:12" x14ac:dyDescent="0.25">
      <c r="A62" s="231" t="s">
        <v>172</v>
      </c>
      <c r="B62" s="231"/>
      <c r="C62" s="231"/>
      <c r="D62" s="231"/>
      <c r="E62" s="267" t="s">
        <v>60</v>
      </c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20</v>
      </c>
      <c r="B63" s="230"/>
      <c r="C63" s="230"/>
      <c r="D63" s="230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31" t="s">
        <v>57</v>
      </c>
      <c r="B64" s="231"/>
      <c r="C64" s="231"/>
      <c r="D64" s="267" t="s">
        <v>60</v>
      </c>
      <c r="E64" s="267"/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43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56</v>
      </c>
      <c r="B66" s="231"/>
      <c r="C66" s="231"/>
      <c r="D66" s="231"/>
      <c r="E66" s="267" t="s">
        <v>60</v>
      </c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55</v>
      </c>
      <c r="B68" s="231"/>
      <c r="C68" s="231"/>
      <c r="D68" s="267" t="s">
        <v>60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173</v>
      </c>
      <c r="B70" s="231"/>
      <c r="C70" s="231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174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58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3.45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2.15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3A1-8135-470A-A4F0-A9979D5444C1}">
  <dimension ref="A1:L98"/>
  <sheetViews>
    <sheetView view="pageBreakPreview" topLeftCell="A37" zoomScaleNormal="100" zoomScaleSheetLayoutView="100" workbookViewId="0">
      <selection activeCell="N41" sqref="N4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366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16" t="str">
        <f>'Данные объект'!B5</f>
        <v>141533,Российская Федерация, г.о.Солнечногорск</v>
      </c>
      <c r="B16" s="216"/>
      <c r="C16" s="216"/>
      <c r="D16" s="216"/>
      <c r="E16" s="216"/>
      <c r="F16" s="216"/>
      <c r="G16" s="216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31" t="s">
        <v>27</v>
      </c>
      <c r="B19" s="231"/>
      <c r="C19" s="267" t="str">
        <f>'Провод СИП 3'!C19:G19</f>
        <v>ООО "Энергосистемы"</v>
      </c>
      <c r="D19" s="267"/>
      <c r="E19" s="267"/>
      <c r="F19" s="267"/>
      <c r="G19" s="103"/>
      <c r="H19" s="297" t="str">
        <f>'Данные объект'!B43</f>
        <v>по приказу №05-ОТ/24 от 09 января 2023г. в  составе:</v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20.45" customHeight="1" x14ac:dyDescent="0.25">
      <c r="A22" s="231" t="s">
        <v>46</v>
      </c>
      <c r="B22" s="231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15.6" customHeight="1" x14ac:dyDescent="0.25">
      <c r="A30" s="103"/>
      <c r="B30" s="103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30" hidden="1" customHeight="1" x14ac:dyDescent="0.25">
      <c r="A32" s="103"/>
      <c r="B32" s="103"/>
      <c r="C32" s="359"/>
      <c r="D32" s="359"/>
      <c r="E32" s="359"/>
      <c r="F32" s="359"/>
      <c r="G32" s="359"/>
      <c r="H32" s="359"/>
      <c r="I32" s="359"/>
      <c r="J32" s="359"/>
      <c r="K32" s="359"/>
      <c r="L32" s="359"/>
    </row>
    <row r="33" spans="1:12" hidden="1" x14ac:dyDescent="0.25">
      <c r="A33" s="230" t="s">
        <v>2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ht="16.5" customHeight="1" x14ac:dyDescent="0.25">
      <c r="A34" s="278" t="s">
        <v>36</v>
      </c>
      <c r="B34" s="278"/>
      <c r="C34" s="279" t="str">
        <f>'Данные объект'!B51</f>
        <v>методическими указаниями ПАО "Россети Московский регион" (утв. Приказом от 14.11.2024 г. № 1254)</v>
      </c>
      <c r="D34" s="279"/>
      <c r="E34" s="279"/>
      <c r="F34" s="279"/>
      <c r="G34" s="279"/>
      <c r="H34" s="279"/>
      <c r="I34" s="279"/>
      <c r="J34" s="279"/>
      <c r="K34" s="279"/>
      <c r="L34" s="279"/>
    </row>
    <row r="35" spans="1:12" x14ac:dyDescent="0.25">
      <c r="A35" s="230" t="s">
        <v>3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spans="1:12" x14ac:dyDescent="0.25">
      <c r="A36" s="231" t="s">
        <v>4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1" t="s">
        <v>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</row>
    <row r="39" spans="1:12" ht="29.25" customHeight="1" x14ac:dyDescent="0.25">
      <c r="A39" s="234" t="s">
        <v>516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6" t="s">
        <v>517</v>
      </c>
      <c r="L41" s="236"/>
    </row>
    <row r="42" spans="1:12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237" t="s">
        <v>41</v>
      </c>
      <c r="L42" s="237"/>
    </row>
    <row r="43" spans="1:12" ht="29.25" customHeight="1" x14ac:dyDescent="0.25">
      <c r="A43" s="238" t="s">
        <v>518</v>
      </c>
      <c r="B43" s="238"/>
      <c r="C43" s="238"/>
      <c r="D43" s="238"/>
      <c r="E43" s="238"/>
      <c r="F43" s="238"/>
      <c r="G43" s="238"/>
      <c r="H43" s="105" t="s">
        <v>51</v>
      </c>
      <c r="I43" s="232" t="s">
        <v>360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71" t="s">
        <v>519</v>
      </c>
      <c r="D45" s="271"/>
      <c r="E45" s="231" t="s">
        <v>54</v>
      </c>
      <c r="F45" s="231"/>
      <c r="G45" s="232" t="s">
        <v>38</v>
      </c>
      <c r="H45" s="232"/>
      <c r="I45" s="232"/>
      <c r="J45" s="232"/>
      <c r="K45" s="106"/>
      <c r="L45" s="106"/>
    </row>
    <row r="46" spans="1:12" x14ac:dyDescent="0.25">
      <c r="A46" s="268" t="s">
        <v>53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35" t="s">
        <v>30</v>
      </c>
      <c r="B47" s="235"/>
      <c r="C47" s="238" t="s">
        <v>106</v>
      </c>
      <c r="D47" s="238"/>
      <c r="E47" s="238"/>
      <c r="F47" s="105" t="s">
        <v>31</v>
      </c>
      <c r="G47" s="232" t="s">
        <v>107</v>
      </c>
      <c r="H47" s="232"/>
      <c r="I47" s="232"/>
      <c r="J47" s="232"/>
      <c r="K47" s="232"/>
      <c r="L47" s="232"/>
    </row>
    <row r="48" spans="1:12" ht="15" customHeight="1" x14ac:dyDescent="0.25">
      <c r="A48" s="268" t="s">
        <v>32</v>
      </c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</row>
    <row r="49" spans="1:12" x14ac:dyDescent="0.25">
      <c r="A49" s="231" t="s">
        <v>33</v>
      </c>
      <c r="B49" s="231"/>
      <c r="C49" s="231"/>
      <c r="D49" s="231"/>
      <c r="E49" s="231"/>
      <c r="F49" s="274" t="s">
        <v>64</v>
      </c>
      <c r="G49" s="274"/>
      <c r="H49" s="274"/>
      <c r="I49" s="274"/>
      <c r="J49" s="274"/>
      <c r="K49" s="274"/>
      <c r="L49" s="274"/>
    </row>
    <row r="50" spans="1:12" x14ac:dyDescent="0.25">
      <c r="A50" s="230" t="s">
        <v>34</v>
      </c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</row>
    <row r="51" spans="1:12" ht="15" customHeight="1" x14ac:dyDescent="0.25">
      <c r="A51" s="231" t="s">
        <v>7</v>
      </c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0" t="s">
        <v>17</v>
      </c>
      <c r="B53" s="281"/>
      <c r="C53" s="281"/>
      <c r="D53" s="282"/>
      <c r="E53" s="280" t="s">
        <v>9</v>
      </c>
      <c r="F53" s="282"/>
      <c r="G53" s="280" t="s">
        <v>10</v>
      </c>
      <c r="H53" s="282"/>
      <c r="I53" s="280" t="s">
        <v>11</v>
      </c>
      <c r="J53" s="282"/>
      <c r="K53" s="287" t="s">
        <v>15</v>
      </c>
      <c r="L53" s="287" t="s">
        <v>12</v>
      </c>
    </row>
    <row r="54" spans="1:12" x14ac:dyDescent="0.25">
      <c r="A54" s="283"/>
      <c r="B54" s="238"/>
      <c r="C54" s="238"/>
      <c r="D54" s="284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0" t="s">
        <v>8</v>
      </c>
      <c r="B55" s="282"/>
      <c r="C55" s="280" t="s">
        <v>19</v>
      </c>
      <c r="D55" s="282"/>
      <c r="E55" s="285"/>
      <c r="F55" s="286"/>
      <c r="G55" s="285"/>
      <c r="H55" s="286"/>
      <c r="I55" s="285"/>
      <c r="J55" s="286"/>
      <c r="K55" s="288"/>
      <c r="L55" s="288"/>
    </row>
    <row r="56" spans="1:12" x14ac:dyDescent="0.25">
      <c r="A56" s="285"/>
      <c r="B56" s="286"/>
      <c r="C56" s="285"/>
      <c r="D56" s="286"/>
      <c r="E56" s="285"/>
      <c r="F56" s="286"/>
      <c r="G56" s="285"/>
      <c r="H56" s="286"/>
      <c r="I56" s="285"/>
      <c r="J56" s="286"/>
      <c r="K56" s="288"/>
      <c r="L56" s="288"/>
    </row>
    <row r="57" spans="1:12" x14ac:dyDescent="0.25">
      <c r="A57" s="283"/>
      <c r="B57" s="284"/>
      <c r="C57" s="283"/>
      <c r="D57" s="284"/>
      <c r="E57" s="283"/>
      <c r="F57" s="284"/>
      <c r="G57" s="283"/>
      <c r="H57" s="284"/>
      <c r="I57" s="283"/>
      <c r="J57" s="284"/>
      <c r="K57" s="289"/>
      <c r="L57" s="289"/>
    </row>
    <row r="58" spans="1:12" x14ac:dyDescent="0.25">
      <c r="A58" s="269">
        <v>1</v>
      </c>
      <c r="B58" s="269"/>
      <c r="C58" s="269">
        <v>2</v>
      </c>
      <c r="D58" s="269"/>
      <c r="E58" s="269">
        <v>3</v>
      </c>
      <c r="F58" s="269"/>
      <c r="G58" s="269">
        <v>4</v>
      </c>
      <c r="H58" s="269"/>
      <c r="I58" s="269">
        <v>5</v>
      </c>
      <c r="J58" s="269"/>
      <c r="K58" s="193">
        <v>6</v>
      </c>
      <c r="L58" s="193">
        <v>7</v>
      </c>
    </row>
    <row r="59" spans="1:12" ht="26.45" customHeight="1" x14ac:dyDescent="0.25">
      <c r="A59" s="291" t="str">
        <f>C45</f>
        <v>3,5 м2</v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93" t="s">
        <v>38</v>
      </c>
      <c r="L59" s="193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5" t="s">
        <v>13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</row>
    <row r="62" spans="1:12" x14ac:dyDescent="0.25">
      <c r="A62" s="231" t="s">
        <v>172</v>
      </c>
      <c r="B62" s="231"/>
      <c r="C62" s="231"/>
      <c r="D62" s="231"/>
      <c r="E62" s="267" t="s">
        <v>60</v>
      </c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20</v>
      </c>
      <c r="B63" s="230"/>
      <c r="C63" s="230"/>
      <c r="D63" s="230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31" t="s">
        <v>57</v>
      </c>
      <c r="B64" s="231"/>
      <c r="C64" s="231"/>
      <c r="D64" s="267" t="s">
        <v>60</v>
      </c>
      <c r="E64" s="267"/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43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56</v>
      </c>
      <c r="B66" s="231"/>
      <c r="C66" s="231"/>
      <c r="D66" s="231"/>
      <c r="E66" s="267" t="s">
        <v>60</v>
      </c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55</v>
      </c>
      <c r="B68" s="231"/>
      <c r="C68" s="231"/>
      <c r="D68" s="267" t="s">
        <v>60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173</v>
      </c>
      <c r="B70" s="231"/>
      <c r="C70" s="231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174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58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3.45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2.15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4:L94"/>
    <mergeCell ref="A95:L95"/>
    <mergeCell ref="A96:L96"/>
    <mergeCell ref="A97:L97"/>
    <mergeCell ref="A98:L98"/>
    <mergeCell ref="A89:L89"/>
    <mergeCell ref="A90:I90"/>
    <mergeCell ref="K90:L90"/>
    <mergeCell ref="A91:L91"/>
    <mergeCell ref="A92:L92"/>
    <mergeCell ref="A93:J93"/>
    <mergeCell ref="K93:L93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40:L40"/>
    <mergeCell ref="A41:J41"/>
    <mergeCell ref="K41:L41"/>
    <mergeCell ref="K42:L42"/>
    <mergeCell ref="A43:G43"/>
    <mergeCell ref="I43:L43"/>
    <mergeCell ref="A34:B34"/>
    <mergeCell ref="C34:L34"/>
    <mergeCell ref="A35:L35"/>
    <mergeCell ref="A36:L36"/>
    <mergeCell ref="A38:L38"/>
    <mergeCell ref="A39:L39"/>
    <mergeCell ref="C30:L30"/>
    <mergeCell ref="A31:L31"/>
    <mergeCell ref="C32:L32"/>
    <mergeCell ref="A33:L33"/>
    <mergeCell ref="A22:B22"/>
    <mergeCell ref="C22:L22"/>
    <mergeCell ref="A23:L23"/>
    <mergeCell ref="A25:C25"/>
    <mergeCell ref="C26:L26"/>
    <mergeCell ref="A27:L27"/>
    <mergeCell ref="C20:F20"/>
    <mergeCell ref="A11:L11"/>
    <mergeCell ref="A13:F13"/>
    <mergeCell ref="G13:L13"/>
    <mergeCell ref="A14:L14"/>
    <mergeCell ref="A16:G16"/>
    <mergeCell ref="K16:L16"/>
    <mergeCell ref="C28:L28"/>
    <mergeCell ref="A29:L29"/>
    <mergeCell ref="K3:L3"/>
    <mergeCell ref="F5:G5"/>
    <mergeCell ref="I6:K6"/>
    <mergeCell ref="I7:K7"/>
    <mergeCell ref="A8:L8"/>
    <mergeCell ref="A9:L9"/>
    <mergeCell ref="A17:G17"/>
    <mergeCell ref="K17:L17"/>
    <mergeCell ref="A19:B19"/>
    <mergeCell ref="C19:F19"/>
    <mergeCell ref="H19:L19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253D-97A9-403F-9B81-5D05E6CC9E5D}">
  <dimension ref="A1:L102"/>
  <sheetViews>
    <sheetView view="pageBreakPreview" topLeftCell="A13" zoomScaleNormal="100" zoomScaleSheetLayoutView="100" workbookViewId="0">
      <selection activeCell="O23" sqref="O2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I1" s="211" t="s">
        <v>40</v>
      </c>
      <c r="J1" s="212"/>
      <c r="K1" s="213"/>
    </row>
    <row r="2" spans="1:12" ht="14.25" customHeight="1" x14ac:dyDescent="0.25">
      <c r="I2" s="214" t="s">
        <v>37</v>
      </c>
      <c r="J2" s="214"/>
      <c r="K2" s="214"/>
      <c r="L2" s="6"/>
    </row>
    <row r="3" spans="1:12" x14ac:dyDescent="0.25">
      <c r="A3" s="228" t="s">
        <v>52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1:12" ht="27.6" customHeight="1" x14ac:dyDescent="0.25">
      <c r="A4" s="307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</row>
    <row r="5" spans="1:12" x14ac:dyDescent="0.25">
      <c r="A5" s="17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x14ac:dyDescent="0.25">
      <c r="A6" s="228" t="s">
        <v>74</v>
      </c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</row>
    <row r="7" spans="1:12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5.75" x14ac:dyDescent="0.25">
      <c r="A8" s="309" t="s">
        <v>201</v>
      </c>
      <c r="B8" s="309"/>
      <c r="C8" s="309"/>
      <c r="D8" s="309"/>
      <c r="E8" s="309"/>
      <c r="F8" s="309"/>
      <c r="G8" s="310" t="str">
        <f>'Данные объект'!B2</f>
        <v>SAP - 288007</v>
      </c>
      <c r="H8" s="310"/>
      <c r="I8" s="310"/>
      <c r="J8" s="310"/>
      <c r="K8" s="310"/>
      <c r="L8" s="310"/>
    </row>
    <row r="9" spans="1:12" ht="15.75" x14ac:dyDescent="0.25">
      <c r="A9" s="299" t="s">
        <v>0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</row>
    <row r="10" spans="1:1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194" t="str">
        <f>'Данные объект'!B5</f>
        <v>141533,Российская Федерация, г.о.Солнечногорск</v>
      </c>
      <c r="B11" s="195"/>
      <c r="C11" s="18"/>
      <c r="D11" s="18"/>
      <c r="E11" s="18"/>
      <c r="F11" s="18"/>
      <c r="G11" s="18"/>
      <c r="H11" s="18"/>
      <c r="I11" s="18"/>
      <c r="J11" s="18"/>
      <c r="K11" s="300">
        <f>'[3]Провод СИП '!K11:L11</f>
        <v>45827</v>
      </c>
      <c r="L11" s="300"/>
    </row>
    <row r="12" spans="1:12" x14ac:dyDescent="0.25">
      <c r="A12" s="304" t="s">
        <v>1</v>
      </c>
      <c r="B12" s="304"/>
      <c r="C12" s="18"/>
      <c r="D12" s="18"/>
      <c r="E12" s="18"/>
      <c r="F12" s="18"/>
      <c r="G12" s="18"/>
      <c r="H12" s="18"/>
      <c r="I12" s="18"/>
      <c r="J12" s="18"/>
      <c r="K12" s="301" t="s">
        <v>26</v>
      </c>
      <c r="L12" s="301"/>
    </row>
    <row r="13" spans="1:1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8.75" customHeight="1" x14ac:dyDescent="0.25">
      <c r="A14" s="228" t="s">
        <v>27</v>
      </c>
      <c r="B14" s="228"/>
      <c r="C14" s="302" t="str">
        <f>'Данные объект'!B11</f>
        <v>ООО "Энергосистемы"</v>
      </c>
      <c r="D14" s="302"/>
      <c r="E14" s="302"/>
      <c r="F14" s="302"/>
      <c r="G14" s="18"/>
      <c r="H14" s="303" t="str">
        <f>'[3]Провод СИП '!H14:L14</f>
        <v>по приказу №05-ОТ/24 от "09" января 2024г. в  составе:</v>
      </c>
      <c r="I14" s="303"/>
      <c r="J14" s="303"/>
      <c r="K14" s="303"/>
      <c r="L14" s="303"/>
    </row>
    <row r="15" spans="1:12" x14ac:dyDescent="0.25">
      <c r="A15" s="19"/>
      <c r="B15" s="19"/>
      <c r="C15" s="301" t="s">
        <v>25</v>
      </c>
      <c r="D15" s="301"/>
      <c r="E15" s="301"/>
      <c r="F15" s="301"/>
      <c r="G15" s="19"/>
      <c r="H15" s="19"/>
      <c r="I15" s="19"/>
      <c r="J15" s="19"/>
      <c r="K15" s="19"/>
      <c r="L15" s="19"/>
    </row>
    <row r="16" spans="1:12" x14ac:dyDescent="0.25">
      <c r="A16" s="2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</row>
    <row r="17" spans="1:12" ht="20.45" customHeight="1" x14ac:dyDescent="0.25">
      <c r="A17" s="228" t="s">
        <v>75</v>
      </c>
      <c r="B17" s="228"/>
      <c r="C17" s="272" t="str">
        <f>'Данные объект'!C45</f>
        <v>Главный энергетик ООО "Энергосистемы"  Фечин А.А.</v>
      </c>
      <c r="D17" s="272"/>
      <c r="E17" s="272"/>
      <c r="F17" s="272"/>
      <c r="G17" s="272"/>
      <c r="H17" s="272"/>
      <c r="I17" s="272"/>
      <c r="J17" s="272"/>
      <c r="K17" s="272"/>
      <c r="L17" s="272"/>
    </row>
    <row r="18" spans="1:12" x14ac:dyDescent="0.25">
      <c r="A18" s="304" t="s">
        <v>2</v>
      </c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304"/>
    </row>
    <row r="19" spans="1:12" x14ac:dyDescent="0.2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</row>
    <row r="20" spans="1:12" x14ac:dyDescent="0.25">
      <c r="A20" s="228" t="s">
        <v>16</v>
      </c>
      <c r="B20" s="228"/>
      <c r="C20" s="22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9.899999999999999" customHeight="1" x14ac:dyDescent="0.25">
      <c r="A21" s="18"/>
      <c r="B21" s="18"/>
      <c r="C21" s="366" t="str">
        <f>'Данные объект'!C47</f>
        <v>Прораб ООО "Энергосистемы"  Волков М.Ю.</v>
      </c>
      <c r="D21" s="366"/>
      <c r="E21" s="366"/>
      <c r="F21" s="366"/>
      <c r="G21" s="366"/>
      <c r="H21" s="366"/>
      <c r="I21" s="366"/>
      <c r="J21" s="366"/>
      <c r="K21" s="366"/>
      <c r="L21" s="366"/>
    </row>
    <row r="22" spans="1:12" ht="15" customHeight="1" x14ac:dyDescent="0.25">
      <c r="A22" s="304" t="s">
        <v>2</v>
      </c>
      <c r="B22" s="304"/>
      <c r="C22" s="304"/>
      <c r="D22" s="304"/>
      <c r="E22" s="304"/>
      <c r="F22" s="304"/>
      <c r="G22" s="304"/>
      <c r="H22" s="304"/>
      <c r="I22" s="304"/>
      <c r="J22" s="304"/>
      <c r="K22" s="304"/>
      <c r="L22" s="304"/>
    </row>
    <row r="23" spans="1:12" ht="20.45" customHeight="1" x14ac:dyDescent="0.25">
      <c r="A23" s="18"/>
      <c r="B23" s="18"/>
      <c r="C23" s="329" t="str">
        <f>'Данные объект'!C49</f>
        <v>Инженер-электрик ООО "Энергосистемы"  Высоцкий А.В.</v>
      </c>
      <c r="D23" s="329"/>
      <c r="E23" s="329"/>
      <c r="F23" s="329"/>
      <c r="G23" s="329"/>
      <c r="H23" s="329"/>
      <c r="I23" s="329"/>
      <c r="J23" s="329"/>
      <c r="K23" s="329"/>
      <c r="L23" s="329"/>
    </row>
    <row r="24" spans="1:12" ht="15" customHeight="1" x14ac:dyDescent="0.25">
      <c r="A24" s="304" t="s">
        <v>2</v>
      </c>
      <c r="B24" s="304"/>
      <c r="C24" s="304"/>
      <c r="D24" s="304"/>
      <c r="E24" s="304"/>
      <c r="F24" s="304"/>
      <c r="G24" s="304"/>
      <c r="H24" s="304"/>
      <c r="I24" s="304"/>
      <c r="J24" s="304"/>
      <c r="K24" s="304"/>
      <c r="L24" s="304"/>
    </row>
    <row r="25" spans="1:12" ht="31.5" hidden="1" customHeight="1" x14ac:dyDescent="0.25">
      <c r="A25" s="18"/>
      <c r="B25" s="18"/>
      <c r="C25" s="329" t="s">
        <v>72</v>
      </c>
      <c r="D25" s="329"/>
      <c r="E25" s="329"/>
      <c r="F25" s="329"/>
      <c r="G25" s="329"/>
      <c r="H25" s="329"/>
      <c r="I25" s="329"/>
      <c r="J25" s="329"/>
      <c r="K25" s="329"/>
      <c r="L25" s="329"/>
    </row>
    <row r="26" spans="1:12" ht="15" hidden="1" customHeight="1" x14ac:dyDescent="0.25">
      <c r="A26" s="304" t="s">
        <v>2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</row>
    <row r="27" spans="1:12" ht="19.899999999999999" customHeight="1" x14ac:dyDescent="0.25">
      <c r="A27" s="18"/>
      <c r="B27" s="18"/>
      <c r="C27" s="329" t="str">
        <f>'Данные объект'!B32</f>
        <v>Гл. специалист ССК УКС ПАО "Россети Московский регион" Алексанян Г.Р.</v>
      </c>
      <c r="D27" s="329"/>
      <c r="E27" s="329"/>
      <c r="F27" s="329"/>
      <c r="G27" s="329"/>
      <c r="H27" s="329"/>
      <c r="I27" s="329"/>
      <c r="J27" s="329"/>
      <c r="K27" s="329"/>
      <c r="L27" s="329"/>
    </row>
    <row r="28" spans="1:12" ht="13.9" customHeight="1" x14ac:dyDescent="0.25">
      <c r="A28" s="304" t="s">
        <v>2</v>
      </c>
      <c r="B28" s="304"/>
      <c r="C28" s="304"/>
      <c r="D28" s="304"/>
      <c r="E28" s="304"/>
      <c r="F28" s="304"/>
      <c r="G28" s="304"/>
      <c r="H28" s="304"/>
      <c r="I28" s="304"/>
      <c r="J28" s="304"/>
      <c r="K28" s="304"/>
      <c r="L28" s="304"/>
    </row>
    <row r="29" spans="1:12" ht="16.5" customHeight="1" x14ac:dyDescent="0.25">
      <c r="A29" s="228" t="s">
        <v>36</v>
      </c>
      <c r="B29" s="228"/>
      <c r="C29" s="229" t="str">
        <f>'Данные объект'!B51</f>
        <v>методическими указаниями ПАО "Россети Московский регион" (утв. Приказом от 14.11.2024 г. № 1254)</v>
      </c>
      <c r="D29" s="229"/>
      <c r="E29" s="229"/>
      <c r="F29" s="229"/>
      <c r="G29" s="229"/>
      <c r="H29" s="229"/>
      <c r="I29" s="229"/>
      <c r="J29" s="229"/>
      <c r="K29" s="229"/>
      <c r="L29" s="229"/>
    </row>
    <row r="30" spans="1:12" x14ac:dyDescent="0.25">
      <c r="A30" s="304" t="s">
        <v>3</v>
      </c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</row>
    <row r="31" spans="1:12" x14ac:dyDescent="0.25">
      <c r="A31" s="228" t="s">
        <v>4</v>
      </c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</row>
    <row r="32" spans="1:1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228" t="s">
        <v>5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  <row r="34" spans="1:12" ht="29.25" customHeight="1" x14ac:dyDescent="0.25">
      <c r="A34" s="329" t="s">
        <v>509</v>
      </c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</row>
    <row r="35" spans="1:12" x14ac:dyDescent="0.25">
      <c r="A35" s="304" t="s">
        <v>6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1:12" ht="34.5" customHeight="1" x14ac:dyDescent="0.25">
      <c r="A36" s="361" t="s">
        <v>29</v>
      </c>
      <c r="B36" s="361"/>
      <c r="C36" s="361"/>
      <c r="D36" s="361"/>
      <c r="E36" s="361"/>
      <c r="F36" s="361"/>
      <c r="G36" s="361"/>
      <c r="H36" s="361"/>
      <c r="I36" s="361"/>
      <c r="J36" s="361"/>
      <c r="K36" s="272" t="s">
        <v>512</v>
      </c>
      <c r="L36" s="272"/>
    </row>
    <row r="37" spans="1:12" x14ac:dyDescent="0.2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365" t="s">
        <v>41</v>
      </c>
      <c r="L37" s="365"/>
    </row>
    <row r="38" spans="1:12" ht="29.25" customHeight="1" x14ac:dyDescent="0.25">
      <c r="A38" s="272" t="s">
        <v>513</v>
      </c>
      <c r="B38" s="272"/>
      <c r="C38" s="272"/>
      <c r="D38" s="272"/>
      <c r="E38" s="272"/>
      <c r="F38" s="272"/>
      <c r="G38" s="272"/>
      <c r="H38" s="23" t="s">
        <v>51</v>
      </c>
      <c r="I38" s="362" t="s">
        <v>514</v>
      </c>
      <c r="J38" s="362"/>
      <c r="K38" s="362"/>
      <c r="L38" s="362"/>
    </row>
    <row r="39" spans="1:12" x14ac:dyDescent="0.25">
      <c r="A39" s="304" t="s">
        <v>42</v>
      </c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</row>
    <row r="40" spans="1:12" ht="15" customHeight="1" x14ac:dyDescent="0.25">
      <c r="A40" s="228" t="s">
        <v>28</v>
      </c>
      <c r="B40" s="228"/>
      <c r="C40" s="364" t="s">
        <v>510</v>
      </c>
      <c r="D40" s="364"/>
      <c r="E40" s="228" t="s">
        <v>54</v>
      </c>
      <c r="F40" s="228"/>
      <c r="G40" s="349"/>
      <c r="H40" s="349"/>
      <c r="I40" s="349"/>
      <c r="J40" s="349"/>
      <c r="K40" s="195"/>
      <c r="L40" s="195"/>
    </row>
    <row r="41" spans="1:12" x14ac:dyDescent="0.25">
      <c r="A41" s="363" t="s">
        <v>53</v>
      </c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</row>
    <row r="42" spans="1:12" ht="15" customHeight="1" x14ac:dyDescent="0.25">
      <c r="A42" s="361" t="s">
        <v>76</v>
      </c>
      <c r="B42" s="361"/>
      <c r="C42" s="272" t="s">
        <v>92</v>
      </c>
      <c r="D42" s="272"/>
      <c r="E42" s="272"/>
      <c r="F42" s="23" t="s">
        <v>31</v>
      </c>
      <c r="G42" s="362" t="s">
        <v>93</v>
      </c>
      <c r="H42" s="362"/>
      <c r="I42" s="362"/>
      <c r="J42" s="362"/>
      <c r="K42" s="362"/>
      <c r="L42" s="362"/>
    </row>
    <row r="43" spans="1:12" ht="15" customHeight="1" x14ac:dyDescent="0.25">
      <c r="A43" s="363" t="s">
        <v>32</v>
      </c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</row>
    <row r="44" spans="1:12" x14ac:dyDescent="0.25">
      <c r="A44" s="228" t="s">
        <v>33</v>
      </c>
      <c r="B44" s="228"/>
      <c r="C44" s="228"/>
      <c r="D44" s="228"/>
      <c r="E44" s="228"/>
      <c r="F44" s="229" t="s">
        <v>64</v>
      </c>
      <c r="G44" s="229"/>
      <c r="H44" s="229"/>
      <c r="I44" s="229"/>
      <c r="J44" s="229"/>
      <c r="K44" s="229"/>
      <c r="L44" s="229"/>
    </row>
    <row r="45" spans="1:12" x14ac:dyDescent="0.25">
      <c r="A45" s="304" t="s">
        <v>34</v>
      </c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</row>
    <row r="46" spans="1:12" ht="15" customHeight="1" x14ac:dyDescent="0.25">
      <c r="A46" s="228" t="s">
        <v>7</v>
      </c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18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3.9" customHeight="1" x14ac:dyDescent="0.25">
      <c r="A48" s="315" t="s">
        <v>17</v>
      </c>
      <c r="B48" s="316"/>
      <c r="C48" s="316"/>
      <c r="D48" s="317"/>
      <c r="E48" s="315" t="s">
        <v>9</v>
      </c>
      <c r="F48" s="317"/>
      <c r="G48" s="315" t="s">
        <v>10</v>
      </c>
      <c r="H48" s="317"/>
      <c r="I48" s="315" t="s">
        <v>11</v>
      </c>
      <c r="J48" s="317"/>
      <c r="K48" s="322" t="s">
        <v>15</v>
      </c>
      <c r="L48" s="322" t="s">
        <v>12</v>
      </c>
    </row>
    <row r="49" spans="1:12" x14ac:dyDescent="0.25">
      <c r="A49" s="318"/>
      <c r="B49" s="272"/>
      <c r="C49" s="272"/>
      <c r="D49" s="319"/>
      <c r="E49" s="320"/>
      <c r="F49" s="321"/>
      <c r="G49" s="320"/>
      <c r="H49" s="321"/>
      <c r="I49" s="320"/>
      <c r="J49" s="321"/>
      <c r="K49" s="323"/>
      <c r="L49" s="323"/>
    </row>
    <row r="50" spans="1:12" ht="13.9" customHeight="1" x14ac:dyDescent="0.25">
      <c r="A50" s="315" t="s">
        <v>8</v>
      </c>
      <c r="B50" s="317"/>
      <c r="C50" s="315" t="s">
        <v>19</v>
      </c>
      <c r="D50" s="317"/>
      <c r="E50" s="320"/>
      <c r="F50" s="321"/>
      <c r="G50" s="320"/>
      <c r="H50" s="321"/>
      <c r="I50" s="320"/>
      <c r="J50" s="321"/>
      <c r="K50" s="323"/>
      <c r="L50" s="323"/>
    </row>
    <row r="51" spans="1:12" x14ac:dyDescent="0.25">
      <c r="A51" s="320"/>
      <c r="B51" s="321"/>
      <c r="C51" s="320"/>
      <c r="D51" s="321"/>
      <c r="E51" s="320"/>
      <c r="F51" s="321"/>
      <c r="G51" s="320"/>
      <c r="H51" s="321"/>
      <c r="I51" s="320"/>
      <c r="J51" s="321"/>
      <c r="K51" s="323"/>
      <c r="L51" s="323"/>
    </row>
    <row r="52" spans="1:12" x14ac:dyDescent="0.25">
      <c r="A52" s="318"/>
      <c r="B52" s="319"/>
      <c r="C52" s="318"/>
      <c r="D52" s="319"/>
      <c r="E52" s="318"/>
      <c r="F52" s="319"/>
      <c r="G52" s="318"/>
      <c r="H52" s="319"/>
      <c r="I52" s="318"/>
      <c r="J52" s="319"/>
      <c r="K52" s="324"/>
      <c r="L52" s="324"/>
    </row>
    <row r="53" spans="1:12" x14ac:dyDescent="0.25">
      <c r="A53" s="298">
        <v>1</v>
      </c>
      <c r="B53" s="298"/>
      <c r="C53" s="298">
        <v>2</v>
      </c>
      <c r="D53" s="298"/>
      <c r="E53" s="298">
        <v>3</v>
      </c>
      <c r="F53" s="298"/>
      <c r="G53" s="298">
        <v>4</v>
      </c>
      <c r="H53" s="298"/>
      <c r="I53" s="298">
        <v>5</v>
      </c>
      <c r="J53" s="298"/>
      <c r="K53" s="187">
        <v>6</v>
      </c>
      <c r="L53" s="187">
        <v>7</v>
      </c>
    </row>
    <row r="54" spans="1:12" ht="13.9" customHeight="1" x14ac:dyDescent="0.25">
      <c r="A54" s="360" t="str">
        <f>C40</f>
        <v>2,8 кг</v>
      </c>
      <c r="B54" s="360"/>
      <c r="C54" s="298" t="s">
        <v>38</v>
      </c>
      <c r="D54" s="298"/>
      <c r="E54" s="298" t="s">
        <v>39</v>
      </c>
      <c r="F54" s="298"/>
      <c r="G54" s="298" t="s">
        <v>38</v>
      </c>
      <c r="H54" s="298"/>
      <c r="I54" s="298" t="s">
        <v>38</v>
      </c>
      <c r="J54" s="298"/>
      <c r="K54" s="187" t="s">
        <v>38</v>
      </c>
      <c r="L54" s="25" t="s">
        <v>18</v>
      </c>
    </row>
    <row r="55" spans="1:12" x14ac:dyDescent="0.2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</row>
    <row r="56" spans="1:12" x14ac:dyDescent="0.25">
      <c r="A56" s="240" t="s">
        <v>13</v>
      </c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</row>
    <row r="57" spans="1:12" x14ac:dyDescent="0.25">
      <c r="A57" s="215" t="s">
        <v>172</v>
      </c>
      <c r="B57" s="215"/>
      <c r="C57" s="215"/>
      <c r="D57" s="215"/>
      <c r="E57" s="255" t="s">
        <v>60</v>
      </c>
      <c r="F57" s="255"/>
      <c r="G57" s="255"/>
      <c r="H57" s="255"/>
      <c r="I57" s="255"/>
      <c r="J57" s="255"/>
      <c r="K57" s="255"/>
      <c r="L57" s="255"/>
    </row>
    <row r="58" spans="1:12" x14ac:dyDescent="0.25">
      <c r="A58" s="222" t="s">
        <v>20</v>
      </c>
      <c r="B58" s="222"/>
      <c r="C58" s="222"/>
      <c r="D58" s="222"/>
      <c r="E58" s="220"/>
      <c r="F58" s="220"/>
      <c r="G58" s="220"/>
      <c r="H58" s="220"/>
      <c r="I58" s="220"/>
      <c r="J58" s="220"/>
      <c r="K58" s="220"/>
      <c r="L58" s="220"/>
    </row>
    <row r="59" spans="1:12" x14ac:dyDescent="0.25">
      <c r="A59" s="215" t="s">
        <v>57</v>
      </c>
      <c r="B59" s="215"/>
      <c r="C59" s="215"/>
      <c r="D59" s="255" t="s">
        <v>60</v>
      </c>
      <c r="E59" s="255"/>
      <c r="F59" s="255"/>
      <c r="G59" s="255"/>
      <c r="H59" s="255"/>
      <c r="I59" s="255"/>
      <c r="J59" s="255"/>
      <c r="K59" s="255"/>
      <c r="L59" s="255"/>
    </row>
    <row r="60" spans="1:12" x14ac:dyDescent="0.25">
      <c r="A60" s="222" t="s">
        <v>43</v>
      </c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</row>
    <row r="61" spans="1:12" x14ac:dyDescent="0.25">
      <c r="A61" s="215" t="s">
        <v>56</v>
      </c>
      <c r="B61" s="215"/>
      <c r="C61" s="215"/>
      <c r="D61" s="215"/>
      <c r="E61" s="255" t="s">
        <v>60</v>
      </c>
      <c r="F61" s="255"/>
      <c r="G61" s="255"/>
      <c r="H61" s="255"/>
      <c r="I61" s="255"/>
      <c r="J61" s="255"/>
      <c r="K61" s="255"/>
      <c r="L61" s="255"/>
    </row>
    <row r="62" spans="1:12" x14ac:dyDescent="0.25">
      <c r="A62" s="222" t="s">
        <v>44</v>
      </c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</row>
    <row r="63" spans="1:12" x14ac:dyDescent="0.25">
      <c r="A63" s="215" t="s">
        <v>55</v>
      </c>
      <c r="B63" s="215"/>
      <c r="C63" s="215"/>
      <c r="D63" s="225" t="s">
        <v>60</v>
      </c>
      <c r="E63" s="225"/>
      <c r="F63" s="225"/>
      <c r="G63" s="225"/>
      <c r="H63" s="225"/>
      <c r="I63" s="225"/>
      <c r="J63" s="225"/>
      <c r="K63" s="225"/>
      <c r="L63" s="225"/>
    </row>
    <row r="64" spans="1:12" x14ac:dyDescent="0.25">
      <c r="A64" s="222" t="s">
        <v>44</v>
      </c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</row>
    <row r="65" spans="1:12" x14ac:dyDescent="0.25">
      <c r="A65" s="215" t="s">
        <v>173</v>
      </c>
      <c r="B65" s="215"/>
      <c r="C65" s="215"/>
      <c r="D65" s="225" t="s">
        <v>38</v>
      </c>
      <c r="E65" s="225"/>
      <c r="F65" s="225"/>
      <c r="G65" s="225"/>
      <c r="H65" s="225"/>
      <c r="I65" s="225"/>
      <c r="J65" s="225"/>
      <c r="K65" s="225"/>
      <c r="L65" s="225"/>
    </row>
    <row r="66" spans="1:12" x14ac:dyDescent="0.25">
      <c r="A66" s="222" t="s">
        <v>174</v>
      </c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</row>
    <row r="67" spans="1:12" x14ac:dyDescent="0.25">
      <c r="A67" s="240" t="s">
        <v>58</v>
      </c>
      <c r="B67" s="240"/>
      <c r="C67" s="240"/>
      <c r="D67" s="240"/>
      <c r="E67" s="240"/>
      <c r="F67" s="240"/>
      <c r="G67" s="240"/>
      <c r="H67" s="256" t="s">
        <v>35</v>
      </c>
      <c r="I67" s="256"/>
      <c r="J67" s="256"/>
      <c r="K67" s="256"/>
      <c r="L67" s="256"/>
    </row>
    <row r="68" spans="1:12" x14ac:dyDescent="0.25">
      <c r="A68" s="233" t="s">
        <v>45</v>
      </c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</row>
    <row r="69" spans="1:12" x14ac:dyDescent="0.25">
      <c r="A69" s="261" t="s">
        <v>175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</row>
    <row r="70" spans="1:12" x14ac:dyDescent="0.25">
      <c r="A70" s="233" t="s">
        <v>47</v>
      </c>
      <c r="B70" s="233"/>
      <c r="C70" s="233"/>
      <c r="D70" s="233"/>
      <c r="E70" s="233"/>
      <c r="F70" s="233"/>
      <c r="G70" s="233"/>
      <c r="H70" s="233"/>
      <c r="I70" s="233"/>
      <c r="J70" s="233"/>
      <c r="K70" s="233"/>
    </row>
    <row r="72" spans="1:12" x14ac:dyDescent="0.25">
      <c r="A72" s="215" t="s">
        <v>14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</row>
    <row r="73" spans="1:12" x14ac:dyDescent="0.25">
      <c r="A73" s="259" t="s">
        <v>61</v>
      </c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</row>
    <row r="74" spans="1:12" ht="12.75" customHeight="1" x14ac:dyDescent="0.25">
      <c r="A74" s="260" t="s">
        <v>63</v>
      </c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</row>
    <row r="75" spans="1:12" ht="12.75" hidden="1" customHeight="1" x14ac:dyDescent="0.2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</row>
    <row r="76" spans="1:12" x14ac:dyDescent="0.25">
      <c r="A76" s="220" t="s">
        <v>62</v>
      </c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</row>
    <row r="77" spans="1:12" ht="14.45" customHeight="1" x14ac:dyDescent="0.25">
      <c r="A77" s="226" t="s">
        <v>176</v>
      </c>
      <c r="B77" s="226"/>
      <c r="C77" s="226"/>
      <c r="D77" s="255" t="s">
        <v>38</v>
      </c>
      <c r="E77" s="255"/>
      <c r="F77" s="255"/>
      <c r="G77" s="255"/>
      <c r="H77" s="255"/>
      <c r="I77" s="255"/>
      <c r="J77" s="255"/>
      <c r="K77" s="255"/>
      <c r="L77" s="255"/>
    </row>
    <row r="78" spans="1:12" ht="12.75" customHeight="1" x14ac:dyDescent="0.25">
      <c r="A78" s="222" t="s">
        <v>21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</row>
    <row r="79" spans="1:12" x14ac:dyDescent="0.25">
      <c r="A79" s="265" t="s">
        <v>23</v>
      </c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</row>
    <row r="80" spans="1:12" ht="20.45" customHeight="1" x14ac:dyDescent="0.25">
      <c r="A80" s="257" t="str">
        <f>C17</f>
        <v>Главный энергетик ООО "Энергосистемы"  Фечин А.А.</v>
      </c>
      <c r="B80" s="257"/>
      <c r="C80" s="257"/>
      <c r="D80" s="257"/>
      <c r="E80" s="257"/>
      <c r="F80" s="257"/>
      <c r="G80" s="257"/>
      <c r="H80" s="257"/>
      <c r="I80" s="257"/>
      <c r="J80" s="7"/>
      <c r="K80" s="258"/>
      <c r="L80" s="258"/>
    </row>
    <row r="81" spans="1:12" ht="12" customHeight="1" x14ac:dyDescent="0.25">
      <c r="A81" s="222" t="s">
        <v>48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3.9" customHeight="1" x14ac:dyDescent="0.25">
      <c r="A82" s="265" t="s">
        <v>22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7.45" customHeight="1" x14ac:dyDescent="0.25">
      <c r="A83" s="257" t="str">
        <f>C21</f>
        <v>Прораб ООО "Энергосистемы"  Волков М.Ю.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21.6" customHeight="1" x14ac:dyDescent="0.25">
      <c r="A85" s="257" t="str">
        <f>C23</f>
        <v>Инженер-электрик ООО "Энергосистемы"  Высоцкий А.В.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2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ht="27.75" hidden="1" customHeight="1" x14ac:dyDescent="0.25">
      <c r="A87" s="257" t="s">
        <v>72</v>
      </c>
      <c r="B87" s="257"/>
      <c r="C87" s="257"/>
      <c r="D87" s="257"/>
      <c r="E87" s="257"/>
      <c r="F87" s="257"/>
      <c r="G87" s="257"/>
      <c r="H87" s="257"/>
      <c r="I87" s="257"/>
      <c r="J87" s="7"/>
      <c r="K87" s="258"/>
      <c r="L87" s="258"/>
    </row>
    <row r="88" spans="1:12" ht="11.25" hidden="1" customHeight="1" x14ac:dyDescent="0.25">
      <c r="A88" s="222" t="s">
        <v>48</v>
      </c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</row>
    <row r="89" spans="1:12" ht="30" hidden="1" customHeight="1" x14ac:dyDescent="0.25">
      <c r="A89" s="257"/>
      <c r="B89" s="257"/>
      <c r="C89" s="257"/>
      <c r="D89" s="257"/>
      <c r="E89" s="257"/>
      <c r="F89" s="257"/>
      <c r="G89" s="257"/>
      <c r="H89" s="257"/>
      <c r="I89" s="257"/>
      <c r="J89" s="7"/>
      <c r="K89" s="258"/>
      <c r="L89" s="258"/>
    </row>
    <row r="90" spans="1:12" hidden="1" x14ac:dyDescent="0.25">
      <c r="A90" s="222" t="s">
        <v>511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ht="16.149999999999999" customHeight="1" x14ac:dyDescent="0.25">
      <c r="A91" s="265" t="s">
        <v>49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3.9" customHeight="1" x14ac:dyDescent="0.25">
      <c r="A92" s="257" t="str">
        <f>C27</f>
        <v>Гл. специалист ССК УКС ПАО "Россети Московский регион" Алексанян Г.Р.</v>
      </c>
      <c r="B92" s="257"/>
      <c r="C92" s="257"/>
      <c r="D92" s="257"/>
      <c r="E92" s="257"/>
      <c r="F92" s="257"/>
      <c r="G92" s="257"/>
      <c r="H92" s="257"/>
      <c r="I92" s="257"/>
      <c r="J92" s="257"/>
      <c r="K92" s="266"/>
      <c r="L92" s="266"/>
    </row>
    <row r="93" spans="1:12" x14ac:dyDescent="0.25">
      <c r="A93" s="222" t="s">
        <v>2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hidden="1" x14ac:dyDescent="0.25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66"/>
      <c r="L94" s="266"/>
    </row>
    <row r="95" spans="1:12" hidden="1" x14ac:dyDescent="0.25">
      <c r="A95" s="222" t="s">
        <v>2</v>
      </c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</row>
    <row r="96" spans="1:12" ht="15" customHeight="1" x14ac:dyDescent="0.25">
      <c r="A96" s="265" t="s">
        <v>24</v>
      </c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</row>
    <row r="97" spans="1:12" ht="13.9" customHeight="1" x14ac:dyDescent="0.25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0.5" hidden="1" customHeight="1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</row>
    <row r="100" spans="1:12" ht="13.5" hidden="1" customHeight="1" x14ac:dyDescent="0.25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</row>
    <row r="101" spans="1:12" x14ac:dyDescent="0.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</row>
    <row r="102" spans="1:12" ht="13.9" customHeight="1" x14ac:dyDescent="0.25"/>
  </sheetData>
  <mergeCells count="130">
    <mergeCell ref="A9:L9"/>
    <mergeCell ref="K11:L11"/>
    <mergeCell ref="A12:B12"/>
    <mergeCell ref="K12:L12"/>
    <mergeCell ref="A14:B14"/>
    <mergeCell ref="C14:F14"/>
    <mergeCell ref="H14:L14"/>
    <mergeCell ref="I1:K1"/>
    <mergeCell ref="I2:K2"/>
    <mergeCell ref="A3:L3"/>
    <mergeCell ref="A4:L4"/>
    <mergeCell ref="A6:L6"/>
    <mergeCell ref="A8:F8"/>
    <mergeCell ref="G8:L8"/>
    <mergeCell ref="A22:L22"/>
    <mergeCell ref="C23:L23"/>
    <mergeCell ref="A24:L24"/>
    <mergeCell ref="C25:L25"/>
    <mergeCell ref="A26:L26"/>
    <mergeCell ref="C27:L27"/>
    <mergeCell ref="C15:F15"/>
    <mergeCell ref="A17:B17"/>
    <mergeCell ref="C17:L17"/>
    <mergeCell ref="A18:L18"/>
    <mergeCell ref="A20:C20"/>
    <mergeCell ref="C21:L21"/>
    <mergeCell ref="A34:L34"/>
    <mergeCell ref="A35:L35"/>
    <mergeCell ref="A36:J36"/>
    <mergeCell ref="K36:L36"/>
    <mergeCell ref="K37:L37"/>
    <mergeCell ref="A38:G38"/>
    <mergeCell ref="I38:L38"/>
    <mergeCell ref="A28:L28"/>
    <mergeCell ref="A29:B29"/>
    <mergeCell ref="C29:L29"/>
    <mergeCell ref="A30:L30"/>
    <mergeCell ref="A31:L31"/>
    <mergeCell ref="A33:L33"/>
    <mergeCell ref="A42:B42"/>
    <mergeCell ref="C42:E42"/>
    <mergeCell ref="G42:L42"/>
    <mergeCell ref="A43:L43"/>
    <mergeCell ref="A44:E44"/>
    <mergeCell ref="F44:L44"/>
    <mergeCell ref="A39:L39"/>
    <mergeCell ref="A40:B40"/>
    <mergeCell ref="C40:D40"/>
    <mergeCell ref="E40:F40"/>
    <mergeCell ref="G40:J40"/>
    <mergeCell ref="A41:L41"/>
    <mergeCell ref="A45:L45"/>
    <mergeCell ref="A46:K46"/>
    <mergeCell ref="A48:D49"/>
    <mergeCell ref="E48:F52"/>
    <mergeCell ref="G48:H52"/>
    <mergeCell ref="I48:J52"/>
    <mergeCell ref="K48:K52"/>
    <mergeCell ref="L48:L52"/>
    <mergeCell ref="A50:B52"/>
    <mergeCell ref="C50:D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60:L60"/>
    <mergeCell ref="A61:D61"/>
    <mergeCell ref="E61:L61"/>
    <mergeCell ref="A62:L62"/>
    <mergeCell ref="A63:C63"/>
    <mergeCell ref="D63:L63"/>
    <mergeCell ref="A56:L56"/>
    <mergeCell ref="A57:D57"/>
    <mergeCell ref="E57:L57"/>
    <mergeCell ref="A58:L58"/>
    <mergeCell ref="A59:C59"/>
    <mergeCell ref="D59:L59"/>
    <mergeCell ref="A68:L68"/>
    <mergeCell ref="A69:L69"/>
    <mergeCell ref="A70:K70"/>
    <mergeCell ref="A72:L72"/>
    <mergeCell ref="A73:L73"/>
    <mergeCell ref="A74:L74"/>
    <mergeCell ref="A64:L64"/>
    <mergeCell ref="A65:C65"/>
    <mergeCell ref="D65:L65"/>
    <mergeCell ref="A66:L66"/>
    <mergeCell ref="A67:G67"/>
    <mergeCell ref="H67:L67"/>
    <mergeCell ref="A80:I80"/>
    <mergeCell ref="K80:L80"/>
    <mergeCell ref="A81:L81"/>
    <mergeCell ref="A82:L82"/>
    <mergeCell ref="A83:I83"/>
    <mergeCell ref="K83:L83"/>
    <mergeCell ref="A75:L75"/>
    <mergeCell ref="A76:L76"/>
    <mergeCell ref="A77:C77"/>
    <mergeCell ref="D77:L77"/>
    <mergeCell ref="A78:L78"/>
    <mergeCell ref="A79:L79"/>
    <mergeCell ref="A88:L88"/>
    <mergeCell ref="A89:I89"/>
    <mergeCell ref="K89:L89"/>
    <mergeCell ref="A90:L90"/>
    <mergeCell ref="A91:L91"/>
    <mergeCell ref="A92:J92"/>
    <mergeCell ref="K92:L92"/>
    <mergeCell ref="A84:L84"/>
    <mergeCell ref="A85:I85"/>
    <mergeCell ref="K85:L85"/>
    <mergeCell ref="A86:L86"/>
    <mergeCell ref="A87:I87"/>
    <mergeCell ref="K87:L87"/>
    <mergeCell ref="A98:L98"/>
    <mergeCell ref="A99:L99"/>
    <mergeCell ref="A100:L100"/>
    <mergeCell ref="A101:L101"/>
    <mergeCell ref="A93:L93"/>
    <mergeCell ref="A94:J94"/>
    <mergeCell ref="K94:L94"/>
    <mergeCell ref="A95:L95"/>
    <mergeCell ref="A96:L96"/>
    <mergeCell ref="A97:L9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5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5421-7D90-4630-9387-B836437AEECA}">
  <sheetPr codeName="Лист8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434</v>
      </c>
      <c r="B13" s="309"/>
      <c r="C13" s="309"/>
      <c r="D13" s="309"/>
      <c r="E13" s="309"/>
      <c r="F13" s="309"/>
      <c r="G13" s="310" t="str">
        <f>'Данные объект'!B2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'Данные объект'!B6</f>
        <v>25.09.2024</v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3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7.45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78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143</v>
      </c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 t="s">
        <v>390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144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401</v>
      </c>
      <c r="D43" s="312"/>
      <c r="E43" s="278" t="s">
        <v>54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63" t="s">
        <v>53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</row>
    <row r="45" spans="1:12" ht="15" customHeight="1" x14ac:dyDescent="0.25">
      <c r="A45" s="361" t="s">
        <v>76</v>
      </c>
      <c r="B45" s="361"/>
      <c r="C45" s="272" t="s">
        <v>92</v>
      </c>
      <c r="D45" s="272"/>
      <c r="E45" s="272"/>
      <c r="F45" s="23" t="s">
        <v>31</v>
      </c>
      <c r="G45" s="362" t="s">
        <v>93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64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C43</f>
        <v>41,6 м</v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149999999999999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4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2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19.149999999999999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6.899999999999999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7.4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45:B45"/>
    <mergeCell ref="C45:E45"/>
    <mergeCell ref="A69:L69"/>
    <mergeCell ref="A70:G70"/>
    <mergeCell ref="H70:L70"/>
    <mergeCell ref="A72:L72"/>
    <mergeCell ref="A73:K73"/>
    <mergeCell ref="A80:C80"/>
    <mergeCell ref="D80:L80"/>
    <mergeCell ref="G45:L45"/>
    <mergeCell ref="A46:L46"/>
    <mergeCell ref="A47:E47"/>
    <mergeCell ref="F47:L47"/>
    <mergeCell ref="A60:D60"/>
    <mergeCell ref="E60:L60"/>
    <mergeCell ref="A62:C62"/>
    <mergeCell ref="D62:L62"/>
    <mergeCell ref="A63:L63"/>
    <mergeCell ref="A48:L48"/>
    <mergeCell ref="A49:K49"/>
    <mergeCell ref="A61:L61"/>
    <mergeCell ref="E64:L64"/>
    <mergeCell ref="A65:L65"/>
    <mergeCell ref="A66:C66"/>
    <mergeCell ref="A88:I88"/>
    <mergeCell ref="K88:L88"/>
    <mergeCell ref="A89:L89"/>
    <mergeCell ref="A91:J91"/>
    <mergeCell ref="A75:L75"/>
    <mergeCell ref="A81:L81"/>
    <mergeCell ref="A83:I83"/>
    <mergeCell ref="K83:L83"/>
    <mergeCell ref="A82:L82"/>
    <mergeCell ref="A87:L87"/>
    <mergeCell ref="A77:L77"/>
    <mergeCell ref="A85:L85"/>
    <mergeCell ref="A86:I86"/>
    <mergeCell ref="K86:L86"/>
    <mergeCell ref="A90:L90"/>
    <mergeCell ref="D66:L66"/>
    <mergeCell ref="A67:L67"/>
    <mergeCell ref="A68:C68"/>
    <mergeCell ref="D68:L68"/>
    <mergeCell ref="A97:L97"/>
    <mergeCell ref="A98:L98"/>
    <mergeCell ref="A57:B57"/>
    <mergeCell ref="C57:D57"/>
    <mergeCell ref="E57:F57"/>
    <mergeCell ref="G57:H57"/>
    <mergeCell ref="I57:J57"/>
    <mergeCell ref="A94:L94"/>
    <mergeCell ref="A95:L95"/>
    <mergeCell ref="A96:L96"/>
    <mergeCell ref="A93:L93"/>
    <mergeCell ref="A92:L92"/>
    <mergeCell ref="K91:L91"/>
    <mergeCell ref="A78:L78"/>
    <mergeCell ref="A79:L79"/>
    <mergeCell ref="A71:L71"/>
    <mergeCell ref="A84:L84"/>
    <mergeCell ref="A76:L76"/>
    <mergeCell ref="A64:D64"/>
    <mergeCell ref="A59:L5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13:F13"/>
    <mergeCell ref="G13:L1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A79-EC00-4D1F-BF61-57216580BE91}">
  <dimension ref="A1:L102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435</v>
      </c>
      <c r="B13" s="309"/>
      <c r="C13" s="309"/>
      <c r="D13" s="309"/>
      <c r="E13" s="309"/>
      <c r="F13" s="309"/>
      <c r="G13" s="310" t="str">
        <f>'Данные объект'!B2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'Данные объект'!B6</f>
        <v>25.09.2024</v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3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31.5" hidden="1" customHeight="1" x14ac:dyDescent="0.25">
      <c r="A30" s="18"/>
      <c r="B30" s="18"/>
      <c r="C30" s="329" t="s">
        <v>72</v>
      </c>
      <c r="D30" s="329"/>
      <c r="E30" s="329"/>
      <c r="F30" s="329"/>
      <c r="G30" s="329"/>
      <c r="H30" s="329"/>
      <c r="I30" s="329"/>
      <c r="J30" s="329"/>
      <c r="K30" s="329"/>
      <c r="L30" s="329"/>
    </row>
    <row r="31" spans="1:12" ht="15" hidden="1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7.45" customHeight="1" x14ac:dyDescent="0.25">
      <c r="A32" s="18"/>
      <c r="B32" s="18"/>
      <c r="C32" s="221" t="str">
        <f>'Данные объект'!B32</f>
        <v>Гл. специалист ССК УКС ПАО "Россети Московский регион" Алексанян Г.Р.</v>
      </c>
      <c r="D32" s="221"/>
      <c r="E32" s="221"/>
      <c r="F32" s="221"/>
      <c r="G32" s="221"/>
      <c r="H32" s="221"/>
      <c r="I32" s="221"/>
      <c r="J32" s="221"/>
      <c r="K32" s="221"/>
      <c r="L32" s="221"/>
    </row>
    <row r="33" spans="1:12" ht="13.9" customHeight="1" x14ac:dyDescent="0.25">
      <c r="A33" s="304" t="s">
        <v>2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ht="16.5" customHeight="1" x14ac:dyDescent="0.25">
      <c r="A34" s="228" t="s">
        <v>36</v>
      </c>
      <c r="B34" s="228"/>
      <c r="C34" s="229" t="str">
        <f>'Данные объект'!B51</f>
        <v>методическими указаниями ПАО "Россети Московский регион" (утв. Приказом от 14.11.2024 г. № 1254)</v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304" t="s">
        <v>3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1:12" x14ac:dyDescent="0.25">
      <c r="A36" s="278" t="s">
        <v>4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x14ac:dyDescent="0.2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</row>
    <row r="38" spans="1:12" x14ac:dyDescent="0.25">
      <c r="A38" s="278" t="s">
        <v>5</v>
      </c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</row>
    <row r="39" spans="1:12" ht="29.25" customHeight="1" x14ac:dyDescent="0.25">
      <c r="A39" s="305" t="s">
        <v>310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</row>
    <row r="40" spans="1:12" x14ac:dyDescent="0.25">
      <c r="A40" s="306" t="s">
        <v>6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</row>
    <row r="41" spans="1:12" ht="34.5" customHeight="1" x14ac:dyDescent="0.25">
      <c r="A41" s="313" t="s">
        <v>29</v>
      </c>
      <c r="B41" s="313"/>
      <c r="C41" s="313"/>
      <c r="D41" s="313"/>
      <c r="E41" s="313"/>
      <c r="F41" s="313"/>
      <c r="G41" s="313"/>
      <c r="H41" s="313"/>
      <c r="I41" s="313"/>
      <c r="J41" s="313"/>
      <c r="K41" s="236" t="s">
        <v>143</v>
      </c>
      <c r="L41" s="236"/>
    </row>
    <row r="42" spans="1:12" x14ac:dyDescent="0.2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311" t="s">
        <v>41</v>
      </c>
      <c r="L42" s="311"/>
    </row>
    <row r="43" spans="1:12" ht="29.25" customHeight="1" x14ac:dyDescent="0.25">
      <c r="A43" s="236" t="s">
        <v>405</v>
      </c>
      <c r="B43" s="236"/>
      <c r="C43" s="236"/>
      <c r="D43" s="236"/>
      <c r="E43" s="236"/>
      <c r="F43" s="236"/>
      <c r="G43" s="236"/>
      <c r="H43" s="122" t="s">
        <v>51</v>
      </c>
      <c r="I43" s="312" t="s">
        <v>144</v>
      </c>
      <c r="J43" s="312"/>
      <c r="K43" s="312"/>
      <c r="L43" s="312"/>
    </row>
    <row r="44" spans="1:12" x14ac:dyDescent="0.25">
      <c r="A44" s="306" t="s">
        <v>42</v>
      </c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</row>
    <row r="45" spans="1:12" ht="15" customHeight="1" x14ac:dyDescent="0.25">
      <c r="A45" s="278" t="s">
        <v>28</v>
      </c>
      <c r="B45" s="278"/>
      <c r="C45" s="312" t="s">
        <v>412</v>
      </c>
      <c r="D45" s="312"/>
      <c r="E45" s="278" t="s">
        <v>54</v>
      </c>
      <c r="F45" s="278"/>
      <c r="G45" s="312"/>
      <c r="H45" s="312"/>
      <c r="I45" s="312"/>
      <c r="J45" s="312"/>
      <c r="K45" s="123"/>
      <c r="L45" s="123"/>
    </row>
    <row r="46" spans="1:12" x14ac:dyDescent="0.25">
      <c r="A46" s="363" t="s">
        <v>53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ht="15" customHeight="1" x14ac:dyDescent="0.25">
      <c r="A47" s="361" t="s">
        <v>76</v>
      </c>
      <c r="B47" s="361"/>
      <c r="C47" s="272" t="s">
        <v>92</v>
      </c>
      <c r="D47" s="272"/>
      <c r="E47" s="272"/>
      <c r="F47" s="23" t="s">
        <v>31</v>
      </c>
      <c r="G47" s="362" t="s">
        <v>93</v>
      </c>
      <c r="H47" s="362"/>
      <c r="I47" s="362"/>
      <c r="J47" s="362"/>
      <c r="K47" s="362"/>
      <c r="L47" s="362"/>
    </row>
    <row r="48" spans="1:12" ht="15" customHeight="1" x14ac:dyDescent="0.25">
      <c r="A48" s="363" t="s">
        <v>32</v>
      </c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</row>
    <row r="49" spans="1:12" x14ac:dyDescent="0.25">
      <c r="A49" s="228" t="s">
        <v>33</v>
      </c>
      <c r="B49" s="228"/>
      <c r="C49" s="228"/>
      <c r="D49" s="228"/>
      <c r="E49" s="228"/>
      <c r="F49" s="229" t="s">
        <v>64</v>
      </c>
      <c r="G49" s="229"/>
      <c r="H49" s="229"/>
      <c r="I49" s="229"/>
      <c r="J49" s="229"/>
      <c r="K49" s="229"/>
      <c r="L49" s="229"/>
    </row>
    <row r="50" spans="1:12" x14ac:dyDescent="0.25">
      <c r="A50" s="304" t="s">
        <v>34</v>
      </c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</row>
    <row r="51" spans="1:12" ht="15" customHeight="1" x14ac:dyDescent="0.25">
      <c r="A51" s="228" t="s">
        <v>7</v>
      </c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18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3.9" customHeight="1" x14ac:dyDescent="0.25">
      <c r="A53" s="315" t="s">
        <v>17</v>
      </c>
      <c r="B53" s="316"/>
      <c r="C53" s="316"/>
      <c r="D53" s="317"/>
      <c r="E53" s="315" t="s">
        <v>9</v>
      </c>
      <c r="F53" s="317"/>
      <c r="G53" s="315" t="s">
        <v>10</v>
      </c>
      <c r="H53" s="317"/>
      <c r="I53" s="315" t="s">
        <v>11</v>
      </c>
      <c r="J53" s="317"/>
      <c r="K53" s="322" t="s">
        <v>15</v>
      </c>
      <c r="L53" s="322" t="s">
        <v>12</v>
      </c>
    </row>
    <row r="54" spans="1:12" x14ac:dyDescent="0.25">
      <c r="A54" s="318"/>
      <c r="B54" s="272"/>
      <c r="C54" s="272"/>
      <c r="D54" s="319"/>
      <c r="E54" s="320"/>
      <c r="F54" s="321"/>
      <c r="G54" s="320"/>
      <c r="H54" s="321"/>
      <c r="I54" s="320"/>
      <c r="J54" s="321"/>
      <c r="K54" s="323"/>
      <c r="L54" s="323"/>
    </row>
    <row r="55" spans="1:12" ht="13.9" customHeight="1" x14ac:dyDescent="0.25">
      <c r="A55" s="315" t="s">
        <v>8</v>
      </c>
      <c r="B55" s="317"/>
      <c r="C55" s="315" t="s">
        <v>19</v>
      </c>
      <c r="D55" s="317"/>
      <c r="E55" s="320"/>
      <c r="F55" s="321"/>
      <c r="G55" s="320"/>
      <c r="H55" s="321"/>
      <c r="I55" s="320"/>
      <c r="J55" s="321"/>
      <c r="K55" s="323"/>
      <c r="L55" s="323"/>
    </row>
    <row r="56" spans="1:12" x14ac:dyDescent="0.25">
      <c r="A56" s="320"/>
      <c r="B56" s="321"/>
      <c r="C56" s="320"/>
      <c r="D56" s="321"/>
      <c r="E56" s="320"/>
      <c r="F56" s="321"/>
      <c r="G56" s="320"/>
      <c r="H56" s="321"/>
      <c r="I56" s="320"/>
      <c r="J56" s="321"/>
      <c r="K56" s="323"/>
      <c r="L56" s="323"/>
    </row>
    <row r="57" spans="1:12" x14ac:dyDescent="0.25">
      <c r="A57" s="318"/>
      <c r="B57" s="319"/>
      <c r="C57" s="318"/>
      <c r="D57" s="319"/>
      <c r="E57" s="318"/>
      <c r="F57" s="319"/>
      <c r="G57" s="318"/>
      <c r="H57" s="319"/>
      <c r="I57" s="318"/>
      <c r="J57" s="319"/>
      <c r="K57" s="324"/>
      <c r="L57" s="324"/>
    </row>
    <row r="58" spans="1:12" x14ac:dyDescent="0.25">
      <c r="A58" s="298">
        <v>1</v>
      </c>
      <c r="B58" s="298"/>
      <c r="C58" s="298">
        <v>2</v>
      </c>
      <c r="D58" s="298"/>
      <c r="E58" s="298">
        <v>3</v>
      </c>
      <c r="F58" s="298"/>
      <c r="G58" s="298">
        <v>4</v>
      </c>
      <c r="H58" s="298"/>
      <c r="I58" s="298">
        <v>5</v>
      </c>
      <c r="J58" s="298"/>
      <c r="K58" s="95">
        <v>6</v>
      </c>
      <c r="L58" s="95">
        <v>7</v>
      </c>
    </row>
    <row r="59" spans="1:12" ht="13.9" customHeight="1" x14ac:dyDescent="0.25">
      <c r="A59" s="367" t="str">
        <f>C45</f>
        <v>30 м</v>
      </c>
      <c r="B59" s="367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95" t="s">
        <v>38</v>
      </c>
      <c r="L59" s="25" t="s">
        <v>18</v>
      </c>
    </row>
    <row r="60" spans="1:12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25" t="s">
        <v>38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19.149999999999999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4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ht="12" customHeight="1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19.149999999999999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9.149999999999999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2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ht="16.899999999999999" customHeight="1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3.9" customHeight="1" x14ac:dyDescent="0.25">
      <c r="A93" s="257" t="str">
        <f>C32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66"/>
      <c r="L95" s="266"/>
    </row>
    <row r="96" spans="1:12" x14ac:dyDescent="0.25">
      <c r="A96" s="222" t="s">
        <v>2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</row>
    <row r="97" spans="1:12" ht="17.45" customHeight="1" x14ac:dyDescent="0.25">
      <c r="A97" s="265" t="s">
        <v>24</v>
      </c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</row>
    <row r="98" spans="1:12" ht="13.9" customHeight="1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</row>
    <row r="99" spans="1:12" ht="10.5" customHeight="1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</row>
    <row r="100" spans="1:12" ht="13.5" customHeight="1" x14ac:dyDescent="0.25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</row>
    <row r="101" spans="1:12" x14ac:dyDescent="0.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</row>
    <row r="102" spans="1:12" ht="13.9" customHeight="1" x14ac:dyDescent="0.25"/>
  </sheetData>
  <mergeCells count="126">
    <mergeCell ref="A101:L101"/>
    <mergeCell ref="A94:L94"/>
    <mergeCell ref="A95:J95"/>
    <mergeCell ref="K95:L95"/>
    <mergeCell ref="A96:L96"/>
    <mergeCell ref="A97:L97"/>
    <mergeCell ref="A98:L98"/>
    <mergeCell ref="A92:L92"/>
    <mergeCell ref="A93:J93"/>
    <mergeCell ref="K93:L93"/>
    <mergeCell ref="A89:L89"/>
    <mergeCell ref="A90:I90"/>
    <mergeCell ref="K90:L90"/>
    <mergeCell ref="A91:L91"/>
    <mergeCell ref="A99:L99"/>
    <mergeCell ref="A100:L100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27:L27"/>
    <mergeCell ref="C28:L28"/>
    <mergeCell ref="A29:L29"/>
    <mergeCell ref="C30:L30"/>
    <mergeCell ref="A31:L31"/>
    <mergeCell ref="C32:L32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F14-40FF-475E-ABC4-D4CD56EEA845}">
  <sheetPr codeName="Лист12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188</v>
      </c>
      <c r="B13" s="309"/>
      <c r="C13" s="309"/>
      <c r="D13" s="309"/>
      <c r="E13" s="309"/>
      <c r="F13" s="309"/>
      <c r="G13" s="310" t="str">
        <f>'Данные объект'!B2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1.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'Данные объект'!B6</f>
        <v>25.09.2024</v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29.25" customHeight="1" x14ac:dyDescent="0.25">
      <c r="A37" s="305" t="s">
        <v>88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90</v>
      </c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 t="s">
        <v>391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89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402</v>
      </c>
      <c r="D43" s="312"/>
      <c r="E43" s="278" t="s">
        <v>54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61" t="s">
        <v>76</v>
      </c>
      <c r="B45" s="361"/>
      <c r="C45" s="272" t="s">
        <v>92</v>
      </c>
      <c r="D45" s="272"/>
      <c r="E45" s="272"/>
      <c r="F45" s="23" t="s">
        <v>31</v>
      </c>
      <c r="G45" s="362" t="s">
        <v>93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64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C43</f>
        <v>37 м</v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6B4-FF36-4D94-8952-46081388647C}"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327</v>
      </c>
      <c r="B13" s="309"/>
      <c r="C13" s="309"/>
      <c r="D13" s="309"/>
      <c r="E13" s="309"/>
      <c r="F13" s="309"/>
      <c r="G13" s="310" t="str">
        <f>'Данные объект'!B2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'Данные объект'!B6</f>
        <v>25.09.2024</v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2.9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325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311</v>
      </c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 t="s">
        <v>404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89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138</v>
      </c>
      <c r="D43" s="312"/>
      <c r="E43" s="278" t="s">
        <v>54</v>
      </c>
      <c r="F43" s="278"/>
      <c r="G43" s="312"/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92</v>
      </c>
      <c r="D45" s="236"/>
      <c r="E45" s="236"/>
      <c r="F45" s="122" t="s">
        <v>31</v>
      </c>
      <c r="G45" s="312" t="s">
        <v>93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95">
        <v>6</v>
      </c>
      <c r="L56" s="95">
        <v>7</v>
      </c>
    </row>
    <row r="57" spans="1:12" ht="13.9" customHeight="1" x14ac:dyDescent="0.25">
      <c r="A57" s="367" t="str">
        <f>C43</f>
        <v>3 м</v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95" t="s">
        <v>38</v>
      </c>
      <c r="L57" s="25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97:L97"/>
    <mergeCell ref="A98:L98"/>
    <mergeCell ref="A92:L92"/>
    <mergeCell ref="A93:L93"/>
    <mergeCell ref="A94:L94"/>
    <mergeCell ref="A90:L90"/>
    <mergeCell ref="A91:J91"/>
    <mergeCell ref="K91:L91"/>
    <mergeCell ref="A87:L87"/>
    <mergeCell ref="A88:I88"/>
    <mergeCell ref="K88:L88"/>
    <mergeCell ref="A89:L89"/>
    <mergeCell ref="A95:L95"/>
    <mergeCell ref="A96:L96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8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8340-AF14-4F15-BB88-8A9E7D9CD7DC}">
  <sheetPr codeName="Лист9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436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330" t="str">
        <f>'Провод СИП 3'!A16</f>
        <v>141533,Российская Федерация, г.о.Солнечногорск</v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  <v>25.09.2024</v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899999999999999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899999999999999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79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387</v>
      </c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 t="s">
        <v>388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80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389</v>
      </c>
      <c r="D43" s="312"/>
      <c r="E43" s="278" t="s">
        <v>54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61" t="s">
        <v>76</v>
      </c>
      <c r="B45" s="361"/>
      <c r="C45" s="272" t="s">
        <v>92</v>
      </c>
      <c r="D45" s="272"/>
      <c r="E45" s="272"/>
      <c r="F45" s="23" t="s">
        <v>31</v>
      </c>
      <c r="G45" s="362" t="s">
        <v>93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64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C43</f>
        <v>18 м</v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2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7.4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6.149999999999999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F94-A3D2-4B93-85F6-50D1179189A4}">
  <sheetPr codeName="Лист13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437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8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3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  <v>25.09.2024</v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1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0.4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149999999999999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6" t="s">
        <v>3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96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409</v>
      </c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 t="s">
        <v>408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91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411</v>
      </c>
      <c r="D43" s="312"/>
      <c r="E43" s="278" t="s">
        <v>54</v>
      </c>
      <c r="F43" s="278"/>
      <c r="G43" s="312"/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92</v>
      </c>
      <c r="D45" s="236"/>
      <c r="E45" s="236"/>
      <c r="F45" s="122" t="s">
        <v>31</v>
      </c>
      <c r="G45" s="312" t="s">
        <v>93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08">
        <v>6</v>
      </c>
      <c r="L56" s="108">
        <v>7</v>
      </c>
    </row>
    <row r="57" spans="1:12" ht="13.9" customHeight="1" x14ac:dyDescent="0.25">
      <c r="A57" s="325" t="str">
        <f>C43</f>
        <v>102 м</v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08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8.600000000000001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4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5.6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7.4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1.4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045-F1C3-4B11-9A57-1FCB12AC385E}">
  <sheetPr codeName="Лист15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 t="s">
        <v>74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368</v>
      </c>
      <c r="B13" s="309"/>
      <c r="C13" s="309"/>
      <c r="D13" s="309"/>
      <c r="E13" s="309"/>
      <c r="F13" s="309"/>
      <c r="G13" s="310" t="str">
        <f>'Провод СИП 3'!G13</f>
        <v>SAP - 288007</v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2.25" customHeight="1" x14ac:dyDescent="0.25">
      <c r="A16" s="330" t="str">
        <f>'Провод СИП 3'!A16</f>
        <v>141533,Российская Федерация, г.о.Солнечногорск</v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  <v>25.09.2024</v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  <v>ООО "Энергосистемы"</v>
      </c>
      <c r="D19" s="302"/>
      <c r="E19" s="302"/>
      <c r="F19" s="302"/>
      <c r="G19" s="18"/>
      <c r="H19" s="303" t="str">
        <f>'Данные объект'!B43</f>
        <v>по приказу №05-ОТ/24 от 09 января 2023г. в  составе:</v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75</v>
      </c>
      <c r="B22" s="228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2.9" customHeight="1" x14ac:dyDescent="0.25">
      <c r="A28" s="18"/>
      <c r="B28" s="18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21.6" customHeight="1" x14ac:dyDescent="0.25">
      <c r="A30" s="18"/>
      <c r="B30" s="18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29.25" customHeight="1" x14ac:dyDescent="0.25">
      <c r="A37" s="329" t="s">
        <v>351</v>
      </c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</row>
    <row r="38" spans="1:12" x14ac:dyDescent="0.25">
      <c r="A38" s="304" t="s">
        <v>6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</row>
    <row r="39" spans="1:12" ht="34.5" customHeight="1" x14ac:dyDescent="0.25">
      <c r="A39" s="361" t="s">
        <v>29</v>
      </c>
      <c r="B39" s="361"/>
      <c r="C39" s="361"/>
      <c r="D39" s="361"/>
      <c r="E39" s="361"/>
      <c r="F39" s="361"/>
      <c r="G39" s="361"/>
      <c r="H39" s="361"/>
      <c r="I39" s="361"/>
      <c r="J39" s="361"/>
      <c r="K39" s="272" t="s">
        <v>97</v>
      </c>
      <c r="L39" s="27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365" t="s">
        <v>41</v>
      </c>
      <c r="L40" s="365"/>
    </row>
    <row r="41" spans="1:12" ht="29.25" customHeight="1" x14ac:dyDescent="0.25">
      <c r="A41" s="236" t="s">
        <v>349</v>
      </c>
      <c r="B41" s="236"/>
      <c r="C41" s="236"/>
      <c r="D41" s="236"/>
      <c r="E41" s="236"/>
      <c r="F41" s="236"/>
      <c r="G41" s="236"/>
      <c r="H41" s="122" t="s">
        <v>51</v>
      </c>
      <c r="I41" s="312" t="s">
        <v>98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 t="s">
        <v>364</v>
      </c>
      <c r="D43" s="312"/>
      <c r="E43" s="278" t="s">
        <v>54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53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76</v>
      </c>
      <c r="B45" s="313"/>
      <c r="C45" s="236" t="s">
        <v>92</v>
      </c>
      <c r="D45" s="236"/>
      <c r="E45" s="236"/>
      <c r="F45" s="122" t="s">
        <v>31</v>
      </c>
      <c r="G45" s="312" t="s">
        <v>93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64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51">
        <v>6</v>
      </c>
      <c r="L56" s="151">
        <v>7</v>
      </c>
    </row>
    <row r="57" spans="1:12" ht="13.9" customHeight="1" x14ac:dyDescent="0.25">
      <c r="A57" s="325" t="str">
        <f>C43</f>
        <v>8,1 м</v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51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149999999999999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0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1.45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2.6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K3:L3"/>
    <mergeCell ref="F5:G5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348B-17AF-4DDD-9C2B-A4C676F0CFF9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188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145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346" t="s">
        <v>313</v>
      </c>
      <c r="L39" s="346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7" t="s">
        <v>41</v>
      </c>
      <c r="L40" s="237"/>
    </row>
    <row r="41" spans="1:12" ht="29.25" customHeight="1" x14ac:dyDescent="0.25">
      <c r="A41" s="347" t="s">
        <v>312</v>
      </c>
      <c r="B41" s="347"/>
      <c r="C41" s="347"/>
      <c r="D41" s="347"/>
      <c r="E41" s="347"/>
      <c r="F41" s="347"/>
      <c r="G41" s="347"/>
      <c r="H41" s="105" t="s">
        <v>51</v>
      </c>
      <c r="I41" s="368" t="s">
        <v>61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71" t="s">
        <v>410</v>
      </c>
      <c r="D43" s="271"/>
      <c r="E43" s="231" t="s">
        <v>54</v>
      </c>
      <c r="F43" s="231"/>
      <c r="G43" s="271" t="str">
        <f>C43</f>
        <v>3,4 м</v>
      </c>
      <c r="H43" s="271"/>
      <c r="I43" s="271"/>
      <c r="J43" s="271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106</v>
      </c>
      <c r="D45" s="238"/>
      <c r="E45" s="238"/>
      <c r="F45" s="105" t="s">
        <v>31</v>
      </c>
      <c r="G45" s="232" t="s">
        <v>107</v>
      </c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291" t="str">
        <f>C43</f>
        <v>3,4 м</v>
      </c>
      <c r="B57" s="292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3DE4-CDD9-47BD-8F97-783C0D9047DB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438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2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x14ac:dyDescent="0.25">
      <c r="A25" s="215" t="s">
        <v>16</v>
      </c>
      <c r="B25" s="215"/>
      <c r="C25" s="215"/>
    </row>
    <row r="26" spans="1:12" ht="24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317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319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42.75" customHeight="1" x14ac:dyDescent="0.25">
      <c r="A41" s="238" t="s">
        <v>406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318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407</v>
      </c>
      <c r="D43" s="232"/>
      <c r="E43" s="231" t="s">
        <v>54</v>
      </c>
      <c r="F43" s="231"/>
      <c r="G43" s="232" t="str">
        <f>C43</f>
        <v>3,76 м2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106</v>
      </c>
      <c r="D45" s="238"/>
      <c r="E45" s="238"/>
      <c r="F45" s="105" t="s">
        <v>31</v>
      </c>
      <c r="G45" s="232" t="s">
        <v>107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93">
        <v>6</v>
      </c>
      <c r="L56" s="93">
        <v>7</v>
      </c>
    </row>
    <row r="57" spans="1:12" ht="26.45" customHeight="1" x14ac:dyDescent="0.25">
      <c r="A57" s="350" t="str">
        <f>A37</f>
        <v>Профлист оцинкованный</v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93" t="s">
        <v>38</v>
      </c>
      <c r="L57" s="93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5.1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4:L94"/>
    <mergeCell ref="A95:L95"/>
    <mergeCell ref="A96:L96"/>
    <mergeCell ref="A90:L90"/>
    <mergeCell ref="A91:J91"/>
    <mergeCell ref="K91:L91"/>
    <mergeCell ref="A92:L92"/>
    <mergeCell ref="A89:L89"/>
    <mergeCell ref="A84:L84"/>
    <mergeCell ref="A85:L85"/>
    <mergeCell ref="A86:I86"/>
    <mergeCell ref="K86:L86"/>
    <mergeCell ref="A87:L87"/>
    <mergeCell ref="A88:I88"/>
    <mergeCell ref="K88:L88"/>
    <mergeCell ref="A93:L93"/>
    <mergeCell ref="A79:L79"/>
    <mergeCell ref="A80:C80"/>
    <mergeCell ref="D80:L80"/>
    <mergeCell ref="A81:L81"/>
    <mergeCell ref="A82:L82"/>
    <mergeCell ref="A83:I83"/>
    <mergeCell ref="K83:L83"/>
    <mergeCell ref="A72:L72"/>
    <mergeCell ref="A73:K73"/>
    <mergeCell ref="A75:L75"/>
    <mergeCell ref="A76:L76"/>
    <mergeCell ref="A77:L77"/>
    <mergeCell ref="A78:L78"/>
    <mergeCell ref="A68:C68"/>
    <mergeCell ref="D68:L68"/>
    <mergeCell ref="A69:L69"/>
    <mergeCell ref="A70:G70"/>
    <mergeCell ref="H70:L70"/>
    <mergeCell ref="A71:L71"/>
    <mergeCell ref="A64:D64"/>
    <mergeCell ref="E64:L64"/>
    <mergeCell ref="A65:L65"/>
    <mergeCell ref="A66:C66"/>
    <mergeCell ref="D66:L66"/>
    <mergeCell ref="A67:L67"/>
    <mergeCell ref="A60:D60"/>
    <mergeCell ref="E60:L60"/>
    <mergeCell ref="A61:L61"/>
    <mergeCell ref="A62:C62"/>
    <mergeCell ref="D62:L62"/>
    <mergeCell ref="A63:L6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7" max="11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E1AA-B08B-4600-AC2C-92752FFD9051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8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'Данные объект'!B51</f>
        <v>методическими указаниями ПАО "Россети Московский регион" (утв. Приказом от 14.11.2024 г. № 1254)</v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345" t="s">
        <v>139</v>
      </c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x14ac:dyDescent="0.25">
      <c r="A40" s="222" t="s">
        <v>6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</row>
    <row r="41" spans="1:12" ht="34.5" customHeight="1" x14ac:dyDescent="0.25">
      <c r="A41" s="240" t="s">
        <v>29</v>
      </c>
      <c r="B41" s="240"/>
      <c r="C41" s="240"/>
      <c r="D41" s="240"/>
      <c r="E41" s="240"/>
      <c r="F41" s="240"/>
      <c r="G41" s="240"/>
      <c r="H41" s="240"/>
      <c r="I41" s="240"/>
      <c r="J41" s="240"/>
      <c r="K41" s="346" t="s">
        <v>141</v>
      </c>
      <c r="L41" s="346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3" t="s">
        <v>41</v>
      </c>
      <c r="L42" s="273"/>
    </row>
    <row r="43" spans="1:12" ht="29.25" customHeight="1" x14ac:dyDescent="0.25">
      <c r="A43" s="347" t="s">
        <v>142</v>
      </c>
      <c r="B43" s="347"/>
      <c r="C43" s="347"/>
      <c r="D43" s="347"/>
      <c r="E43" s="347"/>
      <c r="F43" s="347"/>
      <c r="G43" s="347"/>
      <c r="H43" s="8" t="s">
        <v>51</v>
      </c>
      <c r="I43" s="369" t="s">
        <v>61</v>
      </c>
      <c r="J43" s="271"/>
      <c r="K43" s="271"/>
      <c r="L43" s="271"/>
    </row>
    <row r="44" spans="1:12" x14ac:dyDescent="0.25">
      <c r="A44" s="222" t="s">
        <v>42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</row>
    <row r="45" spans="1:12" ht="15" customHeight="1" x14ac:dyDescent="0.25">
      <c r="A45" s="215" t="s">
        <v>28</v>
      </c>
      <c r="B45" s="215"/>
      <c r="C45" s="271" t="s">
        <v>140</v>
      </c>
      <c r="D45" s="271"/>
      <c r="E45" s="215" t="s">
        <v>54</v>
      </c>
      <c r="F45" s="215"/>
      <c r="G45" s="271" t="str">
        <f>C45</f>
        <v>30 шт</v>
      </c>
      <c r="H45" s="271"/>
      <c r="I45" s="271"/>
      <c r="J45" s="271"/>
      <c r="K45" s="4"/>
      <c r="L45" s="4"/>
    </row>
    <row r="46" spans="1:12" x14ac:dyDescent="0.25">
      <c r="A46" s="233" t="s">
        <v>53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ht="15" customHeight="1" x14ac:dyDescent="0.25">
      <c r="A47" s="240" t="s">
        <v>30</v>
      </c>
      <c r="B47" s="240"/>
      <c r="C47" s="241" t="s">
        <v>106</v>
      </c>
      <c r="D47" s="241"/>
      <c r="E47" s="241"/>
      <c r="F47" s="5" t="s">
        <v>31</v>
      </c>
      <c r="G47" s="242" t="s">
        <v>107</v>
      </c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64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11">
        <v>6</v>
      </c>
      <c r="L58" s="11">
        <v>7</v>
      </c>
    </row>
    <row r="59" spans="1:12" ht="26.45" customHeight="1" x14ac:dyDescent="0.25">
      <c r="A59" s="342" t="str">
        <f>C45</f>
        <v>30 шт</v>
      </c>
      <c r="B59" s="343"/>
      <c r="C59" s="276" t="s">
        <v>38</v>
      </c>
      <c r="D59" s="277"/>
      <c r="E59" s="276" t="s">
        <v>39</v>
      </c>
      <c r="F59" s="277"/>
      <c r="G59" s="276" t="s">
        <v>38</v>
      </c>
      <c r="H59" s="277"/>
      <c r="I59" s="276" t="s">
        <v>38</v>
      </c>
      <c r="J59" s="277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172</v>
      </c>
      <c r="B62" s="215"/>
      <c r="C62" s="215"/>
      <c r="D62" s="215"/>
      <c r="E62" s="255" t="s">
        <v>60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57</v>
      </c>
      <c r="B64" s="215"/>
      <c r="C64" s="215"/>
      <c r="D64" s="255" t="s">
        <v>60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56</v>
      </c>
      <c r="B66" s="215"/>
      <c r="C66" s="215"/>
      <c r="D66" s="215"/>
      <c r="E66" s="255" t="s">
        <v>60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25" t="s">
        <v>60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173</v>
      </c>
      <c r="B70" s="215"/>
      <c r="C70" s="215"/>
      <c r="D70" s="225" t="s">
        <v>38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174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58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175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61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62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176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9" customHeight="1" x14ac:dyDescent="0.25">
      <c r="A85" s="257" t="str">
        <f>C22</f>
        <v>Главный энергетик ООО "Энергосистемы"  Фечин А.А.</v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1" customHeight="1" x14ac:dyDescent="0.25">
      <c r="A88" s="257" t="str">
        <f>C26</f>
        <v>Прораб ООО "Энергосистемы"  Волков М.Ю.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C28</f>
        <v>Инженер-электрик ООО "Энергосистемы"  Высоцкий А.В.</v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C30</f>
        <v>Гл. специалист ССК УКС ПАО "Россети Московский регион" Алексанян Г.Р.</v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07E-4C7C-4A15-BF4D-C58773B2CE0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160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9.149999999999999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7.45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156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157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 t="s">
        <v>158</v>
      </c>
      <c r="B41" s="347"/>
      <c r="C41" s="347"/>
      <c r="D41" s="347"/>
      <c r="E41" s="347"/>
      <c r="F41" s="347"/>
      <c r="G41" s="347"/>
      <c r="H41" s="5" t="s">
        <v>51</v>
      </c>
      <c r="I41" s="266" t="s">
        <v>159</v>
      </c>
      <c r="J41" s="266"/>
      <c r="K41" s="266"/>
      <c r="L41" s="266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137</v>
      </c>
      <c r="D43" s="271"/>
      <c r="E43" s="215" t="s">
        <v>54</v>
      </c>
      <c r="F43" s="215"/>
      <c r="G43" s="271" t="str">
        <f>C43</f>
        <v>527 шт</v>
      </c>
      <c r="H43" s="271"/>
      <c r="I43" s="271"/>
      <c r="J43" s="271"/>
      <c r="K43" s="4"/>
      <c r="L43" s="4"/>
    </row>
    <row r="44" spans="1:12" x14ac:dyDescent="0.25">
      <c r="A44" s="233" t="s">
        <v>53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106</v>
      </c>
      <c r="D45" s="241"/>
      <c r="E45" s="241"/>
      <c r="F45" s="5" t="s">
        <v>31</v>
      </c>
      <c r="G45" s="242" t="s">
        <v>298</v>
      </c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C43</f>
        <v>527 шт</v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5B35-85DD-451D-B736-F732C566C914}">
  <sheetPr codeName="Лист20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439</v>
      </c>
      <c r="B13" s="218"/>
      <c r="C13" s="218"/>
      <c r="D13" s="218"/>
      <c r="E13" s="218"/>
      <c r="F13" s="218"/>
      <c r="G13" s="219" t="str">
        <f>'Провод СИП 3'!G13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'Провод СИП 3'!K16:L16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'Данные объект'!B51</f>
        <v>методическими указаниями ПАО "Россети Московский регион" (утв. Приказом от 14.11.2024 г. № 1254)</v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135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186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 t="s">
        <v>323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187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431</v>
      </c>
      <c r="D43" s="232"/>
      <c r="E43" s="231" t="s">
        <v>54</v>
      </c>
      <c r="F43" s="231"/>
      <c r="G43" s="232" t="str">
        <f>C43</f>
        <v>146 шт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106</v>
      </c>
      <c r="D45" s="238"/>
      <c r="E45" s="238"/>
      <c r="F45" s="105" t="s">
        <v>31</v>
      </c>
      <c r="G45" s="232" t="s">
        <v>300</v>
      </c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64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07">
        <v>6</v>
      </c>
      <c r="L56" s="107">
        <v>7</v>
      </c>
    </row>
    <row r="57" spans="1:12" ht="26.45" customHeight="1" x14ac:dyDescent="0.25">
      <c r="A57" s="291" t="str">
        <f>C43</f>
        <v>146 шт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6:G16"/>
    <mergeCell ref="A17:G17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6E1B-111A-44D8-A8F6-54FE16EE1C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B14B-958C-417B-99F9-FAA187ED679D}">
  <dimension ref="A1:L96"/>
  <sheetViews>
    <sheetView view="pageBreakPreview" zoomScaleNormal="100" zoomScaleSheetLayoutView="100" workbookViewId="0">
      <selection activeCell="F5" sqref="F5:G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483</v>
      </c>
    </row>
    <row r="2" spans="1:12" ht="14.25" customHeight="1" x14ac:dyDescent="0.25"/>
    <row r="3" spans="1:12" x14ac:dyDescent="0.25">
      <c r="K3" s="262" t="s">
        <v>484</v>
      </c>
      <c r="L3" s="262"/>
    </row>
    <row r="4" spans="1:12" ht="27.6" customHeight="1" x14ac:dyDescent="0.25"/>
    <row r="5" spans="1:12" ht="18.75" x14ac:dyDescent="0.25">
      <c r="F5" s="263" t="s">
        <v>486</v>
      </c>
      <c r="G5" s="263"/>
      <c r="K5" s="1" t="s">
        <v>485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52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'Данные объект'!B3</f>
        <v>Строительство ТП-10/0,4 кВ, ВЛЗ-10 кВ от ВЛЗ-10 кВ ф. «Кочугино» ПС №185 "Воробьево", ВЛИ-0,38 кВ, рлр, в т.ч. ПИР, МО, Солнечногорский р-н, г. Солнечногорск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 t="s">
        <v>50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440</v>
      </c>
      <c r="B13" s="218"/>
      <c r="C13" s="218"/>
      <c r="D13" s="218"/>
      <c r="E13" s="218"/>
      <c r="F13" s="218"/>
      <c r="G13" s="219" t="str">
        <f>'Данные объект'!B2</f>
        <v>SAP - 288007</v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'Данные объект'!B5</f>
        <v>141533,Российская Федерация, г.о.Солнечногорск</v>
      </c>
      <c r="B16" s="227"/>
      <c r="C16" s="227"/>
      <c r="D16" s="227"/>
      <c r="E16" s="227"/>
      <c r="F16" s="227"/>
      <c r="G16" s="227"/>
      <c r="K16" s="224" t="str">
        <f>'Данные объект'!B6</f>
        <v>25.09.2024</v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  <v>ООО "Энергосистемы"</v>
      </c>
      <c r="D19" s="225"/>
      <c r="E19" s="225"/>
      <c r="F19" s="225"/>
      <c r="G19" s="14"/>
      <c r="H19" s="226" t="str">
        <f>'Данные объект'!B43</f>
        <v>по приказу №05-ОТ/24 от 09 января 2023г. в  составе:</v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'Данные объект'!C45</f>
        <v>Главный энергетик ООО "Энергосистемы"  Фечин А.А.</v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1" t="str">
        <f>'Данные объект'!C47</f>
        <v>Прораб ООО "Энергосистемы"  Волков М.Ю.</v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1.6" customHeight="1" x14ac:dyDescent="0.25">
      <c r="A28" s="103"/>
      <c r="B28" s="103"/>
      <c r="C28" s="221" t="str">
        <f>'Данные объект'!C49</f>
        <v>Инженер-электрик ООО "Энергосистемы"  Высоцкий А.В.</v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0.45" customHeight="1" x14ac:dyDescent="0.25">
      <c r="A30" s="103"/>
      <c r="B30" s="103"/>
      <c r="C30" s="221" t="str">
        <f>'Данные объект'!B32</f>
        <v>Гл. специалист ССК УКС ПАО "Россети Московский регион" Алексанян Г.Р.</v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'Данные объект'!B51</f>
        <v>методическими указаниями ПАО "Россети Московский регион" (утв. Приказом от 14.11.2024 г. № 1254)</v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324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400</v>
      </c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 t="s">
        <v>398</v>
      </c>
      <c r="B41" s="238"/>
      <c r="C41" s="238"/>
      <c r="D41" s="238"/>
      <c r="E41" s="238"/>
      <c r="F41" s="238"/>
      <c r="G41" s="238"/>
      <c r="H41" s="105" t="s">
        <v>51</v>
      </c>
      <c r="I41" s="232" t="s">
        <v>136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397</v>
      </c>
      <c r="D43" s="232"/>
      <c r="E43" s="231" t="s">
        <v>54</v>
      </c>
      <c r="F43" s="231"/>
      <c r="G43" s="232" t="s">
        <v>399</v>
      </c>
      <c r="H43" s="232"/>
      <c r="I43" s="232"/>
      <c r="J43" s="232"/>
      <c r="K43" s="106"/>
      <c r="L43" s="106"/>
    </row>
    <row r="44" spans="1:12" x14ac:dyDescent="0.25">
      <c r="A44" s="268" t="s">
        <v>53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106</v>
      </c>
      <c r="D45" s="238"/>
      <c r="E45" s="238"/>
      <c r="F45" s="105" t="s">
        <v>31</v>
      </c>
      <c r="G45" s="232" t="s">
        <v>107</v>
      </c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64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C43</f>
        <v>151 м</v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172</v>
      </c>
      <c r="B60" s="215"/>
      <c r="C60" s="215"/>
      <c r="D60" s="215"/>
      <c r="E60" s="255" t="s">
        <v>60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57</v>
      </c>
      <c r="B62" s="215"/>
      <c r="C62" s="215"/>
      <c r="D62" s="255" t="s">
        <v>60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56</v>
      </c>
      <c r="B64" s="215"/>
      <c r="C64" s="215"/>
      <c r="D64" s="215"/>
      <c r="E64" s="255" t="s">
        <v>60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25" t="s">
        <v>60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173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174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58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175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61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63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62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176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5.15" customHeight="1" x14ac:dyDescent="0.25">
      <c r="A83" s="257" t="str">
        <f>C22</f>
        <v>Главный энергетик ООО "Энергосистемы"  Фечин А.А.</v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C26</f>
        <v>Прораб ООО "Энергосистемы"  Волков М.Ю.</v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C28</f>
        <v>Инженер-электрик ООО "Энергосистемы"  Высоцкий А.В.</v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C30</f>
        <v>Гл. специалист ССК УКС ПАО "Россети Московский регион" Алексанян Г.Р.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4:L14"/>
    <mergeCell ref="K16:L16"/>
    <mergeCell ref="A17:G17"/>
    <mergeCell ref="A13:F13"/>
    <mergeCell ref="G13:L13"/>
    <mergeCell ref="A16:G16"/>
    <mergeCell ref="K17:L17"/>
    <mergeCell ref="A19:B19"/>
    <mergeCell ref="C19:F19"/>
    <mergeCell ref="H19:L19"/>
    <mergeCell ref="C30:L30"/>
    <mergeCell ref="A42:L42"/>
    <mergeCell ref="A62:C62"/>
    <mergeCell ref="D62:L62"/>
    <mergeCell ref="I57:J57"/>
    <mergeCell ref="A45:B45"/>
    <mergeCell ref="C45:E45"/>
    <mergeCell ref="G45:L45"/>
    <mergeCell ref="A46:L46"/>
    <mergeCell ref="A47:E47"/>
    <mergeCell ref="F47:L47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A48:L48"/>
    <mergeCell ref="A49:K49"/>
    <mergeCell ref="A51:D52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66:C66"/>
    <mergeCell ref="D66:L66"/>
    <mergeCell ref="A69:L69"/>
    <mergeCell ref="A70:G70"/>
    <mergeCell ref="H70:L70"/>
    <mergeCell ref="A43:B43"/>
    <mergeCell ref="C43:D43"/>
    <mergeCell ref="E43:F43"/>
    <mergeCell ref="G43:J43"/>
    <mergeCell ref="A44:L44"/>
    <mergeCell ref="D68:L68"/>
    <mergeCell ref="A82:L82"/>
    <mergeCell ref="A83:I83"/>
    <mergeCell ref="K83:L83"/>
    <mergeCell ref="A84:L84"/>
    <mergeCell ref="A85:L85"/>
    <mergeCell ref="I51:J55"/>
    <mergeCell ref="K51:K55"/>
    <mergeCell ref="L51:L55"/>
    <mergeCell ref="A53:B55"/>
    <mergeCell ref="C53:D55"/>
    <mergeCell ref="A60:D60"/>
    <mergeCell ref="E60:L60"/>
    <mergeCell ref="A80:C80"/>
    <mergeCell ref="D80:L80"/>
    <mergeCell ref="A61:L61"/>
    <mergeCell ref="A63:L63"/>
    <mergeCell ref="A64:D64"/>
    <mergeCell ref="E51:F55"/>
    <mergeCell ref="G51:H55"/>
    <mergeCell ref="A78:L78"/>
    <mergeCell ref="A79:L79"/>
    <mergeCell ref="A71:L71"/>
    <mergeCell ref="A68:C68"/>
    <mergeCell ref="A65:L65"/>
    <mergeCell ref="K3:L3"/>
    <mergeCell ref="F5:G5"/>
    <mergeCell ref="K88:L88"/>
    <mergeCell ref="E64:L64"/>
    <mergeCell ref="A96:L96"/>
    <mergeCell ref="A90:L90"/>
    <mergeCell ref="K91:L91"/>
    <mergeCell ref="A92:L92"/>
    <mergeCell ref="A94:L94"/>
    <mergeCell ref="A95:L95"/>
    <mergeCell ref="A93:L93"/>
    <mergeCell ref="A91:J91"/>
    <mergeCell ref="A86:I86"/>
    <mergeCell ref="K86:L86"/>
    <mergeCell ref="A87:L87"/>
    <mergeCell ref="A88:I88"/>
    <mergeCell ref="A89:L89"/>
    <mergeCell ref="A81:L81"/>
    <mergeCell ref="A75:L75"/>
    <mergeCell ref="A76:L76"/>
    <mergeCell ref="A77:L77"/>
    <mergeCell ref="A72:L72"/>
    <mergeCell ref="A73:K73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43</vt:i4>
      </vt:variant>
    </vt:vector>
  </HeadingPairs>
  <TitlesOfParts>
    <vt:vector size="89" baseType="lpstr">
      <vt:lpstr>Данные организации</vt:lpstr>
      <vt:lpstr>Данные объект</vt:lpstr>
      <vt:lpstr> Журнал АВК</vt:lpstr>
      <vt:lpstr>КТП</vt:lpstr>
      <vt:lpstr>ТМГ</vt:lpstr>
      <vt:lpstr>РЛК</vt:lpstr>
      <vt:lpstr>ПРВТ</vt:lpstr>
      <vt:lpstr>счетчик СТЭМ</vt:lpstr>
      <vt:lpstr>выключатели ВА</vt:lpstr>
      <vt:lpstr>стойки</vt:lpstr>
      <vt:lpstr>лин.армат 6-10к</vt:lpstr>
      <vt:lpstr>лин.армат 0,4</vt:lpstr>
      <vt:lpstr>ВРЩ</vt:lpstr>
      <vt:lpstr>изоляторы</vt:lpstr>
      <vt:lpstr> муфты </vt:lpstr>
      <vt:lpstr>ПКТ</vt:lpstr>
      <vt:lpstr>ТТ Т-0,66</vt:lpstr>
      <vt:lpstr>РМК</vt:lpstr>
      <vt:lpstr>КРН</vt:lpstr>
      <vt:lpstr>КСО</vt:lpstr>
      <vt:lpstr>ТОЛ</vt:lpstr>
      <vt:lpstr>Провод СИП 3</vt:lpstr>
      <vt:lpstr>Провод СИП 2</vt:lpstr>
      <vt:lpstr>провод Пувг</vt:lpstr>
      <vt:lpstr>провод ПВС</vt:lpstr>
      <vt:lpstr>каб.АСБ</vt:lpstr>
      <vt:lpstr>АВБшв</vt:lpstr>
      <vt:lpstr>КВВГ</vt:lpstr>
      <vt:lpstr> фунд.КТП</vt:lpstr>
      <vt:lpstr>труба</vt:lpstr>
      <vt:lpstr>песок</vt:lpstr>
      <vt:lpstr>краска</vt:lpstr>
      <vt:lpstr>уголок 50</vt:lpstr>
      <vt:lpstr>уголок  63</vt:lpstr>
      <vt:lpstr>пол.40х4</vt:lpstr>
      <vt:lpstr>пол.50х4</vt:lpstr>
      <vt:lpstr>арм. 10</vt:lpstr>
      <vt:lpstr>арм. 12</vt:lpstr>
      <vt:lpstr>арм. 8</vt:lpstr>
      <vt:lpstr>швеллер</vt:lpstr>
      <vt:lpstr>Профлист</vt:lpstr>
      <vt:lpstr>упл.каб.прох.</vt:lpstr>
      <vt:lpstr>сиг.лента</vt:lpstr>
      <vt:lpstr>ПЗК</vt:lpstr>
      <vt:lpstr>Лист1</vt:lpstr>
      <vt:lpstr>ПНД</vt:lpstr>
      <vt:lpstr>' Журнал АВК'!Область_печати</vt:lpstr>
      <vt:lpstr>' муфты '!Область_печати</vt:lpstr>
      <vt:lpstr>' фунд.КТП'!Область_печати</vt:lpstr>
      <vt:lpstr>АВБшв!Область_печати</vt:lpstr>
      <vt:lpstr>'арм. 10'!Область_печати</vt:lpstr>
      <vt:lpstr>'арм. 12'!Область_печати</vt:lpstr>
      <vt:lpstr>'арм. 8'!Область_печати</vt:lpstr>
      <vt:lpstr>ВРЩ!Область_печати</vt:lpstr>
      <vt:lpstr>'выключатели ВА'!Область_печати</vt:lpstr>
      <vt:lpstr>изоляторы!Область_печати</vt:lpstr>
      <vt:lpstr>каб.АСБ!Область_печати</vt:lpstr>
      <vt:lpstr>КВВГ!Область_печати</vt:lpstr>
      <vt:lpstr>краска!Область_печати</vt:lpstr>
      <vt:lpstr>КРН!Область_печати</vt:lpstr>
      <vt:lpstr>КСО!Область_печати</vt:lpstr>
      <vt:lpstr>КТП!Область_печати</vt:lpstr>
      <vt:lpstr>'лин.армат 0,4'!Область_печати</vt:lpstr>
      <vt:lpstr>'лин.армат 6-10к'!Область_печати</vt:lpstr>
      <vt:lpstr>песок!Область_печати</vt:lpstr>
      <vt:lpstr>ПЗК!Область_печати</vt:lpstr>
      <vt:lpstr>ПКТ!Область_печати</vt:lpstr>
      <vt:lpstr>ПНД!Область_печати</vt:lpstr>
      <vt:lpstr>пол.40х4!Область_печати</vt:lpstr>
      <vt:lpstr>пол.50х4!Область_печати</vt:lpstr>
      <vt:lpstr>ПРВТ!Область_печати</vt:lpstr>
      <vt:lpstr>'провод ПВС'!Область_печати</vt:lpstr>
      <vt:lpstr>'провод Пувг'!Область_печати</vt:lpstr>
      <vt:lpstr>'Провод СИП 2'!Область_печати</vt:lpstr>
      <vt:lpstr>'Провод СИП 3'!Область_печати</vt:lpstr>
      <vt:lpstr>Профлист!Область_печати</vt:lpstr>
      <vt:lpstr>РЛК!Область_печати</vt:lpstr>
      <vt:lpstr>РМК!Область_печати</vt:lpstr>
      <vt:lpstr>сиг.лента!Область_печати</vt:lpstr>
      <vt:lpstr>стойки!Область_печати</vt:lpstr>
      <vt:lpstr>'счетчик СТЭМ'!Область_печати</vt:lpstr>
      <vt:lpstr>ТМГ!Область_печати</vt:lpstr>
      <vt:lpstr>ТОЛ!Область_печати</vt:lpstr>
      <vt:lpstr>труба!Область_печати</vt:lpstr>
      <vt:lpstr>'ТТ Т-0,66'!Область_печати</vt:lpstr>
      <vt:lpstr>'уголок  63'!Область_печати</vt:lpstr>
      <vt:lpstr>'уголок 50'!Область_печати</vt:lpstr>
      <vt:lpstr>упл.каб.прох.!Область_печати</vt:lpstr>
      <vt:lpstr>швеллер!Область_печати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2026-04-29T08:43:31Z</dcterms:modified>
</cp:coreProperties>
</file>