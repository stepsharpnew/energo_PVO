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A440E1B4-5760-488E-8D8E-9E5DE69889E3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1'!$A$1:$E$79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2" i="3" l="1"/>
  <c r="D35" i="5" l="1"/>
  <c r="B5" i="5"/>
  <c r="I5" i="6"/>
  <c r="B16" i="6"/>
  <c r="M76" i="7"/>
  <c r="Z32" i="7" s="1"/>
  <c r="M75" i="7"/>
  <c r="B5" i="4"/>
  <c r="C20" i="3"/>
  <c r="B5" i="3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8" i="1" l="1"/>
  <c r="C67" i="1" s="1"/>
  <c r="C66" i="1" s="1"/>
  <c r="C65" i="1" s="1"/>
  <c r="C64" i="1" s="1"/>
  <c r="C63" i="1" s="1"/>
  <c r="C62" i="1" s="1"/>
  <c r="C61" i="1" s="1"/>
  <c r="C60" i="1" s="1"/>
  <c r="C59" i="1" s="1"/>
  <c r="C21" i="1"/>
  <c r="C22" i="1" s="1"/>
  <c r="C23" i="1" s="1"/>
  <c r="C24" i="1" s="1"/>
  <c r="C25" i="1" s="1"/>
  <c r="B34" i="8"/>
  <c r="A21" i="1" l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A62" i="7" l="1"/>
  <c r="P70" i="7"/>
  <c r="E47" i="4"/>
  <c r="D76" i="1"/>
  <c r="B42" i="5" l="1"/>
  <c r="E42" i="4"/>
  <c r="N67" i="7"/>
  <c r="B42" i="4"/>
  <c r="B76" i="1"/>
  <c r="K16" i="6" l="1"/>
  <c r="G57" i="4"/>
  <c r="G55" i="4"/>
  <c r="D32" i="4"/>
  <c r="A121" i="7"/>
  <c r="A55" i="7"/>
  <c r="M32" i="7" l="1"/>
  <c r="C7" i="2" s="1"/>
  <c r="M59" i="7" l="1"/>
  <c r="I91" i="7"/>
  <c r="B67" i="5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6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<sst xmlns="http://schemas.openxmlformats.org/spreadsheetml/2006/main" count="474" uniqueCount="350">
  <si>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</si>
  <si>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</si>
  <si>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</si>
  <si>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</si>
  <si>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</si>
  <si>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</si>
  <si>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</si>
  <si>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</si>
  <si>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</si>
  <si>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</si>
  <si>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</si>
  <si>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</si>
  <si>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</si>
  <si>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</si>
  <si>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</si>
  <si>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</si>
  <si>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</si>
  <si>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</si>
  <si>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</si>
  <si>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</si>
  <si>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</si>
  <si>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</si>
  <si>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</si>
  <si>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</si>
  <si>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</si>
  <si>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</si>
  <si>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</si>
  <si>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</si>
  <si>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</si>
  <si>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</si>
  <si>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</si>
  <si>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</si>
  <si>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</si>
  <si>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</si>
  <si>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</si>
  <si>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</si>
  <si>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</si>
  <si>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</si>
  <si>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</si>
  <si>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</si>
  <si>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</si>
  <si>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</si>
  <si>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</si>
  <si>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</si>
  <si>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</si>
  <si>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</si>
  <si>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</si>
  <si>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</si>
  <si>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</si>
  <si>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</si>
  <si>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</si>
  <si>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</si>
  <si>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</si>
  <si>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</si>
  <si>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</si>
  <si>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</si>
  <si>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</si>
  <si>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</si>
  <si>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</si>
  <si>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</si>
  <si>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</si>
  <si>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</si>
  <si>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</si>
  <si>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</si>
  <si>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</si>
  <si>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</si>
  <si>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</si>
  <si>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</si>
  <si>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</si>
  <si>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</si>
  <si>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</si>
  <si>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</si>
  <si>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</si>
  <si>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</si>
  <si>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</si>
  <si>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</si>
  <si>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</si>
  <si>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</si>
  <si>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</si>
  <si>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</si>
  <si>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</si>
  <si>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</si>
  <si>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</si>
  <si>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</si>
  <si>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</si>
  <si>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</si>
  <si>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</si>
  <si>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</si>
  <si>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</si>
  <si>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</si>
  <si>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</si>
  <si>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</si>
  <si>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</si>
  <si>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</si>
  <si>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</si>
  <si>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</si>
  <si>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</si>
  <si>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</si>
  <si>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</si>
  <si>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</si>
  <si>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</si>
  <si>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</si>
  <si>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</si>
  <si>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</si>
  <si>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</si>
  <si>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</si>
  <si>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</si>
  <si>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</si>
  <si>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</si>
  <si>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</si>
  <si>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</si>
  <si>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</si>
  <si>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</si>
  <si>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</si>
  <si>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</si>
  <si>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</si>
  <si>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</si>
  <si>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</si>
  <si>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</si>
  <si>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</si>
  <si>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</si>
  <si>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</si>
  <si>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</si>
  <si>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</si>
  <si>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</si>
  <si>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</si>
  <si>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</si>
  <si>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</si>
  <si>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</si>
  <si>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</si>
  <si>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</si>
  <si>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</si>
  <si>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</si>
  <si>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</si>
  <si>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</si>
  <si>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</si>
  <si>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</si>
  <si>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</si>
  <si>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</si>
  <si>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</si>
  <si>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</si>
  <si>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</si>
  <si>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</si>
  <si>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</si>
  <si>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</si>
  <si>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</si>
  <si>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</si>
  <si>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</si>
  <si>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</si>
  <si>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</si>
  <si>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</si>
  <si>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</si>
  <si>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</si>
  <si>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</si>
  <si>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</si>
  <si>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</si>
  <si>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</si>
  <si>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</si>
  <si>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</si>
  <si>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</si>
  <si>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</si>
  <si>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</si>
  <si>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</si>
  <si>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</si>
  <si>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</si>
  <si>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</si>
  <si>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</si>
  <si>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</si>
  <si>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</si>
  <si>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</si>
  <si>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</si>
  <si>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</si>
  <si>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</si>
  <si>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</si>
  <si>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</si>
  <si>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</si>
  <si>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</si>
  <si>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</si>
  <si>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</si>
  <si>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</si>
  <si>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</si>
  <si>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</si>
  <si>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</si>
  <si>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</si>
  <si>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</si>
  <si>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</si>
  <si>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</si>
  <si>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</si>
  <si>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</si>
  <si>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</si>
  <si>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</si>
  <si>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</si>
  <si>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</si>
  <si>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</si>
  <si>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</si>
  <si>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</si>
  <si>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</si>
  <si>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</si>
  <si>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</si>
  <si>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</si>
  <si>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</si>
  <si>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</si>
  <si>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</si>
  <si>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</si>
  <si>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</si>
  <si>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</si>
  <si>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</si>
  <si>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</si>
  <si>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(протяжка двух футляров труб ПНД Ø160мм).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</si>
  <si>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</si>
  <si>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</si>
  <si>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</si>
  <si>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</si>
  <si>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</si>
  <si>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</si>
  <si>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</si>
  <si>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</si>
  <si>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</si>
  <si>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</si>
  <si>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</si>
  <si>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</si>
  <si>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</si>
  <si>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</si>
  <si>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</si>
  <si>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</si>
  <si>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</si>
  <si>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</si>
  <si>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</si>
  <si>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</si>
  <si>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</si>
  <si>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</si>
  <si>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</si>
  <si>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</si>
  <si>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</si>
  <si>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</si>
  <si>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</si>
  <si>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</si>
  <si>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</si>
  <si>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</si>
  <si>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</si>
  <si>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</si>
  <si>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</si>
  <si>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</si>
  <si>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</si>
  <si>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</si>
  <si>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</si>
  <si>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</si>
  <si>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</si>
  <si>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</si>
  <si>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</si>
  <si>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</si>
  <si>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</si>
  <si>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</si>
  <si>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</si>
  <si>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</si>
  <si>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</si>
  <si>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</si>
  <si>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</si>
  <si>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</si>
  <si>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</si>
  <si>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</si>
  <si>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</si>
  <si>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</si>
  <si>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</si>
  <si>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</si>
  <si>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2025</t>
  </si>
  <si>
    <t>ГНБ №1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</si>
  <si>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</si>
  <si>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</si>
  <si>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</si>
  <si>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</si>
  <si>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</si>
  <si>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</si>
  <si>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</si>
  <si>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XCMG, XZ360E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</si>
  <si>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</si>
  <si>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</si>
  <si>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</si>
  <si>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</si>
  <si>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</si>
  <si>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</si>
  <si>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</si>
  <si>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</si>
  <si>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</si>
  <si>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</si>
  <si>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</si>
  <si>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</si>
  <si>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</si>
  <si>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</si>
  <si>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</si>
  <si>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</si>
  <si>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</si>
  <si>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</si>
  <si>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</si>
  <si>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</si>
  <si>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</si>
  <si>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</si>
  <si>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</si>
  <si>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</si>
  <si>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</si>
  <si>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</si>
  <si>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</si>
  <si>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</si>
  <si>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</si>
  <si>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</si>
  <si>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</si>
  <si>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</si>
  <si>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</si>
  <si>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</si>
  <si>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</si>
  <si>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</si>
  <si>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</si>
  <si>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</si>
  <si>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</si>
  <si>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</si>
  <si>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</si>
  <si>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</si>
  <si>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</si>
  <si>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</si>
  <si>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</si>
  <si>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</si>
  <si>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</si>
  <si>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</si>
  <si>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</si>
  <si>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</si>
  <si>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</si>
  <si>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</si>
  <si>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</si>
  <si>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</si>
  <si>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</si>
  <si>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</si>
  <si>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</si>
  <si>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t>
  </si>
  <si>
    <t>С259941-309788</t>
  </si>
  <si>
    <t>городское поселение Андреевка, рабочий поселок Андреевка</t>
  </si>
  <si>
    <t>25.08.2025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</si>
  <si>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</si>
  <si>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</si>
  <si>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</si>
  <si>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</si>
  <si>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</si>
  <si>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4741-259941-257-12/23</t>
  </si>
  <si>
    <t>3х150</t>
  </si>
  <si>
    <t>Приемный котлован</t>
  </si>
  <si>
    <t>Труба ПЭ F110 D160мм</t>
  </si>
  <si>
    <t>Приказ №1904 от 03 июня 2026г (НРС С-50-069023)</t>
  </si>
  <si>
    <t>Алексанян Г.Р.</t>
  </si>
  <si>
    <t>Приказ № от  2026г (НРС С-31-330248)</t>
  </si>
  <si>
    <t>Курчин М.М.</t>
  </si>
  <si>
    <t>Мастер СРЭС СЭС филиала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</si>
</sst>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289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left" vertical="center"/>
    </xf>
    <xf numFmtId="0" fontId="11" fillId="0" borderId="2" xfId="2" applyFont="1" applyFill="1" applyBorder="1" applyAlignment="1">
      <alignment horizontal="left"/>
    </xf>
    <xf numFmtId="0" fontId="9" fillId="0" borderId="0" xfId="2" applyFont="1" applyAlignment="1">
      <alignment horizontal="left" vertical="center" wrapText="1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11" fillId="0" borderId="2" xfId="2" applyFont="1" applyFill="1" applyBorder="1" applyAlignment="1">
      <alignment horizontal="center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left" vertical="center" wrapText="1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11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left" wrapText="1"/>
    </xf>
    <xf numFmtId="0" fontId="11" fillId="0" borderId="2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Alignment="1">
      <alignment horizontal="right" vertical="top" wrapText="1"/>
    </xf>
    <xf numFmtId="0" fontId="9" fillId="0" borderId="0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top" wrapText="1"/>
    </xf>
    <xf numFmtId="0" fontId="5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vertical="top" wrapText="1"/>
    </xf>
    <xf numFmtId="164" fontId="11" fillId="0" borderId="2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4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left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40" fillId="0" borderId="2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F16" sqref="F16"/>
    </sheetView>
  </sheetViews>
  <sheetFormatPr defaultRowHeight="15" x14ac:dyDescent="0.25"/>
  <cols>
    <col min="1" max="1" width="18.7109375" style="138" customWidth="1"/>
    <col min="2" max="2" width="31.28515625" style="138" customWidth="1"/>
    <col min="3" max="3" width="36.5703125" style="138" customWidth="1"/>
    <col min="4" max="5" width="34.85546875" style="138" customWidth="1"/>
    <col min="6" max="6" width="36.7109375" style="138" customWidth="1"/>
    <col min="7" max="7" width="36.140625" style="138" customWidth="1"/>
    <col min="8" max="16384" width="9.140625" style="138"/>
  </cols>
  <sheetData>
    <row r="1" spans="1:7" x14ac:dyDescent="0.25">
      <c r="A1" s="135" t="s">
        <v>278</v>
      </c>
      <c r="B1" s="135"/>
      <c r="C1" s="136" t="s">
        <v>237</v>
      </c>
      <c r="D1" s="136" t="s">
        <v>279</v>
      </c>
      <c r="E1" s="137"/>
      <c r="F1" s="169" t="s">
        <v>280</v>
      </c>
      <c r="G1" s="169"/>
    </row>
    <row r="2" spans="1:7" ht="30" x14ac:dyDescent="0.25">
      <c r="A2" s="139" t="s">
        <v>281</v>
      </c>
      <c r="B2" s="139"/>
      <c r="C2" s="140" t="s">
        <v>282</v>
      </c>
      <c r="D2" s="140" t="s">
        <v>283</v>
      </c>
      <c r="E2" s="141"/>
      <c r="F2" s="170" t="s">
        <v>259</v>
      </c>
      <c r="G2" s="171"/>
    </row>
    <row r="3" spans="1:7" ht="63" customHeight="1" x14ac:dyDescent="0.25">
      <c r="A3" s="142" t="s">
        <v>284</v>
      </c>
      <c r="B3" s="142"/>
      <c r="C3" s="143" t="s">
        <v>285</v>
      </c>
      <c r="D3" s="143" t="s">
        <v>286</v>
      </c>
      <c r="E3" s="144"/>
      <c r="F3" s="172" t="s">
        <v>287</v>
      </c>
      <c r="G3" s="173"/>
    </row>
    <row r="4" spans="1:7" x14ac:dyDescent="0.25">
      <c r="A4" s="139" t="s">
        <v>288</v>
      </c>
      <c r="B4" s="139"/>
      <c r="C4" s="140"/>
      <c r="D4" s="140"/>
      <c r="E4" s="140"/>
      <c r="F4" s="140" t="s">
        <v>289</v>
      </c>
      <c r="G4" s="140" t="s">
        <v>290</v>
      </c>
    </row>
    <row r="5" spans="1:7" x14ac:dyDescent="0.25">
      <c r="A5" s="142"/>
      <c r="B5" s="142"/>
      <c r="C5" s="143"/>
      <c r="D5" s="143"/>
      <c r="E5" s="143"/>
      <c r="F5" s="143" t="s">
        <v>291</v>
      </c>
      <c r="G5" s="143" t="s">
        <v>292</v>
      </c>
    </row>
    <row r="6" spans="1:7" x14ac:dyDescent="0.25">
      <c r="A6" s="139" t="s">
        <v>293</v>
      </c>
      <c r="B6" s="139"/>
      <c r="C6" s="140" t="s">
        <v>294</v>
      </c>
      <c r="D6" s="140" t="s">
        <v>295</v>
      </c>
      <c r="E6" s="140"/>
      <c r="F6" s="140" t="s">
        <v>296</v>
      </c>
      <c r="G6" s="140" t="s">
        <v>297</v>
      </c>
    </row>
    <row r="7" spans="1:7" x14ac:dyDescent="0.25">
      <c r="A7" s="142" t="s">
        <v>298</v>
      </c>
      <c r="B7" s="142"/>
      <c r="C7" s="143" t="s">
        <v>299</v>
      </c>
      <c r="D7" s="143" t="s">
        <v>300</v>
      </c>
      <c r="E7" s="143"/>
      <c r="F7" s="143" t="s">
        <v>301</v>
      </c>
      <c r="G7" s="143" t="s">
        <v>302</v>
      </c>
    </row>
    <row r="8" spans="1:7" ht="30" x14ac:dyDescent="0.25">
      <c r="A8" s="139" t="s">
        <v>303</v>
      </c>
      <c r="B8" s="140" t="s">
        <v>248</v>
      </c>
      <c r="C8" s="140" t="s">
        <v>248</v>
      </c>
      <c r="D8" s="140" t="s">
        <v>304</v>
      </c>
      <c r="E8" s="140"/>
      <c r="F8" s="285" t="s">
        <v>305</v>
      </c>
      <c r="G8" s="285" t="s">
        <v>305</v>
      </c>
    </row>
    <row r="9" spans="1:7" ht="30" x14ac:dyDescent="0.25">
      <c r="A9" s="142" t="s">
        <v>306</v>
      </c>
      <c r="B9" s="143" t="s">
        <v>307</v>
      </c>
      <c r="C9" s="168" t="s">
        <v>307</v>
      </c>
      <c r="D9" s="143" t="s">
        <v>308</v>
      </c>
      <c r="E9" s="143"/>
      <c r="F9" s="286" t="s">
        <v>347</v>
      </c>
      <c r="G9" s="286" t="s">
        <v>345</v>
      </c>
    </row>
    <row r="10" spans="1:7" x14ac:dyDescent="0.25">
      <c r="A10" s="139" t="s">
        <v>309</v>
      </c>
      <c r="B10" s="140" t="s">
        <v>310</v>
      </c>
      <c r="C10" s="167" t="s">
        <v>310</v>
      </c>
      <c r="D10" s="140" t="s">
        <v>311</v>
      </c>
      <c r="E10" s="140"/>
      <c r="F10" s="285" t="s">
        <v>348</v>
      </c>
      <c r="G10" s="285" t="s">
        <v>346</v>
      </c>
    </row>
    <row r="11" spans="1:7" x14ac:dyDescent="0.25">
      <c r="A11" s="142" t="s">
        <v>312</v>
      </c>
      <c r="B11" s="142"/>
      <c r="C11" s="143"/>
      <c r="D11" s="143"/>
      <c r="E11" s="143"/>
      <c r="F11" s="287" t="s">
        <v>349</v>
      </c>
      <c r="G11" s="143" t="s">
        <v>313</v>
      </c>
    </row>
    <row r="12" spans="1:7" x14ac:dyDescent="0.25">
      <c r="A12" s="139" t="s">
        <v>314</v>
      </c>
      <c r="B12" s="139"/>
      <c r="C12" s="140"/>
      <c r="D12" s="140"/>
      <c r="E12" s="140"/>
      <c r="F12" s="288" t="s">
        <v>348</v>
      </c>
      <c r="G12" s="140"/>
    </row>
    <row r="13" spans="1:7" x14ac:dyDescent="0.25">
      <c r="A13" s="139" t="s">
        <v>315</v>
      </c>
      <c r="B13" s="139"/>
      <c r="C13" s="140" t="s">
        <v>315</v>
      </c>
      <c r="D13" s="140" t="s">
        <v>315</v>
      </c>
      <c r="E13" s="140"/>
      <c r="F13" s="140"/>
      <c r="G13" s="140"/>
    </row>
    <row r="14" spans="1:7" x14ac:dyDescent="0.25">
      <c r="A14" s="142" t="s">
        <v>316</v>
      </c>
      <c r="B14" s="142"/>
      <c r="C14" s="143" t="s">
        <v>317</v>
      </c>
      <c r="D14" s="143" t="s">
        <v>317</v>
      </c>
      <c r="E14" s="143"/>
      <c r="F14" s="287" t="s">
        <v>349</v>
      </c>
      <c r="G14" s="143"/>
    </row>
    <row r="15" spans="1:7" x14ac:dyDescent="0.25">
      <c r="A15" s="139"/>
      <c r="B15" s="139"/>
      <c r="C15" s="140"/>
      <c r="D15" s="140"/>
      <c r="E15" s="140"/>
      <c r="F15" s="288" t="s">
        <v>348</v>
      </c>
      <c r="G15" s="140"/>
    </row>
    <row r="16" spans="1:7" x14ac:dyDescent="0.25">
      <c r="A16" s="142"/>
      <c r="B16" s="142"/>
      <c r="C16" s="143"/>
      <c r="D16" s="143"/>
      <c r="E16" s="143"/>
      <c r="F16" s="143"/>
      <c r="G16" s="143"/>
    </row>
    <row r="17" spans="1:7" x14ac:dyDescent="0.25">
      <c r="A17" s="139"/>
      <c r="B17" s="139"/>
      <c r="C17" s="140"/>
      <c r="D17" s="140"/>
      <c r="E17" s="140"/>
      <c r="F17" s="140"/>
      <c r="G17" s="140"/>
    </row>
    <row r="18" spans="1:7" x14ac:dyDescent="0.25">
      <c r="A18" s="142" t="s">
        <v>239</v>
      </c>
      <c r="B18" s="142"/>
      <c r="C18" s="143" t="s">
        <v>239</v>
      </c>
      <c r="D18" s="143" t="s">
        <v>318</v>
      </c>
      <c r="E18" s="143"/>
      <c r="F18" s="143"/>
      <c r="G18" s="143"/>
    </row>
    <row r="19" spans="1:7" x14ac:dyDescent="0.25">
      <c r="A19" s="139" t="s">
        <v>319</v>
      </c>
      <c r="B19" s="139"/>
      <c r="C19" s="140" t="s">
        <v>247</v>
      </c>
      <c r="D19" s="140" t="s">
        <v>320</v>
      </c>
      <c r="E19" s="140"/>
      <c r="F19" s="140"/>
      <c r="G19" s="140"/>
    </row>
    <row r="20" spans="1:7" x14ac:dyDescent="0.25">
      <c r="A20" s="142" t="s">
        <v>321</v>
      </c>
      <c r="B20" s="142"/>
      <c r="C20" s="143" t="s">
        <v>241</v>
      </c>
      <c r="D20" s="143" t="s">
        <v>322</v>
      </c>
      <c r="E20" s="143"/>
      <c r="F20" s="143"/>
      <c r="G20" s="143"/>
    </row>
    <row r="21" spans="1:7" x14ac:dyDescent="0.25">
      <c r="A21" s="145"/>
      <c r="B21" s="145"/>
      <c r="C21" s="140"/>
      <c r="D21" s="140"/>
      <c r="E21" s="140"/>
      <c r="F21" s="140"/>
      <c r="G21" s="140"/>
    </row>
    <row r="23" spans="1:7" ht="79.5" customHeight="1" x14ac:dyDescent="0.25">
      <c r="A23" s="146" t="s">
        <v>323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№1904 от 03 июня 2026г (НРС С-50-069023)</v>
      </c>
    </row>
    <row r="24" spans="1:7" ht="90" x14ac:dyDescent="0.25">
      <c r="A24" s="146" t="s">
        <v>323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60" x14ac:dyDescent="0.25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5" x14ac:dyDescent="0.25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60" x14ac:dyDescent="0.25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30" x14ac:dyDescent="0.25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30" x14ac:dyDescent="0.25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abSelected="1" topLeftCell="A7" workbookViewId="0">
      <selection activeCell="C29" sqref="C29"/>
    </sheetView>
  </sheetViews>
  <sheetFormatPr defaultRowHeight="15" x14ac:dyDescent="0.25"/>
  <cols>
    <col min="1" max="1" width="25.85546875" customWidth="1"/>
    <col min="2" max="2" width="61.7109375" customWidth="1"/>
    <col min="8" max="8" width="0" hidden="1" customWidth="1"/>
    <col min="257" max="257" width="25.85546875" customWidth="1"/>
    <col min="258" max="258" width="61.7109375" customWidth="1"/>
    <col min="513" max="513" width="25.85546875" customWidth="1"/>
    <col min="514" max="514" width="61.7109375" customWidth="1"/>
    <col min="769" max="769" width="25.85546875" customWidth="1"/>
    <col min="770" max="770" width="61.7109375" customWidth="1"/>
    <col min="1025" max="1025" width="25.85546875" customWidth="1"/>
    <col min="1026" max="1026" width="61.7109375" customWidth="1"/>
    <col min="1281" max="1281" width="25.85546875" customWidth="1"/>
    <col min="1282" max="1282" width="61.7109375" customWidth="1"/>
    <col min="1537" max="1537" width="25.85546875" customWidth="1"/>
    <col min="1538" max="1538" width="61.7109375" customWidth="1"/>
    <col min="1793" max="1793" width="25.85546875" customWidth="1"/>
    <col min="1794" max="1794" width="61.7109375" customWidth="1"/>
    <col min="2049" max="2049" width="25.85546875" customWidth="1"/>
    <col min="2050" max="2050" width="61.7109375" customWidth="1"/>
    <col min="2305" max="2305" width="25.85546875" customWidth="1"/>
    <col min="2306" max="2306" width="61.7109375" customWidth="1"/>
    <col min="2561" max="2561" width="25.85546875" customWidth="1"/>
    <col min="2562" max="2562" width="61.7109375" customWidth="1"/>
    <col min="2817" max="2817" width="25.85546875" customWidth="1"/>
    <col min="2818" max="2818" width="61.7109375" customWidth="1"/>
    <col min="3073" max="3073" width="25.85546875" customWidth="1"/>
    <col min="3074" max="3074" width="61.7109375" customWidth="1"/>
    <col min="3329" max="3329" width="25.85546875" customWidth="1"/>
    <col min="3330" max="3330" width="61.7109375" customWidth="1"/>
    <col min="3585" max="3585" width="25.85546875" customWidth="1"/>
    <col min="3586" max="3586" width="61.7109375" customWidth="1"/>
    <col min="3841" max="3841" width="25.85546875" customWidth="1"/>
    <col min="3842" max="3842" width="61.7109375" customWidth="1"/>
    <col min="4097" max="4097" width="25.85546875" customWidth="1"/>
    <col min="4098" max="4098" width="61.7109375" customWidth="1"/>
    <col min="4353" max="4353" width="25.85546875" customWidth="1"/>
    <col min="4354" max="4354" width="61.7109375" customWidth="1"/>
    <col min="4609" max="4609" width="25.85546875" customWidth="1"/>
    <col min="4610" max="4610" width="61.7109375" customWidth="1"/>
    <col min="4865" max="4865" width="25.85546875" customWidth="1"/>
    <col min="4866" max="4866" width="61.7109375" customWidth="1"/>
    <col min="5121" max="5121" width="25.85546875" customWidth="1"/>
    <col min="5122" max="5122" width="61.7109375" customWidth="1"/>
    <col min="5377" max="5377" width="25.85546875" customWidth="1"/>
    <col min="5378" max="5378" width="61.7109375" customWidth="1"/>
    <col min="5633" max="5633" width="25.85546875" customWidth="1"/>
    <col min="5634" max="5634" width="61.7109375" customWidth="1"/>
    <col min="5889" max="5889" width="25.85546875" customWidth="1"/>
    <col min="5890" max="5890" width="61.7109375" customWidth="1"/>
    <col min="6145" max="6145" width="25.85546875" customWidth="1"/>
    <col min="6146" max="6146" width="61.7109375" customWidth="1"/>
    <col min="6401" max="6401" width="25.85546875" customWidth="1"/>
    <col min="6402" max="6402" width="61.7109375" customWidth="1"/>
    <col min="6657" max="6657" width="25.85546875" customWidth="1"/>
    <col min="6658" max="6658" width="61.7109375" customWidth="1"/>
    <col min="6913" max="6913" width="25.85546875" customWidth="1"/>
    <col min="6914" max="6914" width="61.7109375" customWidth="1"/>
    <col min="7169" max="7169" width="25.85546875" customWidth="1"/>
    <col min="7170" max="7170" width="61.7109375" customWidth="1"/>
    <col min="7425" max="7425" width="25.85546875" customWidth="1"/>
    <col min="7426" max="7426" width="61.7109375" customWidth="1"/>
    <col min="7681" max="7681" width="25.85546875" customWidth="1"/>
    <col min="7682" max="7682" width="61.7109375" customWidth="1"/>
    <col min="7937" max="7937" width="25.85546875" customWidth="1"/>
    <col min="7938" max="7938" width="61.7109375" customWidth="1"/>
    <col min="8193" max="8193" width="25.85546875" customWidth="1"/>
    <col min="8194" max="8194" width="61.7109375" customWidth="1"/>
    <col min="8449" max="8449" width="25.85546875" customWidth="1"/>
    <col min="8450" max="8450" width="61.7109375" customWidth="1"/>
    <col min="8705" max="8705" width="25.85546875" customWidth="1"/>
    <col min="8706" max="8706" width="61.7109375" customWidth="1"/>
    <col min="8961" max="8961" width="25.85546875" customWidth="1"/>
    <col min="8962" max="8962" width="61.7109375" customWidth="1"/>
    <col min="9217" max="9217" width="25.85546875" customWidth="1"/>
    <col min="9218" max="9218" width="61.7109375" customWidth="1"/>
    <col min="9473" max="9473" width="25.85546875" customWidth="1"/>
    <col min="9474" max="9474" width="61.7109375" customWidth="1"/>
    <col min="9729" max="9729" width="25.85546875" customWidth="1"/>
    <col min="9730" max="9730" width="61.7109375" customWidth="1"/>
    <col min="9985" max="9985" width="25.85546875" customWidth="1"/>
    <col min="9986" max="9986" width="61.7109375" customWidth="1"/>
    <col min="10241" max="10241" width="25.85546875" customWidth="1"/>
    <col min="10242" max="10242" width="61.7109375" customWidth="1"/>
    <col min="10497" max="10497" width="25.85546875" customWidth="1"/>
    <col min="10498" max="10498" width="61.7109375" customWidth="1"/>
    <col min="10753" max="10753" width="25.85546875" customWidth="1"/>
    <col min="10754" max="10754" width="61.7109375" customWidth="1"/>
    <col min="11009" max="11009" width="25.85546875" customWidth="1"/>
    <col min="11010" max="11010" width="61.7109375" customWidth="1"/>
    <col min="11265" max="11265" width="25.85546875" customWidth="1"/>
    <col min="11266" max="11266" width="61.7109375" customWidth="1"/>
    <col min="11521" max="11521" width="25.85546875" customWidth="1"/>
    <col min="11522" max="11522" width="61.7109375" customWidth="1"/>
    <col min="11777" max="11777" width="25.85546875" customWidth="1"/>
    <col min="11778" max="11778" width="61.7109375" customWidth="1"/>
    <col min="12033" max="12033" width="25.85546875" customWidth="1"/>
    <col min="12034" max="12034" width="61.7109375" customWidth="1"/>
    <col min="12289" max="12289" width="25.85546875" customWidth="1"/>
    <col min="12290" max="12290" width="61.7109375" customWidth="1"/>
    <col min="12545" max="12545" width="25.85546875" customWidth="1"/>
    <col min="12546" max="12546" width="61.7109375" customWidth="1"/>
    <col min="12801" max="12801" width="25.85546875" customWidth="1"/>
    <col min="12802" max="12802" width="61.7109375" customWidth="1"/>
    <col min="13057" max="13057" width="25.85546875" customWidth="1"/>
    <col min="13058" max="13058" width="61.7109375" customWidth="1"/>
    <col min="13313" max="13313" width="25.85546875" customWidth="1"/>
    <col min="13314" max="13314" width="61.7109375" customWidth="1"/>
    <col min="13569" max="13569" width="25.85546875" customWidth="1"/>
    <col min="13570" max="13570" width="61.7109375" customWidth="1"/>
    <col min="13825" max="13825" width="25.85546875" customWidth="1"/>
    <col min="13826" max="13826" width="61.7109375" customWidth="1"/>
    <col min="14081" max="14081" width="25.85546875" customWidth="1"/>
    <col min="14082" max="14082" width="61.7109375" customWidth="1"/>
    <col min="14337" max="14337" width="25.85546875" customWidth="1"/>
    <col min="14338" max="14338" width="61.7109375" customWidth="1"/>
    <col min="14593" max="14593" width="25.85546875" customWidth="1"/>
    <col min="14594" max="14594" width="61.7109375" customWidth="1"/>
    <col min="14849" max="14849" width="25.85546875" customWidth="1"/>
    <col min="14850" max="14850" width="61.7109375" customWidth="1"/>
    <col min="15105" max="15105" width="25.85546875" customWidth="1"/>
    <col min="15106" max="15106" width="61.7109375" customWidth="1"/>
    <col min="15361" max="15361" width="25.85546875" customWidth="1"/>
    <col min="15362" max="15362" width="61.7109375" customWidth="1"/>
    <col min="15617" max="15617" width="25.85546875" customWidth="1"/>
    <col min="15618" max="15618" width="61.7109375" customWidth="1"/>
    <col min="15873" max="15873" width="25.85546875" customWidth="1"/>
    <col min="15874" max="15874" width="61.7109375" customWidth="1"/>
    <col min="16129" max="16129" width="25.85546875" customWidth="1"/>
    <col min="16130" max="16130" width="61.7109375" customWidth="1"/>
  </cols>
  <sheetData>
    <row r="1" spans="1:8" ht="120" x14ac:dyDescent="0.25">
      <c r="A1" s="133" t="s">
        <v>32</v>
      </c>
      <c r="B1" s="47" t="s">
        <v>332</v>
      </c>
      <c r="C1" s="177" t="s">
        <v>231</v>
      </c>
      <c r="D1" s="177"/>
      <c r="E1" s="178" t="s">
        <v>333</v>
      </c>
      <c r="F1" s="178"/>
    </row>
    <row r="2" spans="1:8" ht="15.75" customHeight="1" x14ac:dyDescent="0.25">
      <c r="A2" s="134" t="s">
        <v>232</v>
      </c>
      <c r="B2" s="49" t="s">
        <v>289</v>
      </c>
      <c r="C2" s="176" t="s">
        <v>234</v>
      </c>
      <c r="D2" s="176"/>
      <c r="E2" s="179"/>
      <c r="F2" s="179"/>
    </row>
    <row r="3" spans="1:8" x14ac:dyDescent="0.25">
      <c r="A3" s="134" t="s">
        <v>233</v>
      </c>
      <c r="B3" s="50" t="s">
        <v>334</v>
      </c>
    </row>
    <row r="4" spans="1:8" x14ac:dyDescent="0.25">
      <c r="A4" s="134" t="s">
        <v>256</v>
      </c>
      <c r="B4" s="75" t="s">
        <v>335</v>
      </c>
    </row>
    <row r="5" spans="1:8" x14ac:dyDescent="0.25">
      <c r="A5" s="133" t="s">
        <v>324</v>
      </c>
      <c r="B5" s="74" t="s">
        <v>265</v>
      </c>
    </row>
    <row r="6" spans="1:8" x14ac:dyDescent="0.25">
      <c r="A6" s="174" t="s">
        <v>235</v>
      </c>
      <c r="B6" s="175"/>
    </row>
    <row r="7" spans="1:8" ht="19.5" customHeight="1" x14ac:dyDescent="0.25">
      <c r="A7" s="134" t="s">
        <v>236</v>
      </c>
      <c r="B7" s="153" t="s">
        <v>237</v>
      </c>
    </row>
    <row r="8" spans="1:8" ht="19.5" customHeight="1" x14ac:dyDescent="0.25">
      <c r="A8" s="157" t="s">
        <v>325</v>
      </c>
      <c r="B8" s="153" t="s">
        <v>282</v>
      </c>
    </row>
    <row r="9" spans="1:8" ht="25.5" customHeight="1" x14ac:dyDescent="0.25">
      <c r="A9" s="157" t="s">
        <v>233</v>
      </c>
      <c r="B9" s="153" t="s">
        <v>285</v>
      </c>
    </row>
    <row r="10" spans="1:8" x14ac:dyDescent="0.25">
      <c r="A10" s="134" t="s">
        <v>238</v>
      </c>
      <c r="B10" s="159" t="s">
        <v>239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25">
      <c r="A11" s="134" t="s">
        <v>240</v>
      </c>
      <c r="B11" s="153" t="s">
        <v>241</v>
      </c>
      <c r="H11" s="6"/>
    </row>
    <row r="12" spans="1:8" x14ac:dyDescent="0.25">
      <c r="A12" s="134" t="s">
        <v>326</v>
      </c>
      <c r="B12" s="153" t="s">
        <v>247</v>
      </c>
      <c r="H12" s="129"/>
    </row>
    <row r="13" spans="1:8" x14ac:dyDescent="0.25">
      <c r="A13" s="134" t="s">
        <v>238</v>
      </c>
      <c r="B13" s="153" t="s">
        <v>248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25">
      <c r="A14" s="134" t="s">
        <v>240</v>
      </c>
      <c r="B14" s="153" t="s">
        <v>310</v>
      </c>
      <c r="H14" s="6"/>
    </row>
    <row r="15" spans="1:8" x14ac:dyDescent="0.25">
      <c r="A15" s="134" t="s">
        <v>326</v>
      </c>
      <c r="B15" s="153" t="s">
        <v>307</v>
      </c>
      <c r="H15" s="129"/>
    </row>
    <row r="16" spans="1:8" x14ac:dyDescent="0.25">
      <c r="A16" s="180" t="s">
        <v>252</v>
      </c>
      <c r="B16" s="181"/>
    </row>
    <row r="17" spans="1:8" ht="20.25" customHeight="1" x14ac:dyDescent="0.25">
      <c r="A17" s="134" t="s">
        <v>236</v>
      </c>
      <c r="B17" s="153" t="s">
        <v>251</v>
      </c>
      <c r="H17" s="56" t="s">
        <v>255</v>
      </c>
    </row>
    <row r="18" spans="1:8" x14ac:dyDescent="0.25">
      <c r="A18" s="134" t="s">
        <v>238</v>
      </c>
      <c r="B18" s="154" t="s">
        <v>253</v>
      </c>
      <c r="D18" s="57"/>
    </row>
    <row r="19" spans="1:8" x14ac:dyDescent="0.25">
      <c r="A19" s="134" t="s">
        <v>240</v>
      </c>
      <c r="B19" s="155" t="s">
        <v>254</v>
      </c>
    </row>
    <row r="20" spans="1:8" x14ac:dyDescent="0.25">
      <c r="A20" s="134" t="s">
        <v>238</v>
      </c>
      <c r="B20" s="156" t="s">
        <v>197</v>
      </c>
    </row>
    <row r="21" spans="1:8" x14ac:dyDescent="0.25">
      <c r="A21" s="134" t="s">
        <v>240</v>
      </c>
      <c r="B21" s="156" t="s">
        <v>243</v>
      </c>
    </row>
    <row r="22" spans="1:8" x14ac:dyDescent="0.25">
      <c r="A22" s="180" t="s">
        <v>242</v>
      </c>
      <c r="B22" s="181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25">
      <c r="A23" s="48" t="s">
        <v>236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№1904 от 03 июня 2026г (НРС С-50-069023)</v>
      </c>
    </row>
    <row r="24" spans="1:8" x14ac:dyDescent="0.25">
      <c r="A24" s="48" t="s">
        <v>325</v>
      </c>
      <c r="B24" s="51" t="str">
        <f>'Данные организации'!F2</f>
        <v>ОГРН 1057746555811 ИНН 5036065113 КПП 772501001</v>
      </c>
    </row>
    <row r="25" spans="1:8" x14ac:dyDescent="0.25">
      <c r="A25" s="48" t="s">
        <v>233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25">
      <c r="A26" s="48" t="s">
        <v>238</v>
      </c>
      <c r="B26" s="49" t="s">
        <v>305</v>
      </c>
    </row>
    <row r="27" spans="1:8" x14ac:dyDescent="0.25">
      <c r="A27" s="48" t="s">
        <v>240</v>
      </c>
      <c r="B27" s="49" t="s">
        <v>346</v>
      </c>
    </row>
    <row r="28" spans="1:8" x14ac:dyDescent="0.25">
      <c r="A28" s="48" t="s">
        <v>326</v>
      </c>
      <c r="B28" s="49" t="s">
        <v>345</v>
      </c>
    </row>
    <row r="29" spans="1:8" x14ac:dyDescent="0.25">
      <c r="A29" s="52"/>
      <c r="B29" s="53"/>
    </row>
    <row r="30" spans="1:8" x14ac:dyDescent="0.25">
      <c r="A30" s="174" t="s">
        <v>244</v>
      </c>
      <c r="B30" s="175"/>
    </row>
    <row r="31" spans="1:8" x14ac:dyDescent="0.25">
      <c r="A31" s="46" t="s">
        <v>236</v>
      </c>
      <c r="B31" s="153" t="s">
        <v>237</v>
      </c>
    </row>
    <row r="32" spans="1:8" x14ac:dyDescent="0.25">
      <c r="A32" s="46" t="s">
        <v>232</v>
      </c>
      <c r="B32" s="54" t="s">
        <v>245</v>
      </c>
    </row>
    <row r="33" spans="1:2" x14ac:dyDescent="0.25">
      <c r="A33" s="46" t="s">
        <v>331</v>
      </c>
      <c r="B33" s="55" t="s">
        <v>341</v>
      </c>
    </row>
    <row r="34" spans="1:2" ht="120" x14ac:dyDescent="0.25">
      <c r="A34" s="46" t="s">
        <v>246</v>
      </c>
      <c r="B34" s="166" t="str">
        <f>B1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</row>
    <row r="36" spans="1:2" x14ac:dyDescent="0.25">
      <c r="A36" s="131" t="s">
        <v>32</v>
      </c>
      <c r="B36" s="132" t="s">
        <v>266</v>
      </c>
    </row>
    <row r="37" spans="1:2" x14ac:dyDescent="0.25">
      <c r="A37" s="131" t="s">
        <v>277</v>
      </c>
      <c r="B37" s="132">
        <v>1</v>
      </c>
    </row>
    <row r="38" spans="1:2" x14ac:dyDescent="0.25">
      <c r="A38" s="131" t="s">
        <v>339</v>
      </c>
      <c r="B38" s="132" t="s">
        <v>342</v>
      </c>
    </row>
    <row r="39" spans="1:2" x14ac:dyDescent="0.25">
      <c r="A39" s="131" t="s">
        <v>338</v>
      </c>
      <c r="B39" s="132">
        <v>150</v>
      </c>
    </row>
    <row r="40" spans="1:2" x14ac:dyDescent="0.25">
      <c r="A40" s="131" t="s">
        <v>337</v>
      </c>
      <c r="B40" s="132">
        <v>6</v>
      </c>
    </row>
    <row r="41" spans="1:2" x14ac:dyDescent="0.25">
      <c r="A41" s="131" t="s">
        <v>336</v>
      </c>
      <c r="B41" s="132" t="s">
        <v>340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31" zoomScale="90" zoomScaleNormal="125" zoomScaleSheetLayoutView="90" workbookViewId="0">
      <selection activeCell="A4" sqref="A4:AJ4"/>
    </sheetView>
  </sheetViews>
  <sheetFormatPr defaultColWidth="9.140625" defaultRowHeight="15" x14ac:dyDescent="0.25"/>
  <cols>
    <col min="1" max="31" width="2.42578125" style="34" customWidth="1"/>
    <col min="32" max="32" width="2.5703125" style="34" customWidth="1"/>
    <col min="33" max="51" width="2.42578125" style="34" customWidth="1"/>
    <col min="52" max="256" width="9.140625" style="34"/>
    <col min="257" max="287" width="2.42578125" style="34" customWidth="1"/>
    <col min="288" max="288" width="2.5703125" style="34" customWidth="1"/>
    <col min="289" max="307" width="2.42578125" style="34" customWidth="1"/>
    <col min="308" max="512" width="9.140625" style="34"/>
    <col min="513" max="543" width="2.42578125" style="34" customWidth="1"/>
    <col min="544" max="544" width="2.5703125" style="34" customWidth="1"/>
    <col min="545" max="563" width="2.42578125" style="34" customWidth="1"/>
    <col min="564" max="768" width="9.140625" style="34"/>
    <col min="769" max="799" width="2.42578125" style="34" customWidth="1"/>
    <col min="800" max="800" width="2.5703125" style="34" customWidth="1"/>
    <col min="801" max="819" width="2.42578125" style="34" customWidth="1"/>
    <col min="820" max="1024" width="9.140625" style="34"/>
    <col min="1025" max="1055" width="2.42578125" style="34" customWidth="1"/>
    <col min="1056" max="1056" width="2.5703125" style="34" customWidth="1"/>
    <col min="1057" max="1075" width="2.42578125" style="34" customWidth="1"/>
    <col min="1076" max="1280" width="9.140625" style="34"/>
    <col min="1281" max="1311" width="2.42578125" style="34" customWidth="1"/>
    <col min="1312" max="1312" width="2.5703125" style="34" customWidth="1"/>
    <col min="1313" max="1331" width="2.42578125" style="34" customWidth="1"/>
    <col min="1332" max="1536" width="9.140625" style="34"/>
    <col min="1537" max="1567" width="2.42578125" style="34" customWidth="1"/>
    <col min="1568" max="1568" width="2.5703125" style="34" customWidth="1"/>
    <col min="1569" max="1587" width="2.42578125" style="34" customWidth="1"/>
    <col min="1588" max="1792" width="9.140625" style="34"/>
    <col min="1793" max="1823" width="2.42578125" style="34" customWidth="1"/>
    <col min="1824" max="1824" width="2.5703125" style="34" customWidth="1"/>
    <col min="1825" max="1843" width="2.42578125" style="34" customWidth="1"/>
    <col min="1844" max="2048" width="9.140625" style="34"/>
    <col min="2049" max="2079" width="2.42578125" style="34" customWidth="1"/>
    <col min="2080" max="2080" width="2.5703125" style="34" customWidth="1"/>
    <col min="2081" max="2099" width="2.42578125" style="34" customWidth="1"/>
    <col min="2100" max="2304" width="9.140625" style="34"/>
    <col min="2305" max="2335" width="2.42578125" style="34" customWidth="1"/>
    <col min="2336" max="2336" width="2.5703125" style="34" customWidth="1"/>
    <col min="2337" max="2355" width="2.42578125" style="34" customWidth="1"/>
    <col min="2356" max="2560" width="9.140625" style="34"/>
    <col min="2561" max="2591" width="2.42578125" style="34" customWidth="1"/>
    <col min="2592" max="2592" width="2.5703125" style="34" customWidth="1"/>
    <col min="2593" max="2611" width="2.42578125" style="34" customWidth="1"/>
    <col min="2612" max="2816" width="9.140625" style="34"/>
    <col min="2817" max="2847" width="2.42578125" style="34" customWidth="1"/>
    <col min="2848" max="2848" width="2.5703125" style="34" customWidth="1"/>
    <col min="2849" max="2867" width="2.42578125" style="34" customWidth="1"/>
    <col min="2868" max="3072" width="9.140625" style="34"/>
    <col min="3073" max="3103" width="2.42578125" style="34" customWidth="1"/>
    <col min="3104" max="3104" width="2.5703125" style="34" customWidth="1"/>
    <col min="3105" max="3123" width="2.42578125" style="34" customWidth="1"/>
    <col min="3124" max="3328" width="9.140625" style="34"/>
    <col min="3329" max="3359" width="2.42578125" style="34" customWidth="1"/>
    <col min="3360" max="3360" width="2.5703125" style="34" customWidth="1"/>
    <col min="3361" max="3379" width="2.42578125" style="34" customWidth="1"/>
    <col min="3380" max="3584" width="9.140625" style="34"/>
    <col min="3585" max="3615" width="2.42578125" style="34" customWidth="1"/>
    <col min="3616" max="3616" width="2.5703125" style="34" customWidth="1"/>
    <col min="3617" max="3635" width="2.42578125" style="34" customWidth="1"/>
    <col min="3636" max="3840" width="9.140625" style="34"/>
    <col min="3841" max="3871" width="2.42578125" style="34" customWidth="1"/>
    <col min="3872" max="3872" width="2.5703125" style="34" customWidth="1"/>
    <col min="3873" max="3891" width="2.42578125" style="34" customWidth="1"/>
    <col min="3892" max="4096" width="9.140625" style="34"/>
    <col min="4097" max="4127" width="2.42578125" style="34" customWidth="1"/>
    <col min="4128" max="4128" width="2.5703125" style="34" customWidth="1"/>
    <col min="4129" max="4147" width="2.42578125" style="34" customWidth="1"/>
    <col min="4148" max="4352" width="9.140625" style="34"/>
    <col min="4353" max="4383" width="2.42578125" style="34" customWidth="1"/>
    <col min="4384" max="4384" width="2.5703125" style="34" customWidth="1"/>
    <col min="4385" max="4403" width="2.42578125" style="34" customWidth="1"/>
    <col min="4404" max="4608" width="9.140625" style="34"/>
    <col min="4609" max="4639" width="2.42578125" style="34" customWidth="1"/>
    <col min="4640" max="4640" width="2.5703125" style="34" customWidth="1"/>
    <col min="4641" max="4659" width="2.42578125" style="34" customWidth="1"/>
    <col min="4660" max="4864" width="9.140625" style="34"/>
    <col min="4865" max="4895" width="2.42578125" style="34" customWidth="1"/>
    <col min="4896" max="4896" width="2.5703125" style="34" customWidth="1"/>
    <col min="4897" max="4915" width="2.42578125" style="34" customWidth="1"/>
    <col min="4916" max="5120" width="9.140625" style="34"/>
    <col min="5121" max="5151" width="2.42578125" style="34" customWidth="1"/>
    <col min="5152" max="5152" width="2.5703125" style="34" customWidth="1"/>
    <col min="5153" max="5171" width="2.42578125" style="34" customWidth="1"/>
    <col min="5172" max="5376" width="9.140625" style="34"/>
    <col min="5377" max="5407" width="2.42578125" style="34" customWidth="1"/>
    <col min="5408" max="5408" width="2.5703125" style="34" customWidth="1"/>
    <col min="5409" max="5427" width="2.42578125" style="34" customWidth="1"/>
    <col min="5428" max="5632" width="9.140625" style="34"/>
    <col min="5633" max="5663" width="2.42578125" style="34" customWidth="1"/>
    <col min="5664" max="5664" width="2.5703125" style="34" customWidth="1"/>
    <col min="5665" max="5683" width="2.42578125" style="34" customWidth="1"/>
    <col min="5684" max="5888" width="9.140625" style="34"/>
    <col min="5889" max="5919" width="2.42578125" style="34" customWidth="1"/>
    <col min="5920" max="5920" width="2.5703125" style="34" customWidth="1"/>
    <col min="5921" max="5939" width="2.42578125" style="34" customWidth="1"/>
    <col min="5940" max="6144" width="9.140625" style="34"/>
    <col min="6145" max="6175" width="2.42578125" style="34" customWidth="1"/>
    <col min="6176" max="6176" width="2.5703125" style="34" customWidth="1"/>
    <col min="6177" max="6195" width="2.42578125" style="34" customWidth="1"/>
    <col min="6196" max="6400" width="9.140625" style="34"/>
    <col min="6401" max="6431" width="2.42578125" style="34" customWidth="1"/>
    <col min="6432" max="6432" width="2.5703125" style="34" customWidth="1"/>
    <col min="6433" max="6451" width="2.42578125" style="34" customWidth="1"/>
    <col min="6452" max="6656" width="9.140625" style="34"/>
    <col min="6657" max="6687" width="2.42578125" style="34" customWidth="1"/>
    <col min="6688" max="6688" width="2.5703125" style="34" customWidth="1"/>
    <col min="6689" max="6707" width="2.42578125" style="34" customWidth="1"/>
    <col min="6708" max="6912" width="9.140625" style="34"/>
    <col min="6913" max="6943" width="2.42578125" style="34" customWidth="1"/>
    <col min="6944" max="6944" width="2.5703125" style="34" customWidth="1"/>
    <col min="6945" max="6963" width="2.42578125" style="34" customWidth="1"/>
    <col min="6964" max="7168" width="9.140625" style="34"/>
    <col min="7169" max="7199" width="2.42578125" style="34" customWidth="1"/>
    <col min="7200" max="7200" width="2.5703125" style="34" customWidth="1"/>
    <col min="7201" max="7219" width="2.42578125" style="34" customWidth="1"/>
    <col min="7220" max="7424" width="9.140625" style="34"/>
    <col min="7425" max="7455" width="2.42578125" style="34" customWidth="1"/>
    <col min="7456" max="7456" width="2.5703125" style="34" customWidth="1"/>
    <col min="7457" max="7475" width="2.42578125" style="34" customWidth="1"/>
    <col min="7476" max="7680" width="9.140625" style="34"/>
    <col min="7681" max="7711" width="2.42578125" style="34" customWidth="1"/>
    <col min="7712" max="7712" width="2.5703125" style="34" customWidth="1"/>
    <col min="7713" max="7731" width="2.42578125" style="34" customWidth="1"/>
    <col min="7732" max="7936" width="9.140625" style="34"/>
    <col min="7937" max="7967" width="2.42578125" style="34" customWidth="1"/>
    <col min="7968" max="7968" width="2.5703125" style="34" customWidth="1"/>
    <col min="7969" max="7987" width="2.42578125" style="34" customWidth="1"/>
    <col min="7988" max="8192" width="9.140625" style="34"/>
    <col min="8193" max="8223" width="2.42578125" style="34" customWidth="1"/>
    <col min="8224" max="8224" width="2.5703125" style="34" customWidth="1"/>
    <col min="8225" max="8243" width="2.42578125" style="34" customWidth="1"/>
    <col min="8244" max="8448" width="9.140625" style="34"/>
    <col min="8449" max="8479" width="2.42578125" style="34" customWidth="1"/>
    <col min="8480" max="8480" width="2.5703125" style="34" customWidth="1"/>
    <col min="8481" max="8499" width="2.42578125" style="34" customWidth="1"/>
    <col min="8500" max="8704" width="9.140625" style="34"/>
    <col min="8705" max="8735" width="2.42578125" style="34" customWidth="1"/>
    <col min="8736" max="8736" width="2.5703125" style="34" customWidth="1"/>
    <col min="8737" max="8755" width="2.42578125" style="34" customWidth="1"/>
    <col min="8756" max="8960" width="9.140625" style="34"/>
    <col min="8961" max="8991" width="2.42578125" style="34" customWidth="1"/>
    <col min="8992" max="8992" width="2.5703125" style="34" customWidth="1"/>
    <col min="8993" max="9011" width="2.42578125" style="34" customWidth="1"/>
    <col min="9012" max="9216" width="9.140625" style="34"/>
    <col min="9217" max="9247" width="2.42578125" style="34" customWidth="1"/>
    <col min="9248" max="9248" width="2.5703125" style="34" customWidth="1"/>
    <col min="9249" max="9267" width="2.42578125" style="34" customWidth="1"/>
    <col min="9268" max="9472" width="9.140625" style="34"/>
    <col min="9473" max="9503" width="2.42578125" style="34" customWidth="1"/>
    <col min="9504" max="9504" width="2.5703125" style="34" customWidth="1"/>
    <col min="9505" max="9523" width="2.42578125" style="34" customWidth="1"/>
    <col min="9524" max="9728" width="9.140625" style="34"/>
    <col min="9729" max="9759" width="2.42578125" style="34" customWidth="1"/>
    <col min="9760" max="9760" width="2.5703125" style="34" customWidth="1"/>
    <col min="9761" max="9779" width="2.42578125" style="34" customWidth="1"/>
    <col min="9780" max="9984" width="9.140625" style="34"/>
    <col min="9985" max="10015" width="2.42578125" style="34" customWidth="1"/>
    <col min="10016" max="10016" width="2.5703125" style="34" customWidth="1"/>
    <col min="10017" max="10035" width="2.42578125" style="34" customWidth="1"/>
    <col min="10036" max="10240" width="9.140625" style="34"/>
    <col min="10241" max="10271" width="2.42578125" style="34" customWidth="1"/>
    <col min="10272" max="10272" width="2.5703125" style="34" customWidth="1"/>
    <col min="10273" max="10291" width="2.42578125" style="34" customWidth="1"/>
    <col min="10292" max="10496" width="9.140625" style="34"/>
    <col min="10497" max="10527" width="2.42578125" style="34" customWidth="1"/>
    <col min="10528" max="10528" width="2.5703125" style="34" customWidth="1"/>
    <col min="10529" max="10547" width="2.42578125" style="34" customWidth="1"/>
    <col min="10548" max="10752" width="9.140625" style="34"/>
    <col min="10753" max="10783" width="2.42578125" style="34" customWidth="1"/>
    <col min="10784" max="10784" width="2.5703125" style="34" customWidth="1"/>
    <col min="10785" max="10803" width="2.42578125" style="34" customWidth="1"/>
    <col min="10804" max="11008" width="9.140625" style="34"/>
    <col min="11009" max="11039" width="2.42578125" style="34" customWidth="1"/>
    <col min="11040" max="11040" width="2.5703125" style="34" customWidth="1"/>
    <col min="11041" max="11059" width="2.42578125" style="34" customWidth="1"/>
    <col min="11060" max="11264" width="9.140625" style="34"/>
    <col min="11265" max="11295" width="2.42578125" style="34" customWidth="1"/>
    <col min="11296" max="11296" width="2.5703125" style="34" customWidth="1"/>
    <col min="11297" max="11315" width="2.42578125" style="34" customWidth="1"/>
    <col min="11316" max="11520" width="9.140625" style="34"/>
    <col min="11521" max="11551" width="2.42578125" style="34" customWidth="1"/>
    <col min="11552" max="11552" width="2.5703125" style="34" customWidth="1"/>
    <col min="11553" max="11571" width="2.42578125" style="34" customWidth="1"/>
    <col min="11572" max="11776" width="9.140625" style="34"/>
    <col min="11777" max="11807" width="2.42578125" style="34" customWidth="1"/>
    <col min="11808" max="11808" width="2.5703125" style="34" customWidth="1"/>
    <col min="11809" max="11827" width="2.42578125" style="34" customWidth="1"/>
    <col min="11828" max="12032" width="9.140625" style="34"/>
    <col min="12033" max="12063" width="2.42578125" style="34" customWidth="1"/>
    <col min="12064" max="12064" width="2.5703125" style="34" customWidth="1"/>
    <col min="12065" max="12083" width="2.42578125" style="34" customWidth="1"/>
    <col min="12084" max="12288" width="9.140625" style="34"/>
    <col min="12289" max="12319" width="2.42578125" style="34" customWidth="1"/>
    <col min="12320" max="12320" width="2.5703125" style="34" customWidth="1"/>
    <col min="12321" max="12339" width="2.42578125" style="34" customWidth="1"/>
    <col min="12340" max="12544" width="9.140625" style="34"/>
    <col min="12545" max="12575" width="2.42578125" style="34" customWidth="1"/>
    <col min="12576" max="12576" width="2.5703125" style="34" customWidth="1"/>
    <col min="12577" max="12595" width="2.42578125" style="34" customWidth="1"/>
    <col min="12596" max="12800" width="9.140625" style="34"/>
    <col min="12801" max="12831" width="2.42578125" style="34" customWidth="1"/>
    <col min="12832" max="12832" width="2.5703125" style="34" customWidth="1"/>
    <col min="12833" max="12851" width="2.42578125" style="34" customWidth="1"/>
    <col min="12852" max="13056" width="9.140625" style="34"/>
    <col min="13057" max="13087" width="2.42578125" style="34" customWidth="1"/>
    <col min="13088" max="13088" width="2.5703125" style="34" customWidth="1"/>
    <col min="13089" max="13107" width="2.42578125" style="34" customWidth="1"/>
    <col min="13108" max="13312" width="9.140625" style="34"/>
    <col min="13313" max="13343" width="2.42578125" style="34" customWidth="1"/>
    <col min="13344" max="13344" width="2.5703125" style="34" customWidth="1"/>
    <col min="13345" max="13363" width="2.42578125" style="34" customWidth="1"/>
    <col min="13364" max="13568" width="9.140625" style="34"/>
    <col min="13569" max="13599" width="2.42578125" style="34" customWidth="1"/>
    <col min="13600" max="13600" width="2.5703125" style="34" customWidth="1"/>
    <col min="13601" max="13619" width="2.42578125" style="34" customWidth="1"/>
    <col min="13620" max="13824" width="9.140625" style="34"/>
    <col min="13825" max="13855" width="2.42578125" style="34" customWidth="1"/>
    <col min="13856" max="13856" width="2.5703125" style="34" customWidth="1"/>
    <col min="13857" max="13875" width="2.42578125" style="34" customWidth="1"/>
    <col min="13876" max="14080" width="9.140625" style="34"/>
    <col min="14081" max="14111" width="2.42578125" style="34" customWidth="1"/>
    <col min="14112" max="14112" width="2.5703125" style="34" customWidth="1"/>
    <col min="14113" max="14131" width="2.42578125" style="34" customWidth="1"/>
    <col min="14132" max="14336" width="9.140625" style="34"/>
    <col min="14337" max="14367" width="2.42578125" style="34" customWidth="1"/>
    <col min="14368" max="14368" width="2.5703125" style="34" customWidth="1"/>
    <col min="14369" max="14387" width="2.42578125" style="34" customWidth="1"/>
    <col min="14388" max="14592" width="9.140625" style="34"/>
    <col min="14593" max="14623" width="2.42578125" style="34" customWidth="1"/>
    <col min="14624" max="14624" width="2.5703125" style="34" customWidth="1"/>
    <col min="14625" max="14643" width="2.42578125" style="34" customWidth="1"/>
    <col min="14644" max="14848" width="9.140625" style="34"/>
    <col min="14849" max="14879" width="2.42578125" style="34" customWidth="1"/>
    <col min="14880" max="14880" width="2.5703125" style="34" customWidth="1"/>
    <col min="14881" max="14899" width="2.42578125" style="34" customWidth="1"/>
    <col min="14900" max="15104" width="9.140625" style="34"/>
    <col min="15105" max="15135" width="2.42578125" style="34" customWidth="1"/>
    <col min="15136" max="15136" width="2.5703125" style="34" customWidth="1"/>
    <col min="15137" max="15155" width="2.42578125" style="34" customWidth="1"/>
    <col min="15156" max="15360" width="9.140625" style="34"/>
    <col min="15361" max="15391" width="2.42578125" style="34" customWidth="1"/>
    <col min="15392" max="15392" width="2.5703125" style="34" customWidth="1"/>
    <col min="15393" max="15411" width="2.42578125" style="34" customWidth="1"/>
    <col min="15412" max="15616" width="9.140625" style="34"/>
    <col min="15617" max="15647" width="2.42578125" style="34" customWidth="1"/>
    <col min="15648" max="15648" width="2.5703125" style="34" customWidth="1"/>
    <col min="15649" max="15667" width="2.42578125" style="34" customWidth="1"/>
    <col min="15668" max="15872" width="9.140625" style="34"/>
    <col min="15873" max="15903" width="2.42578125" style="34" customWidth="1"/>
    <col min="15904" max="15904" width="2.5703125" style="34" customWidth="1"/>
    <col min="15905" max="15923" width="2.42578125" style="34" customWidth="1"/>
    <col min="15924" max="16128" width="9.140625" style="34"/>
    <col min="16129" max="16159" width="2.42578125" style="34" customWidth="1"/>
    <col min="16160" max="16160" width="2.5703125" style="34" customWidth="1"/>
    <col min="16161" max="16179" width="2.42578125" style="34" customWidth="1"/>
    <col min="16180" max="16384" width="9.14062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55.5" customHeight="1" x14ac:dyDescent="0.2">
      <c r="A4" s="211" t="str">
        <f>'Данные '!B1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</row>
    <row r="5" spans="1:43" s="30" customFormat="1" ht="12" customHeight="1" x14ac:dyDescent="0.2">
      <c r="A5" s="209" t="str">
        <f>'Данные '!B36</f>
        <v>ГНБ №1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</row>
    <row r="6" spans="1:43" s="33" customFormat="1" ht="18.75" customHeight="1" x14ac:dyDescent="0.15">
      <c r="A6" s="185" t="s">
        <v>146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</row>
    <row r="7" spans="1:43" s="30" customFormat="1" ht="12.75" customHeight="1" x14ac:dyDescent="0.2">
      <c r="A7" s="210" t="s">
        <v>147</v>
      </c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</row>
    <row r="8" spans="1:43" s="30" customFormat="1" ht="12" customHeight="1" x14ac:dyDescent="0.2">
      <c r="A8" s="209" t="str">
        <f>'Данные '!B23</f>
        <v>ПАО "Россети Московский регион"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</row>
    <row r="9" spans="1:43" s="33" customFormat="1" ht="19.5" customHeight="1" x14ac:dyDescent="0.15">
      <c r="A9" s="185" t="s">
        <v>148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</row>
    <row r="10" spans="1:43" s="30" customFormat="1" ht="12" customHeight="1" x14ac:dyDescent="0.2">
      <c r="A10" s="209" t="str">
        <f>'Данные '!B24</f>
        <v>ОГРН 1057746555811 ИНН 5036065113 КПП 772501001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</row>
    <row r="11" spans="1:43" s="33" customFormat="1" ht="28.5" customHeight="1" x14ac:dyDescent="0.15">
      <c r="A11" s="185" t="s">
        <v>149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</row>
    <row r="12" spans="1:43" s="30" customFormat="1" ht="12" customHeight="1" x14ac:dyDescent="0.2">
      <c r="A12" s="209" t="str">
        <f>'Данные '!B25</f>
        <v>115114, город Москва, проезд Павелецкий 2-й, дом 3, строение 2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</row>
    <row r="13" spans="1:43" s="33" customFormat="1" ht="11.25" customHeight="1" x14ac:dyDescent="0.15">
      <c r="A13" s="185" t="s">
        <v>150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209" t="str">
        <f>'Данные '!B7</f>
        <v>ООО "Энергосистемы"</v>
      </c>
      <c r="B15" s="209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</row>
    <row r="16" spans="1:43" s="33" customFormat="1" ht="9.75" customHeight="1" x14ac:dyDescent="0.15">
      <c r="A16" s="185" t="s">
        <v>152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</row>
    <row r="17" spans="1:36" s="30" customFormat="1" ht="12" customHeight="1" x14ac:dyDescent="0.2">
      <c r="A17" s="209" t="str">
        <f>'Данные '!B8</f>
        <v>ОГРН 1135044003709  ИНН 5044089069 КПП 504401001</v>
      </c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</row>
    <row r="18" spans="1:36" s="33" customFormat="1" ht="8.25" customHeight="1" x14ac:dyDescent="0.15">
      <c r="A18" s="185" t="s">
        <v>153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</row>
    <row r="19" spans="1:36" s="30" customFormat="1" ht="12" customHeight="1" x14ac:dyDescent="0.2">
      <c r="A19" s="209" t="str">
        <f>'Данные '!B9</f>
        <v>141508, Московская область, г.о. Солнечногорск, г. Солнечногорск, ул. Промышленная, стр. 5, помещение 179</v>
      </c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</row>
    <row r="20" spans="1:36" s="33" customFormat="1" ht="27" customHeight="1" x14ac:dyDescent="0.15">
      <c r="A20" s="185" t="s">
        <v>154</v>
      </c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209" t="str">
        <f>'Данные '!B7</f>
        <v>ООО "Энергосистемы"</v>
      </c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</row>
    <row r="23" spans="1:36" s="33" customFormat="1" ht="7.5" customHeight="1" x14ac:dyDescent="0.15">
      <c r="A23" s="192" t="s">
        <v>152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</row>
    <row r="24" spans="1:36" s="30" customFormat="1" ht="12" customHeight="1" x14ac:dyDescent="0.2">
      <c r="A24" s="204" t="str">
        <f>'Данные '!B8</f>
        <v>ОГРН 1135044003709  ИНН 5044089069 КПП 504401001</v>
      </c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</row>
    <row r="25" spans="1:36" s="33" customFormat="1" ht="7.5" customHeight="1" x14ac:dyDescent="0.15">
      <c r="A25" s="192" t="s">
        <v>156</v>
      </c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</row>
    <row r="26" spans="1:36" s="30" customFormat="1" ht="12" customHeight="1" x14ac:dyDescent="0.2">
      <c r="A26" s="204" t="str">
        <f>'Данные '!B9</f>
        <v>141508, Московская область, г.о. Солнечногорск, г. Солнечногорск, ул. Промышленная, стр. 5, помещение 179</v>
      </c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</row>
    <row r="27" spans="1:36" s="33" customFormat="1" ht="22.5" customHeight="1" x14ac:dyDescent="0.15">
      <c r="A27" s="192" t="s">
        <v>157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5" customHeight="1" x14ac:dyDescent="0.2">
      <c r="A29" s="206" t="s">
        <v>158</v>
      </c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</row>
    <row r="30" spans="1:36" s="30" customFormat="1" ht="12.95" customHeight="1" x14ac:dyDescent="0.2">
      <c r="A30" s="207" t="s">
        <v>159</v>
      </c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5" customHeight="1" x14ac:dyDescent="0.25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187">
        <f>'Данные '!B37</f>
        <v>1</v>
      </c>
      <c r="N32" s="187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208" t="str">
        <f>M76</f>
        <v>25.08.2025</v>
      </c>
      <c r="AA32" s="208"/>
      <c r="AB32" s="208"/>
      <c r="AC32" s="208"/>
      <c r="AD32" s="208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205" t="s">
        <v>161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</row>
    <row r="36" spans="1:52" s="30" customFormat="1" ht="14.25" customHeight="1" x14ac:dyDescent="0.2">
      <c r="A36" s="188" t="str">
        <f>'Данные '!H23</f>
        <v>Гл. специалист ССК УКС Алексанян Г.Р. Приказ №1904 от 03 июня 2026г (НРС С-50-069023)</v>
      </c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</row>
    <row r="37" spans="1:52" s="33" customFormat="1" ht="28.5" customHeight="1" x14ac:dyDescent="0.15">
      <c r="A37" s="192" t="s">
        <v>162</v>
      </c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</row>
    <row r="38" spans="1:52" s="30" customFormat="1" ht="21.75" customHeight="1" x14ac:dyDescent="0.2">
      <c r="A38" s="188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</row>
    <row r="39" spans="1:52" s="33" customFormat="1" ht="25.5" customHeight="1" x14ac:dyDescent="0.2">
      <c r="A39" s="203" t="s">
        <v>163</v>
      </c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204" t="str">
        <f>'Данные '!H10</f>
        <v>Прораб ООО "Энергосистемы" Волков М.Ю., Приказ №05-ОТ/24 от 09 января 2024г</v>
      </c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</row>
    <row r="42" spans="1:52" s="33" customFormat="1" ht="9" customHeight="1" x14ac:dyDescent="0.15">
      <c r="A42" s="192" t="s">
        <v>165</v>
      </c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</row>
    <row r="43" spans="1:52" s="30" customFormat="1" ht="17.25" customHeight="1" x14ac:dyDescent="0.2">
      <c r="A43" s="205" t="s">
        <v>166</v>
      </c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</row>
    <row r="44" spans="1:52" s="35" customFormat="1" ht="23.25" customHeight="1" x14ac:dyDescent="0.25">
      <c r="A44" s="188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</row>
    <row r="45" spans="1:52" s="33" customFormat="1" ht="30" customHeight="1" x14ac:dyDescent="0.15">
      <c r="A45" s="192" t="s">
        <v>167</v>
      </c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</row>
    <row r="46" spans="1:52" s="30" customFormat="1" ht="35.25" customHeight="1" x14ac:dyDescent="0.2">
      <c r="A46" s="202" t="s">
        <v>168</v>
      </c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</row>
    <row r="47" spans="1:52" s="35" customFormat="1" ht="12.95" customHeight="1" x14ac:dyDescent="0.25">
      <c r="A47" s="204" t="s">
        <v>197</v>
      </c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</row>
    <row r="48" spans="1:52" s="33" customFormat="1" ht="29.25" customHeight="1" x14ac:dyDescent="0.15">
      <c r="A48" s="192" t="s">
        <v>169</v>
      </c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</row>
    <row r="49" spans="1:36" s="30" customFormat="1" ht="25.5" customHeight="1" x14ac:dyDescent="0.2">
      <c r="A49" s="202" t="s">
        <v>170</v>
      </c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</row>
    <row r="50" spans="1:36" s="30" customFormat="1" ht="12" customHeight="1" x14ac:dyDescent="0.2">
      <c r="A50" s="188" t="str">
        <f>CONCATENATE('Данные '!B18, " ",'Данные '!B17," ",'Данные '!B19)</f>
        <v>Гл.инженер ООО «КСС Регион» Сигарев А.А.</v>
      </c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</row>
    <row r="51" spans="1:36" s="33" customFormat="1" ht="9.75" customHeight="1" x14ac:dyDescent="0.15">
      <c r="A51" s="192" t="s">
        <v>171</v>
      </c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</row>
    <row r="52" spans="1:36" s="30" customFormat="1" ht="12" customHeight="1" x14ac:dyDescent="0.2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</row>
    <row r="53" spans="1:36" s="33" customFormat="1" ht="16.5" customHeight="1" x14ac:dyDescent="0.15">
      <c r="A53" s="192" t="s">
        <v>172</v>
      </c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5" customHeight="1" x14ac:dyDescent="0.2">
      <c r="A55" s="194" t="str">
        <f>'Данные '!B17</f>
        <v>ООО «КСС Регион»</v>
      </c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</row>
    <row r="56" spans="1:36" s="33" customFormat="1" ht="10.5" customHeight="1" x14ac:dyDescent="0.15">
      <c r="A56" s="196" t="s">
        <v>174</v>
      </c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1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88">
        <f>M32</f>
        <v>1</v>
      </c>
      <c r="N59" s="188"/>
      <c r="O59" s="188"/>
      <c r="P59" s="111" t="s">
        <v>207</v>
      </c>
      <c r="Q59" s="112"/>
      <c r="R59" s="112"/>
      <c r="S59" s="112"/>
      <c r="T59" s="112"/>
      <c r="U59" s="189" t="s">
        <v>208</v>
      </c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</row>
    <row r="60" spans="1:36" s="33" customFormat="1" ht="8.25" customHeight="1" x14ac:dyDescent="0.15">
      <c r="A60" s="192" t="s">
        <v>177</v>
      </c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88" t="str">
        <f>'Данные '!B33</f>
        <v>4741-259941-257-12/23</v>
      </c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</row>
    <row r="63" spans="1:36" s="33" customFormat="1" ht="15" customHeight="1" x14ac:dyDescent="0.15">
      <c r="A63" s="192" t="s">
        <v>179</v>
      </c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</row>
    <row r="64" spans="1:36" s="30" customFormat="1" ht="12" customHeight="1" x14ac:dyDescent="0.2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201" t="s">
        <v>210</v>
      </c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</row>
    <row r="67" spans="1:36" s="30" customFormat="1" ht="12" customHeight="1" x14ac:dyDescent="0.2">
      <c r="A67" s="116" t="s">
        <v>264</v>
      </c>
      <c r="B67" s="116" t="s">
        <v>344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261</v>
      </c>
      <c r="M67" s="116"/>
      <c r="N67" s="197" t="str">
        <f>'Данные '!B38</f>
        <v>3х150</v>
      </c>
      <c r="O67" s="197"/>
      <c r="P67" s="197"/>
      <c r="Q67" s="197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2" t="s">
        <v>209</v>
      </c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">
      <c r="A70" s="101" t="s">
        <v>182</v>
      </c>
      <c r="B70" s="101"/>
      <c r="C70" s="101"/>
      <c r="D70" s="101"/>
      <c r="E70" s="101"/>
      <c r="F70" s="101"/>
      <c r="G70" s="190" t="s">
        <v>211</v>
      </c>
      <c r="H70" s="190"/>
      <c r="I70" s="190"/>
      <c r="J70" s="190"/>
      <c r="K70" s="190"/>
      <c r="L70" s="190"/>
      <c r="M70" s="190"/>
      <c r="N70" s="190"/>
      <c r="O70" s="190"/>
      <c r="P70" s="194">
        <f>'Данные '!B37</f>
        <v>1</v>
      </c>
      <c r="Q70" s="194"/>
      <c r="R70" s="194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198"/>
      <c r="B71" s="198"/>
      <c r="C71" s="117"/>
      <c r="D71" s="117"/>
      <c r="E71" s="117"/>
      <c r="F71" s="117"/>
      <c r="G71" s="193" t="s">
        <v>183</v>
      </c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</row>
    <row r="72" spans="1:36" s="30" customFormat="1" ht="12" customHeight="1" x14ac:dyDescent="0.2">
      <c r="A72" s="190" t="s">
        <v>225</v>
      </c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0"/>
    </row>
    <row r="73" spans="1:36" s="33" customFormat="1" ht="7.5" customHeight="1" x14ac:dyDescent="0.15">
      <c r="A73" s="192" t="s">
        <v>184</v>
      </c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25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00" t="str">
        <f>'Данные '!B4</f>
        <v>25.08.2025</v>
      </c>
      <c r="N75" s="200"/>
      <c r="O75" s="200"/>
      <c r="P75" s="200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25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199" t="str">
        <f>'Данные '!B4</f>
        <v>25.08.2025</v>
      </c>
      <c r="N76" s="199"/>
      <c r="O76" s="199"/>
      <c r="P76" s="199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25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">
      <c r="A79" s="190" t="s">
        <v>258</v>
      </c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  <c r="AF79" s="190"/>
      <c r="AG79" s="190"/>
      <c r="AH79" s="190"/>
      <c r="AI79" s="190"/>
      <c r="AJ79" s="190"/>
    </row>
    <row r="80" spans="1:36" s="33" customFormat="1" ht="8.25" customHeight="1" x14ac:dyDescent="0.15">
      <c r="A80" s="192" t="s">
        <v>188</v>
      </c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</row>
    <row r="81" spans="1:36" s="30" customFormat="1" ht="12" customHeight="1" x14ac:dyDescent="0.2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</row>
    <row r="82" spans="1:36" s="33" customFormat="1" ht="8.25" customHeight="1" x14ac:dyDescent="0.15">
      <c r="A82" s="192" t="s">
        <v>189</v>
      </c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</row>
    <row r="85" spans="1:36" s="33" customFormat="1" ht="9" customHeight="1" x14ac:dyDescent="0.15">
      <c r="A85" s="192" t="s">
        <v>191</v>
      </c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</row>
    <row r="86" spans="1:36" s="30" customFormat="1" ht="12" customHeight="1" x14ac:dyDescent="0.2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">
      <c r="A88" s="101" t="s">
        <v>193</v>
      </c>
      <c r="B88" s="101"/>
      <c r="C88" s="101"/>
      <c r="D88" s="101"/>
      <c r="E88" s="101"/>
      <c r="F88" s="101"/>
      <c r="G88" s="101"/>
      <c r="H88" s="194"/>
      <c r="I88" s="194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">
      <c r="A91" s="42" t="s">
        <v>196</v>
      </c>
      <c r="B91" s="190" t="s">
        <v>212</v>
      </c>
      <c r="C91" s="190"/>
      <c r="D91" s="190"/>
      <c r="E91" s="190"/>
      <c r="F91" s="190"/>
      <c r="G91" s="190"/>
      <c r="H91" s="190"/>
      <c r="I91" s="194">
        <f>M32</f>
        <v>1</v>
      </c>
      <c r="J91" s="194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">
      <c r="A92" s="42" t="s">
        <v>214</v>
      </c>
      <c r="B92" s="123" t="s">
        <v>213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195">
        <f>I91</f>
        <v>1</v>
      </c>
      <c r="S92" s="195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">
      <c r="A93" s="40" t="s">
        <v>215</v>
      </c>
      <c r="B93" s="123" t="s">
        <v>225</v>
      </c>
      <c r="C93" s="123"/>
      <c r="D93" s="123"/>
      <c r="E93" s="123"/>
      <c r="F93" s="123"/>
      <c r="G93" s="123"/>
      <c r="H93" s="123"/>
      <c r="I93" s="123"/>
      <c r="J93" s="195">
        <f>I91</f>
        <v>1</v>
      </c>
      <c r="K93" s="195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">
      <c r="A94" s="40" t="s">
        <v>216</v>
      </c>
      <c r="B94" s="123" t="s">
        <v>211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1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">
      <c r="A95" s="40" t="s">
        <v>217</v>
      </c>
      <c r="B95" s="123" t="s">
        <v>268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">
      <c r="A96" s="40" t="s">
        <v>218</v>
      </c>
      <c r="B96" s="123" t="s">
        <v>226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">
      <c r="A97" s="40" t="s">
        <v>219</v>
      </c>
      <c r="B97" s="123" t="s">
        <v>227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">
      <c r="A98" s="40" t="s">
        <v>220</v>
      </c>
      <c r="B98" s="123" t="s">
        <v>269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">
      <c r="A99" s="40" t="s">
        <v>221</v>
      </c>
      <c r="B99" s="123" t="s">
        <v>270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">
      <c r="A100" s="42" t="s">
        <v>222</v>
      </c>
      <c r="B100" s="123" t="s">
        <v>228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">
      <c r="A101" s="42" t="s">
        <v>223</v>
      </c>
      <c r="B101" s="104" t="s">
        <v>271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">
      <c r="A102" s="40" t="s">
        <v>224</v>
      </c>
      <c r="B102" s="104" t="s">
        <v>229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">
      <c r="A103" s="40" t="s">
        <v>272</v>
      </c>
      <c r="B103" s="123" t="s">
        <v>230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85" t="s">
        <v>198</v>
      </c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">
      <c r="A108" s="182" t="str">
        <f>'Данные '!B27</f>
        <v>Алексанян Г.Р.</v>
      </c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82"/>
      <c r="AC108" s="182"/>
      <c r="AD108" s="182"/>
      <c r="AE108" s="182"/>
      <c r="AF108" s="182"/>
      <c r="AG108" s="182"/>
      <c r="AH108" s="182"/>
      <c r="AI108" s="182"/>
      <c r="AJ108" s="182"/>
    </row>
    <row r="109" spans="1:36" s="33" customFormat="1" ht="9" customHeight="1" x14ac:dyDescent="0.15">
      <c r="A109" s="183" t="s">
        <v>201</v>
      </c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184" t="s">
        <v>48</v>
      </c>
      <c r="AC109" s="184"/>
      <c r="AD109" s="184"/>
      <c r="AE109" s="184"/>
      <c r="AF109" s="184"/>
      <c r="AG109" s="184"/>
      <c r="AH109" s="184"/>
      <c r="AI109" s="184"/>
      <c r="AJ109" s="184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">
      <c r="A111" s="182" t="str">
        <f>'Данные '!B11</f>
        <v>Волков М.Ю.</v>
      </c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182"/>
      <c r="AC111" s="182"/>
      <c r="AD111" s="182"/>
      <c r="AE111" s="182"/>
      <c r="AF111" s="182"/>
      <c r="AG111" s="182"/>
      <c r="AH111" s="182"/>
      <c r="AI111" s="182"/>
      <c r="AJ111" s="182"/>
    </row>
    <row r="112" spans="1:36" s="33" customFormat="1" ht="9" customHeight="1" x14ac:dyDescent="0.15">
      <c r="A112" s="183" t="s">
        <v>201</v>
      </c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184" t="s">
        <v>48</v>
      </c>
      <c r="AC112" s="184"/>
      <c r="AD112" s="184"/>
      <c r="AE112" s="184"/>
      <c r="AF112" s="184"/>
      <c r="AG112" s="184"/>
      <c r="AH112" s="184"/>
      <c r="AI112" s="184"/>
      <c r="AJ112" s="184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">
      <c r="A115" s="182" t="str">
        <f>'Данные '!B14</f>
        <v>Русин В.А.</v>
      </c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82"/>
      <c r="AC115" s="182"/>
      <c r="AD115" s="182"/>
      <c r="AE115" s="182"/>
      <c r="AF115" s="182"/>
      <c r="AG115" s="182"/>
      <c r="AH115" s="182"/>
      <c r="AI115" s="182"/>
      <c r="AJ115" s="182"/>
    </row>
    <row r="116" spans="1:36" s="33" customFormat="1" ht="9" customHeight="1" x14ac:dyDescent="0.15">
      <c r="A116" s="183" t="s">
        <v>201</v>
      </c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184" t="s">
        <v>48</v>
      </c>
      <c r="AC116" s="184"/>
      <c r="AD116" s="184"/>
      <c r="AE116" s="184"/>
      <c r="AF116" s="184"/>
      <c r="AG116" s="184"/>
      <c r="AH116" s="184"/>
      <c r="AI116" s="184"/>
      <c r="AJ116" s="184"/>
    </row>
    <row r="117" spans="1:36" s="30" customFormat="1" ht="38.25" customHeight="1" x14ac:dyDescent="0.2">
      <c r="A117" s="191" t="s">
        <v>168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</row>
    <row r="118" spans="1:36" s="30" customFormat="1" ht="12" customHeight="1" x14ac:dyDescent="0.2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182"/>
      <c r="AC118" s="182"/>
      <c r="AD118" s="182"/>
      <c r="AE118" s="182"/>
      <c r="AF118" s="182"/>
      <c r="AG118" s="182"/>
      <c r="AH118" s="182"/>
      <c r="AI118" s="182"/>
      <c r="AJ118" s="182"/>
    </row>
    <row r="119" spans="1:36" s="33" customFormat="1" ht="9" customHeight="1" x14ac:dyDescent="0.15">
      <c r="A119" s="183" t="s">
        <v>201</v>
      </c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184" t="s">
        <v>48</v>
      </c>
      <c r="AC119" s="184"/>
      <c r="AD119" s="184"/>
      <c r="AE119" s="184"/>
      <c r="AF119" s="184"/>
      <c r="AG119" s="184"/>
      <c r="AH119" s="184"/>
      <c r="AI119" s="184"/>
      <c r="AJ119" s="184"/>
    </row>
    <row r="120" spans="1:36" s="30" customFormat="1" ht="24.75" customHeight="1" x14ac:dyDescent="0.2">
      <c r="A120" s="191" t="s">
        <v>170</v>
      </c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</row>
    <row r="121" spans="1:36" s="30" customFormat="1" ht="12" customHeight="1" x14ac:dyDescent="0.2">
      <c r="A121" s="182" t="str">
        <f>'Данные '!B19</f>
        <v>Сигарев А.А.</v>
      </c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82"/>
      <c r="AC121" s="182"/>
      <c r="AD121" s="182"/>
      <c r="AE121" s="182"/>
      <c r="AF121" s="182"/>
      <c r="AG121" s="182"/>
      <c r="AH121" s="182"/>
      <c r="AI121" s="182"/>
      <c r="AJ121" s="182"/>
    </row>
    <row r="122" spans="1:36" s="33" customFormat="1" ht="9" customHeight="1" x14ac:dyDescent="0.15">
      <c r="A122" s="183" t="s">
        <v>201</v>
      </c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184" t="s">
        <v>48</v>
      </c>
      <c r="AC122" s="184"/>
      <c r="AD122" s="184"/>
      <c r="AE122" s="184"/>
      <c r="AF122" s="184"/>
      <c r="AG122" s="184"/>
      <c r="AH122" s="184"/>
      <c r="AI122" s="184"/>
      <c r="AJ122" s="184"/>
    </row>
    <row r="123" spans="1:36" ht="12" customHeight="1" x14ac:dyDescent="0.25"/>
  </sheetData>
  <mergeCells count="97">
    <mergeCell ref="A7:AJ7"/>
    <mergeCell ref="A20:AJ20"/>
    <mergeCell ref="A4:AJ4"/>
    <mergeCell ref="A5:AJ5"/>
    <mergeCell ref="A6:AJ6"/>
    <mergeCell ref="A8:AJ8"/>
    <mergeCell ref="A9:AJ9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68:AJ68"/>
    <mergeCell ref="P70:R70"/>
    <mergeCell ref="A60:AJ60"/>
    <mergeCell ref="A62:AJ62"/>
    <mergeCell ref="A63:AJ63"/>
    <mergeCell ref="A50:AJ50"/>
    <mergeCell ref="A51:AJ51"/>
    <mergeCell ref="A52:AJ52"/>
    <mergeCell ref="A53:AJ53"/>
    <mergeCell ref="A55:AJ55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82:AJ82"/>
    <mergeCell ref="A84:AJ84"/>
    <mergeCell ref="A85:AJ85"/>
    <mergeCell ref="L86:AJ86"/>
    <mergeCell ref="H88:I88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  <rowBreaks count="1" manualBreakCount="1">
    <brk id="51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view="pageBreakPreview" zoomScale="90" zoomScaleNormal="100" zoomScaleSheetLayoutView="90" workbookViewId="0">
      <selection activeCell="D76" sqref="D76"/>
    </sheetView>
  </sheetViews>
  <sheetFormatPr defaultRowHeight="15" x14ac:dyDescent="0.25"/>
  <cols>
    <col min="1" max="1" width="15.7109375" customWidth="1"/>
    <col min="2" max="2" width="12.85546875"/>
    <col min="3" max="3" width="15.28515625"/>
    <col min="4" max="4" width="25.85546875" customWidth="1"/>
    <col min="5" max="5" width="25.7109375"/>
  </cols>
  <sheetData>
    <row r="1" spans="1:5" x14ac:dyDescent="0.25">
      <c r="A1" s="223" t="s">
        <v>8</v>
      </c>
      <c r="B1" s="224"/>
      <c r="C1" s="224"/>
      <c r="D1" s="224"/>
      <c r="E1" s="224"/>
    </row>
    <row r="2" spans="1:5" x14ac:dyDescent="0.25">
      <c r="A2" s="223" t="s">
        <v>9</v>
      </c>
      <c r="B2" s="224"/>
      <c r="C2" s="224"/>
      <c r="D2" s="224"/>
      <c r="E2" s="224"/>
    </row>
    <row r="4" spans="1:5" ht="30" customHeight="1" x14ac:dyDescent="0.25">
      <c r="A4" s="225" t="s">
        <v>267</v>
      </c>
      <c r="B4" s="224"/>
      <c r="C4" s="224"/>
      <c r="D4" s="224"/>
      <c r="E4" s="224"/>
    </row>
    <row r="6" spans="1:5" ht="45" customHeight="1" x14ac:dyDescent="0.25">
      <c r="A6" s="212" t="s">
        <v>3</v>
      </c>
      <c r="B6" s="212"/>
      <c r="C6" s="212"/>
      <c r="D6" s="213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13"/>
    </row>
    <row r="7" spans="1:5" ht="93.75" customHeight="1" x14ac:dyDescent="0.25">
      <c r="A7" s="212" t="s">
        <v>4</v>
      </c>
      <c r="B7" s="212"/>
      <c r="C7" s="212"/>
      <c r="D7" s="213" t="str">
        <f>'Данные '!B1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E7" s="213"/>
    </row>
    <row r="8" spans="1:5" ht="48.75" customHeight="1" x14ac:dyDescent="0.25">
      <c r="A8" s="212" t="s">
        <v>5</v>
      </c>
      <c r="B8" s="212"/>
      <c r="C8" s="212"/>
      <c r="D8" s="213" t="str">
        <f>'Данные '!B3</f>
        <v>городское поселение Андреевка, рабочий поселок Андреевка</v>
      </c>
      <c r="E8" s="213"/>
    </row>
    <row r="9" spans="1:5" ht="47.25" customHeight="1" x14ac:dyDescent="0.25">
      <c r="A9" s="212" t="s">
        <v>6</v>
      </c>
      <c r="B9" s="212"/>
      <c r="C9" s="212"/>
      <c r="D9" s="213" t="str">
        <f>'Данные '!B36</f>
        <v>ГНБ №1</v>
      </c>
      <c r="E9" s="213"/>
    </row>
    <row r="10" spans="1:5" ht="49.5" customHeight="1" x14ac:dyDescent="0.25">
      <c r="A10" s="212" t="s">
        <v>7</v>
      </c>
      <c r="B10" s="212"/>
      <c r="C10" s="212"/>
      <c r="D10" s="214" t="str">
        <f>'АОСР-1'!B67</f>
        <v>Труба ПЭ F110 D160мм</v>
      </c>
      <c r="E10" s="214"/>
    </row>
    <row r="11" spans="1:5" ht="29.25" customHeight="1" x14ac:dyDescent="0.25">
      <c r="A11" s="215" t="s">
        <v>10</v>
      </c>
      <c r="B11" s="215"/>
      <c r="C11" s="215"/>
      <c r="D11" s="213" t="s">
        <v>274</v>
      </c>
      <c r="E11" s="213"/>
    </row>
    <row r="12" spans="1:5" ht="24" customHeight="1" x14ac:dyDescent="0.25">
      <c r="A12" s="215" t="s">
        <v>11</v>
      </c>
      <c r="B12" s="215"/>
      <c r="C12" s="215"/>
      <c r="D12" s="220">
        <v>3</v>
      </c>
      <c r="E12" s="220"/>
    </row>
    <row r="13" spans="1:5" ht="33.75" customHeight="1" x14ac:dyDescent="0.25">
      <c r="A13" s="215" t="s">
        <v>12</v>
      </c>
      <c r="B13" s="215"/>
      <c r="C13" s="215"/>
      <c r="D13" s="213" t="s">
        <v>249</v>
      </c>
      <c r="E13" s="213"/>
    </row>
    <row r="14" spans="1:5" ht="32.25" customHeight="1" x14ac:dyDescent="0.25">
      <c r="A14" s="215" t="s">
        <v>13</v>
      </c>
      <c r="B14" s="215"/>
      <c r="C14" s="215"/>
      <c r="D14" s="213" t="s">
        <v>273</v>
      </c>
      <c r="E14" s="213"/>
    </row>
    <row r="15" spans="1:5" ht="30" customHeight="1" x14ac:dyDescent="0.25">
      <c r="A15" s="215" t="s">
        <v>14</v>
      </c>
      <c r="B15" s="215"/>
      <c r="C15" s="215"/>
      <c r="D15" s="213" t="s">
        <v>273</v>
      </c>
      <c r="E15" s="213"/>
    </row>
    <row r="16" spans="1:5" x14ac:dyDescent="0.25">
      <c r="A16" s="3"/>
      <c r="B16" s="3"/>
      <c r="C16" s="3"/>
      <c r="D16" s="3"/>
      <c r="E16" s="3"/>
    </row>
    <row r="17" spans="1:5" x14ac:dyDescent="0.25">
      <c r="A17" s="226" t="s">
        <v>15</v>
      </c>
      <c r="B17" s="227"/>
      <c r="C17" s="227"/>
      <c r="D17" s="227"/>
      <c r="E17" s="227"/>
    </row>
    <row r="18" spans="1:5" x14ac:dyDescent="0.25">
      <c r="A18" s="3"/>
      <c r="B18" s="3"/>
      <c r="C18" s="3"/>
      <c r="D18" s="3"/>
      <c r="E18" s="3"/>
    </row>
    <row r="19" spans="1:5" ht="22.5" x14ac:dyDescent="0.25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25">
      <c r="A20" s="5">
        <v>1</v>
      </c>
      <c r="B20" s="5">
        <v>3</v>
      </c>
      <c r="C20" s="5">
        <v>20</v>
      </c>
      <c r="D20" s="5">
        <v>105</v>
      </c>
      <c r="E20" s="5" t="s">
        <v>275</v>
      </c>
    </row>
    <row r="21" spans="1:5" x14ac:dyDescent="0.25">
      <c r="A21" s="5">
        <f>A20+1</f>
        <v>2</v>
      </c>
      <c r="B21" s="5">
        <f>B20+3</f>
        <v>6</v>
      </c>
      <c r="C21" s="5">
        <f>C20-4</f>
        <v>16</v>
      </c>
      <c r="D21" s="5">
        <v>167</v>
      </c>
      <c r="E21" s="5"/>
    </row>
    <row r="22" spans="1:5" x14ac:dyDescent="0.25">
      <c r="A22" s="5">
        <f t="shared" ref="A22:A69" si="0">A21+1</f>
        <v>3</v>
      </c>
      <c r="B22" s="5">
        <f t="shared" ref="B22:B69" si="1">B21+3</f>
        <v>9</v>
      </c>
      <c r="C22" s="5">
        <f t="shared" ref="C22:C25" si="2">C21-4</f>
        <v>12</v>
      </c>
      <c r="D22" s="5">
        <v>231</v>
      </c>
      <c r="E22" s="5"/>
    </row>
    <row r="23" spans="1:5" x14ac:dyDescent="0.25">
      <c r="A23" s="5">
        <f t="shared" si="0"/>
        <v>4</v>
      </c>
      <c r="B23" s="5">
        <f t="shared" si="1"/>
        <v>12</v>
      </c>
      <c r="C23" s="5">
        <f t="shared" si="2"/>
        <v>8</v>
      </c>
      <c r="D23" s="5">
        <v>294</v>
      </c>
      <c r="E23" s="5"/>
    </row>
    <row r="24" spans="1:5" x14ac:dyDescent="0.25">
      <c r="A24" s="5">
        <f t="shared" si="0"/>
        <v>5</v>
      </c>
      <c r="B24" s="5">
        <f t="shared" si="1"/>
        <v>15</v>
      </c>
      <c r="C24" s="5">
        <f t="shared" si="2"/>
        <v>4</v>
      </c>
      <c r="D24" s="5">
        <v>365</v>
      </c>
      <c r="E24" s="5"/>
    </row>
    <row r="25" spans="1:5" x14ac:dyDescent="0.25">
      <c r="A25" s="5">
        <f t="shared" si="0"/>
        <v>6</v>
      </c>
      <c r="B25" s="5">
        <f t="shared" si="1"/>
        <v>18</v>
      </c>
      <c r="C25" s="5">
        <f t="shared" si="2"/>
        <v>0</v>
      </c>
      <c r="D25" s="5">
        <v>417</v>
      </c>
      <c r="E25" s="5"/>
    </row>
    <row r="26" spans="1:5" x14ac:dyDescent="0.25">
      <c r="A26" s="5">
        <f t="shared" si="0"/>
        <v>7</v>
      </c>
      <c r="B26" s="5">
        <f t="shared" si="1"/>
        <v>21</v>
      </c>
      <c r="C26" s="5">
        <v>0</v>
      </c>
      <c r="D26" s="5">
        <v>418</v>
      </c>
      <c r="E26" s="5"/>
    </row>
    <row r="27" spans="1:5" x14ac:dyDescent="0.25">
      <c r="A27" s="5">
        <f t="shared" si="0"/>
        <v>8</v>
      </c>
      <c r="B27" s="5">
        <f t="shared" si="1"/>
        <v>24</v>
      </c>
      <c r="C27" s="5">
        <v>0</v>
      </c>
      <c r="D27" s="5">
        <v>420</v>
      </c>
      <c r="E27" s="5"/>
    </row>
    <row r="28" spans="1:5" x14ac:dyDescent="0.25">
      <c r="A28" s="5">
        <f t="shared" si="0"/>
        <v>9</v>
      </c>
      <c r="B28" s="5">
        <f t="shared" si="1"/>
        <v>27</v>
      </c>
      <c r="C28" s="5">
        <v>0</v>
      </c>
      <c r="D28" s="5">
        <v>419</v>
      </c>
      <c r="E28" s="5"/>
    </row>
    <row r="29" spans="1:5" x14ac:dyDescent="0.25">
      <c r="A29" s="5">
        <f t="shared" si="0"/>
        <v>10</v>
      </c>
      <c r="B29" s="5">
        <f t="shared" si="1"/>
        <v>30</v>
      </c>
      <c r="C29" s="5">
        <v>0</v>
      </c>
      <c r="D29" s="5">
        <v>419</v>
      </c>
      <c r="E29" s="5"/>
    </row>
    <row r="30" spans="1:5" x14ac:dyDescent="0.25">
      <c r="A30" s="5">
        <f t="shared" si="0"/>
        <v>11</v>
      </c>
      <c r="B30" s="5">
        <f t="shared" si="1"/>
        <v>33</v>
      </c>
      <c r="C30" s="5">
        <v>0</v>
      </c>
      <c r="D30" s="5">
        <v>418</v>
      </c>
      <c r="E30" s="5"/>
    </row>
    <row r="31" spans="1:5" x14ac:dyDescent="0.25">
      <c r="A31" s="5">
        <f t="shared" si="0"/>
        <v>12</v>
      </c>
      <c r="B31" s="5">
        <f t="shared" si="1"/>
        <v>36</v>
      </c>
      <c r="C31" s="5">
        <v>0</v>
      </c>
      <c r="D31" s="5">
        <v>418</v>
      </c>
      <c r="E31" s="5"/>
    </row>
    <row r="32" spans="1:5" x14ac:dyDescent="0.25">
      <c r="A32" s="5">
        <f t="shared" si="0"/>
        <v>13</v>
      </c>
      <c r="B32" s="5">
        <f t="shared" si="1"/>
        <v>39</v>
      </c>
      <c r="C32" s="5">
        <v>0</v>
      </c>
      <c r="D32" s="5">
        <v>417</v>
      </c>
      <c r="E32" s="5"/>
    </row>
    <row r="33" spans="1:5" x14ac:dyDescent="0.25">
      <c r="A33" s="5">
        <f t="shared" si="0"/>
        <v>14</v>
      </c>
      <c r="B33" s="5">
        <f t="shared" si="1"/>
        <v>42</v>
      </c>
      <c r="C33" s="5">
        <v>0</v>
      </c>
      <c r="D33" s="5">
        <v>418</v>
      </c>
      <c r="E33" s="5"/>
    </row>
    <row r="34" spans="1:5" x14ac:dyDescent="0.25">
      <c r="A34" s="5">
        <f t="shared" si="0"/>
        <v>15</v>
      </c>
      <c r="B34" s="5">
        <f t="shared" si="1"/>
        <v>45</v>
      </c>
      <c r="C34" s="5">
        <v>0</v>
      </c>
      <c r="D34" s="5">
        <v>419</v>
      </c>
      <c r="E34" s="5"/>
    </row>
    <row r="35" spans="1:5" x14ac:dyDescent="0.25">
      <c r="A35" s="5">
        <f t="shared" si="0"/>
        <v>16</v>
      </c>
      <c r="B35" s="5">
        <f t="shared" si="1"/>
        <v>48</v>
      </c>
      <c r="C35" s="5">
        <v>0</v>
      </c>
      <c r="D35" s="5">
        <v>418</v>
      </c>
      <c r="E35" s="5"/>
    </row>
    <row r="36" spans="1:5" x14ac:dyDescent="0.25">
      <c r="A36" s="5">
        <f t="shared" si="0"/>
        <v>17</v>
      </c>
      <c r="B36" s="5">
        <f t="shared" si="1"/>
        <v>51</v>
      </c>
      <c r="C36" s="5">
        <v>0</v>
      </c>
      <c r="D36" s="5">
        <v>418</v>
      </c>
      <c r="E36" s="5"/>
    </row>
    <row r="37" spans="1:5" x14ac:dyDescent="0.25">
      <c r="A37" s="5">
        <f t="shared" si="0"/>
        <v>18</v>
      </c>
      <c r="B37" s="5">
        <f t="shared" si="1"/>
        <v>54</v>
      </c>
      <c r="C37" s="5">
        <v>0</v>
      </c>
      <c r="D37" s="5">
        <v>417</v>
      </c>
      <c r="E37" s="5"/>
    </row>
    <row r="38" spans="1:5" x14ac:dyDescent="0.25">
      <c r="A38" s="5">
        <f t="shared" si="0"/>
        <v>19</v>
      </c>
      <c r="B38" s="5">
        <f t="shared" si="1"/>
        <v>57</v>
      </c>
      <c r="C38" s="5">
        <v>0</v>
      </c>
      <c r="D38" s="5">
        <v>418</v>
      </c>
      <c r="E38" s="5"/>
    </row>
    <row r="39" spans="1:5" x14ac:dyDescent="0.25">
      <c r="A39" s="5">
        <f t="shared" si="0"/>
        <v>20</v>
      </c>
      <c r="B39" s="5">
        <f t="shared" si="1"/>
        <v>60</v>
      </c>
      <c r="C39" s="5">
        <v>0</v>
      </c>
      <c r="D39" s="5">
        <v>419</v>
      </c>
      <c r="E39" s="5"/>
    </row>
    <row r="40" spans="1:5" x14ac:dyDescent="0.25">
      <c r="A40" s="5">
        <f t="shared" si="0"/>
        <v>21</v>
      </c>
      <c r="B40" s="5">
        <f t="shared" si="1"/>
        <v>63</v>
      </c>
      <c r="C40" s="5">
        <v>0</v>
      </c>
      <c r="D40" s="5">
        <v>418</v>
      </c>
      <c r="E40" s="5"/>
    </row>
    <row r="41" spans="1:5" x14ac:dyDescent="0.25">
      <c r="A41" s="5">
        <f t="shared" si="0"/>
        <v>22</v>
      </c>
      <c r="B41" s="5">
        <f t="shared" si="1"/>
        <v>66</v>
      </c>
      <c r="C41" s="5">
        <v>0</v>
      </c>
      <c r="D41" s="5">
        <v>418</v>
      </c>
      <c r="E41" s="5"/>
    </row>
    <row r="42" spans="1:5" x14ac:dyDescent="0.25">
      <c r="A42" s="5">
        <f t="shared" si="0"/>
        <v>23</v>
      </c>
      <c r="B42" s="5">
        <f t="shared" si="1"/>
        <v>69</v>
      </c>
      <c r="C42" s="5">
        <v>0</v>
      </c>
      <c r="D42" s="5">
        <v>417</v>
      </c>
      <c r="E42" s="5"/>
    </row>
    <row r="43" spans="1:5" x14ac:dyDescent="0.25">
      <c r="A43" s="5">
        <f t="shared" si="0"/>
        <v>24</v>
      </c>
      <c r="B43" s="5">
        <f t="shared" si="1"/>
        <v>72</v>
      </c>
      <c r="C43" s="5">
        <v>0</v>
      </c>
      <c r="D43" s="5">
        <v>418</v>
      </c>
      <c r="E43" s="5"/>
    </row>
    <row r="44" spans="1:5" x14ac:dyDescent="0.25">
      <c r="A44" s="5">
        <f t="shared" si="0"/>
        <v>25</v>
      </c>
      <c r="B44" s="5">
        <f t="shared" si="1"/>
        <v>75</v>
      </c>
      <c r="C44" s="5">
        <v>0</v>
      </c>
      <c r="D44" s="5">
        <v>419</v>
      </c>
      <c r="E44" s="5"/>
    </row>
    <row r="45" spans="1:5" x14ac:dyDescent="0.25">
      <c r="A45" s="5">
        <f t="shared" si="0"/>
        <v>26</v>
      </c>
      <c r="B45" s="5">
        <f t="shared" si="1"/>
        <v>78</v>
      </c>
      <c r="C45" s="5">
        <v>0</v>
      </c>
      <c r="D45" s="5">
        <v>418</v>
      </c>
      <c r="E45" s="5"/>
    </row>
    <row r="46" spans="1:5" x14ac:dyDescent="0.25">
      <c r="A46" s="5">
        <f t="shared" si="0"/>
        <v>27</v>
      </c>
      <c r="B46" s="5">
        <f t="shared" si="1"/>
        <v>81</v>
      </c>
      <c r="C46" s="5">
        <v>0</v>
      </c>
      <c r="D46" s="5">
        <v>418</v>
      </c>
      <c r="E46" s="5"/>
    </row>
    <row r="47" spans="1:5" x14ac:dyDescent="0.25">
      <c r="A47" s="5">
        <f t="shared" si="0"/>
        <v>28</v>
      </c>
      <c r="B47" s="5">
        <f t="shared" si="1"/>
        <v>84</v>
      </c>
      <c r="C47" s="5">
        <v>0</v>
      </c>
      <c r="D47" s="5">
        <v>417</v>
      </c>
      <c r="E47" s="5"/>
    </row>
    <row r="48" spans="1:5" x14ac:dyDescent="0.25">
      <c r="A48" s="5">
        <f t="shared" si="0"/>
        <v>29</v>
      </c>
      <c r="B48" s="5">
        <f t="shared" si="1"/>
        <v>87</v>
      </c>
      <c r="C48" s="5">
        <v>0</v>
      </c>
      <c r="D48" s="5">
        <v>418</v>
      </c>
      <c r="E48" s="5"/>
    </row>
    <row r="49" spans="1:5" x14ac:dyDescent="0.25">
      <c r="A49" s="5">
        <f t="shared" si="0"/>
        <v>30</v>
      </c>
      <c r="B49" s="5">
        <f t="shared" si="1"/>
        <v>90</v>
      </c>
      <c r="C49" s="5">
        <v>0</v>
      </c>
      <c r="D49" s="5">
        <v>419</v>
      </c>
      <c r="E49" s="5"/>
    </row>
    <row r="50" spans="1:5" x14ac:dyDescent="0.25">
      <c r="A50" s="5">
        <f t="shared" si="0"/>
        <v>31</v>
      </c>
      <c r="B50" s="5">
        <f t="shared" si="1"/>
        <v>93</v>
      </c>
      <c r="C50" s="5">
        <v>0</v>
      </c>
      <c r="D50" s="5">
        <v>418</v>
      </c>
      <c r="E50" s="5"/>
    </row>
    <row r="51" spans="1:5" x14ac:dyDescent="0.25">
      <c r="A51" s="5">
        <f t="shared" si="0"/>
        <v>32</v>
      </c>
      <c r="B51" s="5">
        <f t="shared" si="1"/>
        <v>96</v>
      </c>
      <c r="C51" s="5">
        <v>0</v>
      </c>
      <c r="D51" s="5">
        <v>418</v>
      </c>
      <c r="E51" s="5"/>
    </row>
    <row r="52" spans="1:5" x14ac:dyDescent="0.25">
      <c r="A52" s="5">
        <f t="shared" si="0"/>
        <v>33</v>
      </c>
      <c r="B52" s="5">
        <f t="shared" si="1"/>
        <v>99</v>
      </c>
      <c r="C52" s="5">
        <v>0</v>
      </c>
      <c r="D52" s="5">
        <v>417</v>
      </c>
      <c r="E52" s="5"/>
    </row>
    <row r="53" spans="1:5" x14ac:dyDescent="0.25">
      <c r="A53" s="5">
        <f t="shared" si="0"/>
        <v>34</v>
      </c>
      <c r="B53" s="5">
        <f t="shared" si="1"/>
        <v>102</v>
      </c>
      <c r="C53" s="5">
        <v>0</v>
      </c>
      <c r="D53" s="5">
        <v>418</v>
      </c>
      <c r="E53" s="5"/>
    </row>
    <row r="54" spans="1:5" x14ac:dyDescent="0.25">
      <c r="A54" s="5">
        <f t="shared" si="0"/>
        <v>35</v>
      </c>
      <c r="B54" s="5">
        <f t="shared" si="1"/>
        <v>105</v>
      </c>
      <c r="C54" s="5">
        <v>0</v>
      </c>
      <c r="D54" s="5">
        <v>417</v>
      </c>
      <c r="E54" s="5"/>
    </row>
    <row r="55" spans="1:5" x14ac:dyDescent="0.25">
      <c r="A55" s="5">
        <f t="shared" si="0"/>
        <v>36</v>
      </c>
      <c r="B55" s="5">
        <f t="shared" si="1"/>
        <v>108</v>
      </c>
      <c r="C55" s="5">
        <v>0</v>
      </c>
      <c r="D55" s="5">
        <v>418</v>
      </c>
      <c r="E55" s="5"/>
    </row>
    <row r="56" spans="1:5" x14ac:dyDescent="0.25">
      <c r="A56" s="5">
        <f t="shared" si="0"/>
        <v>37</v>
      </c>
      <c r="B56" s="5">
        <f t="shared" si="1"/>
        <v>111</v>
      </c>
      <c r="C56" s="5">
        <v>0</v>
      </c>
      <c r="D56" s="5">
        <v>416</v>
      </c>
      <c r="E56" s="5"/>
    </row>
    <row r="57" spans="1:5" x14ac:dyDescent="0.25">
      <c r="A57" s="5">
        <f t="shared" si="0"/>
        <v>38</v>
      </c>
      <c r="B57" s="5">
        <f t="shared" si="1"/>
        <v>114</v>
      </c>
      <c r="C57" s="5">
        <v>0</v>
      </c>
      <c r="D57" s="5">
        <v>414</v>
      </c>
      <c r="E57" s="5"/>
    </row>
    <row r="58" spans="1:5" x14ac:dyDescent="0.25">
      <c r="A58" s="5">
        <f t="shared" si="0"/>
        <v>39</v>
      </c>
      <c r="B58" s="5">
        <f t="shared" si="1"/>
        <v>117</v>
      </c>
      <c r="C58" s="5">
        <v>0</v>
      </c>
      <c r="D58" s="5">
        <v>390</v>
      </c>
      <c r="E58" s="5"/>
    </row>
    <row r="59" spans="1:5" x14ac:dyDescent="0.25">
      <c r="A59" s="5">
        <f t="shared" si="0"/>
        <v>40</v>
      </c>
      <c r="B59" s="5">
        <f t="shared" si="1"/>
        <v>120</v>
      </c>
      <c r="C59" s="5">
        <f t="shared" ref="C59:C67" si="3">C60-3</f>
        <v>3</v>
      </c>
      <c r="D59" s="5">
        <v>354</v>
      </c>
      <c r="E59" s="5"/>
    </row>
    <row r="60" spans="1:5" x14ac:dyDescent="0.25">
      <c r="A60" s="5">
        <f t="shared" si="0"/>
        <v>41</v>
      </c>
      <c r="B60" s="5">
        <f t="shared" si="1"/>
        <v>123</v>
      </c>
      <c r="C60" s="5">
        <f t="shared" si="3"/>
        <v>6</v>
      </c>
      <c r="D60" s="5">
        <v>321</v>
      </c>
      <c r="E60" s="5"/>
    </row>
    <row r="61" spans="1:5" x14ac:dyDescent="0.25">
      <c r="A61" s="5">
        <f t="shared" si="0"/>
        <v>42</v>
      </c>
      <c r="B61" s="5">
        <f t="shared" si="1"/>
        <v>126</v>
      </c>
      <c r="C61" s="5">
        <f t="shared" si="3"/>
        <v>9</v>
      </c>
      <c r="D61" s="5">
        <v>290</v>
      </c>
      <c r="E61" s="5"/>
    </row>
    <row r="62" spans="1:5" x14ac:dyDescent="0.25">
      <c r="A62" s="5">
        <f t="shared" si="0"/>
        <v>43</v>
      </c>
      <c r="B62" s="5">
        <f t="shared" si="1"/>
        <v>129</v>
      </c>
      <c r="C62" s="5">
        <f t="shared" si="3"/>
        <v>12</v>
      </c>
      <c r="D62" s="5">
        <v>268</v>
      </c>
      <c r="E62" s="5"/>
    </row>
    <row r="63" spans="1:5" x14ac:dyDescent="0.25">
      <c r="A63" s="5">
        <f t="shared" si="0"/>
        <v>44</v>
      </c>
      <c r="B63" s="5">
        <f t="shared" si="1"/>
        <v>132</v>
      </c>
      <c r="C63" s="5">
        <f t="shared" si="3"/>
        <v>15</v>
      </c>
      <c r="D63" s="5">
        <v>221</v>
      </c>
      <c r="E63" s="5"/>
    </row>
    <row r="64" spans="1:5" x14ac:dyDescent="0.25">
      <c r="A64" s="5">
        <f t="shared" si="0"/>
        <v>45</v>
      </c>
      <c r="B64" s="5">
        <f t="shared" si="1"/>
        <v>135</v>
      </c>
      <c r="C64" s="5">
        <f t="shared" si="3"/>
        <v>18</v>
      </c>
      <c r="D64" s="5">
        <v>198</v>
      </c>
      <c r="E64" s="5"/>
    </row>
    <row r="65" spans="1:5" x14ac:dyDescent="0.25">
      <c r="A65" s="5">
        <f t="shared" si="0"/>
        <v>46</v>
      </c>
      <c r="B65" s="5">
        <f t="shared" si="1"/>
        <v>138</v>
      </c>
      <c r="C65" s="5">
        <f t="shared" si="3"/>
        <v>21</v>
      </c>
      <c r="D65" s="5">
        <v>165</v>
      </c>
      <c r="E65" s="5"/>
    </row>
    <row r="66" spans="1:5" x14ac:dyDescent="0.25">
      <c r="A66" s="5">
        <f t="shared" si="0"/>
        <v>47</v>
      </c>
      <c r="B66" s="5">
        <f t="shared" si="1"/>
        <v>141</v>
      </c>
      <c r="C66" s="5">
        <f t="shared" si="3"/>
        <v>24</v>
      </c>
      <c r="D66" s="5">
        <v>132</v>
      </c>
      <c r="E66" s="5"/>
    </row>
    <row r="67" spans="1:5" x14ac:dyDescent="0.25">
      <c r="A67" s="5">
        <f t="shared" si="0"/>
        <v>48</v>
      </c>
      <c r="B67" s="5">
        <f t="shared" si="1"/>
        <v>144</v>
      </c>
      <c r="C67" s="5">
        <f t="shared" si="3"/>
        <v>27</v>
      </c>
      <c r="D67" s="5">
        <v>111</v>
      </c>
      <c r="E67" s="5"/>
    </row>
    <row r="68" spans="1:5" x14ac:dyDescent="0.25">
      <c r="A68" s="5">
        <f t="shared" si="0"/>
        <v>49</v>
      </c>
      <c r="B68" s="5">
        <f t="shared" si="1"/>
        <v>147</v>
      </c>
      <c r="C68" s="5">
        <f>C69-3</f>
        <v>30</v>
      </c>
      <c r="D68" s="5">
        <v>105</v>
      </c>
      <c r="E68" s="5"/>
    </row>
    <row r="69" spans="1:5" x14ac:dyDescent="0.25">
      <c r="A69" s="5">
        <f t="shared" si="0"/>
        <v>50</v>
      </c>
      <c r="B69" s="5">
        <f t="shared" si="1"/>
        <v>150</v>
      </c>
      <c r="C69" s="5">
        <v>33</v>
      </c>
      <c r="D69" s="5">
        <v>96</v>
      </c>
      <c r="E69" s="5" t="s">
        <v>343</v>
      </c>
    </row>
    <row r="70" spans="1:5" ht="60.75" customHeight="1" x14ac:dyDescent="0.25">
      <c r="A70" s="228" t="s">
        <v>21</v>
      </c>
      <c r="B70" s="228"/>
      <c r="C70" s="228"/>
      <c r="D70" s="228"/>
      <c r="E70" s="228"/>
    </row>
    <row r="71" spans="1:5" x14ac:dyDescent="0.25">
      <c r="A71" s="3"/>
      <c r="B71" s="3"/>
      <c r="C71" s="3"/>
      <c r="D71" s="3"/>
      <c r="E71" s="3"/>
    </row>
    <row r="72" spans="1:5" x14ac:dyDescent="0.25">
      <c r="A72" s="218" t="s">
        <v>22</v>
      </c>
      <c r="B72" s="219"/>
      <c r="C72" s="219"/>
      <c r="D72" s="219"/>
      <c r="E72" s="219"/>
    </row>
    <row r="73" spans="1:5" x14ac:dyDescent="0.25">
      <c r="A73" s="77"/>
      <c r="B73" s="77"/>
      <c r="C73" s="77"/>
      <c r="D73" s="77"/>
      <c r="E73" s="77"/>
    </row>
    <row r="74" spans="1:5" ht="25.5" customHeight="1" x14ac:dyDescent="0.25">
      <c r="A74" s="125" t="s">
        <v>23</v>
      </c>
      <c r="B74" s="126">
        <v>2</v>
      </c>
      <c r="C74" s="125" t="s">
        <v>24</v>
      </c>
      <c r="D74" s="125"/>
      <c r="E74" s="77"/>
    </row>
    <row r="75" spans="1:5" ht="37.5" customHeight="1" x14ac:dyDescent="0.25">
      <c r="A75" s="125" t="s">
        <v>25</v>
      </c>
      <c r="B75" s="126">
        <v>500</v>
      </c>
      <c r="C75" s="125" t="s">
        <v>26</v>
      </c>
      <c r="D75" s="125"/>
      <c r="E75" s="77"/>
    </row>
    <row r="76" spans="1:5" ht="45" customHeight="1" x14ac:dyDescent="0.25">
      <c r="A76" s="125" t="s">
        <v>27</v>
      </c>
      <c r="B76" s="126">
        <f>'Данные '!B39</f>
        <v>150</v>
      </c>
      <c r="C76" s="125" t="s">
        <v>28</v>
      </c>
      <c r="D76" s="127" t="str">
        <f>'Данные '!B4</f>
        <v>25.08.2025</v>
      </c>
      <c r="E76" s="77"/>
    </row>
    <row r="77" spans="1:5" x14ac:dyDescent="0.25">
      <c r="A77" s="216" t="s">
        <v>0</v>
      </c>
      <c r="B77" s="216"/>
      <c r="C77" s="217"/>
      <c r="D77" s="217"/>
      <c r="E77" s="92" t="s">
        <v>250</v>
      </c>
    </row>
    <row r="78" spans="1:5" x14ac:dyDescent="0.25">
      <c r="A78" s="221" t="s">
        <v>1</v>
      </c>
      <c r="B78" s="221"/>
      <c r="C78" s="222"/>
      <c r="D78" s="222"/>
      <c r="E78" t="s">
        <v>250</v>
      </c>
    </row>
    <row r="79" spans="1:5" x14ac:dyDescent="0.25">
      <c r="A79" s="1"/>
      <c r="B79" s="1"/>
      <c r="C79" s="2"/>
      <c r="D79" s="2" t="s">
        <v>2</v>
      </c>
    </row>
  </sheetData>
  <mergeCells count="30">
    <mergeCell ref="A78:B78"/>
    <mergeCell ref="C78:D78"/>
    <mergeCell ref="A1:E1"/>
    <mergeCell ref="A2:E2"/>
    <mergeCell ref="A4:E4"/>
    <mergeCell ref="A17:E17"/>
    <mergeCell ref="A70:E70"/>
    <mergeCell ref="A6:C6"/>
    <mergeCell ref="D6:E6"/>
    <mergeCell ref="A7:C7"/>
    <mergeCell ref="D7:E7"/>
    <mergeCell ref="A8:C8"/>
    <mergeCell ref="D8:E8"/>
    <mergeCell ref="A9:C9"/>
    <mergeCell ref="A12:C12"/>
    <mergeCell ref="A13:C13"/>
    <mergeCell ref="A10:C10"/>
    <mergeCell ref="D9:E9"/>
    <mergeCell ref="D10:E10"/>
    <mergeCell ref="A11:C11"/>
    <mergeCell ref="A77:B77"/>
    <mergeCell ref="C77:D77"/>
    <mergeCell ref="A14:C14"/>
    <mergeCell ref="A15:C15"/>
    <mergeCell ref="A72:E72"/>
    <mergeCell ref="D11:E11"/>
    <mergeCell ref="D12:E12"/>
    <mergeCell ref="D13:E13"/>
    <mergeCell ref="D14:E14"/>
    <mergeCell ref="D15:E15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B4" sqref="B4:G4"/>
    </sheetView>
  </sheetViews>
  <sheetFormatPr defaultRowHeight="15" x14ac:dyDescent="0.25"/>
  <cols>
    <col min="1" max="1" width="27.140625" customWidth="1"/>
    <col min="2" max="2" width="19.7109375" customWidth="1"/>
    <col min="3" max="4" width="4.28515625" customWidth="1"/>
    <col min="5" max="5" width="16.5703125" customWidth="1"/>
    <col min="6" max="6" width="5" customWidth="1"/>
    <col min="7" max="7" width="15.28515625" customWidth="1"/>
  </cols>
  <sheetData>
    <row r="1" spans="1:7" x14ac:dyDescent="0.25">
      <c r="A1" s="223" t="s">
        <v>29</v>
      </c>
      <c r="B1" s="238"/>
      <c r="C1" s="238"/>
      <c r="D1" s="238"/>
      <c r="E1" s="238"/>
      <c r="F1" s="238"/>
      <c r="G1" s="238"/>
    </row>
    <row r="2" spans="1:7" x14ac:dyDescent="0.25">
      <c r="A2" s="223" t="s">
        <v>30</v>
      </c>
      <c r="B2" s="238"/>
      <c r="C2" s="238"/>
      <c r="D2" s="238"/>
      <c r="E2" s="238"/>
      <c r="F2" s="238"/>
      <c r="G2" s="238"/>
    </row>
    <row r="3" spans="1:7" x14ac:dyDescent="0.25">
      <c r="A3" s="6"/>
      <c r="B3" s="6"/>
      <c r="C3" s="6"/>
      <c r="D3" s="6"/>
      <c r="E3" s="6"/>
      <c r="F3" s="6"/>
      <c r="G3" s="6"/>
    </row>
    <row r="4" spans="1:7" ht="79.5" customHeight="1" x14ac:dyDescent="0.25">
      <c r="A4" s="7" t="s">
        <v>31</v>
      </c>
      <c r="B4" s="239" t="str">
        <f>'Данные '!B1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C4" s="239"/>
      <c r="D4" s="239"/>
      <c r="E4" s="239"/>
      <c r="F4" s="239"/>
      <c r="G4" s="239"/>
    </row>
    <row r="5" spans="1:7" x14ac:dyDescent="0.25">
      <c r="A5" s="7" t="s">
        <v>32</v>
      </c>
      <c r="B5" s="240" t="str">
        <f>'Данные '!B36</f>
        <v>ГНБ №1</v>
      </c>
      <c r="C5" s="240"/>
      <c r="D5" s="240"/>
      <c r="E5" s="240"/>
      <c r="F5" s="240"/>
      <c r="G5" s="240"/>
    </row>
    <row r="6" spans="1:7" x14ac:dyDescent="0.25">
      <c r="A6" s="6"/>
      <c r="B6" s="6"/>
      <c r="C6" s="6"/>
      <c r="D6" s="6"/>
      <c r="E6" s="6"/>
      <c r="F6" s="6"/>
      <c r="G6" s="6"/>
    </row>
    <row r="7" spans="1:7" ht="15.95" customHeight="1" x14ac:dyDescent="0.25">
      <c r="A7" s="8"/>
      <c r="B7" s="9" t="s">
        <v>33</v>
      </c>
      <c r="C7" s="241">
        <f>'АОСР-1'!M32</f>
        <v>1</v>
      </c>
      <c r="D7" s="241"/>
      <c r="E7" s="6"/>
      <c r="F7" s="6"/>
      <c r="G7" s="6"/>
    </row>
    <row r="8" spans="1:7" ht="31.5" customHeight="1" x14ac:dyDescent="0.25">
      <c r="A8" s="237" t="s">
        <v>34</v>
      </c>
      <c r="B8" s="238"/>
      <c r="C8" s="238"/>
      <c r="D8" s="238"/>
      <c r="E8" s="238"/>
      <c r="F8" s="238"/>
      <c r="G8" s="238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10"/>
      <c r="B10" s="11"/>
      <c r="C10" s="11"/>
      <c r="D10" s="11"/>
      <c r="E10" s="11"/>
      <c r="F10" s="231" t="str">
        <f>'Данные '!B4</f>
        <v>25.08.2025</v>
      </c>
      <c r="G10" s="231"/>
    </row>
    <row r="11" spans="1:7" x14ac:dyDescent="0.25">
      <c r="A11" s="11"/>
      <c r="B11" s="11"/>
      <c r="C11" s="11"/>
      <c r="D11" s="11"/>
      <c r="E11" s="11"/>
      <c r="F11" s="11"/>
      <c r="G11" s="11"/>
    </row>
    <row r="12" spans="1:7" ht="15.95" customHeight="1" x14ac:dyDescent="0.25">
      <c r="A12" s="229" t="s">
        <v>35</v>
      </c>
      <c r="B12" s="230"/>
      <c r="C12" s="230"/>
      <c r="D12" s="230"/>
      <c r="E12" s="230"/>
      <c r="F12" s="230"/>
      <c r="G12" s="230"/>
    </row>
    <row r="13" spans="1:7" ht="15.95" customHeight="1" x14ac:dyDescent="0.25">
      <c r="A13" s="12" t="s">
        <v>36</v>
      </c>
      <c r="B13" s="232" t="str">
        <f>CONCATENATE('Данные '!B18," ",'Данные '!B17," ",'Данные '!B19)</f>
        <v>Гл.инженер ООО «КСС Регион» Сигарев А.А.</v>
      </c>
      <c r="C13" s="232"/>
      <c r="D13" s="232"/>
      <c r="E13" s="232"/>
      <c r="F13" s="232"/>
      <c r="G13" s="232"/>
    </row>
    <row r="14" spans="1:7" ht="13.5" customHeight="1" x14ac:dyDescent="0.25">
      <c r="A14" s="12"/>
      <c r="B14" s="233" t="s">
        <v>37</v>
      </c>
      <c r="C14" s="233"/>
      <c r="D14" s="233"/>
      <c r="E14" s="233"/>
      <c r="F14" s="233"/>
      <c r="G14" s="233"/>
    </row>
    <row r="15" spans="1:7" ht="15.95" hidden="1" customHeight="1" x14ac:dyDescent="0.25">
      <c r="A15" s="12" t="s">
        <v>38</v>
      </c>
      <c r="B15" s="234" t="str">
        <f>CONCATENATE('Данные '!B20," ",'Данные '!B19," ",'Данные '!B21)</f>
        <v>- Сигарев А.А. Ефремкин Е.И.</v>
      </c>
      <c r="C15" s="234"/>
      <c r="D15" s="234"/>
      <c r="E15" s="234"/>
      <c r="F15" s="234"/>
      <c r="G15" s="234"/>
    </row>
    <row r="16" spans="1:7" ht="18" hidden="1" customHeight="1" x14ac:dyDescent="0.25">
      <c r="A16" s="12"/>
      <c r="B16" s="235" t="s">
        <v>37</v>
      </c>
      <c r="C16" s="235"/>
      <c r="D16" s="235"/>
      <c r="E16" s="235"/>
      <c r="F16" s="235"/>
      <c r="G16" s="235"/>
    </row>
    <row r="17" spans="1:7" x14ac:dyDescent="0.25">
      <c r="A17" s="12" t="s">
        <v>39</v>
      </c>
      <c r="B17" s="232" t="str">
        <f>CONCATENATE('Данные '!B10," ",'Данные '!B7," ",'Данные '!B11)</f>
        <v>Прораб ООО "Энергосистемы" Волков М.Ю.</v>
      </c>
      <c r="C17" s="232"/>
      <c r="D17" s="232"/>
      <c r="E17" s="232"/>
      <c r="F17" s="232"/>
      <c r="G17" s="232"/>
    </row>
    <row r="18" spans="1:7" ht="15" customHeight="1" x14ac:dyDescent="0.25">
      <c r="A18" s="12"/>
      <c r="B18" s="233" t="s">
        <v>37</v>
      </c>
      <c r="C18" s="233"/>
      <c r="D18" s="233"/>
      <c r="E18" s="233"/>
      <c r="F18" s="233"/>
      <c r="G18" s="233"/>
    </row>
    <row r="19" spans="1:7" x14ac:dyDescent="0.25">
      <c r="A19" s="11"/>
      <c r="B19" s="11"/>
      <c r="C19" s="11"/>
      <c r="D19" s="11"/>
      <c r="E19" s="11"/>
      <c r="F19" s="11"/>
      <c r="G19" s="11"/>
    </row>
    <row r="20" spans="1:7" ht="27.75" customHeight="1" x14ac:dyDescent="0.25">
      <c r="A20" s="236" t="s">
        <v>40</v>
      </c>
      <c r="B20" s="230"/>
      <c r="C20" s="230"/>
      <c r="D20" s="230"/>
      <c r="E20" s="230"/>
      <c r="F20" s="230"/>
      <c r="G20" s="230"/>
    </row>
    <row r="21" spans="1:7" ht="15" customHeight="1" x14ac:dyDescent="0.25">
      <c r="A21" s="10" t="s">
        <v>41</v>
      </c>
      <c r="B21" s="165" t="str">
        <f>B5</f>
        <v>ГНБ №1</v>
      </c>
      <c r="C21" s="11" t="s">
        <v>42</v>
      </c>
      <c r="D21" s="11"/>
      <c r="E21" s="11"/>
      <c r="F21" s="11"/>
      <c r="G21" s="11"/>
    </row>
    <row r="22" spans="1:7" ht="15" customHeight="1" x14ac:dyDescent="0.25">
      <c r="A22" s="13" t="s">
        <v>43</v>
      </c>
      <c r="B22" s="232" t="str">
        <f>'Данные '!B33</f>
        <v>4741-259941-257-12/23</v>
      </c>
      <c r="C22" s="232"/>
      <c r="D22" s="232"/>
      <c r="E22" s="11"/>
      <c r="F22" s="11"/>
      <c r="G22" s="11"/>
    </row>
    <row r="23" spans="1:7" ht="15" customHeight="1" x14ac:dyDescent="0.25">
      <c r="A23" s="13" t="s">
        <v>44</v>
      </c>
      <c r="B23" s="11"/>
      <c r="C23" s="11"/>
      <c r="D23" s="11"/>
      <c r="E23" s="11"/>
      <c r="F23" s="11"/>
      <c r="G23" s="11"/>
    </row>
    <row r="24" spans="1:7" x14ac:dyDescent="0.25">
      <c r="A24" s="236" t="s">
        <v>45</v>
      </c>
      <c r="B24" s="230"/>
      <c r="C24" s="230"/>
      <c r="D24" s="230"/>
      <c r="E24" s="230"/>
      <c r="F24" s="230"/>
      <c r="G24" s="230"/>
    </row>
    <row r="25" spans="1:7" ht="32.1" customHeight="1" x14ac:dyDescent="0.25">
      <c r="A25" s="11"/>
      <c r="B25" s="11"/>
      <c r="C25" s="11"/>
      <c r="D25" s="11"/>
      <c r="E25" s="11"/>
      <c r="F25" s="11"/>
      <c r="G25" s="11"/>
    </row>
    <row r="26" spans="1:7" ht="19.5" customHeight="1" x14ac:dyDescent="0.25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25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25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25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2.5" x14ac:dyDescent="0.25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25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25">
      <c r="A32" s="11"/>
      <c r="B32" s="11"/>
      <c r="C32" s="11"/>
      <c r="D32" s="11"/>
      <c r="E32" s="11"/>
      <c r="F32" s="11"/>
      <c r="G32" s="11"/>
    </row>
    <row r="33" spans="1:7" x14ac:dyDescent="0.25">
      <c r="A33" s="11"/>
      <c r="B33" s="11"/>
      <c r="C33" s="11"/>
      <c r="D33" s="11"/>
      <c r="E33" s="11"/>
      <c r="F33" s="11"/>
      <c r="G33" s="11"/>
    </row>
    <row r="34" spans="1:7" hidden="1" x14ac:dyDescent="0.25">
      <c r="A34" s="229" t="s">
        <v>52</v>
      </c>
      <c r="B34" s="230"/>
      <c r="C34" s="230"/>
      <c r="D34" s="230"/>
      <c r="E34" s="230"/>
      <c r="F34" s="230"/>
      <c r="G34" s="230"/>
    </row>
    <row r="37" spans="1:7" ht="30" customHeight="1" x14ac:dyDescent="0.25"/>
  </sheetData>
  <mergeCells count="18">
    <mergeCell ref="A8:G8"/>
    <mergeCell ref="A1:G1"/>
    <mergeCell ref="A2:G2"/>
    <mergeCell ref="B4:G4"/>
    <mergeCell ref="B5:G5"/>
    <mergeCell ref="C7:D7"/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C23" sqref="C23"/>
    </sheetView>
  </sheetViews>
  <sheetFormatPr defaultRowHeight="15" x14ac:dyDescent="0.25"/>
  <cols>
    <col min="1" max="1" width="21.140625" style="68" customWidth="1"/>
    <col min="2" max="2" width="16.85546875" style="68" customWidth="1"/>
    <col min="3" max="3" width="6.28515625" style="68" customWidth="1"/>
    <col min="4" max="4" width="9.140625" style="68"/>
    <col min="5" max="5" width="4" style="68" customWidth="1"/>
    <col min="6" max="6" width="15" style="68" customWidth="1"/>
    <col min="7" max="16384" width="9.140625" style="68"/>
  </cols>
  <sheetData>
    <row r="1" spans="1:8" x14ac:dyDescent="0.25">
      <c r="A1" s="246" t="s">
        <v>29</v>
      </c>
      <c r="B1" s="246"/>
      <c r="C1" s="246"/>
      <c r="D1" s="246"/>
      <c r="E1" s="246"/>
      <c r="F1" s="246"/>
      <c r="G1" s="246"/>
      <c r="H1" s="246"/>
    </row>
    <row r="2" spans="1:8" ht="15" customHeight="1" x14ac:dyDescent="0.25">
      <c r="A2" s="246" t="s">
        <v>262</v>
      </c>
      <c r="B2" s="246"/>
      <c r="C2" s="246"/>
      <c r="D2" s="246"/>
      <c r="E2" s="246"/>
      <c r="F2" s="246"/>
      <c r="G2" s="246"/>
      <c r="H2" s="246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39" t="str">
        <f>'Данные '!B1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C4" s="239"/>
      <c r="D4" s="239"/>
      <c r="E4" s="239"/>
      <c r="F4" s="239"/>
      <c r="G4" s="239"/>
      <c r="H4" s="239"/>
    </row>
    <row r="5" spans="1:8" x14ac:dyDescent="0.25">
      <c r="A5" s="64" t="s">
        <v>32</v>
      </c>
      <c r="B5" s="240" t="str">
        <f>'Данные '!B36</f>
        <v>ГНБ №1</v>
      </c>
      <c r="C5" s="240"/>
      <c r="D5" s="240"/>
      <c r="E5" s="240"/>
      <c r="F5" s="240"/>
      <c r="G5" s="240"/>
      <c r="H5" s="240"/>
    </row>
    <row r="6" spans="1:8" x14ac:dyDescent="0.25">
      <c r="A6" s="63"/>
      <c r="B6" s="63"/>
      <c r="C6" s="63"/>
      <c r="D6" s="63"/>
      <c r="E6" s="63"/>
      <c r="F6" s="63"/>
    </row>
    <row r="7" spans="1:8" ht="15.95" customHeight="1" x14ac:dyDescent="0.25">
      <c r="B7" s="20"/>
      <c r="C7" s="20" t="s">
        <v>33</v>
      </c>
      <c r="D7" s="76">
        <f>'Форма 2'!C7</f>
        <v>1</v>
      </c>
      <c r="E7" s="20"/>
      <c r="F7" s="20"/>
      <c r="G7" s="20"/>
      <c r="H7" s="20"/>
    </row>
    <row r="8" spans="1:8" ht="27.75" customHeight="1" x14ac:dyDescent="0.25">
      <c r="A8" s="242" t="s">
        <v>58</v>
      </c>
      <c r="B8" s="242"/>
      <c r="C8" s="242"/>
      <c r="D8" s="242"/>
      <c r="E8" s="242"/>
      <c r="F8" s="242"/>
      <c r="G8" s="242"/>
      <c r="H8" s="242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31" t="str">
        <f>'Форма 2'!F10</f>
        <v>25.08.2025</v>
      </c>
      <c r="G10" s="231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29" t="s">
        <v>35</v>
      </c>
      <c r="B12" s="230"/>
      <c r="C12" s="230"/>
      <c r="D12" s="230"/>
      <c r="E12" s="230"/>
      <c r="F12" s="230"/>
    </row>
    <row r="13" spans="1:8" x14ac:dyDescent="0.25">
      <c r="A13" s="64" t="s">
        <v>36</v>
      </c>
      <c r="B13" s="244" t="str">
        <f>CONCATENATE('Данные '!B18," ",'Данные '!B17," ",'Данные '!B19)</f>
        <v>Гл.инженер ООО «КСС Регион» Сигарев А.А.</v>
      </c>
      <c r="C13" s="244"/>
      <c r="D13" s="244"/>
      <c r="E13" s="244"/>
      <c r="F13" s="244"/>
      <c r="G13" s="244"/>
      <c r="H13" s="244"/>
    </row>
    <row r="14" spans="1:8" ht="17.25" customHeight="1" x14ac:dyDescent="0.25">
      <c r="A14" s="64"/>
      <c r="B14" s="243" t="s">
        <v>37</v>
      </c>
      <c r="C14" s="243"/>
      <c r="D14" s="243"/>
      <c r="E14" s="243"/>
      <c r="F14" s="243"/>
      <c r="G14" s="243"/>
      <c r="H14" s="243"/>
    </row>
    <row r="15" spans="1:8" ht="22.5" hidden="1" x14ac:dyDescent="0.25">
      <c r="A15" s="64" t="s">
        <v>38</v>
      </c>
      <c r="B15" s="239"/>
      <c r="C15" s="239"/>
      <c r="D15" s="239"/>
      <c r="E15" s="239"/>
      <c r="F15" s="239"/>
      <c r="G15" s="239"/>
      <c r="H15" s="239"/>
    </row>
    <row r="16" spans="1:8" ht="16.5" hidden="1" customHeight="1" x14ac:dyDescent="0.25">
      <c r="A16" s="64"/>
      <c r="B16" s="235" t="s">
        <v>37</v>
      </c>
      <c r="C16" s="235"/>
      <c r="D16" s="235"/>
      <c r="E16" s="235"/>
      <c r="F16" s="235"/>
      <c r="G16" s="235"/>
      <c r="H16" s="235"/>
    </row>
    <row r="17" spans="1:8" x14ac:dyDescent="0.25">
      <c r="A17" s="64" t="s">
        <v>39</v>
      </c>
      <c r="B17" s="232" t="str">
        <f>CONCATENATE('Данные '!B10," ",'Данные '!B7," ",'Данные '!B11)</f>
        <v>Прораб ООО "Энергосистемы" Волков М.Ю.</v>
      </c>
      <c r="C17" s="232"/>
      <c r="D17" s="232"/>
      <c r="E17" s="232"/>
      <c r="F17" s="232"/>
      <c r="G17" s="232"/>
      <c r="H17" s="232"/>
    </row>
    <row r="18" spans="1:8" ht="16.5" customHeight="1" x14ac:dyDescent="0.25">
      <c r="A18" s="64"/>
      <c r="B18" s="243" t="s">
        <v>37</v>
      </c>
      <c r="C18" s="243"/>
      <c r="D18" s="243"/>
      <c r="E18" s="243"/>
      <c r="F18" s="243"/>
      <c r="G18" s="243"/>
      <c r="H18" s="243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45" t="str">
        <f>B5</f>
        <v>ГНБ №1</v>
      </c>
      <c r="D20" s="245"/>
      <c r="E20" s="10"/>
      <c r="F20" s="229" t="s">
        <v>60</v>
      </c>
      <c r="G20" s="229"/>
      <c r="H20" s="229"/>
    </row>
    <row r="21" spans="1:8" ht="16.5" customHeight="1" x14ac:dyDescent="0.25">
      <c r="A21" s="229" t="s">
        <v>61</v>
      </c>
      <c r="B21" s="229"/>
      <c r="C21" s="244" t="str">
        <f>'Данные '!B33</f>
        <v>4741-259941-257-12/23</v>
      </c>
      <c r="D21" s="244"/>
      <c r="E21" s="244"/>
      <c r="F21" s="64"/>
      <c r="G21" s="64"/>
      <c r="H21" s="64"/>
    </row>
    <row r="22" spans="1:8" ht="14.25" customHeight="1" x14ac:dyDescent="0.25">
      <c r="A22" s="229" t="s">
        <v>263</v>
      </c>
      <c r="B22" s="229"/>
      <c r="C22" s="163">
        <f>'Форма 1'!B75</f>
        <v>500</v>
      </c>
      <c r="D22" s="69" t="s">
        <v>62</v>
      </c>
      <c r="E22" s="69"/>
      <c r="F22" s="69"/>
    </row>
    <row r="23" spans="1:8" ht="14.25" customHeight="1" x14ac:dyDescent="0.25">
      <c r="A23" s="229" t="s">
        <v>63</v>
      </c>
      <c r="B23" s="229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29" t="s">
        <v>52</v>
      </c>
      <c r="B33" s="230"/>
      <c r="C33" s="230"/>
      <c r="D33" s="230"/>
      <c r="E33" s="230"/>
      <c r="F33" s="230"/>
    </row>
  </sheetData>
  <mergeCells count="20">
    <mergeCell ref="A1:H1"/>
    <mergeCell ref="A2:H2"/>
    <mergeCell ref="B13:H13"/>
    <mergeCell ref="F20:H20"/>
    <mergeCell ref="A12:F12"/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zoomScaleNormal="100" zoomScaleSheetLayoutView="100" workbookViewId="0">
      <selection activeCell="A52" sqref="A52:H52"/>
    </sheetView>
  </sheetViews>
  <sheetFormatPr defaultRowHeight="11.25" x14ac:dyDescent="0.2"/>
  <cols>
    <col min="1" max="1" width="27.140625" style="4" customWidth="1"/>
    <col min="2" max="7" width="9.140625" style="4"/>
    <col min="8" max="8" width="3.7109375" style="4" customWidth="1"/>
    <col min="9" max="16384" width="9.140625" style="4"/>
  </cols>
  <sheetData>
    <row r="1" spans="1:8" ht="15.95" customHeight="1" x14ac:dyDescent="0.2">
      <c r="A1" s="246" t="s">
        <v>53</v>
      </c>
      <c r="B1" s="246"/>
      <c r="C1" s="246"/>
      <c r="D1" s="246"/>
      <c r="E1" s="246"/>
      <c r="F1" s="227"/>
      <c r="G1" s="227"/>
      <c r="H1" s="227"/>
    </row>
    <row r="2" spans="1:8" ht="15.95" customHeight="1" x14ac:dyDescent="0.2">
      <c r="A2" s="257" t="s">
        <v>64</v>
      </c>
      <c r="B2" s="257"/>
      <c r="C2" s="257"/>
      <c r="D2" s="257"/>
      <c r="E2" s="257"/>
      <c r="F2" s="219"/>
      <c r="G2" s="219"/>
      <c r="H2" s="219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80.25" customHeight="1" x14ac:dyDescent="0.2">
      <c r="A4" s="78" t="s">
        <v>54</v>
      </c>
      <c r="B4" s="259" t="str">
        <f>'Данные '!B1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C4" s="259"/>
      <c r="D4" s="259"/>
      <c r="E4" s="259"/>
      <c r="F4" s="259"/>
      <c r="G4" s="259"/>
      <c r="H4" s="259"/>
    </row>
    <row r="5" spans="1:8" x14ac:dyDescent="0.2">
      <c r="A5" s="78" t="s">
        <v>55</v>
      </c>
      <c r="B5" s="260" t="str">
        <f>'Данные '!B36</f>
        <v>ГНБ №1</v>
      </c>
      <c r="C5" s="260"/>
      <c r="D5" s="260"/>
      <c r="E5" s="260"/>
      <c r="F5" s="260"/>
      <c r="G5" s="260"/>
      <c r="H5" s="260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5" customHeight="1" x14ac:dyDescent="0.2">
      <c r="A8" s="79"/>
      <c r="B8" s="80"/>
      <c r="C8" s="91" t="s">
        <v>33</v>
      </c>
      <c r="D8" s="82">
        <f>'Форма 2'!C7</f>
        <v>1</v>
      </c>
      <c r="E8" s="80"/>
      <c r="F8" s="80"/>
      <c r="G8" s="80"/>
      <c r="H8" s="80"/>
    </row>
    <row r="9" spans="1:8" ht="15.95" customHeight="1" x14ac:dyDescent="0.2">
      <c r="A9" s="258" t="s">
        <v>65</v>
      </c>
      <c r="B9" s="258"/>
      <c r="C9" s="258"/>
      <c r="D9" s="258"/>
      <c r="E9" s="258"/>
      <c r="F9" s="219"/>
      <c r="G9" s="219"/>
      <c r="H9" s="219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5" hidden="1" customHeight="1" x14ac:dyDescent="0.2">
      <c r="A11" s="254" t="s">
        <v>66</v>
      </c>
      <c r="B11" s="254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5" x14ac:dyDescent="0.25">
      <c r="A13" s="84"/>
      <c r="B13" s="85"/>
      <c r="C13" s="85"/>
      <c r="D13" s="85"/>
      <c r="E13" s="85"/>
      <c r="F13" s="251" t="str">
        <f>'Форма 2'!F10</f>
        <v>25.08.2025</v>
      </c>
      <c r="G13" s="251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5" customHeight="1" x14ac:dyDescent="0.2">
      <c r="A15" s="254" t="s">
        <v>67</v>
      </c>
      <c r="B15" s="254"/>
      <c r="C15" s="254"/>
      <c r="D15" s="254"/>
      <c r="E15" s="254"/>
      <c r="F15" s="219"/>
      <c r="G15" s="219"/>
      <c r="H15" s="219"/>
    </row>
    <row r="16" spans="1:8" x14ac:dyDescent="0.2">
      <c r="A16" s="78" t="s">
        <v>56</v>
      </c>
      <c r="B16" s="259" t="str">
        <f>CONCATENATE('Данные '!B18," ",'Данные '!B17," ",'Данные '!B19)</f>
        <v>Гл.инженер ООО «КСС Регион» Сигарев А.А.</v>
      </c>
      <c r="C16" s="259"/>
      <c r="D16" s="259"/>
      <c r="E16" s="259"/>
      <c r="F16" s="259"/>
      <c r="G16" s="259"/>
      <c r="H16" s="259"/>
    </row>
    <row r="17" spans="1:8" ht="15" customHeight="1" x14ac:dyDescent="0.2">
      <c r="A17" s="78"/>
      <c r="B17" s="255" t="s">
        <v>57</v>
      </c>
      <c r="C17" s="255"/>
      <c r="D17" s="255"/>
      <c r="E17" s="255"/>
      <c r="F17" s="255"/>
      <c r="G17" s="255"/>
      <c r="H17" s="255"/>
    </row>
    <row r="18" spans="1:8" x14ac:dyDescent="0.2">
      <c r="A18" s="78" t="s">
        <v>68</v>
      </c>
      <c r="B18" s="259" t="str">
        <f>CONCATENATE('Данные '!B10," ",'Данные '!B7," ",'Данные '!B11)</f>
        <v>Прораб ООО "Энергосистемы" Волков М.Ю.</v>
      </c>
      <c r="C18" s="259"/>
      <c r="D18" s="259"/>
      <c r="E18" s="259"/>
      <c r="F18" s="259"/>
      <c r="G18" s="259"/>
      <c r="H18" s="259"/>
    </row>
    <row r="19" spans="1:8" ht="15" customHeight="1" x14ac:dyDescent="0.2">
      <c r="A19" s="78"/>
      <c r="B19" s="255" t="s">
        <v>57</v>
      </c>
      <c r="C19" s="255"/>
      <c r="D19" s="255"/>
      <c r="E19" s="255"/>
      <c r="F19" s="255"/>
      <c r="G19" s="255"/>
      <c r="H19" s="255"/>
    </row>
    <row r="20" spans="1:8" ht="15.75" hidden="1" customHeight="1" x14ac:dyDescent="0.2">
      <c r="A20" s="78" t="s">
        <v>69</v>
      </c>
      <c r="B20" s="253"/>
      <c r="C20" s="253"/>
      <c r="D20" s="253"/>
      <c r="E20" s="253"/>
      <c r="F20" s="253"/>
      <c r="G20" s="253"/>
      <c r="H20" s="253"/>
    </row>
    <row r="21" spans="1:8" ht="15" hidden="1" customHeight="1" x14ac:dyDescent="0.2">
      <c r="A21" s="78"/>
      <c r="B21" s="252" t="s">
        <v>57</v>
      </c>
      <c r="C21" s="252"/>
      <c r="D21" s="252"/>
      <c r="E21" s="252"/>
      <c r="F21" s="252"/>
      <c r="G21" s="252"/>
      <c r="H21" s="252"/>
    </row>
    <row r="22" spans="1:8" ht="22.5" hidden="1" x14ac:dyDescent="0.2">
      <c r="A22" s="78" t="s">
        <v>70</v>
      </c>
      <c r="B22" s="253"/>
      <c r="C22" s="253"/>
      <c r="D22" s="253"/>
      <c r="E22" s="253"/>
      <c r="F22" s="253"/>
      <c r="G22" s="253"/>
      <c r="H22" s="253"/>
    </row>
    <row r="23" spans="1:8" ht="15" hidden="1" customHeight="1" x14ac:dyDescent="0.2">
      <c r="A23" s="78"/>
      <c r="B23" s="252" t="s">
        <v>57</v>
      </c>
      <c r="C23" s="252"/>
      <c r="D23" s="252"/>
      <c r="E23" s="252"/>
      <c r="F23" s="252"/>
      <c r="G23" s="252"/>
      <c r="H23" s="252"/>
    </row>
    <row r="24" spans="1:8" ht="19.5" hidden="1" customHeight="1" x14ac:dyDescent="0.2">
      <c r="A24" s="78" t="s">
        <v>71</v>
      </c>
      <c r="B24" s="253"/>
      <c r="C24" s="253"/>
      <c r="D24" s="253"/>
      <c r="E24" s="253"/>
      <c r="F24" s="253"/>
      <c r="G24" s="253"/>
      <c r="H24" s="253"/>
    </row>
    <row r="25" spans="1:8" ht="11.25" hidden="1" customHeight="1" x14ac:dyDescent="0.2">
      <c r="A25" s="86"/>
      <c r="B25" s="252" t="s">
        <v>57</v>
      </c>
      <c r="C25" s="252"/>
      <c r="D25" s="252"/>
      <c r="E25" s="252"/>
      <c r="F25" s="252"/>
      <c r="G25" s="252"/>
      <c r="H25" s="252"/>
    </row>
    <row r="26" spans="1:8" ht="16.5" customHeight="1" x14ac:dyDescent="0.2">
      <c r="A26" s="254" t="s">
        <v>72</v>
      </c>
      <c r="B26" s="254"/>
      <c r="C26" s="84"/>
      <c r="D26" s="244" t="str">
        <f>'Данные '!B17</f>
        <v>ООО «КСС Регион»</v>
      </c>
      <c r="E26" s="244"/>
      <c r="F26" s="244"/>
      <c r="G26" s="244"/>
      <c r="H26" s="244"/>
    </row>
    <row r="27" spans="1:8" x14ac:dyDescent="0.2">
      <c r="A27" s="93"/>
      <c r="B27" s="93"/>
      <c r="C27" s="93"/>
      <c r="D27" s="255" t="s">
        <v>87</v>
      </c>
      <c r="E27" s="255"/>
      <c r="F27" s="255"/>
      <c r="G27" s="255"/>
      <c r="H27" s="255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50" t="s">
        <v>74</v>
      </c>
      <c r="B29" s="250"/>
      <c r="C29" s="250"/>
      <c r="D29" s="250"/>
      <c r="E29" s="250"/>
      <c r="F29" s="219"/>
      <c r="G29" s="219"/>
      <c r="H29" s="219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5" customHeight="1" x14ac:dyDescent="0.2">
      <c r="A31" s="250" t="s">
        <v>75</v>
      </c>
      <c r="B31" s="250"/>
      <c r="C31" s="250"/>
      <c r="D31" s="250"/>
      <c r="E31" s="250"/>
      <c r="F31" s="219"/>
      <c r="G31" s="219"/>
      <c r="H31" s="219"/>
    </row>
    <row r="32" spans="1:8" ht="14.25" customHeight="1" x14ac:dyDescent="0.2">
      <c r="A32" s="254" t="s">
        <v>76</v>
      </c>
      <c r="B32" s="254"/>
      <c r="C32" s="254"/>
      <c r="D32" s="94">
        <f>'Данные '!B37</f>
        <v>1</v>
      </c>
      <c r="E32" s="84"/>
      <c r="F32" s="71"/>
      <c r="G32" s="71"/>
      <c r="H32" s="71"/>
    </row>
    <row r="33" spans="1:8" ht="15.95" customHeight="1" x14ac:dyDescent="0.2">
      <c r="A33" s="89" t="s">
        <v>88</v>
      </c>
      <c r="B33" s="244" t="str">
        <f>'Данные '!B31</f>
        <v>ООО "Энергосистемы"</v>
      </c>
      <c r="C33" s="244"/>
      <c r="D33" s="84" t="s">
        <v>89</v>
      </c>
      <c r="E33" s="244" t="str">
        <f>'Данные '!B33</f>
        <v>4741-259941-257-12/23</v>
      </c>
      <c r="F33" s="244"/>
      <c r="G33" s="244"/>
      <c r="H33" s="244"/>
    </row>
    <row r="34" spans="1:8" ht="17.25" customHeight="1" x14ac:dyDescent="0.2">
      <c r="A34" s="250" t="s">
        <v>77</v>
      </c>
      <c r="B34" s="250"/>
      <c r="C34" s="250"/>
      <c r="D34" s="250"/>
      <c r="E34" s="250"/>
      <c r="F34" s="219"/>
      <c r="G34" s="219"/>
      <c r="H34" s="219"/>
    </row>
    <row r="35" spans="1:8" ht="15.75" customHeight="1" x14ac:dyDescent="0.2">
      <c r="A35" s="250" t="s">
        <v>78</v>
      </c>
      <c r="B35" s="250"/>
      <c r="C35" s="250"/>
      <c r="D35" s="250"/>
      <c r="E35" s="250"/>
      <c r="F35" s="219"/>
      <c r="G35" s="219"/>
      <c r="H35" s="219"/>
    </row>
    <row r="36" spans="1:8" ht="32.1" hidden="1" customHeight="1" x14ac:dyDescent="0.2">
      <c r="A36" s="250" t="s">
        <v>79</v>
      </c>
      <c r="B36" s="250"/>
      <c r="C36" s="250"/>
      <c r="D36" s="250"/>
      <c r="E36" s="250"/>
      <c r="F36" s="219"/>
      <c r="G36" s="219"/>
      <c r="H36" s="219"/>
    </row>
    <row r="37" spans="1:8" ht="32.1" hidden="1" customHeight="1" x14ac:dyDescent="0.2">
      <c r="A37" s="250" t="s">
        <v>80</v>
      </c>
      <c r="B37" s="250"/>
      <c r="C37" s="250"/>
      <c r="D37" s="250"/>
      <c r="E37" s="250"/>
      <c r="F37" s="219"/>
      <c r="G37" s="219"/>
      <c r="H37" s="219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5" customHeight="1" x14ac:dyDescent="0.2">
      <c r="A39" s="250" t="s">
        <v>81</v>
      </c>
      <c r="B39" s="250"/>
      <c r="C39" s="250"/>
      <c r="D39" s="250"/>
      <c r="E39" s="250"/>
      <c r="F39" s="219"/>
      <c r="G39" s="219"/>
      <c r="H39" s="219"/>
    </row>
    <row r="40" spans="1:8" ht="15.95" customHeight="1" x14ac:dyDescent="0.2">
      <c r="A40" s="84" t="s">
        <v>82</v>
      </c>
      <c r="B40" s="253"/>
      <c r="C40" s="253"/>
      <c r="D40" s="253"/>
      <c r="E40" s="253"/>
      <c r="F40" s="253"/>
      <c r="G40" s="253"/>
      <c r="H40" s="253"/>
    </row>
    <row r="41" spans="1:8" ht="17.25" customHeight="1" x14ac:dyDescent="0.2">
      <c r="A41" s="256" t="s">
        <v>90</v>
      </c>
      <c r="B41" s="256"/>
      <c r="C41" s="256"/>
      <c r="D41" s="256"/>
      <c r="E41" s="256"/>
      <c r="F41" s="256"/>
      <c r="G41" s="256"/>
      <c r="H41" s="256"/>
    </row>
    <row r="42" spans="1:8" ht="13.5" customHeight="1" x14ac:dyDescent="0.2">
      <c r="A42" s="95" t="s">
        <v>91</v>
      </c>
      <c r="B42" s="94" t="str">
        <f>'Данные '!B38</f>
        <v>3х150</v>
      </c>
      <c r="C42" s="95" t="s">
        <v>92</v>
      </c>
      <c r="D42" s="84"/>
      <c r="E42" s="244" t="str">
        <f>'АОСР-1'!B67</f>
        <v>Труба ПЭ F110 D160мм</v>
      </c>
      <c r="F42" s="244"/>
      <c r="G42" s="244"/>
      <c r="H42" s="244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49" t="s">
        <v>95</v>
      </c>
      <c r="B45" s="250"/>
      <c r="C45" s="250"/>
      <c r="D45" s="250"/>
      <c r="E45" s="250"/>
      <c r="F45" s="219"/>
      <c r="G45" s="219"/>
      <c r="H45" s="219"/>
    </row>
    <row r="46" spans="1:8" ht="15.95" customHeight="1" x14ac:dyDescent="0.2">
      <c r="A46" s="249" t="s">
        <v>96</v>
      </c>
      <c r="B46" s="250"/>
      <c r="C46" s="250"/>
      <c r="D46" s="250"/>
      <c r="E46" s="250"/>
      <c r="F46" s="219"/>
      <c r="G46" s="219"/>
      <c r="H46" s="219"/>
    </row>
    <row r="47" spans="1:8" ht="15.95" customHeight="1" x14ac:dyDescent="0.2">
      <c r="A47" s="96" t="s">
        <v>97</v>
      </c>
      <c r="B47" s="95"/>
      <c r="C47" s="95"/>
      <c r="D47" s="95"/>
      <c r="E47" s="161">
        <f>'Форма 1'!B75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5" customHeight="1" x14ac:dyDescent="0.2">
      <c r="A49" s="250" t="s">
        <v>83</v>
      </c>
      <c r="B49" s="250"/>
      <c r="C49" s="250"/>
      <c r="D49" s="250"/>
      <c r="E49" s="250"/>
      <c r="F49" s="219"/>
      <c r="G49" s="219"/>
      <c r="H49" s="219"/>
    </row>
    <row r="50" spans="1:8" ht="15" customHeight="1" x14ac:dyDescent="0.2">
      <c r="A50" s="250" t="s">
        <v>84</v>
      </c>
      <c r="B50" s="250"/>
      <c r="C50" s="250"/>
      <c r="D50" s="250"/>
      <c r="E50" s="250"/>
      <c r="F50" s="219"/>
      <c r="G50" s="219"/>
      <c r="H50" s="219"/>
    </row>
    <row r="51" spans="1:8" ht="25.5" customHeight="1" x14ac:dyDescent="0.2">
      <c r="A51" s="250" t="s">
        <v>85</v>
      </c>
      <c r="B51" s="250"/>
      <c r="C51" s="250"/>
      <c r="D51" s="250"/>
      <c r="E51" s="250"/>
      <c r="F51" s="219"/>
      <c r="G51" s="219"/>
      <c r="H51" s="219"/>
    </row>
    <row r="52" spans="1:8" ht="19.5" customHeight="1" x14ac:dyDescent="0.2">
      <c r="A52" s="249" t="s">
        <v>99</v>
      </c>
      <c r="B52" s="250"/>
      <c r="C52" s="250"/>
      <c r="D52" s="250"/>
      <c r="E52" s="250"/>
      <c r="F52" s="219"/>
      <c r="G52" s="219"/>
      <c r="H52" s="219"/>
    </row>
    <row r="54" spans="1:8" ht="15.95" customHeight="1" x14ac:dyDescent="0.2">
      <c r="A54" s="236" t="s">
        <v>86</v>
      </c>
      <c r="B54" s="236"/>
      <c r="C54" s="236"/>
      <c r="D54" s="236"/>
      <c r="E54" s="236"/>
      <c r="F54" s="227"/>
      <c r="G54" s="227"/>
      <c r="H54" s="227"/>
    </row>
    <row r="55" spans="1:8" x14ac:dyDescent="0.2">
      <c r="A55" s="162" t="s">
        <v>328</v>
      </c>
      <c r="B55" s="12"/>
      <c r="C55" s="12"/>
      <c r="D55" s="12"/>
      <c r="E55" s="248"/>
      <c r="F55" s="248"/>
      <c r="G55" s="247" t="str">
        <f>'Данные '!B19</f>
        <v>Сигарев А.А.</v>
      </c>
      <c r="H55" s="247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327</v>
      </c>
      <c r="B57" s="12"/>
      <c r="C57" s="12"/>
      <c r="D57" s="12"/>
      <c r="E57" s="248"/>
      <c r="F57" s="248"/>
      <c r="G57" s="247" t="str">
        <f>'Данные '!B11</f>
        <v>Волков М.Ю.</v>
      </c>
      <c r="H57" s="247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2.5" hidden="1" x14ac:dyDescent="0.2">
      <c r="A59" s="162" t="s">
        <v>329</v>
      </c>
      <c r="B59" s="12"/>
      <c r="C59" s="12"/>
      <c r="D59" s="12"/>
      <c r="E59" s="248"/>
      <c r="F59" s="248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t="22.5" hidden="1" x14ac:dyDescent="0.2">
      <c r="A61" s="12" t="s">
        <v>71</v>
      </c>
      <c r="B61" s="12"/>
      <c r="C61" s="12"/>
      <c r="D61" s="12"/>
      <c r="E61" s="248"/>
      <c r="F61" s="248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  <mergeCell ref="A32:C32"/>
    <mergeCell ref="B33:C33"/>
    <mergeCell ref="E33:H33"/>
    <mergeCell ref="A31:H31"/>
    <mergeCell ref="B19:H19"/>
    <mergeCell ref="B20:H20"/>
    <mergeCell ref="B21:H21"/>
    <mergeCell ref="B22:H22"/>
    <mergeCell ref="B40:H40"/>
    <mergeCell ref="A34:H34"/>
    <mergeCell ref="A35:H35"/>
    <mergeCell ref="A36:H36"/>
    <mergeCell ref="A37:H37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G55:H55"/>
    <mergeCell ref="G57:H57"/>
    <mergeCell ref="E42:H42"/>
    <mergeCell ref="E55:F55"/>
    <mergeCell ref="E57:F57"/>
    <mergeCell ref="A45:H45"/>
    <mergeCell ref="A46:H46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0"/>
  <sheetViews>
    <sheetView view="pageBreakPreview" zoomScaleNormal="100" zoomScaleSheetLayoutView="100" workbookViewId="0">
      <selection activeCell="F4" sqref="F4"/>
    </sheetView>
  </sheetViews>
  <sheetFormatPr defaultRowHeight="15" x14ac:dyDescent="0.25"/>
  <cols>
    <col min="1" max="1" width="11.140625" style="23" customWidth="1"/>
    <col min="2" max="2" width="9.140625" style="23"/>
    <col min="3" max="3" width="11.42578125" style="23" customWidth="1"/>
    <col min="4" max="4" width="12.28515625" style="23" customWidth="1"/>
    <col min="5" max="5" width="14" style="23" customWidth="1"/>
    <col min="6" max="6" width="17.7109375" style="23" customWidth="1"/>
    <col min="7" max="7" width="16" style="23" customWidth="1"/>
    <col min="8" max="8" width="23.5703125" style="23" customWidth="1"/>
    <col min="9" max="9" width="9.140625" style="23"/>
    <col min="10" max="10" width="12.5703125" style="23" customWidth="1"/>
    <col min="11" max="11" width="13.42578125" style="23" customWidth="1"/>
    <col min="12" max="16384" width="9.14062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51.5" customHeight="1" x14ac:dyDescent="0.25">
      <c r="G4" s="26" t="s">
        <v>31</v>
      </c>
      <c r="H4" s="261" t="str">
        <f>'Данные '!B1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I4" s="261"/>
      <c r="J4" s="261"/>
      <c r="K4" s="261"/>
    </row>
    <row r="5" spans="1:11" x14ac:dyDescent="0.25">
      <c r="H5" s="27" t="s">
        <v>32</v>
      </c>
      <c r="I5" s="261" t="str">
        <f>'Данные '!B36</f>
        <v>ГНБ №1</v>
      </c>
      <c r="J5" s="261"/>
      <c r="K5" s="261"/>
    </row>
    <row r="7" spans="1:11" ht="15.75" x14ac:dyDescent="0.25">
      <c r="A7" s="263" t="s">
        <v>118</v>
      </c>
      <c r="B7" s="263"/>
      <c r="C7" s="263"/>
      <c r="D7" s="263"/>
      <c r="E7" s="263"/>
      <c r="F7" s="263"/>
      <c r="G7" s="263"/>
      <c r="H7" s="263"/>
      <c r="I7" s="263"/>
      <c r="J7" s="263"/>
      <c r="K7" s="263"/>
    </row>
    <row r="8" spans="1:11" ht="15.75" x14ac:dyDescent="0.25">
      <c r="A8" s="263" t="s">
        <v>119</v>
      </c>
      <c r="B8" s="263"/>
      <c r="C8" s="263"/>
      <c r="D8" s="263"/>
      <c r="E8" s="263"/>
      <c r="F8" s="263"/>
      <c r="G8" s="263"/>
      <c r="H8" s="263"/>
      <c r="I8" s="263"/>
      <c r="J8" s="263"/>
      <c r="K8" s="263"/>
    </row>
    <row r="11" spans="1:11" x14ac:dyDescent="0.25">
      <c r="A11" s="264" t="s">
        <v>120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</row>
    <row r="12" spans="1:11" x14ac:dyDescent="0.25">
      <c r="A12" s="262" t="s">
        <v>121</v>
      </c>
      <c r="B12" s="262" t="s">
        <v>122</v>
      </c>
      <c r="C12" s="262" t="s">
        <v>123</v>
      </c>
      <c r="D12" s="262"/>
      <c r="E12" s="262"/>
      <c r="F12" s="262"/>
      <c r="G12" s="262"/>
      <c r="H12" s="262"/>
      <c r="I12" s="262"/>
      <c r="J12" s="262"/>
      <c r="K12" s="262" t="s">
        <v>124</v>
      </c>
    </row>
    <row r="13" spans="1:11" ht="47.25" customHeight="1" x14ac:dyDescent="0.25">
      <c r="A13" s="262"/>
      <c r="B13" s="262"/>
      <c r="C13" s="262" t="s">
        <v>125</v>
      </c>
      <c r="D13" s="262" t="s">
        <v>126</v>
      </c>
      <c r="E13" s="262" t="s">
        <v>127</v>
      </c>
      <c r="F13" s="262" t="s">
        <v>128</v>
      </c>
      <c r="G13" s="262" t="s">
        <v>129</v>
      </c>
      <c r="H13" s="262" t="s">
        <v>130</v>
      </c>
      <c r="I13" s="262" t="s">
        <v>131</v>
      </c>
      <c r="J13" s="262"/>
      <c r="K13" s="262"/>
    </row>
    <row r="14" spans="1:11" x14ac:dyDescent="0.25">
      <c r="A14" s="262"/>
      <c r="B14" s="262"/>
      <c r="C14" s="262"/>
      <c r="D14" s="262"/>
      <c r="E14" s="262"/>
      <c r="F14" s="262"/>
      <c r="G14" s="262"/>
      <c r="H14" s="262"/>
      <c r="I14" s="28" t="s">
        <v>132</v>
      </c>
      <c r="J14" s="28" t="s">
        <v>133</v>
      </c>
      <c r="K14" s="262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ht="45" x14ac:dyDescent="0.25">
      <c r="A16" s="73" t="str">
        <f>'Данные '!B4</f>
        <v>25.08.2025</v>
      </c>
      <c r="B16" s="58" t="str">
        <f>'Данные '!B36</f>
        <v>ГНБ №1</v>
      </c>
      <c r="C16" s="58">
        <v>1.02</v>
      </c>
      <c r="D16" s="58">
        <v>82</v>
      </c>
      <c r="E16" s="58">
        <v>11</v>
      </c>
      <c r="F16" s="58">
        <v>0.6</v>
      </c>
      <c r="G16" s="58">
        <v>13</v>
      </c>
      <c r="H16" s="58">
        <v>84</v>
      </c>
      <c r="I16" s="58">
        <v>17</v>
      </c>
      <c r="J16" s="58">
        <v>80</v>
      </c>
      <c r="K16" s="67" t="str">
        <f>CONCATENATE('Данные '!B18," ",'Данные '!B17," ",'Данные '!B19)</f>
        <v>Гл.инженер ООО «КСС Регион» Сигарев А.А.</v>
      </c>
    </row>
    <row r="17" spans="1:11" hidden="1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</row>
    <row r="19" spans="1:11" x14ac:dyDescent="0.25">
      <c r="A19" s="56" t="s">
        <v>260</v>
      </c>
    </row>
    <row r="20" spans="1:11" x14ac:dyDescent="0.25">
      <c r="A20" s="56" t="s">
        <v>330</v>
      </c>
    </row>
  </sheetData>
  <mergeCells count="16"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  <mergeCell ref="E13:E14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view="pageBreakPreview" topLeftCell="A9" zoomScaleNormal="100" zoomScaleSheetLayoutView="100" workbookViewId="0">
      <selection activeCell="E63" sqref="E63"/>
    </sheetView>
  </sheetViews>
  <sheetFormatPr defaultRowHeight="11.25" x14ac:dyDescent="0.2"/>
  <cols>
    <col min="1" max="1" width="20.42578125" style="4" customWidth="1"/>
    <col min="2" max="2" width="9.140625" style="4"/>
    <col min="3" max="3" width="13.140625" style="4" customWidth="1"/>
    <col min="4" max="4" width="10.5703125" style="4" customWidth="1"/>
    <col min="5" max="5" width="12.140625" style="4" customWidth="1"/>
    <col min="6" max="16384" width="9.140625" style="4"/>
  </cols>
  <sheetData>
    <row r="1" spans="1:7" x14ac:dyDescent="0.2">
      <c r="A1" s="246" t="s">
        <v>53</v>
      </c>
      <c r="B1" s="246"/>
      <c r="C1" s="246"/>
      <c r="D1" s="246"/>
      <c r="E1" s="246"/>
      <c r="F1" s="246"/>
      <c r="G1" s="246"/>
    </row>
    <row r="2" spans="1:7" x14ac:dyDescent="0.2">
      <c r="A2" s="257" t="s">
        <v>100</v>
      </c>
      <c r="B2" s="257"/>
      <c r="C2" s="257"/>
      <c r="D2" s="257"/>
      <c r="E2" s="257"/>
      <c r="F2" s="257"/>
      <c r="G2" s="257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">
      <c r="A4" s="78" t="s">
        <v>54</v>
      </c>
      <c r="B4" s="284" t="str">
        <f>'Данные '!B1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C4" s="284"/>
      <c r="D4" s="284"/>
      <c r="E4" s="284"/>
      <c r="F4" s="284"/>
      <c r="G4" s="284"/>
    </row>
    <row r="5" spans="1:7" x14ac:dyDescent="0.2">
      <c r="A5" s="78" t="s">
        <v>55</v>
      </c>
      <c r="B5" s="260" t="str">
        <f>'Данные '!B36</f>
        <v>ГНБ №1</v>
      </c>
      <c r="C5" s="260"/>
      <c r="D5" s="260"/>
      <c r="E5" s="260"/>
      <c r="F5" s="260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5" customHeight="1" x14ac:dyDescent="0.2">
      <c r="A7" s="79"/>
      <c r="B7" s="80"/>
      <c r="C7" s="81" t="s">
        <v>33</v>
      </c>
      <c r="D7" s="82">
        <f>'Форма 2'!C7</f>
        <v>1</v>
      </c>
      <c r="E7" s="80"/>
      <c r="F7" s="80"/>
      <c r="G7" s="80"/>
    </row>
    <row r="8" spans="1:7" ht="15.95" customHeight="1" x14ac:dyDescent="0.2">
      <c r="A8" s="272" t="s">
        <v>101</v>
      </c>
      <c r="B8" s="272"/>
      <c r="C8" s="272"/>
      <c r="D8" s="272"/>
      <c r="E8" s="272"/>
      <c r="F8" s="272"/>
      <c r="G8" s="272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5" hidden="1" customHeight="1" x14ac:dyDescent="0.2">
      <c r="A10" s="83" t="s">
        <v>141</v>
      </c>
      <c r="B10" s="259" t="e">
        <f>'Данные '!#REF!</f>
        <v>#REF!</v>
      </c>
      <c r="C10" s="259"/>
      <c r="D10" s="259"/>
      <c r="E10" s="259"/>
      <c r="F10" s="259"/>
      <c r="G10" s="259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5" x14ac:dyDescent="0.25">
      <c r="A12" s="84"/>
      <c r="B12" s="85"/>
      <c r="C12" s="85"/>
      <c r="D12" s="85"/>
      <c r="E12" s="85"/>
      <c r="F12" s="251" t="str">
        <f>'Форма 2'!F10</f>
        <v>25.08.2025</v>
      </c>
      <c r="G12" s="251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5" customHeight="1" x14ac:dyDescent="0.2">
      <c r="A15" s="218" t="s">
        <v>102</v>
      </c>
      <c r="B15" s="219"/>
      <c r="C15" s="219"/>
      <c r="D15" s="219"/>
      <c r="E15" s="219"/>
      <c r="F15" s="219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x14ac:dyDescent="0.2">
      <c r="A17" s="78" t="s">
        <v>56</v>
      </c>
      <c r="B17" s="275" t="str">
        <f>CONCATENATE('Данные '!B18," ",'Данные '!B17," ",'Данные '!B19)</f>
        <v>Гл.инженер ООО «КСС Регион» Сигарев А.А.</v>
      </c>
      <c r="C17" s="275"/>
      <c r="D17" s="275"/>
      <c r="E17" s="275"/>
      <c r="F17" s="275"/>
      <c r="G17" s="275"/>
    </row>
    <row r="18" spans="1:7" ht="15" customHeight="1" x14ac:dyDescent="0.2">
      <c r="A18" s="78"/>
      <c r="B18" s="255" t="s">
        <v>57</v>
      </c>
      <c r="C18" s="255"/>
      <c r="D18" s="255"/>
      <c r="E18" s="255"/>
      <c r="F18" s="255"/>
      <c r="G18" s="255"/>
    </row>
    <row r="19" spans="1:7" ht="12.75" customHeight="1" x14ac:dyDescent="0.2">
      <c r="A19" s="78" t="s">
        <v>68</v>
      </c>
      <c r="B19" s="275" t="str">
        <f>CONCATENATE('Данные '!B10," ",'Данные '!B7," ",'Данные '!B11)</f>
        <v>Прораб ООО "Энергосистемы" Волков М.Ю.</v>
      </c>
      <c r="C19" s="275"/>
      <c r="D19" s="275"/>
      <c r="E19" s="275"/>
      <c r="F19" s="275"/>
      <c r="G19" s="275"/>
    </row>
    <row r="20" spans="1:7" ht="15" customHeight="1" x14ac:dyDescent="0.2">
      <c r="A20" s="78"/>
      <c r="B20" s="252" t="s">
        <v>57</v>
      </c>
      <c r="C20" s="252"/>
      <c r="D20" s="252"/>
      <c r="E20" s="252"/>
      <c r="F20" s="252"/>
      <c r="G20" s="252"/>
    </row>
    <row r="21" spans="1:7" ht="22.5" hidden="1" x14ac:dyDescent="0.2">
      <c r="A21" s="78" t="s">
        <v>69</v>
      </c>
      <c r="B21" s="275"/>
      <c r="C21" s="275"/>
      <c r="D21" s="275"/>
      <c r="E21" s="275"/>
      <c r="F21" s="275"/>
      <c r="G21" s="275"/>
    </row>
    <row r="22" spans="1:7" ht="15" hidden="1" customHeight="1" x14ac:dyDescent="0.2">
      <c r="A22" s="78"/>
      <c r="B22" s="252" t="s">
        <v>57</v>
      </c>
      <c r="C22" s="252"/>
      <c r="D22" s="252"/>
      <c r="E22" s="252"/>
      <c r="F22" s="252"/>
      <c r="G22" s="252"/>
    </row>
    <row r="23" spans="1:7" ht="33.75" x14ac:dyDescent="0.2">
      <c r="A23" s="78" t="s">
        <v>70</v>
      </c>
      <c r="B23" s="275"/>
      <c r="C23" s="275"/>
      <c r="D23" s="275"/>
      <c r="E23" s="275"/>
      <c r="F23" s="275"/>
      <c r="G23" s="275"/>
    </row>
    <row r="24" spans="1:7" ht="15" customHeight="1" x14ac:dyDescent="0.2">
      <c r="A24" s="78"/>
      <c r="B24" s="255" t="s">
        <v>57</v>
      </c>
      <c r="C24" s="255"/>
      <c r="D24" s="255"/>
      <c r="E24" s="255"/>
      <c r="F24" s="255"/>
      <c r="G24" s="255"/>
    </row>
    <row r="25" spans="1:7" ht="22.5" x14ac:dyDescent="0.2">
      <c r="A25" s="78" t="s">
        <v>71</v>
      </c>
      <c r="B25" s="275"/>
      <c r="C25" s="275"/>
      <c r="D25" s="275"/>
      <c r="E25" s="275"/>
      <c r="F25" s="275"/>
      <c r="G25" s="275"/>
    </row>
    <row r="26" spans="1:7" ht="13.5" customHeight="1" x14ac:dyDescent="0.2">
      <c r="A26" s="86"/>
      <c r="B26" s="255" t="s">
        <v>57</v>
      </c>
      <c r="C26" s="255"/>
      <c r="D26" s="255"/>
      <c r="E26" s="255"/>
      <c r="F26" s="255"/>
      <c r="G26" s="255"/>
    </row>
    <row r="27" spans="1:7" x14ac:dyDescent="0.2">
      <c r="A27" s="254" t="s">
        <v>72</v>
      </c>
      <c r="B27" s="254"/>
      <c r="C27" s="78"/>
      <c r="D27" s="78"/>
      <c r="E27" s="78"/>
      <c r="F27" s="77"/>
      <c r="G27" s="77"/>
    </row>
    <row r="28" spans="1:7" x14ac:dyDescent="0.2">
      <c r="A28" s="259" t="str">
        <f>'Данные '!B7</f>
        <v>ООО "Энергосистемы"</v>
      </c>
      <c r="B28" s="259"/>
      <c r="C28" s="259"/>
      <c r="D28" s="259"/>
      <c r="E28" s="259"/>
      <c r="F28" s="259"/>
      <c r="G28" s="259"/>
    </row>
    <row r="29" spans="1:7" ht="11.25" customHeight="1" x14ac:dyDescent="0.2">
      <c r="A29" s="255" t="s">
        <v>73</v>
      </c>
      <c r="B29" s="255"/>
      <c r="C29" s="255"/>
      <c r="D29" s="255"/>
      <c r="E29" s="255"/>
      <c r="F29" s="255"/>
      <c r="G29" s="255"/>
    </row>
    <row r="30" spans="1:7" x14ac:dyDescent="0.2">
      <c r="A30" s="254" t="s">
        <v>103</v>
      </c>
      <c r="B30" s="254"/>
      <c r="C30" s="78"/>
      <c r="D30" s="78"/>
      <c r="E30" s="78"/>
      <c r="F30" s="77"/>
      <c r="G30" s="77"/>
    </row>
    <row r="31" spans="1:7" ht="56.25" customHeight="1" x14ac:dyDescent="0.2">
      <c r="A31" s="259" t="str">
        <f>'Данные '!B1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B31" s="259"/>
      <c r="C31" s="259"/>
      <c r="D31" s="259"/>
      <c r="E31" s="259"/>
      <c r="F31" s="259"/>
      <c r="G31" s="259"/>
    </row>
    <row r="32" spans="1:7" x14ac:dyDescent="0.2">
      <c r="A32" s="252" t="s">
        <v>104</v>
      </c>
      <c r="B32" s="252"/>
      <c r="C32" s="252"/>
      <c r="D32" s="252"/>
      <c r="E32" s="252"/>
      <c r="F32" s="252"/>
      <c r="G32" s="252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5" customHeight="1" x14ac:dyDescent="0.2">
      <c r="A34" s="280" t="s">
        <v>105</v>
      </c>
      <c r="B34" s="219"/>
      <c r="C34" s="219"/>
      <c r="D34" s="219"/>
      <c r="E34" s="219"/>
      <c r="F34" s="219"/>
      <c r="G34" s="77"/>
    </row>
    <row r="35" spans="1:7" ht="13.5" customHeight="1" x14ac:dyDescent="0.2">
      <c r="A35" s="282" t="s">
        <v>257</v>
      </c>
      <c r="B35" s="282"/>
      <c r="C35" s="282"/>
      <c r="D35" s="161" t="str">
        <f>'Данные '!B36</f>
        <v>ГНБ №1</v>
      </c>
      <c r="E35" s="71" t="s">
        <v>134</v>
      </c>
      <c r="F35" s="283" t="str">
        <f>'Данные '!B31</f>
        <v>ООО "Энергосистемы"</v>
      </c>
      <c r="G35" s="283"/>
    </row>
    <row r="36" spans="1:7" ht="15.95" customHeight="1" x14ac:dyDescent="0.2">
      <c r="A36" s="281" t="s">
        <v>106</v>
      </c>
      <c r="B36" s="278"/>
      <c r="C36" s="278"/>
      <c r="D36" s="278"/>
      <c r="E36" s="278"/>
      <c r="F36" s="278"/>
      <c r="G36" s="71"/>
    </row>
    <row r="37" spans="1:7" ht="15.95" customHeight="1" x14ac:dyDescent="0.2">
      <c r="A37" s="281" t="s">
        <v>107</v>
      </c>
      <c r="B37" s="278"/>
      <c r="C37" s="278"/>
      <c r="D37" s="278"/>
      <c r="E37" s="278"/>
      <c r="F37" s="278"/>
      <c r="G37" s="71"/>
    </row>
    <row r="38" spans="1:7" ht="24" customHeight="1" x14ac:dyDescent="0.2">
      <c r="A38" s="273" t="s">
        <v>108</v>
      </c>
      <c r="B38" s="273"/>
      <c r="C38" s="273"/>
      <c r="D38" s="273"/>
      <c r="E38" s="273"/>
      <c r="F38" s="273"/>
      <c r="G38" s="273"/>
    </row>
    <row r="39" spans="1:7" ht="15.75" customHeight="1" x14ac:dyDescent="0.2">
      <c r="A39" s="273" t="s">
        <v>109</v>
      </c>
      <c r="B39" s="273"/>
      <c r="C39" s="273"/>
      <c r="D39" s="273"/>
      <c r="E39" s="273"/>
      <c r="F39" s="273"/>
      <c r="G39" s="273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5" customHeight="1" x14ac:dyDescent="0.2">
      <c r="A41" s="277" t="s">
        <v>110</v>
      </c>
      <c r="B41" s="278"/>
      <c r="C41" s="278"/>
      <c r="D41" s="278"/>
      <c r="E41" s="278"/>
      <c r="F41" s="278"/>
      <c r="G41" s="71"/>
    </row>
    <row r="42" spans="1:7" ht="15.75" customHeight="1" x14ac:dyDescent="0.2">
      <c r="A42" s="83" t="s">
        <v>135</v>
      </c>
      <c r="B42" s="161">
        <f>'Данные '!B39</f>
        <v>150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74" t="str">
        <f>'Форма 1'!D11</f>
        <v>XCMG, XZ360E</v>
      </c>
      <c r="D43" s="274"/>
      <c r="E43" s="274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5" customHeight="1" x14ac:dyDescent="0.2">
      <c r="A45" s="89" t="s">
        <v>139</v>
      </c>
      <c r="B45" s="251" t="str">
        <f>B46</f>
        <v>25.08.2025</v>
      </c>
      <c r="C45" s="251"/>
      <c r="D45" s="71"/>
      <c r="E45" s="71"/>
      <c r="F45" s="71"/>
      <c r="G45" s="77"/>
    </row>
    <row r="46" spans="1:7" ht="15.95" customHeight="1" x14ac:dyDescent="0.2">
      <c r="A46" s="89" t="s">
        <v>140</v>
      </c>
      <c r="B46" s="279" t="str">
        <f>F12</f>
        <v>25.08.2025</v>
      </c>
      <c r="C46" s="279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54" t="s">
        <v>111</v>
      </c>
      <c r="B48" s="254"/>
      <c r="C48" s="254"/>
      <c r="D48" s="77"/>
      <c r="E48" s="77"/>
      <c r="F48" s="77"/>
      <c r="G48" s="77"/>
    </row>
    <row r="49" spans="1:7" ht="24" customHeight="1" x14ac:dyDescent="0.2">
      <c r="A49" s="271" t="s">
        <v>276</v>
      </c>
      <c r="B49" s="271"/>
      <c r="C49" s="271"/>
      <c r="D49" s="271"/>
      <c r="E49" s="271"/>
      <c r="F49" s="271"/>
      <c r="G49" s="271"/>
    </row>
    <row r="50" spans="1:7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52" t="s">
        <v>112</v>
      </c>
      <c r="B51" s="252"/>
      <c r="C51" s="252"/>
      <c r="D51" s="252"/>
      <c r="E51" s="252"/>
      <c r="F51" s="252"/>
      <c r="G51" s="252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68" t="s">
        <v>142</v>
      </c>
      <c r="B53" s="254"/>
      <c r="C53" s="254"/>
      <c r="D53" s="254"/>
      <c r="E53" s="254"/>
      <c r="F53" s="254"/>
      <c r="G53" s="254"/>
    </row>
    <row r="54" spans="1:7" x14ac:dyDescent="0.2">
      <c r="A54" s="234"/>
      <c r="B54" s="234"/>
      <c r="C54" s="234"/>
      <c r="D54" s="234"/>
      <c r="E54" s="234"/>
      <c r="F54" s="234"/>
      <c r="G54" s="234"/>
    </row>
    <row r="55" spans="1:7" x14ac:dyDescent="0.2">
      <c r="A55" s="269"/>
      <c r="B55" s="269"/>
      <c r="C55" s="269"/>
      <c r="D55" s="269"/>
      <c r="E55" s="269"/>
      <c r="F55" s="269"/>
      <c r="G55" s="269"/>
    </row>
    <row r="56" spans="1:7" ht="15" customHeight="1" x14ac:dyDescent="0.2">
      <c r="A56" s="243" t="s">
        <v>113</v>
      </c>
      <c r="B56" s="243"/>
      <c r="C56" s="243"/>
      <c r="D56" s="243"/>
      <c r="E56" s="243"/>
      <c r="F56" s="243"/>
      <c r="G56" s="243"/>
    </row>
    <row r="58" spans="1:7" ht="15.95" customHeight="1" x14ac:dyDescent="0.2">
      <c r="A58" s="270" t="s">
        <v>114</v>
      </c>
      <c r="B58" s="227"/>
      <c r="C58" s="227"/>
      <c r="D58" s="227"/>
      <c r="E58" s="227"/>
      <c r="F58" s="227"/>
    </row>
    <row r="59" spans="1:7" ht="26.25" customHeight="1" x14ac:dyDescent="0.2">
      <c r="A59" s="229" t="s">
        <v>115</v>
      </c>
      <c r="B59" s="229"/>
      <c r="C59" s="229"/>
      <c r="D59" s="229"/>
      <c r="E59" s="229"/>
      <c r="F59" s="229"/>
      <c r="G59" s="229"/>
    </row>
    <row r="60" spans="1:7" x14ac:dyDescent="0.2">
      <c r="A60" s="234"/>
      <c r="B60" s="234"/>
      <c r="C60" s="234"/>
      <c r="D60" s="234"/>
      <c r="E60" s="234"/>
      <c r="F60" s="234"/>
      <c r="G60" s="234"/>
    </row>
    <row r="61" spans="1:7" x14ac:dyDescent="0.2">
      <c r="A61" s="248"/>
      <c r="B61" s="248"/>
      <c r="C61" s="248"/>
      <c r="D61" s="248"/>
      <c r="E61" s="248"/>
      <c r="F61" s="248"/>
      <c r="G61" s="248"/>
    </row>
    <row r="62" spans="1:7" ht="12.75" customHeight="1" x14ac:dyDescent="0.2">
      <c r="A62" s="235" t="s">
        <v>116</v>
      </c>
      <c r="B62" s="235"/>
      <c r="C62" s="235"/>
      <c r="D62" s="235"/>
      <c r="E62" s="235"/>
      <c r="F62" s="235"/>
      <c r="G62" s="235"/>
    </row>
    <row r="64" spans="1:7" ht="15.95" customHeight="1" x14ac:dyDescent="0.2">
      <c r="A64" s="236" t="s">
        <v>86</v>
      </c>
      <c r="B64" s="227"/>
      <c r="C64" s="227"/>
      <c r="D64" s="227"/>
      <c r="E64" s="227"/>
      <c r="F64" s="227"/>
    </row>
    <row r="65" spans="1:7" ht="26.25" customHeight="1" x14ac:dyDescent="0.2">
      <c r="A65" s="12" t="s">
        <v>56</v>
      </c>
      <c r="B65" s="239" t="str">
        <f>CONCATENATE('Данные '!B17,",",'Данные '!B18," ",'Данные '!B19)</f>
        <v>ООО «КСС Регион»,Гл.инженер Сигарев А.А.</v>
      </c>
      <c r="C65" s="239"/>
      <c r="D65" s="239"/>
      <c r="E65" s="22"/>
      <c r="F65" s="267"/>
      <c r="G65" s="267"/>
    </row>
    <row r="66" spans="1:7" x14ac:dyDescent="0.2">
      <c r="A66" s="12"/>
      <c r="B66" s="21"/>
      <c r="C66" s="21"/>
      <c r="D66" s="21"/>
      <c r="E66" s="21"/>
    </row>
    <row r="67" spans="1:7" x14ac:dyDescent="0.2">
      <c r="A67" s="12" t="s">
        <v>68</v>
      </c>
      <c r="B67" s="239" t="str">
        <f>CONCATENATE('Данные '!B10,",",'Данные '!B7," ",'Данные '!B11)</f>
        <v>Прораб,ООО "Энергосистемы" Волков М.Ю.</v>
      </c>
      <c r="C67" s="239"/>
      <c r="D67" s="239"/>
      <c r="E67" s="22"/>
      <c r="F67" s="267"/>
      <c r="G67" s="267"/>
    </row>
    <row r="68" spans="1:7" x14ac:dyDescent="0.2">
      <c r="A68" s="12"/>
      <c r="B68" s="21"/>
      <c r="C68" s="21"/>
      <c r="D68" s="21"/>
      <c r="E68" s="21"/>
    </row>
    <row r="69" spans="1:7" ht="33.75" x14ac:dyDescent="0.2">
      <c r="A69" s="12" t="s">
        <v>70</v>
      </c>
      <c r="B69" s="239"/>
      <c r="C69" s="239"/>
      <c r="D69" s="239"/>
      <c r="E69" s="22"/>
      <c r="F69" s="267"/>
      <c r="G69" s="267"/>
    </row>
    <row r="70" spans="1:7" x14ac:dyDescent="0.2">
      <c r="A70" s="12"/>
      <c r="B70" s="21"/>
      <c r="C70" s="21"/>
      <c r="D70" s="21"/>
      <c r="E70" s="21"/>
    </row>
    <row r="71" spans="1:7" ht="22.5" x14ac:dyDescent="0.2">
      <c r="A71" s="12" t="s">
        <v>71</v>
      </c>
      <c r="B71" s="265"/>
      <c r="C71" s="265"/>
      <c r="D71" s="265"/>
      <c r="E71" s="22"/>
      <c r="F71" s="266"/>
      <c r="G71" s="266"/>
    </row>
    <row r="72" spans="1:7" x14ac:dyDescent="0.2">
      <c r="A72" s="14"/>
      <c r="B72" s="21"/>
      <c r="C72" s="21"/>
      <c r="D72" s="21"/>
      <c r="E72" s="21"/>
    </row>
    <row r="74" spans="1:7" x14ac:dyDescent="0.2">
      <c r="A74" s="276"/>
      <c r="B74" s="227"/>
      <c r="C74" s="227"/>
      <c r="D74" s="227"/>
      <c r="E74" s="227"/>
      <c r="F74" s="227"/>
    </row>
    <row r="75" spans="1:7" ht="45" customHeight="1" x14ac:dyDescent="0.2">
      <c r="A75" s="236"/>
      <c r="B75" s="227"/>
      <c r="C75" s="227"/>
      <c r="D75" s="227"/>
      <c r="E75" s="227"/>
      <c r="F75" s="227"/>
    </row>
  </sheetData>
  <mergeCells count="58">
    <mergeCell ref="B4:G4"/>
    <mergeCell ref="A1:G1"/>
    <mergeCell ref="A2:G2"/>
    <mergeCell ref="A30:B30"/>
    <mergeCell ref="B19:G19"/>
    <mergeCell ref="B20:G20"/>
    <mergeCell ref="B21:G21"/>
    <mergeCell ref="B22:G22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Бараночникова Виктория Романовна</cp:lastModifiedBy>
  <cp:revision>13</cp:revision>
  <cp:lastPrinted>2025-11-25T10:28:43Z</cp:lastPrinted>
  <dcterms:created xsi:type="dcterms:W3CDTF">2023-02-27T08:16:00Z</dcterms:created>
  <dcterms:modified xsi:type="dcterms:W3CDTF">2026-07-15T07:16:20Z</dcterms:modified>
</cp:coreProperties>
</file>