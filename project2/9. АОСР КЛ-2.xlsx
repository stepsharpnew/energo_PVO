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CE81DC46-1570-419E-AD84-58592FE99574}" xr6:coauthVersionLast="45" xr6:coauthVersionMax="47" xr10:uidLastSave="{00000000-0000-0000-0000-000000000000}"/>
  <bookViews>
    <workbookView xWindow="390" yWindow="390" windowWidth="14025" windowHeight="14580" tabRatio="779" firstSheet="6" activeTab="12" xr2:uid="{00000000-000D-0000-FFFF-FFFF00000000}"/>
  </bookViews>
  <sheets>
    <sheet name="данные строй" sheetId="17" r:id="rId1"/>
    <sheet name="Данные организации" sheetId="15" r:id="rId2"/>
    <sheet name="Данные объект" sheetId="16" r:id="rId3"/>
    <sheet name="АОСР-1" sheetId="2" r:id="rId4"/>
    <sheet name="АОСР-2" sheetId="10" r:id="rId5"/>
    <sheet name="АОСР-2 (2)" sheetId="20" r:id="rId6"/>
    <sheet name="АОСР-3" sheetId="11" r:id="rId7"/>
    <sheet name="АОСР-4" sheetId="12" r:id="rId8"/>
    <sheet name="АОСР-4 (2)" sheetId="21" r:id="rId9"/>
    <sheet name="АОСР-6" sheetId="18" r:id="rId10"/>
    <sheet name="АОСР-5" sheetId="13" r:id="rId11"/>
    <sheet name="АОСР-7" sheetId="14" r:id="rId12"/>
    <sheet name="АОСР-пожар" sheetId="19" r:id="rId13"/>
  </sheets>
  <externalReferences>
    <externalReference r:id="rId14"/>
  </externalReferences>
  <definedNames>
    <definedName name="кабель">#REF!</definedName>
    <definedName name="_xlnm.Print_Area" localSheetId="3">'АОСР-1'!$A$1:$AJ$115</definedName>
    <definedName name="_xlnm.Print_Area" localSheetId="4">'АОСР-2'!$A$1:$AJ$116</definedName>
    <definedName name="_xlnm.Print_Area" localSheetId="5">'АОСР-2 (2)'!$A$1:$AJ$116</definedName>
    <definedName name="_xlnm.Print_Area" localSheetId="6">'АОСР-3'!$A$1:$AJ$116</definedName>
    <definedName name="_xlnm.Print_Area" localSheetId="7">'АОСР-4'!$A$1:$AJ$118</definedName>
    <definedName name="_xlnm.Print_Area" localSheetId="8">'АОСР-4 (2)'!$A$1:$AJ$118</definedName>
    <definedName name="_xlnm.Print_Area" localSheetId="10">'АОСР-5'!$A$1:$AJ$116</definedName>
    <definedName name="_xlnm.Print_Area" localSheetId="9">'АОСР-6'!$A$1:$AJ$116</definedName>
    <definedName name="_xlnm.Print_Area" localSheetId="11">'АОСР-7'!$A$1:$AJ$115</definedName>
    <definedName name="_xlnm.Print_Area" localSheetId="12">'АОСР-пожар'!$A$1:$AJ$116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2" i="18" l="1"/>
  <c r="B94" i="19" l="1"/>
  <c r="A62" i="19"/>
  <c r="A62" i="14"/>
  <c r="E69" i="13"/>
  <c r="A62" i="13"/>
  <c r="B95" i="21"/>
  <c r="Q70" i="21"/>
  <c r="B96" i="21" s="1"/>
  <c r="A62" i="21"/>
  <c r="A117" i="21"/>
  <c r="A111" i="21"/>
  <c r="A108" i="21"/>
  <c r="A104" i="21"/>
  <c r="A101" i="21"/>
  <c r="B94" i="21"/>
  <c r="P79" i="21"/>
  <c r="AB32" i="21" s="1"/>
  <c r="P78" i="21"/>
  <c r="A65" i="21"/>
  <c r="A58" i="21"/>
  <c r="A53" i="21"/>
  <c r="A47" i="21"/>
  <c r="A44" i="21"/>
  <c r="A41" i="21"/>
  <c r="A38" i="21"/>
  <c r="A36" i="21"/>
  <c r="A26" i="21"/>
  <c r="A24" i="21"/>
  <c r="A22" i="21"/>
  <c r="A19" i="21"/>
  <c r="A17" i="21"/>
  <c r="A15" i="21"/>
  <c r="A12" i="21"/>
  <c r="A10" i="21"/>
  <c r="A8" i="21"/>
  <c r="A5" i="21"/>
  <c r="A4" i="21"/>
  <c r="B96" i="12"/>
  <c r="A62" i="12"/>
  <c r="A62" i="11"/>
  <c r="A86" i="10"/>
  <c r="A115" i="20"/>
  <c r="A109" i="20"/>
  <c r="A106" i="20"/>
  <c r="A102" i="20"/>
  <c r="A99" i="20"/>
  <c r="B94" i="20"/>
  <c r="B93" i="20"/>
  <c r="P78" i="20"/>
  <c r="AB32" i="20" s="1"/>
  <c r="P77" i="20"/>
  <c r="A65" i="20"/>
  <c r="A58" i="20"/>
  <c r="A53" i="20"/>
  <c r="A47" i="20"/>
  <c r="A44" i="20"/>
  <c r="A41" i="20"/>
  <c r="A38" i="20"/>
  <c r="A36" i="20"/>
  <c r="A26" i="20"/>
  <c r="A24" i="20"/>
  <c r="A22" i="20"/>
  <c r="A19" i="20"/>
  <c r="A17" i="20"/>
  <c r="A15" i="20"/>
  <c r="A12" i="20"/>
  <c r="A10" i="20"/>
  <c r="A8" i="20"/>
  <c r="A5" i="20"/>
  <c r="A4" i="20"/>
  <c r="A62" i="10"/>
  <c r="A115" i="19" l="1"/>
  <c r="A109" i="19"/>
  <c r="A106" i="19"/>
  <c r="A102" i="19"/>
  <c r="A99" i="19"/>
  <c r="P78" i="19"/>
  <c r="AB32" i="19" s="1"/>
  <c r="P77" i="19"/>
  <c r="A69" i="19"/>
  <c r="A65" i="19"/>
  <c r="A58" i="19"/>
  <c r="A53" i="19"/>
  <c r="A47" i="19"/>
  <c r="A44" i="19"/>
  <c r="A41" i="19"/>
  <c r="A38" i="19"/>
  <c r="A26" i="19"/>
  <c r="A24" i="19"/>
  <c r="A22" i="19"/>
  <c r="A19" i="19"/>
  <c r="A17" i="19"/>
  <c r="A15" i="19"/>
  <c r="A12" i="19"/>
  <c r="A10" i="19"/>
  <c r="A8" i="19"/>
  <c r="A5" i="19"/>
  <c r="A4" i="19"/>
  <c r="B94" i="18"/>
  <c r="A115" i="18"/>
  <c r="A109" i="18"/>
  <c r="A106" i="18"/>
  <c r="A102" i="18"/>
  <c r="A99" i="18"/>
  <c r="B93" i="18"/>
  <c r="P78" i="18"/>
  <c r="AB32" i="18" s="1"/>
  <c r="P77" i="18"/>
  <c r="A65" i="18"/>
  <c r="A58" i="18"/>
  <c r="A53" i="18"/>
  <c r="A47" i="18"/>
  <c r="A44" i="18"/>
  <c r="A41" i="18"/>
  <c r="A38" i="18"/>
  <c r="A26" i="18"/>
  <c r="A24" i="18"/>
  <c r="A22" i="18"/>
  <c r="A19" i="18"/>
  <c r="A17" i="18"/>
  <c r="A15" i="18"/>
  <c r="A12" i="18"/>
  <c r="A10" i="18"/>
  <c r="A8" i="18"/>
  <c r="A5" i="18"/>
  <c r="A4" i="18"/>
  <c r="H25" i="15" l="1"/>
  <c r="H24" i="15"/>
  <c r="H23" i="15"/>
  <c r="A106" i="10" l="1"/>
  <c r="A99" i="10"/>
  <c r="A108" i="14"/>
  <c r="A109" i="13"/>
  <c r="A111" i="12"/>
  <c r="A109" i="11"/>
  <c r="A109" i="10"/>
  <c r="A108" i="2"/>
  <c r="C34" i="16"/>
  <c r="C37" i="16"/>
  <c r="C36" i="16"/>
  <c r="A47" i="12" s="1"/>
  <c r="C35" i="16"/>
  <c r="A36" i="14" l="1"/>
  <c r="A36" i="18"/>
  <c r="A36" i="19"/>
  <c r="A47" i="13"/>
  <c r="A47" i="14"/>
  <c r="A47" i="2"/>
  <c r="A47" i="10"/>
  <c r="A47" i="11"/>
  <c r="B95" i="12"/>
  <c r="B25" i="16" l="1"/>
  <c r="B24" i="16"/>
  <c r="B44" i="16" l="1"/>
  <c r="P78" i="10" l="1"/>
  <c r="B94" i="13" l="1"/>
  <c r="B94" i="10"/>
  <c r="A105" i="14"/>
  <c r="A101" i="14"/>
  <c r="A98" i="14"/>
  <c r="A106" i="13"/>
  <c r="A102" i="13"/>
  <c r="A99" i="13"/>
  <c r="A108" i="12"/>
  <c r="A104" i="12"/>
  <c r="A101" i="12"/>
  <c r="A106" i="11"/>
  <c r="A102" i="11"/>
  <c r="A99" i="11"/>
  <c r="A102" i="10"/>
  <c r="A105" i="2"/>
  <c r="A101" i="2"/>
  <c r="A98" i="2"/>
  <c r="P78" i="14"/>
  <c r="AB32" i="14" s="1"/>
  <c r="P77" i="14"/>
  <c r="P78" i="13"/>
  <c r="AB32" i="13" s="1"/>
  <c r="P77" i="13"/>
  <c r="P79" i="12"/>
  <c r="AB32" i="12" s="1"/>
  <c r="P78" i="12"/>
  <c r="P78" i="11"/>
  <c r="AB32" i="11" s="1"/>
  <c r="P77" i="11"/>
  <c r="AB32" i="10"/>
  <c r="P77" i="10"/>
  <c r="P78" i="2"/>
  <c r="AB32" i="2" s="1"/>
  <c r="P77" i="2"/>
  <c r="A65" i="2"/>
  <c r="A65" i="10"/>
  <c r="A65" i="11"/>
  <c r="A65" i="12"/>
  <c r="A65" i="13"/>
  <c r="A65" i="14"/>
  <c r="A58" i="14"/>
  <c r="A53" i="14"/>
  <c r="A58" i="13"/>
  <c r="A53" i="13"/>
  <c r="A58" i="12"/>
  <c r="A53" i="12"/>
  <c r="A58" i="11"/>
  <c r="A53" i="11"/>
  <c r="A58" i="10"/>
  <c r="A53" i="10"/>
  <c r="A58" i="2"/>
  <c r="C32" i="10"/>
  <c r="A26" i="14"/>
  <c r="A24" i="14"/>
  <c r="A22" i="14"/>
  <c r="A19" i="14"/>
  <c r="A15" i="14"/>
  <c r="A8" i="14"/>
  <c r="A5" i="14"/>
  <c r="A4" i="14"/>
  <c r="A26" i="13"/>
  <c r="A24" i="13"/>
  <c r="A22" i="13"/>
  <c r="A19" i="13"/>
  <c r="A15" i="13"/>
  <c r="A8" i="13"/>
  <c r="A5" i="13"/>
  <c r="A4" i="13"/>
  <c r="A26" i="12"/>
  <c r="A24" i="12"/>
  <c r="A22" i="12"/>
  <c r="A19" i="12"/>
  <c r="A15" i="12"/>
  <c r="A8" i="12"/>
  <c r="A5" i="12"/>
  <c r="A4" i="12"/>
  <c r="A26" i="11"/>
  <c r="A24" i="11"/>
  <c r="A22" i="11"/>
  <c r="A19" i="11"/>
  <c r="A15" i="11"/>
  <c r="A8" i="11"/>
  <c r="A5" i="11"/>
  <c r="A4" i="11"/>
  <c r="A26" i="10"/>
  <c r="A24" i="10"/>
  <c r="A22" i="10"/>
  <c r="A19" i="10"/>
  <c r="A15" i="10"/>
  <c r="A8" i="10"/>
  <c r="A5" i="10"/>
  <c r="A4" i="10"/>
  <c r="A4" i="2"/>
  <c r="A26" i="2"/>
  <c r="A24" i="2"/>
  <c r="A22" i="2"/>
  <c r="A19" i="2"/>
  <c r="A15" i="2"/>
  <c r="A8" i="2"/>
  <c r="A5" i="2" l="1"/>
  <c r="C33" i="16"/>
  <c r="C32" i="16"/>
  <c r="C31" i="16"/>
  <c r="C30" i="16"/>
  <c r="C29" i="16"/>
  <c r="C28" i="16"/>
  <c r="C27" i="16"/>
  <c r="C26" i="16"/>
  <c r="C21" i="16"/>
  <c r="C20" i="16"/>
  <c r="C19" i="16"/>
  <c r="C18" i="16"/>
  <c r="C17" i="16"/>
  <c r="C16" i="16"/>
  <c r="C15" i="16"/>
  <c r="D29" i="15"/>
  <c r="C29" i="15"/>
  <c r="G28" i="15"/>
  <c r="D28" i="15"/>
  <c r="C28" i="15"/>
  <c r="I27" i="15"/>
  <c r="G27" i="15"/>
  <c r="D27" i="15"/>
  <c r="C27" i="15"/>
  <c r="I26" i="15"/>
  <c r="G26" i="15"/>
  <c r="D26" i="15"/>
  <c r="C26" i="15"/>
  <c r="I25" i="15"/>
  <c r="G25" i="15"/>
  <c r="D25" i="15"/>
  <c r="C25" i="15"/>
  <c r="I24" i="15"/>
  <c r="G24" i="15"/>
  <c r="D24" i="15"/>
  <c r="C24" i="15"/>
  <c r="I23" i="15"/>
  <c r="G23" i="15"/>
  <c r="D23" i="15"/>
  <c r="C23" i="15"/>
  <c r="A12" i="12" l="1"/>
  <c r="A12" i="14"/>
  <c r="A12" i="10"/>
  <c r="A12" i="2"/>
  <c r="A12" i="11"/>
  <c r="A12" i="13"/>
  <c r="A41" i="11"/>
  <c r="A41" i="14"/>
  <c r="A41" i="10"/>
  <c r="A41" i="2"/>
  <c r="A41" i="12"/>
  <c r="A41" i="13"/>
  <c r="A17" i="11"/>
  <c r="A17" i="12"/>
  <c r="A17" i="14"/>
  <c r="A17" i="10"/>
  <c r="A17" i="2"/>
  <c r="A17" i="13"/>
  <c r="A44" i="12"/>
  <c r="A44" i="14"/>
  <c r="A44" i="10"/>
  <c r="A44" i="2"/>
  <c r="A44" i="13"/>
  <c r="A44" i="11"/>
  <c r="A10" i="10"/>
  <c r="A10" i="2"/>
  <c r="A10" i="13"/>
  <c r="A10" i="12"/>
  <c r="A10" i="14"/>
  <c r="A10" i="11"/>
  <c r="A36" i="10"/>
  <c r="A36" i="11"/>
  <c r="A36" i="2"/>
  <c r="A36" i="13"/>
  <c r="A36" i="12"/>
  <c r="C11" i="16"/>
  <c r="C23" i="16"/>
  <c r="A114" i="14"/>
  <c r="B93" i="14"/>
  <c r="A115" i="13"/>
  <c r="B93" i="13"/>
  <c r="A117" i="12"/>
  <c r="B94" i="12"/>
  <c r="B94" i="11"/>
  <c r="A115" i="11"/>
  <c r="B93" i="11"/>
  <c r="A115" i="10"/>
  <c r="B93" i="10"/>
  <c r="B93" i="2"/>
  <c r="A114" i="2"/>
  <c r="A53" i="2"/>
  <c r="A38" i="11" l="1"/>
  <c r="A38" i="12"/>
  <c r="A38" i="14"/>
  <c r="A38" i="10"/>
  <c r="A38" i="2"/>
  <c r="A38" i="13"/>
</calcChain>
</file>

<file path=xl/sharedStrings.xml><?xml version="1.0" encoding="utf-8"?>
<sst xmlns="http://schemas.openxmlformats.org/spreadsheetml/2006/main" count="1152" uniqueCount="226">
  <si>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</si>
  <si>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</si>
  <si>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</si>
  <si>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</si>
  <si>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</si>
  <si>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</si>
  <si>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</si>
  <si>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</si>
  <si>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</si>
  <si>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</si>
  <si>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</si>
  <si>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</si>
  <si>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</si>
  <si>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</si>
  <si>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</si>
  <si>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</si>
  <si>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</si>
  <si>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</si>
  <si>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</si>
  <si>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</si>
  <si>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</si>
  <si>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</si>
  <si>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</si>
  <si>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</si>
  <si>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</si>
  <si>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</si>
  <si>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</si>
  <si>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</si>
  <si>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</si>
  <si>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</si>
  <si>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</si>
  <si>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</si>
  <si>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</si>
  <si>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</si>
  <si>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</si>
  <si>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</si>
  <si>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</si>
  <si>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</si>
  <si>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</si>
  <si>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</si>
  <si>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</si>
  <si>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</si>
  <si>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</si>
  <si>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</si>
  <si>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</si>
  <si>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</si>
  <si>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</si>
  <si>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</si>
  <si>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</si>
  <si>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</si>
  <si>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</si>
  <si>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</si>
  <si>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</si>
  <si>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</si>
  <si>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</si>
  <si>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</si>
  <si>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</si>
  <si>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</si>
  <si>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</si>
  <si>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</si>
  <si>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</si>
  <si>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</si>
  <si>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</si>
  <si>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</si>
  <si>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</si>
  <si>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</si>
  <si>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</si>
  <si>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</si>
  <si>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</si>
  <si>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</si>
  <si>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</si>
  <si>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</si>
  <si>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</si>
  <si>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</si>
  <si>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</si>
  <si>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</si>
  <si>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</si>
  <si>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</si>
  <si>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</si>
  <si>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</si>
  <si>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</si>
  <si>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</si>
  <si>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м3</t>
  </si>
  <si>
    <t xml:space="preserve">1. </t>
  </si>
  <si>
    <t>1 лист</t>
  </si>
  <si>
    <t>2.</t>
  </si>
  <si>
    <t>/КЛ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</si>
  <si>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</si>
  <si>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;</t>
  </si>
  <si>
    <t>Исполнителная схема устройства траншеи</t>
  </si>
  <si>
    <t>Песок</t>
  </si>
  <si>
    <t>м</t>
  </si>
  <si>
    <t>АСБл 3х120</t>
  </si>
  <si>
    <t>АСБл 3х240</t>
  </si>
  <si>
    <t>Кабель</t>
  </si>
  <si>
    <t>шт</t>
  </si>
  <si>
    <t>Инженер по строительному контролю</t>
  </si>
  <si>
    <t>Капитонов Д.А.</t>
  </si>
  <si>
    <t>Приказ № 18-ОТ/24 от 03 июня 2024 (НОСТРОЙ С-50-188017)</t>
  </si>
  <si>
    <t>Приказ №05-ОТ/24 от 09 января 2024г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</si>
  <si>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</si>
  <si>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</si>
  <si>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</si>
  <si>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</si>
  <si>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</si>
  <si>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</si>
  <si>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</si>
  <si>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</si>
  <si>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</si>
  <si>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</si>
  <si>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</si>
  <si>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</si>
  <si>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</si>
  <si>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</si>
  <si>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</si>
  <si>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</si>
  <si>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</si>
  <si>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</si>
  <si>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</si>
  <si>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</si>
  <si>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</si>
  <si>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</si>
  <si>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</si>
  <si>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</si>
  <si>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</si>
  <si>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</si>
  <si>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</si>
  <si>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</si>
  <si>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</si>
  <si>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</si>
  <si>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</si>
  <si>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</si>
  <si>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</si>
  <si>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</si>
  <si>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</si>
  <si>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</si>
  <si>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</si>
  <si>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</si>
  <si>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</si>
  <si>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</si>
  <si>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</si>
  <si>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</si>
  <si>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</si>
  <si>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</si>
  <si>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</si>
  <si>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</si>
  <si>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</si>
  <si>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</si>
  <si>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</si>
  <si>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</si>
  <si>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>КЛ</t>
  </si>
  <si>
    <t>Прокладка кабельной линии</t>
  </si>
  <si>
    <t>КЛ-10кВ</t>
  </si>
  <si>
    <t>КЛ-6кВ</t>
  </si>
  <si>
    <t>КЛ-0,4кВ</t>
  </si>
  <si>
    <t>АВБбШв 4х120</t>
  </si>
  <si>
    <t>АВБбШв 4х150</t>
  </si>
  <si>
    <t>АВБбШв 4х185</t>
  </si>
  <si>
    <t>АВБбШв 4х240</t>
  </si>
  <si>
    <t>АВБбШв 4х95</t>
  </si>
  <si>
    <t>АПвВнг(А)-LS 1х95/35</t>
  </si>
  <si>
    <t>Труба F4 d160мм</t>
  </si>
  <si>
    <t>Русин В.А.</t>
  </si>
  <si>
    <t>Приказ № 13-ОТ/25 от 05 мая 2025 (НОСТРОЙ С-50-085497)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</si>
  <si>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</si>
  <si>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</si>
  <si>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</si>
  <si>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</si>
  <si>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</si>
  <si>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</si>
  <si>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</si>
  <si>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</si>
  <si>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А также иные представители лиц, участвующих в освидетельствовании:</t>
  </si>
  <si>
    <t>Представители иных лиц: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</si>
  <si>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</si>
  <si>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</si>
  <si>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</si>
  <si>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</si>
  <si>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</si>
  <si>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</si>
  <si>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Прокладка плитки ПЗК</t>
  </si>
  <si>
    <t xml:space="preserve">Прокладка сигнальной ленты </t>
  </si>
  <si>
    <t>Плитка ПЗК -</t>
  </si>
  <si>
    <t>Сигнальная лента ЛЭС300 -</t>
  </si>
  <si>
    <t>м2</t>
  </si>
  <si>
    <t>кг</t>
  </si>
  <si>
    <t>Стабитерм-225</t>
  </si>
  <si>
    <t>Исполнительная схема ввода КЛ в ТП</t>
  </si>
  <si>
    <t>Исполнителная схема ввода КЛ в ТП</t>
  </si>
  <si>
    <t>Приказ №1904 от 03 июня 2026г (НРС С-50-069023)</t>
  </si>
  <si>
    <t>Приказ № от   2026г (НРС С-31-330248)</t>
  </si>
  <si>
    <t>SAP - 325834</t>
  </si>
  <si>
    <t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</si>
  <si>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</si>
  <si>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19.10.2025</t>
  </si>
  <si>
    <t>16.07.2026</t>
  </si>
  <si>
    <t>4980-325834-217-09/24-ЭС</t>
  </si>
  <si>
    <t>Устройство трубопровода под прокладку 2КЛ-10кВ со стороны с.3 яч.317 - БРП №171 с.1</t>
  </si>
  <si>
    <t>Нанесение огнезащитной пасты в ТП</t>
  </si>
  <si>
    <t>2571,3 м3</t>
  </si>
  <si>
    <t>Кирпич</t>
  </si>
  <si>
    <t>Паспорт качества б/н</t>
  </si>
  <si>
    <t>Сертификат соответствия № РОСС RU.31771.04ЖЗМ1/ОС.29.2021/М01395</t>
  </si>
  <si>
    <t>Паспорт качества № 00368/25</t>
  </si>
  <si>
    <t>Паспорт качества №ПСИ/235344225_161959 - ПСИ/2353442250_161986</t>
  </si>
  <si>
    <t>Сертификат качества № 5СЧ 02912</t>
  </si>
  <si>
    <t>Кабель 2хАСБл 3х240</t>
  </si>
  <si>
    <t>Кабель 2хЦАСБл 3х240</t>
  </si>
  <si>
    <t>3.</t>
  </si>
  <si>
    <t>Муфты концевые 3КВтп10-150/240</t>
  </si>
  <si>
    <t>Муфты соединительные 3Стп10-150/240</t>
  </si>
  <si>
    <t>Сертификат соответствия №РОСС RU.32001.04ИБФ1.ОСП28.45002</t>
  </si>
  <si>
    <t>Паспорт б/н</t>
  </si>
  <si>
    <t>Технический паспорт № 3006/03, 2800/03</t>
  </si>
  <si>
    <t>1724,28 м3</t>
  </si>
  <si>
    <t>Паспорт качества №2758</t>
  </si>
  <si>
    <t>Выемка грунта траншеи под прокладку 2КЛ-10кВ со стороны с.5 яч.503 - БРП №171 с.2</t>
  </si>
  <si>
    <t>Песчаное основание траншеи под прокладку 2КЛ-10кВ со стороны с.5 яч.503 - БРП №171 с.2</t>
  </si>
  <si>
    <t>Устройство несгораемой перегородки из полнотелого кирпича М200 2КЛ-10кВ со стороны с.5 яч.503 - БРП №171 с.2</t>
  </si>
  <si>
    <t>Прокладка кабеля 2КЛ-10кВ со стороны с.5 яч.503 - БРП №171 с.2</t>
  </si>
  <si>
    <t>Установка концевых и соединительных муфт 2КЛ-10кВ со стороны с.5 яч.503 - БРП №171 с.2</t>
  </si>
  <si>
    <t>Прокладка плитки ПЗК 2КЛ-10кВ со стороны с.5 яч.503 - БРП №171 с.2</t>
  </si>
  <si>
    <t>Обратная засыпка песком 2КЛ-10кВ со стороны с.5 яч.503 - БРП №171 с.2</t>
  </si>
  <si>
    <t>Обратная засыпка грунтом 2КЛ-10кВ со стороны с.5 яч.503 - БРП №171 с.2</t>
  </si>
  <si>
    <t>2КЛ-10кВ со стороны с.5 яч.503 - БРП №171 с.2</t>
  </si>
  <si>
    <t>34,8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</si>
</sst>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5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9"/>
      <name val="Times New Roman"/>
      <family val="1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sz val="7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2" fillId="0" borderId="0"/>
    <xf numFmtId="0" fontId="23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</cellStyleXfs>
  <cellXfs count="166">
    <xf numFmtId="0" fontId="0" fillId="0" borderId="0" xfId="0"/>
    <xf numFmtId="0" fontId="4" fillId="0" borderId="0" xfId="1" applyFont="1"/>
    <xf numFmtId="0" fontId="0" fillId="0" borderId="1" xfId="0" applyBorder="1"/>
    <xf numFmtId="0" fontId="5" fillId="0" borderId="0" xfId="0" applyFont="1"/>
    <xf numFmtId="0" fontId="8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2" fillId="0" borderId="0" xfId="1" applyFont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wrapTex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14" fillId="0" borderId="6" xfId="1" applyFont="1" applyBorder="1"/>
    <xf numFmtId="0" fontId="14" fillId="0" borderId="6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0" xfId="1" applyFont="1"/>
    <xf numFmtId="0" fontId="14" fillId="0" borderId="4" xfId="1" applyFont="1" applyBorder="1"/>
    <xf numFmtId="0" fontId="14" fillId="0" borderId="6" xfId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0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8" borderId="0" xfId="0" applyFill="1"/>
    <xf numFmtId="0" fontId="0" fillId="9" borderId="0" xfId="0" applyFill="1"/>
    <xf numFmtId="0" fontId="14" fillId="0" borderId="0" xfId="1" applyFont="1" applyAlignment="1">
      <alignment vertical="center"/>
    </xf>
    <xf numFmtId="0" fontId="14" fillId="0" borderId="6" xfId="1" applyFont="1" applyFill="1" applyBorder="1" applyAlignment="1">
      <alignment vertical="center"/>
    </xf>
    <xf numFmtId="0" fontId="6" fillId="0" borderId="0" xfId="1" applyFont="1" applyBorder="1"/>
    <xf numFmtId="0" fontId="6" fillId="0" borderId="0" xfId="1" applyFont="1" applyFill="1"/>
    <xf numFmtId="0" fontId="12" fillId="0" borderId="0" xfId="1" applyFont="1" applyFill="1"/>
    <xf numFmtId="164" fontId="20" fillId="11" borderId="1" xfId="0" applyNumberFormat="1" applyFont="1" applyFill="1" applyBorder="1" applyAlignment="1">
      <alignment horizontal="center" wrapText="1"/>
    </xf>
    <xf numFmtId="0" fontId="14" fillId="0" borderId="6" xfId="1" applyFont="1" applyFill="1" applyBorder="1" applyAlignment="1">
      <alignment vertical="center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 wrapText="1"/>
    </xf>
    <xf numFmtId="0" fontId="20" fillId="5" borderId="1" xfId="7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20" fillId="6" borderId="4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1" applyFont="1" applyAlignment="1">
      <alignment vertical="center" wrapText="1"/>
    </xf>
    <xf numFmtId="0" fontId="24" fillId="0" borderId="0" xfId="1" applyFont="1" applyAlignment="1">
      <alignment vertical="center"/>
    </xf>
    <xf numFmtId="0" fontId="14" fillId="0" borderId="4" xfId="1" applyFont="1" applyFill="1" applyBorder="1" applyAlignment="1"/>
    <xf numFmtId="0" fontId="6" fillId="0" borderId="6" xfId="1" applyFont="1" applyBorder="1"/>
    <xf numFmtId="0" fontId="14" fillId="0" borderId="6" xfId="1" applyFont="1" applyFill="1" applyBorder="1" applyAlignment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2" fillId="2" borderId="1" xfId="4" applyFill="1" applyBorder="1" applyAlignment="1">
      <alignment horizontal="center" vertical="center" wrapText="1"/>
    </xf>
    <xf numFmtId="0" fontId="22" fillId="0" borderId="1" xfId="4" applyBorder="1" applyAlignment="1">
      <alignment horizontal="center" vertical="center" wrapText="1"/>
    </xf>
    <xf numFmtId="0" fontId="22" fillId="2" borderId="7" xfId="4" applyFill="1" applyBorder="1" applyAlignment="1">
      <alignment horizontal="center" vertical="center" wrapText="1"/>
    </xf>
    <xf numFmtId="0" fontId="22" fillId="0" borderId="7" xfId="4" applyBorder="1" applyAlignment="1">
      <alignment horizontal="center" vertical="center" wrapText="1"/>
    </xf>
    <xf numFmtId="0" fontId="6" fillId="0" borderId="4" xfId="1" applyFont="1" applyFill="1" applyBorder="1"/>
    <xf numFmtId="0" fontId="14" fillId="0" borderId="6" xfId="1" applyFont="1" applyFill="1" applyBorder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4" fillId="0" borderId="6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wrapText="1"/>
    </xf>
    <xf numFmtId="49" fontId="20" fillId="7" borderId="1" xfId="0" applyNumberFormat="1" applyFont="1" applyFill="1" applyBorder="1" applyAlignment="1">
      <alignment horizontal="center" wrapText="1"/>
    </xf>
    <xf numFmtId="0" fontId="14" fillId="0" borderId="0" xfId="1" applyFont="1" applyFill="1" applyBorder="1" applyAlignment="1">
      <alignment vertical="center"/>
    </xf>
    <xf numFmtId="0" fontId="7" fillId="0" borderId="0" xfId="1" applyFont="1" applyBorder="1"/>
    <xf numFmtId="0" fontId="14" fillId="0" borderId="6" xfId="1" applyFont="1" applyBorder="1" applyAlignment="1"/>
    <xf numFmtId="0" fontId="14" fillId="0" borderId="4" xfId="1" applyFont="1" applyFill="1" applyBorder="1" applyAlignment="1">
      <alignment horizontal="left" vertical="center"/>
    </xf>
    <xf numFmtId="0" fontId="12" fillId="0" borderId="6" xfId="1" applyFont="1" applyFill="1" applyBorder="1"/>
    <xf numFmtId="0" fontId="6" fillId="0" borderId="4" xfId="1" applyFont="1" applyBorder="1"/>
    <xf numFmtId="0" fontId="14" fillId="0" borderId="4" xfId="1" applyFont="1" applyFill="1" applyBorder="1" applyAlignment="1">
      <alignment horizontal="center" vertical="center"/>
    </xf>
    <xf numFmtId="0" fontId="14" fillId="10" borderId="6" xfId="1" applyFont="1" applyFill="1" applyBorder="1" applyAlignment="1">
      <alignment vertical="center"/>
    </xf>
    <xf numFmtId="0" fontId="12" fillId="0" borderId="6" xfId="1" applyFont="1" applyBorder="1"/>
    <xf numFmtId="0" fontId="15" fillId="0" borderId="6" xfId="1" applyFont="1" applyFill="1" applyBorder="1" applyAlignment="1">
      <alignment vertical="center"/>
    </xf>
    <xf numFmtId="0" fontId="17" fillId="0" borderId="10" xfId="0" applyFont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6" fillId="0" borderId="0" xfId="1" applyFont="1" applyAlignment="1">
      <alignment horizontal="left" wrapText="1"/>
    </xf>
    <xf numFmtId="0" fontId="14" fillId="0" borderId="6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top" wrapText="1"/>
    </xf>
    <xf numFmtId="0" fontId="6" fillId="0" borderId="0" xfId="1" applyFont="1" applyAlignment="1">
      <alignment horizontal="left" vertical="center" wrapText="1"/>
    </xf>
    <xf numFmtId="0" fontId="1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15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/>
    </xf>
    <xf numFmtId="14" fontId="14" fillId="0" borderId="6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14" fillId="0" borderId="6" xfId="1" applyFont="1" applyBorder="1" applyAlignment="1">
      <alignment horizontal="left"/>
    </xf>
    <xf numFmtId="0" fontId="7" fillId="0" borderId="8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14" fontId="14" fillId="0" borderId="4" xfId="1" applyNumberFormat="1" applyFont="1" applyBorder="1" applyAlignment="1">
      <alignment horizontal="center"/>
    </xf>
    <xf numFmtId="0" fontId="14" fillId="0" borderId="4" xfId="1" applyFont="1" applyFill="1" applyBorder="1" applyAlignment="1">
      <alignment horizontal="left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14" fillId="0" borderId="6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4" fillId="0" borderId="6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left"/>
    </xf>
    <xf numFmtId="0" fontId="7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14" fillId="0" borderId="6" xfId="1" applyFont="1" applyFill="1" applyBorder="1" applyAlignment="1">
      <alignment horizontal="left" vertical="center" wrapText="1"/>
    </xf>
  </cellXfs>
  <cellStyles count="9">
    <cellStyle name="Денежный 2" xfId="3" xr:uid="{D3076896-71B1-4C8E-8457-0FB5A0FC3300}"/>
    <cellStyle name="Денежный 3" xfId="8" xr:uid="{DD5B82CB-A55E-4829-A8E9-ECAB24D94339}"/>
    <cellStyle name="Обычный" xfId="0" builtinId="0"/>
    <cellStyle name="Обычный 2" xfId="4" xr:uid="{17B6180C-5EB4-4F01-82BB-2E576856F43B}"/>
    <cellStyle name="Обычный 3" xfId="5" xr:uid="{BF0B0CC7-D1A0-44FC-BE7A-5FBB23357ED6}"/>
    <cellStyle name="Обычный 4" xfId="6" xr:uid="{325954F7-BC43-4CC7-AA2B-B5D1AF37A648}"/>
    <cellStyle name="Обычный 5" xfId="2" xr:uid="{B085BD46-22AB-4290-AC9F-751A0055253E}"/>
    <cellStyle name="Обычный 6" xfId="7" xr:uid="{32E51C30-7068-41BD-AF44-FC89A985F5B5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ПНР ТП (2)"/>
      <sheetName val="Ведомость общ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КЛ-9 (2)"/>
      <sheetName val="ПНР КЛ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7270-3B95-49DB-A853-54C8F4DC6BF8}">
  <dimension ref="A1:E10"/>
  <sheetViews>
    <sheetView workbookViewId="0">
      <selection activeCell="E8" sqref="E8"/>
    </sheetView>
  </sheetViews>
  <sheetFormatPr defaultRowHeight="12.75" x14ac:dyDescent="0.2"/>
  <cols>
    <col min="1" max="1" width="18.33203125" customWidth="1"/>
    <col min="2" max="2" width="22.5" customWidth="1"/>
    <col min="3" max="3" width="55.6640625" customWidth="1"/>
    <col min="4" max="4" width="27.83203125" customWidth="1"/>
  </cols>
  <sheetData>
    <row r="1" spans="1:5" x14ac:dyDescent="0.2">
      <c r="A1" s="62" t="s">
        <v>150</v>
      </c>
    </row>
    <row r="2" spans="1:5" x14ac:dyDescent="0.2">
      <c r="A2" s="63" t="s">
        <v>151</v>
      </c>
      <c r="B2" s="63" t="s">
        <v>94</v>
      </c>
    </row>
    <row r="3" spans="1:5" x14ac:dyDescent="0.2">
      <c r="A3" t="s">
        <v>152</v>
      </c>
      <c r="B3" t="s">
        <v>92</v>
      </c>
      <c r="C3" t="s">
        <v>180</v>
      </c>
      <c r="D3" t="s">
        <v>182</v>
      </c>
      <c r="E3" t="s">
        <v>95</v>
      </c>
    </row>
    <row r="4" spans="1:5" x14ac:dyDescent="0.2">
      <c r="A4" t="s">
        <v>153</v>
      </c>
      <c r="B4" t="s">
        <v>93</v>
      </c>
      <c r="C4" t="s">
        <v>181</v>
      </c>
      <c r="D4" t="s">
        <v>183</v>
      </c>
      <c r="E4" t="s">
        <v>91</v>
      </c>
    </row>
    <row r="5" spans="1:5" x14ac:dyDescent="0.2">
      <c r="A5" t="s">
        <v>154</v>
      </c>
      <c r="B5" t="s">
        <v>159</v>
      </c>
      <c r="E5" s="3" t="s">
        <v>185</v>
      </c>
    </row>
    <row r="6" spans="1:5" x14ac:dyDescent="0.2">
      <c r="B6" t="s">
        <v>155</v>
      </c>
      <c r="E6" s="3" t="s">
        <v>82</v>
      </c>
    </row>
    <row r="7" spans="1:5" x14ac:dyDescent="0.2">
      <c r="B7" t="s">
        <v>156</v>
      </c>
      <c r="E7" s="3" t="s">
        <v>184</v>
      </c>
    </row>
    <row r="8" spans="1:5" x14ac:dyDescent="0.2">
      <c r="B8" t="s">
        <v>157</v>
      </c>
    </row>
    <row r="9" spans="1:5" x14ac:dyDescent="0.2">
      <c r="B9" t="s">
        <v>158</v>
      </c>
    </row>
    <row r="10" spans="1:5" x14ac:dyDescent="0.2">
      <c r="B10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A9F-FAB7-4E01-8720-EA0EB7CAD746}">
  <dimension ref="A1:I29"/>
  <sheetViews>
    <sheetView topLeftCell="D1" workbookViewId="0">
      <selection activeCell="G10" sqref="G10"/>
    </sheetView>
  </sheetViews>
  <sheetFormatPr defaultRowHeight="12.75" x14ac:dyDescent="0.2"/>
  <cols>
    <col min="1" max="1" width="21.83203125" customWidth="1"/>
    <col min="2" max="2" width="33" customWidth="1"/>
    <col min="3" max="3" width="42.6640625" customWidth="1"/>
    <col min="4" max="6" width="40.6640625" customWidth="1"/>
    <col min="7" max="8" width="42.83203125" customWidth="1"/>
    <col min="9" max="9" width="42.1640625" customWidth="1"/>
  </cols>
  <sheetData>
    <row r="1" spans="1:9" ht="15" x14ac:dyDescent="0.25">
      <c r="A1" s="35" t="s">
        <v>101</v>
      </c>
      <c r="B1" s="35"/>
      <c r="C1" s="36" t="s">
        <v>102</v>
      </c>
      <c r="D1" s="36" t="s">
        <v>103</v>
      </c>
      <c r="E1" s="36" t="s">
        <v>104</v>
      </c>
      <c r="F1" s="37"/>
      <c r="G1" s="123" t="s">
        <v>105</v>
      </c>
      <c r="H1" s="123"/>
      <c r="I1" s="123"/>
    </row>
    <row r="2" spans="1:9" ht="25.5" x14ac:dyDescent="0.2">
      <c r="A2" s="38" t="s">
        <v>106</v>
      </c>
      <c r="B2" s="38"/>
      <c r="C2" s="39" t="s">
        <v>107</v>
      </c>
      <c r="D2" s="39" t="s">
        <v>108</v>
      </c>
      <c r="E2" s="76" t="s">
        <v>164</v>
      </c>
      <c r="F2" s="40"/>
      <c r="G2" s="124" t="s">
        <v>81</v>
      </c>
      <c r="H2" s="125"/>
      <c r="I2" s="126"/>
    </row>
    <row r="3" spans="1:9" ht="63" customHeight="1" x14ac:dyDescent="0.2">
      <c r="A3" s="41" t="s">
        <v>65</v>
      </c>
      <c r="B3" s="41"/>
      <c r="C3" s="42" t="s">
        <v>109</v>
      </c>
      <c r="D3" s="42" t="s">
        <v>110</v>
      </c>
      <c r="E3" s="77" t="s">
        <v>165</v>
      </c>
      <c r="F3" s="43"/>
      <c r="G3" s="127" t="s">
        <v>111</v>
      </c>
      <c r="H3" s="128"/>
      <c r="I3" s="129"/>
    </row>
    <row r="4" spans="1:9" x14ac:dyDescent="0.2">
      <c r="A4" s="38" t="s">
        <v>112</v>
      </c>
      <c r="B4" s="38"/>
      <c r="C4" s="39"/>
      <c r="D4" s="39"/>
      <c r="E4" s="39"/>
      <c r="F4" s="39"/>
      <c r="G4" s="39" t="s">
        <v>113</v>
      </c>
      <c r="H4" s="39"/>
      <c r="I4" s="39" t="s">
        <v>114</v>
      </c>
    </row>
    <row r="5" spans="1:9" x14ac:dyDescent="0.2">
      <c r="A5" s="41"/>
      <c r="B5" s="41"/>
      <c r="C5" s="42"/>
      <c r="D5" s="42"/>
      <c r="E5" s="42"/>
      <c r="F5" s="42"/>
      <c r="G5" s="42" t="s">
        <v>115</v>
      </c>
      <c r="H5" s="42"/>
      <c r="I5" s="42" t="s">
        <v>116</v>
      </c>
    </row>
    <row r="6" spans="1:9" x14ac:dyDescent="0.2">
      <c r="A6" s="38" t="s">
        <v>117</v>
      </c>
      <c r="B6" s="38"/>
      <c r="C6" s="39" t="s">
        <v>118</v>
      </c>
      <c r="D6" s="39" t="s">
        <v>119</v>
      </c>
      <c r="E6" s="39" t="s">
        <v>119</v>
      </c>
      <c r="F6" s="39"/>
      <c r="G6" s="39" t="s">
        <v>120</v>
      </c>
      <c r="H6" s="39"/>
      <c r="I6" s="39" t="s">
        <v>121</v>
      </c>
    </row>
    <row r="7" spans="1:9" x14ac:dyDescent="0.2">
      <c r="A7" s="41" t="s">
        <v>122</v>
      </c>
      <c r="B7" s="41"/>
      <c r="C7" s="42" t="s">
        <v>123</v>
      </c>
      <c r="D7" s="42" t="s">
        <v>124</v>
      </c>
      <c r="E7" s="42" t="s">
        <v>166</v>
      </c>
      <c r="F7" s="42"/>
      <c r="G7" s="42" t="s">
        <v>73</v>
      </c>
      <c r="H7" s="42"/>
      <c r="I7" s="42"/>
    </row>
    <row r="8" spans="1:9" ht="25.5" x14ac:dyDescent="0.2">
      <c r="A8" s="38" t="s">
        <v>125</v>
      </c>
      <c r="B8" s="39" t="s">
        <v>96</v>
      </c>
      <c r="C8" s="39" t="s">
        <v>96</v>
      </c>
      <c r="D8" s="39" t="s">
        <v>126</v>
      </c>
      <c r="E8" s="39" t="s">
        <v>126</v>
      </c>
      <c r="F8" s="39"/>
      <c r="G8" s="96" t="s">
        <v>127</v>
      </c>
      <c r="H8" s="98" t="s">
        <v>127</v>
      </c>
      <c r="I8" s="96" t="s">
        <v>127</v>
      </c>
    </row>
    <row r="9" spans="1:9" ht="25.5" x14ac:dyDescent="0.2">
      <c r="A9" s="41" t="s">
        <v>128</v>
      </c>
      <c r="B9" s="42" t="s">
        <v>163</v>
      </c>
      <c r="C9" s="42" t="s">
        <v>98</v>
      </c>
      <c r="D9" s="42" t="s">
        <v>129</v>
      </c>
      <c r="E9" s="42" t="s">
        <v>167</v>
      </c>
      <c r="F9" s="42"/>
      <c r="G9" s="97" t="s">
        <v>190</v>
      </c>
      <c r="H9" s="99" t="s">
        <v>178</v>
      </c>
      <c r="I9" s="97" t="s">
        <v>189</v>
      </c>
    </row>
    <row r="10" spans="1:9" x14ac:dyDescent="0.2">
      <c r="A10" s="38" t="s">
        <v>130</v>
      </c>
      <c r="B10" s="39" t="s">
        <v>162</v>
      </c>
      <c r="C10" s="39" t="s">
        <v>97</v>
      </c>
      <c r="D10" s="39" t="s">
        <v>131</v>
      </c>
      <c r="E10" s="39" t="s">
        <v>168</v>
      </c>
      <c r="F10" s="39"/>
      <c r="G10" s="96" t="s">
        <v>175</v>
      </c>
      <c r="H10" s="98" t="s">
        <v>179</v>
      </c>
      <c r="I10" s="96" t="s">
        <v>177</v>
      </c>
    </row>
    <row r="11" spans="1:9" x14ac:dyDescent="0.2">
      <c r="A11" s="41" t="s">
        <v>132</v>
      </c>
      <c r="B11" s="41"/>
      <c r="C11" s="42"/>
      <c r="D11" s="42"/>
      <c r="E11" s="42"/>
      <c r="F11" s="42"/>
      <c r="G11" s="42" t="s">
        <v>176</v>
      </c>
      <c r="H11" s="42"/>
      <c r="I11" s="42" t="s">
        <v>74</v>
      </c>
    </row>
    <row r="12" spans="1:9" x14ac:dyDescent="0.2">
      <c r="A12" s="38" t="s">
        <v>133</v>
      </c>
      <c r="B12" s="38"/>
      <c r="C12" s="39"/>
      <c r="D12" s="39"/>
      <c r="E12" s="39"/>
      <c r="F12" s="39"/>
      <c r="G12" s="39" t="s">
        <v>175</v>
      </c>
      <c r="H12" s="39"/>
      <c r="I12" s="39" t="s">
        <v>74</v>
      </c>
    </row>
    <row r="13" spans="1:9" x14ac:dyDescent="0.2">
      <c r="A13" s="38"/>
      <c r="B13" s="38"/>
      <c r="C13" s="39"/>
      <c r="D13" s="39"/>
      <c r="E13" s="39"/>
      <c r="F13" s="39"/>
      <c r="G13" s="39"/>
      <c r="H13" s="39"/>
      <c r="I13" s="39"/>
    </row>
    <row r="14" spans="1:9" x14ac:dyDescent="0.2">
      <c r="A14" s="41"/>
      <c r="B14" s="41"/>
      <c r="C14" s="42"/>
      <c r="D14" s="42"/>
      <c r="E14" s="42"/>
      <c r="F14" s="42"/>
      <c r="G14" s="42"/>
      <c r="H14" s="42"/>
      <c r="I14" s="42"/>
    </row>
    <row r="15" spans="1:9" x14ac:dyDescent="0.2">
      <c r="A15" s="38"/>
      <c r="B15" s="38"/>
      <c r="C15" s="39"/>
      <c r="D15" s="39"/>
      <c r="E15" s="39"/>
      <c r="F15" s="39"/>
      <c r="G15" s="39"/>
      <c r="H15" s="39"/>
      <c r="I15" s="39"/>
    </row>
    <row r="16" spans="1:9" x14ac:dyDescent="0.2">
      <c r="A16" s="41"/>
      <c r="B16" s="41"/>
      <c r="C16" s="42"/>
      <c r="D16" s="42"/>
      <c r="E16" s="42"/>
      <c r="F16" s="42"/>
      <c r="G16" s="42"/>
      <c r="H16" s="42"/>
      <c r="I16" s="42"/>
    </row>
    <row r="17" spans="1:9" x14ac:dyDescent="0.2">
      <c r="A17" s="38"/>
      <c r="B17" s="38"/>
      <c r="C17" s="39"/>
      <c r="D17" s="39"/>
      <c r="E17" s="39"/>
      <c r="F17" s="39"/>
      <c r="G17" s="39"/>
      <c r="H17" s="39"/>
      <c r="I17" s="39"/>
    </row>
    <row r="18" spans="1:9" x14ac:dyDescent="0.2">
      <c r="A18" s="41" t="s">
        <v>69</v>
      </c>
      <c r="B18" s="41"/>
      <c r="C18" s="42" t="s">
        <v>69</v>
      </c>
      <c r="D18" s="42" t="s">
        <v>135</v>
      </c>
      <c r="E18" s="42" t="s">
        <v>169</v>
      </c>
      <c r="F18" s="42"/>
      <c r="G18" s="42"/>
      <c r="H18" s="42"/>
      <c r="I18" s="42"/>
    </row>
    <row r="19" spans="1:9" x14ac:dyDescent="0.2">
      <c r="A19" s="38" t="s">
        <v>136</v>
      </c>
      <c r="B19" s="38"/>
      <c r="C19" s="42" t="s">
        <v>99</v>
      </c>
      <c r="D19" s="42" t="s">
        <v>137</v>
      </c>
      <c r="E19" s="42" t="s">
        <v>170</v>
      </c>
      <c r="F19" s="39"/>
      <c r="G19" s="39"/>
      <c r="H19" s="39"/>
      <c r="I19" s="39"/>
    </row>
    <row r="20" spans="1:9" x14ac:dyDescent="0.2">
      <c r="A20" s="41" t="s">
        <v>138</v>
      </c>
      <c r="B20" s="41"/>
      <c r="C20" s="42" t="s">
        <v>71</v>
      </c>
      <c r="D20" s="42" t="s">
        <v>139</v>
      </c>
      <c r="E20" s="42" t="s">
        <v>171</v>
      </c>
      <c r="F20" s="42"/>
      <c r="G20" s="42"/>
      <c r="H20" s="42"/>
      <c r="I20" s="42"/>
    </row>
    <row r="21" spans="1:9" x14ac:dyDescent="0.2">
      <c r="A21" s="44"/>
      <c r="B21" s="44"/>
      <c r="C21" s="39"/>
      <c r="D21" s="39"/>
      <c r="E21" s="39"/>
      <c r="F21" s="39"/>
      <c r="G21" s="39"/>
      <c r="H21" s="39"/>
      <c r="I21" s="39"/>
    </row>
    <row r="23" spans="1:9" ht="79.5" customHeight="1" x14ac:dyDescent="0.2">
      <c r="A23" s="45" t="s">
        <v>140</v>
      </c>
      <c r="B23" s="45"/>
      <c r="C23" s="46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46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47"/>
      <c r="G23" s="48" t="str">
        <f>CONCATENATE(G8," ",G1,"-",G10," .",G9)</f>
        <v>Гл. специалист ССК УКС ПАО "Россети Московский регион"-Курчин М.М. .Приказ № от   2026г (НРС С-31-330248)</v>
      </c>
      <c r="H23" s="48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48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5" t="s">
        <v>140</v>
      </c>
      <c r="B24" s="45"/>
      <c r="C24" s="46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46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7"/>
      <c r="G24" s="48" t="str">
        <f>CONCATENATE(G8," ",G1,"-",G10)</f>
        <v>Гл. специалист ССК УКС ПАО "Россети Московский регион"-Курчин М.М.</v>
      </c>
      <c r="H24" s="48" t="str">
        <f>CONCATENATE(H8," ",G1,"-",H10)</f>
        <v>Гл. специалист ССК УКС ПАО "Россети Московский регион"-Шатковский А.Н.</v>
      </c>
      <c r="I24" s="48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49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0"/>
      <c r="G25" s="48" t="str">
        <f>CONCATENATE(G8," ",G1)</f>
        <v>Гл. специалист ССК УКС ПАО "Россети Московский регион"</v>
      </c>
      <c r="H25" s="48" t="str">
        <f>CONCATENATE(H8," ",G1)</f>
        <v>Гл. специалист ССК УКС ПАО "Россети Московский регион"</v>
      </c>
      <c r="I25" s="48" t="str">
        <f>CONCATENATE(I8," ",G1)</f>
        <v>Гл. специалист ССК УКС ПАО "Россети Московский регион"</v>
      </c>
    </row>
    <row r="26" spans="1:9" ht="25.5" x14ac:dyDescent="0.2">
      <c r="C26" s="49" t="str">
        <f>CONCATENATE(C8," ",C1)</f>
        <v>Инженер по строительному контролю ООО"Энергосистемы"</v>
      </c>
      <c r="D26" s="49" t="str">
        <f>CONCATENATE(D8," ",D1)</f>
        <v>Специалист по строительному контролю ООО «Гефест»</v>
      </c>
      <c r="E26" s="50"/>
      <c r="G26" s="45" t="str">
        <f>CONCATENATE(G6," ",G1," ",G7)</f>
        <v>Начальник СРЭС СЭС филиала ПАО "Россети Московский регион" Чуев А.Н.</v>
      </c>
      <c r="H26" s="45"/>
      <c r="I26" s="45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1" t="str">
        <f>CONCATENATE(C18," ",C1,"-",C20,".",C19)</f>
        <v>Прораб ООО"Энергосистемы"-Волков М.Ю..Приказ №05-ОТ/24 от 09 января 2024г</v>
      </c>
      <c r="D27" s="51" t="str">
        <f>CONCATENATE(D18," ",D1,"-",D20,".",D19)</f>
        <v>Мастер электромонтажного участка  ООО «Гефест»-Красилов К.А..Приказ №01/24-ОТ от 15.01.2024</v>
      </c>
      <c r="E27" s="48"/>
      <c r="G27" s="52" t="str">
        <f>CONCATENATE(G14," ",G1," ",G15)</f>
        <v xml:space="preserve"> ПАО "Россети Московский регион" </v>
      </c>
      <c r="H27" s="52"/>
      <c r="I27" s="52" t="str">
        <f>CONCATENATE(I14," ",G1," ",I15)</f>
        <v xml:space="preserve"> ПАО "Россети Московский регион" </v>
      </c>
    </row>
    <row r="28" spans="1:9" ht="25.5" x14ac:dyDescent="0.2">
      <c r="C28" s="51" t="str">
        <f>CONCATENATE(C18," ",C1," ",C20)</f>
        <v>Прораб ООО"Энергосистемы" Волков М.Ю.</v>
      </c>
      <c r="D28" s="51" t="str">
        <f>CONCATENATE(D18," ",D1,"-",D20)</f>
        <v>Мастер электромонтажного участка  ООО «Гефест»-Красилов К.А.</v>
      </c>
      <c r="E28" s="48"/>
      <c r="G28" s="45" t="str">
        <f>CONCATENATE(G16," ",G1," ",G17)</f>
        <v xml:space="preserve"> ПАО "Россети Московский регион" </v>
      </c>
      <c r="H28" s="45"/>
    </row>
    <row r="29" spans="1:9" ht="25.5" x14ac:dyDescent="0.2">
      <c r="C29" s="53" t="str">
        <f>CONCATENATE(C18," ",C1)</f>
        <v>Прораб ООО"Энергосистемы"</v>
      </c>
      <c r="D29" s="51" t="str">
        <f>CONCATENATE(D18," ",D1)</f>
        <v>Мастер электромонтажного участка  ООО «Гефест»</v>
      </c>
      <c r="E29" s="48"/>
    </row>
  </sheetData>
  <mergeCells count="3">
    <mergeCell ref="G1:I1"/>
    <mergeCell ref="G2:I2"/>
    <mergeCell ref="G3:I3"/>
  </mergeCells>
  <dataValidations count="1">
    <dataValidation type="list" allowBlank="1" showInputMessage="1" showErrorMessage="1" sqref="E15" xr:uid="{1C310508-15B1-4B94-9262-C897989042FF}">
      <formula1>$G$9:$I$9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36A3-00B8-4E91-9752-C065AB31A304}">
  <sheetPr>
    <tabColor rgb="FFFF0000"/>
  </sheetPr>
  <dimension ref="A1:AK77"/>
  <sheetViews>
    <sheetView topLeftCell="A10" zoomScale="85" zoomScaleNormal="85" workbookViewId="0">
      <selection activeCell="B34" sqref="B34"/>
    </sheetView>
  </sheetViews>
  <sheetFormatPr defaultRowHeight="12.75" x14ac:dyDescent="0.2"/>
  <cols>
    <col min="1" max="1" width="35" style="86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30" t="s">
        <v>141</v>
      </c>
      <c r="B1" s="131"/>
    </row>
    <row r="2" spans="1:3" ht="15" x14ac:dyDescent="0.25">
      <c r="A2" s="81" t="s">
        <v>142</v>
      </c>
      <c r="B2" s="109" t="s">
        <v>191</v>
      </c>
    </row>
    <row r="3" spans="1:3" ht="30" x14ac:dyDescent="0.2">
      <c r="A3" s="82" t="s">
        <v>62</v>
      </c>
      <c r="B3" s="110" t="s">
        <v>192</v>
      </c>
    </row>
    <row r="4" spans="1:3" ht="15" x14ac:dyDescent="0.25">
      <c r="A4" s="83" t="s">
        <v>143</v>
      </c>
      <c r="B4" s="111" t="s">
        <v>113</v>
      </c>
    </row>
    <row r="5" spans="1:3" ht="15" x14ac:dyDescent="0.25">
      <c r="A5" s="83" t="s">
        <v>64</v>
      </c>
      <c r="B5" s="111" t="s">
        <v>193</v>
      </c>
    </row>
    <row r="6" spans="1:3" ht="15" x14ac:dyDescent="0.25">
      <c r="A6" s="83" t="s">
        <v>144</v>
      </c>
      <c r="B6" s="112" t="s">
        <v>194</v>
      </c>
    </row>
    <row r="7" spans="1:3" ht="15" x14ac:dyDescent="0.25">
      <c r="A7" s="83" t="s">
        <v>145</v>
      </c>
      <c r="B7" s="112" t="s">
        <v>195</v>
      </c>
      <c r="C7" s="54"/>
    </row>
    <row r="8" spans="1:3" ht="14.25" x14ac:dyDescent="0.2">
      <c r="A8" s="130" t="s">
        <v>146</v>
      </c>
      <c r="B8" s="131"/>
    </row>
    <row r="9" spans="1:3" ht="15" x14ac:dyDescent="0.25">
      <c r="A9" s="84" t="s">
        <v>150</v>
      </c>
      <c r="B9" s="69" t="s">
        <v>224</v>
      </c>
    </row>
    <row r="10" spans="1:3" ht="14.25" x14ac:dyDescent="0.2">
      <c r="A10" s="130" t="s">
        <v>66</v>
      </c>
      <c r="B10" s="131"/>
    </row>
    <row r="11" spans="1:3" ht="15" x14ac:dyDescent="0.25">
      <c r="A11" s="83" t="s">
        <v>67</v>
      </c>
      <c r="B11" s="55" t="s">
        <v>102</v>
      </c>
      <c r="C11" s="2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83" t="s">
        <v>147</v>
      </c>
      <c r="B12" s="55" t="s">
        <v>107</v>
      </c>
      <c r="C12" s="2"/>
    </row>
    <row r="13" spans="1:3" ht="30" x14ac:dyDescent="0.25">
      <c r="A13" s="83" t="s">
        <v>65</v>
      </c>
      <c r="B13" s="55" t="s">
        <v>109</v>
      </c>
      <c r="C13" s="2"/>
    </row>
    <row r="14" spans="1:3" ht="15" hidden="1" x14ac:dyDescent="0.25">
      <c r="A14" s="83" t="s">
        <v>68</v>
      </c>
      <c r="B14" s="55" t="s">
        <v>119</v>
      </c>
      <c r="C14" s="2"/>
    </row>
    <row r="15" spans="1:3" ht="15" hidden="1" x14ac:dyDescent="0.25">
      <c r="A15" s="83" t="s">
        <v>148</v>
      </c>
      <c r="B15" s="55" t="s">
        <v>124</v>
      </c>
      <c r="C15" s="2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83" t="s">
        <v>68</v>
      </c>
      <c r="B16" s="55" t="s">
        <v>96</v>
      </c>
      <c r="C16" s="2" t="str">
        <f>CONCATENATE(B16," ",B11)</f>
        <v>Инженер по строительному контролю ООО"Энергосистемы"</v>
      </c>
    </row>
    <row r="17" spans="1:3" ht="15" x14ac:dyDescent="0.25">
      <c r="A17" s="83" t="s">
        <v>70</v>
      </c>
      <c r="B17" s="75" t="s">
        <v>162</v>
      </c>
      <c r="C17" s="56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83" t="s">
        <v>149</v>
      </c>
      <c r="B18" s="75" t="s">
        <v>163</v>
      </c>
      <c r="C18" s="56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83" t="s">
        <v>68</v>
      </c>
      <c r="B19" s="55" t="s">
        <v>69</v>
      </c>
      <c r="C19" s="2" t="str">
        <f>CONCATENATE(B19," ",B11)</f>
        <v>Прораб ООО"Энергосистемы"</v>
      </c>
    </row>
    <row r="20" spans="1:3" ht="15" x14ac:dyDescent="0.25">
      <c r="A20" s="83" t="s">
        <v>70</v>
      </c>
      <c r="B20" s="55" t="s">
        <v>71</v>
      </c>
      <c r="C20" s="56" t="str">
        <f>CONCATENATE(B19," ",B11," ",B20)</f>
        <v>Прораб ООО"Энергосистемы" Волков М.Ю.</v>
      </c>
    </row>
    <row r="21" spans="1:3" ht="15" x14ac:dyDescent="0.25">
      <c r="A21" s="85" t="s">
        <v>149</v>
      </c>
      <c r="B21" s="55" t="s">
        <v>99</v>
      </c>
      <c r="C21" s="56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32" t="s">
        <v>72</v>
      </c>
      <c r="B22" s="133"/>
    </row>
    <row r="23" spans="1:3" ht="15" x14ac:dyDescent="0.25">
      <c r="A23" s="85" t="s">
        <v>67</v>
      </c>
      <c r="B23" s="57" t="s">
        <v>105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85" t="s">
        <v>147</v>
      </c>
      <c r="B24" s="57" t="str">
        <f>'Данные организации'!G2</f>
        <v>ОГРН 1057746555811 ИНН 5036065113 КПП 772501001</v>
      </c>
    </row>
    <row r="25" spans="1:3" ht="15" x14ac:dyDescent="0.25">
      <c r="A25" s="85" t="s">
        <v>65</v>
      </c>
      <c r="B25" s="57" t="str">
        <f>'Данные организации'!G3</f>
        <v>115114, город Москва, проезд Павелецкий 2-й, дом 3, строение 2</v>
      </c>
    </row>
    <row r="26" spans="1:3" ht="15" hidden="1" x14ac:dyDescent="0.25">
      <c r="A26" s="85" t="s">
        <v>68</v>
      </c>
      <c r="B26" s="58" t="s">
        <v>120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85" t="s">
        <v>70</v>
      </c>
      <c r="B27" s="57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85" t="s">
        <v>68</v>
      </c>
      <c r="B28" s="57" t="s">
        <v>134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85" t="s">
        <v>70</v>
      </c>
      <c r="B29" s="57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85" t="s">
        <v>68</v>
      </c>
      <c r="B30" s="57" t="s">
        <v>76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85" t="s">
        <v>70</v>
      </c>
      <c r="B31" s="57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85" t="s">
        <v>68</v>
      </c>
      <c r="B32" s="57" t="s">
        <v>127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85" t="s">
        <v>70</v>
      </c>
      <c r="B33" s="57" t="s">
        <v>177</v>
      </c>
      <c r="C33" s="3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85" t="s">
        <v>149</v>
      </c>
      <c r="B34" s="57" t="s">
        <v>189</v>
      </c>
      <c r="C34" t="str">
        <f>CONCATENATE(B32," ",B23," ",B33," ",B34)</f>
        <v>Гл. специалист ССК УКС ПАО "Россети Московский регион" Алексанян Г.Р. Приказ №1904 от 03 июня 2026г (НРС С-50-069023)</v>
      </c>
    </row>
    <row r="35" spans="1:31" ht="15" x14ac:dyDescent="0.25">
      <c r="A35" s="85" t="s">
        <v>68</v>
      </c>
      <c r="B35" s="80" t="s">
        <v>176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85" t="s">
        <v>70</v>
      </c>
      <c r="B36" s="80" t="s">
        <v>175</v>
      </c>
      <c r="C36" s="3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85" t="s">
        <v>149</v>
      </c>
      <c r="B37" s="80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30" t="s">
        <v>78</v>
      </c>
      <c r="B38" s="134"/>
    </row>
    <row r="39" spans="1:31" ht="15" x14ac:dyDescent="0.25">
      <c r="A39" s="82" t="s">
        <v>67</v>
      </c>
      <c r="B39" s="59" t="s">
        <v>102</v>
      </c>
    </row>
    <row r="40" spans="1:31" ht="15" x14ac:dyDescent="0.25">
      <c r="A40" s="83" t="s">
        <v>147</v>
      </c>
      <c r="B40" s="59" t="s">
        <v>107</v>
      </c>
    </row>
    <row r="41" spans="1:31" ht="30" x14ac:dyDescent="0.25">
      <c r="A41" s="83" t="s">
        <v>65</v>
      </c>
      <c r="B41" s="59" t="s">
        <v>109</v>
      </c>
    </row>
    <row r="42" spans="1:31" ht="15" x14ac:dyDescent="0.25">
      <c r="A42" s="82" t="s">
        <v>63</v>
      </c>
      <c r="B42" s="59" t="s">
        <v>79</v>
      </c>
    </row>
    <row r="43" spans="1:31" ht="15" x14ac:dyDescent="0.25">
      <c r="A43" s="82" t="s">
        <v>18</v>
      </c>
      <c r="B43" s="59" t="s">
        <v>196</v>
      </c>
    </row>
    <row r="44" spans="1:31" ht="30" x14ac:dyDescent="0.25">
      <c r="A44" s="82" t="s">
        <v>80</v>
      </c>
      <c r="B44" s="59" t="str">
        <f>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47" spans="1:31" x14ac:dyDescent="0.2">
      <c r="C47" s="60"/>
      <c r="D47" s="60"/>
      <c r="E47" s="60"/>
      <c r="F47" s="60"/>
      <c r="G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1:31" x14ac:dyDescent="0.2">
      <c r="C48" s="60"/>
      <c r="D48" s="60"/>
      <c r="E48" s="60"/>
      <c r="F48" s="60"/>
      <c r="G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</row>
    <row r="49" spans="3:37" x14ac:dyDescent="0.2">
      <c r="C49" s="60"/>
      <c r="D49" s="60"/>
      <c r="E49" s="60"/>
      <c r="F49" s="60"/>
      <c r="G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</row>
    <row r="50" spans="3:37" x14ac:dyDescent="0.2">
      <c r="C50" s="60"/>
      <c r="D50" s="60"/>
      <c r="E50" s="60"/>
      <c r="F50" s="60"/>
      <c r="G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</row>
    <row r="51" spans="3:37" x14ac:dyDescent="0.2">
      <c r="C51" s="60"/>
      <c r="D51" s="60"/>
      <c r="E51" s="60"/>
      <c r="F51" s="60"/>
      <c r="G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</row>
    <row r="52" spans="3:37" x14ac:dyDescent="0.2">
      <c r="C52" s="60"/>
      <c r="D52" s="60"/>
      <c r="E52" s="60"/>
      <c r="F52" s="60"/>
      <c r="G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</row>
    <row r="53" spans="3:37" x14ac:dyDescent="0.2">
      <c r="C53" s="60"/>
      <c r="D53" s="60"/>
      <c r="E53" s="60"/>
      <c r="F53" s="60"/>
      <c r="G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</row>
    <row r="54" spans="3:37" x14ac:dyDescent="0.2">
      <c r="C54" s="60"/>
      <c r="D54" s="60"/>
      <c r="E54" s="60"/>
      <c r="F54" s="60"/>
      <c r="G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</row>
    <row r="58" spans="3:37" ht="14.45" customHeight="1" x14ac:dyDescent="0.2"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 spans="3:37" ht="14.45" customHeight="1" x14ac:dyDescent="0.2"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 spans="3:37" x14ac:dyDescent="0.2"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spans="3:37" x14ac:dyDescent="0.2"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spans="3:37" x14ac:dyDescent="0.2"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spans="3:37" x14ac:dyDescent="0.2"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spans="3:37" x14ac:dyDescent="0.2"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spans="2:37" x14ac:dyDescent="0.2"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spans="2:37" x14ac:dyDescent="0.2"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spans="2:37" x14ac:dyDescent="0.2"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spans="2:37" x14ac:dyDescent="0.2"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spans="2:37" x14ac:dyDescent="0.2"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spans="2:37" x14ac:dyDescent="0.2"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spans="2:37" x14ac:dyDescent="0.2"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spans="2:37" ht="14.45" customHeight="1" x14ac:dyDescent="0.2"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7" spans="2:37" ht="16.149999999999999" customHeight="1" x14ac:dyDescent="0.2">
      <c r="B77" s="45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AC5BB53A-6E70-4FAF-8DA4-CB091FD77805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EA4A0285-C8F1-44EE-871E-B1835C599D89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12D9DAFA-227E-429D-B7F2-744CE0EF764B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C3BEE1EC-82E4-4EDF-920B-89EEDAC1FE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ED661FA0-BBED-4F66-97CB-054372CA78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904819DB-41E0-4960-BCF3-B39A2D8D9F5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59D122BB-1901-4D78-B70E-F9C166CC0AC7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7962E89-8FAF-47D5-9285-2E36AE98F13A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B72120D3-7C06-440F-A614-C16130DDF758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5FF326AD-FCC4-41D7-B4E7-8874AB540CF7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DFAF6342-6F8D-4D2C-806A-0E5232FDA7C1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ADDC86D8-0CF2-41FE-9840-440539C813C3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318B2730-0220-4623-9B22-67FEF966D952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7531BA27-4D80-4EEF-B7C5-8D4CA691EC27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C9441C08-CE10-4102-921D-62560E356BC4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E61B29B0-96DD-4ABD-BEEE-D308DCD94360}">
          <x14:formula1>
            <xm:f>'Y:\!!! Бибилиотека\Исполнительная документация\ИД 2026г\4980 КРМО\[1. ЭМР1.xlsx]Данные организации'!#REF!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Z116"/>
  <sheetViews>
    <sheetView view="pageBreakPreview" topLeftCell="A63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1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4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4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4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4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4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4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4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4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46" s="13" customFormat="1" ht="12" customHeight="1" x14ac:dyDescent="0.2">
      <c r="A57" s="13" t="s">
        <v>16</v>
      </c>
    </row>
    <row r="58" spans="1:4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4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46" s="13" customFormat="1" ht="12" customHeight="1" x14ac:dyDescent="0.2">
      <c r="A60" s="13" t="s">
        <v>15</v>
      </c>
    </row>
    <row r="61" spans="1:46" s="13" customFormat="1" ht="12" customHeight="1" x14ac:dyDescent="0.2">
      <c r="A61" s="13" t="s">
        <v>30</v>
      </c>
    </row>
    <row r="62" spans="1:46" s="13" customFormat="1" ht="12" customHeight="1" x14ac:dyDescent="0.2">
      <c r="A62" s="70" t="s">
        <v>216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90"/>
      <c r="P62" s="90"/>
      <c r="Q62" s="90"/>
      <c r="R62" s="90"/>
      <c r="S62" s="90"/>
      <c r="T62" s="90"/>
      <c r="U62" s="90"/>
      <c r="V62" s="90"/>
      <c r="W62" s="70"/>
      <c r="X62" s="70"/>
      <c r="Y62" s="70"/>
      <c r="Z62" s="70"/>
      <c r="AA62" s="70"/>
      <c r="AB62" s="70" t="s">
        <v>199</v>
      </c>
      <c r="AC62" s="90"/>
      <c r="AD62" s="90"/>
      <c r="AE62" s="90"/>
      <c r="AF62" s="90"/>
      <c r="AG62" s="90"/>
      <c r="AH62" s="90"/>
      <c r="AI62" s="90"/>
      <c r="AJ62" s="90"/>
      <c r="AK62" s="113"/>
      <c r="AL62" s="113"/>
      <c r="AM62" s="113"/>
      <c r="AN62" s="113"/>
      <c r="AO62" s="113"/>
      <c r="AP62" s="113"/>
      <c r="AQ62" s="113"/>
      <c r="AR62" s="113"/>
      <c r="AS62" s="66"/>
      <c r="AT62" s="66"/>
    </row>
    <row r="63" spans="1:46" s="14" customFormat="1" ht="8.25" customHeight="1" x14ac:dyDescent="0.1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</row>
    <row r="64" spans="1:46" s="13" customFormat="1" ht="12" customHeight="1" x14ac:dyDescent="0.2">
      <c r="A64" s="13" t="s">
        <v>13</v>
      </c>
    </row>
    <row r="65" spans="1:36" s="13" customFormat="1" ht="12" customHeight="1" x14ac:dyDescent="0.2">
      <c r="A65" s="139" t="str">
        <f>'Данные объект'!B43</f>
        <v>4980-325834-217-09/24-ЭС</v>
      </c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</row>
    <row r="66" spans="1:36" s="14" customFormat="1" ht="15" customHeight="1" x14ac:dyDescent="0.15">
      <c r="A66" s="135" t="s">
        <v>39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13" customFormat="1" ht="12" customHeight="1" x14ac:dyDescent="0.2">
      <c r="A67" s="13" t="s">
        <v>12</v>
      </c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7" t="s">
        <v>55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</row>
    <row r="69" spans="1:36" s="13" customFormat="1" ht="12" customHeight="1" x14ac:dyDescent="0.2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45" t="s">
        <v>217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66" t="s">
        <v>1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spans="1:36" s="13" customFormat="1" ht="12" customHeight="1" x14ac:dyDescent="0.2">
      <c r="A93" s="25" t="s">
        <v>83</v>
      </c>
      <c r="B93" s="145" t="str">
        <f>G72</f>
        <v>Исполнителная схема устройства траншеи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35" t="s">
        <v>0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45" t="str">
        <f>'Данные объект'!B33</f>
        <v>Алексанян Г.Р.</v>
      </c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45"/>
      <c r="AC98" s="145"/>
      <c r="AD98" s="145"/>
      <c r="AE98" s="145"/>
      <c r="AF98" s="145"/>
      <c r="AG98" s="145"/>
      <c r="AH98" s="145"/>
      <c r="AI98" s="145"/>
      <c r="AJ98" s="145"/>
    </row>
    <row r="99" spans="1:36" s="14" customFormat="1" ht="9" customHeight="1" x14ac:dyDescent="0.15">
      <c r="A99" s="149" t="s">
        <v>35</v>
      </c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7" t="s">
        <v>34</v>
      </c>
      <c r="AC99" s="147"/>
      <c r="AD99" s="147"/>
      <c r="AE99" s="147"/>
      <c r="AF99" s="147"/>
      <c r="AG99" s="147"/>
      <c r="AH99" s="147"/>
      <c r="AI99" s="147"/>
      <c r="AJ99" s="147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45" t="str">
        <f>'Данные объект'!B20</f>
        <v>Волков М.Ю.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45"/>
      <c r="AC101" s="145"/>
      <c r="AD101" s="145"/>
      <c r="AE101" s="145"/>
      <c r="AF101" s="145"/>
      <c r="AG101" s="145"/>
      <c r="AH101" s="145"/>
      <c r="AI101" s="145"/>
      <c r="AJ101" s="145"/>
    </row>
    <row r="102" spans="1:36" s="14" customFormat="1" ht="9" customHeight="1" x14ac:dyDescent="0.15">
      <c r="A102" s="149" t="s">
        <v>35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7" t="s">
        <v>34</v>
      </c>
      <c r="AC102" s="147"/>
      <c r="AD102" s="147"/>
      <c r="AE102" s="147"/>
      <c r="AF102" s="147"/>
      <c r="AG102" s="147"/>
      <c r="AH102" s="147"/>
      <c r="AI102" s="147"/>
      <c r="AJ102" s="147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45" t="str">
        <f>'Данные объект'!B17</f>
        <v>Русин В.А.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45"/>
      <c r="AC105" s="145"/>
      <c r="AD105" s="145"/>
      <c r="AE105" s="145"/>
      <c r="AF105" s="145"/>
      <c r="AG105" s="145"/>
      <c r="AH105" s="145"/>
      <c r="AI105" s="145"/>
      <c r="AJ105" s="145"/>
    </row>
    <row r="106" spans="1:36" s="14" customFormat="1" ht="9" customHeight="1" x14ac:dyDescent="0.15">
      <c r="A106" s="149" t="s">
        <v>35</v>
      </c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7" t="s">
        <v>34</v>
      </c>
      <c r="AC106" s="147"/>
      <c r="AD106" s="147"/>
      <c r="AE106" s="147"/>
      <c r="AF106" s="147"/>
      <c r="AG106" s="147"/>
      <c r="AH106" s="147"/>
      <c r="AI106" s="147"/>
      <c r="AJ106" s="147"/>
    </row>
    <row r="107" spans="1:36" s="14" customFormat="1" ht="11.25" x14ac:dyDescent="0.2">
      <c r="A107" s="13" t="s">
        <v>173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87"/>
      <c r="Q107" s="87"/>
      <c r="R107" s="87"/>
      <c r="S107" s="87"/>
      <c r="T107" s="87"/>
      <c r="U107" s="88"/>
      <c r="V107" s="88"/>
      <c r="W107" s="88"/>
      <c r="X107" s="88"/>
      <c r="Y107" s="88"/>
      <c r="Z107" s="88"/>
      <c r="AA107" s="88"/>
      <c r="AB107" s="79"/>
      <c r="AC107" s="79"/>
      <c r="AD107" s="79"/>
      <c r="AE107" s="79"/>
      <c r="AF107" s="79"/>
      <c r="AG107" s="79"/>
      <c r="AH107" s="79"/>
      <c r="AI107" s="79"/>
      <c r="AJ107" s="79"/>
    </row>
    <row r="108" spans="1:36" s="14" customFormat="1" ht="11.25" x14ac:dyDescent="0.2">
      <c r="A108" s="145" t="str">
        <f>'Данные объект'!$B$36</f>
        <v>Курчин М.М.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45"/>
      <c r="AC108" s="145"/>
      <c r="AD108" s="145"/>
      <c r="AE108" s="145"/>
      <c r="AF108" s="145"/>
      <c r="AG108" s="145"/>
      <c r="AH108" s="145"/>
      <c r="AI108" s="145"/>
      <c r="AJ108" s="145"/>
    </row>
    <row r="109" spans="1:36" s="14" customFormat="1" ht="9" customHeight="1" x14ac:dyDescent="0.15">
      <c r="A109" s="149" t="s">
        <v>35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7" t="s">
        <v>34</v>
      </c>
      <c r="AC109" s="147"/>
      <c r="AD109" s="147"/>
      <c r="AE109" s="147"/>
      <c r="AF109" s="147"/>
      <c r="AG109" s="147"/>
      <c r="AH109" s="147"/>
      <c r="AI109" s="147"/>
      <c r="AJ109" s="147"/>
    </row>
    <row r="110" spans="1:36" s="13" customFormat="1" ht="38.25" customHeight="1" x14ac:dyDescent="0.2">
      <c r="A110" s="141" t="s">
        <v>51</v>
      </c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</row>
    <row r="111" spans="1:36" s="13" customFormat="1" ht="12" customHeight="1" x14ac:dyDescent="0.2">
      <c r="A111" s="145" t="s">
        <v>74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45" t="s">
        <v>74</v>
      </c>
      <c r="AC111" s="145"/>
      <c r="AD111" s="145"/>
      <c r="AE111" s="145"/>
      <c r="AF111" s="145"/>
      <c r="AG111" s="145"/>
      <c r="AH111" s="145"/>
      <c r="AI111" s="145"/>
      <c r="AJ111" s="145"/>
    </row>
    <row r="112" spans="1:36" s="14" customFormat="1" ht="9" customHeight="1" x14ac:dyDescent="0.15">
      <c r="A112" s="149" t="s">
        <v>35</v>
      </c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7" t="s">
        <v>34</v>
      </c>
      <c r="AC112" s="147"/>
      <c r="AD112" s="147"/>
      <c r="AE112" s="147"/>
      <c r="AF112" s="147"/>
      <c r="AG112" s="147"/>
      <c r="AH112" s="147"/>
      <c r="AI112" s="147"/>
      <c r="AJ112" s="147"/>
    </row>
    <row r="113" spans="1:36" s="13" customFormat="1" ht="24.75" hidden="1" customHeight="1" x14ac:dyDescent="0.2">
      <c r="A113" s="141" t="s">
        <v>53</v>
      </c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</row>
    <row r="114" spans="1:36" s="13" customFormat="1" ht="12" hidden="1" customHeight="1" x14ac:dyDescent="0.2">
      <c r="A114" s="145" t="e">
        <f>#REF!</f>
        <v>#REF!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45"/>
      <c r="AC114" s="145"/>
      <c r="AD114" s="145"/>
      <c r="AE114" s="145"/>
      <c r="AF114" s="145"/>
      <c r="AG114" s="145"/>
      <c r="AH114" s="145"/>
      <c r="AI114" s="145"/>
      <c r="AJ114" s="145"/>
    </row>
    <row r="115" spans="1:36" s="14" customFormat="1" ht="9" hidden="1" customHeight="1" x14ac:dyDescent="0.15">
      <c r="A115" s="149" t="s">
        <v>35</v>
      </c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7" t="s">
        <v>34</v>
      </c>
      <c r="AC115" s="147"/>
      <c r="AD115" s="147"/>
      <c r="AE115" s="147"/>
      <c r="AF115" s="147"/>
      <c r="AG115" s="147"/>
      <c r="AH115" s="147"/>
      <c r="AI115" s="147"/>
      <c r="AJ115" s="147"/>
    </row>
    <row r="116" spans="1:36" ht="12" customHeight="1" x14ac:dyDescent="0.25"/>
  </sheetData>
  <mergeCells count="100">
    <mergeCell ref="A75:AJ75"/>
    <mergeCell ref="AB106:AJ106"/>
    <mergeCell ref="A108:O108"/>
    <mergeCell ref="A102:O102"/>
    <mergeCell ref="AB102:AJ102"/>
    <mergeCell ref="AB108:AJ108"/>
    <mergeCell ref="P77:W77"/>
    <mergeCell ref="P78:W78"/>
    <mergeCell ref="A58:AJ58"/>
    <mergeCell ref="A51:AJ51"/>
    <mergeCell ref="A47:AJ47"/>
    <mergeCell ref="A48:AJ48"/>
    <mergeCell ref="A74:AJ74"/>
    <mergeCell ref="A73:B73"/>
    <mergeCell ref="A115:O115"/>
    <mergeCell ref="AB115:AJ115"/>
    <mergeCell ref="A113:AJ113"/>
    <mergeCell ref="A112:O112"/>
    <mergeCell ref="AB112:AJ112"/>
    <mergeCell ref="L88:AJ88"/>
    <mergeCell ref="A86:AJ86"/>
    <mergeCell ref="A94:AJ94"/>
    <mergeCell ref="A82:AJ82"/>
    <mergeCell ref="A114:O114"/>
    <mergeCell ref="AB114:AJ114"/>
    <mergeCell ref="A105:O105"/>
    <mergeCell ref="AB105:AJ105"/>
    <mergeCell ref="A106:O106"/>
    <mergeCell ref="G73:AJ73"/>
    <mergeCell ref="A111:O111"/>
    <mergeCell ref="AB111:AJ111"/>
    <mergeCell ref="A110:AJ110"/>
    <mergeCell ref="A109:O109"/>
    <mergeCell ref="AB109:AJ109"/>
    <mergeCell ref="AB101:AJ101"/>
    <mergeCell ref="AB98:AJ98"/>
    <mergeCell ref="A98:O98"/>
    <mergeCell ref="A81:AJ81"/>
    <mergeCell ref="A101:O101"/>
    <mergeCell ref="A83:AJ83"/>
    <mergeCell ref="H90:I90"/>
    <mergeCell ref="B93:N93"/>
    <mergeCell ref="A87:AJ87"/>
    <mergeCell ref="A84:AJ84"/>
    <mergeCell ref="A99:O99"/>
    <mergeCell ref="AB99:AJ99"/>
    <mergeCell ref="A13:AJ13"/>
    <mergeCell ref="A19:AJ19"/>
    <mergeCell ref="G72:AJ72"/>
    <mergeCell ref="P68:AJ68"/>
    <mergeCell ref="A69:AJ69"/>
    <mergeCell ref="A70:AJ70"/>
    <mergeCell ref="P67:AJ67"/>
    <mergeCell ref="A42:AJ42"/>
    <mergeCell ref="A44:AJ44"/>
    <mergeCell ref="A45:AJ45"/>
    <mergeCell ref="A53:AJ53"/>
    <mergeCell ref="A63:AJ63"/>
    <mergeCell ref="A65:AJ65"/>
    <mergeCell ref="A66:AJ66"/>
    <mergeCell ref="A59:AJ59"/>
    <mergeCell ref="A50:AJ50"/>
    <mergeCell ref="A35:AJ35"/>
    <mergeCell ref="AB32:AI32"/>
    <mergeCell ref="A4:AJ4"/>
    <mergeCell ref="A5:AJ5"/>
    <mergeCell ref="A6:AJ6"/>
    <mergeCell ref="A8:AJ8"/>
    <mergeCell ref="A9:AJ9"/>
    <mergeCell ref="A7:AJ7"/>
    <mergeCell ref="A12:AJ12"/>
    <mergeCell ref="A10:AJ10"/>
    <mergeCell ref="A11:AJ11"/>
    <mergeCell ref="A20:AJ20"/>
    <mergeCell ref="A15:AJ15"/>
    <mergeCell ref="A16:AJ16"/>
    <mergeCell ref="A17:AJ17"/>
    <mergeCell ref="A18:AJ18"/>
    <mergeCell ref="A56:AJ56"/>
    <mergeCell ref="A54:AJ54"/>
    <mergeCell ref="A55:AJ55"/>
    <mergeCell ref="A43:AJ43"/>
    <mergeCell ref="A49:AJ49"/>
    <mergeCell ref="A52:AJ52"/>
    <mergeCell ref="A23:AJ23"/>
    <mergeCell ref="A24:AJ24"/>
    <mergeCell ref="A22:AJ22"/>
    <mergeCell ref="A46:AJ46"/>
    <mergeCell ref="A37:AJ37"/>
    <mergeCell ref="A41:AJ41"/>
    <mergeCell ref="A38:AJ38"/>
    <mergeCell ref="A39:AJ39"/>
    <mergeCell ref="A30:AJ30"/>
    <mergeCell ref="A36:AJ36"/>
    <mergeCell ref="A25:AJ25"/>
    <mergeCell ref="A26:AJ26"/>
    <mergeCell ref="AB33:AI33"/>
    <mergeCell ref="A27:AJ27"/>
    <mergeCell ref="A29:AJ29"/>
    <mergeCell ref="E32:G32"/>
  </mergeCells>
  <phoneticPr fontId="6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95146-2068-4F55-9061-01E1A61A7A0A}">
          <x14:formula1>
            <xm:f>'данные строй'!$A$3:$A$5</xm:f>
          </x14:formula1>
          <xm:sqref>AL62:AM62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Z117"/>
  <sheetViews>
    <sheetView view="pageBreakPreview" topLeftCell="A69" zoomScale="125" zoomScaleNormal="125" zoomScaleSheetLayoutView="125" workbookViewId="0">
      <selection activeCell="A86" sqref="A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f>'АОСР-1'!C32+1</f>
        <v>2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'АОСР-1'!A86:AJ86</f>
        <v>Песчаное основание траншеи под прокладку 2КЛ-10кВ со стороны с.5 яч.503 - БРП №171 с.2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90"/>
      <c r="P62" s="90"/>
      <c r="Q62" s="90"/>
      <c r="R62" s="90"/>
      <c r="S62" s="90"/>
      <c r="T62" s="90"/>
      <c r="U62" s="90"/>
      <c r="V62" s="9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2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90</v>
      </c>
      <c r="B69" s="153"/>
      <c r="C69" s="153"/>
      <c r="D69" s="70" t="s">
        <v>74</v>
      </c>
      <c r="E69" s="154">
        <v>942.81</v>
      </c>
      <c r="F69" s="154"/>
      <c r="G69" s="154"/>
      <c r="H69" s="154"/>
      <c r="I69" s="70" t="s">
        <v>82</v>
      </c>
      <c r="J69" s="70"/>
      <c r="K69" s="153" t="s">
        <v>201</v>
      </c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15" t="str">
        <f>'АОСР-2 (2)'!A62</f>
        <v>Устройство несгораемой перегородки из полнотелого кирпича М200 2КЛ-10кВ со стороны с.5 яч.503 - БРП №171 с.2</v>
      </c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52" t="str">
        <f>K69</f>
        <v>Паспорт качества б/н</v>
      </c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2">
    <mergeCell ref="A13:AJ13"/>
    <mergeCell ref="A15:AJ15"/>
    <mergeCell ref="A16:AJ16"/>
    <mergeCell ref="A17:AJ17"/>
    <mergeCell ref="A18:AJ18"/>
    <mergeCell ref="A19:AJ19"/>
    <mergeCell ref="A20:AJ20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2:AJ22"/>
    <mergeCell ref="A23:AJ23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24:AJ24"/>
    <mergeCell ref="A25:AJ25"/>
    <mergeCell ref="A26:AJ26"/>
    <mergeCell ref="A27:AJ27"/>
    <mergeCell ref="A29:AJ29"/>
    <mergeCell ref="A30:AJ30"/>
    <mergeCell ref="E32:G3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53:AJ53"/>
    <mergeCell ref="A46:AJ46"/>
    <mergeCell ref="A47:AJ47"/>
    <mergeCell ref="A48:AJ48"/>
    <mergeCell ref="A54:AJ54"/>
    <mergeCell ref="A55:AJ55"/>
    <mergeCell ref="A56:AJ56"/>
    <mergeCell ref="A74:AJ74"/>
    <mergeCell ref="A75:AJ75"/>
    <mergeCell ref="A58:AJ58"/>
    <mergeCell ref="A59:AJ59"/>
    <mergeCell ref="P67:AJ67"/>
    <mergeCell ref="P68:AJ68"/>
    <mergeCell ref="A70:AJ70"/>
    <mergeCell ref="G72:U72"/>
    <mergeCell ref="W72:AJ72"/>
    <mergeCell ref="A63:AJ63"/>
    <mergeCell ref="A65:AJ65"/>
    <mergeCell ref="A66:AJ66"/>
    <mergeCell ref="A73:B73"/>
    <mergeCell ref="G73:AJ73"/>
    <mergeCell ref="P77:W77"/>
    <mergeCell ref="P78:W78"/>
    <mergeCell ref="A69:C69"/>
    <mergeCell ref="E69:H69"/>
    <mergeCell ref="K69:AD69"/>
    <mergeCell ref="A114:AJ114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B112:AJ112"/>
    <mergeCell ref="A113:O113"/>
    <mergeCell ref="AB113:AJ113"/>
    <mergeCell ref="A109:O109"/>
    <mergeCell ref="AB109:AJ109"/>
    <mergeCell ref="A116:O116"/>
    <mergeCell ref="AB116:AJ116"/>
    <mergeCell ref="B94:O94"/>
    <mergeCell ref="A111:AJ111"/>
    <mergeCell ref="A112:O112"/>
    <mergeCell ref="A115:O115"/>
    <mergeCell ref="AB115:AJ115"/>
    <mergeCell ref="A81:AJ81"/>
    <mergeCell ref="A82:AJ82"/>
    <mergeCell ref="A83:AJ83"/>
    <mergeCell ref="A84:AJ84"/>
    <mergeCell ref="A87:AJ87"/>
    <mergeCell ref="L88:AJ88"/>
    <mergeCell ref="H90:I90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DE9-0F97-4B50-8C6C-1D2D378C0101}">
  <sheetPr>
    <tabColor rgb="FF00B050"/>
    <pageSetUpPr fitToPage="1"/>
  </sheetPr>
  <dimension ref="A1:AZ117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</row>
    <row r="32" spans="1:36" s="13" customFormat="1" ht="12.95" customHeight="1" x14ac:dyDescent="0.2">
      <c r="A32" s="24"/>
      <c r="B32" s="24" t="s">
        <v>18</v>
      </c>
      <c r="C32" s="25">
        <v>3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3.5" customHeight="1" x14ac:dyDescent="0.2">
      <c r="A62" s="70" t="s">
        <v>218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108"/>
      <c r="AJ62" s="72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200</v>
      </c>
      <c r="B69" s="153"/>
      <c r="C69" s="153"/>
      <c r="D69" s="70" t="s">
        <v>74</v>
      </c>
      <c r="E69" s="154">
        <v>16671</v>
      </c>
      <c r="F69" s="154"/>
      <c r="G69" s="154"/>
      <c r="H69" s="154"/>
      <c r="I69" s="70" t="s">
        <v>95</v>
      </c>
      <c r="J69" s="70"/>
      <c r="K69" s="70" t="s">
        <v>202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45" t="s">
        <v>197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102"/>
      <c r="M93" s="25"/>
      <c r="N93" s="25"/>
      <c r="O93" s="25"/>
      <c r="P93" s="102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89" t="str">
        <f>K69</f>
        <v>Сертификат соответствия № РОСС RU.31771.04ЖЗМ1/ОС.29.2021/М01395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04"/>
      <c r="AC108" s="104"/>
      <c r="AD108" s="104"/>
      <c r="AE108" s="104"/>
      <c r="AF108" s="104"/>
      <c r="AG108" s="104"/>
      <c r="AH108" s="104"/>
      <c r="AI108" s="104"/>
      <c r="AJ108" s="104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1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3:AJ63"/>
    <mergeCell ref="A65:AJ65"/>
    <mergeCell ref="A66:AJ66"/>
    <mergeCell ref="P67:AJ67"/>
    <mergeCell ref="A51:AJ51"/>
    <mergeCell ref="A52:AJ52"/>
    <mergeCell ref="A53:AJ53"/>
    <mergeCell ref="A54:AJ54"/>
    <mergeCell ref="A55:AJ55"/>
    <mergeCell ref="A56:AJ56"/>
    <mergeCell ref="A73:B73"/>
    <mergeCell ref="G73:AJ73"/>
    <mergeCell ref="A74:AJ74"/>
    <mergeCell ref="A75:AJ75"/>
    <mergeCell ref="P77:W77"/>
    <mergeCell ref="P78:W78"/>
    <mergeCell ref="P68:AJ68"/>
    <mergeCell ref="A69:C69"/>
    <mergeCell ref="E69:H69"/>
    <mergeCell ref="A70:AJ70"/>
    <mergeCell ref="G72:U72"/>
    <mergeCell ref="W72:AJ72"/>
    <mergeCell ref="L88:AJ88"/>
    <mergeCell ref="H90:I90"/>
    <mergeCell ref="A95:AJ95"/>
    <mergeCell ref="A99:O99"/>
    <mergeCell ref="AB99:AJ99"/>
    <mergeCell ref="A81:AJ81"/>
    <mergeCell ref="A82:AJ82"/>
    <mergeCell ref="A83:AJ83"/>
    <mergeCell ref="A84:AJ84"/>
    <mergeCell ref="A86:AJ86"/>
    <mergeCell ref="A87:AJ87"/>
    <mergeCell ref="A106:O106"/>
    <mergeCell ref="AB106:AJ106"/>
    <mergeCell ref="A107:O107"/>
    <mergeCell ref="AB107:AJ107"/>
    <mergeCell ref="A109:O109"/>
    <mergeCell ref="AB109:AJ109"/>
    <mergeCell ref="A100:O100"/>
    <mergeCell ref="AB100:AJ100"/>
    <mergeCell ref="A102:O102"/>
    <mergeCell ref="AB102:AJ102"/>
    <mergeCell ref="A103:O103"/>
    <mergeCell ref="AB103:AJ103"/>
    <mergeCell ref="A114:AJ114"/>
    <mergeCell ref="A115:O115"/>
    <mergeCell ref="AB115:AJ115"/>
    <mergeCell ref="A116:O116"/>
    <mergeCell ref="AB116:AJ116"/>
    <mergeCell ref="A110:O110"/>
    <mergeCell ref="AB110:AJ110"/>
    <mergeCell ref="A111:AJ111"/>
    <mergeCell ref="A112:O112"/>
    <mergeCell ref="AB112:AJ112"/>
    <mergeCell ref="A113:O113"/>
    <mergeCell ref="AB113:AJ11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Z117"/>
  <sheetViews>
    <sheetView view="pageBreakPreview" topLeftCell="A60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3.7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4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1.25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'АОСР-2 (2)'!A86:AJ86</f>
        <v>Устройство трубопровода под прокладку 2КЛ-10кВ со стороны с.3 яч.317 - БРП №171 с.1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3" t="s">
        <v>161</v>
      </c>
      <c r="B69" s="153"/>
      <c r="C69" s="153"/>
      <c r="D69" s="153"/>
      <c r="E69" s="153"/>
      <c r="F69" s="153"/>
      <c r="G69" s="153"/>
      <c r="H69" s="153"/>
      <c r="I69" s="70" t="s">
        <v>74</v>
      </c>
      <c r="J69" s="154">
        <v>1476</v>
      </c>
      <c r="K69" s="154"/>
      <c r="L69" s="154"/>
      <c r="M69" s="154" t="s">
        <v>91</v>
      </c>
      <c r="N69" s="154"/>
      <c r="O69" s="153" t="s">
        <v>203</v>
      </c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65"/>
      <c r="AE69" s="65"/>
      <c r="AF69" s="65"/>
      <c r="AG69" s="65"/>
      <c r="AH69" s="65"/>
      <c r="AI69" s="65"/>
      <c r="AJ69" s="65"/>
    </row>
    <row r="70" spans="1:36" s="14" customFormat="1" ht="18.75" customHeight="1" x14ac:dyDescent="0.15">
      <c r="A70" s="157" t="s">
        <v>56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45" t="s">
        <v>219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O69</f>
        <v>Паспорт качества № 00368/25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4">
    <mergeCell ref="A4:AJ4"/>
    <mergeCell ref="A5:AJ5"/>
    <mergeCell ref="A6:AJ6"/>
    <mergeCell ref="A8:AJ8"/>
    <mergeCell ref="E32:G32"/>
    <mergeCell ref="A15:AJ15"/>
    <mergeCell ref="A16:AJ16"/>
    <mergeCell ref="A9:AJ9"/>
    <mergeCell ref="A10:AJ10"/>
    <mergeCell ref="A11:AJ11"/>
    <mergeCell ref="A12:AJ12"/>
    <mergeCell ref="A13:AJ13"/>
    <mergeCell ref="AB32:AI32"/>
    <mergeCell ref="A25:AJ25"/>
    <mergeCell ref="A26:AJ26"/>
    <mergeCell ref="A27:AJ27"/>
    <mergeCell ref="A29:AJ29"/>
    <mergeCell ref="A46:AJ46"/>
    <mergeCell ref="A44:AJ44"/>
    <mergeCell ref="A17:AJ17"/>
    <mergeCell ref="A18:AJ18"/>
    <mergeCell ref="A41:AJ41"/>
    <mergeCell ref="A42:AJ42"/>
    <mergeCell ref="A43:AJ43"/>
    <mergeCell ref="A7:AJ7"/>
    <mergeCell ref="AB33:AI33"/>
    <mergeCell ref="A30:AJ30"/>
    <mergeCell ref="A35:AJ35"/>
    <mergeCell ref="A36:AJ36"/>
    <mergeCell ref="A37:AJ37"/>
    <mergeCell ref="A38:AJ38"/>
    <mergeCell ref="A39:AJ39"/>
    <mergeCell ref="A45:AJ45"/>
    <mergeCell ref="A19:AJ19"/>
    <mergeCell ref="A20:AJ20"/>
    <mergeCell ref="A22:AJ22"/>
    <mergeCell ref="A23:AJ23"/>
    <mergeCell ref="A24:AJ24"/>
    <mergeCell ref="A103:O103"/>
    <mergeCell ref="AB103:AJ103"/>
    <mergeCell ref="A87:AJ87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L88:AJ88"/>
    <mergeCell ref="AB100:AJ100"/>
    <mergeCell ref="H90:I90"/>
    <mergeCell ref="B94:O94"/>
    <mergeCell ref="A95:AJ95"/>
    <mergeCell ref="A99:O99"/>
    <mergeCell ref="AB99:AJ99"/>
    <mergeCell ref="AB102:AJ102"/>
    <mergeCell ref="A100:O100"/>
    <mergeCell ref="A102:O102"/>
    <mergeCell ref="A47:AJ47"/>
    <mergeCell ref="A48:AJ48"/>
    <mergeCell ref="A53:AJ53"/>
    <mergeCell ref="P78:W78"/>
    <mergeCell ref="A69:H69"/>
    <mergeCell ref="J69:L69"/>
    <mergeCell ref="M69:N69"/>
    <mergeCell ref="O69:AC69"/>
    <mergeCell ref="A58:AJ58"/>
    <mergeCell ref="A59:AJ59"/>
    <mergeCell ref="A63:AJ63"/>
    <mergeCell ref="P67:AJ67"/>
    <mergeCell ref="A54:AJ54"/>
    <mergeCell ref="A55:AJ55"/>
    <mergeCell ref="A56:AJ56"/>
    <mergeCell ref="A65:AJ65"/>
    <mergeCell ref="A66:AJ66"/>
    <mergeCell ref="P77:W77"/>
    <mergeCell ref="P68:AJ68"/>
    <mergeCell ref="A70:AJ70"/>
    <mergeCell ref="A51:AJ51"/>
    <mergeCell ref="A52:AJ52"/>
    <mergeCell ref="A49:AJ49"/>
    <mergeCell ref="A50:AJ50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6:O106"/>
    <mergeCell ref="AB106:AJ106"/>
    <mergeCell ref="A107:O107"/>
    <mergeCell ref="AB107:AJ107"/>
    <mergeCell ref="A115:O115"/>
    <mergeCell ref="AB115:AJ115"/>
    <mergeCell ref="A109:O109"/>
    <mergeCell ref="AB109:AJ109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Z119"/>
  <sheetViews>
    <sheetView view="pageBreakPreview" topLeftCell="A63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4" width="2.83203125" style="1" customWidth="1"/>
    <col min="5" max="5" width="4.5" style="1" customWidth="1"/>
    <col min="6" max="6" width="3.6640625" style="1" customWidth="1"/>
    <col min="7" max="7" width="3.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5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P79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'АОСР-3'!A86:AJ86</f>
        <v>Прокладка кабеля 2КЛ-10кВ со стороны с.5 яч.503 - БРП №171 с.2</v>
      </c>
      <c r="B62" s="70"/>
      <c r="C62" s="70"/>
      <c r="D62" s="70"/>
      <c r="E62" s="70"/>
      <c r="F62" s="70"/>
      <c r="G62" s="72"/>
      <c r="H62" s="70"/>
      <c r="I62" s="70"/>
      <c r="J62" s="70"/>
      <c r="K62" s="70"/>
      <c r="L62" s="70"/>
      <c r="M62" s="70"/>
      <c r="N62" s="70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117"/>
      <c r="M68" s="117"/>
      <c r="N68" s="117"/>
      <c r="O68" s="117"/>
      <c r="P68" s="161" t="s">
        <v>55</v>
      </c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 spans="1:36" s="13" customFormat="1" ht="12" customHeight="1" x14ac:dyDescent="0.2">
      <c r="A69" s="70" t="s">
        <v>206</v>
      </c>
      <c r="B69" s="70"/>
      <c r="C69" s="70"/>
      <c r="D69" s="72"/>
      <c r="E69" s="72"/>
      <c r="F69" s="72"/>
      <c r="G69" s="106" t="s">
        <v>74</v>
      </c>
      <c r="H69" s="154">
        <v>4809</v>
      </c>
      <c r="I69" s="154"/>
      <c r="J69" s="70" t="s">
        <v>91</v>
      </c>
      <c r="K69" s="72"/>
      <c r="L69" s="107" t="s">
        <v>204</v>
      </c>
      <c r="M69" s="72"/>
      <c r="N69" s="72"/>
      <c r="O69" s="74"/>
      <c r="P69" s="73"/>
      <c r="Q69" s="118"/>
      <c r="R69" s="116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70"/>
      <c r="AH69" s="70"/>
      <c r="AI69" s="70"/>
      <c r="AJ69" s="70"/>
    </row>
    <row r="70" spans="1:36" s="13" customFormat="1" ht="12" customHeight="1" x14ac:dyDescent="0.2">
      <c r="A70" s="70" t="s">
        <v>207</v>
      </c>
      <c r="B70" s="70"/>
      <c r="C70" s="70"/>
      <c r="D70" s="72"/>
      <c r="E70" s="72"/>
      <c r="F70" s="72"/>
      <c r="G70" s="106" t="s">
        <v>74</v>
      </c>
      <c r="H70" s="162">
        <v>96</v>
      </c>
      <c r="I70" s="162"/>
      <c r="J70" s="70" t="s">
        <v>91</v>
      </c>
      <c r="K70" s="72"/>
      <c r="L70" s="116" t="s">
        <v>205</v>
      </c>
      <c r="M70" s="72"/>
      <c r="N70" s="72"/>
      <c r="O70" s="72"/>
      <c r="P70" s="70"/>
      <c r="Q70" s="90"/>
      <c r="R70" s="107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73"/>
      <c r="AH70" s="73"/>
      <c r="AI70" s="73"/>
      <c r="AJ70" s="73"/>
    </row>
    <row r="71" spans="1:36" s="14" customFormat="1" ht="18.75" customHeight="1" x14ac:dyDescent="0.15">
      <c r="A71" s="157" t="s">
        <v>56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</row>
    <row r="72" spans="1:36" s="13" customFormat="1" ht="12" customHeight="1" x14ac:dyDescent="0.2">
      <c r="A72" s="13" t="s">
        <v>11</v>
      </c>
    </row>
    <row r="73" spans="1:36" s="13" customFormat="1" ht="12" customHeight="1" x14ac:dyDescent="0.2">
      <c r="A73" s="13" t="s">
        <v>10</v>
      </c>
      <c r="G73" s="145" t="s">
        <v>89</v>
      </c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25" t="s">
        <v>88</v>
      </c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</row>
    <row r="74" spans="1:36" s="14" customFormat="1" ht="7.5" customHeight="1" x14ac:dyDescent="0.15">
      <c r="A74" s="150"/>
      <c r="B74" s="150"/>
      <c r="C74" s="20"/>
      <c r="D74" s="20"/>
      <c r="E74" s="20"/>
      <c r="F74" s="20"/>
      <c r="G74" s="136" t="s">
        <v>9</v>
      </c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</row>
    <row r="75" spans="1:36" s="13" customFormat="1" ht="12" customHeight="1" x14ac:dyDescent="0.2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6" s="14" customFormat="1" ht="7.5" customHeight="1" x14ac:dyDescent="0.15">
      <c r="A76" s="135" t="s">
        <v>31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</row>
    <row r="77" spans="1:36" ht="9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s="13" customFormat="1" ht="12" customHeight="1" x14ac:dyDescent="0.2">
      <c r="A78" s="13" t="s">
        <v>8</v>
      </c>
      <c r="D78" s="28"/>
      <c r="E78" s="28"/>
      <c r="F78" s="28"/>
      <c r="G78" s="28"/>
      <c r="L78" s="21"/>
      <c r="M78" s="32"/>
      <c r="N78" s="32"/>
      <c r="P78" s="146" t="str">
        <f>'Данные объект'!B6</f>
        <v>19.10.2025</v>
      </c>
      <c r="Q78" s="146"/>
      <c r="R78" s="146"/>
      <c r="S78" s="146"/>
      <c r="T78" s="146"/>
      <c r="U78" s="146"/>
      <c r="V78" s="146"/>
      <c r="W78" s="146"/>
      <c r="X78" s="13" t="s">
        <v>6</v>
      </c>
    </row>
    <row r="79" spans="1:36" s="13" customFormat="1" ht="12" customHeight="1" x14ac:dyDescent="0.2">
      <c r="A79" s="13" t="s">
        <v>7</v>
      </c>
      <c r="D79" s="28"/>
      <c r="E79" s="28"/>
      <c r="F79" s="28"/>
      <c r="G79" s="28"/>
      <c r="L79" s="21"/>
      <c r="M79" s="32"/>
      <c r="N79" s="32"/>
      <c r="P79" s="151" t="str">
        <f>'Данные объект'!B7</f>
        <v>16.07.2026</v>
      </c>
      <c r="Q79" s="151"/>
      <c r="R79" s="151"/>
      <c r="S79" s="151"/>
      <c r="T79" s="151"/>
      <c r="U79" s="151"/>
      <c r="V79" s="151"/>
      <c r="W79" s="151"/>
      <c r="X79" s="13" t="s">
        <v>6</v>
      </c>
    </row>
    <row r="80" spans="1:36" ht="7.5" customHeight="1" x14ac:dyDescent="0.25">
      <c r="A80" s="7"/>
      <c r="B80" s="7"/>
      <c r="C80" s="7"/>
      <c r="D80" s="10"/>
      <c r="E80" s="10"/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s="13" customFormat="1" ht="12" customHeight="1" x14ac:dyDescent="0.2">
      <c r="A81" s="13" t="s">
        <v>5</v>
      </c>
    </row>
    <row r="82" spans="1:36" s="13" customFormat="1" ht="12" customHeight="1" x14ac:dyDescent="0.2">
      <c r="A82" s="148" t="s">
        <v>100</v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</row>
    <row r="83" spans="1:36" s="14" customFormat="1" ht="8.25" customHeight="1" x14ac:dyDescent="0.15">
      <c r="A83" s="135" t="s">
        <v>4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</row>
    <row r="84" spans="1:36" s="13" customFormat="1" ht="12" customHeight="1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14" customFormat="1" ht="8.25" customHeight="1" x14ac:dyDescent="0.15">
      <c r="A85" s="135" t="s">
        <v>57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</row>
    <row r="86" spans="1:36" s="13" customFormat="1" ht="12" customHeight="1" x14ac:dyDescent="0.2">
      <c r="A86" s="13" t="s">
        <v>3</v>
      </c>
    </row>
    <row r="87" spans="1:36" s="13" customFormat="1" ht="12" customHeight="1" x14ac:dyDescent="0.2">
      <c r="A87" s="145" t="s">
        <v>220</v>
      </c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</row>
    <row r="88" spans="1:36" s="14" customFormat="1" ht="9" customHeight="1" x14ac:dyDescent="0.15">
      <c r="A88" s="135" t="s">
        <v>32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</row>
    <row r="89" spans="1:36" s="13" customFormat="1" ht="12" customHeight="1" x14ac:dyDescent="0.2">
      <c r="A89" s="13" t="s">
        <v>2</v>
      </c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ht="6" customHeight="1" x14ac:dyDescent="0.25">
      <c r="A90" s="4"/>
      <c r="B90" s="4"/>
      <c r="C90" s="4"/>
      <c r="D90" s="11"/>
      <c r="E90" s="11"/>
      <c r="F90" s="11"/>
      <c r="G90" s="11"/>
      <c r="H90" s="11"/>
      <c r="I90" s="11"/>
      <c r="J90" s="1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s="13" customFormat="1" ht="12" customHeight="1" x14ac:dyDescent="0.2">
      <c r="A91" s="13" t="s">
        <v>87</v>
      </c>
      <c r="H91" s="145"/>
      <c r="I91" s="145"/>
      <c r="J91" s="13" t="s">
        <v>33</v>
      </c>
    </row>
    <row r="92" spans="1:36" ht="4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s="13" customFormat="1" ht="12" customHeight="1" x14ac:dyDescent="0.2">
      <c r="A93" s="13" t="s">
        <v>1</v>
      </c>
    </row>
    <row r="94" spans="1:36" s="13" customFormat="1" ht="12" customHeight="1" x14ac:dyDescent="0.2">
      <c r="A94" s="25" t="s">
        <v>83</v>
      </c>
      <c r="B94" s="25" t="str">
        <f>G73</f>
        <v>Исполнителная схема устройства траншеи</v>
      </c>
      <c r="C94" s="25"/>
      <c r="D94" s="25"/>
      <c r="E94" s="25"/>
      <c r="F94" s="25"/>
      <c r="G94" s="25"/>
      <c r="H94" s="25"/>
      <c r="I94" s="25"/>
      <c r="J94" s="25"/>
      <c r="K94" s="25"/>
      <c r="L94" s="26"/>
      <c r="M94" s="25"/>
      <c r="N94" s="25"/>
      <c r="O94" s="25"/>
      <c r="P94" s="90"/>
      <c r="Q94" s="90"/>
      <c r="R94" s="90"/>
      <c r="S94" s="25"/>
      <c r="T94" s="25"/>
      <c r="U94" s="25"/>
      <c r="V94" s="2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s="13" customFormat="1" ht="12" customHeight="1" x14ac:dyDescent="0.2">
      <c r="A95" s="33" t="s">
        <v>85</v>
      </c>
      <c r="B95" s="89" t="str">
        <f>L69</f>
        <v>Паспорт качества №ПСИ/235344225_161959 - ПСИ/2353442250_161986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91"/>
      <c r="N95" s="91"/>
      <c r="O95" s="91"/>
      <c r="P95" s="90"/>
      <c r="Q95" s="90"/>
      <c r="R95" s="90"/>
      <c r="S95" s="25"/>
      <c r="T95" s="33"/>
      <c r="U95" s="33"/>
      <c r="V95" s="29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s="13" customFormat="1" ht="12" customHeight="1" x14ac:dyDescent="0.2">
      <c r="A96" s="33" t="s">
        <v>208</v>
      </c>
      <c r="B96" s="89" t="str">
        <f>L70</f>
        <v>Сертификат качества № 5СЧ 02912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118"/>
      <c r="Q96" s="118"/>
      <c r="R96" s="118"/>
      <c r="S96" s="33"/>
      <c r="T96" s="33"/>
      <c r="U96" s="33"/>
      <c r="V96" s="29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s="14" customFormat="1" ht="9.75" customHeight="1" x14ac:dyDescent="0.15">
      <c r="A97" s="135" t="s">
        <v>0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</row>
    <row r="98" spans="1:36" ht="6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 s="13" customFormat="1" ht="12" customHeight="1" x14ac:dyDescent="0.2">
      <c r="A99" s="13" t="s">
        <v>23</v>
      </c>
    </row>
    <row r="100" spans="1:36" s="13" customFormat="1" ht="12" customHeight="1" x14ac:dyDescent="0.2">
      <c r="A100" s="13" t="s">
        <v>24</v>
      </c>
    </row>
    <row r="101" spans="1:36" s="13" customFormat="1" ht="12" customHeight="1" x14ac:dyDescent="0.2">
      <c r="A101" s="145" t="str">
        <f>'Данные объект'!B33</f>
        <v>Алексанян Г.Р.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45"/>
      <c r="AC101" s="145"/>
      <c r="AD101" s="145"/>
      <c r="AE101" s="145"/>
      <c r="AF101" s="145"/>
      <c r="AG101" s="145"/>
      <c r="AH101" s="145"/>
      <c r="AI101" s="145"/>
      <c r="AJ101" s="145"/>
    </row>
    <row r="102" spans="1:36" s="14" customFormat="1" ht="9" customHeight="1" x14ac:dyDescent="0.15">
      <c r="A102" s="149" t="s">
        <v>35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7" t="s">
        <v>34</v>
      </c>
      <c r="AC102" s="147"/>
      <c r="AD102" s="147"/>
      <c r="AE102" s="147"/>
      <c r="AF102" s="147"/>
      <c r="AG102" s="147"/>
      <c r="AH102" s="147"/>
      <c r="AI102" s="147"/>
      <c r="AJ102" s="147"/>
    </row>
    <row r="103" spans="1:36" s="13" customFormat="1" ht="12" customHeight="1" x14ac:dyDescent="0.2">
      <c r="A103" s="13" t="s">
        <v>25</v>
      </c>
    </row>
    <row r="104" spans="1:36" s="13" customFormat="1" ht="12" customHeight="1" x14ac:dyDescent="0.2">
      <c r="A104" s="145" t="str">
        <f>'Данные объект'!B20</f>
        <v>Волков М.Ю.</v>
      </c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145"/>
      <c r="AC104" s="145"/>
      <c r="AD104" s="145"/>
      <c r="AE104" s="145"/>
      <c r="AF104" s="145"/>
      <c r="AG104" s="145"/>
      <c r="AH104" s="145"/>
      <c r="AI104" s="145"/>
      <c r="AJ104" s="145"/>
    </row>
    <row r="105" spans="1:36" s="14" customFormat="1" ht="9" customHeight="1" x14ac:dyDescent="0.15">
      <c r="A105" s="149" t="s">
        <v>35</v>
      </c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7"/>
      <c r="Q105" s="17"/>
      <c r="R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47" t="s">
        <v>34</v>
      </c>
      <c r="AC105" s="147"/>
      <c r="AD105" s="147"/>
      <c r="AE105" s="147"/>
      <c r="AF105" s="147"/>
      <c r="AG105" s="147"/>
      <c r="AH105" s="147"/>
      <c r="AI105" s="147"/>
      <c r="AJ105" s="147"/>
    </row>
    <row r="106" spans="1:36" s="13" customFormat="1" ht="12" customHeight="1" x14ac:dyDescent="0.2">
      <c r="A106" s="13" t="s">
        <v>27</v>
      </c>
    </row>
    <row r="107" spans="1:36" s="13" customFormat="1" ht="12" customHeight="1" x14ac:dyDescent="0.2">
      <c r="A107" s="13" t="s">
        <v>28</v>
      </c>
    </row>
    <row r="108" spans="1:36" s="13" customFormat="1" ht="12" customHeight="1" x14ac:dyDescent="0.2">
      <c r="A108" s="145" t="str">
        <f>'Данные объект'!B17</f>
        <v>Русин В.А.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145"/>
      <c r="AC108" s="145"/>
      <c r="AD108" s="145"/>
      <c r="AE108" s="145"/>
      <c r="AF108" s="145"/>
      <c r="AG108" s="145"/>
      <c r="AH108" s="145"/>
      <c r="AI108" s="145"/>
      <c r="AJ108" s="145"/>
    </row>
    <row r="109" spans="1:36" s="14" customFormat="1" ht="9" customHeight="1" x14ac:dyDescent="0.15">
      <c r="A109" s="149" t="s">
        <v>35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7"/>
      <c r="Q109" s="17"/>
      <c r="R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47" t="s">
        <v>34</v>
      </c>
      <c r="AC109" s="147"/>
      <c r="AD109" s="147"/>
      <c r="AE109" s="147"/>
      <c r="AF109" s="147"/>
      <c r="AG109" s="147"/>
      <c r="AH109" s="147"/>
      <c r="AI109" s="147"/>
      <c r="AJ109" s="147"/>
    </row>
    <row r="110" spans="1:36" s="14" customFormat="1" ht="11.25" x14ac:dyDescent="0.2">
      <c r="A110" s="13" t="s">
        <v>173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79"/>
      <c r="AC110" s="79"/>
      <c r="AD110" s="79"/>
      <c r="AE110" s="79"/>
      <c r="AF110" s="79"/>
      <c r="AG110" s="79"/>
      <c r="AH110" s="79"/>
      <c r="AI110" s="79"/>
      <c r="AJ110" s="79"/>
    </row>
    <row r="111" spans="1:36" s="14" customFormat="1" ht="11.25" x14ac:dyDescent="0.2">
      <c r="A111" s="145" t="str">
        <f>'Данные объект'!$B$36</f>
        <v>Курчин М.М.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87"/>
      <c r="Q111" s="87"/>
      <c r="R111" s="87"/>
      <c r="S111" s="87"/>
      <c r="T111" s="87"/>
      <c r="U111" s="88"/>
      <c r="V111" s="88"/>
      <c r="W111" s="88"/>
      <c r="X111" s="88"/>
      <c r="Y111" s="88"/>
      <c r="Z111" s="88"/>
      <c r="AA111" s="88"/>
      <c r="AB111" s="145"/>
      <c r="AC111" s="145"/>
      <c r="AD111" s="145"/>
      <c r="AE111" s="145"/>
      <c r="AF111" s="145"/>
      <c r="AG111" s="145"/>
      <c r="AH111" s="145"/>
      <c r="AI111" s="145"/>
      <c r="AJ111" s="145"/>
    </row>
    <row r="112" spans="1:36" s="14" customFormat="1" ht="10.5" x14ac:dyDescent="0.15">
      <c r="A112" s="149" t="s">
        <v>35</v>
      </c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87"/>
      <c r="Q112" s="87"/>
      <c r="R112" s="87"/>
      <c r="S112" s="87"/>
      <c r="T112" s="87"/>
      <c r="U112" s="88"/>
      <c r="V112" s="88"/>
      <c r="W112" s="88"/>
      <c r="X112" s="88"/>
      <c r="Y112" s="88"/>
      <c r="Z112" s="88"/>
      <c r="AA112" s="88"/>
      <c r="AB112" s="147" t="s">
        <v>34</v>
      </c>
      <c r="AC112" s="147"/>
      <c r="AD112" s="147"/>
      <c r="AE112" s="147"/>
      <c r="AF112" s="147"/>
      <c r="AG112" s="147"/>
      <c r="AH112" s="147"/>
      <c r="AI112" s="147"/>
      <c r="AJ112" s="147"/>
    </row>
    <row r="113" spans="1:36" s="13" customFormat="1" ht="38.25" customHeight="1" x14ac:dyDescent="0.2">
      <c r="A113" s="141" t="s">
        <v>51</v>
      </c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</row>
    <row r="114" spans="1:36" s="13" customFormat="1" ht="12" customHeight="1" x14ac:dyDescent="0.2">
      <c r="A114" s="145" t="s">
        <v>74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45" t="s">
        <v>74</v>
      </c>
      <c r="AC114" s="145"/>
      <c r="AD114" s="145"/>
      <c r="AE114" s="145"/>
      <c r="AF114" s="145"/>
      <c r="AG114" s="145"/>
      <c r="AH114" s="145"/>
      <c r="AI114" s="145"/>
      <c r="AJ114" s="145"/>
    </row>
    <row r="115" spans="1:36" s="14" customFormat="1" ht="9" customHeight="1" x14ac:dyDescent="0.15">
      <c r="A115" s="149" t="s">
        <v>35</v>
      </c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7" t="s">
        <v>34</v>
      </c>
      <c r="AC115" s="147"/>
      <c r="AD115" s="147"/>
      <c r="AE115" s="147"/>
      <c r="AF115" s="147"/>
      <c r="AG115" s="147"/>
      <c r="AH115" s="147"/>
      <c r="AI115" s="147"/>
      <c r="AJ115" s="147"/>
    </row>
    <row r="116" spans="1:36" s="13" customFormat="1" ht="24.75" hidden="1" customHeight="1" x14ac:dyDescent="0.2">
      <c r="A116" s="141" t="s">
        <v>53</v>
      </c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</row>
    <row r="117" spans="1:36" s="13" customFormat="1" ht="12" hidden="1" customHeight="1" x14ac:dyDescent="0.2">
      <c r="A117" s="145" t="e">
        <f>#REF!</f>
        <v>#REF!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145"/>
      <c r="AC117" s="145"/>
      <c r="AD117" s="145"/>
      <c r="AE117" s="145"/>
      <c r="AF117" s="145"/>
      <c r="AG117" s="145"/>
      <c r="AH117" s="145"/>
      <c r="AI117" s="145"/>
      <c r="AJ117" s="145"/>
    </row>
    <row r="118" spans="1:36" s="14" customFormat="1" ht="9" hidden="1" customHeight="1" x14ac:dyDescent="0.15">
      <c r="A118" s="149" t="s">
        <v>35</v>
      </c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7"/>
      <c r="Q118" s="17"/>
      <c r="R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47" t="s">
        <v>34</v>
      </c>
      <c r="AC118" s="147"/>
      <c r="AD118" s="147"/>
      <c r="AE118" s="147"/>
      <c r="AF118" s="147"/>
      <c r="AG118" s="147"/>
      <c r="AH118" s="147"/>
      <c r="AI118" s="147"/>
      <c r="AJ118" s="147"/>
    </row>
    <row r="119" spans="1:36" ht="12" customHeight="1" x14ac:dyDescent="0.25"/>
  </sheetData>
  <mergeCells count="101">
    <mergeCell ref="A4:AJ4"/>
    <mergeCell ref="A5:AJ5"/>
    <mergeCell ref="A6:AJ6"/>
    <mergeCell ref="A8:AJ8"/>
    <mergeCell ref="A30:AJ30"/>
    <mergeCell ref="E32:G32"/>
    <mergeCell ref="AB32:AI3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7:AJ7"/>
    <mergeCell ref="A11:AJ11"/>
    <mergeCell ref="A12:AJ12"/>
    <mergeCell ref="A102:O102"/>
    <mergeCell ref="AB102:AJ102"/>
    <mergeCell ref="A42:AJ42"/>
    <mergeCell ref="A43:AJ43"/>
    <mergeCell ref="A88:AJ88"/>
    <mergeCell ref="A71:AJ71"/>
    <mergeCell ref="G73:U73"/>
    <mergeCell ref="W73:AJ73"/>
    <mergeCell ref="A74:B74"/>
    <mergeCell ref="G74:AJ74"/>
    <mergeCell ref="A75:AJ75"/>
    <mergeCell ref="A76:AJ76"/>
    <mergeCell ref="A82:AJ82"/>
    <mergeCell ref="A83:AJ83"/>
    <mergeCell ref="A84:AJ84"/>
    <mergeCell ref="A85:AJ85"/>
    <mergeCell ref="A87:AJ87"/>
    <mergeCell ref="A54:AJ54"/>
    <mergeCell ref="A55:AJ55"/>
    <mergeCell ref="A46:AJ46"/>
    <mergeCell ref="A47:AJ47"/>
    <mergeCell ref="A48:AJ48"/>
    <mergeCell ref="A59:AJ59"/>
    <mergeCell ref="A44:AJ44"/>
    <mergeCell ref="L89:AJ89"/>
    <mergeCell ref="H91:I91"/>
    <mergeCell ref="A97:AJ97"/>
    <mergeCell ref="A27:AJ27"/>
    <mergeCell ref="A29:AJ29"/>
    <mergeCell ref="A9:AJ9"/>
    <mergeCell ref="A10:AJ10"/>
    <mergeCell ref="A101:O101"/>
    <mergeCell ref="AB101:AJ101"/>
    <mergeCell ref="A45:AJ45"/>
    <mergeCell ref="A49:AJ49"/>
    <mergeCell ref="A50:AJ50"/>
    <mergeCell ref="A51:AJ51"/>
    <mergeCell ref="A52:AJ52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B33:AI33"/>
    <mergeCell ref="A53:AJ53"/>
    <mergeCell ref="A117:O117"/>
    <mergeCell ref="AB117:AJ117"/>
    <mergeCell ref="A118:O118"/>
    <mergeCell ref="AB118:AJ118"/>
    <mergeCell ref="A113:AJ113"/>
    <mergeCell ref="A114:O114"/>
    <mergeCell ref="AB114:AJ114"/>
    <mergeCell ref="A104:O104"/>
    <mergeCell ref="AB104:AJ104"/>
    <mergeCell ref="A115:O115"/>
    <mergeCell ref="AB115:AJ115"/>
    <mergeCell ref="A116:AJ116"/>
    <mergeCell ref="A105:O105"/>
    <mergeCell ref="AB105:AJ105"/>
    <mergeCell ref="A108:O108"/>
    <mergeCell ref="AB108:AJ108"/>
    <mergeCell ref="A109:O109"/>
    <mergeCell ref="AB109:AJ109"/>
    <mergeCell ref="A111:O111"/>
    <mergeCell ref="AB111:AJ111"/>
    <mergeCell ref="A112:O112"/>
    <mergeCell ref="AB112:AJ112"/>
    <mergeCell ref="P78:W78"/>
    <mergeCell ref="P79:W79"/>
    <mergeCell ref="A63:AJ63"/>
    <mergeCell ref="A65:AJ65"/>
    <mergeCell ref="A66:AJ66"/>
    <mergeCell ref="P67:AJ67"/>
    <mergeCell ref="P68:AJ68"/>
    <mergeCell ref="H69:I69"/>
    <mergeCell ref="H70:I7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5B9-1DE0-4CC5-9178-921829BE626C}">
  <sheetPr>
    <tabColor rgb="FF00B050"/>
    <pageSetUpPr fitToPage="1"/>
  </sheetPr>
  <dimension ref="A1:AZ119"/>
  <sheetViews>
    <sheetView view="pageBreakPreview" topLeftCell="A63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4" width="2.83203125" style="1" customWidth="1"/>
    <col min="5" max="5" width="4.5" style="1" customWidth="1"/>
    <col min="6" max="6" width="3.6640625" style="1" customWidth="1"/>
    <col min="7" max="7" width="3.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</row>
    <row r="32" spans="1:36" s="13" customFormat="1" ht="12.95" customHeight="1" x14ac:dyDescent="0.2">
      <c r="A32" s="24"/>
      <c r="B32" s="24" t="s">
        <v>18</v>
      </c>
      <c r="C32" s="25">
        <v>6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P79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70" t="str">
        <f>'АОСР-4'!A87:AJ87</f>
        <v>Установка концевых и соединительных муфт 2КЛ-10кВ со стороны с.5 яч.503 - БРП №171 с.2</v>
      </c>
      <c r="B62" s="70"/>
      <c r="C62" s="70"/>
      <c r="D62" s="70"/>
      <c r="E62" s="70"/>
      <c r="F62" s="70"/>
      <c r="G62" s="72"/>
      <c r="H62" s="70"/>
      <c r="I62" s="70"/>
      <c r="J62" s="70"/>
      <c r="K62" s="70"/>
      <c r="L62" s="70"/>
      <c r="M62" s="70"/>
      <c r="N62" s="70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117"/>
      <c r="M68" s="117"/>
      <c r="N68" s="117"/>
      <c r="O68" s="117"/>
      <c r="P68" s="161" t="s">
        <v>55</v>
      </c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 spans="1:36" s="13" customFormat="1" ht="12" customHeight="1" x14ac:dyDescent="0.2">
      <c r="A69" s="70" t="s">
        <v>209</v>
      </c>
      <c r="B69" s="70"/>
      <c r="C69" s="70"/>
      <c r="D69" s="72"/>
      <c r="E69" s="72"/>
      <c r="F69" s="72"/>
      <c r="G69" s="106"/>
      <c r="H69" s="70"/>
      <c r="I69" s="70"/>
      <c r="J69" s="70"/>
      <c r="K69" s="72"/>
      <c r="L69" s="108" t="s">
        <v>74</v>
      </c>
      <c r="M69" s="73">
        <v>4</v>
      </c>
      <c r="N69" s="73" t="s">
        <v>95</v>
      </c>
      <c r="O69" s="118"/>
      <c r="P69" s="118"/>
      <c r="Q69" s="73" t="s">
        <v>211</v>
      </c>
      <c r="R69" s="116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70"/>
      <c r="AH69" s="70"/>
      <c r="AI69" s="70"/>
      <c r="AJ69" s="70"/>
    </row>
    <row r="70" spans="1:36" s="13" customFormat="1" ht="12" customHeight="1" x14ac:dyDescent="0.2">
      <c r="A70" s="70" t="s">
        <v>210</v>
      </c>
      <c r="B70" s="70"/>
      <c r="C70" s="70"/>
      <c r="D70" s="72"/>
      <c r="E70" s="72"/>
      <c r="F70" s="72"/>
      <c r="G70" s="106"/>
      <c r="H70" s="73"/>
      <c r="I70" s="73"/>
      <c r="J70" s="70"/>
      <c r="K70" s="72"/>
      <c r="L70" s="119" t="s">
        <v>74</v>
      </c>
      <c r="M70" s="70">
        <v>24</v>
      </c>
      <c r="N70" s="73" t="s">
        <v>95</v>
      </c>
      <c r="O70" s="74"/>
      <c r="P70" s="118"/>
      <c r="Q70" s="73" t="str">
        <f>Q69</f>
        <v>Сертификат соответствия №РОСС RU.32001.04ИБФ1.ОСП28.45002</v>
      </c>
      <c r="R70" s="107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73"/>
      <c r="AH70" s="73"/>
      <c r="AI70" s="73"/>
      <c r="AJ70" s="73"/>
    </row>
    <row r="71" spans="1:36" s="14" customFormat="1" ht="18.75" customHeight="1" x14ac:dyDescent="0.15">
      <c r="A71" s="157" t="s">
        <v>56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</row>
    <row r="72" spans="1:36" s="13" customFormat="1" ht="12" customHeight="1" x14ac:dyDescent="0.2">
      <c r="A72" s="13" t="s">
        <v>11</v>
      </c>
    </row>
    <row r="73" spans="1:36" s="13" customFormat="1" ht="12" customHeight="1" x14ac:dyDescent="0.2">
      <c r="A73" s="13" t="s">
        <v>10</v>
      </c>
      <c r="G73" s="145" t="s">
        <v>89</v>
      </c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25" t="s">
        <v>88</v>
      </c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</row>
    <row r="74" spans="1:36" s="14" customFormat="1" ht="7.5" customHeight="1" x14ac:dyDescent="0.15">
      <c r="A74" s="150"/>
      <c r="B74" s="150"/>
      <c r="C74" s="20"/>
      <c r="D74" s="20"/>
      <c r="E74" s="20"/>
      <c r="F74" s="20"/>
      <c r="G74" s="136" t="s">
        <v>9</v>
      </c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</row>
    <row r="75" spans="1:36" s="13" customFormat="1" ht="12" customHeight="1" x14ac:dyDescent="0.2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</row>
    <row r="76" spans="1:36" s="14" customFormat="1" ht="7.5" customHeight="1" x14ac:dyDescent="0.15">
      <c r="A76" s="135" t="s">
        <v>31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</row>
    <row r="77" spans="1:36" ht="9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s="13" customFormat="1" ht="12" customHeight="1" x14ac:dyDescent="0.2">
      <c r="A78" s="13" t="s">
        <v>8</v>
      </c>
      <c r="D78" s="28"/>
      <c r="E78" s="28"/>
      <c r="F78" s="28"/>
      <c r="G78" s="28"/>
      <c r="L78" s="21"/>
      <c r="M78" s="32"/>
      <c r="N78" s="32"/>
      <c r="P78" s="146" t="str">
        <f>'Данные объект'!B6</f>
        <v>19.10.2025</v>
      </c>
      <c r="Q78" s="146"/>
      <c r="R78" s="146"/>
      <c r="S78" s="146"/>
      <c r="T78" s="146"/>
      <c r="U78" s="146"/>
      <c r="V78" s="146"/>
      <c r="W78" s="146"/>
      <c r="X78" s="13" t="s">
        <v>6</v>
      </c>
    </row>
    <row r="79" spans="1:36" s="13" customFormat="1" ht="12" customHeight="1" x14ac:dyDescent="0.2">
      <c r="A79" s="13" t="s">
        <v>7</v>
      </c>
      <c r="D79" s="28"/>
      <c r="E79" s="28"/>
      <c r="F79" s="28"/>
      <c r="G79" s="28"/>
      <c r="L79" s="21"/>
      <c r="M79" s="32"/>
      <c r="N79" s="32"/>
      <c r="P79" s="151" t="str">
        <f>'Данные объект'!B7</f>
        <v>16.07.2026</v>
      </c>
      <c r="Q79" s="151"/>
      <c r="R79" s="151"/>
      <c r="S79" s="151"/>
      <c r="T79" s="151"/>
      <c r="U79" s="151"/>
      <c r="V79" s="151"/>
      <c r="W79" s="151"/>
      <c r="X79" s="13" t="s">
        <v>6</v>
      </c>
    </row>
    <row r="80" spans="1:36" ht="7.5" customHeight="1" x14ac:dyDescent="0.25">
      <c r="A80" s="7"/>
      <c r="B80" s="7"/>
      <c r="C80" s="7"/>
      <c r="D80" s="10"/>
      <c r="E80" s="10"/>
      <c r="F80" s="10"/>
      <c r="G80" s="1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s="13" customFormat="1" ht="12" customHeight="1" x14ac:dyDescent="0.2">
      <c r="A81" s="13" t="s">
        <v>5</v>
      </c>
    </row>
    <row r="82" spans="1:36" s="13" customFormat="1" ht="12" customHeight="1" x14ac:dyDescent="0.2">
      <c r="A82" s="148" t="s">
        <v>100</v>
      </c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</row>
    <row r="83" spans="1:36" s="14" customFormat="1" ht="8.25" customHeight="1" x14ac:dyDescent="0.15">
      <c r="A83" s="135" t="s">
        <v>4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</row>
    <row r="84" spans="1:36" s="13" customFormat="1" ht="12" customHeight="1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14" customFormat="1" ht="8.25" customHeight="1" x14ac:dyDescent="0.15">
      <c r="A85" s="135" t="s">
        <v>57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</row>
    <row r="86" spans="1:36" s="13" customFormat="1" ht="12" customHeight="1" x14ac:dyDescent="0.2">
      <c r="A86" s="13" t="s">
        <v>3</v>
      </c>
    </row>
    <row r="87" spans="1:36" s="13" customFormat="1" ht="12" customHeight="1" x14ac:dyDescent="0.2">
      <c r="A87" s="145" t="s">
        <v>221</v>
      </c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</row>
    <row r="88" spans="1:36" s="14" customFormat="1" ht="9" customHeight="1" x14ac:dyDescent="0.15">
      <c r="A88" s="135" t="s">
        <v>32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</row>
    <row r="89" spans="1:36" s="13" customFormat="1" ht="12" customHeight="1" x14ac:dyDescent="0.2">
      <c r="A89" s="13" t="s">
        <v>2</v>
      </c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ht="6" customHeight="1" x14ac:dyDescent="0.25">
      <c r="A90" s="4"/>
      <c r="B90" s="4"/>
      <c r="C90" s="4"/>
      <c r="D90" s="11"/>
      <c r="E90" s="11"/>
      <c r="F90" s="11"/>
      <c r="G90" s="11"/>
      <c r="H90" s="11"/>
      <c r="I90" s="11"/>
      <c r="J90" s="1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s="13" customFormat="1" ht="12" customHeight="1" x14ac:dyDescent="0.2">
      <c r="A91" s="13" t="s">
        <v>87</v>
      </c>
      <c r="H91" s="145"/>
      <c r="I91" s="145"/>
      <c r="J91" s="13" t="s">
        <v>33</v>
      </c>
    </row>
    <row r="92" spans="1:36" ht="4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s="13" customFormat="1" ht="12" customHeight="1" x14ac:dyDescent="0.2">
      <c r="A93" s="13" t="s">
        <v>1</v>
      </c>
    </row>
    <row r="94" spans="1:36" s="13" customFormat="1" ht="12" customHeight="1" x14ac:dyDescent="0.2">
      <c r="A94" s="25" t="s">
        <v>83</v>
      </c>
      <c r="B94" s="25" t="str">
        <f>G73</f>
        <v>Исполнителная схема устройства траншеи</v>
      </c>
      <c r="C94" s="25"/>
      <c r="D94" s="25"/>
      <c r="E94" s="25"/>
      <c r="F94" s="25"/>
      <c r="G94" s="25"/>
      <c r="H94" s="25"/>
      <c r="I94" s="25"/>
      <c r="J94" s="25"/>
      <c r="K94" s="25"/>
      <c r="L94" s="102"/>
      <c r="M94" s="25"/>
      <c r="N94" s="25"/>
      <c r="O94" s="25"/>
      <c r="P94" s="90"/>
      <c r="Q94" s="90"/>
      <c r="R94" s="90"/>
      <c r="S94" s="25"/>
      <c r="T94" s="25"/>
      <c r="U94" s="25"/>
      <c r="V94" s="102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s="13" customFormat="1" ht="12" customHeight="1" x14ac:dyDescent="0.2">
      <c r="A95" s="33" t="s">
        <v>85</v>
      </c>
      <c r="B95" s="89" t="str">
        <f>Q69</f>
        <v>Сертификат соответствия №РОСС RU.32001.04ИБФ1.ОСП28.45002</v>
      </c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91"/>
      <c r="N95" s="91"/>
      <c r="O95" s="91"/>
      <c r="P95" s="90"/>
      <c r="Q95" s="90"/>
      <c r="R95" s="90"/>
      <c r="S95" s="25"/>
      <c r="T95" s="33"/>
      <c r="U95" s="33"/>
      <c r="V95" s="29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s="13" customFormat="1" ht="12" customHeight="1" x14ac:dyDescent="0.2">
      <c r="A96" s="33" t="s">
        <v>208</v>
      </c>
      <c r="B96" s="89" t="str">
        <f>Q70</f>
        <v>Сертификат соответствия №РОСС RU.32001.04ИБФ1.ОСП28.45002</v>
      </c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118"/>
      <c r="Q96" s="118"/>
      <c r="R96" s="118"/>
      <c r="S96" s="33"/>
      <c r="T96" s="33"/>
      <c r="U96" s="33"/>
      <c r="V96" s="29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s="14" customFormat="1" ht="9.75" customHeight="1" x14ac:dyDescent="0.15">
      <c r="A97" s="135" t="s">
        <v>0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</row>
    <row r="98" spans="1:36" ht="6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 s="13" customFormat="1" ht="12" customHeight="1" x14ac:dyDescent="0.2">
      <c r="A99" s="13" t="s">
        <v>23</v>
      </c>
    </row>
    <row r="100" spans="1:36" s="13" customFormat="1" ht="12" customHeight="1" x14ac:dyDescent="0.2">
      <c r="A100" s="13" t="s">
        <v>24</v>
      </c>
    </row>
    <row r="101" spans="1:36" s="13" customFormat="1" ht="12" customHeight="1" x14ac:dyDescent="0.2">
      <c r="A101" s="145" t="str">
        <f>'Данные объект'!B33</f>
        <v>Алексанян Г.Р.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45"/>
      <c r="AC101" s="145"/>
      <c r="AD101" s="145"/>
      <c r="AE101" s="145"/>
      <c r="AF101" s="145"/>
      <c r="AG101" s="145"/>
      <c r="AH101" s="145"/>
      <c r="AI101" s="145"/>
      <c r="AJ101" s="145"/>
    </row>
    <row r="102" spans="1:36" s="14" customFormat="1" ht="9" customHeight="1" x14ac:dyDescent="0.15">
      <c r="A102" s="149" t="s">
        <v>35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7" t="s">
        <v>34</v>
      </c>
      <c r="AC102" s="147"/>
      <c r="AD102" s="147"/>
      <c r="AE102" s="147"/>
      <c r="AF102" s="147"/>
      <c r="AG102" s="147"/>
      <c r="AH102" s="147"/>
      <c r="AI102" s="147"/>
      <c r="AJ102" s="147"/>
    </row>
    <row r="103" spans="1:36" s="13" customFormat="1" ht="12" customHeight="1" x14ac:dyDescent="0.2">
      <c r="A103" s="13" t="s">
        <v>25</v>
      </c>
    </row>
    <row r="104" spans="1:36" s="13" customFormat="1" ht="12" customHeight="1" x14ac:dyDescent="0.2">
      <c r="A104" s="145" t="str">
        <f>'Данные объект'!B20</f>
        <v>Волков М.Ю.</v>
      </c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145"/>
      <c r="AC104" s="145"/>
      <c r="AD104" s="145"/>
      <c r="AE104" s="145"/>
      <c r="AF104" s="145"/>
      <c r="AG104" s="145"/>
      <c r="AH104" s="145"/>
      <c r="AI104" s="145"/>
      <c r="AJ104" s="145"/>
    </row>
    <row r="105" spans="1:36" s="14" customFormat="1" ht="9" customHeight="1" x14ac:dyDescent="0.15">
      <c r="A105" s="149" t="s">
        <v>35</v>
      </c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7"/>
      <c r="Q105" s="17"/>
      <c r="R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47" t="s">
        <v>34</v>
      </c>
      <c r="AC105" s="147"/>
      <c r="AD105" s="147"/>
      <c r="AE105" s="147"/>
      <c r="AF105" s="147"/>
      <c r="AG105" s="147"/>
      <c r="AH105" s="147"/>
      <c r="AI105" s="147"/>
      <c r="AJ105" s="147"/>
    </row>
    <row r="106" spans="1:36" s="13" customFormat="1" ht="12" customHeight="1" x14ac:dyDescent="0.2">
      <c r="A106" s="13" t="s">
        <v>27</v>
      </c>
    </row>
    <row r="107" spans="1:36" s="13" customFormat="1" ht="12" customHeight="1" x14ac:dyDescent="0.2">
      <c r="A107" s="13" t="s">
        <v>28</v>
      </c>
    </row>
    <row r="108" spans="1:36" s="13" customFormat="1" ht="12" customHeight="1" x14ac:dyDescent="0.2">
      <c r="A108" s="145" t="str">
        <f>'Данные объект'!B17</f>
        <v>Русин В.А.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145"/>
      <c r="AC108" s="145"/>
      <c r="AD108" s="145"/>
      <c r="AE108" s="145"/>
      <c r="AF108" s="145"/>
      <c r="AG108" s="145"/>
      <c r="AH108" s="145"/>
      <c r="AI108" s="145"/>
      <c r="AJ108" s="145"/>
    </row>
    <row r="109" spans="1:36" s="14" customFormat="1" ht="9" customHeight="1" x14ac:dyDescent="0.15">
      <c r="A109" s="149" t="s">
        <v>35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7"/>
      <c r="Q109" s="17"/>
      <c r="R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47" t="s">
        <v>34</v>
      </c>
      <c r="AC109" s="147"/>
      <c r="AD109" s="147"/>
      <c r="AE109" s="147"/>
      <c r="AF109" s="147"/>
      <c r="AG109" s="147"/>
      <c r="AH109" s="147"/>
      <c r="AI109" s="147"/>
      <c r="AJ109" s="147"/>
    </row>
    <row r="110" spans="1:36" s="14" customFormat="1" ht="11.25" x14ac:dyDescent="0.2">
      <c r="A110" s="13" t="s">
        <v>173</v>
      </c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04"/>
      <c r="AC110" s="104"/>
      <c r="AD110" s="104"/>
      <c r="AE110" s="104"/>
      <c r="AF110" s="104"/>
      <c r="AG110" s="104"/>
      <c r="AH110" s="104"/>
      <c r="AI110" s="104"/>
      <c r="AJ110" s="104"/>
    </row>
    <row r="111" spans="1:36" s="14" customFormat="1" ht="11.25" x14ac:dyDescent="0.2">
      <c r="A111" s="145" t="str">
        <f>'Данные объект'!$B$36</f>
        <v>Курчин М.М.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87"/>
      <c r="Q111" s="87"/>
      <c r="R111" s="87"/>
      <c r="S111" s="87"/>
      <c r="T111" s="87"/>
      <c r="U111" s="88"/>
      <c r="V111" s="88"/>
      <c r="W111" s="88"/>
      <c r="X111" s="88"/>
      <c r="Y111" s="88"/>
      <c r="Z111" s="88"/>
      <c r="AA111" s="88"/>
      <c r="AB111" s="145"/>
      <c r="AC111" s="145"/>
      <c r="AD111" s="145"/>
      <c r="AE111" s="145"/>
      <c r="AF111" s="145"/>
      <c r="AG111" s="145"/>
      <c r="AH111" s="145"/>
      <c r="AI111" s="145"/>
      <c r="AJ111" s="145"/>
    </row>
    <row r="112" spans="1:36" s="14" customFormat="1" ht="10.5" x14ac:dyDescent="0.15">
      <c r="A112" s="149" t="s">
        <v>35</v>
      </c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87"/>
      <c r="Q112" s="87"/>
      <c r="R112" s="87"/>
      <c r="S112" s="87"/>
      <c r="T112" s="87"/>
      <c r="U112" s="88"/>
      <c r="V112" s="88"/>
      <c r="W112" s="88"/>
      <c r="X112" s="88"/>
      <c r="Y112" s="88"/>
      <c r="Z112" s="88"/>
      <c r="AA112" s="88"/>
      <c r="AB112" s="147" t="s">
        <v>34</v>
      </c>
      <c r="AC112" s="147"/>
      <c r="AD112" s="147"/>
      <c r="AE112" s="147"/>
      <c r="AF112" s="147"/>
      <c r="AG112" s="147"/>
      <c r="AH112" s="147"/>
      <c r="AI112" s="147"/>
      <c r="AJ112" s="147"/>
    </row>
    <row r="113" spans="1:36" s="13" customFormat="1" ht="38.25" customHeight="1" x14ac:dyDescent="0.2">
      <c r="A113" s="141" t="s">
        <v>51</v>
      </c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</row>
    <row r="114" spans="1:36" s="13" customFormat="1" ht="12" customHeight="1" x14ac:dyDescent="0.2">
      <c r="A114" s="145" t="s">
        <v>74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45" t="s">
        <v>74</v>
      </c>
      <c r="AC114" s="145"/>
      <c r="AD114" s="145"/>
      <c r="AE114" s="145"/>
      <c r="AF114" s="145"/>
      <c r="AG114" s="145"/>
      <c r="AH114" s="145"/>
      <c r="AI114" s="145"/>
      <c r="AJ114" s="145"/>
    </row>
    <row r="115" spans="1:36" s="14" customFormat="1" ht="9" customHeight="1" x14ac:dyDescent="0.15">
      <c r="A115" s="149" t="s">
        <v>35</v>
      </c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7" t="s">
        <v>34</v>
      </c>
      <c r="AC115" s="147"/>
      <c r="AD115" s="147"/>
      <c r="AE115" s="147"/>
      <c r="AF115" s="147"/>
      <c r="AG115" s="147"/>
      <c r="AH115" s="147"/>
      <c r="AI115" s="147"/>
      <c r="AJ115" s="147"/>
    </row>
    <row r="116" spans="1:36" s="13" customFormat="1" ht="24.75" hidden="1" customHeight="1" x14ac:dyDescent="0.2">
      <c r="A116" s="141" t="s">
        <v>53</v>
      </c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</row>
    <row r="117" spans="1:36" s="13" customFormat="1" ht="12" hidden="1" customHeight="1" x14ac:dyDescent="0.2">
      <c r="A117" s="145" t="e">
        <f>#REF!</f>
        <v>#REF!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145"/>
      <c r="AC117" s="145"/>
      <c r="AD117" s="145"/>
      <c r="AE117" s="145"/>
      <c r="AF117" s="145"/>
      <c r="AG117" s="145"/>
      <c r="AH117" s="145"/>
      <c r="AI117" s="145"/>
      <c r="AJ117" s="145"/>
    </row>
    <row r="118" spans="1:36" s="14" customFormat="1" ht="9" hidden="1" customHeight="1" x14ac:dyDescent="0.15">
      <c r="A118" s="149" t="s">
        <v>35</v>
      </c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7"/>
      <c r="Q118" s="17"/>
      <c r="R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47" t="s">
        <v>34</v>
      </c>
      <c r="AC118" s="147"/>
      <c r="AD118" s="147"/>
      <c r="AE118" s="147"/>
      <c r="AF118" s="147"/>
      <c r="AG118" s="147"/>
      <c r="AH118" s="147"/>
      <c r="AI118" s="147"/>
      <c r="AJ118" s="147"/>
    </row>
    <row r="119" spans="1:36" ht="12" customHeight="1" x14ac:dyDescent="0.25"/>
  </sheetData>
  <mergeCells count="99">
    <mergeCell ref="A9:AJ9"/>
    <mergeCell ref="A4:AJ4"/>
    <mergeCell ref="A5:AJ5"/>
    <mergeCell ref="A6:AJ6"/>
    <mergeCell ref="A7:AJ7"/>
    <mergeCell ref="A8:AJ8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P67:AJ67"/>
    <mergeCell ref="A51:AJ51"/>
    <mergeCell ref="A52:AJ52"/>
    <mergeCell ref="A53:AJ53"/>
    <mergeCell ref="A54:AJ54"/>
    <mergeCell ref="A55:AJ55"/>
    <mergeCell ref="A56:AJ56"/>
    <mergeCell ref="A58:AJ58"/>
    <mergeCell ref="A59:AJ59"/>
    <mergeCell ref="A63:AJ63"/>
    <mergeCell ref="A65:AJ65"/>
    <mergeCell ref="A66:AJ66"/>
    <mergeCell ref="P79:W79"/>
    <mergeCell ref="P68:AJ68"/>
    <mergeCell ref="A71:AJ71"/>
    <mergeCell ref="G73:U73"/>
    <mergeCell ref="W73:AJ73"/>
    <mergeCell ref="A74:B74"/>
    <mergeCell ref="G74:AJ74"/>
    <mergeCell ref="A75:AJ75"/>
    <mergeCell ref="A76:AJ76"/>
    <mergeCell ref="P78:W78"/>
    <mergeCell ref="A102:O102"/>
    <mergeCell ref="AB102:AJ102"/>
    <mergeCell ref="A82:AJ82"/>
    <mergeCell ref="A83:AJ83"/>
    <mergeCell ref="A84:AJ84"/>
    <mergeCell ref="A85:AJ85"/>
    <mergeCell ref="A87:AJ87"/>
    <mergeCell ref="A88:AJ88"/>
    <mergeCell ref="L89:AJ89"/>
    <mergeCell ref="H91:I91"/>
    <mergeCell ref="A97:AJ97"/>
    <mergeCell ref="A101:O101"/>
    <mergeCell ref="AB101:AJ101"/>
    <mergeCell ref="A104:O104"/>
    <mergeCell ref="AB104:AJ104"/>
    <mergeCell ref="A105:O105"/>
    <mergeCell ref="AB105:AJ105"/>
    <mergeCell ref="A108:O108"/>
    <mergeCell ref="AB108:AJ108"/>
    <mergeCell ref="A109:O109"/>
    <mergeCell ref="AB109:AJ109"/>
    <mergeCell ref="A111:O111"/>
    <mergeCell ref="AB111:AJ111"/>
    <mergeCell ref="A112:O112"/>
    <mergeCell ref="AB112:AJ112"/>
    <mergeCell ref="A117:O117"/>
    <mergeCell ref="AB117:AJ117"/>
    <mergeCell ref="A118:O118"/>
    <mergeCell ref="AB118:AJ118"/>
    <mergeCell ref="A113:AJ113"/>
    <mergeCell ref="A114:O114"/>
    <mergeCell ref="AB114:AJ114"/>
    <mergeCell ref="A115:O115"/>
    <mergeCell ref="AB115:AJ115"/>
    <mergeCell ref="A116:AJ11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28D-49E4-41BB-8C06-FAE646E94960}">
  <sheetPr>
    <tabColor rgb="FF00B050"/>
  </sheetPr>
  <dimension ref="A1:AZ117"/>
  <sheetViews>
    <sheetView view="pageBreakPreview" topLeftCell="A60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1" width="4.1640625" style="1" customWidth="1"/>
    <col min="2" max="2" width="4.33203125" style="1" customWidth="1"/>
    <col min="3" max="3" width="3.6640625" style="1" customWidth="1"/>
    <col min="4" max="4" width="5" style="1" customWidth="1"/>
    <col min="5" max="7" width="2.83203125" style="1" customWidth="1"/>
    <col min="8" max="8" width="3.1640625" style="1" customWidth="1"/>
    <col min="9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</row>
    <row r="32" spans="1:36" s="13" customFormat="1" ht="12.95" customHeight="1" x14ac:dyDescent="0.2">
      <c r="A32" s="24"/>
      <c r="B32" s="24" t="s">
        <v>18</v>
      </c>
      <c r="C32" s="25">
        <v>7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34" t="str">
        <f>'АОСР-4 (2)'!A87:AJ87</f>
        <v>Прокладка плитки ПЗК 2КЛ-10кВ со стороны с.5 яч.503 - БРП №171 с.2</v>
      </c>
      <c r="B62" s="34"/>
      <c r="C62" s="34"/>
      <c r="D62" s="34"/>
      <c r="E62" s="34"/>
      <c r="F62" s="34"/>
      <c r="G62" s="34"/>
      <c r="H62" s="34"/>
      <c r="I62" s="71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72"/>
      <c r="Y62" s="72"/>
      <c r="Z62" s="9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s="14" customFormat="1" ht="8.25" customHeight="1" x14ac:dyDescent="0.1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9" t="str">
        <f>'Данные объект'!B43</f>
        <v>4980-325834-217-09/24-ЭС</v>
      </c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</row>
    <row r="66" spans="1:36" s="14" customFormat="1" ht="15" customHeight="1" x14ac:dyDescent="0.15">
      <c r="A66" s="135" t="s">
        <v>39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13" customFormat="1" ht="12" customHeight="1" x14ac:dyDescent="0.2">
      <c r="A67" s="13" t="s">
        <v>12</v>
      </c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</row>
    <row r="68" spans="1:36" s="18" customFormat="1" ht="11.2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7" t="s">
        <v>55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</row>
    <row r="69" spans="1:36" s="13" customFormat="1" ht="13.5" customHeight="1" x14ac:dyDescent="0.2">
      <c r="A69" s="70" t="s">
        <v>182</v>
      </c>
      <c r="B69" s="70"/>
      <c r="C69" s="70"/>
      <c r="D69" s="70">
        <v>8679</v>
      </c>
      <c r="E69" s="70" t="s">
        <v>95</v>
      </c>
      <c r="F69" s="122"/>
      <c r="G69" s="122"/>
      <c r="H69" s="70" t="s">
        <v>213</v>
      </c>
      <c r="I69" s="90"/>
      <c r="J69" s="70"/>
      <c r="K69" s="70"/>
      <c r="L69" s="70"/>
      <c r="M69" s="70"/>
      <c r="N69" s="9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5" t="s">
        <v>222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92"/>
      <c r="M93" s="25"/>
      <c r="N93" s="25"/>
      <c r="O93" s="25"/>
      <c r="P93" s="92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H69</f>
        <v>Технический паспорт № 3006/03, 2800/03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0">
    <mergeCell ref="A9:AJ9"/>
    <mergeCell ref="A17:AJ17"/>
    <mergeCell ref="A18:AJ18"/>
    <mergeCell ref="A19:AJ19"/>
    <mergeCell ref="A4:AJ4"/>
    <mergeCell ref="A5:AJ5"/>
    <mergeCell ref="A6:AJ6"/>
    <mergeCell ref="A7:AJ7"/>
    <mergeCell ref="A8:AJ8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8:AJ58"/>
    <mergeCell ref="A59:AJ59"/>
    <mergeCell ref="A51:AJ51"/>
    <mergeCell ref="A52:AJ52"/>
    <mergeCell ref="A53:AJ53"/>
    <mergeCell ref="A54:AJ54"/>
    <mergeCell ref="A55:AJ55"/>
    <mergeCell ref="A56:AJ56"/>
    <mergeCell ref="A74:AJ74"/>
    <mergeCell ref="A63:AJ63"/>
    <mergeCell ref="A65:AJ65"/>
    <mergeCell ref="A66:AJ66"/>
    <mergeCell ref="P67:AJ67"/>
    <mergeCell ref="P68:AJ68"/>
    <mergeCell ref="A70:AJ70"/>
    <mergeCell ref="G72:U72"/>
    <mergeCell ref="W72:AJ72"/>
    <mergeCell ref="A73:B73"/>
    <mergeCell ref="G73:AJ73"/>
    <mergeCell ref="A87:AJ87"/>
    <mergeCell ref="L88:AJ88"/>
    <mergeCell ref="H90:I90"/>
    <mergeCell ref="B94:O94"/>
    <mergeCell ref="A75:AJ75"/>
    <mergeCell ref="P77:W77"/>
    <mergeCell ref="P78:W78"/>
    <mergeCell ref="A81:AJ81"/>
    <mergeCell ref="A82:AJ82"/>
    <mergeCell ref="A83:AJ83"/>
    <mergeCell ref="A84:AJ84"/>
    <mergeCell ref="A86:AJ86"/>
    <mergeCell ref="A102:O102"/>
    <mergeCell ref="AB102:AJ102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  <mergeCell ref="A95:AJ95"/>
    <mergeCell ref="A99:O99"/>
    <mergeCell ref="AB99:AJ99"/>
    <mergeCell ref="A100:O100"/>
    <mergeCell ref="AB100:AJ100"/>
    <mergeCell ref="A103:O103"/>
    <mergeCell ref="AB103:AJ103"/>
    <mergeCell ref="A106:O106"/>
    <mergeCell ref="AB106:AJ106"/>
    <mergeCell ref="A107:O107"/>
    <mergeCell ref="AB107:AJ107"/>
  </mergeCells>
  <pageMargins left="0.78740157480314965" right="0.27559055118110237" top="0.39370078740157483" bottom="0.39370078740157483" header="0" footer="0"/>
  <pageSetup paperSize="9" scale="92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A0770D-8AF3-47B0-AC36-98A5FB91131B}">
          <x14:formula1>
            <xm:f>'данные строй'!$E$3:$E$4</xm:f>
          </x14:formula1>
          <xm:sqref>AJ62</xm:sqref>
        </x14:dataValidation>
        <x14:dataValidation type="list" allowBlank="1" showInputMessage="1" showErrorMessage="1" xr:uid="{59F889AD-7985-4150-AB76-55B463561C7F}">
          <x14:formula1>
            <xm:f>'данные строй'!$D$3:$D$4</xm:f>
          </x14:formula1>
          <xm:sqref>A69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Z117"/>
  <sheetViews>
    <sheetView view="pageBreakPreview" topLeftCell="A51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8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34" t="str">
        <f>'АОСР-6'!A86:AJ86</f>
        <v>Обратная засыпка песком 2КЛ-10кВ со стороны с.5 яч.503 - БРП №171 с.2</v>
      </c>
      <c r="B62" s="34"/>
      <c r="C62" s="34"/>
      <c r="D62" s="34"/>
      <c r="E62" s="34"/>
      <c r="F62" s="34"/>
      <c r="G62" s="34"/>
      <c r="H62" s="34"/>
      <c r="I62" s="71"/>
      <c r="J62" s="70"/>
      <c r="K62" s="72"/>
      <c r="L62" s="72"/>
      <c r="M62" s="70"/>
      <c r="N62" s="72"/>
      <c r="O62" s="72"/>
      <c r="P62" s="72"/>
      <c r="Q62" s="72"/>
      <c r="R62" s="72"/>
      <c r="S62" s="72"/>
      <c r="T62" s="90"/>
      <c r="U62" s="90"/>
      <c r="V62" s="90"/>
      <c r="W62" s="90"/>
      <c r="X62" s="72"/>
      <c r="Y62" s="72"/>
      <c r="Z62" s="90"/>
      <c r="AA62" s="90"/>
      <c r="AB62" s="90"/>
      <c r="AC62" s="90"/>
      <c r="AD62" s="90"/>
      <c r="AE62" s="90"/>
      <c r="AF62" s="71"/>
      <c r="AG62" s="71"/>
      <c r="AH62" s="71"/>
      <c r="AI62" s="71"/>
      <c r="AJ62" s="30"/>
    </row>
    <row r="63" spans="1:36" s="14" customFormat="1" ht="8.25" customHeight="1" x14ac:dyDescent="0.1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9" t="str">
        <f>'Данные объект'!B43</f>
        <v>4980-325834-217-09/24-ЭС</v>
      </c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</row>
    <row r="66" spans="1:36" s="14" customFormat="1" ht="15" customHeight="1" x14ac:dyDescent="0.15">
      <c r="A66" s="135" t="s">
        <v>39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13" customFormat="1" ht="12" customHeight="1" x14ac:dyDescent="0.2">
      <c r="A67" s="13" t="s">
        <v>12</v>
      </c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</row>
    <row r="68" spans="1:36" s="18" customFormat="1" ht="10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21"/>
      <c r="L68" s="121"/>
      <c r="M68" s="121"/>
      <c r="N68" s="121"/>
      <c r="O68" s="121"/>
      <c r="P68" s="164" t="s">
        <v>55</v>
      </c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</row>
    <row r="69" spans="1:36" s="13" customFormat="1" ht="12" customHeight="1" x14ac:dyDescent="0.2">
      <c r="A69" s="163" t="s">
        <v>90</v>
      </c>
      <c r="B69" s="163"/>
      <c r="C69" s="163"/>
      <c r="D69" s="34" t="s">
        <v>74</v>
      </c>
      <c r="E69" s="137">
        <f>'АОСР-2'!E69:H69</f>
        <v>942.81</v>
      </c>
      <c r="F69" s="137"/>
      <c r="G69" s="34" t="s">
        <v>82</v>
      </c>
      <c r="H69" s="34"/>
      <c r="I69" s="34"/>
      <c r="J69" s="90"/>
      <c r="K69" s="34" t="s">
        <v>212</v>
      </c>
      <c r="L69" s="34"/>
      <c r="M69" s="34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55" t="s">
        <v>223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160" t="str">
        <f>K69</f>
        <v>Паспорт б/н</v>
      </c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29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79"/>
      <c r="AC108" s="79"/>
      <c r="AD108" s="79"/>
      <c r="AE108" s="79"/>
      <c r="AF108" s="79"/>
      <c r="AG108" s="79"/>
      <c r="AH108" s="79"/>
      <c r="AI108" s="79"/>
      <c r="AJ108" s="79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2">
    <mergeCell ref="A109:O109"/>
    <mergeCell ref="AB109:AJ109"/>
    <mergeCell ref="A110:O110"/>
    <mergeCell ref="AB110:AJ110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B32:AI32"/>
    <mergeCell ref="AB33:AI33"/>
    <mergeCell ref="A49:AJ49"/>
    <mergeCell ref="A50:AJ50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51:AJ51"/>
    <mergeCell ref="A52:AJ52"/>
    <mergeCell ref="A63:AJ63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B100:AJ100"/>
    <mergeCell ref="A102:O102"/>
    <mergeCell ref="AB102:AJ102"/>
    <mergeCell ref="L88:AJ88"/>
    <mergeCell ref="H90:I90"/>
    <mergeCell ref="B94:O94"/>
    <mergeCell ref="A95:AJ95"/>
    <mergeCell ref="A87:AJ87"/>
    <mergeCell ref="A74:AJ74"/>
    <mergeCell ref="A75:AJ75"/>
    <mergeCell ref="A81:AJ81"/>
    <mergeCell ref="A82:AJ82"/>
    <mergeCell ref="A83:AJ83"/>
    <mergeCell ref="A84:AJ84"/>
    <mergeCell ref="A86:AJ86"/>
    <mergeCell ref="P77:W77"/>
    <mergeCell ref="P78:W78"/>
    <mergeCell ref="A70:AJ70"/>
    <mergeCell ref="G72:U72"/>
    <mergeCell ref="W72:AJ72"/>
    <mergeCell ref="A73:B73"/>
    <mergeCell ref="G73:AJ73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69:C69"/>
    <mergeCell ref="P68:AJ68"/>
    <mergeCell ref="A59:AJ59"/>
    <mergeCell ref="E69:F6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B81AB12-2DF7-4F5C-BC7B-5E028092CD45}">
          <x14:formula1>
            <xm:f>'данные строй'!$A$3:$A$5</xm:f>
          </x14:formula1>
          <xm:sqref>K62:L62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Z116"/>
  <sheetViews>
    <sheetView view="pageBreakPreview" topLeftCell="A57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5" customHeight="1" x14ac:dyDescent="0.2">
      <c r="A32" s="24"/>
      <c r="B32" s="24" t="s">
        <v>18</v>
      </c>
      <c r="C32" s="25">
        <v>9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8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8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8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8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8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8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8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8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8" s="13" customFormat="1" ht="12" customHeight="1" x14ac:dyDescent="0.2">
      <c r="A57" s="13" t="s">
        <v>16</v>
      </c>
    </row>
    <row r="58" spans="1:38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8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8" s="13" customFormat="1" ht="12" customHeight="1" x14ac:dyDescent="0.2">
      <c r="A60" s="13" t="s">
        <v>15</v>
      </c>
    </row>
    <row r="61" spans="1:38" s="13" customFormat="1" ht="12" customHeight="1" x14ac:dyDescent="0.2">
      <c r="A61" s="13" t="s">
        <v>30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s="13" customFormat="1" ht="12" customHeight="1" x14ac:dyDescent="0.2">
      <c r="A62" s="163" t="str">
        <f>'АОСР-5'!A86:AJ86</f>
        <v>Обратная засыпка грунтом 2КЛ-10кВ со стороны с.5 яч.503 - БРП №171 с.2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70"/>
      <c r="U62" s="70" t="s">
        <v>214</v>
      </c>
      <c r="V62" s="70"/>
      <c r="W62" s="70"/>
      <c r="X62" s="70"/>
      <c r="Y62" s="70"/>
      <c r="Z62" s="70"/>
      <c r="AA62" s="70"/>
      <c r="AB62" s="70"/>
      <c r="AC62" s="70"/>
      <c r="AD62" s="70"/>
      <c r="AE62" s="72"/>
      <c r="AF62" s="159"/>
      <c r="AG62" s="159"/>
      <c r="AH62" s="159"/>
      <c r="AI62" s="159"/>
      <c r="AJ62" s="159"/>
      <c r="AK62" s="64"/>
      <c r="AL62" s="64"/>
    </row>
    <row r="63" spans="1:38" s="14" customFormat="1" ht="8.25" customHeight="1" x14ac:dyDescent="0.15">
      <c r="A63" s="135" t="s">
        <v>14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</row>
    <row r="64" spans="1:38" s="13" customFormat="1" ht="12" customHeight="1" x14ac:dyDescent="0.2">
      <c r="A64" s="13" t="s">
        <v>13</v>
      </c>
    </row>
    <row r="65" spans="1:36" s="13" customFormat="1" ht="12" customHeight="1" x14ac:dyDescent="0.2">
      <c r="A65" s="139" t="str">
        <f>'Данные объект'!B43</f>
        <v>4980-325834-217-09/24-ЭС</v>
      </c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</row>
    <row r="66" spans="1:36" s="14" customFormat="1" ht="15" customHeight="1" x14ac:dyDescent="0.15">
      <c r="A66" s="135" t="s">
        <v>39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</row>
    <row r="67" spans="1:36" s="13" customFormat="1" ht="12" customHeight="1" x14ac:dyDescent="0.2">
      <c r="A67" s="13" t="s">
        <v>12</v>
      </c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7" t="s">
        <v>55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</row>
    <row r="69" spans="1:36" s="13" customFormat="1" ht="12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34"/>
      <c r="AJ69" s="34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89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45" t="s">
        <v>198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35" t="s">
        <v>0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">
      <c r="A98" s="145" t="str">
        <f>'Данные объект'!B33</f>
        <v>Алексанян Г.Р.</v>
      </c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45"/>
      <c r="AC98" s="145"/>
      <c r="AD98" s="145"/>
      <c r="AE98" s="145"/>
      <c r="AF98" s="145"/>
      <c r="AG98" s="145"/>
      <c r="AH98" s="145"/>
      <c r="AI98" s="145"/>
      <c r="AJ98" s="145"/>
    </row>
    <row r="99" spans="1:36" s="14" customFormat="1" ht="9" customHeight="1" x14ac:dyDescent="0.15">
      <c r="A99" s="149" t="s">
        <v>35</v>
      </c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7" t="s">
        <v>34</v>
      </c>
      <c r="AC99" s="147"/>
      <c r="AD99" s="147"/>
      <c r="AE99" s="147"/>
      <c r="AF99" s="147"/>
      <c r="AG99" s="147"/>
      <c r="AH99" s="147"/>
      <c r="AI99" s="147"/>
      <c r="AJ99" s="147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">
      <c r="A101" s="145" t="str">
        <f>'Данные объект'!B20</f>
        <v>Волков М.Ю.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45"/>
      <c r="AC101" s="145"/>
      <c r="AD101" s="145"/>
      <c r="AE101" s="145"/>
      <c r="AF101" s="145"/>
      <c r="AG101" s="145"/>
      <c r="AH101" s="145"/>
      <c r="AI101" s="145"/>
      <c r="AJ101" s="145"/>
    </row>
    <row r="102" spans="1:36" s="14" customFormat="1" ht="9" customHeight="1" x14ac:dyDescent="0.15">
      <c r="A102" s="149" t="s">
        <v>35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7" t="s">
        <v>34</v>
      </c>
      <c r="AC102" s="147"/>
      <c r="AD102" s="147"/>
      <c r="AE102" s="147"/>
      <c r="AF102" s="147"/>
      <c r="AG102" s="147"/>
      <c r="AH102" s="147"/>
      <c r="AI102" s="147"/>
      <c r="AJ102" s="147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">
      <c r="A105" s="145" t="str">
        <f>'Данные объект'!B17</f>
        <v>Русин В.А.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45"/>
      <c r="AC105" s="145"/>
      <c r="AD105" s="145"/>
      <c r="AE105" s="145"/>
      <c r="AF105" s="145"/>
      <c r="AG105" s="145"/>
      <c r="AH105" s="145"/>
      <c r="AI105" s="145"/>
      <c r="AJ105" s="145"/>
    </row>
    <row r="106" spans="1:36" s="14" customFormat="1" ht="9" customHeight="1" x14ac:dyDescent="0.15">
      <c r="A106" s="149" t="s">
        <v>35</v>
      </c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7" t="s">
        <v>34</v>
      </c>
      <c r="AC106" s="147"/>
      <c r="AD106" s="147"/>
      <c r="AE106" s="147"/>
      <c r="AF106" s="147"/>
      <c r="AG106" s="147"/>
      <c r="AH106" s="147"/>
      <c r="AI106" s="147"/>
      <c r="AJ106" s="147"/>
    </row>
    <row r="107" spans="1:36" s="14" customFormat="1" ht="11.25" x14ac:dyDescent="0.2">
      <c r="A107" s="13" t="s">
        <v>173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87"/>
      <c r="Q107" s="87"/>
      <c r="R107" s="87"/>
      <c r="S107" s="87"/>
      <c r="T107" s="87"/>
      <c r="U107" s="88"/>
      <c r="V107" s="88"/>
      <c r="W107" s="88"/>
      <c r="X107" s="88"/>
      <c r="Y107" s="88"/>
      <c r="Z107" s="88"/>
      <c r="AA107" s="88"/>
      <c r="AB107" s="79"/>
      <c r="AC107" s="79"/>
      <c r="AD107" s="79"/>
      <c r="AE107" s="79"/>
      <c r="AF107" s="79"/>
      <c r="AG107" s="79"/>
      <c r="AH107" s="79"/>
      <c r="AI107" s="79"/>
      <c r="AJ107" s="79"/>
    </row>
    <row r="108" spans="1:36" s="14" customFormat="1" ht="11.25" x14ac:dyDescent="0.2">
      <c r="A108" s="145" t="str">
        <f>'Данные объект'!$B$36</f>
        <v>Курчин М.М.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145"/>
      <c r="AC108" s="145"/>
      <c r="AD108" s="145"/>
      <c r="AE108" s="145"/>
      <c r="AF108" s="145"/>
      <c r="AG108" s="145"/>
      <c r="AH108" s="145"/>
      <c r="AI108" s="145"/>
      <c r="AJ108" s="145"/>
    </row>
    <row r="109" spans="1:36" s="14" customFormat="1" ht="9" customHeight="1" x14ac:dyDescent="0.15">
      <c r="A109" s="149" t="s">
        <v>35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7" t="s">
        <v>34</v>
      </c>
      <c r="AC109" s="147"/>
      <c r="AD109" s="147"/>
      <c r="AE109" s="147"/>
      <c r="AF109" s="147"/>
      <c r="AG109" s="147"/>
      <c r="AH109" s="147"/>
      <c r="AI109" s="147"/>
      <c r="AJ109" s="147"/>
    </row>
    <row r="110" spans="1:36" s="13" customFormat="1" ht="38.25" customHeight="1" x14ac:dyDescent="0.2">
      <c r="A110" s="141" t="s">
        <v>51</v>
      </c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</row>
    <row r="111" spans="1:36" s="13" customFormat="1" ht="12" customHeight="1" x14ac:dyDescent="0.2">
      <c r="A111" s="145" t="s">
        <v>74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45" t="s">
        <v>74</v>
      </c>
      <c r="AC111" s="145"/>
      <c r="AD111" s="145"/>
      <c r="AE111" s="145"/>
      <c r="AF111" s="145"/>
      <c r="AG111" s="145"/>
      <c r="AH111" s="145"/>
      <c r="AI111" s="145"/>
      <c r="AJ111" s="145"/>
    </row>
    <row r="112" spans="1:36" s="14" customFormat="1" ht="9" customHeight="1" x14ac:dyDescent="0.15">
      <c r="A112" s="149" t="s">
        <v>35</v>
      </c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7" t="s">
        <v>34</v>
      </c>
      <c r="AC112" s="147"/>
      <c r="AD112" s="147"/>
      <c r="AE112" s="147"/>
      <c r="AF112" s="147"/>
      <c r="AG112" s="147"/>
      <c r="AH112" s="147"/>
      <c r="AI112" s="147"/>
      <c r="AJ112" s="147"/>
    </row>
    <row r="113" spans="1:36" s="13" customFormat="1" ht="24.75" hidden="1" customHeight="1" x14ac:dyDescent="0.2">
      <c r="A113" s="141" t="s">
        <v>53</v>
      </c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</row>
    <row r="114" spans="1:36" s="13" customFormat="1" ht="12" hidden="1" customHeight="1" x14ac:dyDescent="0.2">
      <c r="A114" s="145" t="e">
        <f>#REF!</f>
        <v>#REF!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45"/>
      <c r="AC114" s="145"/>
      <c r="AD114" s="145"/>
      <c r="AE114" s="145"/>
      <c r="AF114" s="145"/>
      <c r="AG114" s="145"/>
      <c r="AH114" s="145"/>
      <c r="AI114" s="145"/>
      <c r="AJ114" s="145"/>
    </row>
    <row r="115" spans="1:36" s="14" customFormat="1" ht="9" hidden="1" customHeight="1" x14ac:dyDescent="0.15">
      <c r="A115" s="149" t="s">
        <v>35</v>
      </c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7" t="s">
        <v>34</v>
      </c>
      <c r="AC115" s="147"/>
      <c r="AD115" s="147"/>
      <c r="AE115" s="147"/>
      <c r="AF115" s="147"/>
      <c r="AG115" s="147"/>
      <c r="AH115" s="147"/>
      <c r="AI115" s="147"/>
      <c r="AJ115" s="147"/>
    </row>
    <row r="116" spans="1:36" ht="12" customHeight="1" x14ac:dyDescent="0.25"/>
  </sheetData>
  <mergeCells count="102">
    <mergeCell ref="A59:AJ59"/>
    <mergeCell ref="A35:AJ35"/>
    <mergeCell ref="A36:AJ36"/>
    <mergeCell ref="A37:AJ37"/>
    <mergeCell ref="A38:AJ38"/>
    <mergeCell ref="A39:AJ39"/>
    <mergeCell ref="A30:AJ30"/>
    <mergeCell ref="E32:G32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7:AJ7"/>
    <mergeCell ref="A9:AJ9"/>
    <mergeCell ref="A10:AJ10"/>
    <mergeCell ref="A11:AJ11"/>
    <mergeCell ref="A12:AJ12"/>
    <mergeCell ref="A13:AJ13"/>
    <mergeCell ref="AB32:AI32"/>
    <mergeCell ref="A26:AJ26"/>
    <mergeCell ref="AB33:AI33"/>
    <mergeCell ref="P77:W77"/>
    <mergeCell ref="P78:W78"/>
    <mergeCell ref="A111:O111"/>
    <mergeCell ref="AB111:AJ111"/>
    <mergeCell ref="A112:O112"/>
    <mergeCell ref="AB112:AJ112"/>
    <mergeCell ref="A87:AJ87"/>
    <mergeCell ref="L88:AJ88"/>
    <mergeCell ref="A81:AJ81"/>
    <mergeCell ref="A82:AJ82"/>
    <mergeCell ref="A74:AJ74"/>
    <mergeCell ref="A101:O101"/>
    <mergeCell ref="AB101:AJ101"/>
    <mergeCell ref="AB99:AJ99"/>
    <mergeCell ref="A65:AJ65"/>
    <mergeCell ref="A66:AJ66"/>
    <mergeCell ref="P67:AJ67"/>
    <mergeCell ref="P68:AJ68"/>
    <mergeCell ref="W72:AJ72"/>
    <mergeCell ref="A86:AJ86"/>
    <mergeCell ref="A41:AJ41"/>
    <mergeCell ref="A42:AJ42"/>
    <mergeCell ref="A43:AJ43"/>
    <mergeCell ref="A27:AJ27"/>
    <mergeCell ref="A29:AJ29"/>
    <mergeCell ref="A113:AJ113"/>
    <mergeCell ref="A105:O105"/>
    <mergeCell ref="AB105:AJ105"/>
    <mergeCell ref="A106:O106"/>
    <mergeCell ref="AB106:AJ106"/>
    <mergeCell ref="A110:AJ110"/>
    <mergeCell ref="A99:O99"/>
    <mergeCell ref="A44:AJ44"/>
    <mergeCell ref="A45:AJ45"/>
    <mergeCell ref="A49:AJ49"/>
    <mergeCell ref="A50:AJ50"/>
    <mergeCell ref="A51:AJ51"/>
    <mergeCell ref="A108:O108"/>
    <mergeCell ref="AB108:AJ108"/>
    <mergeCell ref="A109:O109"/>
    <mergeCell ref="AB109:AJ109"/>
    <mergeCell ref="A75:AJ75"/>
    <mergeCell ref="A70:AJ70"/>
    <mergeCell ref="A62:S62"/>
    <mergeCell ref="AF62:AH62"/>
    <mergeCell ref="AI62:AJ62"/>
    <mergeCell ref="G72:U72"/>
    <mergeCell ref="A115:O115"/>
    <mergeCell ref="AB115:AJ115"/>
    <mergeCell ref="A114:O114"/>
    <mergeCell ref="AB114:AJ114"/>
    <mergeCell ref="A56:AJ56"/>
    <mergeCell ref="A58:AJ58"/>
    <mergeCell ref="A46:AJ46"/>
    <mergeCell ref="A47:AJ47"/>
    <mergeCell ref="A48:AJ48"/>
    <mergeCell ref="A52:AJ52"/>
    <mergeCell ref="A53:AJ53"/>
    <mergeCell ref="A54:AJ54"/>
    <mergeCell ref="A55:AJ55"/>
    <mergeCell ref="A73:B73"/>
    <mergeCell ref="G73:AJ73"/>
    <mergeCell ref="A63:AJ63"/>
    <mergeCell ref="A102:O102"/>
    <mergeCell ref="AB102:AJ102"/>
    <mergeCell ref="H90:I90"/>
    <mergeCell ref="A94:AJ94"/>
    <mergeCell ref="A98:O98"/>
    <mergeCell ref="AB98:AJ98"/>
    <mergeCell ref="A83:AJ83"/>
    <mergeCell ref="A84:AJ84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BC66C27-CA2B-4766-B0E6-7D4F22C0E86A}">
          <x14:formula1>
            <xm:f>'данные строй'!$E$3:$E$4</xm:f>
          </x14:formula1>
          <xm:sqref>N69:O69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38A-0663-4205-9CC7-96A0C508F04D}">
  <sheetPr>
    <tabColor rgb="FFFFFF00"/>
    <pageSetUpPr fitToPage="1"/>
  </sheetPr>
  <dimension ref="A1:AZ117"/>
  <sheetViews>
    <sheetView tabSelected="1" view="pageBreakPreview" topLeftCell="A63" zoomScale="125" zoomScaleNormal="125" zoomScaleSheetLayoutView="125" workbookViewId="0">
      <selection activeCell="A70" sqref="A70:AJ70"/>
    </sheetView>
  </sheetViews>
  <sheetFormatPr defaultColWidth="10.6640625" defaultRowHeight="15" x14ac:dyDescent="0.25"/>
  <cols>
    <col min="1" max="14" width="2.83203125" style="1" customWidth="1"/>
    <col min="15" max="16" width="3.83203125" style="1" customWidth="1"/>
    <col min="17" max="17" width="5.33203125" style="1" customWidth="1"/>
    <col min="18" max="19" width="2.83203125" style="1" customWidth="1"/>
    <col min="20" max="20" width="4" style="1" customWidth="1"/>
    <col min="2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9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43" s="13" customFormat="1" ht="12" customHeight="1" x14ac:dyDescent="0.2">
      <c r="A5" s="137" t="str">
        <f>'Данные объект'!B9</f>
        <v>2КЛ-10кВ со стороны с.5 яч.503 - БРП №171 с.2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</row>
    <row r="6" spans="1:43" s="14" customFormat="1" ht="8.25" x14ac:dyDescent="0.15">
      <c r="A6" s="135" t="s">
        <v>174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</row>
    <row r="7" spans="1:43" s="13" customFormat="1" ht="12.75" customHeight="1" x14ac:dyDescent="0.2">
      <c r="A7" s="138" t="s">
        <v>42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</row>
    <row r="8" spans="1:43" s="13" customFormat="1" ht="12" customHeight="1" x14ac:dyDescent="0.2">
      <c r="A8" s="137" t="str">
        <f>'Данные объект'!B23</f>
        <v>ПАО "Россети Московский регион"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14" customFormat="1" ht="19.5" customHeight="1" x14ac:dyDescent="0.15">
      <c r="A9" s="135" t="s">
        <v>58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  <row r="10" spans="1:43" s="13" customFormat="1" ht="12" customHeight="1" x14ac:dyDescent="0.2">
      <c r="A10" s="137" t="str">
        <f>'Данные объект'!B24</f>
        <v>ОГРН 1057746555811 ИНН 5036065113 КПП 772501001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</row>
    <row r="11" spans="1:43" s="14" customFormat="1" ht="28.5" customHeight="1" x14ac:dyDescent="0.15">
      <c r="A11" s="135" t="s">
        <v>59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43" s="13" customFormat="1" ht="12" customHeight="1" x14ac:dyDescent="0.2">
      <c r="A12" s="137" t="str">
        <f>'Данные объект'!B25</f>
        <v>115114, город Москва, проезд Павелецкий 2-й, дом 3, строение 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</row>
    <row r="13" spans="1:43" s="14" customFormat="1" ht="11.25" customHeight="1" x14ac:dyDescent="0.15">
      <c r="A13" s="135" t="s">
        <v>43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7" t="str">
        <f>'Данные объект'!B11</f>
        <v>ООО"Энергосистемы"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</row>
    <row r="16" spans="1:43" s="14" customFormat="1" ht="9.75" customHeight="1" x14ac:dyDescent="0.15">
      <c r="A16" s="135" t="s">
        <v>37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</row>
    <row r="17" spans="1:36" s="13" customFormat="1" ht="12" customHeight="1" x14ac:dyDescent="0.2">
      <c r="A17" s="137" t="str">
        <f>'Данные объект'!B12</f>
        <v>ОГРН 1135044003709  ИНН 5044089069 КПП 504401001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1:36" s="14" customFormat="1" ht="8.25" customHeight="1" x14ac:dyDescent="0.15">
      <c r="A18" s="135" t="s">
        <v>44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</row>
    <row r="19" spans="1:36" s="13" customFormat="1" ht="12" customHeight="1" x14ac:dyDescent="0.2">
      <c r="A19" s="137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1:36" s="14" customFormat="1" ht="27" customHeight="1" x14ac:dyDescent="0.15">
      <c r="A20" s="135" t="s">
        <v>60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7" t="str">
        <f>'Данные объект'!B39</f>
        <v>ООО"Энергосистемы"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</row>
    <row r="23" spans="1:36" s="14" customFormat="1" ht="7.5" customHeight="1" x14ac:dyDescent="0.15">
      <c r="A23" s="135" t="s">
        <v>37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3" customFormat="1" ht="12" customHeight="1" x14ac:dyDescent="0.2">
      <c r="A24" s="137" t="str">
        <f>'Данные объект'!B40</f>
        <v>ОГРН 1135044003709  ИНН 5044089069 КПП 504401001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</row>
    <row r="25" spans="1:36" s="14" customFormat="1" ht="7.5" customHeight="1" x14ac:dyDescent="0.15">
      <c r="A25" s="135" t="s">
        <v>61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</row>
    <row r="26" spans="1:36" s="13" customFormat="1" ht="12" customHeight="1" x14ac:dyDescent="0.2">
      <c r="A26" s="137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1:36" s="14" customFormat="1" ht="22.5" customHeight="1" x14ac:dyDescent="0.15">
      <c r="A27" s="135" t="s">
        <v>45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5" customHeight="1" x14ac:dyDescent="0.2">
      <c r="A29" s="144" t="s">
        <v>36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 s="13" customFormat="1" ht="12.95" customHeight="1" x14ac:dyDescent="0.2">
      <c r="A30" s="142" t="s">
        <v>19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spans="1:36" s="13" customFormat="1" ht="6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</row>
    <row r="32" spans="1:36" s="13" customFormat="1" ht="12.95" customHeight="1" x14ac:dyDescent="0.2">
      <c r="A32" s="24"/>
      <c r="B32" s="24" t="s">
        <v>18</v>
      </c>
      <c r="C32" s="101">
        <v>10</v>
      </c>
      <c r="D32" s="25"/>
      <c r="E32" s="145" t="s">
        <v>86</v>
      </c>
      <c r="F32" s="145"/>
      <c r="G32" s="145"/>
      <c r="H32" s="27"/>
      <c r="I32" s="27"/>
      <c r="J32" s="27"/>
      <c r="X32" s="21"/>
      <c r="Y32" s="32"/>
      <c r="Z32" s="32"/>
      <c r="AB32" s="146" t="str">
        <f>P78</f>
        <v>16.07.2026</v>
      </c>
      <c r="AC32" s="146"/>
      <c r="AD32" s="146"/>
      <c r="AE32" s="146"/>
      <c r="AF32" s="146"/>
      <c r="AG32" s="146"/>
      <c r="AH32" s="146"/>
      <c r="AI32" s="146"/>
      <c r="AJ32" s="13" t="s">
        <v>6</v>
      </c>
    </row>
    <row r="33" spans="1:52" s="14" customFormat="1" ht="9" customHeight="1" x14ac:dyDescent="0.15">
      <c r="Y33" s="15"/>
      <c r="Z33" s="16"/>
      <c r="AA33" s="15"/>
      <c r="AB33" s="143" t="s">
        <v>17</v>
      </c>
      <c r="AC33" s="143"/>
      <c r="AD33" s="143"/>
      <c r="AE33" s="143"/>
      <c r="AF33" s="143"/>
      <c r="AG33" s="143"/>
      <c r="AH33" s="143"/>
      <c r="AI33" s="143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8" t="s">
        <v>46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</row>
    <row r="36" spans="1:52" s="13" customFormat="1" ht="25.5" customHeight="1" x14ac:dyDescent="0.2">
      <c r="A36" s="139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</row>
    <row r="37" spans="1:52" s="14" customFormat="1" ht="28.5" customHeight="1" x14ac:dyDescent="0.15">
      <c r="A37" s="135" t="s">
        <v>47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</row>
    <row r="38" spans="1:52" s="13" customFormat="1" ht="21.75" customHeight="1" x14ac:dyDescent="0.2">
      <c r="A38" s="13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</row>
    <row r="39" spans="1:52" s="14" customFormat="1" ht="25.5" customHeight="1" x14ac:dyDescent="0.2">
      <c r="A39" s="140" t="s">
        <v>48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7" t="str">
        <f>'Данные объект'!C21</f>
        <v>Прораб ООО"Энергосистемы" Волков М.Ю..Приказ №05-ОТ/24 от 09 января 2024г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</row>
    <row r="42" spans="1:52" s="14" customFormat="1" ht="9" customHeight="1" x14ac:dyDescent="0.15">
      <c r="A42" s="135" t="s">
        <v>26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</row>
    <row r="43" spans="1:52" s="13" customFormat="1" ht="17.25" customHeight="1" x14ac:dyDescent="0.2">
      <c r="A43" s="138" t="s">
        <v>49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52" s="31" customFormat="1" ht="22.5" customHeight="1" x14ac:dyDescent="0.2">
      <c r="A44" s="139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</row>
    <row r="45" spans="1:52" s="14" customFormat="1" ht="30" customHeight="1" x14ac:dyDescent="0.15">
      <c r="A45" s="135" t="s">
        <v>50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</row>
    <row r="46" spans="1:52" s="14" customFormat="1" ht="11.25" x14ac:dyDescent="0.2">
      <c r="A46" s="138" t="s">
        <v>172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52" s="14" customFormat="1" ht="11.25" customHeight="1" x14ac:dyDescent="0.15">
      <c r="A47" s="139" t="str">
        <f>'Данные объект'!$C$36</f>
        <v>Мастер СРЭС СЭС филиала ПАО "Россети Московский регион" Курчин М.М.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</row>
    <row r="48" spans="1:52" s="14" customFormat="1" ht="8.25" x14ac:dyDescent="0.15">
      <c r="A48" s="135" t="s">
        <v>26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</row>
    <row r="49" spans="1:36" s="13" customFormat="1" ht="35.25" customHeight="1" x14ac:dyDescent="0.2">
      <c r="A49" s="141" t="s">
        <v>51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</row>
    <row r="50" spans="1:36" s="31" customFormat="1" ht="12.95" customHeight="1" x14ac:dyDescent="0.2">
      <c r="A50" s="137" t="s">
        <v>74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</row>
    <row r="51" spans="1:36" s="14" customFormat="1" ht="29.25" customHeight="1" x14ac:dyDescent="0.15">
      <c r="A51" s="135" t="s">
        <v>52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</row>
    <row r="52" spans="1:36" s="13" customFormat="1" ht="25.5" hidden="1" customHeight="1" x14ac:dyDescent="0.2">
      <c r="A52" s="141" t="s">
        <v>53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</row>
    <row r="53" spans="1:36" s="13" customFormat="1" ht="12" hidden="1" customHeight="1" x14ac:dyDescent="0.2">
      <c r="A53" s="139" t="e">
        <f>CONCATENATE(#REF!,", ",#REF!," - ",#REF!)</f>
        <v>#REF!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</row>
    <row r="54" spans="1:36" s="14" customFormat="1" ht="9.75" hidden="1" customHeight="1" x14ac:dyDescent="0.15">
      <c r="A54" s="135" t="s">
        <v>29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</row>
    <row r="55" spans="1:36" s="13" customFormat="1" ht="12" hidden="1" customHeight="1" x14ac:dyDescent="0.2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</row>
    <row r="56" spans="1:36" s="14" customFormat="1" ht="16.5" hidden="1" customHeight="1" x14ac:dyDescent="0.15">
      <c r="A56" s="135" t="s">
        <v>54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s="13" customFormat="1" ht="12" customHeight="1" x14ac:dyDescent="0.2">
      <c r="A57" s="13" t="s">
        <v>16</v>
      </c>
    </row>
    <row r="58" spans="1:36" s="13" customFormat="1" ht="12.95" customHeight="1" x14ac:dyDescent="0.2">
      <c r="A58" s="145" t="str">
        <f>'Данные объект'!B11</f>
        <v>ООО"Энергосистемы"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</row>
    <row r="59" spans="1:36" s="14" customFormat="1" ht="10.5" customHeight="1" x14ac:dyDescent="0.15">
      <c r="A59" s="149" t="s">
        <v>38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  <c r="T61" s="90"/>
    </row>
    <row r="62" spans="1:36" s="13" customFormat="1" ht="16.5" customHeight="1" x14ac:dyDescent="0.2">
      <c r="A62" s="70" t="str">
        <f>'АОСР-7'!A86:AJ86</f>
        <v>Нанесение огнезащитной пасты в ТП</v>
      </c>
      <c r="B62" s="70"/>
      <c r="C62" s="70"/>
      <c r="D62" s="70"/>
      <c r="E62" s="70"/>
      <c r="F62" s="70"/>
      <c r="G62" s="72"/>
      <c r="H62" s="90"/>
      <c r="I62" s="70"/>
      <c r="J62" s="70"/>
      <c r="K62" s="70"/>
      <c r="L62" s="70"/>
      <c r="M62" s="70"/>
      <c r="N62" s="72"/>
      <c r="O62" s="70" t="s">
        <v>186</v>
      </c>
      <c r="P62" s="74"/>
      <c r="Q62" s="74"/>
      <c r="R62" s="74"/>
      <c r="S62" s="74"/>
      <c r="T62" s="100"/>
      <c r="U62" s="73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spans="1:36" s="14" customFormat="1" ht="8.25" customHeight="1" x14ac:dyDescent="0.15">
      <c r="A63" s="157" t="s">
        <v>14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59" t="str">
        <f>'Данные объект'!B43</f>
        <v>4980-325834-217-09/24-ЭС</v>
      </c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</row>
    <row r="66" spans="1:36" s="14" customFormat="1" ht="15" customHeight="1" x14ac:dyDescent="0.15">
      <c r="A66" s="157" t="s">
        <v>39</v>
      </c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</row>
    <row r="67" spans="1:36" s="13" customFormat="1" ht="12" customHeight="1" x14ac:dyDescent="0.2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.75" customHeight="1" x14ac:dyDescent="0.2">
      <c r="A69" s="165" t="str">
        <f>O62</f>
        <v>Стабитерм-225</v>
      </c>
      <c r="B69" s="165"/>
      <c r="C69" s="165"/>
      <c r="D69" s="165"/>
      <c r="E69" s="165"/>
      <c r="F69" s="165"/>
      <c r="G69" s="165"/>
      <c r="H69" s="108" t="s">
        <v>74</v>
      </c>
      <c r="I69" s="70" t="s">
        <v>225</v>
      </c>
      <c r="J69" s="70"/>
      <c r="K69" s="70"/>
      <c r="L69" s="70"/>
      <c r="M69" s="70" t="s">
        <v>215</v>
      </c>
      <c r="N69" s="70"/>
      <c r="O69" s="70"/>
      <c r="P69" s="73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73"/>
      <c r="AH69" s="73"/>
      <c r="AI69" s="73"/>
      <c r="AJ69" s="73"/>
    </row>
    <row r="70" spans="1:36" s="14" customFormat="1" ht="18.75" customHeight="1" x14ac:dyDescent="0.15">
      <c r="A70" s="135" t="s">
        <v>56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">
      <c r="A72" s="13" t="s">
        <v>10</v>
      </c>
      <c r="G72" s="145" t="s">
        <v>188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25" t="s">
        <v>88</v>
      </c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14" customFormat="1" ht="7.5" customHeight="1" x14ac:dyDescent="0.15">
      <c r="A73" s="150"/>
      <c r="B73" s="150"/>
      <c r="C73" s="20"/>
      <c r="D73" s="20"/>
      <c r="E73" s="20"/>
      <c r="F73" s="20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13" customFormat="1" ht="12" customHeigh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</row>
    <row r="75" spans="1:36" s="14" customFormat="1" ht="7.5" customHeight="1" x14ac:dyDescent="0.15">
      <c r="A75" s="135" t="s">
        <v>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">
      <c r="A77" s="13" t="s">
        <v>8</v>
      </c>
      <c r="D77" s="28"/>
      <c r="E77" s="28"/>
      <c r="F77" s="28"/>
      <c r="G77" s="28"/>
      <c r="L77" s="21"/>
      <c r="M77" s="32"/>
      <c r="N77" s="32"/>
      <c r="P77" s="146" t="str">
        <f>'Данные объект'!B6</f>
        <v>19.10.2025</v>
      </c>
      <c r="Q77" s="146"/>
      <c r="R77" s="146"/>
      <c r="S77" s="146"/>
      <c r="T77" s="146"/>
      <c r="U77" s="146"/>
      <c r="V77" s="146"/>
      <c r="W77" s="146"/>
      <c r="X77" s="13" t="s">
        <v>6</v>
      </c>
    </row>
    <row r="78" spans="1:36" s="13" customFormat="1" ht="12" customHeight="1" x14ac:dyDescent="0.2">
      <c r="A78" s="13" t="s">
        <v>7</v>
      </c>
      <c r="D78" s="28"/>
      <c r="E78" s="28"/>
      <c r="F78" s="28"/>
      <c r="G78" s="28"/>
      <c r="L78" s="21"/>
      <c r="M78" s="32"/>
      <c r="N78" s="32"/>
      <c r="P78" s="151" t="str">
        <f>'Данные объект'!B7</f>
        <v>16.07.2026</v>
      </c>
      <c r="Q78" s="151"/>
      <c r="R78" s="151"/>
      <c r="S78" s="151"/>
      <c r="T78" s="151"/>
      <c r="U78" s="151"/>
      <c r="V78" s="151"/>
      <c r="W78" s="151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">
      <c r="A81" s="148" t="s">
        <v>100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</row>
    <row r="82" spans="1:36" s="14" customFormat="1" ht="8.25" customHeight="1" x14ac:dyDescent="0.15">
      <c r="A82" s="135" t="s">
        <v>4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</row>
    <row r="83" spans="1:36" s="13" customFormat="1" ht="12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</row>
    <row r="84" spans="1:36" s="14" customFormat="1" ht="8.25" customHeight="1" x14ac:dyDescent="0.15">
      <c r="A84" s="135" t="s">
        <v>57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">
      <c r="A86" s="145" t="s">
        <v>74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14" customFormat="1" ht="9" customHeight="1" x14ac:dyDescent="0.15">
      <c r="A87" s="135" t="s">
        <v>32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</row>
    <row r="88" spans="1:36" s="13" customFormat="1" ht="12" customHeight="1" x14ac:dyDescent="0.2">
      <c r="A88" s="13" t="s">
        <v>2</v>
      </c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">
      <c r="A90" s="13" t="s">
        <v>87</v>
      </c>
      <c r="H90" s="145"/>
      <c r="I90" s="145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">
      <c r="A93" s="25" t="s">
        <v>83</v>
      </c>
      <c r="B93" s="25" t="s">
        <v>187</v>
      </c>
      <c r="C93" s="25"/>
      <c r="D93" s="25"/>
      <c r="E93" s="25"/>
      <c r="F93" s="25"/>
      <c r="G93" s="25"/>
      <c r="H93" s="25"/>
      <c r="I93" s="25"/>
      <c r="J93" s="25"/>
      <c r="K93" s="25"/>
      <c r="L93" s="92"/>
      <c r="M93" s="25"/>
      <c r="N93" s="25"/>
      <c r="O93" s="25"/>
      <c r="P93" s="90"/>
      <c r="Q93" s="90"/>
      <c r="R93" s="90"/>
      <c r="S93" s="25"/>
      <c r="T93" s="25"/>
      <c r="U93" s="25"/>
      <c r="V93" s="92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">
      <c r="A94" s="33" t="s">
        <v>85</v>
      </c>
      <c r="B94" s="89" t="str">
        <f>M69</f>
        <v>Паспорт качества №2758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91"/>
      <c r="N94" s="91"/>
      <c r="O94" s="91"/>
      <c r="P94" s="90"/>
      <c r="Q94" s="90"/>
      <c r="R94" s="90"/>
      <c r="S94" s="25"/>
      <c r="T94" s="33"/>
      <c r="U94" s="33"/>
      <c r="V94" s="29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35" t="s">
        <v>0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">
      <c r="A99" s="145" t="str">
        <f>'Данные объект'!B33</f>
        <v>Алексанян Г.Р.</v>
      </c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45"/>
      <c r="AC99" s="145"/>
      <c r="AD99" s="145"/>
      <c r="AE99" s="145"/>
      <c r="AF99" s="145"/>
      <c r="AG99" s="145"/>
      <c r="AH99" s="145"/>
      <c r="AI99" s="145"/>
      <c r="AJ99" s="145"/>
    </row>
    <row r="100" spans="1:36" s="14" customFormat="1" ht="9" customHeight="1" x14ac:dyDescent="0.15">
      <c r="A100" s="149" t="s">
        <v>35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7" t="s">
        <v>34</v>
      </c>
      <c r="AC100" s="147"/>
      <c r="AD100" s="147"/>
      <c r="AE100" s="147"/>
      <c r="AF100" s="147"/>
      <c r="AG100" s="147"/>
      <c r="AH100" s="147"/>
      <c r="AI100" s="147"/>
      <c r="AJ100" s="147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">
      <c r="A102" s="145" t="str">
        <f>'Данные объект'!B20</f>
        <v>Волков М.Ю.</v>
      </c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45"/>
      <c r="AC102" s="145"/>
      <c r="AD102" s="145"/>
      <c r="AE102" s="145"/>
      <c r="AF102" s="145"/>
      <c r="AG102" s="145"/>
      <c r="AH102" s="145"/>
      <c r="AI102" s="145"/>
      <c r="AJ102" s="145"/>
    </row>
    <row r="103" spans="1:36" s="14" customFormat="1" ht="9" customHeight="1" x14ac:dyDescent="0.15">
      <c r="A103" s="149" t="s">
        <v>35</v>
      </c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7" t="s">
        <v>34</v>
      </c>
      <c r="AC103" s="147"/>
      <c r="AD103" s="147"/>
      <c r="AE103" s="147"/>
      <c r="AF103" s="147"/>
      <c r="AG103" s="147"/>
      <c r="AH103" s="147"/>
      <c r="AI103" s="147"/>
      <c r="AJ103" s="147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">
      <c r="A106" s="145" t="str">
        <f>'Данные объект'!B17</f>
        <v>Русин В.А.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45"/>
      <c r="AC106" s="145"/>
      <c r="AD106" s="145"/>
      <c r="AE106" s="145"/>
      <c r="AF106" s="145"/>
      <c r="AG106" s="145"/>
      <c r="AH106" s="145"/>
      <c r="AI106" s="145"/>
      <c r="AJ106" s="145"/>
    </row>
    <row r="107" spans="1:36" s="14" customFormat="1" ht="9" customHeight="1" x14ac:dyDescent="0.15">
      <c r="A107" s="149" t="s">
        <v>35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7" t="s">
        <v>34</v>
      </c>
      <c r="AC107" s="147"/>
      <c r="AD107" s="147"/>
      <c r="AE107" s="147"/>
      <c r="AF107" s="147"/>
      <c r="AG107" s="147"/>
      <c r="AH107" s="147"/>
      <c r="AI107" s="147"/>
      <c r="AJ107" s="147"/>
    </row>
    <row r="108" spans="1:36" s="14" customFormat="1" ht="11.25" x14ac:dyDescent="0.2">
      <c r="A108" s="13" t="s">
        <v>173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87"/>
      <c r="Q108" s="87"/>
      <c r="R108" s="87"/>
      <c r="S108" s="87"/>
      <c r="T108" s="87"/>
      <c r="U108" s="88"/>
      <c r="V108" s="88"/>
      <c r="W108" s="88"/>
      <c r="X108" s="88"/>
      <c r="Y108" s="88"/>
      <c r="Z108" s="88"/>
      <c r="AA108" s="88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4" customFormat="1" ht="11.25" x14ac:dyDescent="0.2">
      <c r="A109" s="145" t="str">
        <f>'Данные объект'!$B$36</f>
        <v>Курчин М.М.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87"/>
      <c r="Q109" s="87"/>
      <c r="R109" s="87"/>
      <c r="S109" s="87"/>
      <c r="T109" s="87"/>
      <c r="U109" s="88"/>
      <c r="V109" s="88"/>
      <c r="W109" s="88"/>
      <c r="X109" s="88"/>
      <c r="Y109" s="88"/>
      <c r="Z109" s="88"/>
      <c r="AA109" s="88"/>
      <c r="AB109" s="145"/>
      <c r="AC109" s="145"/>
      <c r="AD109" s="145"/>
      <c r="AE109" s="145"/>
      <c r="AF109" s="145"/>
      <c r="AG109" s="145"/>
      <c r="AH109" s="145"/>
      <c r="AI109" s="145"/>
      <c r="AJ109" s="145"/>
    </row>
    <row r="110" spans="1:36" s="14" customFormat="1" ht="10.5" x14ac:dyDescent="0.15">
      <c r="A110" s="149" t="s">
        <v>35</v>
      </c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87"/>
      <c r="Q110" s="87"/>
      <c r="R110" s="87"/>
      <c r="S110" s="87"/>
      <c r="T110" s="87"/>
      <c r="U110" s="88"/>
      <c r="V110" s="88"/>
      <c r="W110" s="88"/>
      <c r="X110" s="88"/>
      <c r="Y110" s="88"/>
      <c r="Z110" s="88"/>
      <c r="AA110" s="88"/>
      <c r="AB110" s="147" t="s">
        <v>34</v>
      </c>
      <c r="AC110" s="147"/>
      <c r="AD110" s="147"/>
      <c r="AE110" s="147"/>
      <c r="AF110" s="147"/>
      <c r="AG110" s="147"/>
      <c r="AH110" s="147"/>
      <c r="AI110" s="147"/>
      <c r="AJ110" s="147"/>
    </row>
    <row r="111" spans="1:36" s="13" customFormat="1" ht="38.25" customHeight="1" x14ac:dyDescent="0.2">
      <c r="A111" s="141" t="s">
        <v>51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</row>
    <row r="112" spans="1:36" s="13" customFormat="1" ht="12" customHeight="1" x14ac:dyDescent="0.2">
      <c r="A112" s="145" t="s">
        <v>74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45" t="s">
        <v>74</v>
      </c>
      <c r="AC112" s="145"/>
      <c r="AD112" s="145"/>
      <c r="AE112" s="145"/>
      <c r="AF112" s="145"/>
      <c r="AG112" s="145"/>
      <c r="AH112" s="145"/>
      <c r="AI112" s="145"/>
      <c r="AJ112" s="145"/>
    </row>
    <row r="113" spans="1:36" s="14" customFormat="1" ht="9" customHeight="1" x14ac:dyDescent="0.15">
      <c r="A113" s="149" t="s">
        <v>35</v>
      </c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7" t="s">
        <v>34</v>
      </c>
      <c r="AC113" s="147"/>
      <c r="AD113" s="147"/>
      <c r="AE113" s="147"/>
      <c r="AF113" s="147"/>
      <c r="AG113" s="147"/>
      <c r="AH113" s="147"/>
      <c r="AI113" s="147"/>
      <c r="AJ113" s="147"/>
    </row>
    <row r="114" spans="1:36" s="13" customFormat="1" ht="24.75" hidden="1" customHeight="1" x14ac:dyDescent="0.2">
      <c r="A114" s="141" t="s">
        <v>53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</row>
    <row r="115" spans="1:36" s="13" customFormat="1" ht="12" hidden="1" customHeight="1" x14ac:dyDescent="0.2">
      <c r="A115" s="145" t="e">
        <f>#REF!</f>
        <v>#REF!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45"/>
      <c r="AC115" s="145"/>
      <c r="AD115" s="145"/>
      <c r="AE115" s="145"/>
      <c r="AF115" s="145"/>
      <c r="AG115" s="145"/>
      <c r="AH115" s="145"/>
      <c r="AI115" s="145"/>
      <c r="AJ115" s="145"/>
    </row>
    <row r="116" spans="1:36" s="14" customFormat="1" ht="9" hidden="1" customHeight="1" x14ac:dyDescent="0.15">
      <c r="A116" s="149" t="s">
        <v>35</v>
      </c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7" t="s">
        <v>34</v>
      </c>
      <c r="AC116" s="147"/>
      <c r="AD116" s="147"/>
      <c r="AE116" s="147"/>
      <c r="AF116" s="147"/>
      <c r="AG116" s="147"/>
      <c r="AH116" s="147"/>
      <c r="AI116" s="147"/>
      <c r="AJ116" s="147"/>
    </row>
    <row r="117" spans="1:36" ht="12" customHeight="1" x14ac:dyDescent="0.25"/>
  </sheetData>
  <mergeCells count="100">
    <mergeCell ref="A9:AJ9"/>
    <mergeCell ref="A17:AJ17"/>
    <mergeCell ref="A18:AJ18"/>
    <mergeCell ref="A19:AJ19"/>
    <mergeCell ref="A4:AJ4"/>
    <mergeCell ref="A5:AJ5"/>
    <mergeCell ref="A6:AJ6"/>
    <mergeCell ref="A7:AJ7"/>
    <mergeCell ref="A8:AJ8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37:AJ37"/>
    <mergeCell ref="A24:AJ24"/>
    <mergeCell ref="A25:AJ25"/>
    <mergeCell ref="A26:AJ26"/>
    <mergeCell ref="A27:AJ27"/>
    <mergeCell ref="A29:AJ29"/>
    <mergeCell ref="A30:AJ30"/>
    <mergeCell ref="E32:G32"/>
    <mergeCell ref="AB32:AI32"/>
    <mergeCell ref="AB33:AI33"/>
    <mergeCell ref="A35:AJ35"/>
    <mergeCell ref="A36:AJ36"/>
    <mergeCell ref="A50:AJ50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8:AJ58"/>
    <mergeCell ref="A59:AJ59"/>
    <mergeCell ref="A63:AJ63"/>
    <mergeCell ref="A51:AJ51"/>
    <mergeCell ref="A52:AJ52"/>
    <mergeCell ref="A53:AJ53"/>
    <mergeCell ref="A54:AJ54"/>
    <mergeCell ref="A55:AJ55"/>
    <mergeCell ref="A56:AJ56"/>
    <mergeCell ref="A74:AJ74"/>
    <mergeCell ref="A65:AJ65"/>
    <mergeCell ref="A66:AJ66"/>
    <mergeCell ref="P67:AJ67"/>
    <mergeCell ref="P68:AJ68"/>
    <mergeCell ref="A69:G69"/>
    <mergeCell ref="A70:AJ70"/>
    <mergeCell ref="G72:U72"/>
    <mergeCell ref="W72:AJ72"/>
    <mergeCell ref="A73:B73"/>
    <mergeCell ref="G73:AJ73"/>
    <mergeCell ref="A95:AJ95"/>
    <mergeCell ref="A75:AJ75"/>
    <mergeCell ref="P77:W77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99:O99"/>
    <mergeCell ref="AB99:AJ99"/>
    <mergeCell ref="A100:O100"/>
    <mergeCell ref="AB100:AJ100"/>
    <mergeCell ref="A102:O102"/>
    <mergeCell ref="AB102:AJ102"/>
    <mergeCell ref="A103:O103"/>
    <mergeCell ref="AB103:AJ103"/>
    <mergeCell ref="A106:O106"/>
    <mergeCell ref="AB106:AJ106"/>
    <mergeCell ref="A107:O107"/>
    <mergeCell ref="AB107:AJ107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A6CC77F-A310-4DB8-9A15-3E99CA45BE35}">
          <x14:formula1>
            <xm:f>'данные строй'!$E$3:$E$7</xm:f>
          </x14:formula1>
          <xm:sqref>Q62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10</vt:i4>
      </vt:variant>
    </vt:vector>
  </HeadingPairs>
  <TitlesOfParts>
    <vt:vector size="23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АОСР-2 (2)</vt:lpstr>
      <vt:lpstr>АОСР-3</vt:lpstr>
      <vt:lpstr>АОСР-4</vt:lpstr>
      <vt:lpstr>АОСР-4 (2)</vt:lpstr>
      <vt:lpstr>АОСР-6</vt:lpstr>
      <vt:lpstr>АОСР-5</vt:lpstr>
      <vt:lpstr>АОСР-7</vt:lpstr>
      <vt:lpstr>АОСР-пожар</vt:lpstr>
      <vt:lpstr>'АОСР-1'!Область_печати</vt:lpstr>
      <vt:lpstr>'АОСР-2'!Область_печати</vt:lpstr>
      <vt:lpstr>'АОСР-2 (2)'!Область_печати</vt:lpstr>
      <vt:lpstr>'АОСР-3'!Область_печати</vt:lpstr>
      <vt:lpstr>'АОСР-4'!Область_печати</vt:lpstr>
      <vt:lpstr>'АОСР-4 (2)'!Область_печати</vt:lpstr>
      <vt:lpstr>'АОСР-5'!Область_печати</vt:lpstr>
      <vt:lpstr>'АОСР-6'!Область_печати</vt:lpstr>
      <vt:lpstr>'АОСР-7'!Область_печати</vt:lpstr>
      <vt:lpstr>'АОСР-пожар'!Область_печати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2026-07-18T14:01:51Z</cp:lastPrinted>
  <dcterms:created xsi:type="dcterms:W3CDTF">2018-02-24T16:53:12Z</dcterms:created>
  <dcterms:modified xsi:type="dcterms:W3CDTF">2026-07-19T08:41:20Z</dcterms:modified>
</cp:coreProperties>
</file>