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B250D3CF-1113-41C1-955C-2FBFE3F91913}" xr6:coauthVersionLast="45" xr6:coauthVersionMax="45" xr10:uidLastSave="{00000000-0000-0000-0000-000000000000}"/>
  <bookViews>
    <workbookView xWindow="30612" yWindow="-108" windowWidth="30936" windowHeight="16896" activeTab="8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26" i="1"/>
  <c r="B25" i="1"/>
  <c r="B24" i="1"/>
  <c r="B23" i="1"/>
  <c r="B22" i="1"/>
  <c r="B41" i="1" l="1"/>
  <c r="B42" i="1" s="1"/>
  <c r="B43" i="1" s="1"/>
  <c r="B44" i="1" s="1"/>
  <c r="B27" i="1"/>
  <c r="B28" i="1" s="1"/>
  <c r="B29" i="1" s="1"/>
  <c r="B30" i="1" s="1"/>
  <c r="B45" i="1" l="1"/>
  <c r="B46" i="1" s="1"/>
  <c r="B31" i="1"/>
  <c r="B32" i="1" s="1"/>
  <c r="K19" i="6" l="1"/>
  <c r="B67" i="5" l="1"/>
  <c r="B19" i="6"/>
  <c r="A19" i="6"/>
  <c r="A18" i="6"/>
  <c r="A16" i="6"/>
  <c r="B47" i="1" l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3" i="1" l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<sst xmlns="http://schemas.openxmlformats.org/spreadsheetml/2006/main" count="484" uniqueCount="354">
  <si>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</si>
  <si>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</si>
  <si>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</si>
  <si>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</si>
  <si>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</si>
  <si>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</si>
  <si>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</si>
  <si>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</si>
  <si>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</si>
  <si>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</si>
  <si>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</si>
  <si>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</si>
  <si>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</si>
  <si>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</si>
  <si>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</si>
  <si>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</si>
  <si>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</si>
  <si>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</si>
  <si>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</si>
  <si>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</si>
  <si>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</si>
  <si>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</si>
  <si>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</si>
  <si>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</si>
  <si>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</si>
  <si>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</si>
  <si>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</si>
  <si>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</si>
  <si>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</si>
  <si>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</si>
  <si>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</si>
  <si>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</si>
  <si>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</si>
  <si>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</si>
  <si>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</si>
  <si>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</si>
  <si>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</si>
  <si>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</si>
  <si>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</si>
  <si>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</si>
  <si>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</si>
  <si>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</si>
  <si>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</si>
  <si>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</si>
  <si>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</si>
  <si>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</si>
  <si>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</si>
  <si>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</si>
  <si>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</si>
  <si>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</si>
  <si>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</si>
  <si>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</si>
  <si>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</si>
  <si>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</si>
  <si>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</si>
  <si>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</si>
  <si>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</si>
  <si>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</si>
  <si>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</si>
  <si>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</si>
  <si>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</si>
  <si>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</si>
  <si>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</si>
  <si>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</si>
  <si>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</si>
  <si>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</si>
  <si>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</si>
  <si>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</si>
  <si>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</si>
  <si>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</si>
  <si>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</si>
  <si>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</si>
  <si>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</si>
  <si>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</si>
  <si>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</si>
  <si>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</si>
  <si>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</si>
  <si>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</si>
  <si>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</si>
  <si>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</si>
  <si>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</si>
  <si>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</si>
  <si>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</si>
  <si>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</si>
  <si>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</si>
  <si>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</si>
  <si>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</si>
  <si>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</si>
  <si>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</si>
  <si>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</si>
  <si>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</si>
  <si>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</si>
  <si>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</si>
  <si>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</si>
  <si>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</si>
  <si>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</si>
  <si>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</si>
  <si>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</si>
  <si>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</si>
  <si>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</si>
  <si>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</si>
  <si>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</si>
  <si>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</si>
  <si>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</si>
  <si>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</si>
  <si>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</si>
  <si>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</si>
  <si>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</si>
  <si>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</si>
  <si>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</si>
  <si>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</si>
  <si>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</si>
  <si>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</si>
  <si>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</si>
  <si>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</si>
  <si>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</si>
  <si>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</si>
  <si>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</si>
  <si>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</si>
  <si>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</si>
  <si>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</si>
  <si>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</si>
  <si>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</si>
  <si>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</si>
  <si>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</si>
  <si>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</si>
  <si>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</si>
  <si>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</si>
  <si>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</si>
  <si>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</si>
  <si>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</si>
  <si>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</si>
  <si>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</si>
  <si>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</si>
  <si>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</si>
  <si>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</si>
  <si>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</si>
  <si>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</si>
  <si>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</si>
  <si>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</si>
  <si>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</si>
  <si>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</si>
  <si>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</si>
  <si>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</si>
  <si>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</si>
  <si>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</si>
  <si>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</si>
  <si>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</si>
  <si>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</si>
  <si>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</si>
  <si>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</si>
  <si>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</si>
  <si>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</si>
  <si>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</si>
  <si>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</si>
  <si>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</si>
  <si>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</si>
  <si>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</si>
  <si>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</si>
  <si>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</si>
  <si>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</si>
  <si>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</si>
  <si>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</si>
  <si>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</si>
  <si>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</si>
  <si>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</si>
  <si>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</si>
  <si>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</si>
  <si>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</si>
  <si>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</si>
  <si>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</si>
  <si>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</si>
  <si>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</si>
  <si>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</si>
  <si>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</si>
  <si>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</si>
  <si>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</si>
  <si>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</si>
  <si>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</si>
  <si>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</si>
  <si>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</si>
  <si>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</si>
  <si>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</si>
  <si>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</si>
  <si>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</si>
  <si>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</si>
  <si>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</si>
  <si>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</si>
  <si>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</si>
  <si>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</si>
  <si>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</si>
  <si>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</si>
  <si>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</si>
  <si>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</si>
  <si>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</si>
  <si>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</si>
  <si>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</si>
  <si>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</si>
  <si>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</si>
  <si>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</si>
  <si>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</si>
  <si>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</si>
  <si>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</si>
  <si>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</si>
  <si>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</si>
  <si>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</si>
  <si>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</si>
  <si>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</si>
  <si>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</si>
  <si>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</si>
  <si>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</si>
  <si>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</si>
  <si>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</si>
  <si>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</si>
  <si>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</si>
  <si>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</si>
  <si>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</si>
  <si>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</si>
  <si>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</si>
  <si>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</si>
  <si>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</si>
  <si>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</si>
  <si>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</si>
  <si>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</si>
  <si>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</si>
  <si>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</si>
  <si>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</si>
  <si>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</si>
  <si>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</si>
  <si>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</si>
  <si>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</si>
  <si>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</si>
  <si>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</si>
  <si>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</si>
  <si>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</si>
  <si>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</si>
  <si>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</si>
  <si>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</si>
  <si>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</si>
  <si>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</si>
  <si>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</si>
  <si>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</si>
  <si>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</si>
  <si>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</si>
  <si>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</si>
  <si>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</si>
  <si>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</si>
  <si>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</si>
  <si>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</si>
  <si>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</si>
  <si>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</si>
  <si>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</si>
  <si>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</si>
  <si>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</si>
  <si>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</si>
  <si>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</si>
  <si>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</si>
  <si>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</si>
  <si>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</si>
  <si>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</si>
  <si>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</si>
  <si>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</si>
  <si>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</si>
  <si>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</si>
  <si>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</si>
  <si>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</si>
  <si>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</si>
  <si>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</si>
  <si>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</si>
  <si>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</si>
  <si>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</si>
  <si>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</si>
  <si>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</si>
  <si>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</si>
  <si>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</si>
  <si>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</si>
  <si>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</si>
  <si>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</si>
  <si>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</si>
  <si>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</si>
  <si>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</si>
  <si>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</si>
  <si>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</si>
  <si>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</si>
  <si>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</si>
  <si>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</si>
  <si>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</si>
  <si>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</si>
  <si>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</si>
  <si>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</si>
  <si>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</si>
  <si>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</si>
  <si>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</si>
  <si>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</si>
  <si>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</si>
  <si>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</si>
  <si>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</si>
  <si>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</si>
  <si>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</si>
  <si>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</si>
  <si>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</si>
  <si>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</si>
  <si>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</si>
  <si>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</si>
  <si>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</si>
  <si>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</si>
  <si>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</si>
  <si>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</si>
  <si>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</si>
  <si>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</si>
  <si>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</si>
  <si>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</si>
  <si>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</si>
  <si>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</si>
  <si>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</si>
  <si>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</si>
  <si>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</si>
  <si>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</si>
  <si>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</si>
  <si>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</si>
  <si>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</si>
  <si>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</si>
  <si>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</si>
  <si>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</si>
  <si>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</si>
  <si>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</si>
  <si>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</si>
  <si>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</si>
  <si>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</si>
  <si>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</si>
  <si>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</si>
  <si>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</si>
  <si>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</si>
  <si>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</si>
  <si>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</si>
  <si>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</si>
  <si>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</si>
  <si>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</si>
  <si>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</si>
  <si>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</si>
  <si>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</si>
  <si>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</si>
  <si>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</si>
  <si>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</si>
  <si>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</si>
  <si>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</si>
  <si>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Труба F3 D160мм</t>
  </si>
  <si>
    <t>3,00-12,00</t>
  </si>
  <si>
    <t>13.04.2026</t>
  </si>
  <si>
    <t>2026</t>
  </si>
  <si>
    <t>ГНБ №8</t>
  </si>
  <si>
    <t>2х(3х41)</t>
  </si>
  <si>
    <t>С180457-325834</t>
  </si>
  <si>
    <t>Исполнительный план №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</si>
</sst>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Fill="1" applyBorder="1" applyAlignment="1">
      <alignment horizontal="left"/>
    </xf>
    <xf numFmtId="0" fontId="9" fillId="0" borderId="0" xfId="2" applyFont="1" applyAlignment="1">
      <alignment horizontal="left" vertical="center" wrapText="1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11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left" wrapText="1"/>
    </xf>
    <xf numFmtId="0" fontId="11" fillId="0" borderId="2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Alignment="1">
      <alignment horizontal="right" vertical="top" wrapText="1"/>
    </xf>
    <xf numFmtId="0" fontId="9" fillId="0" borderId="0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5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vertical="top" wrapText="1"/>
    </xf>
    <xf numFmtId="164" fontId="11" fillId="0" borderId="2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wrapText="1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274</v>
      </c>
      <c r="B1" s="135"/>
      <c r="C1" s="136" t="s">
        <v>236</v>
      </c>
      <c r="D1" s="136" t="s">
        <v>275</v>
      </c>
      <c r="E1" s="137"/>
      <c r="F1" s="175" t="s">
        <v>276</v>
      </c>
      <c r="G1" s="175"/>
    </row>
    <row r="2" spans="1:7" ht="28.8" x14ac:dyDescent="0.3">
      <c r="A2" s="139" t="s">
        <v>277</v>
      </c>
      <c r="B2" s="139"/>
      <c r="C2" s="140" t="s">
        <v>278</v>
      </c>
      <c r="D2" s="140" t="s">
        <v>279</v>
      </c>
      <c r="E2" s="141"/>
      <c r="F2" s="176" t="s">
        <v>258</v>
      </c>
      <c r="G2" s="177"/>
    </row>
    <row r="3" spans="1:7" ht="63" customHeight="1" x14ac:dyDescent="0.3">
      <c r="A3" s="142" t="s">
        <v>280</v>
      </c>
      <c r="B3" s="142"/>
      <c r="C3" s="143" t="s">
        <v>281</v>
      </c>
      <c r="D3" s="143" t="s">
        <v>282</v>
      </c>
      <c r="E3" s="144"/>
      <c r="F3" s="178" t="s">
        <v>283</v>
      </c>
      <c r="G3" s="179"/>
    </row>
    <row r="4" spans="1:7" x14ac:dyDescent="0.3">
      <c r="A4" s="139" t="s">
        <v>284</v>
      </c>
      <c r="B4" s="139"/>
      <c r="C4" s="140"/>
      <c r="D4" s="140"/>
      <c r="E4" s="140"/>
      <c r="F4" s="140" t="s">
        <v>285</v>
      </c>
      <c r="G4" s="140" t="s">
        <v>286</v>
      </c>
    </row>
    <row r="5" spans="1:7" x14ac:dyDescent="0.3">
      <c r="A5" s="142"/>
      <c r="B5" s="142"/>
      <c r="C5" s="143"/>
      <c r="D5" s="143"/>
      <c r="E5" s="143"/>
      <c r="F5" s="143" t="s">
        <v>287</v>
      </c>
      <c r="G5" s="143" t="s">
        <v>288</v>
      </c>
    </row>
    <row r="6" spans="1:7" x14ac:dyDescent="0.3">
      <c r="A6" s="139" t="s">
        <v>289</v>
      </c>
      <c r="B6" s="139"/>
      <c r="C6" s="140" t="s">
        <v>290</v>
      </c>
      <c r="D6" s="140" t="s">
        <v>291</v>
      </c>
      <c r="E6" s="140"/>
      <c r="F6" s="140" t="s">
        <v>292</v>
      </c>
      <c r="G6" s="140" t="s">
        <v>293</v>
      </c>
    </row>
    <row r="7" spans="1:7" x14ac:dyDescent="0.3">
      <c r="A7" s="142" t="s">
        <v>294</v>
      </c>
      <c r="B7" s="142"/>
      <c r="C7" s="143" t="s">
        <v>295</v>
      </c>
      <c r="D7" s="143" t="s">
        <v>296</v>
      </c>
      <c r="E7" s="143"/>
      <c r="F7" s="143" t="s">
        <v>297</v>
      </c>
      <c r="G7" s="143" t="s">
        <v>298</v>
      </c>
    </row>
    <row r="8" spans="1:7" ht="28.8" x14ac:dyDescent="0.3">
      <c r="A8" s="139" t="s">
        <v>299</v>
      </c>
      <c r="B8" s="140" t="s">
        <v>247</v>
      </c>
      <c r="C8" s="140" t="s">
        <v>247</v>
      </c>
      <c r="D8" s="140" t="s">
        <v>300</v>
      </c>
      <c r="E8" s="140"/>
      <c r="F8" s="169" t="s">
        <v>301</v>
      </c>
      <c r="G8" s="169" t="s">
        <v>301</v>
      </c>
    </row>
    <row r="9" spans="1:7" ht="28.8" x14ac:dyDescent="0.3">
      <c r="A9" s="142" t="s">
        <v>302</v>
      </c>
      <c r="B9" s="143" t="s">
        <v>303</v>
      </c>
      <c r="C9" s="168" t="s">
        <v>303</v>
      </c>
      <c r="D9" s="143" t="s">
        <v>304</v>
      </c>
      <c r="E9" s="143"/>
      <c r="F9" s="170" t="s">
        <v>335</v>
      </c>
      <c r="G9" s="170" t="s">
        <v>340</v>
      </c>
    </row>
    <row r="10" spans="1:7" x14ac:dyDescent="0.3">
      <c r="A10" s="139" t="s">
        <v>305</v>
      </c>
      <c r="B10" s="140" t="s">
        <v>306</v>
      </c>
      <c r="C10" s="167" t="s">
        <v>306</v>
      </c>
      <c r="D10" s="140" t="s">
        <v>307</v>
      </c>
      <c r="E10" s="140"/>
      <c r="F10" s="169" t="s">
        <v>336</v>
      </c>
      <c r="G10" s="169" t="s">
        <v>334</v>
      </c>
    </row>
    <row r="11" spans="1:7" x14ac:dyDescent="0.3">
      <c r="A11" s="142" t="s">
        <v>308</v>
      </c>
      <c r="B11" s="142"/>
      <c r="C11" s="143"/>
      <c r="D11" s="143"/>
      <c r="E11" s="143"/>
      <c r="F11" s="171" t="s">
        <v>337</v>
      </c>
      <c r="G11" s="143" t="s">
        <v>309</v>
      </c>
    </row>
    <row r="12" spans="1:7" x14ac:dyDescent="0.3">
      <c r="A12" s="139" t="s">
        <v>310</v>
      </c>
      <c r="B12" s="139"/>
      <c r="C12" s="140"/>
      <c r="D12" s="140"/>
      <c r="E12" s="140"/>
      <c r="F12" s="172" t="s">
        <v>336</v>
      </c>
      <c r="G12" s="140"/>
    </row>
    <row r="13" spans="1:7" x14ac:dyDescent="0.3">
      <c r="A13" s="139" t="s">
        <v>311</v>
      </c>
      <c r="B13" s="139"/>
      <c r="C13" s="140" t="s">
        <v>311</v>
      </c>
      <c r="D13" s="140" t="s">
        <v>311</v>
      </c>
      <c r="E13" s="140"/>
      <c r="F13" s="140"/>
      <c r="G13" s="140"/>
    </row>
    <row r="14" spans="1:7" x14ac:dyDescent="0.3">
      <c r="A14" s="142" t="s">
        <v>312</v>
      </c>
      <c r="B14" s="142"/>
      <c r="C14" s="143" t="s">
        <v>313</v>
      </c>
      <c r="D14" s="143" t="s">
        <v>313</v>
      </c>
      <c r="E14" s="143"/>
      <c r="F14" s="171" t="s">
        <v>337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336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314</v>
      </c>
      <c r="E18" s="143"/>
      <c r="F18" s="143"/>
      <c r="G18" s="143"/>
    </row>
    <row r="19" spans="1:7" x14ac:dyDescent="0.3">
      <c r="A19" s="139" t="s">
        <v>315</v>
      </c>
      <c r="B19" s="139"/>
      <c r="C19" s="140" t="s">
        <v>246</v>
      </c>
      <c r="D19" s="140" t="s">
        <v>316</v>
      </c>
      <c r="E19" s="140"/>
      <c r="F19" s="140"/>
      <c r="G19" s="140"/>
    </row>
    <row r="20" spans="1:7" x14ac:dyDescent="0.3">
      <c r="A20" s="142" t="s">
        <v>317</v>
      </c>
      <c r="B20" s="142"/>
      <c r="C20" s="143" t="s">
        <v>240</v>
      </c>
      <c r="D20" s="143" t="s">
        <v>318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319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319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opLeftCell="A7" workbookViewId="0">
      <selection activeCell="G29" sqref="G29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338</v>
      </c>
      <c r="C1" s="183" t="s">
        <v>230</v>
      </c>
      <c r="D1" s="183"/>
      <c r="E1" s="184" t="s">
        <v>352</v>
      </c>
      <c r="F1" s="184"/>
    </row>
    <row r="2" spans="1:8" ht="15.75" customHeight="1" x14ac:dyDescent="0.3">
      <c r="A2" s="134" t="s">
        <v>231</v>
      </c>
      <c r="B2" s="49" t="s">
        <v>285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339</v>
      </c>
    </row>
    <row r="4" spans="1:8" x14ac:dyDescent="0.3">
      <c r="A4" s="134" t="s">
        <v>255</v>
      </c>
      <c r="B4" s="75" t="s">
        <v>348</v>
      </c>
    </row>
    <row r="5" spans="1:8" x14ac:dyDescent="0.3">
      <c r="A5" s="133" t="s">
        <v>320</v>
      </c>
      <c r="B5" s="74" t="s">
        <v>349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321</v>
      </c>
      <c r="B8" s="153" t="s">
        <v>278</v>
      </c>
    </row>
    <row r="9" spans="1:8" ht="25.5" customHeight="1" x14ac:dyDescent="0.3">
      <c r="A9" s="157" t="s">
        <v>232</v>
      </c>
      <c r="B9" s="153" t="s">
        <v>281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322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306</v>
      </c>
      <c r="H14" s="6"/>
    </row>
    <row r="15" spans="1:8" x14ac:dyDescent="0.3">
      <c r="A15" s="134" t="s">
        <v>322</v>
      </c>
      <c r="B15" s="153" t="s">
        <v>303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321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301</v>
      </c>
    </row>
    <row r="27" spans="1:8" x14ac:dyDescent="0.3">
      <c r="A27" s="48" t="s">
        <v>239</v>
      </c>
      <c r="B27" s="49" t="s">
        <v>334</v>
      </c>
    </row>
    <row r="28" spans="1:8" x14ac:dyDescent="0.3">
      <c r="A28" s="48" t="s">
        <v>322</v>
      </c>
      <c r="B28" s="49" t="s">
        <v>340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327</v>
      </c>
      <c r="B33" s="55" t="s">
        <v>341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350</v>
      </c>
    </row>
    <row r="37" spans="1:2" x14ac:dyDescent="0.3">
      <c r="A37" s="131" t="s">
        <v>273</v>
      </c>
      <c r="B37" s="132">
        <v>8</v>
      </c>
    </row>
    <row r="38" spans="1:2" x14ac:dyDescent="0.3">
      <c r="A38" s="131" t="s">
        <v>331</v>
      </c>
      <c r="B38" s="132">
        <v>288</v>
      </c>
    </row>
    <row r="39" spans="1:2" x14ac:dyDescent="0.3">
      <c r="A39" s="131" t="s">
        <v>330</v>
      </c>
      <c r="B39" s="132" t="s">
        <v>351</v>
      </c>
    </row>
    <row r="40" spans="1:2" x14ac:dyDescent="0.3">
      <c r="A40" s="131" t="s">
        <v>329</v>
      </c>
      <c r="B40" s="132">
        <v>6</v>
      </c>
    </row>
    <row r="41" spans="1:2" x14ac:dyDescent="0.3">
      <c r="A41" s="131" t="s">
        <v>328</v>
      </c>
      <c r="B41" s="132" t="s">
        <v>332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88" zoomScale="130" zoomScaleNormal="125" zoomScaleSheetLayoutView="130" workbookViewId="0">
      <selection activeCell="AQ88" sqref="AQ88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21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</row>
    <row r="5" spans="1:43" s="30" customFormat="1" ht="12" customHeight="1" x14ac:dyDescent="0.2">
      <c r="A5" s="214" t="str">
        <f>'Данные '!B36</f>
        <v>ГНБ №8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</row>
    <row r="6" spans="1:43" s="33" customFormat="1" ht="18.75" customHeight="1" x14ac:dyDescent="0.15">
      <c r="A6" s="191" t="s">
        <v>146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</row>
    <row r="7" spans="1:43" s="30" customFormat="1" ht="12.75" customHeight="1" x14ac:dyDescent="0.2">
      <c r="A7" s="215" t="s">
        <v>147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43" s="30" customFormat="1" ht="12" customHeight="1" x14ac:dyDescent="0.2">
      <c r="A8" s="214" t="str">
        <f>'Данные '!B23</f>
        <v>ПАО "Россети Московский регион"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spans="1:43" s="33" customFormat="1" ht="19.5" customHeight="1" x14ac:dyDescent="0.15">
      <c r="A9" s="191" t="s">
        <v>148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</row>
    <row r="10" spans="1:43" s="30" customFormat="1" ht="12" customHeight="1" x14ac:dyDescent="0.2">
      <c r="A10" s="214" t="str">
        <f>'Данные '!B24</f>
        <v>ОГРН 1057746555811 ИНН 5036065113 КПП 772501001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</row>
    <row r="11" spans="1:43" s="33" customFormat="1" ht="28.5" customHeight="1" x14ac:dyDescent="0.15">
      <c r="A11" s="191" t="s">
        <v>149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</row>
    <row r="12" spans="1:43" s="30" customFormat="1" ht="12" customHeight="1" x14ac:dyDescent="0.2">
      <c r="A12" s="214" t="str">
        <f>'Данные '!B25</f>
        <v>115114, город Москва, проезд Павелецкий 2-й, дом 3, строение 2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</row>
    <row r="13" spans="1:43" s="33" customFormat="1" ht="11.25" customHeight="1" x14ac:dyDescent="0.15">
      <c r="A13" s="191" t="s">
        <v>150</v>
      </c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214" t="str">
        <f>'Данные '!B7</f>
        <v>ООО "Энергосистемы"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spans="1:43" s="33" customFormat="1" ht="9.75" customHeight="1" x14ac:dyDescent="0.15">
      <c r="A16" s="191" t="s">
        <v>152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</row>
    <row r="17" spans="1:36" s="30" customFormat="1" ht="12" customHeight="1" x14ac:dyDescent="0.2">
      <c r="A17" s="214" t="str">
        <f>'Данные '!B8</f>
        <v>ОГРН 1135044003709  ИНН 5044089069 КПП 504401001</v>
      </c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</row>
    <row r="18" spans="1:36" s="33" customFormat="1" ht="8.25" customHeight="1" x14ac:dyDescent="0.15">
      <c r="A18" s="191" t="s">
        <v>153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</row>
    <row r="19" spans="1:36" s="30" customFormat="1" ht="12" customHeight="1" x14ac:dyDescent="0.2">
      <c r="A19" s="214" t="str">
        <f>'Данные '!B9</f>
        <v>141508, Московская область, г.о. Солнечногорск, г. Солнечногорск, ул. Промышленная, стр. 5, помещение 179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spans="1:36" s="33" customFormat="1" ht="27" customHeight="1" x14ac:dyDescent="0.15">
      <c r="A20" s="191" t="s">
        <v>154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214" t="str">
        <f>'Данные '!B7</f>
        <v>ООО "Энергосистемы"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36" s="33" customFormat="1" ht="7.5" customHeight="1" x14ac:dyDescent="0.15">
      <c r="A23" s="198" t="s">
        <v>152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</row>
    <row r="24" spans="1:36" s="30" customFormat="1" ht="12" customHeight="1" x14ac:dyDescent="0.2">
      <c r="A24" s="209" t="str">
        <f>'Данные '!B8</f>
        <v>ОГРН 1135044003709  ИНН 5044089069 КПП 504401001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</row>
    <row r="25" spans="1:36" s="33" customFormat="1" ht="7.5" customHeight="1" x14ac:dyDescent="0.15">
      <c r="A25" s="198" t="s">
        <v>156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</row>
    <row r="26" spans="1:36" s="30" customFormat="1" ht="12" customHeight="1" x14ac:dyDescent="0.2">
      <c r="A26" s="209" t="str">
        <f>'Данные '!B9</f>
        <v>141508, Московская область, г.о. Солнечногорск, г. Солнечногорск, ул. Промышленная, стр. 5, помещение 179</v>
      </c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</row>
    <row r="27" spans="1:36" s="33" customFormat="1" ht="22.5" customHeight="1" x14ac:dyDescent="0.15">
      <c r="A27" s="198" t="s">
        <v>157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211" t="s">
        <v>158</v>
      </c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</row>
    <row r="30" spans="1:36" s="30" customFormat="1" ht="12.9" customHeight="1" x14ac:dyDescent="0.2">
      <c r="A30" s="212" t="s">
        <v>159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193">
        <f>'Данные '!B37</f>
        <v>8</v>
      </c>
      <c r="N32" s="193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13" t="str">
        <f>M76</f>
        <v>13.04.2026</v>
      </c>
      <c r="AA32" s="213"/>
      <c r="AB32" s="213"/>
      <c r="AC32" s="213"/>
      <c r="AD32" s="213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210" t="s">
        <v>161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</row>
    <row r="36" spans="1:52" s="30" customFormat="1" ht="14.25" customHeight="1" x14ac:dyDescent="0.2">
      <c r="A36" s="194" t="str">
        <f>'Данные '!H23</f>
        <v>Гл. специалист ССК УКС Алексанян Г.Р. Приказ №2363 от 29 июля 2025г (НРС С-50-069023)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</row>
    <row r="37" spans="1:52" s="33" customFormat="1" ht="28.5" customHeight="1" x14ac:dyDescent="0.15">
      <c r="A37" s="198" t="s">
        <v>162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</row>
    <row r="38" spans="1:52" s="30" customFormat="1" ht="21.75" customHeight="1" x14ac:dyDescent="0.2">
      <c r="A38" s="194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</row>
    <row r="39" spans="1:52" s="33" customFormat="1" ht="25.5" customHeight="1" x14ac:dyDescent="0.2">
      <c r="A39" s="208" t="s">
        <v>163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209" t="str">
        <f>'Данные '!H10</f>
        <v>Прораб ООО "Энергосистемы" Волков М.Ю., Приказ №05-ОТ/24 от 09 января 2024г</v>
      </c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</row>
    <row r="42" spans="1:52" s="33" customFormat="1" ht="9" customHeight="1" x14ac:dyDescent="0.15">
      <c r="A42" s="198" t="s">
        <v>165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spans="1:52" s="30" customFormat="1" ht="17.25" customHeight="1" x14ac:dyDescent="0.2">
      <c r="A43" s="210" t="s">
        <v>166</v>
      </c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</row>
    <row r="44" spans="1:52" s="35" customFormat="1" ht="23.25" customHeight="1" x14ac:dyDescent="0.3">
      <c r="A44" s="194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</row>
    <row r="45" spans="1:52" s="33" customFormat="1" ht="30" customHeight="1" x14ac:dyDescent="0.15">
      <c r="A45" s="198" t="s">
        <v>167</v>
      </c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  <row r="46" spans="1:52" s="30" customFormat="1" ht="35.25" customHeight="1" x14ac:dyDescent="0.2">
      <c r="A46" s="207" t="s">
        <v>168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</row>
    <row r="47" spans="1:52" s="35" customFormat="1" ht="12.9" customHeight="1" x14ac:dyDescent="0.3">
      <c r="A47" s="209" t="s">
        <v>197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</row>
    <row r="48" spans="1:52" s="33" customFormat="1" ht="29.25" customHeight="1" x14ac:dyDescent="0.15">
      <c r="A48" s="198" t="s">
        <v>169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</row>
    <row r="49" spans="1:36" s="30" customFormat="1" ht="25.5" customHeight="1" x14ac:dyDescent="0.2">
      <c r="A49" s="207" t="s">
        <v>170</v>
      </c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</row>
    <row r="50" spans="1:36" s="30" customFormat="1" ht="12" customHeight="1" x14ac:dyDescent="0.2">
      <c r="A50" s="194" t="str">
        <f>CONCATENATE('Данные '!B18, " ",'Данные '!B17," ",'Данные '!B19)</f>
        <v>Гл.инженер ООО «КСС Регион» Сигарев А.А.</v>
      </c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</row>
    <row r="51" spans="1:36" s="33" customFormat="1" ht="9.75" customHeight="1" x14ac:dyDescent="0.15">
      <c r="A51" s="198" t="s">
        <v>171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</row>
    <row r="52" spans="1:36" s="30" customFormat="1" ht="12" customHeight="1" x14ac:dyDescent="0.2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</row>
    <row r="53" spans="1:36" s="33" customFormat="1" ht="16.5" customHeight="1" x14ac:dyDescent="0.15">
      <c r="A53" s="198" t="s">
        <v>172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0" t="str">
        <f>'Данные '!B17</f>
        <v>ООО «КСС Регион»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</row>
    <row r="56" spans="1:36" s="33" customFormat="1" ht="10.5" customHeight="1" x14ac:dyDescent="0.15">
      <c r="A56" s="202" t="s">
        <v>174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4">
        <f>M32</f>
        <v>8</v>
      </c>
      <c r="N59" s="194"/>
      <c r="O59" s="194"/>
      <c r="P59" s="111" t="s">
        <v>207</v>
      </c>
      <c r="Q59" s="112"/>
      <c r="R59" s="112"/>
      <c r="S59" s="112"/>
      <c r="T59" s="112"/>
      <c r="U59" s="195" t="s">
        <v>345</v>
      </c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</row>
    <row r="60" spans="1:36" s="33" customFormat="1" ht="8.25" customHeight="1" x14ac:dyDescent="0.15">
      <c r="A60" s="198" t="s">
        <v>177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4" t="str">
        <f>'Данные '!B33</f>
        <v>4980-325834-217-09/24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</row>
    <row r="63" spans="1:36" s="33" customFormat="1" ht="15" customHeight="1" x14ac:dyDescent="0.15">
      <c r="A63" s="198" t="s">
        <v>179</v>
      </c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195" t="s">
        <v>209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</row>
    <row r="67" spans="1:36" s="30" customFormat="1" ht="12" customHeight="1" x14ac:dyDescent="0.2">
      <c r="A67" s="116" t="s">
        <v>263</v>
      </c>
      <c r="B67" s="116" t="s">
        <v>346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3">
        <f>'Данные '!B38</f>
        <v>288</v>
      </c>
      <c r="O67" s="203"/>
      <c r="P67" s="203"/>
      <c r="Q67" s="203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8" t="s">
        <v>208</v>
      </c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196" t="s">
        <v>210</v>
      </c>
      <c r="H70" s="196"/>
      <c r="I70" s="196"/>
      <c r="J70" s="196"/>
      <c r="K70" s="196"/>
      <c r="L70" s="196"/>
      <c r="M70" s="196"/>
      <c r="N70" s="196"/>
      <c r="O70" s="196"/>
      <c r="P70" s="200">
        <f>'Данные '!B37</f>
        <v>8</v>
      </c>
      <c r="Q70" s="200"/>
      <c r="R70" s="200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4"/>
      <c r="B71" s="204"/>
      <c r="C71" s="117"/>
      <c r="D71" s="117"/>
      <c r="E71" s="117"/>
      <c r="F71" s="117"/>
      <c r="G71" s="199" t="s">
        <v>183</v>
      </c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</row>
    <row r="72" spans="1:36" s="30" customFormat="1" ht="12" customHeight="1" x14ac:dyDescent="0.25">
      <c r="A72" s="196" t="s">
        <v>353</v>
      </c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</row>
    <row r="73" spans="1:36" s="33" customFormat="1" ht="7.5" customHeight="1" x14ac:dyDescent="0.15">
      <c r="A73" s="198" t="s">
        <v>184</v>
      </c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6" t="str">
        <f>'Данные '!B4</f>
        <v>13.04.2026</v>
      </c>
      <c r="N75" s="206"/>
      <c r="O75" s="206"/>
      <c r="P75" s="206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5" t="str">
        <f>'Данные '!B4</f>
        <v>13.04.2026</v>
      </c>
      <c r="N76" s="205"/>
      <c r="O76" s="205"/>
      <c r="P76" s="205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196" t="s">
        <v>257</v>
      </c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</row>
    <row r="80" spans="1:36" s="33" customFormat="1" ht="8.25" customHeight="1" x14ac:dyDescent="0.15">
      <c r="A80" s="198" t="s">
        <v>188</v>
      </c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</row>
    <row r="81" spans="1:36" s="30" customFormat="1" ht="12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</row>
    <row r="82" spans="1:36" s="33" customFormat="1" ht="8.25" customHeight="1" x14ac:dyDescent="0.15">
      <c r="A82" s="198" t="s">
        <v>189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</row>
    <row r="85" spans="1:36" s="33" customFormat="1" ht="9" customHeight="1" x14ac:dyDescent="0.15">
      <c r="A85" s="198" t="s">
        <v>191</v>
      </c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0"/>
      <c r="I88" s="200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196" t="s">
        <v>211</v>
      </c>
      <c r="C91" s="196"/>
      <c r="D91" s="196"/>
      <c r="E91" s="196"/>
      <c r="F91" s="196"/>
      <c r="G91" s="196"/>
      <c r="H91" s="196"/>
      <c r="I91" s="200">
        <f>M32</f>
        <v>8</v>
      </c>
      <c r="J91" s="200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1">
        <f>I91</f>
        <v>8</v>
      </c>
      <c r="S92" s="201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1">
        <f>I91</f>
        <v>8</v>
      </c>
      <c r="K93" s="201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8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265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266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267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268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269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91" t="s">
        <v>198</v>
      </c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188" t="str">
        <f>'Данные '!B27</f>
        <v>Алексанян Г.Р.</v>
      </c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8"/>
      <c r="AC108" s="188"/>
      <c r="AD108" s="188"/>
      <c r="AE108" s="188"/>
      <c r="AF108" s="188"/>
      <c r="AG108" s="188"/>
      <c r="AH108" s="188"/>
      <c r="AI108" s="188"/>
      <c r="AJ108" s="188"/>
    </row>
    <row r="109" spans="1:36" s="33" customFormat="1" ht="9" customHeight="1" x14ac:dyDescent="0.15">
      <c r="A109" s="189" t="s">
        <v>201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190" t="s">
        <v>48</v>
      </c>
      <c r="AC109" s="190"/>
      <c r="AD109" s="190"/>
      <c r="AE109" s="190"/>
      <c r="AF109" s="190"/>
      <c r="AG109" s="190"/>
      <c r="AH109" s="190"/>
      <c r="AI109" s="190"/>
      <c r="AJ109" s="190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188" t="str">
        <f>'Данные '!B11</f>
        <v>Волков М.Ю.</v>
      </c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8"/>
      <c r="AC111" s="188"/>
      <c r="AD111" s="188"/>
      <c r="AE111" s="188"/>
      <c r="AF111" s="188"/>
      <c r="AG111" s="188"/>
      <c r="AH111" s="188"/>
      <c r="AI111" s="188"/>
      <c r="AJ111" s="188"/>
    </row>
    <row r="112" spans="1:36" s="33" customFormat="1" ht="9" customHeight="1" x14ac:dyDescent="0.15">
      <c r="A112" s="189" t="s">
        <v>201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190" t="s">
        <v>48</v>
      </c>
      <c r="AC112" s="190"/>
      <c r="AD112" s="190"/>
      <c r="AE112" s="190"/>
      <c r="AF112" s="190"/>
      <c r="AG112" s="190"/>
      <c r="AH112" s="190"/>
      <c r="AI112" s="190"/>
      <c r="AJ112" s="190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188" t="str">
        <f>'Данные '!B14</f>
        <v>Русин В.А.</v>
      </c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8"/>
      <c r="AC115" s="188"/>
      <c r="AD115" s="188"/>
      <c r="AE115" s="188"/>
      <c r="AF115" s="188"/>
      <c r="AG115" s="188"/>
      <c r="AH115" s="188"/>
      <c r="AI115" s="188"/>
      <c r="AJ115" s="188"/>
    </row>
    <row r="116" spans="1:36" s="33" customFormat="1" ht="9" customHeight="1" x14ac:dyDescent="0.15">
      <c r="A116" s="189" t="s">
        <v>201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190" t="s">
        <v>48</v>
      </c>
      <c r="AC116" s="190"/>
      <c r="AD116" s="190"/>
      <c r="AE116" s="190"/>
      <c r="AF116" s="190"/>
      <c r="AG116" s="190"/>
      <c r="AH116" s="190"/>
      <c r="AI116" s="190"/>
      <c r="AJ116" s="190"/>
    </row>
    <row r="117" spans="1:36" s="30" customFormat="1" ht="38.25" customHeight="1" x14ac:dyDescent="0.2">
      <c r="A117" s="197" t="s">
        <v>168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</row>
    <row r="118" spans="1:36" s="30" customFormat="1" ht="12" customHeight="1" x14ac:dyDescent="0.25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8"/>
      <c r="AC118" s="188"/>
      <c r="AD118" s="188"/>
      <c r="AE118" s="188"/>
      <c r="AF118" s="188"/>
      <c r="AG118" s="188"/>
      <c r="AH118" s="188"/>
      <c r="AI118" s="188"/>
      <c r="AJ118" s="188"/>
    </row>
    <row r="119" spans="1:36" s="33" customFormat="1" ht="9" customHeight="1" x14ac:dyDescent="0.15">
      <c r="A119" s="189" t="s">
        <v>201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190" t="s">
        <v>48</v>
      </c>
      <c r="AC119" s="190"/>
      <c r="AD119" s="190"/>
      <c r="AE119" s="190"/>
      <c r="AF119" s="190"/>
      <c r="AG119" s="190"/>
      <c r="AH119" s="190"/>
      <c r="AI119" s="190"/>
      <c r="AJ119" s="190"/>
    </row>
    <row r="120" spans="1:36" s="30" customFormat="1" ht="24.75" customHeight="1" x14ac:dyDescent="0.2">
      <c r="A120" s="197" t="s">
        <v>170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</row>
    <row r="121" spans="1:36" s="30" customFormat="1" ht="12" customHeight="1" x14ac:dyDescent="0.25">
      <c r="A121" s="188" t="str">
        <f>'Данные '!B19</f>
        <v>Сигарев А.А.</v>
      </c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8"/>
      <c r="AC121" s="188"/>
      <c r="AD121" s="188"/>
      <c r="AE121" s="188"/>
      <c r="AF121" s="188"/>
      <c r="AG121" s="188"/>
      <c r="AH121" s="188"/>
      <c r="AI121" s="188"/>
      <c r="AJ121" s="188"/>
    </row>
    <row r="122" spans="1:36" s="33" customFormat="1" ht="9" customHeight="1" x14ac:dyDescent="0.15">
      <c r="A122" s="189" t="s">
        <v>201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190" t="s">
        <v>48</v>
      </c>
      <c r="AC122" s="190"/>
      <c r="AD122" s="190"/>
      <c r="AE122" s="190"/>
      <c r="AF122" s="190"/>
      <c r="AG122" s="190"/>
      <c r="AH122" s="190"/>
      <c r="AI122" s="190"/>
      <c r="AJ122" s="190"/>
    </row>
    <row r="123" spans="1:36" ht="12" customHeight="1" x14ac:dyDescent="0.25"/>
  </sheetData>
  <mergeCells count="97">
    <mergeCell ref="A7:AJ7"/>
    <mergeCell ref="A20:AJ20"/>
    <mergeCell ref="A4:AJ4"/>
    <mergeCell ref="A5:AJ5"/>
    <mergeCell ref="A6:AJ6"/>
    <mergeCell ref="A8:AJ8"/>
    <mergeCell ref="A9:AJ9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68:AJ68"/>
    <mergeCell ref="P70:R70"/>
    <mergeCell ref="A60:AJ60"/>
    <mergeCell ref="A62:AJ62"/>
    <mergeCell ref="A63:AJ63"/>
    <mergeCell ref="A50:AJ50"/>
    <mergeCell ref="A51:AJ51"/>
    <mergeCell ref="A52:AJ52"/>
    <mergeCell ref="A53:AJ53"/>
    <mergeCell ref="A55:AJ55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82:AJ82"/>
    <mergeCell ref="A84:AJ84"/>
    <mergeCell ref="A85:AJ85"/>
    <mergeCell ref="L86:AJ86"/>
    <mergeCell ref="H88:I88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7" zoomScale="90" zoomScaleNormal="100" zoomScaleSheetLayoutView="90" workbookViewId="0">
      <selection activeCell="I22" sqref="I22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34" t="s">
        <v>8</v>
      </c>
      <c r="B1" s="235"/>
      <c r="C1" s="235"/>
      <c r="D1" s="235"/>
      <c r="E1" s="235"/>
    </row>
    <row r="2" spans="1:5" x14ac:dyDescent="0.3">
      <c r="A2" s="234" t="s">
        <v>9</v>
      </c>
      <c r="B2" s="235"/>
      <c r="C2" s="235"/>
      <c r="D2" s="235"/>
      <c r="E2" s="235"/>
    </row>
    <row r="4" spans="1:5" ht="30" customHeight="1" x14ac:dyDescent="0.3">
      <c r="A4" s="236" t="s">
        <v>264</v>
      </c>
      <c r="B4" s="235"/>
      <c r="C4" s="235"/>
      <c r="D4" s="235"/>
      <c r="E4" s="235"/>
    </row>
    <row r="6" spans="1:5" ht="45" customHeight="1" x14ac:dyDescent="0.3">
      <c r="A6" s="217" t="s">
        <v>3</v>
      </c>
      <c r="B6" s="217"/>
      <c r="C6" s="217"/>
      <c r="D6" s="218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18"/>
    </row>
    <row r="7" spans="1:5" ht="93.75" customHeight="1" x14ac:dyDescent="0.3">
      <c r="A7" s="217" t="s">
        <v>4</v>
      </c>
      <c r="B7" s="217"/>
      <c r="C7" s="217"/>
      <c r="D7" s="218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18"/>
    </row>
    <row r="8" spans="1:5" ht="48.75" customHeight="1" x14ac:dyDescent="0.3">
      <c r="A8" s="217" t="s">
        <v>5</v>
      </c>
      <c r="B8" s="217"/>
      <c r="C8" s="217"/>
      <c r="D8" s="218" t="str">
        <f>'Данные '!B3</f>
        <v>МО, Солнечногорский р-н, д. Ложки</v>
      </c>
      <c r="E8" s="218"/>
    </row>
    <row r="9" spans="1:5" ht="47.25" customHeight="1" x14ac:dyDescent="0.3">
      <c r="A9" s="217" t="s">
        <v>6</v>
      </c>
      <c r="B9" s="217"/>
      <c r="C9" s="217"/>
      <c r="D9" s="218" t="str">
        <f>'Данные '!B36</f>
        <v>ГНБ №8</v>
      </c>
      <c r="E9" s="218"/>
    </row>
    <row r="10" spans="1:5" ht="49.5" customHeight="1" x14ac:dyDescent="0.3">
      <c r="A10" s="217" t="s">
        <v>7</v>
      </c>
      <c r="B10" s="217"/>
      <c r="C10" s="217"/>
      <c r="D10" s="219" t="str">
        <f>'АОСР-1'!B67</f>
        <v>Труба F3 D160мм</v>
      </c>
      <c r="E10" s="219"/>
    </row>
    <row r="11" spans="1:5" ht="29.25" customHeight="1" x14ac:dyDescent="0.3">
      <c r="A11" s="220" t="s">
        <v>10</v>
      </c>
      <c r="B11" s="220"/>
      <c r="C11" s="220"/>
      <c r="D11" s="218" t="s">
        <v>344</v>
      </c>
      <c r="E11" s="218"/>
    </row>
    <row r="12" spans="1:5" ht="24" customHeight="1" x14ac:dyDescent="0.3">
      <c r="A12" s="220" t="s">
        <v>11</v>
      </c>
      <c r="B12" s="220"/>
      <c r="C12" s="220"/>
      <c r="D12" s="225" t="s">
        <v>347</v>
      </c>
      <c r="E12" s="225"/>
    </row>
    <row r="13" spans="1:5" ht="33.75" customHeight="1" x14ac:dyDescent="0.3">
      <c r="A13" s="220" t="s">
        <v>12</v>
      </c>
      <c r="B13" s="220"/>
      <c r="C13" s="220"/>
      <c r="D13" s="218" t="s">
        <v>248</v>
      </c>
      <c r="E13" s="218"/>
    </row>
    <row r="14" spans="1:5" ht="32.25" customHeight="1" x14ac:dyDescent="0.3">
      <c r="A14" s="220" t="s">
        <v>13</v>
      </c>
      <c r="B14" s="220"/>
      <c r="C14" s="220"/>
      <c r="D14" s="218" t="s">
        <v>270</v>
      </c>
      <c r="E14" s="218"/>
    </row>
    <row r="15" spans="1:5" ht="30" customHeight="1" x14ac:dyDescent="0.3">
      <c r="A15" s="220" t="s">
        <v>14</v>
      </c>
      <c r="B15" s="220"/>
      <c r="C15" s="220"/>
      <c r="D15" s="218" t="s">
        <v>270</v>
      </c>
      <c r="E15" s="218"/>
    </row>
    <row r="16" spans="1:5" x14ac:dyDescent="0.3">
      <c r="A16" s="3"/>
      <c r="B16" s="3"/>
      <c r="C16" s="3"/>
      <c r="D16" s="3"/>
      <c r="E16" s="3"/>
    </row>
    <row r="17" spans="1:5" x14ac:dyDescent="0.3">
      <c r="A17" s="237" t="s">
        <v>15</v>
      </c>
      <c r="B17" s="238"/>
      <c r="C17" s="238"/>
      <c r="D17" s="238"/>
      <c r="E17" s="238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26" t="s">
        <v>342</v>
      </c>
      <c r="B20" s="227"/>
      <c r="C20" s="227"/>
      <c r="D20" s="227"/>
      <c r="E20" s="228"/>
    </row>
    <row r="21" spans="1:5" x14ac:dyDescent="0.3">
      <c r="A21" s="174">
        <v>1</v>
      </c>
      <c r="B21" s="174">
        <v>-3</v>
      </c>
      <c r="C21" s="174">
        <v>17</v>
      </c>
      <c r="D21" s="174">
        <v>255</v>
      </c>
      <c r="E21" s="174" t="s">
        <v>271</v>
      </c>
    </row>
    <row r="22" spans="1:5" x14ac:dyDescent="0.3">
      <c r="A22" s="174">
        <f>A21+1</f>
        <v>2</v>
      </c>
      <c r="B22" s="174">
        <f>B21+3</f>
        <v>0</v>
      </c>
      <c r="C22" s="174">
        <v>10</v>
      </c>
      <c r="D22" s="174">
        <v>255</v>
      </c>
      <c r="E22" s="174"/>
    </row>
    <row r="23" spans="1:5" x14ac:dyDescent="0.3">
      <c r="A23" s="174">
        <f t="shared" ref="A23:A70" si="0">A22+1</f>
        <v>3</v>
      </c>
      <c r="B23" s="174">
        <f>B22+4.95</f>
        <v>4.95</v>
      </c>
      <c r="C23" s="174">
        <v>4</v>
      </c>
      <c r="D23" s="174">
        <v>371</v>
      </c>
      <c r="E23" s="174"/>
    </row>
    <row r="24" spans="1:5" x14ac:dyDescent="0.3">
      <c r="A24" s="174">
        <f t="shared" si="0"/>
        <v>4</v>
      </c>
      <c r="B24" s="174">
        <f>B23+9.63</f>
        <v>14.580000000000002</v>
      </c>
      <c r="C24" s="174">
        <v>4</v>
      </c>
      <c r="D24" s="174">
        <v>472</v>
      </c>
      <c r="E24" s="174"/>
    </row>
    <row r="25" spans="1:5" x14ac:dyDescent="0.3">
      <c r="A25" s="174">
        <f t="shared" si="0"/>
        <v>5</v>
      </c>
      <c r="B25" s="174">
        <f>B24+14.06</f>
        <v>28.64</v>
      </c>
      <c r="C25" s="174">
        <v>8</v>
      </c>
      <c r="D25" s="174">
        <v>408</v>
      </c>
      <c r="E25" s="174"/>
    </row>
    <row r="26" spans="1:5" x14ac:dyDescent="0.3">
      <c r="A26" s="174">
        <f t="shared" si="0"/>
        <v>6</v>
      </c>
      <c r="B26" s="174">
        <f>B25+11.36</f>
        <v>40</v>
      </c>
      <c r="C26" s="174">
        <v>17</v>
      </c>
      <c r="D26" s="174">
        <v>209</v>
      </c>
      <c r="E26" s="174" t="s">
        <v>333</v>
      </c>
    </row>
    <row r="27" spans="1:5" hidden="1" x14ac:dyDescent="0.3">
      <c r="A27" s="174">
        <f t="shared" si="0"/>
        <v>7</v>
      </c>
      <c r="B27" s="174">
        <f>B26+1.87</f>
        <v>41.87</v>
      </c>
      <c r="C27" s="174">
        <v>0</v>
      </c>
      <c r="D27" s="174">
        <v>477</v>
      </c>
      <c r="E27" s="5"/>
    </row>
    <row r="28" spans="1:5" hidden="1" x14ac:dyDescent="0.3">
      <c r="A28" s="174">
        <f t="shared" si="0"/>
        <v>8</v>
      </c>
      <c r="B28" s="174">
        <f>B27+1.5</f>
        <v>43.37</v>
      </c>
      <c r="C28" s="174">
        <v>1</v>
      </c>
      <c r="D28" s="174">
        <v>475</v>
      </c>
      <c r="E28" s="174"/>
    </row>
    <row r="29" spans="1:5" hidden="1" x14ac:dyDescent="0.3">
      <c r="A29" s="174">
        <f t="shared" si="0"/>
        <v>9</v>
      </c>
      <c r="B29" s="174">
        <f>B28+5.46</f>
        <v>48.83</v>
      </c>
      <c r="C29" s="174">
        <v>6</v>
      </c>
      <c r="D29" s="174">
        <v>450</v>
      </c>
      <c r="E29" s="174"/>
    </row>
    <row r="30" spans="1:5" hidden="1" x14ac:dyDescent="0.3">
      <c r="A30" s="174">
        <f t="shared" si="0"/>
        <v>10</v>
      </c>
      <c r="B30" s="174">
        <f>B29+13.54</f>
        <v>62.37</v>
      </c>
      <c r="C30" s="174">
        <v>14</v>
      </c>
      <c r="D30" s="174">
        <v>171</v>
      </c>
      <c r="E30" s="174" t="s">
        <v>333</v>
      </c>
    </row>
    <row r="31" spans="1:5" hidden="1" x14ac:dyDescent="0.3">
      <c r="A31" s="174">
        <f t="shared" si="0"/>
        <v>11</v>
      </c>
      <c r="B31" s="174">
        <f>B30+3.48</f>
        <v>65.849999999999994</v>
      </c>
      <c r="C31" s="174">
        <v>16</v>
      </c>
      <c r="D31" s="174">
        <v>368</v>
      </c>
      <c r="E31" s="174"/>
    </row>
    <row r="32" spans="1:5" hidden="1" x14ac:dyDescent="0.3">
      <c r="A32" s="174">
        <f t="shared" si="0"/>
        <v>12</v>
      </c>
      <c r="B32" s="174">
        <f>B31+4.5</f>
        <v>70.349999999999994</v>
      </c>
      <c r="C32" s="174">
        <v>22</v>
      </c>
      <c r="D32" s="174">
        <v>171</v>
      </c>
      <c r="E32" s="5" t="s">
        <v>333</v>
      </c>
    </row>
    <row r="33" spans="1:5" hidden="1" x14ac:dyDescent="0.3">
      <c r="A33" s="174">
        <f t="shared" si="0"/>
        <v>13</v>
      </c>
      <c r="B33" s="174">
        <f>B32+7.29</f>
        <v>77.64</v>
      </c>
      <c r="C33" s="174">
        <v>60</v>
      </c>
      <c r="D33" s="174">
        <v>190</v>
      </c>
      <c r="E33" s="174"/>
    </row>
    <row r="34" spans="1:5" x14ac:dyDescent="0.3">
      <c r="A34" s="229" t="s">
        <v>343</v>
      </c>
      <c r="B34" s="230"/>
      <c r="C34" s="230"/>
      <c r="D34" s="230"/>
      <c r="E34" s="231"/>
    </row>
    <row r="35" spans="1:5" x14ac:dyDescent="0.3">
      <c r="A35" s="174">
        <v>1</v>
      </c>
      <c r="B35" s="174">
        <v>-3</v>
      </c>
      <c r="C35" s="174">
        <v>17</v>
      </c>
      <c r="D35" s="174">
        <v>255</v>
      </c>
      <c r="E35" s="174" t="s">
        <v>271</v>
      </c>
    </row>
    <row r="36" spans="1:5" x14ac:dyDescent="0.3">
      <c r="A36" s="174">
        <f>A35+1</f>
        <v>2</v>
      </c>
      <c r="B36" s="174">
        <f>B35+3</f>
        <v>0</v>
      </c>
      <c r="C36" s="174">
        <v>10</v>
      </c>
      <c r="D36" s="174">
        <v>255</v>
      </c>
      <c r="E36" s="174"/>
    </row>
    <row r="37" spans="1:5" x14ac:dyDescent="0.3">
      <c r="A37" s="174">
        <f t="shared" si="0"/>
        <v>3</v>
      </c>
      <c r="B37" s="174">
        <f>B36+4.95</f>
        <v>4.95</v>
      </c>
      <c r="C37" s="174">
        <v>4</v>
      </c>
      <c r="D37" s="174">
        <v>371</v>
      </c>
      <c r="E37" s="174"/>
    </row>
    <row r="38" spans="1:5" x14ac:dyDescent="0.3">
      <c r="A38" s="174">
        <f t="shared" si="0"/>
        <v>4</v>
      </c>
      <c r="B38" s="174">
        <f>B37+9.63</f>
        <v>14.580000000000002</v>
      </c>
      <c r="C38" s="174">
        <v>4</v>
      </c>
      <c r="D38" s="174">
        <v>472</v>
      </c>
      <c r="E38" s="174"/>
    </row>
    <row r="39" spans="1:5" x14ac:dyDescent="0.3">
      <c r="A39" s="174">
        <f t="shared" si="0"/>
        <v>5</v>
      </c>
      <c r="B39" s="174">
        <f>B38+14.06</f>
        <v>28.64</v>
      </c>
      <c r="C39" s="174">
        <v>8</v>
      </c>
      <c r="D39" s="174">
        <v>408</v>
      </c>
      <c r="E39" s="174"/>
    </row>
    <row r="40" spans="1:5" x14ac:dyDescent="0.3">
      <c r="A40" s="174">
        <f t="shared" si="0"/>
        <v>6</v>
      </c>
      <c r="B40" s="174">
        <f>B39+11.36</f>
        <v>40</v>
      </c>
      <c r="C40" s="174">
        <v>17</v>
      </c>
      <c r="D40" s="174">
        <v>209</v>
      </c>
      <c r="E40" s="174" t="s">
        <v>333</v>
      </c>
    </row>
    <row r="41" spans="1:5" hidden="1" x14ac:dyDescent="0.3">
      <c r="A41" s="174">
        <f t="shared" si="0"/>
        <v>7</v>
      </c>
      <c r="B41" s="174">
        <f>B40+1.87</f>
        <v>41.87</v>
      </c>
      <c r="C41" s="174">
        <v>0</v>
      </c>
      <c r="D41" s="174">
        <v>477</v>
      </c>
      <c r="E41" s="5"/>
    </row>
    <row r="42" spans="1:5" hidden="1" x14ac:dyDescent="0.3">
      <c r="A42" s="174">
        <f t="shared" si="0"/>
        <v>8</v>
      </c>
      <c r="B42" s="174">
        <f>B41+1.5</f>
        <v>43.37</v>
      </c>
      <c r="C42" s="174">
        <v>1</v>
      </c>
      <c r="D42" s="174">
        <v>475</v>
      </c>
      <c r="E42" s="174"/>
    </row>
    <row r="43" spans="1:5" hidden="1" x14ac:dyDescent="0.3">
      <c r="A43" s="174">
        <f t="shared" si="0"/>
        <v>9</v>
      </c>
      <c r="B43" s="174">
        <f>B42+5.46</f>
        <v>48.83</v>
      </c>
      <c r="C43" s="174">
        <v>6</v>
      </c>
      <c r="D43" s="174">
        <v>450</v>
      </c>
      <c r="E43" s="174"/>
    </row>
    <row r="44" spans="1:5" hidden="1" x14ac:dyDescent="0.3">
      <c r="A44" s="5">
        <f t="shared" si="0"/>
        <v>10</v>
      </c>
      <c r="B44" s="174">
        <f>B43+13.54</f>
        <v>62.37</v>
      </c>
      <c r="C44" s="174">
        <v>14</v>
      </c>
      <c r="D44" s="174">
        <v>171</v>
      </c>
      <c r="E44" s="5" t="s">
        <v>333</v>
      </c>
    </row>
    <row r="45" spans="1:5" hidden="1" x14ac:dyDescent="0.3">
      <c r="A45" s="5">
        <f t="shared" si="0"/>
        <v>11</v>
      </c>
      <c r="B45" s="174">
        <f>B44+3.48</f>
        <v>65.849999999999994</v>
      </c>
      <c r="C45" s="174">
        <v>16</v>
      </c>
      <c r="D45" s="174">
        <v>368</v>
      </c>
      <c r="E45" s="5"/>
    </row>
    <row r="46" spans="1:5" hidden="1" x14ac:dyDescent="0.3">
      <c r="A46" s="5">
        <f t="shared" si="0"/>
        <v>12</v>
      </c>
      <c r="B46" s="174">
        <f>B45+4.5</f>
        <v>70.349999999999994</v>
      </c>
      <c r="C46" s="174">
        <v>22</v>
      </c>
      <c r="D46" s="174">
        <v>171</v>
      </c>
      <c r="E46" s="5" t="s">
        <v>333</v>
      </c>
    </row>
    <row r="47" spans="1:5" hidden="1" x14ac:dyDescent="0.3">
      <c r="A47" s="5">
        <f t="shared" si="0"/>
        <v>13</v>
      </c>
      <c r="B47" s="5">
        <f>B46+7.29</f>
        <v>77.64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80.64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83.64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86.64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89.64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92.64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95.64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98.64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101.64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104.64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107.64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110.64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113.64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116.64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119.64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122.64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125.64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128.63999999999999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131.63999999999999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134.63999999999999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137.63999999999999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140.63999999999999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143.63999999999999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146.63999999999999</v>
      </c>
      <c r="C70" s="5">
        <v>33</v>
      </c>
      <c r="D70" s="5">
        <v>96</v>
      </c>
      <c r="E70" s="5" t="s">
        <v>333</v>
      </c>
    </row>
    <row r="71" spans="1:5" ht="60.75" customHeight="1" x14ac:dyDescent="0.3">
      <c r="A71" s="239" t="s">
        <v>21</v>
      </c>
      <c r="B71" s="239"/>
      <c r="C71" s="239"/>
      <c r="D71" s="239"/>
      <c r="E71" s="239"/>
    </row>
    <row r="72" spans="1:5" x14ac:dyDescent="0.3">
      <c r="A72" s="3"/>
      <c r="B72" s="3"/>
      <c r="C72" s="3"/>
      <c r="D72" s="3"/>
      <c r="E72" s="3"/>
    </row>
    <row r="73" spans="1:5" x14ac:dyDescent="0.3">
      <c r="A73" s="223" t="s">
        <v>22</v>
      </c>
      <c r="B73" s="224"/>
      <c r="C73" s="224"/>
      <c r="D73" s="224"/>
      <c r="E73" s="224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2х(3х41)</v>
      </c>
      <c r="C77" s="125" t="s">
        <v>28</v>
      </c>
      <c r="D77" s="127" t="str">
        <f>'Данные '!B4</f>
        <v>13.04.2026</v>
      </c>
      <c r="E77" s="77"/>
    </row>
    <row r="78" spans="1:5" x14ac:dyDescent="0.3">
      <c r="A78" s="221" t="s">
        <v>0</v>
      </c>
      <c r="B78" s="221"/>
      <c r="C78" s="222"/>
      <c r="D78" s="222"/>
      <c r="E78" s="92" t="s">
        <v>249</v>
      </c>
    </row>
    <row r="79" spans="1:5" x14ac:dyDescent="0.3">
      <c r="A79" s="232" t="s">
        <v>1</v>
      </c>
      <c r="B79" s="232"/>
      <c r="C79" s="233"/>
      <c r="D79" s="233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34" t="s">
        <v>29</v>
      </c>
      <c r="B1" s="249"/>
      <c r="C1" s="249"/>
      <c r="D1" s="249"/>
      <c r="E1" s="249"/>
      <c r="F1" s="249"/>
      <c r="G1" s="249"/>
    </row>
    <row r="2" spans="1:7" x14ac:dyDescent="0.3">
      <c r="A2" s="234" t="s">
        <v>30</v>
      </c>
      <c r="B2" s="249"/>
      <c r="C2" s="249"/>
      <c r="D2" s="249"/>
      <c r="E2" s="249"/>
      <c r="F2" s="249"/>
      <c r="G2" s="249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</row>
    <row r="5" spans="1:7" x14ac:dyDescent="0.3">
      <c r="A5" s="7" t="s">
        <v>32</v>
      </c>
      <c r="B5" s="251" t="str">
        <f>'Данные '!B36</f>
        <v>ГНБ №8</v>
      </c>
      <c r="C5" s="251"/>
      <c r="D5" s="251"/>
      <c r="E5" s="251"/>
      <c r="F5" s="251"/>
      <c r="G5" s="251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52">
        <f>'АОСР-1'!M32</f>
        <v>8</v>
      </c>
      <c r="D7" s="252"/>
      <c r="E7" s="6"/>
      <c r="F7" s="6"/>
      <c r="G7" s="6"/>
    </row>
    <row r="8" spans="1:7" ht="31.5" customHeight="1" x14ac:dyDescent="0.3">
      <c r="A8" s="248" t="s">
        <v>34</v>
      </c>
      <c r="B8" s="249"/>
      <c r="C8" s="249"/>
      <c r="D8" s="249"/>
      <c r="E8" s="249"/>
      <c r="F8" s="249"/>
      <c r="G8" s="249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2" t="str">
        <f>'Данные '!B4</f>
        <v>13.04.2026</v>
      </c>
      <c r="G10" s="242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0" t="s">
        <v>35</v>
      </c>
      <c r="B12" s="241"/>
      <c r="C12" s="241"/>
      <c r="D12" s="241"/>
      <c r="E12" s="241"/>
      <c r="F12" s="241"/>
      <c r="G12" s="241"/>
    </row>
    <row r="13" spans="1:7" ht="15.9" customHeight="1" x14ac:dyDescent="0.3">
      <c r="A13" s="12" t="s">
        <v>36</v>
      </c>
      <c r="B13" s="243" t="str">
        <f>CONCATENATE('Данные '!B18," ",'Данные '!B17," ",'Данные '!B19)</f>
        <v>Гл.инженер ООО «КСС Регион» Сигарев А.А.</v>
      </c>
      <c r="C13" s="243"/>
      <c r="D13" s="243"/>
      <c r="E13" s="243"/>
      <c r="F13" s="243"/>
      <c r="G13" s="243"/>
    </row>
    <row r="14" spans="1:7" ht="13.5" customHeight="1" x14ac:dyDescent="0.3">
      <c r="A14" s="12"/>
      <c r="B14" s="244" t="s">
        <v>37</v>
      </c>
      <c r="C14" s="244"/>
      <c r="D14" s="244"/>
      <c r="E14" s="244"/>
      <c r="F14" s="244"/>
      <c r="G14" s="244"/>
    </row>
    <row r="15" spans="1:7" ht="15.9" hidden="1" customHeight="1" x14ac:dyDescent="0.3">
      <c r="A15" s="12" t="s">
        <v>38</v>
      </c>
      <c r="B15" s="245" t="str">
        <f>CONCATENATE('Данные '!B20," ",'Данные '!B19," ",'Данные '!B21)</f>
        <v>- Сигарев А.А. Ефремкин Е.И.</v>
      </c>
      <c r="C15" s="245"/>
      <c r="D15" s="245"/>
      <c r="E15" s="245"/>
      <c r="F15" s="245"/>
      <c r="G15" s="245"/>
    </row>
    <row r="16" spans="1:7" ht="18" hidden="1" customHeight="1" x14ac:dyDescent="0.3">
      <c r="A16" s="12"/>
      <c r="B16" s="246" t="s">
        <v>37</v>
      </c>
      <c r="C16" s="246"/>
      <c r="D16" s="246"/>
      <c r="E16" s="246"/>
      <c r="F16" s="246"/>
      <c r="G16" s="246"/>
    </row>
    <row r="17" spans="1:7" x14ac:dyDescent="0.3">
      <c r="A17" s="12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</row>
    <row r="18" spans="1:7" ht="15" customHeight="1" x14ac:dyDescent="0.3">
      <c r="A18" s="12"/>
      <c r="B18" s="244" t="s">
        <v>37</v>
      </c>
      <c r="C18" s="244"/>
      <c r="D18" s="244"/>
      <c r="E18" s="244"/>
      <c r="F18" s="244"/>
      <c r="G18" s="244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47" t="s">
        <v>40</v>
      </c>
      <c r="B20" s="241"/>
      <c r="C20" s="241"/>
      <c r="D20" s="241"/>
      <c r="E20" s="241"/>
      <c r="F20" s="241"/>
      <c r="G20" s="241"/>
    </row>
    <row r="21" spans="1:7" ht="15" customHeight="1" x14ac:dyDescent="0.3">
      <c r="A21" s="10" t="s">
        <v>41</v>
      </c>
      <c r="B21" s="165" t="str">
        <f>B5</f>
        <v>ГНБ №8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3" t="str">
        <f>'Данные '!B33</f>
        <v>4980-325834-217-09/24</v>
      </c>
      <c r="C22" s="243"/>
      <c r="D22" s="243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47" t="s">
        <v>45</v>
      </c>
      <c r="B24" s="241"/>
      <c r="C24" s="241"/>
      <c r="D24" s="241"/>
      <c r="E24" s="241"/>
      <c r="F24" s="241"/>
      <c r="G24" s="241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0" t="s">
        <v>52</v>
      </c>
      <c r="B34" s="241"/>
      <c r="C34" s="241"/>
      <c r="D34" s="241"/>
      <c r="E34" s="241"/>
      <c r="F34" s="241"/>
      <c r="G34" s="241"/>
    </row>
    <row r="37" spans="1:7" ht="30" customHeight="1" x14ac:dyDescent="0.3"/>
  </sheetData>
  <mergeCells count="18">
    <mergeCell ref="A8:G8"/>
    <mergeCell ref="A1:G1"/>
    <mergeCell ref="A2:G2"/>
    <mergeCell ref="B4:G4"/>
    <mergeCell ref="B5:G5"/>
    <mergeCell ref="C7:D7"/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7" t="s">
        <v>29</v>
      </c>
      <c r="B1" s="257"/>
      <c r="C1" s="257"/>
      <c r="D1" s="257"/>
      <c r="E1" s="257"/>
      <c r="F1" s="257"/>
      <c r="G1" s="257"/>
      <c r="H1" s="257"/>
    </row>
    <row r="2" spans="1:8" ht="15" customHeight="1" x14ac:dyDescent="0.25">
      <c r="A2" s="257" t="s">
        <v>261</v>
      </c>
      <c r="B2" s="257"/>
      <c r="C2" s="257"/>
      <c r="D2" s="257"/>
      <c r="E2" s="257"/>
      <c r="F2" s="257"/>
      <c r="G2" s="257"/>
      <c r="H2" s="257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  <c r="H4" s="250"/>
    </row>
    <row r="5" spans="1:8" x14ac:dyDescent="0.25">
      <c r="A5" s="64" t="s">
        <v>32</v>
      </c>
      <c r="B5" s="251" t="str">
        <f>'Данные '!B36</f>
        <v>ГНБ №8</v>
      </c>
      <c r="C5" s="251"/>
      <c r="D5" s="251"/>
      <c r="E5" s="251"/>
      <c r="F5" s="251"/>
      <c r="G5" s="251"/>
      <c r="H5" s="251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8</v>
      </c>
      <c r="E7" s="20"/>
      <c r="F7" s="20"/>
      <c r="G7" s="20"/>
      <c r="H7" s="20"/>
    </row>
    <row r="8" spans="1:8" ht="27.75" customHeight="1" x14ac:dyDescent="0.25">
      <c r="A8" s="253" t="s">
        <v>58</v>
      </c>
      <c r="B8" s="253"/>
      <c r="C8" s="253"/>
      <c r="D8" s="253"/>
      <c r="E8" s="253"/>
      <c r="F8" s="253"/>
      <c r="G8" s="253"/>
      <c r="H8" s="253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2" t="str">
        <f>'Форма 2'!F10</f>
        <v>13.04.2026</v>
      </c>
      <c r="G10" s="242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0" t="s">
        <v>35</v>
      </c>
      <c r="B12" s="241"/>
      <c r="C12" s="241"/>
      <c r="D12" s="241"/>
      <c r="E12" s="241"/>
      <c r="F12" s="241"/>
    </row>
    <row r="13" spans="1:8" x14ac:dyDescent="0.25">
      <c r="A13" s="64" t="s">
        <v>36</v>
      </c>
      <c r="B13" s="255" t="str">
        <f>CONCATENATE('Данные '!B18," ",'Данные '!B17," ",'Данные '!B19)</f>
        <v>Гл.инженер ООО «КСС Регион» Сигарев А.А.</v>
      </c>
      <c r="C13" s="255"/>
      <c r="D13" s="255"/>
      <c r="E13" s="255"/>
      <c r="F13" s="255"/>
      <c r="G13" s="255"/>
      <c r="H13" s="255"/>
    </row>
    <row r="14" spans="1:8" ht="17.25" customHeight="1" x14ac:dyDescent="0.25">
      <c r="A14" s="64"/>
      <c r="B14" s="254" t="s">
        <v>37</v>
      </c>
      <c r="C14" s="254"/>
      <c r="D14" s="254"/>
      <c r="E14" s="254"/>
      <c r="F14" s="254"/>
      <c r="G14" s="254"/>
      <c r="H14" s="254"/>
    </row>
    <row r="15" spans="1:8" ht="20.399999999999999" hidden="1" x14ac:dyDescent="0.25">
      <c r="A15" s="64" t="s">
        <v>38</v>
      </c>
      <c r="B15" s="250"/>
      <c r="C15" s="250"/>
      <c r="D15" s="250"/>
      <c r="E15" s="250"/>
      <c r="F15" s="250"/>
      <c r="G15" s="250"/>
      <c r="H15" s="250"/>
    </row>
    <row r="16" spans="1:8" ht="16.5" hidden="1" customHeight="1" x14ac:dyDescent="0.25">
      <c r="A16" s="64"/>
      <c r="B16" s="246" t="s">
        <v>37</v>
      </c>
      <c r="C16" s="246"/>
      <c r="D16" s="246"/>
      <c r="E16" s="246"/>
      <c r="F16" s="246"/>
      <c r="G16" s="246"/>
      <c r="H16" s="246"/>
    </row>
    <row r="17" spans="1:8" x14ac:dyDescent="0.25">
      <c r="A17" s="64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  <c r="H17" s="243"/>
    </row>
    <row r="18" spans="1:8" ht="16.5" customHeight="1" x14ac:dyDescent="0.25">
      <c r="A18" s="64"/>
      <c r="B18" s="254" t="s">
        <v>37</v>
      </c>
      <c r="C18" s="254"/>
      <c r="D18" s="254"/>
      <c r="E18" s="254"/>
      <c r="F18" s="254"/>
      <c r="G18" s="254"/>
      <c r="H18" s="254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6" t="str">
        <f>B5</f>
        <v>ГНБ №8</v>
      </c>
      <c r="D20" s="256"/>
      <c r="E20" s="10"/>
      <c r="F20" s="240" t="s">
        <v>60</v>
      </c>
      <c r="G20" s="240"/>
      <c r="H20" s="240"/>
    </row>
    <row r="21" spans="1:8" ht="16.5" customHeight="1" x14ac:dyDescent="0.25">
      <c r="A21" s="240" t="s">
        <v>61</v>
      </c>
      <c r="B21" s="240"/>
      <c r="C21" s="255" t="str">
        <f>'Данные '!B33</f>
        <v>4980-325834-217-09/24</v>
      </c>
      <c r="D21" s="255"/>
      <c r="E21" s="255"/>
      <c r="F21" s="64"/>
      <c r="G21" s="64"/>
      <c r="H21" s="64"/>
    </row>
    <row r="22" spans="1:8" ht="14.25" customHeight="1" x14ac:dyDescent="0.25">
      <c r="A22" s="240" t="s">
        <v>262</v>
      </c>
      <c r="B22" s="240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0" t="s">
        <v>63</v>
      </c>
      <c r="B23" s="240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0" t="s">
        <v>52</v>
      </c>
      <c r="B33" s="241"/>
      <c r="C33" s="241"/>
      <c r="D33" s="241"/>
      <c r="E33" s="241"/>
      <c r="F33" s="241"/>
    </row>
  </sheetData>
  <mergeCells count="20">
    <mergeCell ref="A1:H1"/>
    <mergeCell ref="A2:H2"/>
    <mergeCell ref="B13:H13"/>
    <mergeCell ref="F20:H20"/>
    <mergeCell ref="A12:F12"/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7" t="s">
        <v>53</v>
      </c>
      <c r="B1" s="257"/>
      <c r="C1" s="257"/>
      <c r="D1" s="257"/>
      <c r="E1" s="257"/>
      <c r="F1" s="238"/>
      <c r="G1" s="238"/>
      <c r="H1" s="238"/>
    </row>
    <row r="2" spans="1:8" ht="15.9" customHeight="1" x14ac:dyDescent="0.2">
      <c r="A2" s="268" t="s">
        <v>64</v>
      </c>
      <c r="B2" s="268"/>
      <c r="C2" s="268"/>
      <c r="D2" s="268"/>
      <c r="E2" s="268"/>
      <c r="F2" s="224"/>
      <c r="G2" s="224"/>
      <c r="H2" s="224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70"/>
      <c r="D4" s="270"/>
      <c r="E4" s="270"/>
      <c r="F4" s="270"/>
      <c r="G4" s="270"/>
      <c r="H4" s="270"/>
    </row>
    <row r="5" spans="1:8" ht="10.8" x14ac:dyDescent="0.2">
      <c r="A5" s="78" t="s">
        <v>55</v>
      </c>
      <c r="B5" s="271" t="str">
        <f>'Данные '!B36</f>
        <v>ГНБ №8</v>
      </c>
      <c r="C5" s="271"/>
      <c r="D5" s="271"/>
      <c r="E5" s="271"/>
      <c r="F5" s="271"/>
      <c r="G5" s="271"/>
      <c r="H5" s="271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8</v>
      </c>
      <c r="E8" s="80"/>
      <c r="F8" s="80"/>
      <c r="G8" s="80"/>
      <c r="H8" s="80"/>
    </row>
    <row r="9" spans="1:8" ht="15.9" customHeight="1" x14ac:dyDescent="0.2">
      <c r="A9" s="269" t="s">
        <v>65</v>
      </c>
      <c r="B9" s="269"/>
      <c r="C9" s="269"/>
      <c r="D9" s="269"/>
      <c r="E9" s="269"/>
      <c r="F9" s="224"/>
      <c r="G9" s="224"/>
      <c r="H9" s="224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5" t="s">
        <v>66</v>
      </c>
      <c r="B11" s="265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2" t="str">
        <f>'Форма 2'!F10</f>
        <v>13.04.2026</v>
      </c>
      <c r="G13" s="262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5" t="s">
        <v>67</v>
      </c>
      <c r="B15" s="265"/>
      <c r="C15" s="265"/>
      <c r="D15" s="265"/>
      <c r="E15" s="265"/>
      <c r="F15" s="224"/>
      <c r="G15" s="224"/>
      <c r="H15" s="224"/>
    </row>
    <row r="16" spans="1:8" ht="10.8" x14ac:dyDescent="0.2">
      <c r="A16" s="78" t="s">
        <v>56</v>
      </c>
      <c r="B16" s="270" t="str">
        <f>CONCATENATE('Данные '!B18," ",'Данные '!B17," ",'Данные '!B19)</f>
        <v>Гл.инженер ООО «КСС Регион» Сигарев А.А.</v>
      </c>
      <c r="C16" s="270"/>
      <c r="D16" s="270"/>
      <c r="E16" s="270"/>
      <c r="F16" s="270"/>
      <c r="G16" s="270"/>
      <c r="H16" s="270"/>
    </row>
    <row r="17" spans="1:8" ht="15" customHeight="1" x14ac:dyDescent="0.2">
      <c r="A17" s="78"/>
      <c r="B17" s="266" t="s">
        <v>57</v>
      </c>
      <c r="C17" s="266"/>
      <c r="D17" s="266"/>
      <c r="E17" s="266"/>
      <c r="F17" s="266"/>
      <c r="G17" s="266"/>
      <c r="H17" s="266"/>
    </row>
    <row r="18" spans="1:8" ht="10.8" x14ac:dyDescent="0.2">
      <c r="A18" s="78" t="s">
        <v>68</v>
      </c>
      <c r="B18" s="270" t="str">
        <f>CONCATENATE('Данные '!B10," ",'Данные '!B7," ",'Данные '!B11)</f>
        <v>Прораб ООО "Энергосистемы" Волков М.Ю.</v>
      </c>
      <c r="C18" s="270"/>
      <c r="D18" s="270"/>
      <c r="E18" s="270"/>
      <c r="F18" s="270"/>
      <c r="G18" s="270"/>
      <c r="H18" s="270"/>
    </row>
    <row r="19" spans="1:8" ht="15" customHeight="1" x14ac:dyDescent="0.2">
      <c r="A19" s="78"/>
      <c r="B19" s="266" t="s">
        <v>57</v>
      </c>
      <c r="C19" s="266"/>
      <c r="D19" s="266"/>
      <c r="E19" s="266"/>
      <c r="F19" s="266"/>
      <c r="G19" s="266"/>
      <c r="H19" s="266"/>
    </row>
    <row r="20" spans="1:8" ht="15.75" hidden="1" customHeight="1" x14ac:dyDescent="0.2">
      <c r="A20" s="78" t="s">
        <v>69</v>
      </c>
      <c r="B20" s="264"/>
      <c r="C20" s="264"/>
      <c r="D20" s="264"/>
      <c r="E20" s="264"/>
      <c r="F20" s="264"/>
      <c r="G20" s="264"/>
      <c r="H20" s="264"/>
    </row>
    <row r="21" spans="1:8" ht="15" hidden="1" customHeight="1" x14ac:dyDescent="0.2">
      <c r="A21" s="78"/>
      <c r="B21" s="263" t="s">
        <v>57</v>
      </c>
      <c r="C21" s="263"/>
      <c r="D21" s="263"/>
      <c r="E21" s="263"/>
      <c r="F21" s="263"/>
      <c r="G21" s="263"/>
      <c r="H21" s="263"/>
    </row>
    <row r="22" spans="1:8" ht="20.399999999999999" hidden="1" x14ac:dyDescent="0.2">
      <c r="A22" s="78" t="s">
        <v>70</v>
      </c>
      <c r="B22" s="264"/>
      <c r="C22" s="264"/>
      <c r="D22" s="264"/>
      <c r="E22" s="264"/>
      <c r="F22" s="264"/>
      <c r="G22" s="264"/>
      <c r="H22" s="264"/>
    </row>
    <row r="23" spans="1:8" ht="15" hidden="1" customHeight="1" x14ac:dyDescent="0.2">
      <c r="A23" s="78"/>
      <c r="B23" s="263" t="s">
        <v>57</v>
      </c>
      <c r="C23" s="263"/>
      <c r="D23" s="263"/>
      <c r="E23" s="263"/>
      <c r="F23" s="263"/>
      <c r="G23" s="263"/>
      <c r="H23" s="263"/>
    </row>
    <row r="24" spans="1:8" ht="19.5" hidden="1" customHeight="1" x14ac:dyDescent="0.2">
      <c r="A24" s="78" t="s">
        <v>71</v>
      </c>
      <c r="B24" s="264"/>
      <c r="C24" s="264"/>
      <c r="D24" s="264"/>
      <c r="E24" s="264"/>
      <c r="F24" s="264"/>
      <c r="G24" s="264"/>
      <c r="H24" s="264"/>
    </row>
    <row r="25" spans="1:8" ht="11.25" hidden="1" customHeight="1" x14ac:dyDescent="0.2">
      <c r="A25" s="86"/>
      <c r="B25" s="263" t="s">
        <v>57</v>
      </c>
      <c r="C25" s="263"/>
      <c r="D25" s="263"/>
      <c r="E25" s="263"/>
      <c r="F25" s="263"/>
      <c r="G25" s="263"/>
      <c r="H25" s="263"/>
    </row>
    <row r="26" spans="1:8" ht="16.5" customHeight="1" x14ac:dyDescent="0.2">
      <c r="A26" s="265" t="s">
        <v>72</v>
      </c>
      <c r="B26" s="265"/>
      <c r="C26" s="84"/>
      <c r="D26" s="255" t="str">
        <f>'Данные '!B17</f>
        <v>ООО «КСС Регион»</v>
      </c>
      <c r="E26" s="255"/>
      <c r="F26" s="255"/>
      <c r="G26" s="255"/>
      <c r="H26" s="255"/>
    </row>
    <row r="27" spans="1:8" x14ac:dyDescent="0.2">
      <c r="A27" s="93"/>
      <c r="B27" s="93"/>
      <c r="C27" s="93"/>
      <c r="D27" s="266" t="s">
        <v>87</v>
      </c>
      <c r="E27" s="266"/>
      <c r="F27" s="266"/>
      <c r="G27" s="266"/>
      <c r="H27" s="266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24"/>
      <c r="G29" s="224"/>
      <c r="H29" s="224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24"/>
      <c r="G31" s="224"/>
      <c r="H31" s="224"/>
    </row>
    <row r="32" spans="1:8" ht="14.25" customHeight="1" x14ac:dyDescent="0.2">
      <c r="A32" s="265" t="s">
        <v>76</v>
      </c>
      <c r="B32" s="265"/>
      <c r="C32" s="265"/>
      <c r="D32" s="94">
        <f>'Данные '!B37</f>
        <v>8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5" t="str">
        <f>'Данные '!B31</f>
        <v>ООО "Энергосистемы"</v>
      </c>
      <c r="C33" s="255"/>
      <c r="D33" s="84" t="s">
        <v>89</v>
      </c>
      <c r="E33" s="255" t="str">
        <f>'Данные '!B33</f>
        <v>4980-325834-217-09/24</v>
      </c>
      <c r="F33" s="255"/>
      <c r="G33" s="255"/>
      <c r="H33" s="255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24"/>
      <c r="G34" s="224"/>
      <c r="H34" s="224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24"/>
      <c r="G35" s="224"/>
      <c r="H35" s="224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24"/>
      <c r="G36" s="224"/>
      <c r="H36" s="224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24"/>
      <c r="G37" s="224"/>
      <c r="H37" s="224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24"/>
      <c r="G39" s="224"/>
      <c r="H39" s="224"/>
    </row>
    <row r="40" spans="1:8" ht="15.9" customHeight="1" x14ac:dyDescent="0.2">
      <c r="A40" s="84" t="s">
        <v>82</v>
      </c>
      <c r="B40" s="264"/>
      <c r="C40" s="264"/>
      <c r="D40" s="264"/>
      <c r="E40" s="264"/>
      <c r="F40" s="264"/>
      <c r="G40" s="264"/>
      <c r="H40" s="264"/>
    </row>
    <row r="41" spans="1:8" ht="17.25" customHeight="1" x14ac:dyDescent="0.2">
      <c r="A41" s="267" t="s">
        <v>90</v>
      </c>
      <c r="B41" s="267"/>
      <c r="C41" s="267"/>
      <c r="D41" s="267"/>
      <c r="E41" s="267"/>
      <c r="F41" s="267"/>
      <c r="G41" s="267"/>
      <c r="H41" s="267"/>
    </row>
    <row r="42" spans="1:8" ht="13.5" customHeight="1" x14ac:dyDescent="0.2">
      <c r="A42" s="95" t="s">
        <v>91</v>
      </c>
      <c r="B42" s="94">
        <f>'Данные '!B38</f>
        <v>288</v>
      </c>
      <c r="C42" s="95" t="s">
        <v>92</v>
      </c>
      <c r="D42" s="84"/>
      <c r="E42" s="255" t="str">
        <f>'АОСР-1'!B67</f>
        <v>Труба F3 D160мм</v>
      </c>
      <c r="F42" s="255"/>
      <c r="G42" s="255"/>
      <c r="H42" s="255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0" t="s">
        <v>95</v>
      </c>
      <c r="B45" s="261"/>
      <c r="C45" s="261"/>
      <c r="D45" s="261"/>
      <c r="E45" s="261"/>
      <c r="F45" s="224"/>
      <c r="G45" s="224"/>
      <c r="H45" s="224"/>
    </row>
    <row r="46" spans="1:8" ht="15.9" customHeight="1" x14ac:dyDescent="0.2">
      <c r="A46" s="260" t="s">
        <v>96</v>
      </c>
      <c r="B46" s="261"/>
      <c r="C46" s="261"/>
      <c r="D46" s="261"/>
      <c r="E46" s="261"/>
      <c r="F46" s="224"/>
      <c r="G46" s="224"/>
      <c r="H46" s="224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24"/>
      <c r="G49" s="224"/>
      <c r="H49" s="224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24"/>
      <c r="G50" s="224"/>
      <c r="H50" s="224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24"/>
      <c r="G51" s="224"/>
      <c r="H51" s="224"/>
    </row>
    <row r="52" spans="1:8" ht="19.5" customHeight="1" x14ac:dyDescent="0.2">
      <c r="A52" s="260" t="s">
        <v>99</v>
      </c>
      <c r="B52" s="261"/>
      <c r="C52" s="261"/>
      <c r="D52" s="261"/>
      <c r="E52" s="261"/>
      <c r="F52" s="224"/>
      <c r="G52" s="224"/>
      <c r="H52" s="224"/>
    </row>
    <row r="54" spans="1:8" ht="15.9" customHeight="1" x14ac:dyDescent="0.2">
      <c r="A54" s="247" t="s">
        <v>86</v>
      </c>
      <c r="B54" s="247"/>
      <c r="C54" s="247"/>
      <c r="D54" s="247"/>
      <c r="E54" s="247"/>
      <c r="F54" s="238"/>
      <c r="G54" s="238"/>
      <c r="H54" s="238"/>
    </row>
    <row r="55" spans="1:8" x14ac:dyDescent="0.2">
      <c r="A55" s="162" t="s">
        <v>324</v>
      </c>
      <c r="B55" s="12"/>
      <c r="C55" s="12"/>
      <c r="D55" s="12"/>
      <c r="E55" s="259"/>
      <c r="F55" s="259"/>
      <c r="G55" s="258" t="str">
        <f>'Данные '!B19</f>
        <v>Сигарев А.А.</v>
      </c>
      <c r="H55" s="258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323</v>
      </c>
      <c r="B57" s="12"/>
      <c r="C57" s="12"/>
      <c r="D57" s="12"/>
      <c r="E57" s="259"/>
      <c r="F57" s="259"/>
      <c r="G57" s="258" t="str">
        <f>'Данные '!B11</f>
        <v>Волков М.Ю.</v>
      </c>
      <c r="H57" s="258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325</v>
      </c>
      <c r="B59" s="12"/>
      <c r="C59" s="12"/>
      <c r="D59" s="12"/>
      <c r="E59" s="259"/>
      <c r="F59" s="259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59"/>
      <c r="F61" s="259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  <mergeCell ref="A32:C32"/>
    <mergeCell ref="B33:C33"/>
    <mergeCell ref="E33:H33"/>
    <mergeCell ref="A31:H31"/>
    <mergeCell ref="B19:H19"/>
    <mergeCell ref="B20:H20"/>
    <mergeCell ref="B21:H21"/>
    <mergeCell ref="B22:H22"/>
    <mergeCell ref="B40:H40"/>
    <mergeCell ref="A34:H34"/>
    <mergeCell ref="A35:H35"/>
    <mergeCell ref="A36:H36"/>
    <mergeCell ref="A37:H37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G55:H55"/>
    <mergeCell ref="G57:H57"/>
    <mergeCell ref="E42:H42"/>
    <mergeCell ref="E55:F55"/>
    <mergeCell ref="E57:F57"/>
    <mergeCell ref="A45:H45"/>
    <mergeCell ref="A46:H46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topLeftCell="A7" zoomScaleNormal="100" zoomScaleSheetLayoutView="100" workbookViewId="0">
      <selection activeCell="P32" sqref="P32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9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9"/>
      <c r="J4" s="279"/>
      <c r="K4" s="279"/>
    </row>
    <row r="5" spans="1:11" ht="14.4" x14ac:dyDescent="0.25">
      <c r="H5" s="27" t="s">
        <v>32</v>
      </c>
      <c r="I5" s="279" t="str">
        <f>'Данные '!B36</f>
        <v>ГНБ №8</v>
      </c>
      <c r="J5" s="279"/>
      <c r="K5" s="279"/>
    </row>
    <row r="7" spans="1:11" ht="15.6" x14ac:dyDescent="0.3">
      <c r="A7" s="280" t="s">
        <v>118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</row>
    <row r="8" spans="1:11" ht="15.6" x14ac:dyDescent="0.3">
      <c r="A8" s="280" t="s">
        <v>119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</row>
    <row r="11" spans="1:11" x14ac:dyDescent="0.25">
      <c r="A11" s="281" t="s">
        <v>120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11" x14ac:dyDescent="0.25">
      <c r="A12" s="272" t="s">
        <v>121</v>
      </c>
      <c r="B12" s="272" t="s">
        <v>122</v>
      </c>
      <c r="C12" s="272" t="s">
        <v>123</v>
      </c>
      <c r="D12" s="272"/>
      <c r="E12" s="272"/>
      <c r="F12" s="272"/>
      <c r="G12" s="272"/>
      <c r="H12" s="272"/>
      <c r="I12" s="272"/>
      <c r="J12" s="272"/>
      <c r="K12" s="272" t="s">
        <v>124</v>
      </c>
    </row>
    <row r="13" spans="1:11" ht="47.25" customHeight="1" x14ac:dyDescent="0.25">
      <c r="A13" s="272"/>
      <c r="B13" s="272"/>
      <c r="C13" s="272" t="s">
        <v>125</v>
      </c>
      <c r="D13" s="272" t="s">
        <v>126</v>
      </c>
      <c r="E13" s="272" t="s">
        <v>127</v>
      </c>
      <c r="F13" s="272" t="s">
        <v>128</v>
      </c>
      <c r="G13" s="272" t="s">
        <v>129</v>
      </c>
      <c r="H13" s="272" t="s">
        <v>130</v>
      </c>
      <c r="I13" s="272" t="s">
        <v>131</v>
      </c>
      <c r="J13" s="272"/>
      <c r="K13" s="272"/>
    </row>
    <row r="14" spans="1:11" x14ac:dyDescent="0.25">
      <c r="A14" s="272"/>
      <c r="B14" s="272"/>
      <c r="C14" s="272"/>
      <c r="D14" s="272"/>
      <c r="E14" s="272"/>
      <c r="F14" s="272"/>
      <c r="G14" s="272"/>
      <c r="H14" s="272"/>
      <c r="I14" s="28" t="s">
        <v>132</v>
      </c>
      <c r="J14" s="28" t="s">
        <v>133</v>
      </c>
      <c r="K14" s="27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3" t="str">
        <f>'Форма 1'!A20:E20</f>
        <v>Буровой канал №1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5"/>
    </row>
    <row r="17" spans="1:11" ht="32.4" x14ac:dyDescent="0.25">
      <c r="A17" s="73" t="str">
        <f>'Данные '!B4</f>
        <v>13.04.2026</v>
      </c>
      <c r="B17" s="58" t="str">
        <f>'Данные '!B36</f>
        <v>ГНБ №8</v>
      </c>
      <c r="C17" s="58">
        <v>1.03</v>
      </c>
      <c r="D17" s="58">
        <v>83</v>
      </c>
      <c r="E17" s="58">
        <v>12</v>
      </c>
      <c r="F17" s="58">
        <v>0.5</v>
      </c>
      <c r="G17" s="58">
        <v>14</v>
      </c>
      <c r="H17" s="58">
        <v>85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6" t="str">
        <f>'Форма 1'!A34:E34</f>
        <v>Буровой канал №2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8"/>
    </row>
    <row r="19" spans="1:11" ht="34.200000000000003" customHeight="1" x14ac:dyDescent="0.25">
      <c r="A19" s="73" t="str">
        <f>'Данные '!B4</f>
        <v>13.04.2026</v>
      </c>
      <c r="B19" s="58" t="str">
        <f>'Данные '!B36</f>
        <v>ГНБ №8</v>
      </c>
      <c r="C19" s="58">
        <v>1.03</v>
      </c>
      <c r="D19" s="58">
        <v>79</v>
      </c>
      <c r="E19" s="58">
        <v>10</v>
      </c>
      <c r="F19" s="58">
        <v>0.6</v>
      </c>
      <c r="G19" s="58">
        <v>13</v>
      </c>
      <c r="H19" s="58">
        <v>81</v>
      </c>
      <c r="I19" s="58">
        <v>18</v>
      </c>
      <c r="J19" s="58">
        <v>76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326</v>
      </c>
    </row>
  </sheetData>
  <mergeCells count="18">
    <mergeCell ref="C13:C14"/>
    <mergeCell ref="D13:D14"/>
    <mergeCell ref="E13:E14"/>
    <mergeCell ref="A16:K16"/>
    <mergeCell ref="A18:K18"/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tabSelected="1" view="pageBreakPreview" topLeftCell="A4" zoomScaleNormal="100" zoomScaleSheetLayoutView="100" workbookViewId="0">
      <selection activeCell="I64" sqref="I64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7" t="s">
        <v>53</v>
      </c>
      <c r="B1" s="257"/>
      <c r="C1" s="257"/>
      <c r="D1" s="257"/>
      <c r="E1" s="257"/>
      <c r="F1" s="257"/>
      <c r="G1" s="257"/>
    </row>
    <row r="2" spans="1:7" x14ac:dyDescent="0.2">
      <c r="A2" s="268" t="s">
        <v>100</v>
      </c>
      <c r="B2" s="268"/>
      <c r="C2" s="268"/>
      <c r="D2" s="268"/>
      <c r="E2" s="268"/>
      <c r="F2" s="268"/>
      <c r="G2" s="26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30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301"/>
      <c r="D4" s="301"/>
      <c r="E4" s="301"/>
      <c r="F4" s="301"/>
      <c r="G4" s="301"/>
    </row>
    <row r="5" spans="1:7" ht="10.8" x14ac:dyDescent="0.2">
      <c r="A5" s="78" t="s">
        <v>55</v>
      </c>
      <c r="B5" s="271" t="str">
        <f>'Данные '!B36</f>
        <v>ГНБ №8</v>
      </c>
      <c r="C5" s="271"/>
      <c r="D5" s="271"/>
      <c r="E5" s="271"/>
      <c r="F5" s="271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8</v>
      </c>
      <c r="E7" s="80"/>
      <c r="F7" s="80"/>
      <c r="G7" s="80"/>
    </row>
    <row r="8" spans="1:7" ht="15.9" customHeight="1" x14ac:dyDescent="0.2">
      <c r="A8" s="289" t="s">
        <v>101</v>
      </c>
      <c r="B8" s="289"/>
      <c r="C8" s="289"/>
      <c r="D8" s="289"/>
      <c r="E8" s="289"/>
      <c r="F8" s="289"/>
      <c r="G8" s="289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70" t="e">
        <f>'Данные '!#REF!</f>
        <v>#REF!</v>
      </c>
      <c r="C10" s="270"/>
      <c r="D10" s="270"/>
      <c r="E10" s="270"/>
      <c r="F10" s="270"/>
      <c r="G10" s="270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2" t="str">
        <f>'Форма 2'!F10</f>
        <v>13.04.2026</v>
      </c>
      <c r="G12" s="262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23" t="s">
        <v>102</v>
      </c>
      <c r="B15" s="224"/>
      <c r="C15" s="224"/>
      <c r="D15" s="224"/>
      <c r="E15" s="224"/>
      <c r="F15" s="224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92" t="str">
        <f>CONCATENATE('Данные '!B18," ",'Данные '!B17," ",'Данные '!B19)</f>
        <v>Гл.инженер ООО «КСС Регион» Сигарев А.А.</v>
      </c>
      <c r="C17" s="292"/>
      <c r="D17" s="292"/>
      <c r="E17" s="292"/>
      <c r="F17" s="292"/>
      <c r="G17" s="292"/>
    </row>
    <row r="18" spans="1:7" ht="15" customHeight="1" x14ac:dyDescent="0.2">
      <c r="A18" s="78"/>
      <c r="B18" s="266" t="s">
        <v>57</v>
      </c>
      <c r="C18" s="266"/>
      <c r="D18" s="266"/>
      <c r="E18" s="266"/>
      <c r="F18" s="266"/>
      <c r="G18" s="266"/>
    </row>
    <row r="19" spans="1:7" ht="12.75" customHeight="1" x14ac:dyDescent="0.25">
      <c r="A19" s="78" t="s">
        <v>68</v>
      </c>
      <c r="B19" s="292" t="str">
        <f>CONCATENATE('Данные '!B10," ",'Данные '!B7," ",'Данные '!B11)</f>
        <v>Прораб ООО "Энергосистемы" Волков М.Ю.</v>
      </c>
      <c r="C19" s="292"/>
      <c r="D19" s="292"/>
      <c r="E19" s="292"/>
      <c r="F19" s="292"/>
      <c r="G19" s="292"/>
    </row>
    <row r="20" spans="1:7" ht="15" customHeight="1" x14ac:dyDescent="0.2">
      <c r="A20" s="78"/>
      <c r="B20" s="263" t="s">
        <v>57</v>
      </c>
      <c r="C20" s="263"/>
      <c r="D20" s="263"/>
      <c r="E20" s="263"/>
      <c r="F20" s="263"/>
      <c r="G20" s="263"/>
    </row>
    <row r="21" spans="1:7" ht="20.399999999999999" hidden="1" x14ac:dyDescent="0.25">
      <c r="A21" s="78" t="s">
        <v>69</v>
      </c>
      <c r="B21" s="292"/>
      <c r="C21" s="292"/>
      <c r="D21" s="292"/>
      <c r="E21" s="292"/>
      <c r="F21" s="292"/>
      <c r="G21" s="292"/>
    </row>
    <row r="22" spans="1:7" ht="15" hidden="1" customHeight="1" x14ac:dyDescent="0.2">
      <c r="A22" s="78"/>
      <c r="B22" s="263" t="s">
        <v>57</v>
      </c>
      <c r="C22" s="263"/>
      <c r="D22" s="263"/>
      <c r="E22" s="263"/>
      <c r="F22" s="263"/>
      <c r="G22" s="263"/>
    </row>
    <row r="23" spans="1:7" ht="30.6" x14ac:dyDescent="0.25">
      <c r="A23" s="78" t="s">
        <v>70</v>
      </c>
      <c r="B23" s="292"/>
      <c r="C23" s="292"/>
      <c r="D23" s="292"/>
      <c r="E23" s="292"/>
      <c r="F23" s="292"/>
      <c r="G23" s="292"/>
    </row>
    <row r="24" spans="1:7" ht="15" customHeight="1" x14ac:dyDescent="0.2">
      <c r="A24" s="78"/>
      <c r="B24" s="266" t="s">
        <v>57</v>
      </c>
      <c r="C24" s="266"/>
      <c r="D24" s="266"/>
      <c r="E24" s="266"/>
      <c r="F24" s="266"/>
      <c r="G24" s="266"/>
    </row>
    <row r="25" spans="1:7" ht="20.399999999999999" x14ac:dyDescent="0.25">
      <c r="A25" s="78" t="s">
        <v>71</v>
      </c>
      <c r="B25" s="292"/>
      <c r="C25" s="292"/>
      <c r="D25" s="292"/>
      <c r="E25" s="292"/>
      <c r="F25" s="292"/>
      <c r="G25" s="292"/>
    </row>
    <row r="26" spans="1:7" ht="13.5" customHeight="1" x14ac:dyDescent="0.2">
      <c r="A26" s="86"/>
      <c r="B26" s="266" t="s">
        <v>57</v>
      </c>
      <c r="C26" s="266"/>
      <c r="D26" s="266"/>
      <c r="E26" s="266"/>
      <c r="F26" s="266"/>
      <c r="G26" s="266"/>
    </row>
    <row r="27" spans="1:7" x14ac:dyDescent="0.2">
      <c r="A27" s="265" t="s">
        <v>72</v>
      </c>
      <c r="B27" s="265"/>
      <c r="C27" s="78"/>
      <c r="D27" s="78"/>
      <c r="E27" s="78"/>
      <c r="F27" s="77"/>
      <c r="G27" s="77"/>
    </row>
    <row r="28" spans="1:7" ht="10.8" x14ac:dyDescent="0.2">
      <c r="A28" s="270" t="str">
        <f>'Данные '!B7</f>
        <v>ООО "Энергосистемы"</v>
      </c>
      <c r="B28" s="270"/>
      <c r="C28" s="270"/>
      <c r="D28" s="270"/>
      <c r="E28" s="270"/>
      <c r="F28" s="270"/>
      <c r="G28" s="270"/>
    </row>
    <row r="29" spans="1:7" ht="11.25" customHeight="1" x14ac:dyDescent="0.2">
      <c r="A29" s="266" t="s">
        <v>73</v>
      </c>
      <c r="B29" s="266"/>
      <c r="C29" s="266"/>
      <c r="D29" s="266"/>
      <c r="E29" s="266"/>
      <c r="F29" s="266"/>
      <c r="G29" s="266"/>
    </row>
    <row r="30" spans="1:7" x14ac:dyDescent="0.2">
      <c r="A30" s="265" t="s">
        <v>103</v>
      </c>
      <c r="B30" s="265"/>
      <c r="C30" s="78"/>
      <c r="D30" s="78"/>
      <c r="E30" s="78"/>
      <c r="F30" s="77"/>
      <c r="G30" s="77"/>
    </row>
    <row r="31" spans="1:7" ht="25.2" customHeight="1" x14ac:dyDescent="0.2">
      <c r="A31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70"/>
      <c r="C31" s="270"/>
      <c r="D31" s="270"/>
      <c r="E31" s="270"/>
      <c r="F31" s="270"/>
      <c r="G31" s="270"/>
    </row>
    <row r="32" spans="1:7" x14ac:dyDescent="0.2">
      <c r="A32" s="263" t="s">
        <v>104</v>
      </c>
      <c r="B32" s="263"/>
      <c r="C32" s="263"/>
      <c r="D32" s="263"/>
      <c r="E32" s="263"/>
      <c r="F32" s="263"/>
      <c r="G32" s="263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97" t="s">
        <v>105</v>
      </c>
      <c r="B34" s="224"/>
      <c r="C34" s="224"/>
      <c r="D34" s="224"/>
      <c r="E34" s="224"/>
      <c r="F34" s="224"/>
      <c r="G34" s="77"/>
    </row>
    <row r="35" spans="1:7" ht="13.5" customHeight="1" x14ac:dyDescent="0.2">
      <c r="A35" s="299" t="s">
        <v>256</v>
      </c>
      <c r="B35" s="299"/>
      <c r="C35" s="299"/>
      <c r="D35" s="161" t="str">
        <f>'Данные '!B36</f>
        <v>ГНБ №8</v>
      </c>
      <c r="E35" s="71" t="s">
        <v>134</v>
      </c>
      <c r="F35" s="300" t="str">
        <f>'Данные '!B31</f>
        <v>ООО "Энергосистемы"</v>
      </c>
      <c r="G35" s="300"/>
    </row>
    <row r="36" spans="1:7" ht="15.9" customHeight="1" x14ac:dyDescent="0.2">
      <c r="A36" s="298" t="s">
        <v>106</v>
      </c>
      <c r="B36" s="295"/>
      <c r="C36" s="295"/>
      <c r="D36" s="295"/>
      <c r="E36" s="295"/>
      <c r="F36" s="295"/>
      <c r="G36" s="71"/>
    </row>
    <row r="37" spans="1:7" ht="15.9" customHeight="1" x14ac:dyDescent="0.2">
      <c r="A37" s="298" t="s">
        <v>107</v>
      </c>
      <c r="B37" s="295"/>
      <c r="C37" s="295"/>
      <c r="D37" s="295"/>
      <c r="E37" s="295"/>
      <c r="F37" s="295"/>
      <c r="G37" s="71"/>
    </row>
    <row r="38" spans="1:7" ht="24" customHeight="1" x14ac:dyDescent="0.2">
      <c r="A38" s="290" t="s">
        <v>108</v>
      </c>
      <c r="B38" s="290"/>
      <c r="C38" s="290"/>
      <c r="D38" s="290"/>
      <c r="E38" s="290"/>
      <c r="F38" s="290"/>
      <c r="G38" s="290"/>
    </row>
    <row r="39" spans="1:7" ht="15.75" customHeight="1" x14ac:dyDescent="0.2">
      <c r="A39" s="290" t="s">
        <v>109</v>
      </c>
      <c r="B39" s="290"/>
      <c r="C39" s="290"/>
      <c r="D39" s="290"/>
      <c r="E39" s="290"/>
      <c r="F39" s="290"/>
      <c r="G39" s="290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94" t="s">
        <v>110</v>
      </c>
      <c r="B41" s="295"/>
      <c r="C41" s="295"/>
      <c r="D41" s="295"/>
      <c r="E41" s="295"/>
      <c r="F41" s="295"/>
      <c r="G41" s="71"/>
    </row>
    <row r="42" spans="1:7" ht="15.75" customHeight="1" x14ac:dyDescent="0.2">
      <c r="A42" s="83" t="s">
        <v>135</v>
      </c>
      <c r="B42" s="161" t="str">
        <f>'Данные '!B39</f>
        <v>2х(3х41)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1" t="str">
        <f>'Форма 1'!D11</f>
        <v>Vermeer Navigator D80x100 Series II</v>
      </c>
      <c r="D43" s="291"/>
      <c r="E43" s="291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2" t="str">
        <f>B46</f>
        <v>13.04.2026</v>
      </c>
      <c r="C45" s="262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96" t="str">
        <f>F12</f>
        <v>13.04.2026</v>
      </c>
      <c r="C46" s="296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5" t="s">
        <v>111</v>
      </c>
      <c r="B48" s="265"/>
      <c r="C48" s="265"/>
      <c r="D48" s="77"/>
      <c r="E48" s="77"/>
      <c r="F48" s="77"/>
      <c r="G48" s="77"/>
    </row>
    <row r="49" spans="1:7" ht="24" customHeight="1" x14ac:dyDescent="0.2">
      <c r="A49" s="288" t="s">
        <v>272</v>
      </c>
      <c r="B49" s="288"/>
      <c r="C49" s="288"/>
      <c r="D49" s="288"/>
      <c r="E49" s="288"/>
      <c r="F49" s="288"/>
      <c r="G49" s="288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3" t="s">
        <v>112</v>
      </c>
      <c r="B51" s="263"/>
      <c r="C51" s="263"/>
      <c r="D51" s="263"/>
      <c r="E51" s="263"/>
      <c r="F51" s="263"/>
      <c r="G51" s="263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85" t="s">
        <v>142</v>
      </c>
      <c r="B53" s="265"/>
      <c r="C53" s="265"/>
      <c r="D53" s="265"/>
      <c r="E53" s="265"/>
      <c r="F53" s="265"/>
      <c r="G53" s="265"/>
    </row>
    <row r="54" spans="1:7" ht="10.8" x14ac:dyDescent="0.2">
      <c r="A54" s="245"/>
      <c r="B54" s="245"/>
      <c r="C54" s="245"/>
      <c r="D54" s="245"/>
      <c r="E54" s="245"/>
      <c r="F54" s="245"/>
      <c r="G54" s="245"/>
    </row>
    <row r="55" spans="1:7" x14ac:dyDescent="0.2">
      <c r="A55" s="286"/>
      <c r="B55" s="286"/>
      <c r="C55" s="286"/>
      <c r="D55" s="286"/>
      <c r="E55" s="286"/>
      <c r="F55" s="286"/>
      <c r="G55" s="286"/>
    </row>
    <row r="56" spans="1:7" ht="15" customHeight="1" x14ac:dyDescent="0.2">
      <c r="A56" s="254" t="s">
        <v>113</v>
      </c>
      <c r="B56" s="254"/>
      <c r="C56" s="254"/>
      <c r="D56" s="254"/>
      <c r="E56" s="254"/>
      <c r="F56" s="254"/>
      <c r="G56" s="254"/>
    </row>
    <row r="58" spans="1:7" ht="15.9" customHeight="1" x14ac:dyDescent="0.2">
      <c r="A58" s="287" t="s">
        <v>114</v>
      </c>
      <c r="B58" s="238"/>
      <c r="C58" s="238"/>
      <c r="D58" s="238"/>
      <c r="E58" s="238"/>
      <c r="F58" s="238"/>
    </row>
    <row r="59" spans="1:7" ht="26.25" customHeight="1" x14ac:dyDescent="0.2">
      <c r="A59" s="240" t="s">
        <v>115</v>
      </c>
      <c r="B59" s="240"/>
      <c r="C59" s="240"/>
      <c r="D59" s="240"/>
      <c r="E59" s="240"/>
      <c r="F59" s="240"/>
      <c r="G59" s="240"/>
    </row>
    <row r="60" spans="1:7" ht="10.8" x14ac:dyDescent="0.2">
      <c r="A60" s="245"/>
      <c r="B60" s="245"/>
      <c r="C60" s="245"/>
      <c r="D60" s="245"/>
      <c r="E60" s="245"/>
      <c r="F60" s="245"/>
      <c r="G60" s="245"/>
    </row>
    <row r="61" spans="1:7" x14ac:dyDescent="0.2">
      <c r="A61" s="259"/>
      <c r="B61" s="259"/>
      <c r="C61" s="259"/>
      <c r="D61" s="259"/>
      <c r="E61" s="259"/>
      <c r="F61" s="259"/>
      <c r="G61" s="259"/>
    </row>
    <row r="62" spans="1:7" ht="12.75" customHeight="1" x14ac:dyDescent="0.2">
      <c r="A62" s="246" t="s">
        <v>116</v>
      </c>
      <c r="B62" s="246"/>
      <c r="C62" s="246"/>
      <c r="D62" s="246"/>
      <c r="E62" s="246"/>
      <c r="F62" s="246"/>
      <c r="G62" s="246"/>
    </row>
    <row r="64" spans="1:7" ht="15.9" customHeight="1" x14ac:dyDescent="0.2">
      <c r="A64" s="247" t="s">
        <v>86</v>
      </c>
      <c r="B64" s="238"/>
      <c r="C64" s="238"/>
      <c r="D64" s="238"/>
      <c r="E64" s="238"/>
      <c r="F64" s="238"/>
    </row>
    <row r="65" spans="1:7" ht="26.25" customHeight="1" x14ac:dyDescent="0.25">
      <c r="A65" s="12" t="s">
        <v>56</v>
      </c>
      <c r="B65" s="250" t="str">
        <f>CONCATENATE('Данные '!B17,",",'Данные '!B18," ",'Данные '!B19)</f>
        <v>ООО «КСС Регион»,Гл.инженер Сигарев А.А.</v>
      </c>
      <c r="C65" s="250"/>
      <c r="D65" s="250"/>
      <c r="E65" s="22"/>
      <c r="F65" s="284"/>
      <c r="G65" s="284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50" t="str">
        <f>CONCATENATE('Данные '!B10,", ",'Данные '!B7," ",'Данные '!B11)</f>
        <v>Прораб, ООО "Энергосистемы" Волков М.Ю.</v>
      </c>
      <c r="C67" s="250"/>
      <c r="D67" s="250"/>
      <c r="E67" s="22"/>
      <c r="F67" s="284"/>
      <c r="G67" s="284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50"/>
      <c r="C69" s="250"/>
      <c r="D69" s="250"/>
      <c r="E69" s="22"/>
      <c r="F69" s="284"/>
      <c r="G69" s="284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82"/>
      <c r="C71" s="282"/>
      <c r="D71" s="282"/>
      <c r="E71" s="22"/>
      <c r="F71" s="283"/>
      <c r="G71" s="283"/>
    </row>
    <row r="72" spans="1:7" x14ac:dyDescent="0.2">
      <c r="A72" s="14"/>
      <c r="B72" s="21"/>
      <c r="C72" s="21"/>
      <c r="D72" s="21"/>
      <c r="E72" s="21"/>
    </row>
    <row r="74" spans="1:7" x14ac:dyDescent="0.2">
      <c r="A74" s="293"/>
      <c r="B74" s="238"/>
      <c r="C74" s="238"/>
      <c r="D74" s="238"/>
      <c r="E74" s="238"/>
      <c r="F74" s="238"/>
    </row>
    <row r="75" spans="1:7" ht="45" customHeight="1" x14ac:dyDescent="0.2">
      <c r="A75" s="247"/>
      <c r="B75" s="238"/>
      <c r="C75" s="238"/>
      <c r="D75" s="238"/>
      <c r="E75" s="238"/>
      <c r="F75" s="238"/>
    </row>
  </sheetData>
  <mergeCells count="58">
    <mergeCell ref="B4:G4"/>
    <mergeCell ref="A1:G1"/>
    <mergeCell ref="A2:G2"/>
    <mergeCell ref="A30:B30"/>
    <mergeCell ref="B19:G19"/>
    <mergeCell ref="B20:G20"/>
    <mergeCell ref="B21:G21"/>
    <mergeCell ref="B22:G22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2026-07-18T08:03:43Z</dcterms:modified>
</cp:coreProperties>
</file>