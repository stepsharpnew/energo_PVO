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67D9D7C1-9125-473E-BE76-AD6D5272B940}" xr6:coauthVersionLast="45" xr6:coauthVersionMax="47" xr10:uidLastSave="{00000000-0000-0000-0000-000000000000}"/>
  <bookViews>
    <workbookView xWindow="-120" yWindow="-120" windowWidth="29040" windowHeight="15840" tabRatio="829" firstSheet="1" activeTab="2" xr2:uid="{00000000-000D-0000-FFFF-FFFF00000000}"/>
  </bookViews>
  <sheets>
    <sheet name="данные строй" sheetId="13" state="hidden" r:id="rId1"/>
    <sheet name="Данные организации" sheetId="10" r:id="rId2"/>
    <sheet name="Данные объект" sheetId="11" r:id="rId3"/>
    <sheet name="АОСР-1" sheetId="2" r:id="rId4"/>
    <sheet name="АОСР-2" sheetId="4" r:id="rId5"/>
    <sheet name="АОСР-3" sheetId="7" r:id="rId6"/>
    <sheet name="АОСР-4" sheetId="14" r:id="rId7"/>
    <sheet name="АОСР-5" sheetId="8" r:id="rId8"/>
    <sheet name="АОСР-6" sheetId="9" r:id="rId9"/>
  </sheets>
  <externalReferences>
    <externalReference r:id="rId10"/>
    <externalReference r:id="rId11"/>
  </externalReferences>
  <definedNames>
    <definedName name="_xlnm.Print_Area" localSheetId="3">'АОСР-1'!$A$1:$AJ$114</definedName>
    <definedName name="_xlnm.Print_Area" localSheetId="4">'АОСР-2'!$A$1:$AJ$120</definedName>
    <definedName name="_xlnm.Print_Area" localSheetId="5">'АОСР-3'!$A$1:$AJ$116</definedName>
    <definedName name="_xlnm.Print_Area" localSheetId="6">'АОСР-4'!$A$1:$AJ$116</definedName>
    <definedName name="_xlnm.Print_Area" localSheetId="7">'АОСР-5'!$A$1:$AJ$121</definedName>
    <definedName name="_xlnm.Print_Area" localSheetId="8">'АОСР-6'!$A$1:$AJ$119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" i="10" l="1"/>
  <c r="H24" i="10"/>
  <c r="H23" i="10"/>
  <c r="A114" i="8" l="1"/>
  <c r="A109" i="14"/>
  <c r="A109" i="7"/>
  <c r="A113" i="4"/>
  <c r="A107" i="2"/>
  <c r="A112" i="9"/>
  <c r="B98" i="4" l="1"/>
  <c r="C37" i="11"/>
  <c r="C36" i="11"/>
  <c r="C35" i="11"/>
  <c r="A47" i="14" l="1"/>
  <c r="A47" i="9"/>
  <c r="A47" i="8"/>
  <c r="A47" i="7"/>
  <c r="A47" i="4"/>
  <c r="A47" i="2"/>
  <c r="A5" i="2"/>
  <c r="G74" i="4" l="1"/>
  <c r="B12" i="11" l="1"/>
  <c r="O62" i="9" l="1"/>
  <c r="G74" i="9"/>
  <c r="G74" i="8"/>
  <c r="A62" i="14"/>
  <c r="A115" i="14"/>
  <c r="A106" i="14"/>
  <c r="A102" i="14"/>
  <c r="A99" i="14"/>
  <c r="B94" i="14"/>
  <c r="B93" i="14"/>
  <c r="P78" i="14"/>
  <c r="AB32" i="14" s="1"/>
  <c r="P77" i="14"/>
  <c r="A65" i="14"/>
  <c r="A58" i="14"/>
  <c r="A26" i="14"/>
  <c r="A24" i="14"/>
  <c r="A22" i="14"/>
  <c r="A19" i="14"/>
  <c r="A17" i="14"/>
  <c r="A15" i="14"/>
  <c r="A8" i="14"/>
  <c r="A5" i="14"/>
  <c r="A4" i="14"/>
  <c r="B94" i="7"/>
  <c r="A62" i="7"/>
  <c r="B97" i="4"/>
  <c r="B96" i="4"/>
  <c r="A62" i="4"/>
  <c r="C34" i="11" l="1"/>
  <c r="C33" i="11"/>
  <c r="C32" i="11"/>
  <c r="C31" i="11"/>
  <c r="C30" i="11"/>
  <c r="C29" i="11"/>
  <c r="C28" i="11"/>
  <c r="C27" i="11"/>
  <c r="C26" i="11"/>
  <c r="B25" i="11"/>
  <c r="A12" i="14" s="1"/>
  <c r="B24" i="11"/>
  <c r="C21" i="11"/>
  <c r="A41" i="14" s="1"/>
  <c r="C20" i="11"/>
  <c r="C19" i="11"/>
  <c r="C18" i="11"/>
  <c r="A44" i="14" s="1"/>
  <c r="C17" i="11"/>
  <c r="C16" i="11"/>
  <c r="C15" i="11"/>
  <c r="C11" i="11"/>
  <c r="A36" i="14" l="1"/>
  <c r="A36" i="2"/>
  <c r="C23" i="11"/>
  <c r="A38" i="14" s="1"/>
  <c r="A10" i="14"/>
  <c r="P80" i="9"/>
  <c r="AB32" i="9" s="1"/>
  <c r="P79" i="9"/>
  <c r="P80" i="8"/>
  <c r="AB32" i="8" s="1"/>
  <c r="P79" i="8"/>
  <c r="P78" i="7"/>
  <c r="AB32" i="7" s="1"/>
  <c r="P77" i="7"/>
  <c r="P80" i="4"/>
  <c r="AB32" i="4" s="1"/>
  <c r="P79" i="4"/>
  <c r="P77" i="2"/>
  <c r="AB32" i="2" s="1"/>
  <c r="P76" i="2"/>
  <c r="A109" i="9"/>
  <c r="A105" i="9"/>
  <c r="A102" i="9"/>
  <c r="A111" i="8"/>
  <c r="A107" i="8"/>
  <c r="A104" i="8"/>
  <c r="A106" i="7"/>
  <c r="A102" i="7"/>
  <c r="A99" i="7"/>
  <c r="A110" i="4"/>
  <c r="A106" i="4"/>
  <c r="A103" i="4"/>
  <c r="A104" i="2"/>
  <c r="A100" i="2"/>
  <c r="A97" i="2"/>
  <c r="A65" i="9"/>
  <c r="A65" i="8"/>
  <c r="A65" i="7"/>
  <c r="A65" i="4"/>
  <c r="A65" i="2"/>
  <c r="C32" i="4"/>
  <c r="C32" i="7" s="1"/>
  <c r="C32" i="14" s="1"/>
  <c r="C32" i="8" s="1"/>
  <c r="A58" i="9"/>
  <c r="A44" i="9"/>
  <c r="A41" i="9"/>
  <c r="A36" i="9"/>
  <c r="A58" i="8"/>
  <c r="A44" i="8"/>
  <c r="A41" i="8"/>
  <c r="A36" i="8"/>
  <c r="A58" i="7"/>
  <c r="A44" i="7"/>
  <c r="A41" i="7"/>
  <c r="A36" i="7"/>
  <c r="A58" i="4"/>
  <c r="A44" i="4"/>
  <c r="A41" i="4"/>
  <c r="A36" i="4"/>
  <c r="A58" i="2"/>
  <c r="A44" i="2"/>
  <c r="A41" i="2"/>
  <c r="A26" i="9"/>
  <c r="A24" i="9"/>
  <c r="A22" i="9"/>
  <c r="A19" i="9"/>
  <c r="A17" i="9"/>
  <c r="A15" i="9"/>
  <c r="A8" i="9"/>
  <c r="A5" i="9"/>
  <c r="A4" i="9"/>
  <c r="A26" i="8"/>
  <c r="A24" i="8"/>
  <c r="A22" i="8"/>
  <c r="A19" i="8"/>
  <c r="A17" i="8"/>
  <c r="A15" i="8"/>
  <c r="A8" i="8"/>
  <c r="A5" i="8"/>
  <c r="A4" i="8"/>
  <c r="A26" i="7"/>
  <c r="A24" i="7"/>
  <c r="A22" i="7"/>
  <c r="A19" i="7"/>
  <c r="A17" i="7"/>
  <c r="A15" i="7"/>
  <c r="A8" i="7"/>
  <c r="A5" i="7"/>
  <c r="A4" i="7"/>
  <c r="A26" i="4"/>
  <c r="A24" i="4"/>
  <c r="A22" i="4"/>
  <c r="A19" i="4"/>
  <c r="A17" i="4"/>
  <c r="A15" i="4"/>
  <c r="A8" i="4"/>
  <c r="A5" i="4"/>
  <c r="A4" i="4"/>
  <c r="A26" i="2"/>
  <c r="A24" i="2"/>
  <c r="A22" i="2"/>
  <c r="A19" i="2"/>
  <c r="A17" i="2"/>
  <c r="A15" i="2"/>
  <c r="A8" i="2"/>
  <c r="A4" i="2"/>
  <c r="A12" i="7"/>
  <c r="A10" i="7"/>
  <c r="D29" i="10"/>
  <c r="C29" i="10"/>
  <c r="G28" i="10"/>
  <c r="D28" i="10"/>
  <c r="C28" i="10"/>
  <c r="I27" i="10"/>
  <c r="G27" i="10"/>
  <c r="D27" i="10"/>
  <c r="C27" i="10"/>
  <c r="I26" i="10"/>
  <c r="G26" i="10"/>
  <c r="D26" i="10"/>
  <c r="C26" i="10"/>
  <c r="I25" i="10"/>
  <c r="G25" i="10"/>
  <c r="D25" i="10"/>
  <c r="C25" i="10"/>
  <c r="I24" i="10"/>
  <c r="G24" i="10"/>
  <c r="D24" i="10"/>
  <c r="C24" i="10"/>
  <c r="I23" i="10"/>
  <c r="G23" i="10"/>
  <c r="D23" i="10"/>
  <c r="C23" i="10"/>
  <c r="B97" i="9"/>
  <c r="B99" i="8"/>
  <c r="B98" i="8"/>
  <c r="B97" i="8"/>
  <c r="B95" i="4"/>
  <c r="E32" i="4"/>
  <c r="B92" i="2"/>
  <c r="A118" i="9"/>
  <c r="B95" i="9"/>
  <c r="A120" i="8"/>
  <c r="B95" i="8"/>
  <c r="A115" i="7"/>
  <c r="B93" i="7"/>
  <c r="A119" i="4"/>
  <c r="A113" i="2"/>
  <c r="A10" i="2"/>
  <c r="E32" i="7" l="1"/>
  <c r="E32" i="8" s="1"/>
  <c r="E32" i="9" s="1"/>
  <c r="E32" i="14"/>
  <c r="A10" i="9"/>
  <c r="A12" i="9"/>
  <c r="A10" i="8"/>
  <c r="A12" i="8"/>
  <c r="A10" i="4"/>
  <c r="A12" i="2"/>
  <c r="A12" i="4"/>
  <c r="A38" i="8" l="1"/>
  <c r="A38" i="9"/>
  <c r="A38" i="7"/>
  <c r="A38" i="4"/>
  <c r="A38" i="2"/>
  <c r="C32" i="9"/>
</calcChain>
</file>

<file path=xl/sharedStrings.xml><?xml version="1.0" encoding="utf-8"?>
<sst xmlns="http://schemas.openxmlformats.org/spreadsheetml/2006/main" count="793" uniqueCount="228">
  <si>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</si>
  <si>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</si>
  <si>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</si>
  <si>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</si>
  <si>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</si>
  <si>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</si>
  <si>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</si>
  <si>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</si>
  <si>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</si>
  <si>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</si>
  <si>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</si>
  <si>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</si>
  <si>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</si>
  <si>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</si>
  <si>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</si>
  <si>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</si>
  <si>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</si>
  <si>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</si>
  <si>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</si>
  <si>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</si>
  <si>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</si>
  <si>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</si>
  <si>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</si>
  <si>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</si>
  <si>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</si>
  <si>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</si>
  <si>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</si>
  <si>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</si>
  <si>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</si>
  <si>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</si>
  <si>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</si>
  <si>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</si>
  <si>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</si>
  <si>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</si>
  <si>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</si>
  <si>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</si>
  <si>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</si>
  <si>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</si>
  <si>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</si>
  <si>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</si>
  <si>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</si>
  <si>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</si>
  <si>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</si>
  <si>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</si>
  <si>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</si>
  <si>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</si>
  <si>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</si>
  <si>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</si>
  <si>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</si>
  <si>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</si>
  <si>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</si>
  <si>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</si>
  <si>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</si>
  <si>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</si>
  <si>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</si>
  <si>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</si>
  <si>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</si>
  <si>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</si>
  <si>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</si>
  <si>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</si>
  <si>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</si>
  <si>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</si>
  <si>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</si>
  <si>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</si>
  <si>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</si>
  <si>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</si>
  <si>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</si>
  <si>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</si>
  <si>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</si>
  <si>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</si>
  <si>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</si>
  <si>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</si>
  <si>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</si>
  <si>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</si>
  <si>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</si>
  <si>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</si>
  <si>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</si>
  <si>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</si>
  <si>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</si>
  <si>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</si>
  <si>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</si>
  <si>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</si>
  <si>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(сертификат №                от )</t>
  </si>
  <si>
    <t xml:space="preserve">1. </t>
  </si>
  <si>
    <t>1 лист</t>
  </si>
  <si>
    <t>2.</t>
  </si>
  <si>
    <t>Уголок - 50х50х5</t>
  </si>
  <si>
    <t>30м</t>
  </si>
  <si>
    <t>Полоса 40х4</t>
  </si>
  <si>
    <r>
      <t xml:space="preserve">Арматура </t>
    </r>
    <r>
      <rPr>
        <b/>
        <sz val="9"/>
        <rFont val="Calibri"/>
        <family val="2"/>
        <charset val="204"/>
      </rPr>
      <t>Ø</t>
    </r>
    <r>
      <rPr>
        <b/>
        <i/>
        <sz val="9"/>
        <rFont val="Times New Roman"/>
        <family val="1"/>
        <charset val="204"/>
      </rPr>
      <t>10</t>
    </r>
  </si>
  <si>
    <t>3.</t>
  </si>
  <si>
    <t>4.</t>
  </si>
  <si>
    <t>;</t>
  </si>
  <si>
    <t>Монтаж провода СИП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</si>
  <si>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</si>
  <si>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</si>
  <si>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</si>
  <si>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</si>
  <si>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</si>
  <si>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</si>
  <si>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</si>
  <si>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</si>
  <si>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</si>
  <si>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</si>
  <si>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</si>
  <si>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</si>
  <si>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</si>
  <si>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</si>
  <si>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</si>
  <si>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</si>
  <si>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</si>
  <si>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</si>
  <si>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</si>
  <si>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</si>
  <si>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</si>
  <si>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</si>
  <si>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</si>
  <si>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</si>
  <si>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</si>
  <si>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</si>
  <si>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</si>
  <si>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</si>
  <si>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</si>
  <si>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</si>
  <si>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</si>
  <si>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</si>
  <si>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</si>
  <si>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</si>
  <si>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</si>
  <si>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</si>
  <si>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</si>
  <si>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</si>
  <si>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</si>
  <si>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</si>
  <si>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</si>
  <si>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</si>
  <si>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</si>
  <si>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</si>
  <si>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</si>
  <si>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</si>
  <si>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</si>
  <si>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</si>
  <si>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</si>
  <si>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</si>
  <si>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</si>
  <si>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</si>
  <si>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</si>
  <si>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</si>
  <si>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</si>
  <si>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распорядительного документа, подтверждающего полномочия, </t>
  </si>
  <si>
    <t>Стойка железобетонная</t>
  </si>
  <si>
    <t>Самонесущий изолированный повод</t>
  </si>
  <si>
    <t>СВ 95-3</t>
  </si>
  <si>
    <t>СИП-3 1х50</t>
  </si>
  <si>
    <t>СВ 110-5</t>
  </si>
  <si>
    <t>СИП-3 1х70</t>
  </si>
  <si>
    <t>СИП-2 3х50+1х50</t>
  </si>
  <si>
    <t>СИП-2 3х70+1х70</t>
  </si>
  <si>
    <t>СИП-2 3х95+1х95</t>
  </si>
  <si>
    <t>СИП-2 3х120+1х120</t>
  </si>
  <si>
    <t>СИП-2 3х95+1х120</t>
  </si>
  <si>
    <t>СИП-4 4х16</t>
  </si>
  <si>
    <t>СИП-3 1х95</t>
  </si>
  <si>
    <t>СИП-4 2х16</t>
  </si>
  <si>
    <t>СИП-2 3х35+1х35</t>
  </si>
  <si>
    <t>Монтаж воздушной линии</t>
  </si>
  <si>
    <t>ВЛ-10кВ</t>
  </si>
  <si>
    <t>ВЛ-6кВ</t>
  </si>
  <si>
    <t>ВЛ-0,4кВ</t>
  </si>
  <si>
    <t>м</t>
  </si>
  <si>
    <t>м3</t>
  </si>
  <si>
    <t xml:space="preserve">Устройство заземления </t>
  </si>
  <si>
    <t>реквизиты сертификатов и (или) других 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</si>
  <si>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/ВРЩ</t>
  </si>
  <si>
    <t>Выемка грунта для монтажа основания ВРЩ 0,4кВ</t>
  </si>
  <si>
    <t>Исполнительная схема постамента ВРЩ</t>
  </si>
  <si>
    <t>Монтаж постамента ВРЩ</t>
  </si>
  <si>
    <t>Монтаж основания ВРЩ-0,4кВ</t>
  </si>
  <si>
    <t>1 шт</t>
  </si>
  <si>
    <t>Исполнительная схема ВРЩ</t>
  </si>
  <si>
    <t xml:space="preserve">Корпус ЩМП-0,4кВ </t>
  </si>
  <si>
    <t>Выемка грунта для заземления ВРЩ-0,4кВ</t>
  </si>
  <si>
    <t>Исполнительная схема заземления ВРЩ</t>
  </si>
  <si>
    <t>Устройство заземления ВРЩ-0,4кВ</t>
  </si>
  <si>
    <t>ВРЩ</t>
  </si>
  <si>
    <t>9м</t>
  </si>
  <si>
    <t>Обратная засыпка заземления ВРЩ</t>
  </si>
  <si>
    <t>Обратная засыпка грунта заземления ВРЩ</t>
  </si>
  <si>
    <t>SAP - 301971</t>
  </si>
  <si>
    <t>Строительство ВЛИ-0,38 кВ от ТП-10/0,4 кВ № 4232, ПС-110/10 кВ №20 Алабушево, установка ВРЩ-0,4 кВ, в т.ч. ПИР, МО, Солнечногорский р-н, п. Жилино, уч. 20А</t>
  </si>
  <si>
    <t>Солнечногорск, посёлок Жилино, земельный участок 20А</t>
  </si>
  <si>
    <t>3746-984421-20-02/23</t>
  </si>
  <si>
    <t>21.02.2025</t>
  </si>
  <si>
    <t xml:space="preserve">                                         и иных испытаний выполненных работ, проведенных в процессе строительного контроля)</t>
  </si>
  <si>
    <t>Профлист</t>
  </si>
  <si>
    <t>Труба профильная 80х80х3</t>
  </si>
  <si>
    <t>Провод ПуГВ 1х10</t>
  </si>
  <si>
    <t>2м</t>
  </si>
  <si>
    <t>8,3м</t>
  </si>
  <si>
    <t>Сертификат № 2021644223 от 12.03.2024г.</t>
  </si>
  <si>
    <t>Сертификат № 23515/166 от 24.04.2024г.</t>
  </si>
  <si>
    <t>Сертификат №2023644223 от 12.03.2024г.</t>
  </si>
  <si>
    <t>Сертификат №21010194 от 09.04.2024г.</t>
  </si>
  <si>
    <t>Сертификат №ЕАЭС RU.МЕ77.В.01309/24 от 13.05.2024г.</t>
  </si>
  <si>
    <t>2 листа</t>
  </si>
  <si>
    <t>Сертификат № б/н от б/д</t>
  </si>
  <si>
    <t>ООО "Энергосистемы"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</si>
  <si>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</si>
  <si>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</si>
  <si>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</si>
  <si>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Приказ № 13-ОТ/25 от 05 мая 2025 (НОСТРОЙ С-50-085497)</t>
  </si>
  <si>
    <t>НРС № С-77-286715</t>
  </si>
  <si>
    <t>Русин В.А.</t>
  </si>
  <si>
    <t>Филлипов А.Ю.</t>
  </si>
  <si>
    <t xml:space="preserve">Главный инженер </t>
  </si>
  <si>
    <t>Приказ № ОТ-25 от 12.01.2024</t>
  </si>
  <si>
    <t>Горбан Г.К.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</si>
  <si>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</si>
  <si>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Представители иных лиц:</t>
  </si>
  <si>
    <t>А также иные представители лиц, участвующих в освидетельствовании:</t>
  </si>
  <si>
    <t>ВРЩ-0,4 кВ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</si>
  <si>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</si>
  <si>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</si>
  <si>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</si>
  <si>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</si>
  <si>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</si>
  <si>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Приказ № от   2026г (НРС С-31-330248)</t>
  </si>
  <si>
    <t>Приказ №1904 от 03 июня 2026г (НРС С-50-069023)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</si>
</sst>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4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66">
    <xf numFmtId="0" fontId="0" fillId="0" borderId="0" xfId="0"/>
    <xf numFmtId="0" fontId="2" fillId="0" borderId="0" xfId="2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5" fillId="0" borderId="0" xfId="2" applyFont="1"/>
    <xf numFmtId="0" fontId="7" fillId="0" borderId="0" xfId="2" applyFont="1" applyAlignment="1">
      <alignment vertical="center"/>
    </xf>
    <xf numFmtId="0" fontId="4" fillId="0" borderId="0" xfId="2" applyFont="1" applyAlignment="1">
      <alignment horizontal="left"/>
    </xf>
    <xf numFmtId="0" fontId="9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0" xfId="2" applyFont="1"/>
    <xf numFmtId="0" fontId="10" fillId="0" borderId="0" xfId="2" applyFont="1" applyAlignment="1">
      <alignment vertical="center"/>
    </xf>
    <xf numFmtId="0" fontId="10" fillId="0" borderId="0" xfId="2" applyFont="1" applyAlignment="1">
      <alignment vertical="center" wrapText="1"/>
    </xf>
    <xf numFmtId="0" fontId="12" fillId="0" borderId="1" xfId="2" applyFont="1" applyBorder="1"/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left"/>
    </xf>
    <xf numFmtId="0" fontId="14" fillId="0" borderId="1" xfId="2" applyFont="1" applyBorder="1"/>
    <xf numFmtId="0" fontId="12" fillId="0" borderId="2" xfId="2" applyFont="1" applyBorder="1"/>
    <xf numFmtId="0" fontId="14" fillId="0" borderId="2" xfId="2" applyFont="1" applyBorder="1"/>
    <xf numFmtId="0" fontId="8" fillId="0" borderId="0" xfId="2" applyFont="1"/>
    <xf numFmtId="0" fontId="8" fillId="0" borderId="0" xfId="2" applyFont="1" applyAlignment="1">
      <alignment horizontal="right"/>
    </xf>
    <xf numFmtId="0" fontId="8" fillId="0" borderId="0" xfId="2" applyFont="1" applyAlignment="1">
      <alignment wrapText="1"/>
    </xf>
    <xf numFmtId="0" fontId="13" fillId="0" borderId="0" xfId="2" applyFont="1"/>
    <xf numFmtId="0" fontId="17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3" fillId="0" borderId="0" xfId="2" applyFont="1" applyAlignment="1">
      <alignment horizontal="left"/>
    </xf>
    <xf numFmtId="0" fontId="13" fillId="0" borderId="0" xfId="2" applyFont="1" applyAlignment="1">
      <alignment horizontal="left" vertical="top"/>
    </xf>
    <xf numFmtId="0" fontId="8" fillId="0" borderId="0" xfId="2" applyFont="1" applyAlignment="1">
      <alignment vertical="center"/>
    </xf>
    <xf numFmtId="0" fontId="16" fillId="0" borderId="1" xfId="2" applyFont="1" applyBorder="1" applyAlignment="1">
      <alignment vertical="center" wrapText="1"/>
    </xf>
    <xf numFmtId="0" fontId="16" fillId="0" borderId="1" xfId="2" applyFont="1" applyBorder="1" applyAlignment="1">
      <alignment horizontal="left"/>
    </xf>
    <xf numFmtId="0" fontId="16" fillId="0" borderId="1" xfId="2" applyFont="1" applyBorder="1"/>
    <xf numFmtId="0" fontId="1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18" fillId="0" borderId="0" xfId="2" applyFont="1" applyAlignment="1">
      <alignment horizontal="right"/>
    </xf>
    <xf numFmtId="0" fontId="16" fillId="0" borderId="2" xfId="2" applyFont="1" applyBorder="1"/>
    <xf numFmtId="0" fontId="16" fillId="0" borderId="0" xfId="2" applyFont="1"/>
    <xf numFmtId="0" fontId="8" fillId="0" borderId="0" xfId="2" applyFont="1" applyAlignment="1">
      <alignment horizontal="center"/>
    </xf>
    <xf numFmtId="0" fontId="16" fillId="0" borderId="2" xfId="2" applyFont="1" applyBorder="1" applyAlignment="1">
      <alignment horizontal="left"/>
    </xf>
    <xf numFmtId="0" fontId="19" fillId="0" borderId="9" xfId="1" applyFont="1" applyBorder="1" applyAlignment="1">
      <alignment vertical="center"/>
    </xf>
    <xf numFmtId="0" fontId="19" fillId="0" borderId="9" xfId="1" applyFont="1" applyBorder="1" applyAlignment="1">
      <alignment horizontal="center" vertical="center"/>
    </xf>
    <xf numFmtId="0" fontId="19" fillId="0" borderId="9" xfId="1" applyFont="1" applyBorder="1"/>
    <xf numFmtId="0" fontId="4" fillId="0" borderId="0" xfId="1"/>
    <xf numFmtId="0" fontId="4" fillId="2" borderId="3" xfId="1" applyFill="1" applyBorder="1" applyAlignment="1">
      <alignment vertical="center"/>
    </xf>
    <xf numFmtId="0" fontId="4" fillId="0" borderId="3" xfId="1" applyBorder="1" applyAlignment="1">
      <alignment vertical="center"/>
    </xf>
    <xf numFmtId="0" fontId="4" fillId="2" borderId="3" xfId="1" applyFill="1" applyBorder="1"/>
    <xf numFmtId="0" fontId="4" fillId="0" borderId="0" xfId="1" applyAlignment="1">
      <alignment wrapText="1"/>
    </xf>
    <xf numFmtId="0" fontId="4" fillId="3" borderId="3" xfId="1" applyFill="1" applyBorder="1" applyAlignment="1">
      <alignment wrapText="1"/>
    </xf>
    <xf numFmtId="0" fontId="4" fillId="3" borderId="0" xfId="1" applyFill="1" applyAlignment="1">
      <alignment wrapText="1"/>
    </xf>
    <xf numFmtId="0" fontId="4" fillId="4" borderId="0" xfId="1" applyFill="1" applyAlignment="1">
      <alignment wrapText="1"/>
    </xf>
    <xf numFmtId="0" fontId="4" fillId="5" borderId="3" xfId="1" applyFill="1" applyBorder="1" applyAlignment="1">
      <alignment wrapText="1"/>
    </xf>
    <xf numFmtId="0" fontId="4" fillId="5" borderId="0" xfId="1" applyFill="1" applyAlignment="1">
      <alignment wrapText="1"/>
    </xf>
    <xf numFmtId="0" fontId="4" fillId="4" borderId="3" xfId="1" applyFill="1" applyBorder="1" applyAlignment="1">
      <alignment wrapText="1"/>
    </xf>
    <xf numFmtId="0" fontId="4" fillId="6" borderId="0" xfId="1" applyFill="1" applyAlignment="1">
      <alignment wrapText="1"/>
    </xf>
    <xf numFmtId="0" fontId="4" fillId="4" borderId="3" xfId="1" applyFill="1" applyBorder="1"/>
    <xf numFmtId="0" fontId="16" fillId="0" borderId="1" xfId="2" applyFont="1" applyBorder="1" applyAlignment="1">
      <alignment vertical="center"/>
    </xf>
    <xf numFmtId="0" fontId="18" fillId="0" borderId="0" xfId="2" applyFont="1"/>
    <xf numFmtId="0" fontId="0" fillId="9" borderId="0" xfId="0" applyFill="1"/>
    <xf numFmtId="0" fontId="20" fillId="0" borderId="3" xfId="0" applyFont="1" applyBorder="1" applyAlignment="1">
      <alignment horizontal="center"/>
    </xf>
    <xf numFmtId="0" fontId="20" fillId="7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14" fontId="0" fillId="0" borderId="0" xfId="0" applyNumberFormat="1"/>
    <xf numFmtId="0" fontId="21" fillId="0" borderId="4" xfId="0" applyFont="1" applyBorder="1" applyAlignment="1">
      <alignment horizontal="center" wrapText="1"/>
    </xf>
    <xf numFmtId="0" fontId="21" fillId="5" borderId="3" xfId="0" applyFont="1" applyFill="1" applyBorder="1" applyAlignment="1">
      <alignment horizontal="center" wrapText="1"/>
    </xf>
    <xf numFmtId="0" fontId="0" fillId="0" borderId="3" xfId="0" applyBorder="1"/>
    <xf numFmtId="0" fontId="4" fillId="0" borderId="3" xfId="0" applyFont="1" applyBorder="1"/>
    <xf numFmtId="0" fontId="21" fillId="0" borderId="6" xfId="0" applyFont="1" applyBorder="1" applyAlignment="1">
      <alignment horizontal="center" wrapText="1"/>
    </xf>
    <xf numFmtId="0" fontId="21" fillId="6" borderId="3" xfId="0" applyFont="1" applyFill="1" applyBorder="1" applyAlignment="1">
      <alignment horizontal="center" wrapText="1"/>
    </xf>
    <xf numFmtId="0" fontId="21" fillId="6" borderId="3" xfId="0" applyFont="1" applyFill="1" applyBorder="1" applyAlignment="1">
      <alignment horizontal="center"/>
    </xf>
    <xf numFmtId="0" fontId="4" fillId="0" borderId="0" xfId="0" applyFont="1"/>
    <xf numFmtId="0" fontId="21" fillId="4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wrapText="1"/>
    </xf>
    <xf numFmtId="0" fontId="8" fillId="0" borderId="0" xfId="2" applyFont="1" applyBorder="1" applyAlignment="1">
      <alignment horizontal="right"/>
    </xf>
    <xf numFmtId="0" fontId="8" fillId="0" borderId="0" xfId="2" applyFont="1" applyBorder="1"/>
    <xf numFmtId="0" fontId="2" fillId="0" borderId="0" xfId="2" applyFont="1" applyBorder="1"/>
    <xf numFmtId="0" fontId="4" fillId="0" borderId="0" xfId="2" applyFont="1" applyBorder="1" applyAlignment="1">
      <alignment horizontal="left"/>
    </xf>
    <xf numFmtId="0" fontId="8" fillId="0" borderId="0" xfId="2" applyFont="1" applyBorder="1" applyAlignment="1">
      <alignment horizontal="left" vertical="top"/>
    </xf>
    <xf numFmtId="0" fontId="16" fillId="0" borderId="0" xfId="2" applyFont="1" applyBorder="1" applyAlignment="1"/>
    <xf numFmtId="164" fontId="21" fillId="10" borderId="3" xfId="0" applyNumberFormat="1" applyFont="1" applyFill="1" applyBorder="1" applyAlignment="1">
      <alignment horizontal="center" wrapText="1"/>
    </xf>
    <xf numFmtId="49" fontId="21" fillId="7" borderId="3" xfId="0" applyNumberFormat="1" applyFont="1" applyFill="1" applyBorder="1" applyAlignment="1">
      <alignment horizontal="center" wrapText="1"/>
    </xf>
    <xf numFmtId="0" fontId="8" fillId="0" borderId="0" xfId="2" applyFont="1" applyFill="1"/>
    <xf numFmtId="0" fontId="16" fillId="0" borderId="1" xfId="2" applyFont="1" applyFill="1" applyBorder="1" applyAlignment="1">
      <alignment vertical="center"/>
    </xf>
    <xf numFmtId="0" fontId="16" fillId="0" borderId="1" xfId="2" applyFont="1" applyFill="1" applyBorder="1" applyAlignment="1">
      <alignment vertical="center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/>
    </xf>
    <xf numFmtId="0" fontId="16" fillId="0" borderId="2" xfId="2" applyFont="1" applyBorder="1" applyAlignment="1">
      <alignment horizontal="left"/>
    </xf>
    <xf numFmtId="0" fontId="5" fillId="0" borderId="0" xfId="2" applyFont="1" applyFill="1"/>
    <xf numFmtId="0" fontId="16" fillId="0" borderId="1" xfId="2" applyFont="1" applyFill="1" applyBorder="1"/>
    <xf numFmtId="0" fontId="6" fillId="0" borderId="0" xfId="2" applyFont="1" applyFill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3" xfId="0" applyFill="1" applyBorder="1"/>
    <xf numFmtId="0" fontId="21" fillId="6" borderId="2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vertical="center" wrapText="1"/>
    </xf>
    <xf numFmtId="0" fontId="16" fillId="0" borderId="1" xfId="0" applyFont="1" applyBorder="1"/>
    <xf numFmtId="0" fontId="16" fillId="8" borderId="1" xfId="2" applyFont="1" applyFill="1" applyBorder="1" applyAlignment="1">
      <alignment horizontal="left" vertical="center" wrapText="1"/>
    </xf>
    <xf numFmtId="0" fontId="16" fillId="8" borderId="1" xfId="2" applyFont="1" applyFill="1" applyBorder="1" applyAlignment="1">
      <alignment vertical="center" wrapText="1"/>
    </xf>
    <xf numFmtId="0" fontId="16" fillId="8" borderId="2" xfId="2" applyFont="1" applyFill="1" applyBorder="1" applyAlignment="1">
      <alignment horizontal="left" vertical="center" wrapText="1"/>
    </xf>
    <xf numFmtId="0" fontId="16" fillId="8" borderId="2" xfId="2" applyFont="1" applyFill="1" applyBorder="1" applyAlignment="1">
      <alignment horizontal="center" vertical="center" wrapText="1"/>
    </xf>
    <xf numFmtId="0" fontId="16" fillId="8" borderId="2" xfId="2" applyFont="1" applyFill="1" applyBorder="1" applyAlignment="1">
      <alignment vertical="center" wrapText="1"/>
    </xf>
    <xf numFmtId="0" fontId="8" fillId="0" borderId="1" xfId="2" applyFont="1" applyBorder="1"/>
    <xf numFmtId="0" fontId="4" fillId="2" borderId="3" xfId="1" applyFill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19" fillId="0" borderId="9" xfId="1" applyFont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3" fillId="0" borderId="4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0" xfId="0" applyFont="1" applyBorder="1" applyAlignment="1">
      <alignment horizontal="center" wrapText="1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top" wrapText="1"/>
    </xf>
    <xf numFmtId="0" fontId="13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center"/>
    </xf>
    <xf numFmtId="0" fontId="13" fillId="0" borderId="8" xfId="2" applyFont="1" applyBorder="1" applyAlignment="1">
      <alignment horizontal="center" vertical="top"/>
    </xf>
    <xf numFmtId="0" fontId="17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8" fillId="0" borderId="0" xfId="2" applyFont="1" applyAlignment="1">
      <alignment horizontal="left" wrapText="1"/>
    </xf>
    <xf numFmtId="0" fontId="8" fillId="0" borderId="0" xfId="2" applyFont="1" applyAlignment="1">
      <alignment horizontal="left" vertical="center" wrapText="1"/>
    </xf>
    <xf numFmtId="0" fontId="16" fillId="0" borderId="1" xfId="2" applyFont="1" applyBorder="1" applyAlignment="1">
      <alignment horizontal="left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/>
    </xf>
    <xf numFmtId="0" fontId="13" fillId="0" borderId="8" xfId="2" applyFont="1" applyFill="1" applyBorder="1" applyAlignment="1">
      <alignment horizontal="center" vertical="center"/>
    </xf>
    <xf numFmtId="0" fontId="13" fillId="0" borderId="0" xfId="2" applyFont="1" applyFill="1" applyAlignment="1">
      <alignment horizontal="center" vertical="center" wrapText="1"/>
    </xf>
    <xf numFmtId="0" fontId="13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12" fillId="0" borderId="1" xfId="2" applyFont="1" applyBorder="1" applyAlignment="1">
      <alignment horizontal="center"/>
    </xf>
    <xf numFmtId="0" fontId="16" fillId="0" borderId="1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left" vertical="center"/>
    </xf>
    <xf numFmtId="0" fontId="16" fillId="8" borderId="2" xfId="2" applyFont="1" applyFill="1" applyBorder="1" applyAlignment="1">
      <alignment horizontal="center" vertical="center" wrapText="1"/>
    </xf>
    <xf numFmtId="0" fontId="16" fillId="8" borderId="2" xfId="2" applyFont="1" applyFill="1" applyBorder="1" applyAlignment="1">
      <alignment horizontal="left" vertical="center"/>
    </xf>
    <xf numFmtId="0" fontId="16" fillId="8" borderId="1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6" fillId="0" borderId="2" xfId="2" applyFont="1" applyBorder="1" applyAlignment="1">
      <alignment horizontal="left"/>
    </xf>
    <xf numFmtId="0" fontId="16" fillId="0" borderId="1" xfId="2" applyFont="1" applyFill="1" applyBorder="1" applyAlignment="1">
      <alignment horizontal="left" vertical="center"/>
    </xf>
    <xf numFmtId="0" fontId="13" fillId="0" borderId="8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 wrapText="1"/>
    </xf>
    <xf numFmtId="0" fontId="14" fillId="0" borderId="2" xfId="2" applyFont="1" applyBorder="1" applyAlignment="1">
      <alignment horizontal="left" vertical="center" wrapText="1"/>
    </xf>
    <xf numFmtId="0" fontId="14" fillId="8" borderId="2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8;&#105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dmitriev\Desktop\3746\&#1069;&#1052;&#105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  <sheetName val="АОСР-7"/>
      <sheetName val="АОСР-8"/>
      <sheetName val="АОСР-9"/>
    </sheetNames>
    <sheetDataSet>
      <sheetData sheetId="0" refreshError="1">
        <row r="2">
          <cell r="B2" t="str">
            <v>ОГРН 1135044003709  ИНН 5044089069 КПП 504401001</v>
          </cell>
          <cell r="C2" t="str">
            <v>ОГРН 1215000057238 ИНН 5044122213 КПП 504401001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пр16"/>
      <sheetName val="Реестр пр15"/>
      <sheetName val="Прил.6Б"/>
      <sheetName val="2 (5)"/>
      <sheetName val="3 (5)"/>
      <sheetName val="4 (5)"/>
      <sheetName val="7 (5)"/>
      <sheetName val="ВРЩ"/>
      <sheetName val="ВРЩ-1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Пр.16"/>
      <sheetName val="акт ГЕО"/>
      <sheetName val="акт ГЕО оси"/>
      <sheetName val="2 (общий)"/>
      <sheetName val="1 "/>
      <sheetName val="Ведомость общ"/>
      <sheetName val="ТП-4"/>
      <sheetName val="ПНР ТП"/>
      <sheetName val="Ведомость"/>
      <sheetName val="ПНР КЛ"/>
      <sheetName val="Ведомость ВЛ10"/>
      <sheetName val="ВЛЗ-3"/>
      <sheetName val="ВЛЗ-6"/>
      <sheetName val="ВЛЗ-8"/>
      <sheetName val="ВЛИ- 8"/>
      <sheetName val="24 ВЛЗ"/>
      <sheetName val="26 ВЛЗ"/>
      <sheetName val="ПНР ВЛ10"/>
      <sheetName val="Ведомость ВЛ0,4"/>
      <sheetName val="ВЛЗ-3 0,4"/>
      <sheetName val="ВЛЗ-6 0,4"/>
      <sheetName val="ВЛИ- 8 0,4"/>
      <sheetName val="24 ВЛЗ 0,4"/>
      <sheetName val="26 ВЛЗ 0,4"/>
      <sheetName val="ВРЩ-2"/>
      <sheetName val="ПНР ВЛ0,4"/>
      <sheetName val="Лист1"/>
      <sheetName val="ВЛИ-3"/>
      <sheetName val="ВЛИ-6"/>
      <sheetName val="ВЛИ-8"/>
      <sheetName val="24 ВЛИ"/>
      <sheetName val="26 ВЛИ"/>
      <sheetName val="10 ВЛИ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workbookViewId="0">
      <selection activeCell="H23" sqref="H23"/>
    </sheetView>
  </sheetViews>
  <sheetFormatPr defaultRowHeight="12.75" x14ac:dyDescent="0.2"/>
  <cols>
    <col min="1" max="1" width="15.6640625" customWidth="1"/>
    <col min="2" max="2" width="18.5" customWidth="1"/>
  </cols>
  <sheetData>
    <row r="2" spans="1:3" x14ac:dyDescent="0.2">
      <c r="A2" s="60" t="s">
        <v>150</v>
      </c>
      <c r="B2" s="60" t="s">
        <v>151</v>
      </c>
      <c r="C2" s="60" t="s">
        <v>165</v>
      </c>
    </row>
    <row r="3" spans="1:3" x14ac:dyDescent="0.2">
      <c r="A3" t="s">
        <v>152</v>
      </c>
      <c r="B3" t="s">
        <v>153</v>
      </c>
      <c r="C3" t="s">
        <v>166</v>
      </c>
    </row>
    <row r="4" spans="1:3" x14ac:dyDescent="0.2">
      <c r="A4" t="s">
        <v>154</v>
      </c>
      <c r="B4" t="s">
        <v>155</v>
      </c>
      <c r="C4" t="s">
        <v>167</v>
      </c>
    </row>
    <row r="5" spans="1:3" x14ac:dyDescent="0.2">
      <c r="B5" t="s">
        <v>156</v>
      </c>
      <c r="C5" t="s">
        <v>168</v>
      </c>
    </row>
    <row r="6" spans="1:3" x14ac:dyDescent="0.2">
      <c r="B6" t="s">
        <v>157</v>
      </c>
    </row>
    <row r="7" spans="1:3" x14ac:dyDescent="0.2">
      <c r="B7" t="s">
        <v>158</v>
      </c>
    </row>
    <row r="8" spans="1:3" x14ac:dyDescent="0.2">
      <c r="B8" t="s">
        <v>159</v>
      </c>
    </row>
    <row r="9" spans="1:3" x14ac:dyDescent="0.2">
      <c r="B9" t="s">
        <v>160</v>
      </c>
    </row>
    <row r="10" spans="1:3" x14ac:dyDescent="0.2">
      <c r="B10" t="s">
        <v>161</v>
      </c>
    </row>
    <row r="11" spans="1:3" x14ac:dyDescent="0.2">
      <c r="B11" t="s">
        <v>162</v>
      </c>
    </row>
    <row r="12" spans="1:3" x14ac:dyDescent="0.2">
      <c r="B12" t="s">
        <v>163</v>
      </c>
    </row>
    <row r="13" spans="1:3" x14ac:dyDescent="0.2">
      <c r="B13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C1" workbookViewId="0">
      <selection activeCell="I9" sqref="I9"/>
    </sheetView>
  </sheetViews>
  <sheetFormatPr defaultRowHeight="12.75" x14ac:dyDescent="0.2"/>
  <cols>
    <col min="1" max="1" width="21.83203125" style="45" customWidth="1"/>
    <col min="2" max="2" width="44.1640625" style="45" customWidth="1"/>
    <col min="3" max="3" width="42.6640625" style="45" customWidth="1"/>
    <col min="4" max="6" width="40.6640625" style="45" customWidth="1"/>
    <col min="7" max="8" width="42.83203125" style="45" customWidth="1"/>
    <col min="9" max="9" width="42.1640625" style="45" customWidth="1"/>
    <col min="10" max="16384" width="9.33203125" style="45"/>
  </cols>
  <sheetData>
    <row r="1" spans="1:9" ht="15" x14ac:dyDescent="0.25">
      <c r="A1" s="42" t="s">
        <v>100</v>
      </c>
      <c r="B1" s="42"/>
      <c r="C1" s="43" t="s">
        <v>206</v>
      </c>
      <c r="D1" s="43" t="s">
        <v>102</v>
      </c>
      <c r="E1" s="43" t="s">
        <v>103</v>
      </c>
      <c r="F1" s="44"/>
      <c r="G1" s="119" t="s">
        <v>104</v>
      </c>
      <c r="H1" s="119"/>
      <c r="I1" s="119"/>
    </row>
    <row r="2" spans="1:9" ht="25.5" x14ac:dyDescent="0.2">
      <c r="A2" s="46" t="s">
        <v>105</v>
      </c>
      <c r="B2" s="99"/>
      <c r="C2" s="100" t="s">
        <v>106</v>
      </c>
      <c r="D2" s="100" t="s">
        <v>107</v>
      </c>
      <c r="E2" s="101" t="s">
        <v>207</v>
      </c>
      <c r="F2" s="101"/>
      <c r="G2" s="120" t="s">
        <v>81</v>
      </c>
      <c r="H2" s="121"/>
      <c r="I2" s="122"/>
    </row>
    <row r="3" spans="1:9" ht="63" customHeight="1" x14ac:dyDescent="0.2">
      <c r="A3" s="47" t="s">
        <v>65</v>
      </c>
      <c r="B3" s="102"/>
      <c r="C3" s="103" t="s">
        <v>108</v>
      </c>
      <c r="D3" s="103" t="s">
        <v>109</v>
      </c>
      <c r="E3" s="104" t="s">
        <v>208</v>
      </c>
      <c r="F3" s="104"/>
      <c r="G3" s="123" t="s">
        <v>110</v>
      </c>
      <c r="H3" s="124"/>
      <c r="I3" s="125"/>
    </row>
    <row r="4" spans="1:9" x14ac:dyDescent="0.2">
      <c r="A4" s="46" t="s">
        <v>111</v>
      </c>
      <c r="B4" s="99"/>
      <c r="C4" s="100"/>
      <c r="D4" s="100"/>
      <c r="E4" s="100"/>
      <c r="F4" s="100"/>
      <c r="G4" s="100" t="s">
        <v>112</v>
      </c>
      <c r="H4" s="100"/>
      <c r="I4" s="100" t="s">
        <v>113</v>
      </c>
    </row>
    <row r="5" spans="1:9" x14ac:dyDescent="0.2">
      <c r="A5" s="47"/>
      <c r="B5" s="102"/>
      <c r="C5" s="103"/>
      <c r="D5" s="103"/>
      <c r="E5" s="103"/>
      <c r="F5" s="103"/>
      <c r="G5" s="103" t="s">
        <v>114</v>
      </c>
      <c r="H5" s="103"/>
      <c r="I5" s="103" t="s">
        <v>115</v>
      </c>
    </row>
    <row r="6" spans="1:9" x14ac:dyDescent="0.2">
      <c r="A6" s="46" t="s">
        <v>116</v>
      </c>
      <c r="B6" s="99"/>
      <c r="C6" s="100" t="s">
        <v>117</v>
      </c>
      <c r="D6" s="100" t="s">
        <v>118</v>
      </c>
      <c r="E6" s="100" t="s">
        <v>118</v>
      </c>
      <c r="F6" s="100"/>
      <c r="G6" s="100" t="s">
        <v>119</v>
      </c>
      <c r="H6" s="100"/>
      <c r="I6" s="100" t="s">
        <v>120</v>
      </c>
    </row>
    <row r="7" spans="1:9" x14ac:dyDescent="0.2">
      <c r="A7" s="47" t="s">
        <v>121</v>
      </c>
      <c r="B7" s="102"/>
      <c r="C7" s="103" t="s">
        <v>122</v>
      </c>
      <c r="D7" s="103" t="s">
        <v>123</v>
      </c>
      <c r="E7" s="103" t="s">
        <v>209</v>
      </c>
      <c r="F7" s="103"/>
      <c r="G7" s="103" t="s">
        <v>73</v>
      </c>
      <c r="H7" s="103"/>
      <c r="I7" s="103"/>
    </row>
    <row r="8" spans="1:9" x14ac:dyDescent="0.2">
      <c r="A8" s="46" t="s">
        <v>124</v>
      </c>
      <c r="B8" s="100" t="s">
        <v>96</v>
      </c>
      <c r="C8" s="100" t="s">
        <v>96</v>
      </c>
      <c r="D8" s="100" t="s">
        <v>125</v>
      </c>
      <c r="E8" s="100" t="s">
        <v>125</v>
      </c>
      <c r="F8" s="100"/>
      <c r="G8" s="115" t="s">
        <v>126</v>
      </c>
      <c r="H8" s="117" t="s">
        <v>126</v>
      </c>
      <c r="I8" s="115" t="s">
        <v>126</v>
      </c>
    </row>
    <row r="9" spans="1:9" ht="25.5" x14ac:dyDescent="0.2">
      <c r="A9" s="47" t="s">
        <v>127</v>
      </c>
      <c r="B9" s="103" t="s">
        <v>210</v>
      </c>
      <c r="C9" s="103" t="s">
        <v>98</v>
      </c>
      <c r="D9" s="103" t="s">
        <v>128</v>
      </c>
      <c r="E9" s="103" t="s">
        <v>211</v>
      </c>
      <c r="F9" s="103"/>
      <c r="G9" s="116" t="s">
        <v>226</v>
      </c>
      <c r="H9" s="118" t="s">
        <v>224</v>
      </c>
      <c r="I9" s="116" t="s">
        <v>227</v>
      </c>
    </row>
    <row r="10" spans="1:9" x14ac:dyDescent="0.2">
      <c r="A10" s="46" t="s">
        <v>129</v>
      </c>
      <c r="B10" s="100" t="s">
        <v>212</v>
      </c>
      <c r="C10" s="100" t="s">
        <v>97</v>
      </c>
      <c r="D10" s="100" t="s">
        <v>130</v>
      </c>
      <c r="E10" s="100" t="s">
        <v>213</v>
      </c>
      <c r="F10" s="100"/>
      <c r="G10" s="115" t="s">
        <v>221</v>
      </c>
      <c r="H10" s="117" t="s">
        <v>225</v>
      </c>
      <c r="I10" s="115" t="s">
        <v>223</v>
      </c>
    </row>
    <row r="11" spans="1:9" x14ac:dyDescent="0.2">
      <c r="A11" s="47" t="s">
        <v>131</v>
      </c>
      <c r="B11" s="102"/>
      <c r="C11" s="103"/>
      <c r="D11" s="103"/>
      <c r="E11" s="103"/>
      <c r="F11" s="103"/>
      <c r="G11" s="103" t="s">
        <v>222</v>
      </c>
      <c r="H11" s="103"/>
      <c r="I11" s="103" t="s">
        <v>74</v>
      </c>
    </row>
    <row r="12" spans="1:9" x14ac:dyDescent="0.2">
      <c r="A12" s="46" t="s">
        <v>132</v>
      </c>
      <c r="B12" s="99"/>
      <c r="C12" s="100"/>
      <c r="D12" s="100"/>
      <c r="E12" s="100"/>
      <c r="F12" s="100"/>
      <c r="G12" s="100" t="s">
        <v>221</v>
      </c>
      <c r="H12" s="100"/>
      <c r="I12" s="100" t="s">
        <v>74</v>
      </c>
    </row>
    <row r="13" spans="1:9" x14ac:dyDescent="0.2">
      <c r="A13" s="46"/>
      <c r="B13" s="99"/>
      <c r="C13" s="100"/>
      <c r="D13" s="100"/>
      <c r="E13" s="100"/>
      <c r="F13" s="100"/>
      <c r="G13" s="100"/>
      <c r="H13" s="100"/>
      <c r="I13" s="100"/>
    </row>
    <row r="14" spans="1:9" x14ac:dyDescent="0.2">
      <c r="A14" s="47"/>
      <c r="B14" s="102"/>
      <c r="C14" s="103"/>
      <c r="D14" s="103"/>
      <c r="E14" s="103"/>
      <c r="F14" s="103"/>
      <c r="G14" s="103"/>
      <c r="H14" s="103"/>
      <c r="I14" s="103"/>
    </row>
    <row r="15" spans="1:9" x14ac:dyDescent="0.2">
      <c r="A15" s="46"/>
      <c r="B15" s="99"/>
      <c r="C15" s="100"/>
      <c r="D15" s="100"/>
      <c r="E15" s="100"/>
      <c r="F15" s="100"/>
      <c r="G15" s="100"/>
      <c r="H15" s="100"/>
      <c r="I15" s="100"/>
    </row>
    <row r="16" spans="1:9" x14ac:dyDescent="0.2">
      <c r="A16" s="47"/>
      <c r="B16" s="102"/>
      <c r="C16" s="103"/>
      <c r="D16" s="103"/>
      <c r="E16" s="103"/>
      <c r="F16" s="103"/>
      <c r="G16" s="103"/>
      <c r="H16" s="103"/>
      <c r="I16" s="103"/>
    </row>
    <row r="17" spans="1:9" x14ac:dyDescent="0.2">
      <c r="A17" s="46"/>
      <c r="B17" s="99"/>
      <c r="C17" s="100"/>
      <c r="D17" s="100"/>
      <c r="E17" s="100"/>
      <c r="F17" s="100"/>
      <c r="G17" s="100"/>
      <c r="H17" s="100"/>
      <c r="I17" s="100"/>
    </row>
    <row r="18" spans="1:9" x14ac:dyDescent="0.2">
      <c r="A18" s="47" t="s">
        <v>69</v>
      </c>
      <c r="B18" s="102"/>
      <c r="C18" s="103" t="s">
        <v>69</v>
      </c>
      <c r="D18" s="103" t="s">
        <v>134</v>
      </c>
      <c r="E18" s="103" t="s">
        <v>214</v>
      </c>
      <c r="F18" s="103"/>
      <c r="G18" s="103"/>
      <c r="H18" s="103"/>
      <c r="I18" s="103"/>
    </row>
    <row r="19" spans="1:9" x14ac:dyDescent="0.2">
      <c r="A19" s="46" t="s">
        <v>135</v>
      </c>
      <c r="B19" s="99"/>
      <c r="C19" s="103" t="s">
        <v>95</v>
      </c>
      <c r="D19" s="103" t="s">
        <v>136</v>
      </c>
      <c r="E19" s="103" t="s">
        <v>215</v>
      </c>
      <c r="F19" s="100"/>
      <c r="G19" s="100"/>
      <c r="H19" s="100"/>
      <c r="I19" s="100"/>
    </row>
    <row r="20" spans="1:9" x14ac:dyDescent="0.2">
      <c r="A20" s="47" t="s">
        <v>137</v>
      </c>
      <c r="B20" s="102"/>
      <c r="C20" s="103" t="s">
        <v>71</v>
      </c>
      <c r="D20" s="103" t="s">
        <v>138</v>
      </c>
      <c r="E20" s="103" t="s">
        <v>216</v>
      </c>
      <c r="F20" s="103"/>
      <c r="G20" s="103"/>
      <c r="H20" s="103"/>
      <c r="I20" s="103"/>
    </row>
    <row r="21" spans="1:9" x14ac:dyDescent="0.2">
      <c r="A21" s="48"/>
      <c r="B21" s="105"/>
      <c r="C21" s="100"/>
      <c r="D21" s="100"/>
      <c r="E21" s="100"/>
      <c r="F21" s="100"/>
      <c r="G21" s="100"/>
      <c r="H21" s="100"/>
      <c r="I21" s="100"/>
    </row>
    <row r="23" spans="1:9" ht="79.5" customHeight="1" x14ac:dyDescent="0.2">
      <c r="A23" s="49" t="s">
        <v>139</v>
      </c>
      <c r="B23" s="49"/>
      <c r="C23" s="50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50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51"/>
      <c r="G23" s="52" t="str">
        <f>CONCATENATE(G8," ",G1,"-",G10," .",G9)</f>
        <v>Гл. специалист ССК УКС ПАО "Россети Московский регион"-Курчин М.М. .Приказ № от   2026г (НРС С-31-330248)</v>
      </c>
      <c r="H23" s="52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52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6.5" x14ac:dyDescent="0.2">
      <c r="A24" s="49" t="s">
        <v>139</v>
      </c>
      <c r="B24" s="49"/>
      <c r="C24" s="50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50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51"/>
      <c r="G24" s="52" t="str">
        <f>CONCATENATE(G8," ",G1,"-",G10)</f>
        <v>Гл. специалист ССК УКС ПАО "Россети Московский регион"-Курчин М.М.</v>
      </c>
      <c r="H24" s="52" t="str">
        <f>CONCATENATE(H8," ",G1,"-",H10)</f>
        <v>Гл. специалист ССК УКС ПАО "Россети Московский регион"-Шатковский А.Н.</v>
      </c>
      <c r="I24" s="52" t="str">
        <f>CONCATENATE(I8," ",G1,"-",I10)</f>
        <v>Гл. специалист ССК УКС ПАО "Россети Московский регион"-Алексанян Г.Р.</v>
      </c>
    </row>
    <row r="25" spans="1:9" ht="51" x14ac:dyDescent="0.2">
      <c r="C25" s="53" t="str">
        <f>CONCATENATE(C8," ",C1,"-",C10,".",C9)</f>
        <v>Инженер по строительному контролю ООО "Энергосистемы"-Капитонов Д.А..Приказ № 18-ОТ/24 от 03 июня 2024 (НОСТРОЙ С-50-188017)</v>
      </c>
      <c r="D25" s="53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4"/>
      <c r="G25" s="52" t="str">
        <f>CONCATENATE(G8," ",G1)</f>
        <v>Гл. специалист ССК УКС ПАО "Россети Московский регион"</v>
      </c>
      <c r="H25" s="52" t="str">
        <f>CONCATENATE(H8," ",G1)</f>
        <v>Гл. специалист ССК УКС ПАО "Россети Московский регион"</v>
      </c>
      <c r="I25" s="52" t="str">
        <f>CONCATENATE(I8," ",G1)</f>
        <v>Гл. специалист ССК УКС ПАО "Россети Московский регион"</v>
      </c>
    </row>
    <row r="26" spans="1:9" ht="25.5" x14ac:dyDescent="0.2">
      <c r="C26" s="53" t="str">
        <f>CONCATENATE(C8," ",C1)</f>
        <v>Инженер по строительному контролю ООО "Энергосистемы"</v>
      </c>
      <c r="D26" s="53" t="str">
        <f>CONCATENATE(D8," ",D1)</f>
        <v>Специалист по строительному контролю ООО «Гефест»</v>
      </c>
      <c r="E26" s="54"/>
      <c r="G26" s="49" t="str">
        <f>CONCATENATE(G6," ",G1," ",G7)</f>
        <v>Начальник СРЭС СЭС филиала ПАО "Россети Московский регион" Чуев А.Н.</v>
      </c>
      <c r="H26" s="49"/>
      <c r="I26" s="49" t="str">
        <f>CONCATENATE(I6," ",G1," ",I7)</f>
        <v xml:space="preserve">Начальник ХРЭС СЭС филиала ПАО "Россети Московский регион" </v>
      </c>
    </row>
    <row r="27" spans="1:9" ht="38.25" x14ac:dyDescent="0.2">
      <c r="C27" s="55" t="str">
        <f>CONCATENATE(C18," ",C1,"-",C20,".",C19)</f>
        <v>Прораб ООО "Энергосистемы"-Волков М.Ю..Приказ №05-ОТ/24 от 09 января 2024г</v>
      </c>
      <c r="D27" s="55" t="str">
        <f>CONCATENATE(D18," ",D1,"-",D20,".",D19)</f>
        <v>Мастер электромонтажного участка  ООО «Гефест»-Красилов К.А..Приказ №01/24-ОТ от 15.01.2024</v>
      </c>
      <c r="E27" s="52"/>
      <c r="G27" s="56" t="str">
        <f>CONCATENATE(G14," ",G1," ",G15)</f>
        <v xml:space="preserve"> ПАО "Россети Московский регион" </v>
      </c>
      <c r="H27" s="56"/>
      <c r="I27" s="56" t="str">
        <f>CONCATENATE(I14," ",G1," ",I15)</f>
        <v xml:space="preserve"> ПАО "Россети Московский регион" </v>
      </c>
    </row>
    <row r="28" spans="1:9" ht="25.5" x14ac:dyDescent="0.2">
      <c r="C28" s="55" t="str">
        <f>CONCATENATE(C18," ",C1," ",C20)</f>
        <v>Прораб ООО "Энергосистемы" Волков М.Ю.</v>
      </c>
      <c r="D28" s="55" t="str">
        <f>CONCATENATE(D18," ",D1,"-",D20)</f>
        <v>Мастер электромонтажного участка  ООО «Гефест»-Красилов К.А.</v>
      </c>
      <c r="E28" s="52"/>
      <c r="G28" s="49" t="str">
        <f>CONCATENATE(G16," ",G1," ",G17)</f>
        <v xml:space="preserve"> ПАО "Россети Московский регион" </v>
      </c>
      <c r="H28" s="49"/>
    </row>
    <row r="29" spans="1:9" ht="25.5" x14ac:dyDescent="0.2">
      <c r="C29" s="57" t="str">
        <f>CONCATENATE(C18," ",C1)</f>
        <v>Прораб ООО "Энергосистемы"</v>
      </c>
      <c r="D29" s="55" t="str">
        <f>CONCATENATE(D18," ",D1)</f>
        <v>Мастер электромонтажного участка  ООО «Гефест»</v>
      </c>
      <c r="E29" s="5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K77"/>
  <sheetViews>
    <sheetView tabSelected="1" topLeftCell="A10" workbookViewId="0">
      <selection activeCell="C43" sqref="C43"/>
    </sheetView>
  </sheetViews>
  <sheetFormatPr defaultRowHeight="12.75" x14ac:dyDescent="0.2"/>
  <cols>
    <col min="1" max="1" width="35" style="77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6" t="s">
        <v>140</v>
      </c>
      <c r="B1" s="127"/>
    </row>
    <row r="2" spans="1:3" ht="15" x14ac:dyDescent="0.25">
      <c r="A2" s="61" t="s">
        <v>141</v>
      </c>
      <c r="B2" s="62" t="s">
        <v>188</v>
      </c>
    </row>
    <row r="3" spans="1:3" ht="30" x14ac:dyDescent="0.25">
      <c r="A3" s="63" t="s">
        <v>62</v>
      </c>
      <c r="B3" s="64" t="s">
        <v>189</v>
      </c>
    </row>
    <row r="4" spans="1:3" ht="15" x14ac:dyDescent="0.25">
      <c r="A4" s="65" t="s">
        <v>142</v>
      </c>
      <c r="B4" s="66" t="s">
        <v>112</v>
      </c>
    </row>
    <row r="5" spans="1:3" ht="15" x14ac:dyDescent="0.25">
      <c r="A5" s="65" t="s">
        <v>64</v>
      </c>
      <c r="B5" s="66" t="s">
        <v>190</v>
      </c>
    </row>
    <row r="6" spans="1:3" ht="15" x14ac:dyDescent="0.25">
      <c r="A6" s="65" t="s">
        <v>143</v>
      </c>
      <c r="B6" s="88" t="s">
        <v>192</v>
      </c>
    </row>
    <row r="7" spans="1:3" ht="15" x14ac:dyDescent="0.25">
      <c r="A7" s="65" t="s">
        <v>144</v>
      </c>
      <c r="B7" s="88" t="s">
        <v>192</v>
      </c>
      <c r="C7" s="67"/>
    </row>
    <row r="8" spans="1:3" ht="14.25" x14ac:dyDescent="0.2">
      <c r="A8" s="126" t="s">
        <v>145</v>
      </c>
      <c r="B8" s="127"/>
    </row>
    <row r="9" spans="1:3" ht="15" x14ac:dyDescent="0.25">
      <c r="A9" s="68" t="s">
        <v>184</v>
      </c>
      <c r="B9" s="87" t="s">
        <v>220</v>
      </c>
    </row>
    <row r="10" spans="1:3" ht="14.25" x14ac:dyDescent="0.2">
      <c r="A10" s="126" t="s">
        <v>66</v>
      </c>
      <c r="B10" s="127"/>
    </row>
    <row r="11" spans="1:3" ht="15" x14ac:dyDescent="0.25">
      <c r="A11" s="65" t="s">
        <v>67</v>
      </c>
      <c r="B11" s="69" t="s">
        <v>101</v>
      </c>
      <c r="C11" s="70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65" t="s">
        <v>146</v>
      </c>
      <c r="B12" s="69" t="str">
        <f>'[1]Данные организации'!B2:C2</f>
        <v>ОГРН 1135044003709  ИНН 5044089069 КПП 504401001</v>
      </c>
      <c r="C12" s="70"/>
    </row>
    <row r="13" spans="1:3" ht="30" x14ac:dyDescent="0.25">
      <c r="A13" s="65" t="s">
        <v>65</v>
      </c>
      <c r="B13" s="69" t="s">
        <v>108</v>
      </c>
      <c r="C13" s="70"/>
    </row>
    <row r="14" spans="1:3" ht="15" hidden="1" x14ac:dyDescent="0.25">
      <c r="A14" s="65" t="s">
        <v>68</v>
      </c>
      <c r="B14" s="69" t="s">
        <v>118</v>
      </c>
      <c r="C14" s="70"/>
    </row>
    <row r="15" spans="1:3" ht="15" hidden="1" x14ac:dyDescent="0.25">
      <c r="A15" s="65" t="s">
        <v>147</v>
      </c>
      <c r="B15" s="69" t="s">
        <v>123</v>
      </c>
      <c r="C15" s="70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65" t="s">
        <v>68</v>
      </c>
      <c r="B16" s="69" t="s">
        <v>96</v>
      </c>
      <c r="C16" s="70" t="str">
        <f>CONCATENATE(B16," ",B11)</f>
        <v>Инженер по строительному контролю ООО"Энергосистемы"</v>
      </c>
    </row>
    <row r="17" spans="1:3" ht="15" x14ac:dyDescent="0.25">
      <c r="A17" s="65" t="s">
        <v>70</v>
      </c>
      <c r="B17" s="69" t="s">
        <v>212</v>
      </c>
      <c r="C17" s="71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65" t="s">
        <v>148</v>
      </c>
      <c r="B18" s="69" t="s">
        <v>210</v>
      </c>
      <c r="C18" s="71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65" t="s">
        <v>68</v>
      </c>
      <c r="B19" s="69" t="s">
        <v>69</v>
      </c>
      <c r="C19" s="70" t="str">
        <f>CONCATENATE(B19," ",B11)</f>
        <v>Прораб ООО"Энергосистемы"</v>
      </c>
    </row>
    <row r="20" spans="1:3" ht="15" x14ac:dyDescent="0.25">
      <c r="A20" s="65" t="s">
        <v>70</v>
      </c>
      <c r="B20" s="69" t="s">
        <v>71</v>
      </c>
      <c r="C20" s="71" t="str">
        <f>CONCATENATE(B19," ",B11," ",B20)</f>
        <v>Прораб ООО"Энергосистемы" Волков М.Ю.</v>
      </c>
    </row>
    <row r="21" spans="1:3" ht="15" x14ac:dyDescent="0.25">
      <c r="A21" s="72" t="s">
        <v>148</v>
      </c>
      <c r="B21" s="69" t="s">
        <v>95</v>
      </c>
      <c r="C21" s="71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28" t="s">
        <v>72</v>
      </c>
      <c r="B22" s="129"/>
    </row>
    <row r="23" spans="1:3" ht="15" x14ac:dyDescent="0.25">
      <c r="A23" s="72" t="s">
        <v>67</v>
      </c>
      <c r="B23" s="73" t="s">
        <v>104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72" t="s">
        <v>146</v>
      </c>
      <c r="B24" s="73" t="str">
        <f>'[2]Данные организации'!F2</f>
        <v>ОГРН 1057746555811 ИНН 5036065113 КПП 772501001</v>
      </c>
    </row>
    <row r="25" spans="1:3" ht="15" x14ac:dyDescent="0.25">
      <c r="A25" s="72" t="s">
        <v>65</v>
      </c>
      <c r="B25" s="73" t="str">
        <f>'[2]Данные организации'!F3</f>
        <v>115114, город Москва, проезд Павелецкий 2-й, дом 3, строение 2</v>
      </c>
    </row>
    <row r="26" spans="1:3" ht="15" hidden="1" x14ac:dyDescent="0.25">
      <c r="A26" s="72" t="s">
        <v>68</v>
      </c>
      <c r="B26" s="74" t="s">
        <v>119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72" t="s">
        <v>70</v>
      </c>
      <c r="B27" s="73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72" t="s">
        <v>68</v>
      </c>
      <c r="B28" s="73" t="s">
        <v>133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72" t="s">
        <v>70</v>
      </c>
      <c r="B29" s="73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72" t="s">
        <v>68</v>
      </c>
      <c r="B30" s="73" t="s">
        <v>76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72" t="s">
        <v>70</v>
      </c>
      <c r="B31" s="73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72" t="s">
        <v>68</v>
      </c>
      <c r="B32" s="73" t="s">
        <v>126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72" t="s">
        <v>70</v>
      </c>
      <c r="B33" s="73" t="s">
        <v>223</v>
      </c>
      <c r="C33" s="75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72" t="s">
        <v>148</v>
      </c>
      <c r="B34" s="73" t="s">
        <v>227</v>
      </c>
      <c r="C34" t="str">
        <f>CONCATENATE(B32," ",B23," ",B33,".",B34)</f>
        <v>Гл. специалист ССК УКС ПАО "Россети Московский регион" Алексанян Г.Р..Приказ №1904 от 03 июня 2026г (НРС С-50-069023)</v>
      </c>
    </row>
    <row r="35" spans="1:31" ht="15" x14ac:dyDescent="0.25">
      <c r="A35" s="107" t="s">
        <v>68</v>
      </c>
      <c r="B35" s="106" t="s">
        <v>222</v>
      </c>
      <c r="C35" t="str">
        <f>CONCATENATE(B35," ",B23)</f>
        <v>Мастер СРЭС СЭС филиала ПАО "Россети Московский регион"</v>
      </c>
    </row>
    <row r="36" spans="1:31" ht="15" x14ac:dyDescent="0.25">
      <c r="A36" s="107" t="s">
        <v>70</v>
      </c>
      <c r="B36" s="106" t="s">
        <v>221</v>
      </c>
      <c r="C36" s="75" t="str">
        <f>CONCATENATE(B35," ",B23," ",B36)</f>
        <v>Мастер СРЭС СЭС филиала ПАО "Россети Московский регион" Курчин М.М.</v>
      </c>
    </row>
    <row r="37" spans="1:31" ht="15" x14ac:dyDescent="0.25">
      <c r="A37" s="107" t="s">
        <v>148</v>
      </c>
      <c r="B37" s="106"/>
      <c r="C37" t="str">
        <f>CONCATENATE(B35," ",B23," ",B36,", ",B37)</f>
        <v xml:space="preserve">Мастер СРЭС СЭС филиала ПАО "Россети Московский регион" Курчин М.М., </v>
      </c>
    </row>
    <row r="38" spans="1:31" ht="14.25" x14ac:dyDescent="0.2">
      <c r="A38" s="126" t="s">
        <v>78</v>
      </c>
      <c r="B38" s="130"/>
    </row>
    <row r="39" spans="1:31" ht="15" x14ac:dyDescent="0.25">
      <c r="A39" s="63" t="s">
        <v>67</v>
      </c>
      <c r="B39" s="76" t="s">
        <v>101</v>
      </c>
    </row>
    <row r="40" spans="1:31" ht="15" x14ac:dyDescent="0.25">
      <c r="A40" s="65" t="s">
        <v>146</v>
      </c>
      <c r="B40" s="76" t="s">
        <v>106</v>
      </c>
    </row>
    <row r="41" spans="1:31" ht="30" x14ac:dyDescent="0.25">
      <c r="A41" s="65" t="s">
        <v>65</v>
      </c>
      <c r="B41" s="76" t="s">
        <v>108</v>
      </c>
    </row>
    <row r="42" spans="1:31" ht="15" x14ac:dyDescent="0.25">
      <c r="A42" s="63" t="s">
        <v>63</v>
      </c>
      <c r="B42" s="76" t="s">
        <v>79</v>
      </c>
    </row>
    <row r="43" spans="1:31" ht="15" x14ac:dyDescent="0.25">
      <c r="A43" s="63" t="s">
        <v>18</v>
      </c>
      <c r="B43" s="76" t="s">
        <v>191</v>
      </c>
    </row>
    <row r="44" spans="1:31" ht="30" customHeight="1" x14ac:dyDescent="0.25">
      <c r="A44" s="63" t="s">
        <v>80</v>
      </c>
      <c r="B44" s="76" t="s">
        <v>189</v>
      </c>
    </row>
    <row r="47" spans="1:31" x14ac:dyDescent="0.2">
      <c r="C47" s="78"/>
      <c r="D47" s="78"/>
      <c r="E47" s="78"/>
      <c r="F47" s="78"/>
      <c r="G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</row>
    <row r="48" spans="1:31" x14ac:dyDescent="0.2">
      <c r="C48" s="78"/>
      <c r="D48" s="78"/>
      <c r="E48" s="78"/>
      <c r="F48" s="78"/>
      <c r="G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spans="3:37" x14ac:dyDescent="0.2">
      <c r="C49" s="78"/>
      <c r="D49" s="78"/>
      <c r="E49" s="78"/>
      <c r="F49" s="78"/>
      <c r="G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spans="3:37" x14ac:dyDescent="0.2">
      <c r="C50" s="78"/>
      <c r="D50" s="78"/>
      <c r="E50" s="78"/>
      <c r="F50" s="78"/>
      <c r="G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spans="3:37" x14ac:dyDescent="0.2">
      <c r="C51" s="78"/>
      <c r="D51" s="78"/>
      <c r="E51" s="78"/>
      <c r="F51" s="78"/>
      <c r="G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spans="3:37" x14ac:dyDescent="0.2">
      <c r="C52" s="78"/>
      <c r="D52" s="78"/>
      <c r="E52" s="78"/>
      <c r="F52" s="78"/>
      <c r="G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spans="3:37" x14ac:dyDescent="0.2">
      <c r="C53" s="78"/>
      <c r="D53" s="78"/>
      <c r="E53" s="78"/>
      <c r="F53" s="78"/>
      <c r="G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spans="3:37" x14ac:dyDescent="0.2">
      <c r="C54" s="78"/>
      <c r="D54" s="78"/>
      <c r="E54" s="78"/>
      <c r="F54" s="78"/>
      <c r="G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8" spans="3:37" ht="14.45" customHeight="1" x14ac:dyDescent="0.2"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spans="3:37" ht="14.45" customHeight="1" x14ac:dyDescent="0.2"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</row>
    <row r="60" spans="3:37" x14ac:dyDescent="0.2"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</row>
    <row r="61" spans="3:37" x14ac:dyDescent="0.2"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3:37" x14ac:dyDescent="0.2"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</row>
    <row r="63" spans="3:37" x14ac:dyDescent="0.2"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</row>
    <row r="64" spans="3:37" x14ac:dyDescent="0.2"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</row>
    <row r="65" spans="2:37" x14ac:dyDescent="0.2"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</row>
    <row r="66" spans="2:37" x14ac:dyDescent="0.2"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</row>
    <row r="67" spans="2:37" x14ac:dyDescent="0.2"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</row>
    <row r="68" spans="2:37" x14ac:dyDescent="0.2"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</row>
    <row r="69" spans="2:37" x14ac:dyDescent="0.2"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</row>
    <row r="70" spans="2:37" x14ac:dyDescent="0.2"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</row>
    <row r="71" spans="2:37" x14ac:dyDescent="0.2"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</row>
    <row r="72" spans="2:37" ht="14.45" customHeight="1" x14ac:dyDescent="0.2"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</row>
    <row r="77" spans="2:37" ht="16.149999999999999" customHeight="1" x14ac:dyDescent="0.2">
      <c r="B77" s="80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CDE7BA16-23D1-4EDA-8A4A-756C7CA26469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95A38B0D-C7A2-48F0-88AD-6853F68B4D82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8B20BFE9-63F8-42AD-B678-DCFABCEFCD95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AB0C3893-07A8-43AE-9AA4-151E561722F3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0DDF1B0B-534B-4FB1-B56E-0770BFA9E512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4198C9EA-C956-4581-8DC7-38116D55626F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7E4DC714-A0E4-4A0B-8F94-48CD0E2C587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0C46B00A-01B8-4030-87CE-EED977465223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D7DE61E4-3D94-45F4-BE3E-D48B26DAD9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692D8027-B45A-45AF-80A6-A0B7608E9833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9B8A9E0B-BEEE-41FE-9288-B8B50879ABFA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8B8D7025-654B-4D38-9D2C-BCF3824283AA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6F522991-9D52-4A60-A9AD-5A3626BB2DA4}">
          <x14:formula1>
            <xm:f>'Данные организации'!$G$9:$I$9</xm:f>
          </x14:formula1>
          <xm:sqref>B34</xm:sqref>
        </x14:dataValidation>
        <x14:dataValidation type="list" allowBlank="1" showInputMessage="1" showErrorMessage="1" xr:uid="{E67B41E6-C0B9-4B29-A520-311D0C4B379C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4D478C18-B5D5-408B-8287-EAEABA27F9B1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572F80E2-BBDC-444B-BCD5-13337956B300}">
          <x14:formula1>
            <xm:f>'Данные организации'!$G$11:$I$11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7"/>
    <pageSetUpPr fitToPage="1"/>
  </sheetPr>
  <dimension ref="A1:AQ115"/>
  <sheetViews>
    <sheetView view="pageBreakPreview" topLeftCell="A34" zoomScale="125" zoomScaleNormal="125" zoomScaleSheetLayoutView="125" workbookViewId="0">
      <selection activeCell="A58" sqref="A58:AJ58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1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2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ht="12.9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36" s="23" customFormat="1" ht="12.95" customHeight="1" x14ac:dyDescent="0.2">
      <c r="A32" s="28"/>
      <c r="B32" s="28" t="s">
        <v>18</v>
      </c>
      <c r="C32" s="34">
        <v>1</v>
      </c>
      <c r="D32" s="34"/>
      <c r="E32" s="137" t="s">
        <v>173</v>
      </c>
      <c r="F32" s="137"/>
      <c r="G32" s="137"/>
      <c r="H32" s="35"/>
      <c r="I32" s="35"/>
      <c r="J32" s="35"/>
      <c r="X32" s="24"/>
      <c r="Y32" s="140"/>
      <c r="Z32" s="140"/>
      <c r="AB32" s="137" t="str">
        <f>P77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s="26" customFormat="1" ht="12.95" customHeight="1" x14ac:dyDescent="0.15">
      <c r="Y33" s="29"/>
      <c r="Z33" s="30"/>
      <c r="AA33" s="29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3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1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11.25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37" t="str">
        <f>'Данные объект'!B11</f>
        <v>ООО"Энергосистемы"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</row>
    <row r="59" spans="1:36" ht="10.5" customHeight="1" x14ac:dyDescent="0.25">
      <c r="A59" s="145" t="s">
        <v>39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08" t="s">
        <v>174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4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34" t="s">
        <v>40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147" t="s">
        <v>55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</row>
    <row r="69" spans="1:36" s="23" customFormat="1" ht="12" customHeight="1" x14ac:dyDescent="0.2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</row>
    <row r="70" spans="1:36" ht="18.75" customHeight="1" x14ac:dyDescent="0.25">
      <c r="A70" s="148" t="s">
        <v>56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</row>
    <row r="71" spans="1:36" s="23" customFormat="1" ht="12" customHeight="1" x14ac:dyDescent="0.2">
      <c r="A71" s="89" t="s">
        <v>11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</row>
    <row r="72" spans="1:36" s="23" customFormat="1" ht="12" customHeight="1" x14ac:dyDescent="0.2">
      <c r="A72" s="89" t="s">
        <v>10</v>
      </c>
      <c r="B72" s="89"/>
      <c r="C72" s="89"/>
      <c r="D72" s="89"/>
      <c r="E72" s="89"/>
      <c r="F72" s="89"/>
      <c r="G72" s="146" t="s">
        <v>175</v>
      </c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97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97"/>
      <c r="AJ72" s="97"/>
    </row>
    <row r="73" spans="1:36" ht="7.5" customHeight="1" x14ac:dyDescent="0.25">
      <c r="A73" s="150"/>
      <c r="B73" s="150"/>
      <c r="C73" s="98"/>
      <c r="D73" s="98"/>
      <c r="E73" s="98"/>
      <c r="F73" s="98"/>
      <c r="G73" s="149" t="s">
        <v>9</v>
      </c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</row>
    <row r="74" spans="1:36" ht="7.5" customHeight="1" x14ac:dyDescent="0.25">
      <c r="A74" s="134" t="s">
        <v>193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spans="1:36" ht="9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s="23" customFormat="1" ht="12" customHeight="1" x14ac:dyDescent="0.2">
      <c r="A76" s="23" t="s">
        <v>8</v>
      </c>
      <c r="D76" s="59"/>
      <c r="E76" s="59"/>
      <c r="F76" s="59"/>
      <c r="G76" s="59"/>
      <c r="L76" s="24"/>
      <c r="M76" s="39"/>
      <c r="N76" s="39"/>
      <c r="P76" s="137" t="str">
        <f>'Данные объект'!B6</f>
        <v>21.02.2025</v>
      </c>
      <c r="Q76" s="137"/>
      <c r="R76" s="137"/>
      <c r="S76" s="137"/>
      <c r="T76" s="137"/>
      <c r="U76" s="137"/>
      <c r="V76" s="137"/>
      <c r="W76" s="137"/>
      <c r="X76" s="23" t="s">
        <v>6</v>
      </c>
    </row>
    <row r="77" spans="1:36" s="23" customFormat="1" ht="12" customHeight="1" x14ac:dyDescent="0.2">
      <c r="A77" s="23" t="s">
        <v>7</v>
      </c>
      <c r="D77" s="59"/>
      <c r="E77" s="59"/>
      <c r="F77" s="59"/>
      <c r="G77" s="59"/>
      <c r="L77" s="24"/>
      <c r="M77" s="39"/>
      <c r="N77" s="39"/>
      <c r="P77" s="137" t="str">
        <f>'Данные объект'!B7</f>
        <v>21.02.2025</v>
      </c>
      <c r="Q77" s="137"/>
      <c r="R77" s="137"/>
      <c r="S77" s="137"/>
      <c r="T77" s="137"/>
      <c r="U77" s="137"/>
      <c r="V77" s="137"/>
      <c r="W77" s="137"/>
      <c r="X77" s="23" t="s">
        <v>6</v>
      </c>
    </row>
    <row r="78" spans="1:36" s="23" customFormat="1" ht="7.5" customHeight="1" x14ac:dyDescent="0.2">
      <c r="A78" s="36"/>
      <c r="B78" s="36"/>
      <c r="C78" s="36"/>
      <c r="D78" s="37"/>
      <c r="E78" s="37"/>
      <c r="F78" s="37"/>
      <c r="G78" s="37"/>
    </row>
    <row r="79" spans="1:36" s="23" customFormat="1" ht="12" customHeight="1" x14ac:dyDescent="0.2">
      <c r="A79" s="23" t="s">
        <v>5</v>
      </c>
    </row>
    <row r="80" spans="1:36" s="23" customFormat="1" ht="12" customHeight="1" x14ac:dyDescent="0.2">
      <c r="A80" s="143" t="s">
        <v>99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</row>
    <row r="81" spans="1:36" ht="8.25" customHeight="1" x14ac:dyDescent="0.25">
      <c r="A81" s="134" t="s">
        <v>4</v>
      </c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</row>
    <row r="82" spans="1:36" s="23" customFormat="1" ht="12" customHeight="1" x14ac:dyDescent="0.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</row>
    <row r="83" spans="1:36" ht="8.25" customHeight="1" x14ac:dyDescent="0.25">
      <c r="A83" s="134" t="s">
        <v>57</v>
      </c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s="23" customFormat="1" ht="12" customHeight="1" x14ac:dyDescent="0.2">
      <c r="A84" s="23" t="s">
        <v>3</v>
      </c>
    </row>
    <row r="85" spans="1:36" s="23" customFormat="1" ht="12" customHeight="1" x14ac:dyDescent="0.2">
      <c r="A85" s="137" t="s">
        <v>176</v>
      </c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ht="9" customHeight="1" x14ac:dyDescent="0.25">
      <c r="A86" s="134" t="s">
        <v>32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s="23" customFormat="1" ht="12" customHeight="1" x14ac:dyDescent="0.2">
      <c r="A87" s="23" t="s">
        <v>2</v>
      </c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</row>
    <row r="88" spans="1:36" ht="6" customHeight="1" x14ac:dyDescent="0.25">
      <c r="D88" s="4"/>
      <c r="E88" s="4"/>
      <c r="F88" s="4"/>
      <c r="G88" s="4"/>
      <c r="H88" s="4"/>
      <c r="I88" s="4"/>
      <c r="J88" s="4"/>
    </row>
    <row r="89" spans="1:36" s="23" customFormat="1" ht="12" customHeight="1" x14ac:dyDescent="0.2">
      <c r="A89" s="23" t="s">
        <v>94</v>
      </c>
      <c r="H89" s="137"/>
      <c r="I89" s="137"/>
      <c r="J89" s="23" t="s">
        <v>33</v>
      </c>
    </row>
    <row r="90" spans="1:36" ht="4.5" customHeight="1" x14ac:dyDescent="0.25"/>
    <row r="91" spans="1:36" s="23" customFormat="1" ht="12" customHeight="1" x14ac:dyDescent="0.2">
      <c r="A91" s="23" t="s">
        <v>1</v>
      </c>
    </row>
    <row r="92" spans="1:36" s="23" customFormat="1" ht="12" customHeight="1" x14ac:dyDescent="0.2">
      <c r="A92" s="34" t="s">
        <v>83</v>
      </c>
      <c r="B92" s="34" t="str">
        <f>G72</f>
        <v>Исполнительная схема постамента ВРЩ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 t="s">
        <v>74</v>
      </c>
      <c r="S92" s="34" t="s">
        <v>84</v>
      </c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</row>
    <row r="93" spans="1:36" ht="9.75" customHeight="1" x14ac:dyDescent="0.25">
      <c r="A93" s="134" t="s">
        <v>0</v>
      </c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</row>
    <row r="94" spans="1:36" ht="6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23" customFormat="1" ht="12" customHeight="1" x14ac:dyDescent="0.2">
      <c r="A95" s="23" t="s">
        <v>23</v>
      </c>
    </row>
    <row r="96" spans="1:36" s="23" customFormat="1" ht="12" customHeight="1" x14ac:dyDescent="0.2">
      <c r="A96" s="23" t="s">
        <v>24</v>
      </c>
    </row>
    <row r="97" spans="1:36" s="23" customFormat="1" ht="12" customHeight="1" x14ac:dyDescent="0.2">
      <c r="A97" s="137" t="str">
        <f>'Данные объект'!B33</f>
        <v>Алексанян Г.Р.</v>
      </c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137"/>
      <c r="AC97" s="137"/>
      <c r="AD97" s="137"/>
      <c r="AE97" s="137"/>
      <c r="AF97" s="137"/>
      <c r="AG97" s="137"/>
      <c r="AH97" s="137"/>
      <c r="AI97" s="137"/>
      <c r="AJ97" s="137"/>
    </row>
    <row r="98" spans="1:36" ht="9" customHeight="1" x14ac:dyDescent="0.25">
      <c r="A98" s="145" t="s">
        <v>35</v>
      </c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6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44" t="s">
        <v>34</v>
      </c>
      <c r="AC98" s="144"/>
      <c r="AD98" s="144"/>
      <c r="AE98" s="144"/>
      <c r="AF98" s="144"/>
      <c r="AG98" s="144"/>
      <c r="AH98" s="144"/>
      <c r="AI98" s="144"/>
      <c r="AJ98" s="144"/>
    </row>
    <row r="99" spans="1:36" s="23" customFormat="1" ht="12" customHeight="1" x14ac:dyDescent="0.2">
      <c r="A99" s="23" t="s">
        <v>25</v>
      </c>
    </row>
    <row r="100" spans="1:36" s="23" customFormat="1" ht="12" customHeight="1" x14ac:dyDescent="0.2">
      <c r="A100" s="137" t="str">
        <f>'Данные объект'!B20</f>
        <v>Волков М.Ю.</v>
      </c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137"/>
      <c r="AC100" s="137"/>
      <c r="AD100" s="137"/>
      <c r="AE100" s="137"/>
      <c r="AF100" s="137"/>
      <c r="AG100" s="137"/>
      <c r="AH100" s="137"/>
      <c r="AI100" s="137"/>
      <c r="AJ100" s="137"/>
    </row>
    <row r="101" spans="1:36" ht="9" customHeight="1" x14ac:dyDescent="0.25">
      <c r="A101" s="145" t="s">
        <v>35</v>
      </c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6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44" t="s">
        <v>34</v>
      </c>
      <c r="AC101" s="144"/>
      <c r="AD101" s="144"/>
      <c r="AE101" s="144"/>
      <c r="AF101" s="144"/>
      <c r="AG101" s="144"/>
      <c r="AH101" s="144"/>
      <c r="AI101" s="144"/>
      <c r="AJ101" s="144"/>
    </row>
    <row r="102" spans="1:36" s="23" customFormat="1" ht="12" customHeight="1" x14ac:dyDescent="0.2">
      <c r="A102" s="23" t="s">
        <v>27</v>
      </c>
    </row>
    <row r="103" spans="1:36" s="23" customFormat="1" ht="12" customHeight="1" x14ac:dyDescent="0.2">
      <c r="A103" s="23" t="s">
        <v>28</v>
      </c>
    </row>
    <row r="104" spans="1:36" s="23" customFormat="1" ht="12" customHeight="1" x14ac:dyDescent="0.2">
      <c r="A104" s="137" t="str">
        <f>'Данные объект'!B17</f>
        <v>Русин В.А.</v>
      </c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37"/>
      <c r="AC104" s="137"/>
      <c r="AD104" s="137"/>
      <c r="AE104" s="137"/>
      <c r="AF104" s="137"/>
      <c r="AG104" s="137"/>
      <c r="AH104" s="137"/>
      <c r="AI104" s="137"/>
      <c r="AJ104" s="137"/>
    </row>
    <row r="105" spans="1:36" ht="9" customHeight="1" x14ac:dyDescent="0.25">
      <c r="A105" s="145" t="s">
        <v>35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44" t="s">
        <v>34</v>
      </c>
      <c r="AC105" s="144"/>
      <c r="AD105" s="144"/>
      <c r="AE105" s="144"/>
      <c r="AF105" s="144"/>
      <c r="AG105" s="144"/>
      <c r="AH105" s="144"/>
      <c r="AI105" s="144"/>
      <c r="AJ105" s="144"/>
    </row>
    <row r="106" spans="1:36" x14ac:dyDescent="0.25">
      <c r="A106" s="23" t="s">
        <v>218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93"/>
      <c r="AC106" s="93"/>
      <c r="AD106" s="93"/>
      <c r="AE106" s="93"/>
      <c r="AF106" s="93"/>
      <c r="AG106" s="93"/>
      <c r="AH106" s="93"/>
      <c r="AI106" s="93"/>
      <c r="AJ106" s="93"/>
    </row>
    <row r="107" spans="1:36" x14ac:dyDescent="0.25">
      <c r="A107" s="137" t="str">
        <f>'Данные объект'!$B$36</f>
        <v>Курчин М.М.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37"/>
      <c r="AC107" s="137"/>
      <c r="AD107" s="137"/>
      <c r="AE107" s="137"/>
      <c r="AF107" s="137"/>
      <c r="AG107" s="137"/>
      <c r="AH107" s="137"/>
      <c r="AI107" s="137"/>
      <c r="AJ107" s="137"/>
    </row>
    <row r="108" spans="1:36" ht="9" customHeight="1" x14ac:dyDescent="0.25">
      <c r="A108" s="145" t="s">
        <v>35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44" t="s">
        <v>34</v>
      </c>
      <c r="AC108" s="144"/>
      <c r="AD108" s="144"/>
      <c r="AE108" s="144"/>
      <c r="AF108" s="144"/>
      <c r="AG108" s="144"/>
      <c r="AH108" s="144"/>
      <c r="AI108" s="144"/>
      <c r="AJ108" s="144"/>
    </row>
    <row r="109" spans="1:36" s="23" customFormat="1" ht="33.75" customHeight="1" x14ac:dyDescent="0.2">
      <c r="A109" s="142" t="s">
        <v>51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spans="1:36" ht="12" customHeight="1" x14ac:dyDescent="0.25">
      <c r="A110" s="151" t="s">
        <v>74</v>
      </c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1" t="s">
        <v>74</v>
      </c>
      <c r="AC110" s="151"/>
      <c r="AD110" s="151"/>
      <c r="AE110" s="151"/>
      <c r="AF110" s="151"/>
      <c r="AG110" s="151"/>
      <c r="AH110" s="151"/>
      <c r="AI110" s="151"/>
      <c r="AJ110" s="151"/>
    </row>
    <row r="111" spans="1:36" ht="9" customHeight="1" x14ac:dyDescent="0.25">
      <c r="A111" s="145" t="s">
        <v>35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44" t="s">
        <v>34</v>
      </c>
      <c r="AC111" s="144"/>
      <c r="AD111" s="144"/>
      <c r="AE111" s="144"/>
      <c r="AF111" s="144"/>
      <c r="AG111" s="144"/>
      <c r="AH111" s="144"/>
      <c r="AI111" s="144"/>
      <c r="AJ111" s="144"/>
    </row>
    <row r="112" spans="1:36" s="23" customFormat="1" ht="25.5" hidden="1" customHeight="1" x14ac:dyDescent="0.2">
      <c r="A112" s="142" t="s">
        <v>53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</row>
    <row r="113" spans="1:36" s="23" customFormat="1" ht="12" hidden="1" customHeight="1" x14ac:dyDescent="0.2">
      <c r="A113" s="137" t="e">
        <f>#REF!</f>
        <v>#REF!</v>
      </c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137"/>
      <c r="AC113" s="137"/>
      <c r="AD113" s="137"/>
      <c r="AE113" s="137"/>
      <c r="AF113" s="137"/>
      <c r="AG113" s="137"/>
      <c r="AH113" s="137"/>
      <c r="AI113" s="137"/>
      <c r="AJ113" s="137"/>
    </row>
    <row r="114" spans="1:36" ht="9" hidden="1" customHeight="1" x14ac:dyDescent="0.25">
      <c r="A114" s="145" t="s">
        <v>35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4" t="s">
        <v>34</v>
      </c>
      <c r="AC114" s="144"/>
      <c r="AD114" s="144"/>
      <c r="AE114" s="144"/>
      <c r="AF114" s="144"/>
      <c r="AG114" s="144"/>
      <c r="AH114" s="144"/>
      <c r="AI114" s="144"/>
      <c r="AJ114" s="144"/>
    </row>
    <row r="115" spans="1:36" ht="12" customHeight="1" x14ac:dyDescent="0.25"/>
  </sheetData>
  <mergeCells count="100">
    <mergeCell ref="A42:AJ42"/>
    <mergeCell ref="P76:W76"/>
    <mergeCell ref="P77:W77"/>
    <mergeCell ref="G72:S72"/>
    <mergeCell ref="A101:O101"/>
    <mergeCell ref="AB101:AJ101"/>
    <mergeCell ref="A69:AJ69"/>
    <mergeCell ref="A59:AJ59"/>
    <mergeCell ref="A58:AJ58"/>
    <mergeCell ref="A51:AJ51"/>
    <mergeCell ref="A53:AJ53"/>
    <mergeCell ref="A54:AJ54"/>
    <mergeCell ref="A55:AJ55"/>
    <mergeCell ref="A56:AJ56"/>
    <mergeCell ref="P67:AJ67"/>
    <mergeCell ref="A63:AJ63"/>
    <mergeCell ref="A111:O111"/>
    <mergeCell ref="AB111:AJ111"/>
    <mergeCell ref="A104:O104"/>
    <mergeCell ref="AB104:AJ104"/>
    <mergeCell ref="A105:O105"/>
    <mergeCell ref="AB105:AJ105"/>
    <mergeCell ref="A110:O110"/>
    <mergeCell ref="AB110:AJ110"/>
    <mergeCell ref="A109:AJ109"/>
    <mergeCell ref="A107:O107"/>
    <mergeCell ref="AB107:AJ107"/>
    <mergeCell ref="A108:O108"/>
    <mergeCell ref="AB108:AJ108"/>
    <mergeCell ref="A113:O113"/>
    <mergeCell ref="AB113:AJ113"/>
    <mergeCell ref="A114:O114"/>
    <mergeCell ref="AB114:AJ114"/>
    <mergeCell ref="A112:AJ112"/>
    <mergeCell ref="A4:AJ4"/>
    <mergeCell ref="A5:AJ5"/>
    <mergeCell ref="A6:AJ6"/>
    <mergeCell ref="A8:AJ8"/>
    <mergeCell ref="A9:AJ9"/>
    <mergeCell ref="A7:AJ7"/>
    <mergeCell ref="A10:AJ10"/>
    <mergeCell ref="A11:AJ11"/>
    <mergeCell ref="A15:AJ15"/>
    <mergeCell ref="A16:AJ16"/>
    <mergeCell ref="A17:AJ17"/>
    <mergeCell ref="A20:AJ20"/>
    <mergeCell ref="A23:AJ23"/>
    <mergeCell ref="A24:AJ24"/>
    <mergeCell ref="A12:AJ12"/>
    <mergeCell ref="A13:AJ13"/>
    <mergeCell ref="A22:AJ22"/>
    <mergeCell ref="A18:AJ18"/>
    <mergeCell ref="A19:AJ19"/>
    <mergeCell ref="A74:AJ74"/>
    <mergeCell ref="A85:AJ85"/>
    <mergeCell ref="A83:AJ83"/>
    <mergeCell ref="U72:AH72"/>
    <mergeCell ref="A65:AJ65"/>
    <mergeCell ref="A66:AJ66"/>
    <mergeCell ref="P68:AJ68"/>
    <mergeCell ref="A70:AJ70"/>
    <mergeCell ref="A73:B73"/>
    <mergeCell ref="G73:AJ73"/>
    <mergeCell ref="AB97:AJ97"/>
    <mergeCell ref="A97:O97"/>
    <mergeCell ref="A80:AJ80"/>
    <mergeCell ref="A100:O100"/>
    <mergeCell ref="L87:AJ87"/>
    <mergeCell ref="A93:AJ93"/>
    <mergeCell ref="A81:AJ81"/>
    <mergeCell ref="A82:AJ82"/>
    <mergeCell ref="H89:I89"/>
    <mergeCell ref="AB98:AJ98"/>
    <mergeCell ref="A98:O98"/>
    <mergeCell ref="AB100:AJ100"/>
    <mergeCell ref="A86:AJ86"/>
    <mergeCell ref="A43:AJ43"/>
    <mergeCell ref="A49:AJ49"/>
    <mergeCell ref="A52:AJ52"/>
    <mergeCell ref="A44:AJ44"/>
    <mergeCell ref="A45:AJ45"/>
    <mergeCell ref="A50:AJ50"/>
    <mergeCell ref="A46:AJ46"/>
    <mergeCell ref="A47:AJ47"/>
    <mergeCell ref="A48:AJ48"/>
    <mergeCell ref="A41:AJ41"/>
    <mergeCell ref="A38:AJ38"/>
    <mergeCell ref="A39:AJ39"/>
    <mergeCell ref="A25:AJ25"/>
    <mergeCell ref="A26:AJ26"/>
    <mergeCell ref="A27:AJ27"/>
    <mergeCell ref="A29:AJ29"/>
    <mergeCell ref="AB32:AI32"/>
    <mergeCell ref="AB33:AI33"/>
    <mergeCell ref="A30:AJ30"/>
    <mergeCell ref="Y32:Z32"/>
    <mergeCell ref="A36:AJ36"/>
    <mergeCell ref="E32:G32"/>
    <mergeCell ref="A35:AJ35"/>
    <mergeCell ref="A37:AJ3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  <pageSetUpPr fitToPage="1"/>
  </sheetPr>
  <dimension ref="A1:AQ121"/>
  <sheetViews>
    <sheetView view="pageBreakPreview" topLeftCell="A27" zoomScaleNormal="125" zoomScaleSheetLayoutView="100" workbookViewId="0">
      <selection activeCell="A117" sqref="A117:O117"/>
    </sheetView>
  </sheetViews>
  <sheetFormatPr defaultColWidth="10.6640625" defaultRowHeight="15" x14ac:dyDescent="0.25"/>
  <cols>
    <col min="1" max="9" width="2.83203125" style="1" customWidth="1"/>
    <col min="10" max="10" width="3.6640625" style="1" customWidth="1"/>
    <col min="1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14.2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1.25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'АОСР-1'!C32+1</f>
        <v>2</v>
      </c>
      <c r="D32" s="34"/>
      <c r="E32" s="137" t="str">
        <f>'АОСР-1'!E32:G32</f>
        <v>/ВРЩ</v>
      </c>
      <c r="F32" s="137"/>
      <c r="G32" s="137"/>
      <c r="H32" s="35"/>
      <c r="I32" s="35"/>
      <c r="J32" s="35"/>
      <c r="X32" s="81"/>
      <c r="Y32" s="86"/>
      <c r="Z32" s="86"/>
      <c r="AA32" s="82"/>
      <c r="AB32" s="137" t="str">
        <f>P80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38" t="s">
        <v>17</v>
      </c>
      <c r="AC33" s="138"/>
      <c r="AD33" s="138"/>
      <c r="AE33" s="138"/>
      <c r="AF33" s="138"/>
      <c r="AG33" s="138"/>
      <c r="AH33" s="138"/>
      <c r="AI33" s="138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1.7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4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12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37" t="str">
        <f>'Данные объект'!B11</f>
        <v>ООО"Энергосистемы"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</row>
    <row r="59" spans="1:36" ht="14.25" customHeight="1" x14ac:dyDescent="0.25">
      <c r="A59" s="145" t="s">
        <v>39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31" t="str">
        <f>'АОСР-1'!A85</f>
        <v>Монтаж постамента ВРЩ</v>
      </c>
      <c r="B62" s="131"/>
      <c r="C62" s="131"/>
      <c r="D62" s="131"/>
      <c r="E62" s="131"/>
      <c r="F62" s="131"/>
      <c r="G62" s="131"/>
      <c r="H62" s="131"/>
      <c r="I62" s="131"/>
      <c r="J62" s="58"/>
      <c r="K62" s="58"/>
      <c r="L62" s="58"/>
      <c r="M62" s="58"/>
      <c r="N62" s="58"/>
      <c r="O62" s="58"/>
      <c r="P62" s="32"/>
      <c r="Q62" s="32"/>
      <c r="R62" s="32"/>
      <c r="S62" s="58"/>
      <c r="T62" s="32"/>
      <c r="U62" s="32"/>
      <c r="V62" s="32"/>
      <c r="W62" s="32"/>
      <c r="X62" s="32"/>
      <c r="Y62" s="58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4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34" t="s">
        <v>40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147" t="s">
        <v>55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</row>
    <row r="69" spans="1:36" s="23" customFormat="1" ht="12" customHeight="1" x14ac:dyDescent="0.2">
      <c r="A69" s="153" t="s">
        <v>86</v>
      </c>
      <c r="B69" s="153"/>
      <c r="C69" s="153"/>
      <c r="D69" s="153"/>
      <c r="E69" s="153"/>
      <c r="F69" s="153"/>
      <c r="G69" s="109"/>
      <c r="H69" s="109"/>
      <c r="I69" s="110" t="s">
        <v>74</v>
      </c>
      <c r="J69" s="156">
        <v>12.75</v>
      </c>
      <c r="K69" s="156"/>
      <c r="L69" s="156" t="s">
        <v>169</v>
      </c>
      <c r="M69" s="156"/>
      <c r="N69" s="153" t="s">
        <v>199</v>
      </c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10"/>
      <c r="AI69" s="110"/>
      <c r="AJ69" s="110"/>
    </row>
    <row r="70" spans="1:36" s="23" customFormat="1" ht="12" customHeight="1" x14ac:dyDescent="0.2">
      <c r="A70" s="155" t="s">
        <v>194</v>
      </c>
      <c r="B70" s="155"/>
      <c r="C70" s="155"/>
      <c r="D70" s="155"/>
      <c r="E70" s="155"/>
      <c r="F70" s="155"/>
      <c r="G70" s="111"/>
      <c r="H70" s="111"/>
      <c r="I70" s="112" t="s">
        <v>74</v>
      </c>
      <c r="J70" s="154">
        <v>1.05</v>
      </c>
      <c r="K70" s="154"/>
      <c r="L70" s="154" t="s">
        <v>169</v>
      </c>
      <c r="M70" s="154"/>
      <c r="N70" s="153" t="s">
        <v>200</v>
      </c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13"/>
      <c r="AI70" s="113"/>
      <c r="AJ70" s="113"/>
    </row>
    <row r="71" spans="1:36" s="23" customFormat="1" ht="12" customHeight="1" x14ac:dyDescent="0.2">
      <c r="A71" s="155" t="s">
        <v>195</v>
      </c>
      <c r="B71" s="155"/>
      <c r="C71" s="155"/>
      <c r="D71" s="155"/>
      <c r="E71" s="155"/>
      <c r="F71" s="155"/>
      <c r="G71" s="155"/>
      <c r="H71" s="155"/>
      <c r="I71" s="112" t="s">
        <v>74</v>
      </c>
      <c r="J71" s="154">
        <v>2.75</v>
      </c>
      <c r="K71" s="154"/>
      <c r="L71" s="154" t="s">
        <v>169</v>
      </c>
      <c r="M71" s="154"/>
      <c r="N71" s="153" t="s">
        <v>200</v>
      </c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13"/>
      <c r="AI71" s="113"/>
      <c r="AJ71" s="113"/>
    </row>
    <row r="72" spans="1:36" ht="18.75" customHeight="1" x14ac:dyDescent="0.25">
      <c r="A72" s="148" t="s">
        <v>56</v>
      </c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</row>
    <row r="73" spans="1:36" s="23" customFormat="1" ht="12" customHeight="1" x14ac:dyDescent="0.2">
      <c r="A73" s="89" t="s">
        <v>11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</row>
    <row r="74" spans="1:36" s="23" customFormat="1" ht="12" customHeight="1" x14ac:dyDescent="0.2">
      <c r="A74" s="23" t="s">
        <v>10</v>
      </c>
      <c r="G74" s="137" t="str">
        <f>'АОСР-1'!G72:S72</f>
        <v>Исполнительная схема постамента ВРЩ</v>
      </c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34" t="s">
        <v>92</v>
      </c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34"/>
      <c r="AJ74" s="34"/>
    </row>
    <row r="75" spans="1:36" ht="7.5" customHeight="1" x14ac:dyDescent="0.25">
      <c r="A75" s="157"/>
      <c r="B75" s="157"/>
      <c r="C75" s="8"/>
      <c r="D75" s="8"/>
      <c r="E75" s="8"/>
      <c r="F75" s="8"/>
      <c r="G75" s="135" t="s">
        <v>9</v>
      </c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s="23" customFormat="1" ht="12" customHeight="1" x14ac:dyDescent="0.2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</row>
    <row r="77" spans="1:36" ht="7.5" customHeight="1" x14ac:dyDescent="0.25">
      <c r="A77" s="134" t="s">
        <v>31</v>
      </c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37" t="str">
        <f>'Данные объект'!B6</f>
        <v>21.02.2025</v>
      </c>
      <c r="Q79" s="137"/>
      <c r="R79" s="137"/>
      <c r="S79" s="137"/>
      <c r="T79" s="137"/>
      <c r="U79" s="137"/>
      <c r="V79" s="137"/>
      <c r="W79" s="13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37" t="str">
        <f>'Данные объект'!B7</f>
        <v>21.02.2025</v>
      </c>
      <c r="Q80" s="137"/>
      <c r="R80" s="137"/>
      <c r="S80" s="137"/>
      <c r="T80" s="137"/>
      <c r="U80" s="137"/>
      <c r="V80" s="137"/>
      <c r="W80" s="137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">
      <c r="A83" s="143" t="s">
        <v>99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</row>
    <row r="84" spans="1:36" ht="8.25" customHeight="1" x14ac:dyDescent="0.25">
      <c r="A84" s="134" t="s">
        <v>4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3" customFormat="1" ht="12" customHeight="1" x14ac:dyDescent="0.2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ht="8.25" customHeight="1" x14ac:dyDescent="0.25">
      <c r="A86" s="134" t="s">
        <v>57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">
      <c r="A88" s="137" t="s">
        <v>177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ht="9" customHeight="1" x14ac:dyDescent="0.25">
      <c r="A89" s="134" t="s">
        <v>32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s="23" customFormat="1" ht="12" customHeight="1" x14ac:dyDescent="0.2">
      <c r="A90" s="23" t="s">
        <v>2</v>
      </c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</row>
    <row r="91" spans="1:36" s="23" customFormat="1" ht="6" customHeight="1" x14ac:dyDescent="0.2">
      <c r="D91" s="40"/>
      <c r="E91" s="40"/>
      <c r="F91" s="40"/>
      <c r="G91" s="40"/>
      <c r="H91" s="40"/>
      <c r="I91" s="40"/>
      <c r="J91" s="40"/>
    </row>
    <row r="92" spans="1:36" s="23" customFormat="1" ht="12" customHeight="1" x14ac:dyDescent="0.2">
      <c r="A92" s="23" t="s">
        <v>94</v>
      </c>
      <c r="H92" s="137"/>
      <c r="I92" s="137"/>
      <c r="J92" s="23" t="s">
        <v>33</v>
      </c>
    </row>
    <row r="93" spans="1:36" s="23" customFormat="1" ht="4.5" customHeight="1" x14ac:dyDescent="0.2"/>
    <row r="94" spans="1:36" s="23" customFormat="1" ht="12" customHeight="1" x14ac:dyDescent="0.2">
      <c r="A94" s="23" t="s">
        <v>1</v>
      </c>
    </row>
    <row r="95" spans="1:36" s="23" customFormat="1" ht="12" customHeight="1" x14ac:dyDescent="0.2">
      <c r="A95" s="34" t="s">
        <v>83</v>
      </c>
      <c r="B95" s="34" t="str">
        <f>G74</f>
        <v>Исполнительная схема постамента ВРЩ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 t="s">
        <v>74</v>
      </c>
      <c r="S95" s="34" t="s">
        <v>84</v>
      </c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customHeight="1" x14ac:dyDescent="0.2">
      <c r="A96" s="38" t="s">
        <v>85</v>
      </c>
      <c r="B96" s="38" t="str">
        <f>N69</f>
        <v>Сертификат № 2021644223 от 12.03.2024г.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 t="s">
        <v>74</v>
      </c>
      <c r="S96" s="34" t="s">
        <v>84</v>
      </c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</row>
    <row r="97" spans="1:36" s="23" customFormat="1" ht="12" customHeight="1" x14ac:dyDescent="0.2">
      <c r="A97" s="38" t="s">
        <v>90</v>
      </c>
      <c r="B97" s="41" t="str">
        <f>N70</f>
        <v>Сертификат № 23515/166 от 24.04.2024г.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38"/>
      <c r="R97" s="38" t="s">
        <v>74</v>
      </c>
      <c r="S97" s="38" t="s">
        <v>84</v>
      </c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.75" customHeight="1" x14ac:dyDescent="0.2">
      <c r="A98" s="38" t="s">
        <v>91</v>
      </c>
      <c r="B98" s="95" t="str">
        <f>N71</f>
        <v>Сертификат № 23515/166 от 24.04.2024г.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38"/>
      <c r="R98" s="38" t="s">
        <v>74</v>
      </c>
      <c r="S98" s="38" t="s">
        <v>84</v>
      </c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ht="8.4499999999999993" customHeight="1" x14ac:dyDescent="0.25">
      <c r="A99" s="134" t="s">
        <v>0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6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23" customFormat="1" ht="12" customHeight="1" x14ac:dyDescent="0.2">
      <c r="A101" s="23" t="s">
        <v>23</v>
      </c>
    </row>
    <row r="102" spans="1:36" s="23" customFormat="1" ht="12" customHeight="1" x14ac:dyDescent="0.2">
      <c r="A102" s="23" t="s">
        <v>24</v>
      </c>
    </row>
    <row r="103" spans="1:36" s="23" customFormat="1" ht="12" customHeight="1" x14ac:dyDescent="0.2">
      <c r="A103" s="137" t="str">
        <f>'Данные объект'!B33</f>
        <v>Алексанян Г.Р.</v>
      </c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137"/>
      <c r="AC103" s="137"/>
      <c r="AD103" s="137"/>
      <c r="AE103" s="137"/>
      <c r="AF103" s="137"/>
      <c r="AG103" s="137"/>
      <c r="AH103" s="137"/>
      <c r="AI103" s="137"/>
      <c r="AJ103" s="137"/>
    </row>
    <row r="104" spans="1:36" ht="9" customHeight="1" x14ac:dyDescent="0.25">
      <c r="A104" s="145" t="s">
        <v>35</v>
      </c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6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44" t="s">
        <v>34</v>
      </c>
      <c r="AC104" s="144"/>
      <c r="AD104" s="144"/>
      <c r="AE104" s="144"/>
      <c r="AF104" s="144"/>
      <c r="AG104" s="144"/>
      <c r="AH104" s="144"/>
      <c r="AI104" s="144"/>
      <c r="AJ104" s="144"/>
    </row>
    <row r="105" spans="1:36" s="23" customFormat="1" ht="12" customHeight="1" x14ac:dyDescent="0.2">
      <c r="A105" s="23" t="s">
        <v>25</v>
      </c>
    </row>
    <row r="106" spans="1:36" s="23" customFormat="1" ht="12" customHeight="1" x14ac:dyDescent="0.2">
      <c r="A106" s="137" t="str">
        <f>'Данные объект'!B20</f>
        <v>Волков М.Ю.</v>
      </c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7"/>
      <c r="AC106" s="137"/>
      <c r="AD106" s="137"/>
      <c r="AE106" s="137"/>
      <c r="AF106" s="137"/>
      <c r="AG106" s="137"/>
      <c r="AH106" s="137"/>
      <c r="AI106" s="137"/>
      <c r="AJ106" s="137"/>
    </row>
    <row r="107" spans="1:36" ht="9" customHeight="1" x14ac:dyDescent="0.25">
      <c r="A107" s="145" t="s">
        <v>35</v>
      </c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4" t="s">
        <v>34</v>
      </c>
      <c r="AC107" s="144"/>
      <c r="AD107" s="144"/>
      <c r="AE107" s="144"/>
      <c r="AF107" s="144"/>
      <c r="AG107" s="144"/>
      <c r="AH107" s="144"/>
      <c r="AI107" s="144"/>
      <c r="AJ107" s="144"/>
    </row>
    <row r="108" spans="1:36" s="23" customFormat="1" ht="12" customHeight="1" x14ac:dyDescent="0.2">
      <c r="A108" s="23" t="s">
        <v>27</v>
      </c>
    </row>
    <row r="109" spans="1:36" s="23" customFormat="1" ht="12" customHeight="1" x14ac:dyDescent="0.2">
      <c r="A109" s="23" t="s">
        <v>28</v>
      </c>
    </row>
    <row r="110" spans="1:36" s="23" customFormat="1" ht="12" customHeight="1" x14ac:dyDescent="0.2">
      <c r="A110" s="137" t="str">
        <f>'Данные объект'!B17</f>
        <v>Русин В.А.</v>
      </c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137"/>
      <c r="AC110" s="137"/>
      <c r="AD110" s="137"/>
      <c r="AE110" s="137"/>
      <c r="AF110" s="137"/>
      <c r="AG110" s="137"/>
      <c r="AH110" s="137"/>
      <c r="AI110" s="137"/>
      <c r="AJ110" s="137"/>
    </row>
    <row r="111" spans="1:36" ht="9" customHeight="1" x14ac:dyDescent="0.25">
      <c r="A111" s="145" t="s">
        <v>35</v>
      </c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44" t="s">
        <v>34</v>
      </c>
      <c r="AC111" s="144"/>
      <c r="AD111" s="144"/>
      <c r="AE111" s="144"/>
      <c r="AF111" s="144"/>
      <c r="AG111" s="144"/>
      <c r="AH111" s="144"/>
      <c r="AI111" s="144"/>
      <c r="AJ111" s="144"/>
    </row>
    <row r="112" spans="1:36" x14ac:dyDescent="0.25">
      <c r="A112" s="23" t="s">
        <v>218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93"/>
      <c r="AC112" s="93"/>
      <c r="AD112" s="93"/>
      <c r="AE112" s="93"/>
      <c r="AF112" s="93"/>
      <c r="AG112" s="93"/>
      <c r="AH112" s="93"/>
      <c r="AI112" s="93"/>
      <c r="AJ112" s="93"/>
    </row>
    <row r="113" spans="1:36" x14ac:dyDescent="0.25">
      <c r="A113" s="137" t="str">
        <f>'Данные объект'!$B$36</f>
        <v>Курчин М.М.</v>
      </c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37"/>
      <c r="AC113" s="137"/>
      <c r="AD113" s="137"/>
      <c r="AE113" s="137"/>
      <c r="AF113" s="137"/>
      <c r="AG113" s="137"/>
      <c r="AH113" s="137"/>
      <c r="AI113" s="137"/>
      <c r="AJ113" s="137"/>
    </row>
    <row r="114" spans="1:36" ht="9" customHeight="1" x14ac:dyDescent="0.25">
      <c r="A114" s="145" t="s">
        <v>35</v>
      </c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44" t="s">
        <v>34</v>
      </c>
      <c r="AC114" s="144"/>
      <c r="AD114" s="144"/>
      <c r="AE114" s="144"/>
      <c r="AF114" s="144"/>
      <c r="AG114" s="144"/>
      <c r="AH114" s="144"/>
      <c r="AI114" s="144"/>
      <c r="AJ114" s="144"/>
    </row>
    <row r="115" spans="1:36" s="23" customFormat="1" ht="37.5" customHeight="1" x14ac:dyDescent="0.2">
      <c r="A115" s="142" t="s">
        <v>51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spans="1:36" s="23" customFormat="1" ht="12" customHeight="1" x14ac:dyDescent="0.2">
      <c r="A116" s="137" t="s">
        <v>74</v>
      </c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137" t="s">
        <v>74</v>
      </c>
      <c r="AC116" s="137"/>
      <c r="AD116" s="137"/>
      <c r="AE116" s="137"/>
      <c r="AF116" s="137"/>
      <c r="AG116" s="137"/>
      <c r="AH116" s="137"/>
      <c r="AI116" s="137"/>
      <c r="AJ116" s="137"/>
    </row>
    <row r="117" spans="1:36" ht="9" customHeight="1" x14ac:dyDescent="0.25">
      <c r="A117" s="145" t="s">
        <v>35</v>
      </c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6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44" t="s">
        <v>34</v>
      </c>
      <c r="AC117" s="144"/>
      <c r="AD117" s="144"/>
      <c r="AE117" s="144"/>
      <c r="AF117" s="144"/>
      <c r="AG117" s="144"/>
      <c r="AH117" s="144"/>
      <c r="AI117" s="144"/>
      <c r="AJ117" s="144"/>
    </row>
    <row r="118" spans="1:36" s="23" customFormat="1" ht="24" hidden="1" customHeight="1" x14ac:dyDescent="0.2">
      <c r="A118" s="142" t="s">
        <v>53</v>
      </c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spans="1:36" s="23" customFormat="1" ht="12" hidden="1" customHeight="1" x14ac:dyDescent="0.2">
      <c r="A119" s="137" t="e">
        <f>#REF!</f>
        <v>#REF!</v>
      </c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137"/>
      <c r="AC119" s="137"/>
      <c r="AD119" s="137"/>
      <c r="AE119" s="137"/>
      <c r="AF119" s="137"/>
      <c r="AG119" s="137"/>
      <c r="AH119" s="137"/>
      <c r="AI119" s="137"/>
      <c r="AJ119" s="137"/>
    </row>
    <row r="120" spans="1:36" ht="9" hidden="1" customHeight="1" x14ac:dyDescent="0.25">
      <c r="A120" s="145" t="s">
        <v>35</v>
      </c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6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44" t="s">
        <v>34</v>
      </c>
      <c r="AC120" s="144"/>
      <c r="AD120" s="144"/>
      <c r="AE120" s="144"/>
      <c r="AF120" s="144"/>
      <c r="AG120" s="144"/>
      <c r="AH120" s="144"/>
      <c r="AI120" s="144"/>
      <c r="AJ120" s="144"/>
    </row>
    <row r="121" spans="1:36" ht="12" customHeight="1" x14ac:dyDescent="0.25"/>
  </sheetData>
  <mergeCells count="112">
    <mergeCell ref="AB104:AJ104"/>
    <mergeCell ref="A89:AJ89"/>
    <mergeCell ref="A107:O107"/>
    <mergeCell ref="AB107:AJ107"/>
    <mergeCell ref="L90:AJ90"/>
    <mergeCell ref="H92:I92"/>
    <mergeCell ref="A99:AJ99"/>
    <mergeCell ref="A103:O103"/>
    <mergeCell ref="A119:O119"/>
    <mergeCell ref="AB119:AJ119"/>
    <mergeCell ref="AB103:AJ103"/>
    <mergeCell ref="A104:O104"/>
    <mergeCell ref="A106:O106"/>
    <mergeCell ref="AB106:AJ106"/>
    <mergeCell ref="A113:O113"/>
    <mergeCell ref="AB113:AJ113"/>
    <mergeCell ref="A114:O114"/>
    <mergeCell ref="AB114:AJ114"/>
    <mergeCell ref="A120:O120"/>
    <mergeCell ref="AB120:AJ120"/>
    <mergeCell ref="A110:O110"/>
    <mergeCell ref="AB110:AJ110"/>
    <mergeCell ref="A111:O111"/>
    <mergeCell ref="AB111:AJ111"/>
    <mergeCell ref="A115:AJ115"/>
    <mergeCell ref="A117:O117"/>
    <mergeCell ref="AB117:AJ117"/>
    <mergeCell ref="A116:O116"/>
    <mergeCell ref="AB116:AJ116"/>
    <mergeCell ref="A118:AJ118"/>
    <mergeCell ref="G74:S74"/>
    <mergeCell ref="A86:AJ86"/>
    <mergeCell ref="A88:AJ88"/>
    <mergeCell ref="A75:B75"/>
    <mergeCell ref="G75:AJ75"/>
    <mergeCell ref="A76:AJ76"/>
    <mergeCell ref="P79:W79"/>
    <mergeCell ref="P80:W80"/>
    <mergeCell ref="A77:AJ77"/>
    <mergeCell ref="A84:AJ84"/>
    <mergeCell ref="A85:AJ85"/>
    <mergeCell ref="A83:AJ83"/>
    <mergeCell ref="U74:AH74"/>
    <mergeCell ref="A62:I62"/>
    <mergeCell ref="A66:AJ66"/>
    <mergeCell ref="P67:AJ67"/>
    <mergeCell ref="P68:AJ68"/>
    <mergeCell ref="A72:AJ72"/>
    <mergeCell ref="A63:AJ63"/>
    <mergeCell ref="A65:AJ65"/>
    <mergeCell ref="A69:F69"/>
    <mergeCell ref="J70:K70"/>
    <mergeCell ref="L70:M70"/>
    <mergeCell ref="N70:AG70"/>
    <mergeCell ref="A71:H71"/>
    <mergeCell ref="N69:AG69"/>
    <mergeCell ref="L69:M69"/>
    <mergeCell ref="J71:K71"/>
    <mergeCell ref="L71:M71"/>
    <mergeCell ref="N71:AG71"/>
    <mergeCell ref="J69:K69"/>
    <mergeCell ref="A70:F70"/>
    <mergeCell ref="A43:AJ43"/>
    <mergeCell ref="A59:AJ59"/>
    <mergeCell ref="A44:AJ44"/>
    <mergeCell ref="A45:AJ45"/>
    <mergeCell ref="A49:AJ49"/>
    <mergeCell ref="A50:AJ50"/>
    <mergeCell ref="A51:AJ51"/>
    <mergeCell ref="A52:AJ52"/>
    <mergeCell ref="A53:AJ53"/>
    <mergeCell ref="A54:AJ54"/>
    <mergeCell ref="A55:AJ55"/>
    <mergeCell ref="A56:AJ56"/>
    <mergeCell ref="A58:AJ58"/>
    <mergeCell ref="A46:AJ46"/>
    <mergeCell ref="A47:AJ47"/>
    <mergeCell ref="A48:AJ48"/>
    <mergeCell ref="A37:AJ37"/>
    <mergeCell ref="A38:AJ38"/>
    <mergeCell ref="A39:AJ39"/>
    <mergeCell ref="A41:AJ41"/>
    <mergeCell ref="A42:AJ42"/>
    <mergeCell ref="A35:AJ35"/>
    <mergeCell ref="A36:AJ36"/>
    <mergeCell ref="A24:AJ24"/>
    <mergeCell ref="A25:AJ25"/>
    <mergeCell ref="A26:AJ26"/>
    <mergeCell ref="A27:AJ27"/>
    <mergeCell ref="A29:AJ29"/>
    <mergeCell ref="E32:G32"/>
    <mergeCell ref="AB32:AI32"/>
    <mergeCell ref="AB33:AI33"/>
    <mergeCell ref="A15:AJ15"/>
    <mergeCell ref="A16:AJ16"/>
    <mergeCell ref="A30:AJ30"/>
    <mergeCell ref="A17:AJ17"/>
    <mergeCell ref="A18:AJ18"/>
    <mergeCell ref="A19:AJ19"/>
    <mergeCell ref="A20:AJ20"/>
    <mergeCell ref="A22:AJ22"/>
    <mergeCell ref="A23:AJ23"/>
    <mergeCell ref="A9:AJ9"/>
    <mergeCell ref="A10:AJ10"/>
    <mergeCell ref="A11:AJ11"/>
    <mergeCell ref="A12:AJ12"/>
    <mergeCell ref="A13:AJ13"/>
    <mergeCell ref="A4:AJ4"/>
    <mergeCell ref="A5:AJ5"/>
    <mergeCell ref="A6:AJ6"/>
    <mergeCell ref="A8:AJ8"/>
    <mergeCell ref="A7:AJ7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7"/>
  </sheetPr>
  <dimension ref="A1:AQ117"/>
  <sheetViews>
    <sheetView view="pageBreakPreview" topLeftCell="A27" zoomScaleNormal="125" zoomScaleSheetLayoutView="100" workbookViewId="0">
      <selection activeCell="AB113" sqref="AB113:AJ11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13.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3.5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'АОСР-2'!C32+1</f>
        <v>3</v>
      </c>
      <c r="D32" s="34"/>
      <c r="E32" s="137" t="str">
        <f>'АОСР-2'!E32:G32</f>
        <v>/ВРЩ</v>
      </c>
      <c r="F32" s="137"/>
      <c r="G32" s="137"/>
      <c r="H32" s="35"/>
      <c r="I32" s="35"/>
      <c r="J32" s="35"/>
      <c r="X32" s="81"/>
      <c r="Y32" s="86"/>
      <c r="Z32" s="86"/>
      <c r="AA32" s="82"/>
      <c r="AB32" s="137" t="str">
        <f>P78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38" t="s">
        <v>17</v>
      </c>
      <c r="AC33" s="138"/>
      <c r="AD33" s="138"/>
      <c r="AE33" s="138"/>
      <c r="AF33" s="138"/>
      <c r="AG33" s="138"/>
      <c r="AH33" s="138"/>
      <c r="AI33" s="138"/>
      <c r="AJ33" s="26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1.7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4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12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37" t="str">
        <f>'Данные объект'!B11</f>
        <v>ООО"Энергосистемы"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</row>
    <row r="59" spans="1:36" ht="10.5" customHeight="1" x14ac:dyDescent="0.25">
      <c r="A59" s="145" t="s">
        <v>39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58" t="str">
        <f>'АОСР-2'!A88</f>
        <v>Монтаж основания ВРЩ-0,4кВ</v>
      </c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31" t="s">
        <v>178</v>
      </c>
      <c r="N62" s="131"/>
      <c r="O62" s="131"/>
      <c r="P62" s="58"/>
      <c r="Q62" s="32"/>
      <c r="R62" s="32"/>
      <c r="S62" s="32"/>
      <c r="T62" s="132"/>
      <c r="U62" s="132"/>
      <c r="V62" s="132"/>
      <c r="W62" s="58"/>
      <c r="X62" s="32"/>
      <c r="Y62" s="32"/>
      <c r="Z62" s="132"/>
      <c r="AA62" s="132"/>
      <c r="AB62" s="132"/>
      <c r="AC62" s="132"/>
      <c r="AD62" s="1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4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34" t="s">
        <v>40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4" t="s">
        <v>55</v>
      </c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</row>
    <row r="69" spans="1:36" s="23" customFormat="1" ht="12" customHeight="1" x14ac:dyDescent="0.2">
      <c r="A69" s="131" t="s">
        <v>180</v>
      </c>
      <c r="B69" s="131"/>
      <c r="C69" s="131"/>
      <c r="D69" s="131"/>
      <c r="E69" s="131"/>
      <c r="F69" s="131"/>
      <c r="G69" s="131"/>
      <c r="H69" s="32"/>
      <c r="I69" s="32"/>
      <c r="J69" s="158" t="s">
        <v>205</v>
      </c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ht="18.75" customHeight="1" x14ac:dyDescent="0.25">
      <c r="A70" s="134" t="s">
        <v>56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spans="1:36" s="23" customFormat="1" ht="12" customHeight="1" x14ac:dyDescent="0.2">
      <c r="A71" s="23" t="s">
        <v>11</v>
      </c>
    </row>
    <row r="72" spans="1:36" s="23" customFormat="1" ht="12" customHeight="1" x14ac:dyDescent="0.2">
      <c r="A72" s="23" t="s">
        <v>10</v>
      </c>
      <c r="G72" s="34" t="s">
        <v>179</v>
      </c>
      <c r="H72" s="34"/>
      <c r="I72" s="34"/>
      <c r="J72" s="34"/>
      <c r="K72" s="34"/>
      <c r="L72" s="34"/>
      <c r="M72" s="34"/>
      <c r="N72" s="34"/>
      <c r="O72" s="34"/>
      <c r="P72" s="34"/>
      <c r="Q72" s="34" t="s">
        <v>92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7.5" customHeight="1" x14ac:dyDescent="0.25">
      <c r="A73" s="157"/>
      <c r="B73" s="157"/>
      <c r="C73" s="8"/>
      <c r="D73" s="8"/>
      <c r="E73" s="8"/>
      <c r="F73" s="8"/>
      <c r="G73" s="135" t="s">
        <v>9</v>
      </c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</row>
    <row r="74" spans="1:36" s="23" customFormat="1" ht="12" customHeight="1" x14ac:dyDescent="0.2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</row>
    <row r="75" spans="1:36" ht="7.5" customHeight="1" x14ac:dyDescent="0.25">
      <c r="A75" s="134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3" customFormat="1" ht="12" customHeight="1" x14ac:dyDescent="0.2">
      <c r="A77" s="23" t="s">
        <v>8</v>
      </c>
      <c r="D77" s="59"/>
      <c r="E77" s="59"/>
      <c r="F77" s="59"/>
      <c r="G77" s="59"/>
      <c r="L77" s="24"/>
      <c r="M77" s="39"/>
      <c r="N77" s="39"/>
      <c r="P77" s="137" t="str">
        <f>'Данные объект'!B6</f>
        <v>21.02.2025</v>
      </c>
      <c r="Q77" s="137"/>
      <c r="R77" s="137"/>
      <c r="S77" s="137"/>
      <c r="T77" s="137"/>
      <c r="U77" s="137"/>
      <c r="V77" s="137"/>
      <c r="W77" s="137"/>
      <c r="X77" s="23" t="s">
        <v>6</v>
      </c>
    </row>
    <row r="78" spans="1:36" s="23" customFormat="1" ht="12" customHeight="1" x14ac:dyDescent="0.2">
      <c r="A78" s="23" t="s">
        <v>7</v>
      </c>
      <c r="D78" s="59"/>
      <c r="E78" s="59"/>
      <c r="F78" s="59"/>
      <c r="G78" s="59"/>
      <c r="L78" s="24"/>
      <c r="M78" s="39"/>
      <c r="N78" s="39"/>
      <c r="P78" s="137" t="str">
        <f>'Данные объект'!B7</f>
        <v>21.02.2025</v>
      </c>
      <c r="Q78" s="137"/>
      <c r="R78" s="137"/>
      <c r="S78" s="137"/>
      <c r="T78" s="137"/>
      <c r="U78" s="137"/>
      <c r="V78" s="137"/>
      <c r="W78" s="137"/>
      <c r="X78" s="23" t="s">
        <v>6</v>
      </c>
    </row>
    <row r="79" spans="1:36" s="23" customFormat="1" ht="7.5" customHeight="1" x14ac:dyDescent="0.2">
      <c r="A79" s="36"/>
      <c r="B79" s="36"/>
      <c r="C79" s="36"/>
      <c r="D79" s="37"/>
      <c r="E79" s="37"/>
      <c r="F79" s="37"/>
      <c r="G79" s="37"/>
    </row>
    <row r="80" spans="1:36" s="23" customFormat="1" ht="12" customHeight="1" x14ac:dyDescent="0.2">
      <c r="A80" s="23" t="s">
        <v>5</v>
      </c>
    </row>
    <row r="81" spans="1:36" s="23" customFormat="1" ht="12" customHeight="1" x14ac:dyDescent="0.2">
      <c r="A81" s="143" t="s">
        <v>99</v>
      </c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</row>
    <row r="82" spans="1:36" ht="8.25" customHeight="1" x14ac:dyDescent="0.25">
      <c r="A82" s="134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3" customFormat="1" ht="12" customHeight="1" x14ac:dyDescent="0.2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</row>
    <row r="84" spans="1:36" ht="8.25" customHeight="1" x14ac:dyDescent="0.25">
      <c r="A84" s="134" t="s">
        <v>57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3" customFormat="1" ht="12" customHeight="1" x14ac:dyDescent="0.2">
      <c r="A85" s="23" t="s">
        <v>3</v>
      </c>
    </row>
    <row r="86" spans="1:36" s="23" customFormat="1" ht="12" customHeight="1" x14ac:dyDescent="0.2">
      <c r="A86" s="137" t="s">
        <v>181</v>
      </c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</row>
    <row r="87" spans="1:36" ht="9" customHeight="1" x14ac:dyDescent="0.25">
      <c r="A87" s="134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3" customFormat="1" ht="12" customHeight="1" x14ac:dyDescent="0.2">
      <c r="A88" s="23" t="s">
        <v>2</v>
      </c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3" customFormat="1" ht="12" customHeight="1" x14ac:dyDescent="0.2">
      <c r="A90" s="23" t="s">
        <v>94</v>
      </c>
      <c r="H90" s="137"/>
      <c r="I90" s="137"/>
      <c r="J90" s="23" t="s">
        <v>33</v>
      </c>
    </row>
    <row r="91" spans="1:36" s="23" customFormat="1" ht="4.5" customHeight="1" x14ac:dyDescent="0.2"/>
    <row r="92" spans="1:36" s="23" customFormat="1" ht="12" customHeight="1" x14ac:dyDescent="0.2">
      <c r="A92" s="23" t="s">
        <v>1</v>
      </c>
    </row>
    <row r="93" spans="1:36" s="23" customFormat="1" ht="12" customHeight="1" x14ac:dyDescent="0.2">
      <c r="A93" s="34" t="s">
        <v>83</v>
      </c>
      <c r="B93" s="143" t="str">
        <f>G72</f>
        <v>Исполнительная схема ВРЩ</v>
      </c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34" t="s">
        <v>74</v>
      </c>
      <c r="R93" s="34" t="s">
        <v>84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s="23" customFormat="1" ht="12" customHeight="1" x14ac:dyDescent="0.2">
      <c r="A94" s="38" t="s">
        <v>85</v>
      </c>
      <c r="B94" s="159" t="str">
        <f>J69</f>
        <v>Сертификат № б/н от б/д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38" t="s">
        <v>74</v>
      </c>
      <c r="R94" s="38" t="s">
        <v>204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9.75" customHeight="1" x14ac:dyDescent="0.25">
      <c r="A95" s="134" t="s">
        <v>0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3" customFormat="1" ht="12" customHeight="1" x14ac:dyDescent="0.2">
      <c r="A97" s="23" t="s">
        <v>23</v>
      </c>
    </row>
    <row r="98" spans="1:36" s="23" customFormat="1" ht="12" customHeight="1" x14ac:dyDescent="0.2">
      <c r="A98" s="23" t="s">
        <v>24</v>
      </c>
    </row>
    <row r="99" spans="1:36" s="23" customFormat="1" ht="12" customHeight="1" x14ac:dyDescent="0.2">
      <c r="A99" s="137" t="str">
        <f>'Данные объект'!B33</f>
        <v>Алексанян Г.Р.</v>
      </c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137"/>
      <c r="AC99" s="137"/>
      <c r="AD99" s="137"/>
      <c r="AE99" s="137"/>
      <c r="AF99" s="137"/>
      <c r="AG99" s="137"/>
      <c r="AH99" s="137"/>
      <c r="AI99" s="137"/>
      <c r="AJ99" s="137"/>
    </row>
    <row r="100" spans="1:36" ht="9" customHeight="1" x14ac:dyDescent="0.25">
      <c r="A100" s="145" t="s">
        <v>35</v>
      </c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6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44" t="s">
        <v>34</v>
      </c>
      <c r="AC100" s="144"/>
      <c r="AD100" s="144"/>
      <c r="AE100" s="144"/>
      <c r="AF100" s="144"/>
      <c r="AG100" s="144"/>
      <c r="AH100" s="144"/>
      <c r="AI100" s="144"/>
      <c r="AJ100" s="144"/>
    </row>
    <row r="101" spans="1:36" s="23" customFormat="1" ht="12" customHeight="1" x14ac:dyDescent="0.2">
      <c r="A101" s="23" t="s">
        <v>25</v>
      </c>
    </row>
    <row r="102" spans="1:36" s="23" customFormat="1" ht="12" customHeight="1" x14ac:dyDescent="0.2">
      <c r="A102" s="137" t="str">
        <f>'Данные объект'!B20</f>
        <v>Волков М.Ю.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7"/>
      <c r="AC102" s="137"/>
      <c r="AD102" s="137"/>
      <c r="AE102" s="137"/>
      <c r="AF102" s="137"/>
      <c r="AG102" s="137"/>
      <c r="AH102" s="137"/>
      <c r="AI102" s="137"/>
      <c r="AJ102" s="137"/>
    </row>
    <row r="103" spans="1:36" ht="9" customHeight="1" x14ac:dyDescent="0.25">
      <c r="A103" s="145" t="s">
        <v>35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4" t="s">
        <v>34</v>
      </c>
      <c r="AC103" s="144"/>
      <c r="AD103" s="144"/>
      <c r="AE103" s="144"/>
      <c r="AF103" s="144"/>
      <c r="AG103" s="144"/>
      <c r="AH103" s="144"/>
      <c r="AI103" s="144"/>
      <c r="AJ103" s="144"/>
    </row>
    <row r="104" spans="1:36" s="23" customFormat="1" ht="12" customHeight="1" x14ac:dyDescent="0.2">
      <c r="A104" s="23" t="s">
        <v>27</v>
      </c>
    </row>
    <row r="105" spans="1:36" s="23" customFormat="1" ht="12" customHeight="1" x14ac:dyDescent="0.2">
      <c r="A105" s="23" t="s">
        <v>28</v>
      </c>
    </row>
    <row r="106" spans="1:36" s="23" customFormat="1" ht="12" customHeight="1" x14ac:dyDescent="0.2">
      <c r="A106" s="137" t="str">
        <f>'Данные объект'!B17</f>
        <v>Русин В.А.</v>
      </c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7"/>
      <c r="AC106" s="137"/>
      <c r="AD106" s="137"/>
      <c r="AE106" s="137"/>
      <c r="AF106" s="137"/>
      <c r="AG106" s="137"/>
      <c r="AH106" s="137"/>
      <c r="AI106" s="137"/>
      <c r="AJ106" s="137"/>
    </row>
    <row r="107" spans="1:36" ht="9" customHeight="1" x14ac:dyDescent="0.25">
      <c r="A107" s="145" t="s">
        <v>35</v>
      </c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4" t="s">
        <v>34</v>
      </c>
      <c r="AC107" s="144"/>
      <c r="AD107" s="144"/>
      <c r="AE107" s="144"/>
      <c r="AF107" s="144"/>
      <c r="AG107" s="144"/>
      <c r="AH107" s="144"/>
      <c r="AI107" s="144"/>
      <c r="AJ107" s="144"/>
    </row>
    <row r="108" spans="1:36" x14ac:dyDescent="0.25">
      <c r="A108" s="23" t="s">
        <v>218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93"/>
      <c r="AC108" s="93"/>
      <c r="AD108" s="93"/>
      <c r="AE108" s="93"/>
      <c r="AF108" s="93"/>
      <c r="AG108" s="93"/>
      <c r="AH108" s="93"/>
      <c r="AI108" s="93"/>
      <c r="AJ108" s="93"/>
    </row>
    <row r="109" spans="1:36" x14ac:dyDescent="0.25">
      <c r="A109" s="137" t="str">
        <f>'Данные объект'!$B$36</f>
        <v>Курчин М.М.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6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37"/>
      <c r="AC109" s="137"/>
      <c r="AD109" s="137"/>
      <c r="AE109" s="137"/>
      <c r="AF109" s="137"/>
      <c r="AG109" s="137"/>
      <c r="AH109" s="137"/>
      <c r="AI109" s="137"/>
      <c r="AJ109" s="137"/>
    </row>
    <row r="110" spans="1:36" ht="9" customHeight="1" x14ac:dyDescent="0.25">
      <c r="A110" s="145" t="s">
        <v>35</v>
      </c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4" t="s">
        <v>34</v>
      </c>
      <c r="AC110" s="144"/>
      <c r="AD110" s="144"/>
      <c r="AE110" s="144"/>
      <c r="AF110" s="144"/>
      <c r="AG110" s="144"/>
      <c r="AH110" s="144"/>
      <c r="AI110" s="144"/>
      <c r="AJ110" s="144"/>
    </row>
    <row r="111" spans="1:36" s="23" customFormat="1" ht="37.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23" customFormat="1" ht="12" customHeight="1" x14ac:dyDescent="0.2">
      <c r="A112" s="137" t="s">
        <v>74</v>
      </c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137" t="s">
        <v>74</v>
      </c>
      <c r="AC112" s="137"/>
      <c r="AD112" s="137"/>
      <c r="AE112" s="137"/>
      <c r="AF112" s="137"/>
      <c r="AG112" s="137"/>
      <c r="AH112" s="137"/>
      <c r="AI112" s="137"/>
      <c r="AJ112" s="137"/>
    </row>
    <row r="113" spans="1:36" ht="9" customHeight="1" x14ac:dyDescent="0.25">
      <c r="A113" s="145" t="s">
        <v>35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4" t="s">
        <v>34</v>
      </c>
      <c r="AC113" s="144"/>
      <c r="AD113" s="144"/>
      <c r="AE113" s="144"/>
      <c r="AF113" s="144"/>
      <c r="AG113" s="144"/>
      <c r="AH113" s="144"/>
      <c r="AI113" s="144"/>
      <c r="AJ113" s="144"/>
    </row>
    <row r="114" spans="1:36" s="23" customFormat="1" ht="40.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23" customFormat="1" ht="12" hidden="1" customHeight="1" x14ac:dyDescent="0.2">
      <c r="A115" s="137" t="e">
        <f>#REF!</f>
        <v>#REF!</v>
      </c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7"/>
      <c r="AC115" s="137"/>
      <c r="AD115" s="137"/>
      <c r="AE115" s="137"/>
      <c r="AF115" s="137"/>
      <c r="AG115" s="137"/>
      <c r="AH115" s="137"/>
      <c r="AI115" s="137"/>
      <c r="AJ115" s="137"/>
    </row>
    <row r="116" spans="1:36" ht="9" hidden="1" customHeight="1" x14ac:dyDescent="0.25">
      <c r="A116" s="145" t="s">
        <v>35</v>
      </c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4" t="s">
        <v>34</v>
      </c>
      <c r="AC116" s="144"/>
      <c r="AD116" s="144"/>
      <c r="AE116" s="144"/>
      <c r="AF116" s="144"/>
      <c r="AG116" s="144"/>
      <c r="AH116" s="144"/>
      <c r="AI116" s="144"/>
      <c r="AJ116" s="144"/>
    </row>
    <row r="117" spans="1:36" ht="12" customHeight="1" x14ac:dyDescent="0.25"/>
  </sheetData>
  <mergeCells count="106">
    <mergeCell ref="P78:W78"/>
    <mergeCell ref="A62:L62"/>
    <mergeCell ref="A107:O107"/>
    <mergeCell ref="AB107:AJ107"/>
    <mergeCell ref="A81:AJ81"/>
    <mergeCell ref="A82:AJ82"/>
    <mergeCell ref="A83:AJ83"/>
    <mergeCell ref="A84:AJ84"/>
    <mergeCell ref="A86:AJ86"/>
    <mergeCell ref="A87:AJ87"/>
    <mergeCell ref="L88:AJ88"/>
    <mergeCell ref="H90:I90"/>
    <mergeCell ref="B93:P93"/>
    <mergeCell ref="B94:P94"/>
    <mergeCell ref="A95:AJ95"/>
    <mergeCell ref="A74:AJ74"/>
    <mergeCell ref="A75:AJ75"/>
    <mergeCell ref="P77:W77"/>
    <mergeCell ref="P68:AJ68"/>
    <mergeCell ref="A70:AJ70"/>
    <mergeCell ref="A69:G69"/>
    <mergeCell ref="J69:V69"/>
    <mergeCell ref="A65:AJ65"/>
    <mergeCell ref="A66:AJ66"/>
    <mergeCell ref="A111:AJ111"/>
    <mergeCell ref="A116:O116"/>
    <mergeCell ref="AB116:AJ116"/>
    <mergeCell ref="A99:O99"/>
    <mergeCell ref="AB99:AJ99"/>
    <mergeCell ref="A112:O112"/>
    <mergeCell ref="AB100:AJ100"/>
    <mergeCell ref="AB112:AJ112"/>
    <mergeCell ref="A114:AJ114"/>
    <mergeCell ref="A115:O115"/>
    <mergeCell ref="AB115:AJ115"/>
    <mergeCell ref="A113:O113"/>
    <mergeCell ref="AB113:AJ113"/>
    <mergeCell ref="A102:O102"/>
    <mergeCell ref="AB102:AJ102"/>
    <mergeCell ref="A103:O103"/>
    <mergeCell ref="A100:O100"/>
    <mergeCell ref="A110:O110"/>
    <mergeCell ref="AB110:AJ110"/>
    <mergeCell ref="A109:O109"/>
    <mergeCell ref="AB109:AJ109"/>
    <mergeCell ref="AB103:AJ103"/>
    <mergeCell ref="A106:O106"/>
    <mergeCell ref="AB106:AJ106"/>
    <mergeCell ref="A38:AJ38"/>
    <mergeCell ref="P67:AJ67"/>
    <mergeCell ref="AC62:AD62"/>
    <mergeCell ref="A49:AJ49"/>
    <mergeCell ref="A50:AJ50"/>
    <mergeCell ref="A51:AJ51"/>
    <mergeCell ref="A52:AJ52"/>
    <mergeCell ref="M62:O62"/>
    <mergeCell ref="T62:V62"/>
    <mergeCell ref="Z62:AB62"/>
    <mergeCell ref="A24:AJ24"/>
    <mergeCell ref="A73:B73"/>
    <mergeCell ref="G73:AJ73"/>
    <mergeCell ref="A63:AJ63"/>
    <mergeCell ref="AB33:AI33"/>
    <mergeCell ref="E32:G32"/>
    <mergeCell ref="AB32:AI32"/>
    <mergeCell ref="A53:AJ53"/>
    <mergeCell ref="A54:AJ54"/>
    <mergeCell ref="A55:AJ55"/>
    <mergeCell ref="A56:AJ56"/>
    <mergeCell ref="A58:AJ58"/>
    <mergeCell ref="A59:AJ59"/>
    <mergeCell ref="A46:AJ46"/>
    <mergeCell ref="A47:AJ47"/>
    <mergeCell ref="A48:AJ48"/>
    <mergeCell ref="A41:AJ41"/>
    <mergeCell ref="A42:AJ42"/>
    <mergeCell ref="A43:AJ43"/>
    <mergeCell ref="A44:AJ44"/>
    <mergeCell ref="A45:AJ45"/>
    <mergeCell ref="A35:AJ35"/>
    <mergeCell ref="A36:AJ36"/>
    <mergeCell ref="A37:AJ37"/>
    <mergeCell ref="A25:AJ25"/>
    <mergeCell ref="A39:AJ39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7:AJ7"/>
    <mergeCell ref="A15:AJ15"/>
    <mergeCell ref="A16:AJ16"/>
    <mergeCell ref="A17:AJ17"/>
    <mergeCell ref="A18:AJ18"/>
    <mergeCell ref="A19:AJ19"/>
    <mergeCell ref="A26:AJ26"/>
    <mergeCell ref="A27:AJ27"/>
    <mergeCell ref="A29:AJ29"/>
    <mergeCell ref="A30:AJ30"/>
    <mergeCell ref="A20:AJ20"/>
    <mergeCell ref="A22:AJ22"/>
    <mergeCell ref="A23:AJ23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  <rowBreaks count="1" manualBreakCount="1">
    <brk id="50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1071-9311-4862-BCDB-9EE4793AB69E}">
  <sheetPr>
    <tabColor indexed="57"/>
    <pageSetUpPr fitToPage="1"/>
  </sheetPr>
  <dimension ref="A1:AQ117"/>
  <sheetViews>
    <sheetView view="pageBreakPreview" topLeftCell="A27" zoomScaleNormal="125" zoomScaleSheetLayoutView="100" workbookViewId="0">
      <selection activeCell="A113" sqref="A113:O113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1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1.25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'АОСР-3'!C32+1</f>
        <v>4</v>
      </c>
      <c r="D32" s="34"/>
      <c r="E32" s="137" t="str">
        <f>'АОСР-2'!E32:G32</f>
        <v>/ВРЩ</v>
      </c>
      <c r="F32" s="137"/>
      <c r="G32" s="137"/>
      <c r="H32" s="35"/>
      <c r="I32" s="35"/>
      <c r="J32" s="35"/>
      <c r="X32" s="81"/>
      <c r="Y32" s="86"/>
      <c r="Z32" s="86"/>
      <c r="AA32" s="82"/>
      <c r="AB32" s="137" t="str">
        <f>P78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3.2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4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9.75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46" t="str">
        <f>'Данные объект'!B11</f>
        <v>ООО"Энергосистемы"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</row>
    <row r="59" spans="1:36" ht="10.5" customHeight="1" x14ac:dyDescent="0.25">
      <c r="A59" s="161" t="s">
        <v>39</v>
      </c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</row>
    <row r="60" spans="1:36" s="23" customFormat="1" ht="12" customHeight="1" x14ac:dyDescent="0.2">
      <c r="A60" s="89" t="s">
        <v>15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</row>
    <row r="61" spans="1:36" s="23" customFormat="1" ht="12" customHeight="1" x14ac:dyDescent="0.2">
      <c r="A61" s="89" t="s">
        <v>30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</row>
    <row r="62" spans="1:36" s="23" customFormat="1" ht="12" customHeight="1" x14ac:dyDescent="0.2">
      <c r="A62" s="160" t="str">
        <f>'АОСР-3'!A86</f>
        <v>Выемка грунта для заземления ВРЩ-0,4кВ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90"/>
      <c r="P62" s="156">
        <v>4.2</v>
      </c>
      <c r="Q62" s="156"/>
      <c r="R62" s="156"/>
      <c r="S62" s="152" t="s">
        <v>170</v>
      </c>
      <c r="T62" s="152"/>
      <c r="U62" s="91"/>
      <c r="V62" s="91"/>
      <c r="W62" s="91"/>
      <c r="X62" s="91"/>
      <c r="Y62" s="91"/>
      <c r="Z62" s="114"/>
      <c r="AA62" s="114"/>
      <c r="AB62" s="114"/>
      <c r="AC62" s="114"/>
      <c r="AD62" s="114"/>
      <c r="AE62" s="91"/>
      <c r="AF62" s="91"/>
      <c r="AG62" s="91"/>
      <c r="AH62" s="91"/>
      <c r="AI62" s="91"/>
      <c r="AJ62" s="91"/>
    </row>
    <row r="63" spans="1:36" ht="8.25" customHeight="1" x14ac:dyDescent="0.25">
      <c r="A63" s="148" t="s">
        <v>14</v>
      </c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</row>
    <row r="64" spans="1:36" s="23" customFormat="1" ht="12" customHeight="1" x14ac:dyDescent="0.2">
      <c r="A64" s="89" t="s">
        <v>13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34" t="s">
        <v>40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4" t="s">
        <v>55</v>
      </c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</row>
    <row r="69" spans="1:36" s="23" customFormat="1" ht="12" customHeight="1" x14ac:dyDescent="0.2">
      <c r="A69" s="131"/>
      <c r="B69" s="131"/>
      <c r="C69" s="131"/>
      <c r="D69" s="131"/>
      <c r="E69" s="131"/>
      <c r="F69" s="131"/>
      <c r="G69" s="131"/>
      <c r="H69" s="32"/>
      <c r="I69" s="32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 spans="1:36" ht="18.75" customHeight="1" x14ac:dyDescent="0.25">
      <c r="A70" s="134" t="s">
        <v>56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</row>
    <row r="71" spans="1:36" s="23" customFormat="1" ht="12" customHeight="1" x14ac:dyDescent="0.2">
      <c r="A71" s="23" t="s">
        <v>11</v>
      </c>
    </row>
    <row r="72" spans="1:36" s="23" customFormat="1" ht="12" customHeight="1" x14ac:dyDescent="0.2">
      <c r="A72" s="23" t="s">
        <v>10</v>
      </c>
      <c r="G72" s="94" t="s">
        <v>182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7.5" customHeight="1" x14ac:dyDescent="0.25">
      <c r="A73" s="157"/>
      <c r="B73" s="157"/>
      <c r="C73" s="8"/>
      <c r="D73" s="8"/>
      <c r="E73" s="8"/>
      <c r="F73" s="8"/>
      <c r="G73" s="135" t="s">
        <v>9</v>
      </c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</row>
    <row r="74" spans="1:36" s="23" customFormat="1" ht="12" customHeight="1" x14ac:dyDescent="0.2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</row>
    <row r="75" spans="1:36" ht="7.5" customHeight="1" x14ac:dyDescent="0.25">
      <c r="A75" s="134" t="s">
        <v>31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3" customFormat="1" ht="12" customHeight="1" x14ac:dyDescent="0.2">
      <c r="A77" s="23" t="s">
        <v>8</v>
      </c>
      <c r="D77" s="59"/>
      <c r="E77" s="59"/>
      <c r="F77" s="59"/>
      <c r="G77" s="59"/>
      <c r="L77" s="24"/>
      <c r="M77" s="39"/>
      <c r="N77" s="39"/>
      <c r="P77" s="137" t="str">
        <f>'Данные объект'!B6</f>
        <v>21.02.2025</v>
      </c>
      <c r="Q77" s="137"/>
      <c r="R77" s="137"/>
      <c r="S77" s="137"/>
      <c r="T77" s="137"/>
      <c r="U77" s="137"/>
      <c r="V77" s="137"/>
      <c r="W77" s="137"/>
      <c r="X77" s="23" t="s">
        <v>6</v>
      </c>
    </row>
    <row r="78" spans="1:36" s="23" customFormat="1" ht="12" customHeight="1" x14ac:dyDescent="0.2">
      <c r="A78" s="23" t="s">
        <v>7</v>
      </c>
      <c r="D78" s="59"/>
      <c r="E78" s="59"/>
      <c r="F78" s="59"/>
      <c r="G78" s="59"/>
      <c r="L78" s="24"/>
      <c r="M78" s="39"/>
      <c r="N78" s="39"/>
      <c r="P78" s="137" t="str">
        <f>'Данные объект'!B7</f>
        <v>21.02.2025</v>
      </c>
      <c r="Q78" s="137"/>
      <c r="R78" s="137"/>
      <c r="S78" s="137"/>
      <c r="T78" s="137"/>
      <c r="U78" s="137"/>
      <c r="V78" s="137"/>
      <c r="W78" s="137"/>
      <c r="X78" s="23" t="s">
        <v>6</v>
      </c>
    </row>
    <row r="79" spans="1:36" s="23" customFormat="1" ht="7.5" customHeight="1" x14ac:dyDescent="0.2">
      <c r="A79" s="36"/>
      <c r="B79" s="36"/>
      <c r="C79" s="36"/>
      <c r="D79" s="37"/>
      <c r="E79" s="37"/>
      <c r="F79" s="37"/>
      <c r="G79" s="37"/>
    </row>
    <row r="80" spans="1:36" s="23" customFormat="1" ht="12" customHeight="1" x14ac:dyDescent="0.2">
      <c r="A80" s="23" t="s">
        <v>5</v>
      </c>
    </row>
    <row r="81" spans="1:36" s="23" customFormat="1" ht="12" customHeight="1" x14ac:dyDescent="0.2">
      <c r="A81" s="143" t="s">
        <v>99</v>
      </c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</row>
    <row r="82" spans="1:36" ht="8.25" customHeight="1" x14ac:dyDescent="0.25">
      <c r="A82" s="134" t="s">
        <v>4</v>
      </c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</row>
    <row r="83" spans="1:36" s="23" customFormat="1" ht="12" customHeight="1" x14ac:dyDescent="0.2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</row>
    <row r="84" spans="1:36" ht="8.25" customHeight="1" x14ac:dyDescent="0.25">
      <c r="A84" s="134" t="s">
        <v>57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3" customFormat="1" ht="12" customHeight="1" x14ac:dyDescent="0.2">
      <c r="A85" s="23" t="s">
        <v>3</v>
      </c>
    </row>
    <row r="86" spans="1:36" s="23" customFormat="1" ht="12" customHeight="1" x14ac:dyDescent="0.2">
      <c r="A86" s="137" t="s">
        <v>183</v>
      </c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</row>
    <row r="87" spans="1:36" ht="9" customHeight="1" x14ac:dyDescent="0.25">
      <c r="A87" s="134" t="s">
        <v>32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s="23" customFormat="1" ht="12" customHeight="1" x14ac:dyDescent="0.2">
      <c r="A88" s="23" t="s">
        <v>2</v>
      </c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3" customFormat="1" ht="12" customHeight="1" x14ac:dyDescent="0.2">
      <c r="A90" s="23" t="s">
        <v>94</v>
      </c>
      <c r="H90" s="137"/>
      <c r="I90" s="137"/>
      <c r="J90" s="23" t="s">
        <v>33</v>
      </c>
    </row>
    <row r="91" spans="1:36" s="23" customFormat="1" ht="4.5" customHeight="1" x14ac:dyDescent="0.2"/>
    <row r="92" spans="1:36" s="23" customFormat="1" ht="12" customHeight="1" x14ac:dyDescent="0.2">
      <c r="A92" s="23" t="s">
        <v>1</v>
      </c>
    </row>
    <row r="93" spans="1:36" s="23" customFormat="1" ht="12" customHeight="1" x14ac:dyDescent="0.2">
      <c r="A93" s="34" t="s">
        <v>83</v>
      </c>
      <c r="B93" s="143" t="str">
        <f>G72</f>
        <v>Исполнительная схема заземления ВРЩ</v>
      </c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34" t="s">
        <v>74</v>
      </c>
      <c r="R93" s="34" t="s">
        <v>84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</row>
    <row r="94" spans="1:36" s="23" customFormat="1" ht="12" hidden="1" customHeight="1" x14ac:dyDescent="0.2">
      <c r="A94" s="38" t="s">
        <v>85</v>
      </c>
      <c r="B94" s="159">
        <f>J69</f>
        <v>0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38" t="s">
        <v>74</v>
      </c>
      <c r="R94" s="38" t="s">
        <v>84</v>
      </c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ht="9.75" customHeight="1" x14ac:dyDescent="0.25">
      <c r="A95" s="134" t="s">
        <v>0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3" customFormat="1" ht="12" customHeight="1" x14ac:dyDescent="0.2">
      <c r="A97" s="23" t="s">
        <v>23</v>
      </c>
    </row>
    <row r="98" spans="1:36" s="23" customFormat="1" ht="12" customHeight="1" x14ac:dyDescent="0.2">
      <c r="A98" s="23" t="s">
        <v>24</v>
      </c>
    </row>
    <row r="99" spans="1:36" s="23" customFormat="1" ht="12" customHeight="1" x14ac:dyDescent="0.2">
      <c r="A99" s="137" t="str">
        <f>'Данные объект'!B33</f>
        <v>Алексанян Г.Р.</v>
      </c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137"/>
      <c r="AC99" s="137"/>
      <c r="AD99" s="137"/>
      <c r="AE99" s="137"/>
      <c r="AF99" s="137"/>
      <c r="AG99" s="137"/>
      <c r="AH99" s="137"/>
      <c r="AI99" s="137"/>
      <c r="AJ99" s="137"/>
    </row>
    <row r="100" spans="1:36" ht="9" customHeight="1" x14ac:dyDescent="0.25">
      <c r="A100" s="145" t="s">
        <v>35</v>
      </c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6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44" t="s">
        <v>34</v>
      </c>
      <c r="AC100" s="144"/>
      <c r="AD100" s="144"/>
      <c r="AE100" s="144"/>
      <c r="AF100" s="144"/>
      <c r="AG100" s="144"/>
      <c r="AH100" s="144"/>
      <c r="AI100" s="144"/>
      <c r="AJ100" s="144"/>
    </row>
    <row r="101" spans="1:36" s="23" customFormat="1" ht="12" customHeight="1" x14ac:dyDescent="0.2">
      <c r="A101" s="23" t="s">
        <v>25</v>
      </c>
    </row>
    <row r="102" spans="1:36" s="23" customFormat="1" ht="12" customHeight="1" x14ac:dyDescent="0.2">
      <c r="A102" s="137" t="str">
        <f>'Данные объект'!B20</f>
        <v>Волков М.Ю.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7"/>
      <c r="AC102" s="137"/>
      <c r="AD102" s="137"/>
      <c r="AE102" s="137"/>
      <c r="AF102" s="137"/>
      <c r="AG102" s="137"/>
      <c r="AH102" s="137"/>
      <c r="AI102" s="137"/>
      <c r="AJ102" s="137"/>
    </row>
    <row r="103" spans="1:36" ht="9" customHeight="1" x14ac:dyDescent="0.25">
      <c r="A103" s="145" t="s">
        <v>35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4" t="s">
        <v>34</v>
      </c>
      <c r="AC103" s="144"/>
      <c r="AD103" s="144"/>
      <c r="AE103" s="144"/>
      <c r="AF103" s="144"/>
      <c r="AG103" s="144"/>
      <c r="AH103" s="144"/>
      <c r="AI103" s="144"/>
      <c r="AJ103" s="144"/>
    </row>
    <row r="104" spans="1:36" s="23" customFormat="1" ht="12" customHeight="1" x14ac:dyDescent="0.2">
      <c r="A104" s="23" t="s">
        <v>27</v>
      </c>
    </row>
    <row r="105" spans="1:36" s="23" customFormat="1" ht="12" customHeight="1" x14ac:dyDescent="0.2">
      <c r="A105" s="23" t="s">
        <v>28</v>
      </c>
    </row>
    <row r="106" spans="1:36" s="23" customFormat="1" ht="12" customHeight="1" x14ac:dyDescent="0.2">
      <c r="A106" s="137" t="str">
        <f>'Данные объект'!B17</f>
        <v>Русин В.А.</v>
      </c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137"/>
      <c r="AC106" s="137"/>
      <c r="AD106" s="137"/>
      <c r="AE106" s="137"/>
      <c r="AF106" s="137"/>
      <c r="AG106" s="137"/>
      <c r="AH106" s="137"/>
      <c r="AI106" s="137"/>
      <c r="AJ106" s="137"/>
    </row>
    <row r="107" spans="1:36" ht="9" customHeight="1" x14ac:dyDescent="0.25">
      <c r="A107" s="145" t="s">
        <v>35</v>
      </c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6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44" t="s">
        <v>34</v>
      </c>
      <c r="AC107" s="144"/>
      <c r="AD107" s="144"/>
      <c r="AE107" s="144"/>
      <c r="AF107" s="144"/>
      <c r="AG107" s="144"/>
      <c r="AH107" s="144"/>
      <c r="AI107" s="144"/>
      <c r="AJ107" s="144"/>
    </row>
    <row r="108" spans="1:36" x14ac:dyDescent="0.25">
      <c r="A108" s="23" t="s">
        <v>218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93"/>
      <c r="AC108" s="93"/>
      <c r="AD108" s="93"/>
      <c r="AE108" s="93"/>
      <c r="AF108" s="93"/>
      <c r="AG108" s="93"/>
      <c r="AH108" s="93"/>
      <c r="AI108" s="93"/>
      <c r="AJ108" s="93"/>
    </row>
    <row r="109" spans="1:36" x14ac:dyDescent="0.25">
      <c r="A109" s="137" t="str">
        <f>'Данные объект'!$B$36</f>
        <v>Курчин М.М.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6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37"/>
      <c r="AC109" s="137"/>
      <c r="AD109" s="137"/>
      <c r="AE109" s="137"/>
      <c r="AF109" s="137"/>
      <c r="AG109" s="137"/>
      <c r="AH109" s="137"/>
      <c r="AI109" s="137"/>
      <c r="AJ109" s="137"/>
    </row>
    <row r="110" spans="1:36" ht="9" customHeight="1" x14ac:dyDescent="0.25">
      <c r="A110" s="145" t="s">
        <v>35</v>
      </c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4" t="s">
        <v>34</v>
      </c>
      <c r="AC110" s="144"/>
      <c r="AD110" s="144"/>
      <c r="AE110" s="144"/>
      <c r="AF110" s="144"/>
      <c r="AG110" s="144"/>
      <c r="AH110" s="144"/>
      <c r="AI110" s="144"/>
      <c r="AJ110" s="144"/>
    </row>
    <row r="111" spans="1:36" s="23" customFormat="1" ht="37.5" customHeight="1" x14ac:dyDescent="0.2">
      <c r="A111" s="142" t="s">
        <v>51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spans="1:36" s="23" customFormat="1" ht="12" customHeight="1" x14ac:dyDescent="0.2">
      <c r="A112" s="137" t="s">
        <v>74</v>
      </c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137" t="s">
        <v>74</v>
      </c>
      <c r="AC112" s="137"/>
      <c r="AD112" s="137"/>
      <c r="AE112" s="137"/>
      <c r="AF112" s="137"/>
      <c r="AG112" s="137"/>
      <c r="AH112" s="137"/>
      <c r="AI112" s="137"/>
      <c r="AJ112" s="137"/>
    </row>
    <row r="113" spans="1:36" ht="9" customHeight="1" x14ac:dyDescent="0.25">
      <c r="A113" s="145" t="s">
        <v>35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4" t="s">
        <v>34</v>
      </c>
      <c r="AC113" s="144"/>
      <c r="AD113" s="144"/>
      <c r="AE113" s="144"/>
      <c r="AF113" s="144"/>
      <c r="AG113" s="144"/>
      <c r="AH113" s="144"/>
      <c r="AI113" s="144"/>
      <c r="AJ113" s="144"/>
    </row>
    <row r="114" spans="1:36" s="23" customFormat="1" ht="40.5" hidden="1" customHeight="1" x14ac:dyDescent="0.2">
      <c r="A114" s="142" t="s">
        <v>53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23" customFormat="1" ht="12" hidden="1" customHeight="1" x14ac:dyDescent="0.2">
      <c r="A115" s="137" t="e">
        <f>#REF!</f>
        <v>#REF!</v>
      </c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7"/>
      <c r="AC115" s="137"/>
      <c r="AD115" s="137"/>
      <c r="AE115" s="137"/>
      <c r="AF115" s="137"/>
      <c r="AG115" s="137"/>
      <c r="AH115" s="137"/>
      <c r="AI115" s="137"/>
      <c r="AJ115" s="137"/>
    </row>
    <row r="116" spans="1:36" ht="9" hidden="1" customHeight="1" x14ac:dyDescent="0.25">
      <c r="A116" s="145" t="s">
        <v>35</v>
      </c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4" t="s">
        <v>34</v>
      </c>
      <c r="AC116" s="144"/>
      <c r="AD116" s="144"/>
      <c r="AE116" s="144"/>
      <c r="AF116" s="144"/>
      <c r="AG116" s="144"/>
      <c r="AH116" s="144"/>
      <c r="AI116" s="144"/>
      <c r="AJ116" s="144"/>
    </row>
    <row r="117" spans="1:36" ht="12" customHeight="1" x14ac:dyDescent="0.25"/>
  </sheetData>
  <mergeCells count="104">
    <mergeCell ref="A109:O109"/>
    <mergeCell ref="AB109:AJ109"/>
    <mergeCell ref="A110:O110"/>
    <mergeCell ref="AB110:AJ110"/>
    <mergeCell ref="A9:AJ9"/>
    <mergeCell ref="A4:AJ4"/>
    <mergeCell ref="A5:AJ5"/>
    <mergeCell ref="A6:AJ6"/>
    <mergeCell ref="A8:AJ8"/>
    <mergeCell ref="A7:AJ7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36:AJ36"/>
    <mergeCell ref="A24:AJ24"/>
    <mergeCell ref="A25:AJ25"/>
    <mergeCell ref="A26:AJ26"/>
    <mergeCell ref="A27:AJ27"/>
    <mergeCell ref="A29:AJ29"/>
    <mergeCell ref="A30:AJ30"/>
    <mergeCell ref="E32:G32"/>
    <mergeCell ref="A35:AJ35"/>
    <mergeCell ref="AB32:AI32"/>
    <mergeCell ref="AB33:AI33"/>
    <mergeCell ref="A52:AJ52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9:AJ49"/>
    <mergeCell ref="A50:AJ50"/>
    <mergeCell ref="A51:AJ51"/>
    <mergeCell ref="A46:AJ46"/>
    <mergeCell ref="A47:AJ47"/>
    <mergeCell ref="A48:AJ48"/>
    <mergeCell ref="P62:R62"/>
    <mergeCell ref="S62:T62"/>
    <mergeCell ref="A63:AJ63"/>
    <mergeCell ref="A53:AJ53"/>
    <mergeCell ref="A54:AJ54"/>
    <mergeCell ref="A55:AJ55"/>
    <mergeCell ref="A56:AJ56"/>
    <mergeCell ref="A58:AJ58"/>
    <mergeCell ref="A59:AJ59"/>
    <mergeCell ref="B93:P93"/>
    <mergeCell ref="B94:P94"/>
    <mergeCell ref="P77:W77"/>
    <mergeCell ref="A65:AJ65"/>
    <mergeCell ref="A66:AJ66"/>
    <mergeCell ref="P67:AJ67"/>
    <mergeCell ref="P68:AJ68"/>
    <mergeCell ref="A69:G69"/>
    <mergeCell ref="J69:V69"/>
    <mergeCell ref="A70:AJ70"/>
    <mergeCell ref="A73:B73"/>
    <mergeCell ref="G73:AJ73"/>
    <mergeCell ref="A74:AJ74"/>
    <mergeCell ref="A75:AJ75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115:O115"/>
    <mergeCell ref="AB115:AJ115"/>
    <mergeCell ref="A116:O116"/>
    <mergeCell ref="AB116:AJ116"/>
    <mergeCell ref="A62:N62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95:AJ95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7"/>
  </sheetPr>
  <dimension ref="A1:AQ122"/>
  <sheetViews>
    <sheetView view="pageBreakPreview" topLeftCell="A27" zoomScaleNormal="125" zoomScaleSheetLayoutView="100" workbookViewId="0">
      <selection activeCell="A46" sqref="A46:AJ4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17.2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2.75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12.95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s="23" customFormat="1" ht="12.9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'АОСР-4'!C32+1</f>
        <v>5</v>
      </c>
      <c r="D32" s="34"/>
      <c r="E32" s="137" t="str">
        <f>'АОСР-3'!E32:G32</f>
        <v>/ВРЩ</v>
      </c>
      <c r="F32" s="137"/>
      <c r="G32" s="137"/>
      <c r="H32" s="35"/>
      <c r="I32" s="35"/>
      <c r="J32" s="35"/>
      <c r="X32" s="81"/>
      <c r="Y32" s="86"/>
      <c r="Z32" s="86"/>
      <c r="AA32" s="82"/>
      <c r="AB32" s="137" t="str">
        <f>P80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ht="12.95" customHeight="1" x14ac:dyDescent="0.25">
      <c r="X33" s="83"/>
      <c r="Y33" s="84"/>
      <c r="Z33" s="85"/>
      <c r="AA33" s="84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36" ht="11.2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1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4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10.5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37" t="str">
        <f>'Данные объект'!B11</f>
        <v>ООО"Энергосистемы"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</row>
    <row r="59" spans="1:36" ht="10.5" customHeight="1" x14ac:dyDescent="0.25">
      <c r="A59" s="145" t="s">
        <v>39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58" t="s">
        <v>171</v>
      </c>
      <c r="B62" s="158"/>
      <c r="C62" s="158"/>
      <c r="D62" s="158"/>
      <c r="E62" s="158"/>
      <c r="F62" s="158"/>
      <c r="G62" s="158"/>
      <c r="H62" s="158"/>
      <c r="I62" s="131" t="s">
        <v>184</v>
      </c>
      <c r="J62" s="131"/>
      <c r="K62" s="131"/>
      <c r="L62" s="58"/>
      <c r="M62" s="32"/>
      <c r="N62" s="32"/>
      <c r="O62" s="32"/>
      <c r="P62" s="132"/>
      <c r="Q62" s="132"/>
      <c r="R62" s="132"/>
      <c r="S62" s="58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34" t="s">
        <v>14</v>
      </c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34" t="s">
        <v>40</v>
      </c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4" t="s">
        <v>55</v>
      </c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</row>
    <row r="69" spans="1:36" s="23" customFormat="1" ht="12" customHeight="1" x14ac:dyDescent="0.2">
      <c r="A69" s="162" t="s">
        <v>86</v>
      </c>
      <c r="B69" s="162"/>
      <c r="C69" s="162"/>
      <c r="D69" s="162"/>
      <c r="E69" s="162"/>
      <c r="F69" s="162"/>
      <c r="G69" s="110" t="s">
        <v>74</v>
      </c>
      <c r="H69" s="156" t="s">
        <v>185</v>
      </c>
      <c r="I69" s="156"/>
      <c r="J69" s="162" t="s">
        <v>201</v>
      </c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10"/>
      <c r="AG69" s="110"/>
      <c r="AH69" s="110"/>
      <c r="AI69" s="110"/>
      <c r="AJ69" s="110"/>
    </row>
    <row r="70" spans="1:36" s="23" customFormat="1" ht="12" customHeight="1" x14ac:dyDescent="0.2">
      <c r="A70" s="162" t="s">
        <v>88</v>
      </c>
      <c r="B70" s="162"/>
      <c r="C70" s="162"/>
      <c r="D70" s="162"/>
      <c r="E70" s="162"/>
      <c r="F70" s="162"/>
      <c r="G70" s="110" t="s">
        <v>74</v>
      </c>
      <c r="H70" s="156" t="s">
        <v>198</v>
      </c>
      <c r="I70" s="156"/>
      <c r="J70" s="162" t="s">
        <v>202</v>
      </c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10"/>
      <c r="AG70" s="110"/>
      <c r="AH70" s="110"/>
      <c r="AI70" s="110"/>
      <c r="AJ70" s="110"/>
    </row>
    <row r="71" spans="1:36" s="23" customFormat="1" ht="12" customHeight="1" x14ac:dyDescent="0.2">
      <c r="A71" s="162" t="s">
        <v>196</v>
      </c>
      <c r="B71" s="162"/>
      <c r="C71" s="162"/>
      <c r="D71" s="162"/>
      <c r="E71" s="162"/>
      <c r="F71" s="162"/>
      <c r="G71" s="110" t="s">
        <v>74</v>
      </c>
      <c r="H71" s="156" t="s">
        <v>197</v>
      </c>
      <c r="I71" s="156"/>
      <c r="J71" s="162" t="s">
        <v>203</v>
      </c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10"/>
      <c r="AG71" s="110"/>
      <c r="AH71" s="110"/>
      <c r="AI71" s="110"/>
      <c r="AJ71" s="110"/>
    </row>
    <row r="72" spans="1:36" ht="18.75" customHeight="1" x14ac:dyDescent="0.25">
      <c r="A72" s="134" t="s">
        <v>56</v>
      </c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</row>
    <row r="73" spans="1:36" s="23" customFormat="1" ht="12" customHeight="1" x14ac:dyDescent="0.2">
      <c r="A73" s="23" t="s">
        <v>11</v>
      </c>
    </row>
    <row r="74" spans="1:36" s="23" customFormat="1" ht="12" customHeight="1" x14ac:dyDescent="0.2">
      <c r="A74" s="23" t="s">
        <v>10</v>
      </c>
      <c r="G74" s="137" t="str">
        <f>'АОСР-4'!G72:R72</f>
        <v>Исполнительная схема заземления ВРЩ</v>
      </c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6" ht="7.5" customHeight="1" x14ac:dyDescent="0.25">
      <c r="A75" s="157"/>
      <c r="B75" s="157"/>
      <c r="C75" s="8"/>
      <c r="D75" s="8"/>
      <c r="E75" s="8"/>
      <c r="F75" s="8"/>
      <c r="G75" s="135" t="s">
        <v>9</v>
      </c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s="23" customFormat="1" ht="12" customHeight="1" x14ac:dyDescent="0.2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</row>
    <row r="77" spans="1:36" ht="7.5" customHeight="1" x14ac:dyDescent="0.25">
      <c r="A77" s="134" t="s">
        <v>31</v>
      </c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37" t="str">
        <f>'Данные объект'!B6</f>
        <v>21.02.2025</v>
      </c>
      <c r="Q79" s="137"/>
      <c r="R79" s="137"/>
      <c r="S79" s="137"/>
      <c r="T79" s="137"/>
      <c r="U79" s="137"/>
      <c r="V79" s="137"/>
      <c r="W79" s="13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37" t="str">
        <f>'Данные объект'!B7</f>
        <v>21.02.2025</v>
      </c>
      <c r="Q80" s="137"/>
      <c r="R80" s="137"/>
      <c r="S80" s="137"/>
      <c r="T80" s="137"/>
      <c r="U80" s="137"/>
      <c r="V80" s="137"/>
      <c r="W80" s="137"/>
      <c r="X80" s="23" t="s">
        <v>6</v>
      </c>
    </row>
    <row r="81" spans="1:36" s="23" customFormat="1" ht="7.5" customHeight="1" x14ac:dyDescent="0.2">
      <c r="A81" s="36"/>
      <c r="B81" s="36"/>
      <c r="C81" s="36"/>
      <c r="D81" s="37"/>
      <c r="E81" s="37"/>
      <c r="F81" s="37"/>
      <c r="G81" s="37"/>
    </row>
    <row r="82" spans="1:36" s="23" customFormat="1" ht="12" customHeight="1" x14ac:dyDescent="0.2">
      <c r="A82" s="23" t="s">
        <v>5</v>
      </c>
    </row>
    <row r="83" spans="1:36" s="23" customFormat="1" ht="12" customHeight="1" x14ac:dyDescent="0.2">
      <c r="A83" s="143" t="s">
        <v>99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</row>
    <row r="84" spans="1:36" ht="8.25" customHeight="1" x14ac:dyDescent="0.25">
      <c r="A84" s="134" t="s">
        <v>4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s="23" customFormat="1" ht="12" customHeight="1" x14ac:dyDescent="0.2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ht="8.25" customHeight="1" x14ac:dyDescent="0.25">
      <c r="A86" s="134" t="s">
        <v>57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s="23" customFormat="1" ht="12" customHeight="1" x14ac:dyDescent="0.2">
      <c r="A87" s="23" t="s">
        <v>3</v>
      </c>
    </row>
    <row r="88" spans="1:36" s="23" customFormat="1" ht="12" customHeight="1" x14ac:dyDescent="0.2">
      <c r="A88" s="137" t="s">
        <v>186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ht="9" customHeight="1" x14ac:dyDescent="0.25">
      <c r="A89" s="134" t="s">
        <v>32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s="23" customFormat="1" ht="12" customHeight="1" x14ac:dyDescent="0.2">
      <c r="A90" s="23" t="s">
        <v>2</v>
      </c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">
      <c r="A92" s="23" t="s">
        <v>94</v>
      </c>
      <c r="H92" s="137"/>
      <c r="I92" s="137"/>
      <c r="J92" s="23" t="s">
        <v>33</v>
      </c>
    </row>
    <row r="93" spans="1:36" ht="4.5" customHeight="1" x14ac:dyDescent="0.25"/>
    <row r="94" spans="1:36" s="23" customFormat="1" ht="12" customHeight="1" x14ac:dyDescent="0.2">
      <c r="A94" s="23" t="s">
        <v>1</v>
      </c>
    </row>
    <row r="95" spans="1:36" s="23" customFormat="1" ht="12" customHeight="1" x14ac:dyDescent="0.2">
      <c r="A95" s="34" t="s">
        <v>83</v>
      </c>
      <c r="B95" s="143" t="str">
        <f>G74</f>
        <v>Исполнительная схема заземления ВРЩ</v>
      </c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s="23" customFormat="1" ht="12" hidden="1" customHeight="1" x14ac:dyDescent="0.2">
      <c r="A96" s="3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</row>
    <row r="97" spans="1:36" s="23" customFormat="1" ht="12" customHeight="1" x14ac:dyDescent="0.2">
      <c r="A97" s="34" t="s">
        <v>85</v>
      </c>
      <c r="B97" s="159" t="str">
        <f>J69</f>
        <v>Сертификат №2023644223 от 12.03.2024г.</v>
      </c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38" t="s">
        <v>74</v>
      </c>
      <c r="R97" s="38" t="s">
        <v>84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</row>
    <row r="98" spans="1:36" s="23" customFormat="1" ht="12" customHeight="1" x14ac:dyDescent="0.2">
      <c r="A98" s="34" t="s">
        <v>90</v>
      </c>
      <c r="B98" s="159" t="str">
        <f>J70</f>
        <v>Сертификат №21010194 от 09.04.2024г.</v>
      </c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38" t="s">
        <v>74</v>
      </c>
      <c r="R98" s="38" t="s">
        <v>84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</row>
    <row r="99" spans="1:36" s="23" customFormat="1" ht="12" customHeight="1" x14ac:dyDescent="0.2">
      <c r="A99" s="38" t="s">
        <v>91</v>
      </c>
      <c r="B99" s="159" t="str">
        <f>J71</f>
        <v>Сертификат №ЕАЭС RU.МЕ77.В.01309/24 от 13.05.2024г.</v>
      </c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38" t="s">
        <v>74</v>
      </c>
      <c r="R99" s="38" t="s">
        <v>204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</row>
    <row r="100" spans="1:36" ht="9.75" customHeight="1" x14ac:dyDescent="0.25">
      <c r="A100" s="134" t="s">
        <v>0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6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23" customFormat="1" ht="12" customHeight="1" x14ac:dyDescent="0.2">
      <c r="A102" s="23" t="s">
        <v>23</v>
      </c>
    </row>
    <row r="103" spans="1:36" s="23" customFormat="1" ht="12" customHeight="1" x14ac:dyDescent="0.2">
      <c r="A103" s="23" t="s">
        <v>24</v>
      </c>
    </row>
    <row r="104" spans="1:36" s="23" customFormat="1" ht="12" customHeight="1" x14ac:dyDescent="0.2">
      <c r="A104" s="137" t="str">
        <f>'Данные объект'!B33</f>
        <v>Алексанян Г.Р.</v>
      </c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137"/>
      <c r="AC104" s="137"/>
      <c r="AD104" s="137"/>
      <c r="AE104" s="137"/>
      <c r="AF104" s="137"/>
      <c r="AG104" s="137"/>
      <c r="AH104" s="137"/>
      <c r="AI104" s="137"/>
      <c r="AJ104" s="137"/>
    </row>
    <row r="105" spans="1:36" ht="9" customHeight="1" x14ac:dyDescent="0.25">
      <c r="A105" s="145" t="s">
        <v>35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6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44" t="s">
        <v>34</v>
      </c>
      <c r="AC105" s="144"/>
      <c r="AD105" s="144"/>
      <c r="AE105" s="144"/>
      <c r="AF105" s="144"/>
      <c r="AG105" s="144"/>
      <c r="AH105" s="144"/>
      <c r="AI105" s="144"/>
      <c r="AJ105" s="144"/>
    </row>
    <row r="106" spans="1:36" s="23" customFormat="1" ht="12" customHeight="1" x14ac:dyDescent="0.2">
      <c r="A106" s="23" t="s">
        <v>25</v>
      </c>
    </row>
    <row r="107" spans="1:36" s="23" customFormat="1" ht="12" customHeight="1" x14ac:dyDescent="0.2">
      <c r="A107" s="137" t="str">
        <f>'Данные объект'!B20</f>
        <v>Волков М.Ю.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137"/>
      <c r="AC107" s="137"/>
      <c r="AD107" s="137"/>
      <c r="AE107" s="137"/>
      <c r="AF107" s="137"/>
      <c r="AG107" s="137"/>
      <c r="AH107" s="137"/>
      <c r="AI107" s="137"/>
      <c r="AJ107" s="137"/>
    </row>
    <row r="108" spans="1:36" ht="9" customHeight="1" x14ac:dyDescent="0.25">
      <c r="A108" s="145" t="s">
        <v>35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6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44" t="s">
        <v>34</v>
      </c>
      <c r="AC108" s="144"/>
      <c r="AD108" s="144"/>
      <c r="AE108" s="144"/>
      <c r="AF108" s="144"/>
      <c r="AG108" s="144"/>
      <c r="AH108" s="144"/>
      <c r="AI108" s="144"/>
      <c r="AJ108" s="144"/>
    </row>
    <row r="109" spans="1:36" s="23" customFormat="1" ht="12" customHeight="1" x14ac:dyDescent="0.2">
      <c r="A109" s="23" t="s">
        <v>27</v>
      </c>
    </row>
    <row r="110" spans="1:36" s="23" customFormat="1" ht="12" customHeight="1" x14ac:dyDescent="0.2">
      <c r="A110" s="23" t="s">
        <v>28</v>
      </c>
    </row>
    <row r="111" spans="1:36" s="23" customFormat="1" ht="12" customHeight="1" x14ac:dyDescent="0.2">
      <c r="A111" s="137" t="str">
        <f>'Данные объект'!B17</f>
        <v>Русин В.А.</v>
      </c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137"/>
      <c r="AC111" s="137"/>
      <c r="AD111" s="137"/>
      <c r="AE111" s="137"/>
      <c r="AF111" s="137"/>
      <c r="AG111" s="137"/>
      <c r="AH111" s="137"/>
      <c r="AI111" s="137"/>
      <c r="AJ111" s="137"/>
    </row>
    <row r="112" spans="1:36" ht="9" customHeight="1" x14ac:dyDescent="0.25">
      <c r="A112" s="145" t="s">
        <v>35</v>
      </c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44" t="s">
        <v>34</v>
      </c>
      <c r="AC112" s="144"/>
      <c r="AD112" s="144"/>
      <c r="AE112" s="144"/>
      <c r="AF112" s="144"/>
      <c r="AG112" s="144"/>
      <c r="AH112" s="144"/>
      <c r="AI112" s="144"/>
      <c r="AJ112" s="144"/>
    </row>
    <row r="113" spans="1:36" x14ac:dyDescent="0.25">
      <c r="A113" s="23" t="s">
        <v>218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93"/>
      <c r="AC113" s="93"/>
      <c r="AD113" s="93"/>
      <c r="AE113" s="93"/>
      <c r="AF113" s="93"/>
      <c r="AG113" s="93"/>
      <c r="AH113" s="93"/>
      <c r="AI113" s="93"/>
      <c r="AJ113" s="93"/>
    </row>
    <row r="114" spans="1:36" x14ac:dyDescent="0.25">
      <c r="A114" s="137" t="str">
        <f>'Данные объект'!$B$36</f>
        <v>Курчин М.М.</v>
      </c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6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37"/>
      <c r="AC114" s="137"/>
      <c r="AD114" s="137"/>
      <c r="AE114" s="137"/>
      <c r="AF114" s="137"/>
      <c r="AG114" s="137"/>
      <c r="AH114" s="137"/>
      <c r="AI114" s="137"/>
      <c r="AJ114" s="137"/>
    </row>
    <row r="115" spans="1:36" ht="9" customHeight="1" x14ac:dyDescent="0.25">
      <c r="A115" s="145" t="s">
        <v>35</v>
      </c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6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44" t="s">
        <v>34</v>
      </c>
      <c r="AC115" s="144"/>
      <c r="AD115" s="144"/>
      <c r="AE115" s="144"/>
      <c r="AF115" s="144"/>
      <c r="AG115" s="144"/>
      <c r="AH115" s="144"/>
      <c r="AI115" s="144"/>
      <c r="AJ115" s="144"/>
    </row>
    <row r="116" spans="1:36" s="23" customFormat="1" ht="35.25" customHeight="1" x14ac:dyDescent="0.2">
      <c r="A116" s="142" t="s">
        <v>51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spans="1:36" s="23" customFormat="1" ht="12" customHeight="1" x14ac:dyDescent="0.2">
      <c r="A117" s="137" t="s">
        <v>74</v>
      </c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137" t="s">
        <v>74</v>
      </c>
      <c r="AC117" s="137"/>
      <c r="AD117" s="137"/>
      <c r="AE117" s="137"/>
      <c r="AF117" s="137"/>
      <c r="AG117" s="137"/>
      <c r="AH117" s="137"/>
      <c r="AI117" s="137"/>
      <c r="AJ117" s="137"/>
    </row>
    <row r="118" spans="1:36" ht="9" customHeight="1" x14ac:dyDescent="0.25">
      <c r="A118" s="145" t="s">
        <v>35</v>
      </c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6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44" t="s">
        <v>34</v>
      </c>
      <c r="AC118" s="144"/>
      <c r="AD118" s="144"/>
      <c r="AE118" s="144"/>
      <c r="AF118" s="144"/>
      <c r="AG118" s="144"/>
      <c r="AH118" s="144"/>
      <c r="AI118" s="144"/>
      <c r="AJ118" s="144"/>
    </row>
    <row r="119" spans="1:36" s="23" customFormat="1" ht="40.5" hidden="1" customHeight="1" x14ac:dyDescent="0.2">
      <c r="A119" s="142" t="s">
        <v>53</v>
      </c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spans="1:36" s="23" customFormat="1" ht="12" hidden="1" customHeight="1" x14ac:dyDescent="0.2">
      <c r="A120" s="137" t="e">
        <f>#REF!</f>
        <v>#REF!</v>
      </c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137"/>
      <c r="AC120" s="137"/>
      <c r="AD120" s="137"/>
      <c r="AE120" s="137"/>
      <c r="AF120" s="137"/>
      <c r="AG120" s="137"/>
      <c r="AH120" s="137"/>
      <c r="AI120" s="137"/>
      <c r="AJ120" s="137"/>
    </row>
    <row r="121" spans="1:36" ht="9" hidden="1" customHeight="1" x14ac:dyDescent="0.25">
      <c r="A121" s="145" t="s">
        <v>35</v>
      </c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6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44" t="s">
        <v>34</v>
      </c>
      <c r="AC121" s="144"/>
      <c r="AD121" s="144"/>
      <c r="AE121" s="144"/>
      <c r="AF121" s="144"/>
      <c r="AG121" s="144"/>
      <c r="AH121" s="144"/>
      <c r="AI121" s="144"/>
      <c r="AJ121" s="144"/>
    </row>
    <row r="122" spans="1:36" ht="12" customHeight="1" x14ac:dyDescent="0.25"/>
  </sheetData>
  <mergeCells count="114">
    <mergeCell ref="A46:AJ46"/>
    <mergeCell ref="A47:AJ47"/>
    <mergeCell ref="A48:AJ48"/>
    <mergeCell ref="A114:O114"/>
    <mergeCell ref="AB114:AJ114"/>
    <mergeCell ref="A115:O115"/>
    <mergeCell ref="AB115:AJ115"/>
    <mergeCell ref="A121:O121"/>
    <mergeCell ref="AB121:AJ121"/>
    <mergeCell ref="A69:F69"/>
    <mergeCell ref="H69:I69"/>
    <mergeCell ref="J69:AE69"/>
    <mergeCell ref="A70:F70"/>
    <mergeCell ref="A112:O112"/>
    <mergeCell ref="AB112:AJ112"/>
    <mergeCell ref="A116:AJ116"/>
    <mergeCell ref="A117:O117"/>
    <mergeCell ref="A119:AJ119"/>
    <mergeCell ref="A120:O120"/>
    <mergeCell ref="AB120:AJ120"/>
    <mergeCell ref="AB117:AJ117"/>
    <mergeCell ref="A118:O118"/>
    <mergeCell ref="AB118:AJ118"/>
    <mergeCell ref="A107:O107"/>
    <mergeCell ref="A86:AJ86"/>
    <mergeCell ref="A88:AJ88"/>
    <mergeCell ref="A89:AJ89"/>
    <mergeCell ref="AB108:AJ108"/>
    <mergeCell ref="A66:AJ66"/>
    <mergeCell ref="P67:AJ67"/>
    <mergeCell ref="G74:T74"/>
    <mergeCell ref="L90:AJ90"/>
    <mergeCell ref="H92:I92"/>
    <mergeCell ref="B95:P95"/>
    <mergeCell ref="A111:O111"/>
    <mergeCell ref="AB111:AJ111"/>
    <mergeCell ref="B97:P97"/>
    <mergeCell ref="A100:AJ100"/>
    <mergeCell ref="A104:O104"/>
    <mergeCell ref="AB104:AJ104"/>
    <mergeCell ref="A105:O105"/>
    <mergeCell ref="AB105:AJ105"/>
    <mergeCell ref="B98:P98"/>
    <mergeCell ref="AB107:AJ107"/>
    <mergeCell ref="A108:O108"/>
    <mergeCell ref="B99:P99"/>
    <mergeCell ref="A41:AJ41"/>
    <mergeCell ref="A42:AJ42"/>
    <mergeCell ref="A43:AJ43"/>
    <mergeCell ref="A84:AJ84"/>
    <mergeCell ref="A85:AJ85"/>
    <mergeCell ref="P80:W80"/>
    <mergeCell ref="A62:H62"/>
    <mergeCell ref="I62:K62"/>
    <mergeCell ref="A75:B75"/>
    <mergeCell ref="G75:AJ75"/>
    <mergeCell ref="A76:AJ76"/>
    <mergeCell ref="A77:AJ77"/>
    <mergeCell ref="P79:W79"/>
    <mergeCell ref="P68:AJ68"/>
    <mergeCell ref="A72:AJ72"/>
    <mergeCell ref="H70:I70"/>
    <mergeCell ref="J70:AE70"/>
    <mergeCell ref="A71:F71"/>
    <mergeCell ref="H71:I71"/>
    <mergeCell ref="J71:AE71"/>
    <mergeCell ref="A83:AJ83"/>
    <mergeCell ref="P62:R62"/>
    <mergeCell ref="A63:AJ63"/>
    <mergeCell ref="A65:AJ65"/>
    <mergeCell ref="A59:AJ59"/>
    <mergeCell ref="A44:AJ44"/>
    <mergeCell ref="A45:AJ45"/>
    <mergeCell ref="A49:AJ49"/>
    <mergeCell ref="A50:AJ50"/>
    <mergeCell ref="A51:AJ51"/>
    <mergeCell ref="A52:AJ52"/>
    <mergeCell ref="A24:AJ24"/>
    <mergeCell ref="A25:AJ25"/>
    <mergeCell ref="A26:AJ26"/>
    <mergeCell ref="A27:AJ27"/>
    <mergeCell ref="A29:AJ29"/>
    <mergeCell ref="A30:AJ30"/>
    <mergeCell ref="E32:G32"/>
    <mergeCell ref="A53:AJ53"/>
    <mergeCell ref="A54:AJ54"/>
    <mergeCell ref="A55:AJ55"/>
    <mergeCell ref="A56:AJ56"/>
    <mergeCell ref="A58:AJ58"/>
    <mergeCell ref="A35:AJ35"/>
    <mergeCell ref="A36:AJ36"/>
    <mergeCell ref="A37:AJ37"/>
    <mergeCell ref="A38:AJ38"/>
    <mergeCell ref="A39:AJ39"/>
    <mergeCell ref="AB32:AI32"/>
    <mergeCell ref="AB33:AI33"/>
    <mergeCell ref="A4:AJ4"/>
    <mergeCell ref="A5:AJ5"/>
    <mergeCell ref="A6:AJ6"/>
    <mergeCell ref="A8:AJ8"/>
    <mergeCell ref="A9:AJ9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7:AJ7"/>
  </mergeCells>
  <phoneticPr fontId="8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7"/>
    <pageSetUpPr fitToPage="1"/>
  </sheetPr>
  <dimension ref="A1:AQ120"/>
  <sheetViews>
    <sheetView view="pageBreakPreview" topLeftCell="A25" zoomScaleNormal="125" zoomScaleSheetLayoutView="100" workbookViewId="0">
      <selection activeCell="A116" sqref="A116:O116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3" customFormat="1" ht="12.75" customHeight="1" x14ac:dyDescent="0.2">
      <c r="AJ1" s="24" t="s">
        <v>42</v>
      </c>
    </row>
    <row r="2" spans="1:43" s="23" customFormat="1" ht="11.25" customHeight="1" x14ac:dyDescent="0.2">
      <c r="AJ2" s="24" t="s">
        <v>41</v>
      </c>
    </row>
    <row r="3" spans="1:43" s="23" customFormat="1" ht="14.25" customHeight="1" x14ac:dyDescent="0.2">
      <c r="A3" s="23" t="s">
        <v>21</v>
      </c>
      <c r="AJ3" s="25"/>
      <c r="AK3" s="25"/>
      <c r="AL3" s="25"/>
      <c r="AM3" s="25"/>
      <c r="AN3" s="25"/>
      <c r="AO3" s="25"/>
      <c r="AP3" s="25"/>
      <c r="AQ3" s="25"/>
    </row>
    <row r="4" spans="1:43" s="23" customFormat="1" ht="24" customHeight="1" x14ac:dyDescent="0.2">
      <c r="A4" s="132" t="str">
        <f>'Данные объект'!B3</f>
        <v>Строительство ВЛИ-0,38 кВ от ТП-10/0,4 кВ № 4232, ПС-110/10 кВ №20 Алабушево, установка ВРЩ-0,4 кВ, в т.ч. ПИР, МО, Солнечногорский р-н, п. Жилино, уч. 20А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23" customFormat="1" ht="20.25" customHeight="1" x14ac:dyDescent="0.2">
      <c r="A5" s="132" t="str">
        <f>'Данные объект'!B9</f>
        <v>ВРЩ-0,4 кВ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43" ht="13.5" customHeight="1" x14ac:dyDescent="0.25">
      <c r="A6" s="134" t="s">
        <v>217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43" s="23" customFormat="1" ht="12.75" customHeight="1" x14ac:dyDescent="0.2">
      <c r="A7" s="141" t="s">
        <v>43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3" s="23" customFormat="1" ht="12" customHeight="1" x14ac:dyDescent="0.2">
      <c r="A8" s="131" t="str">
        <f>'Данные объект'!B23</f>
        <v>ПАО "Россети Московский регион"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</row>
    <row r="9" spans="1:43" ht="19.5" customHeight="1" x14ac:dyDescent="0.25">
      <c r="A9" s="134" t="s">
        <v>58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</row>
    <row r="10" spans="1:43" s="23" customFormat="1" ht="12" customHeight="1" x14ac:dyDescent="0.2">
      <c r="A10" s="131" t="str">
        <f>'Данные объект'!B24</f>
        <v>ОГРН 1057746555811 ИНН 5036065113 КПП 772501001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</row>
    <row r="11" spans="1:43" ht="28.5" customHeight="1" x14ac:dyDescent="0.25">
      <c r="A11" s="134" t="s">
        <v>59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</row>
    <row r="12" spans="1:43" s="23" customFormat="1" ht="12" customHeight="1" x14ac:dyDescent="0.2">
      <c r="A12" s="131" t="str">
        <f>'Данные объект'!B25</f>
        <v>115114, город Москва, проезд Павелецкий 2-й, дом 3, строение 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</row>
    <row r="13" spans="1:43" ht="11.25" customHeigh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</row>
    <row r="14" spans="1:43" s="23" customFormat="1" ht="12" customHeight="1" x14ac:dyDescent="0.2">
      <c r="A14" s="23" t="s">
        <v>22</v>
      </c>
    </row>
    <row r="15" spans="1:43" s="23" customFormat="1" ht="12" customHeight="1" x14ac:dyDescent="0.2">
      <c r="A15" s="131" t="str">
        <f>'Данные объект'!B11</f>
        <v>ООО"Энергосистемы"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</row>
    <row r="16" spans="1:43" ht="9.75" customHeight="1" x14ac:dyDescent="0.25">
      <c r="A16" s="134" t="s">
        <v>38</v>
      </c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s="23" customFormat="1" ht="12" customHeight="1" x14ac:dyDescent="0.2">
      <c r="A17" s="131" t="str">
        <f>'Данные объект'!B12</f>
        <v>ОГРН 1135044003709  ИНН 5044089069 КПП 504401001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</row>
    <row r="18" spans="1:36" ht="8.25" customHeight="1" x14ac:dyDescent="0.25">
      <c r="A18" s="134" t="s">
        <v>45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s="23" customFormat="1" ht="12" customHeight="1" x14ac:dyDescent="0.2">
      <c r="A19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</row>
    <row r="20" spans="1:36" ht="27" customHeight="1" x14ac:dyDescent="0.25">
      <c r="A20" s="134" t="s">
        <v>60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</row>
    <row r="21" spans="1:36" s="23" customFormat="1" ht="12" customHeight="1" x14ac:dyDescent="0.2">
      <c r="A21" s="23" t="s">
        <v>20</v>
      </c>
    </row>
    <row r="22" spans="1:36" s="23" customFormat="1" ht="12" customHeight="1" x14ac:dyDescent="0.2">
      <c r="A22" s="131" t="str">
        <f>'Данные объект'!B39</f>
        <v>ООО"Энергосистемы"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</row>
    <row r="23" spans="1:36" ht="7.5" customHeight="1" x14ac:dyDescent="0.25">
      <c r="A23" s="134" t="s">
        <v>37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</row>
    <row r="24" spans="1:36" s="23" customFormat="1" ht="12" customHeight="1" x14ac:dyDescent="0.2">
      <c r="A24" s="131" t="str">
        <f>'Данные объект'!B12</f>
        <v>ОГРН 1135044003709  ИНН 5044089069 КПП 504401001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</row>
    <row r="25" spans="1:36" ht="7.5" customHeight="1" x14ac:dyDescent="0.25">
      <c r="A25" s="134" t="s">
        <v>61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</row>
    <row r="26" spans="1:36" s="23" customFormat="1" ht="12" customHeight="1" x14ac:dyDescent="0.2">
      <c r="A26" s="131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</row>
    <row r="27" spans="1:36" ht="22.5" customHeight="1" x14ac:dyDescent="0.25">
      <c r="A27" s="134" t="s">
        <v>46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</row>
    <row r="28" spans="1:36" ht="9" customHeight="1" x14ac:dyDescent="0.25">
      <c r="A28" s="2"/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36" s="23" customFormat="1" ht="12.95" customHeight="1" x14ac:dyDescent="0.2">
      <c r="A29" s="136" t="s">
        <v>36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</row>
    <row r="30" spans="1:36" s="23" customFormat="1" ht="12.95" customHeight="1" x14ac:dyDescent="0.2">
      <c r="A30" s="139" t="s">
        <v>19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</row>
    <row r="31" spans="1:36" s="23" customFormat="1" ht="6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36" s="23" customFormat="1" ht="12.95" customHeight="1" x14ac:dyDescent="0.2">
      <c r="A32" s="28"/>
      <c r="B32" s="28" t="s">
        <v>18</v>
      </c>
      <c r="C32" s="34">
        <f>'АОСР-5'!C32+1</f>
        <v>6</v>
      </c>
      <c r="D32" s="34"/>
      <c r="E32" s="137" t="str">
        <f>'АОСР-5'!E32</f>
        <v>/ВРЩ</v>
      </c>
      <c r="F32" s="137"/>
      <c r="G32" s="137"/>
      <c r="H32" s="35"/>
      <c r="I32" s="35"/>
      <c r="J32" s="35"/>
      <c r="X32" s="81"/>
      <c r="Y32" s="86"/>
      <c r="Z32" s="86"/>
      <c r="AA32" s="82"/>
      <c r="AB32" s="137" t="str">
        <f>P80</f>
        <v>21.02.2025</v>
      </c>
      <c r="AC32" s="137"/>
      <c r="AD32" s="137"/>
      <c r="AE32" s="137"/>
      <c r="AF32" s="137"/>
      <c r="AG32" s="137"/>
      <c r="AH32" s="137"/>
      <c r="AI32" s="137"/>
      <c r="AJ32" s="23" t="s">
        <v>6</v>
      </c>
    </row>
    <row r="33" spans="1:36" ht="9" customHeight="1" x14ac:dyDescent="0.25">
      <c r="X33" s="83"/>
      <c r="Y33" s="84"/>
      <c r="Z33" s="85"/>
      <c r="AA33" s="84"/>
      <c r="AB33" s="138" t="s">
        <v>17</v>
      </c>
      <c r="AC33" s="138"/>
      <c r="AD33" s="138"/>
      <c r="AE33" s="138"/>
      <c r="AF33" s="138"/>
      <c r="AG33" s="138"/>
      <c r="AH33" s="138"/>
      <c r="AI33" s="138"/>
    </row>
    <row r="34" spans="1:36" ht="6.75" customHeight="1" x14ac:dyDescent="0.25"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6" s="23" customFormat="1" ht="27.75" customHeight="1" x14ac:dyDescent="0.2">
      <c r="A35" s="141" t="s">
        <v>47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</row>
    <row r="36" spans="1:36" s="23" customFormat="1" ht="23.25" customHeight="1" x14ac:dyDescent="0.2">
      <c r="A36" s="132" t="str">
        <f>'Данные объект'!C34</f>
        <v>Гл. специалист ССК УКС ПАО "Россети Московский регион" Алексанян Г.Р..Приказ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36" ht="28.5" customHeight="1" x14ac:dyDescent="0.25">
      <c r="A37" s="134" t="s">
        <v>149</v>
      </c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</row>
    <row r="38" spans="1:36" s="23" customFormat="1" ht="24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ht="25.5" customHeight="1" x14ac:dyDescent="0.25">
      <c r="A39" s="133" t="s">
        <v>48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</row>
    <row r="40" spans="1:36" s="23" customFormat="1" ht="12" customHeight="1" x14ac:dyDescent="0.2">
      <c r="A40" s="23" t="s">
        <v>25</v>
      </c>
    </row>
    <row r="41" spans="1:36" s="23" customFormat="1" ht="12" customHeight="1" x14ac:dyDescent="0.2">
      <c r="A41" s="131" t="str">
        <f>'Данные объект'!C21</f>
        <v>Прораб ООО"Энергосистемы" Волков М.Ю..Приказ №05-ОТ/24 от 09 января 2024г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</row>
    <row r="42" spans="1:36" ht="9" customHeight="1" x14ac:dyDescent="0.25">
      <c r="A42" s="134" t="s">
        <v>26</v>
      </c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s="23" customFormat="1" ht="22.5" customHeight="1" x14ac:dyDescent="0.2">
      <c r="A43" s="141" t="s">
        <v>49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</row>
    <row r="44" spans="1:36" s="31" customFormat="1" ht="24.75" customHeight="1" x14ac:dyDescent="0.2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36" ht="30" customHeight="1" x14ac:dyDescent="0.25">
      <c r="A45" s="134" t="s">
        <v>50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</row>
    <row r="46" spans="1:36" x14ac:dyDescent="0.25">
      <c r="A46" s="141" t="s">
        <v>219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</row>
    <row r="47" spans="1:36" x14ac:dyDescent="0.25">
      <c r="A47" s="132" t="str">
        <f>'Данные объект'!$C$36</f>
        <v>Мастер СРЭС СЭС филиала ПАО "Россети Московский регион" Курчин М.М.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 ht="9.75" customHeight="1" x14ac:dyDescent="0.25">
      <c r="A48" s="134" t="s">
        <v>26</v>
      </c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</row>
    <row r="49" spans="1:36" s="23" customFormat="1" ht="38.25" customHeight="1" x14ac:dyDescent="0.2">
      <c r="A49" s="142" t="s">
        <v>51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spans="1:36" s="31" customFormat="1" ht="12.95" customHeight="1" x14ac:dyDescent="0.2">
      <c r="A50" s="131" t="s">
        <v>74</v>
      </c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</row>
    <row r="51" spans="1:36" ht="29.25" customHeight="1" x14ac:dyDescent="0.25">
      <c r="A51" s="134" t="s">
        <v>52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</row>
    <row r="52" spans="1:36" s="23" customFormat="1" ht="27" hidden="1" customHeight="1" x14ac:dyDescent="0.2">
      <c r="A52" s="142" t="s">
        <v>53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spans="1:36" s="23" customFormat="1" ht="12" hidden="1" customHeight="1" x14ac:dyDescent="0.2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ht="9.75" hidden="1" customHeight="1" x14ac:dyDescent="0.25">
      <c r="A54" s="134" t="s">
        <v>29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</row>
    <row r="55" spans="1:36" s="2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ht="16.5" hidden="1" customHeight="1" x14ac:dyDescent="0.25">
      <c r="A56" s="134" t="s">
        <v>54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</row>
    <row r="57" spans="1:36" s="23" customFormat="1" ht="12" customHeight="1" x14ac:dyDescent="0.2">
      <c r="A57" s="23" t="s">
        <v>16</v>
      </c>
    </row>
    <row r="58" spans="1:36" s="23" customFormat="1" ht="12.95" customHeight="1" x14ac:dyDescent="0.2">
      <c r="A58" s="137" t="str">
        <f>'Данные объект'!B11</f>
        <v>ООО"Энергосистемы"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</row>
    <row r="59" spans="1:36" ht="10.5" customHeight="1" x14ac:dyDescent="0.25">
      <c r="A59" s="145" t="s">
        <v>39</v>
      </c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</row>
    <row r="60" spans="1:36" s="23" customFormat="1" ht="12" customHeight="1" x14ac:dyDescent="0.2">
      <c r="A60" s="23" t="s">
        <v>15</v>
      </c>
    </row>
    <row r="61" spans="1:36" s="23" customFormat="1" ht="12" customHeight="1" x14ac:dyDescent="0.2">
      <c r="A61" s="23" t="s">
        <v>30</v>
      </c>
    </row>
    <row r="62" spans="1:36" s="23" customFormat="1" ht="12" customHeight="1" x14ac:dyDescent="0.2">
      <c r="A62" s="131" t="s">
        <v>187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58"/>
      <c r="O62" s="152">
        <f>'АОСР-4'!P62</f>
        <v>4.2</v>
      </c>
      <c r="P62" s="152"/>
      <c r="Q62" s="152"/>
      <c r="R62" s="132" t="s">
        <v>170</v>
      </c>
      <c r="S62" s="132"/>
      <c r="T62" s="32"/>
      <c r="U62" s="32"/>
      <c r="V62" s="32"/>
      <c r="W62" s="32"/>
      <c r="X62" s="58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 spans="1:36" ht="8.25" customHeight="1" x14ac:dyDescent="0.25">
      <c r="A63" s="145" t="s">
        <v>14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</row>
    <row r="64" spans="1:36" s="23" customFormat="1" ht="12" customHeight="1" x14ac:dyDescent="0.2">
      <c r="A64" s="23" t="s">
        <v>13</v>
      </c>
    </row>
    <row r="65" spans="1:36" s="23" customFormat="1" ht="12" customHeight="1" x14ac:dyDescent="0.2">
      <c r="A65" s="132" t="str">
        <f>'Данные объект'!B43</f>
        <v>3746-984421-20-02/23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ht="15" customHeight="1" x14ac:dyDescent="0.25">
      <c r="A66" s="145" t="s">
        <v>40</v>
      </c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</row>
    <row r="67" spans="1:36" s="23" customFormat="1" ht="12" customHeight="1" x14ac:dyDescent="0.2">
      <c r="A67" s="23" t="s">
        <v>12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</row>
    <row r="68" spans="1:36" s="2" customFormat="1" ht="7.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44" t="s">
        <v>55</v>
      </c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</row>
    <row r="69" spans="1:36" s="23" customFormat="1" ht="12" customHeight="1" x14ac:dyDescent="0.2">
      <c r="A69" s="163"/>
      <c r="B69" s="163"/>
      <c r="C69" s="163"/>
      <c r="D69" s="163"/>
      <c r="E69" s="163"/>
      <c r="F69" s="163"/>
      <c r="G69" s="32"/>
      <c r="H69" s="132"/>
      <c r="I69" s="132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32"/>
      <c r="AG69" s="32"/>
      <c r="AH69" s="32"/>
      <c r="AI69" s="32"/>
      <c r="AJ69" s="32"/>
    </row>
    <row r="70" spans="1:36" ht="18.75" hidden="1" customHeight="1" x14ac:dyDescent="0.25">
      <c r="A70" s="164" t="s">
        <v>88</v>
      </c>
      <c r="B70" s="164"/>
      <c r="C70" s="164"/>
      <c r="D70" s="164"/>
      <c r="E70" s="164"/>
      <c r="F70" s="164"/>
      <c r="G70" s="18" t="s">
        <v>74</v>
      </c>
      <c r="H70" s="165" t="s">
        <v>87</v>
      </c>
      <c r="I70" s="165"/>
      <c r="J70" s="164" t="s">
        <v>82</v>
      </c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8"/>
      <c r="AG70" s="18"/>
      <c r="AH70" s="18"/>
      <c r="AI70" s="18"/>
      <c r="AJ70" s="18"/>
    </row>
    <row r="71" spans="1:36" ht="12" hidden="1" customHeight="1" x14ac:dyDescent="0.25">
      <c r="A71" s="164" t="s">
        <v>89</v>
      </c>
      <c r="B71" s="164"/>
      <c r="C71" s="164"/>
      <c r="D71" s="164"/>
      <c r="E71" s="164"/>
      <c r="F71" s="164"/>
      <c r="G71" s="18" t="s">
        <v>74</v>
      </c>
      <c r="H71" s="165" t="s">
        <v>87</v>
      </c>
      <c r="I71" s="165"/>
      <c r="J71" s="164" t="s">
        <v>82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8"/>
      <c r="AG71" s="18"/>
      <c r="AH71" s="18"/>
      <c r="AI71" s="18"/>
      <c r="AJ71" s="18"/>
    </row>
    <row r="72" spans="1:36" ht="18" customHeight="1" x14ac:dyDescent="0.25">
      <c r="A72" s="145" t="s">
        <v>172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</row>
    <row r="73" spans="1:36" s="23" customFormat="1" ht="12.75" customHeight="1" x14ac:dyDescent="0.2">
      <c r="A73" s="23" t="s">
        <v>11</v>
      </c>
    </row>
    <row r="74" spans="1:36" s="23" customFormat="1" ht="12" customHeight="1" x14ac:dyDescent="0.2">
      <c r="A74" s="23" t="s">
        <v>10</v>
      </c>
      <c r="G74" s="137" t="str">
        <f>'АОСР-4'!G72</f>
        <v>Исполнительная схема заземления ВРЩ</v>
      </c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</row>
    <row r="75" spans="1:36" ht="7.5" customHeight="1" x14ac:dyDescent="0.25">
      <c r="A75" s="157"/>
      <c r="B75" s="157"/>
      <c r="C75" s="8"/>
      <c r="D75" s="8"/>
      <c r="E75" s="8"/>
      <c r="F75" s="8"/>
      <c r="G75" s="144" t="s">
        <v>9</v>
      </c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</row>
    <row r="76" spans="1:36" s="23" customFormat="1" ht="9" customHeight="1" x14ac:dyDescent="0.2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</row>
    <row r="77" spans="1:36" ht="12" customHeight="1" x14ac:dyDescent="0.25">
      <c r="A77" s="145" t="s">
        <v>31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</row>
    <row r="78" spans="1:36" ht="1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3" customFormat="1" ht="12" customHeight="1" x14ac:dyDescent="0.2">
      <c r="A79" s="23" t="s">
        <v>8</v>
      </c>
      <c r="D79" s="59"/>
      <c r="E79" s="59"/>
      <c r="F79" s="59"/>
      <c r="G79" s="59"/>
      <c r="L79" s="24"/>
      <c r="M79" s="39"/>
      <c r="N79" s="39"/>
      <c r="P79" s="137" t="str">
        <f>'Данные объект'!B6</f>
        <v>21.02.2025</v>
      </c>
      <c r="Q79" s="137"/>
      <c r="R79" s="137"/>
      <c r="S79" s="137"/>
      <c r="T79" s="137"/>
      <c r="U79" s="137"/>
      <c r="V79" s="137"/>
      <c r="W79" s="137"/>
      <c r="X79" s="23" t="s">
        <v>6</v>
      </c>
    </row>
    <row r="80" spans="1:36" s="23" customFormat="1" ht="12" customHeight="1" x14ac:dyDescent="0.2">
      <c r="A80" s="23" t="s">
        <v>7</v>
      </c>
      <c r="D80" s="59"/>
      <c r="E80" s="59"/>
      <c r="F80" s="59"/>
      <c r="G80" s="59"/>
      <c r="L80" s="24"/>
      <c r="M80" s="39"/>
      <c r="N80" s="39"/>
      <c r="P80" s="137" t="str">
        <f>'Данные объект'!B7</f>
        <v>21.02.2025</v>
      </c>
      <c r="Q80" s="137"/>
      <c r="R80" s="137"/>
      <c r="S80" s="137"/>
      <c r="T80" s="137"/>
      <c r="U80" s="137"/>
      <c r="V80" s="137"/>
      <c r="W80" s="137"/>
      <c r="X80" s="23" t="s">
        <v>6</v>
      </c>
    </row>
    <row r="81" spans="1:36" ht="12" customHeight="1" x14ac:dyDescent="0.25">
      <c r="A81" s="6"/>
      <c r="B81" s="6"/>
      <c r="C81" s="6"/>
      <c r="D81" s="5"/>
      <c r="E81" s="5"/>
      <c r="F81" s="5"/>
      <c r="G81" s="5"/>
    </row>
    <row r="82" spans="1:36" s="23" customFormat="1" ht="8.25" customHeight="1" x14ac:dyDescent="0.2">
      <c r="A82" s="23" t="s">
        <v>5</v>
      </c>
    </row>
    <row r="83" spans="1:36" s="23" customFormat="1" ht="12" customHeight="1" x14ac:dyDescent="0.2">
      <c r="A83" s="143" t="s">
        <v>99</v>
      </c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</row>
    <row r="84" spans="1:36" ht="8.25" customHeight="1" x14ac:dyDescent="0.25">
      <c r="A84" s="145" t="s">
        <v>4</v>
      </c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</row>
    <row r="85" spans="1:36" s="23" customFormat="1" ht="12" customHeight="1" x14ac:dyDescent="0.2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</row>
    <row r="86" spans="1:36" ht="12" customHeight="1" x14ac:dyDescent="0.25">
      <c r="A86" s="145" t="s">
        <v>57</v>
      </c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</row>
    <row r="87" spans="1:36" s="23" customFormat="1" ht="9" customHeight="1" x14ac:dyDescent="0.2">
      <c r="A87" s="23" t="s">
        <v>3</v>
      </c>
    </row>
    <row r="88" spans="1:36" s="23" customFormat="1" ht="12" customHeight="1" x14ac:dyDescent="0.2">
      <c r="A88" s="137" t="s">
        <v>93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</row>
    <row r="89" spans="1:36" ht="6" customHeight="1" x14ac:dyDescent="0.25">
      <c r="A89" s="145" t="s">
        <v>32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</row>
    <row r="90" spans="1:36" s="23" customFormat="1" ht="12" customHeight="1" x14ac:dyDescent="0.2">
      <c r="A90" s="23" t="s">
        <v>2</v>
      </c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</row>
    <row r="91" spans="1:36" ht="4.5" customHeight="1" x14ac:dyDescent="0.25">
      <c r="D91" s="4"/>
      <c r="E91" s="4"/>
      <c r="F91" s="4"/>
      <c r="G91" s="4"/>
      <c r="H91" s="4"/>
      <c r="I91" s="4"/>
      <c r="J91" s="4"/>
    </row>
    <row r="92" spans="1:36" s="23" customFormat="1" ht="12" customHeight="1" x14ac:dyDescent="0.2">
      <c r="A92" s="23" t="s">
        <v>94</v>
      </c>
      <c r="H92" s="137"/>
      <c r="I92" s="137"/>
      <c r="J92" s="23" t="s">
        <v>33</v>
      </c>
    </row>
    <row r="93" spans="1:36" ht="12" customHeight="1" x14ac:dyDescent="0.25"/>
    <row r="94" spans="1:36" s="23" customFormat="1" ht="9.75" customHeight="1" x14ac:dyDescent="0.2">
      <c r="A94" s="23" t="s">
        <v>1</v>
      </c>
    </row>
    <row r="95" spans="1:36" s="23" customFormat="1" ht="10.5" customHeight="1" x14ac:dyDescent="0.2">
      <c r="A95" s="34" t="s">
        <v>83</v>
      </c>
      <c r="B95" s="143" t="str">
        <f>G74</f>
        <v>Исполнительная схема заземления ВРЩ</v>
      </c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34" t="s">
        <v>74</v>
      </c>
      <c r="R95" s="34" t="s">
        <v>84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</row>
    <row r="96" spans="1:36" ht="12" hidden="1" customHeight="1" x14ac:dyDescent="0.25">
      <c r="A96" s="20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</row>
    <row r="97" spans="1:36" ht="12" hidden="1" customHeight="1" x14ac:dyDescent="0.25">
      <c r="A97" s="22" t="s">
        <v>85</v>
      </c>
      <c r="B97" s="159">
        <f>R74</f>
        <v>0</v>
      </c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22" t="s">
        <v>74</v>
      </c>
      <c r="R97" s="38" t="s">
        <v>84</v>
      </c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ht="12" customHeight="1" x14ac:dyDescent="0.25">
      <c r="A98" s="145" t="s">
        <v>0</v>
      </c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</row>
    <row r="99" spans="1:36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3" customFormat="1" ht="12" customHeight="1" x14ac:dyDescent="0.2">
      <c r="A100" s="23" t="s">
        <v>23</v>
      </c>
    </row>
    <row r="101" spans="1:36" s="23" customFormat="1" ht="12" customHeight="1" x14ac:dyDescent="0.2">
      <c r="A101" s="23" t="s">
        <v>24</v>
      </c>
    </row>
    <row r="102" spans="1:36" s="23" customFormat="1" ht="12" customHeight="1" x14ac:dyDescent="0.2">
      <c r="A102" s="137" t="str">
        <f>'Данные объект'!B33</f>
        <v>Алексанян Г.Р.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137"/>
      <c r="AC102" s="137"/>
      <c r="AD102" s="137"/>
      <c r="AE102" s="137"/>
      <c r="AF102" s="137"/>
      <c r="AG102" s="137"/>
      <c r="AH102" s="137"/>
      <c r="AI102" s="137"/>
      <c r="AJ102" s="137"/>
    </row>
    <row r="103" spans="1:36" ht="9" customHeight="1" x14ac:dyDescent="0.25">
      <c r="A103" s="145" t="s">
        <v>35</v>
      </c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6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44" t="s">
        <v>34</v>
      </c>
      <c r="AC103" s="144"/>
      <c r="AD103" s="144"/>
      <c r="AE103" s="144"/>
      <c r="AF103" s="144"/>
      <c r="AG103" s="144"/>
      <c r="AH103" s="144"/>
      <c r="AI103" s="144"/>
      <c r="AJ103" s="144"/>
    </row>
    <row r="104" spans="1:36" s="23" customFormat="1" ht="12" customHeight="1" x14ac:dyDescent="0.2">
      <c r="A104" s="23" t="s">
        <v>25</v>
      </c>
    </row>
    <row r="105" spans="1:36" s="23" customFormat="1" ht="12" customHeight="1" x14ac:dyDescent="0.2">
      <c r="A105" s="137" t="str">
        <f>'Данные объект'!B20</f>
        <v>Волков М.Ю.</v>
      </c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137"/>
      <c r="AC105" s="137"/>
      <c r="AD105" s="137"/>
      <c r="AE105" s="137"/>
      <c r="AF105" s="137"/>
      <c r="AG105" s="137"/>
      <c r="AH105" s="137"/>
      <c r="AI105" s="137"/>
      <c r="AJ105" s="137"/>
    </row>
    <row r="106" spans="1:36" ht="9" customHeight="1" x14ac:dyDescent="0.25">
      <c r="A106" s="145" t="s">
        <v>35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6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44" t="s">
        <v>34</v>
      </c>
      <c r="AC106" s="144"/>
      <c r="AD106" s="144"/>
      <c r="AE106" s="144"/>
      <c r="AF106" s="144"/>
      <c r="AG106" s="144"/>
      <c r="AH106" s="144"/>
      <c r="AI106" s="144"/>
      <c r="AJ106" s="144"/>
    </row>
    <row r="107" spans="1:36" s="23" customFormat="1" ht="12" customHeight="1" x14ac:dyDescent="0.2">
      <c r="A107" s="23" t="s">
        <v>27</v>
      </c>
    </row>
    <row r="108" spans="1:36" s="23" customFormat="1" ht="12" customHeight="1" x14ac:dyDescent="0.2">
      <c r="A108" s="23" t="s">
        <v>28</v>
      </c>
    </row>
    <row r="109" spans="1:36" s="23" customFormat="1" ht="12" customHeight="1" x14ac:dyDescent="0.2">
      <c r="A109" s="137" t="str">
        <f>'Данные объект'!B17</f>
        <v>Русин В.А.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137"/>
      <c r="AC109" s="137"/>
      <c r="AD109" s="137"/>
      <c r="AE109" s="137"/>
      <c r="AF109" s="137"/>
      <c r="AG109" s="137"/>
      <c r="AH109" s="137"/>
      <c r="AI109" s="137"/>
      <c r="AJ109" s="137"/>
    </row>
    <row r="110" spans="1:36" ht="9" customHeight="1" x14ac:dyDescent="0.25">
      <c r="A110" s="145" t="s">
        <v>35</v>
      </c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6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44" t="s">
        <v>34</v>
      </c>
      <c r="AC110" s="144"/>
      <c r="AD110" s="144"/>
      <c r="AE110" s="144"/>
      <c r="AF110" s="144"/>
      <c r="AG110" s="144"/>
      <c r="AH110" s="144"/>
      <c r="AI110" s="144"/>
      <c r="AJ110" s="144"/>
    </row>
    <row r="111" spans="1:36" x14ac:dyDescent="0.25">
      <c r="A111" s="23" t="s">
        <v>218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16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93"/>
      <c r="AC111" s="93"/>
      <c r="AD111" s="93"/>
      <c r="AE111" s="93"/>
      <c r="AF111" s="93"/>
      <c r="AG111" s="93"/>
      <c r="AH111" s="93"/>
      <c r="AI111" s="93"/>
      <c r="AJ111" s="93"/>
    </row>
    <row r="112" spans="1:36" x14ac:dyDescent="0.25">
      <c r="A112" s="137" t="str">
        <f>'Данные объект'!$B$36</f>
        <v>Курчин М.М.</v>
      </c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6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37"/>
      <c r="AC112" s="137"/>
      <c r="AD112" s="137"/>
      <c r="AE112" s="137"/>
      <c r="AF112" s="137"/>
      <c r="AG112" s="137"/>
      <c r="AH112" s="137"/>
      <c r="AI112" s="137"/>
      <c r="AJ112" s="137"/>
    </row>
    <row r="113" spans="1:36" ht="9" customHeight="1" x14ac:dyDescent="0.25">
      <c r="A113" s="145" t="s">
        <v>35</v>
      </c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6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44" t="s">
        <v>34</v>
      </c>
      <c r="AC113" s="144"/>
      <c r="AD113" s="144"/>
      <c r="AE113" s="144"/>
      <c r="AF113" s="144"/>
      <c r="AG113" s="144"/>
      <c r="AH113" s="144"/>
      <c r="AI113" s="144"/>
      <c r="AJ113" s="144"/>
    </row>
    <row r="114" spans="1:36" s="23" customFormat="1" ht="35.25" customHeight="1" x14ac:dyDescent="0.2">
      <c r="A114" s="142" t="s">
        <v>51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spans="1:36" s="23" customFormat="1" ht="12" customHeight="1" x14ac:dyDescent="0.2">
      <c r="A115" s="137" t="s">
        <v>74</v>
      </c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137" t="s">
        <v>74</v>
      </c>
      <c r="AC115" s="137"/>
      <c r="AD115" s="137"/>
      <c r="AE115" s="137"/>
      <c r="AF115" s="137"/>
      <c r="AG115" s="137"/>
      <c r="AH115" s="137"/>
      <c r="AI115" s="137"/>
      <c r="AJ115" s="137"/>
    </row>
    <row r="116" spans="1:36" ht="9" customHeight="1" x14ac:dyDescent="0.25">
      <c r="A116" s="145" t="s">
        <v>35</v>
      </c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6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44" t="s">
        <v>34</v>
      </c>
      <c r="AC116" s="144"/>
      <c r="AD116" s="144"/>
      <c r="AE116" s="144"/>
      <c r="AF116" s="144"/>
      <c r="AG116" s="144"/>
      <c r="AH116" s="144"/>
      <c r="AI116" s="144"/>
      <c r="AJ116" s="144"/>
    </row>
    <row r="117" spans="1:36" s="23" customFormat="1" ht="11.25" hidden="1" x14ac:dyDescent="0.2">
      <c r="A117" s="142" t="s">
        <v>53</v>
      </c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spans="1:36" s="23" customFormat="1" ht="11.25" hidden="1" x14ac:dyDescent="0.2">
      <c r="A118" s="137" t="e">
        <f>#REF!</f>
        <v>#REF!</v>
      </c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137"/>
      <c r="AC118" s="137"/>
      <c r="AD118" s="137"/>
      <c r="AE118" s="137"/>
      <c r="AF118" s="137"/>
      <c r="AG118" s="137"/>
      <c r="AH118" s="137"/>
      <c r="AI118" s="137"/>
      <c r="AJ118" s="137"/>
    </row>
    <row r="119" spans="1:36" hidden="1" x14ac:dyDescent="0.25">
      <c r="A119" s="145" t="s">
        <v>35</v>
      </c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6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44" t="s">
        <v>34</v>
      </c>
      <c r="AC119" s="144"/>
      <c r="AD119" s="144"/>
      <c r="AE119" s="144"/>
      <c r="AF119" s="144"/>
      <c r="AG119" s="144"/>
      <c r="AH119" s="144"/>
      <c r="AI119" s="144"/>
      <c r="AJ119" s="144"/>
    </row>
    <row r="120" spans="1:36" ht="12" customHeight="1" x14ac:dyDescent="0.25"/>
  </sheetData>
  <mergeCells count="112">
    <mergeCell ref="P79:W79"/>
    <mergeCell ref="P80:W80"/>
    <mergeCell ref="AB110:AJ110"/>
    <mergeCell ref="AB103:AJ103"/>
    <mergeCell ref="A105:O105"/>
    <mergeCell ref="AB105:AJ105"/>
    <mergeCell ref="B97:P97"/>
    <mergeCell ref="A98:AJ98"/>
    <mergeCell ref="A102:O102"/>
    <mergeCell ref="AB102:AJ102"/>
    <mergeCell ref="A106:O106"/>
    <mergeCell ref="AB106:AJ106"/>
    <mergeCell ref="A83:AJ83"/>
    <mergeCell ref="A84:AJ84"/>
    <mergeCell ref="A85:AJ85"/>
    <mergeCell ref="A86:AJ86"/>
    <mergeCell ref="A88:AJ88"/>
    <mergeCell ref="A89:AJ89"/>
    <mergeCell ref="L90:AJ90"/>
    <mergeCell ref="H92:I92"/>
    <mergeCell ref="B95:P95"/>
    <mergeCell ref="A118:O118"/>
    <mergeCell ref="AB118:AJ118"/>
    <mergeCell ref="A119:O119"/>
    <mergeCell ref="AB119:AJ119"/>
    <mergeCell ref="A114:AJ114"/>
    <mergeCell ref="A115:O115"/>
    <mergeCell ref="AB115:AJ115"/>
    <mergeCell ref="A116:O116"/>
    <mergeCell ref="A103:O103"/>
    <mergeCell ref="AB116:AJ116"/>
    <mergeCell ref="A117:AJ117"/>
    <mergeCell ref="A109:O109"/>
    <mergeCell ref="AB109:AJ109"/>
    <mergeCell ref="A110:O110"/>
    <mergeCell ref="A112:O112"/>
    <mergeCell ref="AB112:AJ112"/>
    <mergeCell ref="A113:O113"/>
    <mergeCell ref="AB113:AJ113"/>
    <mergeCell ref="P68:AJ68"/>
    <mergeCell ref="A69:F69"/>
    <mergeCell ref="H69:I69"/>
    <mergeCell ref="J69:AE69"/>
    <mergeCell ref="A70:F70"/>
    <mergeCell ref="H70:I70"/>
    <mergeCell ref="J70:AE70"/>
    <mergeCell ref="A76:AJ76"/>
    <mergeCell ref="A77:AJ77"/>
    <mergeCell ref="A71:F71"/>
    <mergeCell ref="H71:I71"/>
    <mergeCell ref="J71:AE71"/>
    <mergeCell ref="A72:AJ72"/>
    <mergeCell ref="A75:B75"/>
    <mergeCell ref="G75:AJ75"/>
    <mergeCell ref="G74:T74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59:AJ59"/>
    <mergeCell ref="A62:M62"/>
    <mergeCell ref="O62:Q62"/>
    <mergeCell ref="R62:S6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63:AJ63"/>
    <mergeCell ref="A46:AJ46"/>
    <mergeCell ref="A47:AJ47"/>
    <mergeCell ref="A48:AJ48"/>
    <mergeCell ref="A30:AJ30"/>
    <mergeCell ref="E32:G32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4:AJ24"/>
    <mergeCell ref="A25:AJ25"/>
    <mergeCell ref="A26:AJ26"/>
    <mergeCell ref="A27:AJ27"/>
    <mergeCell ref="A29:AJ29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Бараночникова Виктория Романовна</cp:lastModifiedBy>
  <cp:lastPrinted>2025-07-22T13:08:01Z</cp:lastPrinted>
  <dcterms:created xsi:type="dcterms:W3CDTF">2018-02-24T16:53:12Z</dcterms:created>
  <dcterms:modified xsi:type="dcterms:W3CDTF">2026-07-15T07:13:39Z</dcterms:modified>
</cp:coreProperties>
</file>