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!!! Бибилиотека\Исполнительная документация\1. Шаблоны актуальные\"/>
    </mc:Choice>
  </mc:AlternateContent>
  <xr:revisionPtr revIDLastSave="0" documentId="13_ncr:1_{99A78523-1992-42BA-AE31-69B14A3C6F3A}" xr6:coauthVersionLast="45" xr6:coauthVersionMax="47" xr10:uidLastSave="{00000000-0000-0000-0000-000000000000}"/>
  <bookViews>
    <workbookView xWindow="-120" yWindow="-120" windowWidth="29040" windowHeight="15840" tabRatio="873" firstSheet="1" activeTab="15" xr2:uid="{00000000-000D-0000-FFFF-FFFF00000000}"/>
  </bookViews>
  <sheets>
    <sheet name="Данные организации" sheetId="18" r:id="rId1"/>
    <sheet name="Данные объект" sheetId="12" r:id="rId2"/>
    <sheet name="Оборудование" sheetId="20" r:id="rId3"/>
    <sheet name="Титул" sheetId="16" r:id="rId4"/>
    <sheet name="прот.№1" sheetId="1" r:id="rId5"/>
    <sheet name="прот.№2" sheetId="4" r:id="rId6"/>
    <sheet name="прот.№3" sheetId="5" r:id="rId7"/>
    <sheet name="прот.№4" sheetId="6" r:id="rId8"/>
    <sheet name="прот.№5" sheetId="7" r:id="rId9"/>
    <sheet name="прот.№6" sheetId="8" r:id="rId10"/>
    <sheet name="прот.№7" sheetId="9" r:id="rId11"/>
    <sheet name="прот.№8" sheetId="2" r:id="rId12"/>
    <sheet name="прот.№9" sheetId="3" r:id="rId13"/>
    <sheet name="прот.№10" sheetId="10" r:id="rId14"/>
    <sheet name="прот.№11" sheetId="11" r:id="rId15"/>
    <sheet name="Прот.№12" sheetId="17" r:id="rId16"/>
    <sheet name="Прот.№13" sheetId="15" r:id="rId17"/>
    <sheet name="Заключение" sheetId="14" r:id="rId18"/>
    <sheet name="Протокол _ВНА" sheetId="21" r:id="rId19"/>
  </sheets>
  <definedNames>
    <definedName name="_xlnm.Print_Area" localSheetId="4">прот.№1!$A$1:$K$49</definedName>
    <definedName name="_xlnm.Print_Area" localSheetId="15">Прот.№12!$A$1:$O$50</definedName>
    <definedName name="_xlnm.Print_Area" localSheetId="16">Прот.№13!$A$1:$J$31</definedName>
    <definedName name="_xlnm.Print_Area" localSheetId="18">'Протокол _ВНА'!$A$1:$K$44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0" i="9" l="1"/>
  <c r="C29" i="9"/>
  <c r="C28" i="9"/>
  <c r="J37" i="17"/>
  <c r="I37" i="17"/>
  <c r="J36" i="17"/>
  <c r="I36" i="17"/>
  <c r="J35" i="17"/>
  <c r="I35" i="17"/>
  <c r="J34" i="17"/>
  <c r="I34" i="17"/>
  <c r="J28" i="11"/>
  <c r="I28" i="11"/>
  <c r="J27" i="11"/>
  <c r="I27" i="11"/>
  <c r="J26" i="11"/>
  <c r="I26" i="11"/>
  <c r="J25" i="11"/>
  <c r="I25" i="11"/>
  <c r="J31" i="10"/>
  <c r="I31" i="10"/>
  <c r="J30" i="10"/>
  <c r="I30" i="10"/>
  <c r="J29" i="10"/>
  <c r="I29" i="10"/>
  <c r="J28" i="10"/>
  <c r="I28" i="10"/>
  <c r="J31" i="3"/>
  <c r="I31" i="3"/>
  <c r="J30" i="3"/>
  <c r="I30" i="3"/>
  <c r="J29" i="3"/>
  <c r="I29" i="3"/>
  <c r="J28" i="3"/>
  <c r="I28" i="3"/>
  <c r="J31" i="2"/>
  <c r="I31" i="2"/>
  <c r="J30" i="2"/>
  <c r="I30" i="2"/>
  <c r="J29" i="2"/>
  <c r="I29" i="2"/>
  <c r="J28" i="2"/>
  <c r="I28" i="2"/>
  <c r="J40" i="9"/>
  <c r="I40" i="9"/>
  <c r="J39" i="9"/>
  <c r="I39" i="9"/>
  <c r="J38" i="9"/>
  <c r="I38" i="9"/>
  <c r="J37" i="9"/>
  <c r="I37" i="9"/>
  <c r="J35" i="8"/>
  <c r="I35" i="8"/>
  <c r="J34" i="8"/>
  <c r="I34" i="8"/>
  <c r="J33" i="8"/>
  <c r="I33" i="8"/>
  <c r="J32" i="8"/>
  <c r="I32" i="8"/>
  <c r="J30" i="7"/>
  <c r="I30" i="7"/>
  <c r="J29" i="7"/>
  <c r="I29" i="7"/>
  <c r="J28" i="7"/>
  <c r="I28" i="7"/>
  <c r="J27" i="7"/>
  <c r="I27" i="7"/>
  <c r="J51" i="6"/>
  <c r="I51" i="6"/>
  <c r="J50" i="6"/>
  <c r="I50" i="6"/>
  <c r="J49" i="6"/>
  <c r="I49" i="6"/>
  <c r="J48" i="6"/>
  <c r="I48" i="6"/>
  <c r="J36" i="5"/>
  <c r="I36" i="5"/>
  <c r="J35" i="5"/>
  <c r="I35" i="5"/>
  <c r="J34" i="5"/>
  <c r="I34" i="5"/>
  <c r="J33" i="5"/>
  <c r="I33" i="5"/>
  <c r="J28" i="4"/>
  <c r="J27" i="4"/>
  <c r="J26" i="4"/>
  <c r="J25" i="4"/>
  <c r="I28" i="4"/>
  <c r="I27" i="4"/>
  <c r="I26" i="4"/>
  <c r="I25" i="4"/>
  <c r="J36" i="1"/>
  <c r="J37" i="1"/>
  <c r="I37" i="1"/>
  <c r="I36" i="1"/>
  <c r="J35" i="1"/>
  <c r="I35" i="1"/>
  <c r="J34" i="1"/>
  <c r="I34" i="1"/>
  <c r="I43" i="21" l="1"/>
  <c r="C43" i="21"/>
  <c r="I40" i="21"/>
  <c r="C40" i="21"/>
  <c r="I36" i="21"/>
  <c r="C36" i="21"/>
  <c r="J6" i="21"/>
  <c r="H3" i="21"/>
  <c r="H2" i="21"/>
  <c r="A2" i="21"/>
  <c r="H1" i="21"/>
  <c r="A1" i="21"/>
  <c r="A2" i="17" l="1"/>
  <c r="H2" i="3" l="1"/>
  <c r="H2" i="8"/>
  <c r="H2" i="7"/>
  <c r="H2" i="6"/>
  <c r="H2" i="5"/>
  <c r="H2" i="4"/>
  <c r="H2" i="1"/>
  <c r="B14" i="12"/>
  <c r="B55" i="12" l="1"/>
  <c r="A32" i="16"/>
  <c r="C27" i="1"/>
  <c r="C28" i="1"/>
  <c r="C26" i="1"/>
  <c r="H2" i="9"/>
  <c r="H2" i="2"/>
  <c r="H2" i="10"/>
  <c r="H2" i="11"/>
  <c r="I2" i="17"/>
  <c r="G2" i="15"/>
  <c r="C25" i="17"/>
  <c r="H13" i="11"/>
  <c r="E13" i="11"/>
  <c r="F13" i="11"/>
  <c r="H3" i="11"/>
  <c r="D13" i="11"/>
  <c r="F13" i="8"/>
  <c r="F21" i="8"/>
  <c r="F20" i="8"/>
  <c r="F19" i="8"/>
  <c r="F18" i="8"/>
  <c r="F17" i="8"/>
  <c r="F16" i="8"/>
  <c r="F15" i="8"/>
  <c r="F14" i="8"/>
  <c r="E15" i="8"/>
  <c r="E16" i="8"/>
  <c r="E17" i="8"/>
  <c r="E18" i="8"/>
  <c r="E19" i="8"/>
  <c r="E20" i="8"/>
  <c r="E21" i="8"/>
  <c r="E14" i="8"/>
  <c r="E13" i="8"/>
  <c r="D21" i="8"/>
  <c r="D20" i="8"/>
  <c r="D19" i="8"/>
  <c r="D18" i="8"/>
  <c r="D17" i="8"/>
  <c r="D16" i="8"/>
  <c r="D15" i="8"/>
  <c r="D14" i="8"/>
  <c r="I31" i="14"/>
  <c r="C31" i="14"/>
  <c r="I28" i="14"/>
  <c r="C28" i="14"/>
  <c r="I24" i="14"/>
  <c r="C24" i="14"/>
  <c r="I29" i="15"/>
  <c r="C29" i="15"/>
  <c r="I26" i="15"/>
  <c r="C26" i="15"/>
  <c r="I22" i="15"/>
  <c r="C22" i="15"/>
  <c r="I47" i="17"/>
  <c r="C47" i="17"/>
  <c r="I44" i="17"/>
  <c r="C44" i="17"/>
  <c r="I40" i="17"/>
  <c r="C40" i="17"/>
  <c r="I45" i="11"/>
  <c r="C45" i="11"/>
  <c r="I42" i="11"/>
  <c r="C42" i="11"/>
  <c r="I38" i="11"/>
  <c r="C38" i="11"/>
  <c r="I47" i="10"/>
  <c r="C47" i="10"/>
  <c r="I44" i="10"/>
  <c r="C44" i="10"/>
  <c r="I40" i="10"/>
  <c r="C40" i="10"/>
  <c r="I44" i="3"/>
  <c r="C44" i="3"/>
  <c r="I41" i="3"/>
  <c r="C41" i="3"/>
  <c r="I37" i="3"/>
  <c r="C37" i="3"/>
  <c r="I43" i="2"/>
  <c r="C43" i="2"/>
  <c r="I40" i="2"/>
  <c r="C40" i="2"/>
  <c r="I36" i="2"/>
  <c r="C36" i="2"/>
  <c r="I50" i="9"/>
  <c r="C50" i="9"/>
  <c r="I47" i="9"/>
  <c r="C47" i="9"/>
  <c r="I43" i="9"/>
  <c r="C43" i="9"/>
  <c r="I51" i="8"/>
  <c r="C51" i="8"/>
  <c r="I48" i="8"/>
  <c r="C48" i="8"/>
  <c r="I44" i="8"/>
  <c r="C44" i="8"/>
  <c r="I48" i="7"/>
  <c r="C48" i="7"/>
  <c r="I45" i="7"/>
  <c r="C45" i="7"/>
  <c r="I41" i="7"/>
  <c r="C41" i="7"/>
  <c r="I63" i="6"/>
  <c r="C63" i="6"/>
  <c r="I60" i="6"/>
  <c r="C60" i="6"/>
  <c r="I56" i="6"/>
  <c r="C56" i="6"/>
  <c r="I45" i="5"/>
  <c r="C45" i="5"/>
  <c r="I42" i="5"/>
  <c r="C42" i="5"/>
  <c r="I38" i="5"/>
  <c r="C38" i="5"/>
  <c r="I44" i="4"/>
  <c r="C44" i="4"/>
  <c r="I41" i="4"/>
  <c r="C41" i="4"/>
  <c r="I37" i="4"/>
  <c r="C37" i="4"/>
  <c r="I47" i="1"/>
  <c r="I44" i="1"/>
  <c r="I40" i="1"/>
  <c r="C47" i="1"/>
  <c r="C44" i="1"/>
  <c r="C40" i="1"/>
  <c r="D13" i="8"/>
  <c r="H29" i="16"/>
  <c r="A13" i="14" l="1"/>
  <c r="H2" i="14"/>
  <c r="C27" i="17" l="1"/>
  <c r="C26" i="17"/>
  <c r="H14" i="8"/>
  <c r="H15" i="8"/>
  <c r="H16" i="8"/>
  <c r="H17" i="8"/>
  <c r="H18" i="8"/>
  <c r="H19" i="8"/>
  <c r="H20" i="8"/>
  <c r="H21" i="8"/>
  <c r="H13" i="8"/>
  <c r="C17" i="4"/>
  <c r="C58" i="12" l="1"/>
  <c r="B36" i="12"/>
  <c r="B35" i="12"/>
  <c r="B34" i="12"/>
  <c r="B24" i="12"/>
  <c r="B23" i="12"/>
  <c r="C29" i="18"/>
  <c r="B29" i="18"/>
  <c r="F28" i="18"/>
  <c r="C28" i="18"/>
  <c r="B28" i="18"/>
  <c r="G27" i="18"/>
  <c r="F27" i="18"/>
  <c r="C27" i="18"/>
  <c r="B27" i="18"/>
  <c r="G26" i="18"/>
  <c r="F26" i="18"/>
  <c r="C26" i="18"/>
  <c r="B26" i="18"/>
  <c r="G25" i="18"/>
  <c r="F25" i="18"/>
  <c r="C25" i="18"/>
  <c r="B25" i="18"/>
  <c r="G24" i="18"/>
  <c r="F24" i="18"/>
  <c r="C24" i="18"/>
  <c r="B24" i="18"/>
  <c r="G23" i="18"/>
  <c r="F23" i="18"/>
  <c r="C23" i="18"/>
  <c r="B23" i="18"/>
  <c r="K6" i="17" l="1"/>
  <c r="I3" i="17"/>
  <c r="I1" i="17"/>
  <c r="A1" i="17"/>
  <c r="F55" i="16" l="1"/>
  <c r="C35" i="16"/>
  <c r="C37" i="16"/>
  <c r="J6" i="14"/>
  <c r="I6" i="15"/>
  <c r="J6" i="11"/>
  <c r="J6" i="10"/>
  <c r="J6" i="3"/>
  <c r="J6" i="2"/>
  <c r="J6" i="9"/>
  <c r="J6" i="8"/>
  <c r="J6" i="7"/>
  <c r="J6" i="5"/>
  <c r="J6" i="4"/>
  <c r="A23" i="16"/>
  <c r="A12" i="16"/>
  <c r="A11" i="16"/>
  <c r="A5" i="16"/>
  <c r="A21" i="16" s="1"/>
  <c r="G3" i="15"/>
  <c r="G1" i="15"/>
  <c r="A1" i="15"/>
  <c r="A17" i="14"/>
  <c r="A14" i="14"/>
  <c r="A15" i="14"/>
  <c r="H3" i="14"/>
  <c r="H1" i="14"/>
  <c r="A1" i="14"/>
  <c r="C18" i="11"/>
  <c r="C19" i="11"/>
  <c r="C17" i="11"/>
  <c r="C21" i="10"/>
  <c r="C22" i="10"/>
  <c r="C20" i="10"/>
  <c r="C20" i="3"/>
  <c r="C21" i="3"/>
  <c r="C19" i="3"/>
  <c r="C21" i="2"/>
  <c r="C22" i="2"/>
  <c r="C20" i="2"/>
  <c r="C25" i="8"/>
  <c r="C26" i="8"/>
  <c r="C24" i="8"/>
  <c r="C33" i="7"/>
  <c r="C34" i="7"/>
  <c r="C32" i="7"/>
  <c r="C19" i="4"/>
  <c r="C18" i="4"/>
  <c r="A1" i="1"/>
  <c r="H1" i="1"/>
  <c r="H3" i="1"/>
  <c r="J6" i="1"/>
  <c r="H14" i="10"/>
  <c r="H15" i="10"/>
  <c r="H16" i="10"/>
  <c r="H17" i="10"/>
  <c r="A2" i="11"/>
  <c r="H1" i="11"/>
  <c r="A1" i="11"/>
  <c r="H3" i="10"/>
  <c r="H1" i="10"/>
  <c r="A1" i="10"/>
  <c r="H3" i="3"/>
  <c r="B13" i="3"/>
  <c r="H1" i="3"/>
  <c r="A1" i="3"/>
  <c r="H3" i="2"/>
  <c r="H1" i="2"/>
  <c r="A1" i="2"/>
  <c r="H3" i="9"/>
  <c r="H1" i="9"/>
  <c r="A1" i="9"/>
  <c r="H3" i="8"/>
  <c r="H1" i="8"/>
  <c r="A1" i="8"/>
  <c r="H3" i="7"/>
  <c r="A2" i="7"/>
  <c r="H1" i="7"/>
  <c r="A1" i="7"/>
  <c r="H3" i="6"/>
  <c r="H1" i="6"/>
  <c r="A1" i="6"/>
  <c r="H3" i="5"/>
  <c r="H1" i="5"/>
  <c r="A1" i="5"/>
  <c r="H3" i="4"/>
  <c r="H1" i="4"/>
  <c r="A1" i="4"/>
  <c r="A2" i="9"/>
  <c r="C61" i="12"/>
  <c r="C48" i="12"/>
  <c r="C47" i="12"/>
  <c r="C46" i="12"/>
  <c r="C45" i="12"/>
  <c r="C44" i="12"/>
  <c r="C43" i="12"/>
  <c r="C42" i="12"/>
  <c r="C41" i="12"/>
  <c r="C40" i="12"/>
  <c r="C39" i="12"/>
  <c r="C38" i="12"/>
  <c r="C37" i="12"/>
  <c r="C32" i="12"/>
  <c r="C31" i="12"/>
  <c r="C30" i="12"/>
  <c r="C29" i="12"/>
  <c r="C28" i="12"/>
  <c r="C27" i="12"/>
  <c r="C26" i="12"/>
  <c r="C22" i="12"/>
  <c r="A13" i="16" s="1"/>
  <c r="A2" i="15" l="1"/>
  <c r="A2" i="3"/>
  <c r="A2" i="5"/>
  <c r="A2" i="4"/>
  <c r="A2" i="6"/>
  <c r="A2" i="8"/>
  <c r="A2" i="2"/>
  <c r="A2" i="10"/>
  <c r="A2" i="1"/>
  <c r="A2" i="14"/>
</calcChain>
</file>

<file path=xl/sharedStrings.xml><?xml version="1.0" encoding="utf-8"?>
<sst xmlns="http://schemas.openxmlformats.org/spreadsheetml/2006/main" count="1558" uniqueCount="620">
  <si>
    <r>
      <rPr>
        <b/>
        <sz val="10"/>
        <rFont val="Times New Roman"/>
        <family val="1"/>
      </rPr>
      <t>Примечание: Перепечатка без разрешения запрещена.</t>
    </r>
  </si>
  <si>
    <r>
      <rPr>
        <b/>
        <sz val="10"/>
        <rFont val="Times New Roman"/>
        <family val="1"/>
      </rPr>
      <t xml:space="preserve">6.	Заключение на соответствие требованиям НТД: </t>
    </r>
    <r>
      <rPr>
        <i/>
        <u/>
        <sz val="10"/>
        <rFont val="Times New Roman"/>
        <family val="1"/>
      </rPr>
      <t>Сопротивление изоляции соответствует НТД. Годно к эксплуатации.</t>
    </r>
  </si>
  <si>
    <r>
      <rPr>
        <b/>
        <sz val="10"/>
        <rFont val="Times New Roman"/>
        <family val="1"/>
      </rPr>
      <t>Заключение на соответствие требованиям НТД:</t>
    </r>
  </si>
  <si>
    <r>
      <rPr>
        <sz val="10"/>
        <rFont val="Times New Roman"/>
        <family val="1"/>
      </rPr>
      <t>Токи короткого замыкания на землю соответствуют НТД и обеспечивают надёжное срабатывания защиты.</t>
    </r>
  </si>
  <si>
    <r>
      <rPr>
        <b/>
        <sz val="10"/>
        <rFont val="Times New Roman"/>
        <family val="1"/>
      </rPr>
      <t>5. Заключение на соответствие требованиям НТД:</t>
    </r>
  </si>
  <si>
    <r>
      <rPr>
        <sz val="10"/>
        <rFont val="Times New Roman"/>
        <family val="1"/>
      </rPr>
      <t>5.1. Проверена целостность и прочность проводников заземления и зануления, переходные контакты их соединений.</t>
    </r>
  </si>
  <si>
    <r>
      <rPr>
        <sz val="10"/>
        <rFont val="Times New Roman"/>
        <family val="1"/>
      </rPr>
      <t xml:space="preserve">Сопротивление переходных контактов выше нормы, указаны в п/п </t>
    </r>
    <r>
      <rPr>
        <u/>
        <sz val="10"/>
        <rFont val="Times New Roman"/>
        <family val="1"/>
      </rPr>
      <t>нет</t>
    </r>
    <r>
      <rPr>
        <sz val="10"/>
        <rFont val="Times New Roman"/>
        <family val="1"/>
      </rPr>
      <t>.</t>
    </r>
  </si>
  <si>
    <r>
      <rPr>
        <sz val="10"/>
        <rFont val="Times New Roman"/>
        <family val="1"/>
      </rPr>
      <t xml:space="preserve">Не заземлено оборудование, указанное в п/п </t>
    </r>
    <r>
      <rPr>
        <u/>
        <sz val="10"/>
        <rFont val="Times New Roman"/>
        <family val="1"/>
      </rPr>
      <t>нет</t>
    </r>
    <r>
      <rPr>
        <sz val="10"/>
        <rFont val="Times New Roman"/>
        <family val="1"/>
      </rPr>
      <t>.</t>
    </r>
  </si>
  <si>
    <t>Вывод о соответств. Нормативн. Документу</t>
  </si>
  <si>
    <t>Соответств. НД</t>
  </si>
  <si>
    <t>Сопротивление заземлителей (заземляющих устройств), Ом</t>
  </si>
  <si>
    <t xml:space="preserve">
                               Заказчик:</t>
  </si>
  <si>
    <t>Объект:</t>
  </si>
  <si>
    <t>Адрес:</t>
  </si>
  <si>
    <t>Дата проведения испытания:</t>
  </si>
  <si>
    <t>Протокол №1</t>
  </si>
  <si>
    <t>проверки сопротивлений заземлителей и заземляющих устройств</t>
  </si>
  <si>
    <t>1. Результаты внешнего осмотра (целостности и надёжности заземляющих устройств):</t>
  </si>
  <si>
    <t>удовлетворительно</t>
  </si>
  <si>
    <t>2. Вид грунта:</t>
  </si>
  <si>
    <t>суглинок</t>
  </si>
  <si>
    <t>3. Характер грунта:</t>
  </si>
  <si>
    <t>средней влажности</t>
  </si>
  <si>
    <t>(влажный, средней влажности, сухой)</t>
  </si>
  <si>
    <t>4. Заземляющее устройство, применяемое для электроустановки:</t>
  </si>
  <si>
    <t>до и выше 1000 В</t>
  </si>
  <si>
    <t>(до 1000 В, до и выше 1000 В, свыше 1000 В)</t>
  </si>
  <si>
    <t>5. Режим нейтрали:</t>
  </si>
  <si>
    <t>глухозаземленная</t>
  </si>
  <si>
    <t>6. Удельное сопротивление грунта, Ом × м:</t>
  </si>
  <si>
    <t>Результаты испытаний:</t>
  </si>
  <si>
    <t>№
п/п</t>
  </si>
  <si>
    <t>Расстояние до потенциальных
и токовых
электродов, м</t>
  </si>
  <si>
    <t>Кпопр.</t>
  </si>
  <si>
    <t>Допус-тимое</t>
  </si>
  <si>
    <t>Изме-ренное</t>
  </si>
  <si>
    <t>Приведённое</t>
  </si>
  <si>
    <t>20-30</t>
  </si>
  <si>
    <t>1,0</t>
  </si>
  <si>
    <t>4,0</t>
  </si>
  <si>
    <t>2,2</t>
  </si>
  <si>
    <t>8.	Условия окружающей среды при проведении измерений:</t>
  </si>
  <si>
    <t>10. Измерительные приборы:</t>
  </si>
  <si>
    <t>Тип</t>
  </si>
  <si>
    <t>Метрологические характеристики</t>
  </si>
  <si>
    <t>Дата поверки очередная</t>
  </si>
  <si>
    <t>Диапазон измерения</t>
  </si>
  <si>
    <t>Класс точности</t>
  </si>
  <si>
    <t>2,5</t>
  </si>
  <si>
    <t xml:space="preserve">        </t>
  </si>
  <si>
    <t xml:space="preserve">                                                                                                                                                                              </t>
  </si>
  <si>
    <t>Протокол №2</t>
  </si>
  <si>
    <t>проверки цепи между заземлителями и заземляемыми элементами</t>
  </si>
  <si>
    <t>Месторасположение и наименование электрооборудования</t>
  </si>
  <si>
    <t>Сопротивление
цепи заземления
(Ом)</t>
  </si>
  <si>
    <t>Вывод о соответствии нормативному документу</t>
  </si>
  <si>
    <t>0,02</t>
  </si>
  <si>
    <t>≤ 0,05</t>
  </si>
  <si>
    <t>0,03</t>
  </si>
  <si>
    <t>Трансформатор ТМГ-400/6 У1; 6/0,4</t>
  </si>
  <si>
    <t xml:space="preserve">Камера сборная КСО-399 </t>
  </si>
  <si>
    <t>4.  Измерительные приборы:</t>
  </si>
  <si>
    <t>5. Заключение на соответствие требованиям НТД:</t>
  </si>
  <si>
    <t>5.1.        Проверена целостность и прочность проводников заземления и зануления, переходные контакты их соединений.</t>
  </si>
  <si>
    <t>Протокол №3</t>
  </si>
  <si>
    <t>испытания изоляции повышенным напряжением переменного тока</t>
  </si>
  <si>
    <t>№</t>
  </si>
  <si>
    <t>Наименование объектов испытаний</t>
  </si>
  <si>
    <t>Номин.
напряжкВ.</t>
  </si>
  <si>
    <t>Рабочее.
напряж. кВ.</t>
  </si>
  <si>
    <t>Сопрот.
изоляции.
МОм.</t>
  </si>
  <si>
    <t>Испытат.
напряж. кВ</t>
  </si>
  <si>
    <t>Продолж.
испыт. (мин.)</t>
  </si>
  <si>
    <t>Результат
испытания.</t>
  </si>
  <si>
    <t>Опора №1. Разъединитель РЛНД-1-10/400У1</t>
  </si>
  <si>
    <t>ф. А</t>
  </si>
  <si>
    <t>20 000</t>
  </si>
  <si>
    <t>выдержали</t>
  </si>
  <si>
    <t>ф. В</t>
  </si>
  <si>
    <t>ф. С</t>
  </si>
  <si>
    <t>15 000</t>
  </si>
  <si>
    <t>25 000</t>
  </si>
  <si>
    <t>НОРМАТИВНЫЕ ДОКУМЕНТЫ:  т.18 ПЭЭП; т.1.8.37; т.1.8.35 ПУЭ</t>
  </si>
  <si>
    <t>ЗАКЛЮЧЕНИЕ: Оборудование испытание выдержало и может нормально эксплуатироваться.</t>
  </si>
  <si>
    <t>Перепечатка без разрешения производственной лаборатории запрещена.</t>
  </si>
  <si>
    <t>Измерительные приборы:</t>
  </si>
  <si>
    <t>испытания силового трансформатора</t>
  </si>
  <si>
    <t xml:space="preserve"> 1.   Паспортные данные трансформатора </t>
  </si>
  <si>
    <t>Uк,%</t>
  </si>
  <si>
    <t>Охлаждение</t>
  </si>
  <si>
    <t>А, В, С</t>
  </si>
  <si>
    <t>4,7</t>
  </si>
  <si>
    <t>Y/Yн-0</t>
  </si>
  <si>
    <t>Естеств.</t>
  </si>
  <si>
    <t>а, в, с, 0</t>
  </si>
  <si>
    <t>I</t>
  </si>
  <si>
    <t>II</t>
  </si>
  <si>
    <t>III</t>
  </si>
  <si>
    <t>IV</t>
  </si>
  <si>
    <t>V</t>
  </si>
  <si>
    <t>АВ</t>
  </si>
  <si>
    <t>а-0</t>
  </si>
  <si>
    <t>ВС</t>
  </si>
  <si>
    <t>в-0</t>
  </si>
  <si>
    <t>АС</t>
  </si>
  <si>
    <t>с-0</t>
  </si>
  <si>
    <t>Максимальное расхождение между фазами, %</t>
  </si>
  <si>
    <t>0,54</t>
  </si>
  <si>
    <t>0,52</t>
  </si>
  <si>
    <t>4.    Увлажнённость обмоток проверена методом абсорбции при температуре   + 10 С</t>
  </si>
  <si>
    <t>Кабс = R60/R15          Кабс = 3550/1974 = 1,8</t>
  </si>
  <si>
    <t>5.   Дополнительные испытания:</t>
  </si>
  <si>
    <t>а)  Измерение коэффициента трансформации.</t>
  </si>
  <si>
    <t>Положение
Переключателя</t>
  </si>
  <si>
    <t>АВ – ав</t>
  </si>
  <si>
    <t>ВС - вс</t>
  </si>
  <si>
    <t>СА - са</t>
  </si>
  <si>
    <t>Напряжение</t>
  </si>
  <si>
    <t>Коэфф.
трансф.</t>
  </si>
  <si>
    <t>ав</t>
  </si>
  <si>
    <t>вс</t>
  </si>
  <si>
    <t>СА</t>
  </si>
  <si>
    <t>са</t>
  </si>
  <si>
    <t>Раздел 6 РД 34.45-51.300-97</t>
  </si>
  <si>
    <t>Протокол №5</t>
  </si>
  <si>
    <t>испытания разрядников и ОПН</t>
  </si>
  <si>
    <t>Паспортные данные:</t>
  </si>
  <si>
    <t>Номинальное линейное 
1 элем., кВ</t>
  </si>
  <si>
    <t>Конструктивное исполнение</t>
  </si>
  <si>
    <t>Дополнительные данные</t>
  </si>
  <si>
    <t>Число элементов на фазу</t>
  </si>
  <si>
    <t>Ном. напр. элем. на фазу, кВ</t>
  </si>
  <si>
    <t>ОПН-П-6/7, 6/10/550 УХЛ1</t>
  </si>
  <si>
    <t>-</t>
  </si>
  <si>
    <t>Результат испытаний</t>
  </si>
  <si>
    <t>Место установки</t>
  </si>
  <si>
    <t>Фаза</t>
  </si>
  <si>
    <t>Порядковый номер элемента, считая сверху</t>
  </si>
  <si>
    <t>Заводской № элемента</t>
  </si>
  <si>
    <t>Сопротив-ление изоляции, МОм</t>
  </si>
  <si>
    <t>Измерение токов проводимости</t>
  </si>
  <si>
    <t>Пробивное напряжение, кВ</t>
  </si>
  <si>
    <t>Перем. напряж.,
кВ</t>
  </si>
  <si>
    <t>Ток проводи- мости,
мА</t>
  </si>
  <si>
    <t>КСО-399</t>
  </si>
  <si>
    <t>А</t>
  </si>
  <si>
    <t>А 436907</t>
  </si>
  <si>
    <t>15 700</t>
  </si>
  <si>
    <t>7,6</t>
  </si>
  <si>
    <t>0,9</t>
  </si>
  <si>
    <t>Соответствует</t>
  </si>
  <si>
    <t>В</t>
  </si>
  <si>
    <t>А 436908</t>
  </si>
  <si>
    <t>С</t>
  </si>
  <si>
    <t>А 436906</t>
  </si>
  <si>
    <t>16 700</t>
  </si>
  <si>
    <t>0,57</t>
  </si>
  <si>
    <t>Примененные приборы и оборудование:</t>
  </si>
  <si>
    <t xml:space="preserve"> Условия окружающей среды при проведении измерений:</t>
  </si>
  <si>
    <t>5.  Нормативно-технический документ:</t>
  </si>
  <si>
    <t>ПТЭЭП (Прилож. 3 Раздел 17); ПУЭ (глава 1.8.31.); РД 34.45-51.300-97 (Раздел 21)</t>
  </si>
  <si>
    <t>проверки расцепителей мгновенного действия автоматических выключателей в электроустановках напряжением до 1000В</t>
  </si>
  <si>
    <t>Место установки, назначение</t>
  </si>
  <si>
    <t>Автоматический выключатель</t>
  </si>
  <si>
    <t>Верхнее значение
тока срабатывания с коэф. 1,1(А)</t>
  </si>
  <si>
    <t>Время срабатывания
(с)</t>
  </si>
  <si>
    <t>Вывод о соответствии
Н.Д.</t>
  </si>
  <si>
    <t>Тип,
характеристика</t>
  </si>
  <si>
    <t>Ток срабатывания мгновенного расцепителя (А)</t>
  </si>
  <si>
    <t>Фаза  А</t>
  </si>
  <si>
    <t>Фаза  В</t>
  </si>
  <si>
    <t>Ноль, 0</t>
  </si>
  <si>
    <t>Факт.</t>
  </si>
  <si>
    <t>по НД</t>
  </si>
  <si>
    <t>РУ 0,4кВ ЩО-70М</t>
  </si>
  <si>
    <t>0,2</t>
  </si>
  <si>
    <t>Соотв.НД.</t>
  </si>
  <si>
    <t>ВА04-31
Iотс= 10Iном</t>
  </si>
  <si>
    <t>0,08</t>
  </si>
  <si>
    <t>ВА04-35
Iотс= 10Iном</t>
  </si>
  <si>
    <t>0,09</t>
  </si>
  <si>
    <t>0,07</t>
  </si>
  <si>
    <t>0,06</t>
  </si>
  <si>
    <t>Заключение на соответствие требованиям НТД:</t>
  </si>
  <si>
    <t>Данные измерений и испытаний соответствуют нормам НТД. Годно к эксплуатации.</t>
  </si>
  <si>
    <t>Перепечатка без разрешения испытательной лаборатории запрещена.</t>
  </si>
  <si>
    <t>ЗАКЛЮЧЕНИЕ: Автоматические выключатели соответствуют НД.</t>
  </si>
  <si>
    <t>Протокол №7</t>
  </si>
  <si>
    <t>влажный, средней влажности, сухой</t>
  </si>
  <si>
    <t>до 1000 В</t>
  </si>
  <si>
    <t>до 1000 В, до и выше 1000 В, свыше 1000 В</t>
  </si>
  <si>
    <t>Назначение заземлителя, заземляющего устройства</t>
  </si>
  <si>
    <t>Опора № 2</t>
  </si>
  <si>
    <t>12,4</t>
  </si>
  <si>
    <t>Опора № 7</t>
  </si>
  <si>
    <t>12,7</t>
  </si>
  <si>
    <t>13,0</t>
  </si>
  <si>
    <t>12,9</t>
  </si>
  <si>
    <r>
      <t xml:space="preserve">9.  Нормативно-технический документ: </t>
    </r>
    <r>
      <rPr>
        <u/>
        <sz val="8"/>
        <rFont val="Times New Roman"/>
        <family val="1"/>
        <charset val="204"/>
      </rPr>
      <t>Таблица 35, 36</t>
    </r>
    <r>
      <rPr>
        <b/>
        <u/>
        <sz val="8"/>
        <rFont val="Times New Roman"/>
        <family val="1"/>
        <charset val="204"/>
      </rPr>
      <t xml:space="preserve"> </t>
    </r>
    <r>
      <rPr>
        <u/>
        <sz val="8"/>
        <rFont val="Times New Roman"/>
        <family val="1"/>
        <charset val="204"/>
      </rPr>
      <t>ПТЭЭП</t>
    </r>
    <r>
      <rPr>
        <b/>
        <u/>
        <sz val="8"/>
        <rFont val="Times New Roman"/>
        <family val="1"/>
        <charset val="204"/>
      </rPr>
      <t xml:space="preserve">, </t>
    </r>
    <r>
      <rPr>
        <u/>
        <sz val="8"/>
        <rFont val="Times New Roman"/>
        <family val="1"/>
        <charset val="204"/>
      </rPr>
      <t>п.1.8.39. ПУЭ.</t>
    </r>
  </si>
  <si>
    <r>
      <t xml:space="preserve">      11.	Заключение на соответствие требованиям НТД: </t>
    </r>
    <r>
      <rPr>
        <b/>
        <i/>
        <u/>
        <sz val="8"/>
        <rFont val="Times New Roman"/>
        <family val="1"/>
        <charset val="204"/>
      </rPr>
      <t xml:space="preserve"> Данные измерений и испытаний соответствуют нормам НТД. Годно к эксплуатации.</t>
    </r>
  </si>
  <si>
    <r>
      <t xml:space="preserve">3.  Нормативно-технический документ: </t>
    </r>
    <r>
      <rPr>
        <u/>
        <sz val="8"/>
        <rFont val="Times New Roman"/>
        <family val="1"/>
        <charset val="204"/>
      </rPr>
      <t xml:space="preserve">Приложение № 3, пп 26.1,28.5 </t>
    </r>
    <r>
      <rPr>
        <b/>
        <u/>
        <sz val="8"/>
        <rFont val="Times New Roman"/>
        <family val="1"/>
        <charset val="204"/>
      </rPr>
      <t xml:space="preserve"> </t>
    </r>
    <r>
      <rPr>
        <u/>
        <sz val="8"/>
        <rFont val="Times New Roman"/>
        <family val="1"/>
        <charset val="204"/>
      </rPr>
      <t>ПТЭЭП</t>
    </r>
    <r>
      <rPr>
        <b/>
        <u/>
        <sz val="8"/>
        <rFont val="Times New Roman"/>
        <family val="1"/>
        <charset val="204"/>
      </rPr>
      <t xml:space="preserve">, </t>
    </r>
    <r>
      <rPr>
        <u/>
        <sz val="8"/>
        <rFont val="Times New Roman"/>
        <family val="1"/>
        <charset val="204"/>
      </rPr>
      <t>п.1.8.39. ПУЭ.</t>
    </r>
  </si>
  <si>
    <r>
      <t xml:space="preserve">Сопротивление переходных контактов выше нормы, указаны в п/п </t>
    </r>
    <r>
      <rPr>
        <u/>
        <sz val="8"/>
        <rFont val="Times New Roman"/>
        <family val="1"/>
        <charset val="204"/>
      </rPr>
      <t>нет</t>
    </r>
    <r>
      <rPr>
        <sz val="8"/>
        <rFont val="Times New Roman"/>
        <family val="1"/>
        <charset val="204"/>
      </rPr>
      <t>.</t>
    </r>
  </si>
  <si>
    <r>
      <t xml:space="preserve">Не заземлено оборудование, указанное в п/п </t>
    </r>
    <r>
      <rPr>
        <u/>
        <sz val="8"/>
        <rFont val="Times New Roman"/>
        <family val="1"/>
        <charset val="204"/>
      </rPr>
      <t>нет</t>
    </r>
    <r>
      <rPr>
        <sz val="8"/>
        <rFont val="Times New Roman"/>
        <family val="1"/>
        <charset val="204"/>
      </rPr>
      <t>.</t>
    </r>
  </si>
  <si>
    <r>
      <t xml:space="preserve">I </t>
    </r>
    <r>
      <rPr>
        <sz val="8"/>
        <rFont val="Times New Roman"/>
        <family val="1"/>
        <charset val="204"/>
      </rPr>
      <t>ном.
(А)</t>
    </r>
  </si>
  <si>
    <r>
      <t xml:space="preserve">Фаза  </t>
    </r>
    <r>
      <rPr>
        <b/>
        <sz val="8"/>
        <rFont val="Times New Roman"/>
        <family val="1"/>
        <charset val="204"/>
      </rPr>
      <t>С</t>
    </r>
  </si>
  <si>
    <r>
      <rPr>
        <b/>
        <sz val="8"/>
        <rFont val="Times New Roman"/>
        <family val="1"/>
        <charset val="204"/>
      </rPr>
      <t>Условия окружающей среды при проведении измерений:</t>
    </r>
  </si>
  <si>
    <r>
      <t xml:space="preserve">НОРМАТИВНЫЕ ДОКУМЕНТЫ: </t>
    </r>
    <r>
      <rPr>
        <b/>
        <sz val="8"/>
        <rFont val="Times New Roman"/>
        <family val="1"/>
        <charset val="204"/>
      </rPr>
      <t>ПУЭ 1.8.37.; ПТЭЭП прилож. 3 раздел 28. п28.1, п.28.3, п.28.6.</t>
    </r>
  </si>
  <si>
    <t xml:space="preserve">Проверку провели:             </t>
  </si>
  <si>
    <t>(должность)</t>
  </si>
  <si>
    <t>(подпись)</t>
  </si>
  <si>
    <t xml:space="preserve">                                                                                                                                                                     </t>
  </si>
  <si>
    <t xml:space="preserve"> (Ф.И.О.) </t>
  </si>
  <si>
    <t xml:space="preserve">Проверил:             </t>
  </si>
  <si>
    <t>Данные объекта</t>
  </si>
  <si>
    <t xml:space="preserve">№ САП </t>
  </si>
  <si>
    <t>Объект</t>
  </si>
  <si>
    <t>р-н</t>
  </si>
  <si>
    <t>Солнечногорский р-н</t>
  </si>
  <si>
    <t>Адрес</t>
  </si>
  <si>
    <t>адрес</t>
  </si>
  <si>
    <t>Дата разбивки</t>
  </si>
  <si>
    <t>Дата разбивки гео</t>
  </si>
  <si>
    <t>Дата старт</t>
  </si>
  <si>
    <t>Дата финиш</t>
  </si>
  <si>
    <t>год</t>
  </si>
  <si>
    <t>Наименование электроустановки</t>
  </si>
  <si>
    <t>ТП</t>
  </si>
  <si>
    <t>ВЛ-10</t>
  </si>
  <si>
    <t>ВЛ от ТП ф.</t>
  </si>
  <si>
    <t>ВЛ-0,4</t>
  </si>
  <si>
    <t>КЛ</t>
  </si>
  <si>
    <t>КЛ от ТП ф</t>
  </si>
  <si>
    <t>ВРЩ</t>
  </si>
  <si>
    <t xml:space="preserve">ВРЩ вблизи ТП </t>
  </si>
  <si>
    <t>Монтажная организация</t>
  </si>
  <si>
    <t xml:space="preserve">Организация </t>
  </si>
  <si>
    <t>Реквизиты</t>
  </si>
  <si>
    <t>ОГРН 1135044003709  ИНН 5044089069 КПП 504401001</t>
  </si>
  <si>
    <t>Должность</t>
  </si>
  <si>
    <t>ФИО</t>
  </si>
  <si>
    <t>Специалист по строительному контролю</t>
  </si>
  <si>
    <t>Ф.И.О.</t>
  </si>
  <si>
    <t>Саженова Л.В.</t>
  </si>
  <si>
    <t>Приказ</t>
  </si>
  <si>
    <t>Приказ №01/24-ОТ от 15.01.2024 (НРС № С-61-104369)</t>
  </si>
  <si>
    <t xml:space="preserve">Мастер электромонтажного участка </t>
  </si>
  <si>
    <t>Волков М.Ю.</t>
  </si>
  <si>
    <t>Заказчик</t>
  </si>
  <si>
    <t>Проект</t>
  </si>
  <si>
    <t>Город</t>
  </si>
  <si>
    <t>г. Солнечногорск</t>
  </si>
  <si>
    <t>Название</t>
  </si>
  <si>
    <t xml:space="preserve"> ООО «Энергосистемы»</t>
  </si>
  <si>
    <t>141508, Московская область, г.о. Солнечногорск, г. Солнечногорск, ул. Промышленная, стр. 5, помещение 179</t>
  </si>
  <si>
    <t xml:space="preserve"> Щербаков А.А.</t>
  </si>
  <si>
    <t>Свидетельсто о регистрации</t>
  </si>
  <si>
    <t>№5.3-6420 от 15 мая 2024г</t>
  </si>
  <si>
    <t>Испытательная электролаборатория</t>
  </si>
  <si>
    <t>Мегаомметр Е6-32</t>
  </si>
  <si>
    <t>13909.21</t>
  </si>
  <si>
    <t>Микроомметр ИКС-30А</t>
  </si>
  <si>
    <t>Аппараты испытания диэлектриков СКАТ-70М</t>
  </si>
  <si>
    <t>0-70кВ</t>
  </si>
  <si>
    <t>Измеритель сопротивления заземления ИС-20</t>
  </si>
  <si>
    <t>1[Ом]- 99,9[ГОм]</t>
  </si>
  <si>
    <t>1[мОм]¸
100[кОм]</t>
  </si>
  <si>
    <t>0,01- 999 Ом</t>
  </si>
  <si>
    <r>
      <rPr>
        <b/>
        <sz val="8"/>
        <rFont val="Times New Roman"/>
        <family val="1"/>
      </rPr>
      <t>Условия окружающей среды при проведении измерений:</t>
    </r>
  </si>
  <si>
    <r>
      <rPr>
        <b/>
        <sz val="8"/>
        <rFont val="Times New Roman"/>
        <family val="1"/>
      </rPr>
      <t>Измерительные приборы:</t>
    </r>
  </si>
  <si>
    <r>
      <rPr>
        <b/>
        <sz val="8"/>
        <rFont val="Times New Roman"/>
        <family val="1"/>
      </rPr>
      <t>Перепечатка без разрешения испытательной лаборатории запрещена.</t>
    </r>
  </si>
  <si>
    <r>
      <rPr>
        <sz val="8"/>
        <rFont val="Times New Roman"/>
        <family val="1"/>
      </rPr>
      <t xml:space="preserve">НОРМАТИВНЫЕ ДОКУМЕНТЫ: </t>
    </r>
    <r>
      <rPr>
        <b/>
        <sz val="8"/>
        <rFont val="Times New Roman"/>
        <family val="1"/>
      </rPr>
      <t>ПУЭ 1.8.37.; ПТЭЭП прилож. 3 раздел 28. п28.1, п.28.3, п.28.6.;</t>
    </r>
  </si>
  <si>
    <r>
      <rPr>
        <b/>
        <sz val="8"/>
        <rFont val="Times New Roman"/>
        <family val="1"/>
      </rPr>
      <t>ЗАКЛЮЧЕНИЕ: Автоматические выключатели соответствуют НД.</t>
    </r>
  </si>
  <si>
    <r>
      <rPr>
        <b/>
        <sz val="8"/>
        <rFont val="Times New Roman"/>
        <family val="1"/>
      </rPr>
      <t xml:space="preserve">Заключение на соответствие требованиям НТД: </t>
    </r>
    <r>
      <rPr>
        <b/>
        <i/>
        <u/>
        <sz val="8"/>
        <rFont val="Times New Roman"/>
        <family val="1"/>
      </rPr>
      <t>Данные измерений и испытаний соответствуют нормам НТД. Годно к эксплуатации.</t>
    </r>
  </si>
  <si>
    <r>
      <rPr>
        <u/>
        <sz val="10"/>
        <rFont val="Times New Roman"/>
        <family val="1"/>
      </rPr>
      <t>Протокол №11</t>
    </r>
  </si>
  <si>
    <r>
      <rPr>
        <b/>
        <sz val="10"/>
        <rFont val="Times New Roman"/>
        <family val="1"/>
      </rPr>
      <t>проверки расцепителей мгновенного действия автоматических выключателей в электроустановках напряжением до 1000В</t>
    </r>
  </si>
  <si>
    <r>
      <rPr>
        <sz val="8"/>
        <rFont val="Times New Roman"/>
        <family val="1"/>
      </rPr>
      <t>-</t>
    </r>
  </si>
  <si>
    <t>ШУ-1 на опоре № 7</t>
  </si>
  <si>
    <t>ВА101 3Р-016А-С</t>
  </si>
  <si>
    <t>соответствует</t>
  </si>
  <si>
    <r>
      <rPr>
        <u/>
        <sz val="10"/>
        <rFont val="Times New Roman"/>
        <family val="1"/>
      </rPr>
      <t>Протокол №10</t>
    </r>
  </si>
  <si>
    <r>
      <rPr>
        <b/>
        <sz val="10"/>
        <rFont val="Times New Roman"/>
        <family val="1"/>
      </rPr>
      <t>проверки цепи между заземлителями и заземляемыми элементами</t>
    </r>
  </si>
  <si>
    <r>
      <rPr>
        <b/>
        <sz val="8"/>
        <rFont val="Times New Roman"/>
        <family val="1"/>
      </rPr>
      <t>Результаты испытаний:</t>
    </r>
  </si>
  <si>
    <r>
      <rPr>
        <b/>
        <sz val="8"/>
        <rFont val="Times New Roman"/>
        <family val="1"/>
      </rPr>
      <t xml:space="preserve">3.  Нормативно-технический документ: </t>
    </r>
    <r>
      <rPr>
        <u/>
        <sz val="8"/>
        <rFont val="Times New Roman"/>
        <family val="1"/>
      </rPr>
      <t xml:space="preserve">Приложение № 3, пп 26.1,28.5 </t>
    </r>
    <r>
      <rPr>
        <b/>
        <u/>
        <sz val="8"/>
        <rFont val="Times New Roman"/>
        <family val="1"/>
      </rPr>
      <t xml:space="preserve"> </t>
    </r>
    <r>
      <rPr>
        <u/>
        <sz val="8"/>
        <rFont val="Times New Roman"/>
        <family val="1"/>
      </rPr>
      <t>ПТЭЭП</t>
    </r>
    <r>
      <rPr>
        <b/>
        <u/>
        <sz val="8"/>
        <rFont val="Times New Roman"/>
        <family val="1"/>
      </rPr>
      <t xml:space="preserve">, </t>
    </r>
    <r>
      <rPr>
        <u/>
        <sz val="8"/>
        <rFont val="Times New Roman"/>
        <family val="1"/>
      </rPr>
      <t>п.1.8.39. ПУЭ.</t>
    </r>
  </si>
  <si>
    <r>
      <rPr>
        <b/>
        <sz val="8"/>
        <rFont val="Times New Roman"/>
        <family val="1"/>
      </rPr>
      <t>4.  Измерительные приборы:</t>
    </r>
  </si>
  <si>
    <t>Опора № 8</t>
  </si>
  <si>
    <t>Опора № 9</t>
  </si>
  <si>
    <t>Опора № 10</t>
  </si>
  <si>
    <t>Измеренное</t>
  </si>
  <si>
    <t>Значение по НД</t>
  </si>
  <si>
    <r>
      <rPr>
        <b/>
        <sz val="10"/>
        <rFont val="Times New Roman"/>
        <family val="1"/>
      </rPr>
      <t>проверки цепи «фаза-нуль» в электроустановках напряжением до 1000 В с глухим заземлением нейтрали</t>
    </r>
  </si>
  <si>
    <t>Протокол №9</t>
  </si>
  <si>
    <t>Автомат (предохранитель)</t>
  </si>
  <si>
    <t>Iк.з.
(А)</t>
  </si>
  <si>
    <t>Время срабатывания (с)</t>
  </si>
  <si>
    <t>Вывод о
Соответст-
вии Н.Д.</t>
  </si>
  <si>
    <t>I ном
(А)</t>
  </si>
  <si>
    <t>По Н.Д. Iк.з. должен составлять не менее.</t>
  </si>
  <si>
    <t>Эл. магн
расц. (А)</t>
  </si>
  <si>
    <t>Тепл расц. (А)</t>
  </si>
  <si>
    <t>Пл.
вставка
(А)</t>
  </si>
  <si>
    <t>ВА04-35</t>
  </si>
  <si>
    <t>4,8</t>
  </si>
  <si>
    <t>4,9</t>
  </si>
  <si>
    <r>
      <rPr>
        <b/>
        <sz val="8"/>
        <rFont val="Times New Roman"/>
        <family val="1"/>
      </rPr>
      <t xml:space="preserve">Нормативно-технический документ: </t>
    </r>
    <r>
      <rPr>
        <sz val="8"/>
        <rFont val="Times New Roman"/>
        <family val="1"/>
      </rPr>
      <t>ПУЭ 1.8.39(п.4);  ПТЭЭП (приложение 3,п.28.4), ГОСТ Р50571-16-99.</t>
    </r>
  </si>
  <si>
    <r>
      <rPr>
        <b/>
        <sz val="10"/>
        <rFont val="Times New Roman"/>
        <family val="1"/>
      </rPr>
      <t>проверки сопротивления изоляции проводов и кабелей</t>
    </r>
  </si>
  <si>
    <r>
      <rPr>
        <sz val="8"/>
        <rFont val="Times New Roman"/>
        <family val="1"/>
      </rPr>
      <t>№
п/п</t>
    </r>
  </si>
  <si>
    <r>
      <rPr>
        <sz val="8"/>
        <rFont val="Times New Roman"/>
        <family val="1"/>
      </rPr>
      <t>Наименование линий, по проекту</t>
    </r>
  </si>
  <si>
    <r>
      <rPr>
        <sz val="8"/>
        <rFont val="Times New Roman"/>
        <family val="1"/>
      </rPr>
      <t>Марка провода, кабеля</t>
    </r>
  </si>
  <si>
    <r>
      <rPr>
        <sz val="8"/>
        <rFont val="Times New Roman"/>
        <family val="1"/>
      </rPr>
      <t>L1-L2
(А-В)</t>
    </r>
  </si>
  <si>
    <r>
      <rPr>
        <sz val="8"/>
        <rFont val="Times New Roman"/>
        <family val="1"/>
      </rPr>
      <t>L2-L3
(В-С)</t>
    </r>
  </si>
  <si>
    <r>
      <rPr>
        <sz val="8"/>
        <rFont val="Times New Roman"/>
        <family val="1"/>
      </rPr>
      <t>L3-L1
(С-А)</t>
    </r>
  </si>
  <si>
    <r>
      <rPr>
        <sz val="8"/>
        <rFont val="Times New Roman"/>
        <family val="1"/>
      </rPr>
      <t>L1-N
(А-N)
(PEN)</t>
    </r>
  </si>
  <si>
    <r>
      <rPr>
        <sz val="8"/>
        <rFont val="Times New Roman"/>
        <family val="1"/>
      </rPr>
      <t>L2-N
(В-N)
(PEN)</t>
    </r>
  </si>
  <si>
    <r>
      <rPr>
        <sz val="8"/>
        <rFont val="Times New Roman"/>
        <family val="1"/>
      </rPr>
      <t>L3-N
(С-N)
(PEN)</t>
    </r>
  </si>
  <si>
    <r>
      <rPr>
        <sz val="8"/>
        <rFont val="Times New Roman"/>
        <family val="1"/>
      </rPr>
      <t>L1-PE
(А-РЕ)</t>
    </r>
  </si>
  <si>
    <r>
      <rPr>
        <sz val="8"/>
        <rFont val="Times New Roman"/>
        <family val="1"/>
      </rPr>
      <t>1х70</t>
    </r>
  </si>
  <si>
    <r>
      <rPr>
        <sz val="8"/>
        <rFont val="Times New Roman"/>
        <family val="1"/>
      </rPr>
      <t>&gt;10</t>
    </r>
    <r>
      <rPr>
        <vertAlign val="superscript"/>
        <sz val="8"/>
        <rFont val="Times New Roman"/>
        <family val="1"/>
      </rPr>
      <t>3</t>
    </r>
  </si>
  <si>
    <r>
      <rPr>
        <sz val="8"/>
        <rFont val="Times New Roman"/>
        <family val="1"/>
      </rPr>
      <t>Соотв НД</t>
    </r>
  </si>
  <si>
    <r>
      <rPr>
        <sz val="8"/>
        <rFont val="Times New Roman"/>
        <family val="1"/>
      </rPr>
      <t>Выполнена фазировка жил провода.</t>
    </r>
  </si>
  <si>
    <r>
      <rPr>
        <b/>
        <sz val="8"/>
        <rFont val="Times New Roman"/>
        <family val="1"/>
      </rPr>
      <t>2.    Условия окружающей среды при проведении измерений:</t>
    </r>
  </si>
  <si>
    <r>
      <rPr>
        <b/>
        <sz val="8"/>
        <rFont val="Times New Roman"/>
        <family val="1"/>
      </rPr>
      <t xml:space="preserve">Нормативно-технический документ: </t>
    </r>
    <r>
      <rPr>
        <sz val="8"/>
        <rFont val="Times New Roman"/>
        <family val="1"/>
      </rPr>
      <t>ПУЭ 1.8.37,2.1.13-2.1.17., ГОСТ Р50571-16-99.</t>
    </r>
  </si>
  <si>
    <t>Опора № 3</t>
  </si>
  <si>
    <t>Опора № 4</t>
  </si>
  <si>
    <t>Опора № 5</t>
  </si>
  <si>
    <t>Допустимое</t>
  </si>
  <si>
    <t>Сопротивление цепи заземления (Ом)</t>
  </si>
  <si>
    <r>
      <t>2.	Условия окружающей среды при проведении измерений:</t>
    </r>
    <r>
      <rPr>
        <sz val="8"/>
        <rFont val="Times New Roman"/>
        <family val="1"/>
        <charset val="204"/>
      </rPr>
      <t xml:space="preserve">                                                                                                    
</t>
    </r>
  </si>
  <si>
    <t xml:space="preserve">2.1 Температура воздуха                 </t>
  </si>
  <si>
    <t>°С</t>
  </si>
  <si>
    <t xml:space="preserve">2.2 Влажность                                     </t>
  </si>
  <si>
    <t>%</t>
  </si>
  <si>
    <t xml:space="preserve">2.3 Атмосферное давление               </t>
  </si>
  <si>
    <t>мм рт. ст.</t>
  </si>
  <si>
    <t xml:space="preserve">8.1 Температура воздуха                 </t>
  </si>
  <si>
    <t xml:space="preserve">8.2 Влажность                                     </t>
  </si>
  <si>
    <t xml:space="preserve">8.3 Атмосферное давление               </t>
  </si>
  <si>
    <r>
      <t xml:space="preserve">Заключение: </t>
    </r>
    <r>
      <rPr>
        <b/>
        <u/>
        <sz val="8"/>
        <rFont val="Times New Roman"/>
        <family val="1"/>
        <charset val="204"/>
      </rPr>
      <t>Трансформатор исправен и пригоден к эксплуатации</t>
    </r>
  </si>
  <si>
    <t xml:space="preserve">Температура воздуха                 </t>
  </si>
  <si>
    <t xml:space="preserve">Влажность                                     </t>
  </si>
  <si>
    <t xml:space="preserve">Атмосферное давление               </t>
  </si>
  <si>
    <r>
      <t>2.	Условия окружающей среды при проведении измерений:</t>
    </r>
    <r>
      <rPr>
        <sz val="8"/>
        <rFont val="Times New Roman"/>
        <family val="1"/>
      </rPr>
      <t xml:space="preserve">                                                                                                   
</t>
    </r>
  </si>
  <si>
    <r>
      <rPr>
        <sz val="12"/>
        <rFont val="Times New Roman"/>
        <family val="1"/>
      </rPr>
      <t xml:space="preserve">                                                  ____________________________________________________________</t>
    </r>
  </si>
  <si>
    <r>
      <rPr>
        <b/>
        <sz val="14"/>
        <rFont val="Times New Roman"/>
        <family val="1"/>
      </rPr>
      <t xml:space="preserve">                                            ________________________________________________</t>
    </r>
    <r>
      <rPr>
        <b/>
        <u/>
        <sz val="14"/>
        <rFont val="Times New Roman"/>
        <family val="1"/>
      </rPr>
      <t xml:space="preserve"> </t>
    </r>
  </si>
  <si>
    <t>З А К Л Ю Ч Е Н И Е</t>
  </si>
  <si>
    <r>
      <t>Наименование электроустановки</t>
    </r>
    <r>
      <rPr>
        <sz val="10"/>
        <rFont val="Times New Roman"/>
        <family val="1"/>
      </rPr>
      <t xml:space="preserve">:  </t>
    </r>
  </si>
  <si>
    <t xml:space="preserve">По адресу:                        </t>
  </si>
  <si>
    <r>
      <t xml:space="preserve">Соответствует: </t>
    </r>
    <r>
      <rPr>
        <b/>
        <sz val="14"/>
        <rFont val="Times New Roman"/>
        <family val="1"/>
      </rPr>
      <t xml:space="preserve">                  </t>
    </r>
  </si>
  <si>
    <t>Проект, РД 34.45-51.300-97, ПУЭ</t>
  </si>
  <si>
    <t>Программа</t>
  </si>
  <si>
    <t>Результат</t>
  </si>
  <si>
    <t>Проверить чистоту изоляторов, отсутствие трещин и сколов</t>
  </si>
  <si>
    <t>Исправны</t>
  </si>
  <si>
    <t>Проверить затяжку резьбовых и крепёжных деталей</t>
  </si>
  <si>
    <t>Затянуты</t>
  </si>
  <si>
    <t>Проверить перекрытие торцов главных ножей при включении разъединителя</t>
  </si>
  <si>
    <t>13-16мм</t>
  </si>
  <si>
    <t>Соответствует норме</t>
  </si>
  <si>
    <t>Проверить несовпадение подвижных и неподвижных контактов главных ножей в горизонтальной плоскости</t>
  </si>
  <si>
    <t>Не более 3мм</t>
  </si>
  <si>
    <t>Проверить неодновременность включения отдельных полюсов</t>
  </si>
  <si>
    <t>Проверить контактное нажатие разъёмных контактов главных ножей заземления</t>
  </si>
  <si>
    <t>Вытягивающее Усилие 6-8кГ/с</t>
  </si>
  <si>
    <t>В пределах нормы</t>
  </si>
  <si>
    <t>Проверить кратчайшие изоляционные расстояния между разомкнутыми контактами главных ножей, между разомкнутыми контактами заземляющих ножей</t>
  </si>
  <si>
    <t>Не менее 130 мм</t>
  </si>
  <si>
    <t>Проверить фиксацию конечных наложений рукоятки привода фиксаторами. Проверить работу блок-замка</t>
  </si>
  <si>
    <t>Надёжная фиксация</t>
  </si>
  <si>
    <r>
      <rPr>
        <sz val="12"/>
        <rFont val="Times New Roman"/>
        <family val="1"/>
      </rPr>
      <t xml:space="preserve">Тел. _____________ </t>
    </r>
  </si>
  <si>
    <r>
      <rPr>
        <sz val="12"/>
        <rFont val="Times New Roman"/>
        <family val="1"/>
      </rPr>
      <t>e-mail: _______________</t>
    </r>
  </si>
  <si>
    <r>
      <rPr>
        <b/>
        <sz val="13"/>
        <rFont val="Times New Roman"/>
        <family val="1"/>
      </rPr>
      <t>проверки (испытаний) электроустановки</t>
    </r>
  </si>
  <si>
    <r>
      <rPr>
        <sz val="8"/>
        <rFont val="Times New Roman"/>
        <family val="1"/>
      </rPr>
      <t>наименование электроустановки</t>
    </r>
  </si>
  <si>
    <t>ИСПЫТАТЕЛЬНАЯ ЛАБОРАТОРИЯ</t>
  </si>
  <si>
    <t xml:space="preserve">ЭЛЕКТРОУСТАНОВОК ЗДАНИЙ </t>
  </si>
  <si>
    <t>Дата окончания</t>
  </si>
  <si>
    <t>Действительно до 16 мая 2027г</t>
  </si>
  <si>
    <t>Руководитель испытательной лаборатории</t>
  </si>
  <si>
    <t xml:space="preserve">Заказчик: </t>
  </si>
  <si>
    <t xml:space="preserve">Цель испытаний: </t>
  </si>
  <si>
    <r>
      <t>по адресу:</t>
    </r>
    <r>
      <rPr>
        <sz val="10"/>
        <rFont val="Calibri"/>
        <family val="2"/>
      </rPr>
      <t xml:space="preserve"> </t>
    </r>
  </si>
  <si>
    <t>Приемо-сдаточные</t>
  </si>
  <si>
    <t xml:space="preserve">Листов всего: </t>
  </si>
  <si>
    <t>Протокол  испытаний распространяется только на электроустановки зданий и сооружений, подвергаемых  испытаниям.</t>
  </si>
  <si>
    <t>Протокол испытаний не может быть частично или полностью перепечатан без разрешения Заказчика или Испытательной лаборатории.</t>
  </si>
  <si>
    <t>Отчет прошивается, в конце каждого протокола рядом с подписями ставится печать Испытательной лаборатории.</t>
  </si>
  <si>
    <t>ООО «Гефест»</t>
  </si>
  <si>
    <t>ОГРН 1215000057238 ИНН 5044122213 КПП 504401001</t>
  </si>
  <si>
    <t>141508, Московская область, г.о. Солнечногорск, г Солнечногорск, ул Промышленная, строение 29А, корпус 1, офис 11</t>
  </si>
  <si>
    <t>Генеральный директор</t>
  </si>
  <si>
    <t xml:space="preserve">Звездов Р.Е. </t>
  </si>
  <si>
    <t>Красилов К.А.</t>
  </si>
  <si>
    <t>ВА57-35
Iотс= 10Iном</t>
  </si>
  <si>
    <r>
      <rPr>
        <b/>
        <sz val="9"/>
        <rFont val="Times New Roman"/>
        <family val="1"/>
      </rPr>
      <t>проверки сопротивления изоляции проводов и кабелей</t>
    </r>
  </si>
  <si>
    <r>
      <rPr>
        <sz val="9"/>
        <rFont val="Times New Roman"/>
        <family val="1"/>
      </rPr>
      <t xml:space="preserve"> </t>
    </r>
  </si>
  <si>
    <t>А-В+С+Зазем.</t>
  </si>
  <si>
    <t>Выдержал</t>
  </si>
  <si>
    <t>В-А+С+Зазем.</t>
  </si>
  <si>
    <t>С-А+В+Зазем.</t>
  </si>
  <si>
    <r>
      <rPr>
        <sz val="9"/>
        <rFont val="Times New Roman"/>
        <family val="1"/>
      </rPr>
      <t>Результаты испытаний:</t>
    </r>
  </si>
  <si>
    <r>
      <rPr>
        <sz val="8"/>
        <rFont val="Times New Roman"/>
        <family val="1"/>
      </rPr>
      <t>Наименование
объекта</t>
    </r>
  </si>
  <si>
    <r>
      <rPr>
        <sz val="8"/>
        <rFont val="Times New Roman"/>
        <family val="1"/>
      </rPr>
      <t>Категория контроля</t>
    </r>
  </si>
  <si>
    <r>
      <rPr>
        <sz val="8"/>
        <rFont val="Times New Roman"/>
        <family val="1"/>
      </rPr>
      <t>Cхема
испытания</t>
    </r>
  </si>
  <si>
    <r>
      <rPr>
        <sz val="8"/>
        <rFont val="Times New Roman"/>
        <family val="1"/>
      </rPr>
      <t>Результаты испытания</t>
    </r>
  </si>
  <si>
    <r>
      <rPr>
        <sz val="8"/>
        <rFont val="Times New Roman"/>
        <family val="1"/>
      </rPr>
      <t>Кенотроном</t>
    </r>
  </si>
  <si>
    <r>
      <rPr>
        <sz val="8"/>
        <rFont val="Times New Roman"/>
        <family val="1"/>
      </rPr>
      <t>Сопр. изоляции (МОм)</t>
    </r>
  </si>
  <si>
    <r>
      <rPr>
        <sz val="8"/>
        <rFont val="Times New Roman"/>
        <family val="1"/>
      </rPr>
      <t>Испыт.
напр.
(кВ)</t>
    </r>
  </si>
  <si>
    <r>
      <rPr>
        <sz val="8"/>
        <rFont val="Times New Roman"/>
        <family val="1"/>
      </rPr>
      <t>Продолжительность
испыт.
(мин.)</t>
    </r>
  </si>
  <si>
    <r>
      <rPr>
        <sz val="8"/>
        <rFont val="Times New Roman"/>
        <family val="1"/>
      </rPr>
      <t>Ток
утечки (мкА)</t>
    </r>
  </si>
  <si>
    <r>
      <rPr>
        <sz val="8"/>
        <rFont val="Times New Roman"/>
        <family val="1"/>
      </rPr>
      <t>Коэффициент асимметрии I</t>
    </r>
    <r>
      <rPr>
        <vertAlign val="subscript"/>
        <sz val="8"/>
        <rFont val="Times New Roman"/>
        <family val="1"/>
      </rPr>
      <t>max</t>
    </r>
    <r>
      <rPr>
        <sz val="8"/>
        <rFont val="Times New Roman"/>
        <family val="1"/>
      </rPr>
      <t>/I</t>
    </r>
    <r>
      <rPr>
        <vertAlign val="subscript"/>
        <sz val="8"/>
        <rFont val="Times New Roman"/>
        <family val="1"/>
      </rPr>
      <t>min</t>
    </r>
  </si>
  <si>
    <r>
      <rPr>
        <sz val="8"/>
        <rFont val="Times New Roman"/>
        <family val="1"/>
      </rPr>
      <t>до
испыт.</t>
    </r>
  </si>
  <si>
    <r>
      <rPr>
        <sz val="8"/>
        <rFont val="Times New Roman"/>
        <family val="1"/>
      </rPr>
      <t>после испыт.</t>
    </r>
  </si>
  <si>
    <r>
      <rPr>
        <sz val="8"/>
        <rFont val="Times New Roman"/>
        <family val="1"/>
      </rPr>
      <t>I</t>
    </r>
    <r>
      <rPr>
        <vertAlign val="subscript"/>
        <sz val="8"/>
        <rFont val="Times New Roman"/>
        <family val="1"/>
      </rPr>
      <t>max</t>
    </r>
  </si>
  <si>
    <r>
      <rPr>
        <sz val="8"/>
        <rFont val="Times New Roman"/>
        <family val="1"/>
      </rPr>
      <t>I</t>
    </r>
    <r>
      <rPr>
        <vertAlign val="subscript"/>
        <sz val="8"/>
        <rFont val="Times New Roman"/>
        <family val="1"/>
      </rPr>
      <t>min</t>
    </r>
  </si>
  <si>
    <r>
      <rPr>
        <sz val="8"/>
        <rFont val="Times New Roman"/>
        <family val="1"/>
      </rPr>
      <t>Доп.</t>
    </r>
  </si>
  <si>
    <r>
      <rPr>
        <sz val="8"/>
        <rFont val="Times New Roman"/>
        <family val="1"/>
      </rPr>
      <t>Изм.</t>
    </r>
  </si>
  <si>
    <r>
      <rPr>
        <sz val="8"/>
        <rFont val="Times New Roman"/>
        <family val="1"/>
      </rPr>
      <t>После монтажа</t>
    </r>
  </si>
  <si>
    <r>
      <rPr>
        <sz val="8"/>
        <rFont val="Times New Roman"/>
        <family val="1"/>
      </rPr>
      <t>Выдержал</t>
    </r>
  </si>
  <si>
    <t>Фечин А.А.</t>
  </si>
  <si>
    <t>организация</t>
  </si>
  <si>
    <t>ООО"Энергосистемы"</t>
  </si>
  <si>
    <t>ООО "Энком"</t>
  </si>
  <si>
    <t>ПАО "Россети Московский регион"</t>
  </si>
  <si>
    <t>реквизиты</t>
  </si>
  <si>
    <t>ОГРН 1077762950055 ИНН 7743668640 КПП 770801001</t>
  </si>
  <si>
    <t>ОГРН 1057746555811 ИНН 5036065113 КПП 772501001</t>
  </si>
  <si>
    <t xml:space="preserve">141508, Московская область, г.о. Солнечногорск, г. Солнечногорск, ул. Промышленная, стр. 5, помещение 179
</t>
  </si>
  <si>
    <t>107140, г.Москва, ул. Краснопрудная, д. 12/1, стр. 1, помещ. 1/6</t>
  </si>
  <si>
    <t>115114, город Москва, проезд Павелецкий 2-й, дом 3, строение 2</t>
  </si>
  <si>
    <t>район</t>
  </si>
  <si>
    <t>Химкинский р-н</t>
  </si>
  <si>
    <t>СРЭС филиала</t>
  </si>
  <si>
    <t>ХРЭС филиала</t>
  </si>
  <si>
    <t>директор</t>
  </si>
  <si>
    <t>И.о.генерального директора</t>
  </si>
  <si>
    <t>Начальник СРЭС СЭС филиала</t>
  </si>
  <si>
    <t>Начальник ХРЭС СЭС филиала</t>
  </si>
  <si>
    <t>директор ФИО</t>
  </si>
  <si>
    <t>Чернявская Н.Ю.</t>
  </si>
  <si>
    <t>Дандре Г.А.</t>
  </si>
  <si>
    <t>Чуев А.Н.</t>
  </si>
  <si>
    <t>Игнатьев К.А.</t>
  </si>
  <si>
    <t>Строй.контроль</t>
  </si>
  <si>
    <t>Инженер по строительному контролю</t>
  </si>
  <si>
    <t>Гл. специалист ССК УКС</t>
  </si>
  <si>
    <t>Приказ стр.контр.</t>
  </si>
  <si>
    <t>Приказ № 18-ОТ/24 от 03 июня 2024 (НОСТРОЙ С-50-188017)</t>
  </si>
  <si>
    <t>НРС № С-77-286715</t>
  </si>
  <si>
    <t>Приказ №263 от 31 января 2024г (НОСТРОЙ С-50-138711)</t>
  </si>
  <si>
    <t>Приказ №263 от 31 января 2024г (НОСТРОЙ С-50-15922)</t>
  </si>
  <si>
    <t>ФИО стр.контр.</t>
  </si>
  <si>
    <t>Капитонов Д.А.</t>
  </si>
  <si>
    <t>Филлипов А.Ю.</t>
  </si>
  <si>
    <t>Жижкевич М.А.</t>
  </si>
  <si>
    <t>Хлебнов Д.Ф.</t>
  </si>
  <si>
    <t>Представитель</t>
  </si>
  <si>
    <t>Мастер СРЭС СЭС филиала</t>
  </si>
  <si>
    <t>Технический надзор</t>
  </si>
  <si>
    <t>ФИО предст.</t>
  </si>
  <si>
    <t>Набоков С.А.</t>
  </si>
  <si>
    <t>Гл.инженер</t>
  </si>
  <si>
    <t>Петрунин А.Ю.</t>
  </si>
  <si>
    <t>Прораб</t>
  </si>
  <si>
    <t xml:space="preserve">Главный инженер </t>
  </si>
  <si>
    <t>Приказ прораб</t>
  </si>
  <si>
    <t>Приказ №05-ОТ/24 от 09 января 2024г</t>
  </si>
  <si>
    <t>Приказ №01/24-ОТ от 15.01.2024</t>
  </si>
  <si>
    <t>Приказ № ОТ-25 от 12.01.2024</t>
  </si>
  <si>
    <t>ФИО прораб</t>
  </si>
  <si>
    <t>Горбан Г.К.</t>
  </si>
  <si>
    <t>сцепленные организация</t>
  </si>
  <si>
    <t xml:space="preserve">Руководитель ЭИЛ </t>
  </si>
  <si>
    <t>Зам. руководителя ЭИЛ</t>
  </si>
  <si>
    <t>Инженер ЭИЛ</t>
  </si>
  <si>
    <t>Косырин А.Н.</t>
  </si>
  <si>
    <t>2025</t>
  </si>
  <si>
    <t>СИП2</t>
  </si>
  <si>
    <t>3х70+1х70</t>
  </si>
  <si>
    <t>3СИП3</t>
  </si>
  <si>
    <t>ВЛ-0,4кВ ОТ КТП №2999 до опоры №1, ф.1</t>
  </si>
  <si>
    <t>ВЛ-10кВ от  сущ. Опоры №1 ф. 829445 до КТП №2999</t>
  </si>
  <si>
    <t>Протокол №6</t>
  </si>
  <si>
    <t>Контур заземления КТП №3865</t>
  </si>
  <si>
    <t>КТП-3865 (штырьевые изоляторы и КЛ-10кВ СИП-3)</t>
  </si>
  <si>
    <t>КТП-3865 (Включатель нагрузки ВНА-10/630)</t>
  </si>
  <si>
    <t>КТП №3865
ф.1</t>
  </si>
  <si>
    <r>
      <t xml:space="preserve">Кабель проложенный </t>
    </r>
    <r>
      <rPr>
        <u/>
        <sz val="8"/>
        <rFont val="Times New Roman"/>
        <family val="1"/>
      </rPr>
      <t xml:space="preserve">вновь
</t>
    </r>
    <r>
      <rPr>
        <sz val="8"/>
        <rFont val="Times New Roman"/>
        <family val="1"/>
      </rPr>
      <t xml:space="preserve"> </t>
    </r>
    <r>
      <rPr>
        <u/>
        <sz val="8"/>
        <rFont val="Times New Roman"/>
        <family val="1"/>
      </rPr>
      <t xml:space="preserve">от КТП №3864 до КТП №3865
</t>
    </r>
    <r>
      <rPr>
        <sz val="8"/>
        <rFont val="Times New Roman"/>
        <family val="1"/>
      </rPr>
      <t xml:space="preserve">Марка  </t>
    </r>
    <r>
      <rPr>
        <u/>
        <sz val="8"/>
        <rFont val="Times New Roman"/>
        <family val="1"/>
      </rPr>
      <t xml:space="preserve">АСБл-10 3х120 </t>
    </r>
    <r>
      <rPr>
        <sz val="8"/>
        <rFont val="Times New Roman"/>
        <family val="1"/>
      </rPr>
      <t xml:space="preserve">Раб. Напр. </t>
    </r>
    <r>
      <rPr>
        <u/>
        <sz val="8"/>
        <rFont val="Times New Roman"/>
        <family val="1"/>
      </rPr>
      <t>10</t>
    </r>
    <r>
      <rPr>
        <sz val="8"/>
        <rFont val="Times New Roman"/>
        <family val="1"/>
      </rPr>
      <t xml:space="preserve">кВ 
сечение </t>
    </r>
    <r>
      <rPr>
        <u/>
        <sz val="8"/>
        <rFont val="Times New Roman"/>
        <family val="1"/>
      </rPr>
      <t>3х120</t>
    </r>
    <r>
      <rPr>
        <sz val="8"/>
        <rFont val="Times New Roman"/>
        <family val="1"/>
      </rPr>
      <t xml:space="preserve">   Длина 690 м</t>
    </r>
  </si>
  <si>
    <t>ВРЩ-0,4кВ</t>
  </si>
  <si>
    <t>2344-297671-74-5/23</t>
  </si>
  <si>
    <t>SAP - 297671</t>
  </si>
  <si>
    <t>Реконструкция КТП-6/0,4 кВ кВ № 4118 путем замены трансформаторов 2х630 кВА на трансформаторы 2х1000 кВА и замены АВ в РУ-0,4 кВ, ПС-110/20/10/6 кВ № 429 Шереметьево, в т.ч. ПИР, МО, Солнечногорский р-н, г. Лобня, Шереметьевское ш., д.10</t>
  </si>
  <si>
    <t>Лобня г, Шереметьевское ш, дом 10</t>
  </si>
  <si>
    <t>25.06.2025</t>
  </si>
  <si>
    <t>ТМГ-1000/6-0,4</t>
  </si>
  <si>
    <t>2.   Сопротивление (Ом) обмоток постоянному току при температуре  + 20˚ С</t>
  </si>
  <si>
    <t>№2402ИГ055</t>
  </si>
  <si>
    <t>Общий</t>
  </si>
  <si>
    <t>Протокол №4</t>
  </si>
  <si>
    <t>Протокол №8</t>
  </si>
  <si>
    <t>Нормируемая величина</t>
  </si>
  <si>
    <t>Протокол №13</t>
  </si>
  <si>
    <t>Заводской номер</t>
  </si>
  <si>
    <t>№ аттестата
(свидетельства)</t>
  </si>
  <si>
    <t>С-ТТ/08-04-2024/330370951</t>
  </si>
  <si>
    <t>С-ТТ/02-06-2025/436900431</t>
  </si>
  <si>
    <t>Барометр БАММ-1</t>
  </si>
  <si>
    <t>80-60кПа</t>
  </si>
  <si>
    <t>Гигрометр ВИТ-1</t>
  </si>
  <si>
    <r>
      <t xml:space="preserve">0-25 </t>
    </r>
    <r>
      <rPr>
        <vertAlign val="superscript"/>
        <sz val="8"/>
        <rFont val="Times New Roman"/>
        <family val="1"/>
        <charset val="204"/>
      </rPr>
      <t>0</t>
    </r>
    <r>
      <rPr>
        <sz val="8"/>
        <rFont val="Times New Roman"/>
        <family val="1"/>
        <charset val="204"/>
      </rPr>
      <t>С</t>
    </r>
  </si>
  <si>
    <t>С-ТТ/08-04-2024/330370954</t>
  </si>
  <si>
    <t>Измеритель сопротивления ИФН-300</t>
  </si>
  <si>
    <t>5723.21</t>
  </si>
  <si>
    <t>10-450В</t>
  </si>
  <si>
    <t>Измерители параметров УЗО ПЗО-510</t>
  </si>
  <si>
    <t>0367.21</t>
  </si>
  <si>
    <t>10-500мА</t>
  </si>
  <si>
    <t>Токовые клещи Р-266F</t>
  </si>
  <si>
    <t>2-1000В</t>
  </si>
  <si>
    <t>0100-002477-2024-2305044479</t>
  </si>
  <si>
    <t>Устройство комплектное испытательные Сатурн-М</t>
  </si>
  <si>
    <t>25-2000А</t>
  </si>
  <si>
    <t>С-ТТ/29-05-2025/436149634</t>
  </si>
  <si>
    <t>Клещи токоизмерительные многофункциональные</t>
  </si>
  <si>
    <t>0100-003808-2025-1</t>
  </si>
  <si>
    <t>С-ТТ/02-06-2025/436806316</t>
  </si>
  <si>
    <t>С-ГА/11-11-2024/108966559</t>
  </si>
  <si>
    <t>Величина измеренного переходного сопротивления контактов заземляющих и нулевых проводников, элементов электрооборудования соответствует нормам НТД.</t>
  </si>
  <si>
    <t>п/п</t>
  </si>
  <si>
    <t>Заводской
№</t>
  </si>
  <si>
    <t>Обозначение
обмоток</t>
  </si>
  <si>
    <t>Мощность
кВА</t>
  </si>
  <si>
    <t>Напряжение
кВ</t>
  </si>
  <si>
    <t>Ток
А</t>
  </si>
  <si>
    <t>Группа
соединения</t>
  </si>
  <si>
    <t>Вторичная</t>
  </si>
  <si>
    <t>Положение переключателя</t>
  </si>
  <si>
    <t>Первичная</t>
  </si>
  <si>
    <t>Наименование обмоток</t>
  </si>
  <si>
    <t>3. Сопротивление изоляции обмоток относительно корпуса и других обмоток  измеренное</t>
  </si>
  <si>
    <t>мегомметром MIC-2500 : высшего напряжения 3550 МОм, низшего 3920 МОм.</t>
  </si>
  <si>
    <r>
      <t>6.   Замечания и приложения: 	__</t>
    </r>
    <r>
      <rPr>
        <b/>
        <sz val="8"/>
        <rFont val="Times New Roman"/>
        <family val="1"/>
        <charset val="204"/>
      </rPr>
      <t>Переключатель положений установлен в положение  III</t>
    </r>
    <r>
      <rPr>
        <sz val="8"/>
        <rFont val="Times New Roman"/>
        <family val="1"/>
        <charset val="204"/>
      </rPr>
      <t xml:space="preserve">__	</t>
    </r>
  </si>
  <si>
    <t xml:space="preserve">7. Нормативно-технический документ:  Приложение 3 Раздел 2 ПТЭЭП; глава 1.8.16. ПУЭ; </t>
  </si>
  <si>
    <t>8.   Измерительные приборы:</t>
  </si>
  <si>
    <r>
      <t xml:space="preserve">11.	Заключение на соответствие требованиям НТД: </t>
    </r>
    <r>
      <rPr>
        <b/>
        <i/>
        <u/>
        <sz val="8"/>
        <rFont val="Times New Roman"/>
        <family val="1"/>
        <charset val="204"/>
      </rPr>
      <t xml:space="preserve"> Данные измерений и испытаний соответствуют нормам НТД. Годно к эксплуатации.</t>
    </r>
  </si>
  <si>
    <t>Рабочее напряжение,В</t>
  </si>
  <si>
    <t>Сопротивление изоляции, МОм</t>
  </si>
  <si>
    <t>Количество жил, сечение провода кабеля,мм²</t>
  </si>
  <si>
    <t>N-PE</t>
  </si>
  <si>
    <t>L3-PE
(С-РЕ)</t>
  </si>
  <si>
    <t>L2-PE
(В-РЕ)</t>
  </si>
  <si>
    <t>ф.В</t>
  </si>
  <si>
    <t>ф.С</t>
  </si>
  <si>
    <t>ф.А</t>
  </si>
  <si>
    <t>Наименование оборудования или цепи</t>
  </si>
  <si>
    <t>Тип аппарата защиты</t>
  </si>
  <si>
    <t>Характеристика</t>
  </si>
  <si>
    <t>5.4  Величина измеренного переходного сопротивления контактов заземляющих и нулевых проводников, элементов электрооборудования соответствует нормам НТД.</t>
  </si>
  <si>
    <t>Фаза  С</t>
  </si>
  <si>
    <t>Верхнее значение тока срабатывания с коэф. 1,1(А)</t>
  </si>
  <si>
    <t>Мегаомметром</t>
  </si>
  <si>
    <t>Результат испытания</t>
  </si>
  <si>
    <t>745</t>
  </si>
  <si>
    <t>Просрочен</t>
  </si>
  <si>
    <t>Действителен</t>
  </si>
  <si>
    <t xml:space="preserve">ТЕХНИЧЕСКИЙ ОТЧЕТ №1 от </t>
  </si>
  <si>
    <t>Свидетельство о регистрации лаборатории:</t>
  </si>
  <si>
    <t>АСБл-10</t>
  </si>
  <si>
    <t>3х120</t>
  </si>
  <si>
    <t xml:space="preserve">КЛ-0,4кВ от КТП №3865 ф.1
</t>
  </si>
  <si>
    <r>
      <t xml:space="preserve">Кабель проложенный </t>
    </r>
    <r>
      <rPr>
        <u/>
        <sz val="8"/>
        <rFont val="Times New Roman"/>
        <family val="1"/>
      </rPr>
      <t>вновь</t>
    </r>
    <r>
      <rPr>
        <sz val="8"/>
        <rFont val="Times New Roman"/>
        <family val="1"/>
      </rPr>
      <t xml:space="preserve"> 
</t>
    </r>
    <r>
      <rPr>
        <u/>
        <sz val="8"/>
        <rFont val="Times New Roman"/>
        <family val="1"/>
      </rPr>
      <t xml:space="preserve">от КТП №3865 до ВРЩ
</t>
    </r>
    <r>
      <rPr>
        <sz val="8"/>
        <rFont val="Times New Roman"/>
        <family val="1"/>
      </rPr>
      <t xml:space="preserve">Марка  </t>
    </r>
    <r>
      <rPr>
        <u/>
        <sz val="8"/>
        <rFont val="Times New Roman"/>
        <family val="1"/>
      </rPr>
      <t xml:space="preserve">АВБбШв 4х95 </t>
    </r>
    <r>
      <rPr>
        <sz val="8"/>
        <rFont val="Times New Roman"/>
        <family val="1"/>
      </rPr>
      <t xml:space="preserve">Раб. Напр. </t>
    </r>
    <r>
      <rPr>
        <u/>
        <sz val="8"/>
        <rFont val="Times New Roman"/>
        <family val="1"/>
      </rPr>
      <t>10</t>
    </r>
    <r>
      <rPr>
        <sz val="8"/>
        <rFont val="Times New Roman"/>
        <family val="1"/>
      </rPr>
      <t xml:space="preserve">кВ 
сечение </t>
    </r>
    <r>
      <rPr>
        <u/>
        <sz val="8"/>
        <rFont val="Times New Roman"/>
        <family val="1"/>
      </rPr>
      <t>4х95</t>
    </r>
    <r>
      <rPr>
        <sz val="8"/>
        <rFont val="Times New Roman"/>
        <family val="1"/>
      </rPr>
      <t xml:space="preserve">   Длина 305 м</t>
    </r>
  </si>
  <si>
    <t>АСП №</t>
  </si>
  <si>
    <t>КТП №</t>
  </si>
  <si>
    <t>на ревизию и наладку разъединителей РЛК-IV-10/400-УХЛ1 с приводом  ПР-7 перед включением в сеть, заводской номер 47015217281</t>
  </si>
  <si>
    <r>
      <t xml:space="preserve">Заключение: </t>
    </r>
    <r>
      <rPr>
        <i/>
        <sz val="8"/>
        <color rgb="FF000000"/>
        <rFont val="Times New Roman"/>
        <family val="1"/>
        <charset val="204"/>
      </rPr>
      <t xml:space="preserve">по данным ревизии и наладки РЛК-IV-10/400-УХЛ1 с приводом  ПР-7  </t>
    </r>
    <r>
      <rPr>
        <b/>
        <i/>
        <sz val="8"/>
        <color rgb="FF000000"/>
        <rFont val="Times New Roman"/>
        <family val="1"/>
        <charset val="204"/>
      </rPr>
      <t>-</t>
    </r>
    <r>
      <rPr>
        <b/>
        <i/>
        <u/>
        <sz val="8"/>
        <color rgb="FF000000"/>
        <rFont val="Times New Roman"/>
        <family val="1"/>
        <charset val="204"/>
      </rPr>
      <t xml:space="preserve">   исправны  и cоответствуют  </t>
    </r>
    <r>
      <rPr>
        <b/>
        <i/>
        <sz val="8"/>
        <color rgb="FF000000"/>
        <rFont val="Times New Roman"/>
        <family val="1"/>
        <charset val="204"/>
      </rPr>
      <t>з</t>
    </r>
    <r>
      <rPr>
        <i/>
        <sz val="8"/>
        <color rgb="FF000000"/>
        <rFont val="Times New Roman"/>
        <family val="1"/>
        <charset val="204"/>
      </rPr>
      <t>аводским данным.</t>
    </r>
  </si>
  <si>
    <t>Протокол №</t>
  </si>
  <si>
    <t>Испытания выключателя нагрузки (ВНА)</t>
  </si>
  <si>
    <t>1.Технические данные</t>
  </si>
  <si>
    <t>Тип ВНА</t>
  </si>
  <si>
    <t>Заводской №</t>
  </si>
  <si>
    <t>Год вып.</t>
  </si>
  <si>
    <t>Ином, кВ</t>
  </si>
  <si>
    <t>Uном, кВ</t>
  </si>
  <si>
    <t>Тип привода</t>
  </si>
  <si>
    <t>ВНАл-10/630</t>
  </si>
  <si>
    <t>данные берем из паспорта</t>
  </si>
  <si>
    <t>Результаты измерений</t>
  </si>
  <si>
    <t>Наименование проверки</t>
  </si>
  <si>
    <t>Ед. изм.</t>
  </si>
  <si>
    <t>Норма (ПУЭ/ГОСТ)</t>
  </si>
  <si>
    <t>Фаза А</t>
  </si>
  <si>
    <t>Фаза В</t>
  </si>
  <si>
    <t>Фаза С</t>
  </si>
  <si>
    <t>Сопротивление изоляции (2500В)</t>
  </si>
  <si>
    <t>МОм</t>
  </si>
  <si>
    <t>не менее 1000</t>
  </si>
  <si>
    <t>1500*</t>
  </si>
  <si>
    <t>* Примечания к значениям:</t>
  </si>
  <si>
    <t>Исп. Повышенным напряжением</t>
  </si>
  <si>
    <t>кВ</t>
  </si>
  <si>
    <t>32 (для 6кВ)/ 42 (10кВ)</t>
  </si>
  <si>
    <t>Выдерж.</t>
  </si>
  <si>
    <r>
      <t>1. Сопротивление контактов:</t>
    </r>
    <r>
      <rPr>
        <sz val="11"/>
        <color rgb="FF0A0A0A"/>
        <rFont val="Times New Roman"/>
        <family val="1"/>
        <charset val="204"/>
      </rPr>
      <t> Для новых ВНА-630 норма обычно составляет </t>
    </r>
    <r>
      <rPr>
        <b/>
        <sz val="11"/>
        <color rgb="FF0A0A0A"/>
        <rFont val="Times New Roman"/>
        <family val="1"/>
        <charset val="204"/>
      </rPr>
      <t>120–220 мкОм</t>
    </r>
    <r>
      <rPr>
        <sz val="11"/>
        <color rgb="FF0A0A0A"/>
        <rFont val="Times New Roman"/>
        <family val="1"/>
        <charset val="204"/>
      </rPr>
      <t>. Значение выше 300 мкОм требует чистки контактов и регулировки нажатия.</t>
    </r>
  </si>
  <si>
    <t>Сопротивление контактов (Rпер)</t>
  </si>
  <si>
    <t>мкОМ</t>
  </si>
  <si>
    <t>не более 200*</t>
  </si>
  <si>
    <t>125*</t>
  </si>
  <si>
    <t>132*</t>
  </si>
  <si>
    <t>128*</t>
  </si>
  <si>
    <r>
      <t>2. Напряжение:</t>
    </r>
    <r>
      <rPr>
        <sz val="11"/>
        <color rgb="FF0A0A0A"/>
        <rFont val="Times New Roman"/>
        <family val="1"/>
        <charset val="204"/>
      </rPr>
      <t> Если установка работает на </t>
    </r>
    <r>
      <rPr>
        <b/>
        <sz val="11"/>
        <color rgb="FF0A0A0A"/>
        <rFont val="Times New Roman"/>
        <family val="1"/>
        <charset val="204"/>
      </rPr>
      <t>6 кВ</t>
    </r>
    <r>
      <rPr>
        <sz val="11"/>
        <color rgb="FF0A0A0A"/>
        <rFont val="Times New Roman"/>
        <family val="1"/>
        <charset val="204"/>
      </rPr>
      <t>, испытательное напряжение — </t>
    </r>
    <r>
      <rPr>
        <b/>
        <sz val="11"/>
        <color rgb="FF0A0A0A"/>
        <rFont val="Times New Roman"/>
        <family val="1"/>
        <charset val="204"/>
      </rPr>
      <t>32 кВ</t>
    </r>
    <r>
      <rPr>
        <sz val="11"/>
        <color rgb="FF0A0A0A"/>
        <rFont val="Times New Roman"/>
        <family val="1"/>
        <charset val="204"/>
      </rPr>
      <t>. Если на </t>
    </r>
    <r>
      <rPr>
        <b/>
        <sz val="11"/>
        <color rgb="FF0A0A0A"/>
        <rFont val="Times New Roman"/>
        <family val="1"/>
        <charset val="204"/>
      </rPr>
      <t>10 кВ</t>
    </r>
    <r>
      <rPr>
        <sz val="11"/>
        <color rgb="FF0A0A0A"/>
        <rFont val="Times New Roman"/>
        <family val="1"/>
        <charset val="204"/>
      </rPr>
      <t> — </t>
    </r>
    <r>
      <rPr>
        <b/>
        <sz val="11"/>
        <color rgb="FF0A0A0A"/>
        <rFont val="Times New Roman"/>
        <family val="1"/>
        <charset val="204"/>
      </rPr>
      <t>42 кВ</t>
    </r>
    <r>
      <rPr>
        <sz val="11"/>
        <color rgb="FF0A0A0A"/>
        <rFont val="Times New Roman"/>
        <family val="1"/>
        <charset val="204"/>
      </rPr>
      <t>.</t>
    </r>
  </si>
  <si>
    <t>Проверка дугогасительных камер</t>
  </si>
  <si>
    <t>без дефектов</t>
  </si>
  <si>
    <t>1.0</t>
  </si>
  <si>
    <r>
      <t>3. Изоляция:</t>
    </r>
    <r>
      <rPr>
        <sz val="11"/>
        <color rgb="FF0A0A0A"/>
        <rFont val="Times New Roman"/>
        <family val="1"/>
        <charset val="204"/>
      </rPr>
      <t> Значение "1500" является типовым (обычно мегаомметр просто уходит «в бесконечность»).</t>
    </r>
  </si>
  <si>
    <t>НОРМАТИВНЫЕ ДОКУМЕНТЫ: ПУЭ-7 (табл. 1.8.16)</t>
  </si>
  <si>
    <t>ГОСТ Р 55154-2019</t>
  </si>
  <si>
    <t>Объёмы ПНР утверждены заказчиком.</t>
  </si>
  <si>
    <t>С-ТТ/08-04-2026/517582895</t>
  </si>
  <si>
    <t>С-ТТ/08-04-2026/517582908</t>
  </si>
  <si>
    <t>С-ТТ/08-04-2026/517582901</t>
  </si>
  <si>
    <t>С-ТТ/08-04-2026/517582910</t>
  </si>
  <si>
    <t>С-ТТ/17-04-2026/519855627</t>
  </si>
  <si>
    <t>С-ТТ/08-04-2026/517582904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</si>
</sst>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"/>
    <numFmt numFmtId="165" formatCode="[$-F800]dddd\,\ mmmm\ dd\,\ yyyy"/>
    <numFmt numFmtId="166" formatCode="_-* #,##0.00&quot;р.&quot;_-;\-* #,##0.00&quot;р.&quot;_-;_-* &quot;-&quot;??&quot;р.&quot;_-;_-@_-"/>
  </numFmts>
  <fonts count="71" x14ac:knownFonts="1">
    <font>
      <sz val="11"/>
      <name val="Calibri"/>
      <family val="2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</font>
    <font>
      <u/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7"/>
      <name val="Times New Roman"/>
      <family val="1"/>
    </font>
    <font>
      <sz val="12"/>
      <name val="Times New Roman"/>
      <family val="1"/>
    </font>
    <font>
      <b/>
      <u/>
      <sz val="10"/>
      <name val="Times New Roman"/>
      <family val="1"/>
    </font>
    <font>
      <u/>
      <sz val="11"/>
      <name val="Times New Roman"/>
      <family val="1"/>
    </font>
    <font>
      <i/>
      <u/>
      <sz val="10"/>
      <name val="Times New Roman"/>
      <family val="1"/>
    </font>
    <font>
      <b/>
      <i/>
      <sz val="8"/>
      <name val="Times New Roman"/>
      <family val="1"/>
      <charset val="204"/>
    </font>
    <font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u/>
      <sz val="8"/>
      <name val="Times New Roman"/>
      <family val="1"/>
      <charset val="204"/>
    </font>
    <font>
      <b/>
      <u/>
      <sz val="8"/>
      <name val="Times New Roman"/>
      <family val="1"/>
      <charset val="204"/>
    </font>
    <font>
      <b/>
      <i/>
      <u/>
      <sz val="8"/>
      <name val="Times New Roman"/>
      <family val="1"/>
      <charset val="204"/>
    </font>
    <font>
      <b/>
      <sz val="8"/>
      <color rgb="FF000000"/>
      <name val="Times New Roman"/>
      <family val="1"/>
      <charset val="204"/>
    </font>
    <font>
      <sz val="6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i/>
      <sz val="8"/>
      <color theme="1"/>
      <name val="Times New Roman"/>
      <family val="1"/>
      <charset val="204"/>
    </font>
    <font>
      <sz val="8"/>
      <name val="Calibri"/>
      <family val="2"/>
    </font>
    <font>
      <b/>
      <sz val="8"/>
      <name val="Times New Roman"/>
      <family val="1"/>
    </font>
    <font>
      <sz val="8"/>
      <name val="Calibri"/>
      <family val="2"/>
      <charset val="204"/>
    </font>
    <font>
      <sz val="8"/>
      <name val="Times New Roman"/>
      <family val="1"/>
    </font>
    <font>
      <b/>
      <i/>
      <u/>
      <sz val="8"/>
      <name val="Times New Roman"/>
      <family val="1"/>
    </font>
    <font>
      <u/>
      <sz val="10"/>
      <name val="Times New Roman"/>
      <family val="1"/>
      <charset val="204"/>
    </font>
    <font>
      <sz val="10"/>
      <name val="Calibri"/>
      <family val="2"/>
      <charset val="204"/>
    </font>
    <font>
      <b/>
      <sz val="10"/>
      <name val="Times New Roman"/>
      <family val="1"/>
      <charset val="204"/>
    </font>
    <font>
      <u/>
      <sz val="8"/>
      <name val="Times New Roman"/>
      <family val="1"/>
    </font>
    <font>
      <b/>
      <u/>
      <sz val="8"/>
      <name val="Times New Roman"/>
      <family val="1"/>
    </font>
    <font>
      <vertAlign val="superscript"/>
      <sz val="8"/>
      <name val="Times New Roman"/>
      <family val="1"/>
    </font>
    <font>
      <b/>
      <sz val="14"/>
      <name val="Times New Roman"/>
      <family val="1"/>
    </font>
    <font>
      <b/>
      <sz val="9"/>
      <name val="Times New Roman"/>
      <family val="1"/>
    </font>
    <font>
      <b/>
      <u/>
      <sz val="14"/>
      <name val="Times New Roman"/>
      <family val="1"/>
    </font>
    <font>
      <sz val="16"/>
      <name val="Times New Roman"/>
      <family val="1"/>
    </font>
    <font>
      <b/>
      <sz val="11"/>
      <name val="Times New Roman"/>
      <family val="1"/>
      <charset val="204"/>
    </font>
    <font>
      <b/>
      <i/>
      <sz val="10"/>
      <color rgb="FF000000"/>
      <name val="Times New Roman"/>
      <family val="1"/>
      <charset val="204"/>
    </font>
    <font>
      <b/>
      <i/>
      <sz val="8"/>
      <color rgb="FF000000"/>
      <name val="Times New Roman"/>
      <family val="1"/>
      <charset val="204"/>
    </font>
    <font>
      <i/>
      <sz val="8"/>
      <color rgb="FF000000"/>
      <name val="Times New Roman"/>
      <family val="1"/>
      <charset val="204"/>
    </font>
    <font>
      <i/>
      <sz val="8"/>
      <name val="Times New Roman"/>
      <family val="1"/>
      <charset val="204"/>
    </font>
    <font>
      <b/>
      <i/>
      <u/>
      <sz val="8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b/>
      <sz val="13"/>
      <name val="Times New Roman"/>
      <family val="1"/>
    </font>
    <font>
      <i/>
      <sz val="10"/>
      <name val="Times New Roman"/>
      <family val="1"/>
      <charset val="204"/>
    </font>
    <font>
      <sz val="10"/>
      <color rgb="FF000000"/>
      <name val="Times New Roman"/>
      <family val="1"/>
    </font>
    <font>
      <sz val="10"/>
      <name val="Calibri"/>
      <family val="2"/>
    </font>
    <font>
      <b/>
      <i/>
      <sz val="9"/>
      <name val="Times New Roman"/>
      <family val="1"/>
    </font>
    <font>
      <sz val="9"/>
      <name val="Times New Roman"/>
      <family val="1"/>
    </font>
    <font>
      <sz val="11"/>
      <name val="Calibri"/>
      <family val="2"/>
      <charset val="204"/>
    </font>
    <font>
      <sz val="9"/>
      <name val="Times New Roman"/>
      <family val="1"/>
      <charset val="204"/>
    </font>
    <font>
      <vertAlign val="subscript"/>
      <sz val="8"/>
      <name val="Times New Roman"/>
      <family val="1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</font>
    <font>
      <sz val="10"/>
      <color theme="1"/>
      <name val="Arial"/>
      <family val="2"/>
    </font>
    <font>
      <vertAlign val="superscript"/>
      <sz val="8"/>
      <name val="Times New Roman"/>
      <family val="1"/>
      <charset val="204"/>
    </font>
    <font>
      <u/>
      <sz val="12"/>
      <name val="Times New Roman"/>
      <family val="1"/>
      <charset val="204"/>
    </font>
    <font>
      <sz val="12"/>
      <name val="Times New Roman"/>
      <family val="1"/>
      <charset val="204"/>
    </font>
    <font>
      <i/>
      <sz val="11"/>
      <color rgb="FF0A0A0A"/>
      <name val="Times New Roman"/>
      <family val="1"/>
      <charset val="204"/>
    </font>
    <font>
      <b/>
      <sz val="11"/>
      <color rgb="FF0A0A0A"/>
      <name val="Times New Roman"/>
      <family val="1"/>
      <charset val="204"/>
    </font>
    <font>
      <sz val="11"/>
      <color rgb="FF0A0A0A"/>
      <name val="Times New Roman"/>
      <family val="1"/>
      <charset val="204"/>
    </font>
  </fonts>
  <fills count="1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CFF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theme="1"/>
      </top>
      <bottom/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1">
    <xf numFmtId="0" fontId="0" fillId="0" borderId="0"/>
    <xf numFmtId="0" fontId="6" fillId="0" borderId="0"/>
    <xf numFmtId="0" fontId="7" fillId="0" borderId="0"/>
    <xf numFmtId="0" fontId="3" fillId="0" borderId="0"/>
    <xf numFmtId="166" fontId="3" fillId="0" borderId="0" applyFont="0" applyFill="0" applyBorder="0" applyAlignment="0" applyProtection="0"/>
    <xf numFmtId="0" fontId="64" fillId="0" borderId="0"/>
    <xf numFmtId="0" fontId="63" fillId="0" borderId="0"/>
    <xf numFmtId="0" fontId="28" fillId="0" borderId="0"/>
    <xf numFmtId="0" fontId="2" fillId="0" borderId="0"/>
    <xf numFmtId="166" fontId="2" fillId="0" borderId="0" applyFont="0" applyFill="0" applyBorder="0" applyAlignment="0" applyProtection="0"/>
    <xf numFmtId="0" fontId="1" fillId="0" borderId="0"/>
  </cellStyleXfs>
  <cellXfs count="394">
    <xf numFmtId="0" fontId="0" fillId="0" borderId="0" xfId="0"/>
    <xf numFmtId="0" fontId="7" fillId="2" borderId="3" xfId="0" applyFont="1" applyFill="1" applyBorder="1" applyAlignment="1">
      <alignment horizontal="left" vertical="top" wrapText="1"/>
    </xf>
    <xf numFmtId="0" fontId="13" fillId="2" borderId="3" xfId="0" applyFont="1" applyFill="1" applyBorder="1" applyAlignment="1">
      <alignment horizontal="left" vertical="top" wrapText="1"/>
    </xf>
    <xf numFmtId="0" fontId="18" fillId="0" borderId="0" xfId="0" applyFont="1"/>
    <xf numFmtId="0" fontId="18" fillId="0" borderId="0" xfId="0" applyFont="1" applyAlignment="1">
      <alignment horizontal="center" vertical="center" wrapText="1"/>
    </xf>
    <xf numFmtId="0" fontId="20" fillId="0" borderId="0" xfId="0" applyFont="1" applyAlignment="1">
      <alignment horizontal="left" vertical="top" wrapText="1"/>
    </xf>
    <xf numFmtId="0" fontId="18" fillId="0" borderId="1" xfId="0" applyFont="1" applyBorder="1"/>
    <xf numFmtId="0" fontId="19" fillId="0" borderId="0" xfId="0" applyFont="1" applyAlignment="1">
      <alignment horizontal="left" vertical="top" wrapText="1"/>
    </xf>
    <xf numFmtId="0" fontId="18" fillId="0" borderId="3" xfId="0" applyFont="1" applyBorder="1" applyAlignment="1">
      <alignment vertical="top" wrapText="1"/>
    </xf>
    <xf numFmtId="0" fontId="18" fillId="0" borderId="3" xfId="0" applyFont="1" applyBorder="1"/>
    <xf numFmtId="0" fontId="18" fillId="0" borderId="7" xfId="0" applyFont="1" applyBorder="1" applyAlignment="1">
      <alignment horizontal="center" vertical="top" wrapText="1"/>
    </xf>
    <xf numFmtId="0" fontId="18" fillId="0" borderId="7" xfId="0" applyFont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left" vertical="top" wrapText="1"/>
    </xf>
    <xf numFmtId="0" fontId="18" fillId="0" borderId="10" xfId="0" applyFont="1" applyBorder="1" applyAlignment="1">
      <alignment horizontal="center" vertical="top" wrapText="1"/>
    </xf>
    <xf numFmtId="0" fontId="19" fillId="0" borderId="14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left" vertical="top" wrapText="1"/>
    </xf>
    <xf numFmtId="0" fontId="19" fillId="0" borderId="0" xfId="0" applyFont="1" applyAlignment="1">
      <alignment horizontal="center" vertical="top" wrapText="1"/>
    </xf>
    <xf numFmtId="0" fontId="17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18" fillId="0" borderId="0" xfId="0" applyFont="1" applyAlignment="1">
      <alignment horizontal="right" vertical="top" wrapText="1"/>
    </xf>
    <xf numFmtId="0" fontId="18" fillId="0" borderId="0" xfId="0" applyFont="1" applyAlignment="1">
      <alignment horizontal="center" vertical="top" wrapText="1"/>
    </xf>
    <xf numFmtId="0" fontId="18" fillId="2" borderId="0" xfId="0" applyFont="1" applyFill="1" applyAlignment="1">
      <alignment horizontal="left" vertical="top" wrapText="1"/>
    </xf>
    <xf numFmtId="0" fontId="18" fillId="2" borderId="0" xfId="0" applyFont="1" applyFill="1" applyAlignment="1">
      <alignment horizontal="left" vertical="center" wrapText="1"/>
    </xf>
    <xf numFmtId="0" fontId="18" fillId="2" borderId="0" xfId="0" applyFont="1" applyFill="1" applyAlignment="1">
      <alignment horizontal="center" vertical="top" wrapText="1"/>
    </xf>
    <xf numFmtId="14" fontId="18" fillId="2" borderId="0" xfId="0" applyNumberFormat="1" applyFont="1" applyFill="1" applyAlignment="1">
      <alignment horizontal="center" vertical="top" wrapText="1"/>
    </xf>
    <xf numFmtId="0" fontId="18" fillId="0" borderId="0" xfId="0" applyFont="1" applyAlignment="1">
      <alignment horizontal="right" vertical="center" wrapText="1"/>
    </xf>
    <xf numFmtId="0" fontId="18" fillId="0" borderId="0" xfId="0" applyFont="1" applyAlignment="1">
      <alignment horizontal="left" vertical="center" wrapText="1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top" wrapText="1"/>
    </xf>
    <xf numFmtId="0" fontId="17" fillId="0" borderId="0" xfId="0" applyFont="1" applyAlignment="1">
      <alignment horizontal="center" wrapText="1"/>
    </xf>
    <xf numFmtId="0" fontId="18" fillId="0" borderId="6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8" fillId="0" borderId="0" xfId="0" applyFont="1" applyAlignment="1">
      <alignment vertical="top" wrapText="1"/>
    </xf>
    <xf numFmtId="0" fontId="24" fillId="0" borderId="0" xfId="0" applyFont="1"/>
    <xf numFmtId="0" fontId="24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 wrapText="1"/>
    </xf>
    <xf numFmtId="0" fontId="6" fillId="0" borderId="0" xfId="1"/>
    <xf numFmtId="0" fontId="26" fillId="0" borderId="7" xfId="1" applyFont="1" applyBorder="1" applyAlignment="1">
      <alignment horizontal="center"/>
    </xf>
    <xf numFmtId="0" fontId="27" fillId="0" borderId="7" xfId="1" applyFont="1" applyBorder="1" applyAlignment="1">
      <alignment horizontal="center" wrapText="1"/>
    </xf>
    <xf numFmtId="0" fontId="27" fillId="0" borderId="14" xfId="1" applyFont="1" applyBorder="1" applyAlignment="1">
      <alignment horizontal="center" wrapText="1"/>
    </xf>
    <xf numFmtId="0" fontId="27" fillId="3" borderId="7" xfId="1" applyFont="1" applyFill="1" applyBorder="1" applyAlignment="1">
      <alignment horizontal="center" wrapText="1"/>
    </xf>
    <xf numFmtId="0" fontId="27" fillId="0" borderId="20" xfId="1" applyFont="1" applyBorder="1" applyAlignment="1">
      <alignment horizontal="center" wrapText="1"/>
    </xf>
    <xf numFmtId="164" fontId="27" fillId="4" borderId="7" xfId="1" applyNumberFormat="1" applyFont="1" applyFill="1" applyBorder="1" applyAlignment="1">
      <alignment horizontal="center" wrapText="1"/>
    </xf>
    <xf numFmtId="0" fontId="6" fillId="0" borderId="7" xfId="1" applyBorder="1"/>
    <xf numFmtId="0" fontId="28" fillId="0" borderId="7" xfId="1" applyFont="1" applyBorder="1"/>
    <xf numFmtId="0" fontId="27" fillId="0" borderId="22" xfId="1" applyFont="1" applyBorder="1" applyAlignment="1">
      <alignment horizontal="center" wrapText="1"/>
    </xf>
    <xf numFmtId="0" fontId="27" fillId="6" borderId="7" xfId="1" applyFont="1" applyFill="1" applyBorder="1" applyAlignment="1">
      <alignment horizontal="center" wrapText="1"/>
    </xf>
    <xf numFmtId="0" fontId="28" fillId="0" borderId="0" xfId="1" applyFont="1"/>
    <xf numFmtId="0" fontId="27" fillId="6" borderId="3" xfId="1" applyFont="1" applyFill="1" applyBorder="1" applyAlignment="1">
      <alignment horizontal="center" wrapText="1"/>
    </xf>
    <xf numFmtId="0" fontId="27" fillId="8" borderId="7" xfId="1" applyFont="1" applyFill="1" applyBorder="1" applyAlignment="1">
      <alignment horizontal="center" wrapText="1"/>
    </xf>
    <xf numFmtId="0" fontId="26" fillId="8" borderId="7" xfId="1" applyFont="1" applyFill="1" applyBorder="1" applyAlignment="1">
      <alignment horizontal="center"/>
    </xf>
    <xf numFmtId="0" fontId="6" fillId="0" borderId="0" xfId="1" applyAlignment="1">
      <alignment horizontal="center"/>
    </xf>
    <xf numFmtId="0" fontId="30" fillId="0" borderId="0" xfId="1" applyFont="1" applyAlignment="1">
      <alignment vertical="center" wrapText="1"/>
    </xf>
    <xf numFmtId="0" fontId="30" fillId="0" borderId="0" xfId="1" applyFont="1" applyAlignment="1">
      <alignment vertical="center"/>
    </xf>
    <xf numFmtId="0" fontId="6" fillId="0" borderId="0" xfId="1" applyAlignment="1">
      <alignment wrapText="1"/>
    </xf>
    <xf numFmtId="0" fontId="6" fillId="8" borderId="0" xfId="1" applyFill="1" applyAlignment="1">
      <alignment horizontal="center"/>
    </xf>
    <xf numFmtId="0" fontId="33" fillId="0" borderId="0" xfId="0" applyFont="1"/>
    <xf numFmtId="0" fontId="34" fillId="0" borderId="7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34" fillId="0" borderId="7" xfId="0" applyFont="1" applyBorder="1" applyAlignment="1">
      <alignment horizontal="center" vertical="center" wrapText="1"/>
    </xf>
    <xf numFmtId="0" fontId="32" fillId="0" borderId="7" xfId="0" applyFont="1" applyBorder="1" applyAlignment="1">
      <alignment horizontal="center" vertical="top" wrapText="1"/>
    </xf>
    <xf numFmtId="0" fontId="18" fillId="0" borderId="11" xfId="0" applyFont="1" applyBorder="1" applyAlignment="1">
      <alignment horizontal="center" vertical="top" wrapText="1"/>
    </xf>
    <xf numFmtId="0" fontId="18" fillId="0" borderId="12" xfId="0" applyFont="1" applyBorder="1" applyAlignment="1">
      <alignment horizontal="center" vertical="top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0" xfId="0" applyFont="1" applyAlignment="1">
      <alignment vertical="top"/>
    </xf>
    <xf numFmtId="0" fontId="18" fillId="0" borderId="0" xfId="0" applyFont="1" applyAlignment="1">
      <alignment horizontal="left" vertical="top"/>
    </xf>
    <xf numFmtId="0" fontId="6" fillId="8" borderId="7" xfId="1" applyFill="1" applyBorder="1" applyAlignment="1">
      <alignment horizontal="center"/>
    </xf>
    <xf numFmtId="0" fontId="7" fillId="0" borderId="0" xfId="2"/>
    <xf numFmtId="0" fontId="9" fillId="0" borderId="0" xfId="2" applyFont="1" applyAlignment="1">
      <alignment horizontal="left" vertical="top" wrapText="1"/>
    </xf>
    <xf numFmtId="0" fontId="13" fillId="0" borderId="0" xfId="2" applyFont="1" applyAlignment="1">
      <alignment horizontal="left" vertical="top" wrapText="1"/>
    </xf>
    <xf numFmtId="0" fontId="43" fillId="0" borderId="0" xfId="2" applyFont="1" applyAlignment="1">
      <alignment horizontal="left" vertical="top" wrapText="1"/>
    </xf>
    <xf numFmtId="0" fontId="34" fillId="0" borderId="0" xfId="2" applyFont="1" applyAlignment="1">
      <alignment horizontal="left" vertical="top" wrapText="1"/>
    </xf>
    <xf numFmtId="0" fontId="9" fillId="0" borderId="0" xfId="2" applyFont="1" applyAlignment="1">
      <alignment horizontal="center" vertical="top" wrapText="1"/>
    </xf>
    <xf numFmtId="0" fontId="42" fillId="0" borderId="0" xfId="2" applyFont="1" applyAlignment="1">
      <alignment vertical="top" wrapText="1"/>
    </xf>
    <xf numFmtId="0" fontId="49" fillId="2" borderId="0" xfId="0" applyFont="1" applyFill="1" applyAlignment="1">
      <alignment horizontal="left" vertical="top" wrapText="1"/>
    </xf>
    <xf numFmtId="0" fontId="23" fillId="2" borderId="7" xfId="0" applyFont="1" applyFill="1" applyBorder="1" applyAlignment="1">
      <alignment horizontal="center" vertical="center" wrapText="1"/>
    </xf>
    <xf numFmtId="0" fontId="48" fillId="2" borderId="0" xfId="0" applyFont="1" applyFill="1" applyAlignment="1">
      <alignment horizontal="center" vertical="center" wrapText="1"/>
    </xf>
    <xf numFmtId="0" fontId="49" fillId="2" borderId="0" xfId="0" applyFont="1" applyFill="1" applyAlignment="1">
      <alignment horizontal="center" vertical="top" wrapText="1"/>
    </xf>
    <xf numFmtId="0" fontId="50" fillId="2" borderId="0" xfId="0" applyFont="1" applyFill="1" applyAlignment="1">
      <alignment horizontal="center" vertical="top" wrapText="1"/>
    </xf>
    <xf numFmtId="0" fontId="48" fillId="0" borderId="0" xfId="0" applyFont="1" applyAlignment="1">
      <alignment vertical="top" wrapText="1"/>
    </xf>
    <xf numFmtId="0" fontId="44" fillId="0" borderId="0" xfId="2" applyFont="1" applyAlignment="1">
      <alignment horizontal="center" vertical="top" wrapText="1"/>
    </xf>
    <xf numFmtId="0" fontId="28" fillId="0" borderId="0" xfId="2" applyFont="1" applyAlignment="1">
      <alignment horizontal="left"/>
    </xf>
    <xf numFmtId="0" fontId="28" fillId="0" borderId="0" xfId="2" applyFont="1"/>
    <xf numFmtId="0" fontId="27" fillId="5" borderId="7" xfId="0" applyFont="1" applyFill="1" applyBorder="1" applyAlignment="1">
      <alignment horizontal="center" wrapText="1"/>
    </xf>
    <xf numFmtId="0" fontId="27" fillId="7" borderId="7" xfId="0" applyFont="1" applyFill="1" applyBorder="1" applyAlignment="1">
      <alignment horizontal="center" wrapText="1"/>
    </xf>
    <xf numFmtId="0" fontId="27" fillId="6" borderId="7" xfId="0" applyFont="1" applyFill="1" applyBorder="1" applyAlignment="1">
      <alignment horizontal="center" wrapText="1"/>
    </xf>
    <xf numFmtId="0" fontId="27" fillId="6" borderId="7" xfId="0" applyFont="1" applyFill="1" applyBorder="1" applyAlignment="1">
      <alignment horizontal="center"/>
    </xf>
    <xf numFmtId="0" fontId="57" fillId="0" borderId="0" xfId="0" applyFont="1" applyAlignment="1">
      <alignment horizontal="left" vertical="top" wrapText="1"/>
    </xf>
    <xf numFmtId="0" fontId="58" fillId="2" borderId="3" xfId="0" applyFont="1" applyFill="1" applyBorder="1" applyAlignment="1">
      <alignment horizontal="left" vertical="top" wrapText="1"/>
    </xf>
    <xf numFmtId="0" fontId="7" fillId="0" borderId="0" xfId="0" applyFont="1" applyAlignment="1">
      <alignment horizontal="center" wrapText="1"/>
    </xf>
    <xf numFmtId="0" fontId="12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wrapText="1"/>
    </xf>
    <xf numFmtId="0" fontId="11" fillId="0" borderId="0" xfId="0" applyFont="1" applyAlignment="1">
      <alignment horizontal="left" vertical="top" wrapText="1"/>
    </xf>
    <xf numFmtId="0" fontId="58" fillId="0" borderId="0" xfId="0" applyFont="1" applyAlignment="1">
      <alignment horizontal="left" wrapText="1"/>
    </xf>
    <xf numFmtId="0" fontId="7" fillId="0" borderId="0" xfId="0" applyFont="1" applyAlignment="1">
      <alignment horizontal="center" vertical="top" wrapText="1"/>
    </xf>
    <xf numFmtId="0" fontId="12" fillId="0" borderId="0" xfId="0" applyFont="1" applyAlignment="1">
      <alignment horizontal="center" wrapText="1"/>
    </xf>
    <xf numFmtId="0" fontId="14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43" fillId="0" borderId="0" xfId="0" applyFont="1" applyAlignment="1">
      <alignment vertical="top" wrapText="1"/>
    </xf>
    <xf numFmtId="0" fontId="10" fillId="0" borderId="0" xfId="0" applyFont="1" applyAlignment="1">
      <alignment wrapText="1"/>
    </xf>
    <xf numFmtId="0" fontId="18" fillId="0" borderId="0" xfId="0" applyFont="1" applyAlignment="1">
      <alignment vertical="center" wrapText="1"/>
    </xf>
    <xf numFmtId="49" fontId="13" fillId="0" borderId="1" xfId="2" applyNumberFormat="1" applyFont="1" applyBorder="1" applyAlignment="1">
      <alignment vertical="top" wrapText="1"/>
    </xf>
    <xf numFmtId="0" fontId="18" fillId="2" borderId="7" xfId="0" applyFont="1" applyFill="1" applyBorder="1" applyAlignment="1">
      <alignment horizontal="center" vertical="center" wrapText="1"/>
    </xf>
    <xf numFmtId="0" fontId="62" fillId="0" borderId="25" xfId="1" applyFont="1" applyBorder="1" applyAlignment="1">
      <alignment vertical="center"/>
    </xf>
    <xf numFmtId="0" fontId="62" fillId="0" borderId="25" xfId="1" applyFont="1" applyBorder="1" applyAlignment="1">
      <alignment horizontal="center" vertical="center"/>
    </xf>
    <xf numFmtId="0" fontId="62" fillId="0" borderId="25" xfId="1" applyFont="1" applyBorder="1"/>
    <xf numFmtId="0" fontId="6" fillId="9" borderId="7" xfId="1" applyFill="1" applyBorder="1" applyAlignment="1">
      <alignment vertical="center"/>
    </xf>
    <xf numFmtId="0" fontId="6" fillId="9" borderId="7" xfId="1" applyFill="1" applyBorder="1" applyAlignment="1">
      <alignment horizontal="center" vertical="center" wrapText="1"/>
    </xf>
    <xf numFmtId="0" fontId="6" fillId="9" borderId="20" xfId="1" applyFill="1" applyBorder="1" applyAlignment="1">
      <alignment horizontal="center" vertical="center" wrapText="1"/>
    </xf>
    <xf numFmtId="0" fontId="6" fillId="0" borderId="7" xfId="1" applyBorder="1" applyAlignment="1">
      <alignment vertical="center"/>
    </xf>
    <xf numFmtId="0" fontId="6" fillId="0" borderId="7" xfId="1" applyBorder="1" applyAlignment="1">
      <alignment horizontal="center" vertical="center" wrapText="1"/>
    </xf>
    <xf numFmtId="0" fontId="6" fillId="0" borderId="20" xfId="1" applyBorder="1" applyAlignment="1">
      <alignment horizontal="center" vertical="center" wrapText="1"/>
    </xf>
    <xf numFmtId="0" fontId="6" fillId="9" borderId="7" xfId="1" applyFill="1" applyBorder="1"/>
    <xf numFmtId="0" fontId="6" fillId="8" borderId="7" xfId="1" applyFill="1" applyBorder="1" applyAlignment="1">
      <alignment wrapText="1"/>
    </xf>
    <xf numFmtId="0" fontId="6" fillId="8" borderId="0" xfId="1" applyFill="1" applyAlignment="1">
      <alignment wrapText="1"/>
    </xf>
    <xf numFmtId="0" fontId="6" fillId="7" borderId="0" xfId="1" applyFill="1" applyAlignment="1">
      <alignment wrapText="1"/>
    </xf>
    <xf numFmtId="0" fontId="6" fillId="5" borderId="7" xfId="1" applyFill="1" applyBorder="1" applyAlignment="1">
      <alignment wrapText="1"/>
    </xf>
    <xf numFmtId="0" fontId="6" fillId="5" borderId="0" xfId="1" applyFill="1" applyAlignment="1">
      <alignment wrapText="1"/>
    </xf>
    <xf numFmtId="0" fontId="6" fillId="7" borderId="7" xfId="1" applyFill="1" applyBorder="1" applyAlignment="1">
      <alignment wrapText="1"/>
    </xf>
    <xf numFmtId="0" fontId="6" fillId="6" borderId="0" xfId="1" applyFill="1" applyAlignment="1">
      <alignment wrapText="1"/>
    </xf>
    <xf numFmtId="0" fontId="6" fillId="7" borderId="7" xfId="1" applyFill="1" applyBorder="1"/>
    <xf numFmtId="0" fontId="5" fillId="8" borderId="7" xfId="1" applyFont="1" applyFill="1" applyBorder="1" applyAlignment="1">
      <alignment horizontal="center"/>
    </xf>
    <xf numFmtId="0" fontId="4" fillId="8" borderId="7" xfId="1" applyFont="1" applyFill="1" applyBorder="1" applyAlignment="1">
      <alignment horizontal="center"/>
    </xf>
    <xf numFmtId="0" fontId="18" fillId="0" borderId="7" xfId="0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fillId="0" borderId="7" xfId="0" applyFont="1" applyBorder="1" applyAlignment="1">
      <alignment horizontal="center" vertical="center" wrapText="1"/>
    </xf>
    <xf numFmtId="0" fontId="18" fillId="11" borderId="15" xfId="0" applyFont="1" applyFill="1" applyBorder="1" applyAlignment="1">
      <alignment horizontal="center" vertical="center" wrapText="1"/>
    </xf>
    <xf numFmtId="0" fontId="18" fillId="11" borderId="0" xfId="0" applyFont="1" applyFill="1"/>
    <xf numFmtId="0" fontId="18" fillId="11" borderId="8" xfId="0" applyFont="1" applyFill="1" applyBorder="1" applyAlignment="1">
      <alignment horizontal="center" vertical="center" wrapText="1"/>
    </xf>
    <xf numFmtId="0" fontId="18" fillId="11" borderId="7" xfId="0" applyFont="1" applyFill="1" applyBorder="1" applyAlignment="1">
      <alignment horizontal="right" vertical="center" wrapText="1"/>
    </xf>
    <xf numFmtId="0" fontId="18" fillId="11" borderId="7" xfId="0" applyFont="1" applyFill="1" applyBorder="1" applyAlignment="1">
      <alignment horizontal="center" vertical="center" wrapText="1"/>
    </xf>
    <xf numFmtId="0" fontId="18" fillId="11" borderId="9" xfId="0" applyFont="1" applyFill="1" applyBorder="1" applyAlignment="1">
      <alignment horizontal="center" vertical="center" wrapText="1"/>
    </xf>
    <xf numFmtId="0" fontId="27" fillId="7" borderId="7" xfId="8" applyFont="1" applyFill="1" applyBorder="1" applyAlignment="1">
      <alignment horizontal="center" wrapText="1"/>
    </xf>
    <xf numFmtId="0" fontId="26" fillId="3" borderId="7" xfId="8" applyFont="1" applyFill="1" applyBorder="1" applyAlignment="1">
      <alignment horizontal="center"/>
    </xf>
    <xf numFmtId="0" fontId="27" fillId="3" borderId="7" xfId="8" applyFont="1" applyFill="1" applyBorder="1" applyAlignment="1">
      <alignment horizontal="center" vertical="center" wrapText="1"/>
    </xf>
    <xf numFmtId="0" fontId="27" fillId="3" borderId="7" xfId="8" applyFont="1" applyFill="1" applyBorder="1" applyAlignment="1">
      <alignment horizontal="center" wrapText="1"/>
    </xf>
    <xf numFmtId="49" fontId="27" fillId="3" borderId="7" xfId="8" applyNumberFormat="1" applyFont="1" applyFill="1" applyBorder="1" applyAlignment="1">
      <alignment horizontal="center" wrapText="1"/>
    </xf>
    <xf numFmtId="0" fontId="18" fillId="0" borderId="0" xfId="0" applyFont="1"/>
    <xf numFmtId="0" fontId="18" fillId="0" borderId="7" xfId="0" applyFont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34" fillId="0" borderId="7" xfId="0" applyFont="1" applyBorder="1" applyAlignment="1">
      <alignment horizontal="center" vertical="center" wrapText="1"/>
    </xf>
    <xf numFmtId="0" fontId="27" fillId="12" borderId="7" xfId="0" applyFont="1" applyFill="1" applyBorder="1" applyAlignment="1">
      <alignment horizontal="center" wrapText="1"/>
    </xf>
    <xf numFmtId="0" fontId="27" fillId="0" borderId="7" xfId="0" applyFont="1" applyBorder="1" applyAlignment="1">
      <alignment horizontal="center" wrapText="1"/>
    </xf>
    <xf numFmtId="0" fontId="42" fillId="10" borderId="0" xfId="2" applyFont="1" applyFill="1" applyAlignment="1">
      <alignment vertical="top" wrapText="1"/>
    </xf>
    <xf numFmtId="49" fontId="42" fillId="10" borderId="0" xfId="2" applyNumberFormat="1" applyFont="1" applyFill="1" applyAlignment="1">
      <alignment vertical="top" wrapText="1"/>
    </xf>
    <xf numFmtId="0" fontId="47" fillId="0" borderId="0" xfId="0" applyFont="1" applyAlignment="1">
      <alignment vertical="top" wrapText="1"/>
    </xf>
    <xf numFmtId="0" fontId="18" fillId="11" borderId="10" xfId="0" applyFont="1" applyFill="1" applyBorder="1" applyAlignment="1">
      <alignment horizontal="center" vertical="center" wrapText="1"/>
    </xf>
    <xf numFmtId="0" fontId="18" fillId="11" borderId="11" xfId="0" applyFont="1" applyFill="1" applyBorder="1" applyAlignment="1">
      <alignment horizontal="right" vertical="center" wrapText="1"/>
    </xf>
    <xf numFmtId="0" fontId="18" fillId="11" borderId="11" xfId="0" applyFont="1" applyFill="1" applyBorder="1" applyAlignment="1">
      <alignment horizontal="center" vertical="center" wrapText="1"/>
    </xf>
    <xf numFmtId="0" fontId="18" fillId="11" borderId="12" xfId="0" applyFont="1" applyFill="1" applyBorder="1" applyAlignment="1">
      <alignment horizontal="center" vertical="center" wrapText="1"/>
    </xf>
    <xf numFmtId="0" fontId="18" fillId="0" borderId="0" xfId="0" applyFont="1" applyFill="1"/>
    <xf numFmtId="0" fontId="52" fillId="2" borderId="7" xfId="0" applyFont="1" applyFill="1" applyBorder="1" applyAlignment="1">
      <alignment horizontal="center" vertical="center" wrapText="1"/>
    </xf>
    <xf numFmtId="14" fontId="18" fillId="2" borderId="7" xfId="0" applyNumberFormat="1" applyFont="1" applyFill="1" applyBorder="1" applyAlignment="1">
      <alignment horizontal="center" vertical="center" wrapText="1"/>
    </xf>
    <xf numFmtId="0" fontId="18" fillId="11" borderId="7" xfId="0" applyFont="1" applyFill="1" applyBorder="1" applyAlignment="1">
      <alignment horizontal="center" vertical="top" wrapText="1"/>
    </xf>
    <xf numFmtId="0" fontId="18" fillId="0" borderId="7" xfId="0" applyFont="1" applyFill="1" applyBorder="1" applyAlignment="1">
      <alignment horizontal="center" vertical="center" wrapText="1"/>
    </xf>
    <xf numFmtId="0" fontId="18" fillId="11" borderId="27" xfId="0" applyFont="1" applyFill="1" applyBorder="1" applyAlignment="1">
      <alignment horizontal="left" vertical="center" wrapText="1"/>
    </xf>
    <xf numFmtId="0" fontId="18" fillId="11" borderId="27" xfId="0" applyFont="1" applyFill="1" applyBorder="1" applyAlignment="1">
      <alignment horizontal="center" vertical="center" wrapText="1"/>
    </xf>
    <xf numFmtId="0" fontId="34" fillId="11" borderId="18" xfId="0" applyFont="1" applyFill="1" applyBorder="1" applyAlignment="1">
      <alignment horizontal="left" vertical="center" wrapText="1"/>
    </xf>
    <xf numFmtId="0" fontId="18" fillId="11" borderId="18" xfId="0" applyFont="1" applyFill="1" applyBorder="1" applyAlignment="1">
      <alignment horizontal="center" vertical="center" wrapText="1"/>
    </xf>
    <xf numFmtId="0" fontId="34" fillId="11" borderId="18" xfId="0" applyFont="1" applyFill="1" applyBorder="1" applyAlignment="1">
      <alignment horizontal="center" vertical="center" wrapText="1"/>
    </xf>
    <xf numFmtId="0" fontId="34" fillId="11" borderId="7" xfId="0" applyFont="1" applyFill="1" applyBorder="1" applyAlignment="1">
      <alignment horizontal="center" vertical="center" wrapText="1"/>
    </xf>
    <xf numFmtId="0" fontId="18" fillId="0" borderId="7" xfId="0" applyNumberFormat="1" applyFont="1" applyBorder="1" applyAlignment="1">
      <alignment horizontal="center" vertical="center" wrapText="1"/>
    </xf>
    <xf numFmtId="49" fontId="18" fillId="0" borderId="0" xfId="0" applyNumberFormat="1" applyFont="1" applyFill="1" applyAlignment="1">
      <alignment horizontal="right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38" fillId="0" borderId="0" xfId="2" applyFont="1"/>
    <xf numFmtId="0" fontId="0" fillId="0" borderId="0" xfId="0"/>
    <xf numFmtId="0" fontId="18" fillId="11" borderId="7" xfId="0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10" applyFont="1"/>
    <xf numFmtId="0" fontId="18" fillId="0" borderId="0" xfId="10" applyFont="1" applyAlignment="1">
      <alignment horizontal="center" vertical="center" wrapText="1"/>
    </xf>
    <xf numFmtId="0" fontId="1" fillId="0" borderId="0" xfId="10"/>
    <xf numFmtId="0" fontId="17" fillId="0" borderId="0" xfId="10" applyFont="1" applyAlignment="1">
      <alignment horizontal="center" wrapText="1"/>
    </xf>
    <xf numFmtId="0" fontId="20" fillId="0" borderId="0" xfId="10" applyFont="1" applyAlignment="1">
      <alignment horizontal="left" vertical="top" wrapText="1"/>
    </xf>
    <xf numFmtId="0" fontId="28" fillId="0" borderId="0" xfId="10" applyFont="1"/>
    <xf numFmtId="0" fontId="1" fillId="0" borderId="7" xfId="10" applyBorder="1" applyAlignment="1">
      <alignment horizontal="center" vertical="center"/>
    </xf>
    <xf numFmtId="0" fontId="1" fillId="11" borderId="7" xfId="10" applyFill="1" applyBorder="1" applyAlignment="1">
      <alignment horizontal="center" vertical="center"/>
    </xf>
    <xf numFmtId="0" fontId="1" fillId="0" borderId="7" xfId="10" applyBorder="1"/>
    <xf numFmtId="0" fontId="1" fillId="0" borderId="7" xfId="10" applyBorder="1" applyAlignment="1">
      <alignment horizontal="center" vertical="center" wrapText="1"/>
    </xf>
    <xf numFmtId="0" fontId="1" fillId="0" borderId="0" xfId="10" applyAlignment="1">
      <alignment wrapText="1"/>
    </xf>
    <xf numFmtId="49" fontId="1" fillId="0" borderId="7" xfId="10" applyNumberFormat="1" applyBorder="1" applyAlignment="1">
      <alignment horizontal="center" vertical="center"/>
    </xf>
    <xf numFmtId="0" fontId="68" fillId="0" borderId="0" xfId="10" applyFont="1" applyAlignment="1">
      <alignment vertical="center"/>
    </xf>
    <xf numFmtId="0" fontId="69" fillId="0" borderId="0" xfId="10" applyFont="1" applyAlignment="1">
      <alignment horizontal="left" vertical="center"/>
    </xf>
    <xf numFmtId="0" fontId="26" fillId="0" borderId="0" xfId="10" applyFont="1"/>
    <xf numFmtId="0" fontId="18" fillId="0" borderId="0" xfId="10" applyFont="1" applyAlignment="1">
      <alignment horizontal="left" vertical="top" wrapText="1"/>
    </xf>
    <xf numFmtId="0" fontId="18" fillId="2" borderId="3" xfId="10" applyFont="1" applyFill="1" applyBorder="1" applyAlignment="1">
      <alignment horizontal="left" vertical="top" wrapText="1"/>
    </xf>
    <xf numFmtId="0" fontId="18" fillId="2" borderId="7" xfId="10" applyFont="1" applyFill="1" applyBorder="1" applyAlignment="1">
      <alignment horizontal="center" vertical="center" wrapText="1"/>
    </xf>
    <xf numFmtId="14" fontId="18" fillId="2" borderId="7" xfId="10" applyNumberFormat="1" applyFont="1" applyFill="1" applyBorder="1" applyAlignment="1">
      <alignment horizontal="center" vertical="center" wrapText="1"/>
    </xf>
    <xf numFmtId="0" fontId="18" fillId="0" borderId="1" xfId="10" applyFont="1" applyBorder="1"/>
    <xf numFmtId="0" fontId="18" fillId="0" borderId="0" xfId="10" applyFont="1" applyAlignment="1">
      <alignment vertical="top" wrapText="1"/>
    </xf>
    <xf numFmtId="0" fontId="24" fillId="0" borderId="0" xfId="10" applyFont="1"/>
    <xf numFmtId="0" fontId="24" fillId="0" borderId="0" xfId="10" applyFont="1" applyAlignment="1">
      <alignment horizontal="center" vertical="top"/>
    </xf>
    <xf numFmtId="0" fontId="18" fillId="2" borderId="7" xfId="0" applyFont="1" applyFill="1" applyBorder="1" applyAlignment="1">
      <alignment horizontal="center" vertical="center" wrapText="1"/>
    </xf>
    <xf numFmtId="0" fontId="62" fillId="0" borderId="25" xfId="1" applyFont="1" applyBorder="1" applyAlignment="1">
      <alignment horizontal="center"/>
    </xf>
    <xf numFmtId="0" fontId="6" fillId="9" borderId="20" xfId="1" applyFill="1" applyBorder="1" applyAlignment="1">
      <alignment horizontal="center" vertical="center" wrapText="1"/>
    </xf>
    <xf numFmtId="0" fontId="6" fillId="9" borderId="21" xfId="1" applyFill="1" applyBorder="1" applyAlignment="1">
      <alignment horizontal="center" vertical="center" wrapText="1"/>
    </xf>
    <xf numFmtId="0" fontId="6" fillId="0" borderId="20" xfId="1" applyBorder="1" applyAlignment="1">
      <alignment horizontal="center" vertical="center" wrapText="1"/>
    </xf>
    <xf numFmtId="0" fontId="6" fillId="0" borderId="21" xfId="1" applyBorder="1" applyAlignment="1">
      <alignment horizontal="center" vertical="center" wrapText="1"/>
    </xf>
    <xf numFmtId="0" fontId="29" fillId="0" borderId="2" xfId="1" applyFont="1" applyBorder="1" applyAlignment="1">
      <alignment horizontal="center"/>
    </xf>
    <xf numFmtId="0" fontId="29" fillId="0" borderId="0" xfId="1" applyFont="1" applyAlignment="1">
      <alignment horizontal="center"/>
    </xf>
    <xf numFmtId="0" fontId="25" fillId="0" borderId="20" xfId="1" applyFont="1" applyBorder="1" applyAlignment="1">
      <alignment horizontal="center" wrapText="1"/>
    </xf>
    <xf numFmtId="0" fontId="25" fillId="0" borderId="3" xfId="1" applyFont="1" applyBorder="1" applyAlignment="1">
      <alignment horizontal="center" wrapText="1"/>
    </xf>
    <xf numFmtId="0" fontId="25" fillId="0" borderId="20" xfId="1" applyFont="1" applyBorder="1" applyAlignment="1">
      <alignment horizontal="center"/>
    </xf>
    <xf numFmtId="0" fontId="25" fillId="0" borderId="3" xfId="1" applyFont="1" applyBorder="1" applyAlignment="1">
      <alignment horizontal="center"/>
    </xf>
    <xf numFmtId="0" fontId="25" fillId="0" borderId="23" xfId="1" applyFont="1" applyBorder="1" applyAlignment="1">
      <alignment horizontal="center" wrapText="1"/>
    </xf>
    <xf numFmtId="0" fontId="18" fillId="2" borderId="7" xfId="0" applyFont="1" applyFill="1" applyBorder="1" applyAlignment="1">
      <alignment horizontal="left" vertical="center" wrapText="1"/>
    </xf>
    <xf numFmtId="0" fontId="18" fillId="14" borderId="7" xfId="0" applyFont="1" applyFill="1" applyBorder="1" applyAlignment="1">
      <alignment horizontal="center" vertical="center" wrapText="1"/>
    </xf>
    <xf numFmtId="0" fontId="18" fillId="13" borderId="7" xfId="0" applyFont="1" applyFill="1" applyBorder="1" applyAlignment="1">
      <alignment horizontal="center" vertical="center" wrapText="1"/>
    </xf>
    <xf numFmtId="0" fontId="18" fillId="14" borderId="7" xfId="0" applyFont="1" applyFill="1" applyBorder="1" applyAlignment="1">
      <alignment horizontal="center" vertical="top" wrapText="1"/>
    </xf>
    <xf numFmtId="0" fontId="18" fillId="0" borderId="7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top" wrapText="1"/>
    </xf>
    <xf numFmtId="0" fontId="34" fillId="0" borderId="0" xfId="2" applyFont="1" applyAlignment="1">
      <alignment horizontal="left" vertical="top" wrapText="1"/>
    </xf>
    <xf numFmtId="0" fontId="7" fillId="0" borderId="0" xfId="2" applyAlignment="1">
      <alignment horizontal="center" vertical="top" wrapText="1"/>
    </xf>
    <xf numFmtId="0" fontId="38" fillId="0" borderId="0" xfId="2" applyFont="1" applyAlignment="1">
      <alignment horizontal="center" vertical="center" wrapText="1"/>
    </xf>
    <xf numFmtId="0" fontId="54" fillId="0" borderId="0" xfId="2" applyFont="1" applyAlignment="1">
      <alignment horizontal="center" vertical="center"/>
    </xf>
    <xf numFmtId="0" fontId="38" fillId="0" borderId="0" xfId="2" applyFont="1" applyAlignment="1">
      <alignment horizontal="left" vertical="top" wrapText="1"/>
    </xf>
    <xf numFmtId="0" fontId="54" fillId="0" borderId="0" xfId="2" applyFont="1" applyAlignment="1">
      <alignment horizontal="center" vertical="center" wrapText="1"/>
    </xf>
    <xf numFmtId="165" fontId="7" fillId="0" borderId="0" xfId="2" applyNumberFormat="1" applyAlignment="1">
      <alignment horizontal="right" vertical="top" wrapText="1"/>
    </xf>
    <xf numFmtId="0" fontId="42" fillId="10" borderId="0" xfId="2" applyFont="1" applyFill="1" applyAlignment="1">
      <alignment horizontal="right" vertical="top" wrapText="1"/>
    </xf>
    <xf numFmtId="49" fontId="42" fillId="10" borderId="0" xfId="2" applyNumberFormat="1" applyFont="1" applyFill="1" applyAlignment="1">
      <alignment horizontal="left" vertical="top" wrapText="1"/>
    </xf>
    <xf numFmtId="0" fontId="7" fillId="0" borderId="0" xfId="2" applyAlignment="1">
      <alignment horizontal="left" vertical="top" wrapText="1"/>
    </xf>
    <xf numFmtId="0" fontId="53" fillId="0" borderId="0" xfId="2" applyFont="1" applyAlignment="1">
      <alignment horizontal="center" vertical="top" wrapText="1"/>
    </xf>
    <xf numFmtId="0" fontId="44" fillId="0" borderId="1" xfId="2" applyFont="1" applyBorder="1" applyAlignment="1">
      <alignment horizontal="center" wrapText="1"/>
    </xf>
    <xf numFmtId="0" fontId="34" fillId="0" borderId="0" xfId="2" applyFont="1" applyAlignment="1">
      <alignment horizontal="center" vertical="top" wrapText="1"/>
    </xf>
    <xf numFmtId="0" fontId="55" fillId="0" borderId="0" xfId="2" applyFont="1" applyAlignment="1">
      <alignment horizontal="left" vertical="top" wrapText="1"/>
    </xf>
    <xf numFmtId="0" fontId="28" fillId="0" borderId="0" xfId="2" applyFont="1" applyAlignment="1">
      <alignment horizontal="left" vertical="top" wrapText="1"/>
    </xf>
    <xf numFmtId="0" fontId="45" fillId="0" borderId="0" xfId="2" applyFont="1" applyAlignment="1">
      <alignment horizontal="center" vertical="top" wrapText="1"/>
    </xf>
    <xf numFmtId="0" fontId="19" fillId="0" borderId="0" xfId="0" applyFont="1" applyAlignment="1">
      <alignment horizontal="left" vertical="top" wrapText="1"/>
    </xf>
    <xf numFmtId="0" fontId="18" fillId="0" borderId="1" xfId="0" applyFont="1" applyBorder="1" applyAlignment="1">
      <alignment horizontal="center" vertical="top" wrapText="1"/>
    </xf>
    <xf numFmtId="0" fontId="19" fillId="0" borderId="0" xfId="0" applyFont="1" applyAlignment="1">
      <alignment horizontal="center" vertical="top" wrapText="1"/>
    </xf>
    <xf numFmtId="0" fontId="18" fillId="0" borderId="0" xfId="0" applyFont="1"/>
    <xf numFmtId="0" fontId="18" fillId="0" borderId="7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top" wrapText="1"/>
    </xf>
    <xf numFmtId="0" fontId="18" fillId="11" borderId="7" xfId="0" applyFont="1" applyFill="1" applyBorder="1" applyAlignment="1">
      <alignment horizontal="center" vertical="center"/>
    </xf>
    <xf numFmtId="0" fontId="18" fillId="11" borderId="20" xfId="0" applyFont="1" applyFill="1" applyBorder="1" applyAlignment="1">
      <alignment horizontal="center" vertical="center"/>
    </xf>
    <xf numFmtId="0" fontId="18" fillId="11" borderId="21" xfId="0" applyFont="1" applyFill="1" applyBorder="1" applyAlignment="1">
      <alignment horizontal="center" vertical="center"/>
    </xf>
    <xf numFmtId="0" fontId="18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0" fontId="18" fillId="0" borderId="1" xfId="0" applyFont="1" applyBorder="1" applyAlignment="1">
      <alignment horizontal="center"/>
    </xf>
    <xf numFmtId="0" fontId="24" fillId="0" borderId="2" xfId="0" applyFont="1" applyBorder="1" applyAlignment="1">
      <alignment horizontal="center" vertical="top"/>
    </xf>
    <xf numFmtId="0" fontId="18" fillId="0" borderId="0" xfId="0" applyFont="1" applyAlignment="1">
      <alignment horizontal="center" vertical="top" wrapText="1"/>
    </xf>
    <xf numFmtId="0" fontId="20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 vertical="center" wrapText="1"/>
    </xf>
    <xf numFmtId="0" fontId="18" fillId="2" borderId="0" xfId="0" applyFont="1" applyFill="1" applyAlignment="1">
      <alignment horizontal="left" vertical="top" wrapText="1"/>
    </xf>
    <xf numFmtId="0" fontId="18" fillId="2" borderId="0" xfId="0" applyFont="1" applyFill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wrapText="1"/>
    </xf>
    <xf numFmtId="0" fontId="23" fillId="0" borderId="0" xfId="0" applyFont="1" applyAlignment="1">
      <alignment horizontal="center" vertical="top" wrapText="1"/>
    </xf>
    <xf numFmtId="0" fontId="19" fillId="0" borderId="0" xfId="0" applyFont="1" applyAlignment="1">
      <alignment horizontal="center" vertical="center" wrapText="1"/>
    </xf>
    <xf numFmtId="0" fontId="22" fillId="0" borderId="0" xfId="0" applyFont="1" applyAlignment="1">
      <alignment horizontal="left" vertical="top" wrapText="1"/>
    </xf>
    <xf numFmtId="0" fontId="18" fillId="0" borderId="1" xfId="0" applyFont="1" applyBorder="1" applyAlignment="1">
      <alignment horizontal="center" wrapText="1"/>
    </xf>
    <xf numFmtId="0" fontId="18" fillId="0" borderId="3" xfId="0" applyFont="1" applyBorder="1" applyAlignment="1">
      <alignment horizontal="center" wrapText="1"/>
    </xf>
    <xf numFmtId="0" fontId="18" fillId="0" borderId="3" xfId="0" applyFont="1" applyBorder="1" applyAlignment="1">
      <alignment horizontal="center" vertical="center" wrapText="1"/>
    </xf>
    <xf numFmtId="0" fontId="17" fillId="0" borderId="0" xfId="0" applyFont="1" applyAlignment="1">
      <alignment horizontal="center" wrapText="1"/>
    </xf>
    <xf numFmtId="165" fontId="18" fillId="0" borderId="1" xfId="0" applyNumberFormat="1" applyFont="1" applyBorder="1" applyAlignment="1">
      <alignment horizontal="center" vertical="top" wrapText="1"/>
    </xf>
    <xf numFmtId="0" fontId="18" fillId="0" borderId="2" xfId="0" applyFont="1" applyBorder="1" applyAlignment="1">
      <alignment horizontal="center" vertical="top" wrapText="1"/>
    </xf>
    <xf numFmtId="0" fontId="18" fillId="0" borderId="7" xfId="0" applyFont="1" applyFill="1" applyBorder="1" applyAlignment="1">
      <alignment horizontal="center" vertical="top" wrapText="1"/>
    </xf>
    <xf numFmtId="0" fontId="18" fillId="0" borderId="7" xfId="0" applyFont="1" applyBorder="1" applyAlignment="1">
      <alignment horizontal="center" vertical="top" wrapText="1"/>
    </xf>
    <xf numFmtId="0" fontId="18" fillId="11" borderId="7" xfId="0" applyFont="1" applyFill="1" applyBorder="1" applyAlignment="1">
      <alignment horizontal="left" vertical="center" wrapText="1"/>
    </xf>
    <xf numFmtId="0" fontId="18" fillId="11" borderId="20" xfId="0" applyFont="1" applyFill="1" applyBorder="1" applyAlignment="1">
      <alignment horizontal="left" vertical="center" wrapText="1"/>
    </xf>
    <xf numFmtId="0" fontId="18" fillId="11" borderId="3" xfId="0" applyFont="1" applyFill="1" applyBorder="1" applyAlignment="1">
      <alignment horizontal="left" vertical="center" wrapText="1"/>
    </xf>
    <xf numFmtId="0" fontId="18" fillId="11" borderId="21" xfId="0" applyFont="1" applyFill="1" applyBorder="1" applyAlignment="1">
      <alignment horizontal="left" vertical="center" wrapText="1"/>
    </xf>
    <xf numFmtId="0" fontId="18" fillId="11" borderId="20" xfId="0" applyFont="1" applyFill="1" applyBorder="1" applyAlignment="1">
      <alignment horizontal="center" vertical="center" wrapText="1"/>
    </xf>
    <xf numFmtId="0" fontId="18" fillId="11" borderId="3" xfId="0" applyFont="1" applyFill="1" applyBorder="1" applyAlignment="1">
      <alignment horizontal="center" vertical="center" wrapText="1"/>
    </xf>
    <xf numFmtId="0" fontId="18" fillId="11" borderId="21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left" vertical="top" wrapText="1"/>
    </xf>
    <xf numFmtId="0" fontId="36" fillId="0" borderId="0" xfId="0" applyFont="1" applyAlignment="1">
      <alignment horizontal="center" vertical="top" wrapText="1"/>
    </xf>
    <xf numFmtId="0" fontId="28" fillId="0" borderId="0" xfId="0" applyFont="1"/>
    <xf numFmtId="0" fontId="19" fillId="11" borderId="16" xfId="0" applyFont="1" applyFill="1" applyBorder="1" applyAlignment="1">
      <alignment horizontal="left" vertical="center" wrapText="1"/>
    </xf>
    <xf numFmtId="0" fontId="38" fillId="0" borderId="0" xfId="0" applyFont="1" applyAlignment="1">
      <alignment horizontal="center" vertical="top" wrapText="1"/>
    </xf>
    <xf numFmtId="14" fontId="18" fillId="0" borderId="1" xfId="0" applyNumberFormat="1" applyFont="1" applyBorder="1" applyAlignment="1">
      <alignment horizontal="center" wrapText="1"/>
    </xf>
    <xf numFmtId="0" fontId="8" fillId="0" borderId="0" xfId="0" applyFont="1" applyAlignment="1">
      <alignment horizontal="center" vertical="top" wrapText="1"/>
    </xf>
    <xf numFmtId="0" fontId="37" fillId="0" borderId="0" xfId="0" applyFont="1"/>
    <xf numFmtId="0" fontId="18" fillId="11" borderId="7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left"/>
    </xf>
    <xf numFmtId="0" fontId="19" fillId="0" borderId="7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8" fillId="2" borderId="20" xfId="0" applyFont="1" applyFill="1" applyBorder="1" applyAlignment="1">
      <alignment horizontal="left" vertical="center" wrapText="1"/>
    </xf>
    <xf numFmtId="0" fontId="18" fillId="2" borderId="3" xfId="0" applyFont="1" applyFill="1" applyBorder="1" applyAlignment="1">
      <alignment horizontal="left" vertical="center" wrapText="1"/>
    </xf>
    <xf numFmtId="0" fontId="18" fillId="2" borderId="21" xfId="0" applyFont="1" applyFill="1" applyBorder="1" applyAlignment="1">
      <alignment horizontal="left" vertical="center" wrapText="1"/>
    </xf>
    <xf numFmtId="0" fontId="18" fillId="0" borderId="20" xfId="0" applyFont="1" applyFill="1" applyBorder="1" applyAlignment="1">
      <alignment horizontal="center" vertical="top" wrapText="1"/>
    </xf>
    <xf numFmtId="0" fontId="18" fillId="0" borderId="21" xfId="0" applyFont="1" applyFill="1" applyBorder="1" applyAlignment="1">
      <alignment horizontal="center" vertical="top" wrapText="1"/>
    </xf>
    <xf numFmtId="0" fontId="18" fillId="0" borderId="20" xfId="0" applyFont="1" applyFill="1" applyBorder="1" applyAlignment="1">
      <alignment horizontal="center" vertical="center" wrapText="1"/>
    </xf>
    <xf numFmtId="0" fontId="18" fillId="0" borderId="21" xfId="0" applyFont="1" applyFill="1" applyBorder="1" applyAlignment="1">
      <alignment horizontal="center" vertical="center" wrapText="1"/>
    </xf>
    <xf numFmtId="0" fontId="18" fillId="2" borderId="28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29" xfId="0" applyFont="1" applyFill="1" applyBorder="1" applyAlignment="1">
      <alignment horizontal="center" vertical="center" wrapText="1"/>
    </xf>
    <xf numFmtId="0" fontId="18" fillId="2" borderId="22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30" xfId="0" applyFont="1" applyFill="1" applyBorder="1" applyAlignment="1">
      <alignment horizontal="center" vertical="center" wrapText="1"/>
    </xf>
    <xf numFmtId="0" fontId="18" fillId="2" borderId="20" xfId="0" applyFont="1" applyFill="1" applyBorder="1" applyAlignment="1">
      <alignment horizontal="center" vertical="center" wrapText="1"/>
    </xf>
    <xf numFmtId="0" fontId="18" fillId="2" borderId="21" xfId="0" applyFont="1" applyFill="1" applyBorder="1" applyAlignment="1">
      <alignment horizontal="center" vertical="center" wrapText="1"/>
    </xf>
    <xf numFmtId="0" fontId="18" fillId="2" borderId="13" xfId="0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18" fillId="0" borderId="28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30" xfId="0" applyFont="1" applyBorder="1" applyAlignment="1">
      <alignment horizontal="center" vertical="center" wrapText="1"/>
    </xf>
    <xf numFmtId="0" fontId="38" fillId="0" borderId="0" xfId="0" applyFont="1" applyAlignment="1">
      <alignment horizontal="center" wrapText="1"/>
    </xf>
    <xf numFmtId="0" fontId="18" fillId="0" borderId="13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33" fillId="0" borderId="0" xfId="0" applyFont="1"/>
    <xf numFmtId="0" fontId="18" fillId="0" borderId="4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34" fillId="0" borderId="5" xfId="0" applyFont="1" applyBorder="1" applyAlignment="1">
      <alignment horizontal="center" vertical="center" wrapText="1"/>
    </xf>
    <xf numFmtId="0" fontId="34" fillId="0" borderId="6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0" fillId="0" borderId="0" xfId="0"/>
    <xf numFmtId="0" fontId="34" fillId="0" borderId="7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7" fillId="2" borderId="3" xfId="0" applyFont="1" applyFill="1" applyBorder="1" applyAlignment="1">
      <alignment horizontal="left" vertical="top" wrapText="1"/>
    </xf>
    <xf numFmtId="0" fontId="34" fillId="11" borderId="7" xfId="0" applyFont="1" applyFill="1" applyBorder="1" applyAlignment="1">
      <alignment horizontal="center" vertical="center" wrapText="1"/>
    </xf>
    <xf numFmtId="0" fontId="18" fillId="0" borderId="20" xfId="0" applyFont="1" applyBorder="1" applyAlignment="1">
      <alignment horizontal="center"/>
    </xf>
    <xf numFmtId="0" fontId="18" fillId="0" borderId="21" xfId="0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0" fontId="34" fillId="11" borderId="7" xfId="0" applyFont="1" applyFill="1" applyBorder="1" applyAlignment="1">
      <alignment horizontal="left" vertical="center" wrapText="1"/>
    </xf>
    <xf numFmtId="0" fontId="34" fillId="0" borderId="7" xfId="0" applyFont="1" applyBorder="1" applyAlignment="1">
      <alignment horizontal="center" vertical="center"/>
    </xf>
    <xf numFmtId="0" fontId="32" fillId="0" borderId="0" xfId="0" applyFont="1" applyAlignment="1">
      <alignment horizontal="left" vertical="top" wrapText="1"/>
    </xf>
    <xf numFmtId="0" fontId="32" fillId="0" borderId="0" xfId="0" applyFont="1" applyAlignment="1">
      <alignment horizontal="left" vertical="top"/>
    </xf>
    <xf numFmtId="0" fontId="33" fillId="0" borderId="0" xfId="0" applyFont="1" applyAlignment="1">
      <alignment horizontal="left"/>
    </xf>
    <xf numFmtId="0" fontId="18" fillId="0" borderId="20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top" wrapText="1"/>
    </xf>
    <xf numFmtId="0" fontId="43" fillId="0" borderId="0" xfId="0" applyFont="1" applyAlignment="1">
      <alignment horizontal="center" vertical="top" wrapText="1"/>
    </xf>
    <xf numFmtId="0" fontId="60" fillId="0" borderId="0" xfId="0" applyFont="1" applyAlignment="1">
      <alignment horizontal="left" vertical="top" wrapText="1"/>
    </xf>
    <xf numFmtId="0" fontId="59" fillId="0" borderId="0" xfId="0" applyFont="1"/>
    <xf numFmtId="0" fontId="58" fillId="0" borderId="0" xfId="0" applyFont="1" applyAlignment="1">
      <alignment horizontal="center" vertical="top" wrapText="1"/>
    </xf>
    <xf numFmtId="0" fontId="58" fillId="2" borderId="3" xfId="0" applyFont="1" applyFill="1" applyBorder="1" applyAlignment="1">
      <alignment horizontal="left" vertical="top" wrapText="1"/>
    </xf>
    <xf numFmtId="0" fontId="18" fillId="0" borderId="24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11" borderId="28" xfId="0" applyFont="1" applyFill="1" applyBorder="1" applyAlignment="1">
      <alignment horizontal="center" vertical="center" wrapText="1"/>
    </xf>
    <xf numFmtId="0" fontId="18" fillId="11" borderId="29" xfId="0" applyFont="1" applyFill="1" applyBorder="1" applyAlignment="1">
      <alignment horizontal="center" vertical="center" wrapText="1"/>
    </xf>
    <xf numFmtId="0" fontId="18" fillId="11" borderId="31" xfId="0" applyFont="1" applyFill="1" applyBorder="1" applyAlignment="1">
      <alignment horizontal="center" vertical="center" wrapText="1"/>
    </xf>
    <xf numFmtId="0" fontId="18" fillId="11" borderId="32" xfId="0" applyFont="1" applyFill="1" applyBorder="1" applyAlignment="1">
      <alignment horizontal="center" vertical="center" wrapText="1"/>
    </xf>
    <xf numFmtId="0" fontId="18" fillId="11" borderId="22" xfId="0" applyFont="1" applyFill="1" applyBorder="1" applyAlignment="1">
      <alignment horizontal="center" vertical="center" wrapText="1"/>
    </xf>
    <xf numFmtId="0" fontId="18" fillId="11" borderId="30" xfId="0" applyFont="1" applyFill="1" applyBorder="1" applyAlignment="1">
      <alignment horizontal="center" vertical="center" wrapText="1"/>
    </xf>
    <xf numFmtId="0" fontId="52" fillId="2" borderId="20" xfId="0" applyFont="1" applyFill="1" applyBorder="1" applyAlignment="1">
      <alignment horizontal="center" vertical="center" wrapText="1"/>
    </xf>
    <xf numFmtId="0" fontId="52" fillId="2" borderId="21" xfId="0" applyFont="1" applyFill="1" applyBorder="1" applyAlignment="1">
      <alignment horizontal="center" vertical="center" wrapText="1"/>
    </xf>
    <xf numFmtId="0" fontId="48" fillId="11" borderId="0" xfId="0" applyFont="1" applyFill="1" applyAlignment="1">
      <alignment horizontal="left" vertical="top" wrapText="1"/>
    </xf>
    <xf numFmtId="0" fontId="18" fillId="11" borderId="0" xfId="0" applyFont="1" applyFill="1"/>
    <xf numFmtId="0" fontId="52" fillId="2" borderId="20" xfId="0" applyFont="1" applyFill="1" applyBorder="1" applyAlignment="1">
      <alignment horizontal="left" vertical="center" wrapText="1"/>
    </xf>
    <xf numFmtId="0" fontId="52" fillId="2" borderId="3" xfId="0" applyFont="1" applyFill="1" applyBorder="1" applyAlignment="1">
      <alignment horizontal="left" vertical="center" wrapText="1"/>
    </xf>
    <xf numFmtId="0" fontId="52" fillId="2" borderId="21" xfId="0" applyFont="1" applyFill="1" applyBorder="1" applyAlignment="1">
      <alignment horizontal="left" vertical="center" wrapText="1"/>
    </xf>
    <xf numFmtId="0" fontId="23" fillId="2" borderId="20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21" xfId="0" applyFont="1" applyFill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/>
    </xf>
    <xf numFmtId="0" fontId="47" fillId="11" borderId="0" xfId="0" applyFont="1" applyFill="1" applyAlignment="1">
      <alignment horizontal="center" vertical="top" wrapText="1"/>
    </xf>
    <xf numFmtId="0" fontId="34" fillId="0" borderId="1" xfId="2" applyFont="1" applyBorder="1" applyAlignment="1">
      <alignment horizontal="center" vertical="center" wrapText="1"/>
    </xf>
    <xf numFmtId="0" fontId="10" fillId="0" borderId="0" xfId="2" applyFont="1" applyAlignment="1">
      <alignment horizontal="left" vertical="top" wrapText="1"/>
    </xf>
    <xf numFmtId="0" fontId="34" fillId="0" borderId="3" xfId="2" applyFont="1" applyBorder="1" applyAlignment="1">
      <alignment horizontal="left" wrapText="1"/>
    </xf>
    <xf numFmtId="0" fontId="10" fillId="0" borderId="0" xfId="2" applyFont="1" applyAlignment="1">
      <alignment horizontal="left" wrapText="1"/>
    </xf>
    <xf numFmtId="0" fontId="46" fillId="0" borderId="0" xfId="2" applyFont="1" applyAlignment="1">
      <alignment horizontal="center" vertical="top" wrapText="1"/>
    </xf>
    <xf numFmtId="0" fontId="13" fillId="0" borderId="0" xfId="2" applyFont="1" applyAlignment="1">
      <alignment horizontal="center" vertical="top" wrapText="1"/>
    </xf>
    <xf numFmtId="0" fontId="32" fillId="0" borderId="1" xfId="2" applyFont="1" applyBorder="1" applyAlignment="1">
      <alignment horizontal="center" wrapText="1"/>
    </xf>
    <xf numFmtId="0" fontId="62" fillId="0" borderId="0" xfId="10" applyFont="1" applyAlignment="1">
      <alignment horizontal="center"/>
    </xf>
    <xf numFmtId="0" fontId="17" fillId="0" borderId="0" xfId="10" applyFont="1" applyAlignment="1">
      <alignment horizontal="center" wrapText="1"/>
    </xf>
    <xf numFmtId="0" fontId="18" fillId="0" borderId="1" xfId="10" applyFont="1" applyBorder="1" applyAlignment="1">
      <alignment horizontal="center" wrapText="1"/>
    </xf>
    <xf numFmtId="0" fontId="18" fillId="0" borderId="3" xfId="10" applyFont="1" applyBorder="1" applyAlignment="1">
      <alignment horizontal="center" wrapText="1"/>
    </xf>
    <xf numFmtId="0" fontId="18" fillId="0" borderId="3" xfId="10" applyFont="1" applyBorder="1" applyAlignment="1">
      <alignment horizontal="center" vertical="center" wrapText="1"/>
    </xf>
    <xf numFmtId="0" fontId="18" fillId="0" borderId="0" xfId="10" applyFont="1" applyAlignment="1">
      <alignment horizontal="center" vertical="top" wrapText="1"/>
    </xf>
    <xf numFmtId="0" fontId="20" fillId="0" borderId="0" xfId="10" applyFont="1" applyAlignment="1">
      <alignment horizontal="center" vertical="top" wrapText="1"/>
    </xf>
    <xf numFmtId="165" fontId="18" fillId="0" borderId="1" xfId="10" applyNumberFormat="1" applyFont="1" applyBorder="1" applyAlignment="1">
      <alignment horizontal="center" vertical="top" wrapText="1"/>
    </xf>
    <xf numFmtId="0" fontId="66" fillId="0" borderId="0" xfId="10" applyFont="1" applyAlignment="1">
      <alignment horizontal="center" vertical="top" wrapText="1"/>
    </xf>
    <xf numFmtId="0" fontId="67" fillId="0" borderId="0" xfId="10" applyFont="1"/>
    <xf numFmtId="0" fontId="38" fillId="0" borderId="0" xfId="10" applyFont="1" applyAlignment="1">
      <alignment horizontal="center" vertical="top" wrapText="1"/>
    </xf>
    <xf numFmtId="0" fontId="28" fillId="0" borderId="0" xfId="10" applyFont="1"/>
    <xf numFmtId="0" fontId="38" fillId="0" borderId="1" xfId="10" applyFont="1" applyBorder="1" applyAlignment="1">
      <alignment horizontal="left" vertical="center" wrapText="1"/>
    </xf>
    <xf numFmtId="0" fontId="18" fillId="2" borderId="7" xfId="10" applyFont="1" applyFill="1" applyBorder="1" applyAlignment="1">
      <alignment horizontal="left" vertical="center" wrapText="1"/>
    </xf>
    <xf numFmtId="0" fontId="18" fillId="0" borderId="7" xfId="10" applyFont="1" applyBorder="1" applyAlignment="1">
      <alignment horizontal="center" vertical="center" wrapText="1"/>
    </xf>
    <xf numFmtId="0" fontId="18" fillId="0" borderId="0" xfId="10" applyFont="1" applyAlignment="1">
      <alignment horizontal="left" vertical="top" wrapText="1"/>
    </xf>
    <xf numFmtId="0" fontId="18" fillId="0" borderId="0" xfId="10" applyFont="1"/>
    <xf numFmtId="0" fontId="19" fillId="0" borderId="0" xfId="10" applyFont="1" applyAlignment="1">
      <alignment horizontal="left" vertical="top" wrapText="1"/>
    </xf>
    <xf numFmtId="0" fontId="18" fillId="2" borderId="3" xfId="10" applyFont="1" applyFill="1" applyBorder="1" applyAlignment="1">
      <alignment horizontal="left" vertical="top" wrapText="1"/>
    </xf>
    <xf numFmtId="0" fontId="18" fillId="2" borderId="7" xfId="10" applyFont="1" applyFill="1" applyBorder="1" applyAlignment="1">
      <alignment horizontal="center" vertical="center" wrapText="1"/>
    </xf>
    <xf numFmtId="0" fontId="18" fillId="0" borderId="7" xfId="10" applyFont="1" applyBorder="1" applyAlignment="1">
      <alignment horizontal="center" vertical="center"/>
    </xf>
    <xf numFmtId="0" fontId="18" fillId="0" borderId="7" xfId="10" applyFont="1" applyBorder="1" applyAlignment="1">
      <alignment horizontal="center" vertical="top" wrapText="1"/>
    </xf>
    <xf numFmtId="0" fontId="24" fillId="0" borderId="2" xfId="10" applyFont="1" applyBorder="1" applyAlignment="1">
      <alignment horizontal="center" vertical="top"/>
    </xf>
    <xf numFmtId="0" fontId="18" fillId="0" borderId="1" xfId="10" applyFont="1" applyBorder="1" applyAlignment="1">
      <alignment horizontal="center"/>
    </xf>
    <xf numFmtId="14" fontId="18" fillId="13" borderId="7" xfId="0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right"/>
    </xf>
    <xf numFmtId="49" fontId="18" fillId="0" borderId="0" xfId="0" applyNumberFormat="1" applyFont="1" applyAlignment="1">
      <alignment horizontal="right"/>
    </xf>
  </cellXfs>
  <cellStyles count="11">
    <cellStyle name="Денежный 2" xfId="4" xr:uid="{AFFB61CE-EDEA-46FC-8DF7-1FEAD963A319}"/>
    <cellStyle name="Денежный 3" xfId="9" xr:uid="{7FA4F2BF-0B53-43C0-BC3A-F156E9E5D8C1}"/>
    <cellStyle name="Обычный" xfId="0" builtinId="0"/>
    <cellStyle name="Обычный 2" xfId="1" xr:uid="{297CD7D0-57A9-4EC2-ABA9-BC0D501491CD}"/>
    <cellStyle name="Обычный 2 2" xfId="5" xr:uid="{B9915EDD-7218-4ADF-8405-E25229697464}"/>
    <cellStyle name="Обычный 3" xfId="2" xr:uid="{341F82C4-678B-4D88-8C95-F6B9E1D4CF66}"/>
    <cellStyle name="Обычный 3 2" xfId="6" xr:uid="{73B39C30-9F29-48C6-A8A3-9331EE9AF976}"/>
    <cellStyle name="Обычный 4" xfId="7" xr:uid="{03B37EDF-377D-4288-BE1F-B22AA40B1A4A}"/>
    <cellStyle name="Обычный 5" xfId="3" xr:uid="{D037EB8B-1E3D-432A-A56F-A4ECC027CDDF}"/>
    <cellStyle name="Обычный 6" xfId="8" xr:uid="{79B6DCAD-17FC-4072-93ED-CEBFB5ED85E9}"/>
    <cellStyle name="Обычный 7" xfId="10" xr:uid="{2EDD2A5D-5514-4509-A745-E71696EFD9F2}"/>
  </cellStyles>
  <dxfs count="0"/>
  <tableStyles count="0" defaultTableStyle="TableStyleMedium2" defaultPivotStyle="PivotStyleLight16"/>
  <colors>
    <mruColors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C0C89-31D6-42F3-A81B-5999EE7235CB}">
  <dimension ref="A1:I29"/>
  <sheetViews>
    <sheetView workbookViewId="0">
      <selection activeCell="I19" sqref="I19:I20"/>
    </sheetView>
  </sheetViews>
  <sheetFormatPr defaultColWidth="9.140625" defaultRowHeight="15" x14ac:dyDescent="0.25"/>
  <cols>
    <col min="1" max="1" width="18.7109375" style="36" customWidth="1"/>
    <col min="2" max="2" width="36.5703125" style="36" customWidth="1"/>
    <col min="3" max="5" width="34.85546875" style="36" customWidth="1"/>
    <col min="6" max="6" width="36.7109375" style="36" customWidth="1"/>
    <col min="7" max="7" width="36.140625" style="36" customWidth="1"/>
    <col min="8" max="16384" width="9.140625" style="36"/>
  </cols>
  <sheetData>
    <row r="1" spans="1:9" x14ac:dyDescent="0.25">
      <c r="A1" s="105" t="s">
        <v>417</v>
      </c>
      <c r="B1" s="106" t="s">
        <v>418</v>
      </c>
      <c r="C1" s="106" t="s">
        <v>384</v>
      </c>
      <c r="D1" s="106" t="s">
        <v>419</v>
      </c>
      <c r="E1" s="107"/>
      <c r="F1" s="200" t="s">
        <v>420</v>
      </c>
      <c r="G1" s="200"/>
    </row>
    <row r="2" spans="1:9" ht="30" x14ac:dyDescent="0.25">
      <c r="A2" s="108" t="s">
        <v>421</v>
      </c>
      <c r="B2" s="109" t="s">
        <v>237</v>
      </c>
      <c r="C2" s="109" t="s">
        <v>385</v>
      </c>
      <c r="D2" s="110" t="s">
        <v>422</v>
      </c>
      <c r="E2" s="110"/>
      <c r="F2" s="201" t="s">
        <v>423</v>
      </c>
      <c r="G2" s="202"/>
    </row>
    <row r="3" spans="1:9" ht="63" customHeight="1" x14ac:dyDescent="0.25">
      <c r="A3" s="111" t="s">
        <v>219</v>
      </c>
      <c r="B3" s="112" t="s">
        <v>424</v>
      </c>
      <c r="C3" s="112" t="s">
        <v>386</v>
      </c>
      <c r="D3" s="113" t="s">
        <v>425</v>
      </c>
      <c r="E3" s="113"/>
      <c r="F3" s="203" t="s">
        <v>426</v>
      </c>
      <c r="G3" s="204"/>
    </row>
    <row r="4" spans="1:9" x14ac:dyDescent="0.25">
      <c r="A4" s="108" t="s">
        <v>427</v>
      </c>
      <c r="B4" s="109"/>
      <c r="C4" s="109"/>
      <c r="D4" s="109"/>
      <c r="E4" s="109"/>
      <c r="F4" s="109" t="s">
        <v>217</v>
      </c>
      <c r="G4" s="109" t="s">
        <v>428</v>
      </c>
    </row>
    <row r="5" spans="1:9" x14ac:dyDescent="0.25">
      <c r="A5" s="111"/>
      <c r="B5" s="112"/>
      <c r="C5" s="112"/>
      <c r="D5" s="112"/>
      <c r="E5" s="112"/>
      <c r="F5" s="112" t="s">
        <v>429</v>
      </c>
      <c r="G5" s="112" t="s">
        <v>430</v>
      </c>
    </row>
    <row r="6" spans="1:9" x14ac:dyDescent="0.25">
      <c r="A6" s="108" t="s">
        <v>431</v>
      </c>
      <c r="B6" s="109" t="s">
        <v>432</v>
      </c>
      <c r="C6" s="109" t="s">
        <v>387</v>
      </c>
      <c r="D6" s="109" t="s">
        <v>387</v>
      </c>
      <c r="E6" s="109"/>
      <c r="F6" s="109" t="s">
        <v>433</v>
      </c>
      <c r="G6" s="109" t="s">
        <v>434</v>
      </c>
    </row>
    <row r="7" spans="1:9" x14ac:dyDescent="0.25">
      <c r="A7" s="111" t="s">
        <v>435</v>
      </c>
      <c r="B7" s="112" t="s">
        <v>436</v>
      </c>
      <c r="C7" s="112" t="s">
        <v>388</v>
      </c>
      <c r="D7" s="112" t="s">
        <v>437</v>
      </c>
      <c r="E7" s="112"/>
      <c r="F7" s="112" t="s">
        <v>438</v>
      </c>
      <c r="G7" s="112" t="s">
        <v>439</v>
      </c>
    </row>
    <row r="8" spans="1:9" ht="30" x14ac:dyDescent="0.25">
      <c r="A8" s="108" t="s">
        <v>440</v>
      </c>
      <c r="B8" s="109" t="s">
        <v>441</v>
      </c>
      <c r="C8" s="109" t="s">
        <v>240</v>
      </c>
      <c r="D8" s="109" t="s">
        <v>240</v>
      </c>
      <c r="E8" s="109"/>
      <c r="F8" s="109" t="s">
        <v>442</v>
      </c>
      <c r="G8" s="109" t="s">
        <v>442</v>
      </c>
    </row>
    <row r="9" spans="1:9" ht="30" x14ac:dyDescent="0.25">
      <c r="A9" s="111" t="s">
        <v>443</v>
      </c>
      <c r="B9" s="112" t="s">
        <v>444</v>
      </c>
      <c r="C9" s="112" t="s">
        <v>244</v>
      </c>
      <c r="D9" s="112" t="s">
        <v>445</v>
      </c>
      <c r="E9" s="112"/>
      <c r="F9" s="112" t="s">
        <v>446</v>
      </c>
      <c r="G9" s="112" t="s">
        <v>447</v>
      </c>
    </row>
    <row r="10" spans="1:9" x14ac:dyDescent="0.25">
      <c r="A10" s="108" t="s">
        <v>448</v>
      </c>
      <c r="B10" s="109" t="s">
        <v>449</v>
      </c>
      <c r="C10" s="109" t="s">
        <v>242</v>
      </c>
      <c r="D10" s="109" t="s">
        <v>450</v>
      </c>
      <c r="E10" s="109"/>
      <c r="F10" s="109" t="s">
        <v>451</v>
      </c>
      <c r="G10" s="109" t="s">
        <v>452</v>
      </c>
    </row>
    <row r="11" spans="1:9" x14ac:dyDescent="0.25">
      <c r="A11" s="111" t="s">
        <v>453</v>
      </c>
      <c r="B11" s="112"/>
      <c r="C11" s="112"/>
      <c r="D11" s="112"/>
      <c r="E11" s="112"/>
      <c r="F11" s="112" t="s">
        <v>454</v>
      </c>
      <c r="G11" s="112" t="s">
        <v>455</v>
      </c>
      <c r="I11" s="36">
        <v>60</v>
      </c>
    </row>
    <row r="12" spans="1:9" x14ac:dyDescent="0.25">
      <c r="A12" s="108" t="s">
        <v>456</v>
      </c>
      <c r="B12" s="109"/>
      <c r="C12" s="109"/>
      <c r="D12" s="109"/>
      <c r="E12" s="109"/>
      <c r="F12" s="109" t="s">
        <v>457</v>
      </c>
      <c r="G12" s="109"/>
      <c r="I12" s="36">
        <v>36</v>
      </c>
    </row>
    <row r="13" spans="1:9" x14ac:dyDescent="0.25">
      <c r="A13" s="108"/>
      <c r="B13" s="109"/>
      <c r="C13" s="109"/>
      <c r="D13" s="109"/>
      <c r="E13" s="109"/>
      <c r="F13" s="109"/>
      <c r="G13" s="109"/>
    </row>
    <row r="14" spans="1:9" x14ac:dyDescent="0.25">
      <c r="A14" s="111"/>
      <c r="B14" s="112"/>
      <c r="C14" s="112"/>
      <c r="D14" s="112"/>
      <c r="E14" s="112"/>
      <c r="F14" s="112" t="s">
        <v>454</v>
      </c>
      <c r="G14" s="112" t="s">
        <v>458</v>
      </c>
    </row>
    <row r="15" spans="1:9" x14ac:dyDescent="0.25">
      <c r="A15" s="108"/>
      <c r="B15" s="109"/>
      <c r="C15" s="109"/>
      <c r="D15" s="109"/>
      <c r="E15" s="109"/>
      <c r="F15" s="109" t="s">
        <v>457</v>
      </c>
      <c r="G15" s="109" t="s">
        <v>459</v>
      </c>
    </row>
    <row r="16" spans="1:9" x14ac:dyDescent="0.25">
      <c r="A16" s="111"/>
      <c r="B16" s="112"/>
      <c r="C16" s="112"/>
      <c r="D16" s="112"/>
      <c r="E16" s="112"/>
      <c r="F16" s="112"/>
      <c r="G16" s="112"/>
    </row>
    <row r="17" spans="1:7" x14ac:dyDescent="0.25">
      <c r="A17" s="108"/>
      <c r="B17" s="109"/>
      <c r="C17" s="109"/>
      <c r="D17" s="109"/>
      <c r="E17" s="109"/>
      <c r="F17" s="109"/>
      <c r="G17" s="109"/>
    </row>
    <row r="18" spans="1:7" x14ac:dyDescent="0.25">
      <c r="A18" s="111" t="s">
        <v>460</v>
      </c>
      <c r="B18" s="112" t="s">
        <v>460</v>
      </c>
      <c r="C18" s="112" t="s">
        <v>245</v>
      </c>
      <c r="D18" s="112" t="s">
        <v>461</v>
      </c>
      <c r="E18" s="112"/>
      <c r="F18" s="112"/>
      <c r="G18" s="112"/>
    </row>
    <row r="19" spans="1:7" x14ac:dyDescent="0.25">
      <c r="A19" s="108" t="s">
        <v>462</v>
      </c>
      <c r="B19" s="109" t="s">
        <v>463</v>
      </c>
      <c r="C19" s="109" t="s">
        <v>464</v>
      </c>
      <c r="D19" s="109" t="s">
        <v>465</v>
      </c>
      <c r="E19" s="109"/>
      <c r="F19" s="109"/>
      <c r="G19" s="109"/>
    </row>
    <row r="20" spans="1:7" x14ac:dyDescent="0.25">
      <c r="A20" s="111" t="s">
        <v>466</v>
      </c>
      <c r="B20" s="112" t="s">
        <v>246</v>
      </c>
      <c r="C20" s="112" t="s">
        <v>389</v>
      </c>
      <c r="D20" s="112" t="s">
        <v>467</v>
      </c>
      <c r="E20" s="112"/>
      <c r="F20" s="112"/>
      <c r="G20" s="112"/>
    </row>
    <row r="21" spans="1:7" x14ac:dyDescent="0.25">
      <c r="A21" s="114"/>
      <c r="B21" s="109"/>
      <c r="C21" s="109"/>
      <c r="D21" s="109"/>
      <c r="E21" s="109"/>
      <c r="F21" s="109"/>
      <c r="G21" s="109"/>
    </row>
    <row r="23" spans="1:7" ht="79.5" customHeight="1" x14ac:dyDescent="0.25">
      <c r="A23" s="54" t="s">
        <v>468</v>
      </c>
      <c r="B23" s="115" t="str">
        <f>CONCATENATE(B2,",",B3)</f>
        <v xml:space="preserve">ОГРН 1135044003709  ИНН 5044089069 КПП 504401001,141508, Московская область, г.о. Солнечногорск, г. Солнечногорск, ул. Промышленная, стр. 5, помещение 179
</v>
      </c>
      <c r="C23" s="115" t="str">
        <f>CONCATENATE(C2,",",C3)</f>
        <v>ОГРН 1215000057238 ИНН 5044122213 КПП 504401001,141508, Московская область, г.о. Солнечногорск, г Солнечногорск, ул Промышленная, строение 29А, корпус 1, офис 11</v>
      </c>
      <c r="D23" s="116"/>
      <c r="F23" s="117" t="str">
        <f>CONCATENATE(F8," ",F1,"-",F10," .",F9)</f>
        <v>Гл. специалист ССК УКС ПАО "Россети Московский регион"-Жижкевич М.А. .Приказ №263 от 31 января 2024г (НОСТРОЙ С-50-138711)</v>
      </c>
      <c r="G23" s="117" t="str">
        <f>CONCATENATE(G8," ",F1,"-",G10," .",G9)</f>
        <v>Гл. специалист ССК УКС ПАО "Россети Московский регион"-Хлебнов Д.Ф. .Приказ №263 от 31 января 2024г (НОСТРОЙ С-50-15922)</v>
      </c>
    </row>
    <row r="24" spans="1:7" ht="105" x14ac:dyDescent="0.25">
      <c r="A24" s="54" t="s">
        <v>468</v>
      </c>
      <c r="B24" s="115" t="str">
        <f>CONCATENATE(B1,",",B2,",",B3)</f>
        <v xml:space="preserve">ООО"Энергосистемы",ОГРН 1135044003709  ИНН 5044089069 КПП 504401001,141508, Московская область, г.о. Солнечногорск, г. Солнечногорск, ул. Промышленная, стр. 5, помещение 179
</v>
      </c>
      <c r="C24" s="115" t="str">
        <f>CONCATENATE(C1,",",C2,",",C3)</f>
        <v>ООО «Гефест»,ОГРН 1215000057238 ИНН 5044122213 КПП 504401001,141508, Московская область, г.о. Солнечногорск, г Солнечногорск, ул Промышленная, строение 29А, корпус 1, офис 11</v>
      </c>
      <c r="D24" s="116"/>
      <c r="F24" s="117" t="str">
        <f>CONCATENATE(F8," ",F1,"-",F10)</f>
        <v>Гл. специалист ССК УКС ПАО "Россети Московский регион"-Жижкевич М.А.</v>
      </c>
      <c r="G24" s="117" t="str">
        <f>CONCATENATE(G8," ",F1,"-",G10)</f>
        <v>Гл. специалист ССК УКС ПАО "Россети Московский регион"-Хлебнов Д.Ф.</v>
      </c>
    </row>
    <row r="25" spans="1:7" ht="60" x14ac:dyDescent="0.25">
      <c r="B25" s="118" t="str">
        <f>CONCATENATE(B8," ",B1,"-",B10,".",B9)</f>
        <v>Инженер по строительному контролю ООО"Энергосистемы"-Капитонов Д.А..Приказ № 18-ОТ/24 от 03 июня 2024 (НОСТРОЙ С-50-188017)</v>
      </c>
      <c r="C25" s="118" t="str">
        <f>CONCATENATE(C8," ",C1,"-",C10,".",C9)</f>
        <v>Специалист по строительному контролю ООО «Гефест»-Саженова Л.В..Приказ №01/24-ОТ от 15.01.2024 (НРС № С-61-104369)</v>
      </c>
      <c r="D25" s="119"/>
      <c r="F25" s="117" t="str">
        <f>CONCATENATE(F8," ",F1)</f>
        <v>Гл. специалист ССК УКС ПАО "Россети Московский регион"</v>
      </c>
      <c r="G25" s="117" t="str">
        <f>CONCATENATE(G8," ",F1)</f>
        <v>Гл. специалист ССК УКС ПАО "Россети Московский регион"</v>
      </c>
    </row>
    <row r="26" spans="1:7" ht="45" x14ac:dyDescent="0.25">
      <c r="B26" s="118" t="str">
        <f>CONCATENATE(B8," ",B1)</f>
        <v>Инженер по строительному контролю ООО"Энергосистемы"</v>
      </c>
      <c r="C26" s="118" t="str">
        <f>CONCATENATE(C8," ",C1)</f>
        <v>Специалист по строительному контролю ООО «Гефест»</v>
      </c>
      <c r="D26" s="119"/>
      <c r="F26" s="54" t="str">
        <f>CONCATENATE(F6," ",F1," ",F7)</f>
        <v>Начальник СРЭС СЭС филиала ПАО "Россети Московский регион" Чуев А.Н.</v>
      </c>
      <c r="G26" s="54" t="str">
        <f>CONCATENATE(G6," ",F1," ",G7)</f>
        <v>Начальник ХРЭС СЭС филиала ПАО "Россети Московский регион" Игнатьев К.А.</v>
      </c>
    </row>
    <row r="27" spans="1:7" ht="45" x14ac:dyDescent="0.25">
      <c r="B27" s="120" t="str">
        <f>CONCATENATE(B18," ",B1,"-",B20,".",B19)</f>
        <v>Прораб ООО"Энергосистемы"-Волков М.Ю..Приказ №05-ОТ/24 от 09 января 2024г</v>
      </c>
      <c r="C27" s="120" t="str">
        <f>CONCATENATE(C18," ",C1,"-",C20,".",C19)</f>
        <v>Мастер электромонтажного участка  ООО «Гефест»-Красилов К.А..Приказ №01/24-ОТ от 15.01.2024</v>
      </c>
      <c r="D27" s="117"/>
      <c r="F27" s="121" t="str">
        <f>CONCATENATE(F14," ",F1," ",F15)</f>
        <v>Мастер СРЭС СЭС филиала ПАО "Россети Московский регион" Набоков С.А.</v>
      </c>
      <c r="G27" s="121" t="str">
        <f>CONCATENATE(G14," ",F1," ",G15)</f>
        <v>Гл.инженер ПАО "Россети Московский регион" Петрунин А.Ю.</v>
      </c>
    </row>
    <row r="28" spans="1:7" ht="30" x14ac:dyDescent="0.25">
      <c r="B28" s="120" t="str">
        <f>CONCATENATE(B18," ",B1," ",B20)</f>
        <v>Прораб ООО"Энергосистемы" Волков М.Ю.</v>
      </c>
      <c r="C28" s="120" t="str">
        <f>CONCATENATE(C18," ",C1,"-",C20)</f>
        <v>Мастер электромонтажного участка  ООО «Гефест»-Красилов К.А.</v>
      </c>
      <c r="D28" s="117"/>
      <c r="F28" s="54" t="str">
        <f>CONCATENATE(F16," ",F1," ",F17)</f>
        <v xml:space="preserve"> ПАО "Россети Московский регион" </v>
      </c>
    </row>
    <row r="29" spans="1:7" ht="30" x14ac:dyDescent="0.25">
      <c r="B29" s="122" t="str">
        <f>CONCATENATE(B18," ",B1)</f>
        <v>Прораб ООО"Энергосистемы"</v>
      </c>
      <c r="C29" s="120" t="str">
        <f>CONCATENATE(C18," ",C1)</f>
        <v>Мастер электромонтажного участка  ООО «Гефест»</v>
      </c>
      <c r="D29" s="117"/>
    </row>
  </sheetData>
  <mergeCells count="3">
    <mergeCell ref="F1:G1"/>
    <mergeCell ref="F2:G2"/>
    <mergeCell ref="F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88FE8-1636-4642-B334-FA52C889F156}">
  <sheetPr>
    <tabColor rgb="FFFF0000"/>
  </sheetPr>
  <dimension ref="A1:AK94"/>
  <sheetViews>
    <sheetView topLeftCell="A2" zoomScale="85" zoomScaleNormal="85" workbookViewId="0">
      <selection activeCell="B58" sqref="B58"/>
    </sheetView>
  </sheetViews>
  <sheetFormatPr defaultColWidth="8.85546875" defaultRowHeight="15" x14ac:dyDescent="0.25"/>
  <cols>
    <col min="1" max="1" width="30" style="51" customWidth="1"/>
    <col min="2" max="2" width="116.7109375" style="36" customWidth="1"/>
    <col min="3" max="3" width="46.7109375" style="36" customWidth="1"/>
    <col min="4" max="4" width="8.85546875" style="36"/>
    <col min="5" max="5" width="10.28515625" style="36" customWidth="1"/>
    <col min="6" max="6" width="5.85546875" style="36" customWidth="1"/>
    <col min="7" max="7" width="8.85546875" style="36"/>
    <col min="8" max="8" width="33.28515625" style="36" customWidth="1"/>
    <col min="9" max="9" width="22.7109375" style="36" customWidth="1"/>
    <col min="10" max="10" width="4.7109375" style="36" customWidth="1"/>
    <col min="11" max="12" width="8.85546875" style="36"/>
    <col min="13" max="13" width="57.140625" style="36" customWidth="1"/>
    <col min="14" max="16384" width="8.85546875" style="36"/>
  </cols>
  <sheetData>
    <row r="1" spans="1:7" x14ac:dyDescent="0.25">
      <c r="A1" s="207" t="s">
        <v>213</v>
      </c>
      <c r="B1" s="208"/>
    </row>
    <row r="2" spans="1:7" x14ac:dyDescent="0.25">
      <c r="A2" s="37" t="s">
        <v>214</v>
      </c>
      <c r="B2" s="136" t="s">
        <v>487</v>
      </c>
    </row>
    <row r="3" spans="1:7" ht="45" x14ac:dyDescent="0.25">
      <c r="A3" s="38" t="s">
        <v>215</v>
      </c>
      <c r="B3" s="137" t="s">
        <v>488</v>
      </c>
    </row>
    <row r="4" spans="1:7" x14ac:dyDescent="0.25">
      <c r="A4" s="39" t="s">
        <v>216</v>
      </c>
      <c r="B4" s="138" t="s">
        <v>217</v>
      </c>
      <c r="C4"/>
      <c r="D4"/>
      <c r="E4"/>
      <c r="F4"/>
      <c r="G4"/>
    </row>
    <row r="5" spans="1:7" x14ac:dyDescent="0.25">
      <c r="A5" s="39" t="s">
        <v>218</v>
      </c>
      <c r="B5" s="138" t="s">
        <v>489</v>
      </c>
      <c r="C5"/>
      <c r="D5"/>
      <c r="E5"/>
      <c r="F5"/>
      <c r="G5"/>
    </row>
    <row r="6" spans="1:7" ht="15" hidden="1" customHeight="1" x14ac:dyDescent="0.25">
      <c r="A6" s="39" t="s">
        <v>220</v>
      </c>
      <c r="B6" s="40" t="s">
        <v>221</v>
      </c>
      <c r="C6"/>
      <c r="D6"/>
      <c r="E6"/>
      <c r="F6"/>
      <c r="G6"/>
    </row>
    <row r="7" spans="1:7" hidden="1" x14ac:dyDescent="0.25">
      <c r="A7" s="39" t="s">
        <v>222</v>
      </c>
      <c r="B7" s="40" t="s">
        <v>222</v>
      </c>
      <c r="C7"/>
      <c r="D7"/>
      <c r="E7"/>
      <c r="F7"/>
      <c r="G7"/>
    </row>
    <row r="8" spans="1:7" x14ac:dyDescent="0.25">
      <c r="A8" s="39" t="s">
        <v>223</v>
      </c>
      <c r="B8" s="139" t="s">
        <v>490</v>
      </c>
      <c r="C8"/>
      <c r="D8"/>
      <c r="E8"/>
      <c r="F8"/>
      <c r="G8"/>
    </row>
    <row r="9" spans="1:7" x14ac:dyDescent="0.25">
      <c r="A9" s="38" t="s">
        <v>224</v>
      </c>
      <c r="B9" s="139" t="s">
        <v>473</v>
      </c>
      <c r="C9"/>
      <c r="D9"/>
      <c r="E9"/>
      <c r="F9"/>
      <c r="G9"/>
    </row>
    <row r="10" spans="1:7" x14ac:dyDescent="0.25">
      <c r="A10" s="39" t="s">
        <v>337</v>
      </c>
      <c r="B10" s="139">
        <v>15</v>
      </c>
      <c r="C10"/>
      <c r="D10"/>
      <c r="E10"/>
      <c r="F10"/>
      <c r="G10"/>
    </row>
    <row r="11" spans="1:7" x14ac:dyDescent="0.25">
      <c r="A11" s="39" t="s">
        <v>338</v>
      </c>
      <c r="B11" s="139">
        <v>70</v>
      </c>
      <c r="C11"/>
      <c r="D11"/>
      <c r="E11"/>
      <c r="F11"/>
      <c r="G11"/>
    </row>
    <row r="12" spans="1:7" x14ac:dyDescent="0.25">
      <c r="A12" s="39" t="s">
        <v>339</v>
      </c>
      <c r="B12" s="139" t="s">
        <v>559</v>
      </c>
      <c r="C12"/>
      <c r="D12"/>
      <c r="E12"/>
      <c r="F12"/>
      <c r="G12"/>
    </row>
    <row r="13" spans="1:7" x14ac:dyDescent="0.25">
      <c r="A13" s="207" t="s">
        <v>225</v>
      </c>
      <c r="B13" s="208"/>
      <c r="C13"/>
      <c r="D13"/>
      <c r="E13"/>
      <c r="F13"/>
      <c r="G13"/>
    </row>
    <row r="14" spans="1:7" x14ac:dyDescent="0.25">
      <c r="A14" s="148" t="s">
        <v>494</v>
      </c>
      <c r="B14" s="147" t="str">
        <f>_xlfn.CONCAT(B15, " ",B16, " ",B17, " ",B18, " ",B19, " ", B20)</f>
        <v xml:space="preserve">КТП № АСП № ВЛ от ТП ф. ВЛ от ТП ф. КЛ от ТП ф ВРЩ вблизи ТП </v>
      </c>
      <c r="C14"/>
      <c r="D14"/>
      <c r="E14"/>
      <c r="F14"/>
      <c r="G14"/>
    </row>
    <row r="15" spans="1:7" x14ac:dyDescent="0.25">
      <c r="A15" s="41" t="s">
        <v>226</v>
      </c>
      <c r="B15" s="42" t="s">
        <v>569</v>
      </c>
      <c r="C15"/>
      <c r="D15"/>
      <c r="E15"/>
      <c r="F15"/>
      <c r="G15"/>
    </row>
    <row r="16" spans="1:7" x14ac:dyDescent="0.25">
      <c r="A16" s="41" t="s">
        <v>226</v>
      </c>
      <c r="B16" s="42" t="s">
        <v>568</v>
      </c>
      <c r="C16" s="173"/>
      <c r="D16" s="173"/>
      <c r="E16" s="173"/>
      <c r="F16" s="173"/>
      <c r="G16" s="173"/>
    </row>
    <row r="17" spans="1:3" x14ac:dyDescent="0.25">
      <c r="A17" s="41" t="s">
        <v>227</v>
      </c>
      <c r="B17" s="42" t="s">
        <v>228</v>
      </c>
    </row>
    <row r="18" spans="1:3" x14ac:dyDescent="0.25">
      <c r="A18" s="41" t="s">
        <v>229</v>
      </c>
      <c r="B18" s="42" t="s">
        <v>228</v>
      </c>
    </row>
    <row r="19" spans="1:3" x14ac:dyDescent="0.25">
      <c r="A19" s="41" t="s">
        <v>230</v>
      </c>
      <c r="B19" s="42" t="s">
        <v>231</v>
      </c>
    </row>
    <row r="20" spans="1:3" x14ac:dyDescent="0.25">
      <c r="A20" s="41" t="s">
        <v>232</v>
      </c>
      <c r="B20" s="42" t="s">
        <v>233</v>
      </c>
    </row>
    <row r="21" spans="1:3" x14ac:dyDescent="0.25">
      <c r="A21" s="207" t="s">
        <v>234</v>
      </c>
      <c r="B21" s="208"/>
    </row>
    <row r="22" spans="1:3" x14ac:dyDescent="0.25">
      <c r="A22" s="39" t="s">
        <v>235</v>
      </c>
      <c r="B22" s="85" t="s">
        <v>418</v>
      </c>
      <c r="C22" s="43" t="str">
        <f>CONCATENATE(B22," ",B23," ",B24)</f>
        <v xml:space="preserve">ООО"Энергосистемы" ОГРН 1135044003709  ИНН 5044089069 КПП 504401001 141508, Московская область, г.о. Солнечногорск, г. Солнечногорск, ул. Промышленная, стр. 5, помещение 179
</v>
      </c>
    </row>
    <row r="23" spans="1:3" x14ac:dyDescent="0.25">
      <c r="A23" s="39" t="s">
        <v>236</v>
      </c>
      <c r="B23" s="85" t="str">
        <f>'Данные организации'!B2</f>
        <v>ОГРН 1135044003709  ИНН 5044089069 КПП 504401001</v>
      </c>
      <c r="C23" s="43"/>
    </row>
    <row r="24" spans="1:3" ht="29.25" customHeight="1" x14ac:dyDescent="0.25">
      <c r="A24" s="39" t="s">
        <v>219</v>
      </c>
      <c r="B24" s="85" t="str">
        <f>'Данные организации'!B3</f>
        <v xml:space="preserve">141508, Московская область, г.о. Солнечногорск, г. Солнечногорск, ул. Промышленная, стр. 5, помещение 179
</v>
      </c>
      <c r="C24" s="43"/>
    </row>
    <row r="25" spans="1:3" hidden="1" x14ac:dyDescent="0.25">
      <c r="A25" s="39" t="s">
        <v>238</v>
      </c>
      <c r="B25" s="85" t="s">
        <v>387</v>
      </c>
      <c r="C25" s="43"/>
    </row>
    <row r="26" spans="1:3" hidden="1" x14ac:dyDescent="0.25">
      <c r="A26" s="39" t="s">
        <v>239</v>
      </c>
      <c r="B26" s="85" t="s">
        <v>388</v>
      </c>
      <c r="C26" s="43" t="str">
        <f>CONCATENATE(B25," ",B22," ",B26)</f>
        <v xml:space="preserve">Генеральный директор ООО"Энергосистемы" Звездов Р.Е. </v>
      </c>
    </row>
    <row r="27" spans="1:3" hidden="1" x14ac:dyDescent="0.25">
      <c r="A27" s="39" t="s">
        <v>238</v>
      </c>
      <c r="B27" s="85" t="s">
        <v>240</v>
      </c>
      <c r="C27" s="43" t="str">
        <f>CONCATENATE(B27," ",B22)</f>
        <v>Специалист по строительному контролю ООО"Энергосистемы"</v>
      </c>
    </row>
    <row r="28" spans="1:3" hidden="1" x14ac:dyDescent="0.25">
      <c r="A28" s="39" t="s">
        <v>241</v>
      </c>
      <c r="B28" s="85" t="s">
        <v>242</v>
      </c>
      <c r="C28" s="44" t="str">
        <f>CONCATENATE(B27," ",B22," ",B28)</f>
        <v>Специалист по строительному контролю ООО"Энергосистемы" Саженова Л.В.</v>
      </c>
    </row>
    <row r="29" spans="1:3" hidden="1" x14ac:dyDescent="0.25">
      <c r="A29" s="39" t="s">
        <v>243</v>
      </c>
      <c r="B29" s="85" t="s">
        <v>244</v>
      </c>
      <c r="C29" s="44" t="str">
        <f>CONCATENATE(B27," ",B22," ",B28,".",B29)</f>
        <v>Специалист по строительному контролю ООО"Энергосистемы" Саженова Л.В..Приказ №01/24-ОТ от 15.01.2024 (НРС № С-61-104369)</v>
      </c>
    </row>
    <row r="30" spans="1:3" hidden="1" x14ac:dyDescent="0.25">
      <c r="A30" s="39" t="s">
        <v>238</v>
      </c>
      <c r="B30" s="85" t="s">
        <v>245</v>
      </c>
      <c r="C30" s="43" t="str">
        <f>CONCATENATE(B30," ",B22)</f>
        <v>Мастер электромонтажного участка  ООО"Энергосистемы"</v>
      </c>
    </row>
    <row r="31" spans="1:3" hidden="1" x14ac:dyDescent="0.25">
      <c r="A31" s="39" t="s">
        <v>241</v>
      </c>
      <c r="B31" s="85" t="s">
        <v>389</v>
      </c>
      <c r="C31" s="44" t="str">
        <f>CONCATENATE(B30," ",B22," ",B31)</f>
        <v>Мастер электромонтажного участка  ООО"Энергосистемы" Красилов К.А.</v>
      </c>
    </row>
    <row r="32" spans="1:3" hidden="1" x14ac:dyDescent="0.25">
      <c r="A32" s="45" t="s">
        <v>243</v>
      </c>
      <c r="B32" s="85"/>
      <c r="C32" s="44" t="str">
        <f>CONCATENATE(B30," ",B22," ",B31,".",B32)</f>
        <v>Мастер электромонтажного участка  ООО"Энергосистемы" Красилов К.А..</v>
      </c>
    </row>
    <row r="33" spans="1:3" x14ac:dyDescent="0.25">
      <c r="A33" s="209" t="s">
        <v>247</v>
      </c>
      <c r="B33" s="210"/>
    </row>
    <row r="34" spans="1:3" x14ac:dyDescent="0.25">
      <c r="A34" s="45" t="s">
        <v>235</v>
      </c>
      <c r="B34" s="87" t="str">
        <f>'Данные организации'!F1</f>
        <v>ПАО "Россети Московский регион"</v>
      </c>
    </row>
    <row r="35" spans="1:3" x14ac:dyDescent="0.25">
      <c r="A35" s="45" t="s">
        <v>236</v>
      </c>
      <c r="B35" s="87" t="str">
        <f>'Данные организации'!F2</f>
        <v>ОГРН 1057746555811 ИНН 5036065113 КПП 772501001</v>
      </c>
    </row>
    <row r="36" spans="1:3" x14ac:dyDescent="0.25">
      <c r="A36" s="45" t="s">
        <v>219</v>
      </c>
      <c r="B36" s="87" t="str">
        <f>'Данные организации'!F3</f>
        <v>115114, город Москва, проезд Павелецкий 2-й, дом 3, строение 2</v>
      </c>
    </row>
    <row r="37" spans="1:3" hidden="1" x14ac:dyDescent="0.25">
      <c r="A37" s="45" t="s">
        <v>238</v>
      </c>
      <c r="B37" s="88"/>
      <c r="C37" s="36" t="str">
        <f>CONCATENATE(B37," ",B34)</f>
        <v xml:space="preserve"> ПАО "Россети Московский регион"</v>
      </c>
    </row>
    <row r="38" spans="1:3" hidden="1" x14ac:dyDescent="0.25">
      <c r="A38" s="45" t="s">
        <v>241</v>
      </c>
      <c r="B38" s="87"/>
      <c r="C38" s="36" t="str">
        <f>CONCATENATE(B37," ",B34," ",B38)</f>
        <v xml:space="preserve"> ПАО "Россети Московский регион" </v>
      </c>
    </row>
    <row r="39" spans="1:3" hidden="1" x14ac:dyDescent="0.25">
      <c r="A39" s="45" t="s">
        <v>238</v>
      </c>
      <c r="B39" s="87"/>
      <c r="C39" s="36" t="str">
        <f>CONCATENATE(B39," ",B34)</f>
        <v xml:space="preserve"> ПАО "Россети Московский регион"</v>
      </c>
    </row>
    <row r="40" spans="1:3" hidden="1" x14ac:dyDescent="0.25">
      <c r="A40" s="45" t="s">
        <v>241</v>
      </c>
      <c r="B40" s="87"/>
      <c r="C40" s="36" t="str">
        <f>CONCATENATE(B39," ",B34," ",B40)</f>
        <v xml:space="preserve"> ПАО "Россети Московский регион" </v>
      </c>
    </row>
    <row r="41" spans="1:3" hidden="1" x14ac:dyDescent="0.25">
      <c r="A41" s="45" t="s">
        <v>238</v>
      </c>
      <c r="B41" s="87"/>
      <c r="C41" s="36" t="str">
        <f>CONCATENATE(B41," ",B34)</f>
        <v xml:space="preserve"> ПАО "Россети Московский регион"</v>
      </c>
    </row>
    <row r="42" spans="1:3" hidden="1" x14ac:dyDescent="0.25">
      <c r="A42" s="45" t="s">
        <v>241</v>
      </c>
      <c r="B42" s="87"/>
      <c r="C42" s="36" t="str">
        <f>CONCATENATE(B41," ",B34," ",B42)</f>
        <v xml:space="preserve"> ПАО "Россети Московский регион" </v>
      </c>
    </row>
    <row r="43" spans="1:3" hidden="1" x14ac:dyDescent="0.25">
      <c r="A43" s="45" t="s">
        <v>238</v>
      </c>
      <c r="B43" s="87"/>
      <c r="C43" s="36" t="str">
        <f>CONCATENATE(B43," ",B34)</f>
        <v xml:space="preserve"> ПАО "Россети Московский регион"</v>
      </c>
    </row>
    <row r="44" spans="1:3" hidden="1" x14ac:dyDescent="0.25">
      <c r="A44" s="45" t="s">
        <v>241</v>
      </c>
      <c r="B44" s="87"/>
      <c r="C44" s="47" t="str">
        <f>CONCATENATE(B43," ",B34," ",B44)</f>
        <v xml:space="preserve"> ПАО "Россети Московский регион" </v>
      </c>
    </row>
    <row r="45" spans="1:3" hidden="1" x14ac:dyDescent="0.25">
      <c r="A45" s="45" t="s">
        <v>243</v>
      </c>
      <c r="B45" s="46"/>
      <c r="C45" s="36" t="str">
        <f>CONCATENATE(B43," ",B34," ",B44,".",B45)</f>
        <v xml:space="preserve"> ПАО "Россети Московский регион" .</v>
      </c>
    </row>
    <row r="46" spans="1:3" hidden="1" x14ac:dyDescent="0.25">
      <c r="A46" s="45" t="s">
        <v>238</v>
      </c>
      <c r="B46" s="48"/>
      <c r="C46" s="36" t="str">
        <f>CONCATENATE(B46," ",B34)</f>
        <v xml:space="preserve"> ПАО "Россети Московский регион"</v>
      </c>
    </row>
    <row r="47" spans="1:3" hidden="1" x14ac:dyDescent="0.25">
      <c r="A47" s="45" t="s">
        <v>241</v>
      </c>
      <c r="B47" s="48"/>
      <c r="C47" s="36" t="str">
        <f>CONCATENATE(B46," ",B34," ",B47)</f>
        <v xml:space="preserve"> ПАО "Россети Московский регион" </v>
      </c>
    </row>
    <row r="48" spans="1:3" hidden="1" x14ac:dyDescent="0.25">
      <c r="A48" s="45" t="s">
        <v>243</v>
      </c>
      <c r="B48" s="48"/>
      <c r="C48" s="36" t="str">
        <f>CONCATENATE(B46," ",B34," ",B47,".",B48)</f>
        <v xml:space="preserve"> ПАО "Россети Московский регион" .</v>
      </c>
    </row>
    <row r="49" spans="1:3" x14ac:dyDescent="0.25">
      <c r="A49" s="207" t="s">
        <v>248</v>
      </c>
      <c r="B49" s="211"/>
    </row>
    <row r="50" spans="1:3" x14ac:dyDescent="0.25">
      <c r="A50" s="38" t="s">
        <v>235</v>
      </c>
      <c r="B50" s="86" t="s">
        <v>418</v>
      </c>
    </row>
    <row r="51" spans="1:3" x14ac:dyDescent="0.25">
      <c r="A51" s="39" t="s">
        <v>236</v>
      </c>
      <c r="B51" s="86" t="s">
        <v>237</v>
      </c>
    </row>
    <row r="52" spans="1:3" ht="30" x14ac:dyDescent="0.25">
      <c r="A52" s="39" t="s">
        <v>219</v>
      </c>
      <c r="B52" s="86" t="s">
        <v>424</v>
      </c>
    </row>
    <row r="53" spans="1:3" x14ac:dyDescent="0.25">
      <c r="A53" s="38" t="s">
        <v>249</v>
      </c>
      <c r="B53" s="86" t="s">
        <v>250</v>
      </c>
    </row>
    <row r="54" spans="1:3" x14ac:dyDescent="0.25">
      <c r="A54" s="38" t="s">
        <v>66</v>
      </c>
      <c r="B54" s="135" t="s">
        <v>486</v>
      </c>
    </row>
    <row r="55" spans="1:3" ht="36" customHeight="1" x14ac:dyDescent="0.25">
      <c r="A55" s="38" t="s">
        <v>251</v>
      </c>
      <c r="B55" s="86" t="str">
        <f>$B$3</f>
        <v>Реконструкция КТП-6/0,4 кВ кВ № 4118 путем замены трансформаторов 2х630 кВА на трансформаторы 2х1000 кВА и замены АВ в РУ-0,4 кВ, ПС-110/20/10/6 кВ № 429 Шереметьево, в т.ч. ПИР, МО, Солнечногорский р-н, г. Лобня, Шереметьевское ш., д.10</v>
      </c>
    </row>
    <row r="56" spans="1:3" x14ac:dyDescent="0.25">
      <c r="A56" s="205" t="s">
        <v>257</v>
      </c>
      <c r="B56" s="205"/>
    </row>
    <row r="57" spans="1:3" x14ac:dyDescent="0.25">
      <c r="A57" s="206"/>
      <c r="B57" s="206"/>
    </row>
    <row r="58" spans="1:3" x14ac:dyDescent="0.25">
      <c r="A58" s="38" t="s">
        <v>235</v>
      </c>
      <c r="B58" s="49" t="s">
        <v>252</v>
      </c>
      <c r="C58" s="36" t="str">
        <f>CONCATENATE(A56," ",B60,", ",A63," ",B63)</f>
        <v>Испытательная электролаборатория 141508, Московская область, г.о. Солнечногорск, г. Солнечногорск, ул. Промышленная, стр. 5, помещение 179, Свидетельсто о регистрации №5.3-6420 от 15 мая 2024г</v>
      </c>
    </row>
    <row r="59" spans="1:3" x14ac:dyDescent="0.25">
      <c r="A59" s="45" t="s">
        <v>236</v>
      </c>
      <c r="B59" s="50" t="s">
        <v>237</v>
      </c>
    </row>
    <row r="60" spans="1:3" x14ac:dyDescent="0.25">
      <c r="A60" s="45" t="s">
        <v>219</v>
      </c>
      <c r="B60" s="50" t="s">
        <v>253</v>
      </c>
    </row>
    <row r="61" spans="1:3" x14ac:dyDescent="0.25">
      <c r="A61" s="38" t="s">
        <v>238</v>
      </c>
      <c r="B61" s="49" t="s">
        <v>469</v>
      </c>
      <c r="C61" s="36" t="str">
        <f>CONCATENATE(B61," ",B58," ",B62)</f>
        <v>Руководитель ЭИЛ   ООО «Энергосистемы»  Щербаков А.А.</v>
      </c>
    </row>
    <row r="62" spans="1:3" x14ac:dyDescent="0.25">
      <c r="A62" s="38" t="s">
        <v>241</v>
      </c>
      <c r="B62" s="49" t="s">
        <v>254</v>
      </c>
    </row>
    <row r="63" spans="1:3" x14ac:dyDescent="0.25">
      <c r="A63" s="51" t="s">
        <v>255</v>
      </c>
      <c r="B63" s="68" t="s">
        <v>256</v>
      </c>
    </row>
    <row r="64" spans="1:3" x14ac:dyDescent="0.25">
      <c r="A64" s="41" t="s">
        <v>238</v>
      </c>
      <c r="B64" s="123" t="s">
        <v>470</v>
      </c>
    </row>
    <row r="65" spans="1:37" x14ac:dyDescent="0.25">
      <c r="A65" s="41" t="s">
        <v>241</v>
      </c>
      <c r="B65" s="68" t="s">
        <v>416</v>
      </c>
      <c r="C65" s="52"/>
      <c r="D65" s="52"/>
      <c r="E65" s="52"/>
      <c r="F65" s="52"/>
      <c r="G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</row>
    <row r="66" spans="1:37" x14ac:dyDescent="0.25">
      <c r="A66" s="41" t="s">
        <v>238</v>
      </c>
      <c r="B66" s="123" t="s">
        <v>471</v>
      </c>
      <c r="C66" s="52"/>
      <c r="D66" s="52"/>
      <c r="E66" s="52"/>
      <c r="F66" s="52"/>
      <c r="G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</row>
    <row r="67" spans="1:37" x14ac:dyDescent="0.25">
      <c r="A67" s="41" t="s">
        <v>241</v>
      </c>
      <c r="B67" s="124" t="s">
        <v>472</v>
      </c>
      <c r="C67" s="52"/>
      <c r="D67" s="52"/>
      <c r="E67" s="52"/>
      <c r="F67" s="52"/>
      <c r="G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</row>
    <row r="68" spans="1:37" x14ac:dyDescent="0.25">
      <c r="A68" s="51" t="s">
        <v>373</v>
      </c>
      <c r="B68" s="55" t="s">
        <v>374</v>
      </c>
      <c r="C68" s="52"/>
      <c r="D68" s="52"/>
      <c r="E68" s="52"/>
      <c r="F68" s="52"/>
      <c r="G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</row>
    <row r="69" spans="1:37" x14ac:dyDescent="0.25">
      <c r="C69" s="52"/>
      <c r="D69" s="52"/>
      <c r="E69" s="52"/>
      <c r="F69" s="52"/>
      <c r="G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</row>
    <row r="70" spans="1:37" x14ac:dyDescent="0.25">
      <c r="C70" s="52"/>
      <c r="D70" s="52"/>
      <c r="E70" s="52"/>
      <c r="F70" s="52"/>
      <c r="G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</row>
    <row r="71" spans="1:37" x14ac:dyDescent="0.25">
      <c r="C71" s="52"/>
      <c r="D71" s="52"/>
      <c r="E71" s="52"/>
      <c r="F71" s="52"/>
      <c r="G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</row>
    <row r="75" spans="1:37" ht="14.45" customHeight="1" x14ac:dyDescent="0.25"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</row>
    <row r="76" spans="1:37" ht="14.45" customHeight="1" x14ac:dyDescent="0.25"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</row>
    <row r="77" spans="1:37" x14ac:dyDescent="0.25"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</row>
    <row r="78" spans="1:37" x14ac:dyDescent="0.25"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</row>
    <row r="79" spans="1:37" x14ac:dyDescent="0.25"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</row>
    <row r="80" spans="1:37" x14ac:dyDescent="0.25"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</row>
    <row r="81" spans="2:37" x14ac:dyDescent="0.25"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</row>
    <row r="82" spans="2:37" x14ac:dyDescent="0.25"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</row>
    <row r="83" spans="2:37" x14ac:dyDescent="0.25"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</row>
    <row r="84" spans="2:37" x14ac:dyDescent="0.25"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</row>
    <row r="85" spans="2:37" x14ac:dyDescent="0.25"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</row>
    <row r="86" spans="2:37" x14ac:dyDescent="0.25"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</row>
    <row r="87" spans="2:37" x14ac:dyDescent="0.25"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</row>
    <row r="88" spans="2:37" x14ac:dyDescent="0.25"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</row>
    <row r="89" spans="2:37" ht="14.45" customHeight="1" x14ac:dyDescent="0.25"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</row>
    <row r="94" spans="2:37" ht="16.149999999999999" customHeight="1" x14ac:dyDescent="0.25">
      <c r="B94" s="54"/>
    </row>
  </sheetData>
  <mergeCells count="6">
    <mergeCell ref="A56:B57"/>
    <mergeCell ref="A1:B1"/>
    <mergeCell ref="A13:B13"/>
    <mergeCell ref="A21:B21"/>
    <mergeCell ref="A33:B33"/>
    <mergeCell ref="A49:B49"/>
  </mergeCells>
  <dataValidations count="1">
    <dataValidation type="list" allowBlank="1" showInputMessage="1" showErrorMessage="1" sqref="C64" xr:uid="{EDB156E9-10B4-4678-9225-10515064C262}">
      <formula1>ТП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42B9FF6-5E4B-4A46-96E9-D78B0F9DCE84}">
          <x14:formula1>
            <xm:f>'Данные организации'!$B$3:$D$3</xm:f>
          </x14:formula1>
          <xm:sqref>B52 B24</xm:sqref>
        </x14:dataValidation>
        <x14:dataValidation type="list" allowBlank="1" showInputMessage="1" showErrorMessage="1" xr:uid="{4A05EE42-7ED1-49AC-8558-4D32D7502259}">
          <x14:formula1>
            <xm:f>'Данные организации'!$B$1:$D$1</xm:f>
          </x14:formula1>
          <xm:sqref>B50 B22</xm:sqref>
        </x14:dataValidation>
        <x14:dataValidation type="list" allowBlank="1" showInputMessage="1" showErrorMessage="1" xr:uid="{F1D05B10-5545-4DAF-BFD6-AD347D0E12F3}">
          <x14:formula1>
            <xm:f>'Данные организации'!$B$2:$D$2</xm:f>
          </x14:formula1>
          <xm:sqref>B51 B23</xm:sqref>
        </x14:dataValidation>
        <x14:dataValidation type="list" allowBlank="1" showInputMessage="1" showErrorMessage="1" xr:uid="{069E0C70-8ECC-4519-9C3A-30AB6372B563}">
          <x14:formula1>
            <xm:f>'Данные организации'!$F$4:$G$4</xm:f>
          </x14:formula1>
          <xm:sqref>B4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F56B2-858D-493B-909F-96A80E758FAC}">
  <sheetPr>
    <tabColor rgb="FF92D050"/>
  </sheetPr>
  <dimension ref="A1:N13"/>
  <sheetViews>
    <sheetView zoomScale="115" zoomScaleNormal="115" workbookViewId="0">
      <selection activeCell="P10" sqref="P10"/>
    </sheetView>
  </sheetViews>
  <sheetFormatPr defaultRowHeight="15" x14ac:dyDescent="0.25"/>
  <cols>
    <col min="6" max="6" width="9.5703125" bestFit="1" customWidth="1"/>
  </cols>
  <sheetData>
    <row r="1" spans="1:14" x14ac:dyDescent="0.25">
      <c r="A1" s="218" t="s">
        <v>31</v>
      </c>
      <c r="B1" s="218" t="s">
        <v>43</v>
      </c>
      <c r="C1" s="218"/>
      <c r="D1" s="218"/>
      <c r="E1" s="218"/>
      <c r="F1" s="218" t="s">
        <v>499</v>
      </c>
      <c r="G1" s="219" t="s">
        <v>44</v>
      </c>
      <c r="H1" s="219"/>
      <c r="I1" s="218" t="s">
        <v>45</v>
      </c>
      <c r="J1" s="216" t="s">
        <v>500</v>
      </c>
      <c r="K1" s="217"/>
      <c r="M1" s="169"/>
      <c r="N1" s="171" t="s">
        <v>560</v>
      </c>
    </row>
    <row r="2" spans="1:14" ht="22.5" x14ac:dyDescent="0.25">
      <c r="A2" s="218"/>
      <c r="B2" s="218"/>
      <c r="C2" s="218"/>
      <c r="D2" s="218"/>
      <c r="E2" s="218"/>
      <c r="F2" s="218"/>
      <c r="G2" s="142" t="s">
        <v>46</v>
      </c>
      <c r="H2" s="142" t="s">
        <v>47</v>
      </c>
      <c r="I2" s="218"/>
      <c r="J2" s="217"/>
      <c r="K2" s="217"/>
      <c r="M2" s="170"/>
      <c r="N2" s="171" t="s">
        <v>561</v>
      </c>
    </row>
    <row r="3" spans="1:14" ht="23.1" customHeight="1" x14ac:dyDescent="0.25">
      <c r="A3" s="142">
        <v>2</v>
      </c>
      <c r="B3" s="212" t="s">
        <v>260</v>
      </c>
      <c r="C3" s="212"/>
      <c r="D3" s="212"/>
      <c r="E3" s="212"/>
      <c r="F3" s="142">
        <v>134</v>
      </c>
      <c r="G3" s="142" t="s">
        <v>265</v>
      </c>
      <c r="H3" s="142">
        <v>0.1</v>
      </c>
      <c r="I3" s="158">
        <v>47945</v>
      </c>
      <c r="J3" s="213" t="s">
        <v>614</v>
      </c>
      <c r="K3" s="213"/>
    </row>
    <row r="4" spans="1:14" ht="23.1" customHeight="1" x14ac:dyDescent="0.25">
      <c r="A4" s="142">
        <v>5</v>
      </c>
      <c r="B4" s="212" t="s">
        <v>258</v>
      </c>
      <c r="C4" s="212"/>
      <c r="D4" s="212"/>
      <c r="E4" s="212"/>
      <c r="F4" s="142" t="s">
        <v>259</v>
      </c>
      <c r="G4" s="142" t="s">
        <v>264</v>
      </c>
      <c r="H4" s="142" t="s">
        <v>48</v>
      </c>
      <c r="I4" s="158">
        <v>46850</v>
      </c>
      <c r="J4" s="215" t="s">
        <v>615</v>
      </c>
      <c r="K4" s="215"/>
    </row>
    <row r="5" spans="1:14" ht="23.1" customHeight="1" x14ac:dyDescent="0.25">
      <c r="A5" s="142">
        <v>6</v>
      </c>
      <c r="B5" s="212" t="s">
        <v>505</v>
      </c>
      <c r="C5" s="212"/>
      <c r="D5" s="212"/>
      <c r="E5" s="212"/>
      <c r="F5" s="142">
        <v>575164</v>
      </c>
      <c r="G5" s="142" t="s">
        <v>506</v>
      </c>
      <c r="H5" s="142">
        <v>0.2</v>
      </c>
      <c r="I5" s="158">
        <v>46859</v>
      </c>
      <c r="J5" s="213" t="s">
        <v>618</v>
      </c>
      <c r="K5" s="213"/>
    </row>
    <row r="6" spans="1:14" ht="23.1" customHeight="1" x14ac:dyDescent="0.25">
      <c r="A6" s="142">
        <v>7</v>
      </c>
      <c r="B6" s="212" t="s">
        <v>508</v>
      </c>
      <c r="C6" s="212"/>
      <c r="D6" s="212"/>
      <c r="E6" s="212"/>
      <c r="F6" s="142" t="s">
        <v>509</v>
      </c>
      <c r="G6" s="142" t="s">
        <v>510</v>
      </c>
      <c r="H6" s="142">
        <v>2.5000000000000001E-2</v>
      </c>
      <c r="I6" s="158">
        <v>46850</v>
      </c>
      <c r="J6" s="213" t="s">
        <v>616</v>
      </c>
      <c r="K6" s="213"/>
    </row>
    <row r="7" spans="1:14" ht="23.1" customHeight="1" x14ac:dyDescent="0.25">
      <c r="A7" s="142">
        <v>8</v>
      </c>
      <c r="B7" s="212" t="s">
        <v>511</v>
      </c>
      <c r="C7" s="212"/>
      <c r="D7" s="212"/>
      <c r="E7" s="212"/>
      <c r="F7" s="142" t="s">
        <v>512</v>
      </c>
      <c r="G7" s="142" t="s">
        <v>513</v>
      </c>
      <c r="H7" s="142">
        <v>2.5000000000000001E-2</v>
      </c>
      <c r="I7" s="158">
        <v>46850</v>
      </c>
      <c r="J7" s="213" t="s">
        <v>619</v>
      </c>
      <c r="K7" s="213"/>
    </row>
    <row r="8" spans="1:14" ht="23.1" customHeight="1" x14ac:dyDescent="0.25">
      <c r="A8" s="142">
        <v>9</v>
      </c>
      <c r="B8" s="212" t="s">
        <v>514</v>
      </c>
      <c r="C8" s="212"/>
      <c r="D8" s="212"/>
      <c r="E8" s="212"/>
      <c r="F8" s="142">
        <v>2305044479</v>
      </c>
      <c r="G8" s="142" t="s">
        <v>515</v>
      </c>
      <c r="H8" s="142">
        <v>2.5</v>
      </c>
      <c r="I8" s="158" t="s">
        <v>133</v>
      </c>
      <c r="J8" s="213" t="s">
        <v>516</v>
      </c>
      <c r="K8" s="213"/>
    </row>
    <row r="9" spans="1:14" ht="23.1" customHeight="1" x14ac:dyDescent="0.25">
      <c r="A9" s="142">
        <v>10</v>
      </c>
      <c r="B9" s="212" t="s">
        <v>503</v>
      </c>
      <c r="C9" s="212"/>
      <c r="D9" s="212"/>
      <c r="E9" s="212"/>
      <c r="F9" s="142">
        <v>914</v>
      </c>
      <c r="G9" s="142" t="s">
        <v>504</v>
      </c>
      <c r="H9" s="142">
        <v>0.2</v>
      </c>
      <c r="I9" s="391">
        <v>46171</v>
      </c>
      <c r="J9" s="214" t="s">
        <v>519</v>
      </c>
      <c r="K9" s="214"/>
    </row>
    <row r="10" spans="1:14" ht="23.1" customHeight="1" x14ac:dyDescent="0.25">
      <c r="A10" s="142">
        <v>11</v>
      </c>
      <c r="B10" s="212" t="s">
        <v>520</v>
      </c>
      <c r="C10" s="212"/>
      <c r="D10" s="212"/>
      <c r="E10" s="212"/>
      <c r="F10" s="142">
        <v>1</v>
      </c>
      <c r="G10" s="142" t="s">
        <v>515</v>
      </c>
      <c r="H10" s="142">
        <v>2.5</v>
      </c>
      <c r="I10" s="158" t="s">
        <v>133</v>
      </c>
      <c r="J10" s="213" t="s">
        <v>521</v>
      </c>
      <c r="K10" s="213"/>
    </row>
    <row r="11" spans="1:14" ht="23.1" customHeight="1" x14ac:dyDescent="0.25">
      <c r="A11" s="142">
        <v>12</v>
      </c>
      <c r="B11" s="212" t="s">
        <v>517</v>
      </c>
      <c r="C11" s="212"/>
      <c r="D11" s="212"/>
      <c r="E11" s="212"/>
      <c r="F11" s="142">
        <v>21091434</v>
      </c>
      <c r="G11" s="142" t="s">
        <v>518</v>
      </c>
      <c r="H11" s="142">
        <v>1.5</v>
      </c>
      <c r="I11" s="391">
        <v>46175</v>
      </c>
      <c r="J11" s="214" t="s">
        <v>522</v>
      </c>
      <c r="K11" s="214"/>
    </row>
    <row r="12" spans="1:14" ht="23.1" customHeight="1" x14ac:dyDescent="0.25">
      <c r="A12" s="142">
        <v>13</v>
      </c>
      <c r="B12" s="212" t="s">
        <v>261</v>
      </c>
      <c r="C12" s="212"/>
      <c r="D12" s="212"/>
      <c r="E12" s="212"/>
      <c r="F12" s="142">
        <v>15036</v>
      </c>
      <c r="G12" s="142" t="s">
        <v>262</v>
      </c>
      <c r="H12" s="142">
        <v>2</v>
      </c>
      <c r="I12" s="391">
        <v>46175</v>
      </c>
      <c r="J12" s="214" t="s">
        <v>502</v>
      </c>
      <c r="K12" s="214"/>
    </row>
    <row r="13" spans="1:14" ht="23.1" customHeight="1" x14ac:dyDescent="0.25">
      <c r="A13" s="142">
        <v>14</v>
      </c>
      <c r="B13" s="212" t="s">
        <v>263</v>
      </c>
      <c r="C13" s="212"/>
      <c r="D13" s="212"/>
      <c r="E13" s="212"/>
      <c r="F13" s="142">
        <v>3141</v>
      </c>
      <c r="G13" s="142" t="s">
        <v>266</v>
      </c>
      <c r="H13" s="142">
        <v>3</v>
      </c>
      <c r="I13" s="158">
        <v>46850</v>
      </c>
      <c r="J13" s="213" t="s">
        <v>617</v>
      </c>
      <c r="K13" s="213"/>
    </row>
  </sheetData>
  <mergeCells count="28">
    <mergeCell ref="J1:K2"/>
    <mergeCell ref="A1:A2"/>
    <mergeCell ref="B1:E2"/>
    <mergeCell ref="F1:F2"/>
    <mergeCell ref="G1:H1"/>
    <mergeCell ref="I1:I2"/>
    <mergeCell ref="B13:E13"/>
    <mergeCell ref="J13:K13"/>
    <mergeCell ref="B12:E12"/>
    <mergeCell ref="J12:K12"/>
    <mergeCell ref="B4:E4"/>
    <mergeCell ref="J4:K4"/>
    <mergeCell ref="B3:E3"/>
    <mergeCell ref="J3:K3"/>
    <mergeCell ref="B9:E9"/>
    <mergeCell ref="J9:K9"/>
    <mergeCell ref="B5:E5"/>
    <mergeCell ref="J5:K5"/>
    <mergeCell ref="B6:E6"/>
    <mergeCell ref="J6:K6"/>
    <mergeCell ref="B7:E7"/>
    <mergeCell ref="J7:K7"/>
    <mergeCell ref="B10:E10"/>
    <mergeCell ref="J10:K10"/>
    <mergeCell ref="B11:E11"/>
    <mergeCell ref="J11:K11"/>
    <mergeCell ref="B8:E8"/>
    <mergeCell ref="J8:K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BBE32-0360-4659-A9B5-79471533194A}">
  <dimension ref="A1:K55"/>
  <sheetViews>
    <sheetView view="pageBreakPreview" topLeftCell="A7" zoomScale="90" zoomScaleNormal="100" zoomScaleSheetLayoutView="90" workbookViewId="0">
      <selection activeCell="F41" sqref="F41"/>
    </sheetView>
  </sheetViews>
  <sheetFormatPr defaultColWidth="8.85546875" defaultRowHeight="12.75" x14ac:dyDescent="0.2"/>
  <cols>
    <col min="1" max="16384" width="8.85546875" style="69"/>
  </cols>
  <sheetData>
    <row r="1" spans="1:11" ht="18.75" x14ac:dyDescent="0.2">
      <c r="A1" s="82"/>
    </row>
    <row r="3" spans="1:11" ht="19.149999999999999" customHeight="1" x14ac:dyDescent="0.2">
      <c r="A3" s="221" t="s">
        <v>371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</row>
    <row r="4" spans="1:11" ht="16.149999999999999" customHeight="1" x14ac:dyDescent="0.2">
      <c r="A4" s="221" t="s">
        <v>372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</row>
    <row r="5" spans="1:11" ht="25.9" customHeight="1" x14ac:dyDescent="0.2">
      <c r="A5" s="235" t="str">
        <f>'Данные объект'!B58</f>
        <v xml:space="preserve"> ООО «Энергосистемы»</v>
      </c>
      <c r="B5" s="235"/>
      <c r="C5" s="235"/>
      <c r="D5" s="235"/>
      <c r="E5" s="235"/>
      <c r="F5" s="235"/>
      <c r="G5" s="235"/>
      <c r="H5" s="235"/>
      <c r="I5" s="235"/>
      <c r="J5" s="235"/>
      <c r="K5" s="235"/>
    </row>
    <row r="6" spans="1:11" ht="62.45" hidden="1" customHeight="1" x14ac:dyDescent="0.2">
      <c r="A6" s="235"/>
      <c r="B6" s="235"/>
      <c r="C6" s="235"/>
      <c r="D6" s="235"/>
      <c r="E6" s="235"/>
      <c r="F6" s="235"/>
      <c r="G6" s="235"/>
      <c r="H6" s="235"/>
      <c r="I6" s="235"/>
      <c r="J6" s="235"/>
      <c r="K6" s="235"/>
    </row>
    <row r="10" spans="1:11" ht="19.149999999999999" customHeight="1" x14ac:dyDescent="0.2">
      <c r="A10" s="233" t="s">
        <v>563</v>
      </c>
      <c r="B10" s="233"/>
      <c r="C10" s="233"/>
      <c r="D10" s="233"/>
      <c r="E10" s="233"/>
      <c r="F10" s="233"/>
      <c r="G10" s="233"/>
      <c r="H10" s="233"/>
      <c r="I10" s="233"/>
      <c r="J10" s="233"/>
      <c r="K10" s="233"/>
    </row>
    <row r="11" spans="1:11" ht="22.9" customHeight="1" x14ac:dyDescent="0.2">
      <c r="A11" s="233" t="str">
        <f>'Данные объект'!B63</f>
        <v>№5.3-6420 от 15 мая 2024г</v>
      </c>
      <c r="B11" s="233"/>
      <c r="C11" s="233"/>
      <c r="D11" s="233"/>
      <c r="E11" s="233"/>
      <c r="F11" s="233"/>
      <c r="G11" s="233"/>
      <c r="H11" s="233"/>
      <c r="I11" s="233"/>
      <c r="J11" s="233"/>
      <c r="K11" s="233"/>
    </row>
    <row r="12" spans="1:11" ht="21.6" customHeight="1" x14ac:dyDescent="0.2">
      <c r="A12" s="233" t="str">
        <f>'Данные объект'!B68</f>
        <v>Действительно до 16 мая 2027г</v>
      </c>
      <c r="B12" s="233"/>
      <c r="C12" s="233"/>
      <c r="D12" s="233"/>
      <c r="E12" s="233"/>
      <c r="F12" s="233"/>
      <c r="G12" s="233"/>
      <c r="H12" s="233"/>
      <c r="I12" s="233"/>
      <c r="J12" s="233"/>
      <c r="K12" s="233"/>
    </row>
    <row r="13" spans="1:11" ht="30" customHeight="1" x14ac:dyDescent="0.2">
      <c r="A13" s="229" t="str">
        <f>'Данные объект'!C22</f>
        <v xml:space="preserve">ООО"Энергосистемы" ОГРН 1135044003709  ИНН 5044089069 КПП 504401001 141508, Московская область, г.о. Солнечногорск, г. Солнечногорск, ул. Промышленная, стр. 5, помещение 179
</v>
      </c>
      <c r="B13" s="229"/>
      <c r="C13" s="229"/>
      <c r="D13" s="229"/>
      <c r="E13" s="229"/>
      <c r="F13" s="229"/>
      <c r="G13" s="229"/>
      <c r="H13" s="229"/>
      <c r="I13" s="229"/>
      <c r="J13" s="229"/>
      <c r="K13" s="229"/>
    </row>
    <row r="14" spans="1:11" ht="63" hidden="1" x14ac:dyDescent="0.2">
      <c r="A14" s="71" t="s">
        <v>367</v>
      </c>
    </row>
    <row r="15" spans="1:11" ht="63" hidden="1" x14ac:dyDescent="0.2">
      <c r="A15" s="71" t="s">
        <v>368</v>
      </c>
    </row>
    <row r="17" spans="1:11" hidden="1" x14ac:dyDescent="0.2"/>
    <row r="18" spans="1:11" hidden="1" x14ac:dyDescent="0.2"/>
    <row r="19" spans="1:11" hidden="1" x14ac:dyDescent="0.2"/>
    <row r="20" spans="1:11" ht="21.6" customHeight="1" x14ac:dyDescent="0.2">
      <c r="A20" s="234" t="s">
        <v>375</v>
      </c>
      <c r="B20" s="234"/>
      <c r="C20" s="234"/>
      <c r="D20" s="234"/>
      <c r="E20" s="234"/>
      <c r="F20" s="234"/>
      <c r="G20" s="234"/>
      <c r="H20" s="234"/>
      <c r="I20" s="234"/>
      <c r="J20" s="234"/>
      <c r="K20" s="234"/>
    </row>
    <row r="21" spans="1:11" ht="19.899999999999999" customHeight="1" x14ac:dyDescent="0.2">
      <c r="A21" s="234" t="str">
        <f>A5</f>
        <v xml:space="preserve"> ООО «Энергосистемы»</v>
      </c>
      <c r="B21" s="234"/>
      <c r="C21" s="234"/>
      <c r="D21" s="234"/>
      <c r="E21" s="234"/>
      <c r="F21" s="234"/>
      <c r="G21" s="234"/>
      <c r="H21" s="234"/>
      <c r="I21" s="234"/>
      <c r="J21" s="234"/>
      <c r="K21" s="234"/>
    </row>
    <row r="22" spans="1:11" hidden="1" x14ac:dyDescent="0.2">
      <c r="A22" s="83"/>
      <c r="B22" s="83"/>
      <c r="C22" s="83"/>
      <c r="D22" s="83"/>
      <c r="E22" s="83"/>
      <c r="F22" s="83"/>
      <c r="G22" s="83"/>
      <c r="H22" s="83"/>
      <c r="I22" s="83"/>
      <c r="J22" s="83"/>
      <c r="K22" s="83"/>
    </row>
    <row r="23" spans="1:11" ht="22.15" customHeight="1" x14ac:dyDescent="0.2">
      <c r="A23" s="234" t="str">
        <f>'Данные объект'!B62</f>
        <v xml:space="preserve"> Щербаков А.А.</v>
      </c>
      <c r="B23" s="234"/>
      <c r="C23" s="234"/>
      <c r="D23" s="234"/>
      <c r="E23" s="234"/>
      <c r="F23" s="234"/>
      <c r="G23" s="234"/>
      <c r="H23" s="234"/>
      <c r="I23" s="234"/>
      <c r="J23" s="234"/>
      <c r="K23" s="234"/>
    </row>
    <row r="25" spans="1:11" ht="21" customHeight="1" x14ac:dyDescent="0.2">
      <c r="A25" s="226"/>
      <c r="B25" s="226"/>
      <c r="C25" s="226"/>
      <c r="D25" s="226"/>
      <c r="E25" s="226"/>
      <c r="F25" s="226"/>
      <c r="G25" s="226"/>
      <c r="H25" s="226"/>
      <c r="I25" s="226"/>
      <c r="J25" s="226"/>
      <c r="K25" s="226"/>
    </row>
    <row r="29" spans="1:11" ht="26.45" customHeight="1" x14ac:dyDescent="0.2">
      <c r="A29" s="227" t="s">
        <v>562</v>
      </c>
      <c r="B29" s="227"/>
      <c r="C29" s="227"/>
      <c r="D29" s="227"/>
      <c r="E29" s="227"/>
      <c r="F29" s="227"/>
      <c r="G29" s="227"/>
      <c r="H29" s="228" t="str">
        <f>'Данные объект'!B8</f>
        <v>25.06.2025</v>
      </c>
      <c r="I29" s="228"/>
      <c r="J29" s="150"/>
      <c r="K29" s="149"/>
    </row>
    <row r="30" spans="1:11" ht="24.6" customHeight="1" x14ac:dyDescent="0.2">
      <c r="A30" s="230" t="s">
        <v>369</v>
      </c>
      <c r="B30" s="230"/>
      <c r="C30" s="230"/>
      <c r="D30" s="230"/>
      <c r="E30" s="230"/>
      <c r="F30" s="230"/>
      <c r="G30" s="230"/>
      <c r="H30" s="230"/>
      <c r="I30" s="230"/>
      <c r="J30" s="230"/>
      <c r="K30" s="230"/>
    </row>
    <row r="32" spans="1:11" ht="43.5" customHeight="1" x14ac:dyDescent="0.3">
      <c r="A32" s="231" t="str">
        <f>'Данные объект'!B14</f>
        <v xml:space="preserve">КТП № АСП № ВЛ от ТП ф. ВЛ от ТП ф. КЛ от ТП ф ВРЩ вблизи ТП </v>
      </c>
      <c r="B32" s="231"/>
      <c r="C32" s="231"/>
      <c r="D32" s="231"/>
      <c r="E32" s="231"/>
      <c r="F32" s="231"/>
      <c r="G32" s="231"/>
      <c r="H32" s="231"/>
      <c r="I32" s="231"/>
      <c r="J32" s="231"/>
      <c r="K32" s="231"/>
    </row>
    <row r="33" spans="1:11" ht="16.149999999999999" customHeight="1" x14ac:dyDescent="0.2">
      <c r="A33" s="232" t="s">
        <v>370</v>
      </c>
      <c r="B33" s="232"/>
      <c r="C33" s="232"/>
      <c r="D33" s="232"/>
      <c r="E33" s="232"/>
      <c r="F33" s="232"/>
      <c r="G33" s="232"/>
      <c r="H33" s="232"/>
      <c r="I33" s="232"/>
      <c r="J33" s="232"/>
      <c r="K33" s="232"/>
    </row>
    <row r="35" spans="1:11" ht="24" customHeight="1" x14ac:dyDescent="0.2">
      <c r="A35" s="222" t="s">
        <v>378</v>
      </c>
      <c r="B35" s="222"/>
      <c r="C35" s="225" t="str">
        <f>'Данные объект'!B5</f>
        <v>Лобня г, Шереметьевское ш, дом 10</v>
      </c>
      <c r="D35" s="225"/>
      <c r="E35" s="225"/>
      <c r="F35" s="225"/>
      <c r="G35" s="225"/>
      <c r="H35" s="225"/>
      <c r="I35" s="225"/>
      <c r="J35" s="225"/>
      <c r="K35" s="225"/>
    </row>
    <row r="36" spans="1:11" x14ac:dyDescent="0.2">
      <c r="A36" s="84"/>
      <c r="B36" s="84"/>
      <c r="C36" s="84"/>
      <c r="D36" s="84"/>
      <c r="E36" s="84"/>
      <c r="F36" s="84"/>
      <c r="G36" s="84"/>
      <c r="H36" s="84"/>
      <c r="I36" s="84"/>
      <c r="J36" s="84"/>
      <c r="K36" s="84"/>
    </row>
    <row r="37" spans="1:11" ht="31.15" customHeight="1" x14ac:dyDescent="0.2">
      <c r="A37" s="222" t="s">
        <v>376</v>
      </c>
      <c r="B37" s="222"/>
      <c r="C37" s="223" t="str">
        <f>'Данные объект'!B34</f>
        <v>ПАО "Россети Московский регион"</v>
      </c>
      <c r="D37" s="223"/>
      <c r="E37" s="223"/>
      <c r="F37" s="223"/>
      <c r="G37" s="223"/>
      <c r="H37" s="223"/>
      <c r="I37" s="223"/>
      <c r="J37" s="223"/>
      <c r="K37" s="223"/>
    </row>
    <row r="38" spans="1:11" x14ac:dyDescent="0.2">
      <c r="A38" s="84"/>
      <c r="B38" s="84"/>
      <c r="C38" s="84"/>
      <c r="D38" s="84"/>
      <c r="E38" s="84"/>
      <c r="F38" s="84"/>
      <c r="G38" s="84"/>
      <c r="H38" s="84"/>
      <c r="I38" s="84"/>
      <c r="J38" s="84"/>
      <c r="K38" s="84"/>
    </row>
    <row r="39" spans="1:11" ht="19.899999999999999" customHeight="1" x14ac:dyDescent="0.2">
      <c r="A39" s="224" t="s">
        <v>377</v>
      </c>
      <c r="B39" s="224"/>
      <c r="C39" s="224"/>
      <c r="D39" s="223" t="s">
        <v>379</v>
      </c>
      <c r="E39" s="223"/>
      <c r="F39" s="223"/>
      <c r="G39" s="223"/>
      <c r="H39" s="223"/>
      <c r="I39" s="223"/>
      <c r="J39" s="223"/>
      <c r="K39" s="223"/>
    </row>
    <row r="49" spans="1:11" ht="18" customHeight="1" x14ac:dyDescent="0.2">
      <c r="A49" s="221" t="s">
        <v>380</v>
      </c>
      <c r="B49" s="221"/>
      <c r="C49" s="103"/>
    </row>
    <row r="50" spans="1:11" ht="15.6" hidden="1" customHeight="1" x14ac:dyDescent="0.2">
      <c r="A50" s="220" t="s">
        <v>381</v>
      </c>
      <c r="B50" s="220"/>
      <c r="C50" s="220"/>
      <c r="D50" s="220"/>
      <c r="E50" s="220"/>
      <c r="F50" s="220"/>
      <c r="G50" s="220"/>
      <c r="H50" s="220"/>
      <c r="I50" s="220"/>
      <c r="J50" s="220"/>
      <c r="K50" s="220"/>
    </row>
    <row r="51" spans="1:11" ht="17.45" hidden="1" customHeight="1" x14ac:dyDescent="0.2">
      <c r="A51" s="220" t="s">
        <v>382</v>
      </c>
      <c r="B51" s="220"/>
      <c r="C51" s="220"/>
      <c r="D51" s="220"/>
      <c r="E51" s="220"/>
      <c r="F51" s="220"/>
      <c r="G51" s="220"/>
      <c r="H51" s="220"/>
      <c r="I51" s="220"/>
      <c r="J51" s="220"/>
      <c r="K51" s="220"/>
    </row>
    <row r="52" spans="1:11" ht="18" hidden="1" customHeight="1" x14ac:dyDescent="0.2">
      <c r="A52" s="220" t="s">
        <v>383</v>
      </c>
      <c r="B52" s="220"/>
      <c r="C52" s="220"/>
      <c r="D52" s="220"/>
      <c r="E52" s="220"/>
      <c r="F52" s="220"/>
      <c r="G52" s="220"/>
      <c r="H52" s="220"/>
      <c r="I52" s="220"/>
      <c r="J52" s="220"/>
      <c r="K52" s="220"/>
    </row>
    <row r="55" spans="1:11" x14ac:dyDescent="0.2">
      <c r="F55" s="172" t="str">
        <f>'Данные объект'!B9</f>
        <v>2025</v>
      </c>
    </row>
  </sheetData>
  <mergeCells count="26">
    <mergeCell ref="A3:K3"/>
    <mergeCell ref="A4:K4"/>
    <mergeCell ref="A5:K6"/>
    <mergeCell ref="A10:K10"/>
    <mergeCell ref="A11:K11"/>
    <mergeCell ref="A13:K13"/>
    <mergeCell ref="A30:K30"/>
    <mergeCell ref="A32:K32"/>
    <mergeCell ref="A33:K33"/>
    <mergeCell ref="A12:K12"/>
    <mergeCell ref="A20:K20"/>
    <mergeCell ref="A21:K21"/>
    <mergeCell ref="A23:K23"/>
    <mergeCell ref="A35:B35"/>
    <mergeCell ref="C35:K35"/>
    <mergeCell ref="D39:K39"/>
    <mergeCell ref="A25:K25"/>
    <mergeCell ref="A29:G29"/>
    <mergeCell ref="H29:I29"/>
    <mergeCell ref="A50:K50"/>
    <mergeCell ref="A51:K51"/>
    <mergeCell ref="A52:K52"/>
    <mergeCell ref="A49:B49"/>
    <mergeCell ref="A37:B37"/>
    <mergeCell ref="C37:K37"/>
    <mergeCell ref="A39:C39"/>
  </mergeCells>
  <pageMargins left="0.78740157480314965" right="0.47244094488188981" top="0.39370078740157483" bottom="0.39370078740157483" header="0.51181102362204722" footer="0.51181102362204722"/>
  <pageSetup paperSize="9" scale="9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6"/>
  <sheetViews>
    <sheetView view="pageBreakPreview" topLeftCell="A19" zoomScaleNormal="100" zoomScaleSheetLayoutView="100" workbookViewId="0">
      <selection activeCell="C28" sqref="C28"/>
    </sheetView>
  </sheetViews>
  <sheetFormatPr defaultColWidth="9.140625" defaultRowHeight="11.25" x14ac:dyDescent="0.2"/>
  <cols>
    <col min="1" max="1" width="9.5703125" style="3" bestFit="1" customWidth="1"/>
    <col min="2" max="2" width="10.5703125" style="3" bestFit="1" customWidth="1"/>
    <col min="3" max="3" width="6" style="3" bestFit="1" customWidth="1"/>
    <col min="4" max="4" width="7.140625" style="3" bestFit="1" customWidth="1"/>
    <col min="5" max="5" width="8.140625" style="3" bestFit="1" customWidth="1"/>
    <col min="6" max="6" width="9.7109375" style="3" bestFit="1" customWidth="1"/>
    <col min="7" max="7" width="10.7109375" style="3" customWidth="1"/>
    <col min="8" max="8" width="11.28515625" style="3" bestFit="1" customWidth="1"/>
    <col min="9" max="9" width="9.42578125" style="3"/>
    <col min="10" max="10" width="7.5703125" style="3"/>
    <col min="11" max="11" width="11.42578125" style="3"/>
    <col min="12" max="16384" width="9.140625" style="3"/>
  </cols>
  <sheetData>
    <row r="1" spans="1:11" ht="18.600000000000001" customHeight="1" x14ac:dyDescent="0.2">
      <c r="A1" s="262" t="str">
        <f>'Данные объект'!B58</f>
        <v xml:space="preserve"> ООО «Энергосистемы»</v>
      </c>
      <c r="B1" s="262"/>
      <c r="C1" s="262"/>
      <c r="D1" s="262"/>
      <c r="G1" s="4" t="s">
        <v>11</v>
      </c>
      <c r="H1" s="259" t="str">
        <f>'Данные объект'!B34</f>
        <v>ПАО "Россети Московский регион"</v>
      </c>
      <c r="I1" s="259"/>
      <c r="J1" s="259"/>
      <c r="K1" s="259"/>
    </row>
    <row r="2" spans="1:11" ht="37.5" customHeight="1" x14ac:dyDescent="0.2">
      <c r="A2" s="262" t="str">
        <f>'Данные объект'!C58</f>
        <v>Испытательная электролаборатория 141508, Московская область, г.о. Солнечногорск, г. Солнечногорск, ул. Промышленная, стр. 5, помещение 179, Свидетельсто о регистрации №5.3-6420 от 15 мая 2024г</v>
      </c>
      <c r="B2" s="262"/>
      <c r="C2" s="262"/>
      <c r="D2" s="262"/>
      <c r="G2" s="4" t="s">
        <v>12</v>
      </c>
      <c r="H2" s="260" t="str">
        <f>_xlfn.CONCAT('Данные объект'!$B$15, " ",'Данные объект'!$B$16)</f>
        <v>КТП № АСП №</v>
      </c>
      <c r="I2" s="260"/>
      <c r="J2" s="260"/>
      <c r="K2" s="260"/>
    </row>
    <row r="3" spans="1:11" ht="31.15" customHeight="1" x14ac:dyDescent="0.2">
      <c r="A3" s="262"/>
      <c r="B3" s="262"/>
      <c r="C3" s="262"/>
      <c r="D3" s="262"/>
      <c r="G3" s="4" t="s">
        <v>13</v>
      </c>
      <c r="H3" s="261" t="str">
        <f>'Данные объект'!B5</f>
        <v>Лобня г, Шереметьевское ш, дом 10</v>
      </c>
      <c r="I3" s="261"/>
      <c r="J3" s="261"/>
      <c r="K3" s="261"/>
    </row>
    <row r="4" spans="1:11" ht="15" customHeight="1" x14ac:dyDescent="0.2">
      <c r="A4" s="29"/>
      <c r="B4" s="29"/>
      <c r="C4" s="29"/>
      <c r="D4" s="29"/>
      <c r="G4" s="4"/>
      <c r="H4" s="4"/>
      <c r="I4" s="4"/>
      <c r="J4" s="4"/>
      <c r="K4" s="4"/>
    </row>
    <row r="5" spans="1:11" ht="10.15" customHeight="1" x14ac:dyDescent="0.2">
      <c r="A5" s="5"/>
      <c r="B5" s="249"/>
      <c r="C5" s="249"/>
      <c r="J5" s="249" t="s">
        <v>14</v>
      </c>
      <c r="K5" s="249"/>
    </row>
    <row r="6" spans="1:11" ht="10.15" customHeight="1" x14ac:dyDescent="0.2">
      <c r="A6" s="5"/>
      <c r="B6" s="250"/>
      <c r="C6" s="250"/>
      <c r="J6" s="263" t="str">
        <f>'Данные объект'!B8</f>
        <v>25.06.2025</v>
      </c>
      <c r="K6" s="263"/>
    </row>
    <row r="7" spans="1:11" ht="15.95" customHeight="1" x14ac:dyDescent="0.2">
      <c r="A7" s="250" t="s">
        <v>15</v>
      </c>
      <c r="B7" s="239"/>
      <c r="C7" s="239"/>
      <c r="D7" s="239"/>
      <c r="E7" s="239"/>
      <c r="F7" s="239"/>
      <c r="G7" s="239"/>
      <c r="H7" s="239"/>
      <c r="I7" s="239"/>
      <c r="J7" s="239"/>
      <c r="K7" s="239"/>
    </row>
    <row r="8" spans="1:11" ht="15.95" customHeight="1" x14ac:dyDescent="0.2">
      <c r="A8" s="238" t="s">
        <v>16</v>
      </c>
      <c r="B8" s="239"/>
      <c r="C8" s="239"/>
      <c r="D8" s="239"/>
      <c r="E8" s="239"/>
      <c r="F8" s="239"/>
      <c r="G8" s="239"/>
      <c r="H8" s="239"/>
      <c r="I8" s="239"/>
      <c r="J8" s="239"/>
      <c r="K8" s="239"/>
    </row>
    <row r="10" spans="1:11" x14ac:dyDescent="0.2">
      <c r="A10" s="236" t="s">
        <v>17</v>
      </c>
      <c r="B10" s="236"/>
      <c r="C10" s="236"/>
      <c r="D10" s="236"/>
      <c r="E10" s="236"/>
      <c r="F10" s="236"/>
      <c r="G10" s="236"/>
    </row>
    <row r="11" spans="1:11" x14ac:dyDescent="0.2">
      <c r="A11" s="237" t="s">
        <v>18</v>
      </c>
      <c r="B11" s="237"/>
      <c r="C11" s="237"/>
      <c r="D11" s="237"/>
      <c r="E11" s="237"/>
      <c r="F11" s="237"/>
      <c r="G11" s="237"/>
      <c r="H11" s="237"/>
      <c r="I11" s="6"/>
      <c r="J11" s="6"/>
      <c r="K11" s="6"/>
    </row>
    <row r="12" spans="1:11" ht="21" x14ac:dyDescent="0.2">
      <c r="A12" s="7" t="s">
        <v>19</v>
      </c>
      <c r="B12" s="8" t="s">
        <v>20</v>
      </c>
      <c r="C12" s="8"/>
      <c r="D12" s="8"/>
      <c r="E12" s="8"/>
      <c r="F12" s="8"/>
      <c r="G12" s="8"/>
      <c r="H12" s="8"/>
      <c r="I12" s="9"/>
      <c r="J12" s="9"/>
      <c r="K12" s="9"/>
    </row>
    <row r="13" spans="1:11" x14ac:dyDescent="0.2">
      <c r="A13" s="236" t="s">
        <v>21</v>
      </c>
      <c r="B13" s="236"/>
      <c r="C13" s="236"/>
      <c r="D13" s="237" t="s">
        <v>22</v>
      </c>
      <c r="E13" s="237"/>
      <c r="F13" s="237"/>
      <c r="G13" s="237"/>
      <c r="H13" s="237"/>
    </row>
    <row r="14" spans="1:11" x14ac:dyDescent="0.2">
      <c r="A14" s="238"/>
      <c r="B14" s="238"/>
      <c r="C14" s="238"/>
      <c r="D14" s="264" t="s">
        <v>23</v>
      </c>
      <c r="E14" s="264"/>
      <c r="F14" s="264"/>
      <c r="G14" s="264"/>
      <c r="H14" s="264"/>
    </row>
    <row r="15" spans="1:11" x14ac:dyDescent="0.2">
      <c r="A15" s="236" t="s">
        <v>24</v>
      </c>
      <c r="B15" s="236"/>
      <c r="C15" s="236"/>
      <c r="D15" s="236"/>
      <c r="E15" s="236"/>
      <c r="F15" s="237" t="s">
        <v>25</v>
      </c>
      <c r="G15" s="237"/>
      <c r="H15" s="237"/>
    </row>
    <row r="16" spans="1:11" x14ac:dyDescent="0.2">
      <c r="A16" s="238"/>
      <c r="B16" s="238"/>
      <c r="C16" s="238"/>
      <c r="D16" s="238"/>
      <c r="E16" s="238"/>
      <c r="F16" s="264" t="s">
        <v>26</v>
      </c>
      <c r="G16" s="264"/>
      <c r="H16" s="264"/>
    </row>
    <row r="17" spans="1:11" x14ac:dyDescent="0.2">
      <c r="A17" s="236" t="s">
        <v>27</v>
      </c>
      <c r="B17" s="236"/>
      <c r="C17" s="237" t="s">
        <v>28</v>
      </c>
      <c r="D17" s="237"/>
      <c r="E17" s="237"/>
      <c r="F17" s="237"/>
      <c r="G17" s="237"/>
      <c r="H17" s="237"/>
    </row>
    <row r="18" spans="1:11" x14ac:dyDescent="0.2">
      <c r="A18" s="236" t="s">
        <v>29</v>
      </c>
      <c r="B18" s="236"/>
      <c r="C18" s="236"/>
      <c r="D18" s="236"/>
      <c r="E18" s="237">
        <v>100</v>
      </c>
      <c r="F18" s="237"/>
      <c r="G18" s="237"/>
      <c r="H18" s="237"/>
    </row>
    <row r="19" spans="1:11" x14ac:dyDescent="0.2">
      <c r="A19" s="236" t="s">
        <v>30</v>
      </c>
      <c r="B19" s="236"/>
      <c r="C19" s="236"/>
      <c r="D19" s="236"/>
      <c r="E19" s="236"/>
      <c r="F19" s="236"/>
      <c r="G19" s="238"/>
      <c r="H19" s="238"/>
    </row>
    <row r="20" spans="1:11" ht="39.75" customHeight="1" x14ac:dyDescent="0.2">
      <c r="A20" s="216" t="s">
        <v>31</v>
      </c>
      <c r="B20" s="216" t="s">
        <v>191</v>
      </c>
      <c r="C20" s="216"/>
      <c r="D20" s="216"/>
      <c r="E20" s="266" t="s">
        <v>32</v>
      </c>
      <c r="F20" s="216" t="s">
        <v>10</v>
      </c>
      <c r="G20" s="216"/>
      <c r="H20" s="216"/>
      <c r="I20" s="216" t="s">
        <v>33</v>
      </c>
      <c r="J20" s="216" t="s">
        <v>8</v>
      </c>
      <c r="K20" s="216"/>
    </row>
    <row r="21" spans="1:11" ht="39.75" customHeight="1" x14ac:dyDescent="0.2">
      <c r="A21" s="216"/>
      <c r="B21" s="216"/>
      <c r="C21" s="216"/>
      <c r="D21" s="216"/>
      <c r="E21" s="266"/>
      <c r="F21" s="141" t="s">
        <v>34</v>
      </c>
      <c r="G21" s="141" t="s">
        <v>35</v>
      </c>
      <c r="H21" s="141" t="s">
        <v>36</v>
      </c>
      <c r="I21" s="216"/>
      <c r="J21" s="216"/>
      <c r="K21" s="216"/>
    </row>
    <row r="22" spans="1:11" ht="22.9" customHeight="1" x14ac:dyDescent="0.2">
      <c r="A22" s="133">
        <v>1</v>
      </c>
      <c r="B22" s="267" t="s">
        <v>480</v>
      </c>
      <c r="C22" s="267"/>
      <c r="D22" s="267"/>
      <c r="E22" s="133" t="s">
        <v>37</v>
      </c>
      <c r="F22" s="133" t="s">
        <v>39</v>
      </c>
      <c r="G22" s="133" t="s">
        <v>40</v>
      </c>
      <c r="H22" s="133" t="s">
        <v>40</v>
      </c>
      <c r="I22" s="133" t="s">
        <v>38</v>
      </c>
      <c r="J22" s="242" t="s">
        <v>9</v>
      </c>
      <c r="K22" s="242"/>
    </row>
    <row r="23" spans="1:11" ht="22.9" customHeight="1" x14ac:dyDescent="0.2">
      <c r="A23" s="133">
        <v>2</v>
      </c>
      <c r="B23" s="268" t="s">
        <v>59</v>
      </c>
      <c r="C23" s="269"/>
      <c r="D23" s="270"/>
      <c r="E23" s="133" t="s">
        <v>37</v>
      </c>
      <c r="F23" s="133" t="s">
        <v>39</v>
      </c>
      <c r="G23" s="133">
        <v>2.1</v>
      </c>
      <c r="H23" s="133">
        <v>2.2999999999999998</v>
      </c>
      <c r="I23" s="133" t="s">
        <v>38</v>
      </c>
      <c r="J23" s="242" t="s">
        <v>9</v>
      </c>
      <c r="K23" s="242"/>
    </row>
    <row r="24" spans="1:11" ht="22.9" customHeight="1" x14ac:dyDescent="0.2">
      <c r="A24" s="133"/>
      <c r="B24" s="271"/>
      <c r="C24" s="272"/>
      <c r="D24" s="273"/>
      <c r="E24" s="133"/>
      <c r="F24" s="133"/>
      <c r="G24" s="133"/>
      <c r="H24" s="133"/>
      <c r="I24" s="133"/>
      <c r="J24" s="243"/>
      <c r="K24" s="244"/>
    </row>
    <row r="25" spans="1:11" ht="12.95" customHeight="1" x14ac:dyDescent="0.2">
      <c r="A25" s="236" t="s">
        <v>41</v>
      </c>
      <c r="B25" s="239"/>
      <c r="C25" s="239"/>
      <c r="D25" s="239"/>
      <c r="E25" s="239"/>
      <c r="F25" s="239"/>
      <c r="G25" s="239"/>
      <c r="H25" s="239"/>
      <c r="I25" s="239"/>
      <c r="J25" s="239"/>
      <c r="K25" s="239"/>
    </row>
    <row r="26" spans="1:11" ht="13.15" customHeight="1" x14ac:dyDescent="0.2">
      <c r="A26" s="67" t="s">
        <v>333</v>
      </c>
      <c r="C26" s="168">
        <f>'Данные объект'!B10</f>
        <v>15</v>
      </c>
      <c r="D26" s="3" t="s">
        <v>328</v>
      </c>
    </row>
    <row r="27" spans="1:11" ht="12.95" customHeight="1" x14ac:dyDescent="0.2">
      <c r="A27" s="245" t="s">
        <v>334</v>
      </c>
      <c r="B27" s="245"/>
      <c r="C27" s="168">
        <f>'Данные объект'!B11</f>
        <v>70</v>
      </c>
      <c r="D27" s="3" t="s">
        <v>330</v>
      </c>
    </row>
    <row r="28" spans="1:11" ht="12.95" customHeight="1" x14ac:dyDescent="0.2">
      <c r="A28" s="66" t="s">
        <v>335</v>
      </c>
      <c r="C28" s="168" t="str">
        <f>'Данные объект'!B12</f>
        <v>745</v>
      </c>
      <c r="D28" s="3" t="s">
        <v>332</v>
      </c>
    </row>
    <row r="29" spans="1:11" ht="12.95" customHeight="1" x14ac:dyDescent="0.2">
      <c r="A29" s="236" t="s">
        <v>198</v>
      </c>
      <c r="B29" s="239"/>
      <c r="C29" s="239"/>
      <c r="D29" s="239"/>
      <c r="E29" s="239"/>
      <c r="F29" s="239"/>
      <c r="G29" s="239"/>
      <c r="H29" s="239"/>
      <c r="I29" s="239"/>
      <c r="J29" s="239"/>
      <c r="K29" s="239"/>
    </row>
    <row r="30" spans="1:11" ht="12.95" customHeight="1" x14ac:dyDescent="0.2">
      <c r="A30" s="236" t="s">
        <v>42</v>
      </c>
      <c r="B30" s="239"/>
      <c r="C30" s="239"/>
      <c r="D30" s="239"/>
      <c r="E30" s="239"/>
      <c r="F30" s="239"/>
      <c r="G30" s="239"/>
      <c r="H30" s="239"/>
      <c r="I30" s="239"/>
      <c r="J30" s="239"/>
      <c r="K30" s="239"/>
    </row>
    <row r="31" spans="1:11" x14ac:dyDescent="0.2">
      <c r="A31" s="252"/>
      <c r="B31" s="252"/>
      <c r="C31" s="21"/>
      <c r="D31" s="21"/>
      <c r="E31" s="21"/>
      <c r="F31" s="21"/>
      <c r="G31" s="241"/>
      <c r="H31" s="241"/>
    </row>
    <row r="32" spans="1:11" ht="24.95" customHeight="1" x14ac:dyDescent="0.2">
      <c r="A32" s="218" t="s">
        <v>31</v>
      </c>
      <c r="B32" s="218" t="s">
        <v>43</v>
      </c>
      <c r="C32" s="218"/>
      <c r="D32" s="218"/>
      <c r="E32" s="218"/>
      <c r="F32" s="218" t="s">
        <v>499</v>
      </c>
      <c r="G32" s="218" t="s">
        <v>44</v>
      </c>
      <c r="H32" s="218"/>
      <c r="I32" s="218" t="s">
        <v>45</v>
      </c>
      <c r="J32" s="216" t="s">
        <v>500</v>
      </c>
      <c r="K32" s="217"/>
    </row>
    <row r="33" spans="1:11" ht="24.95" customHeight="1" x14ac:dyDescent="0.2">
      <c r="A33" s="218"/>
      <c r="B33" s="218"/>
      <c r="C33" s="218"/>
      <c r="D33" s="218"/>
      <c r="E33" s="218"/>
      <c r="F33" s="218"/>
      <c r="G33" s="142" t="s">
        <v>46</v>
      </c>
      <c r="H33" s="142" t="s">
        <v>47</v>
      </c>
      <c r="I33" s="218"/>
      <c r="J33" s="217"/>
      <c r="K33" s="217"/>
    </row>
    <row r="34" spans="1:11" ht="23.1" customHeight="1" x14ac:dyDescent="0.2">
      <c r="A34" s="104">
        <v>1</v>
      </c>
      <c r="B34" s="212" t="s">
        <v>258</v>
      </c>
      <c r="C34" s="212"/>
      <c r="D34" s="212"/>
      <c r="E34" s="212"/>
      <c r="F34" s="142" t="s">
        <v>259</v>
      </c>
      <c r="G34" s="142" t="s">
        <v>264</v>
      </c>
      <c r="H34" s="142" t="s">
        <v>48</v>
      </c>
      <c r="I34" s="158">
        <f>Оборудование!I4</f>
        <v>46850</v>
      </c>
      <c r="J34" s="265" t="str">
        <f>Оборудование!J4</f>
        <v>С-ТТ/08-04-2026/517582908</v>
      </c>
      <c r="K34" s="265"/>
    </row>
    <row r="35" spans="1:11" ht="23.1" customHeight="1" x14ac:dyDescent="0.2">
      <c r="A35" s="104">
        <v>2</v>
      </c>
      <c r="B35" s="212" t="s">
        <v>260</v>
      </c>
      <c r="C35" s="212"/>
      <c r="D35" s="212"/>
      <c r="E35" s="212"/>
      <c r="F35" s="142">
        <v>134</v>
      </c>
      <c r="G35" s="142" t="s">
        <v>265</v>
      </c>
      <c r="H35" s="142">
        <v>0.1</v>
      </c>
      <c r="I35" s="158">
        <f>Оборудование!I3</f>
        <v>47945</v>
      </c>
      <c r="J35" s="240" t="str">
        <f>Оборудование!J3</f>
        <v>С-ТТ/08-04-2026/517582895</v>
      </c>
      <c r="K35" s="240"/>
    </row>
    <row r="36" spans="1:11" ht="23.1" customHeight="1" x14ac:dyDescent="0.2">
      <c r="A36" s="104">
        <v>3</v>
      </c>
      <c r="B36" s="212" t="s">
        <v>261</v>
      </c>
      <c r="C36" s="212"/>
      <c r="D36" s="212"/>
      <c r="E36" s="212"/>
      <c r="F36" s="142">
        <v>15036</v>
      </c>
      <c r="G36" s="142" t="s">
        <v>262</v>
      </c>
      <c r="H36" s="142">
        <v>2</v>
      </c>
      <c r="I36" s="158">
        <f>Оборудование!I12</f>
        <v>46175</v>
      </c>
      <c r="J36" s="240" t="str">
        <f>Оборудование!J12</f>
        <v>С-ТТ/02-06-2025/436900431</v>
      </c>
      <c r="K36" s="240"/>
    </row>
    <row r="37" spans="1:11" ht="23.1" customHeight="1" x14ac:dyDescent="0.2">
      <c r="A37" s="104">
        <v>4</v>
      </c>
      <c r="B37" s="212" t="s">
        <v>263</v>
      </c>
      <c r="C37" s="212"/>
      <c r="D37" s="212"/>
      <c r="E37" s="212"/>
      <c r="F37" s="142">
        <v>3141</v>
      </c>
      <c r="G37" s="142" t="s">
        <v>266</v>
      </c>
      <c r="H37" s="142">
        <v>3</v>
      </c>
      <c r="I37" s="158">
        <f>Оборудование!I13</f>
        <v>46850</v>
      </c>
      <c r="J37" s="240" t="str">
        <f>Оборудование!J13</f>
        <v>С-ТТ/08-04-2026/517582910</v>
      </c>
      <c r="K37" s="240"/>
    </row>
    <row r="38" spans="1:11" ht="26.1" customHeight="1" x14ac:dyDescent="0.2">
      <c r="A38" s="236" t="s">
        <v>199</v>
      </c>
      <c r="B38" s="239"/>
      <c r="C38" s="239"/>
      <c r="D38" s="239"/>
      <c r="E38" s="239"/>
      <c r="F38" s="239"/>
      <c r="G38" s="239"/>
      <c r="H38" s="239"/>
      <c r="I38" s="239"/>
      <c r="J38" s="239"/>
      <c r="K38" s="239"/>
    </row>
    <row r="39" spans="1:11" s="175" customFormat="1" ht="13.5" customHeight="1" x14ac:dyDescent="0.2">
      <c r="A39" s="67" t="s">
        <v>613</v>
      </c>
    </row>
    <row r="40" spans="1:11" ht="30" customHeight="1" x14ac:dyDescent="0.2">
      <c r="A40" s="245" t="s">
        <v>207</v>
      </c>
      <c r="B40" s="245"/>
      <c r="C40" s="247" t="str">
        <f>'Данные объект'!$B$64</f>
        <v>Зам. руководителя ЭИЛ</v>
      </c>
      <c r="D40" s="247"/>
      <c r="E40" s="247"/>
      <c r="G40" s="6"/>
      <c r="I40" s="247" t="str">
        <f>'Данные объект'!$B$65</f>
        <v>Фечин А.А.</v>
      </c>
      <c r="J40" s="247"/>
    </row>
    <row r="41" spans="1:11" ht="9" customHeight="1" x14ac:dyDescent="0.2">
      <c r="A41" s="32" t="s">
        <v>210</v>
      </c>
      <c r="C41" s="248" t="s">
        <v>208</v>
      </c>
      <c r="D41" s="248"/>
      <c r="E41" s="248"/>
      <c r="F41" s="33"/>
      <c r="G41" s="34" t="s">
        <v>209</v>
      </c>
      <c r="H41" s="33"/>
      <c r="I41" s="248" t="s">
        <v>211</v>
      </c>
      <c r="J41" s="248"/>
    </row>
    <row r="42" spans="1:11" ht="9.9499999999999993" customHeight="1" x14ac:dyDescent="0.2">
      <c r="A42" s="245" t="s">
        <v>49</v>
      </c>
      <c r="B42" s="239"/>
      <c r="C42" s="239"/>
      <c r="D42" s="239"/>
      <c r="E42" s="239"/>
      <c r="F42" s="239"/>
      <c r="G42" s="239"/>
      <c r="H42" s="239"/>
      <c r="I42" s="239"/>
      <c r="J42" s="239"/>
      <c r="K42" s="239"/>
    </row>
    <row r="43" spans="1:11" ht="20.100000000000001" customHeight="1" x14ac:dyDescent="0.2">
      <c r="A43" s="245" t="s">
        <v>50</v>
      </c>
      <c r="B43" s="245"/>
      <c r="C43" s="245"/>
      <c r="D43" s="245"/>
      <c r="E43" s="245"/>
      <c r="F43" s="245"/>
      <c r="G43" s="245"/>
      <c r="H43" s="245"/>
      <c r="I43" s="245"/>
      <c r="J43" s="245"/>
      <c r="K43" s="245"/>
    </row>
    <row r="44" spans="1:11" ht="30" customHeight="1" x14ac:dyDescent="0.2">
      <c r="A44" s="245"/>
      <c r="B44" s="245"/>
      <c r="C44" s="247" t="str">
        <f>'Данные объект'!$B$66</f>
        <v>Инженер ЭИЛ</v>
      </c>
      <c r="D44" s="247"/>
      <c r="E44" s="247"/>
      <c r="G44" s="6"/>
      <c r="I44" s="247" t="str">
        <f>'Данные объект'!$B$67</f>
        <v>Косырин А.Н.</v>
      </c>
      <c r="J44" s="247"/>
    </row>
    <row r="45" spans="1:11" ht="9" customHeight="1" x14ac:dyDescent="0.2">
      <c r="A45" s="32" t="s">
        <v>210</v>
      </c>
      <c r="C45" s="248" t="s">
        <v>208</v>
      </c>
      <c r="D45" s="248"/>
      <c r="E45" s="248"/>
      <c r="F45" s="33"/>
      <c r="G45" s="34" t="s">
        <v>209</v>
      </c>
      <c r="H45" s="33"/>
      <c r="I45" s="248" t="s">
        <v>211</v>
      </c>
      <c r="J45" s="248"/>
    </row>
    <row r="47" spans="1:11" ht="30" customHeight="1" x14ac:dyDescent="0.2">
      <c r="A47" s="245" t="s">
        <v>212</v>
      </c>
      <c r="B47" s="245"/>
      <c r="C47" s="247" t="str">
        <f>'Данные объект'!$B$61</f>
        <v xml:space="preserve">Руководитель ЭИЛ </v>
      </c>
      <c r="D47" s="247"/>
      <c r="E47" s="247"/>
      <c r="G47" s="6"/>
      <c r="I47" s="247" t="str">
        <f>'Данные объект'!$B$62</f>
        <v xml:space="preserve"> Щербаков А.А.</v>
      </c>
      <c r="J47" s="247"/>
    </row>
    <row r="48" spans="1:11" ht="9" customHeight="1" x14ac:dyDescent="0.2">
      <c r="A48" s="32" t="s">
        <v>210</v>
      </c>
      <c r="C48" s="248" t="s">
        <v>208</v>
      </c>
      <c r="D48" s="248"/>
      <c r="E48" s="248"/>
      <c r="F48" s="33"/>
      <c r="G48" s="34" t="s">
        <v>209</v>
      </c>
      <c r="H48" s="33"/>
      <c r="I48" s="248" t="s">
        <v>211</v>
      </c>
      <c r="J48" s="248"/>
    </row>
    <row r="50" spans="1:11" x14ac:dyDescent="0.2">
      <c r="A50" s="17"/>
      <c r="B50" s="18"/>
      <c r="C50" s="5"/>
    </row>
    <row r="51" spans="1:11" x14ac:dyDescent="0.2">
      <c r="A51" s="246"/>
      <c r="B51" s="19"/>
      <c r="C51" s="18"/>
    </row>
    <row r="52" spans="1:11" x14ac:dyDescent="0.2">
      <c r="A52" s="246"/>
      <c r="B52" s="19"/>
      <c r="C52" s="18"/>
    </row>
    <row r="53" spans="1:11" x14ac:dyDescent="0.2">
      <c r="A53" s="5"/>
      <c r="B53" s="249"/>
      <c r="C53" s="249"/>
    </row>
    <row r="54" spans="1:11" x14ac:dyDescent="0.2">
      <c r="A54" s="5"/>
      <c r="B54" s="250"/>
      <c r="C54" s="250"/>
    </row>
    <row r="55" spans="1:11" ht="15.95" customHeight="1" x14ac:dyDescent="0.2">
      <c r="A55" s="250"/>
      <c r="B55" s="239"/>
      <c r="C55" s="239"/>
      <c r="D55" s="239"/>
      <c r="E55" s="239"/>
      <c r="F55" s="239"/>
      <c r="G55" s="239"/>
      <c r="H55" s="239"/>
      <c r="I55" s="239"/>
      <c r="J55" s="239"/>
      <c r="K55" s="239"/>
    </row>
    <row r="56" spans="1:11" ht="15.95" customHeight="1" x14ac:dyDescent="0.2">
      <c r="A56" s="238"/>
      <c r="B56" s="239"/>
      <c r="C56" s="239"/>
      <c r="D56" s="239"/>
      <c r="E56" s="239"/>
      <c r="F56" s="239"/>
      <c r="G56" s="239"/>
      <c r="H56" s="239"/>
      <c r="I56" s="239"/>
      <c r="J56" s="239"/>
      <c r="K56" s="239"/>
    </row>
    <row r="58" spans="1:11" ht="12.95" customHeight="1" x14ac:dyDescent="0.2">
      <c r="A58" s="236"/>
      <c r="B58" s="239"/>
      <c r="C58" s="239"/>
      <c r="D58" s="239"/>
      <c r="E58" s="239"/>
      <c r="F58" s="239"/>
      <c r="G58" s="239"/>
      <c r="H58" s="239"/>
      <c r="I58" s="239"/>
      <c r="J58" s="239"/>
      <c r="K58" s="239"/>
    </row>
    <row r="59" spans="1:11" x14ac:dyDescent="0.2">
      <c r="A59" s="251"/>
      <c r="B59" s="251"/>
      <c r="C59" s="251"/>
      <c r="D59" s="251"/>
      <c r="E59" s="251"/>
      <c r="F59" s="251"/>
      <c r="G59" s="251"/>
      <c r="H59" s="251"/>
    </row>
    <row r="60" spans="1:11" x14ac:dyDescent="0.2">
      <c r="A60" s="251"/>
      <c r="B60" s="251"/>
      <c r="C60" s="249"/>
      <c r="D60" s="249"/>
      <c r="E60" s="249"/>
      <c r="F60" s="249"/>
      <c r="G60" s="251"/>
      <c r="H60" s="251"/>
    </row>
    <row r="61" spans="1:11" x14ac:dyDescent="0.2">
      <c r="A61" s="20"/>
      <c r="B61" s="245"/>
      <c r="C61" s="245"/>
      <c r="D61" s="249"/>
      <c r="E61" s="249"/>
      <c r="F61" s="249"/>
      <c r="G61" s="249"/>
      <c r="H61" s="251"/>
      <c r="I61" s="251"/>
    </row>
    <row r="62" spans="1:11" x14ac:dyDescent="0.2">
      <c r="A62" s="20"/>
      <c r="B62" s="245"/>
      <c r="C62" s="245"/>
      <c r="D62" s="249"/>
      <c r="E62" s="249"/>
      <c r="F62" s="249"/>
      <c r="G62" s="249"/>
      <c r="H62" s="249"/>
      <c r="I62" s="249"/>
    </row>
    <row r="63" spans="1:11" x14ac:dyDescent="0.2">
      <c r="A63" s="20"/>
      <c r="B63" s="245"/>
      <c r="C63" s="245"/>
      <c r="D63" s="249"/>
      <c r="E63" s="249"/>
      <c r="F63" s="249"/>
      <c r="G63" s="249"/>
      <c r="H63" s="249"/>
      <c r="I63" s="249"/>
    </row>
    <row r="64" spans="1:11" x14ac:dyDescent="0.2">
      <c r="A64" s="20"/>
      <c r="B64" s="245"/>
      <c r="C64" s="245"/>
      <c r="D64" s="249"/>
      <c r="E64" s="249"/>
      <c r="F64" s="249"/>
      <c r="G64" s="249"/>
      <c r="H64" s="249"/>
      <c r="I64" s="249"/>
    </row>
    <row r="65" spans="1:11" x14ac:dyDescent="0.2">
      <c r="A65" s="20"/>
      <c r="B65" s="245"/>
      <c r="C65" s="245"/>
      <c r="D65" s="251"/>
      <c r="E65" s="251"/>
      <c r="F65" s="251"/>
      <c r="G65" s="251"/>
      <c r="H65" s="251"/>
      <c r="I65" s="251"/>
    </row>
    <row r="66" spans="1:11" x14ac:dyDescent="0.2">
      <c r="A66" s="20"/>
      <c r="B66" s="245"/>
      <c r="C66" s="245"/>
      <c r="D66" s="249"/>
      <c r="E66" s="249"/>
      <c r="F66" s="249"/>
      <c r="G66" s="249"/>
      <c r="H66" s="249"/>
      <c r="I66" s="249"/>
    </row>
    <row r="67" spans="1:11" x14ac:dyDescent="0.2">
      <c r="A67" s="20"/>
      <c r="B67" s="245"/>
      <c r="C67" s="245"/>
      <c r="D67" s="251"/>
      <c r="E67" s="251"/>
      <c r="F67" s="251"/>
      <c r="G67" s="251"/>
      <c r="H67" s="251"/>
      <c r="I67" s="251"/>
    </row>
    <row r="68" spans="1:11" ht="26.1" customHeight="1" x14ac:dyDescent="0.2">
      <c r="A68" s="236"/>
      <c r="B68" s="239"/>
      <c r="C68" s="239"/>
      <c r="D68" s="239"/>
      <c r="E68" s="239"/>
      <c r="F68" s="239"/>
      <c r="G68" s="239"/>
      <c r="H68" s="239"/>
      <c r="I68" s="239"/>
      <c r="J68" s="239"/>
      <c r="K68" s="239"/>
    </row>
    <row r="69" spans="1:11" ht="12.95" customHeight="1" x14ac:dyDescent="0.2">
      <c r="A69" s="245"/>
      <c r="B69" s="239"/>
      <c r="C69" s="239"/>
      <c r="D69" s="239"/>
      <c r="E69" s="239"/>
      <c r="F69" s="239"/>
      <c r="G69" s="239"/>
      <c r="H69" s="239"/>
      <c r="I69" s="239"/>
      <c r="J69" s="239"/>
      <c r="K69" s="239"/>
    </row>
    <row r="70" spans="1:11" ht="12.95" customHeight="1" x14ac:dyDescent="0.2">
      <c r="A70" s="245"/>
      <c r="B70" s="239"/>
      <c r="C70" s="239"/>
      <c r="D70" s="239"/>
      <c r="E70" s="239"/>
      <c r="F70" s="239"/>
      <c r="G70" s="239"/>
      <c r="H70" s="239"/>
      <c r="I70" s="239"/>
      <c r="J70" s="239"/>
      <c r="K70" s="239"/>
    </row>
    <row r="71" spans="1:11" ht="12.95" customHeight="1" x14ac:dyDescent="0.2">
      <c r="A71" s="236"/>
      <c r="B71" s="239"/>
      <c r="C71" s="239"/>
      <c r="D71" s="239"/>
      <c r="E71" s="239"/>
      <c r="F71" s="239"/>
      <c r="G71" s="239"/>
      <c r="H71" s="239"/>
      <c r="I71" s="239"/>
      <c r="J71" s="239"/>
      <c r="K71" s="239"/>
    </row>
    <row r="72" spans="1:11" ht="12.95" customHeight="1" x14ac:dyDescent="0.2">
      <c r="A72" s="236"/>
      <c r="B72" s="239"/>
      <c r="C72" s="239"/>
      <c r="D72" s="239"/>
      <c r="E72" s="239"/>
      <c r="F72" s="239"/>
      <c r="G72" s="239"/>
      <c r="H72" s="239"/>
      <c r="I72" s="239"/>
      <c r="J72" s="239"/>
      <c r="K72" s="239"/>
    </row>
    <row r="73" spans="1:11" x14ac:dyDescent="0.2">
      <c r="A73" s="252"/>
      <c r="B73" s="252"/>
      <c r="C73" s="21"/>
      <c r="D73" s="21"/>
      <c r="E73" s="21"/>
      <c r="F73" s="21"/>
      <c r="G73" s="21"/>
    </row>
    <row r="74" spans="1:11" x14ac:dyDescent="0.2">
      <c r="A74" s="253"/>
      <c r="B74" s="253"/>
      <c r="C74" s="253"/>
      <c r="D74" s="253"/>
      <c r="E74" s="253"/>
      <c r="F74" s="253"/>
      <c r="G74" s="21"/>
    </row>
    <row r="75" spans="1:11" x14ac:dyDescent="0.2">
      <c r="A75" s="253"/>
      <c r="B75" s="253"/>
      <c r="C75" s="253"/>
      <c r="D75" s="21"/>
      <c r="E75" s="21"/>
      <c r="F75" s="253"/>
      <c r="G75" s="21"/>
    </row>
    <row r="76" spans="1:11" x14ac:dyDescent="0.2">
      <c r="A76" s="21"/>
      <c r="B76" s="22"/>
      <c r="C76" s="23"/>
      <c r="D76" s="23"/>
      <c r="E76" s="23"/>
      <c r="F76" s="24"/>
      <c r="G76" s="23"/>
    </row>
    <row r="77" spans="1:11" x14ac:dyDescent="0.2">
      <c r="A77" s="22"/>
      <c r="B77" s="22"/>
      <c r="C77" s="23"/>
      <c r="D77" s="23"/>
      <c r="E77" s="23"/>
      <c r="F77" s="24"/>
      <c r="G77" s="23"/>
    </row>
    <row r="78" spans="1:11" x14ac:dyDescent="0.2">
      <c r="A78" s="22"/>
      <c r="B78" s="21"/>
      <c r="C78" s="23"/>
      <c r="D78" s="23"/>
      <c r="E78" s="23"/>
      <c r="F78" s="24"/>
      <c r="G78" s="23"/>
    </row>
    <row r="79" spans="1:11" x14ac:dyDescent="0.2">
      <c r="A79" s="22"/>
      <c r="B79" s="21"/>
      <c r="C79" s="23"/>
      <c r="D79" s="23"/>
      <c r="E79" s="23"/>
      <c r="F79" s="24"/>
      <c r="G79" s="23"/>
    </row>
    <row r="81" spans="1:11" ht="12.95" customHeight="1" x14ac:dyDescent="0.2">
      <c r="A81" s="236"/>
      <c r="B81" s="239"/>
      <c r="C81" s="239"/>
      <c r="D81" s="239"/>
      <c r="E81" s="239"/>
      <c r="F81" s="239"/>
      <c r="G81" s="239"/>
      <c r="H81" s="239"/>
      <c r="I81" s="239"/>
      <c r="J81" s="239"/>
      <c r="K81" s="239"/>
    </row>
    <row r="82" spans="1:11" ht="26.1" customHeight="1" x14ac:dyDescent="0.2">
      <c r="A82" s="245"/>
      <c r="B82" s="239"/>
      <c r="C82" s="239"/>
      <c r="D82" s="239"/>
      <c r="E82" s="239"/>
      <c r="F82" s="239"/>
      <c r="G82" s="239"/>
      <c r="H82" s="239"/>
      <c r="I82" s="239"/>
      <c r="J82" s="239"/>
      <c r="K82" s="239"/>
    </row>
    <row r="83" spans="1:11" ht="12.95" customHeight="1" x14ac:dyDescent="0.2">
      <c r="A83" s="245"/>
      <c r="B83" s="239"/>
      <c r="C83" s="239"/>
      <c r="D83" s="239"/>
      <c r="E83" s="239"/>
      <c r="F83" s="239"/>
      <c r="G83" s="239"/>
      <c r="H83" s="239"/>
      <c r="I83" s="239"/>
      <c r="J83" s="239"/>
      <c r="K83" s="239"/>
    </row>
    <row r="84" spans="1:11" ht="12.95" customHeight="1" x14ac:dyDescent="0.2">
      <c r="A84" s="245"/>
      <c r="B84" s="239"/>
      <c r="C84" s="239"/>
      <c r="D84" s="239"/>
      <c r="E84" s="239"/>
      <c r="F84" s="239"/>
      <c r="G84" s="239"/>
      <c r="H84" s="239"/>
      <c r="I84" s="239"/>
      <c r="J84" s="239"/>
      <c r="K84" s="239"/>
    </row>
    <row r="85" spans="1:11" ht="26.1" customHeight="1" x14ac:dyDescent="0.2">
      <c r="A85" s="245"/>
      <c r="B85" s="239"/>
      <c r="C85" s="239"/>
      <c r="D85" s="239"/>
      <c r="E85" s="239"/>
      <c r="F85" s="239"/>
      <c r="G85" s="239"/>
      <c r="H85" s="239"/>
      <c r="I85" s="239"/>
      <c r="J85" s="239"/>
      <c r="K85" s="239"/>
    </row>
    <row r="87" spans="1:11" ht="30" customHeight="1" x14ac:dyDescent="0.2">
      <c r="A87" s="245"/>
      <c r="B87" s="239"/>
      <c r="C87" s="239"/>
      <c r="D87" s="239"/>
      <c r="E87" s="239"/>
      <c r="F87" s="239"/>
      <c r="G87" s="239"/>
      <c r="H87" s="239"/>
      <c r="I87" s="239"/>
      <c r="J87" s="239"/>
      <c r="K87" s="239"/>
    </row>
    <row r="88" spans="1:11" ht="20.100000000000001" customHeight="1" x14ac:dyDescent="0.2">
      <c r="A88" s="245"/>
      <c r="B88" s="239"/>
      <c r="C88" s="239"/>
      <c r="D88" s="239"/>
      <c r="E88" s="239"/>
      <c r="F88" s="239"/>
      <c r="G88" s="239"/>
      <c r="H88" s="239"/>
      <c r="I88" s="239"/>
      <c r="J88" s="239"/>
      <c r="K88" s="239"/>
    </row>
    <row r="89" spans="1:11" ht="9.9499999999999993" customHeight="1" x14ac:dyDescent="0.2">
      <c r="A89" s="245"/>
      <c r="B89" s="239"/>
      <c r="C89" s="239"/>
      <c r="D89" s="239"/>
      <c r="E89" s="239"/>
      <c r="F89" s="239"/>
      <c r="G89" s="239"/>
      <c r="H89" s="239"/>
      <c r="I89" s="239"/>
      <c r="J89" s="239"/>
      <c r="K89" s="239"/>
    </row>
    <row r="90" spans="1:11" ht="20.100000000000001" customHeight="1" x14ac:dyDescent="0.2">
      <c r="A90" s="245"/>
      <c r="B90" s="239"/>
      <c r="C90" s="239"/>
      <c r="D90" s="239"/>
      <c r="E90" s="239"/>
      <c r="F90" s="239"/>
      <c r="G90" s="239"/>
      <c r="H90" s="239"/>
      <c r="I90" s="239"/>
      <c r="J90" s="239"/>
      <c r="K90" s="239"/>
    </row>
    <row r="91" spans="1:11" ht="30" customHeight="1" x14ac:dyDescent="0.2">
      <c r="A91" s="245"/>
      <c r="B91" s="239"/>
      <c r="C91" s="239"/>
      <c r="D91" s="239"/>
      <c r="E91" s="239"/>
      <c r="F91" s="239"/>
      <c r="G91" s="239"/>
      <c r="H91" s="239"/>
      <c r="I91" s="239"/>
      <c r="J91" s="239"/>
      <c r="K91" s="239"/>
    </row>
    <row r="92" spans="1:11" ht="20.100000000000001" customHeight="1" x14ac:dyDescent="0.2">
      <c r="A92" s="245"/>
      <c r="B92" s="239"/>
      <c r="C92" s="239"/>
      <c r="D92" s="239"/>
      <c r="E92" s="239"/>
      <c r="F92" s="239"/>
      <c r="G92" s="239"/>
      <c r="H92" s="239"/>
      <c r="I92" s="239"/>
      <c r="J92" s="239"/>
      <c r="K92" s="239"/>
    </row>
    <row r="94" spans="1:11" ht="30" customHeight="1" x14ac:dyDescent="0.2">
      <c r="A94" s="245"/>
      <c r="B94" s="239"/>
      <c r="C94" s="239"/>
      <c r="D94" s="239"/>
      <c r="E94" s="239"/>
      <c r="F94" s="239"/>
      <c r="G94" s="239"/>
      <c r="H94" s="239"/>
      <c r="I94" s="239"/>
      <c r="J94" s="239"/>
      <c r="K94" s="239"/>
    </row>
    <row r="95" spans="1:11" ht="20.100000000000001" customHeight="1" x14ac:dyDescent="0.2">
      <c r="A95" s="245"/>
      <c r="B95" s="239"/>
      <c r="C95" s="239"/>
      <c r="D95" s="239"/>
      <c r="E95" s="239"/>
      <c r="F95" s="239"/>
      <c r="G95" s="239"/>
      <c r="H95" s="239"/>
      <c r="I95" s="239"/>
      <c r="J95" s="239"/>
      <c r="K95" s="239"/>
    </row>
    <row r="101" spans="1:11" x14ac:dyDescent="0.2">
      <c r="A101" s="17"/>
      <c r="B101" s="18"/>
      <c r="C101" s="5"/>
    </row>
    <row r="102" spans="1:11" x14ac:dyDescent="0.2">
      <c r="A102" s="246"/>
      <c r="B102" s="19"/>
      <c r="C102" s="18"/>
    </row>
    <row r="103" spans="1:11" x14ac:dyDescent="0.2">
      <c r="A103" s="246"/>
      <c r="B103" s="19"/>
      <c r="C103" s="18"/>
    </row>
    <row r="104" spans="1:11" x14ac:dyDescent="0.2">
      <c r="A104" s="5"/>
      <c r="B104" s="249"/>
      <c r="C104" s="249"/>
    </row>
    <row r="105" spans="1:11" x14ac:dyDescent="0.2">
      <c r="A105" s="5"/>
      <c r="B105" s="250"/>
      <c r="C105" s="250"/>
    </row>
    <row r="107" spans="1:11" ht="15.95" customHeight="1" x14ac:dyDescent="0.2">
      <c r="A107" s="250"/>
      <c r="B107" s="239"/>
      <c r="C107" s="239"/>
      <c r="D107" s="239"/>
      <c r="E107" s="239"/>
      <c r="F107" s="239"/>
      <c r="G107" s="239"/>
      <c r="H107" s="239"/>
      <c r="I107" s="239"/>
      <c r="J107" s="239"/>
      <c r="K107" s="239"/>
    </row>
    <row r="108" spans="1:11" ht="15.95" customHeight="1" x14ac:dyDescent="0.2">
      <c r="A108" s="238"/>
      <c r="B108" s="239"/>
      <c r="C108" s="239"/>
      <c r="D108" s="239"/>
      <c r="E108" s="239"/>
      <c r="F108" s="239"/>
      <c r="G108" s="239"/>
      <c r="H108" s="239"/>
      <c r="I108" s="239"/>
      <c r="J108" s="239"/>
      <c r="K108" s="239"/>
    </row>
    <row r="110" spans="1:11" x14ac:dyDescent="0.2">
      <c r="A110" s="4"/>
      <c r="B110" s="4"/>
      <c r="C110" s="4"/>
      <c r="D110" s="4"/>
      <c r="E110" s="4"/>
      <c r="F110" s="4"/>
      <c r="G110" s="4"/>
      <c r="H110" s="4"/>
    </row>
    <row r="111" spans="1:11" x14ac:dyDescent="0.2">
      <c r="A111" s="4"/>
      <c r="B111" s="254"/>
      <c r="C111" s="254"/>
      <c r="D111" s="254"/>
      <c r="E111" s="254"/>
      <c r="F111" s="254"/>
      <c r="G111" s="254"/>
      <c r="H111" s="254"/>
    </row>
    <row r="112" spans="1:11" x14ac:dyDescent="0.2">
      <c r="A112" s="4"/>
      <c r="B112" s="25"/>
      <c r="C112" s="4"/>
      <c r="D112" s="4"/>
      <c r="E112" s="4"/>
      <c r="F112" s="4"/>
      <c r="G112" s="4"/>
      <c r="H112" s="4"/>
    </row>
    <row r="113" spans="1:11" x14ac:dyDescent="0.2">
      <c r="A113" s="4"/>
      <c r="B113" s="25"/>
      <c r="C113" s="4"/>
      <c r="D113" s="4"/>
      <c r="E113" s="4"/>
      <c r="F113" s="4"/>
      <c r="G113" s="4"/>
      <c r="H113" s="4"/>
    </row>
    <row r="114" spans="1:11" x14ac:dyDescent="0.2">
      <c r="A114" s="4"/>
      <c r="B114" s="25"/>
      <c r="C114" s="4"/>
      <c r="D114" s="4"/>
      <c r="E114" s="4"/>
      <c r="F114" s="4"/>
      <c r="G114" s="4"/>
      <c r="H114" s="4"/>
    </row>
    <row r="115" spans="1:11" x14ac:dyDescent="0.2">
      <c r="A115" s="4"/>
      <c r="B115" s="254"/>
      <c r="C115" s="254"/>
      <c r="D115" s="254"/>
      <c r="E115" s="254"/>
      <c r="F115" s="254"/>
      <c r="G115" s="254"/>
      <c r="H115" s="254"/>
    </row>
    <row r="116" spans="1:11" x14ac:dyDescent="0.2">
      <c r="A116" s="4"/>
      <c r="B116" s="25"/>
      <c r="C116" s="4"/>
      <c r="D116" s="4"/>
      <c r="E116" s="4"/>
      <c r="F116" s="4"/>
      <c r="G116" s="4"/>
      <c r="H116" s="4"/>
    </row>
    <row r="117" spans="1:11" x14ac:dyDescent="0.2">
      <c r="A117" s="4"/>
      <c r="B117" s="25"/>
      <c r="C117" s="4"/>
      <c r="D117" s="4"/>
      <c r="E117" s="4"/>
      <c r="F117" s="4"/>
      <c r="G117" s="4"/>
      <c r="H117" s="4"/>
    </row>
    <row r="118" spans="1:11" x14ac:dyDescent="0.2">
      <c r="A118" s="4"/>
      <c r="B118" s="25"/>
      <c r="C118" s="4"/>
      <c r="D118" s="4"/>
      <c r="E118" s="4"/>
      <c r="F118" s="4"/>
      <c r="G118" s="4"/>
      <c r="H118" s="4"/>
    </row>
    <row r="119" spans="1:11" x14ac:dyDescent="0.2">
      <c r="A119" s="4"/>
      <c r="B119" s="254"/>
      <c r="C119" s="254"/>
      <c r="D119" s="254"/>
      <c r="E119" s="254"/>
      <c r="F119" s="254"/>
      <c r="G119" s="254"/>
      <c r="H119" s="254"/>
    </row>
    <row r="120" spans="1:11" x14ac:dyDescent="0.2">
      <c r="A120" s="4"/>
      <c r="B120" s="25"/>
      <c r="C120" s="4"/>
      <c r="D120" s="4"/>
      <c r="E120" s="4"/>
      <c r="F120" s="4"/>
      <c r="G120" s="4"/>
      <c r="H120" s="4"/>
    </row>
    <row r="121" spans="1:11" x14ac:dyDescent="0.2">
      <c r="A121" s="4"/>
      <c r="B121" s="25"/>
      <c r="C121" s="4"/>
      <c r="D121" s="4"/>
      <c r="E121" s="4"/>
      <c r="F121" s="4"/>
      <c r="G121" s="4"/>
      <c r="H121" s="4"/>
    </row>
    <row r="122" spans="1:11" x14ac:dyDescent="0.2">
      <c r="A122" s="4"/>
      <c r="B122" s="25"/>
      <c r="C122" s="4"/>
      <c r="D122" s="4"/>
      <c r="E122" s="4"/>
      <c r="F122" s="4"/>
      <c r="G122" s="4"/>
      <c r="H122" s="4"/>
    </row>
    <row r="124" spans="1:11" ht="12.95" customHeight="1" x14ac:dyDescent="0.2">
      <c r="A124" s="245"/>
      <c r="B124" s="239"/>
      <c r="C124" s="239"/>
      <c r="D124" s="239"/>
      <c r="E124" s="239"/>
      <c r="F124" s="239"/>
      <c r="G124" s="239"/>
      <c r="H124" s="239"/>
      <c r="I124" s="239"/>
      <c r="J124" s="239"/>
      <c r="K124" s="239"/>
    </row>
    <row r="125" spans="1:11" ht="12.95" customHeight="1" x14ac:dyDescent="0.2">
      <c r="A125" s="236"/>
      <c r="B125" s="239"/>
      <c r="C125" s="239"/>
      <c r="D125" s="239"/>
      <c r="E125" s="239"/>
      <c r="F125" s="239"/>
      <c r="G125" s="239"/>
      <c r="H125" s="239"/>
      <c r="I125" s="239"/>
      <c r="J125" s="239"/>
      <c r="K125" s="239"/>
    </row>
    <row r="126" spans="1:11" ht="12.95" customHeight="1" x14ac:dyDescent="0.2">
      <c r="A126" s="236"/>
      <c r="B126" s="239"/>
      <c r="C126" s="239"/>
      <c r="D126" s="239"/>
      <c r="E126" s="239"/>
      <c r="F126" s="239"/>
      <c r="G126" s="239"/>
      <c r="H126" s="239"/>
      <c r="I126" s="239"/>
      <c r="J126" s="239"/>
      <c r="K126" s="239"/>
    </row>
    <row r="128" spans="1:11" ht="12.95" customHeight="1" x14ac:dyDescent="0.2">
      <c r="A128" s="236"/>
      <c r="B128" s="239"/>
      <c r="C128" s="239"/>
      <c r="D128" s="239"/>
      <c r="E128" s="239"/>
      <c r="F128" s="239"/>
      <c r="G128" s="239"/>
      <c r="H128" s="239"/>
      <c r="I128" s="239"/>
      <c r="J128" s="239"/>
      <c r="K128" s="239"/>
    </row>
    <row r="129" spans="1:11" x14ac:dyDescent="0.2">
      <c r="A129" s="252"/>
      <c r="B129" s="252"/>
      <c r="C129" s="21"/>
      <c r="D129" s="21"/>
      <c r="E129" s="21"/>
      <c r="F129" s="21"/>
      <c r="G129" s="21"/>
    </row>
    <row r="130" spans="1:11" x14ac:dyDescent="0.2">
      <c r="A130" s="253"/>
      <c r="B130" s="253"/>
      <c r="C130" s="253"/>
      <c r="D130" s="253"/>
      <c r="E130" s="253"/>
      <c r="F130" s="253"/>
      <c r="G130" s="21"/>
    </row>
    <row r="131" spans="1:11" x14ac:dyDescent="0.2">
      <c r="A131" s="253"/>
      <c r="B131" s="253"/>
      <c r="C131" s="253"/>
      <c r="D131" s="21"/>
      <c r="E131" s="21"/>
      <c r="F131" s="253"/>
      <c r="G131" s="21"/>
    </row>
    <row r="132" spans="1:11" x14ac:dyDescent="0.2">
      <c r="A132" s="21"/>
      <c r="B132" s="22"/>
      <c r="C132" s="23"/>
      <c r="D132" s="23"/>
      <c r="E132" s="23"/>
      <c r="F132" s="24"/>
      <c r="G132" s="23"/>
    </row>
    <row r="133" spans="1:11" x14ac:dyDescent="0.2">
      <c r="A133" s="22"/>
      <c r="B133" s="22"/>
      <c r="C133" s="23"/>
      <c r="D133" s="23"/>
      <c r="E133" s="23"/>
      <c r="F133" s="24"/>
      <c r="G133" s="23"/>
    </row>
    <row r="134" spans="1:11" x14ac:dyDescent="0.2">
      <c r="A134" s="22"/>
      <c r="B134" s="21"/>
      <c r="C134" s="23"/>
      <c r="D134" s="23"/>
      <c r="E134" s="23"/>
      <c r="F134" s="24"/>
      <c r="G134" s="23"/>
    </row>
    <row r="135" spans="1:11" x14ac:dyDescent="0.2">
      <c r="A135" s="22"/>
      <c r="B135" s="21"/>
      <c r="C135" s="23"/>
      <c r="D135" s="23"/>
      <c r="E135" s="23"/>
      <c r="F135" s="24"/>
      <c r="G135" s="23"/>
    </row>
    <row r="137" spans="1:11" ht="30" customHeight="1" x14ac:dyDescent="0.2">
      <c r="A137" s="245"/>
      <c r="B137" s="239"/>
      <c r="C137" s="239"/>
      <c r="D137" s="239"/>
      <c r="E137" s="239"/>
      <c r="F137" s="239"/>
      <c r="G137" s="239"/>
      <c r="H137" s="239"/>
      <c r="I137" s="239"/>
      <c r="J137" s="239"/>
      <c r="K137" s="239"/>
    </row>
    <row r="138" spans="1:11" ht="20.100000000000001" customHeight="1" x14ac:dyDescent="0.2">
      <c r="A138" s="245"/>
      <c r="B138" s="239"/>
      <c r="C138" s="239"/>
      <c r="D138" s="239"/>
      <c r="E138" s="239"/>
      <c r="F138" s="239"/>
      <c r="G138" s="239"/>
      <c r="H138" s="239"/>
      <c r="I138" s="239"/>
      <c r="J138" s="239"/>
      <c r="K138" s="239"/>
    </row>
    <row r="139" spans="1:11" ht="9.9499999999999993" customHeight="1" x14ac:dyDescent="0.2">
      <c r="A139" s="245"/>
      <c r="B139" s="239"/>
      <c r="C139" s="239"/>
      <c r="D139" s="239"/>
      <c r="E139" s="239"/>
      <c r="F139" s="239"/>
      <c r="G139" s="239"/>
      <c r="H139" s="239"/>
      <c r="I139" s="239"/>
      <c r="J139" s="239"/>
      <c r="K139" s="239"/>
    </row>
    <row r="140" spans="1:11" ht="20.100000000000001" customHeight="1" x14ac:dyDescent="0.2">
      <c r="A140" s="245"/>
      <c r="B140" s="239"/>
      <c r="C140" s="239"/>
      <c r="D140" s="239"/>
      <c r="E140" s="239"/>
      <c r="F140" s="239"/>
      <c r="G140" s="239"/>
      <c r="H140" s="239"/>
      <c r="I140" s="239"/>
      <c r="J140" s="239"/>
      <c r="K140" s="239"/>
    </row>
    <row r="141" spans="1:11" ht="30" customHeight="1" x14ac:dyDescent="0.2">
      <c r="A141" s="245"/>
      <c r="B141" s="239"/>
      <c r="C141" s="239"/>
      <c r="D141" s="239"/>
      <c r="E141" s="239"/>
      <c r="F141" s="239"/>
      <c r="G141" s="239"/>
      <c r="H141" s="239"/>
      <c r="I141" s="239"/>
      <c r="J141" s="239"/>
      <c r="K141" s="239"/>
    </row>
    <row r="142" spans="1:11" ht="20.100000000000001" customHeight="1" x14ac:dyDescent="0.2">
      <c r="A142" s="245"/>
      <c r="B142" s="239"/>
      <c r="C142" s="239"/>
      <c r="D142" s="239"/>
      <c r="E142" s="239"/>
      <c r="F142" s="239"/>
      <c r="G142" s="239"/>
      <c r="H142" s="239"/>
      <c r="I142" s="239"/>
      <c r="J142" s="239"/>
      <c r="K142" s="239"/>
    </row>
    <row r="144" spans="1:11" ht="30" customHeight="1" x14ac:dyDescent="0.2">
      <c r="A144" s="245"/>
      <c r="B144" s="239"/>
      <c r="C144" s="239"/>
      <c r="D144" s="239"/>
      <c r="E144" s="239"/>
      <c r="F144" s="239"/>
      <c r="G144" s="239"/>
      <c r="H144" s="239"/>
      <c r="I144" s="239"/>
      <c r="J144" s="239"/>
      <c r="K144" s="239"/>
    </row>
    <row r="145" spans="1:11" ht="20.100000000000001" customHeight="1" x14ac:dyDescent="0.2">
      <c r="A145" s="245"/>
      <c r="B145" s="239"/>
      <c r="C145" s="239"/>
      <c r="D145" s="239"/>
      <c r="E145" s="239"/>
      <c r="F145" s="239"/>
      <c r="G145" s="239"/>
      <c r="H145" s="239"/>
      <c r="I145" s="239"/>
      <c r="J145" s="239"/>
      <c r="K145" s="239"/>
    </row>
    <row r="148" spans="1:11" x14ac:dyDescent="0.2">
      <c r="A148" s="17"/>
      <c r="B148" s="18"/>
      <c r="C148" s="5"/>
    </row>
    <row r="149" spans="1:11" x14ac:dyDescent="0.2">
      <c r="A149" s="246"/>
      <c r="B149" s="19"/>
      <c r="C149" s="18"/>
    </row>
    <row r="150" spans="1:11" x14ac:dyDescent="0.2">
      <c r="A150" s="246"/>
      <c r="B150" s="19"/>
      <c r="C150" s="18"/>
    </row>
    <row r="151" spans="1:11" x14ac:dyDescent="0.2">
      <c r="A151" s="5"/>
      <c r="B151" s="249"/>
      <c r="C151" s="249"/>
    </row>
    <row r="152" spans="1:11" x14ac:dyDescent="0.2">
      <c r="A152" s="5"/>
      <c r="B152" s="250"/>
      <c r="C152" s="250"/>
    </row>
    <row r="153" spans="1:11" ht="15.95" customHeight="1" x14ac:dyDescent="0.2">
      <c r="A153" s="250"/>
      <c r="B153" s="239"/>
      <c r="C153" s="239"/>
      <c r="D153" s="239"/>
      <c r="E153" s="239"/>
      <c r="F153" s="239"/>
      <c r="G153" s="239"/>
      <c r="H153" s="239"/>
      <c r="I153" s="239"/>
      <c r="J153" s="239"/>
      <c r="K153" s="239"/>
    </row>
    <row r="154" spans="1:11" ht="15.95" customHeight="1" x14ac:dyDescent="0.2">
      <c r="A154" s="238"/>
      <c r="B154" s="239"/>
      <c r="C154" s="239"/>
      <c r="D154" s="239"/>
      <c r="E154" s="239"/>
      <c r="F154" s="239"/>
      <c r="G154" s="239"/>
      <c r="H154" s="239"/>
      <c r="I154" s="239"/>
      <c r="J154" s="239"/>
      <c r="K154" s="239"/>
    </row>
    <row r="155" spans="1:11" ht="12.95" customHeight="1" x14ac:dyDescent="0.2">
      <c r="A155" s="245"/>
      <c r="B155" s="239"/>
      <c r="C155" s="239"/>
      <c r="D155" s="239"/>
      <c r="E155" s="239"/>
      <c r="F155" s="239"/>
      <c r="G155" s="239"/>
      <c r="H155" s="239"/>
      <c r="I155" s="239"/>
      <c r="J155" s="239"/>
      <c r="K155" s="239"/>
    </row>
    <row r="156" spans="1:11" x14ac:dyDescent="0.2">
      <c r="A156" s="26"/>
      <c r="B156" s="18"/>
      <c r="C156" s="26"/>
      <c r="D156" s="26"/>
      <c r="E156" s="26"/>
      <c r="F156" s="26"/>
      <c r="G156" s="4"/>
      <c r="H156" s="26"/>
      <c r="I156" s="18"/>
    </row>
    <row r="157" spans="1:11" x14ac:dyDescent="0.2">
      <c r="A157" s="251"/>
      <c r="B157" s="251"/>
      <c r="C157" s="4"/>
      <c r="D157" s="251"/>
      <c r="E157" s="4"/>
      <c r="F157" s="4"/>
      <c r="G157" s="251"/>
      <c r="H157" s="251"/>
      <c r="I157" s="251"/>
    </row>
    <row r="158" spans="1:11" x14ac:dyDescent="0.2">
      <c r="A158" s="251"/>
      <c r="B158" s="251"/>
      <c r="C158" s="4"/>
      <c r="D158" s="251"/>
      <c r="E158" s="4"/>
      <c r="F158" s="4"/>
      <c r="G158" s="251"/>
      <c r="H158" s="251"/>
      <c r="I158" s="251"/>
    </row>
    <row r="159" spans="1:11" ht="12.95" customHeight="1" x14ac:dyDescent="0.2">
      <c r="A159" s="245"/>
      <c r="B159" s="239"/>
      <c r="C159" s="239"/>
      <c r="D159" s="239"/>
      <c r="E159" s="239"/>
      <c r="F159" s="239"/>
      <c r="G159" s="239"/>
      <c r="H159" s="239"/>
      <c r="I159" s="239"/>
      <c r="J159" s="239"/>
      <c r="K159" s="239"/>
    </row>
    <row r="160" spans="1:11" x14ac:dyDescent="0.2">
      <c r="A160" s="245"/>
      <c r="B160" s="245"/>
      <c r="C160" s="245"/>
      <c r="D160" s="245"/>
      <c r="E160" s="245"/>
      <c r="F160" s="245"/>
      <c r="G160" s="245"/>
      <c r="H160" s="245"/>
    </row>
    <row r="161" spans="1:11" x14ac:dyDescent="0.2">
      <c r="A161" s="245"/>
      <c r="B161" s="245"/>
      <c r="C161" s="245"/>
      <c r="D161" s="245"/>
      <c r="E161" s="245"/>
      <c r="F161" s="245"/>
      <c r="G161" s="255"/>
      <c r="H161" s="255"/>
    </row>
    <row r="162" spans="1:11" x14ac:dyDescent="0.2">
      <c r="A162" s="245"/>
      <c r="B162" s="245"/>
      <c r="C162" s="245"/>
      <c r="D162" s="245"/>
      <c r="E162" s="245"/>
      <c r="F162" s="245"/>
      <c r="G162" s="255"/>
      <c r="H162" s="255"/>
    </row>
    <row r="163" spans="1:11" x14ac:dyDescent="0.2">
      <c r="A163" s="245"/>
      <c r="B163" s="20"/>
      <c r="C163" s="20"/>
      <c r="D163" s="20"/>
      <c r="E163" s="20"/>
      <c r="F163" s="20"/>
      <c r="G163" s="255"/>
      <c r="H163" s="255"/>
    </row>
    <row r="164" spans="1:11" x14ac:dyDescent="0.2">
      <c r="A164" s="4"/>
      <c r="B164" s="4"/>
      <c r="C164" s="4"/>
      <c r="D164" s="4"/>
      <c r="E164" s="4"/>
      <c r="F164" s="4"/>
      <c r="G164" s="4"/>
      <c r="H164" s="4"/>
    </row>
    <row r="165" spans="1:11" x14ac:dyDescent="0.2">
      <c r="A165" s="4"/>
      <c r="B165" s="4"/>
      <c r="C165" s="4"/>
      <c r="D165" s="4"/>
      <c r="E165" s="4"/>
      <c r="F165" s="4"/>
      <c r="G165" s="4"/>
      <c r="H165" s="4"/>
    </row>
    <row r="166" spans="1:11" x14ac:dyDescent="0.2">
      <c r="A166" s="4"/>
      <c r="B166" s="4"/>
      <c r="C166" s="4"/>
      <c r="D166" s="4"/>
      <c r="E166" s="4"/>
      <c r="F166" s="4"/>
      <c r="G166" s="4"/>
      <c r="H166" s="4"/>
    </row>
    <row r="167" spans="1:11" x14ac:dyDescent="0.2">
      <c r="A167" s="4"/>
      <c r="B167" s="4"/>
      <c r="C167" s="4"/>
      <c r="D167" s="4"/>
      <c r="E167" s="4"/>
      <c r="F167" s="4"/>
      <c r="G167" s="4"/>
      <c r="H167" s="4"/>
    </row>
    <row r="168" spans="1:11" ht="12.95" customHeight="1" x14ac:dyDescent="0.2">
      <c r="A168" s="245"/>
      <c r="B168" s="239"/>
      <c r="C168" s="239"/>
      <c r="D168" s="239"/>
      <c r="E168" s="239"/>
      <c r="F168" s="239"/>
      <c r="G168" s="239"/>
      <c r="H168" s="239"/>
      <c r="I168" s="239"/>
      <c r="J168" s="239"/>
      <c r="K168" s="239"/>
    </row>
    <row r="169" spans="1:11" ht="12.95" customHeight="1" x14ac:dyDescent="0.2">
      <c r="A169" s="245"/>
      <c r="B169" s="239"/>
      <c r="C169" s="239"/>
      <c r="D169" s="239"/>
      <c r="E169" s="239"/>
      <c r="F169" s="239"/>
      <c r="G169" s="239"/>
      <c r="H169" s="239"/>
      <c r="I169" s="239"/>
      <c r="J169" s="239"/>
      <c r="K169" s="239"/>
    </row>
    <row r="171" spans="1:11" ht="12.95" customHeight="1" x14ac:dyDescent="0.2">
      <c r="A171" s="245"/>
      <c r="B171" s="239"/>
      <c r="C171" s="239"/>
      <c r="D171" s="239"/>
      <c r="E171" s="239"/>
      <c r="F171" s="239"/>
      <c r="G171" s="239"/>
      <c r="H171" s="239"/>
      <c r="I171" s="239"/>
      <c r="J171" s="239"/>
      <c r="K171" s="239"/>
    </row>
    <row r="172" spans="1:11" ht="12.95" customHeight="1" x14ac:dyDescent="0.2">
      <c r="A172" s="245"/>
      <c r="B172" s="239"/>
      <c r="C172" s="239"/>
      <c r="D172" s="239"/>
      <c r="E172" s="239"/>
      <c r="F172" s="239"/>
      <c r="G172" s="239"/>
      <c r="H172" s="239"/>
      <c r="I172" s="239"/>
      <c r="J172" s="239"/>
      <c r="K172" s="239"/>
    </row>
    <row r="174" spans="1:11" ht="12.95" customHeight="1" x14ac:dyDescent="0.2">
      <c r="A174" s="245"/>
      <c r="B174" s="239"/>
      <c r="C174" s="239"/>
      <c r="D174" s="239"/>
      <c r="E174" s="239"/>
      <c r="F174" s="239"/>
      <c r="G174" s="239"/>
      <c r="H174" s="239"/>
      <c r="I174" s="239"/>
      <c r="J174" s="239"/>
      <c r="K174" s="239"/>
    </row>
    <row r="175" spans="1:11" ht="12.95" customHeight="1" x14ac:dyDescent="0.2">
      <c r="A175" s="245"/>
      <c r="B175" s="239"/>
      <c r="C175" s="239"/>
      <c r="D175" s="239"/>
      <c r="E175" s="239"/>
      <c r="F175" s="239"/>
      <c r="G175" s="239"/>
      <c r="H175" s="239"/>
      <c r="I175" s="239"/>
      <c r="J175" s="239"/>
      <c r="K175" s="239"/>
    </row>
    <row r="176" spans="1:11" x14ac:dyDescent="0.2">
      <c r="A176" s="251"/>
      <c r="B176" s="251"/>
      <c r="C176" s="251"/>
      <c r="D176" s="251"/>
      <c r="E176" s="251"/>
      <c r="F176" s="251"/>
      <c r="G176" s="251"/>
      <c r="H176" s="251"/>
      <c r="I176" s="251"/>
      <c r="J176" s="251"/>
    </row>
    <row r="177" spans="1:11" x14ac:dyDescent="0.2">
      <c r="A177" s="251"/>
      <c r="B177" s="251"/>
      <c r="C177" s="251"/>
      <c r="D177" s="251"/>
      <c r="E177" s="251"/>
      <c r="F177" s="251"/>
      <c r="G177" s="251"/>
      <c r="H177" s="251"/>
      <c r="I177" s="251"/>
      <c r="J177" s="251"/>
    </row>
    <row r="178" spans="1:11" x14ac:dyDescent="0.2">
      <c r="A178" s="251"/>
      <c r="B178" s="4"/>
      <c r="C178" s="4"/>
      <c r="D178" s="251"/>
      <c r="E178" s="4"/>
      <c r="F178" s="4"/>
      <c r="G178" s="251"/>
      <c r="H178" s="4"/>
      <c r="I178" s="4"/>
      <c r="J178" s="251"/>
    </row>
    <row r="179" spans="1:1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 spans="1:1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 spans="1:1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 spans="1:1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 spans="1:1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 spans="1:11" ht="12.95" customHeight="1" x14ac:dyDescent="0.2">
      <c r="A184" s="245"/>
      <c r="B184" s="239"/>
      <c r="C184" s="239"/>
      <c r="D184" s="239"/>
      <c r="E184" s="239"/>
      <c r="F184" s="239"/>
      <c r="G184" s="239"/>
      <c r="H184" s="239"/>
      <c r="I184" s="239"/>
      <c r="J184" s="239"/>
      <c r="K184" s="239"/>
    </row>
    <row r="186" spans="1:11" ht="12.95" customHeight="1" x14ac:dyDescent="0.2">
      <c r="A186" s="245"/>
      <c r="B186" s="239"/>
      <c r="C186" s="239"/>
      <c r="D186" s="239"/>
      <c r="E186" s="239"/>
      <c r="F186" s="239"/>
      <c r="G186" s="239"/>
      <c r="H186" s="239"/>
      <c r="I186" s="239"/>
      <c r="J186" s="239"/>
      <c r="K186" s="239"/>
    </row>
    <row r="187" spans="1:11" ht="12.95" customHeight="1" x14ac:dyDescent="0.2">
      <c r="A187" s="245"/>
      <c r="B187" s="239"/>
      <c r="C187" s="239"/>
      <c r="D187" s="239"/>
      <c r="E187" s="239"/>
      <c r="F187" s="239"/>
      <c r="G187" s="239"/>
      <c r="H187" s="239"/>
      <c r="I187" s="239"/>
      <c r="J187" s="239"/>
      <c r="K187" s="239"/>
    </row>
    <row r="195" spans="1:11" ht="12.95" customHeight="1" x14ac:dyDescent="0.2">
      <c r="A195" s="245"/>
      <c r="B195" s="239"/>
      <c r="C195" s="239"/>
      <c r="D195" s="239"/>
      <c r="E195" s="239"/>
      <c r="F195" s="239"/>
      <c r="G195" s="239"/>
      <c r="H195" s="239"/>
      <c r="I195" s="239"/>
      <c r="J195" s="239"/>
      <c r="K195" s="239"/>
    </row>
    <row r="196" spans="1:11" x14ac:dyDescent="0.2">
      <c r="A196" s="252"/>
      <c r="B196" s="252"/>
      <c r="C196" s="21"/>
      <c r="D196" s="21"/>
      <c r="E196" s="21"/>
      <c r="F196" s="21"/>
      <c r="G196" s="21"/>
    </row>
    <row r="197" spans="1:11" x14ac:dyDescent="0.2">
      <c r="A197" s="253"/>
      <c r="B197" s="253"/>
      <c r="C197" s="253"/>
      <c r="D197" s="253"/>
      <c r="E197" s="253"/>
      <c r="F197" s="253"/>
      <c r="G197" s="21"/>
    </row>
    <row r="198" spans="1:11" x14ac:dyDescent="0.2">
      <c r="A198" s="253"/>
      <c r="B198" s="253"/>
      <c r="C198" s="253"/>
      <c r="D198" s="21"/>
      <c r="E198" s="21"/>
      <c r="F198" s="253"/>
      <c r="G198" s="21"/>
    </row>
    <row r="199" spans="1:11" x14ac:dyDescent="0.2">
      <c r="A199" s="21"/>
      <c r="B199" s="22"/>
      <c r="C199" s="23"/>
      <c r="D199" s="23"/>
      <c r="E199" s="23"/>
      <c r="F199" s="24"/>
      <c r="G199" s="23"/>
    </row>
    <row r="200" spans="1:11" x14ac:dyDescent="0.2">
      <c r="A200" s="22"/>
      <c r="B200" s="22"/>
      <c r="C200" s="23"/>
      <c r="D200" s="23"/>
      <c r="E200" s="23"/>
      <c r="F200" s="24"/>
      <c r="G200" s="23"/>
    </row>
    <row r="201" spans="1:11" x14ac:dyDescent="0.2">
      <c r="A201" s="22"/>
      <c r="B201" s="21"/>
      <c r="C201" s="23"/>
      <c r="D201" s="23"/>
      <c r="E201" s="23"/>
      <c r="F201" s="24"/>
      <c r="G201" s="23"/>
    </row>
    <row r="202" spans="1:11" x14ac:dyDescent="0.2">
      <c r="A202" s="22"/>
      <c r="B202" s="21"/>
      <c r="C202" s="23"/>
      <c r="D202" s="23"/>
      <c r="E202" s="23"/>
      <c r="F202" s="24"/>
      <c r="G202" s="23"/>
    </row>
    <row r="204" spans="1:11" x14ac:dyDescent="0.2">
      <c r="A204" s="245"/>
      <c r="B204" s="239"/>
      <c r="C204" s="239"/>
      <c r="D204" s="239"/>
      <c r="E204" s="239"/>
      <c r="F204" s="239"/>
      <c r="G204" s="239"/>
      <c r="H204" s="239"/>
      <c r="I204" s="239"/>
      <c r="J204" s="239"/>
      <c r="K204" s="239"/>
    </row>
    <row r="207" spans="1:11" ht="30" customHeight="1" x14ac:dyDescent="0.2">
      <c r="A207" s="245"/>
      <c r="B207" s="239"/>
      <c r="C207" s="239"/>
      <c r="D207" s="239"/>
      <c r="E207" s="239"/>
      <c r="F207" s="239"/>
      <c r="G207" s="239"/>
      <c r="H207" s="239"/>
      <c r="I207" s="239"/>
      <c r="J207" s="239"/>
      <c r="K207" s="239"/>
    </row>
    <row r="208" spans="1:11" ht="20.100000000000001" customHeight="1" x14ac:dyDescent="0.2">
      <c r="A208" s="245"/>
      <c r="B208" s="239"/>
      <c r="C208" s="239"/>
      <c r="D208" s="239"/>
      <c r="E208" s="239"/>
      <c r="F208" s="239"/>
      <c r="G208" s="239"/>
      <c r="H208" s="239"/>
      <c r="I208" s="239"/>
      <c r="J208" s="239"/>
      <c r="K208" s="239"/>
    </row>
    <row r="209" spans="1:11" ht="9.9499999999999993" customHeight="1" x14ac:dyDescent="0.2">
      <c r="A209" s="245"/>
      <c r="B209" s="239"/>
      <c r="C209" s="239"/>
      <c r="D209" s="239"/>
      <c r="E209" s="239"/>
      <c r="F209" s="239"/>
      <c r="G209" s="239"/>
      <c r="H209" s="239"/>
      <c r="I209" s="239"/>
      <c r="J209" s="239"/>
      <c r="K209" s="239"/>
    </row>
    <row r="210" spans="1:11" ht="20.100000000000001" customHeight="1" x14ac:dyDescent="0.2">
      <c r="A210" s="245"/>
      <c r="B210" s="239"/>
      <c r="C210" s="239"/>
      <c r="D210" s="239"/>
      <c r="E210" s="239"/>
      <c r="F210" s="239"/>
      <c r="G210" s="239"/>
      <c r="H210" s="239"/>
      <c r="I210" s="239"/>
      <c r="J210" s="239"/>
      <c r="K210" s="239"/>
    </row>
    <row r="211" spans="1:11" ht="30" customHeight="1" x14ac:dyDescent="0.2">
      <c r="A211" s="245"/>
      <c r="B211" s="239"/>
      <c r="C211" s="239"/>
      <c r="D211" s="239"/>
      <c r="E211" s="239"/>
      <c r="F211" s="239"/>
      <c r="G211" s="239"/>
      <c r="H211" s="239"/>
      <c r="I211" s="239"/>
      <c r="J211" s="239"/>
      <c r="K211" s="239"/>
    </row>
    <row r="212" spans="1:11" ht="20.100000000000001" customHeight="1" x14ac:dyDescent="0.2">
      <c r="A212" s="245"/>
      <c r="B212" s="239"/>
      <c r="C212" s="239"/>
      <c r="D212" s="239"/>
      <c r="E212" s="239"/>
      <c r="F212" s="239"/>
      <c r="G212" s="239"/>
      <c r="H212" s="239"/>
      <c r="I212" s="239"/>
      <c r="J212" s="239"/>
      <c r="K212" s="239"/>
    </row>
    <row r="214" spans="1:11" ht="30" customHeight="1" x14ac:dyDescent="0.2">
      <c r="A214" s="245"/>
      <c r="B214" s="239"/>
      <c r="C214" s="239"/>
      <c r="D214" s="239"/>
      <c r="E214" s="239"/>
      <c r="F214" s="239"/>
      <c r="G214" s="239"/>
      <c r="H214" s="239"/>
      <c r="I214" s="239"/>
      <c r="J214" s="239"/>
      <c r="K214" s="239"/>
    </row>
    <row r="215" spans="1:11" ht="20.100000000000001" customHeight="1" x14ac:dyDescent="0.2">
      <c r="A215" s="245"/>
      <c r="B215" s="239"/>
      <c r="C215" s="239"/>
      <c r="D215" s="239"/>
      <c r="E215" s="239"/>
      <c r="F215" s="239"/>
      <c r="G215" s="239"/>
      <c r="H215" s="239"/>
      <c r="I215" s="239"/>
      <c r="J215" s="239"/>
      <c r="K215" s="239"/>
    </row>
    <row r="255" spans="1:3" x14ac:dyDescent="0.2">
      <c r="A255" s="17"/>
      <c r="B255" s="18"/>
      <c r="C255" s="5"/>
    </row>
    <row r="256" spans="1:3" x14ac:dyDescent="0.2">
      <c r="A256" s="246"/>
      <c r="B256" s="19"/>
      <c r="C256" s="18"/>
    </row>
    <row r="257" spans="1:11" x14ac:dyDescent="0.2">
      <c r="A257" s="246"/>
      <c r="B257" s="19"/>
      <c r="C257" s="18"/>
    </row>
    <row r="258" spans="1:11" x14ac:dyDescent="0.2">
      <c r="A258" s="5"/>
      <c r="B258" s="249"/>
      <c r="C258" s="249"/>
    </row>
    <row r="259" spans="1:11" x14ac:dyDescent="0.2">
      <c r="A259" s="5"/>
      <c r="B259" s="250"/>
      <c r="C259" s="250"/>
    </row>
    <row r="260" spans="1:11" ht="15.95" customHeight="1" x14ac:dyDescent="0.2">
      <c r="A260" s="250"/>
      <c r="B260" s="239"/>
      <c r="C260" s="239"/>
      <c r="D260" s="239"/>
      <c r="E260" s="239"/>
      <c r="F260" s="239"/>
      <c r="G260" s="239"/>
      <c r="H260" s="239"/>
      <c r="I260" s="239"/>
      <c r="J260" s="239"/>
      <c r="K260" s="239"/>
    </row>
    <row r="261" spans="1:11" ht="15.95" customHeight="1" x14ac:dyDescent="0.2">
      <c r="A261" s="238"/>
      <c r="B261" s="239"/>
      <c r="C261" s="239"/>
      <c r="D261" s="239"/>
      <c r="E261" s="239"/>
      <c r="F261" s="239"/>
      <c r="G261" s="239"/>
      <c r="H261" s="239"/>
      <c r="I261" s="239"/>
      <c r="J261" s="239"/>
      <c r="K261" s="239"/>
    </row>
    <row r="263" spans="1:11" ht="12.95" customHeight="1" x14ac:dyDescent="0.2">
      <c r="A263" s="256"/>
      <c r="B263" s="239"/>
      <c r="C263" s="239"/>
      <c r="D263" s="239"/>
      <c r="E263" s="239"/>
      <c r="F263" s="239"/>
      <c r="G263" s="239"/>
      <c r="H263" s="239"/>
      <c r="I263" s="239"/>
      <c r="J263" s="239"/>
      <c r="K263" s="239"/>
    </row>
    <row r="264" spans="1:11" x14ac:dyDescent="0.2">
      <c r="A264" s="257"/>
      <c r="B264" s="257"/>
      <c r="C264" s="257"/>
      <c r="D264" s="257"/>
      <c r="E264" s="257"/>
    </row>
    <row r="265" spans="1:11" x14ac:dyDescent="0.2">
      <c r="A265" s="257"/>
      <c r="B265" s="257"/>
      <c r="C265" s="27"/>
      <c r="D265" s="27"/>
      <c r="E265" s="257"/>
    </row>
    <row r="266" spans="1:11" x14ac:dyDescent="0.2">
      <c r="A266" s="4"/>
      <c r="B266" s="4"/>
      <c r="C266" s="4"/>
      <c r="D266" s="4"/>
      <c r="E266" s="4"/>
    </row>
    <row r="268" spans="1:11" ht="12.95" customHeight="1" x14ac:dyDescent="0.2">
      <c r="A268" s="256"/>
      <c r="B268" s="239"/>
      <c r="C268" s="239"/>
      <c r="D268" s="239"/>
      <c r="E268" s="239"/>
      <c r="F268" s="239"/>
      <c r="G268" s="239"/>
      <c r="H268" s="239"/>
      <c r="I268" s="239"/>
      <c r="J268" s="239"/>
      <c r="K268" s="239"/>
    </row>
    <row r="270" spans="1:11" x14ac:dyDescent="0.2">
      <c r="A270" s="257"/>
      <c r="B270" s="257"/>
      <c r="C270" s="257"/>
      <c r="D270" s="257"/>
      <c r="E270" s="257"/>
      <c r="F270" s="257"/>
      <c r="G270" s="257"/>
      <c r="H270" s="257"/>
    </row>
    <row r="271" spans="1:11" x14ac:dyDescent="0.2">
      <c r="A271" s="257"/>
      <c r="B271" s="257"/>
      <c r="C271" s="257"/>
      <c r="D271" s="257"/>
      <c r="E271" s="257"/>
      <c r="F271" s="27"/>
      <c r="G271" s="27"/>
      <c r="H271" s="257"/>
    </row>
    <row r="272" spans="1:11" x14ac:dyDescent="0.2">
      <c r="A272" s="251"/>
      <c r="B272" s="4"/>
      <c r="C272" s="4"/>
      <c r="D272" s="4"/>
      <c r="E272" s="4"/>
      <c r="F272" s="4"/>
      <c r="G272" s="4"/>
      <c r="H272" s="4"/>
    </row>
    <row r="273" spans="1:11" x14ac:dyDescent="0.2">
      <c r="A273" s="251"/>
      <c r="B273" s="4"/>
      <c r="C273" s="4"/>
      <c r="D273" s="4"/>
      <c r="E273" s="20"/>
      <c r="F273" s="4"/>
      <c r="G273" s="4"/>
      <c r="H273" s="4"/>
    </row>
    <row r="274" spans="1:11" x14ac:dyDescent="0.2">
      <c r="A274" s="251"/>
      <c r="B274" s="4"/>
      <c r="C274" s="4"/>
      <c r="D274" s="4"/>
      <c r="E274" s="20"/>
      <c r="F274" s="4"/>
      <c r="G274" s="4"/>
      <c r="H274" s="4"/>
    </row>
    <row r="276" spans="1:11" ht="12.95" customHeight="1" x14ac:dyDescent="0.2">
      <c r="A276" s="238"/>
      <c r="B276" s="239"/>
      <c r="C276" s="239"/>
      <c r="D276" s="239"/>
      <c r="E276" s="239"/>
      <c r="F276" s="239"/>
      <c r="G276" s="239"/>
      <c r="H276" s="239"/>
      <c r="I276" s="239"/>
      <c r="J276" s="239"/>
      <c r="K276" s="239"/>
    </row>
    <row r="277" spans="1:11" x14ac:dyDescent="0.2">
      <c r="A277" s="252"/>
      <c r="B277" s="252"/>
      <c r="C277" s="21"/>
      <c r="D277" s="21"/>
      <c r="E277" s="21"/>
      <c r="F277" s="21"/>
      <c r="G277" s="21"/>
    </row>
    <row r="278" spans="1:11" x14ac:dyDescent="0.2">
      <c r="A278" s="253"/>
      <c r="B278" s="253"/>
      <c r="C278" s="253"/>
      <c r="D278" s="253"/>
      <c r="E278" s="253"/>
      <c r="F278" s="253"/>
      <c r="G278" s="21"/>
    </row>
    <row r="279" spans="1:11" x14ac:dyDescent="0.2">
      <c r="A279" s="253"/>
      <c r="B279" s="253"/>
      <c r="C279" s="253"/>
      <c r="D279" s="21"/>
      <c r="E279" s="21"/>
      <c r="F279" s="253"/>
      <c r="G279" s="21"/>
    </row>
    <row r="280" spans="1:11" x14ac:dyDescent="0.2">
      <c r="A280" s="21"/>
      <c r="B280" s="22"/>
      <c r="C280" s="23"/>
      <c r="D280" s="23"/>
      <c r="E280" s="23"/>
      <c r="F280" s="24"/>
      <c r="G280" s="23"/>
    </row>
    <row r="281" spans="1:11" x14ac:dyDescent="0.2">
      <c r="A281" s="22"/>
      <c r="B281" s="22"/>
      <c r="C281" s="23"/>
      <c r="D281" s="23"/>
      <c r="E281" s="23"/>
      <c r="F281" s="24"/>
      <c r="G281" s="23"/>
    </row>
    <row r="282" spans="1:11" x14ac:dyDescent="0.2">
      <c r="A282" s="22"/>
      <c r="B282" s="21"/>
      <c r="C282" s="23"/>
      <c r="D282" s="23"/>
      <c r="E282" s="23"/>
      <c r="F282" s="24"/>
      <c r="G282" s="23"/>
    </row>
    <row r="283" spans="1:11" x14ac:dyDescent="0.2">
      <c r="A283" s="22"/>
      <c r="B283" s="21"/>
      <c r="C283" s="23"/>
      <c r="D283" s="23"/>
      <c r="E283" s="23"/>
      <c r="F283" s="24"/>
      <c r="G283" s="23"/>
    </row>
    <row r="284" spans="1:11" ht="12.95" customHeight="1" x14ac:dyDescent="0.2">
      <c r="A284" s="236"/>
      <c r="B284" s="239"/>
      <c r="C284" s="239"/>
      <c r="D284" s="239"/>
      <c r="E284" s="239"/>
      <c r="F284" s="239"/>
      <c r="G284" s="239"/>
      <c r="H284" s="239"/>
      <c r="I284" s="239"/>
      <c r="J284" s="239"/>
      <c r="K284" s="239"/>
    </row>
    <row r="285" spans="1:11" ht="12.95" customHeight="1" x14ac:dyDescent="0.2">
      <c r="A285" s="245"/>
      <c r="B285" s="239"/>
      <c r="C285" s="239"/>
      <c r="D285" s="239"/>
      <c r="E285" s="239"/>
      <c r="F285" s="239"/>
      <c r="G285" s="239"/>
      <c r="H285" s="239"/>
      <c r="I285" s="239"/>
      <c r="J285" s="239"/>
      <c r="K285" s="239"/>
    </row>
    <row r="286" spans="1:11" ht="12.95" customHeight="1" x14ac:dyDescent="0.2">
      <c r="A286" s="245"/>
      <c r="B286" s="239"/>
      <c r="C286" s="239"/>
      <c r="D286" s="239"/>
      <c r="E286" s="239"/>
      <c r="F286" s="239"/>
      <c r="G286" s="239"/>
      <c r="H286" s="239"/>
      <c r="I286" s="239"/>
      <c r="J286" s="239"/>
      <c r="K286" s="239"/>
    </row>
    <row r="287" spans="1:11" ht="12.95" customHeight="1" x14ac:dyDescent="0.2">
      <c r="A287" s="245"/>
      <c r="B287" s="239"/>
      <c r="C287" s="239"/>
      <c r="D287" s="239"/>
      <c r="E287" s="239"/>
      <c r="F287" s="239"/>
      <c r="G287" s="239"/>
      <c r="H287" s="239"/>
      <c r="I287" s="239"/>
      <c r="J287" s="239"/>
      <c r="K287" s="239"/>
    </row>
    <row r="289" spans="1:11" ht="12.95" customHeight="1" x14ac:dyDescent="0.2">
      <c r="A289" s="238"/>
      <c r="B289" s="239"/>
      <c r="C289" s="239"/>
      <c r="D289" s="239"/>
      <c r="E289" s="239"/>
      <c r="F289" s="239"/>
      <c r="G289" s="239"/>
      <c r="H289" s="239"/>
      <c r="I289" s="239"/>
      <c r="J289" s="239"/>
      <c r="K289" s="239"/>
    </row>
    <row r="291" spans="1:11" ht="12.95" customHeight="1" x14ac:dyDescent="0.2">
      <c r="A291" s="245"/>
      <c r="B291" s="239"/>
      <c r="C291" s="239"/>
      <c r="D291" s="239"/>
      <c r="E291" s="239"/>
      <c r="F291" s="239"/>
      <c r="G291" s="239"/>
      <c r="H291" s="239"/>
      <c r="I291" s="239"/>
      <c r="J291" s="239"/>
      <c r="K291" s="239"/>
    </row>
    <row r="293" spans="1:11" ht="30" customHeight="1" x14ac:dyDescent="0.2">
      <c r="A293" s="245"/>
      <c r="B293" s="239"/>
      <c r="C293" s="239"/>
      <c r="D293" s="239"/>
      <c r="E293" s="239"/>
      <c r="F293" s="239"/>
      <c r="G293" s="239"/>
      <c r="H293" s="239"/>
      <c r="I293" s="239"/>
      <c r="J293" s="239"/>
      <c r="K293" s="239"/>
    </row>
    <row r="294" spans="1:11" ht="20.100000000000001" customHeight="1" x14ac:dyDescent="0.2">
      <c r="A294" s="245"/>
      <c r="B294" s="239"/>
      <c r="C294" s="239"/>
      <c r="D294" s="239"/>
      <c r="E294" s="239"/>
      <c r="F294" s="239"/>
      <c r="G294" s="239"/>
      <c r="H294" s="239"/>
      <c r="I294" s="239"/>
      <c r="J294" s="239"/>
      <c r="K294" s="239"/>
    </row>
    <row r="295" spans="1:11" ht="9.9499999999999993" customHeight="1" x14ac:dyDescent="0.2">
      <c r="A295" s="245"/>
      <c r="B295" s="239"/>
      <c r="C295" s="239"/>
      <c r="D295" s="239"/>
      <c r="E295" s="239"/>
      <c r="F295" s="239"/>
      <c r="G295" s="239"/>
      <c r="H295" s="239"/>
      <c r="I295" s="239"/>
      <c r="J295" s="239"/>
      <c r="K295" s="239"/>
    </row>
    <row r="296" spans="1:11" ht="20.100000000000001" customHeight="1" x14ac:dyDescent="0.2">
      <c r="A296" s="245"/>
      <c r="B296" s="239"/>
      <c r="C296" s="239"/>
      <c r="D296" s="239"/>
      <c r="E296" s="239"/>
      <c r="F296" s="239"/>
      <c r="G296" s="239"/>
      <c r="H296" s="239"/>
      <c r="I296" s="239"/>
      <c r="J296" s="239"/>
      <c r="K296" s="239"/>
    </row>
    <row r="297" spans="1:11" ht="30" customHeight="1" x14ac:dyDescent="0.2">
      <c r="A297" s="245"/>
      <c r="B297" s="239"/>
      <c r="C297" s="239"/>
      <c r="D297" s="239"/>
      <c r="E297" s="239"/>
      <c r="F297" s="239"/>
      <c r="G297" s="239"/>
      <c r="H297" s="239"/>
      <c r="I297" s="239"/>
      <c r="J297" s="239"/>
      <c r="K297" s="239"/>
    </row>
    <row r="298" spans="1:11" ht="20.100000000000001" customHeight="1" x14ac:dyDescent="0.2">
      <c r="A298" s="245"/>
      <c r="B298" s="239"/>
      <c r="C298" s="239"/>
      <c r="D298" s="239"/>
      <c r="E298" s="239"/>
      <c r="F298" s="239"/>
      <c r="G298" s="239"/>
      <c r="H298" s="239"/>
      <c r="I298" s="239"/>
      <c r="J298" s="239"/>
      <c r="K298" s="239"/>
    </row>
    <row r="300" spans="1:11" ht="30" customHeight="1" x14ac:dyDescent="0.2">
      <c r="A300" s="245"/>
      <c r="B300" s="239"/>
      <c r="C300" s="239"/>
      <c r="D300" s="239"/>
      <c r="E300" s="239"/>
      <c r="F300" s="239"/>
      <c r="G300" s="239"/>
      <c r="H300" s="239"/>
      <c r="I300" s="239"/>
      <c r="J300" s="239"/>
      <c r="K300" s="239"/>
    </row>
    <row r="301" spans="1:11" ht="20.100000000000001" customHeight="1" x14ac:dyDescent="0.2">
      <c r="A301" s="245"/>
      <c r="B301" s="239"/>
      <c r="C301" s="239"/>
      <c r="D301" s="239"/>
      <c r="E301" s="239"/>
      <c r="F301" s="239"/>
      <c r="G301" s="239"/>
      <c r="H301" s="239"/>
      <c r="I301" s="239"/>
      <c r="J301" s="239"/>
      <c r="K301" s="239"/>
    </row>
    <row r="302" spans="1:11" x14ac:dyDescent="0.2">
      <c r="A302" s="17"/>
      <c r="B302" s="18"/>
      <c r="C302" s="5"/>
    </row>
    <row r="303" spans="1:11" x14ac:dyDescent="0.2">
      <c r="A303" s="246"/>
      <c r="B303" s="19"/>
      <c r="C303" s="18"/>
    </row>
    <row r="304" spans="1:11" x14ac:dyDescent="0.2">
      <c r="A304" s="246"/>
      <c r="B304" s="19"/>
      <c r="C304" s="18"/>
    </row>
    <row r="305" spans="1:11" x14ac:dyDescent="0.2">
      <c r="A305" s="5"/>
      <c r="B305" s="249"/>
      <c r="C305" s="249"/>
    </row>
    <row r="306" spans="1:11" x14ac:dyDescent="0.2">
      <c r="A306" s="5"/>
      <c r="B306" s="250"/>
      <c r="C306" s="250"/>
    </row>
    <row r="307" spans="1:11" ht="15.95" customHeight="1" x14ac:dyDescent="0.2">
      <c r="A307" s="250"/>
      <c r="B307" s="239"/>
      <c r="C307" s="239"/>
      <c r="D307" s="239"/>
      <c r="E307" s="239"/>
      <c r="F307" s="239"/>
      <c r="G307" s="239"/>
      <c r="H307" s="239"/>
      <c r="I307" s="239"/>
      <c r="J307" s="239"/>
      <c r="K307" s="239"/>
    </row>
    <row r="308" spans="1:11" ht="32.1" customHeight="1" x14ac:dyDescent="0.2">
      <c r="A308" s="238"/>
      <c r="B308" s="239"/>
      <c r="C308" s="239"/>
      <c r="D308" s="239"/>
      <c r="E308" s="239"/>
      <c r="F308" s="239"/>
      <c r="G308" s="239"/>
      <c r="H308" s="239"/>
      <c r="I308" s="239"/>
      <c r="J308" s="239"/>
      <c r="K308" s="239"/>
    </row>
    <row r="309" spans="1:11" x14ac:dyDescent="0.2">
      <c r="A309" s="251"/>
      <c r="B309" s="251"/>
      <c r="C309" s="251"/>
      <c r="D309" s="251"/>
      <c r="E309" s="251"/>
      <c r="F309" s="251"/>
      <c r="G309" s="251"/>
      <c r="H309" s="251"/>
      <c r="I309" s="251"/>
      <c r="J309" s="251"/>
      <c r="K309" s="251"/>
    </row>
    <row r="310" spans="1:11" x14ac:dyDescent="0.2">
      <c r="A310" s="251"/>
      <c r="B310" s="251"/>
      <c r="C310" s="257"/>
      <c r="D310" s="251"/>
      <c r="E310" s="251"/>
      <c r="F310" s="251"/>
      <c r="G310" s="251"/>
      <c r="H310" s="251"/>
      <c r="I310" s="251"/>
      <c r="J310" s="251"/>
      <c r="K310" s="251"/>
    </row>
    <row r="311" spans="1:11" x14ac:dyDescent="0.2">
      <c r="A311" s="251"/>
      <c r="B311" s="251"/>
      <c r="C311" s="257"/>
      <c r="D311" s="4"/>
      <c r="E311" s="4"/>
      <c r="F311" s="4"/>
      <c r="G311" s="27"/>
      <c r="H311" s="251"/>
      <c r="I311" s="4"/>
      <c r="J311" s="4"/>
      <c r="K311" s="251"/>
    </row>
    <row r="312" spans="1:11" x14ac:dyDescent="0.2">
      <c r="A312" s="20"/>
      <c r="B312" s="4"/>
      <c r="C312" s="4"/>
      <c r="D312" s="4"/>
      <c r="E312" s="4"/>
      <c r="F312" s="4"/>
      <c r="G312" s="4"/>
      <c r="H312" s="4"/>
      <c r="I312" s="4"/>
      <c r="J312" s="4"/>
      <c r="K312" s="4"/>
    </row>
    <row r="313" spans="1:11" x14ac:dyDescent="0.2">
      <c r="A313" s="20"/>
      <c r="B313" s="4"/>
      <c r="C313" s="4"/>
      <c r="D313" s="4"/>
      <c r="E313" s="4"/>
      <c r="F313" s="4"/>
      <c r="G313" s="4"/>
      <c r="H313" s="4"/>
      <c r="I313" s="4"/>
      <c r="J313" s="4"/>
      <c r="K313" s="4"/>
    </row>
    <row r="314" spans="1:11" x14ac:dyDescent="0.2">
      <c r="A314" s="20"/>
      <c r="B314" s="4"/>
      <c r="C314" s="4"/>
      <c r="D314" s="4"/>
      <c r="E314" s="4"/>
      <c r="F314" s="4"/>
      <c r="G314" s="4"/>
      <c r="H314" s="4"/>
      <c r="I314" s="4"/>
      <c r="J314" s="4"/>
      <c r="K314" s="4"/>
    </row>
    <row r="315" spans="1:11" x14ac:dyDescent="0.2">
      <c r="A315" s="20"/>
      <c r="B315" s="4"/>
      <c r="C315" s="4"/>
      <c r="D315" s="4"/>
      <c r="E315" s="4"/>
      <c r="F315" s="4"/>
      <c r="G315" s="4"/>
      <c r="H315" s="4"/>
      <c r="I315" s="4"/>
      <c r="J315" s="4"/>
      <c r="K315" s="4"/>
    </row>
    <row r="316" spans="1:11" x14ac:dyDescent="0.2">
      <c r="A316" s="20"/>
      <c r="B316" s="4"/>
      <c r="C316" s="4"/>
      <c r="D316" s="4"/>
      <c r="E316" s="4"/>
      <c r="F316" s="4"/>
      <c r="G316" s="4"/>
      <c r="H316" s="4"/>
      <c r="I316" s="4"/>
      <c r="J316" s="4"/>
      <c r="K316" s="4"/>
    </row>
    <row r="317" spans="1:11" x14ac:dyDescent="0.2">
      <c r="A317" s="20"/>
      <c r="B317" s="4"/>
      <c r="C317" s="4"/>
      <c r="D317" s="4"/>
      <c r="E317" s="4"/>
      <c r="F317" s="4"/>
      <c r="G317" s="4"/>
      <c r="H317" s="4"/>
      <c r="I317" s="4"/>
      <c r="J317" s="4"/>
      <c r="K317" s="4"/>
    </row>
    <row r="318" spans="1:11" x14ac:dyDescent="0.2">
      <c r="A318" s="20"/>
      <c r="B318" s="4"/>
      <c r="C318" s="4"/>
      <c r="D318" s="4"/>
      <c r="E318" s="4"/>
      <c r="F318" s="4"/>
      <c r="G318" s="4"/>
      <c r="H318" s="4"/>
      <c r="I318" s="4"/>
      <c r="J318" s="4"/>
      <c r="K318" s="4"/>
    </row>
    <row r="319" spans="1:11" x14ac:dyDescent="0.2">
      <c r="A319" s="20"/>
      <c r="B319" s="4"/>
      <c r="C319" s="4"/>
      <c r="D319" s="4"/>
      <c r="E319" s="4"/>
      <c r="F319" s="4"/>
      <c r="G319" s="4"/>
      <c r="H319" s="4"/>
      <c r="I319" s="4"/>
      <c r="J319" s="4"/>
      <c r="K319" s="4"/>
    </row>
    <row r="320" spans="1:11" x14ac:dyDescent="0.2">
      <c r="A320" s="20"/>
      <c r="B320" s="4"/>
      <c r="C320" s="4"/>
      <c r="D320" s="4"/>
      <c r="E320" s="4"/>
      <c r="F320" s="4"/>
      <c r="G320" s="4"/>
      <c r="H320" s="4"/>
      <c r="I320" s="4"/>
      <c r="J320" s="4"/>
      <c r="K320" s="4"/>
    </row>
    <row r="321" spans="1:11" x14ac:dyDescent="0.2">
      <c r="A321" s="20"/>
      <c r="B321" s="4"/>
      <c r="C321" s="4"/>
      <c r="D321" s="4"/>
      <c r="E321" s="4"/>
      <c r="F321" s="4"/>
      <c r="G321" s="4"/>
      <c r="H321" s="4"/>
      <c r="I321" s="4"/>
      <c r="J321" s="4"/>
      <c r="K321" s="4"/>
    </row>
    <row r="322" spans="1:11" x14ac:dyDescent="0.2">
      <c r="A322" s="20"/>
      <c r="B322" s="4"/>
      <c r="C322" s="4"/>
      <c r="D322" s="4"/>
      <c r="E322" s="4"/>
      <c r="F322" s="4"/>
      <c r="G322" s="4"/>
      <c r="H322" s="4"/>
      <c r="I322" s="4"/>
      <c r="J322" s="4"/>
      <c r="K322" s="4"/>
    </row>
    <row r="323" spans="1:11" ht="12.95" customHeight="1" x14ac:dyDescent="0.2">
      <c r="A323" s="245"/>
      <c r="B323" s="239"/>
      <c r="C323" s="239"/>
      <c r="D323" s="239"/>
      <c r="E323" s="239"/>
      <c r="F323" s="239"/>
      <c r="G323" s="239"/>
      <c r="H323" s="239"/>
      <c r="I323" s="239"/>
      <c r="J323" s="239"/>
      <c r="K323" s="239"/>
    </row>
    <row r="325" spans="1:11" ht="12.95" customHeight="1" x14ac:dyDescent="0.2">
      <c r="A325" s="245"/>
      <c r="B325" s="239"/>
      <c r="C325" s="239"/>
      <c r="D325" s="239"/>
      <c r="E325" s="239"/>
      <c r="F325" s="239"/>
      <c r="G325" s="239"/>
      <c r="H325" s="239"/>
      <c r="I325" s="239"/>
      <c r="J325" s="239"/>
      <c r="K325" s="239"/>
    </row>
    <row r="326" spans="1:11" ht="12.95" customHeight="1" x14ac:dyDescent="0.2">
      <c r="A326" s="245"/>
      <c r="B326" s="239"/>
      <c r="C326" s="239"/>
      <c r="D326" s="239"/>
      <c r="E326" s="239"/>
      <c r="F326" s="239"/>
      <c r="G326" s="239"/>
      <c r="H326" s="239"/>
      <c r="I326" s="239"/>
      <c r="J326" s="239"/>
      <c r="K326" s="239"/>
    </row>
    <row r="327" spans="1:11" ht="12.95" customHeight="1" x14ac:dyDescent="0.2">
      <c r="A327" s="245"/>
      <c r="B327" s="239"/>
      <c r="C327" s="239"/>
      <c r="D327" s="239"/>
      <c r="E327" s="239"/>
      <c r="F327" s="239"/>
      <c r="G327" s="239"/>
      <c r="H327" s="239"/>
      <c r="I327" s="239"/>
      <c r="J327" s="239"/>
      <c r="K327" s="239"/>
    </row>
    <row r="329" spans="1:11" ht="12.95" customHeight="1" x14ac:dyDescent="0.2">
      <c r="A329" s="236"/>
      <c r="B329" s="239"/>
      <c r="C329" s="239"/>
      <c r="D329" s="239"/>
      <c r="E329" s="239"/>
      <c r="F329" s="239"/>
      <c r="G329" s="239"/>
      <c r="H329" s="239"/>
      <c r="I329" s="239"/>
      <c r="J329" s="239"/>
      <c r="K329" s="239"/>
    </row>
    <row r="330" spans="1:11" x14ac:dyDescent="0.2">
      <c r="A330" s="252"/>
      <c r="B330" s="252"/>
      <c r="C330" s="21"/>
      <c r="D330" s="21"/>
      <c r="E330" s="21"/>
      <c r="F330" s="21"/>
      <c r="G330" s="21"/>
    </row>
    <row r="331" spans="1:11" x14ac:dyDescent="0.2">
      <c r="A331" s="253"/>
      <c r="B331" s="253"/>
      <c r="C331" s="253"/>
      <c r="D331" s="253"/>
      <c r="E331" s="253"/>
      <c r="F331" s="253"/>
      <c r="G331" s="21"/>
    </row>
    <row r="332" spans="1:11" x14ac:dyDescent="0.2">
      <c r="A332" s="253"/>
      <c r="B332" s="253"/>
      <c r="C332" s="253"/>
      <c r="D332" s="21"/>
      <c r="E332" s="21"/>
      <c r="F332" s="253"/>
      <c r="G332" s="21"/>
    </row>
    <row r="333" spans="1:11" x14ac:dyDescent="0.2">
      <c r="A333" s="21"/>
      <c r="B333" s="22"/>
      <c r="C333" s="23"/>
      <c r="D333" s="23"/>
      <c r="E333" s="23"/>
      <c r="F333" s="24"/>
      <c r="G333" s="23"/>
    </row>
    <row r="334" spans="1:11" x14ac:dyDescent="0.2">
      <c r="A334" s="22"/>
      <c r="B334" s="22"/>
      <c r="C334" s="23"/>
      <c r="D334" s="23"/>
      <c r="E334" s="23"/>
      <c r="F334" s="24"/>
      <c r="G334" s="23"/>
    </row>
    <row r="335" spans="1:11" x14ac:dyDescent="0.2">
      <c r="A335" s="22"/>
      <c r="B335" s="21"/>
      <c r="C335" s="23"/>
      <c r="D335" s="23"/>
      <c r="E335" s="23"/>
      <c r="F335" s="24"/>
      <c r="G335" s="23"/>
    </row>
    <row r="336" spans="1:11" x14ac:dyDescent="0.2">
      <c r="A336" s="22"/>
      <c r="B336" s="21"/>
      <c r="C336" s="23"/>
      <c r="D336" s="23"/>
      <c r="E336" s="23"/>
      <c r="F336" s="24"/>
      <c r="G336" s="23"/>
    </row>
    <row r="337" spans="1:11" ht="12.95" customHeight="1" x14ac:dyDescent="0.2">
      <c r="A337" s="236"/>
      <c r="B337" s="239"/>
      <c r="C337" s="239"/>
      <c r="D337" s="239"/>
      <c r="E337" s="239"/>
      <c r="F337" s="239"/>
      <c r="G337" s="239"/>
      <c r="H337" s="239"/>
      <c r="I337" s="239"/>
      <c r="J337" s="239"/>
      <c r="K337" s="239"/>
    </row>
    <row r="338" spans="1:11" ht="12.95" customHeight="1" x14ac:dyDescent="0.2">
      <c r="A338" s="258"/>
      <c r="B338" s="239"/>
      <c r="C338" s="239"/>
      <c r="D338" s="239"/>
      <c r="E338" s="239"/>
      <c r="F338" s="239"/>
      <c r="G338" s="239"/>
      <c r="H338" s="239"/>
      <c r="I338" s="239"/>
      <c r="J338" s="239"/>
      <c r="K338" s="239"/>
    </row>
    <row r="339" spans="1:11" ht="12.95" customHeight="1" x14ac:dyDescent="0.2">
      <c r="A339" s="236"/>
      <c r="B339" s="239"/>
      <c r="C339" s="239"/>
      <c r="D339" s="239"/>
      <c r="E339" s="239"/>
      <c r="F339" s="239"/>
      <c r="G339" s="239"/>
      <c r="H339" s="239"/>
      <c r="I339" s="239"/>
      <c r="J339" s="239"/>
      <c r="K339" s="239"/>
    </row>
    <row r="340" spans="1:11" ht="12.95" customHeight="1" x14ac:dyDescent="0.2">
      <c r="A340" s="245"/>
      <c r="B340" s="239"/>
      <c r="C340" s="239"/>
      <c r="D340" s="239"/>
      <c r="E340" s="239"/>
      <c r="F340" s="239"/>
      <c r="G340" s="239"/>
      <c r="H340" s="239"/>
      <c r="I340" s="239"/>
      <c r="J340" s="239"/>
      <c r="K340" s="239"/>
    </row>
    <row r="341" spans="1:11" ht="12.95" customHeight="1" x14ac:dyDescent="0.2">
      <c r="A341" s="236"/>
      <c r="B341" s="239"/>
      <c r="C341" s="239"/>
      <c r="D341" s="239"/>
      <c r="E341" s="239"/>
      <c r="F341" s="239"/>
      <c r="G341" s="239"/>
      <c r="H341" s="239"/>
      <c r="I341" s="239"/>
      <c r="J341" s="239"/>
      <c r="K341" s="239"/>
    </row>
    <row r="344" spans="1:11" ht="30" customHeight="1" x14ac:dyDescent="0.2">
      <c r="A344" s="245"/>
      <c r="B344" s="239"/>
      <c r="C344" s="239"/>
      <c r="D344" s="239"/>
      <c r="E344" s="239"/>
      <c r="F344" s="239"/>
      <c r="G344" s="239"/>
      <c r="H344" s="239"/>
      <c r="I344" s="239"/>
      <c r="J344" s="239"/>
      <c r="K344" s="239"/>
    </row>
    <row r="345" spans="1:11" ht="20.100000000000001" customHeight="1" x14ac:dyDescent="0.2">
      <c r="A345" s="245"/>
      <c r="B345" s="239"/>
      <c r="C345" s="239"/>
      <c r="D345" s="239"/>
      <c r="E345" s="239"/>
      <c r="F345" s="239"/>
      <c r="G345" s="239"/>
      <c r="H345" s="239"/>
      <c r="I345" s="239"/>
      <c r="J345" s="239"/>
      <c r="K345" s="239"/>
    </row>
    <row r="346" spans="1:11" ht="9.9499999999999993" customHeight="1" x14ac:dyDescent="0.2">
      <c r="A346" s="245"/>
      <c r="B346" s="239"/>
      <c r="C346" s="239"/>
      <c r="D346" s="239"/>
      <c r="E346" s="239"/>
      <c r="F346" s="239"/>
      <c r="G346" s="239"/>
      <c r="H346" s="239"/>
      <c r="I346" s="239"/>
      <c r="J346" s="239"/>
      <c r="K346" s="239"/>
    </row>
    <row r="347" spans="1:11" ht="20.100000000000001" customHeight="1" x14ac:dyDescent="0.2">
      <c r="A347" s="245"/>
      <c r="B347" s="239"/>
      <c r="C347" s="239"/>
      <c r="D347" s="239"/>
      <c r="E347" s="239"/>
      <c r="F347" s="239"/>
      <c r="G347" s="239"/>
      <c r="H347" s="239"/>
      <c r="I347" s="239"/>
      <c r="J347" s="239"/>
      <c r="K347" s="239"/>
    </row>
    <row r="348" spans="1:11" ht="30" customHeight="1" x14ac:dyDescent="0.2">
      <c r="A348" s="245"/>
      <c r="B348" s="239"/>
      <c r="C348" s="239"/>
      <c r="D348" s="239"/>
      <c r="E348" s="239"/>
      <c r="F348" s="239"/>
      <c r="G348" s="239"/>
      <c r="H348" s="239"/>
      <c r="I348" s="239"/>
      <c r="J348" s="239"/>
      <c r="K348" s="239"/>
    </row>
    <row r="349" spans="1:11" ht="20.100000000000001" customHeight="1" x14ac:dyDescent="0.2">
      <c r="A349" s="245"/>
      <c r="B349" s="239"/>
      <c r="C349" s="239"/>
      <c r="D349" s="239"/>
      <c r="E349" s="239"/>
      <c r="F349" s="239"/>
      <c r="G349" s="239"/>
      <c r="H349" s="239"/>
      <c r="I349" s="239"/>
      <c r="J349" s="239"/>
      <c r="K349" s="239"/>
    </row>
    <row r="351" spans="1:11" ht="30" customHeight="1" x14ac:dyDescent="0.2">
      <c r="A351" s="245"/>
      <c r="B351" s="239"/>
      <c r="C351" s="239"/>
      <c r="D351" s="239"/>
      <c r="E351" s="239"/>
      <c r="F351" s="239"/>
      <c r="G351" s="239"/>
      <c r="H351" s="239"/>
      <c r="I351" s="239"/>
      <c r="J351" s="239"/>
      <c r="K351" s="239"/>
    </row>
    <row r="352" spans="1:11" ht="20.100000000000001" customHeight="1" x14ac:dyDescent="0.2">
      <c r="A352" s="245"/>
      <c r="B352" s="239"/>
      <c r="C352" s="239"/>
      <c r="D352" s="239"/>
      <c r="E352" s="239"/>
      <c r="F352" s="239"/>
      <c r="G352" s="239"/>
      <c r="H352" s="239"/>
      <c r="I352" s="239"/>
      <c r="J352" s="239"/>
      <c r="K352" s="239"/>
    </row>
    <row r="378" spans="1:11" x14ac:dyDescent="0.2">
      <c r="A378" s="17"/>
      <c r="B378" s="18"/>
      <c r="C378" s="5"/>
    </row>
    <row r="379" spans="1:11" x14ac:dyDescent="0.2">
      <c r="A379" s="246"/>
      <c r="B379" s="19"/>
      <c r="C379" s="18"/>
    </row>
    <row r="380" spans="1:11" x14ac:dyDescent="0.2">
      <c r="A380" s="246"/>
      <c r="B380" s="19"/>
      <c r="C380" s="18"/>
    </row>
    <row r="381" spans="1:11" x14ac:dyDescent="0.2">
      <c r="A381" s="5"/>
      <c r="B381" s="249"/>
      <c r="C381" s="249"/>
    </row>
    <row r="382" spans="1:11" x14ac:dyDescent="0.2">
      <c r="A382" s="5"/>
      <c r="B382" s="250"/>
      <c r="C382" s="250"/>
    </row>
    <row r="383" spans="1:11" ht="15.95" customHeight="1" x14ac:dyDescent="0.2">
      <c r="A383" s="250"/>
      <c r="B383" s="239"/>
      <c r="C383" s="239"/>
      <c r="D383" s="239"/>
      <c r="E383" s="239"/>
      <c r="F383" s="239"/>
      <c r="G383" s="239"/>
      <c r="H383" s="239"/>
      <c r="I383" s="239"/>
      <c r="J383" s="239"/>
      <c r="K383" s="239"/>
    </row>
    <row r="384" spans="1:11" ht="15.95" customHeight="1" x14ac:dyDescent="0.2">
      <c r="A384" s="238"/>
      <c r="B384" s="239"/>
      <c r="C384" s="239"/>
      <c r="D384" s="239"/>
      <c r="E384" s="239"/>
      <c r="F384" s="239"/>
      <c r="G384" s="239"/>
      <c r="H384" s="239"/>
      <c r="I384" s="239"/>
      <c r="J384" s="239"/>
      <c r="K384" s="239"/>
    </row>
    <row r="386" spans="1:8" x14ac:dyDescent="0.2">
      <c r="A386" s="236"/>
      <c r="B386" s="236"/>
      <c r="C386" s="236"/>
      <c r="D386" s="236"/>
      <c r="E386" s="236"/>
      <c r="F386" s="236"/>
      <c r="G386" s="236"/>
    </row>
    <row r="387" spans="1:8" x14ac:dyDescent="0.2">
      <c r="A387" s="249"/>
      <c r="B387" s="249"/>
      <c r="C387" s="249"/>
      <c r="D387" s="249"/>
      <c r="E387" s="249"/>
      <c r="F387" s="249"/>
      <c r="G387" s="249"/>
    </row>
    <row r="388" spans="1:8" x14ac:dyDescent="0.2">
      <c r="A388" s="7"/>
      <c r="B388" s="249"/>
      <c r="C388" s="249"/>
      <c r="D388" s="249"/>
      <c r="E388" s="249"/>
      <c r="F388" s="249"/>
      <c r="G388" s="249"/>
    </row>
    <row r="389" spans="1:8" x14ac:dyDescent="0.2">
      <c r="A389" s="236"/>
      <c r="B389" s="236"/>
      <c r="C389" s="236"/>
      <c r="D389" s="249"/>
      <c r="E389" s="249"/>
      <c r="F389" s="249"/>
      <c r="G389" s="249"/>
    </row>
    <row r="390" spans="1:8" x14ac:dyDescent="0.2">
      <c r="A390" s="238"/>
      <c r="B390" s="238"/>
      <c r="C390" s="238"/>
      <c r="D390" s="249"/>
      <c r="E390" s="249"/>
      <c r="F390" s="249"/>
      <c r="G390" s="249"/>
    </row>
    <row r="391" spans="1:8" x14ac:dyDescent="0.2">
      <c r="A391" s="236"/>
      <c r="B391" s="236"/>
      <c r="C391" s="236"/>
      <c r="D391" s="236"/>
      <c r="E391" s="236"/>
      <c r="F391" s="249"/>
      <c r="G391" s="249"/>
    </row>
    <row r="392" spans="1:8" x14ac:dyDescent="0.2">
      <c r="A392" s="238"/>
      <c r="B392" s="238"/>
      <c r="C392" s="238"/>
      <c r="D392" s="238"/>
      <c r="E392" s="238"/>
      <c r="F392" s="249"/>
      <c r="G392" s="249"/>
    </row>
    <row r="393" spans="1:8" x14ac:dyDescent="0.2">
      <c r="A393" s="236"/>
      <c r="B393" s="236"/>
      <c r="C393" s="249"/>
      <c r="D393" s="249"/>
      <c r="E393" s="249"/>
      <c r="F393" s="249"/>
      <c r="G393" s="249"/>
    </row>
    <row r="394" spans="1:8" x14ac:dyDescent="0.2">
      <c r="A394" s="236"/>
      <c r="B394" s="236"/>
      <c r="C394" s="236"/>
      <c r="D394" s="236"/>
      <c r="E394" s="249"/>
      <c r="F394" s="249"/>
      <c r="G394" s="249"/>
    </row>
    <row r="395" spans="1:8" x14ac:dyDescent="0.2">
      <c r="A395" s="236"/>
      <c r="B395" s="236"/>
      <c r="C395" s="236"/>
      <c r="D395" s="236"/>
      <c r="E395" s="236"/>
      <c r="F395" s="236"/>
      <c r="G395" s="16"/>
    </row>
    <row r="397" spans="1:8" x14ac:dyDescent="0.2">
      <c r="A397" s="251"/>
      <c r="B397" s="251"/>
      <c r="C397" s="249"/>
      <c r="D397" s="249"/>
      <c r="E397" s="249"/>
      <c r="F397" s="249"/>
      <c r="G397" s="251"/>
      <c r="H397" s="249"/>
    </row>
    <row r="398" spans="1:8" x14ac:dyDescent="0.2">
      <c r="A398" s="251"/>
      <c r="B398" s="251"/>
      <c r="C398" s="249"/>
      <c r="D398" s="20"/>
      <c r="E398" s="20"/>
      <c r="F398" s="20"/>
      <c r="G398" s="251"/>
      <c r="H398" s="249"/>
    </row>
    <row r="399" spans="1:8" x14ac:dyDescent="0.2">
      <c r="A399" s="4"/>
      <c r="B399" s="26"/>
      <c r="C399" s="4"/>
      <c r="D399" s="4"/>
      <c r="E399" s="4"/>
      <c r="F399" s="4"/>
      <c r="G399" s="4"/>
      <c r="H399" s="4"/>
    </row>
    <row r="400" spans="1:8" x14ac:dyDescent="0.2">
      <c r="A400" s="4"/>
      <c r="B400" s="26"/>
      <c r="C400" s="4"/>
      <c r="D400" s="4"/>
      <c r="E400" s="4"/>
      <c r="F400" s="4"/>
      <c r="G400" s="4"/>
      <c r="H400" s="4"/>
    </row>
    <row r="401" spans="1:11" x14ac:dyDescent="0.2">
      <c r="A401" s="4"/>
      <c r="B401" s="26"/>
      <c r="C401" s="4"/>
      <c r="D401" s="4"/>
      <c r="E401" s="4"/>
      <c r="F401" s="4"/>
      <c r="G401" s="4"/>
      <c r="H401" s="4"/>
    </row>
    <row r="402" spans="1:11" x14ac:dyDescent="0.2">
      <c r="A402" s="4"/>
      <c r="B402" s="26"/>
      <c r="C402" s="4"/>
      <c r="D402" s="4"/>
      <c r="E402" s="4"/>
      <c r="F402" s="4"/>
      <c r="G402" s="4"/>
      <c r="H402" s="4"/>
    </row>
    <row r="403" spans="1:11" ht="12.95" customHeight="1" x14ac:dyDescent="0.2">
      <c r="A403" s="236"/>
      <c r="B403" s="239"/>
      <c r="C403" s="239"/>
      <c r="D403" s="239"/>
      <c r="E403" s="239"/>
      <c r="F403" s="239"/>
      <c r="G403" s="239"/>
      <c r="H403" s="239"/>
      <c r="I403" s="239"/>
      <c r="J403" s="239"/>
      <c r="K403" s="239"/>
    </row>
    <row r="404" spans="1:11" ht="12.95" customHeight="1" x14ac:dyDescent="0.2">
      <c r="A404" s="245"/>
      <c r="B404" s="239"/>
      <c r="C404" s="239"/>
      <c r="D404" s="239"/>
      <c r="E404" s="239"/>
      <c r="F404" s="239"/>
      <c r="G404" s="239"/>
      <c r="H404" s="239"/>
      <c r="I404" s="239"/>
      <c r="J404" s="239"/>
      <c r="K404" s="239"/>
    </row>
    <row r="405" spans="1:11" ht="12.95" customHeight="1" x14ac:dyDescent="0.2">
      <c r="A405" s="245"/>
      <c r="B405" s="239"/>
      <c r="C405" s="239"/>
      <c r="D405" s="239"/>
      <c r="E405" s="239"/>
      <c r="F405" s="239"/>
      <c r="G405" s="239"/>
      <c r="H405" s="239"/>
      <c r="I405" s="239"/>
      <c r="J405" s="239"/>
      <c r="K405" s="239"/>
    </row>
    <row r="406" spans="1:11" ht="12.95" customHeight="1" x14ac:dyDescent="0.2">
      <c r="A406" s="245"/>
      <c r="B406" s="239"/>
      <c r="C406" s="239"/>
      <c r="D406" s="239"/>
      <c r="E406" s="239"/>
      <c r="F406" s="239"/>
      <c r="G406" s="239"/>
      <c r="H406" s="239"/>
      <c r="I406" s="239"/>
      <c r="J406" s="239"/>
      <c r="K406" s="239"/>
    </row>
    <row r="407" spans="1:11" ht="12.95" customHeight="1" x14ac:dyDescent="0.2">
      <c r="A407" s="236"/>
      <c r="B407" s="239"/>
      <c r="C407" s="239"/>
      <c r="D407" s="239"/>
      <c r="E407" s="239"/>
      <c r="F407" s="239"/>
      <c r="G407" s="239"/>
      <c r="H407" s="239"/>
      <c r="I407" s="239"/>
      <c r="J407" s="239"/>
      <c r="K407" s="239"/>
    </row>
    <row r="408" spans="1:11" ht="12.95" customHeight="1" x14ac:dyDescent="0.2">
      <c r="A408" s="236"/>
      <c r="B408" s="239"/>
      <c r="C408" s="239"/>
      <c r="D408" s="239"/>
      <c r="E408" s="239"/>
      <c r="F408" s="239"/>
      <c r="G408" s="239"/>
      <c r="H408" s="239"/>
      <c r="I408" s="239"/>
      <c r="J408" s="239"/>
      <c r="K408" s="239"/>
    </row>
    <row r="409" spans="1:11" x14ac:dyDescent="0.2">
      <c r="A409" s="252"/>
      <c r="B409" s="252"/>
      <c r="C409" s="21"/>
      <c r="D409" s="21"/>
      <c r="E409" s="21"/>
      <c r="F409" s="21"/>
      <c r="G409" s="21"/>
    </row>
    <row r="410" spans="1:11" x14ac:dyDescent="0.2">
      <c r="A410" s="253"/>
      <c r="B410" s="253"/>
      <c r="C410" s="253"/>
      <c r="D410" s="253"/>
      <c r="E410" s="253"/>
      <c r="F410" s="253"/>
      <c r="G410" s="21"/>
    </row>
    <row r="411" spans="1:11" x14ac:dyDescent="0.2">
      <c r="A411" s="253"/>
      <c r="B411" s="253"/>
      <c r="C411" s="253"/>
      <c r="D411" s="21"/>
      <c r="E411" s="21"/>
      <c r="F411" s="253"/>
      <c r="G411" s="21"/>
    </row>
    <row r="412" spans="1:11" x14ac:dyDescent="0.2">
      <c r="A412" s="21"/>
      <c r="B412" s="22"/>
      <c r="C412" s="23"/>
      <c r="D412" s="23"/>
      <c r="E412" s="23"/>
      <c r="F412" s="24"/>
      <c r="G412" s="23"/>
    </row>
    <row r="413" spans="1:11" x14ac:dyDescent="0.2">
      <c r="A413" s="22"/>
      <c r="B413" s="22"/>
      <c r="C413" s="23"/>
      <c r="D413" s="23"/>
      <c r="E413" s="23"/>
      <c r="F413" s="24"/>
      <c r="G413" s="23"/>
    </row>
    <row r="414" spans="1:11" x14ac:dyDescent="0.2">
      <c r="A414" s="22"/>
      <c r="B414" s="21"/>
      <c r="C414" s="23"/>
      <c r="D414" s="23"/>
      <c r="E414" s="23"/>
      <c r="F414" s="24"/>
      <c r="G414" s="23"/>
    </row>
    <row r="415" spans="1:11" x14ac:dyDescent="0.2">
      <c r="A415" s="22"/>
      <c r="B415" s="21"/>
      <c r="C415" s="23"/>
      <c r="D415" s="23"/>
      <c r="E415" s="23"/>
      <c r="F415" s="24"/>
      <c r="G415" s="23"/>
    </row>
    <row r="416" spans="1:11" ht="26.1" customHeight="1" x14ac:dyDescent="0.2">
      <c r="A416" s="236"/>
      <c r="B416" s="239"/>
      <c r="C416" s="239"/>
      <c r="D416" s="239"/>
      <c r="E416" s="239"/>
      <c r="F416" s="239"/>
      <c r="G416" s="239"/>
      <c r="H416" s="239"/>
      <c r="I416" s="239"/>
      <c r="J416" s="239"/>
      <c r="K416" s="239"/>
    </row>
    <row r="418" spans="1:11" ht="30" customHeight="1" x14ac:dyDescent="0.2">
      <c r="A418" s="245"/>
      <c r="B418" s="239"/>
      <c r="C418" s="239"/>
      <c r="D418" s="239"/>
      <c r="E418" s="239"/>
      <c r="F418" s="239"/>
      <c r="G418" s="239"/>
      <c r="H418" s="239"/>
      <c r="I418" s="239"/>
      <c r="J418" s="239"/>
      <c r="K418" s="239"/>
    </row>
    <row r="419" spans="1:11" ht="20.100000000000001" customHeight="1" x14ac:dyDescent="0.2">
      <c r="A419" s="245"/>
      <c r="B419" s="239"/>
      <c r="C419" s="239"/>
      <c r="D419" s="239"/>
      <c r="E419" s="239"/>
      <c r="F419" s="239"/>
      <c r="G419" s="239"/>
      <c r="H419" s="239"/>
      <c r="I419" s="239"/>
      <c r="J419" s="239"/>
      <c r="K419" s="239"/>
    </row>
    <row r="420" spans="1:11" ht="9.9499999999999993" customHeight="1" x14ac:dyDescent="0.2">
      <c r="A420" s="245"/>
      <c r="B420" s="239"/>
      <c r="C420" s="239"/>
      <c r="D420" s="239"/>
      <c r="E420" s="239"/>
      <c r="F420" s="239"/>
      <c r="G420" s="239"/>
      <c r="H420" s="239"/>
      <c r="I420" s="239"/>
      <c r="J420" s="239"/>
      <c r="K420" s="239"/>
    </row>
    <row r="421" spans="1:11" ht="20.100000000000001" customHeight="1" x14ac:dyDescent="0.2">
      <c r="A421" s="245"/>
      <c r="B421" s="239"/>
      <c r="C421" s="239"/>
      <c r="D421" s="239"/>
      <c r="E421" s="239"/>
      <c r="F421" s="239"/>
      <c r="G421" s="239"/>
      <c r="H421" s="239"/>
      <c r="I421" s="239"/>
      <c r="J421" s="239"/>
      <c r="K421" s="239"/>
    </row>
    <row r="422" spans="1:11" ht="30" customHeight="1" x14ac:dyDescent="0.2">
      <c r="A422" s="245"/>
      <c r="B422" s="239"/>
      <c r="C422" s="239"/>
      <c r="D422" s="239"/>
      <c r="E422" s="239"/>
      <c r="F422" s="239"/>
      <c r="G422" s="239"/>
      <c r="H422" s="239"/>
      <c r="I422" s="239"/>
      <c r="J422" s="239"/>
      <c r="K422" s="239"/>
    </row>
    <row r="423" spans="1:11" ht="20.100000000000001" customHeight="1" x14ac:dyDescent="0.2">
      <c r="A423" s="245"/>
      <c r="B423" s="239"/>
      <c r="C423" s="239"/>
      <c r="D423" s="239"/>
      <c r="E423" s="239"/>
      <c r="F423" s="239"/>
      <c r="G423" s="239"/>
      <c r="H423" s="239"/>
      <c r="I423" s="239"/>
      <c r="J423" s="239"/>
      <c r="K423" s="239"/>
    </row>
    <row r="425" spans="1:11" ht="30" customHeight="1" x14ac:dyDescent="0.2">
      <c r="A425" s="245"/>
      <c r="B425" s="239"/>
      <c r="C425" s="239"/>
      <c r="D425" s="239"/>
      <c r="E425" s="239"/>
      <c r="F425" s="239"/>
      <c r="G425" s="239"/>
      <c r="H425" s="239"/>
      <c r="I425" s="239"/>
      <c r="J425" s="239"/>
      <c r="K425" s="239"/>
    </row>
    <row r="426" spans="1:11" ht="20.100000000000001" customHeight="1" x14ac:dyDescent="0.2">
      <c r="A426" s="245"/>
      <c r="B426" s="239"/>
      <c r="C426" s="239"/>
      <c r="D426" s="239"/>
      <c r="E426" s="239"/>
      <c r="F426" s="239"/>
      <c r="G426" s="239"/>
      <c r="H426" s="239"/>
      <c r="I426" s="239"/>
      <c r="J426" s="239"/>
      <c r="K426" s="239"/>
    </row>
  </sheetData>
  <mergeCells count="345">
    <mergeCell ref="A17:B17"/>
    <mergeCell ref="C17:H17"/>
    <mergeCell ref="B32:E33"/>
    <mergeCell ref="B34:E34"/>
    <mergeCell ref="B35:E35"/>
    <mergeCell ref="B36:E36"/>
    <mergeCell ref="B37:E37"/>
    <mergeCell ref="J34:K34"/>
    <mergeCell ref="J35:K35"/>
    <mergeCell ref="J36:K36"/>
    <mergeCell ref="A29:K29"/>
    <mergeCell ref="A30:K30"/>
    <mergeCell ref="A31:B31"/>
    <mergeCell ref="A32:A33"/>
    <mergeCell ref="F32:F33"/>
    <mergeCell ref="J32:K33"/>
    <mergeCell ref="I20:I21"/>
    <mergeCell ref="F20:H20"/>
    <mergeCell ref="E20:E21"/>
    <mergeCell ref="B20:D21"/>
    <mergeCell ref="B22:D22"/>
    <mergeCell ref="J22:K22"/>
    <mergeCell ref="B23:D23"/>
    <mergeCell ref="B24:D24"/>
    <mergeCell ref="A11:H11"/>
    <mergeCell ref="A13:C13"/>
    <mergeCell ref="D13:H13"/>
    <mergeCell ref="A14:C14"/>
    <mergeCell ref="D14:H14"/>
    <mergeCell ref="A15:E15"/>
    <mergeCell ref="F15:H15"/>
    <mergeCell ref="A16:E16"/>
    <mergeCell ref="F16:H16"/>
    <mergeCell ref="B5:C5"/>
    <mergeCell ref="B6:C6"/>
    <mergeCell ref="A7:K7"/>
    <mergeCell ref="A8:K8"/>
    <mergeCell ref="A10:G10"/>
    <mergeCell ref="H1:K1"/>
    <mergeCell ref="H2:K2"/>
    <mergeCell ref="H3:K3"/>
    <mergeCell ref="A1:D1"/>
    <mergeCell ref="A2:D3"/>
    <mergeCell ref="J5:K5"/>
    <mergeCell ref="J6:K6"/>
    <mergeCell ref="A416:K416"/>
    <mergeCell ref="A418:K418"/>
    <mergeCell ref="A392:E392"/>
    <mergeCell ref="F392:G392"/>
    <mergeCell ref="A393:B393"/>
    <mergeCell ref="C393:G393"/>
    <mergeCell ref="A394:D394"/>
    <mergeCell ref="E394:G394"/>
    <mergeCell ref="A395:F395"/>
    <mergeCell ref="G397:G398"/>
    <mergeCell ref="A386:G386"/>
    <mergeCell ref="A387:G387"/>
    <mergeCell ref="B388:G388"/>
    <mergeCell ref="A389:C389"/>
    <mergeCell ref="D389:G389"/>
    <mergeCell ref="A390:C390"/>
    <mergeCell ref="D390:G390"/>
    <mergeCell ref="A391:E391"/>
    <mergeCell ref="F391:G391"/>
    <mergeCell ref="A419:K419"/>
    <mergeCell ref="A420:K420"/>
    <mergeCell ref="A421:K421"/>
    <mergeCell ref="A422:K422"/>
    <mergeCell ref="A423:K423"/>
    <mergeCell ref="A425:K425"/>
    <mergeCell ref="A426:K426"/>
    <mergeCell ref="H397:H398"/>
    <mergeCell ref="A403:K403"/>
    <mergeCell ref="A404:K404"/>
    <mergeCell ref="A405:K405"/>
    <mergeCell ref="A406:K406"/>
    <mergeCell ref="A407:K407"/>
    <mergeCell ref="A408:K408"/>
    <mergeCell ref="A409:B409"/>
    <mergeCell ref="A410:A411"/>
    <mergeCell ref="B410:B411"/>
    <mergeCell ref="C410:C411"/>
    <mergeCell ref="D410:E410"/>
    <mergeCell ref="F410:F411"/>
    <mergeCell ref="A397:A398"/>
    <mergeCell ref="B397:B398"/>
    <mergeCell ref="C397:C398"/>
    <mergeCell ref="D397:F397"/>
    <mergeCell ref="A348:K348"/>
    <mergeCell ref="A349:K349"/>
    <mergeCell ref="A351:K351"/>
    <mergeCell ref="A352:K352"/>
    <mergeCell ref="A379:A380"/>
    <mergeCell ref="B381:C381"/>
    <mergeCell ref="B382:C382"/>
    <mergeCell ref="A383:K383"/>
    <mergeCell ref="A384:K384"/>
    <mergeCell ref="A337:K337"/>
    <mergeCell ref="A338:K338"/>
    <mergeCell ref="A339:K339"/>
    <mergeCell ref="A340:K340"/>
    <mergeCell ref="A341:K341"/>
    <mergeCell ref="A344:K344"/>
    <mergeCell ref="A345:K345"/>
    <mergeCell ref="A346:K346"/>
    <mergeCell ref="A347:K347"/>
    <mergeCell ref="A323:K323"/>
    <mergeCell ref="A325:K325"/>
    <mergeCell ref="A326:K326"/>
    <mergeCell ref="A327:K327"/>
    <mergeCell ref="A329:K329"/>
    <mergeCell ref="A330:B330"/>
    <mergeCell ref="A331:A332"/>
    <mergeCell ref="B331:B332"/>
    <mergeCell ref="C331:C332"/>
    <mergeCell ref="D331:E331"/>
    <mergeCell ref="F331:F332"/>
    <mergeCell ref="A298:K298"/>
    <mergeCell ref="A300:K300"/>
    <mergeCell ref="A301:K301"/>
    <mergeCell ref="A303:A304"/>
    <mergeCell ref="B305:C305"/>
    <mergeCell ref="B306:C306"/>
    <mergeCell ref="A307:K307"/>
    <mergeCell ref="A308:K308"/>
    <mergeCell ref="A309:A311"/>
    <mergeCell ref="B309:G309"/>
    <mergeCell ref="H309:H311"/>
    <mergeCell ref="I309:J310"/>
    <mergeCell ref="K309:K311"/>
    <mergeCell ref="B310:B311"/>
    <mergeCell ref="C310:C311"/>
    <mergeCell ref="D310:G310"/>
    <mergeCell ref="A286:K286"/>
    <mergeCell ref="A287:K287"/>
    <mergeCell ref="A289:K289"/>
    <mergeCell ref="A291:K291"/>
    <mergeCell ref="A293:K293"/>
    <mergeCell ref="A294:K294"/>
    <mergeCell ref="A295:K295"/>
    <mergeCell ref="A296:K296"/>
    <mergeCell ref="A297:K297"/>
    <mergeCell ref="A276:K276"/>
    <mergeCell ref="A277:B277"/>
    <mergeCell ref="A278:A279"/>
    <mergeCell ref="B278:B279"/>
    <mergeCell ref="C278:C279"/>
    <mergeCell ref="D278:E278"/>
    <mergeCell ref="F278:F279"/>
    <mergeCell ref="A284:K284"/>
    <mergeCell ref="A285:K285"/>
    <mergeCell ref="A268:K268"/>
    <mergeCell ref="A270:A271"/>
    <mergeCell ref="B270:B271"/>
    <mergeCell ref="C270:C271"/>
    <mergeCell ref="D270:D271"/>
    <mergeCell ref="E270:E271"/>
    <mergeCell ref="F270:G270"/>
    <mergeCell ref="H270:H271"/>
    <mergeCell ref="A272:A274"/>
    <mergeCell ref="A256:A257"/>
    <mergeCell ref="B258:C258"/>
    <mergeCell ref="B259:C259"/>
    <mergeCell ref="A260:K260"/>
    <mergeCell ref="A261:K261"/>
    <mergeCell ref="A263:K263"/>
    <mergeCell ref="A264:A265"/>
    <mergeCell ref="B264:B265"/>
    <mergeCell ref="C264:D264"/>
    <mergeCell ref="E264:E265"/>
    <mergeCell ref="A204:K204"/>
    <mergeCell ref="A207:K207"/>
    <mergeCell ref="A208:K208"/>
    <mergeCell ref="A209:K209"/>
    <mergeCell ref="A210:K210"/>
    <mergeCell ref="A211:K211"/>
    <mergeCell ref="A212:K212"/>
    <mergeCell ref="A214:K214"/>
    <mergeCell ref="A215:K215"/>
    <mergeCell ref="A184:K184"/>
    <mergeCell ref="A186:K186"/>
    <mergeCell ref="A187:K187"/>
    <mergeCell ref="A195:K195"/>
    <mergeCell ref="A196:B196"/>
    <mergeCell ref="A197:A198"/>
    <mergeCell ref="B197:B198"/>
    <mergeCell ref="C197:C198"/>
    <mergeCell ref="D197:E197"/>
    <mergeCell ref="F197:F198"/>
    <mergeCell ref="A172:K172"/>
    <mergeCell ref="A174:K174"/>
    <mergeCell ref="A175:K175"/>
    <mergeCell ref="A176:A178"/>
    <mergeCell ref="B176:D176"/>
    <mergeCell ref="E176:G176"/>
    <mergeCell ref="H176:J176"/>
    <mergeCell ref="B177:C177"/>
    <mergeCell ref="D177:D178"/>
    <mergeCell ref="E177:F177"/>
    <mergeCell ref="G177:G178"/>
    <mergeCell ref="H177:I177"/>
    <mergeCell ref="J177:J178"/>
    <mergeCell ref="A159:K159"/>
    <mergeCell ref="A160:A163"/>
    <mergeCell ref="B160:H160"/>
    <mergeCell ref="B161:F161"/>
    <mergeCell ref="G161:H163"/>
    <mergeCell ref="B162:F162"/>
    <mergeCell ref="A168:K168"/>
    <mergeCell ref="A169:K169"/>
    <mergeCell ref="A171:K171"/>
    <mergeCell ref="B151:C151"/>
    <mergeCell ref="B152:C152"/>
    <mergeCell ref="A153:K153"/>
    <mergeCell ref="A154:K154"/>
    <mergeCell ref="A155:K155"/>
    <mergeCell ref="A157:A158"/>
    <mergeCell ref="B157:B158"/>
    <mergeCell ref="D157:D158"/>
    <mergeCell ref="G157:G158"/>
    <mergeCell ref="H157:H158"/>
    <mergeCell ref="I157:I158"/>
    <mergeCell ref="A137:K137"/>
    <mergeCell ref="A138:K138"/>
    <mergeCell ref="A139:K139"/>
    <mergeCell ref="A140:K140"/>
    <mergeCell ref="A141:K141"/>
    <mergeCell ref="A142:K142"/>
    <mergeCell ref="A144:K144"/>
    <mergeCell ref="A145:K145"/>
    <mergeCell ref="A149:A150"/>
    <mergeCell ref="A124:K124"/>
    <mergeCell ref="A125:K125"/>
    <mergeCell ref="A126:K126"/>
    <mergeCell ref="A128:K128"/>
    <mergeCell ref="A129:B129"/>
    <mergeCell ref="A130:A131"/>
    <mergeCell ref="B130:B131"/>
    <mergeCell ref="C130:C131"/>
    <mergeCell ref="D130:E130"/>
    <mergeCell ref="F130:F131"/>
    <mergeCell ref="A95:K95"/>
    <mergeCell ref="A102:A103"/>
    <mergeCell ref="B104:C104"/>
    <mergeCell ref="B105:C105"/>
    <mergeCell ref="A107:K107"/>
    <mergeCell ref="A108:K108"/>
    <mergeCell ref="B111:H111"/>
    <mergeCell ref="B115:H115"/>
    <mergeCell ref="B119:H119"/>
    <mergeCell ref="A84:K84"/>
    <mergeCell ref="A85:K85"/>
    <mergeCell ref="A87:K87"/>
    <mergeCell ref="A88:K88"/>
    <mergeCell ref="A89:K89"/>
    <mergeCell ref="A90:K90"/>
    <mergeCell ref="A91:K91"/>
    <mergeCell ref="A92:K92"/>
    <mergeCell ref="A94:K94"/>
    <mergeCell ref="A73:B73"/>
    <mergeCell ref="A74:A75"/>
    <mergeCell ref="B74:B75"/>
    <mergeCell ref="C74:C75"/>
    <mergeCell ref="D74:E74"/>
    <mergeCell ref="F74:F75"/>
    <mergeCell ref="A81:K81"/>
    <mergeCell ref="A82:K82"/>
    <mergeCell ref="A83:K83"/>
    <mergeCell ref="B67:C67"/>
    <mergeCell ref="D67:E67"/>
    <mergeCell ref="F67:G67"/>
    <mergeCell ref="H67:I67"/>
    <mergeCell ref="A68:K68"/>
    <mergeCell ref="A69:K69"/>
    <mergeCell ref="A70:K70"/>
    <mergeCell ref="A71:K71"/>
    <mergeCell ref="A72:K72"/>
    <mergeCell ref="B64:C64"/>
    <mergeCell ref="D64:E64"/>
    <mergeCell ref="F64:G64"/>
    <mergeCell ref="H64:I64"/>
    <mergeCell ref="B65:C65"/>
    <mergeCell ref="D65:E65"/>
    <mergeCell ref="F65:G65"/>
    <mergeCell ref="H65:I65"/>
    <mergeCell ref="B66:C66"/>
    <mergeCell ref="D66:E66"/>
    <mergeCell ref="F66:G66"/>
    <mergeCell ref="H66:I66"/>
    <mergeCell ref="B61:C61"/>
    <mergeCell ref="D61:E61"/>
    <mergeCell ref="F61:G61"/>
    <mergeCell ref="H61:I61"/>
    <mergeCell ref="B62:C62"/>
    <mergeCell ref="D62:E62"/>
    <mergeCell ref="F62:G62"/>
    <mergeCell ref="H62:I62"/>
    <mergeCell ref="B63:C63"/>
    <mergeCell ref="D63:E63"/>
    <mergeCell ref="F63:G63"/>
    <mergeCell ref="H63:I63"/>
    <mergeCell ref="B53:C53"/>
    <mergeCell ref="B54:C54"/>
    <mergeCell ref="A55:K55"/>
    <mergeCell ref="A56:K56"/>
    <mergeCell ref="A58:K58"/>
    <mergeCell ref="A59:A60"/>
    <mergeCell ref="B59:B60"/>
    <mergeCell ref="C59:F59"/>
    <mergeCell ref="G59:H60"/>
    <mergeCell ref="C60:D60"/>
    <mergeCell ref="E60:F60"/>
    <mergeCell ref="A42:K42"/>
    <mergeCell ref="A43:K43"/>
    <mergeCell ref="A51:A52"/>
    <mergeCell ref="C40:E40"/>
    <mergeCell ref="I40:J40"/>
    <mergeCell ref="C41:E41"/>
    <mergeCell ref="I41:J41"/>
    <mergeCell ref="A44:B44"/>
    <mergeCell ref="C44:E44"/>
    <mergeCell ref="I44:J44"/>
    <mergeCell ref="C45:E45"/>
    <mergeCell ref="I45:J45"/>
    <mergeCell ref="A47:B47"/>
    <mergeCell ref="C47:E47"/>
    <mergeCell ref="I47:J47"/>
    <mergeCell ref="C48:E48"/>
    <mergeCell ref="I48:J48"/>
    <mergeCell ref="A40:B40"/>
    <mergeCell ref="A18:D18"/>
    <mergeCell ref="E18:H18"/>
    <mergeCell ref="A19:F19"/>
    <mergeCell ref="G19:H19"/>
    <mergeCell ref="A20:A21"/>
    <mergeCell ref="A25:K25"/>
    <mergeCell ref="J20:K21"/>
    <mergeCell ref="A38:K38"/>
    <mergeCell ref="J37:K37"/>
    <mergeCell ref="I32:I33"/>
    <mergeCell ref="G32:H32"/>
    <mergeCell ref="G31:H31"/>
    <mergeCell ref="J23:K23"/>
    <mergeCell ref="J24:K24"/>
    <mergeCell ref="A27:B27"/>
  </mergeCells>
  <phoneticPr fontId="31" type="noConversion"/>
  <pageMargins left="0.78740157480314965" right="0.47244094488188981" top="0.39370078740157483" bottom="0.39370078740157483" header="0.51181102362204722" footer="0.51181102362204722"/>
  <pageSetup paperSize="9" scale="8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0CB44-C46B-4103-9098-7A8E67F6ABAF}">
  <dimension ref="A1:K45"/>
  <sheetViews>
    <sheetView view="pageBreakPreview" zoomScaleNormal="100" zoomScaleSheetLayoutView="100" workbookViewId="0">
      <selection activeCell="C19" sqref="C19"/>
    </sheetView>
  </sheetViews>
  <sheetFormatPr defaultColWidth="9.140625" defaultRowHeight="11.25" x14ac:dyDescent="0.2"/>
  <cols>
    <col min="1" max="1" width="9.5703125" style="3" bestFit="1" customWidth="1"/>
    <col min="2" max="2" width="10.5703125" style="3" bestFit="1" customWidth="1"/>
    <col min="3" max="3" width="6" style="3" bestFit="1" customWidth="1"/>
    <col min="4" max="4" width="7.140625" style="3" bestFit="1" customWidth="1"/>
    <col min="5" max="5" width="8.140625" style="3" bestFit="1" customWidth="1"/>
    <col min="6" max="6" width="9.7109375" style="3" bestFit="1" customWidth="1"/>
    <col min="7" max="7" width="10.7109375" style="3" customWidth="1"/>
    <col min="8" max="8" width="11.28515625" style="3" bestFit="1" customWidth="1"/>
    <col min="9" max="16384" width="9.140625" style="3"/>
  </cols>
  <sheetData>
    <row r="1" spans="1:11" ht="18.600000000000001" customHeight="1" x14ac:dyDescent="0.2">
      <c r="A1" s="262" t="str">
        <f>'Данные объект'!B58</f>
        <v xml:space="preserve"> ООО «Энергосистемы»</v>
      </c>
      <c r="B1" s="262"/>
      <c r="C1" s="262"/>
      <c r="D1" s="262"/>
      <c r="G1" s="4" t="s">
        <v>11</v>
      </c>
      <c r="H1" s="259" t="str">
        <f>'Данные объект'!B34</f>
        <v>ПАО "Россети Московский регион"</v>
      </c>
      <c r="I1" s="259"/>
      <c r="J1" s="259"/>
      <c r="K1" s="259"/>
    </row>
    <row r="2" spans="1:11" ht="35.25" customHeight="1" x14ac:dyDescent="0.2">
      <c r="A2" s="262" t="str">
        <f>'Данные объект'!C58</f>
        <v>Испытательная электролаборатория 141508, Московская область, г.о. Солнечногорск, г. Солнечногорск, ул. Промышленная, стр. 5, помещение 179, Свидетельсто о регистрации №5.3-6420 от 15 мая 2024г</v>
      </c>
      <c r="B2" s="262"/>
      <c r="C2" s="262"/>
      <c r="D2" s="262"/>
      <c r="G2" s="4" t="s">
        <v>12</v>
      </c>
      <c r="H2" s="260" t="str">
        <f>_xlfn.CONCAT('Данные объект'!$B$15, " ",'Данные объект'!$B$16)</f>
        <v>КТП № АСП №</v>
      </c>
      <c r="I2" s="260"/>
      <c r="J2" s="260"/>
      <c r="K2" s="260"/>
    </row>
    <row r="3" spans="1:11" ht="31.15" customHeight="1" x14ac:dyDescent="0.2">
      <c r="A3" s="262"/>
      <c r="B3" s="262"/>
      <c r="C3" s="262"/>
      <c r="D3" s="262"/>
      <c r="G3" s="4" t="s">
        <v>13</v>
      </c>
      <c r="H3" s="261" t="str">
        <f>'Данные объект'!B5</f>
        <v>Лобня г, Шереметьевское ш, дом 10</v>
      </c>
      <c r="I3" s="261"/>
      <c r="J3" s="261"/>
      <c r="K3" s="261"/>
    </row>
    <row r="4" spans="1:11" ht="15" customHeight="1" x14ac:dyDescent="0.2">
      <c r="A4" s="29"/>
      <c r="B4" s="29"/>
      <c r="C4" s="29"/>
      <c r="D4" s="29"/>
      <c r="G4" s="4"/>
      <c r="H4" s="4"/>
      <c r="I4" s="4"/>
      <c r="J4" s="4"/>
      <c r="K4" s="4"/>
    </row>
    <row r="5" spans="1:11" x14ac:dyDescent="0.2">
      <c r="A5" s="5"/>
      <c r="B5" s="249"/>
      <c r="C5" s="249"/>
      <c r="J5" s="249" t="s">
        <v>14</v>
      </c>
      <c r="K5" s="249"/>
    </row>
    <row r="6" spans="1:11" ht="10.15" customHeight="1" x14ac:dyDescent="0.2">
      <c r="A6" s="5"/>
      <c r="B6" s="250"/>
      <c r="C6" s="250"/>
      <c r="J6" s="263" t="str">
        <f>'Данные объект'!B8</f>
        <v>25.06.2025</v>
      </c>
      <c r="K6" s="263"/>
    </row>
    <row r="7" spans="1:11" ht="12.75" x14ac:dyDescent="0.2">
      <c r="A7" s="275" t="s">
        <v>51</v>
      </c>
      <c r="B7" s="276"/>
      <c r="C7" s="276"/>
      <c r="D7" s="276"/>
      <c r="E7" s="276"/>
      <c r="F7" s="276"/>
      <c r="G7" s="276"/>
      <c r="H7" s="276"/>
      <c r="I7" s="276"/>
      <c r="J7" s="276"/>
      <c r="K7" s="276"/>
    </row>
    <row r="8" spans="1:11" ht="15.95" customHeight="1" x14ac:dyDescent="0.2">
      <c r="A8" s="238" t="s">
        <v>52</v>
      </c>
      <c r="B8" s="239"/>
      <c r="C8" s="239"/>
      <c r="D8" s="239"/>
      <c r="E8" s="239"/>
      <c r="F8" s="239"/>
      <c r="G8" s="239"/>
      <c r="H8" s="239"/>
      <c r="I8" s="239"/>
      <c r="J8" s="239"/>
      <c r="K8" s="239"/>
    </row>
    <row r="10" spans="1:11" ht="12.95" customHeight="1" x14ac:dyDescent="0.2">
      <c r="A10" s="236" t="s">
        <v>30</v>
      </c>
      <c r="B10" s="239"/>
      <c r="C10" s="239"/>
      <c r="D10" s="239"/>
      <c r="E10" s="239"/>
      <c r="F10" s="239"/>
      <c r="G10" s="239"/>
      <c r="H10" s="239"/>
      <c r="I10" s="239"/>
      <c r="J10" s="239"/>
      <c r="K10" s="239"/>
    </row>
    <row r="11" spans="1:11" ht="11.45" customHeight="1" x14ac:dyDescent="0.2">
      <c r="A11" s="216" t="s">
        <v>525</v>
      </c>
      <c r="B11" s="216" t="s">
        <v>53</v>
      </c>
      <c r="C11" s="216"/>
      <c r="D11" s="216"/>
      <c r="E11" s="216"/>
      <c r="F11" s="216" t="s">
        <v>325</v>
      </c>
      <c r="G11" s="216"/>
      <c r="H11" s="216"/>
      <c r="I11" s="216"/>
      <c r="J11" s="216" t="s">
        <v>55</v>
      </c>
      <c r="K11" s="216"/>
    </row>
    <row r="12" spans="1:11" ht="10.9" customHeight="1" x14ac:dyDescent="0.2">
      <c r="A12" s="216"/>
      <c r="B12" s="216"/>
      <c r="C12" s="216"/>
      <c r="D12" s="216"/>
      <c r="E12" s="216"/>
      <c r="F12" s="216" t="s">
        <v>287</v>
      </c>
      <c r="G12" s="216"/>
      <c r="H12" s="216" t="s">
        <v>288</v>
      </c>
      <c r="I12" s="216"/>
      <c r="J12" s="216"/>
      <c r="K12" s="216"/>
    </row>
    <row r="13" spans="1:11" ht="10.15" customHeight="1" x14ac:dyDescent="0.2">
      <c r="A13" s="141">
        <v>1</v>
      </c>
      <c r="B13" s="267" t="s">
        <v>480</v>
      </c>
      <c r="C13" s="267"/>
      <c r="D13" s="267"/>
      <c r="E13" s="267"/>
      <c r="F13" s="216" t="s">
        <v>56</v>
      </c>
      <c r="G13" s="216"/>
      <c r="H13" s="216" t="s">
        <v>57</v>
      </c>
      <c r="I13" s="216"/>
      <c r="J13" s="216" t="s">
        <v>9</v>
      </c>
      <c r="K13" s="216"/>
    </row>
    <row r="14" spans="1:11" ht="10.15" customHeight="1" x14ac:dyDescent="0.2">
      <c r="A14" s="141">
        <v>2</v>
      </c>
      <c r="B14" s="267" t="s">
        <v>59</v>
      </c>
      <c r="C14" s="267"/>
      <c r="D14" s="267"/>
      <c r="E14" s="267"/>
      <c r="F14" s="216" t="s">
        <v>58</v>
      </c>
      <c r="G14" s="216"/>
      <c r="H14" s="216" t="s">
        <v>57</v>
      </c>
      <c r="I14" s="216"/>
      <c r="J14" s="216" t="s">
        <v>9</v>
      </c>
      <c r="K14" s="216"/>
    </row>
    <row r="15" spans="1:11" ht="10.15" customHeight="1" x14ac:dyDescent="0.2">
      <c r="A15" s="141">
        <v>3</v>
      </c>
      <c r="B15" s="267" t="s">
        <v>60</v>
      </c>
      <c r="C15" s="267"/>
      <c r="D15" s="267"/>
      <c r="E15" s="267"/>
      <c r="F15" s="216" t="s">
        <v>56</v>
      </c>
      <c r="G15" s="216"/>
      <c r="H15" s="216" t="s">
        <v>57</v>
      </c>
      <c r="I15" s="216"/>
      <c r="J15" s="216" t="s">
        <v>9</v>
      </c>
      <c r="K15" s="216"/>
    </row>
    <row r="16" spans="1:11" ht="16.149999999999999" customHeight="1" x14ac:dyDescent="0.2">
      <c r="A16" s="236" t="s">
        <v>326</v>
      </c>
      <c r="B16" s="239"/>
      <c r="C16" s="239"/>
      <c r="D16" s="239"/>
      <c r="E16" s="239"/>
      <c r="F16" s="239"/>
      <c r="G16" s="239"/>
      <c r="H16" s="239"/>
      <c r="I16" s="239"/>
      <c r="J16" s="239"/>
      <c r="K16" s="239"/>
    </row>
    <row r="17" spans="1:11" ht="13.15" customHeight="1" x14ac:dyDescent="0.2">
      <c r="A17" s="67" t="s">
        <v>327</v>
      </c>
      <c r="C17" s="3">
        <f>прот.№1!C26</f>
        <v>15</v>
      </c>
      <c r="D17" s="3" t="s">
        <v>328</v>
      </c>
    </row>
    <row r="18" spans="1:11" ht="12.95" customHeight="1" x14ac:dyDescent="0.2">
      <c r="A18" s="32" t="s">
        <v>329</v>
      </c>
      <c r="C18" s="3">
        <f>прот.№1!C27</f>
        <v>70</v>
      </c>
      <c r="D18" s="3" t="s">
        <v>330</v>
      </c>
    </row>
    <row r="19" spans="1:11" ht="12.95" customHeight="1" x14ac:dyDescent="0.2">
      <c r="A19" s="66" t="s">
        <v>331</v>
      </c>
      <c r="C19" s="392" t="str">
        <f>прот.№1!C28</f>
        <v>745</v>
      </c>
      <c r="D19" s="3" t="s">
        <v>332</v>
      </c>
    </row>
    <row r="20" spans="1:11" ht="12.95" customHeight="1" x14ac:dyDescent="0.2">
      <c r="A20" s="236" t="s">
        <v>200</v>
      </c>
      <c r="B20" s="239"/>
      <c r="C20" s="239"/>
      <c r="D20" s="239"/>
      <c r="E20" s="239"/>
      <c r="F20" s="239"/>
      <c r="G20" s="239"/>
      <c r="H20" s="239"/>
      <c r="I20" s="239"/>
      <c r="J20" s="239"/>
      <c r="K20" s="239"/>
    </row>
    <row r="21" spans="1:11" ht="12.95" customHeight="1" x14ac:dyDescent="0.2">
      <c r="A21" s="236" t="s">
        <v>61</v>
      </c>
      <c r="B21" s="239"/>
      <c r="C21" s="239"/>
      <c r="D21" s="239"/>
      <c r="E21" s="239"/>
      <c r="F21" s="239"/>
      <c r="G21" s="239"/>
      <c r="H21" s="239"/>
      <c r="I21" s="239"/>
      <c r="J21" s="239"/>
      <c r="K21" s="239"/>
    </row>
    <row r="22" spans="1:11" x14ac:dyDescent="0.2">
      <c r="A22" s="274"/>
      <c r="B22" s="274"/>
      <c r="C22" s="12"/>
      <c r="D22" s="12"/>
      <c r="E22" s="12"/>
      <c r="F22" s="12"/>
      <c r="G22" s="12"/>
    </row>
    <row r="23" spans="1:11" ht="24.95" customHeight="1" x14ac:dyDescent="0.2">
      <c r="A23" s="302" t="s">
        <v>31</v>
      </c>
      <c r="B23" s="294" t="s">
        <v>43</v>
      </c>
      <c r="C23" s="295"/>
      <c r="D23" s="295"/>
      <c r="E23" s="296"/>
      <c r="F23" s="302" t="s">
        <v>499</v>
      </c>
      <c r="G23" s="300" t="s">
        <v>44</v>
      </c>
      <c r="H23" s="301"/>
      <c r="I23" s="302" t="s">
        <v>45</v>
      </c>
      <c r="J23" s="304" t="s">
        <v>500</v>
      </c>
      <c r="K23" s="305"/>
    </row>
    <row r="24" spans="1:11" ht="24.95" customHeight="1" x14ac:dyDescent="0.2">
      <c r="A24" s="303"/>
      <c r="B24" s="297"/>
      <c r="C24" s="298"/>
      <c r="D24" s="298"/>
      <c r="E24" s="299"/>
      <c r="F24" s="303"/>
      <c r="G24" s="199" t="s">
        <v>46</v>
      </c>
      <c r="H24" s="199" t="s">
        <v>47</v>
      </c>
      <c r="I24" s="303"/>
      <c r="J24" s="306"/>
      <c r="K24" s="307"/>
    </row>
    <row r="25" spans="1:11" ht="23.1" customHeight="1" x14ac:dyDescent="0.2">
      <c r="A25" s="199">
        <v>1</v>
      </c>
      <c r="B25" s="287" t="s">
        <v>258</v>
      </c>
      <c r="C25" s="288"/>
      <c r="D25" s="288"/>
      <c r="E25" s="289"/>
      <c r="F25" s="199" t="s">
        <v>259</v>
      </c>
      <c r="G25" s="199" t="s">
        <v>264</v>
      </c>
      <c r="H25" s="199" t="s">
        <v>48</v>
      </c>
      <c r="I25" s="158">
        <f>Оборудование!I4</f>
        <v>46850</v>
      </c>
      <c r="J25" s="290" t="str">
        <f>Оборудование!J4</f>
        <v>С-ТТ/08-04-2026/517582908</v>
      </c>
      <c r="K25" s="291"/>
    </row>
    <row r="26" spans="1:11" ht="23.1" customHeight="1" x14ac:dyDescent="0.2">
      <c r="A26" s="199">
        <v>2</v>
      </c>
      <c r="B26" s="287" t="s">
        <v>260</v>
      </c>
      <c r="C26" s="288"/>
      <c r="D26" s="288"/>
      <c r="E26" s="289"/>
      <c r="F26" s="199">
        <v>134</v>
      </c>
      <c r="G26" s="199" t="s">
        <v>265</v>
      </c>
      <c r="H26" s="199">
        <v>0.1</v>
      </c>
      <c r="I26" s="158">
        <f>Оборудование!I3</f>
        <v>47945</v>
      </c>
      <c r="J26" s="292" t="str">
        <f>Оборудование!J3</f>
        <v>С-ТТ/08-04-2026/517582895</v>
      </c>
      <c r="K26" s="293"/>
    </row>
    <row r="27" spans="1:11" ht="23.1" customHeight="1" x14ac:dyDescent="0.2">
      <c r="A27" s="199">
        <v>3</v>
      </c>
      <c r="B27" s="287" t="s">
        <v>261</v>
      </c>
      <c r="C27" s="288"/>
      <c r="D27" s="288"/>
      <c r="E27" s="289"/>
      <c r="F27" s="199">
        <v>15036</v>
      </c>
      <c r="G27" s="199" t="s">
        <v>262</v>
      </c>
      <c r="H27" s="199">
        <v>2</v>
      </c>
      <c r="I27" s="158">
        <f>Оборудование!I12</f>
        <v>46175</v>
      </c>
      <c r="J27" s="292" t="str">
        <f>Оборудование!J12</f>
        <v>С-ТТ/02-06-2025/436900431</v>
      </c>
      <c r="K27" s="293"/>
    </row>
    <row r="28" spans="1:11" ht="23.1" customHeight="1" x14ac:dyDescent="0.2">
      <c r="A28" s="199">
        <v>4</v>
      </c>
      <c r="B28" s="287" t="s">
        <v>263</v>
      </c>
      <c r="C28" s="288"/>
      <c r="D28" s="288"/>
      <c r="E28" s="289"/>
      <c r="F28" s="199">
        <v>3141</v>
      </c>
      <c r="G28" s="199" t="s">
        <v>266</v>
      </c>
      <c r="H28" s="199">
        <v>3</v>
      </c>
      <c r="I28" s="158">
        <f>Оборудование!I13</f>
        <v>46850</v>
      </c>
      <c r="J28" s="292" t="str">
        <f>Оборудование!J13</f>
        <v>С-ТТ/08-04-2026/517582910</v>
      </c>
      <c r="K28" s="293"/>
    </row>
    <row r="30" spans="1:11" ht="12.95" customHeight="1" x14ac:dyDescent="0.2">
      <c r="A30" s="236" t="s">
        <v>62</v>
      </c>
      <c r="B30" s="239"/>
      <c r="C30" s="239"/>
      <c r="D30" s="239"/>
      <c r="E30" s="239"/>
      <c r="F30" s="239"/>
      <c r="G30" s="239"/>
      <c r="H30" s="239"/>
      <c r="I30" s="239"/>
      <c r="J30" s="239"/>
      <c r="K30" s="239"/>
    </row>
    <row r="31" spans="1:11" ht="26.1" customHeight="1" x14ac:dyDescent="0.2">
      <c r="A31" s="245" t="s">
        <v>63</v>
      </c>
      <c r="B31" s="239"/>
      <c r="C31" s="239"/>
      <c r="D31" s="239"/>
      <c r="E31" s="239"/>
      <c r="F31" s="239"/>
      <c r="G31" s="239"/>
      <c r="H31" s="239"/>
      <c r="I31" s="239"/>
      <c r="J31" s="239"/>
      <c r="K31" s="239"/>
    </row>
    <row r="32" spans="1:11" ht="12.95" customHeight="1" x14ac:dyDescent="0.2">
      <c r="A32" s="245" t="s">
        <v>201</v>
      </c>
      <c r="B32" s="239"/>
      <c r="C32" s="239"/>
      <c r="D32" s="239"/>
      <c r="E32" s="239"/>
      <c r="F32" s="239"/>
      <c r="G32" s="239"/>
      <c r="H32" s="239"/>
      <c r="I32" s="239"/>
      <c r="J32" s="239"/>
      <c r="K32" s="239"/>
    </row>
    <row r="33" spans="1:11" ht="12.95" customHeight="1" x14ac:dyDescent="0.2">
      <c r="A33" s="245" t="s">
        <v>202</v>
      </c>
      <c r="B33" s="239"/>
      <c r="C33" s="239"/>
      <c r="D33" s="239"/>
      <c r="E33" s="239"/>
      <c r="F33" s="239"/>
      <c r="G33" s="239"/>
      <c r="H33" s="239"/>
      <c r="I33" s="239"/>
      <c r="J33" s="239"/>
      <c r="K33" s="239"/>
    </row>
    <row r="34" spans="1:11" ht="26.1" customHeight="1" x14ac:dyDescent="0.2">
      <c r="A34" s="245" t="s">
        <v>524</v>
      </c>
      <c r="B34" s="239"/>
      <c r="C34" s="239"/>
      <c r="D34" s="239"/>
      <c r="E34" s="239"/>
      <c r="F34" s="239"/>
      <c r="G34" s="239"/>
      <c r="H34" s="239"/>
      <c r="I34" s="239"/>
      <c r="J34" s="239"/>
      <c r="K34" s="239"/>
    </row>
    <row r="35" spans="1:11" s="175" customFormat="1" x14ac:dyDescent="0.2">
      <c r="A35" s="175" t="s">
        <v>613</v>
      </c>
    </row>
    <row r="36" spans="1:11" s="175" customFormat="1" x14ac:dyDescent="0.2"/>
    <row r="37" spans="1:11" ht="30" customHeight="1" x14ac:dyDescent="0.2">
      <c r="A37" s="245" t="s">
        <v>207</v>
      </c>
      <c r="B37" s="245"/>
      <c r="C37" s="247" t="str">
        <f>'Данные объект'!$B$64</f>
        <v>Зам. руководителя ЭИЛ</v>
      </c>
      <c r="D37" s="247"/>
      <c r="E37" s="247"/>
      <c r="F37" s="140"/>
      <c r="G37" s="6"/>
      <c r="H37" s="140"/>
      <c r="I37" s="247" t="str">
        <f>'Данные объект'!$B$65</f>
        <v>Фечин А.А.</v>
      </c>
      <c r="J37" s="247"/>
      <c r="K37" s="140"/>
    </row>
    <row r="38" spans="1:11" ht="9" customHeight="1" x14ac:dyDescent="0.2">
      <c r="A38" s="32" t="s">
        <v>210</v>
      </c>
      <c r="B38" s="140"/>
      <c r="C38" s="248" t="s">
        <v>208</v>
      </c>
      <c r="D38" s="248"/>
      <c r="E38" s="248"/>
      <c r="F38" s="33"/>
      <c r="G38" s="34" t="s">
        <v>209</v>
      </c>
      <c r="H38" s="33"/>
      <c r="I38" s="248" t="s">
        <v>211</v>
      </c>
      <c r="J38" s="248"/>
      <c r="K38" s="140"/>
    </row>
    <row r="39" spans="1:11" ht="9.9499999999999993" customHeight="1" x14ac:dyDescent="0.2">
      <c r="A39" s="245" t="s">
        <v>49</v>
      </c>
      <c r="B39" s="239"/>
      <c r="C39" s="239"/>
      <c r="D39" s="239"/>
      <c r="E39" s="239"/>
      <c r="F39" s="239"/>
      <c r="G39" s="239"/>
      <c r="H39" s="239"/>
      <c r="I39" s="239"/>
      <c r="J39" s="239"/>
      <c r="K39" s="239"/>
    </row>
    <row r="40" spans="1:11" ht="20.100000000000001" customHeight="1" x14ac:dyDescent="0.2">
      <c r="A40" s="245" t="s">
        <v>50</v>
      </c>
      <c r="B40" s="245"/>
      <c r="C40" s="245"/>
      <c r="D40" s="245"/>
      <c r="E40" s="245"/>
      <c r="F40" s="245"/>
      <c r="G40" s="245"/>
      <c r="H40" s="245"/>
      <c r="I40" s="245"/>
      <c r="J40" s="245"/>
      <c r="K40" s="245"/>
    </row>
    <row r="41" spans="1:11" ht="30" customHeight="1" x14ac:dyDescent="0.2">
      <c r="A41" s="245"/>
      <c r="B41" s="245"/>
      <c r="C41" s="247" t="str">
        <f>'Данные объект'!$B$66</f>
        <v>Инженер ЭИЛ</v>
      </c>
      <c r="D41" s="247"/>
      <c r="E41" s="247"/>
      <c r="F41" s="140"/>
      <c r="G41" s="6"/>
      <c r="H41" s="140"/>
      <c r="I41" s="247" t="str">
        <f>'Данные объект'!$B$67</f>
        <v>Косырин А.Н.</v>
      </c>
      <c r="J41" s="247"/>
      <c r="K41" s="140"/>
    </row>
    <row r="42" spans="1:11" ht="9" customHeight="1" x14ac:dyDescent="0.2">
      <c r="A42" s="32" t="s">
        <v>210</v>
      </c>
      <c r="B42" s="140"/>
      <c r="C42" s="248" t="s">
        <v>208</v>
      </c>
      <c r="D42" s="248"/>
      <c r="E42" s="248"/>
      <c r="F42" s="33"/>
      <c r="G42" s="34" t="s">
        <v>209</v>
      </c>
      <c r="H42" s="33"/>
      <c r="I42" s="248" t="s">
        <v>211</v>
      </c>
      <c r="J42" s="248"/>
      <c r="K42" s="140"/>
    </row>
    <row r="43" spans="1:11" x14ac:dyDescent="0.2">
      <c r="A43" s="140"/>
      <c r="B43" s="140"/>
      <c r="C43" s="140"/>
      <c r="D43" s="140"/>
      <c r="E43" s="140"/>
      <c r="F43" s="140"/>
      <c r="G43" s="140"/>
      <c r="H43" s="140"/>
      <c r="I43" s="140"/>
      <c r="J43" s="140"/>
      <c r="K43" s="140"/>
    </row>
    <row r="44" spans="1:11" ht="30" customHeight="1" x14ac:dyDescent="0.2">
      <c r="A44" s="245" t="s">
        <v>212</v>
      </c>
      <c r="B44" s="245"/>
      <c r="C44" s="247" t="str">
        <f>'Данные объект'!$B$61</f>
        <v xml:space="preserve">Руководитель ЭИЛ </v>
      </c>
      <c r="D44" s="247"/>
      <c r="E44" s="247"/>
      <c r="F44" s="140"/>
      <c r="G44" s="6"/>
      <c r="H44" s="140"/>
      <c r="I44" s="247" t="str">
        <f>'Данные объект'!$B$62</f>
        <v xml:space="preserve"> Щербаков А.А.</v>
      </c>
      <c r="J44" s="247"/>
      <c r="K44" s="140"/>
    </row>
    <row r="45" spans="1:11" ht="9" customHeight="1" x14ac:dyDescent="0.2">
      <c r="A45" s="32" t="s">
        <v>210</v>
      </c>
      <c r="B45" s="140"/>
      <c r="C45" s="248" t="s">
        <v>208</v>
      </c>
      <c r="D45" s="248"/>
      <c r="E45" s="248"/>
      <c r="F45" s="33"/>
      <c r="G45" s="34" t="s">
        <v>209</v>
      </c>
      <c r="H45" s="33"/>
      <c r="I45" s="248" t="s">
        <v>211</v>
      </c>
      <c r="J45" s="248"/>
      <c r="K45" s="140"/>
    </row>
  </sheetData>
  <mergeCells count="70">
    <mergeCell ref="I45:J45"/>
    <mergeCell ref="A37:B37"/>
    <mergeCell ref="C37:E37"/>
    <mergeCell ref="I37:J37"/>
    <mergeCell ref="C38:E38"/>
    <mergeCell ref="I38:J38"/>
    <mergeCell ref="C42:E42"/>
    <mergeCell ref="I42:J42"/>
    <mergeCell ref="A44:B44"/>
    <mergeCell ref="C44:E44"/>
    <mergeCell ref="I44:J44"/>
    <mergeCell ref="C45:E45"/>
    <mergeCell ref="B5:C5"/>
    <mergeCell ref="J5:K5"/>
    <mergeCell ref="A1:D1"/>
    <mergeCell ref="H1:K1"/>
    <mergeCell ref="A2:D3"/>
    <mergeCell ref="H2:K2"/>
    <mergeCell ref="H3:K3"/>
    <mergeCell ref="B13:E13"/>
    <mergeCell ref="A8:K8"/>
    <mergeCell ref="A10:K10"/>
    <mergeCell ref="A11:A12"/>
    <mergeCell ref="B6:C6"/>
    <mergeCell ref="J6:K6"/>
    <mergeCell ref="J11:K12"/>
    <mergeCell ref="F11:I11"/>
    <mergeCell ref="F12:G12"/>
    <mergeCell ref="H12:I12"/>
    <mergeCell ref="B11:E12"/>
    <mergeCell ref="A7:K7"/>
    <mergeCell ref="F13:G13"/>
    <mergeCell ref="J13:K13"/>
    <mergeCell ref="H13:I13"/>
    <mergeCell ref="A16:K16"/>
    <mergeCell ref="F14:G14"/>
    <mergeCell ref="H14:I14"/>
    <mergeCell ref="B14:E14"/>
    <mergeCell ref="B15:E15"/>
    <mergeCell ref="F15:G15"/>
    <mergeCell ref="H15:I15"/>
    <mergeCell ref="J14:K14"/>
    <mergeCell ref="J15:K15"/>
    <mergeCell ref="A20:K20"/>
    <mergeCell ref="A21:K21"/>
    <mergeCell ref="A22:B22"/>
    <mergeCell ref="A23:A24"/>
    <mergeCell ref="F23:F24"/>
    <mergeCell ref="B23:E24"/>
    <mergeCell ref="G23:H23"/>
    <mergeCell ref="I23:I24"/>
    <mergeCell ref="J23:K24"/>
    <mergeCell ref="B25:E25"/>
    <mergeCell ref="J25:K25"/>
    <mergeCell ref="A30:K30"/>
    <mergeCell ref="A31:K31"/>
    <mergeCell ref="A32:K32"/>
    <mergeCell ref="B26:E26"/>
    <mergeCell ref="J26:K26"/>
    <mergeCell ref="B27:E27"/>
    <mergeCell ref="J27:K27"/>
    <mergeCell ref="B28:E28"/>
    <mergeCell ref="J28:K28"/>
    <mergeCell ref="A33:K33"/>
    <mergeCell ref="A34:K34"/>
    <mergeCell ref="A39:K39"/>
    <mergeCell ref="A40:K40"/>
    <mergeCell ref="A41:B41"/>
    <mergeCell ref="C41:E41"/>
    <mergeCell ref="I41:J41"/>
  </mergeCells>
  <pageMargins left="0.78740157480314965" right="0.47244094488188981" top="0.39370078740157483" bottom="0.39370078740157483" header="0.51181102362204722" footer="0.51181102362204722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C74C7-0A79-43E5-8DF5-51DDCBD7F451}">
  <dimension ref="A1:L46"/>
  <sheetViews>
    <sheetView view="pageBreakPreview" topLeftCell="A4" zoomScale="90" zoomScaleNormal="100" zoomScaleSheetLayoutView="90" workbookViewId="0">
      <selection activeCell="N35" sqref="N35"/>
    </sheetView>
  </sheetViews>
  <sheetFormatPr defaultColWidth="9.140625" defaultRowHeight="11.25" x14ac:dyDescent="0.2"/>
  <cols>
    <col min="1" max="1" width="9.5703125" style="3" bestFit="1" customWidth="1"/>
    <col min="2" max="2" width="10.5703125" style="3" bestFit="1" customWidth="1"/>
    <col min="3" max="3" width="6" style="3" bestFit="1" customWidth="1"/>
    <col min="4" max="4" width="7.140625" style="3" bestFit="1" customWidth="1"/>
    <col min="5" max="5" width="8.140625" style="3" bestFit="1" customWidth="1"/>
    <col min="6" max="6" width="9.7109375" style="3" bestFit="1" customWidth="1"/>
    <col min="7" max="7" width="10.7109375" style="3" customWidth="1"/>
    <col min="8" max="8" width="11.28515625" style="3" bestFit="1" customWidth="1"/>
    <col min="9" max="16384" width="9.140625" style="3"/>
  </cols>
  <sheetData>
    <row r="1" spans="1:12" ht="18.600000000000001" customHeight="1" x14ac:dyDescent="0.2">
      <c r="A1" s="262" t="str">
        <f>'Данные объект'!B58</f>
        <v xml:space="preserve"> ООО «Энергосистемы»</v>
      </c>
      <c r="B1" s="262"/>
      <c r="C1" s="262"/>
      <c r="D1" s="262"/>
      <c r="G1" s="4" t="s">
        <v>11</v>
      </c>
      <c r="H1" s="259" t="str">
        <f>'Данные объект'!B34</f>
        <v>ПАО "Россети Московский регион"</v>
      </c>
      <c r="I1" s="259"/>
      <c r="J1" s="259"/>
      <c r="K1" s="259"/>
    </row>
    <row r="2" spans="1:12" ht="38.25" customHeight="1" x14ac:dyDescent="0.2">
      <c r="A2" s="262" t="str">
        <f>'Данные объект'!C58</f>
        <v>Испытательная электролаборатория 141508, Московская область, г.о. Солнечногорск, г. Солнечногорск, ул. Промышленная, стр. 5, помещение 179, Свидетельсто о регистрации №5.3-6420 от 15 мая 2024г</v>
      </c>
      <c r="B2" s="262"/>
      <c r="C2" s="262"/>
      <c r="D2" s="262"/>
      <c r="G2" s="4" t="s">
        <v>12</v>
      </c>
      <c r="H2" s="260" t="str">
        <f>_xlfn.CONCAT('Данные объект'!$B$15, " ",'Данные объект'!$B$16)</f>
        <v>КТП № АСП №</v>
      </c>
      <c r="I2" s="260"/>
      <c r="J2" s="260"/>
      <c r="K2" s="260"/>
    </row>
    <row r="3" spans="1:12" ht="31.15" customHeight="1" x14ac:dyDescent="0.2">
      <c r="A3" s="262"/>
      <c r="B3" s="262"/>
      <c r="C3" s="262"/>
      <c r="D3" s="262"/>
      <c r="G3" s="4" t="s">
        <v>13</v>
      </c>
      <c r="H3" s="261" t="str">
        <f>'Данные объект'!B5</f>
        <v>Лобня г, Шереметьевское ш, дом 10</v>
      </c>
      <c r="I3" s="261"/>
      <c r="J3" s="261"/>
      <c r="K3" s="261"/>
    </row>
    <row r="4" spans="1:12" ht="15" customHeight="1" x14ac:dyDescent="0.2">
      <c r="A4" s="29"/>
      <c r="B4" s="29"/>
      <c r="C4" s="29"/>
      <c r="D4" s="29"/>
      <c r="G4" s="4"/>
      <c r="H4" s="4"/>
      <c r="I4" s="4"/>
      <c r="J4" s="4"/>
      <c r="K4" s="4"/>
    </row>
    <row r="5" spans="1:12" x14ac:dyDescent="0.2">
      <c r="A5" s="5"/>
      <c r="B5" s="249"/>
      <c r="C5" s="249"/>
      <c r="J5" s="249" t="s">
        <v>14</v>
      </c>
      <c r="K5" s="249"/>
    </row>
    <row r="6" spans="1:12" ht="10.15" customHeight="1" x14ac:dyDescent="0.2">
      <c r="A6" s="5"/>
      <c r="B6" s="250"/>
      <c r="C6" s="250"/>
      <c r="J6" s="263" t="str">
        <f>'Данные объект'!B8</f>
        <v>25.06.2025</v>
      </c>
      <c r="K6" s="263"/>
    </row>
    <row r="7" spans="1:12" ht="15.95" customHeight="1" x14ac:dyDescent="0.2">
      <c r="A7" s="275" t="s">
        <v>64</v>
      </c>
      <c r="B7" s="276"/>
      <c r="C7" s="276"/>
      <c r="D7" s="276"/>
      <c r="E7" s="276"/>
      <c r="F7" s="276"/>
      <c r="G7" s="276"/>
      <c r="H7" s="276"/>
      <c r="I7" s="276"/>
      <c r="J7" s="276"/>
      <c r="K7" s="276"/>
    </row>
    <row r="8" spans="1:12" ht="15.95" customHeight="1" x14ac:dyDescent="0.2">
      <c r="A8" s="278" t="s">
        <v>65</v>
      </c>
      <c r="B8" s="276"/>
      <c r="C8" s="276"/>
      <c r="D8" s="276"/>
      <c r="E8" s="276"/>
      <c r="F8" s="276"/>
      <c r="G8" s="276"/>
      <c r="H8" s="276"/>
      <c r="I8" s="276"/>
      <c r="J8" s="276"/>
      <c r="K8" s="276"/>
    </row>
    <row r="9" spans="1:12" ht="12" thickBot="1" x14ac:dyDescent="0.25"/>
    <row r="10" spans="1:12" ht="45.75" thickTop="1" x14ac:dyDescent="0.2">
      <c r="A10" s="144" t="s">
        <v>66</v>
      </c>
      <c r="B10" s="145" t="s">
        <v>67</v>
      </c>
      <c r="C10" s="145" t="s">
        <v>68</v>
      </c>
      <c r="D10" s="145" t="s">
        <v>69</v>
      </c>
      <c r="E10" s="145" t="s">
        <v>70</v>
      </c>
      <c r="F10" s="145" t="s">
        <v>71</v>
      </c>
      <c r="G10" s="145" t="s">
        <v>72</v>
      </c>
      <c r="H10" s="30" t="s">
        <v>73</v>
      </c>
    </row>
    <row r="11" spans="1:12" x14ac:dyDescent="0.2">
      <c r="A11" s="129"/>
      <c r="B11" s="277" t="s">
        <v>74</v>
      </c>
      <c r="C11" s="277"/>
      <c r="D11" s="277"/>
      <c r="E11" s="277"/>
      <c r="F11" s="277"/>
      <c r="G11" s="277"/>
      <c r="H11" s="277"/>
    </row>
    <row r="12" spans="1:12" x14ac:dyDescent="0.2">
      <c r="A12" s="131">
        <v>1</v>
      </c>
      <c r="B12" s="132" t="s">
        <v>75</v>
      </c>
      <c r="C12" s="133">
        <v>10</v>
      </c>
      <c r="D12" s="133">
        <v>6</v>
      </c>
      <c r="E12" s="133" t="s">
        <v>76</v>
      </c>
      <c r="F12" s="133">
        <v>32</v>
      </c>
      <c r="G12" s="133">
        <v>1</v>
      </c>
      <c r="H12" s="134" t="s">
        <v>77</v>
      </c>
    </row>
    <row r="13" spans="1:12" x14ac:dyDescent="0.2">
      <c r="A13" s="131">
        <v>2</v>
      </c>
      <c r="B13" s="132" t="s">
        <v>78</v>
      </c>
      <c r="C13" s="133">
        <v>10</v>
      </c>
      <c r="D13" s="133">
        <v>6</v>
      </c>
      <c r="E13" s="133" t="s">
        <v>76</v>
      </c>
      <c r="F13" s="133">
        <v>32</v>
      </c>
      <c r="G13" s="133">
        <v>1</v>
      </c>
      <c r="H13" s="134" t="s">
        <v>77</v>
      </c>
    </row>
    <row r="14" spans="1:12" x14ac:dyDescent="0.2">
      <c r="A14" s="131">
        <v>3</v>
      </c>
      <c r="B14" s="132" t="s">
        <v>79</v>
      </c>
      <c r="C14" s="133">
        <v>10</v>
      </c>
      <c r="D14" s="133">
        <v>6</v>
      </c>
      <c r="E14" s="133" t="s">
        <v>76</v>
      </c>
      <c r="F14" s="133">
        <v>32</v>
      </c>
      <c r="G14" s="133">
        <v>1</v>
      </c>
      <c r="H14" s="134" t="s">
        <v>77</v>
      </c>
    </row>
    <row r="15" spans="1:12" s="130" customFormat="1" x14ac:dyDescent="0.2">
      <c r="A15" s="129"/>
      <c r="B15" s="277" t="s">
        <v>481</v>
      </c>
      <c r="C15" s="277"/>
      <c r="D15" s="277"/>
      <c r="E15" s="277"/>
      <c r="F15" s="277"/>
      <c r="G15" s="277"/>
      <c r="H15" s="277"/>
      <c r="I15" s="156"/>
      <c r="J15" s="156"/>
      <c r="K15" s="156"/>
      <c r="L15" s="156"/>
    </row>
    <row r="16" spans="1:12" s="130" customFormat="1" x14ac:dyDescent="0.2">
      <c r="A16" s="131">
        <v>4</v>
      </c>
      <c r="B16" s="132" t="s">
        <v>75</v>
      </c>
      <c r="C16" s="133">
        <v>10</v>
      </c>
      <c r="D16" s="133">
        <v>10</v>
      </c>
      <c r="E16" s="133" t="s">
        <v>80</v>
      </c>
      <c r="F16" s="133">
        <v>32</v>
      </c>
      <c r="G16" s="133">
        <v>1</v>
      </c>
      <c r="H16" s="134" t="s">
        <v>77</v>
      </c>
      <c r="I16" s="156"/>
      <c r="J16" s="156"/>
      <c r="K16" s="156"/>
      <c r="L16" s="156"/>
    </row>
    <row r="17" spans="1:12" s="130" customFormat="1" x14ac:dyDescent="0.2">
      <c r="A17" s="131">
        <v>5</v>
      </c>
      <c r="B17" s="132" t="s">
        <v>78</v>
      </c>
      <c r="C17" s="133">
        <v>10</v>
      </c>
      <c r="D17" s="133">
        <v>10</v>
      </c>
      <c r="E17" s="133" t="s">
        <v>80</v>
      </c>
      <c r="F17" s="133">
        <v>32</v>
      </c>
      <c r="G17" s="133">
        <v>1</v>
      </c>
      <c r="H17" s="134" t="s">
        <v>77</v>
      </c>
      <c r="I17" s="156"/>
      <c r="J17" s="156"/>
      <c r="K17" s="156"/>
      <c r="L17" s="156"/>
    </row>
    <row r="18" spans="1:12" s="130" customFormat="1" x14ac:dyDescent="0.2">
      <c r="A18" s="131">
        <v>6</v>
      </c>
      <c r="B18" s="132" t="s">
        <v>79</v>
      </c>
      <c r="C18" s="133">
        <v>10</v>
      </c>
      <c r="D18" s="133">
        <v>10</v>
      </c>
      <c r="E18" s="133" t="s">
        <v>80</v>
      </c>
      <c r="F18" s="133">
        <v>32</v>
      </c>
      <c r="G18" s="133">
        <v>1</v>
      </c>
      <c r="H18" s="134" t="s">
        <v>77</v>
      </c>
      <c r="I18" s="156"/>
      <c r="J18" s="156"/>
      <c r="K18" s="156"/>
      <c r="L18" s="156"/>
    </row>
    <row r="19" spans="1:12" x14ac:dyDescent="0.2">
      <c r="A19" s="129"/>
      <c r="B19" s="277" t="s">
        <v>482</v>
      </c>
      <c r="C19" s="277"/>
      <c r="D19" s="277"/>
      <c r="E19" s="277"/>
      <c r="F19" s="277"/>
      <c r="G19" s="277"/>
      <c r="H19" s="277"/>
    </row>
    <row r="20" spans="1:12" x14ac:dyDescent="0.2">
      <c r="A20" s="131">
        <v>7</v>
      </c>
      <c r="B20" s="132" t="s">
        <v>75</v>
      </c>
      <c r="C20" s="133">
        <v>10</v>
      </c>
      <c r="D20" s="133">
        <v>10</v>
      </c>
      <c r="E20" s="133" t="s">
        <v>81</v>
      </c>
      <c r="F20" s="133">
        <v>32</v>
      </c>
      <c r="G20" s="133">
        <v>1</v>
      </c>
      <c r="H20" s="134" t="s">
        <v>77</v>
      </c>
    </row>
    <row r="21" spans="1:12" x14ac:dyDescent="0.2">
      <c r="A21" s="131">
        <v>8</v>
      </c>
      <c r="B21" s="132" t="s">
        <v>78</v>
      </c>
      <c r="C21" s="133">
        <v>10</v>
      </c>
      <c r="D21" s="133">
        <v>10</v>
      </c>
      <c r="E21" s="133" t="s">
        <v>81</v>
      </c>
      <c r="F21" s="133">
        <v>32</v>
      </c>
      <c r="G21" s="133">
        <v>1</v>
      </c>
      <c r="H21" s="134" t="s">
        <v>77</v>
      </c>
    </row>
    <row r="22" spans="1:12" ht="12" thickBot="1" x14ac:dyDescent="0.25">
      <c r="A22" s="152">
        <v>9</v>
      </c>
      <c r="B22" s="153" t="s">
        <v>79</v>
      </c>
      <c r="C22" s="154">
        <v>10</v>
      </c>
      <c r="D22" s="154">
        <v>10</v>
      </c>
      <c r="E22" s="154" t="s">
        <v>81</v>
      </c>
      <c r="F22" s="154">
        <v>32</v>
      </c>
      <c r="G22" s="154">
        <v>1</v>
      </c>
      <c r="H22" s="155" t="s">
        <v>77</v>
      </c>
    </row>
    <row r="24" spans="1:12" ht="12.95" customHeight="1" x14ac:dyDescent="0.2">
      <c r="A24" s="245" t="s">
        <v>82</v>
      </c>
      <c r="B24" s="239"/>
      <c r="C24" s="239"/>
      <c r="D24" s="239"/>
      <c r="E24" s="239"/>
      <c r="F24" s="239"/>
      <c r="G24" s="239"/>
      <c r="H24" s="239"/>
      <c r="I24" s="239"/>
      <c r="J24" s="239"/>
      <c r="K24" s="239"/>
    </row>
    <row r="25" spans="1:12" ht="12.95" customHeight="1" x14ac:dyDescent="0.2">
      <c r="A25" s="236" t="s">
        <v>83</v>
      </c>
      <c r="B25" s="239"/>
      <c r="C25" s="239"/>
      <c r="D25" s="239"/>
      <c r="E25" s="239"/>
      <c r="F25" s="239"/>
      <c r="G25" s="239"/>
      <c r="H25" s="239"/>
      <c r="I25" s="239"/>
      <c r="J25" s="239"/>
      <c r="K25" s="239"/>
    </row>
    <row r="26" spans="1:12" ht="12.95" customHeight="1" x14ac:dyDescent="0.2">
      <c r="A26" s="236" t="s">
        <v>84</v>
      </c>
      <c r="B26" s="239"/>
      <c r="C26" s="239"/>
      <c r="D26" s="239"/>
      <c r="E26" s="239"/>
      <c r="F26" s="239"/>
      <c r="G26" s="239"/>
      <c r="H26" s="239"/>
      <c r="I26" s="239"/>
      <c r="J26" s="239"/>
      <c r="K26" s="239"/>
    </row>
    <row r="27" spans="1:12" s="175" customFormat="1" x14ac:dyDescent="0.2">
      <c r="A27" s="175" t="s">
        <v>613</v>
      </c>
    </row>
    <row r="29" spans="1:12" ht="12.95" customHeight="1" x14ac:dyDescent="0.2">
      <c r="A29" s="236" t="s">
        <v>85</v>
      </c>
      <c r="B29" s="239"/>
      <c r="C29" s="239"/>
      <c r="D29" s="239"/>
      <c r="E29" s="239"/>
      <c r="F29" s="239"/>
      <c r="G29" s="239"/>
      <c r="H29" s="239"/>
      <c r="I29" s="239"/>
      <c r="J29" s="239"/>
      <c r="K29" s="239"/>
    </row>
    <row r="30" spans="1:12" x14ac:dyDescent="0.2">
      <c r="A30" s="274"/>
      <c r="B30" s="274"/>
      <c r="C30" s="12"/>
      <c r="D30" s="12"/>
      <c r="E30" s="12"/>
      <c r="F30" s="12"/>
      <c r="G30" s="12"/>
    </row>
    <row r="31" spans="1:12" ht="24.95" customHeight="1" x14ac:dyDescent="0.2">
      <c r="A31" s="218" t="s">
        <v>31</v>
      </c>
      <c r="B31" s="218" t="s">
        <v>43</v>
      </c>
      <c r="C31" s="218"/>
      <c r="D31" s="218"/>
      <c r="E31" s="218"/>
      <c r="F31" s="218" t="s">
        <v>499</v>
      </c>
      <c r="G31" s="218" t="s">
        <v>44</v>
      </c>
      <c r="H31" s="218"/>
      <c r="I31" s="218" t="s">
        <v>45</v>
      </c>
      <c r="J31" s="216" t="s">
        <v>500</v>
      </c>
      <c r="K31" s="217"/>
    </row>
    <row r="32" spans="1:12" ht="24.95" customHeight="1" x14ac:dyDescent="0.2">
      <c r="A32" s="218"/>
      <c r="B32" s="218"/>
      <c r="C32" s="218"/>
      <c r="D32" s="218"/>
      <c r="E32" s="218"/>
      <c r="F32" s="218"/>
      <c r="G32" s="142" t="s">
        <v>46</v>
      </c>
      <c r="H32" s="142" t="s">
        <v>47</v>
      </c>
      <c r="I32" s="218"/>
      <c r="J32" s="217"/>
      <c r="K32" s="217"/>
    </row>
    <row r="33" spans="1:11" ht="23.1" customHeight="1" x14ac:dyDescent="0.2">
      <c r="A33" s="142">
        <v>1</v>
      </c>
      <c r="B33" s="212" t="s">
        <v>258</v>
      </c>
      <c r="C33" s="212"/>
      <c r="D33" s="212"/>
      <c r="E33" s="212"/>
      <c r="F33" s="142" t="s">
        <v>259</v>
      </c>
      <c r="G33" s="142" t="s">
        <v>264</v>
      </c>
      <c r="H33" s="142" t="s">
        <v>48</v>
      </c>
      <c r="I33" s="158">
        <f>Оборудование!I4</f>
        <v>46850</v>
      </c>
      <c r="J33" s="265" t="str">
        <f>Оборудование!J4</f>
        <v>С-ТТ/08-04-2026/517582908</v>
      </c>
      <c r="K33" s="265"/>
    </row>
    <row r="34" spans="1:11" ht="23.1" customHeight="1" x14ac:dyDescent="0.2">
      <c r="A34" s="142">
        <v>2</v>
      </c>
      <c r="B34" s="212" t="s">
        <v>260</v>
      </c>
      <c r="C34" s="212"/>
      <c r="D34" s="212"/>
      <c r="E34" s="212"/>
      <c r="F34" s="142">
        <v>134</v>
      </c>
      <c r="G34" s="142" t="s">
        <v>265</v>
      </c>
      <c r="H34" s="142">
        <v>0.1</v>
      </c>
      <c r="I34" s="158">
        <f>Оборудование!I3</f>
        <v>47945</v>
      </c>
      <c r="J34" s="240" t="str">
        <f>Оборудование!J3</f>
        <v>С-ТТ/08-04-2026/517582895</v>
      </c>
      <c r="K34" s="240"/>
    </row>
    <row r="35" spans="1:11" ht="23.1" customHeight="1" x14ac:dyDescent="0.2">
      <c r="A35" s="142">
        <v>3</v>
      </c>
      <c r="B35" s="212" t="s">
        <v>261</v>
      </c>
      <c r="C35" s="212"/>
      <c r="D35" s="212"/>
      <c r="E35" s="212"/>
      <c r="F35" s="142">
        <v>15036</v>
      </c>
      <c r="G35" s="142" t="s">
        <v>262</v>
      </c>
      <c r="H35" s="142">
        <v>2</v>
      </c>
      <c r="I35" s="158">
        <f>Оборудование!I12</f>
        <v>46175</v>
      </c>
      <c r="J35" s="240" t="str">
        <f>Оборудование!J12</f>
        <v>С-ТТ/02-06-2025/436900431</v>
      </c>
      <c r="K35" s="240"/>
    </row>
    <row r="36" spans="1:11" ht="23.1" customHeight="1" x14ac:dyDescent="0.2">
      <c r="A36" s="142">
        <v>4</v>
      </c>
      <c r="B36" s="212" t="s">
        <v>263</v>
      </c>
      <c r="C36" s="212"/>
      <c r="D36" s="212"/>
      <c r="E36" s="212"/>
      <c r="F36" s="142">
        <v>3141</v>
      </c>
      <c r="G36" s="142" t="s">
        <v>266</v>
      </c>
      <c r="H36" s="142">
        <v>3</v>
      </c>
      <c r="I36" s="158">
        <f>Оборудование!I13</f>
        <v>46850</v>
      </c>
      <c r="J36" s="240" t="str">
        <f>Оборудование!J13</f>
        <v>С-ТТ/08-04-2026/517582910</v>
      </c>
      <c r="K36" s="240"/>
    </row>
    <row r="38" spans="1:11" ht="30" customHeight="1" x14ac:dyDescent="0.2">
      <c r="A38" s="245" t="s">
        <v>207</v>
      </c>
      <c r="B38" s="245"/>
      <c r="C38" s="247" t="str">
        <f>'Данные объект'!$B$64</f>
        <v>Зам. руководителя ЭИЛ</v>
      </c>
      <c r="D38" s="247"/>
      <c r="E38" s="247"/>
      <c r="F38" s="140"/>
      <c r="G38" s="6"/>
      <c r="H38" s="140"/>
      <c r="I38" s="247" t="str">
        <f>'Данные объект'!$B$65</f>
        <v>Фечин А.А.</v>
      </c>
      <c r="J38" s="247"/>
      <c r="K38" s="140"/>
    </row>
    <row r="39" spans="1:11" ht="9" customHeight="1" x14ac:dyDescent="0.2">
      <c r="A39" s="32" t="s">
        <v>210</v>
      </c>
      <c r="B39" s="140"/>
      <c r="C39" s="248" t="s">
        <v>208</v>
      </c>
      <c r="D39" s="248"/>
      <c r="E39" s="248"/>
      <c r="F39" s="33"/>
      <c r="G39" s="34" t="s">
        <v>209</v>
      </c>
      <c r="H39" s="33"/>
      <c r="I39" s="248" t="s">
        <v>211</v>
      </c>
      <c r="J39" s="248"/>
      <c r="K39" s="140"/>
    </row>
    <row r="40" spans="1:11" ht="9.9499999999999993" customHeight="1" x14ac:dyDescent="0.2">
      <c r="A40" s="245" t="s">
        <v>49</v>
      </c>
      <c r="B40" s="239"/>
      <c r="C40" s="239"/>
      <c r="D40" s="239"/>
      <c r="E40" s="239"/>
      <c r="F40" s="239"/>
      <c r="G40" s="239"/>
      <c r="H40" s="239"/>
      <c r="I40" s="239"/>
      <c r="J40" s="239"/>
      <c r="K40" s="239"/>
    </row>
    <row r="41" spans="1:11" ht="20.100000000000001" customHeight="1" x14ac:dyDescent="0.2">
      <c r="A41" s="245" t="s">
        <v>50</v>
      </c>
      <c r="B41" s="245"/>
      <c r="C41" s="245"/>
      <c r="D41" s="245"/>
      <c r="E41" s="245"/>
      <c r="F41" s="245"/>
      <c r="G41" s="245"/>
      <c r="H41" s="245"/>
      <c r="I41" s="245"/>
      <c r="J41" s="245"/>
      <c r="K41" s="245"/>
    </row>
    <row r="42" spans="1:11" ht="30" customHeight="1" x14ac:dyDescent="0.2">
      <c r="A42" s="245"/>
      <c r="B42" s="245"/>
      <c r="C42" s="247" t="str">
        <f>'Данные объект'!$B$66</f>
        <v>Инженер ЭИЛ</v>
      </c>
      <c r="D42" s="247"/>
      <c r="E42" s="247"/>
      <c r="F42" s="140"/>
      <c r="G42" s="6"/>
      <c r="H42" s="140"/>
      <c r="I42" s="247" t="str">
        <f>'Данные объект'!$B$67</f>
        <v>Косырин А.Н.</v>
      </c>
      <c r="J42" s="247"/>
      <c r="K42" s="140"/>
    </row>
    <row r="43" spans="1:11" ht="9" customHeight="1" x14ac:dyDescent="0.2">
      <c r="A43" s="32" t="s">
        <v>210</v>
      </c>
      <c r="B43" s="140"/>
      <c r="C43" s="248" t="s">
        <v>208</v>
      </c>
      <c r="D43" s="248"/>
      <c r="E43" s="248"/>
      <c r="F43" s="33"/>
      <c r="G43" s="34" t="s">
        <v>209</v>
      </c>
      <c r="H43" s="33"/>
      <c r="I43" s="248" t="s">
        <v>211</v>
      </c>
      <c r="J43" s="248"/>
      <c r="K43" s="140"/>
    </row>
    <row r="44" spans="1:11" x14ac:dyDescent="0.2">
      <c r="A44" s="140"/>
      <c r="B44" s="140"/>
      <c r="C44" s="140"/>
      <c r="D44" s="140"/>
      <c r="E44" s="140"/>
      <c r="F44" s="140"/>
      <c r="G44" s="140"/>
      <c r="H44" s="140"/>
      <c r="I44" s="140"/>
      <c r="J44" s="140"/>
      <c r="K44" s="140"/>
    </row>
    <row r="45" spans="1:11" ht="30" customHeight="1" x14ac:dyDescent="0.2">
      <c r="A45" s="245" t="s">
        <v>212</v>
      </c>
      <c r="B45" s="245"/>
      <c r="C45" s="247" t="str">
        <f>'Данные объект'!$B$61</f>
        <v xml:space="preserve">Руководитель ЭИЛ </v>
      </c>
      <c r="D45" s="247"/>
      <c r="E45" s="247"/>
      <c r="F45" s="140"/>
      <c r="G45" s="6"/>
      <c r="H45" s="140"/>
      <c r="I45" s="247" t="str">
        <f>'Данные объект'!$B$62</f>
        <v xml:space="preserve"> Щербаков А.А.</v>
      </c>
      <c r="J45" s="247"/>
      <c r="K45" s="140"/>
    </row>
    <row r="46" spans="1:11" ht="9" customHeight="1" x14ac:dyDescent="0.2">
      <c r="A46" s="32" t="s">
        <v>210</v>
      </c>
      <c r="B46" s="140"/>
      <c r="C46" s="248" t="s">
        <v>208</v>
      </c>
      <c r="D46" s="248"/>
      <c r="E46" s="248"/>
      <c r="F46" s="33"/>
      <c r="G46" s="34" t="s">
        <v>209</v>
      </c>
      <c r="H46" s="33"/>
      <c r="I46" s="248" t="s">
        <v>211</v>
      </c>
      <c r="J46" s="248"/>
      <c r="K46" s="140"/>
    </row>
  </sheetData>
  <mergeCells count="50">
    <mergeCell ref="C45:E45"/>
    <mergeCell ref="I45:J45"/>
    <mergeCell ref="C46:E46"/>
    <mergeCell ref="I46:J46"/>
    <mergeCell ref="B36:E36"/>
    <mergeCell ref="J36:K36"/>
    <mergeCell ref="A38:B38"/>
    <mergeCell ref="C38:E38"/>
    <mergeCell ref="I38:J38"/>
    <mergeCell ref="A40:K40"/>
    <mergeCell ref="A41:K41"/>
    <mergeCell ref="C39:E39"/>
    <mergeCell ref="I39:J39"/>
    <mergeCell ref="A42:B42"/>
    <mergeCell ref="C42:E42"/>
    <mergeCell ref="I42:J42"/>
    <mergeCell ref="B33:E33"/>
    <mergeCell ref="J33:K33"/>
    <mergeCell ref="B34:E34"/>
    <mergeCell ref="J34:K34"/>
    <mergeCell ref="B35:E35"/>
    <mergeCell ref="J35:K35"/>
    <mergeCell ref="A24:K24"/>
    <mergeCell ref="A25:K25"/>
    <mergeCell ref="A1:D1"/>
    <mergeCell ref="H1:K1"/>
    <mergeCell ref="A2:D3"/>
    <mergeCell ref="H2:K2"/>
    <mergeCell ref="H3:K3"/>
    <mergeCell ref="B5:C5"/>
    <mergeCell ref="A7:K7"/>
    <mergeCell ref="A8:K8"/>
    <mergeCell ref="J5:K5"/>
    <mergeCell ref="B11:H11"/>
    <mergeCell ref="C43:E43"/>
    <mergeCell ref="I43:J43"/>
    <mergeCell ref="A45:B45"/>
    <mergeCell ref="B6:C6"/>
    <mergeCell ref="J6:K6"/>
    <mergeCell ref="A29:K29"/>
    <mergeCell ref="A30:B30"/>
    <mergeCell ref="A31:A32"/>
    <mergeCell ref="F31:F32"/>
    <mergeCell ref="B31:E32"/>
    <mergeCell ref="G31:H31"/>
    <mergeCell ref="I31:I32"/>
    <mergeCell ref="J31:K32"/>
    <mergeCell ref="A26:K26"/>
    <mergeCell ref="B15:H15"/>
    <mergeCell ref="B19:H19"/>
  </mergeCells>
  <pageMargins left="0.79" right="0.28999999999999998" top="0.79" bottom="0.79" header="0.49" footer="0.49"/>
  <pageSetup paperSize="9" scale="9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BBDE2-A825-43CE-96E4-83B4E6F9B210}">
  <sheetPr>
    <pageSetUpPr fitToPage="1"/>
  </sheetPr>
  <dimension ref="A1:K64"/>
  <sheetViews>
    <sheetView view="pageBreakPreview" topLeftCell="A25" zoomScaleNormal="100" zoomScaleSheetLayoutView="100" workbookViewId="0">
      <selection activeCell="J52" sqref="J52"/>
    </sheetView>
  </sheetViews>
  <sheetFormatPr defaultColWidth="9.140625" defaultRowHeight="11.25" x14ac:dyDescent="0.2"/>
  <cols>
    <col min="1" max="1" width="9.5703125" style="3" customWidth="1"/>
    <col min="2" max="2" width="10.5703125" style="3" bestFit="1" customWidth="1"/>
    <col min="3" max="3" width="6" style="3" bestFit="1" customWidth="1"/>
    <col min="4" max="4" width="7.140625" style="3" bestFit="1" customWidth="1"/>
    <col min="5" max="5" width="8.140625" style="3" bestFit="1" customWidth="1"/>
    <col min="6" max="6" width="9.7109375" style="3" bestFit="1" customWidth="1"/>
    <col min="7" max="7" width="10.7109375" style="3" customWidth="1"/>
    <col min="8" max="8" width="11.28515625" style="3" bestFit="1" customWidth="1"/>
    <col min="9" max="16384" width="9.140625" style="3"/>
  </cols>
  <sheetData>
    <row r="1" spans="1:11" ht="18.600000000000001" customHeight="1" x14ac:dyDescent="0.2">
      <c r="A1" s="262" t="str">
        <f>'Данные объект'!B58</f>
        <v xml:space="preserve"> ООО «Энергосистемы»</v>
      </c>
      <c r="B1" s="262"/>
      <c r="C1" s="262"/>
      <c r="D1" s="262"/>
      <c r="G1" s="4" t="s">
        <v>11</v>
      </c>
      <c r="H1" s="259" t="str">
        <f>'Данные объект'!B34</f>
        <v>ПАО "Россети Московский регион"</v>
      </c>
      <c r="I1" s="259"/>
      <c r="J1" s="259"/>
      <c r="K1" s="259"/>
    </row>
    <row r="2" spans="1:11" ht="41.25" customHeight="1" x14ac:dyDescent="0.2">
      <c r="A2" s="262" t="str">
        <f>'Данные объект'!C58</f>
        <v>Испытательная электролаборатория 141508, Московская область, г.о. Солнечногорск, г. Солнечногорск, ул. Промышленная, стр. 5, помещение 179, Свидетельсто о регистрации №5.3-6420 от 15 мая 2024г</v>
      </c>
      <c r="B2" s="262"/>
      <c r="C2" s="262"/>
      <c r="D2" s="262"/>
      <c r="G2" s="4" t="s">
        <v>12</v>
      </c>
      <c r="H2" s="260" t="str">
        <f>_xlfn.CONCAT('Данные объект'!$B$15, " ",'Данные объект'!$B$16)</f>
        <v>КТП № АСП №</v>
      </c>
      <c r="I2" s="260"/>
      <c r="J2" s="260"/>
      <c r="K2" s="260"/>
    </row>
    <row r="3" spans="1:11" ht="31.15" customHeight="1" x14ac:dyDescent="0.2">
      <c r="A3" s="262"/>
      <c r="B3" s="262"/>
      <c r="C3" s="262"/>
      <c r="D3" s="262"/>
      <c r="G3" s="4" t="s">
        <v>13</v>
      </c>
      <c r="H3" s="261" t="str">
        <f>'Данные объект'!B5</f>
        <v>Лобня г, Шереметьевское ш, дом 10</v>
      </c>
      <c r="I3" s="261"/>
      <c r="J3" s="261"/>
      <c r="K3" s="261"/>
    </row>
    <row r="4" spans="1:11" ht="15" customHeight="1" x14ac:dyDescent="0.2">
      <c r="A4" s="29"/>
      <c r="B4" s="29"/>
      <c r="C4" s="29"/>
      <c r="D4" s="29"/>
      <c r="G4" s="4"/>
      <c r="H4" s="4"/>
      <c r="I4" s="4"/>
      <c r="J4" s="4"/>
      <c r="K4" s="4"/>
    </row>
    <row r="5" spans="1:11" x14ac:dyDescent="0.2">
      <c r="A5" s="5"/>
      <c r="B5" s="249"/>
      <c r="C5" s="249"/>
      <c r="J5" s="249" t="s">
        <v>14</v>
      </c>
      <c r="K5" s="249"/>
    </row>
    <row r="6" spans="1:11" ht="17.25" customHeight="1" x14ac:dyDescent="0.2">
      <c r="A6" s="5"/>
      <c r="B6" s="250"/>
      <c r="C6" s="250"/>
      <c r="J6" s="279">
        <v>45803</v>
      </c>
      <c r="K6" s="279"/>
    </row>
    <row r="7" spans="1:11" ht="12.75" x14ac:dyDescent="0.2">
      <c r="A7" s="280" t="s">
        <v>495</v>
      </c>
      <c r="B7" s="281"/>
      <c r="C7" s="281"/>
      <c r="D7" s="281"/>
      <c r="E7" s="281"/>
      <c r="F7" s="281"/>
      <c r="G7" s="281"/>
      <c r="H7" s="281"/>
      <c r="I7" s="281"/>
      <c r="J7" s="281"/>
      <c r="K7" s="281"/>
    </row>
    <row r="8" spans="1:11" ht="15.95" customHeight="1" x14ac:dyDescent="0.2">
      <c r="A8" s="278" t="s">
        <v>86</v>
      </c>
      <c r="B8" s="276"/>
      <c r="C8" s="276"/>
      <c r="D8" s="276"/>
      <c r="E8" s="276"/>
      <c r="F8" s="276"/>
      <c r="G8" s="276"/>
      <c r="H8" s="276"/>
      <c r="I8" s="276"/>
      <c r="J8" s="276"/>
      <c r="K8" s="276"/>
    </row>
    <row r="9" spans="1:11" ht="12.95" customHeight="1" x14ac:dyDescent="0.2">
      <c r="A9" s="245" t="s">
        <v>87</v>
      </c>
      <c r="B9" s="239"/>
      <c r="C9" s="239"/>
      <c r="D9" s="239"/>
      <c r="E9" s="239"/>
      <c r="F9" s="239"/>
      <c r="G9" s="239"/>
      <c r="H9" s="239"/>
      <c r="I9" s="239"/>
      <c r="J9" s="239"/>
      <c r="K9" s="239"/>
    </row>
    <row r="10" spans="1:11" ht="45" x14ac:dyDescent="0.2">
      <c r="A10" s="141" t="s">
        <v>43</v>
      </c>
      <c r="B10" s="141" t="s">
        <v>526</v>
      </c>
      <c r="C10" s="141" t="s">
        <v>527</v>
      </c>
      <c r="D10" s="141" t="s">
        <v>528</v>
      </c>
      <c r="E10" s="141" t="s">
        <v>529</v>
      </c>
      <c r="F10" s="141" t="s">
        <v>530</v>
      </c>
      <c r="G10" s="11" t="s">
        <v>88</v>
      </c>
      <c r="H10" s="141" t="s">
        <v>531</v>
      </c>
      <c r="I10" s="141" t="s">
        <v>89</v>
      </c>
    </row>
    <row r="11" spans="1:11" x14ac:dyDescent="0.2">
      <c r="A11" s="282" t="s">
        <v>491</v>
      </c>
      <c r="B11" s="282" t="s">
        <v>493</v>
      </c>
      <c r="C11" s="141" t="s">
        <v>90</v>
      </c>
      <c r="D11" s="282">
        <v>1000</v>
      </c>
      <c r="E11" s="133">
        <v>6</v>
      </c>
      <c r="F11" s="133">
        <v>96.2</v>
      </c>
      <c r="G11" s="282">
        <v>5.41</v>
      </c>
      <c r="H11" s="216" t="s">
        <v>92</v>
      </c>
      <c r="I11" s="216" t="s">
        <v>93</v>
      </c>
    </row>
    <row r="12" spans="1:11" ht="22.5" x14ac:dyDescent="0.2">
      <c r="A12" s="282"/>
      <c r="B12" s="282"/>
      <c r="C12" s="141" t="s">
        <v>94</v>
      </c>
      <c r="D12" s="282"/>
      <c r="E12" s="133">
        <v>0.4</v>
      </c>
      <c r="F12" s="133">
        <v>1443.4</v>
      </c>
      <c r="G12" s="282"/>
      <c r="H12" s="216"/>
      <c r="I12" s="216"/>
    </row>
    <row r="13" spans="1:11" ht="12.95" customHeight="1" x14ac:dyDescent="0.2">
      <c r="A13" s="245" t="s">
        <v>492</v>
      </c>
      <c r="B13" s="239"/>
      <c r="C13" s="239"/>
      <c r="D13" s="239"/>
      <c r="E13" s="239"/>
      <c r="F13" s="239"/>
      <c r="G13" s="239"/>
      <c r="H13" s="239"/>
      <c r="I13" s="239"/>
      <c r="J13" s="239"/>
      <c r="K13" s="239"/>
    </row>
    <row r="14" spans="1:11" x14ac:dyDescent="0.2">
      <c r="A14" s="216" t="s">
        <v>136</v>
      </c>
      <c r="B14" s="216" t="s">
        <v>535</v>
      </c>
      <c r="C14" s="216"/>
      <c r="D14" s="216"/>
      <c r="E14" s="216"/>
      <c r="F14" s="216"/>
      <c r="G14" s="216"/>
      <c r="H14" s="216"/>
    </row>
    <row r="15" spans="1:11" x14ac:dyDescent="0.2">
      <c r="A15" s="216"/>
      <c r="B15" s="216" t="s">
        <v>534</v>
      </c>
      <c r="C15" s="216"/>
      <c r="D15" s="216"/>
      <c r="E15" s="216"/>
      <c r="F15" s="216"/>
      <c r="G15" s="216" t="s">
        <v>532</v>
      </c>
      <c r="H15" s="216"/>
    </row>
    <row r="16" spans="1:11" x14ac:dyDescent="0.2">
      <c r="A16" s="216"/>
      <c r="B16" s="216" t="s">
        <v>533</v>
      </c>
      <c r="C16" s="216"/>
      <c r="D16" s="216"/>
      <c r="E16" s="216"/>
      <c r="F16" s="216"/>
      <c r="G16" s="216"/>
      <c r="H16" s="216"/>
    </row>
    <row r="17" spans="1:11" x14ac:dyDescent="0.2">
      <c r="A17" s="216"/>
      <c r="B17" s="10" t="s">
        <v>95</v>
      </c>
      <c r="C17" s="10" t="s">
        <v>96</v>
      </c>
      <c r="D17" s="10" t="s">
        <v>97</v>
      </c>
      <c r="E17" s="10" t="s">
        <v>98</v>
      </c>
      <c r="F17" s="10" t="s">
        <v>99</v>
      </c>
      <c r="G17" s="216"/>
      <c r="H17" s="216"/>
    </row>
    <row r="18" spans="1:11" x14ac:dyDescent="0.2">
      <c r="A18" s="11" t="s">
        <v>100</v>
      </c>
      <c r="B18" s="133">
        <v>0.37540000000000001</v>
      </c>
      <c r="C18" s="133">
        <v>0.37269999999999998</v>
      </c>
      <c r="D18" s="133">
        <v>0.3533</v>
      </c>
      <c r="E18" s="133">
        <v>0.34489999999999998</v>
      </c>
      <c r="F18" s="133">
        <v>0.33250000000000002</v>
      </c>
      <c r="G18" s="11" t="s">
        <v>101</v>
      </c>
      <c r="H18" s="133">
        <v>1.444E-3</v>
      </c>
    </row>
    <row r="19" spans="1:11" x14ac:dyDescent="0.2">
      <c r="A19" s="11" t="s">
        <v>102</v>
      </c>
      <c r="B19" s="133">
        <v>0.37540000000000001</v>
      </c>
      <c r="C19" s="133">
        <v>0.3669</v>
      </c>
      <c r="D19" s="133">
        <v>0.35580000000000001</v>
      </c>
      <c r="E19" s="133">
        <v>0.34399999999999997</v>
      </c>
      <c r="F19" s="133">
        <v>0.33179999999999998</v>
      </c>
      <c r="G19" s="11" t="s">
        <v>103</v>
      </c>
      <c r="H19" s="133">
        <v>1.439E-3</v>
      </c>
    </row>
    <row r="20" spans="1:11" x14ac:dyDescent="0.2">
      <c r="A20" s="11" t="s">
        <v>104</v>
      </c>
      <c r="B20" s="133">
        <v>0.37680000000000002</v>
      </c>
      <c r="C20" s="133">
        <v>0.36770000000000003</v>
      </c>
      <c r="D20" s="133">
        <v>0.35470000000000002</v>
      </c>
      <c r="E20" s="133">
        <v>0.34449999999999997</v>
      </c>
      <c r="F20" s="133">
        <v>0.33100000000000002</v>
      </c>
      <c r="G20" s="11" t="s">
        <v>105</v>
      </c>
      <c r="H20" s="133">
        <v>1.4641000000000001E-3</v>
      </c>
    </row>
    <row r="21" spans="1:11" ht="56.25" x14ac:dyDescent="0.2">
      <c r="A21" s="11" t="s">
        <v>106</v>
      </c>
      <c r="B21" s="133">
        <v>0.37</v>
      </c>
      <c r="C21" s="133">
        <v>1.57</v>
      </c>
      <c r="D21" s="133">
        <v>0.7</v>
      </c>
      <c r="E21" s="133">
        <v>0.26</v>
      </c>
      <c r="F21" s="133">
        <v>0.45</v>
      </c>
      <c r="G21" s="11"/>
      <c r="H21" s="133">
        <v>7.3320000000000004E-4</v>
      </c>
    </row>
    <row r="22" spans="1:11" ht="12.95" customHeight="1" x14ac:dyDescent="0.2">
      <c r="A22" s="245" t="s">
        <v>536</v>
      </c>
      <c r="B22" s="239"/>
      <c r="C22" s="239"/>
      <c r="D22" s="239"/>
      <c r="E22" s="239"/>
      <c r="F22" s="239"/>
      <c r="G22" s="239"/>
      <c r="H22" s="239"/>
      <c r="I22" s="239"/>
      <c r="J22" s="239"/>
      <c r="K22" s="239"/>
    </row>
    <row r="23" spans="1:11" ht="12.95" customHeight="1" x14ac:dyDescent="0.2">
      <c r="A23" s="245" t="s">
        <v>537</v>
      </c>
      <c r="B23" s="239"/>
      <c r="C23" s="239"/>
      <c r="D23" s="239"/>
      <c r="E23" s="239"/>
      <c r="F23" s="239"/>
      <c r="G23" s="239"/>
      <c r="H23" s="239"/>
      <c r="I23" s="239"/>
      <c r="J23" s="239"/>
      <c r="K23" s="239"/>
    </row>
    <row r="25" spans="1:11" ht="12.95" customHeight="1" x14ac:dyDescent="0.2">
      <c r="A25" s="245" t="s">
        <v>109</v>
      </c>
      <c r="B25" s="239"/>
      <c r="C25" s="239"/>
      <c r="D25" s="239"/>
      <c r="E25" s="239"/>
      <c r="F25" s="239"/>
      <c r="G25" s="239"/>
      <c r="H25" s="239"/>
      <c r="I25" s="239"/>
      <c r="J25" s="239"/>
      <c r="K25" s="239"/>
    </row>
    <row r="26" spans="1:11" ht="12.95" customHeight="1" x14ac:dyDescent="0.2">
      <c r="A26" s="245" t="s">
        <v>110</v>
      </c>
      <c r="B26" s="239"/>
      <c r="C26" s="239"/>
      <c r="D26" s="239"/>
      <c r="E26" s="239"/>
      <c r="F26" s="239"/>
      <c r="G26" s="239"/>
      <c r="H26" s="239"/>
      <c r="I26" s="239"/>
      <c r="J26" s="239"/>
      <c r="K26" s="239"/>
    </row>
    <row r="28" spans="1:11" ht="12.95" customHeight="1" x14ac:dyDescent="0.2">
      <c r="A28" s="245" t="s">
        <v>111</v>
      </c>
      <c r="B28" s="239"/>
      <c r="C28" s="239"/>
      <c r="D28" s="239"/>
      <c r="E28" s="239"/>
      <c r="F28" s="239"/>
      <c r="G28" s="239"/>
      <c r="H28" s="239"/>
      <c r="I28" s="239"/>
      <c r="J28" s="239"/>
      <c r="K28" s="239"/>
    </row>
    <row r="29" spans="1:11" ht="12.95" customHeight="1" x14ac:dyDescent="0.2">
      <c r="A29" s="245" t="s">
        <v>112</v>
      </c>
      <c r="B29" s="239"/>
      <c r="C29" s="239"/>
      <c r="D29" s="239"/>
      <c r="E29" s="239"/>
      <c r="F29" s="239"/>
      <c r="G29" s="239"/>
      <c r="H29" s="239"/>
      <c r="I29" s="239"/>
      <c r="J29" s="239"/>
      <c r="K29" s="239"/>
    </row>
    <row r="30" spans="1:11" x14ac:dyDescent="0.2">
      <c r="A30" s="216" t="s">
        <v>113</v>
      </c>
      <c r="B30" s="216" t="s">
        <v>114</v>
      </c>
      <c r="C30" s="216"/>
      <c r="D30" s="216"/>
      <c r="E30" s="216" t="s">
        <v>115</v>
      </c>
      <c r="F30" s="216"/>
      <c r="G30" s="216"/>
      <c r="H30" s="216" t="s">
        <v>116</v>
      </c>
      <c r="I30" s="216"/>
      <c r="J30" s="216"/>
    </row>
    <row r="31" spans="1:11" x14ac:dyDescent="0.2">
      <c r="A31" s="216"/>
      <c r="B31" s="216" t="s">
        <v>117</v>
      </c>
      <c r="C31" s="216"/>
      <c r="D31" s="216" t="s">
        <v>118</v>
      </c>
      <c r="E31" s="216" t="s">
        <v>117</v>
      </c>
      <c r="F31" s="216"/>
      <c r="G31" s="216" t="s">
        <v>118</v>
      </c>
      <c r="H31" s="216" t="s">
        <v>117</v>
      </c>
      <c r="I31" s="216"/>
      <c r="J31" s="216" t="s">
        <v>118</v>
      </c>
    </row>
    <row r="32" spans="1:11" x14ac:dyDescent="0.2">
      <c r="A32" s="216"/>
      <c r="B32" s="11" t="s">
        <v>100</v>
      </c>
      <c r="C32" s="11" t="s">
        <v>119</v>
      </c>
      <c r="D32" s="216"/>
      <c r="E32" s="11" t="s">
        <v>102</v>
      </c>
      <c r="F32" s="11" t="s">
        <v>120</v>
      </c>
      <c r="G32" s="216"/>
      <c r="H32" s="11" t="s">
        <v>121</v>
      </c>
      <c r="I32" s="11" t="s">
        <v>122</v>
      </c>
      <c r="J32" s="216"/>
    </row>
    <row r="33" spans="1:11" x14ac:dyDescent="0.2">
      <c r="A33" s="11" t="s">
        <v>95</v>
      </c>
      <c r="B33" s="133" t="s">
        <v>133</v>
      </c>
      <c r="C33" s="133" t="s">
        <v>133</v>
      </c>
      <c r="D33" s="133" t="s">
        <v>133</v>
      </c>
      <c r="E33" s="133" t="s">
        <v>133</v>
      </c>
      <c r="F33" s="133" t="s">
        <v>133</v>
      </c>
      <c r="G33" s="133" t="s">
        <v>133</v>
      </c>
      <c r="H33" s="133" t="s">
        <v>133</v>
      </c>
      <c r="I33" s="133" t="s">
        <v>133</v>
      </c>
      <c r="J33" s="133" t="s">
        <v>133</v>
      </c>
    </row>
    <row r="34" spans="1:11" x14ac:dyDescent="0.2">
      <c r="A34" s="11" t="s">
        <v>96</v>
      </c>
      <c r="B34" s="133" t="s">
        <v>133</v>
      </c>
      <c r="C34" s="133" t="s">
        <v>133</v>
      </c>
      <c r="D34" s="133" t="s">
        <v>133</v>
      </c>
      <c r="E34" s="133" t="s">
        <v>133</v>
      </c>
      <c r="F34" s="133" t="s">
        <v>133</v>
      </c>
      <c r="G34" s="133" t="s">
        <v>133</v>
      </c>
      <c r="H34" s="133" t="s">
        <v>133</v>
      </c>
      <c r="I34" s="133" t="s">
        <v>133</v>
      </c>
      <c r="J34" s="133" t="s">
        <v>133</v>
      </c>
    </row>
    <row r="35" spans="1:11" x14ac:dyDescent="0.2">
      <c r="A35" s="11" t="s">
        <v>97</v>
      </c>
      <c r="B35" s="133" t="s">
        <v>133</v>
      </c>
      <c r="C35" s="133" t="s">
        <v>133</v>
      </c>
      <c r="D35" s="133" t="s">
        <v>133</v>
      </c>
      <c r="E35" s="133" t="s">
        <v>133</v>
      </c>
      <c r="F35" s="133" t="s">
        <v>133</v>
      </c>
      <c r="G35" s="133" t="s">
        <v>133</v>
      </c>
      <c r="H35" s="133" t="s">
        <v>133</v>
      </c>
      <c r="I35" s="133" t="s">
        <v>133</v>
      </c>
      <c r="J35" s="133" t="s">
        <v>133</v>
      </c>
    </row>
    <row r="36" spans="1:11" x14ac:dyDescent="0.2">
      <c r="A36" s="11" t="s">
        <v>98</v>
      </c>
      <c r="B36" s="133" t="s">
        <v>133</v>
      </c>
      <c r="C36" s="133" t="s">
        <v>133</v>
      </c>
      <c r="D36" s="133" t="s">
        <v>133</v>
      </c>
      <c r="E36" s="133" t="s">
        <v>133</v>
      </c>
      <c r="F36" s="133" t="s">
        <v>133</v>
      </c>
      <c r="G36" s="133" t="s">
        <v>133</v>
      </c>
      <c r="H36" s="133" t="s">
        <v>133</v>
      </c>
      <c r="I36" s="133" t="s">
        <v>133</v>
      </c>
      <c r="J36" s="133" t="s">
        <v>133</v>
      </c>
    </row>
    <row r="37" spans="1:11" x14ac:dyDescent="0.2">
      <c r="A37" s="11" t="s">
        <v>99</v>
      </c>
      <c r="B37" s="133" t="s">
        <v>133</v>
      </c>
      <c r="C37" s="133" t="s">
        <v>133</v>
      </c>
      <c r="D37" s="133" t="s">
        <v>133</v>
      </c>
      <c r="E37" s="133" t="s">
        <v>133</v>
      </c>
      <c r="F37" s="133" t="s">
        <v>133</v>
      </c>
      <c r="G37" s="133" t="s">
        <v>133</v>
      </c>
      <c r="H37" s="133" t="s">
        <v>133</v>
      </c>
      <c r="I37" s="133" t="s">
        <v>133</v>
      </c>
      <c r="J37" s="133" t="s">
        <v>133</v>
      </c>
    </row>
    <row r="38" spans="1:11" ht="12.95" customHeight="1" x14ac:dyDescent="0.2">
      <c r="A38" s="245" t="s">
        <v>538</v>
      </c>
      <c r="B38" s="239"/>
      <c r="C38" s="239"/>
      <c r="D38" s="239"/>
      <c r="E38" s="239"/>
      <c r="F38" s="239"/>
      <c r="G38" s="239"/>
      <c r="H38" s="239"/>
      <c r="I38" s="239"/>
      <c r="J38" s="239"/>
      <c r="K38" s="239"/>
    </row>
    <row r="40" spans="1:11" ht="12.95" customHeight="1" x14ac:dyDescent="0.2">
      <c r="A40" s="245" t="s">
        <v>539</v>
      </c>
      <c r="B40" s="239"/>
      <c r="C40" s="239"/>
      <c r="D40" s="239"/>
      <c r="E40" s="239"/>
      <c r="F40" s="239"/>
      <c r="G40" s="239"/>
      <c r="H40" s="239"/>
      <c r="I40" s="239"/>
      <c r="J40" s="239"/>
      <c r="K40" s="239"/>
    </row>
    <row r="41" spans="1:11" ht="12.95" customHeight="1" x14ac:dyDescent="0.2">
      <c r="A41" s="245" t="s">
        <v>123</v>
      </c>
      <c r="B41" s="239"/>
      <c r="C41" s="239"/>
      <c r="D41" s="239"/>
      <c r="E41" s="239"/>
      <c r="F41" s="239"/>
      <c r="G41" s="239"/>
      <c r="H41" s="239"/>
      <c r="I41" s="239"/>
      <c r="J41" s="239"/>
      <c r="K41" s="239"/>
    </row>
    <row r="42" spans="1:11" s="175" customFormat="1" x14ac:dyDescent="0.2">
      <c r="A42" s="175" t="s">
        <v>613</v>
      </c>
    </row>
    <row r="43" spans="1:11" s="175" customFormat="1" x14ac:dyDescent="0.2"/>
    <row r="44" spans="1:11" ht="12.95" customHeight="1" x14ac:dyDescent="0.2">
      <c r="A44" s="245" t="s">
        <v>540</v>
      </c>
      <c r="B44" s="239"/>
      <c r="C44" s="239"/>
      <c r="D44" s="239"/>
      <c r="E44" s="239"/>
      <c r="F44" s="239"/>
      <c r="G44" s="239"/>
      <c r="H44" s="239"/>
      <c r="I44" s="239"/>
      <c r="J44" s="239"/>
      <c r="K44" s="239"/>
    </row>
    <row r="45" spans="1:11" x14ac:dyDescent="0.2">
      <c r="A45" s="274"/>
      <c r="B45" s="274"/>
      <c r="C45" s="12"/>
      <c r="D45" s="12"/>
      <c r="E45" s="12"/>
      <c r="F45" s="12"/>
      <c r="G45" s="12"/>
    </row>
    <row r="46" spans="1:11" ht="24.95" customHeight="1" x14ac:dyDescent="0.2">
      <c r="A46" s="218" t="s">
        <v>31</v>
      </c>
      <c r="B46" s="218" t="s">
        <v>43</v>
      </c>
      <c r="C46" s="218"/>
      <c r="D46" s="218"/>
      <c r="E46" s="218"/>
      <c r="F46" s="218" t="s">
        <v>499</v>
      </c>
      <c r="G46" s="218" t="s">
        <v>44</v>
      </c>
      <c r="H46" s="218"/>
      <c r="I46" s="218" t="s">
        <v>45</v>
      </c>
      <c r="J46" s="216" t="s">
        <v>500</v>
      </c>
      <c r="K46" s="217"/>
    </row>
    <row r="47" spans="1:11" ht="24.95" customHeight="1" x14ac:dyDescent="0.2">
      <c r="A47" s="218"/>
      <c r="B47" s="218"/>
      <c r="C47" s="218"/>
      <c r="D47" s="218"/>
      <c r="E47" s="218"/>
      <c r="F47" s="218"/>
      <c r="G47" s="142" t="s">
        <v>46</v>
      </c>
      <c r="H47" s="142" t="s">
        <v>47</v>
      </c>
      <c r="I47" s="218"/>
      <c r="J47" s="217"/>
      <c r="K47" s="217"/>
    </row>
    <row r="48" spans="1:11" ht="23.1" customHeight="1" x14ac:dyDescent="0.2">
      <c r="A48" s="142">
        <v>1</v>
      </c>
      <c r="B48" s="212" t="s">
        <v>258</v>
      </c>
      <c r="C48" s="212"/>
      <c r="D48" s="212"/>
      <c r="E48" s="212"/>
      <c r="F48" s="142" t="s">
        <v>259</v>
      </c>
      <c r="G48" s="142" t="s">
        <v>264</v>
      </c>
      <c r="H48" s="142" t="s">
        <v>48</v>
      </c>
      <c r="I48" s="158">
        <f>Оборудование!I4</f>
        <v>46850</v>
      </c>
      <c r="J48" s="265" t="str">
        <f>Оборудование!J4</f>
        <v>С-ТТ/08-04-2026/517582908</v>
      </c>
      <c r="K48" s="265"/>
    </row>
    <row r="49" spans="1:11" ht="23.1" customHeight="1" x14ac:dyDescent="0.2">
      <c r="A49" s="142">
        <v>2</v>
      </c>
      <c r="B49" s="212" t="s">
        <v>260</v>
      </c>
      <c r="C49" s="212"/>
      <c r="D49" s="212"/>
      <c r="E49" s="212"/>
      <c r="F49" s="142">
        <v>134</v>
      </c>
      <c r="G49" s="142" t="s">
        <v>265</v>
      </c>
      <c r="H49" s="142">
        <v>0.1</v>
      </c>
      <c r="I49" s="158">
        <f>Оборудование!I3</f>
        <v>47945</v>
      </c>
      <c r="J49" s="240" t="str">
        <f>Оборудование!J3</f>
        <v>С-ТТ/08-04-2026/517582895</v>
      </c>
      <c r="K49" s="240"/>
    </row>
    <row r="50" spans="1:11" ht="23.1" customHeight="1" x14ac:dyDescent="0.2">
      <c r="A50" s="142">
        <v>3</v>
      </c>
      <c r="B50" s="212" t="s">
        <v>261</v>
      </c>
      <c r="C50" s="212"/>
      <c r="D50" s="212"/>
      <c r="E50" s="212"/>
      <c r="F50" s="142">
        <v>15036</v>
      </c>
      <c r="G50" s="142" t="s">
        <v>262</v>
      </c>
      <c r="H50" s="142">
        <v>2</v>
      </c>
      <c r="I50" s="158">
        <f>Оборудование!I12</f>
        <v>46175</v>
      </c>
      <c r="J50" s="240" t="str">
        <f>Оборудование!J12</f>
        <v>С-ТТ/02-06-2025/436900431</v>
      </c>
      <c r="K50" s="240"/>
    </row>
    <row r="51" spans="1:11" ht="23.1" customHeight="1" x14ac:dyDescent="0.2">
      <c r="A51" s="142">
        <v>4</v>
      </c>
      <c r="B51" s="212" t="s">
        <v>263</v>
      </c>
      <c r="C51" s="212"/>
      <c r="D51" s="212"/>
      <c r="E51" s="212"/>
      <c r="F51" s="142">
        <v>3141</v>
      </c>
      <c r="G51" s="142" t="s">
        <v>266</v>
      </c>
      <c r="H51" s="142">
        <v>3</v>
      </c>
      <c r="I51" s="158">
        <f>Оборудование!I13</f>
        <v>46850</v>
      </c>
      <c r="J51" s="240" t="str">
        <f>Оборудование!J13</f>
        <v>С-ТТ/08-04-2026/517582910</v>
      </c>
      <c r="K51" s="240"/>
    </row>
    <row r="53" spans="1:11" x14ac:dyDescent="0.2">
      <c r="A53" s="245" t="s">
        <v>336</v>
      </c>
      <c r="B53" s="239"/>
      <c r="C53" s="239"/>
      <c r="D53" s="239"/>
      <c r="E53" s="239"/>
      <c r="F53" s="239"/>
      <c r="G53" s="239"/>
      <c r="H53" s="239"/>
      <c r="I53" s="239"/>
      <c r="J53" s="239"/>
      <c r="K53" s="239"/>
    </row>
    <row r="56" spans="1:11" ht="30" customHeight="1" x14ac:dyDescent="0.2">
      <c r="A56" s="245" t="s">
        <v>207</v>
      </c>
      <c r="B56" s="245"/>
      <c r="C56" s="247" t="str">
        <f>'Данные объект'!$B$64</f>
        <v>Зам. руководителя ЭИЛ</v>
      </c>
      <c r="D56" s="247"/>
      <c r="E56" s="247"/>
      <c r="F56" s="140"/>
      <c r="G56" s="6"/>
      <c r="H56" s="140"/>
      <c r="I56" s="247" t="str">
        <f>'Данные объект'!$B$65</f>
        <v>Фечин А.А.</v>
      </c>
      <c r="J56" s="247"/>
      <c r="K56" s="140"/>
    </row>
    <row r="57" spans="1:11" ht="9" customHeight="1" x14ac:dyDescent="0.2">
      <c r="A57" s="32" t="s">
        <v>210</v>
      </c>
      <c r="B57" s="140"/>
      <c r="C57" s="248" t="s">
        <v>208</v>
      </c>
      <c r="D57" s="248"/>
      <c r="E57" s="248"/>
      <c r="F57" s="33"/>
      <c r="G57" s="34" t="s">
        <v>209</v>
      </c>
      <c r="H57" s="33"/>
      <c r="I57" s="248" t="s">
        <v>211</v>
      </c>
      <c r="J57" s="248"/>
      <c r="K57" s="140"/>
    </row>
    <row r="58" spans="1:11" ht="9.9499999999999993" customHeight="1" x14ac:dyDescent="0.2">
      <c r="A58" s="245" t="s">
        <v>49</v>
      </c>
      <c r="B58" s="239"/>
      <c r="C58" s="239"/>
      <c r="D58" s="239"/>
      <c r="E58" s="239"/>
      <c r="F58" s="239"/>
      <c r="G58" s="239"/>
      <c r="H58" s="239"/>
      <c r="I58" s="239"/>
      <c r="J58" s="239"/>
      <c r="K58" s="239"/>
    </row>
    <row r="59" spans="1:11" ht="20.100000000000001" customHeight="1" x14ac:dyDescent="0.2">
      <c r="A59" s="245" t="s">
        <v>50</v>
      </c>
      <c r="B59" s="245"/>
      <c r="C59" s="245"/>
      <c r="D59" s="245"/>
      <c r="E59" s="245"/>
      <c r="F59" s="245"/>
      <c r="G59" s="245"/>
      <c r="H59" s="245"/>
      <c r="I59" s="245"/>
      <c r="J59" s="245"/>
      <c r="K59" s="245"/>
    </row>
    <row r="60" spans="1:11" ht="30" customHeight="1" x14ac:dyDescent="0.2">
      <c r="A60" s="245"/>
      <c r="B60" s="245"/>
      <c r="C60" s="247" t="str">
        <f>'Данные объект'!$B$66</f>
        <v>Инженер ЭИЛ</v>
      </c>
      <c r="D60" s="247"/>
      <c r="E60" s="247"/>
      <c r="F60" s="140"/>
      <c r="G60" s="6"/>
      <c r="H60" s="140"/>
      <c r="I60" s="247" t="str">
        <f>'Данные объект'!$B$67</f>
        <v>Косырин А.Н.</v>
      </c>
      <c r="J60" s="247"/>
      <c r="K60" s="140"/>
    </row>
    <row r="61" spans="1:11" ht="9" customHeight="1" x14ac:dyDescent="0.2">
      <c r="A61" s="32" t="s">
        <v>210</v>
      </c>
      <c r="B61" s="140"/>
      <c r="C61" s="248" t="s">
        <v>208</v>
      </c>
      <c r="D61" s="248"/>
      <c r="E61" s="248"/>
      <c r="F61" s="33"/>
      <c r="G61" s="34" t="s">
        <v>209</v>
      </c>
      <c r="H61" s="33"/>
      <c r="I61" s="248" t="s">
        <v>211</v>
      </c>
      <c r="J61" s="248"/>
      <c r="K61" s="140"/>
    </row>
    <row r="62" spans="1:11" x14ac:dyDescent="0.2">
      <c r="A62" s="140"/>
      <c r="B62" s="140"/>
      <c r="C62" s="140"/>
      <c r="D62" s="140"/>
      <c r="E62" s="140"/>
      <c r="F62" s="140"/>
      <c r="G62" s="140"/>
      <c r="H62" s="140"/>
      <c r="I62" s="140"/>
      <c r="J62" s="140"/>
      <c r="K62" s="140"/>
    </row>
    <row r="63" spans="1:11" ht="30" customHeight="1" x14ac:dyDescent="0.2">
      <c r="A63" s="245" t="s">
        <v>212</v>
      </c>
      <c r="B63" s="245"/>
      <c r="C63" s="247" t="str">
        <f>'Данные объект'!$B$61</f>
        <v xml:space="preserve">Руководитель ЭИЛ </v>
      </c>
      <c r="D63" s="247"/>
      <c r="E63" s="247"/>
      <c r="F63" s="140"/>
      <c r="G63" s="6"/>
      <c r="H63" s="140"/>
      <c r="I63" s="247" t="str">
        <f>'Данные объект'!$B$62</f>
        <v xml:space="preserve"> Щербаков А.А.</v>
      </c>
      <c r="J63" s="247"/>
      <c r="K63" s="140"/>
    </row>
    <row r="64" spans="1:11" ht="9" customHeight="1" x14ac:dyDescent="0.2">
      <c r="A64" s="32" t="s">
        <v>210</v>
      </c>
      <c r="B64" s="140"/>
      <c r="C64" s="248" t="s">
        <v>208</v>
      </c>
      <c r="D64" s="248"/>
      <c r="E64" s="248"/>
      <c r="F64" s="33"/>
      <c r="G64" s="34" t="s">
        <v>209</v>
      </c>
      <c r="H64" s="33"/>
      <c r="I64" s="248" t="s">
        <v>211</v>
      </c>
      <c r="J64" s="248"/>
      <c r="K64" s="140"/>
    </row>
  </sheetData>
  <mergeCells count="77">
    <mergeCell ref="C64:E64"/>
    <mergeCell ref="I64:J64"/>
    <mergeCell ref="I60:J60"/>
    <mergeCell ref="C61:E61"/>
    <mergeCell ref="I61:J61"/>
    <mergeCell ref="A63:B63"/>
    <mergeCell ref="C63:E63"/>
    <mergeCell ref="I63:J63"/>
    <mergeCell ref="B49:E49"/>
    <mergeCell ref="J49:K49"/>
    <mergeCell ref="B50:E50"/>
    <mergeCell ref="J50:K50"/>
    <mergeCell ref="B51:E51"/>
    <mergeCell ref="J51:K51"/>
    <mergeCell ref="A53:K53"/>
    <mergeCell ref="A58:K58"/>
    <mergeCell ref="A59:K59"/>
    <mergeCell ref="A56:B56"/>
    <mergeCell ref="C56:E56"/>
    <mergeCell ref="I56:J56"/>
    <mergeCell ref="C57:E57"/>
    <mergeCell ref="G46:H46"/>
    <mergeCell ref="I46:I47"/>
    <mergeCell ref="J46:K47"/>
    <mergeCell ref="B48:E48"/>
    <mergeCell ref="J48:K48"/>
    <mergeCell ref="B5:C5"/>
    <mergeCell ref="A8:K8"/>
    <mergeCell ref="J5:K5"/>
    <mergeCell ref="A1:D1"/>
    <mergeCell ref="H1:K1"/>
    <mergeCell ref="A2:D3"/>
    <mergeCell ref="H2:K2"/>
    <mergeCell ref="H3:K3"/>
    <mergeCell ref="A9:K9"/>
    <mergeCell ref="A11:A12"/>
    <mergeCell ref="B11:B12"/>
    <mergeCell ref="D11:D12"/>
    <mergeCell ref="G11:G12"/>
    <mergeCell ref="H11:H12"/>
    <mergeCell ref="I11:I12"/>
    <mergeCell ref="A29:K29"/>
    <mergeCell ref="A13:K13"/>
    <mergeCell ref="A14:A17"/>
    <mergeCell ref="B14:H14"/>
    <mergeCell ref="B15:F15"/>
    <mergeCell ref="G15:H17"/>
    <mergeCell ref="B16:F16"/>
    <mergeCell ref="A22:K22"/>
    <mergeCell ref="A23:K23"/>
    <mergeCell ref="A25:K25"/>
    <mergeCell ref="A26:K26"/>
    <mergeCell ref="A28:K28"/>
    <mergeCell ref="E30:G30"/>
    <mergeCell ref="H30:J30"/>
    <mergeCell ref="B31:C31"/>
    <mergeCell ref="D31:D32"/>
    <mergeCell ref="E31:F31"/>
    <mergeCell ref="G31:G32"/>
    <mergeCell ref="H31:I31"/>
    <mergeCell ref="J31:J32"/>
    <mergeCell ref="I57:J57"/>
    <mergeCell ref="A60:B60"/>
    <mergeCell ref="C60:E60"/>
    <mergeCell ref="B6:C6"/>
    <mergeCell ref="J6:K6"/>
    <mergeCell ref="A7:K7"/>
    <mergeCell ref="A46:A47"/>
    <mergeCell ref="F46:F47"/>
    <mergeCell ref="B46:E47"/>
    <mergeCell ref="A38:K38"/>
    <mergeCell ref="A40:K40"/>
    <mergeCell ref="A41:K41"/>
    <mergeCell ref="A44:K44"/>
    <mergeCell ref="A45:B45"/>
    <mergeCell ref="A30:A32"/>
    <mergeCell ref="B30:D30"/>
  </mergeCells>
  <pageMargins left="0.79" right="0.28999999999999998" top="0.79" bottom="0.79" header="0.49" footer="0.49"/>
  <pageSetup paperSize="9" scale="72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22FF7-E7E2-4AF0-A77B-321AF9490997}">
  <dimension ref="A1:K49"/>
  <sheetViews>
    <sheetView view="pageBreakPreview" topLeftCell="A10" zoomScale="90" zoomScaleNormal="100" zoomScaleSheetLayoutView="90" workbookViewId="0">
      <selection activeCell="C34" sqref="C34"/>
    </sheetView>
  </sheetViews>
  <sheetFormatPr defaultColWidth="9.140625" defaultRowHeight="11.25" x14ac:dyDescent="0.2"/>
  <cols>
    <col min="1" max="1" width="9.5703125" style="3" bestFit="1" customWidth="1"/>
    <col min="2" max="2" width="11.140625" style="3" customWidth="1"/>
    <col min="3" max="3" width="6" style="3" bestFit="1" customWidth="1"/>
    <col min="4" max="4" width="7.140625" style="3" bestFit="1" customWidth="1"/>
    <col min="5" max="5" width="8.140625" style="3" bestFit="1" customWidth="1"/>
    <col min="6" max="6" width="9.7109375" style="3" bestFit="1" customWidth="1"/>
    <col min="7" max="7" width="10.7109375" style="3" customWidth="1"/>
    <col min="8" max="8" width="11.28515625" style="3" bestFit="1" customWidth="1"/>
    <col min="9" max="16384" width="9.140625" style="3"/>
  </cols>
  <sheetData>
    <row r="1" spans="1:11" ht="18.600000000000001" customHeight="1" x14ac:dyDescent="0.2">
      <c r="A1" s="262" t="str">
        <f>'Данные объект'!B58</f>
        <v xml:space="preserve"> ООО «Энергосистемы»</v>
      </c>
      <c r="B1" s="262"/>
      <c r="C1" s="262"/>
      <c r="D1" s="262"/>
      <c r="G1" s="4" t="s">
        <v>11</v>
      </c>
      <c r="H1" s="259" t="str">
        <f>'Данные объект'!B34</f>
        <v>ПАО "Россети Московский регион"</v>
      </c>
      <c r="I1" s="259"/>
      <c r="J1" s="259"/>
      <c r="K1" s="259"/>
    </row>
    <row r="2" spans="1:11" ht="27" customHeight="1" x14ac:dyDescent="0.2">
      <c r="A2" s="262" t="str">
        <f>'Данные объект'!C58</f>
        <v>Испытательная электролаборатория 141508, Московская область, г.о. Солнечногорск, г. Солнечногорск, ул. Промышленная, стр. 5, помещение 179, Свидетельсто о регистрации №5.3-6420 от 15 мая 2024г</v>
      </c>
      <c r="B2" s="262"/>
      <c r="C2" s="262"/>
      <c r="D2" s="262"/>
      <c r="G2" s="4" t="s">
        <v>12</v>
      </c>
      <c r="H2" s="260" t="str">
        <f>_xlfn.CONCAT('Данные объект'!$B$15, " ",'Данные объект'!$B$16)</f>
        <v>КТП № АСП №</v>
      </c>
      <c r="I2" s="260"/>
      <c r="J2" s="260"/>
      <c r="K2" s="260"/>
    </row>
    <row r="3" spans="1:11" ht="31.15" customHeight="1" x14ac:dyDescent="0.2">
      <c r="A3" s="262"/>
      <c r="B3" s="262"/>
      <c r="C3" s="262"/>
      <c r="D3" s="262"/>
      <c r="G3" s="4" t="s">
        <v>13</v>
      </c>
      <c r="H3" s="261" t="str">
        <f>'Данные объект'!B5</f>
        <v>Лобня г, Шереметьевское ш, дом 10</v>
      </c>
      <c r="I3" s="261"/>
      <c r="J3" s="261"/>
      <c r="K3" s="261"/>
    </row>
    <row r="4" spans="1:11" ht="15" customHeight="1" x14ac:dyDescent="0.2">
      <c r="A4" s="29"/>
      <c r="B4" s="29"/>
      <c r="C4" s="29"/>
      <c r="D4" s="29"/>
      <c r="G4" s="4"/>
      <c r="H4" s="4"/>
      <c r="I4" s="4"/>
      <c r="J4" s="4"/>
      <c r="K4" s="4"/>
    </row>
    <row r="5" spans="1:11" x14ac:dyDescent="0.2">
      <c r="A5" s="5"/>
      <c r="B5" s="249"/>
      <c r="C5" s="249"/>
      <c r="J5" s="249" t="s">
        <v>14</v>
      </c>
      <c r="K5" s="249"/>
    </row>
    <row r="6" spans="1:11" ht="10.15" customHeight="1" x14ac:dyDescent="0.2">
      <c r="A6" s="5"/>
      <c r="B6" s="250"/>
      <c r="C6" s="250"/>
      <c r="J6" s="263" t="str">
        <f>'Данные объект'!B8</f>
        <v>25.06.2025</v>
      </c>
      <c r="K6" s="263"/>
    </row>
    <row r="7" spans="1:11" ht="12.75" x14ac:dyDescent="0.2">
      <c r="A7" s="280" t="s">
        <v>124</v>
      </c>
      <c r="B7" s="281"/>
      <c r="C7" s="281"/>
      <c r="D7" s="281"/>
      <c r="E7" s="281"/>
      <c r="F7" s="281"/>
      <c r="G7" s="281"/>
      <c r="H7" s="281"/>
      <c r="I7" s="281"/>
      <c r="J7" s="281"/>
      <c r="K7" s="281"/>
    </row>
    <row r="8" spans="1:11" ht="15.95" customHeight="1" x14ac:dyDescent="0.2">
      <c r="A8" s="278" t="s">
        <v>125</v>
      </c>
      <c r="B8" s="276"/>
      <c r="C8" s="276"/>
      <c r="D8" s="276"/>
      <c r="E8" s="276"/>
      <c r="F8" s="276"/>
      <c r="G8" s="276"/>
      <c r="H8" s="276"/>
      <c r="I8" s="276"/>
      <c r="J8" s="276"/>
      <c r="K8" s="276"/>
    </row>
    <row r="10" spans="1:11" ht="12.95" customHeight="1" x14ac:dyDescent="0.2">
      <c r="A10" s="256" t="s">
        <v>126</v>
      </c>
      <c r="B10" s="239"/>
      <c r="C10" s="239"/>
      <c r="D10" s="239"/>
      <c r="E10" s="239"/>
      <c r="F10" s="239"/>
      <c r="G10" s="239"/>
      <c r="H10" s="239"/>
      <c r="I10" s="239"/>
      <c r="J10" s="239"/>
      <c r="K10" s="239"/>
    </row>
    <row r="11" spans="1:11" ht="22.5" customHeight="1" x14ac:dyDescent="0.2">
      <c r="A11" s="284" t="s">
        <v>43</v>
      </c>
      <c r="B11" s="284" t="s">
        <v>127</v>
      </c>
      <c r="C11" s="285" t="s">
        <v>128</v>
      </c>
      <c r="D11" s="286"/>
      <c r="E11" s="284" t="s">
        <v>129</v>
      </c>
      <c r="F11" s="284"/>
    </row>
    <row r="12" spans="1:11" ht="52.5" x14ac:dyDescent="0.2">
      <c r="A12" s="284"/>
      <c r="B12" s="284"/>
      <c r="C12" s="143" t="s">
        <v>130</v>
      </c>
      <c r="D12" s="143" t="s">
        <v>131</v>
      </c>
      <c r="E12" s="284"/>
      <c r="F12" s="284"/>
    </row>
    <row r="13" spans="1:11" ht="33.75" x14ac:dyDescent="0.2">
      <c r="A13" s="133" t="s">
        <v>132</v>
      </c>
      <c r="B13" s="133">
        <v>6</v>
      </c>
      <c r="C13" s="133">
        <v>1</v>
      </c>
      <c r="D13" s="133">
        <v>6</v>
      </c>
      <c r="E13" s="216" t="s">
        <v>133</v>
      </c>
      <c r="F13" s="216"/>
    </row>
    <row r="15" spans="1:11" ht="12.95" customHeight="1" x14ac:dyDescent="0.2">
      <c r="A15" s="256" t="s">
        <v>134</v>
      </c>
      <c r="B15" s="239"/>
      <c r="C15" s="239"/>
      <c r="D15" s="239"/>
      <c r="E15" s="239"/>
      <c r="F15" s="239"/>
      <c r="G15" s="239"/>
      <c r="H15" s="239"/>
      <c r="I15" s="239"/>
      <c r="J15" s="239"/>
      <c r="K15" s="239"/>
    </row>
    <row r="17" spans="1:11" ht="21.75" customHeight="1" x14ac:dyDescent="0.2">
      <c r="A17" s="284" t="s">
        <v>135</v>
      </c>
      <c r="B17" s="284" t="s">
        <v>136</v>
      </c>
      <c r="C17" s="284" t="s">
        <v>137</v>
      </c>
      <c r="D17" s="284" t="s">
        <v>138</v>
      </c>
      <c r="E17" s="284" t="s">
        <v>139</v>
      </c>
      <c r="F17" s="284" t="s">
        <v>140</v>
      </c>
      <c r="G17" s="284"/>
      <c r="H17" s="284" t="s">
        <v>141</v>
      </c>
    </row>
    <row r="18" spans="1:11" ht="31.5" x14ac:dyDescent="0.2">
      <c r="A18" s="284"/>
      <c r="B18" s="284"/>
      <c r="C18" s="284"/>
      <c r="D18" s="284"/>
      <c r="E18" s="284"/>
      <c r="F18" s="31" t="s">
        <v>142</v>
      </c>
      <c r="G18" s="31" t="s">
        <v>143</v>
      </c>
      <c r="H18" s="284"/>
    </row>
    <row r="19" spans="1:11" ht="27.75" customHeight="1" x14ac:dyDescent="0.2">
      <c r="A19" s="216" t="s">
        <v>144</v>
      </c>
      <c r="B19" s="141" t="s">
        <v>145</v>
      </c>
      <c r="C19" s="133" t="s">
        <v>146</v>
      </c>
      <c r="D19" s="133" t="s">
        <v>147</v>
      </c>
      <c r="E19" s="133" t="s">
        <v>148</v>
      </c>
      <c r="F19" s="141" t="s">
        <v>108</v>
      </c>
      <c r="G19" s="141" t="s">
        <v>149</v>
      </c>
      <c r="H19" s="141" t="s">
        <v>150</v>
      </c>
    </row>
    <row r="20" spans="1:11" ht="27.75" customHeight="1" x14ac:dyDescent="0.2">
      <c r="A20" s="216"/>
      <c r="B20" s="141" t="s">
        <v>151</v>
      </c>
      <c r="C20" s="133" t="s">
        <v>152</v>
      </c>
      <c r="D20" s="133" t="s">
        <v>147</v>
      </c>
      <c r="E20" s="133" t="s">
        <v>148</v>
      </c>
      <c r="F20" s="141" t="s">
        <v>107</v>
      </c>
      <c r="G20" s="141" t="s">
        <v>149</v>
      </c>
      <c r="H20" s="141" t="s">
        <v>150</v>
      </c>
    </row>
    <row r="21" spans="1:11" ht="27.75" customHeight="1" x14ac:dyDescent="0.2">
      <c r="A21" s="216"/>
      <c r="B21" s="141" t="s">
        <v>153</v>
      </c>
      <c r="C21" s="133" t="s">
        <v>154</v>
      </c>
      <c r="D21" s="133" t="s">
        <v>155</v>
      </c>
      <c r="E21" s="133" t="s">
        <v>148</v>
      </c>
      <c r="F21" s="141" t="s">
        <v>156</v>
      </c>
      <c r="G21" s="141" t="s">
        <v>149</v>
      </c>
      <c r="H21" s="141" t="s">
        <v>150</v>
      </c>
    </row>
    <row r="23" spans="1:11" ht="12.95" customHeight="1" x14ac:dyDescent="0.2">
      <c r="A23" s="236" t="s">
        <v>157</v>
      </c>
      <c r="B23" s="283"/>
      <c r="C23" s="283"/>
      <c r="D23" s="283"/>
      <c r="E23" s="283"/>
      <c r="F23" s="283"/>
      <c r="G23" s="283"/>
      <c r="H23" s="283"/>
      <c r="I23" s="283"/>
      <c r="J23" s="283"/>
      <c r="K23" s="283"/>
    </row>
    <row r="24" spans="1:11" x14ac:dyDescent="0.2">
      <c r="A24" s="274"/>
      <c r="B24" s="274"/>
      <c r="C24" s="12"/>
      <c r="D24" s="12"/>
      <c r="E24" s="12"/>
      <c r="F24" s="12"/>
      <c r="G24" s="12"/>
    </row>
    <row r="25" spans="1:11" ht="24.95" customHeight="1" x14ac:dyDescent="0.2">
      <c r="A25" s="218" t="s">
        <v>31</v>
      </c>
      <c r="B25" s="218" t="s">
        <v>43</v>
      </c>
      <c r="C25" s="218"/>
      <c r="D25" s="218"/>
      <c r="E25" s="218"/>
      <c r="F25" s="218" t="s">
        <v>499</v>
      </c>
      <c r="G25" s="218" t="s">
        <v>44</v>
      </c>
      <c r="H25" s="218"/>
      <c r="I25" s="218" t="s">
        <v>45</v>
      </c>
      <c r="J25" s="216" t="s">
        <v>500</v>
      </c>
      <c r="K25" s="217"/>
    </row>
    <row r="26" spans="1:11" ht="24.95" customHeight="1" x14ac:dyDescent="0.2">
      <c r="A26" s="218"/>
      <c r="B26" s="218"/>
      <c r="C26" s="218"/>
      <c r="D26" s="218"/>
      <c r="E26" s="218"/>
      <c r="F26" s="218"/>
      <c r="G26" s="142" t="s">
        <v>46</v>
      </c>
      <c r="H26" s="142" t="s">
        <v>47</v>
      </c>
      <c r="I26" s="218"/>
      <c r="J26" s="217"/>
      <c r="K26" s="217"/>
    </row>
    <row r="27" spans="1:11" ht="23.1" customHeight="1" x14ac:dyDescent="0.2">
      <c r="A27" s="142">
        <v>1</v>
      </c>
      <c r="B27" s="212" t="s">
        <v>258</v>
      </c>
      <c r="C27" s="212"/>
      <c r="D27" s="212"/>
      <c r="E27" s="212"/>
      <c r="F27" s="142" t="s">
        <v>259</v>
      </c>
      <c r="G27" s="142" t="s">
        <v>264</v>
      </c>
      <c r="H27" s="142" t="s">
        <v>48</v>
      </c>
      <c r="I27" s="158">
        <f>Оборудование!I4</f>
        <v>46850</v>
      </c>
      <c r="J27" s="265" t="str">
        <f>Оборудование!J4</f>
        <v>С-ТТ/08-04-2026/517582908</v>
      </c>
      <c r="K27" s="265"/>
    </row>
    <row r="28" spans="1:11" ht="23.1" customHeight="1" x14ac:dyDescent="0.2">
      <c r="A28" s="142">
        <v>2</v>
      </c>
      <c r="B28" s="212" t="s">
        <v>260</v>
      </c>
      <c r="C28" s="212"/>
      <c r="D28" s="212"/>
      <c r="E28" s="212"/>
      <c r="F28" s="142">
        <v>134</v>
      </c>
      <c r="G28" s="142" t="s">
        <v>265</v>
      </c>
      <c r="H28" s="142">
        <v>0.1</v>
      </c>
      <c r="I28" s="158">
        <f>Оборудование!I3</f>
        <v>47945</v>
      </c>
      <c r="J28" s="240" t="str">
        <f>Оборудование!J3</f>
        <v>С-ТТ/08-04-2026/517582895</v>
      </c>
      <c r="K28" s="240"/>
    </row>
    <row r="29" spans="1:11" ht="23.1" customHeight="1" x14ac:dyDescent="0.2">
      <c r="A29" s="142">
        <v>3</v>
      </c>
      <c r="B29" s="212" t="s">
        <v>261</v>
      </c>
      <c r="C29" s="212"/>
      <c r="D29" s="212"/>
      <c r="E29" s="212"/>
      <c r="F29" s="142">
        <v>15036</v>
      </c>
      <c r="G29" s="142" t="s">
        <v>262</v>
      </c>
      <c r="H29" s="142">
        <v>2</v>
      </c>
      <c r="I29" s="158">
        <f>Оборудование!I12</f>
        <v>46175</v>
      </c>
      <c r="J29" s="240" t="str">
        <f>Оборудование!J12</f>
        <v>С-ТТ/02-06-2025/436900431</v>
      </c>
      <c r="K29" s="240"/>
    </row>
    <row r="30" spans="1:11" ht="23.1" customHeight="1" x14ac:dyDescent="0.2">
      <c r="A30" s="142">
        <v>4</v>
      </c>
      <c r="B30" s="212" t="s">
        <v>263</v>
      </c>
      <c r="C30" s="212"/>
      <c r="D30" s="212"/>
      <c r="E30" s="212"/>
      <c r="F30" s="142">
        <v>3141</v>
      </c>
      <c r="G30" s="142" t="s">
        <v>266</v>
      </c>
      <c r="H30" s="142">
        <v>3</v>
      </c>
      <c r="I30" s="158">
        <f>Оборудование!I13</f>
        <v>46850</v>
      </c>
      <c r="J30" s="240" t="str">
        <f>Оборудование!J13</f>
        <v>С-ТТ/08-04-2026/517582910</v>
      </c>
      <c r="K30" s="240"/>
    </row>
    <row r="31" spans="1:11" ht="12.95" customHeight="1" x14ac:dyDescent="0.2">
      <c r="A31" s="236" t="s">
        <v>158</v>
      </c>
      <c r="B31" s="239"/>
      <c r="C31" s="239"/>
      <c r="D31" s="239"/>
      <c r="E31" s="239"/>
      <c r="F31" s="239"/>
      <c r="G31" s="239"/>
      <c r="H31" s="239"/>
      <c r="I31" s="239"/>
      <c r="J31" s="239"/>
      <c r="K31" s="239"/>
    </row>
    <row r="32" spans="1:11" ht="13.15" customHeight="1" x14ac:dyDescent="0.2">
      <c r="A32" s="67" t="s">
        <v>337</v>
      </c>
      <c r="C32" s="392">
        <f>прот.№1!C26</f>
        <v>15</v>
      </c>
      <c r="D32" s="3" t="s">
        <v>328</v>
      </c>
    </row>
    <row r="33" spans="1:11" ht="12.95" customHeight="1" x14ac:dyDescent="0.2">
      <c r="A33" s="32" t="s">
        <v>338</v>
      </c>
      <c r="C33" s="392">
        <f>прот.№1!C27</f>
        <v>70</v>
      </c>
      <c r="D33" s="3" t="s">
        <v>330</v>
      </c>
    </row>
    <row r="34" spans="1:11" ht="12.95" customHeight="1" x14ac:dyDescent="0.2">
      <c r="A34" s="66" t="s">
        <v>339</v>
      </c>
      <c r="C34" s="392" t="str">
        <f>прот.№1!C28</f>
        <v>745</v>
      </c>
      <c r="D34" s="3" t="s">
        <v>332</v>
      </c>
    </row>
    <row r="36" spans="1:11" ht="12.95" customHeight="1" x14ac:dyDescent="0.2">
      <c r="A36" s="236" t="s">
        <v>159</v>
      </c>
      <c r="B36" s="283"/>
      <c r="C36" s="283"/>
      <c r="D36" s="283"/>
      <c r="E36" s="283"/>
      <c r="F36" s="283"/>
      <c r="G36" s="283"/>
      <c r="H36" s="283"/>
      <c r="I36" s="283"/>
      <c r="J36" s="283"/>
      <c r="K36" s="283"/>
    </row>
    <row r="38" spans="1:11" ht="12.95" customHeight="1" x14ac:dyDescent="0.2">
      <c r="A38" s="245" t="s">
        <v>160</v>
      </c>
      <c r="B38" s="239"/>
      <c r="C38" s="239"/>
      <c r="D38" s="239"/>
      <c r="E38" s="239"/>
      <c r="F38" s="239"/>
      <c r="G38" s="239"/>
      <c r="H38" s="239"/>
      <c r="I38" s="239"/>
      <c r="J38" s="239"/>
      <c r="K38" s="239"/>
    </row>
    <row r="39" spans="1:11" s="175" customFormat="1" x14ac:dyDescent="0.2">
      <c r="A39" s="175" t="s">
        <v>613</v>
      </c>
    </row>
    <row r="41" spans="1:11" ht="30" customHeight="1" x14ac:dyDescent="0.2">
      <c r="A41" s="245" t="s">
        <v>207</v>
      </c>
      <c r="B41" s="245"/>
      <c r="C41" s="247" t="str">
        <f>'Данные объект'!$B$64</f>
        <v>Зам. руководителя ЭИЛ</v>
      </c>
      <c r="D41" s="247"/>
      <c r="E41" s="247"/>
      <c r="F41" s="140"/>
      <c r="G41" s="6"/>
      <c r="H41" s="140"/>
      <c r="I41" s="247" t="str">
        <f>'Данные объект'!$B$65</f>
        <v>Фечин А.А.</v>
      </c>
      <c r="J41" s="247"/>
      <c r="K41" s="140"/>
    </row>
    <row r="42" spans="1:11" ht="9" customHeight="1" x14ac:dyDescent="0.2">
      <c r="A42" s="32" t="s">
        <v>210</v>
      </c>
      <c r="B42" s="140"/>
      <c r="C42" s="248" t="s">
        <v>208</v>
      </c>
      <c r="D42" s="248"/>
      <c r="E42" s="248"/>
      <c r="F42" s="33"/>
      <c r="G42" s="34" t="s">
        <v>209</v>
      </c>
      <c r="H42" s="33"/>
      <c r="I42" s="248" t="s">
        <v>211</v>
      </c>
      <c r="J42" s="248"/>
      <c r="K42" s="140"/>
    </row>
    <row r="43" spans="1:11" ht="9.9499999999999993" customHeight="1" x14ac:dyDescent="0.2">
      <c r="A43" s="245" t="s">
        <v>49</v>
      </c>
      <c r="B43" s="239"/>
      <c r="C43" s="239"/>
      <c r="D43" s="239"/>
      <c r="E43" s="239"/>
      <c r="F43" s="239"/>
      <c r="G43" s="239"/>
      <c r="H43" s="239"/>
      <c r="I43" s="239"/>
      <c r="J43" s="239"/>
      <c r="K43" s="239"/>
    </row>
    <row r="44" spans="1:11" ht="20.100000000000001" customHeight="1" x14ac:dyDescent="0.2">
      <c r="A44" s="245" t="s">
        <v>50</v>
      </c>
      <c r="B44" s="245"/>
      <c r="C44" s="245"/>
      <c r="D44" s="245"/>
      <c r="E44" s="245"/>
      <c r="F44" s="245"/>
      <c r="G44" s="245"/>
      <c r="H44" s="245"/>
      <c r="I44" s="245"/>
      <c r="J44" s="245"/>
      <c r="K44" s="245"/>
    </row>
    <row r="45" spans="1:11" ht="30" customHeight="1" x14ac:dyDescent="0.2">
      <c r="A45" s="245"/>
      <c r="B45" s="245"/>
      <c r="C45" s="247" t="str">
        <f>'Данные объект'!$B$66</f>
        <v>Инженер ЭИЛ</v>
      </c>
      <c r="D45" s="247"/>
      <c r="E45" s="247"/>
      <c r="F45" s="140"/>
      <c r="G45" s="6"/>
      <c r="H45" s="140"/>
      <c r="I45" s="247" t="str">
        <f>'Данные объект'!$B$67</f>
        <v>Косырин А.Н.</v>
      </c>
      <c r="J45" s="247"/>
      <c r="K45" s="140"/>
    </row>
    <row r="46" spans="1:11" ht="9" customHeight="1" x14ac:dyDescent="0.2">
      <c r="A46" s="32" t="s">
        <v>210</v>
      </c>
      <c r="B46" s="140"/>
      <c r="C46" s="248" t="s">
        <v>208</v>
      </c>
      <c r="D46" s="248"/>
      <c r="E46" s="248"/>
      <c r="F46" s="33"/>
      <c r="G46" s="34" t="s">
        <v>209</v>
      </c>
      <c r="H46" s="33"/>
      <c r="I46" s="248" t="s">
        <v>211</v>
      </c>
      <c r="J46" s="248"/>
      <c r="K46" s="140"/>
    </row>
    <row r="47" spans="1:11" x14ac:dyDescent="0.2">
      <c r="A47" s="140"/>
      <c r="B47" s="140"/>
      <c r="C47" s="140"/>
      <c r="D47" s="140"/>
      <c r="E47" s="140"/>
      <c r="F47" s="140"/>
      <c r="G47" s="140"/>
      <c r="H47" s="140"/>
      <c r="I47" s="140"/>
      <c r="J47" s="140"/>
      <c r="K47" s="140"/>
    </row>
    <row r="48" spans="1:11" ht="30" customHeight="1" x14ac:dyDescent="0.2">
      <c r="A48" s="245" t="s">
        <v>212</v>
      </c>
      <c r="B48" s="245"/>
      <c r="C48" s="247" t="str">
        <f>'Данные объект'!$B$61</f>
        <v xml:space="preserve">Руководитель ЭИЛ </v>
      </c>
      <c r="D48" s="247"/>
      <c r="E48" s="247"/>
      <c r="F48" s="140"/>
      <c r="G48" s="6"/>
      <c r="H48" s="140"/>
      <c r="I48" s="247" t="str">
        <f>'Данные объект'!$B$62</f>
        <v xml:space="preserve"> Щербаков А.А.</v>
      </c>
      <c r="J48" s="247"/>
      <c r="K48" s="140"/>
    </row>
    <row r="49" spans="1:11" ht="9" customHeight="1" x14ac:dyDescent="0.2">
      <c r="A49" s="32" t="s">
        <v>210</v>
      </c>
      <c r="B49" s="140"/>
      <c r="C49" s="248" t="s">
        <v>208</v>
      </c>
      <c r="D49" s="248"/>
      <c r="E49" s="248"/>
      <c r="F49" s="33"/>
      <c r="G49" s="34" t="s">
        <v>209</v>
      </c>
      <c r="H49" s="33"/>
      <c r="I49" s="248" t="s">
        <v>211</v>
      </c>
      <c r="J49" s="248"/>
      <c r="K49" s="140"/>
    </row>
  </sheetData>
  <mergeCells count="62">
    <mergeCell ref="J29:K29"/>
    <mergeCell ref="B30:E30"/>
    <mergeCell ref="J30:K30"/>
    <mergeCell ref="C49:E49"/>
    <mergeCell ref="I49:J49"/>
    <mergeCell ref="C46:E46"/>
    <mergeCell ref="I46:J46"/>
    <mergeCell ref="A48:B48"/>
    <mergeCell ref="C48:E48"/>
    <mergeCell ref="I48:J48"/>
    <mergeCell ref="A38:K38"/>
    <mergeCell ref="A45:B45"/>
    <mergeCell ref="C45:E45"/>
    <mergeCell ref="I45:J45"/>
    <mergeCell ref="A1:D1"/>
    <mergeCell ref="H1:K1"/>
    <mergeCell ref="A2:D3"/>
    <mergeCell ref="H2:K2"/>
    <mergeCell ref="H3:K3"/>
    <mergeCell ref="A8:K8"/>
    <mergeCell ref="A10:K10"/>
    <mergeCell ref="A11:A12"/>
    <mergeCell ref="B11:B12"/>
    <mergeCell ref="B5:C5"/>
    <mergeCell ref="J5:K5"/>
    <mergeCell ref="B6:C6"/>
    <mergeCell ref="J6:K6"/>
    <mergeCell ref="A7:K7"/>
    <mergeCell ref="E11:F12"/>
    <mergeCell ref="C11:D11"/>
    <mergeCell ref="A15:K15"/>
    <mergeCell ref="A17:A18"/>
    <mergeCell ref="B17:B18"/>
    <mergeCell ref="C17:C18"/>
    <mergeCell ref="D17:D18"/>
    <mergeCell ref="E17:E18"/>
    <mergeCell ref="F17:G17"/>
    <mergeCell ref="H17:H18"/>
    <mergeCell ref="A23:K23"/>
    <mergeCell ref="A24:B24"/>
    <mergeCell ref="A25:A26"/>
    <mergeCell ref="F25:F26"/>
    <mergeCell ref="B25:E26"/>
    <mergeCell ref="G25:H25"/>
    <mergeCell ref="I25:I26"/>
    <mergeCell ref="J25:K26"/>
    <mergeCell ref="E13:F13"/>
    <mergeCell ref="A36:K36"/>
    <mergeCell ref="A43:K43"/>
    <mergeCell ref="A44:K44"/>
    <mergeCell ref="A41:B41"/>
    <mergeCell ref="C41:E41"/>
    <mergeCell ref="I41:J41"/>
    <mergeCell ref="C42:E42"/>
    <mergeCell ref="I42:J42"/>
    <mergeCell ref="B27:E27"/>
    <mergeCell ref="J27:K27"/>
    <mergeCell ref="B28:E28"/>
    <mergeCell ref="A31:K31"/>
    <mergeCell ref="J28:K28"/>
    <mergeCell ref="B29:E29"/>
    <mergeCell ref="A19:A21"/>
  </mergeCells>
  <pageMargins left="0.79" right="0.28999999999999998" top="0.79" bottom="0.79" header="0.49" footer="0.49"/>
  <pageSetup paperSize="9" scale="8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C2754-D857-4241-9C7E-259856B3A84C}">
  <dimension ref="A1:K52"/>
  <sheetViews>
    <sheetView view="pageBreakPreview" topLeftCell="A13" zoomScale="115" zoomScaleNormal="100" zoomScaleSheetLayoutView="115" workbookViewId="0">
      <selection activeCell="C24" sqref="C24"/>
    </sheetView>
  </sheetViews>
  <sheetFormatPr defaultColWidth="9.140625" defaultRowHeight="11.25" x14ac:dyDescent="0.2"/>
  <cols>
    <col min="1" max="1" width="9.5703125" style="3" bestFit="1" customWidth="1"/>
    <col min="2" max="2" width="10.5703125" style="3" bestFit="1" customWidth="1"/>
    <col min="3" max="3" width="6" style="3" bestFit="1" customWidth="1"/>
    <col min="4" max="4" width="7.140625" style="3" bestFit="1" customWidth="1"/>
    <col min="5" max="5" width="8.140625" style="3" bestFit="1" customWidth="1"/>
    <col min="6" max="6" width="9.7109375" style="3" bestFit="1" customWidth="1"/>
    <col min="7" max="7" width="10.7109375" style="3" customWidth="1"/>
    <col min="8" max="8" width="11.28515625" style="3" bestFit="1" customWidth="1"/>
    <col min="9" max="16384" width="9.140625" style="3"/>
  </cols>
  <sheetData>
    <row r="1" spans="1:11" ht="18.600000000000001" customHeight="1" x14ac:dyDescent="0.2">
      <c r="A1" s="262" t="str">
        <f>'Данные объект'!B58</f>
        <v xml:space="preserve"> ООО «Энергосистемы»</v>
      </c>
      <c r="B1" s="262"/>
      <c r="C1" s="262"/>
      <c r="D1" s="262"/>
      <c r="G1" s="4" t="s">
        <v>11</v>
      </c>
      <c r="H1" s="259" t="str">
        <f>'Данные объект'!B34</f>
        <v>ПАО "Россети Московский регион"</v>
      </c>
      <c r="I1" s="259"/>
      <c r="J1" s="259"/>
      <c r="K1" s="259"/>
    </row>
    <row r="2" spans="1:11" ht="27" customHeight="1" x14ac:dyDescent="0.2">
      <c r="A2" s="262" t="str">
        <f>'Данные объект'!C58</f>
        <v>Испытательная электролаборатория 141508, Московская область, г.о. Солнечногорск, г. Солнечногорск, ул. Промышленная, стр. 5, помещение 179, Свидетельсто о регистрации №5.3-6420 от 15 мая 2024г</v>
      </c>
      <c r="B2" s="262"/>
      <c r="C2" s="262"/>
      <c r="D2" s="262"/>
      <c r="G2" s="4" t="s">
        <v>12</v>
      </c>
      <c r="H2" s="260" t="str">
        <f>_xlfn.CONCAT('Данные объект'!$B$15, " ",'Данные объект'!$B$16)</f>
        <v>КТП № АСП №</v>
      </c>
      <c r="I2" s="260"/>
      <c r="J2" s="260"/>
      <c r="K2" s="260"/>
    </row>
    <row r="3" spans="1:11" ht="31.15" customHeight="1" x14ac:dyDescent="0.2">
      <c r="A3" s="262"/>
      <c r="B3" s="262"/>
      <c r="C3" s="262"/>
      <c r="D3" s="262"/>
      <c r="G3" s="4" t="s">
        <v>13</v>
      </c>
      <c r="H3" s="261" t="str">
        <f>'Данные объект'!B5</f>
        <v>Лобня г, Шереметьевское ш, дом 10</v>
      </c>
      <c r="I3" s="261"/>
      <c r="J3" s="261"/>
      <c r="K3" s="261"/>
    </row>
    <row r="4" spans="1:11" ht="15" customHeight="1" x14ac:dyDescent="0.2">
      <c r="A4" s="29"/>
      <c r="B4" s="29"/>
      <c r="C4" s="29"/>
      <c r="D4" s="29"/>
      <c r="G4" s="4"/>
      <c r="H4" s="4"/>
      <c r="I4" s="4"/>
      <c r="J4" s="4"/>
      <c r="K4" s="4"/>
    </row>
    <row r="5" spans="1:11" x14ac:dyDescent="0.2">
      <c r="A5" s="5"/>
      <c r="B5" s="249"/>
      <c r="C5" s="249"/>
      <c r="J5" s="249" t="s">
        <v>14</v>
      </c>
      <c r="K5" s="249"/>
    </row>
    <row r="6" spans="1:11" ht="10.15" customHeight="1" x14ac:dyDescent="0.2">
      <c r="A6" s="5"/>
      <c r="B6" s="250"/>
      <c r="C6" s="250"/>
      <c r="J6" s="263" t="str">
        <f>'Данные объект'!B8</f>
        <v>25.06.2025</v>
      </c>
      <c r="K6" s="263"/>
    </row>
    <row r="7" spans="1:11" ht="12.75" x14ac:dyDescent="0.2">
      <c r="A7" s="280" t="s">
        <v>479</v>
      </c>
      <c r="B7" s="281"/>
      <c r="C7" s="281"/>
      <c r="D7" s="281"/>
      <c r="E7" s="281"/>
      <c r="F7" s="281"/>
      <c r="G7" s="281"/>
      <c r="H7" s="281"/>
      <c r="I7" s="281"/>
      <c r="J7" s="281"/>
      <c r="K7" s="281"/>
    </row>
    <row r="8" spans="1:11" ht="32.1" customHeight="1" x14ac:dyDescent="0.2">
      <c r="A8" s="308" t="s">
        <v>161</v>
      </c>
      <c r="B8" s="276"/>
      <c r="C8" s="276"/>
      <c r="D8" s="276"/>
      <c r="E8" s="276"/>
      <c r="F8" s="276"/>
      <c r="G8" s="276"/>
      <c r="H8" s="276"/>
      <c r="I8" s="276"/>
      <c r="J8" s="276"/>
      <c r="K8" s="276"/>
    </row>
    <row r="9" spans="1:11" ht="18.600000000000001" customHeight="1" x14ac:dyDescent="0.2">
      <c r="A9" s="16"/>
    </row>
    <row r="10" spans="1:11" x14ac:dyDescent="0.2">
      <c r="A10" s="309" t="s">
        <v>162</v>
      </c>
      <c r="B10" s="216" t="s">
        <v>163</v>
      </c>
      <c r="C10" s="216"/>
      <c r="D10" s="216"/>
      <c r="E10" s="216"/>
      <c r="F10" s="216"/>
      <c r="G10" s="216"/>
      <c r="H10" s="309" t="s">
        <v>164</v>
      </c>
      <c r="I10" s="309" t="s">
        <v>165</v>
      </c>
      <c r="J10" s="309"/>
      <c r="K10" s="309" t="s">
        <v>166</v>
      </c>
    </row>
    <row r="11" spans="1:11" x14ac:dyDescent="0.2">
      <c r="A11" s="309"/>
      <c r="B11" s="309" t="s">
        <v>167</v>
      </c>
      <c r="C11" s="310" t="s">
        <v>203</v>
      </c>
      <c r="D11" s="216" t="s">
        <v>168</v>
      </c>
      <c r="E11" s="216"/>
      <c r="F11" s="216"/>
      <c r="G11" s="216"/>
      <c r="H11" s="309"/>
      <c r="I11" s="309"/>
      <c r="J11" s="309"/>
      <c r="K11" s="309"/>
    </row>
    <row r="12" spans="1:11" x14ac:dyDescent="0.2">
      <c r="A12" s="309"/>
      <c r="B12" s="309"/>
      <c r="C12" s="310"/>
      <c r="D12" s="11" t="s">
        <v>169</v>
      </c>
      <c r="E12" s="11" t="s">
        <v>170</v>
      </c>
      <c r="F12" s="11" t="s">
        <v>204</v>
      </c>
      <c r="G12" s="14" t="s">
        <v>171</v>
      </c>
      <c r="H12" s="309"/>
      <c r="I12" s="11" t="s">
        <v>172</v>
      </c>
      <c r="J12" s="11" t="s">
        <v>173</v>
      </c>
      <c r="K12" s="309"/>
    </row>
    <row r="13" spans="1:11" ht="22.5" x14ac:dyDescent="0.2">
      <c r="A13" s="159" t="s">
        <v>485</v>
      </c>
      <c r="B13" s="133" t="s">
        <v>390</v>
      </c>
      <c r="C13" s="133">
        <v>250</v>
      </c>
      <c r="D13" s="128">
        <f>$C$13*10</f>
        <v>2500</v>
      </c>
      <c r="E13" s="141">
        <f>$C13*10+5</f>
        <v>2505</v>
      </c>
      <c r="F13" s="141">
        <f>$C13*10-9</f>
        <v>2491</v>
      </c>
      <c r="G13" s="11" t="s">
        <v>133</v>
      </c>
      <c r="H13" s="11">
        <f>C13*10*1.1</f>
        <v>2750</v>
      </c>
      <c r="I13" s="11" t="s">
        <v>175</v>
      </c>
      <c r="J13" s="11" t="s">
        <v>175</v>
      </c>
      <c r="K13" s="11" t="s">
        <v>176</v>
      </c>
    </row>
    <row r="14" spans="1:11" ht="33.75" x14ac:dyDescent="0.2">
      <c r="A14" s="159" t="s">
        <v>483</v>
      </c>
      <c r="B14" s="133" t="s">
        <v>390</v>
      </c>
      <c r="C14" s="133">
        <v>63</v>
      </c>
      <c r="D14" s="141">
        <f>$C$14*10</f>
        <v>630</v>
      </c>
      <c r="E14" s="141">
        <f>$C14*10+5</f>
        <v>635</v>
      </c>
      <c r="F14" s="141">
        <f>$C14*10-10</f>
        <v>620</v>
      </c>
      <c r="G14" s="11" t="s">
        <v>133</v>
      </c>
      <c r="H14" s="125">
        <f t="shared" ref="H14:H21" si="0">C14*10*1.1</f>
        <v>693</v>
      </c>
      <c r="I14" s="11" t="s">
        <v>180</v>
      </c>
      <c r="J14" s="11" t="s">
        <v>175</v>
      </c>
      <c r="K14" s="11" t="s">
        <v>176</v>
      </c>
    </row>
    <row r="15" spans="1:11" ht="22.5" x14ac:dyDescent="0.2">
      <c r="A15" s="159" t="s">
        <v>485</v>
      </c>
      <c r="B15" s="133" t="s">
        <v>390</v>
      </c>
      <c r="C15" s="133">
        <v>40</v>
      </c>
      <c r="D15" s="141">
        <f>$C$15*10</f>
        <v>400</v>
      </c>
      <c r="E15" s="141">
        <f t="shared" ref="E15:E21" si="1">$C15*10+5</f>
        <v>405</v>
      </c>
      <c r="F15" s="141">
        <f>$C15*10-15</f>
        <v>385</v>
      </c>
      <c r="G15" s="11" t="s">
        <v>133</v>
      </c>
      <c r="H15" s="125">
        <f t="shared" si="0"/>
        <v>440.00000000000006</v>
      </c>
      <c r="I15" s="11" t="s">
        <v>181</v>
      </c>
      <c r="J15" s="11" t="s">
        <v>175</v>
      </c>
      <c r="K15" s="11" t="s">
        <v>176</v>
      </c>
    </row>
    <row r="16" spans="1:11" ht="22.5" x14ac:dyDescent="0.2">
      <c r="A16" s="159" t="s">
        <v>174</v>
      </c>
      <c r="B16" s="133" t="s">
        <v>179</v>
      </c>
      <c r="C16" s="133">
        <v>250</v>
      </c>
      <c r="D16" s="141">
        <f>$C$16*10</f>
        <v>2500</v>
      </c>
      <c r="E16" s="141">
        <f t="shared" si="1"/>
        <v>2505</v>
      </c>
      <c r="F16" s="141">
        <f>$C16*10-10</f>
        <v>2490</v>
      </c>
      <c r="G16" s="11" t="s">
        <v>133</v>
      </c>
      <c r="H16" s="125">
        <f t="shared" si="0"/>
        <v>2750</v>
      </c>
      <c r="I16" s="11" t="s">
        <v>178</v>
      </c>
      <c r="J16" s="11" t="s">
        <v>175</v>
      </c>
      <c r="K16" s="11" t="s">
        <v>176</v>
      </c>
    </row>
    <row r="17" spans="1:11" ht="22.5" x14ac:dyDescent="0.2">
      <c r="A17" s="159" t="s">
        <v>174</v>
      </c>
      <c r="B17" s="133" t="s">
        <v>179</v>
      </c>
      <c r="C17" s="133">
        <v>200</v>
      </c>
      <c r="D17" s="141">
        <f>$C$17*10</f>
        <v>2000</v>
      </c>
      <c r="E17" s="141">
        <f t="shared" si="1"/>
        <v>2005</v>
      </c>
      <c r="F17" s="141">
        <f>$C17*10-10</f>
        <v>1990</v>
      </c>
      <c r="G17" s="11" t="s">
        <v>133</v>
      </c>
      <c r="H17" s="125">
        <f t="shared" si="0"/>
        <v>2200</v>
      </c>
      <c r="I17" s="11" t="s">
        <v>180</v>
      </c>
      <c r="J17" s="11" t="s">
        <v>175</v>
      </c>
      <c r="K17" s="11" t="s">
        <v>176</v>
      </c>
    </row>
    <row r="18" spans="1:11" ht="22.5" x14ac:dyDescent="0.2">
      <c r="A18" s="159" t="s">
        <v>174</v>
      </c>
      <c r="B18" s="133" t="s">
        <v>179</v>
      </c>
      <c r="C18" s="133">
        <v>200</v>
      </c>
      <c r="D18" s="141">
        <f>$C$18*10</f>
        <v>2000</v>
      </c>
      <c r="E18" s="141">
        <f t="shared" si="1"/>
        <v>2005</v>
      </c>
      <c r="F18" s="141">
        <f>$C18*10-15</f>
        <v>1985</v>
      </c>
      <c r="G18" s="11" t="s">
        <v>133</v>
      </c>
      <c r="H18" s="125">
        <f t="shared" si="0"/>
        <v>2200</v>
      </c>
      <c r="I18" s="11" t="s">
        <v>182</v>
      </c>
      <c r="J18" s="11" t="s">
        <v>175</v>
      </c>
      <c r="K18" s="11" t="s">
        <v>176</v>
      </c>
    </row>
    <row r="19" spans="1:11" ht="22.5" x14ac:dyDescent="0.2">
      <c r="A19" s="159" t="s">
        <v>174</v>
      </c>
      <c r="B19" s="133" t="s">
        <v>179</v>
      </c>
      <c r="C19" s="133">
        <v>160</v>
      </c>
      <c r="D19" s="141">
        <f>$C$19*10</f>
        <v>1600</v>
      </c>
      <c r="E19" s="141">
        <f t="shared" si="1"/>
        <v>1605</v>
      </c>
      <c r="F19" s="141">
        <f>$C19*10-10</f>
        <v>1590</v>
      </c>
      <c r="G19" s="11" t="s">
        <v>133</v>
      </c>
      <c r="H19" s="125">
        <f t="shared" si="0"/>
        <v>1760.0000000000002</v>
      </c>
      <c r="I19" s="11" t="s">
        <v>181</v>
      </c>
      <c r="J19" s="11" t="s">
        <v>175</v>
      </c>
      <c r="K19" s="11" t="s">
        <v>176</v>
      </c>
    </row>
    <row r="20" spans="1:11" ht="22.5" x14ac:dyDescent="0.2">
      <c r="A20" s="159" t="s">
        <v>174</v>
      </c>
      <c r="B20" s="133" t="s">
        <v>179</v>
      </c>
      <c r="C20" s="133">
        <v>160</v>
      </c>
      <c r="D20" s="141">
        <f>$C$20*10</f>
        <v>1600</v>
      </c>
      <c r="E20" s="141">
        <f t="shared" si="1"/>
        <v>1605</v>
      </c>
      <c r="F20" s="141">
        <f>$C20*10-15</f>
        <v>1585</v>
      </c>
      <c r="G20" s="11" t="s">
        <v>133</v>
      </c>
      <c r="H20" s="125">
        <f t="shared" si="0"/>
        <v>1760.0000000000002</v>
      </c>
      <c r="I20" s="11" t="s">
        <v>181</v>
      </c>
      <c r="J20" s="11" t="s">
        <v>175</v>
      </c>
      <c r="K20" s="11" t="s">
        <v>176</v>
      </c>
    </row>
    <row r="21" spans="1:11" ht="22.5" x14ac:dyDescent="0.2">
      <c r="A21" s="159" t="s">
        <v>174</v>
      </c>
      <c r="B21" s="133" t="s">
        <v>177</v>
      </c>
      <c r="C21" s="133">
        <v>16</v>
      </c>
      <c r="D21" s="141">
        <f>$C$21*10</f>
        <v>160</v>
      </c>
      <c r="E21" s="141">
        <f t="shared" si="1"/>
        <v>165</v>
      </c>
      <c r="F21" s="141">
        <f>$C21*10-10</f>
        <v>150</v>
      </c>
      <c r="G21" s="11" t="s">
        <v>133</v>
      </c>
      <c r="H21" s="125">
        <f t="shared" si="0"/>
        <v>176</v>
      </c>
      <c r="I21" s="11" t="s">
        <v>182</v>
      </c>
      <c r="J21" s="11" t="s">
        <v>175</v>
      </c>
      <c r="K21" s="11" t="s">
        <v>176</v>
      </c>
    </row>
    <row r="22" spans="1:11" ht="12.95" customHeight="1" x14ac:dyDescent="0.2">
      <c r="A22" s="245" t="s">
        <v>205</v>
      </c>
      <c r="B22" s="239"/>
      <c r="C22" s="239"/>
      <c r="D22" s="239"/>
      <c r="E22" s="239"/>
      <c r="F22" s="239"/>
      <c r="G22" s="239"/>
      <c r="H22" s="239"/>
      <c r="I22" s="239"/>
      <c r="J22" s="239"/>
      <c r="K22" s="239"/>
    </row>
    <row r="24" spans="1:11" ht="13.15" customHeight="1" x14ac:dyDescent="0.2">
      <c r="A24" s="67" t="s">
        <v>337</v>
      </c>
      <c r="C24" s="3">
        <f>прот.№1!C26</f>
        <v>15</v>
      </c>
      <c r="D24" s="3" t="s">
        <v>328</v>
      </c>
    </row>
    <row r="25" spans="1:11" ht="12.95" customHeight="1" x14ac:dyDescent="0.2">
      <c r="A25" s="32" t="s">
        <v>338</v>
      </c>
      <c r="C25" s="3">
        <f>прот.№1!C27</f>
        <v>70</v>
      </c>
      <c r="D25" s="3" t="s">
        <v>330</v>
      </c>
    </row>
    <row r="26" spans="1:11" ht="12.95" customHeight="1" x14ac:dyDescent="0.2">
      <c r="A26" s="66" t="s">
        <v>339</v>
      </c>
      <c r="C26" s="392" t="str">
        <f>прот.№1!C28</f>
        <v>745</v>
      </c>
      <c r="D26" s="3" t="s">
        <v>332</v>
      </c>
    </row>
    <row r="28" spans="1:11" ht="12.95" customHeight="1" x14ac:dyDescent="0.2">
      <c r="A28" s="236" t="s">
        <v>85</v>
      </c>
      <c r="B28" s="239"/>
      <c r="C28" s="239"/>
      <c r="D28" s="239"/>
      <c r="E28" s="239"/>
      <c r="F28" s="239"/>
      <c r="G28" s="239"/>
      <c r="H28" s="239"/>
      <c r="I28" s="239"/>
      <c r="J28" s="239"/>
      <c r="K28" s="239"/>
    </row>
    <row r="29" spans="1:11" x14ac:dyDescent="0.2">
      <c r="A29" s="274"/>
      <c r="B29" s="274"/>
      <c r="C29" s="12"/>
      <c r="D29" s="12"/>
      <c r="E29" s="12"/>
      <c r="F29" s="12"/>
      <c r="G29" s="12"/>
    </row>
    <row r="30" spans="1:11" ht="24.95" customHeight="1" x14ac:dyDescent="0.2">
      <c r="A30" s="302" t="s">
        <v>31</v>
      </c>
      <c r="B30" s="294" t="s">
        <v>43</v>
      </c>
      <c r="C30" s="295"/>
      <c r="D30" s="295"/>
      <c r="E30" s="296"/>
      <c r="F30" s="302" t="s">
        <v>499</v>
      </c>
      <c r="G30" s="300" t="s">
        <v>44</v>
      </c>
      <c r="H30" s="301"/>
      <c r="I30" s="302" t="s">
        <v>45</v>
      </c>
      <c r="J30" s="304" t="s">
        <v>500</v>
      </c>
      <c r="K30" s="305"/>
    </row>
    <row r="31" spans="1:11" ht="24.95" customHeight="1" x14ac:dyDescent="0.2">
      <c r="A31" s="303"/>
      <c r="B31" s="297"/>
      <c r="C31" s="298"/>
      <c r="D31" s="298"/>
      <c r="E31" s="299"/>
      <c r="F31" s="303"/>
      <c r="G31" s="142" t="s">
        <v>46</v>
      </c>
      <c r="H31" s="142" t="s">
        <v>47</v>
      </c>
      <c r="I31" s="303"/>
      <c r="J31" s="306"/>
      <c r="K31" s="307"/>
    </row>
    <row r="32" spans="1:11" ht="23.1" customHeight="1" x14ac:dyDescent="0.2">
      <c r="A32" s="142">
        <v>1</v>
      </c>
      <c r="B32" s="287" t="s">
        <v>258</v>
      </c>
      <c r="C32" s="288"/>
      <c r="D32" s="288"/>
      <c r="E32" s="289"/>
      <c r="F32" s="142" t="s">
        <v>259</v>
      </c>
      <c r="G32" s="142" t="s">
        <v>264</v>
      </c>
      <c r="H32" s="142" t="s">
        <v>48</v>
      </c>
      <c r="I32" s="158">
        <f>Оборудование!I4</f>
        <v>46850</v>
      </c>
      <c r="J32" s="290" t="str">
        <f>Оборудование!J4</f>
        <v>С-ТТ/08-04-2026/517582908</v>
      </c>
      <c r="K32" s="291"/>
    </row>
    <row r="33" spans="1:11" ht="23.1" customHeight="1" x14ac:dyDescent="0.2">
      <c r="A33" s="142">
        <v>2</v>
      </c>
      <c r="B33" s="287" t="s">
        <v>260</v>
      </c>
      <c r="C33" s="288"/>
      <c r="D33" s="288"/>
      <c r="E33" s="289"/>
      <c r="F33" s="142">
        <v>134</v>
      </c>
      <c r="G33" s="142" t="s">
        <v>265</v>
      </c>
      <c r="H33" s="142">
        <v>0.1</v>
      </c>
      <c r="I33" s="158">
        <f>Оборудование!I3</f>
        <v>47945</v>
      </c>
      <c r="J33" s="292" t="str">
        <f>Оборудование!J3</f>
        <v>С-ТТ/08-04-2026/517582895</v>
      </c>
      <c r="K33" s="293"/>
    </row>
    <row r="34" spans="1:11" ht="23.1" customHeight="1" x14ac:dyDescent="0.2">
      <c r="A34" s="142">
        <v>3</v>
      </c>
      <c r="B34" s="287" t="s">
        <v>261</v>
      </c>
      <c r="C34" s="288"/>
      <c r="D34" s="288"/>
      <c r="E34" s="289"/>
      <c r="F34" s="142">
        <v>15036</v>
      </c>
      <c r="G34" s="142" t="s">
        <v>262</v>
      </c>
      <c r="H34" s="142">
        <v>2</v>
      </c>
      <c r="I34" s="158">
        <f>Оборудование!I12</f>
        <v>46175</v>
      </c>
      <c r="J34" s="292" t="str">
        <f>Оборудование!J12</f>
        <v>С-ТТ/02-06-2025/436900431</v>
      </c>
      <c r="K34" s="293"/>
    </row>
    <row r="35" spans="1:11" ht="23.1" customHeight="1" x14ac:dyDescent="0.2">
      <c r="A35" s="142">
        <v>4</v>
      </c>
      <c r="B35" s="287" t="s">
        <v>263</v>
      </c>
      <c r="C35" s="288"/>
      <c r="D35" s="288"/>
      <c r="E35" s="289"/>
      <c r="F35" s="142">
        <v>3141</v>
      </c>
      <c r="G35" s="142" t="s">
        <v>266</v>
      </c>
      <c r="H35" s="142">
        <v>3</v>
      </c>
      <c r="I35" s="158">
        <f>Оборудование!I13</f>
        <v>46850</v>
      </c>
      <c r="J35" s="292" t="str">
        <f>Оборудование!J13</f>
        <v>С-ТТ/08-04-2026/517582910</v>
      </c>
      <c r="K35" s="293"/>
    </row>
    <row r="36" spans="1:11" ht="12.95" customHeight="1" x14ac:dyDescent="0.2">
      <c r="A36" s="236" t="s">
        <v>183</v>
      </c>
      <c r="B36" s="239"/>
      <c r="C36" s="239"/>
      <c r="D36" s="239"/>
      <c r="E36" s="239"/>
      <c r="F36" s="239"/>
      <c r="G36" s="239"/>
      <c r="H36" s="239"/>
      <c r="I36" s="239"/>
      <c r="J36" s="239"/>
      <c r="K36" s="239"/>
    </row>
    <row r="37" spans="1:11" ht="12.95" customHeight="1" x14ac:dyDescent="0.2">
      <c r="A37" s="258" t="s">
        <v>184</v>
      </c>
      <c r="B37" s="239"/>
      <c r="C37" s="239"/>
      <c r="D37" s="239"/>
      <c r="E37" s="239"/>
      <c r="F37" s="239"/>
      <c r="G37" s="239"/>
      <c r="H37" s="239"/>
      <c r="I37" s="239"/>
      <c r="J37" s="239"/>
      <c r="K37" s="239"/>
    </row>
    <row r="38" spans="1:11" ht="12.95" customHeight="1" x14ac:dyDescent="0.2">
      <c r="A38" s="236" t="s">
        <v>185</v>
      </c>
      <c r="B38" s="239"/>
      <c r="C38" s="239"/>
      <c r="D38" s="239"/>
      <c r="E38" s="239"/>
      <c r="F38" s="239"/>
      <c r="G38" s="239"/>
      <c r="H38" s="239"/>
      <c r="I38" s="239"/>
      <c r="J38" s="239"/>
      <c r="K38" s="239"/>
    </row>
    <row r="39" spans="1:11" ht="12.95" customHeight="1" x14ac:dyDescent="0.2">
      <c r="A39" s="245" t="s">
        <v>206</v>
      </c>
      <c r="B39" s="239"/>
      <c r="C39" s="239"/>
      <c r="D39" s="239"/>
      <c r="E39" s="239"/>
      <c r="F39" s="239"/>
      <c r="G39" s="239"/>
      <c r="H39" s="239"/>
      <c r="I39" s="239"/>
      <c r="J39" s="239"/>
      <c r="K39" s="239"/>
    </row>
    <row r="40" spans="1:11" ht="12.95" customHeight="1" x14ac:dyDescent="0.2">
      <c r="A40" s="236" t="s">
        <v>186</v>
      </c>
      <c r="B40" s="239"/>
      <c r="C40" s="239"/>
      <c r="D40" s="239"/>
      <c r="E40" s="239"/>
      <c r="F40" s="239"/>
      <c r="G40" s="239"/>
      <c r="H40" s="239"/>
      <c r="I40" s="239"/>
      <c r="J40" s="239"/>
      <c r="K40" s="239"/>
    </row>
    <row r="41" spans="1:11" s="175" customFormat="1" x14ac:dyDescent="0.2">
      <c r="A41" s="175" t="s">
        <v>613</v>
      </c>
    </row>
    <row r="44" spans="1:11" ht="30" customHeight="1" x14ac:dyDescent="0.2">
      <c r="A44" s="245" t="s">
        <v>207</v>
      </c>
      <c r="B44" s="245"/>
      <c r="C44" s="247" t="str">
        <f>'Данные объект'!$B$64</f>
        <v>Зам. руководителя ЭИЛ</v>
      </c>
      <c r="D44" s="247"/>
      <c r="E44" s="247"/>
      <c r="F44" s="140"/>
      <c r="G44" s="6"/>
      <c r="H44" s="140"/>
      <c r="I44" s="247" t="str">
        <f>'Данные объект'!$B$65</f>
        <v>Фечин А.А.</v>
      </c>
      <c r="J44" s="247"/>
      <c r="K44" s="140"/>
    </row>
    <row r="45" spans="1:11" ht="9" customHeight="1" x14ac:dyDescent="0.2">
      <c r="A45" s="32" t="s">
        <v>210</v>
      </c>
      <c r="B45" s="140"/>
      <c r="C45" s="248" t="s">
        <v>208</v>
      </c>
      <c r="D45" s="248"/>
      <c r="E45" s="248"/>
      <c r="F45" s="33"/>
      <c r="G45" s="34" t="s">
        <v>209</v>
      </c>
      <c r="H45" s="33"/>
      <c r="I45" s="248" t="s">
        <v>211</v>
      </c>
      <c r="J45" s="248"/>
      <c r="K45" s="140"/>
    </row>
    <row r="46" spans="1:11" ht="9.9499999999999993" customHeight="1" x14ac:dyDescent="0.2">
      <c r="A46" s="245" t="s">
        <v>49</v>
      </c>
      <c r="B46" s="239"/>
      <c r="C46" s="239"/>
      <c r="D46" s="239"/>
      <c r="E46" s="239"/>
      <c r="F46" s="239"/>
      <c r="G46" s="239"/>
      <c r="H46" s="239"/>
      <c r="I46" s="239"/>
      <c r="J46" s="239"/>
      <c r="K46" s="239"/>
    </row>
    <row r="47" spans="1:11" ht="20.100000000000001" customHeight="1" x14ac:dyDescent="0.2">
      <c r="A47" s="245" t="s">
        <v>50</v>
      </c>
      <c r="B47" s="245"/>
      <c r="C47" s="245"/>
      <c r="D47" s="245"/>
      <c r="E47" s="245"/>
      <c r="F47" s="245"/>
      <c r="G47" s="245"/>
      <c r="H47" s="245"/>
      <c r="I47" s="245"/>
      <c r="J47" s="245"/>
      <c r="K47" s="245"/>
    </row>
    <row r="48" spans="1:11" ht="30" customHeight="1" x14ac:dyDescent="0.2">
      <c r="A48" s="245"/>
      <c r="B48" s="245"/>
      <c r="C48" s="247" t="str">
        <f>'Данные объект'!$B$66</f>
        <v>Инженер ЭИЛ</v>
      </c>
      <c r="D48" s="247"/>
      <c r="E48" s="247"/>
      <c r="F48" s="140"/>
      <c r="G48" s="6"/>
      <c r="H48" s="140"/>
      <c r="I48" s="247" t="str">
        <f>'Данные объект'!$B$67</f>
        <v>Косырин А.Н.</v>
      </c>
      <c r="J48" s="247"/>
      <c r="K48" s="140"/>
    </row>
    <row r="49" spans="1:11" ht="9" customHeight="1" x14ac:dyDescent="0.2">
      <c r="A49" s="32" t="s">
        <v>210</v>
      </c>
      <c r="B49" s="140"/>
      <c r="C49" s="248" t="s">
        <v>208</v>
      </c>
      <c r="D49" s="248"/>
      <c r="E49" s="248"/>
      <c r="F49" s="33"/>
      <c r="G49" s="34" t="s">
        <v>209</v>
      </c>
      <c r="H49" s="33"/>
      <c r="I49" s="248" t="s">
        <v>211</v>
      </c>
      <c r="J49" s="248"/>
      <c r="K49" s="140"/>
    </row>
    <row r="50" spans="1:11" x14ac:dyDescent="0.2">
      <c r="A50" s="140"/>
      <c r="B50" s="140"/>
      <c r="C50" s="140"/>
      <c r="D50" s="140"/>
      <c r="E50" s="140"/>
      <c r="F50" s="140"/>
      <c r="G50" s="140"/>
      <c r="H50" s="140"/>
      <c r="I50" s="140"/>
      <c r="J50" s="140"/>
      <c r="K50" s="140"/>
    </row>
    <row r="51" spans="1:11" ht="30" customHeight="1" x14ac:dyDescent="0.2">
      <c r="A51" s="245" t="s">
        <v>212</v>
      </c>
      <c r="B51" s="245"/>
      <c r="C51" s="247" t="str">
        <f>'Данные объект'!$B$61</f>
        <v xml:space="preserve">Руководитель ЭИЛ </v>
      </c>
      <c r="D51" s="247"/>
      <c r="E51" s="247"/>
      <c r="F51" s="140"/>
      <c r="G51" s="6"/>
      <c r="H51" s="140"/>
      <c r="I51" s="247" t="str">
        <f>'Данные объект'!$B$62</f>
        <v xml:space="preserve"> Щербаков А.А.</v>
      </c>
      <c r="J51" s="247"/>
      <c r="K51" s="140"/>
    </row>
    <row r="52" spans="1:11" ht="9" customHeight="1" x14ac:dyDescent="0.2">
      <c r="A52" s="32" t="s">
        <v>210</v>
      </c>
      <c r="B52" s="140"/>
      <c r="C52" s="248" t="s">
        <v>208</v>
      </c>
      <c r="D52" s="248"/>
      <c r="E52" s="248"/>
      <c r="F52" s="33"/>
      <c r="G52" s="34" t="s">
        <v>209</v>
      </c>
      <c r="H52" s="33"/>
      <c r="I52" s="248" t="s">
        <v>211</v>
      </c>
      <c r="J52" s="248"/>
      <c r="K52" s="140"/>
    </row>
  </sheetData>
  <mergeCells count="58">
    <mergeCell ref="C52:E52"/>
    <mergeCell ref="I52:J52"/>
    <mergeCell ref="J34:K34"/>
    <mergeCell ref="B35:E35"/>
    <mergeCell ref="J35:K35"/>
    <mergeCell ref="A44:B44"/>
    <mergeCell ref="C44:E44"/>
    <mergeCell ref="I44:J44"/>
    <mergeCell ref="A36:K36"/>
    <mergeCell ref="A37:K37"/>
    <mergeCell ref="A38:K38"/>
    <mergeCell ref="A39:K39"/>
    <mergeCell ref="A40:K40"/>
    <mergeCell ref="C45:E45"/>
    <mergeCell ref="I45:J45"/>
    <mergeCell ref="A48:B48"/>
    <mergeCell ref="B5:C5"/>
    <mergeCell ref="J5:K5"/>
    <mergeCell ref="A1:D1"/>
    <mergeCell ref="H1:K1"/>
    <mergeCell ref="A2:D3"/>
    <mergeCell ref="H2:K2"/>
    <mergeCell ref="H3:K3"/>
    <mergeCell ref="A8:K8"/>
    <mergeCell ref="A10:A12"/>
    <mergeCell ref="B10:G10"/>
    <mergeCell ref="H10:H12"/>
    <mergeCell ref="I10:J11"/>
    <mergeCell ref="K10:K12"/>
    <mergeCell ref="B11:B12"/>
    <mergeCell ref="C11:C12"/>
    <mergeCell ref="D11:G11"/>
    <mergeCell ref="J30:K31"/>
    <mergeCell ref="A30:A31"/>
    <mergeCell ref="F30:F31"/>
    <mergeCell ref="A22:K22"/>
    <mergeCell ref="A28:K28"/>
    <mergeCell ref="B34:E34"/>
    <mergeCell ref="A29:B29"/>
    <mergeCell ref="B30:E31"/>
    <mergeCell ref="G30:H30"/>
    <mergeCell ref="I30:I31"/>
    <mergeCell ref="A46:K46"/>
    <mergeCell ref="A47:K47"/>
    <mergeCell ref="I51:J51"/>
    <mergeCell ref="B6:C6"/>
    <mergeCell ref="J6:K6"/>
    <mergeCell ref="A7:K7"/>
    <mergeCell ref="C48:E48"/>
    <mergeCell ref="I48:J48"/>
    <mergeCell ref="C49:E49"/>
    <mergeCell ref="I49:J49"/>
    <mergeCell ref="A51:B51"/>
    <mergeCell ref="C51:E51"/>
    <mergeCell ref="B32:E32"/>
    <mergeCell ref="J32:K32"/>
    <mergeCell ref="B33:E33"/>
    <mergeCell ref="J33:K33"/>
  </mergeCells>
  <pageMargins left="0.78740157480314965" right="0.47244094488188981" top="0.39370078740157483" bottom="0.39370078740157483" header="0.51181102362204722" footer="0.51181102362204722"/>
  <pageSetup paperSize="9" scale="88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02AB4-6E50-4DC8-93E9-3BEAAD3BE088}">
  <dimension ref="A1:K51"/>
  <sheetViews>
    <sheetView view="pageBreakPreview" topLeftCell="A10" zoomScale="90" zoomScaleNormal="100" zoomScaleSheetLayoutView="90" workbookViewId="0">
      <selection activeCell="P23" sqref="P23"/>
    </sheetView>
  </sheetViews>
  <sheetFormatPr defaultColWidth="9.140625" defaultRowHeight="11.25" x14ac:dyDescent="0.2"/>
  <cols>
    <col min="1" max="1" width="9.5703125" style="3" bestFit="1" customWidth="1"/>
    <col min="2" max="2" width="10.5703125" style="3" bestFit="1" customWidth="1"/>
    <col min="3" max="3" width="6" style="3" bestFit="1" customWidth="1"/>
    <col min="4" max="4" width="7.140625" style="3" bestFit="1" customWidth="1"/>
    <col min="5" max="5" width="11" style="3" customWidth="1"/>
    <col min="6" max="6" width="9.7109375" style="3" bestFit="1" customWidth="1"/>
    <col min="7" max="7" width="10.7109375" style="3" customWidth="1"/>
    <col min="8" max="8" width="11.28515625" style="3" bestFit="1" customWidth="1"/>
    <col min="9" max="16384" width="9.140625" style="3"/>
  </cols>
  <sheetData>
    <row r="1" spans="1:11" ht="18.600000000000001" customHeight="1" x14ac:dyDescent="0.2">
      <c r="A1" s="262" t="str">
        <f>'Данные объект'!B58</f>
        <v xml:space="preserve"> ООО «Энергосистемы»</v>
      </c>
      <c r="B1" s="262"/>
      <c r="C1" s="262"/>
      <c r="D1" s="262"/>
      <c r="G1" s="4" t="s">
        <v>11</v>
      </c>
      <c r="H1" s="259" t="str">
        <f>'Данные объект'!B34</f>
        <v>ПАО "Россети Московский регион"</v>
      </c>
      <c r="I1" s="259"/>
      <c r="J1" s="259"/>
      <c r="K1" s="259"/>
    </row>
    <row r="2" spans="1:11" ht="27" customHeight="1" x14ac:dyDescent="0.2">
      <c r="A2" s="262" t="str">
        <f>'Данные объект'!C58</f>
        <v>Испытательная электролаборатория 141508, Московская область, г.о. Солнечногорск, г. Солнечногорск, ул. Промышленная, стр. 5, помещение 179, Свидетельсто о регистрации №5.3-6420 от 15 мая 2024г</v>
      </c>
      <c r="B2" s="262"/>
      <c r="C2" s="262"/>
      <c r="D2" s="262"/>
      <c r="G2" s="4" t="s">
        <v>12</v>
      </c>
      <c r="H2" s="260" t="str">
        <f>CONCATENATE('Данные объект'!$B$17, " ",'Данные объект'!$B$18)</f>
        <v>ВЛ от ТП ф. ВЛ от ТП ф.</v>
      </c>
      <c r="I2" s="260"/>
      <c r="J2" s="260"/>
      <c r="K2" s="260"/>
    </row>
    <row r="3" spans="1:11" ht="31.15" customHeight="1" x14ac:dyDescent="0.2">
      <c r="A3" s="262"/>
      <c r="B3" s="262"/>
      <c r="C3" s="262"/>
      <c r="D3" s="262"/>
      <c r="G3" s="4" t="s">
        <v>13</v>
      </c>
      <c r="H3" s="261" t="str">
        <f>'Данные объект'!B5</f>
        <v>Лобня г, Шереметьевское ш, дом 10</v>
      </c>
      <c r="I3" s="261"/>
      <c r="J3" s="261"/>
      <c r="K3" s="261"/>
    </row>
    <row r="4" spans="1:11" ht="15" customHeight="1" x14ac:dyDescent="0.2">
      <c r="A4" s="29"/>
      <c r="B4" s="29"/>
      <c r="C4" s="29"/>
      <c r="D4" s="29"/>
      <c r="G4" s="4"/>
      <c r="H4" s="4"/>
      <c r="I4" s="4"/>
      <c r="J4" s="4"/>
      <c r="K4" s="4"/>
    </row>
    <row r="5" spans="1:11" x14ac:dyDescent="0.2">
      <c r="A5" s="5"/>
      <c r="B5" s="249"/>
      <c r="C5" s="249"/>
      <c r="J5" s="249" t="s">
        <v>14</v>
      </c>
      <c r="K5" s="249"/>
    </row>
    <row r="6" spans="1:11" ht="10.15" customHeight="1" x14ac:dyDescent="0.2">
      <c r="A6" s="5"/>
      <c r="B6" s="250"/>
      <c r="C6" s="250"/>
      <c r="J6" s="263" t="str">
        <f>'Данные объект'!B8</f>
        <v>25.06.2025</v>
      </c>
      <c r="K6" s="263"/>
    </row>
    <row r="7" spans="1:11" ht="12.75" x14ac:dyDescent="0.2">
      <c r="A7" s="280" t="s">
        <v>187</v>
      </c>
      <c r="B7" s="281"/>
      <c r="C7" s="281"/>
      <c r="D7" s="281"/>
      <c r="E7" s="281"/>
      <c r="F7" s="281"/>
      <c r="G7" s="281"/>
      <c r="H7" s="281"/>
      <c r="I7" s="281"/>
      <c r="J7" s="281"/>
      <c r="K7" s="281"/>
    </row>
    <row r="8" spans="1:11" ht="15.95" customHeight="1" x14ac:dyDescent="0.2">
      <c r="A8" s="278" t="s">
        <v>16</v>
      </c>
      <c r="B8" s="276"/>
      <c r="C8" s="276"/>
      <c r="D8" s="276"/>
      <c r="E8" s="276"/>
      <c r="F8" s="276"/>
      <c r="G8" s="276"/>
      <c r="H8" s="276"/>
      <c r="I8" s="276"/>
      <c r="J8" s="276"/>
      <c r="K8" s="276"/>
    </row>
    <row r="10" spans="1:11" x14ac:dyDescent="0.2">
      <c r="A10" s="236" t="s">
        <v>17</v>
      </c>
      <c r="B10" s="236"/>
      <c r="C10" s="236"/>
      <c r="D10" s="236"/>
      <c r="E10" s="236"/>
      <c r="F10" s="236"/>
      <c r="G10" s="236"/>
    </row>
    <row r="11" spans="1:11" x14ac:dyDescent="0.2">
      <c r="A11" s="237" t="s">
        <v>18</v>
      </c>
      <c r="B11" s="237"/>
      <c r="C11" s="237"/>
      <c r="D11" s="237"/>
      <c r="E11" s="237"/>
      <c r="F11" s="237"/>
      <c r="G11" s="237"/>
    </row>
    <row r="12" spans="1:11" ht="21" x14ac:dyDescent="0.2">
      <c r="A12" s="15" t="s">
        <v>19</v>
      </c>
      <c r="B12" s="260" t="s">
        <v>20</v>
      </c>
      <c r="C12" s="260"/>
      <c r="D12" s="260"/>
      <c r="E12" s="260"/>
      <c r="F12" s="260"/>
      <c r="G12" s="260"/>
    </row>
    <row r="13" spans="1:11" x14ac:dyDescent="0.2">
      <c r="A13" s="236" t="s">
        <v>21</v>
      </c>
      <c r="B13" s="236"/>
      <c r="C13" s="236"/>
      <c r="D13" s="237" t="s">
        <v>22</v>
      </c>
      <c r="E13" s="237"/>
      <c r="F13" s="237"/>
      <c r="G13" s="237"/>
    </row>
    <row r="14" spans="1:11" x14ac:dyDescent="0.2">
      <c r="A14" s="238"/>
      <c r="B14" s="238"/>
      <c r="C14" s="238"/>
      <c r="D14" s="264" t="s">
        <v>188</v>
      </c>
      <c r="E14" s="264"/>
      <c r="F14" s="264"/>
      <c r="G14" s="264"/>
    </row>
    <row r="15" spans="1:11" x14ac:dyDescent="0.2">
      <c r="A15" s="236" t="s">
        <v>24</v>
      </c>
      <c r="B15" s="236"/>
      <c r="C15" s="236"/>
      <c r="D15" s="236"/>
      <c r="E15" s="236"/>
      <c r="F15" s="237" t="s">
        <v>189</v>
      </c>
      <c r="G15" s="237"/>
    </row>
    <row r="16" spans="1:11" x14ac:dyDescent="0.2">
      <c r="A16" s="238"/>
      <c r="B16" s="238"/>
      <c r="C16" s="238"/>
      <c r="D16" s="238"/>
      <c r="E16" s="238"/>
      <c r="F16" s="264" t="s">
        <v>190</v>
      </c>
      <c r="G16" s="264"/>
    </row>
    <row r="17" spans="1:11" x14ac:dyDescent="0.2">
      <c r="A17" s="236" t="s">
        <v>27</v>
      </c>
      <c r="B17" s="236"/>
      <c r="C17" s="237" t="s">
        <v>28</v>
      </c>
      <c r="D17" s="237"/>
      <c r="E17" s="237"/>
      <c r="F17" s="237"/>
      <c r="G17" s="237"/>
    </row>
    <row r="18" spans="1:11" x14ac:dyDescent="0.2">
      <c r="A18" s="236" t="s">
        <v>29</v>
      </c>
      <c r="B18" s="236"/>
      <c r="C18" s="236"/>
      <c r="D18" s="236"/>
      <c r="E18" s="237">
        <v>80</v>
      </c>
      <c r="F18" s="237"/>
      <c r="G18" s="237"/>
    </row>
    <row r="19" spans="1:11" x14ac:dyDescent="0.2">
      <c r="A19" s="236" t="s">
        <v>30</v>
      </c>
      <c r="B19" s="236"/>
      <c r="C19" s="236"/>
      <c r="D19" s="236"/>
      <c r="E19" s="236"/>
      <c r="F19" s="236"/>
      <c r="G19" s="16"/>
    </row>
    <row r="21" spans="1:11" ht="26.25" customHeight="1" x14ac:dyDescent="0.2">
      <c r="A21" s="216" t="s">
        <v>31</v>
      </c>
      <c r="B21" s="216" t="s">
        <v>191</v>
      </c>
      <c r="C21" s="216"/>
      <c r="D21" s="216"/>
      <c r="E21" s="216" t="s">
        <v>32</v>
      </c>
      <c r="F21" s="216" t="s">
        <v>10</v>
      </c>
      <c r="G21" s="216"/>
      <c r="H21" s="216"/>
      <c r="I21" s="216" t="s">
        <v>33</v>
      </c>
      <c r="J21" s="216" t="s">
        <v>8</v>
      </c>
      <c r="K21" s="216"/>
    </row>
    <row r="22" spans="1:11" ht="25.15" customHeight="1" x14ac:dyDescent="0.2">
      <c r="A22" s="216"/>
      <c r="B22" s="216"/>
      <c r="C22" s="216"/>
      <c r="D22" s="216"/>
      <c r="E22" s="216"/>
      <c r="F22" s="141" t="s">
        <v>324</v>
      </c>
      <c r="G22" s="141" t="s">
        <v>287</v>
      </c>
      <c r="H22" s="141" t="s">
        <v>36</v>
      </c>
      <c r="I22" s="216"/>
      <c r="J22" s="216"/>
      <c r="K22" s="216"/>
    </row>
    <row r="23" spans="1:11" ht="10.9" customHeight="1" x14ac:dyDescent="0.2">
      <c r="A23" s="11">
        <v>1</v>
      </c>
      <c r="B23" s="267" t="s">
        <v>192</v>
      </c>
      <c r="C23" s="267"/>
      <c r="D23" s="267"/>
      <c r="E23" s="11" t="s">
        <v>37</v>
      </c>
      <c r="F23" s="11">
        <v>30</v>
      </c>
      <c r="G23" s="11" t="s">
        <v>193</v>
      </c>
      <c r="H23" s="11" t="s">
        <v>193</v>
      </c>
      <c r="I23" s="11">
        <v>1</v>
      </c>
      <c r="J23" s="216" t="s">
        <v>9</v>
      </c>
      <c r="K23" s="216"/>
    </row>
    <row r="24" spans="1:11" x14ac:dyDescent="0.2">
      <c r="A24" s="11">
        <v>2</v>
      </c>
      <c r="B24" s="267" t="s">
        <v>321</v>
      </c>
      <c r="C24" s="267"/>
      <c r="D24" s="267"/>
      <c r="E24" s="11" t="s">
        <v>37</v>
      </c>
      <c r="F24" s="11">
        <v>30</v>
      </c>
      <c r="G24" s="11" t="s">
        <v>195</v>
      </c>
      <c r="H24" s="11" t="s">
        <v>195</v>
      </c>
      <c r="I24" s="11">
        <v>1</v>
      </c>
      <c r="J24" s="216" t="s">
        <v>9</v>
      </c>
      <c r="K24" s="216"/>
    </row>
    <row r="25" spans="1:11" x14ac:dyDescent="0.2">
      <c r="A25" s="11">
        <v>3</v>
      </c>
      <c r="B25" s="267" t="s">
        <v>322</v>
      </c>
      <c r="C25" s="267"/>
      <c r="D25" s="267"/>
      <c r="E25" s="11" t="s">
        <v>37</v>
      </c>
      <c r="F25" s="11">
        <v>30</v>
      </c>
      <c r="G25" s="11" t="s">
        <v>196</v>
      </c>
      <c r="H25" s="11" t="s">
        <v>196</v>
      </c>
      <c r="I25" s="11">
        <v>1</v>
      </c>
      <c r="J25" s="216" t="s">
        <v>9</v>
      </c>
      <c r="K25" s="216"/>
    </row>
    <row r="26" spans="1:11" x14ac:dyDescent="0.2">
      <c r="A26" s="11">
        <v>4</v>
      </c>
      <c r="B26" s="267" t="s">
        <v>323</v>
      </c>
      <c r="C26" s="267"/>
      <c r="D26" s="267"/>
      <c r="E26" s="11" t="s">
        <v>37</v>
      </c>
      <c r="F26" s="11">
        <v>30</v>
      </c>
      <c r="G26" s="11" t="s">
        <v>197</v>
      </c>
      <c r="H26" s="11" t="s">
        <v>197</v>
      </c>
      <c r="I26" s="11">
        <v>1</v>
      </c>
      <c r="J26" s="216" t="s">
        <v>9</v>
      </c>
      <c r="K26" s="216"/>
    </row>
    <row r="27" spans="1:11" ht="12.95" customHeight="1" x14ac:dyDescent="0.2">
      <c r="A27" s="236" t="s">
        <v>41</v>
      </c>
      <c r="B27" s="239"/>
      <c r="C27" s="239"/>
      <c r="D27" s="239"/>
      <c r="E27" s="239"/>
      <c r="F27" s="239"/>
      <c r="G27" s="239"/>
      <c r="H27" s="239"/>
      <c r="I27" s="239"/>
      <c r="J27" s="239"/>
      <c r="K27" s="239"/>
    </row>
    <row r="28" spans="1:11" ht="13.15" customHeight="1" x14ac:dyDescent="0.2">
      <c r="A28" s="67" t="s">
        <v>333</v>
      </c>
      <c r="C28" s="393">
        <f>'Данные объект'!B10</f>
        <v>15</v>
      </c>
      <c r="D28" s="3" t="s">
        <v>328</v>
      </c>
    </row>
    <row r="29" spans="1:11" ht="12.95" customHeight="1" x14ac:dyDescent="0.2">
      <c r="A29" s="32" t="s">
        <v>334</v>
      </c>
      <c r="C29" s="393">
        <f>'Данные объект'!B11</f>
        <v>70</v>
      </c>
      <c r="D29" s="3" t="s">
        <v>330</v>
      </c>
    </row>
    <row r="30" spans="1:11" ht="12.95" customHeight="1" x14ac:dyDescent="0.2">
      <c r="A30" s="66" t="s">
        <v>335</v>
      </c>
      <c r="C30" s="393" t="str">
        <f>'Данные объект'!B12</f>
        <v>745</v>
      </c>
      <c r="D30" s="3" t="s">
        <v>332</v>
      </c>
    </row>
    <row r="31" spans="1:11" ht="12.95" customHeight="1" x14ac:dyDescent="0.2">
      <c r="A31" s="236" t="s">
        <v>198</v>
      </c>
      <c r="B31" s="239"/>
      <c r="C31" s="239"/>
      <c r="D31" s="239"/>
      <c r="E31" s="239"/>
      <c r="F31" s="239"/>
      <c r="G31" s="239"/>
      <c r="H31" s="239"/>
      <c r="I31" s="239"/>
      <c r="J31" s="239"/>
      <c r="K31" s="239"/>
    </row>
    <row r="32" spans="1:11" s="175" customFormat="1" x14ac:dyDescent="0.2">
      <c r="A32" s="175" t="s">
        <v>613</v>
      </c>
    </row>
    <row r="33" spans="1:11" ht="12.95" customHeight="1" x14ac:dyDescent="0.2">
      <c r="A33" s="236" t="s">
        <v>42</v>
      </c>
      <c r="B33" s="239"/>
      <c r="C33" s="239"/>
      <c r="D33" s="239"/>
      <c r="E33" s="239"/>
      <c r="F33" s="239"/>
      <c r="G33" s="239"/>
      <c r="H33" s="239"/>
      <c r="I33" s="239"/>
      <c r="J33" s="239"/>
      <c r="K33" s="239"/>
    </row>
    <row r="34" spans="1:11" x14ac:dyDescent="0.2">
      <c r="A34" s="274"/>
      <c r="B34" s="274"/>
      <c r="C34" s="12"/>
      <c r="D34" s="12"/>
      <c r="E34" s="12"/>
      <c r="F34" s="12"/>
      <c r="G34" s="12"/>
    </row>
    <row r="35" spans="1:11" ht="24.95" customHeight="1" x14ac:dyDescent="0.2">
      <c r="A35" s="302" t="s">
        <v>31</v>
      </c>
      <c r="B35" s="294" t="s">
        <v>43</v>
      </c>
      <c r="C35" s="295"/>
      <c r="D35" s="295"/>
      <c r="E35" s="296"/>
      <c r="F35" s="302" t="s">
        <v>499</v>
      </c>
      <c r="G35" s="300" t="s">
        <v>44</v>
      </c>
      <c r="H35" s="301"/>
      <c r="I35" s="302" t="s">
        <v>45</v>
      </c>
      <c r="J35" s="304" t="s">
        <v>500</v>
      </c>
      <c r="K35" s="305"/>
    </row>
    <row r="36" spans="1:11" ht="24.95" customHeight="1" x14ac:dyDescent="0.2">
      <c r="A36" s="303"/>
      <c r="B36" s="297"/>
      <c r="C36" s="298"/>
      <c r="D36" s="298"/>
      <c r="E36" s="299"/>
      <c r="F36" s="303"/>
      <c r="G36" s="142" t="s">
        <v>46</v>
      </c>
      <c r="H36" s="142" t="s">
        <v>47</v>
      </c>
      <c r="I36" s="303"/>
      <c r="J36" s="306"/>
      <c r="K36" s="307"/>
    </row>
    <row r="37" spans="1:11" ht="23.1" customHeight="1" x14ac:dyDescent="0.2">
      <c r="A37" s="142">
        <v>1</v>
      </c>
      <c r="B37" s="287" t="s">
        <v>258</v>
      </c>
      <c r="C37" s="288"/>
      <c r="D37" s="288"/>
      <c r="E37" s="289"/>
      <c r="F37" s="142" t="s">
        <v>259</v>
      </c>
      <c r="G37" s="142" t="s">
        <v>264</v>
      </c>
      <c r="H37" s="142" t="s">
        <v>48</v>
      </c>
      <c r="I37" s="158">
        <f>Оборудование!I4</f>
        <v>46850</v>
      </c>
      <c r="J37" s="290" t="str">
        <f>Оборудование!J4</f>
        <v>С-ТТ/08-04-2026/517582908</v>
      </c>
      <c r="K37" s="291"/>
    </row>
    <row r="38" spans="1:11" ht="23.1" customHeight="1" x14ac:dyDescent="0.2">
      <c r="A38" s="142">
        <v>2</v>
      </c>
      <c r="B38" s="287" t="s">
        <v>260</v>
      </c>
      <c r="C38" s="288"/>
      <c r="D38" s="288"/>
      <c r="E38" s="289"/>
      <c r="F38" s="142">
        <v>134</v>
      </c>
      <c r="G38" s="142" t="s">
        <v>265</v>
      </c>
      <c r="H38" s="142">
        <v>0.1</v>
      </c>
      <c r="I38" s="158">
        <f>Оборудование!I3</f>
        <v>47945</v>
      </c>
      <c r="J38" s="292" t="str">
        <f>Оборудование!J3</f>
        <v>С-ТТ/08-04-2026/517582895</v>
      </c>
      <c r="K38" s="293"/>
    </row>
    <row r="39" spans="1:11" ht="23.1" customHeight="1" x14ac:dyDescent="0.2">
      <c r="A39" s="142">
        <v>3</v>
      </c>
      <c r="B39" s="287" t="s">
        <v>261</v>
      </c>
      <c r="C39" s="288"/>
      <c r="D39" s="288"/>
      <c r="E39" s="289"/>
      <c r="F39" s="142">
        <v>15036</v>
      </c>
      <c r="G39" s="142" t="s">
        <v>262</v>
      </c>
      <c r="H39" s="142">
        <v>2</v>
      </c>
      <c r="I39" s="158">
        <f>Оборудование!I12</f>
        <v>46175</v>
      </c>
      <c r="J39" s="292" t="str">
        <f>Оборудование!J12</f>
        <v>С-ТТ/02-06-2025/436900431</v>
      </c>
      <c r="K39" s="293"/>
    </row>
    <row r="40" spans="1:11" ht="23.1" customHeight="1" x14ac:dyDescent="0.2">
      <c r="A40" s="142">
        <v>4</v>
      </c>
      <c r="B40" s="287" t="s">
        <v>263</v>
      </c>
      <c r="C40" s="288"/>
      <c r="D40" s="288"/>
      <c r="E40" s="289"/>
      <c r="F40" s="142">
        <v>3141</v>
      </c>
      <c r="G40" s="142" t="s">
        <v>266</v>
      </c>
      <c r="H40" s="142">
        <v>3</v>
      </c>
      <c r="I40" s="158">
        <f>Оборудование!I13</f>
        <v>46850</v>
      </c>
      <c r="J40" s="292" t="str">
        <f>Оборудование!J13</f>
        <v>С-ТТ/08-04-2026/517582910</v>
      </c>
      <c r="K40" s="293"/>
    </row>
    <row r="41" spans="1:11" ht="26.1" customHeight="1" x14ac:dyDescent="0.2">
      <c r="A41" s="236" t="s">
        <v>541</v>
      </c>
      <c r="B41" s="239"/>
      <c r="C41" s="239"/>
      <c r="D41" s="239"/>
      <c r="E41" s="239"/>
      <c r="F41" s="239"/>
      <c r="G41" s="239"/>
      <c r="H41" s="239"/>
      <c r="I41" s="239"/>
      <c r="J41" s="239"/>
      <c r="K41" s="239"/>
    </row>
    <row r="43" spans="1:11" ht="30" customHeight="1" x14ac:dyDescent="0.2">
      <c r="A43" s="245" t="s">
        <v>207</v>
      </c>
      <c r="B43" s="245"/>
      <c r="C43" s="247" t="str">
        <f>'Данные объект'!$B$64</f>
        <v>Зам. руководителя ЭИЛ</v>
      </c>
      <c r="D43" s="247"/>
      <c r="E43" s="247"/>
      <c r="F43" s="140"/>
      <c r="G43" s="6"/>
      <c r="H43" s="140"/>
      <c r="I43" s="247" t="str">
        <f>'Данные объект'!$B$65</f>
        <v>Фечин А.А.</v>
      </c>
      <c r="J43" s="247"/>
      <c r="K43" s="140"/>
    </row>
    <row r="44" spans="1:11" ht="9" customHeight="1" x14ac:dyDescent="0.2">
      <c r="A44" s="32" t="s">
        <v>210</v>
      </c>
      <c r="B44" s="140"/>
      <c r="C44" s="248" t="s">
        <v>208</v>
      </c>
      <c r="D44" s="248"/>
      <c r="E44" s="248"/>
      <c r="F44" s="33"/>
      <c r="G44" s="34" t="s">
        <v>209</v>
      </c>
      <c r="H44" s="33"/>
      <c r="I44" s="248" t="s">
        <v>211</v>
      </c>
      <c r="J44" s="248"/>
      <c r="K44" s="140"/>
    </row>
    <row r="45" spans="1:11" ht="9.9499999999999993" customHeight="1" x14ac:dyDescent="0.2">
      <c r="A45" s="245" t="s">
        <v>49</v>
      </c>
      <c r="B45" s="239"/>
      <c r="C45" s="239"/>
      <c r="D45" s="239"/>
      <c r="E45" s="239"/>
      <c r="F45" s="239"/>
      <c r="G45" s="239"/>
      <c r="H45" s="239"/>
      <c r="I45" s="239"/>
      <c r="J45" s="239"/>
      <c r="K45" s="239"/>
    </row>
    <row r="46" spans="1:11" ht="20.100000000000001" customHeight="1" x14ac:dyDescent="0.2">
      <c r="A46" s="245" t="s">
        <v>50</v>
      </c>
      <c r="B46" s="245"/>
      <c r="C46" s="245"/>
      <c r="D46" s="245"/>
      <c r="E46" s="245"/>
      <c r="F46" s="245"/>
      <c r="G46" s="245"/>
      <c r="H46" s="245"/>
      <c r="I46" s="245"/>
      <c r="J46" s="245"/>
      <c r="K46" s="245"/>
    </row>
    <row r="47" spans="1:11" ht="30" customHeight="1" x14ac:dyDescent="0.2">
      <c r="A47" s="245"/>
      <c r="B47" s="245"/>
      <c r="C47" s="247" t="str">
        <f>'Данные объект'!$B$66</f>
        <v>Инженер ЭИЛ</v>
      </c>
      <c r="D47" s="247"/>
      <c r="E47" s="247"/>
      <c r="F47" s="140"/>
      <c r="G47" s="6"/>
      <c r="H47" s="140"/>
      <c r="I47" s="247" t="str">
        <f>'Данные объект'!$B$67</f>
        <v>Косырин А.Н.</v>
      </c>
      <c r="J47" s="247"/>
      <c r="K47" s="140"/>
    </row>
    <row r="48" spans="1:11" ht="9" customHeight="1" x14ac:dyDescent="0.2">
      <c r="A48" s="32" t="s">
        <v>210</v>
      </c>
      <c r="B48" s="140"/>
      <c r="C48" s="248" t="s">
        <v>208</v>
      </c>
      <c r="D48" s="248"/>
      <c r="E48" s="248"/>
      <c r="F48" s="33"/>
      <c r="G48" s="34" t="s">
        <v>209</v>
      </c>
      <c r="H48" s="33"/>
      <c r="I48" s="248" t="s">
        <v>211</v>
      </c>
      <c r="J48" s="248"/>
      <c r="K48" s="140"/>
    </row>
    <row r="49" spans="1:11" x14ac:dyDescent="0.2">
      <c r="A49" s="140"/>
      <c r="B49" s="140"/>
      <c r="C49" s="140"/>
      <c r="D49" s="140"/>
      <c r="E49" s="140"/>
      <c r="F49" s="140"/>
      <c r="G49" s="140"/>
      <c r="H49" s="140"/>
      <c r="I49" s="140"/>
      <c r="J49" s="140"/>
      <c r="K49" s="140"/>
    </row>
    <row r="50" spans="1:11" ht="30" customHeight="1" x14ac:dyDescent="0.2">
      <c r="A50" s="245" t="s">
        <v>212</v>
      </c>
      <c r="B50" s="245"/>
      <c r="C50" s="247" t="str">
        <f>'Данные объект'!$B$61</f>
        <v xml:space="preserve">Руководитель ЭИЛ </v>
      </c>
      <c r="D50" s="247"/>
      <c r="E50" s="247"/>
      <c r="F50" s="140"/>
      <c r="G50" s="6"/>
      <c r="H50" s="140"/>
      <c r="I50" s="247" t="str">
        <f>'Данные объект'!$B$62</f>
        <v xml:space="preserve"> Щербаков А.А.</v>
      </c>
      <c r="J50" s="247"/>
      <c r="K50" s="140"/>
    </row>
    <row r="51" spans="1:11" ht="9" customHeight="1" x14ac:dyDescent="0.2">
      <c r="A51" s="32" t="s">
        <v>210</v>
      </c>
      <c r="B51" s="140"/>
      <c r="C51" s="248" t="s">
        <v>208</v>
      </c>
      <c r="D51" s="248"/>
      <c r="E51" s="248"/>
      <c r="F51" s="33"/>
      <c r="G51" s="34" t="s">
        <v>209</v>
      </c>
      <c r="H51" s="33"/>
      <c r="I51" s="248" t="s">
        <v>211</v>
      </c>
      <c r="J51" s="248"/>
      <c r="K51" s="140"/>
    </row>
  </sheetData>
  <mergeCells count="77">
    <mergeCell ref="A50:B50"/>
    <mergeCell ref="C50:E50"/>
    <mergeCell ref="I50:J50"/>
    <mergeCell ref="C51:E51"/>
    <mergeCell ref="I51:J51"/>
    <mergeCell ref="B40:E40"/>
    <mergeCell ref="J40:K40"/>
    <mergeCell ref="A43:B43"/>
    <mergeCell ref="C43:E43"/>
    <mergeCell ref="I43:J43"/>
    <mergeCell ref="A41:K41"/>
    <mergeCell ref="A1:D1"/>
    <mergeCell ref="H1:K1"/>
    <mergeCell ref="A2:D3"/>
    <mergeCell ref="H2:K2"/>
    <mergeCell ref="H3:K3"/>
    <mergeCell ref="A14:C14"/>
    <mergeCell ref="D14:G14"/>
    <mergeCell ref="B5:C5"/>
    <mergeCell ref="A8:K8"/>
    <mergeCell ref="J5:K5"/>
    <mergeCell ref="A10:G10"/>
    <mergeCell ref="A11:G11"/>
    <mergeCell ref="B12:G12"/>
    <mergeCell ref="A13:C13"/>
    <mergeCell ref="D13:G13"/>
    <mergeCell ref="A15:E15"/>
    <mergeCell ref="F15:G15"/>
    <mergeCell ref="A16:E16"/>
    <mergeCell ref="F16:G16"/>
    <mergeCell ref="A17:B17"/>
    <mergeCell ref="C17:G17"/>
    <mergeCell ref="A31:K31"/>
    <mergeCell ref="A18:D18"/>
    <mergeCell ref="E18:G18"/>
    <mergeCell ref="A19:F19"/>
    <mergeCell ref="A21:A22"/>
    <mergeCell ref="A27:K27"/>
    <mergeCell ref="F21:H21"/>
    <mergeCell ref="E21:E22"/>
    <mergeCell ref="B21:D22"/>
    <mergeCell ref="B23:D23"/>
    <mergeCell ref="B24:D24"/>
    <mergeCell ref="B25:D25"/>
    <mergeCell ref="B26:D26"/>
    <mergeCell ref="C47:E47"/>
    <mergeCell ref="I47:J47"/>
    <mergeCell ref="A33:K33"/>
    <mergeCell ref="A34:B34"/>
    <mergeCell ref="A35:A36"/>
    <mergeCell ref="F35:F36"/>
    <mergeCell ref="B35:E36"/>
    <mergeCell ref="G35:H35"/>
    <mergeCell ref="I35:I36"/>
    <mergeCell ref="J35:K36"/>
    <mergeCell ref="B37:E37"/>
    <mergeCell ref="J37:K37"/>
    <mergeCell ref="B38:E38"/>
    <mergeCell ref="J38:K38"/>
    <mergeCell ref="B39:E39"/>
    <mergeCell ref="J39:K39"/>
    <mergeCell ref="C48:E48"/>
    <mergeCell ref="I48:J48"/>
    <mergeCell ref="B6:C6"/>
    <mergeCell ref="J6:K6"/>
    <mergeCell ref="A7:K7"/>
    <mergeCell ref="J23:K23"/>
    <mergeCell ref="J24:K24"/>
    <mergeCell ref="J25:K25"/>
    <mergeCell ref="J26:K26"/>
    <mergeCell ref="J21:K22"/>
    <mergeCell ref="I21:I22"/>
    <mergeCell ref="A45:K45"/>
    <mergeCell ref="A46:K46"/>
    <mergeCell ref="C44:E44"/>
    <mergeCell ref="I44:J44"/>
    <mergeCell ref="A47:B47"/>
  </mergeCells>
  <phoneticPr fontId="31" type="noConversion"/>
  <pageMargins left="0.79" right="0.28999999999999998" top="0.79" bottom="0.79" header="0.49" footer="0.49"/>
  <pageSetup paperSize="9" scale="88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4"/>
  <sheetViews>
    <sheetView view="pageBreakPreview" topLeftCell="A10" zoomScale="90" zoomScaleNormal="100" zoomScaleSheetLayoutView="90" workbookViewId="0">
      <selection activeCell="C21" sqref="C21"/>
    </sheetView>
  </sheetViews>
  <sheetFormatPr defaultRowHeight="15" x14ac:dyDescent="0.25"/>
  <cols>
    <col min="1" max="1" width="5.28515625" bestFit="1" customWidth="1"/>
    <col min="2" max="2" width="28.140625" customWidth="1"/>
    <col min="3" max="3" width="5.85546875" bestFit="1" customWidth="1"/>
    <col min="4" max="4" width="10.140625" bestFit="1" customWidth="1"/>
    <col min="5" max="5" width="14.7109375" bestFit="1" customWidth="1"/>
    <col min="6" max="6" width="9.7109375" bestFit="1" customWidth="1"/>
    <col min="7" max="7" width="7.85546875" customWidth="1"/>
    <col min="8" max="8" width="7.7109375" customWidth="1"/>
    <col min="9" max="9" width="9.7109375" customWidth="1"/>
    <col min="10" max="15" width="6.85546875" bestFit="1" customWidth="1"/>
    <col min="16" max="16" width="9.7109375" bestFit="1" customWidth="1"/>
  </cols>
  <sheetData>
    <row r="1" spans="1:16" s="3" customFormat="1" ht="18.600000000000001" customHeight="1" x14ac:dyDescent="0.2">
      <c r="A1" s="262" t="str">
        <f>'Данные объект'!B58</f>
        <v xml:space="preserve"> ООО «Энергосистемы»</v>
      </c>
      <c r="B1" s="262"/>
      <c r="C1" s="262"/>
      <c r="D1" s="262"/>
      <c r="G1" s="4" t="s">
        <v>11</v>
      </c>
      <c r="H1" s="259" t="str">
        <f>'Данные объект'!B34</f>
        <v>ПАО "Россети Московский регион"</v>
      </c>
      <c r="I1" s="259"/>
      <c r="J1" s="259"/>
      <c r="K1" s="259"/>
    </row>
    <row r="2" spans="1:16" s="3" customFormat="1" ht="36" customHeight="1" x14ac:dyDescent="0.2">
      <c r="A2" s="262" t="str">
        <f>'Данные объект'!C58</f>
        <v>Испытательная электролаборатория 141508, Московская область, г.о. Солнечногорск, г. Солнечногорск, ул. Промышленная, стр. 5, помещение 179, Свидетельсто о регистрации №5.3-6420 от 15 мая 2024г</v>
      </c>
      <c r="B2" s="262"/>
      <c r="C2" s="262"/>
      <c r="D2" s="262"/>
      <c r="G2" s="4" t="s">
        <v>12</v>
      </c>
      <c r="H2" s="260" t="str">
        <f>CONCATENATE('Данные объект'!$B$17, " ",'Данные объект'!$B$18)</f>
        <v>ВЛ от ТП ф. ВЛ от ТП ф.</v>
      </c>
      <c r="I2" s="260"/>
      <c r="J2" s="260"/>
      <c r="K2" s="260"/>
    </row>
    <row r="3" spans="1:16" s="3" customFormat="1" ht="31.15" customHeight="1" x14ac:dyDescent="0.2">
      <c r="A3" s="262"/>
      <c r="B3" s="262"/>
      <c r="C3" s="262"/>
      <c r="D3" s="262"/>
      <c r="G3" s="4" t="s">
        <v>13</v>
      </c>
      <c r="H3" s="261" t="str">
        <f>'Данные объект'!B5</f>
        <v>Лобня г, Шереметьевское ш, дом 10</v>
      </c>
      <c r="I3" s="261"/>
      <c r="J3" s="261"/>
      <c r="K3" s="261"/>
    </row>
    <row r="4" spans="1:16" s="3" customFormat="1" ht="15" customHeight="1" x14ac:dyDescent="0.2">
      <c r="A4" s="29"/>
      <c r="B4" s="29"/>
      <c r="C4" s="29"/>
      <c r="D4" s="29"/>
      <c r="G4" s="4"/>
      <c r="H4" s="4"/>
      <c r="I4" s="4"/>
      <c r="J4" s="4"/>
      <c r="K4" s="4"/>
    </row>
    <row r="5" spans="1:16" s="3" customFormat="1" ht="11.25" x14ac:dyDescent="0.2">
      <c r="A5" s="5"/>
      <c r="B5" s="249"/>
      <c r="C5" s="249"/>
      <c r="J5" s="249" t="s">
        <v>14</v>
      </c>
      <c r="K5" s="249"/>
    </row>
    <row r="6" spans="1:16" s="3" customFormat="1" ht="10.15" customHeight="1" x14ac:dyDescent="0.2">
      <c r="A6" s="5"/>
      <c r="B6" s="250"/>
      <c r="C6" s="250"/>
      <c r="J6" s="263" t="str">
        <f>'Данные объект'!B8</f>
        <v>25.06.2025</v>
      </c>
      <c r="K6" s="263"/>
    </row>
    <row r="9" spans="1:16" ht="15.95" customHeight="1" x14ac:dyDescent="0.25">
      <c r="A9" s="280" t="s">
        <v>496</v>
      </c>
      <c r="B9" s="281"/>
      <c r="C9" s="281"/>
      <c r="D9" s="281"/>
      <c r="E9" s="281"/>
      <c r="F9" s="281"/>
      <c r="G9" s="281"/>
      <c r="H9" s="281"/>
      <c r="I9" s="281"/>
      <c r="J9" s="281"/>
      <c r="K9" s="281"/>
      <c r="L9" s="281"/>
      <c r="M9" s="281"/>
      <c r="N9" s="281"/>
      <c r="O9" s="281"/>
      <c r="P9" s="281"/>
    </row>
    <row r="10" spans="1:16" ht="15.95" customHeight="1" x14ac:dyDescent="0.25">
      <c r="A10" s="278" t="s">
        <v>304</v>
      </c>
      <c r="B10" s="281"/>
      <c r="C10" s="281"/>
      <c r="D10" s="281"/>
      <c r="E10" s="281"/>
      <c r="F10" s="281"/>
      <c r="G10" s="281"/>
      <c r="H10" s="281"/>
      <c r="I10" s="281"/>
      <c r="J10" s="281"/>
      <c r="K10" s="281"/>
      <c r="L10" s="281"/>
      <c r="M10" s="281"/>
      <c r="N10" s="281"/>
      <c r="O10" s="281"/>
      <c r="P10" s="281"/>
    </row>
    <row r="11" spans="1:16" ht="12.95" customHeight="1" x14ac:dyDescent="0.25">
      <c r="A11" s="236" t="s">
        <v>281</v>
      </c>
      <c r="B11" s="311"/>
      <c r="C11" s="311"/>
      <c r="D11" s="311"/>
      <c r="E11" s="311"/>
      <c r="F11" s="311"/>
      <c r="G11" s="311"/>
      <c r="H11" s="311"/>
      <c r="I11" s="311"/>
      <c r="J11" s="311"/>
      <c r="K11" s="311"/>
      <c r="L11" s="311"/>
      <c r="M11" s="311"/>
      <c r="N11" s="311"/>
      <c r="O11" s="311"/>
      <c r="P11" s="311"/>
    </row>
    <row r="12" spans="1:16" x14ac:dyDescent="0.25">
      <c r="A12" s="312" t="s">
        <v>305</v>
      </c>
      <c r="B12" s="313" t="s">
        <v>306</v>
      </c>
      <c r="C12" s="314" t="s">
        <v>542</v>
      </c>
      <c r="D12" s="313" t="s">
        <v>307</v>
      </c>
      <c r="E12" s="314" t="s">
        <v>544</v>
      </c>
      <c r="F12" s="314" t="s">
        <v>543</v>
      </c>
      <c r="G12" s="313"/>
      <c r="H12" s="313"/>
      <c r="I12" s="313"/>
      <c r="J12" s="313"/>
      <c r="K12" s="313"/>
      <c r="L12" s="313"/>
      <c r="M12" s="313"/>
      <c r="N12" s="313"/>
      <c r="O12" s="313"/>
      <c r="P12" s="315" t="s">
        <v>55</v>
      </c>
    </row>
    <row r="13" spans="1:16" ht="42.75" customHeight="1" thickTop="1" x14ac:dyDescent="0.25">
      <c r="A13" s="312"/>
      <c r="B13" s="313"/>
      <c r="C13" s="313"/>
      <c r="D13" s="313"/>
      <c r="E13" s="313"/>
      <c r="F13" s="141" t="s">
        <v>308</v>
      </c>
      <c r="G13" s="141" t="s">
        <v>309</v>
      </c>
      <c r="H13" s="141" t="s">
        <v>310</v>
      </c>
      <c r="I13" s="141" t="s">
        <v>311</v>
      </c>
      <c r="J13" s="141" t="s">
        <v>312</v>
      </c>
      <c r="K13" s="141" t="s">
        <v>313</v>
      </c>
      <c r="L13" s="141" t="s">
        <v>314</v>
      </c>
      <c r="M13" s="146" t="s">
        <v>547</v>
      </c>
      <c r="N13" s="146" t="s">
        <v>546</v>
      </c>
      <c r="O13" s="146" t="s">
        <v>545</v>
      </c>
      <c r="P13" s="316"/>
    </row>
    <row r="14" spans="1:16" ht="15.75" thickBot="1" x14ac:dyDescent="0.3">
      <c r="A14" s="13">
        <v>1</v>
      </c>
      <c r="B14" s="61">
        <v>2</v>
      </c>
      <c r="C14" s="61">
        <v>3</v>
      </c>
      <c r="D14" s="61">
        <v>4</v>
      </c>
      <c r="E14" s="61">
        <v>5</v>
      </c>
      <c r="F14" s="61">
        <v>6</v>
      </c>
      <c r="G14" s="61">
        <v>7</v>
      </c>
      <c r="H14" s="61">
        <v>8</v>
      </c>
      <c r="I14" s="61">
        <v>9</v>
      </c>
      <c r="J14" s="61">
        <v>10</v>
      </c>
      <c r="K14" s="61">
        <v>11</v>
      </c>
      <c r="L14" s="61">
        <v>12</v>
      </c>
      <c r="M14" s="61">
        <v>13</v>
      </c>
      <c r="N14" s="61">
        <v>14</v>
      </c>
      <c r="O14" s="61">
        <v>15</v>
      </c>
      <c r="P14" s="62">
        <v>16</v>
      </c>
    </row>
    <row r="15" spans="1:16" s="127" customFormat="1" ht="24" thickTop="1" thickBot="1" x14ac:dyDescent="0.3">
      <c r="A15" s="126">
        <v>1</v>
      </c>
      <c r="B15" s="161" t="s">
        <v>477</v>
      </c>
      <c r="C15" s="162">
        <v>0.4</v>
      </c>
      <c r="D15" s="162" t="s">
        <v>474</v>
      </c>
      <c r="E15" s="162" t="s">
        <v>475</v>
      </c>
      <c r="F15" s="64" t="s">
        <v>316</v>
      </c>
      <c r="G15" s="64" t="s">
        <v>316</v>
      </c>
      <c r="H15" s="64" t="s">
        <v>316</v>
      </c>
      <c r="I15" s="64" t="s">
        <v>316</v>
      </c>
      <c r="J15" s="64" t="s">
        <v>316</v>
      </c>
      <c r="K15" s="64" t="s">
        <v>316</v>
      </c>
      <c r="L15" s="64" t="s">
        <v>275</v>
      </c>
      <c r="M15" s="64" t="s">
        <v>275</v>
      </c>
      <c r="N15" s="64" t="s">
        <v>275</v>
      </c>
      <c r="O15" s="64" t="s">
        <v>275</v>
      </c>
      <c r="P15" s="65" t="s">
        <v>317</v>
      </c>
    </row>
    <row r="16" spans="1:16" s="127" customFormat="1" ht="24" thickTop="1" thickBot="1" x14ac:dyDescent="0.3">
      <c r="A16" s="126">
        <v>2</v>
      </c>
      <c r="B16" s="161" t="s">
        <v>566</v>
      </c>
      <c r="C16" s="162">
        <v>0.4</v>
      </c>
      <c r="D16" s="162" t="s">
        <v>564</v>
      </c>
      <c r="E16" s="162" t="s">
        <v>565</v>
      </c>
      <c r="F16" s="64" t="s">
        <v>316</v>
      </c>
      <c r="G16" s="64" t="s">
        <v>316</v>
      </c>
      <c r="H16" s="64" t="s">
        <v>316</v>
      </c>
      <c r="I16" s="64" t="s">
        <v>316</v>
      </c>
      <c r="J16" s="64" t="s">
        <v>316</v>
      </c>
      <c r="K16" s="64" t="s">
        <v>316</v>
      </c>
      <c r="L16" s="64" t="s">
        <v>275</v>
      </c>
      <c r="M16" s="64" t="s">
        <v>275</v>
      </c>
      <c r="N16" s="64" t="s">
        <v>275</v>
      </c>
      <c r="O16" s="64" t="s">
        <v>275</v>
      </c>
      <c r="P16" s="65" t="s">
        <v>317</v>
      </c>
    </row>
    <row r="17" spans="1:16" s="127" customFormat="1" ht="24" thickTop="1" thickBot="1" x14ac:dyDescent="0.3">
      <c r="A17" s="63">
        <v>3</v>
      </c>
      <c r="B17" s="163" t="s">
        <v>478</v>
      </c>
      <c r="C17" s="164">
        <v>10</v>
      </c>
      <c r="D17" s="165" t="s">
        <v>476</v>
      </c>
      <c r="E17" s="164" t="s">
        <v>315</v>
      </c>
      <c r="F17" s="64" t="s">
        <v>316</v>
      </c>
      <c r="G17" s="64" t="s">
        <v>316</v>
      </c>
      <c r="H17" s="64" t="s">
        <v>316</v>
      </c>
      <c r="I17" s="64" t="s">
        <v>316</v>
      </c>
      <c r="J17" s="64" t="s">
        <v>316</v>
      </c>
      <c r="K17" s="64" t="s">
        <v>316</v>
      </c>
      <c r="L17" s="64" t="s">
        <v>275</v>
      </c>
      <c r="M17" s="64" t="s">
        <v>275</v>
      </c>
      <c r="N17" s="64" t="s">
        <v>275</v>
      </c>
      <c r="O17" s="64" t="s">
        <v>275</v>
      </c>
      <c r="P17" s="65" t="s">
        <v>317</v>
      </c>
    </row>
    <row r="18" spans="1:16" ht="12.95" customHeight="1" thickTop="1" x14ac:dyDescent="0.25">
      <c r="A18" s="245" t="s">
        <v>318</v>
      </c>
      <c r="B18" s="311"/>
      <c r="C18" s="311"/>
      <c r="D18" s="311"/>
      <c r="E18" s="311"/>
      <c r="F18" s="311"/>
      <c r="G18" s="311"/>
      <c r="H18" s="311"/>
      <c r="I18" s="311"/>
      <c r="J18" s="311"/>
      <c r="K18" s="311"/>
      <c r="L18" s="311"/>
      <c r="M18" s="311"/>
      <c r="N18" s="311"/>
      <c r="O18" s="311"/>
      <c r="P18" s="311"/>
    </row>
    <row r="19" spans="1:16" ht="12.95" customHeight="1" x14ac:dyDescent="0.25">
      <c r="A19" s="236" t="s">
        <v>319</v>
      </c>
      <c r="B19" s="311"/>
      <c r="C19" s="311"/>
      <c r="D19" s="311"/>
      <c r="E19" s="311"/>
      <c r="F19" s="311"/>
      <c r="G19" s="311"/>
      <c r="H19" s="311"/>
      <c r="I19" s="311"/>
      <c r="J19" s="311"/>
      <c r="K19" s="311"/>
      <c r="L19" s="311"/>
      <c r="M19" s="311"/>
      <c r="N19" s="311"/>
      <c r="O19" s="311"/>
      <c r="P19" s="311"/>
    </row>
    <row r="20" spans="1:16" s="3" customFormat="1" ht="13.15" customHeight="1" x14ac:dyDescent="0.2">
      <c r="A20" s="67" t="s">
        <v>337</v>
      </c>
      <c r="C20" s="392">
        <f>прот.№1!C26</f>
        <v>15</v>
      </c>
      <c r="D20" s="3" t="s">
        <v>328</v>
      </c>
    </row>
    <row r="21" spans="1:16" s="3" customFormat="1" ht="12.95" customHeight="1" x14ac:dyDescent="0.2">
      <c r="A21" s="32" t="s">
        <v>338</v>
      </c>
      <c r="C21" s="392">
        <f>прот.№1!C27</f>
        <v>70</v>
      </c>
      <c r="D21" s="3" t="s">
        <v>330</v>
      </c>
    </row>
    <row r="22" spans="1:16" s="3" customFormat="1" ht="12.95" customHeight="1" x14ac:dyDescent="0.2">
      <c r="A22" s="66" t="s">
        <v>339</v>
      </c>
      <c r="C22" s="392" t="str">
        <f>прот.№1!C28</f>
        <v>745</v>
      </c>
      <c r="D22" s="3" t="s">
        <v>332</v>
      </c>
    </row>
    <row r="23" spans="1:16" ht="12.95" customHeight="1" x14ac:dyDescent="0.25">
      <c r="A23" s="236" t="s">
        <v>320</v>
      </c>
      <c r="B23" s="311"/>
      <c r="C23" s="311"/>
      <c r="D23" s="311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</row>
    <row r="24" spans="1:16" ht="12.95" customHeight="1" x14ac:dyDescent="0.25">
      <c r="A24" s="236" t="s">
        <v>268</v>
      </c>
      <c r="B24" s="311"/>
      <c r="C24" s="311"/>
      <c r="D24" s="311"/>
      <c r="E24" s="311"/>
      <c r="F24" s="311"/>
      <c r="G24" s="311"/>
      <c r="H24" s="311"/>
      <c r="I24" s="311"/>
      <c r="J24" s="311"/>
      <c r="K24" s="311"/>
      <c r="L24" s="311"/>
      <c r="M24" s="311"/>
      <c r="N24" s="311"/>
      <c r="O24" s="311"/>
      <c r="P24" s="311"/>
    </row>
    <row r="25" spans="1:16" ht="15.75" x14ac:dyDescent="0.25">
      <c r="A25" s="317"/>
      <c r="B25" s="317"/>
      <c r="C25" s="2"/>
      <c r="D25" s="2"/>
      <c r="E25" s="2"/>
      <c r="F25" s="2"/>
      <c r="G25" s="2"/>
    </row>
    <row r="26" spans="1:16" s="3" customFormat="1" ht="24.95" customHeight="1" x14ac:dyDescent="0.2">
      <c r="A26" s="302" t="s">
        <v>31</v>
      </c>
      <c r="B26" s="294" t="s">
        <v>43</v>
      </c>
      <c r="C26" s="295"/>
      <c r="D26" s="295"/>
      <c r="E26" s="296"/>
      <c r="F26" s="302" t="s">
        <v>499</v>
      </c>
      <c r="G26" s="300" t="s">
        <v>44</v>
      </c>
      <c r="H26" s="301"/>
      <c r="I26" s="302" t="s">
        <v>45</v>
      </c>
      <c r="J26" s="304" t="s">
        <v>500</v>
      </c>
      <c r="K26" s="305"/>
    </row>
    <row r="27" spans="1:16" s="3" customFormat="1" ht="24.95" customHeight="1" x14ac:dyDescent="0.2">
      <c r="A27" s="303"/>
      <c r="B27" s="297"/>
      <c r="C27" s="298"/>
      <c r="D27" s="298"/>
      <c r="E27" s="299"/>
      <c r="F27" s="303"/>
      <c r="G27" s="142" t="s">
        <v>46</v>
      </c>
      <c r="H27" s="142" t="s">
        <v>47</v>
      </c>
      <c r="I27" s="303"/>
      <c r="J27" s="306"/>
      <c r="K27" s="307"/>
    </row>
    <row r="28" spans="1:16" s="3" customFormat="1" ht="23.1" customHeight="1" x14ac:dyDescent="0.2">
      <c r="A28" s="142">
        <v>1</v>
      </c>
      <c r="B28" s="287" t="s">
        <v>258</v>
      </c>
      <c r="C28" s="288"/>
      <c r="D28" s="288"/>
      <c r="E28" s="289"/>
      <c r="F28" s="142" t="s">
        <v>259</v>
      </c>
      <c r="G28" s="142" t="s">
        <v>264</v>
      </c>
      <c r="H28" s="142" t="s">
        <v>48</v>
      </c>
      <c r="I28" s="158">
        <f>Оборудование!I4</f>
        <v>46850</v>
      </c>
      <c r="J28" s="290" t="str">
        <f>Оборудование!J4</f>
        <v>С-ТТ/08-04-2026/517582908</v>
      </c>
      <c r="K28" s="291"/>
    </row>
    <row r="29" spans="1:16" s="3" customFormat="1" ht="23.1" customHeight="1" x14ac:dyDescent="0.2">
      <c r="A29" s="142">
        <v>2</v>
      </c>
      <c r="B29" s="287" t="s">
        <v>260</v>
      </c>
      <c r="C29" s="288"/>
      <c r="D29" s="288"/>
      <c r="E29" s="289"/>
      <c r="F29" s="142">
        <v>134</v>
      </c>
      <c r="G29" s="142" t="s">
        <v>265</v>
      </c>
      <c r="H29" s="142">
        <v>0.1</v>
      </c>
      <c r="I29" s="158">
        <f>Оборудование!I3</f>
        <v>47945</v>
      </c>
      <c r="J29" s="292" t="str">
        <f>Оборудование!J3</f>
        <v>С-ТТ/08-04-2026/517582895</v>
      </c>
      <c r="K29" s="293"/>
    </row>
    <row r="30" spans="1:16" s="3" customFormat="1" ht="23.1" customHeight="1" x14ac:dyDescent="0.2">
      <c r="A30" s="142">
        <v>3</v>
      </c>
      <c r="B30" s="287" t="s">
        <v>261</v>
      </c>
      <c r="C30" s="288"/>
      <c r="D30" s="288"/>
      <c r="E30" s="289"/>
      <c r="F30" s="142">
        <v>15036</v>
      </c>
      <c r="G30" s="142" t="s">
        <v>262</v>
      </c>
      <c r="H30" s="142">
        <v>2</v>
      </c>
      <c r="I30" s="158">
        <f>Оборудование!I12</f>
        <v>46175</v>
      </c>
      <c r="J30" s="292" t="str">
        <f>Оборудование!J12</f>
        <v>С-ТТ/02-06-2025/436900431</v>
      </c>
      <c r="K30" s="293"/>
    </row>
    <row r="31" spans="1:16" s="3" customFormat="1" ht="23.1" customHeight="1" x14ac:dyDescent="0.2">
      <c r="A31" s="142">
        <v>4</v>
      </c>
      <c r="B31" s="287" t="s">
        <v>263</v>
      </c>
      <c r="C31" s="288"/>
      <c r="D31" s="288"/>
      <c r="E31" s="289"/>
      <c r="F31" s="142">
        <v>3141</v>
      </c>
      <c r="G31" s="142" t="s">
        <v>266</v>
      </c>
      <c r="H31" s="142">
        <v>3</v>
      </c>
      <c r="I31" s="158">
        <f>Оборудование!I13</f>
        <v>46850</v>
      </c>
      <c r="J31" s="292" t="str">
        <f>Оборудование!J13</f>
        <v>С-ТТ/08-04-2026/517582910</v>
      </c>
      <c r="K31" s="293"/>
    </row>
    <row r="32" spans="1:16" ht="12.95" customHeight="1" x14ac:dyDescent="0.25">
      <c r="A32" s="318" t="s">
        <v>0</v>
      </c>
      <c r="B32" s="319"/>
      <c r="C32" s="319"/>
      <c r="D32" s="319"/>
      <c r="E32" s="319"/>
      <c r="F32" s="319"/>
      <c r="G32" s="319"/>
      <c r="H32" s="319"/>
      <c r="I32" s="319"/>
      <c r="J32" s="319"/>
      <c r="K32" s="319"/>
      <c r="L32" s="319"/>
      <c r="M32" s="319"/>
      <c r="N32" s="319"/>
      <c r="O32" s="319"/>
      <c r="P32" s="319"/>
    </row>
    <row r="33" spans="1:16" ht="12.95" customHeight="1" x14ac:dyDescent="0.25">
      <c r="A33" s="318" t="s">
        <v>1</v>
      </c>
      <c r="B33" s="319"/>
      <c r="C33" s="319"/>
      <c r="D33" s="319"/>
      <c r="E33" s="319"/>
      <c r="F33" s="319"/>
      <c r="G33" s="319"/>
      <c r="H33" s="319"/>
      <c r="I33" s="319"/>
      <c r="J33" s="319"/>
      <c r="K33" s="319"/>
      <c r="L33" s="319"/>
      <c r="M33" s="319"/>
      <c r="N33" s="319"/>
      <c r="O33" s="319"/>
      <c r="P33" s="319"/>
    </row>
    <row r="34" spans="1:16" s="175" customFormat="1" ht="11.25" x14ac:dyDescent="0.2">
      <c r="A34" s="175" t="s">
        <v>613</v>
      </c>
    </row>
    <row r="36" spans="1:16" s="3" customFormat="1" ht="30" customHeight="1" x14ac:dyDescent="0.2">
      <c r="A36" s="245" t="s">
        <v>207</v>
      </c>
      <c r="B36" s="245"/>
      <c r="C36" s="247" t="str">
        <f>'Данные объект'!$B$64</f>
        <v>Зам. руководителя ЭИЛ</v>
      </c>
      <c r="D36" s="247"/>
      <c r="E36" s="247"/>
      <c r="F36" s="140"/>
      <c r="G36" s="6"/>
      <c r="H36" s="140"/>
      <c r="I36" s="247" t="str">
        <f>'Данные объект'!$B$65</f>
        <v>Фечин А.А.</v>
      </c>
      <c r="J36" s="247"/>
      <c r="K36" s="140"/>
    </row>
    <row r="37" spans="1:16" s="3" customFormat="1" ht="9" customHeight="1" x14ac:dyDescent="0.2">
      <c r="A37" s="32" t="s">
        <v>210</v>
      </c>
      <c r="B37" s="140"/>
      <c r="C37" s="248" t="s">
        <v>208</v>
      </c>
      <c r="D37" s="248"/>
      <c r="E37" s="248"/>
      <c r="F37" s="33"/>
      <c r="G37" s="34" t="s">
        <v>209</v>
      </c>
      <c r="H37" s="33"/>
      <c r="I37" s="248" t="s">
        <v>211</v>
      </c>
      <c r="J37" s="248"/>
      <c r="K37" s="140"/>
    </row>
    <row r="38" spans="1:16" s="3" customFormat="1" ht="9.9499999999999993" customHeight="1" x14ac:dyDescent="0.2">
      <c r="A38" s="245" t="s">
        <v>49</v>
      </c>
      <c r="B38" s="239"/>
      <c r="C38" s="239"/>
      <c r="D38" s="239"/>
      <c r="E38" s="239"/>
      <c r="F38" s="239"/>
      <c r="G38" s="239"/>
      <c r="H38" s="239"/>
      <c r="I38" s="239"/>
      <c r="J38" s="239"/>
      <c r="K38" s="239"/>
    </row>
    <row r="39" spans="1:16" s="3" customFormat="1" ht="20.100000000000001" customHeight="1" x14ac:dyDescent="0.2">
      <c r="A39" s="245" t="s">
        <v>50</v>
      </c>
      <c r="B39" s="245"/>
      <c r="C39" s="245"/>
      <c r="D39" s="245"/>
      <c r="E39" s="245"/>
      <c r="F39" s="245"/>
      <c r="G39" s="245"/>
      <c r="H39" s="245"/>
      <c r="I39" s="245"/>
      <c r="J39" s="245"/>
      <c r="K39" s="245"/>
    </row>
    <row r="40" spans="1:16" s="3" customFormat="1" ht="30" customHeight="1" x14ac:dyDescent="0.2">
      <c r="A40" s="245"/>
      <c r="B40" s="245"/>
      <c r="C40" s="247" t="str">
        <f>'Данные объект'!$B$66</f>
        <v>Инженер ЭИЛ</v>
      </c>
      <c r="D40" s="247"/>
      <c r="E40" s="247"/>
      <c r="F40" s="140"/>
      <c r="G40" s="6"/>
      <c r="H40" s="140"/>
      <c r="I40" s="247" t="str">
        <f>'Данные объект'!$B$67</f>
        <v>Косырин А.Н.</v>
      </c>
      <c r="J40" s="247"/>
      <c r="K40" s="140"/>
    </row>
    <row r="41" spans="1:16" s="3" customFormat="1" ht="9" customHeight="1" x14ac:dyDescent="0.2">
      <c r="A41" s="32" t="s">
        <v>210</v>
      </c>
      <c r="B41" s="140"/>
      <c r="C41" s="248" t="s">
        <v>208</v>
      </c>
      <c r="D41" s="248"/>
      <c r="E41" s="248"/>
      <c r="F41" s="33"/>
      <c r="G41" s="34" t="s">
        <v>209</v>
      </c>
      <c r="H41" s="33"/>
      <c r="I41" s="248" t="s">
        <v>211</v>
      </c>
      <c r="J41" s="248"/>
      <c r="K41" s="140"/>
    </row>
    <row r="42" spans="1:16" s="3" customFormat="1" ht="11.25" x14ac:dyDescent="0.2">
      <c r="A42" s="140"/>
      <c r="B42" s="140"/>
      <c r="C42" s="140"/>
      <c r="D42" s="140"/>
      <c r="E42" s="140"/>
      <c r="F42" s="140"/>
      <c r="G42" s="140"/>
      <c r="H42" s="140"/>
      <c r="I42" s="140"/>
      <c r="J42" s="140"/>
      <c r="K42" s="140"/>
    </row>
    <row r="43" spans="1:16" s="3" customFormat="1" ht="30" customHeight="1" x14ac:dyDescent="0.2">
      <c r="A43" s="245" t="s">
        <v>212</v>
      </c>
      <c r="B43" s="245"/>
      <c r="C43" s="247" t="str">
        <f>'Данные объект'!$B$61</f>
        <v xml:space="preserve">Руководитель ЭИЛ </v>
      </c>
      <c r="D43" s="247"/>
      <c r="E43" s="247"/>
      <c r="F43" s="140"/>
      <c r="G43" s="6"/>
      <c r="H43" s="140"/>
      <c r="I43" s="247" t="str">
        <f>'Данные объект'!$B$62</f>
        <v xml:space="preserve"> Щербаков А.А.</v>
      </c>
      <c r="J43" s="247"/>
      <c r="K43" s="140"/>
    </row>
    <row r="44" spans="1:16" s="3" customFormat="1" ht="9" customHeight="1" x14ac:dyDescent="0.2">
      <c r="A44" s="32" t="s">
        <v>210</v>
      </c>
      <c r="B44" s="140"/>
      <c r="C44" s="248" t="s">
        <v>208</v>
      </c>
      <c r="D44" s="248"/>
      <c r="E44" s="248"/>
      <c r="F44" s="33"/>
      <c r="G44" s="34" t="s">
        <v>209</v>
      </c>
      <c r="H44" s="33"/>
      <c r="I44" s="248" t="s">
        <v>211</v>
      </c>
      <c r="J44" s="248"/>
      <c r="K44" s="140"/>
    </row>
  </sheetData>
  <mergeCells count="57">
    <mergeCell ref="A36:B36"/>
    <mergeCell ref="C36:E36"/>
    <mergeCell ref="I36:J36"/>
    <mergeCell ref="A32:P32"/>
    <mergeCell ref="A33:P33"/>
    <mergeCell ref="B29:E29"/>
    <mergeCell ref="J29:K29"/>
    <mergeCell ref="B30:E30"/>
    <mergeCell ref="J30:K30"/>
    <mergeCell ref="B31:E31"/>
    <mergeCell ref="J31:K31"/>
    <mergeCell ref="A39:K39"/>
    <mergeCell ref="A40:B40"/>
    <mergeCell ref="C40:E40"/>
    <mergeCell ref="I40:J40"/>
    <mergeCell ref="C41:E41"/>
    <mergeCell ref="I41:J41"/>
    <mergeCell ref="A43:B43"/>
    <mergeCell ref="C43:E43"/>
    <mergeCell ref="I43:J43"/>
    <mergeCell ref="C44:E44"/>
    <mergeCell ref="I44:J44"/>
    <mergeCell ref="A18:P18"/>
    <mergeCell ref="A19:P19"/>
    <mergeCell ref="C37:E37"/>
    <mergeCell ref="I37:J37"/>
    <mergeCell ref="A38:K38"/>
    <mergeCell ref="A23:P23"/>
    <mergeCell ref="A24:P24"/>
    <mergeCell ref="A25:B25"/>
    <mergeCell ref="A26:A27"/>
    <mergeCell ref="F26:F27"/>
    <mergeCell ref="B26:E27"/>
    <mergeCell ref="G26:H26"/>
    <mergeCell ref="I26:I27"/>
    <mergeCell ref="J26:K27"/>
    <mergeCell ref="B28:E28"/>
    <mergeCell ref="J28:K28"/>
    <mergeCell ref="A9:P9"/>
    <mergeCell ref="A10:P10"/>
    <mergeCell ref="A11:P11"/>
    <mergeCell ref="A12:A13"/>
    <mergeCell ref="B12:B13"/>
    <mergeCell ref="C12:C13"/>
    <mergeCell ref="D12:D13"/>
    <mergeCell ref="E12:E13"/>
    <mergeCell ref="F12:O12"/>
    <mergeCell ref="P12:P13"/>
    <mergeCell ref="B6:C6"/>
    <mergeCell ref="J6:K6"/>
    <mergeCell ref="A2:D3"/>
    <mergeCell ref="A1:D1"/>
    <mergeCell ref="B5:C5"/>
    <mergeCell ref="J5:K5"/>
    <mergeCell ref="H1:K1"/>
    <mergeCell ref="H2:K2"/>
    <mergeCell ref="H3:K3"/>
  </mergeCells>
  <pageMargins left="0.79" right="0.79" top="1.18" bottom="0.3" header="0.49" footer="0.49"/>
  <pageSetup paperSize="9" scale="62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5"/>
  <sheetViews>
    <sheetView view="pageBreakPreview" topLeftCell="A7" zoomScale="90" zoomScaleNormal="100" zoomScaleSheetLayoutView="90" workbookViewId="0">
      <selection activeCell="C21" sqref="C21"/>
    </sheetView>
  </sheetViews>
  <sheetFormatPr defaultRowHeight="15" x14ac:dyDescent="0.25"/>
  <cols>
    <col min="1" max="1" width="9.42578125"/>
    <col min="2" max="2" width="10.42578125"/>
    <col min="3" max="3" width="5.85546875"/>
    <col min="4" max="4" width="7"/>
    <col min="5" max="7" width="8"/>
    <col min="8" max="8" width="11.140625"/>
    <col min="9" max="9" width="9.42578125"/>
    <col min="10" max="10" width="7.5703125"/>
    <col min="11" max="11" width="11.42578125"/>
  </cols>
  <sheetData>
    <row r="1" spans="1:11" s="3" customFormat="1" ht="18.600000000000001" customHeight="1" x14ac:dyDescent="0.2">
      <c r="A1" s="262" t="str">
        <f>'Данные объект'!B58</f>
        <v xml:space="preserve"> ООО «Энергосистемы»</v>
      </c>
      <c r="B1" s="262"/>
      <c r="C1" s="262"/>
      <c r="D1" s="262"/>
      <c r="G1" s="4" t="s">
        <v>11</v>
      </c>
      <c r="H1" s="259" t="str">
        <f>'Данные объект'!B34</f>
        <v>ПАО "Россети Московский регион"</v>
      </c>
      <c r="I1" s="259"/>
      <c r="J1" s="259"/>
      <c r="K1" s="259"/>
    </row>
    <row r="2" spans="1:11" s="3" customFormat="1" ht="27" customHeight="1" x14ac:dyDescent="0.2">
      <c r="A2" s="262" t="str">
        <f>'Данные объект'!C58</f>
        <v>Испытательная электролаборатория 141508, Московская область, г.о. Солнечногорск, г. Солнечногорск, ул. Промышленная, стр. 5, помещение 179, Свидетельсто о регистрации №5.3-6420 от 15 мая 2024г</v>
      </c>
      <c r="B2" s="262"/>
      <c r="C2" s="262"/>
      <c r="D2" s="262"/>
      <c r="G2" s="4" t="s">
        <v>12</v>
      </c>
      <c r="H2" s="260" t="str">
        <f>_xlfn.CONCAT('Данные объект'!$B$15, " ",'Данные объект'!$B$16)</f>
        <v>КТП № АСП №</v>
      </c>
      <c r="I2" s="260"/>
      <c r="J2" s="260"/>
      <c r="K2" s="260"/>
    </row>
    <row r="3" spans="1:11" s="3" customFormat="1" ht="31.15" customHeight="1" x14ac:dyDescent="0.2">
      <c r="A3" s="262"/>
      <c r="B3" s="262"/>
      <c r="C3" s="262"/>
      <c r="D3" s="262"/>
      <c r="G3" s="4" t="s">
        <v>13</v>
      </c>
      <c r="H3" s="261" t="str">
        <f>'Данные объект'!B5</f>
        <v>Лобня г, Шереметьевское ш, дом 10</v>
      </c>
      <c r="I3" s="261"/>
      <c r="J3" s="261"/>
      <c r="K3" s="261"/>
    </row>
    <row r="4" spans="1:11" s="3" customFormat="1" ht="15" customHeight="1" x14ac:dyDescent="0.2">
      <c r="A4" s="29"/>
      <c r="B4" s="29"/>
      <c r="C4" s="29"/>
      <c r="D4" s="29"/>
      <c r="G4" s="4"/>
      <c r="H4" s="4"/>
      <c r="I4" s="4"/>
      <c r="J4" s="4"/>
      <c r="K4" s="4"/>
    </row>
    <row r="5" spans="1:11" s="3" customFormat="1" ht="11.25" x14ac:dyDescent="0.2">
      <c r="A5" s="5"/>
      <c r="B5" s="249"/>
      <c r="C5" s="249"/>
      <c r="J5" s="249" t="s">
        <v>14</v>
      </c>
      <c r="K5" s="249"/>
    </row>
    <row r="6" spans="1:11" s="3" customFormat="1" ht="10.15" customHeight="1" x14ac:dyDescent="0.2">
      <c r="A6" s="5"/>
      <c r="B6" s="250"/>
      <c r="C6" s="250"/>
      <c r="J6" s="263" t="str">
        <f>'Данные объект'!B8</f>
        <v>25.06.2025</v>
      </c>
      <c r="K6" s="263"/>
    </row>
    <row r="7" spans="1:11" s="3" customFormat="1" ht="12.75" x14ac:dyDescent="0.2">
      <c r="A7" s="280" t="s">
        <v>290</v>
      </c>
      <c r="B7" s="281"/>
      <c r="C7" s="281"/>
      <c r="D7" s="281"/>
      <c r="E7" s="281"/>
      <c r="F7" s="281"/>
      <c r="G7" s="281"/>
      <c r="H7" s="281"/>
      <c r="I7" s="281"/>
      <c r="J7" s="281"/>
      <c r="K7" s="281"/>
    </row>
    <row r="8" spans="1:11" ht="17.45" customHeight="1" x14ac:dyDescent="0.25">
      <c r="A8" s="308" t="s">
        <v>289</v>
      </c>
      <c r="B8" s="281"/>
      <c r="C8" s="281"/>
      <c r="D8" s="281"/>
      <c r="E8" s="281"/>
      <c r="F8" s="281"/>
      <c r="G8" s="281"/>
      <c r="H8" s="281"/>
      <c r="I8" s="281"/>
      <c r="J8" s="281"/>
      <c r="K8" s="281"/>
    </row>
    <row r="10" spans="1:11" ht="14.45" customHeight="1" x14ac:dyDescent="0.25">
      <c r="A10" s="320" t="s">
        <v>551</v>
      </c>
      <c r="B10" s="320" t="s">
        <v>291</v>
      </c>
      <c r="C10" s="320"/>
      <c r="D10" s="320"/>
      <c r="E10" s="320"/>
      <c r="F10" s="320"/>
      <c r="G10" s="320"/>
      <c r="H10" s="320" t="s">
        <v>292</v>
      </c>
      <c r="I10" s="320" t="s">
        <v>293</v>
      </c>
      <c r="J10" s="320" t="s">
        <v>294</v>
      </c>
      <c r="K10" s="320"/>
    </row>
    <row r="11" spans="1:11" ht="24" customHeight="1" x14ac:dyDescent="0.25">
      <c r="A11" s="320"/>
      <c r="B11" s="320" t="s">
        <v>552</v>
      </c>
      <c r="C11" s="320" t="s">
        <v>553</v>
      </c>
      <c r="D11" s="320" t="s">
        <v>295</v>
      </c>
      <c r="E11" s="320" t="s">
        <v>296</v>
      </c>
      <c r="F11" s="320"/>
      <c r="G11" s="320"/>
      <c r="H11" s="320"/>
      <c r="I11" s="320"/>
      <c r="J11" s="320"/>
      <c r="K11" s="320"/>
    </row>
    <row r="12" spans="1:11" ht="33.75" x14ac:dyDescent="0.25">
      <c r="A12" s="320"/>
      <c r="B12" s="320"/>
      <c r="C12" s="320"/>
      <c r="D12" s="320"/>
      <c r="E12" s="59" t="s">
        <v>297</v>
      </c>
      <c r="F12" s="59" t="s">
        <v>298</v>
      </c>
      <c r="G12" s="59" t="s">
        <v>299</v>
      </c>
      <c r="H12" s="320"/>
      <c r="I12" s="320"/>
      <c r="J12" s="320"/>
      <c r="K12" s="320"/>
    </row>
    <row r="13" spans="1:11" ht="14.45" customHeight="1" x14ac:dyDescent="0.25">
      <c r="A13" s="60"/>
      <c r="B13" s="320" t="str">
        <f>H2</f>
        <v>КТП № АСП №</v>
      </c>
      <c r="C13" s="320"/>
      <c r="D13" s="320"/>
      <c r="E13" s="320"/>
      <c r="F13" s="320"/>
      <c r="G13" s="320"/>
      <c r="H13" s="320"/>
      <c r="I13" s="320"/>
      <c r="J13" s="320"/>
      <c r="K13" s="320"/>
    </row>
    <row r="14" spans="1:11" ht="20.100000000000001" customHeight="1" x14ac:dyDescent="0.25">
      <c r="A14" s="146" t="s">
        <v>550</v>
      </c>
      <c r="B14" s="323" t="s">
        <v>300</v>
      </c>
      <c r="C14" s="320" t="s">
        <v>133</v>
      </c>
      <c r="D14" s="166">
        <v>200</v>
      </c>
      <c r="E14" s="146" t="s">
        <v>133</v>
      </c>
      <c r="F14" s="146">
        <v>600</v>
      </c>
      <c r="G14" s="146" t="s">
        <v>133</v>
      </c>
      <c r="H14" s="146">
        <v>616</v>
      </c>
      <c r="I14" s="146" t="s">
        <v>91</v>
      </c>
      <c r="J14" s="320" t="s">
        <v>176</v>
      </c>
      <c r="K14" s="320"/>
    </row>
    <row r="15" spans="1:11" ht="20.100000000000001" customHeight="1" x14ac:dyDescent="0.25">
      <c r="A15" s="146" t="s">
        <v>548</v>
      </c>
      <c r="B15" s="323"/>
      <c r="C15" s="320"/>
      <c r="D15" s="166">
        <v>200</v>
      </c>
      <c r="E15" s="146" t="s">
        <v>133</v>
      </c>
      <c r="F15" s="146">
        <v>600</v>
      </c>
      <c r="G15" s="146" t="s">
        <v>133</v>
      </c>
      <c r="H15" s="146">
        <v>612</v>
      </c>
      <c r="I15" s="146" t="s">
        <v>301</v>
      </c>
      <c r="J15" s="320" t="s">
        <v>176</v>
      </c>
      <c r="K15" s="320"/>
    </row>
    <row r="16" spans="1:11" ht="20.100000000000001" customHeight="1" x14ac:dyDescent="0.25">
      <c r="A16" s="146" t="s">
        <v>549</v>
      </c>
      <c r="B16" s="323"/>
      <c r="C16" s="320"/>
      <c r="D16" s="166">
        <v>200</v>
      </c>
      <c r="E16" s="146" t="s">
        <v>133</v>
      </c>
      <c r="F16" s="146">
        <v>600</v>
      </c>
      <c r="G16" s="146" t="s">
        <v>133</v>
      </c>
      <c r="H16" s="146">
        <v>615</v>
      </c>
      <c r="I16" s="146" t="s">
        <v>302</v>
      </c>
      <c r="J16" s="320" t="s">
        <v>176</v>
      </c>
      <c r="K16" s="320"/>
    </row>
    <row r="18" spans="1:11" ht="12.95" customHeight="1" x14ac:dyDescent="0.25">
      <c r="A18" s="236" t="s">
        <v>267</v>
      </c>
      <c r="B18" s="311"/>
      <c r="C18" s="311"/>
      <c r="D18" s="311"/>
      <c r="E18" s="311"/>
      <c r="F18" s="311"/>
      <c r="G18" s="311"/>
      <c r="H18" s="311"/>
      <c r="I18" s="311"/>
      <c r="J18" s="311"/>
      <c r="K18" s="311"/>
    </row>
    <row r="19" spans="1:11" s="3" customFormat="1" ht="13.15" customHeight="1" x14ac:dyDescent="0.2">
      <c r="A19" s="67" t="s">
        <v>337</v>
      </c>
      <c r="C19" s="3">
        <f>прот.№1!C26</f>
        <v>15</v>
      </c>
      <c r="D19" s="3" t="s">
        <v>328</v>
      </c>
    </row>
    <row r="20" spans="1:11" s="3" customFormat="1" ht="12.95" customHeight="1" x14ac:dyDescent="0.2">
      <c r="A20" s="32" t="s">
        <v>338</v>
      </c>
      <c r="C20" s="3">
        <f>прот.№1!C27</f>
        <v>70</v>
      </c>
      <c r="D20" s="3" t="s">
        <v>330</v>
      </c>
    </row>
    <row r="21" spans="1:11" s="3" customFormat="1" ht="12.95" customHeight="1" x14ac:dyDescent="0.2">
      <c r="A21" s="66" t="s">
        <v>339</v>
      </c>
      <c r="C21" s="392" t="str">
        <f>прот.№1!C28</f>
        <v>745</v>
      </c>
      <c r="D21" s="3" t="s">
        <v>332</v>
      </c>
    </row>
    <row r="22" spans="1:11" ht="12.95" customHeight="1" x14ac:dyDescent="0.25">
      <c r="A22" s="236" t="s">
        <v>303</v>
      </c>
      <c r="B22" s="311"/>
      <c r="C22" s="311"/>
      <c r="D22" s="311"/>
      <c r="E22" s="311"/>
      <c r="F22" s="311"/>
      <c r="G22" s="311"/>
      <c r="H22" s="311"/>
      <c r="I22" s="311"/>
      <c r="J22" s="311"/>
      <c r="K22" s="311"/>
    </row>
    <row r="23" spans="1:11" s="175" customFormat="1" ht="11.25" x14ac:dyDescent="0.2">
      <c r="A23" s="175" t="s">
        <v>613</v>
      </c>
    </row>
    <row r="24" spans="1:11" ht="12.95" customHeight="1" x14ac:dyDescent="0.25">
      <c r="A24" s="236" t="s">
        <v>268</v>
      </c>
      <c r="B24" s="311"/>
      <c r="C24" s="311"/>
      <c r="D24" s="311"/>
      <c r="E24" s="311"/>
      <c r="F24" s="311"/>
      <c r="G24" s="311"/>
      <c r="H24" s="311"/>
      <c r="I24" s="311"/>
      <c r="J24" s="311"/>
      <c r="K24" s="311"/>
    </row>
    <row r="25" spans="1:11" x14ac:dyDescent="0.25">
      <c r="A25" s="322"/>
      <c r="B25" s="322"/>
      <c r="C25" s="1"/>
      <c r="D25" s="1"/>
      <c r="E25" s="1"/>
      <c r="F25" s="1"/>
      <c r="G25" s="1"/>
    </row>
    <row r="26" spans="1:11" s="3" customFormat="1" ht="24.95" customHeight="1" x14ac:dyDescent="0.2">
      <c r="A26" s="302" t="s">
        <v>31</v>
      </c>
      <c r="B26" s="294" t="s">
        <v>43</v>
      </c>
      <c r="C26" s="295"/>
      <c r="D26" s="295"/>
      <c r="E26" s="296"/>
      <c r="F26" s="302" t="s">
        <v>499</v>
      </c>
      <c r="G26" s="300" t="s">
        <v>44</v>
      </c>
      <c r="H26" s="301"/>
      <c r="I26" s="302" t="s">
        <v>45</v>
      </c>
      <c r="J26" s="304" t="s">
        <v>500</v>
      </c>
      <c r="K26" s="305"/>
    </row>
    <row r="27" spans="1:11" s="3" customFormat="1" ht="24.95" customHeight="1" x14ac:dyDescent="0.2">
      <c r="A27" s="303"/>
      <c r="B27" s="297"/>
      <c r="C27" s="298"/>
      <c r="D27" s="298"/>
      <c r="E27" s="299"/>
      <c r="F27" s="303"/>
      <c r="G27" s="142" t="s">
        <v>46</v>
      </c>
      <c r="H27" s="142" t="s">
        <v>47</v>
      </c>
      <c r="I27" s="303"/>
      <c r="J27" s="306"/>
      <c r="K27" s="307"/>
    </row>
    <row r="28" spans="1:11" s="3" customFormat="1" ht="23.1" customHeight="1" x14ac:dyDescent="0.2">
      <c r="A28" s="142">
        <v>1</v>
      </c>
      <c r="B28" s="287" t="s">
        <v>258</v>
      </c>
      <c r="C28" s="288"/>
      <c r="D28" s="288"/>
      <c r="E28" s="289"/>
      <c r="F28" s="142" t="s">
        <v>259</v>
      </c>
      <c r="G28" s="142" t="s">
        <v>264</v>
      </c>
      <c r="H28" s="142" t="s">
        <v>48</v>
      </c>
      <c r="I28" s="158">
        <f>Оборудование!I4</f>
        <v>46850</v>
      </c>
      <c r="J28" s="290" t="str">
        <f>Оборудование!J4</f>
        <v>С-ТТ/08-04-2026/517582908</v>
      </c>
      <c r="K28" s="291"/>
    </row>
    <row r="29" spans="1:11" s="3" customFormat="1" ht="23.1" customHeight="1" x14ac:dyDescent="0.2">
      <c r="A29" s="142">
        <v>2</v>
      </c>
      <c r="B29" s="287" t="s">
        <v>260</v>
      </c>
      <c r="C29" s="288"/>
      <c r="D29" s="288"/>
      <c r="E29" s="289"/>
      <c r="F29" s="142">
        <v>134</v>
      </c>
      <c r="G29" s="142" t="s">
        <v>265</v>
      </c>
      <c r="H29" s="142">
        <v>0.1</v>
      </c>
      <c r="I29" s="158">
        <f>Оборудование!I3</f>
        <v>47945</v>
      </c>
      <c r="J29" s="292" t="str">
        <f>Оборудование!J3</f>
        <v>С-ТТ/08-04-2026/517582895</v>
      </c>
      <c r="K29" s="293"/>
    </row>
    <row r="30" spans="1:11" s="3" customFormat="1" ht="23.1" customHeight="1" x14ac:dyDescent="0.2">
      <c r="A30" s="142">
        <v>3</v>
      </c>
      <c r="B30" s="287" t="s">
        <v>261</v>
      </c>
      <c r="C30" s="288"/>
      <c r="D30" s="288"/>
      <c r="E30" s="289"/>
      <c r="F30" s="142">
        <v>15036</v>
      </c>
      <c r="G30" s="142" t="s">
        <v>262</v>
      </c>
      <c r="H30" s="142">
        <v>2</v>
      </c>
      <c r="I30" s="158">
        <f>Оборудование!I12</f>
        <v>46175</v>
      </c>
      <c r="J30" s="292" t="str">
        <f>Оборудование!J12</f>
        <v>С-ТТ/02-06-2025/436900431</v>
      </c>
      <c r="K30" s="293"/>
    </row>
    <row r="31" spans="1:11" s="3" customFormat="1" ht="23.1" customHeight="1" x14ac:dyDescent="0.2">
      <c r="A31" s="142">
        <v>4</v>
      </c>
      <c r="B31" s="287" t="s">
        <v>263</v>
      </c>
      <c r="C31" s="288"/>
      <c r="D31" s="288"/>
      <c r="E31" s="289"/>
      <c r="F31" s="142">
        <v>3141</v>
      </c>
      <c r="G31" s="142" t="s">
        <v>266</v>
      </c>
      <c r="H31" s="142">
        <v>3</v>
      </c>
      <c r="I31" s="158">
        <f>Оборудование!I13</f>
        <v>46850</v>
      </c>
      <c r="J31" s="292" t="str">
        <f>Оборудование!J13</f>
        <v>С-ТТ/08-04-2026/517582910</v>
      </c>
      <c r="K31" s="293"/>
    </row>
    <row r="33" spans="1:11" ht="12.95" customHeight="1" x14ac:dyDescent="0.25">
      <c r="A33" s="318" t="s">
        <v>2</v>
      </c>
      <c r="B33" s="319"/>
      <c r="C33" s="319"/>
      <c r="D33" s="319"/>
      <c r="E33" s="319"/>
      <c r="F33" s="319"/>
      <c r="G33" s="319"/>
      <c r="H33" s="319"/>
      <c r="I33" s="319"/>
      <c r="J33" s="319"/>
      <c r="K33" s="319"/>
    </row>
    <row r="34" spans="1:11" ht="12.95" customHeight="1" x14ac:dyDescent="0.25">
      <c r="A34" s="321" t="s">
        <v>3</v>
      </c>
      <c r="B34" s="319"/>
      <c r="C34" s="319"/>
      <c r="D34" s="319"/>
      <c r="E34" s="319"/>
      <c r="F34" s="319"/>
      <c r="G34" s="319"/>
      <c r="H34" s="319"/>
      <c r="I34" s="319"/>
      <c r="J34" s="319"/>
      <c r="K34" s="319"/>
    </row>
    <row r="37" spans="1:11" s="3" customFormat="1" ht="30" customHeight="1" x14ac:dyDescent="0.2">
      <c r="A37" s="245" t="s">
        <v>207</v>
      </c>
      <c r="B37" s="245"/>
      <c r="C37" s="247" t="str">
        <f>'Данные объект'!$B$64</f>
        <v>Зам. руководителя ЭИЛ</v>
      </c>
      <c r="D37" s="247"/>
      <c r="E37" s="247"/>
      <c r="F37" s="140"/>
      <c r="G37" s="6"/>
      <c r="H37" s="140"/>
      <c r="I37" s="247" t="str">
        <f>'Данные объект'!$B$65</f>
        <v>Фечин А.А.</v>
      </c>
      <c r="J37" s="247"/>
      <c r="K37" s="140"/>
    </row>
    <row r="38" spans="1:11" s="3" customFormat="1" ht="9" customHeight="1" x14ac:dyDescent="0.2">
      <c r="A38" s="32" t="s">
        <v>210</v>
      </c>
      <c r="B38" s="140"/>
      <c r="C38" s="248" t="s">
        <v>208</v>
      </c>
      <c r="D38" s="248"/>
      <c r="E38" s="248"/>
      <c r="F38" s="33"/>
      <c r="G38" s="34" t="s">
        <v>209</v>
      </c>
      <c r="H38" s="33"/>
      <c r="I38" s="248" t="s">
        <v>211</v>
      </c>
      <c r="J38" s="248"/>
      <c r="K38" s="140"/>
    </row>
    <row r="39" spans="1:11" s="3" customFormat="1" ht="9.9499999999999993" customHeight="1" x14ac:dyDescent="0.2">
      <c r="A39" s="245" t="s">
        <v>49</v>
      </c>
      <c r="B39" s="239"/>
      <c r="C39" s="239"/>
      <c r="D39" s="239"/>
      <c r="E39" s="239"/>
      <c r="F39" s="239"/>
      <c r="G39" s="239"/>
      <c r="H39" s="239"/>
      <c r="I39" s="239"/>
      <c r="J39" s="239"/>
      <c r="K39" s="239"/>
    </row>
    <row r="40" spans="1:11" s="3" customFormat="1" ht="20.100000000000001" customHeight="1" x14ac:dyDescent="0.2">
      <c r="A40" s="245" t="s">
        <v>50</v>
      </c>
      <c r="B40" s="245"/>
      <c r="C40" s="245"/>
      <c r="D40" s="245"/>
      <c r="E40" s="245"/>
      <c r="F40" s="245"/>
      <c r="G40" s="245"/>
      <c r="H40" s="245"/>
      <c r="I40" s="245"/>
      <c r="J40" s="245"/>
      <c r="K40" s="245"/>
    </row>
    <row r="41" spans="1:11" s="3" customFormat="1" ht="30" customHeight="1" x14ac:dyDescent="0.2">
      <c r="A41" s="245"/>
      <c r="B41" s="245"/>
      <c r="C41" s="247" t="str">
        <f>'Данные объект'!$B$66</f>
        <v>Инженер ЭИЛ</v>
      </c>
      <c r="D41" s="247"/>
      <c r="E41" s="247"/>
      <c r="F41" s="140"/>
      <c r="G41" s="6"/>
      <c r="H41" s="140"/>
      <c r="I41" s="247" t="str">
        <f>'Данные объект'!$B$67</f>
        <v>Косырин А.Н.</v>
      </c>
      <c r="J41" s="247"/>
      <c r="K41" s="140"/>
    </row>
    <row r="42" spans="1:11" s="3" customFormat="1" ht="9" customHeight="1" x14ac:dyDescent="0.2">
      <c r="A42" s="32" t="s">
        <v>210</v>
      </c>
      <c r="B42" s="140"/>
      <c r="C42" s="248" t="s">
        <v>208</v>
      </c>
      <c r="D42" s="248"/>
      <c r="E42" s="248"/>
      <c r="F42" s="33"/>
      <c r="G42" s="34" t="s">
        <v>209</v>
      </c>
      <c r="H42" s="33"/>
      <c r="I42" s="248" t="s">
        <v>211</v>
      </c>
      <c r="J42" s="248"/>
      <c r="K42" s="140"/>
    </row>
    <row r="43" spans="1:11" s="3" customFormat="1" ht="11.25" x14ac:dyDescent="0.2">
      <c r="A43" s="140"/>
      <c r="B43" s="140"/>
      <c r="C43" s="140"/>
      <c r="D43" s="140"/>
      <c r="E43" s="140"/>
      <c r="F43" s="140"/>
      <c r="G43" s="140"/>
      <c r="H43" s="140"/>
      <c r="I43" s="140"/>
      <c r="J43" s="140"/>
      <c r="K43" s="140"/>
    </row>
    <row r="44" spans="1:11" s="3" customFormat="1" ht="30" customHeight="1" x14ac:dyDescent="0.2">
      <c r="A44" s="245" t="s">
        <v>212</v>
      </c>
      <c r="B44" s="245"/>
      <c r="C44" s="247" t="str">
        <f>'Данные объект'!$B$61</f>
        <v xml:space="preserve">Руководитель ЭИЛ </v>
      </c>
      <c r="D44" s="247"/>
      <c r="E44" s="247"/>
      <c r="F44" s="140"/>
      <c r="G44" s="6"/>
      <c r="H44" s="140"/>
      <c r="I44" s="247" t="str">
        <f>'Данные объект'!$B$62</f>
        <v xml:space="preserve"> Щербаков А.А.</v>
      </c>
      <c r="J44" s="247"/>
      <c r="K44" s="140"/>
    </row>
    <row r="45" spans="1:11" s="3" customFormat="1" ht="9" customHeight="1" x14ac:dyDescent="0.2">
      <c r="A45" s="32" t="s">
        <v>210</v>
      </c>
      <c r="B45" s="140"/>
      <c r="C45" s="248" t="s">
        <v>208</v>
      </c>
      <c r="D45" s="248"/>
      <c r="E45" s="248"/>
      <c r="F45" s="33"/>
      <c r="G45" s="34" t="s">
        <v>209</v>
      </c>
      <c r="H45" s="33"/>
      <c r="I45" s="248" t="s">
        <v>211</v>
      </c>
      <c r="J45" s="248"/>
      <c r="K45" s="140"/>
    </row>
  </sheetData>
  <mergeCells count="63">
    <mergeCell ref="A41:B41"/>
    <mergeCell ref="C41:E41"/>
    <mergeCell ref="I41:J41"/>
    <mergeCell ref="C45:E45"/>
    <mergeCell ref="C42:E42"/>
    <mergeCell ref="I42:J42"/>
    <mergeCell ref="A44:B44"/>
    <mergeCell ref="C44:E44"/>
    <mergeCell ref="I44:J44"/>
    <mergeCell ref="I45:J45"/>
    <mergeCell ref="A37:B37"/>
    <mergeCell ref="C37:E37"/>
    <mergeCell ref="I37:J37"/>
    <mergeCell ref="A39:K39"/>
    <mergeCell ref="A40:K40"/>
    <mergeCell ref="C38:E38"/>
    <mergeCell ref="I38:J38"/>
    <mergeCell ref="B13:K13"/>
    <mergeCell ref="J14:K14"/>
    <mergeCell ref="J15:K15"/>
    <mergeCell ref="J16:K16"/>
    <mergeCell ref="A25:B25"/>
    <mergeCell ref="B14:B16"/>
    <mergeCell ref="C14:C16"/>
    <mergeCell ref="A18:K18"/>
    <mergeCell ref="A22:K22"/>
    <mergeCell ref="A24:K24"/>
    <mergeCell ref="A26:A27"/>
    <mergeCell ref="F26:F27"/>
    <mergeCell ref="A33:K33"/>
    <mergeCell ref="A34:K34"/>
    <mergeCell ref="B26:E27"/>
    <mergeCell ref="G26:H26"/>
    <mergeCell ref="I26:I27"/>
    <mergeCell ref="J26:K27"/>
    <mergeCell ref="B28:E28"/>
    <mergeCell ref="J28:K28"/>
    <mergeCell ref="J30:K30"/>
    <mergeCell ref="B31:E31"/>
    <mergeCell ref="J31:K31"/>
    <mergeCell ref="B29:E29"/>
    <mergeCell ref="J29:K29"/>
    <mergeCell ref="B30:E30"/>
    <mergeCell ref="A1:D1"/>
    <mergeCell ref="H1:K1"/>
    <mergeCell ref="A2:D3"/>
    <mergeCell ref="H2:K2"/>
    <mergeCell ref="H3:K3"/>
    <mergeCell ref="J5:K5"/>
    <mergeCell ref="B5:C5"/>
    <mergeCell ref="A8:K8"/>
    <mergeCell ref="A10:A12"/>
    <mergeCell ref="B10:G10"/>
    <mergeCell ref="H10:H12"/>
    <mergeCell ref="I10:I12"/>
    <mergeCell ref="B11:B12"/>
    <mergeCell ref="C11:C12"/>
    <mergeCell ref="D11:D12"/>
    <mergeCell ref="E11:G11"/>
    <mergeCell ref="B6:C6"/>
    <mergeCell ref="J6:K6"/>
    <mergeCell ref="A7:K7"/>
    <mergeCell ref="J10:K12"/>
  </mergeCells>
  <pageMargins left="0.59" right="0.3" top="0.79" bottom="0.79" header="0.49" footer="0.49"/>
  <pageSetup paperSize="9" scale="96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46B5F-795F-4F08-8C3D-529AA4A54E85}">
  <dimension ref="A1:O48"/>
  <sheetViews>
    <sheetView view="pageBreakPreview" topLeftCell="A7" zoomScaleNormal="100" zoomScaleSheetLayoutView="100" workbookViewId="0">
      <selection activeCell="C21" sqref="C21"/>
    </sheetView>
  </sheetViews>
  <sheetFormatPr defaultColWidth="9.140625" defaultRowHeight="15" x14ac:dyDescent="0.25"/>
  <sheetData>
    <row r="1" spans="1:15" s="3" customFormat="1" ht="18.600000000000001" customHeight="1" x14ac:dyDescent="0.2">
      <c r="A1" s="262" t="str">
        <f>'Данные объект'!B58</f>
        <v xml:space="preserve"> ООО «Энергосистемы»</v>
      </c>
      <c r="B1" s="262"/>
      <c r="C1" s="262"/>
      <c r="D1" s="262"/>
      <c r="G1" s="4" t="s">
        <v>11</v>
      </c>
      <c r="H1" s="259" t="str">
        <f>'Данные объект'!B34</f>
        <v>ПАО "Россети Московский регион"</v>
      </c>
      <c r="I1" s="259"/>
      <c r="J1" s="259"/>
      <c r="K1" s="259"/>
    </row>
    <row r="2" spans="1:15" s="3" customFormat="1" ht="27" customHeight="1" x14ac:dyDescent="0.2">
      <c r="A2" s="262" t="str">
        <f>'Данные объект'!C58</f>
        <v>Испытательная электролаборатория 141508, Московская область, г.о. Солнечногорск, г. Солнечногорск, ул. Промышленная, стр. 5, помещение 179, Свидетельсто о регистрации №5.3-6420 от 15 мая 2024г</v>
      </c>
      <c r="B2" s="262"/>
      <c r="C2" s="262"/>
      <c r="D2" s="262"/>
      <c r="G2" s="4" t="s">
        <v>12</v>
      </c>
      <c r="H2" s="260" t="str">
        <f>CONCATENATE('Данные объект'!$B$17, " ",'Данные объект'!$B$18)</f>
        <v>ВЛ от ТП ф. ВЛ от ТП ф.</v>
      </c>
      <c r="I2" s="260"/>
      <c r="J2" s="260"/>
      <c r="K2" s="260"/>
    </row>
    <row r="3" spans="1:15" s="3" customFormat="1" ht="31.15" customHeight="1" x14ac:dyDescent="0.2">
      <c r="A3" s="262"/>
      <c r="B3" s="262"/>
      <c r="C3" s="262"/>
      <c r="D3" s="262"/>
      <c r="G3" s="4" t="s">
        <v>13</v>
      </c>
      <c r="H3" s="261" t="str">
        <f>'Данные объект'!B5</f>
        <v>Лобня г, Шереметьевское ш, дом 10</v>
      </c>
      <c r="I3" s="261"/>
      <c r="J3" s="261"/>
      <c r="K3" s="261"/>
    </row>
    <row r="4" spans="1:15" s="3" customFormat="1" ht="15" customHeight="1" x14ac:dyDescent="0.2">
      <c r="A4" s="29"/>
      <c r="B4" s="29"/>
      <c r="C4" s="29"/>
      <c r="D4" s="29"/>
      <c r="G4" s="4"/>
      <c r="H4" s="4"/>
      <c r="I4" s="4"/>
      <c r="J4" s="4"/>
      <c r="K4" s="4"/>
    </row>
    <row r="5" spans="1:15" s="3" customFormat="1" ht="11.25" x14ac:dyDescent="0.2">
      <c r="A5" s="5"/>
      <c r="B5" s="249"/>
      <c r="C5" s="249"/>
      <c r="J5" s="249" t="s">
        <v>14</v>
      </c>
      <c r="K5" s="249"/>
    </row>
    <row r="6" spans="1:15" s="3" customFormat="1" ht="10.15" customHeight="1" x14ac:dyDescent="0.2">
      <c r="A6" s="5"/>
      <c r="B6" s="250"/>
      <c r="C6" s="250"/>
      <c r="J6" s="263" t="str">
        <f>'Данные объект'!B8</f>
        <v>25.06.2025</v>
      </c>
      <c r="K6" s="263"/>
    </row>
    <row r="7" spans="1:15" ht="15.95" customHeight="1" x14ac:dyDescent="0.25">
      <c r="A7" s="275" t="s">
        <v>279</v>
      </c>
      <c r="B7" s="281"/>
      <c r="C7" s="281"/>
      <c r="D7" s="281"/>
      <c r="E7" s="281"/>
      <c r="F7" s="281"/>
      <c r="G7" s="281"/>
      <c r="H7" s="281"/>
      <c r="I7" s="281"/>
      <c r="J7" s="281"/>
      <c r="K7" s="281"/>
    </row>
    <row r="8" spans="1:15" ht="15.95" customHeight="1" x14ac:dyDescent="0.25">
      <c r="A8" s="278" t="s">
        <v>280</v>
      </c>
      <c r="B8" s="281"/>
      <c r="C8" s="281"/>
      <c r="D8" s="281"/>
      <c r="E8" s="281"/>
      <c r="F8" s="281"/>
      <c r="G8" s="281"/>
      <c r="H8" s="281"/>
      <c r="I8" s="281"/>
      <c r="J8" s="281"/>
      <c r="K8" s="281"/>
    </row>
    <row r="10" spans="1:15" ht="12.95" customHeight="1" x14ac:dyDescent="0.25">
      <c r="A10" s="236" t="s">
        <v>281</v>
      </c>
      <c r="B10" s="311"/>
      <c r="C10" s="311"/>
      <c r="D10" s="311"/>
      <c r="E10" s="311"/>
      <c r="F10" s="311"/>
      <c r="G10" s="311"/>
      <c r="H10" s="311"/>
      <c r="I10" s="311"/>
      <c r="J10" s="311"/>
      <c r="K10" s="311"/>
    </row>
    <row r="11" spans="1:15" ht="16.149999999999999" customHeight="1" x14ac:dyDescent="0.25">
      <c r="A11" s="320" t="s">
        <v>31</v>
      </c>
      <c r="B11" s="320" t="s">
        <v>53</v>
      </c>
      <c r="C11" s="320"/>
      <c r="D11" s="320"/>
      <c r="E11" s="320"/>
      <c r="F11" s="328" t="s">
        <v>54</v>
      </c>
      <c r="G11" s="328"/>
      <c r="H11" s="328"/>
      <c r="I11" s="328"/>
      <c r="J11" s="320" t="s">
        <v>55</v>
      </c>
      <c r="K11" s="320"/>
      <c r="N11" s="58"/>
    </row>
    <row r="12" spans="1:15" ht="15" customHeight="1" x14ac:dyDescent="0.25">
      <c r="A12" s="320"/>
      <c r="B12" s="320"/>
      <c r="C12" s="320"/>
      <c r="D12" s="320"/>
      <c r="E12" s="320"/>
      <c r="F12" s="320" t="s">
        <v>287</v>
      </c>
      <c r="G12" s="320"/>
      <c r="H12" s="320" t="s">
        <v>288</v>
      </c>
      <c r="I12" s="320"/>
      <c r="J12" s="320"/>
      <c r="K12" s="320"/>
      <c r="N12" s="58"/>
      <c r="O12" s="58"/>
    </row>
    <row r="13" spans="1:15" ht="13.15" customHeight="1" x14ac:dyDescent="0.25">
      <c r="A13" s="57">
        <v>1</v>
      </c>
      <c r="B13" s="327" t="s">
        <v>192</v>
      </c>
      <c r="C13" s="327"/>
      <c r="D13" s="327"/>
      <c r="E13" s="327"/>
      <c r="F13" s="326">
        <v>0.03</v>
      </c>
      <c r="G13" s="326"/>
      <c r="H13" s="326" t="s">
        <v>57</v>
      </c>
      <c r="I13" s="326"/>
      <c r="J13" s="324" t="s">
        <v>9</v>
      </c>
      <c r="K13" s="325"/>
    </row>
    <row r="14" spans="1:15" ht="13.9" customHeight="1" x14ac:dyDescent="0.25">
      <c r="A14" s="57">
        <v>2</v>
      </c>
      <c r="B14" s="327" t="s">
        <v>194</v>
      </c>
      <c r="C14" s="327"/>
      <c r="D14" s="327"/>
      <c r="E14" s="327"/>
      <c r="F14" s="326">
        <v>0.02</v>
      </c>
      <c r="G14" s="326"/>
      <c r="H14" s="326" t="str">
        <f t="shared" ref="H14:H17" si="0">$H$13</f>
        <v>≤ 0,05</v>
      </c>
      <c r="I14" s="326"/>
      <c r="J14" s="324" t="s">
        <v>9</v>
      </c>
      <c r="K14" s="325"/>
    </row>
    <row r="15" spans="1:15" x14ac:dyDescent="0.25">
      <c r="A15" s="57">
        <v>3</v>
      </c>
      <c r="B15" s="327" t="s">
        <v>284</v>
      </c>
      <c r="C15" s="327"/>
      <c r="D15" s="327"/>
      <c r="E15" s="327"/>
      <c r="F15" s="326">
        <v>0.03</v>
      </c>
      <c r="G15" s="326"/>
      <c r="H15" s="326" t="str">
        <f t="shared" si="0"/>
        <v>≤ 0,05</v>
      </c>
      <c r="I15" s="326"/>
      <c r="J15" s="324" t="s">
        <v>9</v>
      </c>
      <c r="K15" s="325"/>
    </row>
    <row r="16" spans="1:15" x14ac:dyDescent="0.25">
      <c r="A16" s="57">
        <v>4</v>
      </c>
      <c r="B16" s="327" t="s">
        <v>285</v>
      </c>
      <c r="C16" s="327"/>
      <c r="D16" s="327"/>
      <c r="E16" s="327"/>
      <c r="F16" s="326">
        <v>0.01</v>
      </c>
      <c r="G16" s="326"/>
      <c r="H16" s="326" t="str">
        <f t="shared" si="0"/>
        <v>≤ 0,05</v>
      </c>
      <c r="I16" s="326"/>
      <c r="J16" s="324" t="s">
        <v>9</v>
      </c>
      <c r="K16" s="325"/>
    </row>
    <row r="17" spans="1:11" x14ac:dyDescent="0.25">
      <c r="A17" s="57">
        <v>5</v>
      </c>
      <c r="B17" s="327" t="s">
        <v>286</v>
      </c>
      <c r="C17" s="327"/>
      <c r="D17" s="327"/>
      <c r="E17" s="327"/>
      <c r="F17" s="326">
        <v>0.03</v>
      </c>
      <c r="G17" s="326"/>
      <c r="H17" s="326" t="str">
        <f t="shared" si="0"/>
        <v>≤ 0,05</v>
      </c>
      <c r="I17" s="326"/>
      <c r="J17" s="324" t="s">
        <v>9</v>
      </c>
      <c r="K17" s="325"/>
    </row>
    <row r="19" spans="1:11" ht="15" customHeight="1" x14ac:dyDescent="0.25">
      <c r="A19" s="329" t="s">
        <v>340</v>
      </c>
      <c r="B19" s="311"/>
      <c r="C19" s="311"/>
      <c r="D19" s="311"/>
      <c r="E19" s="311"/>
      <c r="F19" s="311"/>
      <c r="G19" s="311"/>
      <c r="H19" s="311"/>
      <c r="I19" s="311"/>
      <c r="J19" s="311"/>
      <c r="K19" s="311"/>
    </row>
    <row r="20" spans="1:11" s="3" customFormat="1" ht="13.15" customHeight="1" x14ac:dyDescent="0.2">
      <c r="A20" s="67" t="s">
        <v>327</v>
      </c>
      <c r="C20" s="3">
        <f>прот.№1!C26</f>
        <v>15</v>
      </c>
      <c r="D20" s="3" t="s">
        <v>328</v>
      </c>
    </row>
    <row r="21" spans="1:11" s="3" customFormat="1" ht="12.95" customHeight="1" x14ac:dyDescent="0.2">
      <c r="A21" s="66" t="s">
        <v>329</v>
      </c>
      <c r="B21" s="32"/>
      <c r="C21" s="3">
        <f>прот.№1!C27</f>
        <v>70</v>
      </c>
      <c r="D21" s="3" t="s">
        <v>330</v>
      </c>
    </row>
    <row r="22" spans="1:11" s="3" customFormat="1" ht="12.95" customHeight="1" x14ac:dyDescent="0.2">
      <c r="A22" s="66" t="s">
        <v>331</v>
      </c>
      <c r="C22" s="392" t="str">
        <f>прот.№1!C28</f>
        <v>745</v>
      </c>
      <c r="D22" s="3" t="s">
        <v>332</v>
      </c>
    </row>
    <row r="23" spans="1:11" ht="12.95" customHeight="1" x14ac:dyDescent="0.25">
      <c r="A23" s="236" t="s">
        <v>282</v>
      </c>
      <c r="B23" s="311"/>
      <c r="C23" s="311"/>
      <c r="D23" s="311"/>
      <c r="E23" s="311"/>
      <c r="F23" s="311"/>
      <c r="G23" s="311"/>
      <c r="H23" s="311"/>
      <c r="I23" s="311"/>
      <c r="J23" s="311"/>
      <c r="K23" s="311"/>
    </row>
    <row r="24" spans="1:11" ht="12.95" customHeight="1" x14ac:dyDescent="0.25">
      <c r="A24" s="236" t="s">
        <v>283</v>
      </c>
      <c r="B24" s="311"/>
      <c r="C24" s="311"/>
      <c r="D24" s="311"/>
      <c r="E24" s="311"/>
      <c r="F24" s="311"/>
      <c r="G24" s="311"/>
      <c r="H24" s="311"/>
      <c r="I24" s="311"/>
      <c r="J24" s="311"/>
      <c r="K24" s="311"/>
    </row>
    <row r="25" spans="1:11" x14ac:dyDescent="0.25">
      <c r="A25" s="322"/>
      <c r="B25" s="322"/>
      <c r="C25" s="1"/>
      <c r="D25" s="1"/>
      <c r="E25" s="1"/>
      <c r="F25" s="1"/>
      <c r="G25" s="1"/>
    </row>
    <row r="26" spans="1:11" s="3" customFormat="1" ht="24.95" customHeight="1" x14ac:dyDescent="0.2">
      <c r="A26" s="302" t="s">
        <v>31</v>
      </c>
      <c r="B26" s="294" t="s">
        <v>43</v>
      </c>
      <c r="C26" s="295"/>
      <c r="D26" s="295"/>
      <c r="E26" s="296"/>
      <c r="F26" s="302" t="s">
        <v>499</v>
      </c>
      <c r="G26" s="300" t="s">
        <v>44</v>
      </c>
      <c r="H26" s="301"/>
      <c r="I26" s="302" t="s">
        <v>45</v>
      </c>
      <c r="J26" s="304" t="s">
        <v>500</v>
      </c>
      <c r="K26" s="305"/>
    </row>
    <row r="27" spans="1:11" s="3" customFormat="1" ht="24.95" customHeight="1" x14ac:dyDescent="0.2">
      <c r="A27" s="303"/>
      <c r="B27" s="297"/>
      <c r="C27" s="298"/>
      <c r="D27" s="298"/>
      <c r="E27" s="299"/>
      <c r="F27" s="303"/>
      <c r="G27" s="142" t="s">
        <v>46</v>
      </c>
      <c r="H27" s="142" t="s">
        <v>47</v>
      </c>
      <c r="I27" s="303"/>
      <c r="J27" s="306"/>
      <c r="K27" s="307"/>
    </row>
    <row r="28" spans="1:11" s="3" customFormat="1" ht="23.1" customHeight="1" x14ac:dyDescent="0.2">
      <c r="A28" s="142">
        <v>1</v>
      </c>
      <c r="B28" s="287" t="s">
        <v>258</v>
      </c>
      <c r="C28" s="288"/>
      <c r="D28" s="288"/>
      <c r="E28" s="289"/>
      <c r="F28" s="142" t="s">
        <v>259</v>
      </c>
      <c r="G28" s="142" t="s">
        <v>264</v>
      </c>
      <c r="H28" s="142" t="s">
        <v>48</v>
      </c>
      <c r="I28" s="158">
        <f>Оборудование!I4</f>
        <v>46850</v>
      </c>
      <c r="J28" s="290" t="str">
        <f>Оборудование!J4</f>
        <v>С-ТТ/08-04-2026/517582908</v>
      </c>
      <c r="K28" s="291"/>
    </row>
    <row r="29" spans="1:11" s="3" customFormat="1" ht="23.1" customHeight="1" x14ac:dyDescent="0.2">
      <c r="A29" s="142">
        <v>2</v>
      </c>
      <c r="B29" s="287" t="s">
        <v>260</v>
      </c>
      <c r="C29" s="288"/>
      <c r="D29" s="288"/>
      <c r="E29" s="289"/>
      <c r="F29" s="142">
        <v>134</v>
      </c>
      <c r="G29" s="142" t="s">
        <v>265</v>
      </c>
      <c r="H29" s="142">
        <v>0.1</v>
      </c>
      <c r="I29" s="158">
        <f>Оборудование!I3</f>
        <v>47945</v>
      </c>
      <c r="J29" s="292" t="str">
        <f>Оборудование!J3</f>
        <v>С-ТТ/08-04-2026/517582895</v>
      </c>
      <c r="K29" s="293"/>
    </row>
    <row r="30" spans="1:11" s="3" customFormat="1" ht="23.1" customHeight="1" x14ac:dyDescent="0.2">
      <c r="A30" s="142">
        <v>3</v>
      </c>
      <c r="B30" s="287" t="s">
        <v>261</v>
      </c>
      <c r="C30" s="288"/>
      <c r="D30" s="288"/>
      <c r="E30" s="289"/>
      <c r="F30" s="142">
        <v>15036</v>
      </c>
      <c r="G30" s="142" t="s">
        <v>262</v>
      </c>
      <c r="H30" s="142">
        <v>2</v>
      </c>
      <c r="I30" s="158">
        <f>Оборудование!I12</f>
        <v>46175</v>
      </c>
      <c r="J30" s="292" t="str">
        <f>Оборудование!J12</f>
        <v>С-ТТ/02-06-2025/436900431</v>
      </c>
      <c r="K30" s="293"/>
    </row>
    <row r="31" spans="1:11" s="3" customFormat="1" ht="23.1" customHeight="1" x14ac:dyDescent="0.2">
      <c r="A31" s="142">
        <v>4</v>
      </c>
      <c r="B31" s="287" t="s">
        <v>263</v>
      </c>
      <c r="C31" s="288"/>
      <c r="D31" s="288"/>
      <c r="E31" s="289"/>
      <c r="F31" s="142">
        <v>3141</v>
      </c>
      <c r="G31" s="142" t="s">
        <v>266</v>
      </c>
      <c r="H31" s="142">
        <v>3</v>
      </c>
      <c r="I31" s="158">
        <f>Оборудование!I13</f>
        <v>46850</v>
      </c>
      <c r="J31" s="292" t="str">
        <f>Оборудование!J13</f>
        <v>С-ТТ/08-04-2026/517582910</v>
      </c>
      <c r="K31" s="293"/>
    </row>
    <row r="33" spans="1:11" ht="12.95" customHeight="1" x14ac:dyDescent="0.25">
      <c r="A33" s="318" t="s">
        <v>4</v>
      </c>
      <c r="B33" s="319"/>
      <c r="C33" s="319"/>
      <c r="D33" s="319"/>
      <c r="E33" s="319"/>
      <c r="F33" s="319"/>
      <c r="G33" s="319"/>
      <c r="H33" s="319"/>
      <c r="I33" s="319"/>
      <c r="J33" s="319"/>
      <c r="K33" s="319"/>
    </row>
    <row r="34" spans="1:11" ht="26.1" customHeight="1" x14ac:dyDescent="0.25">
      <c r="A34" s="321" t="s">
        <v>5</v>
      </c>
      <c r="B34" s="319"/>
      <c r="C34" s="319"/>
      <c r="D34" s="319"/>
      <c r="E34" s="319"/>
      <c r="F34" s="319"/>
      <c r="G34" s="319"/>
      <c r="H34" s="319"/>
      <c r="I34" s="319"/>
      <c r="J34" s="319"/>
      <c r="K34" s="319"/>
    </row>
    <row r="35" spans="1:11" ht="12.95" customHeight="1" x14ac:dyDescent="0.25">
      <c r="A35" s="321" t="s">
        <v>6</v>
      </c>
      <c r="B35" s="319"/>
      <c r="C35" s="319"/>
      <c r="D35" s="319"/>
      <c r="E35" s="319"/>
      <c r="F35" s="319"/>
      <c r="G35" s="319"/>
      <c r="H35" s="319"/>
      <c r="I35" s="319"/>
      <c r="J35" s="319"/>
      <c r="K35" s="319"/>
    </row>
    <row r="36" spans="1:11" ht="12.95" customHeight="1" x14ac:dyDescent="0.25">
      <c r="A36" s="321" t="s">
        <v>7</v>
      </c>
      <c r="B36" s="319"/>
      <c r="C36" s="319"/>
      <c r="D36" s="319"/>
      <c r="E36" s="319"/>
      <c r="F36" s="319"/>
      <c r="G36" s="319"/>
      <c r="H36" s="319"/>
      <c r="I36" s="319"/>
      <c r="J36" s="319"/>
      <c r="K36" s="319"/>
    </row>
    <row r="37" spans="1:11" ht="26.1" customHeight="1" x14ac:dyDescent="0.25">
      <c r="A37" s="321" t="s">
        <v>554</v>
      </c>
      <c r="B37" s="319"/>
      <c r="C37" s="319"/>
      <c r="D37" s="319"/>
      <c r="E37" s="319"/>
      <c r="F37" s="319"/>
      <c r="G37" s="319"/>
      <c r="H37" s="319"/>
      <c r="I37" s="319"/>
      <c r="J37" s="319"/>
      <c r="K37" s="319"/>
    </row>
    <row r="38" spans="1:11" s="175" customFormat="1" ht="11.25" x14ac:dyDescent="0.2">
      <c r="A38" s="175" t="s">
        <v>613</v>
      </c>
    </row>
    <row r="40" spans="1:11" s="3" customFormat="1" ht="30" customHeight="1" x14ac:dyDescent="0.2">
      <c r="A40" s="245" t="s">
        <v>207</v>
      </c>
      <c r="B40" s="245"/>
      <c r="C40" s="247" t="str">
        <f>'Данные объект'!$B$64</f>
        <v>Зам. руководителя ЭИЛ</v>
      </c>
      <c r="D40" s="247"/>
      <c r="E40" s="247"/>
      <c r="F40" s="140"/>
      <c r="G40" s="6"/>
      <c r="H40" s="140"/>
      <c r="I40" s="247" t="str">
        <f>'Данные объект'!$B$65</f>
        <v>Фечин А.А.</v>
      </c>
      <c r="J40" s="247"/>
      <c r="K40" s="140"/>
    </row>
    <row r="41" spans="1:11" s="3" customFormat="1" ht="9" customHeight="1" x14ac:dyDescent="0.2">
      <c r="A41" s="32" t="s">
        <v>210</v>
      </c>
      <c r="B41" s="140"/>
      <c r="C41" s="248" t="s">
        <v>208</v>
      </c>
      <c r="D41" s="248"/>
      <c r="E41" s="248"/>
      <c r="F41" s="33"/>
      <c r="G41" s="34" t="s">
        <v>209</v>
      </c>
      <c r="H41" s="33"/>
      <c r="I41" s="248" t="s">
        <v>211</v>
      </c>
      <c r="J41" s="248"/>
      <c r="K41" s="140"/>
    </row>
    <row r="42" spans="1:11" s="3" customFormat="1" ht="9.9499999999999993" customHeight="1" x14ac:dyDescent="0.2">
      <c r="A42" s="245" t="s">
        <v>49</v>
      </c>
      <c r="B42" s="239"/>
      <c r="C42" s="239"/>
      <c r="D42" s="239"/>
      <c r="E42" s="239"/>
      <c r="F42" s="239"/>
      <c r="G42" s="239"/>
      <c r="H42" s="239"/>
      <c r="I42" s="239"/>
      <c r="J42" s="239"/>
      <c r="K42" s="239"/>
    </row>
    <row r="43" spans="1:11" s="3" customFormat="1" ht="20.100000000000001" customHeight="1" x14ac:dyDescent="0.2">
      <c r="A43" s="245" t="s">
        <v>50</v>
      </c>
      <c r="B43" s="245"/>
      <c r="C43" s="245"/>
      <c r="D43" s="245"/>
      <c r="E43" s="245"/>
      <c r="F43" s="245"/>
      <c r="G43" s="245"/>
      <c r="H43" s="245"/>
      <c r="I43" s="245"/>
      <c r="J43" s="245"/>
      <c r="K43" s="245"/>
    </row>
    <row r="44" spans="1:11" s="3" customFormat="1" ht="30" customHeight="1" x14ac:dyDescent="0.2">
      <c r="A44" s="245"/>
      <c r="B44" s="245"/>
      <c r="C44" s="247" t="str">
        <f>'Данные объект'!$B$66</f>
        <v>Инженер ЭИЛ</v>
      </c>
      <c r="D44" s="247"/>
      <c r="E44" s="247"/>
      <c r="F44" s="140"/>
      <c r="G44" s="6"/>
      <c r="H44" s="140"/>
      <c r="I44" s="247" t="str">
        <f>'Данные объект'!$B$67</f>
        <v>Косырин А.Н.</v>
      </c>
      <c r="J44" s="247"/>
      <c r="K44" s="140"/>
    </row>
    <row r="45" spans="1:11" s="3" customFormat="1" ht="9" customHeight="1" x14ac:dyDescent="0.2">
      <c r="A45" s="32" t="s">
        <v>210</v>
      </c>
      <c r="B45" s="140"/>
      <c r="C45" s="248" t="s">
        <v>208</v>
      </c>
      <c r="D45" s="248"/>
      <c r="E45" s="248"/>
      <c r="F45" s="33"/>
      <c r="G45" s="34" t="s">
        <v>209</v>
      </c>
      <c r="H45" s="33"/>
      <c r="I45" s="248" t="s">
        <v>211</v>
      </c>
      <c r="J45" s="248"/>
      <c r="K45" s="140"/>
    </row>
    <row r="46" spans="1:11" s="3" customFormat="1" ht="11.25" x14ac:dyDescent="0.2">
      <c r="A46" s="140"/>
      <c r="B46" s="140"/>
      <c r="C46" s="140"/>
      <c r="D46" s="140"/>
      <c r="E46" s="140"/>
      <c r="F46" s="140"/>
      <c r="G46" s="140"/>
      <c r="H46" s="140"/>
      <c r="I46" s="140"/>
      <c r="J46" s="140"/>
      <c r="K46" s="140"/>
    </row>
    <row r="47" spans="1:11" s="3" customFormat="1" ht="30" customHeight="1" x14ac:dyDescent="0.2">
      <c r="A47" s="245" t="s">
        <v>212</v>
      </c>
      <c r="B47" s="245"/>
      <c r="C47" s="247" t="str">
        <f>'Данные объект'!$B$61</f>
        <v xml:space="preserve">Руководитель ЭИЛ </v>
      </c>
      <c r="D47" s="247"/>
      <c r="E47" s="247"/>
      <c r="F47" s="140"/>
      <c r="G47" s="6"/>
      <c r="H47" s="140"/>
      <c r="I47" s="247" t="str">
        <f>'Данные объект'!$B$62</f>
        <v xml:space="preserve"> Щербаков А.А.</v>
      </c>
      <c r="J47" s="247"/>
      <c r="K47" s="140"/>
    </row>
    <row r="48" spans="1:11" s="3" customFormat="1" ht="9" customHeight="1" x14ac:dyDescent="0.2">
      <c r="A48" s="32" t="s">
        <v>210</v>
      </c>
      <c r="B48" s="140"/>
      <c r="C48" s="248" t="s">
        <v>208</v>
      </c>
      <c r="D48" s="248"/>
      <c r="E48" s="248"/>
      <c r="F48" s="33"/>
      <c r="G48" s="34" t="s">
        <v>209</v>
      </c>
      <c r="H48" s="33"/>
      <c r="I48" s="248" t="s">
        <v>211</v>
      </c>
      <c r="J48" s="248"/>
      <c r="K48" s="140"/>
    </row>
  </sheetData>
  <mergeCells count="78">
    <mergeCell ref="C47:E47"/>
    <mergeCell ref="I47:J47"/>
    <mergeCell ref="C48:E48"/>
    <mergeCell ref="I48:J48"/>
    <mergeCell ref="B31:E31"/>
    <mergeCell ref="J31:K31"/>
    <mergeCell ref="A40:B40"/>
    <mergeCell ref="C40:E40"/>
    <mergeCell ref="I40:J40"/>
    <mergeCell ref="A33:K33"/>
    <mergeCell ref="A34:K34"/>
    <mergeCell ref="A35:K35"/>
    <mergeCell ref="A36:K36"/>
    <mergeCell ref="A37:K37"/>
    <mergeCell ref="A42:K42"/>
    <mergeCell ref="A43:K43"/>
    <mergeCell ref="A23:K23"/>
    <mergeCell ref="A24:K24"/>
    <mergeCell ref="A25:B25"/>
    <mergeCell ref="A1:D1"/>
    <mergeCell ref="H1:K1"/>
    <mergeCell ref="A2:D3"/>
    <mergeCell ref="H2:K2"/>
    <mergeCell ref="H3:K3"/>
    <mergeCell ref="A19:K19"/>
    <mergeCell ref="A7:K7"/>
    <mergeCell ref="A8:K8"/>
    <mergeCell ref="B5:C5"/>
    <mergeCell ref="J5:K5"/>
    <mergeCell ref="A10:K10"/>
    <mergeCell ref="A11:A12"/>
    <mergeCell ref="F13:G13"/>
    <mergeCell ref="A44:B44"/>
    <mergeCell ref="C44:E44"/>
    <mergeCell ref="I44:J44"/>
    <mergeCell ref="A26:A27"/>
    <mergeCell ref="F26:F27"/>
    <mergeCell ref="B26:E27"/>
    <mergeCell ref="G26:H26"/>
    <mergeCell ref="I26:I27"/>
    <mergeCell ref="J26:K27"/>
    <mergeCell ref="B28:E28"/>
    <mergeCell ref="J28:K28"/>
    <mergeCell ref="B29:E29"/>
    <mergeCell ref="J29:K29"/>
    <mergeCell ref="B30:E30"/>
    <mergeCell ref="J30:K30"/>
    <mergeCell ref="C45:E45"/>
    <mergeCell ref="I45:J45"/>
    <mergeCell ref="A47:B47"/>
    <mergeCell ref="B6:C6"/>
    <mergeCell ref="J6:K6"/>
    <mergeCell ref="B11:E12"/>
    <mergeCell ref="B13:E13"/>
    <mergeCell ref="B14:E14"/>
    <mergeCell ref="B15:E15"/>
    <mergeCell ref="B16:E16"/>
    <mergeCell ref="B17:E17"/>
    <mergeCell ref="F11:I11"/>
    <mergeCell ref="F12:G12"/>
    <mergeCell ref="H12:I12"/>
    <mergeCell ref="C41:E41"/>
    <mergeCell ref="I41:J41"/>
    <mergeCell ref="F14:G14"/>
    <mergeCell ref="F15:G15"/>
    <mergeCell ref="F16:G16"/>
    <mergeCell ref="F17:G17"/>
    <mergeCell ref="J17:K17"/>
    <mergeCell ref="H13:I13"/>
    <mergeCell ref="H14:I14"/>
    <mergeCell ref="H15:I15"/>
    <mergeCell ref="H16:I16"/>
    <mergeCell ref="H17:I17"/>
    <mergeCell ref="J11:K12"/>
    <mergeCell ref="J13:K13"/>
    <mergeCell ref="J14:K14"/>
    <mergeCell ref="J15:K15"/>
    <mergeCell ref="J16:K16"/>
  </mergeCells>
  <phoneticPr fontId="31" type="noConversion"/>
  <pageMargins left="0.59" right="0.3" top="0.79" bottom="0.79" header="0.49" footer="0.49"/>
  <pageSetup paperSize="9" scale="9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5107B-C771-42BA-BAAF-1CE0ADEE9A13}">
  <dimension ref="A1:K46"/>
  <sheetViews>
    <sheetView view="pageBreakPreview" topLeftCell="A10" zoomScaleNormal="100" zoomScaleSheetLayoutView="100" workbookViewId="0">
      <selection activeCell="C19" sqref="C19"/>
    </sheetView>
  </sheetViews>
  <sheetFormatPr defaultColWidth="9.140625" defaultRowHeight="15" x14ac:dyDescent="0.25"/>
  <cols>
    <col min="8" max="8" width="9.42578125" customWidth="1"/>
  </cols>
  <sheetData>
    <row r="1" spans="1:11" s="3" customFormat="1" ht="18.600000000000001" customHeight="1" x14ac:dyDescent="0.2">
      <c r="A1" s="262" t="str">
        <f>'Данные объект'!B58</f>
        <v xml:space="preserve"> ООО «Энергосистемы»</v>
      </c>
      <c r="B1" s="262"/>
      <c r="C1" s="262"/>
      <c r="D1" s="262"/>
      <c r="G1" s="4" t="s">
        <v>11</v>
      </c>
      <c r="H1" s="259" t="str">
        <f>'Данные объект'!B34</f>
        <v>ПАО "Россети Московский регион"</v>
      </c>
      <c r="I1" s="259"/>
      <c r="J1" s="259"/>
      <c r="K1" s="259"/>
    </row>
    <row r="2" spans="1:11" s="3" customFormat="1" ht="27" customHeight="1" x14ac:dyDescent="0.2">
      <c r="A2" s="262" t="str">
        <f>'Данные объект'!C58</f>
        <v>Испытательная электролаборатория 141508, Московская область, г.о. Солнечногорск, г. Солнечногорск, ул. Промышленная, стр. 5, помещение 179, Свидетельсто о регистрации №5.3-6420 от 15 мая 2024г</v>
      </c>
      <c r="B2" s="262"/>
      <c r="C2" s="262"/>
      <c r="D2" s="262"/>
      <c r="G2" s="4" t="s">
        <v>12</v>
      </c>
      <c r="H2" s="260" t="str">
        <f>'Данные объект'!B18</f>
        <v>ВЛ от ТП ф.</v>
      </c>
      <c r="I2" s="260"/>
      <c r="J2" s="260"/>
      <c r="K2" s="260"/>
    </row>
    <row r="3" spans="1:11" s="3" customFormat="1" ht="31.15" customHeight="1" x14ac:dyDescent="0.2">
      <c r="A3" s="262"/>
      <c r="B3" s="262"/>
      <c r="C3" s="262"/>
      <c r="D3" s="262"/>
      <c r="G3" s="4" t="s">
        <v>13</v>
      </c>
      <c r="H3" s="261" t="str">
        <f>'Данные объект'!B5</f>
        <v>Лобня г, Шереметьевское ш, дом 10</v>
      </c>
      <c r="I3" s="261"/>
      <c r="J3" s="261"/>
      <c r="K3" s="261"/>
    </row>
    <row r="4" spans="1:11" s="3" customFormat="1" ht="15" customHeight="1" x14ac:dyDescent="0.2">
      <c r="A4" s="29"/>
      <c r="B4" s="29"/>
      <c r="C4" s="29"/>
      <c r="D4" s="29"/>
      <c r="G4" s="4"/>
      <c r="H4" s="4"/>
      <c r="I4" s="4"/>
      <c r="J4" s="4"/>
      <c r="K4" s="4"/>
    </row>
    <row r="5" spans="1:11" s="3" customFormat="1" ht="11.25" x14ac:dyDescent="0.2">
      <c r="A5" s="5"/>
      <c r="B5" s="249"/>
      <c r="C5" s="249"/>
      <c r="J5" s="249" t="s">
        <v>14</v>
      </c>
      <c r="K5" s="249"/>
    </row>
    <row r="6" spans="1:11" s="3" customFormat="1" ht="10.15" customHeight="1" x14ac:dyDescent="0.2">
      <c r="A6" s="5"/>
      <c r="B6" s="250"/>
      <c r="C6" s="250"/>
      <c r="J6" s="263" t="str">
        <f>'Данные объект'!B8</f>
        <v>25.06.2025</v>
      </c>
      <c r="K6" s="263"/>
    </row>
    <row r="7" spans="1:11" s="3" customFormat="1" ht="11.25" x14ac:dyDescent="0.2">
      <c r="A7" s="5"/>
      <c r="B7" s="28"/>
      <c r="C7" s="28"/>
      <c r="J7" s="20"/>
      <c r="K7" s="20"/>
    </row>
    <row r="8" spans="1:11" ht="15.95" customHeight="1" x14ac:dyDescent="0.25">
      <c r="A8" s="275" t="s">
        <v>273</v>
      </c>
      <c r="B8" s="281"/>
      <c r="C8" s="281"/>
      <c r="D8" s="281"/>
      <c r="E8" s="281"/>
      <c r="F8" s="281"/>
      <c r="G8" s="281"/>
      <c r="H8" s="281"/>
      <c r="I8" s="281"/>
      <c r="J8" s="281"/>
      <c r="K8" s="281"/>
    </row>
    <row r="9" spans="1:11" ht="32.1" customHeight="1" x14ac:dyDescent="0.25">
      <c r="A9" s="278" t="s">
        <v>274</v>
      </c>
      <c r="B9" s="281"/>
      <c r="C9" s="281"/>
      <c r="D9" s="281"/>
      <c r="E9" s="281"/>
      <c r="F9" s="281"/>
      <c r="G9" s="281"/>
      <c r="H9" s="281"/>
      <c r="I9" s="281"/>
      <c r="J9" s="281"/>
      <c r="K9" s="281"/>
    </row>
    <row r="10" spans="1:11" s="3" customFormat="1" ht="11.25" x14ac:dyDescent="0.2">
      <c r="A10" s="309" t="s">
        <v>162</v>
      </c>
      <c r="B10" s="216" t="s">
        <v>163</v>
      </c>
      <c r="C10" s="216"/>
      <c r="D10" s="216"/>
      <c r="E10" s="216"/>
      <c r="F10" s="216"/>
      <c r="G10" s="216"/>
      <c r="H10" s="309" t="s">
        <v>556</v>
      </c>
      <c r="I10" s="309" t="s">
        <v>165</v>
      </c>
      <c r="J10" s="309"/>
      <c r="K10" s="309" t="s">
        <v>166</v>
      </c>
    </row>
    <row r="11" spans="1:11" s="3" customFormat="1" ht="11.25" x14ac:dyDescent="0.2">
      <c r="A11" s="309"/>
      <c r="B11" s="309" t="s">
        <v>167</v>
      </c>
      <c r="C11" s="310" t="s">
        <v>203</v>
      </c>
      <c r="D11" s="216" t="s">
        <v>168</v>
      </c>
      <c r="E11" s="216"/>
      <c r="F11" s="216"/>
      <c r="G11" s="216"/>
      <c r="H11" s="309"/>
      <c r="I11" s="309"/>
      <c r="J11" s="309"/>
      <c r="K11" s="309"/>
    </row>
    <row r="12" spans="1:11" s="3" customFormat="1" ht="45.75" customHeight="1" x14ac:dyDescent="0.2">
      <c r="A12" s="309"/>
      <c r="B12" s="309"/>
      <c r="C12" s="310"/>
      <c r="D12" s="143" t="s">
        <v>169</v>
      </c>
      <c r="E12" s="143" t="s">
        <v>170</v>
      </c>
      <c r="F12" s="143" t="s">
        <v>555</v>
      </c>
      <c r="G12" s="14" t="s">
        <v>171</v>
      </c>
      <c r="H12" s="309"/>
      <c r="I12" s="141" t="s">
        <v>172</v>
      </c>
      <c r="J12" s="141" t="s">
        <v>173</v>
      </c>
      <c r="K12" s="309"/>
    </row>
    <row r="13" spans="1:11" s="3" customFormat="1" ht="22.5" x14ac:dyDescent="0.2">
      <c r="A13" s="133" t="s">
        <v>276</v>
      </c>
      <c r="B13" s="133" t="s">
        <v>277</v>
      </c>
      <c r="C13" s="133">
        <v>16</v>
      </c>
      <c r="D13" s="160">
        <f>C$13*10</f>
        <v>160</v>
      </c>
      <c r="E13" s="160">
        <f>C13*10+10</f>
        <v>170</v>
      </c>
      <c r="F13" s="160">
        <f>C$13*10-5</f>
        <v>155</v>
      </c>
      <c r="G13" s="141" t="s">
        <v>133</v>
      </c>
      <c r="H13" s="141">
        <f>C$13*10*1.1</f>
        <v>176</v>
      </c>
      <c r="I13" s="141" t="s">
        <v>181</v>
      </c>
      <c r="J13" s="141" t="s">
        <v>175</v>
      </c>
      <c r="K13" s="141" t="s">
        <v>278</v>
      </c>
    </row>
    <row r="16" spans="1:11" ht="12.95" customHeight="1" x14ac:dyDescent="0.25">
      <c r="A16" s="236" t="s">
        <v>267</v>
      </c>
      <c r="B16" s="311"/>
      <c r="C16" s="311"/>
      <c r="D16" s="311"/>
      <c r="E16" s="311"/>
      <c r="F16" s="311"/>
      <c r="G16" s="311"/>
      <c r="H16" s="311"/>
      <c r="I16" s="311"/>
      <c r="J16" s="311"/>
      <c r="K16" s="311"/>
    </row>
    <row r="17" spans="1:11" s="3" customFormat="1" ht="13.15" customHeight="1" x14ac:dyDescent="0.2">
      <c r="A17" s="67" t="s">
        <v>337</v>
      </c>
      <c r="C17" s="3">
        <f>прот.№1!C26</f>
        <v>15</v>
      </c>
      <c r="D17" s="3" t="s">
        <v>328</v>
      </c>
    </row>
    <row r="18" spans="1:11" s="3" customFormat="1" ht="12.95" customHeight="1" x14ac:dyDescent="0.2">
      <c r="A18" s="32" t="s">
        <v>338</v>
      </c>
      <c r="C18" s="3">
        <f>прот.№1!C27</f>
        <v>70</v>
      </c>
      <c r="D18" s="3" t="s">
        <v>330</v>
      </c>
    </row>
    <row r="19" spans="1:11" s="3" customFormat="1" ht="12.95" customHeight="1" x14ac:dyDescent="0.2">
      <c r="A19" s="66" t="s">
        <v>339</v>
      </c>
      <c r="C19" s="392" t="str">
        <f>прот.№1!C28</f>
        <v>745</v>
      </c>
      <c r="D19" s="3" t="s">
        <v>332</v>
      </c>
    </row>
    <row r="20" spans="1:11" x14ac:dyDescent="0.25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6"/>
    </row>
    <row r="21" spans="1:11" ht="12.95" customHeight="1" x14ac:dyDescent="0.25">
      <c r="A21" s="236" t="s">
        <v>268</v>
      </c>
      <c r="B21" s="311"/>
      <c r="C21" s="311"/>
      <c r="D21" s="311"/>
      <c r="E21" s="311"/>
      <c r="F21" s="311"/>
      <c r="G21" s="311"/>
      <c r="H21" s="311"/>
      <c r="I21" s="311"/>
      <c r="J21" s="311"/>
      <c r="K21" s="311"/>
    </row>
    <row r="22" spans="1:11" x14ac:dyDescent="0.25">
      <c r="A22" s="322"/>
      <c r="B22" s="322"/>
      <c r="C22" s="1"/>
      <c r="D22" s="1"/>
      <c r="E22" s="1"/>
      <c r="F22" s="1"/>
      <c r="G22" s="1"/>
    </row>
    <row r="23" spans="1:11" s="3" customFormat="1" ht="24.95" customHeight="1" x14ac:dyDescent="0.2">
      <c r="A23" s="302" t="s">
        <v>31</v>
      </c>
      <c r="B23" s="294" t="s">
        <v>43</v>
      </c>
      <c r="C23" s="295"/>
      <c r="D23" s="295"/>
      <c r="E23" s="296"/>
      <c r="F23" s="302" t="s">
        <v>499</v>
      </c>
      <c r="G23" s="300" t="s">
        <v>44</v>
      </c>
      <c r="H23" s="301"/>
      <c r="I23" s="302" t="s">
        <v>45</v>
      </c>
      <c r="J23" s="304" t="s">
        <v>500</v>
      </c>
      <c r="K23" s="305"/>
    </row>
    <row r="24" spans="1:11" s="3" customFormat="1" ht="24.95" customHeight="1" x14ac:dyDescent="0.2">
      <c r="A24" s="303"/>
      <c r="B24" s="297"/>
      <c r="C24" s="298"/>
      <c r="D24" s="298"/>
      <c r="E24" s="299"/>
      <c r="F24" s="303"/>
      <c r="G24" s="142" t="s">
        <v>46</v>
      </c>
      <c r="H24" s="142" t="s">
        <v>47</v>
      </c>
      <c r="I24" s="303"/>
      <c r="J24" s="306"/>
      <c r="K24" s="307"/>
    </row>
    <row r="25" spans="1:11" s="3" customFormat="1" ht="23.1" customHeight="1" x14ac:dyDescent="0.2">
      <c r="A25" s="142">
        <v>1</v>
      </c>
      <c r="B25" s="287" t="s">
        <v>258</v>
      </c>
      <c r="C25" s="288"/>
      <c r="D25" s="288"/>
      <c r="E25" s="289"/>
      <c r="F25" s="142" t="s">
        <v>259</v>
      </c>
      <c r="G25" s="142" t="s">
        <v>264</v>
      </c>
      <c r="H25" s="142" t="s">
        <v>48</v>
      </c>
      <c r="I25" s="158">
        <f>Оборудование!I4</f>
        <v>46850</v>
      </c>
      <c r="J25" s="290" t="str">
        <f>Оборудование!J4</f>
        <v>С-ТТ/08-04-2026/517582908</v>
      </c>
      <c r="K25" s="291"/>
    </row>
    <row r="26" spans="1:11" s="3" customFormat="1" ht="23.1" customHeight="1" x14ac:dyDescent="0.2">
      <c r="A26" s="142">
        <v>2</v>
      </c>
      <c r="B26" s="287" t="s">
        <v>260</v>
      </c>
      <c r="C26" s="288"/>
      <c r="D26" s="288"/>
      <c r="E26" s="289"/>
      <c r="F26" s="142">
        <v>134</v>
      </c>
      <c r="G26" s="142" t="s">
        <v>265</v>
      </c>
      <c r="H26" s="142">
        <v>0.1</v>
      </c>
      <c r="I26" s="158">
        <f>Оборудование!I3</f>
        <v>47945</v>
      </c>
      <c r="J26" s="292" t="str">
        <f>Оборудование!J3</f>
        <v>С-ТТ/08-04-2026/517582895</v>
      </c>
      <c r="K26" s="293"/>
    </row>
    <row r="27" spans="1:11" s="3" customFormat="1" ht="23.1" customHeight="1" x14ac:dyDescent="0.2">
      <c r="A27" s="142">
        <v>3</v>
      </c>
      <c r="B27" s="287" t="s">
        <v>261</v>
      </c>
      <c r="C27" s="288"/>
      <c r="D27" s="288"/>
      <c r="E27" s="289"/>
      <c r="F27" s="142">
        <v>15036</v>
      </c>
      <c r="G27" s="142" t="s">
        <v>262</v>
      </c>
      <c r="H27" s="142">
        <v>2</v>
      </c>
      <c r="I27" s="158">
        <f>Оборудование!I12</f>
        <v>46175</v>
      </c>
      <c r="J27" s="292" t="str">
        <f>Оборудование!J12</f>
        <v>С-ТТ/02-06-2025/436900431</v>
      </c>
      <c r="K27" s="293"/>
    </row>
    <row r="28" spans="1:11" s="3" customFormat="1" ht="23.1" customHeight="1" x14ac:dyDescent="0.2">
      <c r="A28" s="142">
        <v>4</v>
      </c>
      <c r="B28" s="287" t="s">
        <v>263</v>
      </c>
      <c r="C28" s="288"/>
      <c r="D28" s="288"/>
      <c r="E28" s="289"/>
      <c r="F28" s="142">
        <v>3141</v>
      </c>
      <c r="G28" s="142" t="s">
        <v>266</v>
      </c>
      <c r="H28" s="142">
        <v>3</v>
      </c>
      <c r="I28" s="158">
        <f>Оборудование!I13</f>
        <v>46850</v>
      </c>
      <c r="J28" s="292" t="str">
        <f>Оборудование!J13</f>
        <v>С-ТТ/08-04-2026/517582910</v>
      </c>
      <c r="K28" s="293"/>
    </row>
    <row r="29" spans="1:11" s="56" customFormat="1" ht="15.6" customHeight="1" x14ac:dyDescent="0.2">
      <c r="A29" s="330" t="s">
        <v>272</v>
      </c>
      <c r="B29" s="331"/>
      <c r="C29" s="331"/>
      <c r="D29" s="331"/>
      <c r="E29" s="331"/>
      <c r="F29" s="331"/>
      <c r="G29" s="331"/>
      <c r="H29" s="331"/>
      <c r="I29" s="331"/>
      <c r="J29" s="331"/>
      <c r="K29" s="331"/>
    </row>
    <row r="30" spans="1:11" s="56" customFormat="1" ht="11.25" x14ac:dyDescent="0.2"/>
    <row r="31" spans="1:11" s="56" customFormat="1" ht="12.95" customHeight="1" x14ac:dyDescent="0.2">
      <c r="A31" s="236" t="s">
        <v>269</v>
      </c>
      <c r="B31" s="311"/>
      <c r="C31" s="311"/>
      <c r="D31" s="311"/>
      <c r="E31" s="311"/>
      <c r="F31" s="311"/>
      <c r="G31" s="311"/>
      <c r="H31" s="311"/>
      <c r="I31" s="311"/>
      <c r="J31" s="311"/>
      <c r="K31" s="311"/>
    </row>
    <row r="32" spans="1:11" s="56" customFormat="1" ht="11.25" x14ac:dyDescent="0.2"/>
    <row r="33" spans="1:11" s="56" customFormat="1" ht="12.95" customHeight="1" x14ac:dyDescent="0.2">
      <c r="A33" s="245" t="s">
        <v>270</v>
      </c>
      <c r="B33" s="311"/>
      <c r="C33" s="311"/>
      <c r="D33" s="311"/>
      <c r="E33" s="311"/>
      <c r="F33" s="311"/>
      <c r="G33" s="311"/>
      <c r="H33" s="311"/>
      <c r="I33" s="311"/>
      <c r="J33" s="311"/>
      <c r="K33" s="311"/>
    </row>
    <row r="34" spans="1:11" s="56" customFormat="1" ht="12.95" customHeight="1" x14ac:dyDescent="0.2">
      <c r="A34" s="236" t="s">
        <v>271</v>
      </c>
      <c r="B34" s="311"/>
      <c r="C34" s="311"/>
      <c r="D34" s="311"/>
      <c r="E34" s="311"/>
      <c r="F34" s="311"/>
      <c r="G34" s="311"/>
      <c r="H34" s="311"/>
      <c r="I34" s="311"/>
      <c r="J34" s="311"/>
      <c r="K34" s="311"/>
    </row>
    <row r="35" spans="1:11" s="175" customFormat="1" ht="11.25" x14ac:dyDescent="0.2">
      <c r="A35" s="175" t="s">
        <v>613</v>
      </c>
    </row>
    <row r="38" spans="1:11" s="3" customFormat="1" ht="30" customHeight="1" x14ac:dyDescent="0.2">
      <c r="A38" s="245" t="s">
        <v>207</v>
      </c>
      <c r="B38" s="245"/>
      <c r="C38" s="247" t="str">
        <f>'Данные объект'!$B$64</f>
        <v>Зам. руководителя ЭИЛ</v>
      </c>
      <c r="D38" s="247"/>
      <c r="E38" s="247"/>
      <c r="F38" s="140"/>
      <c r="G38" s="6"/>
      <c r="H38" s="140"/>
      <c r="I38" s="247" t="str">
        <f>'Данные объект'!$B$65</f>
        <v>Фечин А.А.</v>
      </c>
      <c r="J38" s="247"/>
      <c r="K38" s="140"/>
    </row>
    <row r="39" spans="1:11" s="3" customFormat="1" ht="9" customHeight="1" x14ac:dyDescent="0.2">
      <c r="A39" s="32" t="s">
        <v>210</v>
      </c>
      <c r="B39" s="140"/>
      <c r="C39" s="248" t="s">
        <v>208</v>
      </c>
      <c r="D39" s="248"/>
      <c r="E39" s="248"/>
      <c r="F39" s="33"/>
      <c r="G39" s="34" t="s">
        <v>209</v>
      </c>
      <c r="H39" s="33"/>
      <c r="I39" s="248" t="s">
        <v>211</v>
      </c>
      <c r="J39" s="248"/>
      <c r="K39" s="140"/>
    </row>
    <row r="40" spans="1:11" s="3" customFormat="1" ht="9.9499999999999993" customHeight="1" x14ac:dyDescent="0.2">
      <c r="A40" s="245" t="s">
        <v>49</v>
      </c>
      <c r="B40" s="239"/>
      <c r="C40" s="239"/>
      <c r="D40" s="239"/>
      <c r="E40" s="239"/>
      <c r="F40" s="239"/>
      <c r="G40" s="239"/>
      <c r="H40" s="239"/>
      <c r="I40" s="239"/>
      <c r="J40" s="239"/>
      <c r="K40" s="239"/>
    </row>
    <row r="41" spans="1:11" s="3" customFormat="1" ht="20.100000000000001" customHeight="1" x14ac:dyDescent="0.2">
      <c r="A41" s="245" t="s">
        <v>50</v>
      </c>
      <c r="B41" s="245"/>
      <c r="C41" s="245"/>
      <c r="D41" s="245"/>
      <c r="E41" s="245"/>
      <c r="F41" s="245"/>
      <c r="G41" s="245"/>
      <c r="H41" s="245"/>
      <c r="I41" s="245"/>
      <c r="J41" s="245"/>
      <c r="K41" s="245"/>
    </row>
    <row r="42" spans="1:11" s="3" customFormat="1" ht="30" customHeight="1" x14ac:dyDescent="0.2">
      <c r="A42" s="245"/>
      <c r="B42" s="245"/>
      <c r="C42" s="247" t="str">
        <f>'Данные объект'!$B$66</f>
        <v>Инженер ЭИЛ</v>
      </c>
      <c r="D42" s="247"/>
      <c r="E42" s="247"/>
      <c r="F42" s="140"/>
      <c r="G42" s="6"/>
      <c r="H42" s="140"/>
      <c r="I42" s="247" t="str">
        <f>'Данные объект'!$B$67</f>
        <v>Косырин А.Н.</v>
      </c>
      <c r="J42" s="247"/>
      <c r="K42" s="140"/>
    </row>
    <row r="43" spans="1:11" s="3" customFormat="1" ht="9" customHeight="1" x14ac:dyDescent="0.2">
      <c r="A43" s="32" t="s">
        <v>210</v>
      </c>
      <c r="B43" s="140"/>
      <c r="C43" s="248" t="s">
        <v>208</v>
      </c>
      <c r="D43" s="248"/>
      <c r="E43" s="248"/>
      <c r="F43" s="33"/>
      <c r="G43" s="34" t="s">
        <v>209</v>
      </c>
      <c r="H43" s="33"/>
      <c r="I43" s="248" t="s">
        <v>211</v>
      </c>
      <c r="J43" s="248"/>
      <c r="K43" s="140"/>
    </row>
    <row r="44" spans="1:11" s="3" customFormat="1" ht="11.25" x14ac:dyDescent="0.2">
      <c r="A44" s="140"/>
      <c r="B44" s="140"/>
      <c r="C44" s="140"/>
      <c r="D44" s="140"/>
      <c r="E44" s="140"/>
      <c r="F44" s="140"/>
      <c r="G44" s="140"/>
      <c r="H44" s="140"/>
      <c r="I44" s="140"/>
      <c r="J44" s="140"/>
      <c r="K44" s="140"/>
    </row>
    <row r="45" spans="1:11" s="3" customFormat="1" ht="30" customHeight="1" x14ac:dyDescent="0.2">
      <c r="A45" s="245" t="s">
        <v>212</v>
      </c>
      <c r="B45" s="245"/>
      <c r="C45" s="247" t="str">
        <f>'Данные объект'!$B$61</f>
        <v xml:space="preserve">Руководитель ЭИЛ </v>
      </c>
      <c r="D45" s="247"/>
      <c r="E45" s="247"/>
      <c r="F45" s="140"/>
      <c r="G45" s="6"/>
      <c r="H45" s="140"/>
      <c r="I45" s="247" t="str">
        <f>'Данные объект'!$B$62</f>
        <v xml:space="preserve"> Щербаков А.А.</v>
      </c>
      <c r="J45" s="247"/>
      <c r="K45" s="140"/>
    </row>
    <row r="46" spans="1:11" s="3" customFormat="1" ht="9" customHeight="1" x14ac:dyDescent="0.2">
      <c r="A46" s="32" t="s">
        <v>210</v>
      </c>
      <c r="B46" s="140"/>
      <c r="C46" s="248" t="s">
        <v>208</v>
      </c>
      <c r="D46" s="248"/>
      <c r="E46" s="248"/>
      <c r="F46" s="33"/>
      <c r="G46" s="34" t="s">
        <v>209</v>
      </c>
      <c r="H46" s="33"/>
      <c r="I46" s="248" t="s">
        <v>211</v>
      </c>
      <c r="J46" s="248"/>
      <c r="K46" s="140"/>
    </row>
  </sheetData>
  <mergeCells count="57">
    <mergeCell ref="A38:B38"/>
    <mergeCell ref="C38:E38"/>
    <mergeCell ref="I38:J38"/>
    <mergeCell ref="B5:C5"/>
    <mergeCell ref="J5:K5"/>
    <mergeCell ref="A31:K31"/>
    <mergeCell ref="A33:K33"/>
    <mergeCell ref="A34:K34"/>
    <mergeCell ref="A22:B22"/>
    <mergeCell ref="A8:K8"/>
    <mergeCell ref="A9:K9"/>
    <mergeCell ref="A10:A12"/>
    <mergeCell ref="B10:G10"/>
    <mergeCell ref="H10:H12"/>
    <mergeCell ref="I10:J11"/>
    <mergeCell ref="K10:K12"/>
    <mergeCell ref="A1:D1"/>
    <mergeCell ref="H1:K1"/>
    <mergeCell ref="A2:D3"/>
    <mergeCell ref="H2:K2"/>
    <mergeCell ref="H3:K3"/>
    <mergeCell ref="B11:B12"/>
    <mergeCell ref="C11:C12"/>
    <mergeCell ref="D11:G11"/>
    <mergeCell ref="A16:K16"/>
    <mergeCell ref="A21:K21"/>
    <mergeCell ref="A23:A24"/>
    <mergeCell ref="F23:F24"/>
    <mergeCell ref="A29:K29"/>
    <mergeCell ref="B23:E24"/>
    <mergeCell ref="G23:H23"/>
    <mergeCell ref="I23:I24"/>
    <mergeCell ref="J23:K24"/>
    <mergeCell ref="B25:E25"/>
    <mergeCell ref="J25:K25"/>
    <mergeCell ref="B26:E26"/>
    <mergeCell ref="J26:K26"/>
    <mergeCell ref="B27:E27"/>
    <mergeCell ref="J27:K27"/>
    <mergeCell ref="B28:E28"/>
    <mergeCell ref="J28:K28"/>
    <mergeCell ref="C46:E46"/>
    <mergeCell ref="I46:J46"/>
    <mergeCell ref="B6:C6"/>
    <mergeCell ref="J6:K6"/>
    <mergeCell ref="C43:E43"/>
    <mergeCell ref="I43:J43"/>
    <mergeCell ref="A45:B45"/>
    <mergeCell ref="C45:E45"/>
    <mergeCell ref="I45:J45"/>
    <mergeCell ref="C39:E39"/>
    <mergeCell ref="I39:J39"/>
    <mergeCell ref="A41:K41"/>
    <mergeCell ref="A42:B42"/>
    <mergeCell ref="C42:E42"/>
    <mergeCell ref="I42:J42"/>
    <mergeCell ref="A40:K40"/>
  </mergeCells>
  <pageMargins left="0.59" right="0.3" top="0.79" bottom="0.79" header="0.49" footer="0.49"/>
  <pageSetup paperSize="9" scale="93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FB888-77DD-487F-AD8E-53B6A525C9FF}">
  <sheetPr>
    <pageSetUpPr fitToPage="1"/>
  </sheetPr>
  <dimension ref="A1:O57"/>
  <sheetViews>
    <sheetView tabSelected="1" view="pageBreakPreview" topLeftCell="A19" zoomScaleNormal="100" zoomScaleSheetLayoutView="100" workbookViewId="0">
      <selection activeCell="N43" sqref="N43"/>
    </sheetView>
  </sheetViews>
  <sheetFormatPr defaultRowHeight="15" x14ac:dyDescent="0.25"/>
  <cols>
    <col min="2" max="3" width="18.140625" customWidth="1"/>
    <col min="5" max="5" width="11.7109375" customWidth="1"/>
  </cols>
  <sheetData>
    <row r="1" spans="1:15" s="3" customFormat="1" ht="18.600000000000001" customHeight="1" x14ac:dyDescent="0.2">
      <c r="A1" s="262" t="str">
        <f>'Данные объект'!B58</f>
        <v xml:space="preserve"> ООО «Энергосистемы»</v>
      </c>
      <c r="B1" s="262"/>
      <c r="C1" s="262"/>
      <c r="D1" s="262"/>
      <c r="E1" s="262"/>
      <c r="H1" s="4" t="s">
        <v>11</v>
      </c>
      <c r="I1" s="259" t="str">
        <f>'Данные объект'!B34</f>
        <v>ПАО "Россети Московский регион"</v>
      </c>
      <c r="J1" s="259"/>
      <c r="K1" s="259"/>
      <c r="L1" s="259"/>
    </row>
    <row r="2" spans="1:15" s="3" customFormat="1" ht="37.5" customHeight="1" x14ac:dyDescent="0.2">
      <c r="A2" s="262" t="str">
        <f>'Данные объект'!C58</f>
        <v>Испытательная электролаборатория 141508, Московская область, г.о. Солнечногорск, г. Солнечногорск, ул. Промышленная, стр. 5, помещение 179, Свидетельсто о регистрации №5.3-6420 от 15 мая 2024г</v>
      </c>
      <c r="B2" s="262"/>
      <c r="C2" s="262"/>
      <c r="D2" s="262"/>
      <c r="E2" s="262"/>
      <c r="H2" s="4" t="s">
        <v>12</v>
      </c>
      <c r="I2" s="260" t="str">
        <f>'Данные объект'!B19</f>
        <v>КЛ от ТП ф</v>
      </c>
      <c r="J2" s="260"/>
      <c r="K2" s="260"/>
      <c r="L2" s="260"/>
    </row>
    <row r="3" spans="1:15" s="3" customFormat="1" ht="22.5" customHeight="1" x14ac:dyDescent="0.2">
      <c r="A3" s="262"/>
      <c r="B3" s="262"/>
      <c r="C3" s="262"/>
      <c r="D3" s="262"/>
      <c r="E3" s="262"/>
      <c r="H3" s="4" t="s">
        <v>13</v>
      </c>
      <c r="I3" s="261" t="str">
        <f>'Данные объект'!B5</f>
        <v>Лобня г, Шереметьевское ш, дом 10</v>
      </c>
      <c r="J3" s="261"/>
      <c r="K3" s="261"/>
      <c r="L3" s="261"/>
    </row>
    <row r="4" spans="1:15" s="3" customFormat="1" ht="15" customHeight="1" x14ac:dyDescent="0.2">
      <c r="A4" s="29"/>
      <c r="B4" s="29"/>
      <c r="C4" s="29"/>
      <c r="D4" s="29"/>
      <c r="E4" s="29"/>
      <c r="H4" s="4"/>
      <c r="I4" s="4"/>
      <c r="J4" s="4"/>
      <c r="K4" s="4"/>
      <c r="L4" s="4"/>
    </row>
    <row r="5" spans="1:15" s="3" customFormat="1" ht="11.25" x14ac:dyDescent="0.2">
      <c r="A5" s="5"/>
      <c r="B5" s="249"/>
      <c r="C5" s="249"/>
      <c r="D5" s="249"/>
      <c r="K5" s="249" t="s">
        <v>14</v>
      </c>
      <c r="L5" s="249"/>
    </row>
    <row r="6" spans="1:15" s="3" customFormat="1" ht="10.15" customHeight="1" x14ac:dyDescent="0.2">
      <c r="A6" s="5"/>
      <c r="B6" s="250"/>
      <c r="C6" s="250"/>
      <c r="D6" s="250"/>
      <c r="K6" s="263" t="str">
        <f>'Данные объект'!B8</f>
        <v>25.06.2025</v>
      </c>
      <c r="L6" s="263"/>
    </row>
    <row r="7" spans="1:15" ht="15" customHeight="1" x14ac:dyDescent="0.25">
      <c r="A7" s="89"/>
      <c r="B7" s="35"/>
      <c r="C7" s="35"/>
      <c r="D7" s="35"/>
    </row>
    <row r="8" spans="1:15" ht="15" customHeight="1" x14ac:dyDescent="0.25">
      <c r="A8" s="334" t="s">
        <v>187</v>
      </c>
      <c r="B8" s="334"/>
      <c r="C8" s="334"/>
      <c r="D8" s="334"/>
      <c r="E8" s="334"/>
      <c r="F8" s="334"/>
      <c r="G8" s="334"/>
      <c r="H8" s="334"/>
      <c r="I8" s="334"/>
      <c r="J8" s="334"/>
      <c r="K8" s="334"/>
      <c r="L8" s="334"/>
      <c r="M8" s="334"/>
      <c r="N8" s="334"/>
      <c r="O8" s="334"/>
    </row>
    <row r="9" spans="1:15" ht="12" customHeight="1" x14ac:dyDescent="0.25">
      <c r="A9" s="335" t="s">
        <v>391</v>
      </c>
      <c r="B9" s="319"/>
      <c r="C9" s="319"/>
      <c r="D9" s="319"/>
      <c r="E9" s="319"/>
      <c r="F9" s="319"/>
      <c r="G9" s="319"/>
      <c r="H9" s="319"/>
      <c r="I9" s="319"/>
      <c r="J9" s="319"/>
      <c r="K9" s="319"/>
      <c r="L9" s="319"/>
      <c r="M9" s="319"/>
      <c r="N9" s="319"/>
      <c r="O9" s="319"/>
    </row>
    <row r="10" spans="1:15" ht="12" customHeight="1" x14ac:dyDescent="0.25">
      <c r="A10" s="336" t="s">
        <v>397</v>
      </c>
      <c r="B10" s="337"/>
      <c r="C10" s="337"/>
      <c r="D10" s="337"/>
      <c r="E10" s="337"/>
      <c r="F10" s="337"/>
      <c r="G10" s="337"/>
      <c r="H10" s="337"/>
      <c r="I10" s="337"/>
      <c r="J10" s="337"/>
      <c r="K10" s="337"/>
      <c r="L10" s="337"/>
      <c r="M10" s="337"/>
      <c r="N10" s="337"/>
      <c r="O10" s="337"/>
    </row>
    <row r="11" spans="1:15" ht="15" customHeight="1" x14ac:dyDescent="0.25">
      <c r="A11" s="309" t="s">
        <v>305</v>
      </c>
      <c r="B11" s="216" t="s">
        <v>398</v>
      </c>
      <c r="C11" s="216"/>
      <c r="D11" s="309" t="s">
        <v>399</v>
      </c>
      <c r="E11" s="309" t="s">
        <v>400</v>
      </c>
      <c r="F11" s="216" t="s">
        <v>401</v>
      </c>
      <c r="G11" s="216"/>
      <c r="H11" s="216"/>
      <c r="I11" s="216"/>
      <c r="J11" s="216"/>
      <c r="K11" s="216"/>
      <c r="L11" s="216"/>
      <c r="M11" s="216"/>
      <c r="N11" s="216"/>
      <c r="O11" s="320" t="s">
        <v>558</v>
      </c>
    </row>
    <row r="12" spans="1:15" ht="15" customHeight="1" x14ac:dyDescent="0.25">
      <c r="A12" s="309"/>
      <c r="B12" s="216"/>
      <c r="C12" s="216"/>
      <c r="D12" s="309"/>
      <c r="E12" s="309"/>
      <c r="F12" s="216" t="s">
        <v>557</v>
      </c>
      <c r="G12" s="216"/>
      <c r="H12" s="216" t="s">
        <v>402</v>
      </c>
      <c r="I12" s="216"/>
      <c r="J12" s="216"/>
      <c r="K12" s="216"/>
      <c r="L12" s="216"/>
      <c r="M12" s="216"/>
      <c r="N12" s="216"/>
      <c r="O12" s="216"/>
    </row>
    <row r="13" spans="1:15" ht="25.5" customHeight="1" x14ac:dyDescent="0.25">
      <c r="A13" s="309"/>
      <c r="B13" s="216"/>
      <c r="C13" s="216"/>
      <c r="D13" s="309"/>
      <c r="E13" s="309"/>
      <c r="F13" s="216" t="s">
        <v>403</v>
      </c>
      <c r="G13" s="216"/>
      <c r="H13" s="309" t="s">
        <v>404</v>
      </c>
      <c r="I13" s="309" t="s">
        <v>405</v>
      </c>
      <c r="J13" s="340" t="s">
        <v>406</v>
      </c>
      <c r="K13" s="340"/>
      <c r="L13" s="340"/>
      <c r="M13" s="340" t="s">
        <v>407</v>
      </c>
      <c r="N13" s="340"/>
      <c r="O13" s="216"/>
    </row>
    <row r="14" spans="1:15" ht="22.5" x14ac:dyDescent="0.25">
      <c r="A14" s="309"/>
      <c r="B14" s="216"/>
      <c r="C14" s="216"/>
      <c r="D14" s="309"/>
      <c r="E14" s="309"/>
      <c r="F14" s="141" t="s">
        <v>408</v>
      </c>
      <c r="G14" s="141" t="s">
        <v>409</v>
      </c>
      <c r="H14" s="309"/>
      <c r="I14" s="309"/>
      <c r="J14" s="141" t="s">
        <v>410</v>
      </c>
      <c r="K14" s="141" t="s">
        <v>411</v>
      </c>
      <c r="L14" s="141" t="s">
        <v>412</v>
      </c>
      <c r="M14" s="141" t="s">
        <v>413</v>
      </c>
      <c r="N14" s="141" t="s">
        <v>412</v>
      </c>
      <c r="O14" s="216"/>
    </row>
    <row r="15" spans="1:15" x14ac:dyDescent="0.25">
      <c r="A15" s="141">
        <v>1</v>
      </c>
      <c r="B15" s="332">
        <v>2</v>
      </c>
      <c r="C15" s="333"/>
      <c r="D15" s="141">
        <v>3</v>
      </c>
      <c r="E15" s="141">
        <v>4</v>
      </c>
      <c r="F15" s="141">
        <v>5</v>
      </c>
      <c r="G15" s="141">
        <v>6</v>
      </c>
      <c r="H15" s="141">
        <v>7</v>
      </c>
      <c r="I15" s="141">
        <v>8</v>
      </c>
      <c r="J15" s="141">
        <v>9</v>
      </c>
      <c r="K15" s="141">
        <v>10</v>
      </c>
      <c r="L15" s="141">
        <v>11</v>
      </c>
      <c r="M15" s="141">
        <v>12</v>
      </c>
      <c r="N15" s="141">
        <v>13</v>
      </c>
      <c r="O15" s="141">
        <v>14</v>
      </c>
    </row>
    <row r="16" spans="1:15" ht="23.25" customHeight="1" x14ac:dyDescent="0.25">
      <c r="A16" s="309">
        <v>1</v>
      </c>
      <c r="B16" s="342" t="s">
        <v>484</v>
      </c>
      <c r="C16" s="343"/>
      <c r="D16" s="216" t="s">
        <v>414</v>
      </c>
      <c r="E16" s="141" t="s">
        <v>393</v>
      </c>
      <c r="F16" s="141">
        <v>910</v>
      </c>
      <c r="G16" s="141">
        <v>910</v>
      </c>
      <c r="H16" s="174">
        <v>60</v>
      </c>
      <c r="I16" s="141">
        <v>10</v>
      </c>
      <c r="J16" s="141">
        <v>70</v>
      </c>
      <c r="K16" s="141">
        <v>50</v>
      </c>
      <c r="L16" s="141">
        <v>500</v>
      </c>
      <c r="M16" s="141">
        <v>1.4</v>
      </c>
      <c r="N16" s="141">
        <v>8</v>
      </c>
      <c r="O16" s="141" t="s">
        <v>394</v>
      </c>
    </row>
    <row r="17" spans="1:15" ht="20.25" customHeight="1" x14ac:dyDescent="0.25">
      <c r="A17" s="340"/>
      <c r="B17" s="344"/>
      <c r="C17" s="345"/>
      <c r="D17" s="216"/>
      <c r="E17" s="141" t="s">
        <v>395</v>
      </c>
      <c r="F17" s="141">
        <v>850</v>
      </c>
      <c r="G17" s="141">
        <v>850</v>
      </c>
      <c r="H17" s="174">
        <v>60</v>
      </c>
      <c r="I17" s="141">
        <v>10</v>
      </c>
      <c r="J17" s="141">
        <v>80</v>
      </c>
      <c r="K17" s="141">
        <v>30</v>
      </c>
      <c r="L17" s="141">
        <v>500</v>
      </c>
      <c r="M17" s="141">
        <v>1.25</v>
      </c>
      <c r="N17" s="141">
        <v>8</v>
      </c>
      <c r="O17" s="141" t="s">
        <v>394</v>
      </c>
    </row>
    <row r="18" spans="1:15" ht="21.75" customHeight="1" x14ac:dyDescent="0.25">
      <c r="A18" s="341"/>
      <c r="B18" s="346"/>
      <c r="C18" s="347"/>
      <c r="D18" s="216"/>
      <c r="E18" s="141" t="s">
        <v>396</v>
      </c>
      <c r="F18" s="141">
        <v>950</v>
      </c>
      <c r="G18" s="141">
        <v>950</v>
      </c>
      <c r="H18" s="174">
        <v>60</v>
      </c>
      <c r="I18" s="141">
        <v>10</v>
      </c>
      <c r="J18" s="141">
        <v>70</v>
      </c>
      <c r="K18" s="141">
        <v>40</v>
      </c>
      <c r="L18" s="141">
        <v>500</v>
      </c>
      <c r="M18" s="141">
        <v>1.75</v>
      </c>
      <c r="N18" s="141">
        <v>8</v>
      </c>
      <c r="O18" s="141" t="s">
        <v>394</v>
      </c>
    </row>
    <row r="19" spans="1:15" ht="19.5" customHeight="1" x14ac:dyDescent="0.25">
      <c r="A19" s="309">
        <v>2</v>
      </c>
      <c r="B19" s="282" t="s">
        <v>567</v>
      </c>
      <c r="C19" s="282"/>
      <c r="D19" s="216" t="s">
        <v>414</v>
      </c>
      <c r="E19" s="141" t="s">
        <v>393</v>
      </c>
      <c r="F19" s="141">
        <v>850</v>
      </c>
      <c r="G19" s="141">
        <v>850</v>
      </c>
      <c r="H19" s="174">
        <v>60</v>
      </c>
      <c r="I19" s="141">
        <v>10</v>
      </c>
      <c r="J19" s="141">
        <v>80</v>
      </c>
      <c r="K19" s="141">
        <v>30</v>
      </c>
      <c r="L19" s="141">
        <v>500</v>
      </c>
      <c r="M19" s="141">
        <v>1.25</v>
      </c>
      <c r="N19" s="141">
        <v>8</v>
      </c>
      <c r="O19" s="141" t="s">
        <v>394</v>
      </c>
    </row>
    <row r="20" spans="1:15" ht="21.75" customHeight="1" x14ac:dyDescent="0.25">
      <c r="A20" s="340"/>
      <c r="B20" s="282"/>
      <c r="C20" s="282"/>
      <c r="D20" s="216"/>
      <c r="E20" s="141" t="s">
        <v>395</v>
      </c>
      <c r="F20" s="141">
        <v>950</v>
      </c>
      <c r="G20" s="141">
        <v>950</v>
      </c>
      <c r="H20" s="174">
        <v>60</v>
      </c>
      <c r="I20" s="141">
        <v>10</v>
      </c>
      <c r="J20" s="141">
        <v>70</v>
      </c>
      <c r="K20" s="141">
        <v>40</v>
      </c>
      <c r="L20" s="141">
        <v>500</v>
      </c>
      <c r="M20" s="167">
        <v>1.75</v>
      </c>
      <c r="N20" s="141">
        <v>8</v>
      </c>
      <c r="O20" s="141" t="s">
        <v>415</v>
      </c>
    </row>
    <row r="21" spans="1:15" ht="21" customHeight="1" x14ac:dyDescent="0.25">
      <c r="A21" s="341"/>
      <c r="B21" s="282"/>
      <c r="C21" s="282"/>
      <c r="D21" s="216"/>
      <c r="E21" s="141" t="s">
        <v>396</v>
      </c>
      <c r="F21" s="141">
        <v>910</v>
      </c>
      <c r="G21" s="141">
        <v>910</v>
      </c>
      <c r="H21" s="174">
        <v>60</v>
      </c>
      <c r="I21" s="141">
        <v>10</v>
      </c>
      <c r="J21" s="141">
        <v>70</v>
      </c>
      <c r="K21" s="141">
        <v>50</v>
      </c>
      <c r="L21" s="141">
        <v>500</v>
      </c>
      <c r="M21" s="141">
        <v>1.4</v>
      </c>
      <c r="N21" s="141">
        <v>8</v>
      </c>
      <c r="O21" s="141" t="s">
        <v>394</v>
      </c>
    </row>
    <row r="22" spans="1:15" ht="16.5" customHeight="1" x14ac:dyDescent="0.25">
      <c r="A22" s="102"/>
      <c r="B22" s="102"/>
      <c r="C22" s="102"/>
      <c r="D22" s="102"/>
      <c r="E22" s="26"/>
      <c r="F22" s="4"/>
      <c r="G22" s="4"/>
      <c r="H22" s="4"/>
      <c r="I22" s="4"/>
      <c r="J22" s="4"/>
      <c r="K22" s="4"/>
      <c r="L22" s="4"/>
      <c r="M22" s="4"/>
      <c r="N22" s="4"/>
      <c r="O22" s="26"/>
    </row>
    <row r="23" spans="1:15" ht="12" customHeight="1" x14ac:dyDescent="0.25">
      <c r="A23" s="245" t="s">
        <v>318</v>
      </c>
      <c r="B23" s="311"/>
      <c r="C23" s="311"/>
      <c r="D23" s="311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</row>
    <row r="24" spans="1:15" ht="12" customHeight="1" x14ac:dyDescent="0.25">
      <c r="A24" s="236" t="s">
        <v>319</v>
      </c>
      <c r="B24" s="311"/>
      <c r="C24" s="311"/>
      <c r="D24" s="311"/>
      <c r="E24" s="311"/>
      <c r="F24" s="311"/>
      <c r="G24" s="311"/>
      <c r="H24" s="311"/>
      <c r="I24" s="311"/>
      <c r="J24" s="311"/>
      <c r="K24" s="311"/>
      <c r="L24" s="311"/>
      <c r="M24" s="311"/>
      <c r="N24" s="311"/>
      <c r="O24" s="311"/>
    </row>
    <row r="25" spans="1:15" s="3" customFormat="1" ht="13.15" customHeight="1" x14ac:dyDescent="0.2">
      <c r="A25" s="67" t="s">
        <v>337</v>
      </c>
      <c r="C25" s="3">
        <f>прот.№1!C26</f>
        <v>15</v>
      </c>
      <c r="D25" s="3" t="s">
        <v>328</v>
      </c>
    </row>
    <row r="26" spans="1:15" s="3" customFormat="1" ht="12.95" customHeight="1" x14ac:dyDescent="0.2">
      <c r="A26" s="32" t="s">
        <v>338</v>
      </c>
      <c r="C26" s="3">
        <f>прот.№1!C27</f>
        <v>70</v>
      </c>
      <c r="D26" s="3" t="s">
        <v>330</v>
      </c>
    </row>
    <row r="27" spans="1:15" s="3" customFormat="1" ht="12.95" customHeight="1" x14ac:dyDescent="0.2">
      <c r="A27" s="66" t="s">
        <v>339</v>
      </c>
      <c r="C27" s="392" t="str">
        <f>прот.№1!C28</f>
        <v>745</v>
      </c>
      <c r="D27" s="3" t="s">
        <v>332</v>
      </c>
    </row>
    <row r="28" spans="1:15" ht="12" customHeight="1" x14ac:dyDescent="0.25">
      <c r="A28" s="236" t="s">
        <v>320</v>
      </c>
      <c r="B28" s="311"/>
      <c r="C28" s="311"/>
      <c r="D28" s="311"/>
      <c r="E28" s="311"/>
      <c r="F28" s="311"/>
      <c r="G28" s="311"/>
      <c r="H28" s="311"/>
      <c r="I28" s="311"/>
      <c r="J28" s="311"/>
      <c r="K28" s="311"/>
      <c r="L28" s="311"/>
      <c r="M28" s="311"/>
      <c r="N28" s="311"/>
      <c r="O28" s="311"/>
    </row>
    <row r="29" spans="1:15" s="175" customFormat="1" ht="11.25" x14ac:dyDescent="0.2">
      <c r="A29" s="175" t="s">
        <v>613</v>
      </c>
    </row>
    <row r="30" spans="1:15" ht="12" customHeight="1" x14ac:dyDescent="0.25">
      <c r="A30" s="236" t="s">
        <v>268</v>
      </c>
      <c r="B30" s="311"/>
      <c r="C30" s="311"/>
      <c r="D30" s="311"/>
      <c r="E30" s="311"/>
      <c r="F30" s="311"/>
      <c r="G30" s="311"/>
      <c r="H30" s="311"/>
      <c r="I30" s="311"/>
      <c r="J30" s="311"/>
      <c r="K30" s="311"/>
      <c r="L30" s="311"/>
      <c r="M30" s="311"/>
      <c r="N30" s="311"/>
      <c r="O30" s="311"/>
    </row>
    <row r="31" spans="1:15" x14ac:dyDescent="0.25">
      <c r="A31" s="339"/>
      <c r="B31" s="339"/>
      <c r="C31" s="90"/>
      <c r="D31" s="90"/>
      <c r="E31" s="90"/>
      <c r="F31" s="90"/>
      <c r="G31" s="90"/>
      <c r="H31" s="90"/>
    </row>
    <row r="32" spans="1:15" s="3" customFormat="1" ht="24.95" customHeight="1" x14ac:dyDescent="0.2">
      <c r="A32" s="302" t="s">
        <v>31</v>
      </c>
      <c r="B32" s="294" t="s">
        <v>43</v>
      </c>
      <c r="C32" s="295"/>
      <c r="D32" s="295"/>
      <c r="E32" s="296"/>
      <c r="F32" s="302" t="s">
        <v>499</v>
      </c>
      <c r="G32" s="300" t="s">
        <v>44</v>
      </c>
      <c r="H32" s="301"/>
      <c r="I32" s="302" t="s">
        <v>45</v>
      </c>
      <c r="J32" s="304" t="s">
        <v>500</v>
      </c>
      <c r="K32" s="305"/>
    </row>
    <row r="33" spans="1:11" s="3" customFormat="1" ht="24.95" customHeight="1" x14ac:dyDescent="0.2">
      <c r="A33" s="303"/>
      <c r="B33" s="297"/>
      <c r="C33" s="298"/>
      <c r="D33" s="298"/>
      <c r="E33" s="299"/>
      <c r="F33" s="303"/>
      <c r="G33" s="142" t="s">
        <v>46</v>
      </c>
      <c r="H33" s="142" t="s">
        <v>47</v>
      </c>
      <c r="I33" s="303"/>
      <c r="J33" s="306"/>
      <c r="K33" s="307"/>
    </row>
    <row r="34" spans="1:11" s="3" customFormat="1" ht="23.1" customHeight="1" x14ac:dyDescent="0.2">
      <c r="A34" s="142">
        <v>1</v>
      </c>
      <c r="B34" s="287" t="s">
        <v>258</v>
      </c>
      <c r="C34" s="288"/>
      <c r="D34" s="288"/>
      <c r="E34" s="289"/>
      <c r="F34" s="142" t="s">
        <v>259</v>
      </c>
      <c r="G34" s="142" t="s">
        <v>264</v>
      </c>
      <c r="H34" s="142" t="s">
        <v>48</v>
      </c>
      <c r="I34" s="158">
        <f>Оборудование!I4</f>
        <v>46850</v>
      </c>
      <c r="J34" s="290" t="str">
        <f>Оборудование!J4</f>
        <v>С-ТТ/08-04-2026/517582908</v>
      </c>
      <c r="K34" s="291"/>
    </row>
    <row r="35" spans="1:11" s="3" customFormat="1" ht="23.1" customHeight="1" x14ac:dyDescent="0.2">
      <c r="A35" s="142">
        <v>2</v>
      </c>
      <c r="B35" s="287" t="s">
        <v>260</v>
      </c>
      <c r="C35" s="288"/>
      <c r="D35" s="288"/>
      <c r="E35" s="289"/>
      <c r="F35" s="142">
        <v>134</v>
      </c>
      <c r="G35" s="142" t="s">
        <v>265</v>
      </c>
      <c r="H35" s="142">
        <v>0.1</v>
      </c>
      <c r="I35" s="158">
        <f>Оборудование!I3</f>
        <v>47945</v>
      </c>
      <c r="J35" s="292" t="str">
        <f>Оборудование!J3</f>
        <v>С-ТТ/08-04-2026/517582895</v>
      </c>
      <c r="K35" s="293"/>
    </row>
    <row r="36" spans="1:11" s="3" customFormat="1" ht="23.1" customHeight="1" x14ac:dyDescent="0.2">
      <c r="A36" s="142">
        <v>3</v>
      </c>
      <c r="B36" s="287" t="s">
        <v>261</v>
      </c>
      <c r="C36" s="288"/>
      <c r="D36" s="288"/>
      <c r="E36" s="289"/>
      <c r="F36" s="142">
        <v>15036</v>
      </c>
      <c r="G36" s="142" t="s">
        <v>262</v>
      </c>
      <c r="H36" s="142">
        <v>2</v>
      </c>
      <c r="I36" s="158">
        <f>Оборудование!I12</f>
        <v>46175</v>
      </c>
      <c r="J36" s="292" t="str">
        <f>Оборудование!J12</f>
        <v>С-ТТ/02-06-2025/436900431</v>
      </c>
      <c r="K36" s="293"/>
    </row>
    <row r="37" spans="1:11" s="3" customFormat="1" ht="23.1" customHeight="1" x14ac:dyDescent="0.2">
      <c r="A37" s="142">
        <v>4</v>
      </c>
      <c r="B37" s="287" t="s">
        <v>263</v>
      </c>
      <c r="C37" s="288"/>
      <c r="D37" s="288"/>
      <c r="E37" s="289"/>
      <c r="F37" s="142">
        <v>3141</v>
      </c>
      <c r="G37" s="142" t="s">
        <v>266</v>
      </c>
      <c r="H37" s="142">
        <v>3</v>
      </c>
      <c r="I37" s="158">
        <f>Оборудование!I13</f>
        <v>46850</v>
      </c>
      <c r="J37" s="292" t="str">
        <f>Оборудование!J13</f>
        <v>С-ТТ/08-04-2026/517582910</v>
      </c>
      <c r="K37" s="293"/>
    </row>
    <row r="38" spans="1:11" hidden="1" x14ac:dyDescent="0.25"/>
    <row r="40" spans="1:11" s="3" customFormat="1" ht="30" customHeight="1" x14ac:dyDescent="0.2">
      <c r="A40" s="245" t="s">
        <v>207</v>
      </c>
      <c r="B40" s="245"/>
      <c r="C40" s="247" t="str">
        <f>'Данные объект'!$B$64</f>
        <v>Зам. руководителя ЭИЛ</v>
      </c>
      <c r="D40" s="247"/>
      <c r="E40" s="247"/>
      <c r="F40" s="140"/>
      <c r="G40" s="6"/>
      <c r="H40" s="140"/>
      <c r="I40" s="247" t="str">
        <f>'Данные объект'!$B$65</f>
        <v>Фечин А.А.</v>
      </c>
      <c r="J40" s="247"/>
      <c r="K40" s="140"/>
    </row>
    <row r="41" spans="1:11" s="3" customFormat="1" ht="9" customHeight="1" x14ac:dyDescent="0.2">
      <c r="A41" s="32" t="s">
        <v>210</v>
      </c>
      <c r="B41" s="140"/>
      <c r="C41" s="248" t="s">
        <v>208</v>
      </c>
      <c r="D41" s="248"/>
      <c r="E41" s="248"/>
      <c r="F41" s="33"/>
      <c r="G41" s="34" t="s">
        <v>209</v>
      </c>
      <c r="H41" s="33"/>
      <c r="I41" s="248" t="s">
        <v>211</v>
      </c>
      <c r="J41" s="248"/>
      <c r="K41" s="140"/>
    </row>
    <row r="42" spans="1:11" s="3" customFormat="1" ht="9.9499999999999993" customHeight="1" x14ac:dyDescent="0.2">
      <c r="A42" s="245" t="s">
        <v>49</v>
      </c>
      <c r="B42" s="239"/>
      <c r="C42" s="239"/>
      <c r="D42" s="239"/>
      <c r="E42" s="239"/>
      <c r="F42" s="239"/>
      <c r="G42" s="239"/>
      <c r="H42" s="239"/>
      <c r="I42" s="239"/>
      <c r="J42" s="239"/>
      <c r="K42" s="239"/>
    </row>
    <row r="43" spans="1:11" s="3" customFormat="1" ht="20.100000000000001" customHeight="1" x14ac:dyDescent="0.2">
      <c r="A43" s="245" t="s">
        <v>50</v>
      </c>
      <c r="B43" s="245"/>
      <c r="C43" s="245"/>
      <c r="D43" s="245"/>
      <c r="E43" s="245"/>
      <c r="F43" s="245"/>
      <c r="G43" s="245"/>
      <c r="H43" s="245"/>
      <c r="I43" s="245"/>
      <c r="J43" s="245"/>
      <c r="K43" s="245"/>
    </row>
    <row r="44" spans="1:11" s="3" customFormat="1" ht="30" customHeight="1" x14ac:dyDescent="0.2">
      <c r="A44" s="245"/>
      <c r="B44" s="245"/>
      <c r="C44" s="247" t="str">
        <f>'Данные объект'!$B$66</f>
        <v>Инженер ЭИЛ</v>
      </c>
      <c r="D44" s="247"/>
      <c r="E44" s="247"/>
      <c r="F44" s="140"/>
      <c r="G44" s="6"/>
      <c r="H44" s="140"/>
      <c r="I44" s="247" t="str">
        <f>'Данные объект'!$B$67</f>
        <v>Косырин А.Н.</v>
      </c>
      <c r="J44" s="247"/>
      <c r="K44" s="140"/>
    </row>
    <row r="45" spans="1:11" s="3" customFormat="1" ht="9" customHeight="1" x14ac:dyDescent="0.2">
      <c r="A45" s="32" t="s">
        <v>210</v>
      </c>
      <c r="B45" s="140"/>
      <c r="C45" s="248" t="s">
        <v>208</v>
      </c>
      <c r="D45" s="248"/>
      <c r="E45" s="248"/>
      <c r="F45" s="33"/>
      <c r="G45" s="34" t="s">
        <v>209</v>
      </c>
      <c r="H45" s="33"/>
      <c r="I45" s="248" t="s">
        <v>211</v>
      </c>
      <c r="J45" s="248"/>
      <c r="K45" s="140"/>
    </row>
    <row r="46" spans="1:11" s="3" customFormat="1" ht="11.25" x14ac:dyDescent="0.2">
      <c r="A46" s="140"/>
      <c r="B46" s="140"/>
      <c r="C46" s="140"/>
      <c r="D46" s="140"/>
      <c r="E46" s="140"/>
      <c r="F46" s="140"/>
      <c r="G46" s="140"/>
      <c r="H46" s="140"/>
      <c r="I46" s="140"/>
      <c r="J46" s="140"/>
      <c r="K46" s="140"/>
    </row>
    <row r="47" spans="1:11" s="3" customFormat="1" ht="30" customHeight="1" x14ac:dyDescent="0.2">
      <c r="A47" s="245" t="s">
        <v>212</v>
      </c>
      <c r="B47" s="245"/>
      <c r="C47" s="247" t="str">
        <f>'Данные объект'!$B$61</f>
        <v xml:space="preserve">Руководитель ЭИЛ </v>
      </c>
      <c r="D47" s="247"/>
      <c r="E47" s="247"/>
      <c r="F47" s="140"/>
      <c r="G47" s="6"/>
      <c r="H47" s="140"/>
      <c r="I47" s="247" t="str">
        <f>'Данные объект'!$B$62</f>
        <v xml:space="preserve"> Щербаков А.А.</v>
      </c>
      <c r="J47" s="247"/>
      <c r="K47" s="140"/>
    </row>
    <row r="48" spans="1:11" s="3" customFormat="1" ht="9" customHeight="1" x14ac:dyDescent="0.2">
      <c r="A48" s="32" t="s">
        <v>210</v>
      </c>
      <c r="B48" s="140"/>
      <c r="C48" s="248" t="s">
        <v>208</v>
      </c>
      <c r="D48" s="248"/>
      <c r="E48" s="248"/>
      <c r="F48" s="33"/>
      <c r="G48" s="34" t="s">
        <v>209</v>
      </c>
      <c r="H48" s="33"/>
      <c r="I48" s="248" t="s">
        <v>211</v>
      </c>
      <c r="J48" s="248"/>
      <c r="K48" s="140"/>
    </row>
    <row r="49" spans="1:15" ht="12" customHeight="1" x14ac:dyDescent="0.25">
      <c r="A49" s="100"/>
    </row>
    <row r="51" spans="1:15" x14ac:dyDescent="0.25">
      <c r="A51" s="93"/>
      <c r="B51" s="91"/>
      <c r="C51" s="91"/>
      <c r="D51" s="99"/>
      <c r="E51" s="91"/>
      <c r="F51" s="99"/>
      <c r="G51" s="91"/>
    </row>
    <row r="52" spans="1:15" x14ac:dyDescent="0.25">
      <c r="A52" s="94"/>
      <c r="B52" s="92"/>
      <c r="C52" s="92"/>
      <c r="D52" s="99"/>
      <c r="E52" s="92"/>
      <c r="F52" s="99"/>
      <c r="G52" s="92"/>
    </row>
    <row r="53" spans="1:15" x14ac:dyDescent="0.25">
      <c r="A53" s="95"/>
      <c r="B53" s="91"/>
      <c r="C53" s="91"/>
      <c r="D53" s="101"/>
      <c r="E53" s="96"/>
      <c r="F53" s="99"/>
      <c r="G53" s="91"/>
    </row>
    <row r="54" spans="1:15" x14ac:dyDescent="0.25">
      <c r="A54" s="95"/>
      <c r="B54" s="92"/>
      <c r="C54" s="92"/>
      <c r="D54" s="101"/>
      <c r="E54" s="92"/>
      <c r="F54" s="99"/>
      <c r="G54" s="92"/>
    </row>
    <row r="55" spans="1:15" x14ac:dyDescent="0.25">
      <c r="A55" s="93"/>
      <c r="B55" s="91"/>
      <c r="C55" s="91"/>
      <c r="D55" s="98"/>
      <c r="E55" s="93"/>
      <c r="F55" s="99"/>
      <c r="G55" s="91"/>
    </row>
    <row r="56" spans="1:15" x14ac:dyDescent="0.25">
      <c r="A56" s="95"/>
      <c r="B56" s="92"/>
      <c r="C56" s="92"/>
      <c r="D56" s="98"/>
      <c r="E56" s="97"/>
      <c r="F56" s="99"/>
      <c r="G56" s="92"/>
    </row>
    <row r="57" spans="1:15" ht="12" customHeight="1" x14ac:dyDescent="0.25">
      <c r="A57" s="338" t="s">
        <v>392</v>
      </c>
      <c r="B57" s="319"/>
      <c r="C57" s="319"/>
      <c r="D57" s="319"/>
      <c r="E57" s="319"/>
      <c r="F57" s="319"/>
      <c r="G57" s="319"/>
      <c r="H57" s="319"/>
      <c r="I57" s="319"/>
      <c r="J57" s="319"/>
      <c r="K57" s="319"/>
      <c r="L57" s="319"/>
      <c r="M57" s="319"/>
      <c r="N57" s="319"/>
      <c r="O57" s="319"/>
    </row>
  </sheetData>
  <mergeCells count="69">
    <mergeCell ref="C45:E45"/>
    <mergeCell ref="A47:B47"/>
    <mergeCell ref="C47:E47"/>
    <mergeCell ref="I47:J47"/>
    <mergeCell ref="C48:E48"/>
    <mergeCell ref="I48:J48"/>
    <mergeCell ref="C41:E41"/>
    <mergeCell ref="I41:J41"/>
    <mergeCell ref="A42:K42"/>
    <mergeCell ref="A43:K43"/>
    <mergeCell ref="A44:B44"/>
    <mergeCell ref="C44:E44"/>
    <mergeCell ref="I44:J44"/>
    <mergeCell ref="B37:E37"/>
    <mergeCell ref="J37:K37"/>
    <mergeCell ref="A40:B40"/>
    <mergeCell ref="C40:E40"/>
    <mergeCell ref="I40:J40"/>
    <mergeCell ref="A23:O23"/>
    <mergeCell ref="A24:O24"/>
    <mergeCell ref="A28:O28"/>
    <mergeCell ref="I13:I14"/>
    <mergeCell ref="J13:L13"/>
    <mergeCell ref="M13:N13"/>
    <mergeCell ref="B11:C14"/>
    <mergeCell ref="A16:A18"/>
    <mergeCell ref="B19:C21"/>
    <mergeCell ref="A19:A21"/>
    <mergeCell ref="D19:D21"/>
    <mergeCell ref="B16:C18"/>
    <mergeCell ref="D16:D18"/>
    <mergeCell ref="A11:A14"/>
    <mergeCell ref="D11:D14"/>
    <mergeCell ref="E11:E14"/>
    <mergeCell ref="A1:E1"/>
    <mergeCell ref="I1:L1"/>
    <mergeCell ref="A2:E3"/>
    <mergeCell ref="I2:L2"/>
    <mergeCell ref="I3:L3"/>
    <mergeCell ref="A57:O57"/>
    <mergeCell ref="A30:O30"/>
    <mergeCell ref="A31:B31"/>
    <mergeCell ref="A32:A33"/>
    <mergeCell ref="G32:H32"/>
    <mergeCell ref="I32:I33"/>
    <mergeCell ref="J32:K33"/>
    <mergeCell ref="F32:F33"/>
    <mergeCell ref="B32:E33"/>
    <mergeCell ref="B34:E34"/>
    <mergeCell ref="J34:K34"/>
    <mergeCell ref="B35:E35"/>
    <mergeCell ref="J35:K35"/>
    <mergeCell ref="B36:E36"/>
    <mergeCell ref="J36:K36"/>
    <mergeCell ref="I45:J45"/>
    <mergeCell ref="B15:C15"/>
    <mergeCell ref="B5:D5"/>
    <mergeCell ref="A8:O8"/>
    <mergeCell ref="A9:O9"/>
    <mergeCell ref="A10:O10"/>
    <mergeCell ref="K6:L6"/>
    <mergeCell ref="B6:D6"/>
    <mergeCell ref="K5:L5"/>
    <mergeCell ref="F11:N11"/>
    <mergeCell ref="O11:O14"/>
    <mergeCell ref="F12:G12"/>
    <mergeCell ref="H12:N12"/>
    <mergeCell ref="F13:G13"/>
    <mergeCell ref="H13:H14"/>
  </mergeCells>
  <pageMargins left="0.78740157480314965" right="0.47244094488188981" top="0.39370078740157483" bottom="0.39370078740157483" header="0.51181102362204722" footer="0.51181102362204722"/>
  <pageSetup paperSize="9" scale="64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7DBE720-1DE4-4AD6-9A66-89D3268960BF}">
          <x14:formula1>
            <xm:f>'Данные организации'!$I$11:$I$12</xm:f>
          </x14:formula1>
          <xm:sqref>H16:H21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F8E33-5265-4AB8-95C9-164C0184827E}">
  <sheetPr>
    <pageSetUpPr fitToPage="1"/>
  </sheetPr>
  <dimension ref="A1:K47"/>
  <sheetViews>
    <sheetView view="pageBreakPreview" zoomScale="115" zoomScaleNormal="100" zoomScaleSheetLayoutView="115" workbookViewId="0">
      <selection activeCell="O15" sqref="O15"/>
    </sheetView>
  </sheetViews>
  <sheetFormatPr defaultColWidth="8.85546875" defaultRowHeight="15" x14ac:dyDescent="0.25"/>
  <sheetData>
    <row r="1" spans="1:11" s="3" customFormat="1" ht="18.600000000000001" customHeight="1" x14ac:dyDescent="0.2">
      <c r="A1" s="262" t="str">
        <f>'Данные объект'!B58</f>
        <v xml:space="preserve"> ООО «Энергосистемы»</v>
      </c>
      <c r="B1" s="262"/>
      <c r="C1" s="262"/>
      <c r="D1" s="262"/>
      <c r="F1" s="4" t="s">
        <v>11</v>
      </c>
      <c r="G1" s="259" t="str">
        <f>'Данные объект'!B34</f>
        <v>ПАО "Россети Московский регион"</v>
      </c>
      <c r="H1" s="259"/>
      <c r="I1" s="259"/>
      <c r="J1" s="259"/>
    </row>
    <row r="2" spans="1:11" s="3" customFormat="1" ht="27" customHeight="1" x14ac:dyDescent="0.2">
      <c r="A2" s="262" t="str">
        <f>'Данные объект'!C58</f>
        <v>Испытательная электролаборатория 141508, Московская область, г.о. Солнечногорск, г. Солнечногорск, ул. Промышленная, стр. 5, помещение 179, Свидетельсто о регистрации №5.3-6420 от 15 мая 2024г</v>
      </c>
      <c r="B2" s="262"/>
      <c r="C2" s="262"/>
      <c r="D2" s="262"/>
      <c r="F2" s="4" t="s">
        <v>12</v>
      </c>
      <c r="G2" s="260" t="str">
        <f>'Данные объект'!B17</f>
        <v>ВЛ от ТП ф.</v>
      </c>
      <c r="H2" s="260"/>
      <c r="I2" s="260"/>
      <c r="J2" s="260"/>
    </row>
    <row r="3" spans="1:11" s="3" customFormat="1" ht="31.15" customHeight="1" x14ac:dyDescent="0.2">
      <c r="A3" s="262"/>
      <c r="B3" s="262"/>
      <c r="C3" s="262"/>
      <c r="D3" s="262"/>
      <c r="F3" s="4" t="s">
        <v>13</v>
      </c>
      <c r="G3" s="261" t="str">
        <f>'Данные объект'!B5</f>
        <v>Лобня г, Шереметьевское ш, дом 10</v>
      </c>
      <c r="H3" s="261"/>
      <c r="I3" s="261"/>
      <c r="J3" s="261"/>
    </row>
    <row r="4" spans="1:11" s="3" customFormat="1" ht="15" customHeight="1" x14ac:dyDescent="0.2">
      <c r="A4" s="29"/>
      <c r="B4" s="29"/>
      <c r="C4" s="29"/>
      <c r="D4" s="29"/>
      <c r="F4" s="4"/>
      <c r="G4" s="4"/>
      <c r="H4" s="4"/>
      <c r="I4" s="4"/>
      <c r="J4" s="4"/>
    </row>
    <row r="5" spans="1:11" s="3" customFormat="1" ht="11.25" x14ac:dyDescent="0.2">
      <c r="A5" s="5"/>
      <c r="B5" s="249"/>
      <c r="C5" s="249"/>
      <c r="I5" s="249" t="s">
        <v>14</v>
      </c>
      <c r="J5" s="249"/>
    </row>
    <row r="6" spans="1:11" s="3" customFormat="1" ht="10.15" customHeight="1" x14ac:dyDescent="0.2">
      <c r="A6" s="5"/>
      <c r="B6" s="250"/>
      <c r="C6" s="250"/>
      <c r="I6" s="263" t="str">
        <f>'Данные объект'!B8</f>
        <v>25.06.2025</v>
      </c>
      <c r="J6" s="263"/>
    </row>
    <row r="7" spans="1:11" ht="19.149999999999999" customHeight="1" x14ac:dyDescent="0.25">
      <c r="A7" s="280" t="s">
        <v>498</v>
      </c>
      <c r="B7" s="281"/>
      <c r="C7" s="281"/>
      <c r="D7" s="281"/>
      <c r="E7" s="281"/>
      <c r="F7" s="281"/>
      <c r="G7" s="281"/>
      <c r="H7" s="281"/>
      <c r="I7" s="281"/>
      <c r="J7" s="281"/>
      <c r="K7" s="281"/>
    </row>
    <row r="8" spans="1:11" ht="37.9" customHeight="1" x14ac:dyDescent="0.25">
      <c r="A8" s="359" t="s">
        <v>570</v>
      </c>
      <c r="B8" s="359"/>
      <c r="C8" s="359"/>
      <c r="D8" s="359"/>
      <c r="E8" s="359"/>
      <c r="F8" s="359"/>
      <c r="G8" s="359"/>
      <c r="H8" s="359"/>
      <c r="I8" s="359"/>
      <c r="J8" s="359"/>
      <c r="K8" s="151"/>
    </row>
    <row r="10" spans="1:11" x14ac:dyDescent="0.25">
      <c r="A10" s="77" t="s">
        <v>66</v>
      </c>
      <c r="B10" s="355" t="s">
        <v>348</v>
      </c>
      <c r="C10" s="356"/>
      <c r="D10" s="356"/>
      <c r="E10" s="356"/>
      <c r="F10" s="357"/>
      <c r="G10" s="355" t="s">
        <v>497</v>
      </c>
      <c r="H10" s="357"/>
      <c r="I10" s="358" t="s">
        <v>349</v>
      </c>
      <c r="J10" s="358"/>
      <c r="K10" s="3"/>
    </row>
    <row r="11" spans="1:11" ht="20.45" customHeight="1" x14ac:dyDescent="0.25">
      <c r="A11" s="157">
        <v>1</v>
      </c>
      <c r="B11" s="352" t="s">
        <v>350</v>
      </c>
      <c r="C11" s="353"/>
      <c r="D11" s="353"/>
      <c r="E11" s="353"/>
      <c r="F11" s="354"/>
      <c r="G11" s="300" t="s">
        <v>133</v>
      </c>
      <c r="H11" s="301"/>
      <c r="I11" s="217" t="s">
        <v>351</v>
      </c>
      <c r="J11" s="217" t="s">
        <v>351</v>
      </c>
      <c r="K11" s="3"/>
    </row>
    <row r="12" spans="1:11" ht="18.600000000000001" customHeight="1" x14ac:dyDescent="0.25">
      <c r="A12" s="157">
        <v>2</v>
      </c>
      <c r="B12" s="352" t="s">
        <v>352</v>
      </c>
      <c r="C12" s="353"/>
      <c r="D12" s="353"/>
      <c r="E12" s="353"/>
      <c r="F12" s="354"/>
      <c r="G12" s="300" t="s">
        <v>133</v>
      </c>
      <c r="H12" s="301"/>
      <c r="I12" s="217" t="s">
        <v>353</v>
      </c>
      <c r="J12" s="217" t="s">
        <v>353</v>
      </c>
      <c r="K12" s="3"/>
    </row>
    <row r="13" spans="1:11" ht="26.45" customHeight="1" x14ac:dyDescent="0.25">
      <c r="A13" s="157">
        <v>3</v>
      </c>
      <c r="B13" s="352" t="s">
        <v>354</v>
      </c>
      <c r="C13" s="353"/>
      <c r="D13" s="353"/>
      <c r="E13" s="353"/>
      <c r="F13" s="354"/>
      <c r="G13" s="348" t="s">
        <v>355</v>
      </c>
      <c r="H13" s="349"/>
      <c r="I13" s="217" t="s">
        <v>356</v>
      </c>
      <c r="J13" s="217" t="s">
        <v>356</v>
      </c>
      <c r="K13" s="3"/>
    </row>
    <row r="14" spans="1:11" ht="32.450000000000003" customHeight="1" x14ac:dyDescent="0.25">
      <c r="A14" s="157">
        <v>4</v>
      </c>
      <c r="B14" s="352" t="s">
        <v>357</v>
      </c>
      <c r="C14" s="353"/>
      <c r="D14" s="353"/>
      <c r="E14" s="353"/>
      <c r="F14" s="354"/>
      <c r="G14" s="348" t="s">
        <v>358</v>
      </c>
      <c r="H14" s="349"/>
      <c r="I14" s="217" t="s">
        <v>356</v>
      </c>
      <c r="J14" s="217" t="s">
        <v>356</v>
      </c>
      <c r="K14" s="3"/>
    </row>
    <row r="15" spans="1:11" ht="27" customHeight="1" x14ac:dyDescent="0.25">
      <c r="A15" s="157">
        <v>5</v>
      </c>
      <c r="B15" s="352" t="s">
        <v>359</v>
      </c>
      <c r="C15" s="353"/>
      <c r="D15" s="353"/>
      <c r="E15" s="353"/>
      <c r="F15" s="354"/>
      <c r="G15" s="348" t="s">
        <v>358</v>
      </c>
      <c r="H15" s="349"/>
      <c r="I15" s="217" t="s">
        <v>356</v>
      </c>
      <c r="J15" s="217" t="s">
        <v>356</v>
      </c>
      <c r="K15" s="3"/>
    </row>
    <row r="16" spans="1:11" ht="36" customHeight="1" x14ac:dyDescent="0.25">
      <c r="A16" s="157">
        <v>6</v>
      </c>
      <c r="B16" s="352" t="s">
        <v>360</v>
      </c>
      <c r="C16" s="353"/>
      <c r="D16" s="353"/>
      <c r="E16" s="353"/>
      <c r="F16" s="354"/>
      <c r="G16" s="348" t="s">
        <v>361</v>
      </c>
      <c r="H16" s="349"/>
      <c r="I16" s="217" t="s">
        <v>362</v>
      </c>
      <c r="J16" s="217" t="s">
        <v>362</v>
      </c>
      <c r="K16" s="3"/>
    </row>
    <row r="17" spans="1:11" ht="35.450000000000003" customHeight="1" x14ac:dyDescent="0.25">
      <c r="A17" s="157">
        <v>7</v>
      </c>
      <c r="B17" s="352" t="s">
        <v>363</v>
      </c>
      <c r="C17" s="353"/>
      <c r="D17" s="353"/>
      <c r="E17" s="353"/>
      <c r="F17" s="354"/>
      <c r="G17" s="348" t="s">
        <v>364</v>
      </c>
      <c r="H17" s="349"/>
      <c r="I17" s="217" t="s">
        <v>356</v>
      </c>
      <c r="J17" s="217" t="s">
        <v>356</v>
      </c>
      <c r="K17" s="3"/>
    </row>
    <row r="18" spans="1:11" ht="27.6" customHeight="1" x14ac:dyDescent="0.25">
      <c r="A18" s="157">
        <v>8</v>
      </c>
      <c r="B18" s="352" t="s">
        <v>365</v>
      </c>
      <c r="C18" s="353"/>
      <c r="D18" s="353"/>
      <c r="E18" s="353"/>
      <c r="F18" s="354"/>
      <c r="G18" s="348" t="s">
        <v>366</v>
      </c>
      <c r="H18" s="349"/>
      <c r="I18" s="217" t="s">
        <v>351</v>
      </c>
      <c r="J18" s="217" t="s">
        <v>351</v>
      </c>
      <c r="K18" s="3"/>
    </row>
    <row r="19" spans="1:11" ht="30" customHeight="1" x14ac:dyDescent="0.25">
      <c r="A19" s="350" t="s">
        <v>571</v>
      </c>
      <c r="B19" s="350"/>
      <c r="C19" s="350"/>
      <c r="D19" s="350"/>
      <c r="E19" s="350"/>
      <c r="F19" s="351"/>
      <c r="G19" s="351"/>
      <c r="H19" s="351"/>
      <c r="I19" s="3"/>
      <c r="J19" s="3"/>
      <c r="K19" s="3"/>
    </row>
    <row r="20" spans="1:11" s="175" customFormat="1" ht="11.25" x14ac:dyDescent="0.2">
      <c r="A20" s="175" t="s">
        <v>613</v>
      </c>
    </row>
    <row r="21" spans="1:1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s="3" customFormat="1" ht="30" customHeight="1" x14ac:dyDescent="0.2">
      <c r="A22" s="245" t="s">
        <v>207</v>
      </c>
      <c r="B22" s="245"/>
      <c r="C22" s="247" t="str">
        <f>'Данные объект'!$B$64</f>
        <v>Зам. руководителя ЭИЛ</v>
      </c>
      <c r="D22" s="247"/>
      <c r="E22" s="247"/>
      <c r="F22" s="140"/>
      <c r="G22" s="6"/>
      <c r="H22" s="140"/>
      <c r="I22" s="247" t="str">
        <f>'Данные объект'!$B$65</f>
        <v>Фечин А.А.</v>
      </c>
      <c r="J22" s="247"/>
      <c r="K22" s="140"/>
    </row>
    <row r="23" spans="1:11" s="3" customFormat="1" ht="9" customHeight="1" x14ac:dyDescent="0.2">
      <c r="A23" s="32" t="s">
        <v>210</v>
      </c>
      <c r="B23" s="140"/>
      <c r="C23" s="248" t="s">
        <v>208</v>
      </c>
      <c r="D23" s="248"/>
      <c r="E23" s="248"/>
      <c r="F23" s="33"/>
      <c r="G23" s="34" t="s">
        <v>209</v>
      </c>
      <c r="H23" s="33"/>
      <c r="I23" s="248" t="s">
        <v>211</v>
      </c>
      <c r="J23" s="248"/>
      <c r="K23" s="140"/>
    </row>
    <row r="24" spans="1:11" s="3" customFormat="1" ht="9.9499999999999993" customHeight="1" x14ac:dyDescent="0.2">
      <c r="A24" s="245" t="s">
        <v>49</v>
      </c>
      <c r="B24" s="239"/>
      <c r="C24" s="239"/>
      <c r="D24" s="239"/>
      <c r="E24" s="239"/>
      <c r="F24" s="239"/>
      <c r="G24" s="239"/>
      <c r="H24" s="239"/>
      <c r="I24" s="239"/>
      <c r="J24" s="239"/>
      <c r="K24" s="239"/>
    </row>
    <row r="25" spans="1:11" s="3" customFormat="1" ht="20.100000000000001" customHeight="1" x14ac:dyDescent="0.2">
      <c r="A25" s="245" t="s">
        <v>50</v>
      </c>
      <c r="B25" s="245"/>
      <c r="C25" s="245"/>
      <c r="D25" s="245"/>
      <c r="E25" s="245"/>
      <c r="F25" s="245"/>
      <c r="G25" s="245"/>
      <c r="H25" s="245"/>
      <c r="I25" s="245"/>
      <c r="J25" s="245"/>
      <c r="K25" s="245"/>
    </row>
    <row r="26" spans="1:11" s="3" customFormat="1" ht="30" customHeight="1" x14ac:dyDescent="0.2">
      <c r="A26" s="245"/>
      <c r="B26" s="245"/>
      <c r="C26" s="247" t="str">
        <f>'Данные объект'!$B$66</f>
        <v>Инженер ЭИЛ</v>
      </c>
      <c r="D26" s="247"/>
      <c r="E26" s="247"/>
      <c r="F26" s="140"/>
      <c r="G26" s="6"/>
      <c r="H26" s="140"/>
      <c r="I26" s="247" t="str">
        <f>'Данные объект'!$B$67</f>
        <v>Косырин А.Н.</v>
      </c>
      <c r="J26" s="247"/>
      <c r="K26" s="140"/>
    </row>
    <row r="27" spans="1:11" s="3" customFormat="1" ht="9" customHeight="1" x14ac:dyDescent="0.2">
      <c r="A27" s="32" t="s">
        <v>210</v>
      </c>
      <c r="B27" s="140"/>
      <c r="C27" s="248" t="s">
        <v>208</v>
      </c>
      <c r="D27" s="248"/>
      <c r="E27" s="248"/>
      <c r="F27" s="33"/>
      <c r="G27" s="34" t="s">
        <v>209</v>
      </c>
      <c r="H27" s="33"/>
      <c r="I27" s="248" t="s">
        <v>211</v>
      </c>
      <c r="J27" s="248"/>
      <c r="K27" s="140"/>
    </row>
    <row r="28" spans="1:11" s="3" customFormat="1" ht="11.25" x14ac:dyDescent="0.2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</row>
    <row r="29" spans="1:11" s="3" customFormat="1" ht="30" customHeight="1" x14ac:dyDescent="0.2">
      <c r="A29" s="245" t="s">
        <v>212</v>
      </c>
      <c r="B29" s="245"/>
      <c r="C29" s="247" t="str">
        <f>'Данные объект'!$B$61</f>
        <v xml:space="preserve">Руководитель ЭИЛ </v>
      </c>
      <c r="D29" s="247"/>
      <c r="E29" s="247"/>
      <c r="F29" s="140"/>
      <c r="G29" s="6"/>
      <c r="H29" s="140"/>
      <c r="I29" s="247" t="str">
        <f>'Данные объект'!$B$62</f>
        <v xml:space="preserve"> Щербаков А.А.</v>
      </c>
      <c r="J29" s="247"/>
      <c r="K29" s="140"/>
    </row>
    <row r="30" spans="1:11" s="3" customFormat="1" ht="9" customHeight="1" x14ac:dyDescent="0.2">
      <c r="A30" s="32" t="s">
        <v>210</v>
      </c>
      <c r="B30" s="140"/>
      <c r="C30" s="248" t="s">
        <v>208</v>
      </c>
      <c r="D30" s="248"/>
      <c r="E30" s="248"/>
      <c r="F30" s="33"/>
      <c r="G30" s="34" t="s">
        <v>209</v>
      </c>
      <c r="H30" s="33"/>
      <c r="I30" s="248" t="s">
        <v>211</v>
      </c>
      <c r="J30" s="248"/>
      <c r="K30" s="140"/>
    </row>
    <row r="31" spans="1:11" ht="19.149999999999999" customHeight="1" x14ac:dyDescent="0.25">
      <c r="A31" s="81"/>
      <c r="B31" s="81"/>
      <c r="C31" s="81"/>
      <c r="D31" s="81"/>
      <c r="E31" s="81"/>
      <c r="F31" s="3"/>
      <c r="G31" s="3"/>
      <c r="H31" s="3"/>
      <c r="I31" s="3"/>
      <c r="J31" s="3"/>
      <c r="K31" s="3"/>
    </row>
    <row r="32" spans="1:11" ht="37.9" customHeight="1" x14ac:dyDescent="0.25">
      <c r="A32" s="81"/>
      <c r="B32" s="81"/>
      <c r="C32" s="81"/>
      <c r="D32" s="81"/>
      <c r="E32" s="81"/>
      <c r="F32" s="3"/>
      <c r="G32" s="3"/>
      <c r="H32" s="3"/>
      <c r="I32" s="3"/>
      <c r="J32" s="3"/>
      <c r="K32" s="3"/>
    </row>
    <row r="33" spans="1:1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 x14ac:dyDescent="0.25">
      <c r="A34" s="78"/>
      <c r="B34" s="78"/>
      <c r="C34" s="78"/>
      <c r="D34" s="78"/>
      <c r="E34" s="78"/>
      <c r="F34" s="78"/>
      <c r="G34" s="78"/>
      <c r="H34" s="78"/>
      <c r="I34" s="3"/>
      <c r="J34" s="3"/>
      <c r="K34" s="3"/>
    </row>
    <row r="35" spans="1:11" x14ac:dyDescent="0.25">
      <c r="A35" s="79"/>
      <c r="B35" s="79"/>
      <c r="C35" s="79"/>
      <c r="D35" s="79"/>
      <c r="E35" s="79"/>
      <c r="F35" s="76"/>
      <c r="G35" s="80"/>
      <c r="H35" s="79"/>
      <c r="I35" s="3"/>
      <c r="J35" s="3"/>
      <c r="K35" s="3"/>
    </row>
    <row r="36" spans="1:11" x14ac:dyDescent="0.25">
      <c r="A36" s="79"/>
      <c r="B36" s="79"/>
      <c r="C36" s="79"/>
      <c r="D36" s="79"/>
      <c r="E36" s="79"/>
      <c r="F36" s="76"/>
      <c r="G36" s="80"/>
      <c r="H36" s="79"/>
      <c r="I36" s="3"/>
      <c r="J36" s="3"/>
      <c r="K36" s="3"/>
    </row>
    <row r="37" spans="1:11" x14ac:dyDescent="0.25">
      <c r="A37" s="79"/>
      <c r="B37" s="79"/>
      <c r="C37" s="79"/>
      <c r="D37" s="79"/>
      <c r="E37" s="79"/>
      <c r="F37" s="76"/>
      <c r="G37" s="79"/>
      <c r="H37" s="79"/>
      <c r="I37" s="3"/>
      <c r="J37" s="3"/>
      <c r="K37" s="3"/>
    </row>
    <row r="38" spans="1:11" x14ac:dyDescent="0.25">
      <c r="A38" s="79"/>
      <c r="B38" s="79"/>
      <c r="C38" s="79"/>
      <c r="D38" s="79"/>
      <c r="E38" s="79"/>
      <c r="F38" s="76"/>
      <c r="G38" s="79"/>
      <c r="H38" s="79"/>
      <c r="I38" s="3"/>
      <c r="J38" s="3"/>
      <c r="K38" s="3"/>
    </row>
    <row r="39" spans="1:11" x14ac:dyDescent="0.25">
      <c r="A39" s="79"/>
      <c r="B39" s="79"/>
      <c r="C39" s="79"/>
      <c r="D39" s="79"/>
      <c r="E39" s="79"/>
      <c r="F39" s="76"/>
      <c r="G39" s="79"/>
      <c r="H39" s="79"/>
      <c r="I39" s="3"/>
      <c r="J39" s="3"/>
      <c r="K39" s="3"/>
    </row>
    <row r="40" spans="1:11" x14ac:dyDescent="0.25">
      <c r="A40" s="79"/>
      <c r="B40" s="79"/>
      <c r="C40" s="79"/>
      <c r="D40" s="79"/>
      <c r="E40" s="79"/>
      <c r="F40" s="76"/>
      <c r="G40" s="79"/>
      <c r="H40" s="79"/>
      <c r="I40" s="3"/>
      <c r="J40" s="3"/>
      <c r="K40" s="3"/>
    </row>
    <row r="41" spans="1:11" x14ac:dyDescent="0.25">
      <c r="A41" s="79"/>
      <c r="B41" s="79"/>
      <c r="C41" s="79"/>
      <c r="D41" s="79"/>
      <c r="E41" s="79"/>
      <c r="F41" s="76"/>
      <c r="G41" s="79"/>
      <c r="H41" s="79"/>
      <c r="I41" s="3"/>
      <c r="J41" s="3"/>
      <c r="K41" s="3"/>
    </row>
    <row r="42" spans="1:11" x14ac:dyDescent="0.25">
      <c r="A42" s="79"/>
      <c r="B42" s="79"/>
      <c r="C42" s="79"/>
      <c r="D42" s="79"/>
      <c r="E42" s="79"/>
      <c r="F42" s="76"/>
      <c r="G42" s="79"/>
      <c r="H42" s="79"/>
      <c r="I42" s="3"/>
      <c r="J42" s="3"/>
      <c r="K42" s="3"/>
    </row>
    <row r="43" spans="1:11" ht="30" customHeight="1" x14ac:dyDescent="0.25">
      <c r="A43" s="81"/>
      <c r="B43" s="81"/>
      <c r="C43" s="81"/>
      <c r="D43" s="81"/>
      <c r="E43" s="81"/>
      <c r="F43" s="3"/>
      <c r="G43" s="3"/>
      <c r="H43" s="3"/>
      <c r="I43" s="3"/>
      <c r="J43" s="3"/>
      <c r="K43" s="3"/>
    </row>
    <row r="44" spans="1:1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 ht="16.149999999999999" customHeight="1" x14ac:dyDescent="0.25">
      <c r="A45" s="81"/>
      <c r="B45" s="81"/>
      <c r="C45" s="81"/>
      <c r="D45" s="81"/>
      <c r="E45" s="81"/>
      <c r="F45" s="3"/>
      <c r="G45" s="3"/>
      <c r="H45" s="3"/>
      <c r="I45" s="3"/>
      <c r="J45" s="3"/>
      <c r="K45" s="3"/>
    </row>
    <row r="46" spans="1:1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 ht="16.149999999999999" customHeight="1" x14ac:dyDescent="0.25">
      <c r="A47" s="81"/>
      <c r="B47" s="81"/>
      <c r="C47" s="81"/>
      <c r="D47" s="81"/>
      <c r="E47" s="81"/>
      <c r="F47" s="3"/>
      <c r="G47" s="3"/>
      <c r="H47" s="3"/>
      <c r="I47" s="3"/>
      <c r="J47" s="3"/>
      <c r="K47" s="3"/>
    </row>
  </sheetData>
  <mergeCells count="56">
    <mergeCell ref="B5:C5"/>
    <mergeCell ref="I5:J5"/>
    <mergeCell ref="B6:C6"/>
    <mergeCell ref="B13:F13"/>
    <mergeCell ref="B14:F14"/>
    <mergeCell ref="I6:J6"/>
    <mergeCell ref="A7:K7"/>
    <mergeCell ref="B10:F10"/>
    <mergeCell ref="B11:F11"/>
    <mergeCell ref="G10:H10"/>
    <mergeCell ref="I10:J10"/>
    <mergeCell ref="A8:J8"/>
    <mergeCell ref="A1:D1"/>
    <mergeCell ref="G1:J1"/>
    <mergeCell ref="A2:D3"/>
    <mergeCell ref="G2:J2"/>
    <mergeCell ref="G3:J3"/>
    <mergeCell ref="I22:J22"/>
    <mergeCell ref="I16:J16"/>
    <mergeCell ref="I17:J17"/>
    <mergeCell ref="I18:J18"/>
    <mergeCell ref="B12:F12"/>
    <mergeCell ref="G17:H17"/>
    <mergeCell ref="B16:F16"/>
    <mergeCell ref="B17:F17"/>
    <mergeCell ref="B18:F18"/>
    <mergeCell ref="I15:J15"/>
    <mergeCell ref="B15:F15"/>
    <mergeCell ref="C30:E30"/>
    <mergeCell ref="I30:J30"/>
    <mergeCell ref="A24:K24"/>
    <mergeCell ref="A25:K25"/>
    <mergeCell ref="A26:B26"/>
    <mergeCell ref="C26:E26"/>
    <mergeCell ref="I26:J26"/>
    <mergeCell ref="C27:E27"/>
    <mergeCell ref="I27:J27"/>
    <mergeCell ref="A29:B29"/>
    <mergeCell ref="C29:E29"/>
    <mergeCell ref="I29:J29"/>
    <mergeCell ref="C23:E23"/>
    <mergeCell ref="G18:H18"/>
    <mergeCell ref="I11:J11"/>
    <mergeCell ref="I12:J12"/>
    <mergeCell ref="I13:J13"/>
    <mergeCell ref="I14:J14"/>
    <mergeCell ref="I23:J23"/>
    <mergeCell ref="G11:H11"/>
    <mergeCell ref="G12:H12"/>
    <mergeCell ref="G13:H13"/>
    <mergeCell ref="G14:H14"/>
    <mergeCell ref="G15:H15"/>
    <mergeCell ref="G16:H16"/>
    <mergeCell ref="A19:H19"/>
    <mergeCell ref="A22:B22"/>
    <mergeCell ref="C22:E22"/>
  </mergeCells>
  <pageMargins left="1.18" right="0.59" top="0.79" bottom="0.79" header="0.49" footer="0.49"/>
  <pageSetup paperSize="9" scale="93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0F1B4-33CC-4887-A91C-D28CA2AE8F27}">
  <dimension ref="A1:K50"/>
  <sheetViews>
    <sheetView view="pageBreakPreview" zoomScaleNormal="100" zoomScaleSheetLayoutView="100" workbookViewId="0">
      <selection activeCell="O5" sqref="O5"/>
    </sheetView>
  </sheetViews>
  <sheetFormatPr defaultColWidth="8.85546875" defaultRowHeight="12.75" x14ac:dyDescent="0.2"/>
  <cols>
    <col min="1" max="16384" width="8.85546875" style="69"/>
  </cols>
  <sheetData>
    <row r="1" spans="1:11" s="3" customFormat="1" ht="18.600000000000001" customHeight="1" x14ac:dyDescent="0.2">
      <c r="A1" s="262" t="str">
        <f>'Данные объект'!B58</f>
        <v xml:space="preserve"> ООО «Энергосистемы»</v>
      </c>
      <c r="B1" s="262"/>
      <c r="C1" s="262"/>
      <c r="D1" s="262"/>
      <c r="G1" s="4" t="s">
        <v>11</v>
      </c>
      <c r="H1" s="259" t="str">
        <f>'Данные объект'!B34</f>
        <v>ПАО "Россети Московский регион"</v>
      </c>
      <c r="I1" s="259"/>
      <c r="J1" s="259"/>
      <c r="K1" s="259"/>
    </row>
    <row r="2" spans="1:11" s="3" customFormat="1" ht="44.25" customHeight="1" x14ac:dyDescent="0.2">
      <c r="A2" s="262" t="str">
        <f>'Данные объект'!C58</f>
        <v>Испытательная электролаборатория 141508, Московская область, г.о. Солнечногорск, г. Солнечногорск, ул. Промышленная, стр. 5, помещение 179, Свидетельсто о регистрации №5.3-6420 от 15 мая 2024г</v>
      </c>
      <c r="B2" s="262"/>
      <c r="C2" s="262"/>
      <c r="D2" s="262"/>
      <c r="G2" s="4" t="s">
        <v>12</v>
      </c>
      <c r="H2" s="260" t="str">
        <f>'Данные объект'!B14</f>
        <v xml:space="preserve">КТП № АСП № ВЛ от ТП ф. ВЛ от ТП ф. КЛ от ТП ф ВРЩ вблизи ТП </v>
      </c>
      <c r="I2" s="260"/>
      <c r="J2" s="260"/>
      <c r="K2" s="260"/>
    </row>
    <row r="3" spans="1:11" s="3" customFormat="1" ht="31.15" customHeight="1" x14ac:dyDescent="0.2">
      <c r="A3" s="262"/>
      <c r="B3" s="262"/>
      <c r="C3" s="262"/>
      <c r="D3" s="262"/>
      <c r="G3" s="4" t="s">
        <v>13</v>
      </c>
      <c r="H3" s="261" t="str">
        <f>'Данные объект'!B5</f>
        <v>Лобня г, Шереметьевское ш, дом 10</v>
      </c>
      <c r="I3" s="261"/>
      <c r="J3" s="261"/>
      <c r="K3" s="261"/>
    </row>
    <row r="4" spans="1:11" s="3" customFormat="1" ht="15" customHeight="1" x14ac:dyDescent="0.2">
      <c r="A4" s="29"/>
      <c r="B4" s="29"/>
      <c r="C4" s="29"/>
      <c r="D4" s="29"/>
      <c r="G4" s="4"/>
      <c r="H4" s="4"/>
      <c r="I4" s="4"/>
      <c r="J4" s="4"/>
      <c r="K4" s="4"/>
    </row>
    <row r="5" spans="1:11" s="3" customFormat="1" ht="10.15" customHeight="1" x14ac:dyDescent="0.2">
      <c r="A5" s="5"/>
      <c r="B5" s="249"/>
      <c r="C5" s="249"/>
      <c r="J5" s="249" t="s">
        <v>14</v>
      </c>
      <c r="K5" s="249"/>
    </row>
    <row r="6" spans="1:11" s="3" customFormat="1" ht="10.15" customHeight="1" x14ac:dyDescent="0.2">
      <c r="A6" s="5"/>
      <c r="B6" s="250"/>
      <c r="C6" s="250"/>
      <c r="J6" s="263" t="str">
        <f>'Данные объект'!B8</f>
        <v>25.06.2025</v>
      </c>
      <c r="K6" s="263"/>
    </row>
    <row r="9" spans="1:11" ht="13.9" customHeight="1" x14ac:dyDescent="0.2">
      <c r="A9" s="364" t="s">
        <v>343</v>
      </c>
      <c r="B9" s="364"/>
      <c r="C9" s="364"/>
      <c r="D9" s="364"/>
      <c r="E9" s="364"/>
      <c r="F9" s="364"/>
      <c r="G9" s="364"/>
      <c r="H9" s="364"/>
      <c r="I9" s="364"/>
      <c r="J9" s="364"/>
      <c r="K9" s="364"/>
    </row>
    <row r="12" spans="1:11" ht="15.6" customHeight="1" x14ac:dyDescent="0.2">
      <c r="A12" s="361" t="s">
        <v>344</v>
      </c>
      <c r="B12" s="361"/>
      <c r="C12" s="361"/>
      <c r="D12" s="361"/>
    </row>
    <row r="13" spans="1:11" x14ac:dyDescent="0.2">
      <c r="A13" s="360" t="str">
        <f>'Данные объект'!B14</f>
        <v xml:space="preserve">КТП № АСП № ВЛ от ТП ф. ВЛ от ТП ф. КЛ от ТП ф ВРЩ вблизи ТП </v>
      </c>
      <c r="B13" s="360"/>
      <c r="C13" s="360"/>
      <c r="D13" s="360"/>
      <c r="E13" s="360"/>
      <c r="F13" s="360"/>
      <c r="G13" s="360"/>
      <c r="H13" s="360"/>
      <c r="I13" s="360"/>
      <c r="J13" s="360"/>
    </row>
    <row r="14" spans="1:11" ht="18" hidden="1" customHeight="1" x14ac:dyDescent="0.2">
      <c r="A14" s="362" t="str">
        <f>'Данные объект'!B17</f>
        <v>ВЛ от ТП ф.</v>
      </c>
      <c r="B14" s="362"/>
      <c r="C14" s="362"/>
      <c r="D14" s="362"/>
      <c r="E14" s="362"/>
      <c r="F14" s="362"/>
      <c r="G14" s="362"/>
      <c r="H14" s="362"/>
      <c r="I14" s="362"/>
      <c r="J14" s="362"/>
    </row>
    <row r="15" spans="1:11" hidden="1" x14ac:dyDescent="0.2">
      <c r="A15" s="362" t="str">
        <f>'Данные объект'!B18</f>
        <v>ВЛ от ТП ф.</v>
      </c>
      <c r="B15" s="362"/>
      <c r="C15" s="362"/>
      <c r="D15" s="362"/>
      <c r="E15" s="362"/>
      <c r="F15" s="362"/>
      <c r="G15" s="362"/>
      <c r="H15" s="362"/>
      <c r="I15" s="362"/>
      <c r="J15" s="362"/>
    </row>
    <row r="16" spans="1:11" ht="17.45" customHeight="1" x14ac:dyDescent="0.2">
      <c r="A16" s="363" t="s">
        <v>345</v>
      </c>
      <c r="B16" s="363"/>
      <c r="C16" s="70"/>
    </row>
    <row r="17" spans="1:11" x14ac:dyDescent="0.2">
      <c r="A17" s="360" t="str">
        <f>'Данные объект'!B5</f>
        <v>Лобня г, Шереметьевское ш, дом 10</v>
      </c>
      <c r="B17" s="360"/>
      <c r="C17" s="360"/>
      <c r="D17" s="360"/>
      <c r="E17" s="360"/>
      <c r="F17" s="360"/>
      <c r="G17" s="360"/>
      <c r="H17" s="360"/>
      <c r="I17" s="360"/>
      <c r="J17" s="360"/>
    </row>
    <row r="18" spans="1:11" ht="15.75" x14ac:dyDescent="0.2">
      <c r="A18" s="365" t="s">
        <v>341</v>
      </c>
      <c r="B18" s="365"/>
      <c r="C18" s="365"/>
      <c r="D18" s="365"/>
      <c r="E18" s="365"/>
      <c r="F18" s="365"/>
      <c r="G18" s="365"/>
      <c r="H18" s="365"/>
      <c r="I18" s="365"/>
      <c r="J18" s="365"/>
    </row>
    <row r="21" spans="1:11" ht="17.45" customHeight="1" x14ac:dyDescent="0.2">
      <c r="A21" s="363" t="s">
        <v>346</v>
      </c>
      <c r="B21" s="363"/>
      <c r="C21" s="366" t="s">
        <v>347</v>
      </c>
      <c r="D21" s="366"/>
      <c r="E21" s="366"/>
      <c r="F21" s="366"/>
      <c r="G21" s="366"/>
      <c r="H21" s="366"/>
      <c r="I21" s="366"/>
      <c r="J21" s="366"/>
    </row>
    <row r="22" spans="1:11" ht="17.45" customHeight="1" x14ac:dyDescent="0.2">
      <c r="A22" s="75"/>
      <c r="B22" s="75"/>
      <c r="C22" s="75"/>
      <c r="D22" s="75"/>
      <c r="E22" s="75"/>
      <c r="F22" s="75"/>
      <c r="G22" s="75"/>
      <c r="H22" s="75"/>
      <c r="I22" s="75"/>
      <c r="J22" s="75"/>
    </row>
    <row r="23" spans="1:11" ht="17.45" customHeight="1" x14ac:dyDescent="0.2">
      <c r="A23" s="75" t="s">
        <v>342</v>
      </c>
      <c r="B23" s="75"/>
      <c r="C23" s="75"/>
      <c r="D23" s="75"/>
      <c r="E23" s="75"/>
      <c r="F23" s="75"/>
      <c r="G23" s="75"/>
      <c r="H23" s="75"/>
      <c r="I23" s="75"/>
      <c r="J23" s="75"/>
    </row>
    <row r="24" spans="1:11" s="3" customFormat="1" ht="30" customHeight="1" x14ac:dyDescent="0.2">
      <c r="A24" s="245" t="s">
        <v>207</v>
      </c>
      <c r="B24" s="245"/>
      <c r="C24" s="247" t="str">
        <f>'Данные объект'!$B$64</f>
        <v>Зам. руководителя ЭИЛ</v>
      </c>
      <c r="D24" s="247"/>
      <c r="E24" s="247"/>
      <c r="F24" s="140"/>
      <c r="G24" s="6"/>
      <c r="H24" s="140"/>
      <c r="I24" s="247" t="str">
        <f>'Данные объект'!$B$65</f>
        <v>Фечин А.А.</v>
      </c>
      <c r="J24" s="247"/>
      <c r="K24" s="140"/>
    </row>
    <row r="25" spans="1:11" s="3" customFormat="1" ht="9" customHeight="1" x14ac:dyDescent="0.2">
      <c r="A25" s="32" t="s">
        <v>210</v>
      </c>
      <c r="B25" s="140"/>
      <c r="C25" s="248" t="s">
        <v>208</v>
      </c>
      <c r="D25" s="248"/>
      <c r="E25" s="248"/>
      <c r="F25" s="33"/>
      <c r="G25" s="34" t="s">
        <v>209</v>
      </c>
      <c r="H25" s="33"/>
      <c r="I25" s="248" t="s">
        <v>211</v>
      </c>
      <c r="J25" s="248"/>
      <c r="K25" s="140"/>
    </row>
    <row r="26" spans="1:11" s="3" customFormat="1" ht="9.9499999999999993" customHeight="1" x14ac:dyDescent="0.2">
      <c r="A26" s="245" t="s">
        <v>49</v>
      </c>
      <c r="B26" s="239"/>
      <c r="C26" s="239"/>
      <c r="D26" s="239"/>
      <c r="E26" s="239"/>
      <c r="F26" s="239"/>
      <c r="G26" s="239"/>
      <c r="H26" s="239"/>
      <c r="I26" s="239"/>
      <c r="J26" s="239"/>
      <c r="K26" s="239"/>
    </row>
    <row r="27" spans="1:11" s="3" customFormat="1" ht="20.100000000000001" customHeight="1" x14ac:dyDescent="0.2">
      <c r="A27" s="245" t="s">
        <v>50</v>
      </c>
      <c r="B27" s="245"/>
      <c r="C27" s="245"/>
      <c r="D27" s="245"/>
      <c r="E27" s="245"/>
      <c r="F27" s="245"/>
      <c r="G27" s="245"/>
      <c r="H27" s="245"/>
      <c r="I27" s="245"/>
      <c r="J27" s="245"/>
      <c r="K27" s="245"/>
    </row>
    <row r="28" spans="1:11" s="3" customFormat="1" ht="30" customHeight="1" x14ac:dyDescent="0.2">
      <c r="A28" s="245"/>
      <c r="B28" s="245"/>
      <c r="C28" s="247" t="str">
        <f>'Данные объект'!$B$66</f>
        <v>Инженер ЭИЛ</v>
      </c>
      <c r="D28" s="247"/>
      <c r="E28" s="247"/>
      <c r="F28" s="140"/>
      <c r="G28" s="6"/>
      <c r="H28" s="140"/>
      <c r="I28" s="247" t="str">
        <f>'Данные объект'!$B$67</f>
        <v>Косырин А.Н.</v>
      </c>
      <c r="J28" s="247"/>
      <c r="K28" s="140"/>
    </row>
    <row r="29" spans="1:11" s="3" customFormat="1" ht="9" customHeight="1" x14ac:dyDescent="0.2">
      <c r="A29" s="32" t="s">
        <v>210</v>
      </c>
      <c r="B29" s="140"/>
      <c r="C29" s="248" t="s">
        <v>208</v>
      </c>
      <c r="D29" s="248"/>
      <c r="E29" s="248"/>
      <c r="F29" s="33"/>
      <c r="G29" s="34" t="s">
        <v>209</v>
      </c>
      <c r="H29" s="33"/>
      <c r="I29" s="248" t="s">
        <v>211</v>
      </c>
      <c r="J29" s="248"/>
      <c r="K29" s="140"/>
    </row>
    <row r="30" spans="1:11" s="3" customFormat="1" ht="11.25" x14ac:dyDescent="0.2">
      <c r="A30" s="140"/>
      <c r="B30" s="140"/>
      <c r="C30" s="140"/>
      <c r="D30" s="140"/>
      <c r="E30" s="140"/>
      <c r="F30" s="140"/>
      <c r="G30" s="140"/>
      <c r="H30" s="140"/>
      <c r="I30" s="140"/>
      <c r="J30" s="140"/>
      <c r="K30" s="140"/>
    </row>
    <row r="31" spans="1:11" s="3" customFormat="1" ht="30" customHeight="1" x14ac:dyDescent="0.2">
      <c r="A31" s="245" t="s">
        <v>212</v>
      </c>
      <c r="B31" s="245"/>
      <c r="C31" s="247" t="str">
        <f>'Данные объект'!$B$61</f>
        <v xml:space="preserve">Руководитель ЭИЛ </v>
      </c>
      <c r="D31" s="247"/>
      <c r="E31" s="247"/>
      <c r="F31" s="140"/>
      <c r="G31" s="6"/>
      <c r="H31" s="140"/>
      <c r="I31" s="247" t="str">
        <f>'Данные объект'!$B$62</f>
        <v xml:space="preserve"> Щербаков А.А.</v>
      </c>
      <c r="J31" s="247"/>
      <c r="K31" s="140"/>
    </row>
    <row r="32" spans="1:11" s="3" customFormat="1" ht="9" customHeight="1" x14ac:dyDescent="0.2">
      <c r="A32" s="32" t="s">
        <v>210</v>
      </c>
      <c r="B32" s="140"/>
      <c r="C32" s="248" t="s">
        <v>208</v>
      </c>
      <c r="D32" s="248"/>
      <c r="E32" s="248"/>
      <c r="F32" s="33"/>
      <c r="G32" s="34" t="s">
        <v>209</v>
      </c>
      <c r="H32" s="33"/>
      <c r="I32" s="248" t="s">
        <v>211</v>
      </c>
      <c r="J32" s="248"/>
      <c r="K32" s="140"/>
    </row>
    <row r="37" spans="2:3" ht="15.75" x14ac:dyDescent="0.2">
      <c r="B37" s="70"/>
      <c r="C37" s="70"/>
    </row>
    <row r="38" spans="2:3" x14ac:dyDescent="0.2">
      <c r="B38" s="72"/>
      <c r="C38" s="72"/>
    </row>
    <row r="40" spans="2:3" ht="15.75" x14ac:dyDescent="0.2">
      <c r="B40" s="70"/>
      <c r="C40" s="70"/>
    </row>
    <row r="41" spans="2:3" x14ac:dyDescent="0.2">
      <c r="B41" s="72"/>
      <c r="C41" s="72"/>
    </row>
    <row r="42" spans="2:3" x14ac:dyDescent="0.2">
      <c r="B42" s="73"/>
      <c r="C42" s="73"/>
    </row>
    <row r="44" spans="2:3" ht="15.75" x14ac:dyDescent="0.2">
      <c r="B44" s="70"/>
      <c r="C44" s="70"/>
    </row>
    <row r="45" spans="2:3" x14ac:dyDescent="0.2">
      <c r="B45" s="72"/>
      <c r="C45" s="72"/>
    </row>
    <row r="46" spans="2:3" ht="15.75" x14ac:dyDescent="0.2">
      <c r="B46" s="71"/>
      <c r="C46" s="71"/>
    </row>
    <row r="50" spans="2:3" ht="15.75" x14ac:dyDescent="0.2">
      <c r="B50" s="74"/>
      <c r="C50" s="74"/>
    </row>
  </sheetData>
  <mergeCells count="36">
    <mergeCell ref="A26:K26"/>
    <mergeCell ref="A18:J18"/>
    <mergeCell ref="A21:B21"/>
    <mergeCell ref="C21:J21"/>
    <mergeCell ref="A24:B24"/>
    <mergeCell ref="C24:E24"/>
    <mergeCell ref="I24:J24"/>
    <mergeCell ref="C25:E25"/>
    <mergeCell ref="I25:J25"/>
    <mergeCell ref="A1:D1"/>
    <mergeCell ref="H1:K1"/>
    <mergeCell ref="A2:D3"/>
    <mergeCell ref="H2:K2"/>
    <mergeCell ref="H3:K3"/>
    <mergeCell ref="B5:C5"/>
    <mergeCell ref="J5:K5"/>
    <mergeCell ref="B6:C6"/>
    <mergeCell ref="J6:K6"/>
    <mergeCell ref="A17:J17"/>
    <mergeCell ref="A12:D12"/>
    <mergeCell ref="A13:J13"/>
    <mergeCell ref="A14:J14"/>
    <mergeCell ref="A15:J15"/>
    <mergeCell ref="A16:B16"/>
    <mergeCell ref="A9:K9"/>
    <mergeCell ref="A27:K27"/>
    <mergeCell ref="A28:B28"/>
    <mergeCell ref="C28:E28"/>
    <mergeCell ref="I28:J28"/>
    <mergeCell ref="C29:E29"/>
    <mergeCell ref="I29:J29"/>
    <mergeCell ref="A31:B31"/>
    <mergeCell ref="C31:E31"/>
    <mergeCell ref="I31:J31"/>
    <mergeCell ref="C32:E32"/>
    <mergeCell ref="I32:J32"/>
  </mergeCells>
  <pageMargins left="0.78740157480314965" right="0.47244094488188981" top="0.39370078740157483" bottom="0.39370078740157483" header="0.51181102362204722" footer="0.51181102362204722"/>
  <pageSetup paperSize="9" scale="91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68BBB-93E7-46B0-8D4D-266AE1775EE7}">
  <sheetPr>
    <tabColor rgb="FFFF0000"/>
  </sheetPr>
  <dimension ref="A1:L44"/>
  <sheetViews>
    <sheetView view="pageBreakPreview" topLeftCell="A16" zoomScale="85" zoomScaleNormal="100" zoomScaleSheetLayoutView="85" workbookViewId="0">
      <selection activeCell="L40" sqref="L40"/>
    </sheetView>
  </sheetViews>
  <sheetFormatPr defaultRowHeight="15" x14ac:dyDescent="0.25"/>
  <cols>
    <col min="1" max="2" width="16.5703125" style="178" customWidth="1"/>
    <col min="3" max="3" width="9.5703125" style="178" customWidth="1"/>
    <col min="4" max="4" width="14.85546875" style="178" customWidth="1"/>
    <col min="5" max="5" width="10.7109375" style="178" customWidth="1"/>
    <col min="6" max="6" width="12.140625" style="178" customWidth="1"/>
    <col min="7" max="7" width="11.42578125" style="178" customWidth="1"/>
    <col min="8" max="16384" width="9.140625" style="178"/>
  </cols>
  <sheetData>
    <row r="1" spans="1:12" ht="34.5" x14ac:dyDescent="0.25">
      <c r="A1" s="368" t="str">
        <f>'Данные объект'!B58</f>
        <v xml:space="preserve"> ООО «Энергосистемы»</v>
      </c>
      <c r="B1" s="368"/>
      <c r="C1" s="368"/>
      <c r="D1" s="368"/>
      <c r="E1" s="176"/>
      <c r="F1" s="176"/>
      <c r="G1" s="177" t="s">
        <v>11</v>
      </c>
      <c r="H1" s="369" t="str">
        <f>'Данные объект'!B34</f>
        <v>ПАО "Россети Московский регион"</v>
      </c>
      <c r="I1" s="369"/>
      <c r="J1" s="369"/>
      <c r="K1" s="369"/>
    </row>
    <row r="2" spans="1:12" ht="34.5" customHeight="1" x14ac:dyDescent="0.25">
      <c r="A2" s="368" t="str">
        <f>'Данные объект'!C58</f>
        <v>Испытательная электролаборатория 141508, Московская область, г.о. Солнечногорск, г. Солнечногорск, ул. Промышленная, стр. 5, помещение 179, Свидетельсто о регистрации №5.3-6420 от 15 мая 2024г</v>
      </c>
      <c r="B2" s="368"/>
      <c r="C2" s="368"/>
      <c r="D2" s="368"/>
      <c r="E2" s="176"/>
      <c r="F2" s="176"/>
      <c r="G2" s="177" t="s">
        <v>12</v>
      </c>
      <c r="H2" s="370" t="str">
        <f>_xlfn.CONCAT('Данные объект'!$B$15, " ",'Данные объект'!$B$16)</f>
        <v>КТП № АСП №</v>
      </c>
      <c r="I2" s="370"/>
      <c r="J2" s="370"/>
      <c r="K2" s="370"/>
    </row>
    <row r="3" spans="1:12" ht="30" customHeight="1" x14ac:dyDescent="0.25">
      <c r="A3" s="368"/>
      <c r="B3" s="368"/>
      <c r="C3" s="368"/>
      <c r="D3" s="368"/>
      <c r="E3" s="176"/>
      <c r="F3" s="176"/>
      <c r="G3" s="177" t="s">
        <v>13</v>
      </c>
      <c r="H3" s="371" t="str">
        <f>'Данные объект'!B5</f>
        <v>Лобня г, Шереметьевское ш, дом 10</v>
      </c>
      <c r="I3" s="371"/>
      <c r="J3" s="371"/>
      <c r="K3" s="371"/>
    </row>
    <row r="4" spans="1:12" x14ac:dyDescent="0.25">
      <c r="A4" s="179"/>
      <c r="B4" s="179"/>
      <c r="C4" s="179"/>
      <c r="D4" s="179"/>
      <c r="E4" s="176"/>
      <c r="F4" s="176"/>
      <c r="G4" s="177"/>
      <c r="H4" s="177"/>
      <c r="I4" s="177"/>
      <c r="J4" s="177"/>
      <c r="K4" s="177"/>
    </row>
    <row r="5" spans="1:12" x14ac:dyDescent="0.25">
      <c r="A5" s="180"/>
      <c r="B5" s="372"/>
      <c r="C5" s="372"/>
      <c r="D5" s="176"/>
      <c r="E5" s="176"/>
      <c r="F5" s="176"/>
      <c r="G5" s="176"/>
      <c r="H5" s="176"/>
      <c r="I5" s="176"/>
      <c r="J5" s="372" t="s">
        <v>14</v>
      </c>
      <c r="K5" s="372"/>
    </row>
    <row r="6" spans="1:12" x14ac:dyDescent="0.25">
      <c r="A6" s="180"/>
      <c r="B6" s="373"/>
      <c r="C6" s="373"/>
      <c r="D6" s="176"/>
      <c r="E6" s="176"/>
      <c r="F6" s="176"/>
      <c r="G6" s="176"/>
      <c r="H6" s="176"/>
      <c r="I6" s="176"/>
      <c r="J6" s="374" t="str">
        <f>'Данные объект'!B8</f>
        <v>25.06.2025</v>
      </c>
      <c r="K6" s="374"/>
    </row>
    <row r="8" spans="1:12" ht="15.75" x14ac:dyDescent="0.25">
      <c r="A8" s="375" t="s">
        <v>572</v>
      </c>
      <c r="B8" s="376"/>
      <c r="C8" s="376"/>
      <c r="D8" s="376"/>
      <c r="E8" s="376"/>
      <c r="F8" s="376"/>
      <c r="G8" s="376"/>
      <c r="H8" s="376"/>
      <c r="I8" s="376"/>
      <c r="J8" s="376"/>
      <c r="K8" s="376"/>
    </row>
    <row r="9" spans="1:12" x14ac:dyDescent="0.25">
      <c r="A9" s="377" t="s">
        <v>573</v>
      </c>
      <c r="B9" s="378"/>
      <c r="C9" s="378"/>
      <c r="D9" s="378"/>
      <c r="E9" s="378"/>
      <c r="F9" s="378"/>
      <c r="G9" s="378"/>
      <c r="H9" s="378"/>
      <c r="I9" s="378"/>
      <c r="J9" s="378"/>
      <c r="K9" s="378"/>
    </row>
    <row r="10" spans="1:12" ht="25.5" customHeight="1" x14ac:dyDescent="0.25">
      <c r="A10" s="379" t="s">
        <v>574</v>
      </c>
      <c r="B10" s="379"/>
      <c r="C10" s="181"/>
      <c r="D10" s="181"/>
      <c r="E10" s="181"/>
      <c r="F10" s="181"/>
      <c r="G10" s="181"/>
      <c r="H10" s="181"/>
      <c r="I10" s="181"/>
      <c r="J10" s="181"/>
      <c r="K10" s="181"/>
    </row>
    <row r="11" spans="1:12" x14ac:dyDescent="0.25">
      <c r="A11" s="182" t="s">
        <v>575</v>
      </c>
      <c r="B11" s="182" t="s">
        <v>576</v>
      </c>
      <c r="C11" s="182" t="s">
        <v>577</v>
      </c>
      <c r="D11" s="182" t="s">
        <v>578</v>
      </c>
      <c r="E11" s="182" t="s">
        <v>579</v>
      </c>
      <c r="F11" s="182" t="s">
        <v>580</v>
      </c>
    </row>
    <row r="12" spans="1:12" x14ac:dyDescent="0.25">
      <c r="A12" s="183" t="s">
        <v>581</v>
      </c>
      <c r="B12" s="183">
        <v>28046</v>
      </c>
      <c r="C12" s="183">
        <v>2025</v>
      </c>
      <c r="D12" s="183">
        <v>630</v>
      </c>
      <c r="E12" s="183">
        <v>10</v>
      </c>
      <c r="F12" s="184"/>
      <c r="L12" s="178" t="s">
        <v>582</v>
      </c>
    </row>
    <row r="14" spans="1:12" x14ac:dyDescent="0.25">
      <c r="A14" s="367" t="s">
        <v>583</v>
      </c>
      <c r="B14" s="367"/>
      <c r="C14" s="367"/>
      <c r="D14" s="367"/>
      <c r="E14" s="367"/>
      <c r="F14" s="367"/>
      <c r="G14" s="367"/>
      <c r="H14" s="367"/>
      <c r="I14" s="367"/>
      <c r="J14" s="367"/>
      <c r="K14" s="367"/>
    </row>
    <row r="15" spans="1:12" ht="30" x14ac:dyDescent="0.25">
      <c r="A15" s="185" t="s">
        <v>66</v>
      </c>
      <c r="B15" s="185" t="s">
        <v>584</v>
      </c>
      <c r="C15" s="185" t="s">
        <v>585</v>
      </c>
      <c r="D15" s="185" t="s">
        <v>586</v>
      </c>
      <c r="E15" s="185" t="s">
        <v>587</v>
      </c>
      <c r="F15" s="185" t="s">
        <v>588</v>
      </c>
      <c r="G15" s="185" t="s">
        <v>589</v>
      </c>
      <c r="H15" s="186"/>
      <c r="I15" s="186"/>
      <c r="J15" s="186"/>
    </row>
    <row r="16" spans="1:12" ht="45" x14ac:dyDescent="0.25">
      <c r="A16" s="182">
        <v>1</v>
      </c>
      <c r="B16" s="185" t="s">
        <v>590</v>
      </c>
      <c r="C16" s="187" t="s">
        <v>591</v>
      </c>
      <c r="D16" s="185" t="s">
        <v>592</v>
      </c>
      <c r="E16" s="185" t="s">
        <v>593</v>
      </c>
      <c r="F16" s="185" t="s">
        <v>593</v>
      </c>
      <c r="G16" s="185" t="s">
        <v>593</v>
      </c>
      <c r="L16" s="188" t="s">
        <v>594</v>
      </c>
    </row>
    <row r="17" spans="1:12" ht="45" x14ac:dyDescent="0.25">
      <c r="A17" s="182">
        <v>2</v>
      </c>
      <c r="B17" s="185" t="s">
        <v>595</v>
      </c>
      <c r="C17" s="182" t="s">
        <v>596</v>
      </c>
      <c r="D17" s="185" t="s">
        <v>597</v>
      </c>
      <c r="E17" s="185" t="s">
        <v>598</v>
      </c>
      <c r="F17" s="185" t="s">
        <v>598</v>
      </c>
      <c r="G17" s="185" t="s">
        <v>598</v>
      </c>
      <c r="L17" s="189" t="s">
        <v>599</v>
      </c>
    </row>
    <row r="18" spans="1:12" ht="45" x14ac:dyDescent="0.25">
      <c r="A18" s="182">
        <v>3</v>
      </c>
      <c r="B18" s="185" t="s">
        <v>600</v>
      </c>
      <c r="C18" s="182" t="s">
        <v>601</v>
      </c>
      <c r="D18" s="185" t="s">
        <v>602</v>
      </c>
      <c r="E18" s="185" t="s">
        <v>603</v>
      </c>
      <c r="F18" s="185" t="s">
        <v>604</v>
      </c>
      <c r="G18" s="185" t="s">
        <v>605</v>
      </c>
      <c r="L18" s="189" t="s">
        <v>606</v>
      </c>
    </row>
    <row r="19" spans="1:12" ht="45" x14ac:dyDescent="0.25">
      <c r="A19" s="182">
        <v>4</v>
      </c>
      <c r="B19" s="185" t="s">
        <v>607</v>
      </c>
      <c r="C19" s="182" t="s">
        <v>133</v>
      </c>
      <c r="D19" s="185" t="s">
        <v>608</v>
      </c>
      <c r="E19" s="185" t="s">
        <v>609</v>
      </c>
      <c r="F19" s="185" t="s">
        <v>609</v>
      </c>
      <c r="G19" s="185" t="s">
        <v>609</v>
      </c>
      <c r="L19" s="189" t="s">
        <v>610</v>
      </c>
    </row>
    <row r="20" spans="1:12" x14ac:dyDescent="0.25">
      <c r="L20" s="190"/>
    </row>
    <row r="22" spans="1:12" x14ac:dyDescent="0.25">
      <c r="A22" s="382" t="s">
        <v>611</v>
      </c>
      <c r="B22" s="383"/>
      <c r="C22" s="383"/>
      <c r="D22" s="383"/>
      <c r="E22" s="383"/>
      <c r="F22" s="383"/>
      <c r="G22" s="383"/>
      <c r="H22" s="383"/>
      <c r="I22" s="383"/>
      <c r="J22" s="383"/>
      <c r="K22" s="383"/>
    </row>
    <row r="23" spans="1:12" x14ac:dyDescent="0.25">
      <c r="A23" s="191" t="s">
        <v>612</v>
      </c>
      <c r="B23" s="176"/>
      <c r="C23" s="176"/>
      <c r="D23" s="176"/>
      <c r="E23" s="176"/>
      <c r="F23" s="176"/>
      <c r="G23" s="176"/>
      <c r="H23" s="176"/>
      <c r="I23" s="176"/>
      <c r="J23" s="176"/>
      <c r="K23" s="176"/>
    </row>
    <row r="24" spans="1:12" x14ac:dyDescent="0.25">
      <c r="A24" s="384" t="s">
        <v>83</v>
      </c>
      <c r="B24" s="383"/>
      <c r="C24" s="383"/>
      <c r="D24" s="383"/>
      <c r="E24" s="383"/>
      <c r="F24" s="383"/>
      <c r="G24" s="383"/>
      <c r="H24" s="383"/>
      <c r="I24" s="383"/>
      <c r="J24" s="383"/>
      <c r="K24" s="383"/>
    </row>
    <row r="25" spans="1:12" x14ac:dyDescent="0.25">
      <c r="A25" s="384" t="s">
        <v>84</v>
      </c>
      <c r="B25" s="383"/>
      <c r="C25" s="383"/>
      <c r="D25" s="383"/>
      <c r="E25" s="383"/>
      <c r="F25" s="383"/>
      <c r="G25" s="383"/>
      <c r="H25" s="383"/>
      <c r="I25" s="383"/>
      <c r="J25" s="383"/>
      <c r="K25" s="383"/>
    </row>
    <row r="27" spans="1:12" x14ac:dyDescent="0.25">
      <c r="A27" s="384" t="s">
        <v>85</v>
      </c>
      <c r="B27" s="383"/>
      <c r="C27" s="383"/>
      <c r="D27" s="383"/>
      <c r="E27" s="383"/>
      <c r="F27" s="383"/>
      <c r="G27" s="383"/>
      <c r="H27" s="383"/>
      <c r="I27" s="383"/>
      <c r="J27" s="383"/>
      <c r="K27" s="383"/>
    </row>
    <row r="28" spans="1:12" x14ac:dyDescent="0.25">
      <c r="A28" s="385"/>
      <c r="B28" s="385"/>
      <c r="C28" s="192"/>
      <c r="D28" s="192"/>
      <c r="E28" s="192"/>
      <c r="F28" s="192"/>
      <c r="G28" s="192"/>
      <c r="H28" s="176"/>
      <c r="I28" s="176"/>
      <c r="J28" s="176"/>
      <c r="K28" s="176"/>
    </row>
    <row r="29" spans="1:12" ht="23.25" customHeight="1" x14ac:dyDescent="0.25">
      <c r="A29" s="386" t="s">
        <v>31</v>
      </c>
      <c r="B29" s="386" t="s">
        <v>43</v>
      </c>
      <c r="C29" s="386"/>
      <c r="D29" s="386"/>
      <c r="E29" s="386"/>
      <c r="F29" s="386" t="s">
        <v>499</v>
      </c>
      <c r="G29" s="386" t="s">
        <v>44</v>
      </c>
      <c r="H29" s="386"/>
      <c r="I29" s="386" t="s">
        <v>45</v>
      </c>
      <c r="J29" s="381" t="s">
        <v>500</v>
      </c>
      <c r="K29" s="387"/>
    </row>
    <row r="30" spans="1:12" ht="22.5" x14ac:dyDescent="0.25">
      <c r="A30" s="386"/>
      <c r="B30" s="386"/>
      <c r="C30" s="386"/>
      <c r="D30" s="386"/>
      <c r="E30" s="386"/>
      <c r="F30" s="386"/>
      <c r="G30" s="193" t="s">
        <v>46</v>
      </c>
      <c r="H30" s="193" t="s">
        <v>47</v>
      </c>
      <c r="I30" s="386"/>
      <c r="J30" s="387"/>
      <c r="K30" s="387"/>
    </row>
    <row r="31" spans="1:12" ht="22.5" x14ac:dyDescent="0.25">
      <c r="A31" s="193">
        <v>1</v>
      </c>
      <c r="B31" s="380" t="s">
        <v>258</v>
      </c>
      <c r="C31" s="380"/>
      <c r="D31" s="380"/>
      <c r="E31" s="380"/>
      <c r="F31" s="193" t="s">
        <v>259</v>
      </c>
      <c r="G31" s="193" t="s">
        <v>264</v>
      </c>
      <c r="H31" s="193" t="s">
        <v>48</v>
      </c>
      <c r="I31" s="194">
        <v>46120</v>
      </c>
      <c r="J31" s="388" t="s">
        <v>501</v>
      </c>
      <c r="K31" s="388"/>
    </row>
    <row r="32" spans="1:12" ht="22.5" x14ac:dyDescent="0.25">
      <c r="A32" s="193">
        <v>2</v>
      </c>
      <c r="B32" s="380" t="s">
        <v>260</v>
      </c>
      <c r="C32" s="380"/>
      <c r="D32" s="380"/>
      <c r="E32" s="380"/>
      <c r="F32" s="193">
        <v>134</v>
      </c>
      <c r="G32" s="193" t="s">
        <v>265</v>
      </c>
      <c r="H32" s="193">
        <v>0.1</v>
      </c>
      <c r="I32" s="194">
        <v>46336</v>
      </c>
      <c r="J32" s="381" t="s">
        <v>523</v>
      </c>
      <c r="K32" s="381"/>
    </row>
    <row r="33" spans="1:11" ht="25.5" hidden="1" customHeight="1" x14ac:dyDescent="0.25">
      <c r="A33" s="193">
        <v>3</v>
      </c>
      <c r="B33" s="380" t="s">
        <v>261</v>
      </c>
      <c r="C33" s="380"/>
      <c r="D33" s="380"/>
      <c r="E33" s="380"/>
      <c r="F33" s="193">
        <v>15036</v>
      </c>
      <c r="G33" s="193" t="s">
        <v>262</v>
      </c>
      <c r="H33" s="193">
        <v>2</v>
      </c>
      <c r="I33" s="194">
        <v>46175</v>
      </c>
      <c r="J33" s="381" t="s">
        <v>502</v>
      </c>
      <c r="K33" s="381"/>
    </row>
    <row r="34" spans="1:11" ht="26.25" hidden="1" customHeight="1" x14ac:dyDescent="0.25">
      <c r="A34" s="193">
        <v>4</v>
      </c>
      <c r="B34" s="380" t="s">
        <v>263</v>
      </c>
      <c r="C34" s="380"/>
      <c r="D34" s="380"/>
      <c r="E34" s="380"/>
      <c r="F34" s="193">
        <v>3141</v>
      </c>
      <c r="G34" s="193" t="s">
        <v>266</v>
      </c>
      <c r="H34" s="193">
        <v>3</v>
      </c>
      <c r="I34" s="194">
        <v>46120</v>
      </c>
      <c r="J34" s="381" t="s">
        <v>507</v>
      </c>
      <c r="K34" s="381"/>
    </row>
    <row r="36" spans="1:11" x14ac:dyDescent="0.25">
      <c r="A36" s="382" t="s">
        <v>207</v>
      </c>
      <c r="B36" s="382"/>
      <c r="C36" s="390" t="str">
        <f>'Данные объект'!$B$64</f>
        <v>Зам. руководителя ЭИЛ</v>
      </c>
      <c r="D36" s="390"/>
      <c r="E36" s="390"/>
      <c r="F36" s="176"/>
      <c r="G36" s="195"/>
      <c r="H36" s="176"/>
      <c r="I36" s="390" t="str">
        <f>'Данные объект'!$B$65</f>
        <v>Фечин А.А.</v>
      </c>
      <c r="J36" s="390"/>
      <c r="K36" s="176"/>
    </row>
    <row r="37" spans="1:11" x14ac:dyDescent="0.25">
      <c r="A37" s="196" t="s">
        <v>210</v>
      </c>
      <c r="B37" s="176"/>
      <c r="C37" s="389" t="s">
        <v>208</v>
      </c>
      <c r="D37" s="389"/>
      <c r="E37" s="389"/>
      <c r="F37" s="197"/>
      <c r="G37" s="198" t="s">
        <v>209</v>
      </c>
      <c r="H37" s="197"/>
      <c r="I37" s="389" t="s">
        <v>211</v>
      </c>
      <c r="J37" s="389"/>
      <c r="K37" s="176"/>
    </row>
    <row r="38" spans="1:11" x14ac:dyDescent="0.25">
      <c r="A38" s="382" t="s">
        <v>49</v>
      </c>
      <c r="B38" s="383"/>
      <c r="C38" s="383"/>
      <c r="D38" s="383"/>
      <c r="E38" s="383"/>
      <c r="F38" s="383"/>
      <c r="G38" s="383"/>
      <c r="H38" s="383"/>
      <c r="I38" s="383"/>
      <c r="J38" s="383"/>
      <c r="K38" s="383"/>
    </row>
    <row r="39" spans="1:11" x14ac:dyDescent="0.25">
      <c r="A39" s="382" t="s">
        <v>50</v>
      </c>
      <c r="B39" s="382"/>
      <c r="C39" s="382"/>
      <c r="D39" s="382"/>
      <c r="E39" s="382"/>
      <c r="F39" s="382"/>
      <c r="G39" s="382"/>
      <c r="H39" s="382"/>
      <c r="I39" s="382"/>
      <c r="J39" s="382"/>
      <c r="K39" s="382"/>
    </row>
    <row r="40" spans="1:11" x14ac:dyDescent="0.25">
      <c r="A40" s="382"/>
      <c r="B40" s="382"/>
      <c r="C40" s="390" t="str">
        <f>'Данные объект'!$B$66</f>
        <v>Инженер ЭИЛ</v>
      </c>
      <c r="D40" s="390"/>
      <c r="E40" s="390"/>
      <c r="F40" s="176"/>
      <c r="G40" s="195"/>
      <c r="H40" s="176"/>
      <c r="I40" s="390" t="str">
        <f>'Данные объект'!$B$67</f>
        <v>Косырин А.Н.</v>
      </c>
      <c r="J40" s="390"/>
      <c r="K40" s="176"/>
    </row>
    <row r="41" spans="1:11" x14ac:dyDescent="0.25">
      <c r="A41" s="196" t="s">
        <v>210</v>
      </c>
      <c r="B41" s="176"/>
      <c r="C41" s="389" t="s">
        <v>208</v>
      </c>
      <c r="D41" s="389"/>
      <c r="E41" s="389"/>
      <c r="F41" s="197"/>
      <c r="G41" s="198" t="s">
        <v>209</v>
      </c>
      <c r="H41" s="197"/>
      <c r="I41" s="389" t="s">
        <v>211</v>
      </c>
      <c r="J41" s="389"/>
      <c r="K41" s="176"/>
    </row>
    <row r="42" spans="1:11" x14ac:dyDescent="0.25">
      <c r="A42" s="176"/>
      <c r="B42" s="176"/>
      <c r="C42" s="176"/>
      <c r="D42" s="176"/>
      <c r="E42" s="176"/>
      <c r="F42" s="176"/>
      <c r="G42" s="176"/>
      <c r="H42" s="176"/>
      <c r="I42" s="176"/>
      <c r="J42" s="176"/>
      <c r="K42" s="176"/>
    </row>
    <row r="43" spans="1:11" x14ac:dyDescent="0.25">
      <c r="A43" s="382" t="s">
        <v>212</v>
      </c>
      <c r="B43" s="382"/>
      <c r="C43" s="390" t="str">
        <f>'Данные объект'!$B$61</f>
        <v xml:space="preserve">Руководитель ЭИЛ </v>
      </c>
      <c r="D43" s="390"/>
      <c r="E43" s="390"/>
      <c r="F43" s="176"/>
      <c r="G43" s="195"/>
      <c r="H43" s="176"/>
      <c r="I43" s="390" t="str">
        <f>'Данные объект'!$B$62</f>
        <v xml:space="preserve"> Щербаков А.А.</v>
      </c>
      <c r="J43" s="390"/>
      <c r="K43" s="176"/>
    </row>
    <row r="44" spans="1:11" x14ac:dyDescent="0.25">
      <c r="A44" s="196" t="s">
        <v>210</v>
      </c>
      <c r="B44" s="176"/>
      <c r="C44" s="389" t="s">
        <v>208</v>
      </c>
      <c r="D44" s="389"/>
      <c r="E44" s="389"/>
      <c r="F44" s="197"/>
      <c r="G44" s="198" t="s">
        <v>209</v>
      </c>
      <c r="H44" s="197"/>
      <c r="I44" s="389" t="s">
        <v>211</v>
      </c>
      <c r="J44" s="389"/>
      <c r="K44" s="176"/>
    </row>
  </sheetData>
  <mergeCells count="49">
    <mergeCell ref="A43:B43"/>
    <mergeCell ref="C43:E43"/>
    <mergeCell ref="I43:J43"/>
    <mergeCell ref="C44:E44"/>
    <mergeCell ref="I44:J44"/>
    <mergeCell ref="J32:K32"/>
    <mergeCell ref="C41:E41"/>
    <mergeCell ref="I41:J41"/>
    <mergeCell ref="B34:E34"/>
    <mergeCell ref="J34:K34"/>
    <mergeCell ref="A36:B36"/>
    <mergeCell ref="C36:E36"/>
    <mergeCell ref="I36:J36"/>
    <mergeCell ref="C37:E37"/>
    <mergeCell ref="I37:J37"/>
    <mergeCell ref="A38:K38"/>
    <mergeCell ref="A39:K39"/>
    <mergeCell ref="A40:B40"/>
    <mergeCell ref="C40:E40"/>
    <mergeCell ref="I40:J40"/>
    <mergeCell ref="B33:E33"/>
    <mergeCell ref="J33:K33"/>
    <mergeCell ref="A22:K22"/>
    <mergeCell ref="A24:K24"/>
    <mergeCell ref="A25:K25"/>
    <mergeCell ref="A27:K27"/>
    <mergeCell ref="A28:B28"/>
    <mergeCell ref="A29:A30"/>
    <mergeCell ref="B29:E30"/>
    <mergeCell ref="F29:F30"/>
    <mergeCell ref="G29:H29"/>
    <mergeCell ref="I29:I30"/>
    <mergeCell ref="J29:K30"/>
    <mergeCell ref="B31:E31"/>
    <mergeCell ref="J31:K31"/>
    <mergeCell ref="B32:E32"/>
    <mergeCell ref="A14:K14"/>
    <mergeCell ref="A1:D1"/>
    <mergeCell ref="H1:K1"/>
    <mergeCell ref="A2:D3"/>
    <mergeCell ref="H2:K2"/>
    <mergeCell ref="H3:K3"/>
    <mergeCell ref="B5:C5"/>
    <mergeCell ref="J5:K5"/>
    <mergeCell ref="B6:C6"/>
    <mergeCell ref="J6:K6"/>
    <mergeCell ref="A8:K8"/>
    <mergeCell ref="A9:K9"/>
    <mergeCell ref="A10:B10"/>
  </mergeCells>
  <pageMargins left="0.7" right="0.7" top="0.75" bottom="0.75" header="0.3" footer="0.3"/>
  <pageSetup paperSize="9" scale="6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19</vt:i4>
      </vt:variant>
      <vt:variant>
        <vt:lpstr>Именованные диапазоны</vt:lpstr>
      </vt:variant>
      <vt:variant>
        <vt:i4>4</vt:i4>
      </vt:variant>
    </vt:vector>
  </HeadingPairs>
  <TitlesOfParts>
    <vt:vector size="23" baseType="lpstr">
      <vt:lpstr>Данные организации</vt:lpstr>
      <vt:lpstr>Данные объект</vt:lpstr>
      <vt:lpstr>Оборудование</vt:lpstr>
      <vt:lpstr>Титул</vt:lpstr>
      <vt:lpstr>прот.№1</vt:lpstr>
      <vt:lpstr>прот.№2</vt:lpstr>
      <vt:lpstr>прот.№3</vt:lpstr>
      <vt:lpstr>прот.№4</vt:lpstr>
      <vt:lpstr>прот.№5</vt:lpstr>
      <vt:lpstr>прот.№6</vt:lpstr>
      <vt:lpstr>прот.№7</vt:lpstr>
      <vt:lpstr>прот.№8</vt:lpstr>
      <vt:lpstr>прот.№9</vt:lpstr>
      <vt:lpstr>прот.№10</vt:lpstr>
      <vt:lpstr>прот.№11</vt:lpstr>
      <vt:lpstr>Прот.№12</vt:lpstr>
      <vt:lpstr>Прот.№13</vt:lpstr>
      <vt:lpstr>Заключение</vt:lpstr>
      <vt:lpstr>Протокол _ВНА</vt:lpstr>
      <vt:lpstr>прот.№1!Область_печати</vt:lpstr>
      <vt:lpstr>Прот.№12!Область_печати</vt:lpstr>
      <vt:lpstr>Прот.№13!Область_печати</vt:lpstr>
      <vt:lpstr>'Протокол _ВНА'!Область_печати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Трушина Татьяна</dc:creator>
  <cp:lastModifiedBy>Бараночникова Виктория Романовна</cp:lastModifiedBy>
  <cp:revision>4</cp:revision>
  <cp:lastPrinted>2025-06-06T08:46:40Z</cp:lastPrinted>
  <dcterms:created xsi:type="dcterms:W3CDTF">2021-11-10T07:43:00Z</dcterms:created>
  <dcterms:modified xsi:type="dcterms:W3CDTF">2026-07-02T10:58:35Z</dcterms:modified>
</cp:coreProperties>
</file>