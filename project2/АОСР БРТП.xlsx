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4980 КРМО\"/>
    </mc:Choice>
  </mc:AlternateContent>
  <xr:revisionPtr revIDLastSave="0" documentId="13_ncr:1_{DAB40002-6080-422D-89AC-4F48D1D00574}" xr6:coauthVersionLast="45" xr6:coauthVersionMax="47" xr10:uidLastSave="{00000000-0000-0000-0000-000000000000}"/>
  <bookViews>
    <workbookView xWindow="-120" yWindow="-120" windowWidth="29040" windowHeight="15840" tabRatio="1000" firstSheet="4" activeTab="29" xr2:uid="{00000000-000D-0000-FFFF-FFFF00000000}"/>
  </bookViews>
  <sheets>
    <sheet name="Данные организации" sheetId="14" r:id="rId1"/>
    <sheet name="Данные объект" sheetId="15" r:id="rId2"/>
    <sheet name="АОСР-1.1" sheetId="18" r:id="rId3"/>
    <sheet name="АОСР-2" sheetId="4" r:id="rId4"/>
    <sheet name="АОСР-5.1 (5)" sheetId="22" r:id="rId5"/>
    <sheet name="АОСР-4" sheetId="6" r:id="rId6"/>
    <sheet name="АОСР-4 (2)" sheetId="32" state="hidden" r:id="rId7"/>
    <sheet name="АОСР-3" sheetId="5" r:id="rId8"/>
    <sheet name="АОСР-5.1 (8)" sheetId="25" r:id="rId9"/>
    <sheet name="АОСР-6.1" sheetId="38" r:id="rId10"/>
    <sheet name="АОСР-5.1 (3)" sheetId="20" r:id="rId11"/>
    <sheet name="АОСР-5.1 (9)" sheetId="33" state="hidden" r:id="rId12"/>
    <sheet name="АОСР-5.1 (2)" sheetId="19" r:id="rId13"/>
    <sheet name="АОСР-5.1" sheetId="16" state="hidden" r:id="rId14"/>
    <sheet name="АОСР-5.1 (4)" sheetId="21" state="hidden" r:id="rId15"/>
    <sheet name="АОСР-5.1 (6)" sheetId="23" r:id="rId16"/>
    <sheet name="АОСР-5.1 (11)" sheetId="39" r:id="rId17"/>
    <sheet name="АОСР-5.1 (10)" sheetId="35" r:id="rId18"/>
    <sheet name="АОСР-5.1 (7)" sheetId="24" r:id="rId19"/>
    <sheet name="АОСР-5" sheetId="10" r:id="rId20"/>
    <sheet name="АОСР-8 (2)" sheetId="40" r:id="rId21"/>
    <sheet name="АОСР-5 (2)" sheetId="17" r:id="rId22"/>
    <sheet name="АОСР-1" sheetId="2" state="hidden" r:id="rId23"/>
    <sheet name="АОСР-6" sheetId="7" state="hidden" r:id="rId24"/>
    <sheet name="АОСР-7" sheetId="8" state="hidden" r:id="rId25"/>
    <sheet name="АОСР-8" sheetId="9" state="hidden" r:id="rId26"/>
    <sheet name="АОСР-9.1" sheetId="26" r:id="rId27"/>
    <sheet name="АОСР-9.1 (2)" sheetId="27" r:id="rId28"/>
    <sheet name="АОСР-9.1 (3)" sheetId="28" r:id="rId29"/>
    <sheet name="АОСР-9.1 (9)" sheetId="41" r:id="rId30"/>
    <sheet name="АОСР-9.1 (4)" sheetId="29" state="hidden" r:id="rId31"/>
    <sheet name="АОСР-9.1 (5)" sheetId="30" state="hidden" r:id="rId32"/>
    <sheet name="АОСР-9.1 (6)" sheetId="31" state="hidden" r:id="rId33"/>
    <sheet name="АОСР-9.1 (7)" sheetId="36" state="hidden" r:id="rId34"/>
    <sheet name="АОСР-9.1 (8)" sheetId="37" state="hidden" r:id="rId35"/>
    <sheet name="АОСР-9" sheetId="11" state="hidden" r:id="rId36"/>
  </sheets>
  <externalReferences>
    <externalReference r:id="rId37"/>
    <externalReference r:id="rId38"/>
    <externalReference r:id="rId39"/>
    <externalReference r:id="rId40"/>
  </externalReferences>
  <definedNames>
    <definedName name="_xlnm.Print_Area" localSheetId="22">'АОСР-1'!$A$1:$AJ$110</definedName>
    <definedName name="_xlnm.Print_Area" localSheetId="2">'АОСР-1.1'!$A$1:$AJ$116</definedName>
    <definedName name="_xlnm.Print_Area" localSheetId="3">'АОСР-2'!$A$1:$AJ$117</definedName>
    <definedName name="_xlnm.Print_Area" localSheetId="7">'АОСР-3'!$A$1:$AJ$117</definedName>
    <definedName name="_xlnm.Print_Area" localSheetId="5">'АОСР-4'!$A$1:$AJ$118</definedName>
    <definedName name="_xlnm.Print_Area" localSheetId="6">'АОСР-4 (2)'!$A$1:$AJ$118</definedName>
    <definedName name="_xlnm.Print_Area" localSheetId="19">'АОСР-5'!$A$1:$AJ$122</definedName>
    <definedName name="_xlnm.Print_Area" localSheetId="21">'АОСР-5 (2)'!$A$1:$AJ$123</definedName>
    <definedName name="_xlnm.Print_Area" localSheetId="13">'АОСР-5.1'!$A$1:$AJ$110</definedName>
    <definedName name="_xlnm.Print_Area" localSheetId="17">'АОСР-5.1 (10)'!$A$1:$AJ$118</definedName>
    <definedName name="_xlnm.Print_Area" localSheetId="16">'АОСР-5.1 (11)'!$A$1:$AJ$119</definedName>
    <definedName name="_xlnm.Print_Area" localSheetId="12">'АОСР-5.1 (2)'!$A$1:$AJ$119</definedName>
    <definedName name="_xlnm.Print_Area" localSheetId="10">'АОСР-5.1 (3)'!$A$1:$AJ$117</definedName>
    <definedName name="_xlnm.Print_Area" localSheetId="14">'АОСР-5.1 (4)'!$A$1:$AJ$110</definedName>
    <definedName name="_xlnm.Print_Area" localSheetId="4">'АОСР-5.1 (5)'!$A$1:$AJ$116</definedName>
    <definedName name="_xlnm.Print_Area" localSheetId="15">'АОСР-5.1 (6)'!$A$1:$AJ$118</definedName>
    <definedName name="_xlnm.Print_Area" localSheetId="18">'АОСР-5.1 (7)'!$A$1:$AJ$116</definedName>
    <definedName name="_xlnm.Print_Area" localSheetId="8">'АОСР-5.1 (8)'!$A$1:$AJ$119</definedName>
    <definedName name="_xlnm.Print_Area" localSheetId="11">'АОСР-5.1 (9)'!$A$1:$AJ$117</definedName>
    <definedName name="_xlnm.Print_Area" localSheetId="23">'АОСР-6'!$A$1:$AJ$111</definedName>
    <definedName name="_xlnm.Print_Area" localSheetId="9">'АОСР-6.1'!$A$1:$AJ$119</definedName>
    <definedName name="_xlnm.Print_Area" localSheetId="24">'АОСР-7'!$A$1:$AJ$116</definedName>
    <definedName name="_xlnm.Print_Area" localSheetId="25">'АОСР-8'!$A$1:$AJ$122</definedName>
    <definedName name="_xlnm.Print_Area" localSheetId="20">'АОСР-8 (2)'!$A$1:$AJ$122</definedName>
    <definedName name="_xlnm.Print_Area" localSheetId="35">'АОСР-9'!$A$1:$AJ$115</definedName>
    <definedName name="_xlnm.Print_Area" localSheetId="26">'АОСР-9.1'!$A$1:$AJ$122</definedName>
    <definedName name="_xlnm.Print_Area" localSheetId="27">'АОСР-9.1 (2)'!$A$1:$AJ$122</definedName>
    <definedName name="_xlnm.Print_Area" localSheetId="28">'АОСР-9.1 (3)'!$A$1:$AJ$122</definedName>
    <definedName name="_xlnm.Print_Area" localSheetId="30">'АОСР-9.1 (4)'!$A$1:$AJ$122</definedName>
    <definedName name="_xlnm.Print_Area" localSheetId="31">'АОСР-9.1 (5)'!$A$1:$AJ$122</definedName>
    <definedName name="_xlnm.Print_Area" localSheetId="32">'АОСР-9.1 (6)'!$A$1:$AJ$122</definedName>
    <definedName name="_xlnm.Print_Area" localSheetId="33">'АОСР-9.1 (7)'!$A$1:$AJ$121</definedName>
    <definedName name="_xlnm.Print_Area" localSheetId="34">'АОСР-9.1 (8)'!$A$1:$AJ$122</definedName>
    <definedName name="_xlnm.Print_Area" localSheetId="29">'АОСР-9.1 (9)'!$A$1:$AJ$122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87" i="23" l="1"/>
  <c r="A121" i="41" l="1"/>
  <c r="A115" i="41"/>
  <c r="A112" i="41"/>
  <c r="A108" i="41"/>
  <c r="A105" i="41"/>
  <c r="B100" i="41"/>
  <c r="B99" i="41"/>
  <c r="B98" i="41"/>
  <c r="B96" i="41"/>
  <c r="P81" i="41"/>
  <c r="P80" i="41"/>
  <c r="A66" i="41"/>
  <c r="A59" i="41"/>
  <c r="A54" i="41"/>
  <c r="A48" i="41"/>
  <c r="A45" i="41"/>
  <c r="A42" i="41"/>
  <c r="A39" i="41"/>
  <c r="A37" i="41"/>
  <c r="AB33" i="41"/>
  <c r="A27" i="41"/>
  <c r="A25" i="41"/>
  <c r="A23" i="41"/>
  <c r="A20" i="41"/>
  <c r="A18" i="41"/>
  <c r="A16" i="41"/>
  <c r="A13" i="41"/>
  <c r="A11" i="41"/>
  <c r="A9" i="41"/>
  <c r="A5" i="41"/>
  <c r="A4" i="41"/>
  <c r="A121" i="40"/>
  <c r="A115" i="40"/>
  <c r="A112" i="40"/>
  <c r="A108" i="40"/>
  <c r="A105" i="40"/>
  <c r="B100" i="40"/>
  <c r="B99" i="40"/>
  <c r="B98" i="40"/>
  <c r="B96" i="40"/>
  <c r="P81" i="40"/>
  <c r="P80" i="40"/>
  <c r="A66" i="40"/>
  <c r="M63" i="40"/>
  <c r="A59" i="40"/>
  <c r="A54" i="40"/>
  <c r="A48" i="40"/>
  <c r="A45" i="40"/>
  <c r="A42" i="40"/>
  <c r="A39" i="40"/>
  <c r="A37" i="40"/>
  <c r="AB33" i="40"/>
  <c r="A27" i="40"/>
  <c r="A25" i="40"/>
  <c r="A23" i="40"/>
  <c r="A20" i="40"/>
  <c r="A18" i="40"/>
  <c r="A16" i="40"/>
  <c r="A13" i="40"/>
  <c r="A11" i="40"/>
  <c r="A9" i="40"/>
  <c r="A5" i="40"/>
  <c r="A4" i="40"/>
  <c r="A63" i="35"/>
  <c r="A118" i="39"/>
  <c r="A112" i="39"/>
  <c r="A109" i="39"/>
  <c r="A105" i="39"/>
  <c r="A102" i="39"/>
  <c r="B97" i="39"/>
  <c r="B96" i="39"/>
  <c r="B95" i="39"/>
  <c r="P80" i="39"/>
  <c r="P79" i="39"/>
  <c r="A66" i="39"/>
  <c r="A63" i="39"/>
  <c r="A59" i="39"/>
  <c r="A54" i="39"/>
  <c r="A48" i="39"/>
  <c r="A45" i="39"/>
  <c r="A42" i="39"/>
  <c r="A39" i="39"/>
  <c r="A37" i="39"/>
  <c r="AB33" i="39"/>
  <c r="A27" i="39"/>
  <c r="A25" i="39"/>
  <c r="A23" i="39"/>
  <c r="A20" i="39"/>
  <c r="A18" i="39"/>
  <c r="A16" i="39"/>
  <c r="A13" i="39"/>
  <c r="A11" i="39"/>
  <c r="A9" i="39"/>
  <c r="A5" i="39"/>
  <c r="A4" i="39"/>
  <c r="A63" i="20"/>
  <c r="G75" i="25"/>
  <c r="C33" i="15"/>
  <c r="C32" i="15"/>
  <c r="A63" i="28" l="1"/>
  <c r="P63" i="10"/>
  <c r="A63" i="19"/>
  <c r="A118" i="38" l="1"/>
  <c r="A112" i="38"/>
  <c r="A109" i="38"/>
  <c r="A105" i="38"/>
  <c r="A102" i="38"/>
  <c r="B96" i="38"/>
  <c r="P81" i="38"/>
  <c r="AB33" i="38" s="1"/>
  <c r="P80" i="38"/>
  <c r="G75" i="38"/>
  <c r="B97" i="38" s="1"/>
  <c r="A66" i="38"/>
  <c r="A59" i="38"/>
  <c r="A54" i="38"/>
  <c r="A48" i="38"/>
  <c r="A45" i="38"/>
  <c r="A42" i="38"/>
  <c r="A39" i="38"/>
  <c r="A27" i="38"/>
  <c r="A25" i="38"/>
  <c r="A23" i="38"/>
  <c r="A20" i="38"/>
  <c r="A18" i="38"/>
  <c r="A16" i="38"/>
  <c r="A13" i="38"/>
  <c r="A11" i="38"/>
  <c r="A9" i="38"/>
  <c r="A5" i="38"/>
  <c r="A4" i="38"/>
  <c r="P81" i="37" l="1"/>
  <c r="P80" i="37"/>
  <c r="P81" i="36"/>
  <c r="P80" i="36"/>
  <c r="P81" i="31"/>
  <c r="P80" i="31"/>
  <c r="P81" i="30"/>
  <c r="P80" i="30"/>
  <c r="P81" i="29"/>
  <c r="P80" i="29"/>
  <c r="P81" i="28"/>
  <c r="P80" i="28"/>
  <c r="P81" i="27"/>
  <c r="P80" i="27"/>
  <c r="P81" i="26"/>
  <c r="P80" i="26"/>
  <c r="P81" i="9"/>
  <c r="P80" i="9"/>
  <c r="P81" i="10"/>
  <c r="P80" i="10"/>
  <c r="P82" i="17"/>
  <c r="P81" i="17"/>
  <c r="P78" i="24"/>
  <c r="P77" i="24"/>
  <c r="P79" i="35"/>
  <c r="P78" i="35"/>
  <c r="P79" i="23"/>
  <c r="P78" i="23"/>
  <c r="P80" i="19"/>
  <c r="P79" i="19"/>
  <c r="P79" i="20"/>
  <c r="P78" i="20"/>
  <c r="P81" i="25"/>
  <c r="P80" i="25"/>
  <c r="P79" i="5"/>
  <c r="P78" i="5"/>
  <c r="P79" i="6"/>
  <c r="P78" i="6"/>
  <c r="P78" i="22"/>
  <c r="P77" i="22"/>
  <c r="P79" i="4"/>
  <c r="P78" i="4"/>
  <c r="P79" i="18"/>
  <c r="P78" i="18"/>
  <c r="A63" i="22" l="1"/>
  <c r="B99" i="37" l="1"/>
  <c r="B98" i="37"/>
  <c r="B97" i="37"/>
  <c r="A121" i="37"/>
  <c r="A115" i="37"/>
  <c r="A112" i="37"/>
  <c r="A108" i="37"/>
  <c r="A105" i="37"/>
  <c r="B96" i="37"/>
  <c r="A66" i="37"/>
  <c r="A59" i="37"/>
  <c r="A54" i="37"/>
  <c r="A48" i="37"/>
  <c r="A45" i="37"/>
  <c r="A42" i="37"/>
  <c r="A39" i="37"/>
  <c r="AB33" i="37"/>
  <c r="A27" i="37"/>
  <c r="A25" i="37"/>
  <c r="A23" i="37"/>
  <c r="A20" i="37"/>
  <c r="A18" i="37"/>
  <c r="A16" i="37"/>
  <c r="A13" i="37"/>
  <c r="A11" i="37"/>
  <c r="A9" i="37"/>
  <c r="A5" i="37"/>
  <c r="A4" i="37"/>
  <c r="B98" i="36"/>
  <c r="B97" i="36"/>
  <c r="A120" i="36" l="1"/>
  <c r="A114" i="36"/>
  <c r="A111" i="36"/>
  <c r="A107" i="36"/>
  <c r="A104" i="36"/>
  <c r="B96" i="36"/>
  <c r="AB33" i="36"/>
  <c r="A66" i="36"/>
  <c r="A59" i="36"/>
  <c r="A54" i="36"/>
  <c r="A48" i="36"/>
  <c r="A45" i="36"/>
  <c r="A42" i="36"/>
  <c r="A39" i="36"/>
  <c r="A27" i="36"/>
  <c r="A25" i="36"/>
  <c r="A23" i="36"/>
  <c r="A20" i="36"/>
  <c r="A18" i="36"/>
  <c r="A16" i="36"/>
  <c r="A13" i="36"/>
  <c r="A11" i="36"/>
  <c r="A9" i="36"/>
  <c r="A5" i="36"/>
  <c r="A4" i="36"/>
  <c r="A48" i="31"/>
  <c r="A115" i="31"/>
  <c r="A48" i="30"/>
  <c r="A115" i="30"/>
  <c r="A48" i="29"/>
  <c r="A115" i="29"/>
  <c r="A115" i="28"/>
  <c r="A48" i="28"/>
  <c r="B96" i="27"/>
  <c r="A115" i="27"/>
  <c r="A48" i="27"/>
  <c r="A115" i="26"/>
  <c r="A48" i="26"/>
  <c r="A115" i="9"/>
  <c r="A48" i="9"/>
  <c r="A115" i="10"/>
  <c r="A48" i="10"/>
  <c r="A116" i="17"/>
  <c r="A48" i="17"/>
  <c r="A63" i="24"/>
  <c r="A109" i="24"/>
  <c r="A48" i="24"/>
  <c r="A117" i="35"/>
  <c r="A111" i="35"/>
  <c r="A108" i="35"/>
  <c r="A104" i="35"/>
  <c r="A101" i="35"/>
  <c r="B94" i="35"/>
  <c r="AB33" i="35"/>
  <c r="A66" i="35"/>
  <c r="A59" i="35"/>
  <c r="A54" i="35"/>
  <c r="A48" i="35"/>
  <c r="A45" i="35"/>
  <c r="A42" i="35"/>
  <c r="A39" i="35"/>
  <c r="A27" i="35"/>
  <c r="A25" i="35"/>
  <c r="A23" i="35"/>
  <c r="A20" i="35"/>
  <c r="A18" i="35"/>
  <c r="A16" i="35"/>
  <c r="A13" i="35"/>
  <c r="A11" i="35"/>
  <c r="A9" i="35"/>
  <c r="A5" i="35"/>
  <c r="A4" i="35"/>
  <c r="A111" i="23"/>
  <c r="A48" i="23"/>
  <c r="A63" i="33"/>
  <c r="A116" i="33"/>
  <c r="A110" i="33"/>
  <c r="A107" i="33"/>
  <c r="A103" i="33"/>
  <c r="A100" i="33"/>
  <c r="B95" i="33"/>
  <c r="P79" i="33"/>
  <c r="AB33" i="33" s="1"/>
  <c r="A66" i="33"/>
  <c r="A59" i="33"/>
  <c r="A54" i="33"/>
  <c r="A48" i="33"/>
  <c r="A45" i="33"/>
  <c r="A42" i="33"/>
  <c r="A39" i="33"/>
  <c r="A27" i="33"/>
  <c r="A25" i="33"/>
  <c r="A23" i="33"/>
  <c r="A20" i="33"/>
  <c r="A18" i="33"/>
  <c r="A16" i="33"/>
  <c r="A13" i="33"/>
  <c r="A11" i="33"/>
  <c r="A9" i="33"/>
  <c r="A5" i="33"/>
  <c r="A4" i="33"/>
  <c r="A112" i="19"/>
  <c r="A48" i="19"/>
  <c r="A110" i="20"/>
  <c r="A48" i="20"/>
  <c r="A63" i="5"/>
  <c r="A112" i="25" l="1"/>
  <c r="A48" i="25"/>
  <c r="A63" i="25"/>
  <c r="A110" i="5"/>
  <c r="A48" i="5"/>
  <c r="A63" i="32"/>
  <c r="A117" i="32"/>
  <c r="A111" i="32"/>
  <c r="A108" i="32"/>
  <c r="A104" i="32"/>
  <c r="A101" i="32"/>
  <c r="B94" i="32"/>
  <c r="P79" i="32"/>
  <c r="AB33" i="32" s="1"/>
  <c r="A66" i="32"/>
  <c r="A59" i="32"/>
  <c r="A54" i="32"/>
  <c r="A48" i="32"/>
  <c r="A45" i="32"/>
  <c r="A42" i="32"/>
  <c r="A39" i="32"/>
  <c r="A27" i="32"/>
  <c r="A25" i="32"/>
  <c r="A23" i="32"/>
  <c r="A20" i="32"/>
  <c r="A18" i="32"/>
  <c r="A16" i="32"/>
  <c r="A13" i="32"/>
  <c r="A11" i="32"/>
  <c r="A9" i="32"/>
  <c r="A5" i="32"/>
  <c r="A4" i="32"/>
  <c r="B93" i="22"/>
  <c r="A109" i="22" l="1"/>
  <c r="A48" i="22"/>
  <c r="A111" i="6"/>
  <c r="A48" i="18"/>
  <c r="A48" i="6"/>
  <c r="A110" i="4"/>
  <c r="A48" i="4"/>
  <c r="A109" i="18" l="1"/>
  <c r="B41" i="15" l="1"/>
  <c r="A121" i="31" l="1"/>
  <c r="A112" i="31"/>
  <c r="A108" i="31"/>
  <c r="A105" i="31"/>
  <c r="B100" i="31"/>
  <c r="B99" i="31"/>
  <c r="B98" i="31"/>
  <c r="B96" i="31"/>
  <c r="AB33" i="31"/>
  <c r="A66" i="31"/>
  <c r="A59" i="31"/>
  <c r="A54" i="31"/>
  <c r="A27" i="31"/>
  <c r="A25" i="31"/>
  <c r="A23" i="31"/>
  <c r="A20" i="31"/>
  <c r="A16" i="31"/>
  <c r="A9" i="31"/>
  <c r="A5" i="31"/>
  <c r="A4" i="31"/>
  <c r="A121" i="30"/>
  <c r="A112" i="30"/>
  <c r="A108" i="30"/>
  <c r="A105" i="30"/>
  <c r="B100" i="30"/>
  <c r="B99" i="30"/>
  <c r="B98" i="30"/>
  <c r="B96" i="30"/>
  <c r="AB33" i="30"/>
  <c r="A66" i="30"/>
  <c r="A59" i="30"/>
  <c r="A54" i="30"/>
  <c r="A27" i="30"/>
  <c r="A25" i="30"/>
  <c r="A23" i="30"/>
  <c r="A20" i="30"/>
  <c r="A16" i="30"/>
  <c r="A9" i="30"/>
  <c r="A5" i="30"/>
  <c r="A4" i="30"/>
  <c r="A121" i="29"/>
  <c r="A112" i="29"/>
  <c r="A108" i="29"/>
  <c r="A105" i="29"/>
  <c r="B100" i="29"/>
  <c r="B99" i="29"/>
  <c r="B98" i="29"/>
  <c r="B96" i="29"/>
  <c r="AB33" i="29"/>
  <c r="A66" i="29"/>
  <c r="A59" i="29"/>
  <c r="A54" i="29"/>
  <c r="A27" i="29"/>
  <c r="A25" i="29"/>
  <c r="A23" i="29"/>
  <c r="A20" i="29"/>
  <c r="A16" i="29"/>
  <c r="A9" i="29"/>
  <c r="A5" i="29"/>
  <c r="A4" i="29"/>
  <c r="A121" i="28"/>
  <c r="A112" i="28"/>
  <c r="A108" i="28"/>
  <c r="A105" i="28"/>
  <c r="B100" i="28"/>
  <c r="B99" i="28"/>
  <c r="B98" i="28"/>
  <c r="B96" i="28"/>
  <c r="AB33" i="28"/>
  <c r="A66" i="28"/>
  <c r="A59" i="28"/>
  <c r="A54" i="28"/>
  <c r="A27" i="28"/>
  <c r="A25" i="28"/>
  <c r="A23" i="28"/>
  <c r="A20" i="28"/>
  <c r="A16" i="28"/>
  <c r="A9" i="28"/>
  <c r="A5" i="28"/>
  <c r="A4" i="28"/>
  <c r="A121" i="27"/>
  <c r="A112" i="27"/>
  <c r="A108" i="27"/>
  <c r="A105" i="27"/>
  <c r="B100" i="27"/>
  <c r="B99" i="27"/>
  <c r="B98" i="27"/>
  <c r="AB33" i="27"/>
  <c r="A66" i="27"/>
  <c r="A59" i="27"/>
  <c r="A54" i="27"/>
  <c r="A27" i="27"/>
  <c r="A25" i="27"/>
  <c r="A23" i="27"/>
  <c r="A20" i="27"/>
  <c r="A16" i="27"/>
  <c r="A9" i="27"/>
  <c r="A5" i="27"/>
  <c r="A4" i="27"/>
  <c r="A5" i="26"/>
  <c r="A121" i="26"/>
  <c r="A112" i="26"/>
  <c r="A108" i="26"/>
  <c r="A105" i="26"/>
  <c r="B100" i="26"/>
  <c r="B99" i="26"/>
  <c r="B98" i="26"/>
  <c r="B96" i="26"/>
  <c r="AB33" i="26"/>
  <c r="A66" i="26"/>
  <c r="A59" i="26"/>
  <c r="A54" i="26"/>
  <c r="A27" i="26"/>
  <c r="A25" i="26"/>
  <c r="A23" i="26"/>
  <c r="A20" i="26"/>
  <c r="A16" i="26"/>
  <c r="A9" i="26"/>
  <c r="A4" i="26"/>
  <c r="N72" i="17" l="1"/>
  <c r="B99" i="17" s="1"/>
  <c r="B97" i="19"/>
  <c r="B96" i="19"/>
  <c r="B95" i="5"/>
  <c r="B96" i="25"/>
  <c r="AB33" i="9"/>
  <c r="AB33" i="17"/>
  <c r="AB33" i="24"/>
  <c r="AB33" i="23"/>
  <c r="AB33" i="18"/>
  <c r="AB33" i="4"/>
  <c r="AB33" i="19"/>
  <c r="AB33" i="20"/>
  <c r="AB33" i="25"/>
  <c r="AB33" i="5"/>
  <c r="AB33" i="22"/>
  <c r="AB33" i="6"/>
  <c r="B94" i="18"/>
  <c r="A118" i="25"/>
  <c r="A109" i="25"/>
  <c r="A105" i="25"/>
  <c r="A102" i="25"/>
  <c r="B97" i="25"/>
  <c r="A66" i="25"/>
  <c r="A59" i="25"/>
  <c r="A54" i="25"/>
  <c r="A27" i="25"/>
  <c r="A25" i="25"/>
  <c r="A23" i="25"/>
  <c r="A20" i="25"/>
  <c r="A16" i="25"/>
  <c r="A9" i="25"/>
  <c r="A5" i="25"/>
  <c r="A4" i="25"/>
  <c r="A115" i="24" l="1"/>
  <c r="A106" i="24"/>
  <c r="A102" i="24"/>
  <c r="A99" i="24"/>
  <c r="B94" i="24"/>
  <c r="A66" i="24"/>
  <c r="A59" i="24"/>
  <c r="A54" i="24"/>
  <c r="A27" i="24"/>
  <c r="A25" i="24"/>
  <c r="A23" i="24"/>
  <c r="A20" i="24"/>
  <c r="A16" i="24"/>
  <c r="A9" i="24"/>
  <c r="A5" i="24"/>
  <c r="A4" i="24"/>
  <c r="A117" i="23"/>
  <c r="A108" i="23"/>
  <c r="A104" i="23"/>
  <c r="A101" i="23"/>
  <c r="B95" i="23"/>
  <c r="A66" i="23"/>
  <c r="A59" i="23"/>
  <c r="A54" i="23"/>
  <c r="A27" i="23"/>
  <c r="A25" i="23"/>
  <c r="A23" i="23"/>
  <c r="A20" i="23"/>
  <c r="A16" i="23"/>
  <c r="A9" i="23"/>
  <c r="A5" i="23"/>
  <c r="A4" i="23"/>
  <c r="A115" i="22"/>
  <c r="A106" i="22"/>
  <c r="A102" i="22"/>
  <c r="A99" i="22"/>
  <c r="A66" i="22"/>
  <c r="A59" i="22"/>
  <c r="A54" i="22"/>
  <c r="A27" i="22"/>
  <c r="A25" i="22"/>
  <c r="A23" i="22"/>
  <c r="A20" i="22"/>
  <c r="A16" i="22"/>
  <c r="A9" i="22"/>
  <c r="A5" i="22"/>
  <c r="A4" i="22"/>
  <c r="A109" i="21"/>
  <c r="A103" i="21"/>
  <c r="A99" i="21"/>
  <c r="A96" i="21"/>
  <c r="B91" i="21"/>
  <c r="P75" i="21"/>
  <c r="P74" i="21"/>
  <c r="A63" i="21"/>
  <c r="A56" i="21"/>
  <c r="A51" i="21"/>
  <c r="AB33" i="21"/>
  <c r="A27" i="21"/>
  <c r="A25" i="21"/>
  <c r="A23" i="21"/>
  <c r="A20" i="21"/>
  <c r="A16" i="21"/>
  <c r="A9" i="21"/>
  <c r="A5" i="21"/>
  <c r="A4" i="21"/>
  <c r="A116" i="20"/>
  <c r="A107" i="20"/>
  <c r="A103" i="20"/>
  <c r="A100" i="20"/>
  <c r="B95" i="20"/>
  <c r="A66" i="20"/>
  <c r="A59" i="20"/>
  <c r="A54" i="20"/>
  <c r="A27" i="20"/>
  <c r="A25" i="20"/>
  <c r="A23" i="20"/>
  <c r="A20" i="20"/>
  <c r="A16" i="20"/>
  <c r="A9" i="20"/>
  <c r="A5" i="20"/>
  <c r="A4" i="20"/>
  <c r="A118" i="19"/>
  <c r="A109" i="19"/>
  <c r="A105" i="19"/>
  <c r="A102" i="19"/>
  <c r="B95" i="19"/>
  <c r="A66" i="19"/>
  <c r="A59" i="19"/>
  <c r="A54" i="19"/>
  <c r="A27" i="19"/>
  <c r="A25" i="19"/>
  <c r="A23" i="19"/>
  <c r="A20" i="19"/>
  <c r="A16" i="19"/>
  <c r="A9" i="19"/>
  <c r="A5" i="19"/>
  <c r="A4" i="19"/>
  <c r="B91" i="16" l="1"/>
  <c r="B94" i="5"/>
  <c r="A115" i="18"/>
  <c r="A106" i="18"/>
  <c r="A102" i="18"/>
  <c r="A99" i="18"/>
  <c r="A66" i="18"/>
  <c r="A59" i="18"/>
  <c r="A54" i="18"/>
  <c r="A27" i="18"/>
  <c r="A25" i="18"/>
  <c r="A23" i="18"/>
  <c r="A20" i="18"/>
  <c r="A16" i="18"/>
  <c r="A9" i="18"/>
  <c r="A5" i="18"/>
  <c r="A4" i="18"/>
  <c r="A122" i="17"/>
  <c r="A113" i="17"/>
  <c r="A109" i="17"/>
  <c r="A106" i="17"/>
  <c r="B100" i="17"/>
  <c r="B98" i="17"/>
  <c r="B97" i="17"/>
  <c r="A66" i="17"/>
  <c r="P63" i="17"/>
  <c r="A59" i="17"/>
  <c r="A54" i="17"/>
  <c r="A27" i="17"/>
  <c r="A25" i="17"/>
  <c r="A23" i="17"/>
  <c r="A20" i="17"/>
  <c r="A16" i="17"/>
  <c r="A9" i="17"/>
  <c r="A5" i="17"/>
  <c r="A4" i="17"/>
  <c r="A109" i="16"/>
  <c r="A103" i="16"/>
  <c r="A99" i="16"/>
  <c r="A96" i="16"/>
  <c r="P75" i="16"/>
  <c r="P74" i="16"/>
  <c r="A63" i="16"/>
  <c r="A56" i="16"/>
  <c r="A51" i="16"/>
  <c r="AB33" i="16"/>
  <c r="A27" i="16"/>
  <c r="A25" i="16"/>
  <c r="A23" i="16"/>
  <c r="A20" i="16"/>
  <c r="A16" i="16"/>
  <c r="A9" i="16"/>
  <c r="A5" i="16"/>
  <c r="A4" i="16"/>
  <c r="B12" i="15"/>
  <c r="Q60" i="11"/>
  <c r="M63" i="9"/>
  <c r="J60" i="8"/>
  <c r="K60" i="7"/>
  <c r="B98" i="10"/>
  <c r="B99" i="10"/>
  <c r="A108" i="11"/>
  <c r="A104" i="11"/>
  <c r="A101" i="11"/>
  <c r="A112" i="9"/>
  <c r="A108" i="9"/>
  <c r="A105" i="9"/>
  <c r="A109" i="8"/>
  <c r="A105" i="8"/>
  <c r="A102" i="8"/>
  <c r="A104" i="7"/>
  <c r="A100" i="7"/>
  <c r="A97" i="7"/>
  <c r="A112" i="10"/>
  <c r="A108" i="10"/>
  <c r="A105" i="10"/>
  <c r="A108" i="6"/>
  <c r="A104" i="6"/>
  <c r="A101" i="6"/>
  <c r="A63" i="11"/>
  <c r="A66" i="9"/>
  <c r="A63" i="8"/>
  <c r="A63" i="7"/>
  <c r="A66" i="10"/>
  <c r="A66" i="6"/>
  <c r="A107" i="5"/>
  <c r="A103" i="5"/>
  <c r="A100" i="5"/>
  <c r="A66" i="5"/>
  <c r="A56" i="11"/>
  <c r="A51" i="11"/>
  <c r="A59" i="9"/>
  <c r="A54" i="9"/>
  <c r="A56" i="8"/>
  <c r="A51" i="8"/>
  <c r="A56" i="7"/>
  <c r="A51" i="7"/>
  <c r="A59" i="10"/>
  <c r="A54" i="10"/>
  <c r="A59" i="6"/>
  <c r="A54" i="6"/>
  <c r="A59" i="5"/>
  <c r="A54" i="5"/>
  <c r="A27" i="11"/>
  <c r="A25" i="11"/>
  <c r="A23" i="11"/>
  <c r="A20" i="11"/>
  <c r="A16" i="11"/>
  <c r="A9" i="11"/>
  <c r="A5" i="11"/>
  <c r="A4" i="11"/>
  <c r="A27" i="9"/>
  <c r="A25" i="9"/>
  <c r="A23" i="9"/>
  <c r="A20" i="9"/>
  <c r="A16" i="9"/>
  <c r="A9" i="9"/>
  <c r="A5" i="9"/>
  <c r="A4" i="9"/>
  <c r="A27" i="8"/>
  <c r="A25" i="8"/>
  <c r="A23" i="8"/>
  <c r="A20" i="8"/>
  <c r="A16" i="8"/>
  <c r="A9" i="8"/>
  <c r="A5" i="8"/>
  <c r="A4" i="8"/>
  <c r="A27" i="7"/>
  <c r="A25" i="7"/>
  <c r="A23" i="7"/>
  <c r="A20" i="7"/>
  <c r="A16" i="7"/>
  <c r="A9" i="7"/>
  <c r="A5" i="7"/>
  <c r="A4" i="7"/>
  <c r="A27" i="10"/>
  <c r="A25" i="10"/>
  <c r="A23" i="10"/>
  <c r="A20" i="10"/>
  <c r="A16" i="10"/>
  <c r="A9" i="10"/>
  <c r="A5" i="10"/>
  <c r="A4" i="10"/>
  <c r="A27" i="6"/>
  <c r="A25" i="6"/>
  <c r="A23" i="6"/>
  <c r="A20" i="6"/>
  <c r="A16" i="6"/>
  <c r="A9" i="6"/>
  <c r="A5" i="6"/>
  <c r="A4" i="6"/>
  <c r="A27" i="5"/>
  <c r="A25" i="5"/>
  <c r="A23" i="5"/>
  <c r="A20" i="5"/>
  <c r="A16" i="5"/>
  <c r="A9" i="5"/>
  <c r="A5" i="5"/>
  <c r="A4" i="5"/>
  <c r="A107" i="4"/>
  <c r="A103" i="4"/>
  <c r="A100" i="4"/>
  <c r="A66" i="4"/>
  <c r="A63" i="2"/>
  <c r="A59" i="4"/>
  <c r="C33" i="4"/>
  <c r="C33" i="7" s="1"/>
  <c r="C33" i="8" s="1"/>
  <c r="C33" i="11" s="1"/>
  <c r="A27" i="4"/>
  <c r="A25" i="4"/>
  <c r="A23" i="4"/>
  <c r="A20" i="4"/>
  <c r="A16" i="4"/>
  <c r="A9" i="4"/>
  <c r="A5" i="4"/>
  <c r="A4" i="4"/>
  <c r="A4" i="2"/>
  <c r="AB33" i="11"/>
  <c r="AB33" i="8"/>
  <c r="AB33" i="7"/>
  <c r="AB33" i="10"/>
  <c r="P78" i="11"/>
  <c r="P77" i="11"/>
  <c r="P78" i="8"/>
  <c r="P77" i="8"/>
  <c r="P76" i="7"/>
  <c r="P75" i="7"/>
  <c r="A103" i="2"/>
  <c r="A99" i="2"/>
  <c r="A96" i="2"/>
  <c r="P76" i="2"/>
  <c r="P75" i="2"/>
  <c r="A56" i="2"/>
  <c r="AB33" i="2"/>
  <c r="A27" i="2"/>
  <c r="A25" i="2"/>
  <c r="A23" i="2"/>
  <c r="A20" i="2"/>
  <c r="A16" i="2"/>
  <c r="A9" i="2"/>
  <c r="A5" i="2"/>
  <c r="C34" i="15"/>
  <c r="A37" i="38" s="1"/>
  <c r="C31" i="15"/>
  <c r="C30" i="15"/>
  <c r="C29" i="15"/>
  <c r="C28" i="15"/>
  <c r="C27" i="15"/>
  <c r="C26" i="15"/>
  <c r="B25" i="15"/>
  <c r="B24" i="15"/>
  <c r="C21" i="15"/>
  <c r="C20" i="15"/>
  <c r="C19" i="15"/>
  <c r="C18" i="15"/>
  <c r="C17" i="15"/>
  <c r="C16" i="15"/>
  <c r="C15" i="15"/>
  <c r="C29" i="14"/>
  <c r="B29" i="14"/>
  <c r="F28" i="14"/>
  <c r="C28" i="14"/>
  <c r="B28" i="14"/>
  <c r="G27" i="14"/>
  <c r="F27" i="14"/>
  <c r="C27" i="14"/>
  <c r="B27" i="14"/>
  <c r="G26" i="14"/>
  <c r="F26" i="14"/>
  <c r="C26" i="14"/>
  <c r="B26" i="14"/>
  <c r="G25" i="14"/>
  <c r="F25" i="14"/>
  <c r="C25" i="14"/>
  <c r="B25" i="14"/>
  <c r="G24" i="14"/>
  <c r="F24" i="14"/>
  <c r="C24" i="14"/>
  <c r="B24" i="14"/>
  <c r="G23" i="14"/>
  <c r="F23" i="14"/>
  <c r="C23" i="14"/>
  <c r="B23" i="14"/>
  <c r="A114" i="11"/>
  <c r="B96" i="11"/>
  <c r="B95" i="11"/>
  <c r="B94" i="11"/>
  <c r="B93" i="11"/>
  <c r="A121" i="10"/>
  <c r="B97" i="10"/>
  <c r="B96" i="10"/>
  <c r="A121" i="9"/>
  <c r="B100" i="9"/>
  <c r="B99" i="9"/>
  <c r="B98" i="9"/>
  <c r="B96" i="9"/>
  <c r="B97" i="8"/>
  <c r="B96" i="8"/>
  <c r="B95" i="8"/>
  <c r="A115" i="8"/>
  <c r="B93" i="8"/>
  <c r="A110" i="7"/>
  <c r="B92" i="7"/>
  <c r="B91" i="7"/>
  <c r="A117" i="6"/>
  <c r="B94" i="6"/>
  <c r="A116" i="5"/>
  <c r="B95" i="4"/>
  <c r="B94" i="4"/>
  <c r="A116" i="4"/>
  <c r="A54" i="4"/>
  <c r="A109" i="2"/>
  <c r="A51" i="2"/>
  <c r="A37" i="37" l="1"/>
  <c r="A37" i="35"/>
  <c r="A37" i="36"/>
  <c r="A37" i="33"/>
  <c r="A37" i="32"/>
  <c r="A37" i="25"/>
  <c r="A37" i="28"/>
  <c r="A37" i="26"/>
  <c r="A37" i="29"/>
  <c r="A37" i="30"/>
  <c r="A37" i="27"/>
  <c r="A37" i="31"/>
  <c r="A45" i="25"/>
  <c r="A45" i="29"/>
  <c r="A45" i="26"/>
  <c r="A45" i="30"/>
  <c r="A45" i="27"/>
  <c r="A45" i="31"/>
  <c r="A45" i="28"/>
  <c r="A18" i="25"/>
  <c r="A18" i="30"/>
  <c r="A18" i="27"/>
  <c r="A18" i="31"/>
  <c r="A18" i="26"/>
  <c r="A18" i="28"/>
  <c r="A18" i="29"/>
  <c r="A42" i="25"/>
  <c r="A42" i="29"/>
  <c r="A42" i="26"/>
  <c r="A42" i="30"/>
  <c r="A42" i="27"/>
  <c r="A42" i="31"/>
  <c r="A42" i="28"/>
  <c r="A11" i="25"/>
  <c r="A11" i="26"/>
  <c r="A11" i="30"/>
  <c r="A11" i="27"/>
  <c r="A11" i="29"/>
  <c r="A11" i="31"/>
  <c r="A11" i="28"/>
  <c r="A13" i="25"/>
  <c r="A13" i="26"/>
  <c r="A13" i="30"/>
  <c r="A13" i="27"/>
  <c r="A13" i="31"/>
  <c r="A13" i="28"/>
  <c r="A13" i="29"/>
  <c r="A13" i="17"/>
  <c r="A11" i="18"/>
  <c r="A13" i="18"/>
  <c r="A13" i="16"/>
  <c r="A11" i="17"/>
  <c r="A18" i="7"/>
  <c r="A18" i="24"/>
  <c r="A18" i="22"/>
  <c r="A18" i="19"/>
  <c r="A18" i="23"/>
  <c r="A18" i="20"/>
  <c r="A18" i="21"/>
  <c r="A37" i="2"/>
  <c r="A37" i="24"/>
  <c r="A37" i="21"/>
  <c r="A37" i="20"/>
  <c r="A37" i="19"/>
  <c r="A37" i="23"/>
  <c r="A37" i="22"/>
  <c r="A18" i="16"/>
  <c r="A37" i="16"/>
  <c r="A45" i="4"/>
  <c r="A45" i="23"/>
  <c r="A45" i="20"/>
  <c r="A45" i="22"/>
  <c r="A45" i="19"/>
  <c r="A45" i="24"/>
  <c r="A45" i="21"/>
  <c r="A42" i="2"/>
  <c r="A42" i="20"/>
  <c r="A42" i="23"/>
  <c r="A42" i="22"/>
  <c r="A42" i="19"/>
  <c r="A42" i="24"/>
  <c r="A42" i="21"/>
  <c r="A18" i="17"/>
  <c r="A37" i="17"/>
  <c r="A18" i="18"/>
  <c r="A37" i="18"/>
  <c r="A45" i="17"/>
  <c r="A45" i="18"/>
  <c r="A11" i="11"/>
  <c r="A11" i="23"/>
  <c r="A11" i="20"/>
  <c r="A11" i="22"/>
  <c r="A11" i="19"/>
  <c r="A11" i="24"/>
  <c r="A11" i="21"/>
  <c r="A42" i="16"/>
  <c r="A13" i="8"/>
  <c r="A13" i="19"/>
  <c r="A13" i="22"/>
  <c r="A13" i="24"/>
  <c r="A13" i="21"/>
  <c r="A13" i="23"/>
  <c r="A13" i="20"/>
  <c r="A11" i="16"/>
  <c r="A45" i="16"/>
  <c r="A42" i="17"/>
  <c r="A42" i="18"/>
  <c r="A45" i="2"/>
  <c r="A11" i="4"/>
  <c r="A13" i="5"/>
  <c r="A13" i="7"/>
  <c r="A13" i="11"/>
  <c r="A11" i="2"/>
  <c r="A13" i="4"/>
  <c r="A11" i="10"/>
  <c r="A11" i="9"/>
  <c r="A37" i="5"/>
  <c r="A37" i="6"/>
  <c r="A37" i="10"/>
  <c r="A37" i="7"/>
  <c r="A37" i="8"/>
  <c r="A37" i="9"/>
  <c r="A37" i="11"/>
  <c r="A13" i="2"/>
  <c r="A37" i="4"/>
  <c r="A13" i="10"/>
  <c r="A13" i="9"/>
  <c r="A42" i="4"/>
  <c r="A11" i="6"/>
  <c r="A11" i="8"/>
  <c r="A42" i="5"/>
  <c r="A42" i="6"/>
  <c r="A42" i="10"/>
  <c r="A42" i="7"/>
  <c r="A42" i="8"/>
  <c r="A42" i="9"/>
  <c r="A42" i="11"/>
  <c r="C23" i="15"/>
  <c r="A13" i="6"/>
  <c r="A45" i="5"/>
  <c r="A45" i="6"/>
  <c r="A45" i="10"/>
  <c r="A45" i="7"/>
  <c r="A45" i="8"/>
  <c r="A45" i="9"/>
  <c r="A45" i="11"/>
  <c r="A11" i="5"/>
  <c r="A11" i="7"/>
  <c r="C11" i="15"/>
  <c r="A18" i="6"/>
  <c r="A18" i="10"/>
  <c r="A18" i="2"/>
  <c r="A18" i="4"/>
  <c r="A18" i="5"/>
  <c r="A18" i="11"/>
  <c r="A18" i="9"/>
  <c r="A18" i="8"/>
  <c r="A39" i="25" l="1"/>
  <c r="A39" i="28"/>
  <c r="A39" i="29"/>
  <c r="A39" i="26"/>
  <c r="A39" i="30"/>
  <c r="A39" i="27"/>
  <c r="A39" i="31"/>
  <c r="A39" i="24"/>
  <c r="A39" i="21"/>
  <c r="A39" i="23"/>
  <c r="A39" i="20"/>
  <c r="A39" i="22"/>
  <c r="A39" i="19"/>
  <c r="A39" i="18"/>
  <c r="A39" i="17"/>
  <c r="A39" i="16"/>
  <c r="A39" i="4"/>
  <c r="A39" i="2"/>
  <c r="A39" i="11"/>
  <c r="A39" i="9"/>
  <c r="A39" i="8"/>
  <c r="A39" i="7"/>
  <c r="A39" i="10"/>
  <c r="A39" i="6"/>
  <c r="A39" i="5"/>
</calcChain>
</file>

<file path=xl/sharedStrings.xml><?xml version="1.0" encoding="utf-8"?>
<sst xmlns="http://schemas.openxmlformats.org/spreadsheetml/2006/main" count="3548" uniqueCount="320">
  <si>
    <t>(исполнительные схемы и чертежи, результаты экспертиз, обследований, лабораторных и иных испытаний)</t>
  </si>
  <si>
    <t>Приложения:</t>
  </si>
  <si>
    <t>Дополнительные сведения</t>
  </si>
  <si>
    <t xml:space="preserve">7. Разрешается  производство   последующих  работ </t>
  </si>
  <si>
    <t>(наименования и структурные единицы технических регламентов,</t>
  </si>
  <si>
    <t xml:space="preserve">6. Работы выполнены в соответствии с </t>
  </si>
  <si>
    <t>г.</t>
  </si>
  <si>
    <t xml:space="preserve">              окончания работ</t>
  </si>
  <si>
    <t>5. Даты: начала работ</t>
  </si>
  <si>
    <t>(исполнительные схемы и чертежи, результаты экспертиз, обследований, лабораторных</t>
  </si>
  <si>
    <t>требованиям:</t>
  </si>
  <si>
    <t xml:space="preserve">4. Предъявлены документы, подтверждающие соответствие работ предъявляемым к ним </t>
  </si>
  <si>
    <t>3. При выполнении работ применены</t>
  </si>
  <si>
    <t>2. Работы выполнены по проектной документации</t>
  </si>
  <si>
    <t>(наименование скрытых работ)</t>
  </si>
  <si>
    <t>и составили настоящий акт о нижеследующем:</t>
  </si>
  <si>
    <t>произвели осмотр работ, выполненных</t>
  </si>
  <si>
    <t>(дата составления акта)</t>
  </si>
  <si>
    <t>№</t>
  </si>
  <si>
    <t>освидетельствования скрытых работ</t>
  </si>
  <si>
    <t>Лицо, осуществляющее подготовку проектной документации</t>
  </si>
  <si>
    <t>Объект капитального строительства</t>
  </si>
  <si>
    <t>Лицо, осуществляющее строительство, реконструкцию, капитальный ремонт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</si>
  <si>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</si>
  <si>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</si>
  <si>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</si>
  <si>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</si>
  <si>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</si>
  <si>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</si>
  <si>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(должность (при наличии), фамилия, инициалы, реквизиты распорядительного документа, подтверждающего полномочия,</t>
  </si>
  <si>
    <t>1. К освидетельствованию предъявлены следующие работы:</t>
  </si>
  <si>
    <t xml:space="preserve"> и иных испытаний выполненных работ, проведенных в процессе строительного контроля)</t>
  </si>
  <si>
    <t>(наименование работ, строительных конструкций, участков сетей инженерно-технического обеспечения)</t>
  </si>
  <si>
    <t>экземплярах (в случае заполнения акта на бумажном носителе).</t>
  </si>
  <si>
    <t>(подпись)</t>
  </si>
  <si>
    <t>(фамилия, инициалы)</t>
  </si>
  <si>
    <t>АКТ</t>
  </si>
  <si>
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</si>
  <si>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</si>
  <si>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r>
      <t>(фамилия, имя, отчество (последнее -  при наличии)</t>
    </r>
    <r>
      <rPr>
        <sz val="8"/>
        <rFont val="Times New Roman"/>
        <family val="1"/>
        <charset val="204"/>
      </rPr>
      <t xml:space="preserve">, </t>
    </r>
    <r>
      <rPr>
        <sz val="6"/>
        <rFont val="Times New Roman"/>
        <family val="1"/>
        <charset val="204"/>
      </rPr>
      <t xml:space="preserve">адрес места жительства, ОРГНИП, ИНН индивидуального предпринимателя, </t>
    </r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</si>
  <si>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</si>
  <si>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</si>
  <si>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приложение №3</t>
  </si>
  <si>
    <t>Приказ Минстроя  №344/пр от 16.05.2023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</si>
  <si>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</si>
  <si>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</si>
  <si>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</si>
  <si>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</si>
  <si>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</si>
  <si>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</si>
  <si>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</si>
  <si>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</si>
  <si>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</si>
  <si>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</si>
  <si>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</si>
  <si>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</si>
  <si>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</si>
  <si>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(наименования строительных  материалов (изделий),</t>
  </si>
  <si>
    <t>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</si>
  <si>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иных нормативных правовых актов, разделы проектной и (или) рабочей документации)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</si>
  <si>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</si>
  <si>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</si>
  <si>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</si>
  <si>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</si>
  <si>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Объект</t>
  </si>
  <si>
    <t>Город</t>
  </si>
  <si>
    <t>Адрес</t>
  </si>
  <si>
    <t>адрес</t>
  </si>
  <si>
    <t>Монтажная организация</t>
  </si>
  <si>
    <t xml:space="preserve">Организация </t>
  </si>
  <si>
    <t>Должность</t>
  </si>
  <si>
    <t>Прораб</t>
  </si>
  <si>
    <t>Ф.И.О.</t>
  </si>
  <si>
    <t>Волков М.Ю.</t>
  </si>
  <si>
    <t>Заказчик</t>
  </si>
  <si>
    <t>Чуев А.Н.</t>
  </si>
  <si>
    <t>-</t>
  </si>
  <si>
    <t>Ефремкин Е.И.</t>
  </si>
  <si>
    <t>Гл. специалист ПТГ</t>
  </si>
  <si>
    <t>Царькова Н.К.</t>
  </si>
  <si>
    <t>Проект</t>
  </si>
  <si>
    <t>г. Солнечногорск</t>
  </si>
  <si>
    <t>Название</t>
  </si>
  <si>
    <t>ОГРН 1057746555811 ИНН 5036065113 КПП 772501001</t>
  </si>
  <si>
    <t>Исполнительная схема устройства фундамента</t>
  </si>
  <si>
    <t>м3</t>
  </si>
  <si>
    <t>(сертификат №                от )</t>
  </si>
  <si>
    <t xml:space="preserve">1. </t>
  </si>
  <si>
    <t>1 лист</t>
  </si>
  <si>
    <t>2.</t>
  </si>
  <si>
    <t>/ТП</t>
  </si>
  <si>
    <t>Исполнительная схема заземления ТП</t>
  </si>
  <si>
    <t>Устройство заземления ТП</t>
  </si>
  <si>
    <t>Уголок - 50х50х5</t>
  </si>
  <si>
    <t>30м</t>
  </si>
  <si>
    <t>Полоса 40х4</t>
  </si>
  <si>
    <r>
      <t xml:space="preserve">Арматура </t>
    </r>
    <r>
      <rPr>
        <b/>
        <sz val="9"/>
        <rFont val="Calibri"/>
        <family val="2"/>
        <charset val="204"/>
      </rPr>
      <t>Ø</t>
    </r>
    <r>
      <rPr>
        <b/>
        <i/>
        <sz val="9"/>
        <rFont val="Times New Roman"/>
        <family val="1"/>
        <charset val="204"/>
      </rPr>
      <t>10</t>
    </r>
  </si>
  <si>
    <t>2 лист</t>
  </si>
  <si>
    <t>3 лист</t>
  </si>
  <si>
    <t>3.</t>
  </si>
  <si>
    <t>4.</t>
  </si>
  <si>
    <t>Обратная засыпка заземления ТП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</si>
  <si>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</si>
  <si>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r>
      <t xml:space="preserve">Арматура </t>
    </r>
    <r>
      <rPr>
        <b/>
        <sz val="8"/>
        <rFont val="Calibri"/>
        <family val="2"/>
        <charset val="204"/>
      </rPr>
      <t>Ø</t>
    </r>
    <r>
      <rPr>
        <b/>
        <i/>
        <sz val="8"/>
        <rFont val="Times New Roman"/>
        <family val="1"/>
        <charset val="204"/>
      </rPr>
      <t>10</t>
    </r>
  </si>
  <si>
    <t>Приказ №05-ОТ/24 от 09 января 2024г</t>
  </si>
  <si>
    <t>Инженер по строительному контролю</t>
  </si>
  <si>
    <t>Капитонов Д.А.</t>
  </si>
  <si>
    <t>Приказ № 18-ОТ/24 от 03 июня 2024 (НОСТРОЙ С-50-188017)</t>
  </si>
  <si>
    <t>Электромонтажные работы выполнены по проектной документации согласно требованиям СП 76.13330.2011. и ПУЭ</t>
  </si>
  <si>
    <t>организация</t>
  </si>
  <si>
    <t>ООО"Энергосистемы"</t>
  </si>
  <si>
    <t>ООО «Гефест»</t>
  </si>
  <si>
    <t>ООО "Энком"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</si>
  <si>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</si>
  <si>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</si>
  <si>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</si>
  <si>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</si>
  <si>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 xml:space="preserve">141508, Московская область, г.о. Солнечногорск, г. Солнечногорск, ул. Промышленная, стр. 5, помещение 179
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</si>
  <si>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</si>
  <si>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</si>
  <si>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</si>
  <si>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</si>
  <si>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</si>
  <si>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</si>
  <si>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</si>
  <si>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</si>
  <si>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</si>
  <si>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</si>
  <si>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</si>
  <si>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</si>
  <si>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</si>
  <si>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</si>
  <si>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</si>
  <si>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</si>
  <si>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</si>
  <si>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</si>
  <si>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</si>
  <si>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№01/24-ОТ от 15.01.2024 (НРС № С-61-104369)</t>
  </si>
  <si>
    <t>ФИО стр.контр.</t>
  </si>
  <si>
    <t>Саженова Л.В.</t>
  </si>
  <si>
    <t>Хлебнов Д.Ф.</t>
  </si>
  <si>
    <t>Представитель</t>
  </si>
  <si>
    <t>Технический надзор</t>
  </si>
  <si>
    <t>ФИО предст.</t>
  </si>
  <si>
    <t>Гл. спец. сектора по льготным договорам тп</t>
  </si>
  <si>
    <t>Гл.инженер</t>
  </si>
  <si>
    <t>Игнатьев К.А.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</si>
  <si>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</si>
  <si>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</si>
  <si>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</si>
  <si>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</si>
  <si>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</si>
  <si>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</si>
  <si>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Данные объекта</t>
  </si>
  <si>
    <t xml:space="preserve">№ САП </t>
  </si>
  <si>
    <t>р-н</t>
  </si>
  <si>
    <t>Дата старт</t>
  </si>
  <si>
    <t>Дата финиш</t>
  </si>
  <si>
    <t>Наименование электроустановки</t>
  </si>
  <si>
    <t>ТП</t>
  </si>
  <si>
    <t>Реквизиты</t>
  </si>
  <si>
    <t>ФИО</t>
  </si>
  <si>
    <t>Приказ</t>
  </si>
  <si>
    <t xml:space="preserve">, </t>
  </si>
  <si>
    <t>Сертификат №</t>
  </si>
  <si>
    <t>Уголок 63х63х3</t>
  </si>
  <si>
    <t>м</t>
  </si>
  <si>
    <t xml:space="preserve">Выемка грунта под заземление </t>
  </si>
  <si>
    <t>,</t>
  </si>
  <si>
    <t xml:space="preserve">Устройство заземления </t>
  </si>
  <si>
    <t xml:space="preserve">Сертификат № </t>
  </si>
  <si>
    <t>Устройство площадки обслуживания и лестницы</t>
  </si>
  <si>
    <t>Арматура Ø12</t>
  </si>
  <si>
    <t>Швеллер 10П</t>
  </si>
  <si>
    <t>Приказ №263 от 31 января 2024г (НОСТРОЙ С-50-15922)</t>
  </si>
  <si>
    <t>/2БКТП №544</t>
  </si>
  <si>
    <t>Установка 2БКТП 3200/10/0,4 кВ №544</t>
  </si>
  <si>
    <t>2БКТП 3200/10/0,4 кВ №544</t>
  </si>
  <si>
    <t>Исполнительная схема однолинейной схемы 2БКТП №544</t>
  </si>
  <si>
    <t>Заземление внутреннего контура  2БКТП №544</t>
  </si>
  <si>
    <t>Клемма  УН42-71</t>
  </si>
  <si>
    <t>шт.</t>
  </si>
  <si>
    <t>Провод медный МГ 1х25</t>
  </si>
  <si>
    <t xml:space="preserve">Кронштейн </t>
  </si>
  <si>
    <t>Внешний контур  заземления</t>
  </si>
  <si>
    <t>Уголок 50х50х5</t>
  </si>
  <si>
    <t>Провод МГ 1х50</t>
  </si>
  <si>
    <t xml:space="preserve">Обратная засыпка грунта </t>
  </si>
  <si>
    <t>3,20м</t>
  </si>
  <si>
    <t>25,20м</t>
  </si>
  <si>
    <t>2,64м</t>
  </si>
  <si>
    <t>Бетон класса В15 М300(сертификат)                             -     1 лист</t>
  </si>
  <si>
    <t>Местный грунт</t>
  </si>
  <si>
    <t>Исполнительная схема фундамента под БКТП №544</t>
  </si>
  <si>
    <t>Устройство бетонной подготовки  М  300</t>
  </si>
  <si>
    <t>Устройство монолитной плиты</t>
  </si>
  <si>
    <t>Бетон М300</t>
  </si>
  <si>
    <t>Документ о качестве №</t>
  </si>
  <si>
    <t>Монтаж объемных приямков</t>
  </si>
  <si>
    <t>Исполнительная схема конструкции площадки обслуживания БКТП №544</t>
  </si>
  <si>
    <t>Паспорт б/н</t>
  </si>
  <si>
    <t>Сертификат соответствия№04УПС1.RU.С02817</t>
  </si>
  <si>
    <t>4 листа</t>
  </si>
  <si>
    <t>Акт определения прочности бетона ж/б конструкций зав.№1749</t>
  </si>
  <si>
    <t>(Акт определения прочности бетона ж/б конструкций зав.№1749)</t>
  </si>
  <si>
    <t>Исх.письмо б/н</t>
  </si>
  <si>
    <t>/БКТП №544</t>
  </si>
  <si>
    <t>Герметезация труб д.100мм</t>
  </si>
  <si>
    <t>Русин В.А.</t>
  </si>
  <si>
    <t>Приказ № 13-ОТ/25 от 05 мая 2025 (НОСТРОЙ С-50-085497)</t>
  </si>
  <si>
    <t>А также иные представители лиц, участвующих в освидетельствовании:</t>
  </si>
  <si>
    <t>Представители иных лиц:</t>
  </si>
  <si>
    <t>/2БКТП №4301</t>
  </si>
  <si>
    <t>Песок 40,47 м3</t>
  </si>
  <si>
    <t>Устройство бетонной подготовки  под фундамент 2БКТП №4301</t>
  </si>
  <si>
    <t>Исполнительная схема фундамента под БКТП №4301</t>
  </si>
  <si>
    <t>Сертификат № 04УПС1.RU.С02839</t>
  </si>
  <si>
    <t>67,45м2</t>
  </si>
  <si>
    <t>Геотекстиль нетканого Дорнит 200 г/м2</t>
  </si>
  <si>
    <t>Геотекстиль нетканый Дорнит 200 г/м²  67,45м2</t>
  </si>
  <si>
    <t>Сертификат соответствия №04УПС1.RU.С02839</t>
  </si>
  <si>
    <t>Выравнивание цементно-песчаной стяжкой</t>
  </si>
  <si>
    <t>Цементно-песчаная стяжка М100</t>
  </si>
  <si>
    <t>Декларация о соответствии № РОСС RU Д-RU.РА01.В.25133/22</t>
  </si>
  <si>
    <t>Бетон М-350 класса В25</t>
  </si>
  <si>
    <t>13,85м3</t>
  </si>
  <si>
    <t>Декларация о соответствии № РОСС RU Д-RU.НА45.В.00410/18</t>
  </si>
  <si>
    <t>Устройство опалубки под БКТП №4301</t>
  </si>
  <si>
    <t>Ламинированная фанера</t>
  </si>
  <si>
    <t>8,28м2</t>
  </si>
  <si>
    <t>Гидростеклоизол - 100,62м2 (покрытие в два слоя)</t>
  </si>
  <si>
    <t>Сертификат соответствия №04ИДЮ101.RU.C05560</t>
  </si>
  <si>
    <t>Мастика гидроизоляционная Технониколь №24 - 301,86 кг (в два слоя)</t>
  </si>
  <si>
    <t>1 листа</t>
  </si>
  <si>
    <t>Объемный приямок - 49,73м3</t>
  </si>
  <si>
    <t>Заземление внутреннего контура</t>
  </si>
  <si>
    <t>Исполнительная схема заземления 2БКТП №4301</t>
  </si>
  <si>
    <t>Монтаж труб 2БКТП №4301</t>
  </si>
  <si>
    <t>Исполнительная схема раскладки труб в БКТП №4301</t>
  </si>
  <si>
    <t>Алмазная резка коронкой 112 мм-36шт.</t>
  </si>
  <si>
    <t>Устройство трубопроводов Ø.100мм</t>
  </si>
  <si>
    <t>Устройство трубопроводов Ø150мм</t>
  </si>
  <si>
    <t xml:space="preserve">Устройство трубопроводов Ø150мм </t>
  </si>
  <si>
    <t>Герметезация труб Ø150мм</t>
  </si>
  <si>
    <t>Устройство трубопроводов Ø100мм</t>
  </si>
  <si>
    <t>труба х/ц Ø100мм-80,4м</t>
  </si>
  <si>
    <t>Герметезация труб Ø100мм</t>
  </si>
  <si>
    <t xml:space="preserve">Монтаж маслоприёмного приямка </t>
  </si>
  <si>
    <t>Монтаж маслоприиёмного приямка - 2шт</t>
  </si>
  <si>
    <t>Сталь листовая 4мм</t>
  </si>
  <si>
    <t>12,32м2</t>
  </si>
  <si>
    <t>Сталь угловая 50х50</t>
  </si>
  <si>
    <t>21,6м</t>
  </si>
  <si>
    <t>Сертификат качества № 4010317902</t>
  </si>
  <si>
    <t>Сертификат качества № 2021244264</t>
  </si>
  <si>
    <t>Маслоприемный кессон</t>
  </si>
  <si>
    <t>2*1,33м3</t>
  </si>
  <si>
    <t>Монтаж лестниц</t>
  </si>
  <si>
    <t xml:space="preserve">Исполнительная схема </t>
  </si>
  <si>
    <t>Сталь круглая 12мм</t>
  </si>
  <si>
    <t>25,2м</t>
  </si>
  <si>
    <t>Уголок 63х63х5</t>
  </si>
  <si>
    <t>Сертификат качества № 2060647170</t>
  </si>
  <si>
    <t>Сертификат качества № 2022877070</t>
  </si>
  <si>
    <t>/2БРТП №4301</t>
  </si>
  <si>
    <t>/2БРТП</t>
  </si>
  <si>
    <t>Устройство гидроизоляции, с применением геотекстиля нетканого Дорнит 200</t>
  </si>
  <si>
    <t>Декларация о соответствии № 04УПС1.RU.С02839</t>
  </si>
  <si>
    <t>геотекстиль нетканого Дорнита 200</t>
  </si>
  <si>
    <t>Устройство армирования фундаментной плиты</t>
  </si>
  <si>
    <r>
      <t xml:space="preserve">Арматура </t>
    </r>
    <r>
      <rPr>
        <b/>
        <sz val="8"/>
        <rFont val="Calibri"/>
        <family val="2"/>
        <charset val="204"/>
      </rPr>
      <t>Ø</t>
    </r>
    <r>
      <rPr>
        <b/>
        <i/>
        <sz val="8"/>
        <rFont val="Times New Roman"/>
        <family val="1"/>
        <charset val="204"/>
      </rPr>
      <t>17</t>
    </r>
  </si>
  <si>
    <r>
      <t xml:space="preserve">Арматура </t>
    </r>
    <r>
      <rPr>
        <b/>
        <sz val="8"/>
        <rFont val="Calibri"/>
        <family val="2"/>
        <charset val="204"/>
      </rPr>
      <t>Ø</t>
    </r>
    <r>
      <rPr>
        <b/>
        <i/>
        <sz val="8"/>
        <rFont val="Times New Roman"/>
        <family val="1"/>
        <charset val="204"/>
      </rPr>
      <t>16 - 1063 кг</t>
    </r>
  </si>
  <si>
    <t>Сертификат качества №122503424 от 30.01.2025</t>
  </si>
  <si>
    <t>2 листа</t>
  </si>
  <si>
    <r>
      <t xml:space="preserve">Стальная труба </t>
    </r>
    <r>
      <rPr>
        <b/>
        <sz val="8"/>
        <rFont val="Calibri"/>
        <family val="2"/>
        <charset val="204"/>
      </rPr>
      <t>Ø 100мм</t>
    </r>
  </si>
  <si>
    <t>Сертификат качества № УП-00011617Т от 24.02.2024г</t>
  </si>
  <si>
    <t>40м</t>
  </si>
  <si>
    <t>Устройство глубинного электрода заземлителя в кол-ве 4 шт, L=10м</t>
  </si>
  <si>
    <t>Исполнительная схема глубинных заземлителей</t>
  </si>
  <si>
    <t>SAP - 325834</t>
  </si>
  <si>
    <t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t>
  </si>
  <si>
    <t>МО, Солнечногорский р-н, д. Ложки</t>
  </si>
  <si>
    <t>2БРП №171</t>
  </si>
  <si>
    <t>Алексанян Г.Р.</t>
  </si>
  <si>
    <t>Приказ №2363 от 29 июля 2025г (НРС С-50-069023)</t>
  </si>
  <si>
    <t>4980-325834-216-09/24</t>
  </si>
  <si>
    <t>/2БРП №171</t>
  </si>
  <si>
    <t>Разработка котлована 2БРП №171 284,54м3</t>
  </si>
  <si>
    <t>Исполнительная схема фундамента под 2БРП №171</t>
  </si>
  <si>
    <t>Уплотнение грунта под фундамент 2БРП №171</t>
  </si>
  <si>
    <t>Уплотнение грунта под фундамент 2БРП №171 67,45м2</t>
  </si>
  <si>
    <t>Устройство песчаной подушки под фундамент 2БРП №171 40,47м3</t>
  </si>
  <si>
    <t>Устройство гидроизоляции 2БРП №171</t>
  </si>
  <si>
    <t>Исполнительная схема устройства фундамента под 2БРП №171</t>
  </si>
  <si>
    <t>Устройство монолитной плиты под фундамент 2БРП №171</t>
  </si>
  <si>
    <t>Устройство гидроизоляционного покрытия под 2БРП №171</t>
  </si>
  <si>
    <t>Монтаж объемных приямков под 2БРП №171</t>
  </si>
  <si>
    <t>Гидростеклоизол - 83,16м2 (покрытие в два слоя)</t>
  </si>
  <si>
    <t>Мастика гидроизоляционная Технониколь №24 - 249,48 кг (в два слоя)</t>
  </si>
  <si>
    <t>Песок - 18,25м3</t>
  </si>
  <si>
    <t>Монтаж модулей 2БРП №171</t>
  </si>
  <si>
    <t>Паспорт на БРП № 20571225</t>
  </si>
  <si>
    <t>Заземление внешнего контура 2БРП №171</t>
  </si>
  <si>
    <t>Сертификат №4421644223</t>
  </si>
  <si>
    <t>Сертификат №93583</t>
  </si>
  <si>
    <t>Исполнительная схема внешнего контура заземления</t>
  </si>
  <si>
    <t>Исполнительная схема заземления 2БРП №171</t>
  </si>
  <si>
    <t>Монтаж внутреннего контура заземления</t>
  </si>
  <si>
    <t>Исполнительная схема заземления внутреннего контура 2БРП№171</t>
  </si>
  <si>
    <t>Алмазная резка коронкой</t>
  </si>
  <si>
    <t>Алмазная резка коронкой 157мм -33 шт.</t>
  </si>
  <si>
    <t>Исполнительная схема раскладки труб в БРП №171</t>
  </si>
  <si>
    <t>труба х/ц Ø150мм-73,9м</t>
  </si>
  <si>
    <t>Монтаж силовых трансформаторов</t>
  </si>
  <si>
    <t>Монтаж силовых трансформаторов ТМГ 63/10/0,4кВ-2шт.</t>
  </si>
  <si>
    <t>Исполнительная однолинейная схема БРТП №171</t>
  </si>
  <si>
    <t>7</t>
  </si>
  <si>
    <t>Устройство песчаной подушки под фундамент 2БРП №171</t>
  </si>
  <si>
    <t>Обратная засыпка фундамента под 2БРП №171</t>
  </si>
  <si>
    <t>ТМГ 63/10/0,4кВ-2шт.(Паспорт 2шт.)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</si>
</sst>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yyyy"/>
  </numFmts>
  <fonts count="28" x14ac:knownFonts="1">
    <font>
      <sz val="1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name val="Tahoma"/>
      <family val="2"/>
    </font>
    <font>
      <i/>
      <sz val="6.5"/>
      <name val="Times New Roman"/>
      <family val="1"/>
      <charset val="204"/>
    </font>
    <font>
      <b/>
      <i/>
      <sz val="10"/>
      <name val="Tahoma"/>
      <family val="2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7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sz val="9"/>
      <name val="Calibri"/>
      <family val="2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i/>
      <sz val="8"/>
      <name val="Tahoma"/>
      <family val="2"/>
      <charset val="204"/>
    </font>
    <font>
      <b/>
      <sz val="8"/>
      <name val="Calibri"/>
      <family val="2"/>
      <charset val="204"/>
    </font>
    <font>
      <sz val="8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7" fillId="0" borderId="0"/>
  </cellStyleXfs>
  <cellXfs count="172">
    <xf numFmtId="0" fontId="0" fillId="0" borderId="0" xfId="0"/>
    <xf numFmtId="0" fontId="3" fillId="0" borderId="0" xfId="1" applyFont="1"/>
    <xf numFmtId="0" fontId="3" fillId="0" borderId="0" xfId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1" applyFont="1" applyAlignment="1">
      <alignment horizontal="center"/>
    </xf>
    <xf numFmtId="0" fontId="6" fillId="0" borderId="0" xfId="1" applyFont="1" applyAlignment="1">
      <alignment horizontal="right"/>
    </xf>
    <xf numFmtId="0" fontId="3" fillId="0" borderId="0" xfId="1" applyFont="1" applyAlignment="1">
      <alignment horizontal="left"/>
    </xf>
    <xf numFmtId="0" fontId="4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6" fillId="0" borderId="0" xfId="1" applyFont="1"/>
    <xf numFmtId="0" fontId="8" fillId="0" borderId="0" xfId="1" applyFont="1" applyAlignment="1">
      <alignment vertical="center"/>
    </xf>
    <xf numFmtId="0" fontId="5" fillId="0" borderId="0" xfId="1" applyFont="1" applyAlignment="1">
      <alignment horizontal="left"/>
    </xf>
    <xf numFmtId="0" fontId="10" fillId="0" borderId="0" xfId="1" applyFont="1" applyAlignment="1">
      <alignment horizontal="center"/>
    </xf>
    <xf numFmtId="0" fontId="12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top"/>
    </xf>
    <xf numFmtId="0" fontId="12" fillId="0" borderId="0" xfId="1" applyFont="1"/>
    <xf numFmtId="0" fontId="11" fillId="0" borderId="0" xfId="1" applyFont="1" applyAlignment="1">
      <alignment vertical="center"/>
    </xf>
    <xf numFmtId="0" fontId="11" fillId="0" borderId="0" xfId="1" applyFont="1" applyAlignment="1">
      <alignment vertical="center" wrapText="1"/>
    </xf>
    <xf numFmtId="0" fontId="0" fillId="0" borderId="1" xfId="0" applyBorder="1"/>
    <xf numFmtId="0" fontId="13" fillId="0" borderId="2" xfId="1" applyFont="1" applyBorder="1"/>
    <xf numFmtId="0" fontId="5" fillId="0" borderId="0" xfId="0" applyFont="1"/>
    <xf numFmtId="0" fontId="15" fillId="0" borderId="2" xfId="1" applyFont="1" applyBorder="1" applyAlignment="1">
      <alignment vertical="center" wrapText="1"/>
    </xf>
    <xf numFmtId="0" fontId="15" fillId="0" borderId="2" xfId="1" applyFont="1" applyBorder="1" applyAlignment="1">
      <alignment horizontal="left"/>
    </xf>
    <xf numFmtId="0" fontId="15" fillId="0" borderId="2" xfId="1" applyFont="1" applyBorder="1"/>
    <xf numFmtId="0" fontId="13" fillId="0" borderId="3" xfId="1" applyFont="1" applyBorder="1"/>
    <xf numFmtId="0" fontId="15" fillId="0" borderId="3" xfId="1" applyFont="1" applyBorder="1"/>
    <xf numFmtId="0" fontId="9" fillId="0" borderId="0" xfId="1" applyFont="1"/>
    <xf numFmtId="0" fontId="9" fillId="0" borderId="0" xfId="1" applyFont="1" applyAlignment="1">
      <alignment horizontal="right"/>
    </xf>
    <xf numFmtId="0" fontId="9" fillId="0" borderId="0" xfId="1" applyFont="1" applyAlignment="1">
      <alignment wrapText="1"/>
    </xf>
    <xf numFmtId="0" fontId="18" fillId="0" borderId="0" xfId="1" applyFont="1" applyAlignment="1">
      <alignment horizontal="center"/>
    </xf>
    <xf numFmtId="0" fontId="18" fillId="0" borderId="0" xfId="1" applyFont="1" applyAlignment="1">
      <alignment horizontal="right"/>
    </xf>
    <xf numFmtId="0" fontId="17" fillId="0" borderId="2" xfId="1" applyFont="1" applyBorder="1"/>
    <xf numFmtId="0" fontId="19" fillId="0" borderId="0" xfId="1" applyFont="1" applyAlignment="1">
      <alignment horizontal="center"/>
    </xf>
    <xf numFmtId="0" fontId="9" fillId="0" borderId="0" xfId="1" applyFont="1" applyAlignment="1">
      <alignment vertical="center"/>
    </xf>
    <xf numFmtId="0" fontId="17" fillId="0" borderId="2" xfId="1" applyFont="1" applyBorder="1" applyAlignment="1">
      <alignment vertical="center" wrapText="1"/>
    </xf>
    <xf numFmtId="0" fontId="19" fillId="0" borderId="0" xfId="1" applyFont="1"/>
    <xf numFmtId="0" fontId="17" fillId="0" borderId="2" xfId="1" applyFont="1" applyBorder="1" applyAlignment="1">
      <alignment horizontal="left"/>
    </xf>
    <xf numFmtId="0" fontId="17" fillId="0" borderId="3" xfId="1" applyFont="1" applyBorder="1"/>
    <xf numFmtId="0" fontId="17" fillId="0" borderId="0" xfId="1" applyFont="1"/>
    <xf numFmtId="0" fontId="9" fillId="0" borderId="0" xfId="1" applyFont="1" applyAlignment="1">
      <alignment horizontal="left"/>
    </xf>
    <xf numFmtId="0" fontId="19" fillId="0" borderId="0" xfId="1" applyFont="1" applyAlignment="1">
      <alignment horizontal="right"/>
    </xf>
    <xf numFmtId="0" fontId="9" fillId="0" borderId="0" xfId="1" applyFont="1" applyAlignment="1">
      <alignment horizontal="center"/>
    </xf>
    <xf numFmtId="0" fontId="22" fillId="0" borderId="9" xfId="0" applyFont="1" applyBorder="1" applyAlignment="1">
      <alignment vertical="center"/>
    </xf>
    <xf numFmtId="0" fontId="22" fillId="0" borderId="9" xfId="0" applyFont="1" applyBorder="1" applyAlignment="1">
      <alignment horizontal="center" vertical="center"/>
    </xf>
    <xf numFmtId="0" fontId="22" fillId="0" borderId="9" xfId="0" applyFont="1" applyBorder="1"/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1" xfId="0" applyFill="1" applyBorder="1"/>
    <xf numFmtId="0" fontId="0" fillId="0" borderId="0" xfId="0" applyAlignment="1">
      <alignment wrapText="1"/>
    </xf>
    <xf numFmtId="0" fontId="0" fillId="4" borderId="1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1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5" borderId="1" xfId="0" applyFill="1" applyBorder="1" applyAlignment="1">
      <alignment wrapText="1"/>
    </xf>
    <xf numFmtId="0" fontId="0" fillId="7" borderId="0" xfId="0" applyFill="1" applyAlignment="1">
      <alignment wrapText="1"/>
    </xf>
    <xf numFmtId="0" fontId="0" fillId="5" borderId="1" xfId="0" applyFill="1" applyBorder="1"/>
    <xf numFmtId="0" fontId="24" fillId="0" borderId="1" xfId="0" applyFont="1" applyBorder="1" applyAlignment="1">
      <alignment horizontal="center"/>
    </xf>
    <xf numFmtId="0" fontId="24" fillId="8" borderId="1" xfId="0" applyFont="1" applyFill="1" applyBorder="1" applyAlignment="1">
      <alignment horizontal="center"/>
    </xf>
    <xf numFmtId="0" fontId="25" fillId="0" borderId="1" xfId="0" applyFont="1" applyBorder="1" applyAlignment="1">
      <alignment horizontal="center" wrapText="1"/>
    </xf>
    <xf numFmtId="0" fontId="25" fillId="8" borderId="1" xfId="0" applyFont="1" applyFill="1" applyBorder="1" applyAlignment="1">
      <alignment horizontal="center" vertical="center" wrapText="1"/>
    </xf>
    <xf numFmtId="0" fontId="25" fillId="0" borderId="7" xfId="0" applyFont="1" applyBorder="1" applyAlignment="1">
      <alignment horizontal="center" wrapText="1"/>
    </xf>
    <xf numFmtId="0" fontId="25" fillId="8" borderId="1" xfId="0" applyFont="1" applyFill="1" applyBorder="1" applyAlignment="1">
      <alignment horizontal="center" wrapText="1"/>
    </xf>
    <xf numFmtId="14" fontId="0" fillId="0" borderId="0" xfId="0" applyNumberFormat="1"/>
    <xf numFmtId="0" fontId="25" fillId="0" borderId="5" xfId="0" applyFont="1" applyBorder="1" applyAlignment="1">
      <alignment horizontal="center" wrapText="1"/>
    </xf>
    <xf numFmtId="165" fontId="25" fillId="9" borderId="1" xfId="0" applyNumberFormat="1" applyFont="1" applyFill="1" applyBorder="1" applyAlignment="1">
      <alignment horizontal="center" wrapText="1"/>
    </xf>
    <xf numFmtId="0" fontId="25" fillId="6" borderId="1" xfId="0" applyFont="1" applyFill="1" applyBorder="1" applyAlignment="1">
      <alignment horizontal="center" wrapText="1"/>
    </xf>
    <xf numFmtId="0" fontId="5" fillId="0" borderId="1" xfId="0" applyFont="1" applyBorder="1"/>
    <xf numFmtId="0" fontId="25" fillId="0" borderId="8" xfId="0" applyFont="1" applyBorder="1" applyAlignment="1">
      <alignment horizontal="center" wrapText="1"/>
    </xf>
    <xf numFmtId="0" fontId="25" fillId="7" borderId="1" xfId="0" applyFont="1" applyFill="1" applyBorder="1" applyAlignment="1">
      <alignment horizontal="center" wrapText="1"/>
    </xf>
    <xf numFmtId="0" fontId="25" fillId="7" borderId="1" xfId="0" applyFont="1" applyFill="1" applyBorder="1" applyAlignment="1">
      <alignment horizontal="center"/>
    </xf>
    <xf numFmtId="0" fontId="25" fillId="5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0" fontId="17" fillId="0" borderId="2" xfId="1" applyFont="1" applyBorder="1" applyAlignment="1">
      <alignment vertical="center"/>
    </xf>
    <xf numFmtId="0" fontId="17" fillId="0" borderId="0" xfId="1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14" fontId="25" fillId="8" borderId="1" xfId="0" applyNumberFormat="1" applyFont="1" applyFill="1" applyBorder="1" applyAlignment="1">
      <alignment horizontal="center" wrapText="1"/>
    </xf>
    <xf numFmtId="0" fontId="17" fillId="0" borderId="2" xfId="1" applyFont="1" applyBorder="1" applyAlignment="1">
      <alignment horizontal="center"/>
    </xf>
    <xf numFmtId="0" fontId="17" fillId="0" borderId="3" xfId="1" applyFont="1" applyBorder="1" applyAlignment="1">
      <alignment horizontal="left"/>
    </xf>
    <xf numFmtId="0" fontId="17" fillId="0" borderId="2" xfId="1" applyFont="1" applyBorder="1" applyAlignment="1">
      <alignment horizontal="center" wrapText="1"/>
    </xf>
    <xf numFmtId="0" fontId="9" fillId="0" borderId="2" xfId="1" applyFont="1" applyBorder="1"/>
    <xf numFmtId="0" fontId="17" fillId="0" borderId="0" xfId="1" applyFont="1" applyAlignment="1">
      <alignment wrapText="1"/>
    </xf>
    <xf numFmtId="0" fontId="17" fillId="0" borderId="3" xfId="1" applyFont="1" applyBorder="1" applyAlignment="1">
      <alignment vertical="top" wrapText="1"/>
    </xf>
    <xf numFmtId="0" fontId="17" fillId="0" borderId="3" xfId="1" applyFont="1" applyBorder="1" applyAlignment="1">
      <alignment horizontal="center" vertical="center" wrapText="1"/>
    </xf>
    <xf numFmtId="0" fontId="17" fillId="0" borderId="3" xfId="1" applyFont="1" applyBorder="1" applyAlignment="1">
      <alignment vertical="center" wrapText="1"/>
    </xf>
    <xf numFmtId="0" fontId="17" fillId="0" borderId="3" xfId="1" applyFont="1" applyBorder="1" applyAlignment="1">
      <alignment vertical="center"/>
    </xf>
    <xf numFmtId="0" fontId="17" fillId="0" borderId="3" xfId="1" applyFont="1" applyBorder="1" applyAlignment="1">
      <alignment horizontal="left" vertical="center"/>
    </xf>
    <xf numFmtId="0" fontId="14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8" fillId="0" borderId="0" xfId="1" applyFont="1" applyAlignment="1">
      <alignment horizontal="center"/>
    </xf>
    <xf numFmtId="0" fontId="14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8" fillId="0" borderId="0" xfId="1" applyFont="1" applyAlignment="1">
      <alignment horizontal="center"/>
    </xf>
    <xf numFmtId="0" fontId="17" fillId="0" borderId="3" xfId="1" applyFont="1" applyBorder="1" applyAlignment="1">
      <alignment horizontal="left"/>
    </xf>
    <xf numFmtId="0" fontId="17" fillId="0" borderId="2" xfId="1" applyFont="1" applyBorder="1" applyAlignment="1">
      <alignment horizontal="center" wrapText="1"/>
    </xf>
    <xf numFmtId="0" fontId="14" fillId="0" borderId="0" xfId="1" applyFont="1"/>
    <xf numFmtId="0" fontId="14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8" fillId="0" borderId="0" xfId="1" applyFont="1" applyAlignment="1">
      <alignment horizontal="center"/>
    </xf>
    <xf numFmtId="0" fontId="17" fillId="0" borderId="2" xfId="1" applyFont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9" fillId="0" borderId="2" xfId="1" applyFont="1" applyBorder="1" applyAlignment="1">
      <alignment horizontal="center"/>
    </xf>
    <xf numFmtId="0" fontId="6" fillId="0" borderId="0" xfId="1" applyFont="1" applyBorder="1"/>
    <xf numFmtId="0" fontId="9" fillId="0" borderId="0" xfId="1" applyFont="1" applyBorder="1"/>
    <xf numFmtId="0" fontId="14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7" fillId="0" borderId="2" xfId="1" applyFont="1" applyBorder="1" applyAlignment="1">
      <alignment horizontal="center" wrapText="1"/>
    </xf>
    <xf numFmtId="0" fontId="18" fillId="0" borderId="0" xfId="1" applyFont="1" applyAlignment="1">
      <alignment horizontal="center"/>
    </xf>
    <xf numFmtId="49" fontId="17" fillId="0" borderId="2" xfId="1" applyNumberFormat="1" applyFont="1" applyBorder="1"/>
    <xf numFmtId="0" fontId="25" fillId="7" borderId="1" xfId="2" applyFont="1" applyFill="1" applyBorder="1" applyAlignment="1">
      <alignment horizontal="center" wrapText="1"/>
    </xf>
    <xf numFmtId="0" fontId="14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7" fillId="0" borderId="2" xfId="1" applyFont="1" applyBorder="1" applyAlignment="1">
      <alignment horizontal="center"/>
    </xf>
    <xf numFmtId="0" fontId="18" fillId="0" borderId="0" xfId="1" applyFont="1" applyAlignment="1">
      <alignment horizontal="center"/>
    </xf>
    <xf numFmtId="0" fontId="17" fillId="0" borderId="2" xfId="1" applyFont="1" applyBorder="1" applyAlignment="1">
      <alignment horizontal="left"/>
    </xf>
    <xf numFmtId="0" fontId="17" fillId="0" borderId="3" xfId="1" applyFont="1" applyBorder="1" applyAlignment="1">
      <alignment horizontal="left"/>
    </xf>
    <xf numFmtId="0" fontId="27" fillId="0" borderId="1" xfId="3" applyBorder="1" applyAlignment="1">
      <alignment horizontal="center" vertical="center" wrapText="1"/>
    </xf>
    <xf numFmtId="0" fontId="22" fillId="0" borderId="9" xfId="0" applyFont="1" applyBorder="1" applyAlignment="1">
      <alignment horizont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3" fillId="0" borderId="5" xfId="0" applyFont="1" applyBorder="1" applyAlignment="1">
      <alignment horizontal="center" wrapText="1"/>
    </xf>
    <xf numFmtId="0" fontId="23" fillId="0" borderId="3" xfId="0" applyFont="1" applyBorder="1" applyAlignment="1">
      <alignment horizontal="center" wrapText="1"/>
    </xf>
    <xf numFmtId="0" fontId="23" fillId="0" borderId="5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0" borderId="10" xfId="0" applyFont="1" applyBorder="1" applyAlignment="1">
      <alignment horizontal="center" wrapText="1"/>
    </xf>
    <xf numFmtId="0" fontId="14" fillId="0" borderId="4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/>
    </xf>
    <xf numFmtId="0" fontId="9" fillId="0" borderId="0" xfId="1" applyFont="1" applyAlignment="1">
      <alignment horizontal="left" vertical="center" wrapText="1"/>
    </xf>
    <xf numFmtId="0" fontId="14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164" fontId="17" fillId="0" borderId="2" xfId="1" applyNumberFormat="1" applyFont="1" applyBorder="1" applyAlignment="1">
      <alignment horizontal="center"/>
    </xf>
    <xf numFmtId="0" fontId="17" fillId="0" borderId="2" xfId="1" applyFont="1" applyBorder="1" applyAlignment="1">
      <alignment horizontal="left"/>
    </xf>
    <xf numFmtId="0" fontId="17" fillId="0" borderId="2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7" fillId="0" borderId="2" xfId="1" applyFont="1" applyBorder="1" applyAlignment="1">
      <alignment horizontal="left" vertical="center"/>
    </xf>
    <xf numFmtId="0" fontId="9" fillId="0" borderId="0" xfId="1" applyFont="1" applyAlignment="1">
      <alignment horizontal="left" wrapText="1"/>
    </xf>
    <xf numFmtId="0" fontId="17" fillId="0" borderId="2" xfId="1" applyFont="1" applyBorder="1" applyAlignment="1">
      <alignment horizontal="center" wrapText="1"/>
    </xf>
    <xf numFmtId="0" fontId="17" fillId="0" borderId="2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4" fillId="0" borderId="4" xfId="1" applyFont="1" applyBorder="1" applyAlignment="1">
      <alignment horizontal="center" vertical="top"/>
    </xf>
    <xf numFmtId="0" fontId="14" fillId="0" borderId="4" xfId="1" applyFont="1" applyBorder="1" applyAlignment="1">
      <alignment horizontal="center" vertical="top" wrapText="1"/>
    </xf>
    <xf numFmtId="0" fontId="18" fillId="0" borderId="0" xfId="1" applyFont="1" applyAlignment="1">
      <alignment horizontal="center"/>
    </xf>
    <xf numFmtId="0" fontId="17" fillId="0" borderId="3" xfId="1" applyFont="1" applyBorder="1" applyAlignment="1">
      <alignment horizontal="left"/>
    </xf>
    <xf numFmtId="0" fontId="17" fillId="0" borderId="2" xfId="1" applyFont="1" applyBorder="1" applyAlignment="1">
      <alignment horizontal="left" vertical="center" wrapText="1"/>
    </xf>
    <xf numFmtId="0" fontId="9" fillId="0" borderId="4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/>
    </xf>
    <xf numFmtId="0" fontId="13" fillId="0" borderId="2" xfId="1" applyFont="1" applyBorder="1" applyAlignment="1">
      <alignment horizontal="center"/>
    </xf>
    <xf numFmtId="0" fontId="17" fillId="0" borderId="4" xfId="1" applyFont="1" applyBorder="1" applyAlignment="1">
      <alignment horizontal="left"/>
    </xf>
    <xf numFmtId="0" fontId="18" fillId="0" borderId="2" xfId="1" applyFont="1" applyBorder="1" applyAlignment="1">
      <alignment horizontal="center" wrapText="1"/>
    </xf>
    <xf numFmtId="164" fontId="17" fillId="0" borderId="3" xfId="1" applyNumberFormat="1" applyFont="1" applyBorder="1" applyAlignment="1">
      <alignment horizontal="center"/>
    </xf>
    <xf numFmtId="0" fontId="17" fillId="0" borderId="0" xfId="1" applyFont="1" applyAlignment="1">
      <alignment horizontal="center" wrapText="1"/>
    </xf>
    <xf numFmtId="0" fontId="17" fillId="0" borderId="0" xfId="1" applyFont="1" applyAlignment="1">
      <alignment horizontal="center"/>
    </xf>
    <xf numFmtId="0" fontId="15" fillId="0" borderId="2" xfId="1" applyFont="1" applyBorder="1" applyAlignment="1">
      <alignment horizontal="left" vertical="center" wrapText="1"/>
    </xf>
    <xf numFmtId="0" fontId="15" fillId="2" borderId="2" xfId="1" applyFont="1" applyFill="1" applyBorder="1" applyAlignment="1">
      <alignment horizontal="center" vertical="center" wrapText="1"/>
    </xf>
    <xf numFmtId="0" fontId="15" fillId="0" borderId="3" xfId="1" applyFont="1" applyBorder="1" applyAlignment="1">
      <alignment horizontal="left"/>
    </xf>
    <xf numFmtId="0" fontId="17" fillId="2" borderId="2" xfId="1" applyFont="1" applyFill="1" applyBorder="1" applyAlignment="1">
      <alignment horizontal="left" vertical="center"/>
    </xf>
    <xf numFmtId="0" fontId="17" fillId="2" borderId="2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left" vertical="center" wrapText="1"/>
    </xf>
    <xf numFmtId="0" fontId="15" fillId="0" borderId="3" xfId="1" applyFont="1" applyFill="1" applyBorder="1" applyAlignment="1">
      <alignment horizontal="center" vertical="center" wrapText="1"/>
    </xf>
    <xf numFmtId="0" fontId="15" fillId="0" borderId="3" xfId="1" applyFont="1" applyBorder="1" applyAlignment="1">
      <alignment horizontal="left" vertical="center" wrapText="1"/>
    </xf>
    <xf numFmtId="0" fontId="17" fillId="0" borderId="0" xfId="1" applyFont="1" applyBorder="1" applyAlignment="1">
      <alignment horizontal="center"/>
    </xf>
    <xf numFmtId="0" fontId="14" fillId="0" borderId="0" xfId="1" applyFont="1" applyBorder="1" applyAlignment="1">
      <alignment horizontal="center" vertical="center"/>
    </xf>
    <xf numFmtId="0" fontId="15" fillId="0" borderId="2" xfId="1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3" xr:uid="{902107F7-D709-42D9-997F-DE7CB9C48B7D}"/>
    <cellStyle name="Обычный 6" xfId="2" xr:uid="{7E450EC8-F3B7-4B1B-ACCE-7CC213F6059D}"/>
    <cellStyle name="Обычный_Пример акта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trushina\Desktop\&#1069;&#1052;&#1056;%20&#1096;&#1072;&#1073;&#1083;&#1086;&#108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!!!%20&#1041;&#1080;&#1073;&#1080;&#1083;&#1080;&#1086;&#1090;&#1077;&#1082;&#1072;/&#1048;&#1089;&#1087;&#1086;&#1083;&#1085;&#1080;&#1090;&#1077;&#1083;&#1100;&#1085;&#1072;&#1103;%20&#1076;&#1086;&#1082;&#1091;&#1084;&#1077;&#1085;&#1090;&#1072;&#1094;&#1080;&#1103;/&#1048;&#1044;%202025&#1075;/5226%20&#1050;&#1051;-0,4&#1082;&#1042;,%20&#1042;&#1056;&#1065;/1.%20&#1069;&#1052;&#105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1069;&#1052;&#1056;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!!!%20&#1041;&#1080;&#1073;&#1080;&#1083;&#1080;&#1086;&#1090;&#1077;&#1082;&#1072;/&#1048;&#1089;&#1087;&#1086;&#1083;&#1085;&#1080;&#1090;&#1077;&#1083;&#1100;&#1085;&#1072;&#1103;%20&#1076;&#1086;&#1082;&#1091;&#1084;&#1077;&#1085;&#1090;&#1072;&#1094;&#1080;&#1103;/&#1048;&#1044;%202025&#1075;/4741%20&#1041;&#1050;&#1058;&#1055;,%20&#1050;&#1051;-10&#1082;&#1042;,%20&#1050;&#1051;-0,4&#1082;&#1042;/9.%20&#1040;&#1054;&#1057;&#1056;%20&#1050;&#105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"/>
      <sheetName val="Sheet1"/>
      <sheetName val="Реестр"/>
      <sheetName val="Закл.1"/>
      <sheetName val="Прил.7"/>
      <sheetName val="Прил.10"/>
      <sheetName val="Прил.11"/>
      <sheetName val="акт разб"/>
      <sheetName val="1"/>
      <sheetName val="2"/>
      <sheetName val="3"/>
      <sheetName val="4"/>
      <sheetName val="7"/>
      <sheetName val="9"/>
      <sheetName val="ТП"/>
      <sheetName val="ТП-1"/>
      <sheetName val="ТП-2"/>
      <sheetName val="ТП-3"/>
      <sheetName val="11"/>
      <sheetName val="10"/>
      <sheetName val="2 (2)"/>
      <sheetName val="3 (2)"/>
      <sheetName val="4 (2)"/>
      <sheetName val="7 (2)"/>
      <sheetName val="КЛ-1"/>
      <sheetName val="КЛ-2"/>
      <sheetName val="КЛ-3"/>
      <sheetName val="КЛ-4"/>
      <sheetName val="КЛ-5"/>
      <sheetName val="КЛ-6"/>
      <sheetName val="КЛ-7"/>
      <sheetName val="КЛ-8"/>
      <sheetName val="22"/>
      <sheetName val="КЛ-9"/>
      <sheetName val="10 (2)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2 (3)"/>
      <sheetName val="3 (3)"/>
      <sheetName val="4 (3)"/>
      <sheetName val="7 (3)"/>
      <sheetName val="ВЛ-1"/>
      <sheetName val="ВЛ-3"/>
      <sheetName val="ВЛ-6"/>
      <sheetName val="ВЛ-8"/>
      <sheetName val="24"/>
      <sheetName val="26"/>
      <sheetName val="10 (3)"/>
      <sheetName val="2 (4)"/>
      <sheetName val="3 (4)"/>
      <sheetName val="4 (4)"/>
      <sheetName val="7 (4)"/>
      <sheetName val="ВЛ-1 (2)"/>
      <sheetName val="ВЛ-3 (2)"/>
      <sheetName val="ВЛ-6 (2)"/>
      <sheetName val="ВЛ-8 (2)"/>
      <sheetName val="24 (2)"/>
      <sheetName val="26 (3)"/>
      <sheetName val="10 (4)"/>
    </sheetNames>
    <sheetDataSet>
      <sheetData sheetId="0"/>
      <sheetData sheetId="1"/>
      <sheetData sheetId="2"/>
      <sheetData sheetId="3">
        <row r="2">
          <cell r="F2" t="str">
            <v>ОГРН 1057746555811 ИНН 5036065113 КПП 772501001</v>
          </cell>
        </row>
        <row r="3">
          <cell r="F3" t="str">
            <v>115114, город Москва, проезд Павелецкий 2-й, дом 3, строение 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 ЭС"/>
      <sheetName val="Титульный Гефест"/>
      <sheetName val="Пр.6Б"/>
      <sheetName val="Пр.6А"/>
      <sheetName val="Пр.7"/>
      <sheetName val="Пр.10"/>
      <sheetName val="Пр.11"/>
      <sheetName val="Пр.13 Справка ИД"/>
      <sheetName val="Пр.15 Реестр"/>
      <sheetName val="Пр.16"/>
      <sheetName val="Пр.15 Реестр Химки"/>
      <sheetName val="Пр.16 Химки"/>
      <sheetName val="акт ГЕО"/>
      <sheetName val="акт ГЕО оси"/>
      <sheetName val="1 "/>
      <sheetName val="2"/>
      <sheetName val="3"/>
      <sheetName val="Ведомость общ"/>
      <sheetName val="ТП-1"/>
      <sheetName val="ТП-2"/>
      <sheetName val="ТП-3"/>
      <sheetName val="ТП-4"/>
      <sheetName val="АСП-1"/>
      <sheetName val="АСП-2"/>
      <sheetName val="АСП-3"/>
      <sheetName val="КЛ-1"/>
      <sheetName val="КЛ-2"/>
      <sheetName val="КЛ-3"/>
      <sheetName val="КЛ-4"/>
      <sheetName val="КЛ-5"/>
      <sheetName val="КЛ-6"/>
      <sheetName val="КЛ-7"/>
      <sheetName val="КЛ-8"/>
      <sheetName val="КЛ-9"/>
      <sheetName val="ВЛЗ-3"/>
      <sheetName val="ВЛЗ-6"/>
      <sheetName val="ВЛЗ-8"/>
      <sheetName val="24 ВЛЗ"/>
      <sheetName val="26 ВЛЗ"/>
      <sheetName val="ВЛЗ-3 0,4"/>
      <sheetName val="ВЛЗ-6 0,4"/>
      <sheetName val="ВЛИ- 8 0,4"/>
      <sheetName val="24 ВЛЗ 0,4"/>
      <sheetName val="26 ВЛЗ 0,4"/>
      <sheetName val="ВРЩ-1"/>
      <sheetName val="ВРЩ-2"/>
      <sheetName val="ПНР ТП"/>
      <sheetName val="ВЛ-1"/>
      <sheetName val="ВЛ-2"/>
      <sheetName val="ВЛИ-3"/>
      <sheetName val="ВЛИ-6"/>
      <sheetName val="ВЛИ-8"/>
      <sheetName val="24 ВЛИ"/>
      <sheetName val="26 ВЛ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 ЭС"/>
      <sheetName val="Титульный Гефест"/>
      <sheetName val="Акт опробования"/>
      <sheetName val="Приложение_№_2"/>
      <sheetName val="Приложение_№_4"/>
      <sheetName val="Пр.6А"/>
      <sheetName val="Пр.6Б"/>
      <sheetName val="Пр.7"/>
      <sheetName val="Пр.10"/>
      <sheetName val="Пр.11"/>
      <sheetName val="Пр.13 Справка ИД"/>
      <sheetName val="Пр.15 Реестр"/>
      <sheetName val="Ведомость перед"/>
      <sheetName val="Пр.16"/>
      <sheetName val="Пр.15 Реестр Химки"/>
      <sheetName val="Пр.16 Химки"/>
      <sheetName val="акт ГЕО"/>
      <sheetName val="акт ГЕО оси"/>
      <sheetName val="1 "/>
      <sheetName val="2"/>
      <sheetName val="3"/>
      <sheetName val="Ведомость общ"/>
      <sheetName val="ТП-1"/>
      <sheetName val="ТП-2"/>
      <sheetName val="ТП-3"/>
      <sheetName val="ТП-4"/>
      <sheetName val="АСП-1"/>
      <sheetName val="АСП-2"/>
      <sheetName val="АСП-3"/>
      <sheetName val="ПНР ТП (2)"/>
      <sheetName val="Ведомость общ (2)"/>
      <sheetName val="КЛ-1"/>
      <sheetName val="КЛ-2"/>
      <sheetName val="КЛ-3"/>
      <sheetName val="КЛ-4"/>
      <sheetName val="КЛ-5"/>
      <sheetName val="КЛ-6"/>
      <sheetName val="КЛ-7"/>
      <sheetName val="КЛ-8"/>
      <sheetName val="КЛ-9"/>
      <sheetName val="ВЛЗ-3"/>
      <sheetName val="ВЛЗ-6"/>
      <sheetName val="ВЛЗ-8"/>
      <sheetName val="24 ВЛЗ"/>
      <sheetName val="26 ВЛЗ"/>
      <sheetName val="ВЛЗ-3 0,4"/>
      <sheetName val="ВЛЗ-6 0,4"/>
      <sheetName val="ВЛИ- 8 0,4"/>
      <sheetName val="24 ВЛЗ 0,4"/>
      <sheetName val="26 ВЛЗ 0,4"/>
      <sheetName val="ВРЩ-1"/>
      <sheetName val="ВРЩ-2"/>
      <sheetName val="КЛ-9 (2)"/>
      <sheetName val="ПНР КЛ"/>
      <sheetName val="ВЛ-1"/>
      <sheetName val="ВЛ-2"/>
      <sheetName val="ВЛИ-3"/>
      <sheetName val="ВЛИ-6"/>
      <sheetName val="ВЛИ-8"/>
      <sheetName val="24 ВЛИ"/>
      <sheetName val="26 ВЛ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 строй"/>
      <sheetName val="Данные организации"/>
      <sheetName val="Данные объект"/>
      <sheetName val="АОСР-1"/>
      <sheetName val="АОСР-2"/>
      <sheetName val="АОСР-3"/>
      <sheetName val="АОСР-4"/>
      <sheetName val="АОСР-5"/>
      <sheetName val="АОСР-6"/>
    </sheetNames>
    <sheetDataSet>
      <sheetData sheetId="0"/>
      <sheetData sheetId="1"/>
      <sheetData sheetId="2">
        <row r="36">
          <cell r="B36" t="str">
            <v>Курчин М.М.</v>
          </cell>
          <cell r="C36" t="str">
            <v>Мастер СРЭС СЭС филиала ПАО "Россети Московский регион" Курчин М.М.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workbookViewId="0">
      <selection activeCell="F9" sqref="F9"/>
    </sheetView>
  </sheetViews>
  <sheetFormatPr defaultRowHeight="12.75" x14ac:dyDescent="0.2"/>
  <cols>
    <col min="1" max="1" width="21.83203125" customWidth="1"/>
    <col min="2" max="2" width="42.6640625" customWidth="1"/>
    <col min="3" max="5" width="40.6640625" customWidth="1"/>
    <col min="6" max="6" width="42.83203125" customWidth="1"/>
    <col min="7" max="7" width="42.1640625" customWidth="1"/>
  </cols>
  <sheetData>
    <row r="1" spans="1:7" ht="15" x14ac:dyDescent="0.25">
      <c r="A1" s="42" t="s">
        <v>109</v>
      </c>
      <c r="B1" s="43" t="s">
        <v>110</v>
      </c>
      <c r="C1" s="43" t="s">
        <v>111</v>
      </c>
      <c r="D1" s="43" t="s">
        <v>112</v>
      </c>
      <c r="E1" s="44"/>
      <c r="F1" s="123" t="s">
        <v>113</v>
      </c>
      <c r="G1" s="123"/>
    </row>
    <row r="2" spans="1:7" ht="25.5" x14ac:dyDescent="0.2">
      <c r="A2" s="45" t="s">
        <v>114</v>
      </c>
      <c r="B2" s="46" t="s">
        <v>115</v>
      </c>
      <c r="C2" s="46" t="s">
        <v>116</v>
      </c>
      <c r="D2" s="47"/>
      <c r="E2" s="47"/>
      <c r="F2" s="124" t="s">
        <v>83</v>
      </c>
      <c r="G2" s="125"/>
    </row>
    <row r="3" spans="1:7" ht="63" customHeight="1" x14ac:dyDescent="0.2">
      <c r="A3" s="48" t="s">
        <v>67</v>
      </c>
      <c r="B3" s="49" t="s">
        <v>117</v>
      </c>
      <c r="C3" s="49" t="s">
        <v>118</v>
      </c>
      <c r="D3" s="50"/>
      <c r="E3" s="50"/>
      <c r="F3" s="126" t="s">
        <v>119</v>
      </c>
      <c r="G3" s="127"/>
    </row>
    <row r="4" spans="1:7" x14ac:dyDescent="0.2">
      <c r="A4" s="45" t="s">
        <v>120</v>
      </c>
      <c r="B4" s="46"/>
      <c r="C4" s="46"/>
      <c r="D4" s="46"/>
      <c r="E4" s="46"/>
      <c r="F4" s="46" t="s">
        <v>121</v>
      </c>
      <c r="G4" s="46" t="s">
        <v>122</v>
      </c>
    </row>
    <row r="5" spans="1:7" x14ac:dyDescent="0.2">
      <c r="A5" s="48"/>
      <c r="B5" s="49"/>
      <c r="C5" s="49"/>
      <c r="D5" s="49"/>
      <c r="E5" s="49"/>
      <c r="F5" s="49" t="s">
        <v>123</v>
      </c>
      <c r="G5" s="49" t="s">
        <v>124</v>
      </c>
    </row>
    <row r="6" spans="1:7" x14ac:dyDescent="0.2">
      <c r="A6" s="45" t="s">
        <v>125</v>
      </c>
      <c r="B6" s="46" t="s">
        <v>126</v>
      </c>
      <c r="C6" s="46" t="s">
        <v>127</v>
      </c>
      <c r="D6" s="46"/>
      <c r="E6" s="46"/>
      <c r="F6" s="46" t="s">
        <v>128</v>
      </c>
      <c r="G6" s="46" t="s">
        <v>129</v>
      </c>
    </row>
    <row r="7" spans="1:7" x14ac:dyDescent="0.2">
      <c r="A7" s="48" t="s">
        <v>130</v>
      </c>
      <c r="B7" s="49" t="s">
        <v>131</v>
      </c>
      <c r="C7" s="49" t="s">
        <v>132</v>
      </c>
      <c r="D7" s="49"/>
      <c r="E7" s="49"/>
      <c r="F7" s="49" t="s">
        <v>75</v>
      </c>
      <c r="G7" s="49"/>
    </row>
    <row r="8" spans="1:7" x14ac:dyDescent="0.2">
      <c r="A8" s="45" t="s">
        <v>133</v>
      </c>
      <c r="B8" s="46" t="s">
        <v>105</v>
      </c>
      <c r="C8" s="46" t="s">
        <v>134</v>
      </c>
      <c r="D8" s="46"/>
      <c r="E8" s="46"/>
      <c r="F8" s="46" t="s">
        <v>135</v>
      </c>
      <c r="G8" s="46" t="s">
        <v>135</v>
      </c>
    </row>
    <row r="9" spans="1:7" ht="25.5" x14ac:dyDescent="0.2">
      <c r="A9" s="48" t="s">
        <v>136</v>
      </c>
      <c r="B9" s="49" t="s">
        <v>107</v>
      </c>
      <c r="C9" s="49" t="s">
        <v>137</v>
      </c>
      <c r="D9" s="49"/>
      <c r="E9" s="49"/>
      <c r="F9" s="122" t="s">
        <v>284</v>
      </c>
      <c r="G9" s="81" t="s">
        <v>174</v>
      </c>
    </row>
    <row r="10" spans="1:7" x14ac:dyDescent="0.2">
      <c r="A10" s="45" t="s">
        <v>138</v>
      </c>
      <c r="B10" s="46" t="s">
        <v>106</v>
      </c>
      <c r="C10" s="46" t="s">
        <v>139</v>
      </c>
      <c r="D10" s="46"/>
      <c r="E10" s="46"/>
      <c r="F10" s="46" t="s">
        <v>283</v>
      </c>
      <c r="G10" s="46" t="s">
        <v>140</v>
      </c>
    </row>
    <row r="11" spans="1:7" x14ac:dyDescent="0.2">
      <c r="A11" s="48" t="s">
        <v>141</v>
      </c>
      <c r="B11" s="49"/>
      <c r="C11" s="49"/>
      <c r="D11" s="49"/>
      <c r="E11" s="49"/>
      <c r="F11" s="49" t="s">
        <v>142</v>
      </c>
      <c r="G11" s="49" t="s">
        <v>142</v>
      </c>
    </row>
    <row r="12" spans="1:7" x14ac:dyDescent="0.2">
      <c r="A12" s="45" t="s">
        <v>143</v>
      </c>
      <c r="B12" s="46"/>
      <c r="C12" s="46"/>
      <c r="D12" s="46"/>
      <c r="E12" s="46"/>
      <c r="F12" s="46"/>
      <c r="G12" s="46"/>
    </row>
    <row r="13" spans="1:7" x14ac:dyDescent="0.2">
      <c r="A13" s="45"/>
      <c r="B13" s="46"/>
      <c r="C13" s="46"/>
      <c r="D13" s="46"/>
      <c r="E13" s="46"/>
      <c r="F13" s="46"/>
      <c r="G13" s="46"/>
    </row>
    <row r="14" spans="1:7" ht="25.5" x14ac:dyDescent="0.2">
      <c r="A14" s="48"/>
      <c r="B14" s="49"/>
      <c r="C14" s="49"/>
      <c r="D14" s="49"/>
      <c r="E14" s="49"/>
      <c r="F14" s="49" t="s">
        <v>144</v>
      </c>
      <c r="G14" s="49" t="s">
        <v>145</v>
      </c>
    </row>
    <row r="15" spans="1:7" x14ac:dyDescent="0.2">
      <c r="A15" s="45"/>
      <c r="B15" s="46"/>
      <c r="C15" s="46"/>
      <c r="D15" s="46"/>
      <c r="E15" s="46"/>
      <c r="F15" s="46" t="s">
        <v>77</v>
      </c>
      <c r="G15" s="46" t="s">
        <v>146</v>
      </c>
    </row>
    <row r="16" spans="1:7" x14ac:dyDescent="0.2">
      <c r="A16" s="48"/>
      <c r="B16" s="49"/>
      <c r="C16" s="49"/>
      <c r="D16" s="49"/>
      <c r="E16" s="49"/>
      <c r="F16" s="49" t="s">
        <v>78</v>
      </c>
      <c r="G16" s="49"/>
    </row>
    <row r="17" spans="1:7" x14ac:dyDescent="0.2">
      <c r="A17" s="45"/>
      <c r="B17" s="46"/>
      <c r="C17" s="46"/>
      <c r="D17" s="46"/>
      <c r="E17" s="46"/>
      <c r="F17" s="46" t="s">
        <v>79</v>
      </c>
      <c r="G17" s="46"/>
    </row>
    <row r="18" spans="1:7" x14ac:dyDescent="0.2">
      <c r="A18" s="48" t="s">
        <v>71</v>
      </c>
      <c r="B18" s="49" t="s">
        <v>71</v>
      </c>
      <c r="C18" s="49" t="s">
        <v>147</v>
      </c>
      <c r="D18" s="49"/>
      <c r="E18" s="49"/>
      <c r="F18" s="49"/>
      <c r="G18" s="49"/>
    </row>
    <row r="19" spans="1:7" x14ac:dyDescent="0.2">
      <c r="A19" s="45" t="s">
        <v>148</v>
      </c>
      <c r="B19" s="46" t="s">
        <v>104</v>
      </c>
      <c r="C19" s="46" t="s">
        <v>149</v>
      </c>
      <c r="D19" s="46"/>
      <c r="E19" s="46"/>
      <c r="F19" s="46"/>
      <c r="G19" s="46"/>
    </row>
    <row r="20" spans="1:7" x14ac:dyDescent="0.2">
      <c r="A20" s="48" t="s">
        <v>150</v>
      </c>
      <c r="B20" s="49" t="s">
        <v>73</v>
      </c>
      <c r="C20" s="49" t="s">
        <v>151</v>
      </c>
      <c r="D20" s="49"/>
      <c r="E20" s="49"/>
      <c r="F20" s="49"/>
      <c r="G20" s="49"/>
    </row>
    <row r="21" spans="1:7" x14ac:dyDescent="0.2">
      <c r="A21" s="51"/>
      <c r="B21" s="46"/>
      <c r="C21" s="46"/>
      <c r="D21" s="46"/>
      <c r="E21" s="46"/>
      <c r="F21" s="46"/>
      <c r="G21" s="46"/>
    </row>
    <row r="23" spans="1:7" ht="79.5" customHeight="1" x14ac:dyDescent="0.2">
      <c r="A23" s="52" t="s">
        <v>152</v>
      </c>
      <c r="B23" s="53" t="str">
        <f>CONCATENATE(B2,",",B3)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C23" s="53" t="str">
        <f>CONCATENATE(C2,",",C3)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D23" s="54"/>
      <c r="F23" s="55" t="str">
        <f>CONCATENATE(F8," ",F1,"-",F10," .",F9)</f>
        <v>Гл. специалист ССК УКС ПАО "Россети Московский регион"-Алексанян Г.Р. .Приказ №2363 от 29 июля 2025г (НРС С-50-069023)</v>
      </c>
      <c r="G23" s="55" t="str">
        <f>CONCATENATE(G8," ",F1,"-",G10," .",G9)</f>
        <v>Гл. специалист ССК УКС ПАО "Россети Московский регион"-Хлебнов Д.Ф. .Приказ №263 от 31 января 2024г (НОСТРОЙ С-50-15922)</v>
      </c>
    </row>
    <row r="24" spans="1:7" ht="76.5" x14ac:dyDescent="0.2">
      <c r="A24" s="52" t="s">
        <v>152</v>
      </c>
      <c r="B24" s="53" t="str">
        <f>CONCATENATE(B1,",",B2,",",B3)</f>
        <v xml:space="preserve">ООО"Энергосистемы",ОГРН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C24" s="53" t="str">
        <f>CONCATENATE(C1,",",C2,",",C3)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D24" s="54"/>
      <c r="F24" s="55" t="str">
        <f>CONCATENATE(F8," ",F1,"-",F10)</f>
        <v>Гл. специалист ССК УКС ПАО "Россети Московский регион"-Алексанян Г.Р.</v>
      </c>
      <c r="G24" s="55" t="str">
        <f>CONCATENATE(G8," ",F1,"-",G10)</f>
        <v>Гл. специалист ССК УКС ПАО "Россети Московский регион"-Хлебнов Д.Ф.</v>
      </c>
    </row>
    <row r="25" spans="1:7" ht="51" x14ac:dyDescent="0.2">
      <c r="B25" s="56" t="str">
        <f>CONCATENATE(B8," ",B1,"-",B10,".",B9)</f>
        <v>Инженер по строительному контролю ООО"Энергосистемы"-Капитонов Д.А..Приказ № 18-ОТ/24 от 03 июня 2024 (НОСТРОЙ С-50-188017)</v>
      </c>
      <c r="C25" s="56" t="str">
        <f>CONCATENATE(C8," ",C1,"-",C10,".",C9)</f>
        <v>Специалист по строительному контролю ООО «Гефест»-Саженова Л.В..Приказ №01/24-ОТ от 15.01.2024 (НРС № С-61-104369)</v>
      </c>
      <c r="D25" s="57"/>
      <c r="F25" s="55" t="str">
        <f>CONCATENATE(F8," ",F1)</f>
        <v>Гл. специалист ССК УКС ПАО "Россети Московский регион"</v>
      </c>
      <c r="G25" s="55" t="str">
        <f>CONCATENATE(G8," ",F1)</f>
        <v>Гл. специалист ССК УКС ПАО "Россети Московский регион"</v>
      </c>
    </row>
    <row r="26" spans="1:7" ht="25.5" x14ac:dyDescent="0.2">
      <c r="B26" s="56" t="str">
        <f>CONCATENATE(B8," ",B1)</f>
        <v>Инженер по строительному контролю ООО"Энергосистемы"</v>
      </c>
      <c r="C26" s="56" t="str">
        <f>CONCATENATE(C8," ",C1)</f>
        <v>Специалист по строительному контролю ООО «Гефест»</v>
      </c>
      <c r="D26" s="57"/>
      <c r="F26" s="52" t="str">
        <f>CONCATENATE(F6," ",F1," ",F7)</f>
        <v>Начальник СРЭС СЭС филиала ПАО "Россети Московский регион" Чуев А.Н.</v>
      </c>
      <c r="G26" s="52" t="str">
        <f>CONCATENATE(G6," ",F1," ",G7)</f>
        <v xml:space="preserve">Начальник ХРЭС СЭС филиала ПАО "Россети Московский регион" </v>
      </c>
    </row>
    <row r="27" spans="1:7" ht="38.25" x14ac:dyDescent="0.2">
      <c r="B27" s="58" t="str">
        <f>CONCATENATE(B18," ",B1,"-",B20,".",B19)</f>
        <v>Прораб ООО"Энергосистемы"-Волков М.Ю..Приказ №05-ОТ/24 от 09 января 2024г</v>
      </c>
      <c r="C27" s="58" t="str">
        <f>CONCATENATE(C18," ",C1,"-",C20,".",C19)</f>
        <v>Мастер электромонтажного участка  ООО «Гефест»-Красилов К.А..Приказ №01/24-ОТ от 15.01.2024</v>
      </c>
      <c r="D27" s="55"/>
      <c r="F27" s="59" t="str">
        <f>CONCATENATE(F14," ",F1," ",F15)</f>
        <v>Гл. спец. сектора по льготным договорам тп ПАО "Россети Московский регион" Ефремкин Е.И.</v>
      </c>
      <c r="G27" s="59" t="str">
        <f>CONCATENATE(G14," ",F1," ",G15)</f>
        <v>Гл.инженер ПАО "Россети Московский регион" Игнатьев К.А.</v>
      </c>
    </row>
    <row r="28" spans="1:7" ht="25.5" x14ac:dyDescent="0.2">
      <c r="B28" s="58" t="str">
        <f>CONCATENATE(B18," ",B1," ",B20)</f>
        <v>Прораб ООО"Энергосистемы" Волков М.Ю.</v>
      </c>
      <c r="C28" s="58" t="str">
        <f>CONCATENATE(C18," ",C1,"-",C20)</f>
        <v>Мастер электромонтажного участка  ООО «Гефест»-Красилов К.А.</v>
      </c>
      <c r="D28" s="55"/>
      <c r="F28" s="52" t="str">
        <f>CONCATENATE(F16," ",F1," ",F17)</f>
        <v>Гл. специалист ПТГ ПАО "Россети Московский регион" Царькова Н.К.</v>
      </c>
    </row>
    <row r="29" spans="1:7" ht="25.5" x14ac:dyDescent="0.2">
      <c r="B29" s="60" t="str">
        <f>CONCATENATE(B18," ",B1)</f>
        <v>Прораб ООО"Энергосистемы"</v>
      </c>
      <c r="C29" s="58" t="str">
        <f>CONCATENATE(C18," ",C1)</f>
        <v>Мастер электромонтажного участка  ООО «Гефест»</v>
      </c>
      <c r="D29" s="55"/>
    </row>
  </sheetData>
  <mergeCells count="3">
    <mergeCell ref="F1:G1"/>
    <mergeCell ref="F2:G2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K74"/>
  <sheetViews>
    <sheetView workbookViewId="0">
      <selection activeCell="C40" sqref="C40"/>
    </sheetView>
  </sheetViews>
  <sheetFormatPr defaultRowHeight="12.75" x14ac:dyDescent="0.2"/>
  <cols>
    <col min="1" max="1" width="35" style="76" customWidth="1"/>
    <col min="2" max="2" width="136.1640625" customWidth="1"/>
    <col min="3" max="3" width="54.5" customWidth="1"/>
    <col min="5" max="5" width="12" customWidth="1"/>
    <col min="6" max="6" width="6.83203125" customWidth="1"/>
    <col min="8" max="8" width="38.83203125" customWidth="1"/>
    <col min="9" max="9" width="26.5" customWidth="1"/>
    <col min="10" max="10" width="5.5" customWidth="1"/>
    <col min="13" max="13" width="66.6640625" customWidth="1"/>
  </cols>
  <sheetData>
    <row r="1" spans="1:3" ht="14.25" x14ac:dyDescent="0.2">
      <c r="A1" s="128" t="s">
        <v>153</v>
      </c>
      <c r="B1" s="129"/>
    </row>
    <row r="2" spans="1:3" ht="15" x14ac:dyDescent="0.25">
      <c r="A2" s="61" t="s">
        <v>154</v>
      </c>
      <c r="B2" s="62" t="s">
        <v>279</v>
      </c>
    </row>
    <row r="3" spans="1:3" ht="30" x14ac:dyDescent="0.25">
      <c r="A3" s="63" t="s">
        <v>64</v>
      </c>
      <c r="B3" s="64" t="s">
        <v>280</v>
      </c>
    </row>
    <row r="4" spans="1:3" ht="15" x14ac:dyDescent="0.25">
      <c r="A4" s="65" t="s">
        <v>155</v>
      </c>
      <c r="B4" s="66" t="s">
        <v>121</v>
      </c>
    </row>
    <row r="5" spans="1:3" ht="15" x14ac:dyDescent="0.25">
      <c r="A5" s="65" t="s">
        <v>66</v>
      </c>
      <c r="B5" s="66" t="s">
        <v>281</v>
      </c>
    </row>
    <row r="6" spans="1:3" ht="15" x14ac:dyDescent="0.25">
      <c r="A6" s="65" t="s">
        <v>156</v>
      </c>
      <c r="B6" s="82">
        <v>45949</v>
      </c>
    </row>
    <row r="7" spans="1:3" ht="15" x14ac:dyDescent="0.25">
      <c r="A7" s="65" t="s">
        <v>157</v>
      </c>
      <c r="B7" s="82">
        <v>46219</v>
      </c>
      <c r="C7" s="67"/>
    </row>
    <row r="8" spans="1:3" ht="14.25" x14ac:dyDescent="0.2">
      <c r="A8" s="128" t="s">
        <v>158</v>
      </c>
      <c r="B8" s="129"/>
    </row>
    <row r="9" spans="1:3" ht="15" x14ac:dyDescent="0.25">
      <c r="A9" s="68" t="s">
        <v>159</v>
      </c>
      <c r="B9" s="69" t="s">
        <v>282</v>
      </c>
    </row>
    <row r="10" spans="1:3" ht="14.25" x14ac:dyDescent="0.2">
      <c r="A10" s="128" t="s">
        <v>68</v>
      </c>
      <c r="B10" s="129"/>
    </row>
    <row r="11" spans="1:3" ht="15" x14ac:dyDescent="0.25">
      <c r="A11" s="65" t="s">
        <v>69</v>
      </c>
      <c r="B11" s="70" t="s">
        <v>110</v>
      </c>
      <c r="C11" s="18" t="str">
        <f>CONCATENATE(B11," ",B12," ",B13)</f>
        <v xml:space="preserve">ООО"Энергосистемы" ОГРН 1135044003709  ИНН 5044089069 КПП 504401001 141508, Московская область, г.о. Солнечногорск, г. Солнечногорск, ул. Промышленная, стр. 5, помещение 179
</v>
      </c>
    </row>
    <row r="12" spans="1:3" ht="15" x14ac:dyDescent="0.25">
      <c r="A12" s="65" t="s">
        <v>160</v>
      </c>
      <c r="B12" s="70" t="str">
        <f>'Данные организации'!B2:C2</f>
        <v>ОГРН 1135044003709  ИНН 5044089069 КПП 504401001</v>
      </c>
      <c r="C12" s="18"/>
    </row>
    <row r="13" spans="1:3" ht="30" x14ac:dyDescent="0.25">
      <c r="A13" s="65" t="s">
        <v>67</v>
      </c>
      <c r="B13" s="70" t="s">
        <v>117</v>
      </c>
      <c r="C13" s="18"/>
    </row>
    <row r="14" spans="1:3" ht="15" hidden="1" x14ac:dyDescent="0.25">
      <c r="A14" s="65" t="s">
        <v>70</v>
      </c>
      <c r="B14" s="70" t="s">
        <v>127</v>
      </c>
      <c r="C14" s="18"/>
    </row>
    <row r="15" spans="1:3" ht="15" hidden="1" x14ac:dyDescent="0.25">
      <c r="A15" s="65" t="s">
        <v>161</v>
      </c>
      <c r="B15" s="70" t="s">
        <v>132</v>
      </c>
      <c r="C15" s="18" t="str">
        <f>CONCATENATE(B14," ",B11," ",B15)</f>
        <v xml:space="preserve">Генеральный директор ООО"Энергосистемы" Звездов Р.Е. </v>
      </c>
    </row>
    <row r="16" spans="1:3" ht="15" x14ac:dyDescent="0.25">
      <c r="A16" s="65" t="s">
        <v>70</v>
      </c>
      <c r="B16" s="70" t="s">
        <v>105</v>
      </c>
      <c r="C16" s="18" t="str">
        <f>CONCATENATE(B16," ",B11)</f>
        <v>Инженер по строительному контролю ООО"Энергосистемы"</v>
      </c>
    </row>
    <row r="17" spans="1:3" ht="15" x14ac:dyDescent="0.25">
      <c r="A17" s="65" t="s">
        <v>72</v>
      </c>
      <c r="B17" s="70" t="s">
        <v>208</v>
      </c>
      <c r="C17" s="71" t="str">
        <f>CONCATENATE(B16," ",B11," ",B17)</f>
        <v>Инженер по строительному контролю ООО"Энергосистемы" Русин В.А.</v>
      </c>
    </row>
    <row r="18" spans="1:3" ht="15" x14ac:dyDescent="0.25">
      <c r="A18" s="65" t="s">
        <v>162</v>
      </c>
      <c r="B18" s="70" t="s">
        <v>209</v>
      </c>
      <c r="C18" s="71" t="str">
        <f>CONCATENATE(B16," ",B11," ",B17,".",B18)</f>
        <v>Инженер по строительному контролю ООО"Энергосистемы" Русин В.А..Приказ № 13-ОТ/25 от 05 мая 2025 (НОСТРОЙ С-50-085497)</v>
      </c>
    </row>
    <row r="19" spans="1:3" ht="15" x14ac:dyDescent="0.25">
      <c r="A19" s="65" t="s">
        <v>70</v>
      </c>
      <c r="B19" s="70" t="s">
        <v>71</v>
      </c>
      <c r="C19" s="18" t="str">
        <f>CONCATENATE(B19," ",B11)</f>
        <v>Прораб ООО"Энергосистемы"</v>
      </c>
    </row>
    <row r="20" spans="1:3" ht="15" x14ac:dyDescent="0.25">
      <c r="A20" s="65" t="s">
        <v>72</v>
      </c>
      <c r="B20" s="70" t="s">
        <v>73</v>
      </c>
      <c r="C20" s="71" t="str">
        <f>CONCATENATE(B19," ",B11," ",B20)</f>
        <v>Прораб ООО"Энергосистемы" Волков М.Ю.</v>
      </c>
    </row>
    <row r="21" spans="1:3" ht="15" x14ac:dyDescent="0.25">
      <c r="A21" s="72" t="s">
        <v>162</v>
      </c>
      <c r="B21" s="70" t="s">
        <v>104</v>
      </c>
      <c r="C21" s="71" t="str">
        <f>CONCATENATE(B19," ",B11," ",B20,".",B21)</f>
        <v>Прораб ООО"Энергосистемы" Волков М.Ю..Приказ №05-ОТ/24 от 09 января 2024г</v>
      </c>
    </row>
    <row r="22" spans="1:3" ht="14.25" x14ac:dyDescent="0.2">
      <c r="A22" s="130" t="s">
        <v>74</v>
      </c>
      <c r="B22" s="131"/>
    </row>
    <row r="23" spans="1:3" ht="15" x14ac:dyDescent="0.25">
      <c r="A23" s="72" t="s">
        <v>69</v>
      </c>
      <c r="B23" s="73" t="s">
        <v>113</v>
      </c>
      <c r="C23" t="str">
        <f>CONCATENATE(B23," ",B24,",",B25)</f>
        <v>ПАО "Россети Московский регион" ОГРН 1057746555811 ИНН 5036065113 КПП 772501001,115114, город Москва, проезд Павелецкий 2-й, дом 3, строение 2</v>
      </c>
    </row>
    <row r="24" spans="1:3" ht="15" x14ac:dyDescent="0.25">
      <c r="A24" s="72" t="s">
        <v>160</v>
      </c>
      <c r="B24" s="73" t="str">
        <f>'[1]Данные организации'!F2</f>
        <v>ОГРН 1057746555811 ИНН 5036065113 КПП 772501001</v>
      </c>
    </row>
    <row r="25" spans="1:3" ht="15" x14ac:dyDescent="0.25">
      <c r="A25" s="72" t="s">
        <v>67</v>
      </c>
      <c r="B25" s="73" t="str">
        <f>'[1]Данные организации'!F3</f>
        <v>115114, город Москва, проезд Павелецкий 2-й, дом 3, строение 2</v>
      </c>
    </row>
    <row r="26" spans="1:3" ht="15" hidden="1" x14ac:dyDescent="0.25">
      <c r="A26" s="72" t="s">
        <v>70</v>
      </c>
      <c r="B26" s="74" t="s">
        <v>128</v>
      </c>
      <c r="C26" t="str">
        <f>CONCATENATE(B26," ",B23)</f>
        <v>Начальник СРЭС СЭС филиала ПАО "Россети Московский регион"</v>
      </c>
    </row>
    <row r="27" spans="1:3" ht="15" hidden="1" x14ac:dyDescent="0.25">
      <c r="A27" s="72" t="s">
        <v>72</v>
      </c>
      <c r="B27" s="73" t="s">
        <v>75</v>
      </c>
      <c r="C27" t="str">
        <f>CONCATENATE(B26," ",B23," ",B27)</f>
        <v>Начальник СРЭС СЭС филиала ПАО "Россети Московский регион" Чуев А.Н.</v>
      </c>
    </row>
    <row r="28" spans="1:3" ht="15" hidden="1" x14ac:dyDescent="0.25">
      <c r="A28" s="72" t="s">
        <v>70</v>
      </c>
      <c r="B28" s="73" t="s">
        <v>144</v>
      </c>
      <c r="C28" t="str">
        <f>CONCATENATE(B28," ",B23)</f>
        <v>Гл. спец. сектора по льготным договорам тп ПАО "Россети Московский регион"</v>
      </c>
    </row>
    <row r="29" spans="1:3" ht="15" hidden="1" x14ac:dyDescent="0.25">
      <c r="A29" s="72" t="s">
        <v>72</v>
      </c>
      <c r="B29" s="73" t="s">
        <v>77</v>
      </c>
      <c r="C29" t="str">
        <f>CONCATENATE(B28," ",B23," ",B29)</f>
        <v>Гл. спец. сектора по льготным договорам тп ПАО "Россети Московский регион" Ефремкин Е.И.</v>
      </c>
    </row>
    <row r="30" spans="1:3" ht="15" hidden="1" x14ac:dyDescent="0.25">
      <c r="A30" s="72" t="s">
        <v>70</v>
      </c>
      <c r="B30" s="73" t="s">
        <v>78</v>
      </c>
      <c r="C30" t="str">
        <f>CONCATENATE(B30," ",B23)</f>
        <v>Гл. специалист ПТГ ПАО "Россети Московский регион"</v>
      </c>
    </row>
    <row r="31" spans="1:3" ht="15" hidden="1" x14ac:dyDescent="0.25">
      <c r="A31" s="72" t="s">
        <v>72</v>
      </c>
      <c r="B31" s="73" t="s">
        <v>79</v>
      </c>
      <c r="C31" t="str">
        <f>CONCATENATE(B30," ",B23," ",B31)</f>
        <v>Гл. специалист ПТГ ПАО "Россети Московский регион" Царькова Н.К.</v>
      </c>
    </row>
    <row r="32" spans="1:3" ht="15" x14ac:dyDescent="0.25">
      <c r="A32" s="72" t="s">
        <v>70</v>
      </c>
      <c r="B32" s="73" t="s">
        <v>135</v>
      </c>
      <c r="C32" t="str">
        <f>CONCATENATE(B32," ",B23)</f>
        <v>Гл. специалист ССК УКС ПАО "Россети Московский регион"</v>
      </c>
    </row>
    <row r="33" spans="1:31" ht="15" x14ac:dyDescent="0.25">
      <c r="A33" s="72" t="s">
        <v>72</v>
      </c>
      <c r="B33" s="115" t="s">
        <v>283</v>
      </c>
      <c r="C33" s="20" t="str">
        <f>CONCATENATE(B32," ",B23," ",B33)</f>
        <v>Гл. специалист ССК УКС ПАО "Россети Московский регион" Алексанян Г.Р.</v>
      </c>
    </row>
    <row r="34" spans="1:31" ht="15" x14ac:dyDescent="0.25">
      <c r="A34" s="72" t="s">
        <v>162</v>
      </c>
      <c r="B34" s="115" t="s">
        <v>284</v>
      </c>
      <c r="C34" t="str">
        <f>CONCATENATE(B32," ",B23," ",B33,".",B34)</f>
        <v>Гл. специалист ССК УКС ПАО "Россети Московский регион" Алексанян Г.Р..Приказ №2363 от 29 июля 2025г (НРС С-50-069023)</v>
      </c>
    </row>
    <row r="35" spans="1:31" ht="14.25" x14ac:dyDescent="0.2">
      <c r="A35" s="128" t="s">
        <v>80</v>
      </c>
      <c r="B35" s="132"/>
    </row>
    <row r="36" spans="1:31" ht="15" x14ac:dyDescent="0.25">
      <c r="A36" s="63" t="s">
        <v>69</v>
      </c>
      <c r="B36" s="75" t="s">
        <v>110</v>
      </c>
    </row>
    <row r="37" spans="1:31" ht="15" x14ac:dyDescent="0.25">
      <c r="A37" s="65" t="s">
        <v>160</v>
      </c>
      <c r="B37" s="75" t="s">
        <v>115</v>
      </c>
    </row>
    <row r="38" spans="1:31" ht="30" x14ac:dyDescent="0.25">
      <c r="A38" s="65" t="s">
        <v>67</v>
      </c>
      <c r="B38" s="75" t="s">
        <v>117</v>
      </c>
    </row>
    <row r="39" spans="1:31" ht="15" x14ac:dyDescent="0.25">
      <c r="A39" s="63" t="s">
        <v>65</v>
      </c>
      <c r="B39" s="75" t="s">
        <v>81</v>
      </c>
    </row>
    <row r="40" spans="1:31" ht="15" x14ac:dyDescent="0.25">
      <c r="A40" s="63" t="s">
        <v>18</v>
      </c>
      <c r="B40" s="75" t="s">
        <v>285</v>
      </c>
    </row>
    <row r="41" spans="1:31" ht="62.25" customHeight="1" x14ac:dyDescent="0.25">
      <c r="A41" s="63" t="s">
        <v>82</v>
      </c>
      <c r="B41" s="75" t="str">
        <f>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</row>
    <row r="44" spans="1:31" x14ac:dyDescent="0.2">
      <c r="C44" s="77"/>
      <c r="D44" s="77"/>
      <c r="E44" s="77"/>
      <c r="F44" s="77"/>
      <c r="G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</row>
    <row r="45" spans="1:31" x14ac:dyDescent="0.2">
      <c r="C45" s="77"/>
      <c r="D45" s="77"/>
      <c r="E45" s="77"/>
      <c r="F45" s="77"/>
      <c r="G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</row>
    <row r="46" spans="1:31" x14ac:dyDescent="0.2">
      <c r="C46" s="77"/>
      <c r="D46" s="77"/>
      <c r="E46" s="77"/>
      <c r="F46" s="77"/>
      <c r="G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</row>
    <row r="47" spans="1:31" x14ac:dyDescent="0.2">
      <c r="C47" s="77"/>
      <c r="D47" s="77"/>
      <c r="E47" s="77"/>
      <c r="F47" s="77"/>
      <c r="G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</row>
    <row r="48" spans="1:31" x14ac:dyDescent="0.2">
      <c r="C48" s="77"/>
      <c r="D48" s="77"/>
      <c r="E48" s="77"/>
      <c r="F48" s="77"/>
      <c r="G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</row>
    <row r="49" spans="3:37" x14ac:dyDescent="0.2">
      <c r="C49" s="77"/>
      <c r="D49" s="77"/>
      <c r="E49" s="77"/>
      <c r="F49" s="77"/>
      <c r="G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</row>
    <row r="50" spans="3:37" x14ac:dyDescent="0.2">
      <c r="C50" s="77"/>
      <c r="D50" s="77"/>
      <c r="E50" s="77"/>
      <c r="F50" s="77"/>
      <c r="G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</row>
    <row r="51" spans="3:37" x14ac:dyDescent="0.2">
      <c r="C51" s="77"/>
      <c r="D51" s="77"/>
      <c r="E51" s="77"/>
      <c r="F51" s="77"/>
      <c r="G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</row>
    <row r="55" spans="3:37" ht="14.45" customHeight="1" x14ac:dyDescent="0.2"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</row>
    <row r="56" spans="3:37" ht="14.45" customHeight="1" x14ac:dyDescent="0.2"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</row>
    <row r="57" spans="3:37" x14ac:dyDescent="0.2"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</row>
    <row r="58" spans="3:37" x14ac:dyDescent="0.2"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</row>
    <row r="59" spans="3:37" x14ac:dyDescent="0.2"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</row>
    <row r="60" spans="3:37" x14ac:dyDescent="0.2"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</row>
    <row r="61" spans="3:37" x14ac:dyDescent="0.2"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</row>
    <row r="62" spans="3:37" x14ac:dyDescent="0.2"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</row>
    <row r="63" spans="3:37" x14ac:dyDescent="0.2"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</row>
    <row r="64" spans="3:37" x14ac:dyDescent="0.2"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</row>
    <row r="65" spans="2:37" x14ac:dyDescent="0.2"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</row>
    <row r="66" spans="2:37" x14ac:dyDescent="0.2"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</row>
    <row r="67" spans="2:37" x14ac:dyDescent="0.2"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</row>
    <row r="68" spans="2:37" x14ac:dyDescent="0.2"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</row>
    <row r="69" spans="2:37" ht="14.45" customHeight="1" x14ac:dyDescent="0.2"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</row>
    <row r="74" spans="2:37" ht="16.149999999999999" customHeight="1" x14ac:dyDescent="0.2">
      <c r="B74" s="52"/>
    </row>
  </sheetData>
  <mergeCells count="5">
    <mergeCell ref="A1:B1"/>
    <mergeCell ref="A8:B8"/>
    <mergeCell ref="A10:B10"/>
    <mergeCell ref="A22:B22"/>
    <mergeCell ref="A35:B3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0100-000000000000}">
          <x14:formula1>
            <xm:f>'Данные организации'!$B$1:$C$1</xm:f>
          </x14:formula1>
          <xm:sqref>B11 B36</xm:sqref>
        </x14:dataValidation>
        <x14:dataValidation type="list" allowBlank="1" showInputMessage="1" showErrorMessage="1" xr:uid="{00000000-0002-0000-0100-000001000000}">
          <x14:formula1>
            <xm:f>'Данные организации'!$B$2:$C$2</xm:f>
          </x14:formula1>
          <xm:sqref>B12 B37</xm:sqref>
        </x14:dataValidation>
        <x14:dataValidation type="list" allowBlank="1" showInputMessage="1" showErrorMessage="1" xr:uid="{00000000-0002-0000-0100-000002000000}">
          <x14:formula1>
            <xm:f>'Данные организации'!$B$3:$C$3</xm:f>
          </x14:formula1>
          <xm:sqref>B13 B38</xm:sqref>
        </x14:dataValidation>
        <x14:dataValidation type="list" allowBlank="1" showInputMessage="1" showErrorMessage="1" xr:uid="{00000000-0002-0000-0100-000003000000}">
          <x14:formula1>
            <xm:f>'Данные организации'!$B$8:$C$8</xm:f>
          </x14:formula1>
          <xm:sqref>B16</xm:sqref>
        </x14:dataValidation>
        <x14:dataValidation type="list" allowBlank="1" showInputMessage="1" showErrorMessage="1" xr:uid="{00000000-0002-0000-0100-000006000000}">
          <x14:formula1>
            <xm:f>'Данные организации'!$B$18:$C$18</xm:f>
          </x14:formula1>
          <xm:sqref>B19</xm:sqref>
        </x14:dataValidation>
        <x14:dataValidation type="list" allowBlank="1" showInputMessage="1" showErrorMessage="1" xr:uid="{00000000-0002-0000-0100-000007000000}">
          <x14:formula1>
            <xm:f>'Данные организации'!$B$20:$C$20</xm:f>
          </x14:formula1>
          <xm:sqref>B20</xm:sqref>
        </x14:dataValidation>
        <x14:dataValidation type="list" allowBlank="1" showInputMessage="1" showErrorMessage="1" xr:uid="{00000000-0002-0000-0100-000008000000}">
          <x14:formula1>
            <xm:f>'Данные организации'!$B$19:$C$19</xm:f>
          </x14:formula1>
          <xm:sqref>B21</xm:sqref>
        </x14:dataValidation>
        <x14:dataValidation type="list" allowBlank="1" showInputMessage="1" showErrorMessage="1" xr:uid="{00000000-0002-0000-0100-000009000000}">
          <x14:formula1>
            <xm:f>'Данные организации'!$F$8:$G$8</xm:f>
          </x14:formula1>
          <xm:sqref>B32</xm:sqref>
        </x14:dataValidation>
        <x14:dataValidation type="list" allowBlank="1" showInputMessage="1" showErrorMessage="1" xr:uid="{78E4011E-8FD9-4CE3-A891-75683800A241}">
          <x14:formula1>
            <xm:f>'Y:\!!! Бибилиотека\Исполнительная документация\ИД 2025г\5226 КЛ-0,4кВ, ВРЩ\[1. ЭМР.xlsx]Данные организации'!#REF!</xm:f>
          </x14:formula1>
          <xm:sqref>B17:B18</xm:sqref>
        </x14:dataValidation>
        <x14:dataValidation type="list" allowBlank="1" showInputMessage="1" showErrorMessage="1" xr:uid="{F1072A47-D709-4BD8-9727-4D6049C5CA7D}">
          <x14:formula1>
            <xm:f>'[1. ЭМР1.xlsx]Данные организации'!#REF!</xm:f>
          </x14:formula1>
          <xm:sqref>B4</xm:sqref>
        </x14:dataValidation>
        <x14:dataValidation type="list" allowBlank="1" showInputMessage="1" showErrorMessage="1" xr:uid="{7EAC549C-5F0E-4E15-8E7B-7B45272900EC}">
          <x14:formula1>
            <xm:f>'Данные организации'!$F$10:$G$10</xm:f>
          </x14:formula1>
          <xm:sqref>B33</xm:sqref>
        </x14:dataValidation>
        <x14:dataValidation type="list" allowBlank="1" showInputMessage="1" showErrorMessage="1" xr:uid="{EB19BC85-F180-41DF-B56B-3D0902957B8A}">
          <x14:formula1>
            <xm:f>'Данные организации'!$F$9:$G$9</xm:f>
          </x14:formula1>
          <xm:sqref>B34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8100-3136-4382-9365-B75C4E93BD2D}">
  <sheetPr>
    <tabColor indexed="57"/>
    <pageSetUpPr fitToPage="1"/>
  </sheetPr>
  <dimension ref="A1:AQ117"/>
  <sheetViews>
    <sheetView view="pageBreakPreview" topLeftCell="A67" zoomScale="125" zoomScaleNormal="125" zoomScaleSheetLayoutView="125" workbookViewId="0">
      <selection activeCell="A63" sqref="A63:AJ63"/>
    </sheetView>
  </sheetViews>
  <sheetFormatPr defaultColWidth="10.6640625" defaultRowHeight="15" x14ac:dyDescent="0.25"/>
  <cols>
    <col min="1" max="6" width="2.83203125" style="1" customWidth="1"/>
    <col min="7" max="7" width="6.16406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39.7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1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P79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5.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6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8.2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7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">
        <v>287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35" t="s">
        <v>76</v>
      </c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4" t="s">
        <v>57</v>
      </c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</row>
    <row r="70" spans="1:36" s="26" customFormat="1" ht="12" customHeight="1" x14ac:dyDescent="0.2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</row>
    <row r="71" spans="1:36" ht="18.75" customHeight="1" x14ac:dyDescent="0.25">
      <c r="A71" s="137" t="s">
        <v>58</v>
      </c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</row>
    <row r="72" spans="1:36" s="26" customFormat="1" ht="12" customHeight="1" x14ac:dyDescent="0.2">
      <c r="A72" s="26" t="s">
        <v>11</v>
      </c>
    </row>
    <row r="73" spans="1:36" s="26" customFormat="1" ht="12" customHeight="1" x14ac:dyDescent="0.2">
      <c r="A73" s="26" t="s">
        <v>10</v>
      </c>
      <c r="G73" s="140" t="s">
        <v>288</v>
      </c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</row>
    <row r="74" spans="1:36" ht="7.5" customHeight="1" x14ac:dyDescent="0.25">
      <c r="A74" s="142"/>
      <c r="B74" s="142"/>
      <c r="C74" s="8"/>
      <c r="D74" s="8"/>
      <c r="E74" s="8"/>
      <c r="F74" s="8"/>
      <c r="G74" s="138" t="s">
        <v>9</v>
      </c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</row>
    <row r="75" spans="1:36" s="26" customFormat="1" ht="12" customHeight="1" x14ac:dyDescent="0.2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7.5" customHeight="1" x14ac:dyDescent="0.25">
      <c r="A76" s="137" t="s">
        <v>31</v>
      </c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ht="9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26" customFormat="1" ht="12" customHeight="1" x14ac:dyDescent="0.2">
      <c r="A78" s="26" t="s">
        <v>8</v>
      </c>
      <c r="D78" s="35"/>
      <c r="E78" s="35"/>
      <c r="F78" s="35"/>
      <c r="G78" s="35"/>
      <c r="L78" s="27"/>
      <c r="M78" s="38"/>
      <c r="N78" s="38"/>
      <c r="P78" s="139">
        <f>'Данные объект'!B6</f>
        <v>45949</v>
      </c>
      <c r="Q78" s="139"/>
      <c r="R78" s="139"/>
      <c r="S78" s="139"/>
      <c r="T78" s="139"/>
      <c r="U78" s="139"/>
      <c r="V78" s="139"/>
      <c r="W78" s="139"/>
    </row>
    <row r="79" spans="1:36" s="26" customFormat="1" ht="12" customHeight="1" x14ac:dyDescent="0.2">
      <c r="A79" s="26" t="s">
        <v>7</v>
      </c>
      <c r="D79" s="35"/>
      <c r="E79" s="35"/>
      <c r="F79" s="35"/>
      <c r="G79" s="35"/>
      <c r="L79" s="27"/>
      <c r="M79" s="38"/>
      <c r="N79" s="38"/>
      <c r="P79" s="139">
        <f>'Данные объект'!B7</f>
        <v>46219</v>
      </c>
      <c r="Q79" s="139"/>
      <c r="R79" s="139"/>
      <c r="S79" s="139"/>
      <c r="T79" s="139"/>
      <c r="U79" s="139"/>
      <c r="V79" s="139"/>
      <c r="W79" s="139"/>
    </row>
    <row r="80" spans="1:36" s="26" customFormat="1" ht="7.5" customHeight="1" x14ac:dyDescent="0.2">
      <c r="A80" s="39"/>
      <c r="B80" s="39"/>
      <c r="C80" s="39"/>
      <c r="D80" s="40"/>
      <c r="E80" s="40"/>
      <c r="F80" s="40"/>
      <c r="G80" s="40"/>
    </row>
    <row r="81" spans="1:36" s="26" customFormat="1" ht="12" customHeight="1" x14ac:dyDescent="0.2">
      <c r="A81" s="26" t="s">
        <v>5</v>
      </c>
    </row>
    <row r="82" spans="1:36" s="26" customFormat="1" ht="12" customHeight="1" x14ac:dyDescent="0.2">
      <c r="A82" s="140" t="s">
        <v>108</v>
      </c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</row>
    <row r="83" spans="1:36" ht="8.25" customHeight="1" x14ac:dyDescent="0.25">
      <c r="A83" s="137" t="s">
        <v>4</v>
      </c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</row>
    <row r="84" spans="1:36" s="26" customFormat="1" ht="12" customHeight="1" x14ac:dyDescent="0.2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ht="8.25" customHeight="1" x14ac:dyDescent="0.25">
      <c r="A85" s="137" t="s">
        <v>59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26" t="s">
        <v>3</v>
      </c>
    </row>
    <row r="87" spans="1:36" s="26" customFormat="1" ht="12" customHeight="1" x14ac:dyDescent="0.2">
      <c r="A87" s="135" t="s">
        <v>289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ht="9" customHeight="1" x14ac:dyDescent="0.25">
      <c r="A88" s="137" t="s">
        <v>32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</row>
    <row r="89" spans="1:36" s="26" customFormat="1" ht="12" customHeight="1" x14ac:dyDescent="0.2">
      <c r="A89" s="26" t="s">
        <v>2</v>
      </c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s="26" customFormat="1" ht="6" customHeight="1" x14ac:dyDescent="0.2">
      <c r="D90" s="41"/>
      <c r="E90" s="41"/>
      <c r="F90" s="41"/>
      <c r="G90" s="41"/>
      <c r="H90" s="41"/>
      <c r="I90" s="41"/>
      <c r="J90" s="41"/>
    </row>
    <row r="91" spans="1:36" s="26" customFormat="1" ht="12" customHeight="1" x14ac:dyDescent="0.2">
      <c r="A91" s="26" t="s">
        <v>102</v>
      </c>
      <c r="H91" s="135"/>
      <c r="I91" s="135"/>
      <c r="J91" s="26" t="s">
        <v>33</v>
      </c>
    </row>
    <row r="92" spans="1:36" s="26" customFormat="1" ht="4.5" customHeight="1" x14ac:dyDescent="0.2"/>
    <row r="93" spans="1:36" s="26" customFormat="1" ht="12" customHeight="1" x14ac:dyDescent="0.2">
      <c r="A93" s="26" t="s">
        <v>1</v>
      </c>
    </row>
    <row r="94" spans="1:36" s="26" customFormat="1" ht="12" customHeight="1" x14ac:dyDescent="0.2">
      <c r="A94" s="31" t="s">
        <v>87</v>
      </c>
      <c r="B94" s="140" t="str">
        <f>G73</f>
        <v>Исполнительная схема фундамента под 2БРП №171</v>
      </c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31" t="s">
        <v>76</v>
      </c>
      <c r="R94" s="31" t="s">
        <v>88</v>
      </c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ht="9.75" customHeight="1" x14ac:dyDescent="0.25">
      <c r="A95" s="137" t="s">
        <v>0</v>
      </c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  <c r="AH95" s="138"/>
      <c r="AI95" s="138"/>
      <c r="AJ95" s="138"/>
    </row>
    <row r="96" spans="1:36" ht="6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26" customFormat="1" ht="12" customHeight="1" x14ac:dyDescent="0.2">
      <c r="A97" s="26" t="s">
        <v>23</v>
      </c>
    </row>
    <row r="98" spans="1:36" s="26" customFormat="1" ht="12" customHeight="1" x14ac:dyDescent="0.2">
      <c r="A98" s="26" t="s">
        <v>24</v>
      </c>
    </row>
    <row r="99" spans="1:36" s="26" customFormat="1" ht="12" customHeight="1" x14ac:dyDescent="0.2">
      <c r="A99" s="135" t="str">
        <f>'Данные объект'!B33</f>
        <v>Алексанян Г.Р.</v>
      </c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135"/>
      <c r="AC99" s="135"/>
      <c r="AD99" s="135"/>
      <c r="AE99" s="135"/>
      <c r="AF99" s="135"/>
      <c r="AG99" s="135"/>
      <c r="AH99" s="135"/>
      <c r="AI99" s="135"/>
      <c r="AJ99" s="135"/>
    </row>
    <row r="100" spans="1:36" ht="9" customHeight="1" x14ac:dyDescent="0.25">
      <c r="A100" s="133" t="s">
        <v>35</v>
      </c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7"/>
      <c r="Q100" s="17"/>
      <c r="R100" s="17"/>
      <c r="S100" s="17"/>
      <c r="T100" s="17"/>
      <c r="U100" s="16"/>
      <c r="V100" s="16"/>
      <c r="W100" s="16"/>
      <c r="X100" s="16"/>
      <c r="Y100" s="16"/>
      <c r="Z100" s="16"/>
      <c r="AA100" s="16"/>
      <c r="AB100" s="134" t="s">
        <v>34</v>
      </c>
      <c r="AC100" s="134"/>
      <c r="AD100" s="134"/>
      <c r="AE100" s="134"/>
      <c r="AF100" s="134"/>
      <c r="AG100" s="134"/>
      <c r="AH100" s="134"/>
      <c r="AI100" s="134"/>
      <c r="AJ100" s="134"/>
    </row>
    <row r="101" spans="1:36" s="26" customFormat="1" ht="12" customHeight="1" x14ac:dyDescent="0.2">
      <c r="A101" s="26" t="s">
        <v>25</v>
      </c>
    </row>
    <row r="102" spans="1:36" s="26" customFormat="1" ht="12" customHeight="1" x14ac:dyDescent="0.2">
      <c r="A102" s="135" t="str">
        <f>'Данные объект'!B20</f>
        <v>Волков М.Ю.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135"/>
      <c r="AC102" s="135"/>
      <c r="AD102" s="135"/>
      <c r="AE102" s="135"/>
      <c r="AF102" s="135"/>
      <c r="AG102" s="135"/>
      <c r="AH102" s="135"/>
      <c r="AI102" s="135"/>
      <c r="AJ102" s="135"/>
    </row>
    <row r="103" spans="1:36" ht="9" customHeight="1" x14ac:dyDescent="0.25">
      <c r="A103" s="133" t="s">
        <v>35</v>
      </c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4" t="s">
        <v>34</v>
      </c>
      <c r="AC103" s="134"/>
      <c r="AD103" s="134"/>
      <c r="AE103" s="134"/>
      <c r="AF103" s="134"/>
      <c r="AG103" s="134"/>
      <c r="AH103" s="134"/>
      <c r="AI103" s="134"/>
      <c r="AJ103" s="134"/>
    </row>
    <row r="104" spans="1:36" s="26" customFormat="1" ht="12" customHeight="1" x14ac:dyDescent="0.2">
      <c r="A104" s="26" t="s">
        <v>27</v>
      </c>
    </row>
    <row r="105" spans="1:36" s="26" customFormat="1" ht="12" customHeight="1" x14ac:dyDescent="0.2">
      <c r="A105" s="26" t="s">
        <v>28</v>
      </c>
    </row>
    <row r="106" spans="1:36" s="26" customFormat="1" ht="12" customHeight="1" x14ac:dyDescent="0.2">
      <c r="A106" s="135" t="str">
        <f>'Данные объект'!B17</f>
        <v>Русин В.А.</v>
      </c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135"/>
      <c r="AC106" s="135"/>
      <c r="AD106" s="135"/>
      <c r="AE106" s="135"/>
      <c r="AF106" s="135"/>
      <c r="AG106" s="135"/>
      <c r="AH106" s="135"/>
      <c r="AI106" s="135"/>
      <c r="AJ106" s="135"/>
    </row>
    <row r="107" spans="1:36" ht="9" customHeight="1" x14ac:dyDescent="0.25">
      <c r="A107" s="133" t="s">
        <v>35</v>
      </c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34" t="s">
        <v>34</v>
      </c>
      <c r="AC107" s="134"/>
      <c r="AD107" s="134"/>
      <c r="AE107" s="134"/>
      <c r="AF107" s="134"/>
      <c r="AG107" s="134"/>
      <c r="AH107" s="134"/>
      <c r="AI107" s="134"/>
      <c r="AJ107" s="134"/>
    </row>
    <row r="108" spans="1:36" s="101" customFormat="1" ht="11.25" x14ac:dyDescent="0.2">
      <c r="A108" s="26" t="s">
        <v>211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94"/>
      <c r="AC108" s="94"/>
      <c r="AD108" s="94"/>
      <c r="AE108" s="94"/>
      <c r="AF108" s="94"/>
      <c r="AG108" s="94"/>
      <c r="AH108" s="94"/>
      <c r="AI108" s="94"/>
      <c r="AJ108" s="94"/>
    </row>
    <row r="109" spans="1:36" s="101" customFormat="1" ht="11.25" x14ac:dyDescent="0.2">
      <c r="A109" s="135" t="str">
        <f>'[4]Данные объект'!$B$36</f>
        <v>Курчин М.М.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5"/>
      <c r="AC109" s="135"/>
      <c r="AD109" s="135"/>
      <c r="AE109" s="135"/>
      <c r="AF109" s="135"/>
      <c r="AG109" s="135"/>
      <c r="AH109" s="135"/>
      <c r="AI109" s="135"/>
      <c r="AJ109" s="135"/>
    </row>
    <row r="110" spans="1:36" s="101" customFormat="1" ht="9" customHeight="1" x14ac:dyDescent="0.15">
      <c r="A110" s="133" t="s">
        <v>35</v>
      </c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4" t="s">
        <v>34</v>
      </c>
      <c r="AC110" s="134"/>
      <c r="AD110" s="134"/>
      <c r="AE110" s="134"/>
      <c r="AF110" s="134"/>
      <c r="AG110" s="134"/>
      <c r="AH110" s="134"/>
      <c r="AI110" s="134"/>
      <c r="AJ110" s="134"/>
    </row>
    <row r="111" spans="1:36" s="26" customFormat="1" ht="39" customHeight="1" x14ac:dyDescent="0.2">
      <c r="A111" s="136" t="s">
        <v>53</v>
      </c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</row>
    <row r="112" spans="1:36" s="26" customFormat="1" ht="12" customHeight="1" x14ac:dyDescent="0.2">
      <c r="A112" s="135" t="s">
        <v>76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135" t="s">
        <v>76</v>
      </c>
      <c r="AC112" s="135"/>
      <c r="AD112" s="135"/>
      <c r="AE112" s="135"/>
      <c r="AF112" s="135"/>
      <c r="AG112" s="135"/>
      <c r="AH112" s="135"/>
      <c r="AI112" s="135"/>
      <c r="AJ112" s="135"/>
    </row>
    <row r="113" spans="1:36" ht="9" customHeight="1" x14ac:dyDescent="0.25">
      <c r="A113" s="133" t="s">
        <v>35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4" t="s">
        <v>34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s="26" customFormat="1" ht="40.5" hidden="1" customHeight="1" x14ac:dyDescent="0.2">
      <c r="A114" s="136" t="s">
        <v>55</v>
      </c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</row>
    <row r="115" spans="1:36" s="26" customFormat="1" ht="12" hidden="1" customHeight="1" x14ac:dyDescent="0.2">
      <c r="A115" s="135" t="e">
        <f>#REF!</f>
        <v>#REF!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135"/>
      <c r="AC115" s="135"/>
      <c r="AD115" s="135"/>
      <c r="AE115" s="135"/>
      <c r="AF115" s="135"/>
      <c r="AG115" s="135"/>
      <c r="AH115" s="135"/>
      <c r="AI115" s="135"/>
      <c r="AJ115" s="135"/>
    </row>
    <row r="116" spans="1:36" ht="9" hidden="1" customHeight="1" x14ac:dyDescent="0.25">
      <c r="A116" s="133" t="s">
        <v>35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4" t="s">
        <v>34</v>
      </c>
      <c r="AC116" s="134"/>
      <c r="AD116" s="134"/>
      <c r="AE116" s="134"/>
      <c r="AF116" s="134"/>
      <c r="AG116" s="134"/>
      <c r="AH116" s="134"/>
      <c r="AI116" s="134"/>
      <c r="AJ116" s="134"/>
    </row>
    <row r="117" spans="1:36" ht="12" customHeight="1" x14ac:dyDescent="0.25"/>
  </sheetData>
  <mergeCells count="101">
    <mergeCell ref="A18:AJ18"/>
    <mergeCell ref="A19:AJ19"/>
    <mergeCell ref="A20:AJ20"/>
    <mergeCell ref="A21:AJ21"/>
    <mergeCell ref="A23:AJ23"/>
    <mergeCell ref="A24:AJ24"/>
    <mergeCell ref="A25:AJ25"/>
    <mergeCell ref="A17:AJ17"/>
    <mergeCell ref="A4:AJ4"/>
    <mergeCell ref="A5:AJ5"/>
    <mergeCell ref="A6:AJ6"/>
    <mergeCell ref="A7:AJ8"/>
    <mergeCell ref="A9:AJ9"/>
    <mergeCell ref="A10:AJ10"/>
    <mergeCell ref="A11:AJ11"/>
    <mergeCell ref="A12:AJ12"/>
    <mergeCell ref="A13:AJ13"/>
    <mergeCell ref="A14:AJ14"/>
    <mergeCell ref="A16:AJ16"/>
    <mergeCell ref="A26:AJ26"/>
    <mergeCell ref="A27:AJ27"/>
    <mergeCell ref="A28:AJ28"/>
    <mergeCell ref="A30:AJ30"/>
    <mergeCell ref="A45:AJ45"/>
    <mergeCell ref="E33:G33"/>
    <mergeCell ref="AB33:AI33"/>
    <mergeCell ref="AB34:AI34"/>
    <mergeCell ref="A36:AJ36"/>
    <mergeCell ref="A37:AJ37"/>
    <mergeCell ref="A38:AJ38"/>
    <mergeCell ref="A39:AJ39"/>
    <mergeCell ref="A40:AJ40"/>
    <mergeCell ref="A42:AJ42"/>
    <mergeCell ref="A43:AJ43"/>
    <mergeCell ref="A44:AJ44"/>
    <mergeCell ref="A31:AJ31"/>
    <mergeCell ref="A63:AJ63"/>
    <mergeCell ref="A46:AJ46"/>
    <mergeCell ref="A50:AJ50"/>
    <mergeCell ref="A51:AJ51"/>
    <mergeCell ref="A52:AJ52"/>
    <mergeCell ref="A53:AJ53"/>
    <mergeCell ref="A54:AJ54"/>
    <mergeCell ref="A55:AJ55"/>
    <mergeCell ref="A56:AJ56"/>
    <mergeCell ref="A57:AJ57"/>
    <mergeCell ref="A59:AJ59"/>
    <mergeCell ref="A60:AJ60"/>
    <mergeCell ref="A47:AJ47"/>
    <mergeCell ref="A48:AJ48"/>
    <mergeCell ref="A49:AJ49"/>
    <mergeCell ref="A76:AJ76"/>
    <mergeCell ref="A64:AJ64"/>
    <mergeCell ref="A66:AJ66"/>
    <mergeCell ref="A67:AJ67"/>
    <mergeCell ref="P68:AJ68"/>
    <mergeCell ref="P69:AJ69"/>
    <mergeCell ref="A70:AJ70"/>
    <mergeCell ref="A71:AJ71"/>
    <mergeCell ref="G73:AJ73"/>
    <mergeCell ref="A74:B74"/>
    <mergeCell ref="G74:AJ74"/>
    <mergeCell ref="A75:AJ75"/>
    <mergeCell ref="A95:AJ95"/>
    <mergeCell ref="P78:W78"/>
    <mergeCell ref="P79:W79"/>
    <mergeCell ref="A82:AJ82"/>
    <mergeCell ref="A83:AJ83"/>
    <mergeCell ref="A84:AJ84"/>
    <mergeCell ref="A85:AJ85"/>
    <mergeCell ref="A87:AJ87"/>
    <mergeCell ref="A88:AJ88"/>
    <mergeCell ref="L89:AJ89"/>
    <mergeCell ref="H91:I91"/>
    <mergeCell ref="B94:P94"/>
    <mergeCell ref="A99:O99"/>
    <mergeCell ref="AB99:AJ99"/>
    <mergeCell ref="A100:O100"/>
    <mergeCell ref="AB100:AJ100"/>
    <mergeCell ref="A102:O102"/>
    <mergeCell ref="AB102:AJ102"/>
    <mergeCell ref="A103:O103"/>
    <mergeCell ref="AB103:AJ103"/>
    <mergeCell ref="A106:O106"/>
    <mergeCell ref="AB106:AJ106"/>
    <mergeCell ref="A107:O107"/>
    <mergeCell ref="AB107:AJ107"/>
    <mergeCell ref="A115:O115"/>
    <mergeCell ref="AB115:AJ115"/>
    <mergeCell ref="A116:O116"/>
    <mergeCell ref="AB116:AJ116"/>
    <mergeCell ref="A111:AJ111"/>
    <mergeCell ref="A112:O112"/>
    <mergeCell ref="AB112:AJ112"/>
    <mergeCell ref="A113:O113"/>
    <mergeCell ref="AB113:AJ113"/>
    <mergeCell ref="A114:AJ114"/>
    <mergeCell ref="A110:O110"/>
    <mergeCell ref="AB110:AJ110"/>
    <mergeCell ref="A109:O109"/>
    <mergeCell ref="AB109:AJ109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7"/>
    <pageSetUpPr fitToPage="1"/>
  </sheetPr>
  <dimension ref="A1:AQ118"/>
  <sheetViews>
    <sheetView view="pageBreakPreview" topLeftCell="A67" zoomScale="125" zoomScaleNormal="125" zoomScaleSheetLayoutView="125" workbookViewId="0">
      <selection activeCell="A87" sqref="A87:AJ87"/>
    </sheetView>
  </sheetViews>
  <sheetFormatPr defaultColWidth="10.6640625" defaultRowHeight="15" x14ac:dyDescent="0.25"/>
  <cols>
    <col min="1" max="5" width="2.83203125" style="1" customWidth="1"/>
    <col min="6" max="6" width="3.83203125" style="1" customWidth="1"/>
    <col min="7" max="7" width="6.66406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47.2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ht="12.9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36" s="26" customFormat="1" ht="12.95" customHeight="1" x14ac:dyDescent="0.2">
      <c r="A33" s="30"/>
      <c r="B33" s="30" t="s">
        <v>18</v>
      </c>
      <c r="C33" s="31">
        <f>'АОСР-1'!C33+1</f>
        <v>2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P79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52" t="s">
        <v>290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35" t="s">
        <v>192</v>
      </c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33" customFormat="1" ht="7.5" customHeight="1" x14ac:dyDescent="0.1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153" t="s">
        <v>57</v>
      </c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153"/>
      <c r="AF69" s="153"/>
      <c r="AG69" s="153"/>
      <c r="AH69" s="153"/>
      <c r="AI69" s="153"/>
      <c r="AJ69" s="153"/>
    </row>
    <row r="70" spans="1:36" s="26" customFormat="1" ht="12" customHeight="1" x14ac:dyDescent="0.2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</row>
    <row r="71" spans="1:36" ht="18.75" customHeight="1" x14ac:dyDescent="0.25">
      <c r="A71" s="137" t="s">
        <v>58</v>
      </c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</row>
    <row r="72" spans="1:36" s="26" customFormat="1" ht="12" customHeight="1" x14ac:dyDescent="0.2">
      <c r="A72" s="26" t="s">
        <v>11</v>
      </c>
    </row>
    <row r="73" spans="1:36" s="26" customFormat="1" ht="12" customHeight="1" x14ac:dyDescent="0.2">
      <c r="A73" s="26" t="s">
        <v>10</v>
      </c>
      <c r="G73" s="140" t="s">
        <v>84</v>
      </c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</row>
    <row r="74" spans="1:36" ht="7.5" customHeight="1" x14ac:dyDescent="0.25">
      <c r="A74" s="142"/>
      <c r="B74" s="142"/>
      <c r="C74" s="8"/>
      <c r="D74" s="8"/>
      <c r="E74" s="8"/>
      <c r="F74" s="8"/>
      <c r="G74" s="138" t="s">
        <v>9</v>
      </c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</row>
    <row r="75" spans="1:36" s="26" customFormat="1" ht="12" customHeight="1" x14ac:dyDescent="0.2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7.5" customHeight="1" x14ac:dyDescent="0.25">
      <c r="A76" s="137" t="s">
        <v>31</v>
      </c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ht="9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26" customFormat="1" ht="12" customHeight="1" x14ac:dyDescent="0.2">
      <c r="A78" s="26" t="s">
        <v>8</v>
      </c>
      <c r="D78" s="35"/>
      <c r="E78" s="35"/>
      <c r="F78" s="35"/>
      <c r="G78" s="35"/>
      <c r="L78" s="27"/>
      <c r="M78" s="38"/>
      <c r="N78" s="38"/>
      <c r="P78" s="139">
        <f>'Данные объект'!B6</f>
        <v>45949</v>
      </c>
      <c r="Q78" s="139"/>
      <c r="R78" s="139"/>
      <c r="S78" s="139"/>
      <c r="T78" s="139"/>
      <c r="U78" s="139"/>
      <c r="V78" s="139"/>
      <c r="W78" s="139"/>
    </row>
    <row r="79" spans="1:36" s="26" customFormat="1" ht="12" customHeight="1" x14ac:dyDescent="0.2">
      <c r="A79" s="26" t="s">
        <v>7</v>
      </c>
      <c r="D79" s="35"/>
      <c r="E79" s="35"/>
      <c r="F79" s="35"/>
      <c r="G79" s="35"/>
      <c r="L79" s="27"/>
      <c r="M79" s="38"/>
      <c r="N79" s="38"/>
      <c r="P79" s="139">
        <f>'Данные объект'!B7</f>
        <v>46219</v>
      </c>
      <c r="Q79" s="139"/>
      <c r="R79" s="139"/>
      <c r="S79" s="139"/>
      <c r="T79" s="139"/>
      <c r="U79" s="139"/>
      <c r="V79" s="139"/>
      <c r="W79" s="139"/>
    </row>
    <row r="80" spans="1:36" ht="7.5" customHeight="1" x14ac:dyDescent="0.25">
      <c r="A80" s="6"/>
      <c r="B80" s="6"/>
      <c r="C80" s="6"/>
      <c r="D80" s="5"/>
      <c r="E80" s="5"/>
      <c r="F80" s="5"/>
      <c r="G80" s="5"/>
    </row>
    <row r="81" spans="1:36" s="26" customFormat="1" ht="12" customHeight="1" x14ac:dyDescent="0.2">
      <c r="A81" s="26" t="s">
        <v>5</v>
      </c>
    </row>
    <row r="82" spans="1:36" s="26" customFormat="1" ht="12" customHeight="1" x14ac:dyDescent="0.2">
      <c r="A82" s="140" t="s">
        <v>108</v>
      </c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</row>
    <row r="83" spans="1:36" ht="8.25" customHeight="1" x14ac:dyDescent="0.25">
      <c r="A83" s="137" t="s">
        <v>4</v>
      </c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</row>
    <row r="84" spans="1:36" s="26" customFormat="1" ht="12" customHeight="1" x14ac:dyDescent="0.2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ht="8.25" customHeight="1" x14ac:dyDescent="0.25">
      <c r="A85" s="137" t="s">
        <v>59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26" t="s">
        <v>3</v>
      </c>
    </row>
    <row r="87" spans="1:36" s="26" customFormat="1" ht="12" customHeight="1" x14ac:dyDescent="0.2">
      <c r="A87" s="135" t="s">
        <v>266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ht="9" customHeight="1" x14ac:dyDescent="0.25">
      <c r="A88" s="137" t="s">
        <v>32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</row>
    <row r="89" spans="1:36" s="26" customFormat="1" ht="12" customHeight="1" x14ac:dyDescent="0.2">
      <c r="A89" s="26" t="s">
        <v>2</v>
      </c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6" customHeight="1" x14ac:dyDescent="0.25">
      <c r="D90" s="4"/>
      <c r="E90" s="4"/>
      <c r="F90" s="4"/>
      <c r="G90" s="4"/>
      <c r="H90" s="4"/>
      <c r="I90" s="4"/>
      <c r="J90" s="4"/>
    </row>
    <row r="91" spans="1:36" s="26" customFormat="1" ht="12" customHeight="1" x14ac:dyDescent="0.2">
      <c r="A91" s="26" t="s">
        <v>102</v>
      </c>
      <c r="H91" s="135"/>
      <c r="I91" s="135"/>
      <c r="J91" s="26" t="s">
        <v>33</v>
      </c>
    </row>
    <row r="92" spans="1:36" ht="4.5" customHeight="1" x14ac:dyDescent="0.25"/>
    <row r="93" spans="1:36" s="26" customFormat="1" ht="12" customHeight="1" x14ac:dyDescent="0.2">
      <c r="A93" s="26" t="s">
        <v>1</v>
      </c>
    </row>
    <row r="94" spans="1:36" s="26" customFormat="1" ht="12" customHeight="1" x14ac:dyDescent="0.2">
      <c r="A94" s="31" t="s">
        <v>87</v>
      </c>
      <c r="B94" s="140" t="str">
        <f>G73</f>
        <v>Исполнительная схема устройства фундамента</v>
      </c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31" t="s">
        <v>76</v>
      </c>
      <c r="R94" s="31" t="s">
        <v>88</v>
      </c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6" customFormat="1" ht="12" hidden="1" customHeight="1" x14ac:dyDescent="0.2">
      <c r="A95" s="37" t="s">
        <v>89</v>
      </c>
      <c r="B95" s="151">
        <f>H70</f>
        <v>0</v>
      </c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37" t="s">
        <v>76</v>
      </c>
      <c r="R95" s="37" t="s">
        <v>88</v>
      </c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</row>
    <row r="96" spans="1:36" ht="9.75" customHeight="1" x14ac:dyDescent="0.25">
      <c r="A96" s="137" t="s">
        <v>0</v>
      </c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  <c r="AE96" s="138"/>
      <c r="AF96" s="138"/>
      <c r="AG96" s="138"/>
      <c r="AH96" s="138"/>
      <c r="AI96" s="138"/>
      <c r="AJ96" s="138"/>
    </row>
    <row r="97" spans="1:36" ht="6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26" customFormat="1" ht="12" customHeight="1" x14ac:dyDescent="0.2">
      <c r="A98" s="26" t="s">
        <v>23</v>
      </c>
    </row>
    <row r="99" spans="1:36" s="26" customFormat="1" ht="12" customHeight="1" x14ac:dyDescent="0.2">
      <c r="A99" s="26" t="s">
        <v>24</v>
      </c>
    </row>
    <row r="100" spans="1:36" s="26" customFormat="1" ht="12" customHeight="1" x14ac:dyDescent="0.2">
      <c r="A100" s="135" t="str">
        <f>'Данные объект'!B33</f>
        <v>Алексанян Г.Р.</v>
      </c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135"/>
      <c r="AC100" s="135"/>
      <c r="AD100" s="135"/>
      <c r="AE100" s="135"/>
      <c r="AF100" s="135"/>
      <c r="AG100" s="135"/>
      <c r="AH100" s="135"/>
      <c r="AI100" s="135"/>
      <c r="AJ100" s="135"/>
    </row>
    <row r="101" spans="1:36" ht="9" customHeight="1" x14ac:dyDescent="0.25">
      <c r="A101" s="133" t="s">
        <v>35</v>
      </c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7"/>
      <c r="Q101" s="17"/>
      <c r="R101" s="17"/>
      <c r="S101" s="17"/>
      <c r="T101" s="17"/>
      <c r="U101" s="16"/>
      <c r="V101" s="16"/>
      <c r="W101" s="16"/>
      <c r="X101" s="16"/>
      <c r="Y101" s="16"/>
      <c r="Z101" s="16"/>
      <c r="AA101" s="16"/>
      <c r="AB101" s="134" t="s">
        <v>34</v>
      </c>
      <c r="AC101" s="134"/>
      <c r="AD101" s="134"/>
      <c r="AE101" s="134"/>
      <c r="AF101" s="134"/>
      <c r="AG101" s="134"/>
      <c r="AH101" s="134"/>
      <c r="AI101" s="134"/>
      <c r="AJ101" s="134"/>
    </row>
    <row r="102" spans="1:36" s="26" customFormat="1" ht="12" customHeight="1" x14ac:dyDescent="0.2">
      <c r="A102" s="26" t="s">
        <v>25</v>
      </c>
    </row>
    <row r="103" spans="1:36" s="26" customFormat="1" ht="12" customHeight="1" x14ac:dyDescent="0.2">
      <c r="A103" s="135" t="str">
        <f>'Данные объект'!B20</f>
        <v>Волков М.Ю.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135"/>
      <c r="AC103" s="135"/>
      <c r="AD103" s="135"/>
      <c r="AE103" s="135"/>
      <c r="AF103" s="135"/>
      <c r="AG103" s="135"/>
      <c r="AH103" s="135"/>
      <c r="AI103" s="135"/>
      <c r="AJ103" s="135"/>
    </row>
    <row r="104" spans="1:36" ht="9" customHeight="1" x14ac:dyDescent="0.25">
      <c r="A104" s="133" t="s">
        <v>35</v>
      </c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7"/>
      <c r="Q104" s="17"/>
      <c r="R104" s="17"/>
      <c r="S104" s="17"/>
      <c r="T104" s="17"/>
      <c r="U104" s="16"/>
      <c r="V104" s="16"/>
      <c r="W104" s="16"/>
      <c r="X104" s="16"/>
      <c r="Y104" s="16"/>
      <c r="Z104" s="16"/>
      <c r="AA104" s="16"/>
      <c r="AB104" s="134" t="s">
        <v>34</v>
      </c>
      <c r="AC104" s="134"/>
      <c r="AD104" s="134"/>
      <c r="AE104" s="134"/>
      <c r="AF104" s="134"/>
      <c r="AG104" s="134"/>
      <c r="AH104" s="134"/>
      <c r="AI104" s="134"/>
      <c r="AJ104" s="134"/>
    </row>
    <row r="105" spans="1:36" s="26" customFormat="1" ht="12" customHeight="1" x14ac:dyDescent="0.2">
      <c r="A105" s="26" t="s">
        <v>27</v>
      </c>
    </row>
    <row r="106" spans="1:36" s="26" customFormat="1" ht="12" customHeight="1" x14ac:dyDescent="0.2">
      <c r="A106" s="26" t="s">
        <v>28</v>
      </c>
    </row>
    <row r="107" spans="1:36" s="26" customFormat="1" ht="12" customHeight="1" x14ac:dyDescent="0.2">
      <c r="A107" s="135" t="str">
        <f>'Данные объект'!B17</f>
        <v>Русин В.А.</v>
      </c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135"/>
      <c r="AC107" s="135"/>
      <c r="AD107" s="135"/>
      <c r="AE107" s="135"/>
      <c r="AF107" s="135"/>
      <c r="AG107" s="135"/>
      <c r="AH107" s="135"/>
      <c r="AI107" s="135"/>
      <c r="AJ107" s="135"/>
    </row>
    <row r="108" spans="1:36" ht="9" customHeight="1" x14ac:dyDescent="0.25">
      <c r="A108" s="133" t="s">
        <v>35</v>
      </c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4" t="s">
        <v>34</v>
      </c>
      <c r="AC108" s="134"/>
      <c r="AD108" s="134"/>
      <c r="AE108" s="134"/>
      <c r="AF108" s="134"/>
      <c r="AG108" s="134"/>
      <c r="AH108" s="134"/>
      <c r="AI108" s="134"/>
      <c r="AJ108" s="134"/>
    </row>
    <row r="109" spans="1:36" s="101" customFormat="1" ht="11.25" x14ac:dyDescent="0.2">
      <c r="A109" s="26" t="s">
        <v>211</v>
      </c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94"/>
      <c r="AC109" s="94"/>
      <c r="AD109" s="94"/>
      <c r="AE109" s="94"/>
      <c r="AF109" s="94"/>
      <c r="AG109" s="94"/>
      <c r="AH109" s="94"/>
      <c r="AI109" s="94"/>
      <c r="AJ109" s="94"/>
    </row>
    <row r="110" spans="1:36" s="101" customFormat="1" ht="11.25" x14ac:dyDescent="0.2">
      <c r="A110" s="135" t="str">
        <f>'[4]Данные объект'!$B$36</f>
        <v>Курчин М.М.</v>
      </c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5"/>
      <c r="AC110" s="135"/>
      <c r="AD110" s="135"/>
      <c r="AE110" s="135"/>
      <c r="AF110" s="135"/>
      <c r="AG110" s="135"/>
      <c r="AH110" s="135"/>
      <c r="AI110" s="135"/>
      <c r="AJ110" s="135"/>
    </row>
    <row r="111" spans="1:36" s="101" customFormat="1" ht="9" customHeight="1" x14ac:dyDescent="0.15">
      <c r="A111" s="133" t="s">
        <v>35</v>
      </c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34" t="s">
        <v>34</v>
      </c>
      <c r="AC111" s="134"/>
      <c r="AD111" s="134"/>
      <c r="AE111" s="134"/>
      <c r="AF111" s="134"/>
      <c r="AG111" s="134"/>
      <c r="AH111" s="134"/>
      <c r="AI111" s="134"/>
      <c r="AJ111" s="134"/>
    </row>
    <row r="112" spans="1:36" s="26" customFormat="1" ht="40.5" customHeight="1" x14ac:dyDescent="0.2">
      <c r="A112" s="136" t="s">
        <v>53</v>
      </c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</row>
    <row r="113" spans="1:36" s="26" customFormat="1" ht="12" customHeight="1" x14ac:dyDescent="0.2">
      <c r="A113" s="135" t="s">
        <v>76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135" t="s">
        <v>76</v>
      </c>
      <c r="AC113" s="135"/>
      <c r="AD113" s="135"/>
      <c r="AE113" s="135"/>
      <c r="AF113" s="135"/>
      <c r="AG113" s="135"/>
      <c r="AH113" s="135"/>
      <c r="AI113" s="135"/>
      <c r="AJ113" s="135"/>
    </row>
    <row r="114" spans="1:36" ht="9" customHeight="1" x14ac:dyDescent="0.25">
      <c r="A114" s="133" t="s">
        <v>35</v>
      </c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134" t="s">
        <v>34</v>
      </c>
      <c r="AC114" s="134"/>
      <c r="AD114" s="134"/>
      <c r="AE114" s="134"/>
      <c r="AF114" s="134"/>
      <c r="AG114" s="134"/>
      <c r="AH114" s="134"/>
      <c r="AI114" s="134"/>
      <c r="AJ114" s="134"/>
    </row>
    <row r="115" spans="1:36" s="26" customFormat="1" ht="40.5" hidden="1" customHeight="1" x14ac:dyDescent="0.2">
      <c r="A115" s="136" t="s">
        <v>55</v>
      </c>
      <c r="B115" s="136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</row>
    <row r="116" spans="1:36" s="26" customFormat="1" ht="12" hidden="1" customHeight="1" x14ac:dyDescent="0.2">
      <c r="A116" s="135" t="e">
        <f>#REF!</f>
        <v>#REF!</v>
      </c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135"/>
      <c r="AC116" s="135"/>
      <c r="AD116" s="135"/>
      <c r="AE116" s="135"/>
      <c r="AF116" s="135"/>
      <c r="AG116" s="135"/>
      <c r="AH116" s="135"/>
      <c r="AI116" s="135"/>
      <c r="AJ116" s="135"/>
    </row>
    <row r="117" spans="1:36" ht="9" hidden="1" customHeight="1" x14ac:dyDescent="0.25">
      <c r="A117" s="133" t="s">
        <v>35</v>
      </c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7"/>
      <c r="Q117" s="17"/>
      <c r="R117" s="17"/>
      <c r="S117" s="17"/>
      <c r="T117" s="17"/>
      <c r="U117" s="16"/>
      <c r="V117" s="16"/>
      <c r="W117" s="16"/>
      <c r="X117" s="16"/>
      <c r="Y117" s="16"/>
      <c r="Z117" s="16"/>
      <c r="AA117" s="16"/>
      <c r="AB117" s="134" t="s">
        <v>34</v>
      </c>
      <c r="AC117" s="134"/>
      <c r="AD117" s="134"/>
      <c r="AE117" s="134"/>
      <c r="AF117" s="134"/>
      <c r="AG117" s="134"/>
      <c r="AH117" s="134"/>
      <c r="AI117" s="134"/>
      <c r="AJ117" s="134"/>
    </row>
    <row r="118" spans="1:36" ht="12" customHeight="1" x14ac:dyDescent="0.25"/>
  </sheetData>
  <mergeCells count="102">
    <mergeCell ref="A110:O110"/>
    <mergeCell ref="AB110:AJ110"/>
    <mergeCell ref="A111:O111"/>
    <mergeCell ref="AB111:AJ111"/>
    <mergeCell ref="A24:AJ24"/>
    <mergeCell ref="A4:AJ4"/>
    <mergeCell ref="A5:AJ5"/>
    <mergeCell ref="A6:AJ6"/>
    <mergeCell ref="A7:AJ8"/>
    <mergeCell ref="A9:AJ9"/>
    <mergeCell ref="A10:AJ10"/>
    <mergeCell ref="A11:AJ11"/>
    <mergeCell ref="A12:AJ12"/>
    <mergeCell ref="A13:AJ13"/>
    <mergeCell ref="A14:AJ14"/>
    <mergeCell ref="A16:AJ16"/>
    <mergeCell ref="A17:AJ17"/>
    <mergeCell ref="A18:AJ18"/>
    <mergeCell ref="A19:AJ19"/>
    <mergeCell ref="A20:AJ20"/>
    <mergeCell ref="A21:AJ21"/>
    <mergeCell ref="A23:AJ23"/>
    <mergeCell ref="A44:AJ44"/>
    <mergeCell ref="A36:AJ36"/>
    <mergeCell ref="A37:AJ37"/>
    <mergeCell ref="A25:AJ25"/>
    <mergeCell ref="A26:AJ26"/>
    <mergeCell ref="A27:AJ27"/>
    <mergeCell ref="A28:AJ28"/>
    <mergeCell ref="A30:AJ30"/>
    <mergeCell ref="E33:G33"/>
    <mergeCell ref="A31:AJ31"/>
    <mergeCell ref="AB33:AI33"/>
    <mergeCell ref="AB34:AI34"/>
    <mergeCell ref="A38:AJ38"/>
    <mergeCell ref="A39:AJ39"/>
    <mergeCell ref="A40:AJ40"/>
    <mergeCell ref="A42:AJ42"/>
    <mergeCell ref="A43:AJ43"/>
    <mergeCell ref="A60:AJ60"/>
    <mergeCell ref="A45:AJ45"/>
    <mergeCell ref="A46:AJ46"/>
    <mergeCell ref="A50:AJ50"/>
    <mergeCell ref="A51:AJ51"/>
    <mergeCell ref="A52:AJ52"/>
    <mergeCell ref="A53:AJ53"/>
    <mergeCell ref="A54:AJ54"/>
    <mergeCell ref="A55:AJ55"/>
    <mergeCell ref="A56:AJ56"/>
    <mergeCell ref="A57:AJ57"/>
    <mergeCell ref="A59:AJ59"/>
    <mergeCell ref="A47:AJ47"/>
    <mergeCell ref="A48:AJ48"/>
    <mergeCell ref="A49:AJ49"/>
    <mergeCell ref="A64:AJ64"/>
    <mergeCell ref="A66:AJ66"/>
    <mergeCell ref="A67:AJ67"/>
    <mergeCell ref="P68:AJ68"/>
    <mergeCell ref="A63:AJ63"/>
    <mergeCell ref="P69:AJ69"/>
    <mergeCell ref="A71:AJ71"/>
    <mergeCell ref="G73:AJ73"/>
    <mergeCell ref="A74:B74"/>
    <mergeCell ref="G74:AJ74"/>
    <mergeCell ref="A70:AJ70"/>
    <mergeCell ref="B95:P95"/>
    <mergeCell ref="A75:AJ75"/>
    <mergeCell ref="A76:AJ76"/>
    <mergeCell ref="L89:AJ89"/>
    <mergeCell ref="H91:I91"/>
    <mergeCell ref="A96:AJ96"/>
    <mergeCell ref="A100:O100"/>
    <mergeCell ref="AB100:AJ100"/>
    <mergeCell ref="A84:AJ84"/>
    <mergeCell ref="A85:AJ85"/>
    <mergeCell ref="A87:AJ87"/>
    <mergeCell ref="P78:W78"/>
    <mergeCell ref="P79:W79"/>
    <mergeCell ref="A115:AJ115"/>
    <mergeCell ref="A116:O116"/>
    <mergeCell ref="AB116:AJ116"/>
    <mergeCell ref="A117:O117"/>
    <mergeCell ref="AB117:AJ117"/>
    <mergeCell ref="A114:O114"/>
    <mergeCell ref="A107:O107"/>
    <mergeCell ref="A101:O101"/>
    <mergeCell ref="A82:AJ82"/>
    <mergeCell ref="A83:AJ83"/>
    <mergeCell ref="AB114:AJ114"/>
    <mergeCell ref="AB107:AJ107"/>
    <mergeCell ref="A108:O108"/>
    <mergeCell ref="AB108:AJ108"/>
    <mergeCell ref="A112:AJ112"/>
    <mergeCell ref="A113:O113"/>
    <mergeCell ref="A88:AJ88"/>
    <mergeCell ref="AB113:AJ113"/>
    <mergeCell ref="AB101:AJ101"/>
    <mergeCell ref="A103:O103"/>
    <mergeCell ref="AB103:AJ103"/>
    <mergeCell ref="A104:O104"/>
    <mergeCell ref="AB104:AJ104"/>
    <mergeCell ref="B94:P94"/>
  </mergeCells>
  <pageMargins left="0.78740157480314965" right="0.27559055118110237" top="0.39370078740157483" bottom="0.39370078740157483" header="0" footer="0"/>
  <pageSetup paperSize="9" scale="96" fitToHeight="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A488-4561-4F3C-86DF-BFBFA45A0C27}">
  <sheetPr>
    <tabColor indexed="57"/>
    <pageSetUpPr fitToPage="1"/>
  </sheetPr>
  <dimension ref="A1:AQ117"/>
  <sheetViews>
    <sheetView view="pageBreakPreview" topLeftCell="A52" zoomScale="125" zoomScaleNormal="125" zoomScaleSheetLayoutView="125" workbookViewId="0">
      <selection activeCell="A86" sqref="A86:AJ86"/>
    </sheetView>
  </sheetViews>
  <sheetFormatPr defaultColWidth="10.6640625" defaultRowHeight="15" x14ac:dyDescent="0.25"/>
  <cols>
    <col min="1" max="5" width="2.83203125" style="1" customWidth="1"/>
    <col min="6" max="6" width="5.33203125" style="1" customWidth="1"/>
    <col min="7" max="7" width="5.6640625" style="1" customWidth="1"/>
    <col min="8" max="13" width="2.83203125" style="1" customWidth="1"/>
    <col min="14" max="14" width="7.5" style="1" customWidth="1"/>
    <col min="15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42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3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P78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79" t="str">
        <f>'АОСР-2'!A87:AJ87</f>
        <v>Устройство гидроизоляции, с применением геотекстиля нетканого Дорнит 200</v>
      </c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 t="s">
        <v>217</v>
      </c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35" t="s">
        <v>268</v>
      </c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4" t="s">
        <v>57</v>
      </c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</row>
    <row r="70" spans="1:36" ht="18.75" customHeight="1" x14ac:dyDescent="0.25">
      <c r="A70" s="137" t="s">
        <v>58</v>
      </c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</row>
    <row r="71" spans="1:36" s="26" customFormat="1" ht="12" customHeight="1" x14ac:dyDescent="0.2">
      <c r="A71" s="26" t="s">
        <v>11</v>
      </c>
    </row>
    <row r="72" spans="1:36" s="26" customFormat="1" ht="12" customHeight="1" x14ac:dyDescent="0.2">
      <c r="A72" s="26" t="s">
        <v>10</v>
      </c>
      <c r="G72" s="140" t="s">
        <v>288</v>
      </c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  <c r="AJ72" s="140"/>
    </row>
    <row r="73" spans="1:36" ht="7.5" customHeight="1" x14ac:dyDescent="0.25">
      <c r="A73" s="142"/>
      <c r="B73" s="142"/>
      <c r="C73" s="8"/>
      <c r="D73" s="8"/>
      <c r="E73" s="8"/>
      <c r="F73" s="8"/>
      <c r="G73" s="138" t="s">
        <v>9</v>
      </c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s="26" customFormat="1" ht="12" customHeight="1" x14ac:dyDescent="0.2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</row>
    <row r="75" spans="1:36" ht="7.5" customHeight="1" x14ac:dyDescent="0.25">
      <c r="A75" s="137" t="s">
        <v>31</v>
      </c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</row>
    <row r="76" spans="1:36" ht="9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6" customFormat="1" ht="12" customHeight="1" x14ac:dyDescent="0.2">
      <c r="A77" s="26" t="s">
        <v>8</v>
      </c>
      <c r="D77" s="35"/>
      <c r="E77" s="35"/>
      <c r="F77" s="35"/>
      <c r="G77" s="35"/>
      <c r="L77" s="27"/>
      <c r="M77" s="38"/>
      <c r="N77" s="38"/>
      <c r="P77" s="139">
        <f>'Данные объект'!B6</f>
        <v>45949</v>
      </c>
      <c r="Q77" s="139"/>
      <c r="R77" s="139"/>
      <c r="S77" s="139"/>
      <c r="T77" s="139"/>
      <c r="U77" s="139"/>
      <c r="V77" s="139"/>
      <c r="W77" s="139"/>
    </row>
    <row r="78" spans="1:36" s="26" customFormat="1" ht="12" customHeight="1" x14ac:dyDescent="0.2">
      <c r="A78" s="26" t="s">
        <v>7</v>
      </c>
      <c r="D78" s="35"/>
      <c r="E78" s="35"/>
      <c r="F78" s="35"/>
      <c r="G78" s="35"/>
      <c r="L78" s="27"/>
      <c r="M78" s="38"/>
      <c r="N78" s="38"/>
      <c r="P78" s="139">
        <f>'Данные объект'!B7</f>
        <v>46219</v>
      </c>
      <c r="Q78" s="139"/>
      <c r="R78" s="139"/>
      <c r="S78" s="139"/>
      <c r="T78" s="139"/>
      <c r="U78" s="139"/>
      <c r="V78" s="139"/>
      <c r="W78" s="139"/>
    </row>
    <row r="79" spans="1:36" s="26" customFormat="1" ht="7.5" customHeight="1" x14ac:dyDescent="0.2">
      <c r="A79" s="39"/>
      <c r="B79" s="39"/>
      <c r="C79" s="39"/>
      <c r="D79" s="40"/>
      <c r="E79" s="40"/>
      <c r="F79" s="40"/>
      <c r="G79" s="40"/>
    </row>
    <row r="80" spans="1:36" s="26" customFormat="1" ht="12" customHeight="1" x14ac:dyDescent="0.2">
      <c r="A80" s="26" t="s">
        <v>5</v>
      </c>
    </row>
    <row r="81" spans="1:36" s="26" customFormat="1" ht="12" customHeight="1" x14ac:dyDescent="0.2">
      <c r="A81" s="140" t="s">
        <v>108</v>
      </c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  <c r="AJ81" s="140"/>
    </row>
    <row r="82" spans="1:36" ht="8.25" customHeight="1" x14ac:dyDescent="0.25">
      <c r="A82" s="137" t="s">
        <v>4</v>
      </c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</row>
    <row r="83" spans="1:36" s="26" customFormat="1" ht="12" customHeight="1" x14ac:dyDescent="0.2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</row>
    <row r="84" spans="1:36" ht="8.25" customHeight="1" x14ac:dyDescent="0.25">
      <c r="A84" s="137" t="s">
        <v>59</v>
      </c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</row>
    <row r="85" spans="1:36" s="26" customFormat="1" ht="12" customHeight="1" x14ac:dyDescent="0.2">
      <c r="A85" s="26" t="s">
        <v>3</v>
      </c>
    </row>
    <row r="86" spans="1:36" s="26" customFormat="1" ht="12" customHeight="1" x14ac:dyDescent="0.2">
      <c r="A86" s="135" t="s">
        <v>317</v>
      </c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ht="9" customHeight="1" x14ac:dyDescent="0.25">
      <c r="A87" s="137" t="s">
        <v>32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s="26" customFormat="1" ht="12" customHeight="1" x14ac:dyDescent="0.2">
      <c r="A88" s="26" t="s">
        <v>2</v>
      </c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</row>
    <row r="89" spans="1:36" ht="6" customHeight="1" x14ac:dyDescent="0.25">
      <c r="D89" s="4"/>
      <c r="E89" s="4"/>
      <c r="F89" s="4"/>
      <c r="G89" s="4"/>
      <c r="H89" s="4"/>
      <c r="I89" s="4"/>
      <c r="J89" s="4"/>
    </row>
    <row r="90" spans="1:36" s="26" customFormat="1" ht="12" customHeight="1" x14ac:dyDescent="0.2">
      <c r="A90" s="26" t="s">
        <v>102</v>
      </c>
      <c r="H90" s="135"/>
      <c r="I90" s="135"/>
      <c r="J90" s="26" t="s">
        <v>33</v>
      </c>
    </row>
    <row r="91" spans="1:36" ht="4.5" customHeight="1" x14ac:dyDescent="0.25"/>
    <row r="92" spans="1:36" s="26" customFormat="1" ht="12" customHeight="1" x14ac:dyDescent="0.2">
      <c r="A92" s="26" t="s">
        <v>1</v>
      </c>
    </row>
    <row r="93" spans="1:36" s="26" customFormat="1" ht="12" customHeight="1" x14ac:dyDescent="0.2">
      <c r="A93" s="31" t="s">
        <v>87</v>
      </c>
      <c r="B93" s="140" t="str">
        <f>G72</f>
        <v>Исполнительная схема фундамента под 2БРП №171</v>
      </c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31" t="s">
        <v>76</v>
      </c>
      <c r="R93" s="31" t="s">
        <v>88</v>
      </c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spans="1:36" s="26" customFormat="1" ht="12" customHeight="1" x14ac:dyDescent="0.2">
      <c r="A94" s="37" t="s">
        <v>87</v>
      </c>
      <c r="B94" s="140" t="s">
        <v>267</v>
      </c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37" t="s">
        <v>76</v>
      </c>
      <c r="R94" s="37" t="s">
        <v>88</v>
      </c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</row>
    <row r="95" spans="1:36" ht="9.75" customHeight="1" x14ac:dyDescent="0.25">
      <c r="A95" s="137" t="s">
        <v>0</v>
      </c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  <c r="AH95" s="138"/>
      <c r="AI95" s="138"/>
      <c r="AJ95" s="138"/>
    </row>
    <row r="96" spans="1:36" ht="6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26" customFormat="1" ht="12" customHeight="1" x14ac:dyDescent="0.2">
      <c r="A97" s="26" t="s">
        <v>23</v>
      </c>
    </row>
    <row r="98" spans="1:36" s="26" customFormat="1" ht="12" customHeight="1" x14ac:dyDescent="0.2">
      <c r="A98" s="26" t="s">
        <v>24</v>
      </c>
    </row>
    <row r="99" spans="1:36" s="26" customFormat="1" ht="12" customHeight="1" x14ac:dyDescent="0.2">
      <c r="A99" s="135" t="str">
        <f>'Данные объект'!B33</f>
        <v>Алексанян Г.Р.</v>
      </c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135"/>
      <c r="AC99" s="135"/>
      <c r="AD99" s="135"/>
      <c r="AE99" s="135"/>
      <c r="AF99" s="135"/>
      <c r="AG99" s="135"/>
      <c r="AH99" s="135"/>
      <c r="AI99" s="135"/>
      <c r="AJ99" s="135"/>
    </row>
    <row r="100" spans="1:36" ht="9" customHeight="1" x14ac:dyDescent="0.25">
      <c r="A100" s="133" t="s">
        <v>35</v>
      </c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7"/>
      <c r="Q100" s="17"/>
      <c r="R100" s="17"/>
      <c r="S100" s="17"/>
      <c r="T100" s="17"/>
      <c r="U100" s="16"/>
      <c r="V100" s="16"/>
      <c r="W100" s="16"/>
      <c r="X100" s="16"/>
      <c r="Y100" s="16"/>
      <c r="Z100" s="16"/>
      <c r="AA100" s="16"/>
      <c r="AB100" s="134" t="s">
        <v>34</v>
      </c>
      <c r="AC100" s="134"/>
      <c r="AD100" s="134"/>
      <c r="AE100" s="134"/>
      <c r="AF100" s="134"/>
      <c r="AG100" s="134"/>
      <c r="AH100" s="134"/>
      <c r="AI100" s="134"/>
      <c r="AJ100" s="134"/>
    </row>
    <row r="101" spans="1:36" s="26" customFormat="1" ht="12" customHeight="1" x14ac:dyDescent="0.2">
      <c r="A101" s="26" t="s">
        <v>25</v>
      </c>
    </row>
    <row r="102" spans="1:36" s="26" customFormat="1" ht="12" customHeight="1" x14ac:dyDescent="0.2">
      <c r="A102" s="135" t="str">
        <f>'Данные объект'!B20</f>
        <v>Волков М.Ю.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135"/>
      <c r="AC102" s="135"/>
      <c r="AD102" s="135"/>
      <c r="AE102" s="135"/>
      <c r="AF102" s="135"/>
      <c r="AG102" s="135"/>
      <c r="AH102" s="135"/>
      <c r="AI102" s="135"/>
      <c r="AJ102" s="135"/>
    </row>
    <row r="103" spans="1:36" ht="9" customHeight="1" x14ac:dyDescent="0.25">
      <c r="A103" s="133" t="s">
        <v>35</v>
      </c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4" t="s">
        <v>34</v>
      </c>
      <c r="AC103" s="134"/>
      <c r="AD103" s="134"/>
      <c r="AE103" s="134"/>
      <c r="AF103" s="134"/>
      <c r="AG103" s="134"/>
      <c r="AH103" s="134"/>
      <c r="AI103" s="134"/>
      <c r="AJ103" s="134"/>
    </row>
    <row r="104" spans="1:36" s="26" customFormat="1" ht="12" customHeight="1" x14ac:dyDescent="0.2">
      <c r="A104" s="26" t="s">
        <v>27</v>
      </c>
    </row>
    <row r="105" spans="1:36" s="26" customFormat="1" ht="12" customHeight="1" x14ac:dyDescent="0.2">
      <c r="A105" s="26" t="s">
        <v>28</v>
      </c>
    </row>
    <row r="106" spans="1:36" s="26" customFormat="1" ht="12" customHeight="1" x14ac:dyDescent="0.2">
      <c r="A106" s="135" t="str">
        <f>'Данные объект'!B17</f>
        <v>Русин В.А.</v>
      </c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135"/>
      <c r="AC106" s="135"/>
      <c r="AD106" s="135"/>
      <c r="AE106" s="135"/>
      <c r="AF106" s="135"/>
      <c r="AG106" s="135"/>
      <c r="AH106" s="135"/>
      <c r="AI106" s="135"/>
      <c r="AJ106" s="135"/>
    </row>
    <row r="107" spans="1:36" ht="9" customHeight="1" x14ac:dyDescent="0.25">
      <c r="A107" s="133" t="s">
        <v>35</v>
      </c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34" t="s">
        <v>34</v>
      </c>
      <c r="AC107" s="134"/>
      <c r="AD107" s="134"/>
      <c r="AE107" s="134"/>
      <c r="AF107" s="134"/>
      <c r="AG107" s="134"/>
      <c r="AH107" s="134"/>
      <c r="AI107" s="134"/>
      <c r="AJ107" s="134"/>
    </row>
    <row r="108" spans="1:36" s="101" customFormat="1" ht="11.25" x14ac:dyDescent="0.2">
      <c r="A108" s="26" t="s">
        <v>211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94"/>
      <c r="AC108" s="94"/>
      <c r="AD108" s="94"/>
      <c r="AE108" s="94"/>
      <c r="AF108" s="94"/>
      <c r="AG108" s="94"/>
      <c r="AH108" s="94"/>
      <c r="AI108" s="94"/>
      <c r="AJ108" s="94"/>
    </row>
    <row r="109" spans="1:36" s="101" customFormat="1" ht="11.25" x14ac:dyDescent="0.2">
      <c r="A109" s="135" t="str">
        <f>'[4]Данные объект'!$B$36</f>
        <v>Курчин М.М.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5"/>
      <c r="AC109" s="135"/>
      <c r="AD109" s="135"/>
      <c r="AE109" s="135"/>
      <c r="AF109" s="135"/>
      <c r="AG109" s="135"/>
      <c r="AH109" s="135"/>
      <c r="AI109" s="135"/>
      <c r="AJ109" s="135"/>
    </row>
    <row r="110" spans="1:36" s="101" customFormat="1" ht="9" customHeight="1" x14ac:dyDescent="0.15">
      <c r="A110" s="133" t="s">
        <v>35</v>
      </c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4" t="s">
        <v>34</v>
      </c>
      <c r="AC110" s="134"/>
      <c r="AD110" s="134"/>
      <c r="AE110" s="134"/>
      <c r="AF110" s="134"/>
      <c r="AG110" s="134"/>
      <c r="AH110" s="134"/>
      <c r="AI110" s="134"/>
      <c r="AJ110" s="134"/>
    </row>
    <row r="111" spans="1:36" s="26" customFormat="1" ht="36" customHeight="1" x14ac:dyDescent="0.2">
      <c r="A111" s="136" t="s">
        <v>53</v>
      </c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</row>
    <row r="112" spans="1:36" s="26" customFormat="1" ht="12" customHeight="1" x14ac:dyDescent="0.2">
      <c r="A112" s="135" t="s">
        <v>76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135" t="s">
        <v>76</v>
      </c>
      <c r="AC112" s="135"/>
      <c r="AD112" s="135"/>
      <c r="AE112" s="135"/>
      <c r="AF112" s="135"/>
      <c r="AG112" s="135"/>
      <c r="AH112" s="135"/>
      <c r="AI112" s="135"/>
      <c r="AJ112" s="135"/>
    </row>
    <row r="113" spans="1:36" ht="9" customHeight="1" x14ac:dyDescent="0.25">
      <c r="A113" s="133" t="s">
        <v>35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4" t="s">
        <v>34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s="26" customFormat="1" ht="40.5" hidden="1" customHeight="1" x14ac:dyDescent="0.2">
      <c r="A114" s="136" t="s">
        <v>55</v>
      </c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</row>
    <row r="115" spans="1:36" ht="12" hidden="1" customHeight="1" x14ac:dyDescent="0.25">
      <c r="A115" s="154" t="e">
        <f>#REF!</f>
        <v>#REF!</v>
      </c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5"/>
      <c r="AC115" s="155"/>
      <c r="AD115" s="155"/>
      <c r="AE115" s="155"/>
      <c r="AF115" s="155"/>
      <c r="AG115" s="155"/>
      <c r="AH115" s="155"/>
      <c r="AI115" s="155"/>
      <c r="AJ115" s="155"/>
    </row>
    <row r="116" spans="1:36" ht="9" hidden="1" customHeight="1" x14ac:dyDescent="0.25">
      <c r="A116" s="133" t="s">
        <v>35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4" t="s">
        <v>34</v>
      </c>
      <c r="AC116" s="134"/>
      <c r="AD116" s="134"/>
      <c r="AE116" s="134"/>
      <c r="AF116" s="134"/>
      <c r="AG116" s="134"/>
      <c r="AH116" s="134"/>
      <c r="AI116" s="134"/>
      <c r="AJ116" s="134"/>
    </row>
    <row r="117" spans="1:36" ht="12" hidden="1" customHeight="1" x14ac:dyDescent="0.25"/>
  </sheetData>
  <mergeCells count="100">
    <mergeCell ref="A18:AJ18"/>
    <mergeCell ref="A17:AJ17"/>
    <mergeCell ref="A4:AJ4"/>
    <mergeCell ref="A5:AJ5"/>
    <mergeCell ref="A6:AJ6"/>
    <mergeCell ref="A7:AJ8"/>
    <mergeCell ref="A9:AJ9"/>
    <mergeCell ref="A10:AJ10"/>
    <mergeCell ref="A11:AJ11"/>
    <mergeCell ref="A12:AJ12"/>
    <mergeCell ref="A13:AJ13"/>
    <mergeCell ref="A14:AJ14"/>
    <mergeCell ref="A16:AJ16"/>
    <mergeCell ref="A38:AJ38"/>
    <mergeCell ref="A39:AJ39"/>
    <mergeCell ref="A21:AJ21"/>
    <mergeCell ref="A23:AJ23"/>
    <mergeCell ref="A24:AJ24"/>
    <mergeCell ref="A52:AJ52"/>
    <mergeCell ref="A45:AJ45"/>
    <mergeCell ref="A19:AJ19"/>
    <mergeCell ref="A20:AJ20"/>
    <mergeCell ref="A44:AJ44"/>
    <mergeCell ref="A25:AJ25"/>
    <mergeCell ref="A26:AJ26"/>
    <mergeCell ref="A27:AJ27"/>
    <mergeCell ref="A28:AJ28"/>
    <mergeCell ref="A30:AJ30"/>
    <mergeCell ref="A31:AJ31"/>
    <mergeCell ref="E33:G33"/>
    <mergeCell ref="AB33:AI33"/>
    <mergeCell ref="AB34:AI34"/>
    <mergeCell ref="A36:AJ36"/>
    <mergeCell ref="A37:AJ37"/>
    <mergeCell ref="A40:AJ40"/>
    <mergeCell ref="A42:AJ42"/>
    <mergeCell ref="A43:AJ43"/>
    <mergeCell ref="A59:AJ59"/>
    <mergeCell ref="A60:AJ60"/>
    <mergeCell ref="A47:AJ47"/>
    <mergeCell ref="A48:AJ48"/>
    <mergeCell ref="A49:AJ49"/>
    <mergeCell ref="A53:AJ53"/>
    <mergeCell ref="A54:AJ54"/>
    <mergeCell ref="A55:AJ55"/>
    <mergeCell ref="A56:AJ56"/>
    <mergeCell ref="A57:AJ57"/>
    <mergeCell ref="A46:AJ46"/>
    <mergeCell ref="A50:AJ50"/>
    <mergeCell ref="A51:AJ51"/>
    <mergeCell ref="P77:W77"/>
    <mergeCell ref="A64:AJ64"/>
    <mergeCell ref="A66:AJ66"/>
    <mergeCell ref="A67:AJ67"/>
    <mergeCell ref="P68:AJ68"/>
    <mergeCell ref="P69:AJ69"/>
    <mergeCell ref="A70:AJ70"/>
    <mergeCell ref="G72:AJ72"/>
    <mergeCell ref="A73:B73"/>
    <mergeCell ref="G73:AJ73"/>
    <mergeCell ref="A74:AJ74"/>
    <mergeCell ref="A75:AJ75"/>
    <mergeCell ref="A95:AJ95"/>
    <mergeCell ref="P78:W78"/>
    <mergeCell ref="A81:AJ81"/>
    <mergeCell ref="A82:AJ82"/>
    <mergeCell ref="A83:AJ83"/>
    <mergeCell ref="A84:AJ84"/>
    <mergeCell ref="A86:AJ86"/>
    <mergeCell ref="A87:AJ87"/>
    <mergeCell ref="L88:AJ88"/>
    <mergeCell ref="H90:I90"/>
    <mergeCell ref="B93:P93"/>
    <mergeCell ref="B94:P94"/>
    <mergeCell ref="A99:O99"/>
    <mergeCell ref="AB99:AJ99"/>
    <mergeCell ref="A100:O100"/>
    <mergeCell ref="AB100:AJ100"/>
    <mergeCell ref="A102:O102"/>
    <mergeCell ref="AB102:AJ102"/>
    <mergeCell ref="A103:O103"/>
    <mergeCell ref="AB103:AJ103"/>
    <mergeCell ref="A106:O106"/>
    <mergeCell ref="AB106:AJ106"/>
    <mergeCell ref="A107:O107"/>
    <mergeCell ref="AB107:AJ107"/>
    <mergeCell ref="A116:O116"/>
    <mergeCell ref="AB116:AJ116"/>
    <mergeCell ref="A111:AJ111"/>
    <mergeCell ref="A112:O112"/>
    <mergeCell ref="AB112:AJ112"/>
    <mergeCell ref="A113:O113"/>
    <mergeCell ref="AB113:AJ113"/>
    <mergeCell ref="A114:AJ114"/>
    <mergeCell ref="A109:O109"/>
    <mergeCell ref="AB109:AJ109"/>
    <mergeCell ref="A110:O110"/>
    <mergeCell ref="AB110:AJ110"/>
    <mergeCell ref="A115:O115"/>
    <mergeCell ref="AB115:AJ115"/>
  </mergeCells>
  <pageMargins left="0.78740157480314965" right="0.27559055118110237" top="0.39370078740157483" bottom="0.39370078740157483" header="0" footer="0"/>
  <pageSetup paperSize="9" scale="91" fitToHeight="3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7"/>
    <pageSetUpPr fitToPage="1"/>
  </sheetPr>
  <dimension ref="A1:AQ119"/>
  <sheetViews>
    <sheetView view="pageBreakPreview" topLeftCell="A61" zoomScale="125" zoomScaleNormal="125" zoomScaleSheetLayoutView="125" workbookViewId="0">
      <selection activeCell="A87" sqref="A87:AJ87"/>
    </sheetView>
  </sheetViews>
  <sheetFormatPr defaultColWidth="10.6640625" defaultRowHeight="15" x14ac:dyDescent="0.25"/>
  <cols>
    <col min="1" max="3" width="2.83203125" style="1" customWidth="1"/>
    <col min="4" max="4" width="1.6640625" style="1" customWidth="1"/>
    <col min="5" max="6" width="2.83203125" style="1" customWidth="1"/>
    <col min="7" max="7" width="7.16406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4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4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P79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">
        <v>291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4" t="s">
        <v>57</v>
      </c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</row>
    <row r="70" spans="1:36" s="2" customFormat="1" ht="15" customHeight="1" x14ac:dyDescent="0.2">
      <c r="A70" s="152" t="s">
        <v>213</v>
      </c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</row>
    <row r="71" spans="1:36" ht="18.75" customHeight="1" x14ac:dyDescent="0.25">
      <c r="A71" s="137" t="s">
        <v>58</v>
      </c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</row>
    <row r="72" spans="1:36" s="26" customFormat="1" ht="12" customHeight="1" x14ac:dyDescent="0.2">
      <c r="A72" s="26" t="s">
        <v>11</v>
      </c>
    </row>
    <row r="73" spans="1:36" s="26" customFormat="1" ht="12" customHeight="1" x14ac:dyDescent="0.2">
      <c r="A73" s="26" t="s">
        <v>10</v>
      </c>
      <c r="G73" s="140" t="s">
        <v>84</v>
      </c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</row>
    <row r="74" spans="1:36" ht="7.5" customHeight="1" x14ac:dyDescent="0.25">
      <c r="A74" s="142"/>
      <c r="B74" s="142"/>
      <c r="C74" s="8"/>
      <c r="D74" s="8"/>
      <c r="E74" s="8"/>
      <c r="F74" s="8"/>
      <c r="G74" s="138" t="s">
        <v>9</v>
      </c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</row>
    <row r="75" spans="1:36" s="26" customFormat="1" ht="12" customHeight="1" x14ac:dyDescent="0.2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7.5" customHeight="1" x14ac:dyDescent="0.25">
      <c r="A76" s="137" t="s">
        <v>31</v>
      </c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ht="9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26" customFormat="1" ht="12" customHeight="1" x14ac:dyDescent="0.2">
      <c r="A78" s="26" t="s">
        <v>8</v>
      </c>
      <c r="D78" s="35"/>
      <c r="E78" s="35"/>
      <c r="F78" s="35"/>
      <c r="G78" s="35"/>
      <c r="L78" s="27"/>
      <c r="M78" s="38"/>
      <c r="N78" s="38"/>
      <c r="P78" s="139">
        <f>'Данные объект'!B6</f>
        <v>45949</v>
      </c>
      <c r="Q78" s="139"/>
      <c r="R78" s="139"/>
      <c r="S78" s="139"/>
      <c r="T78" s="139"/>
      <c r="U78" s="139"/>
      <c r="V78" s="139"/>
      <c r="W78" s="139"/>
    </row>
    <row r="79" spans="1:36" s="26" customFormat="1" ht="12" customHeight="1" x14ac:dyDescent="0.2">
      <c r="A79" s="26" t="s">
        <v>7</v>
      </c>
      <c r="D79" s="35"/>
      <c r="E79" s="35"/>
      <c r="F79" s="35"/>
      <c r="G79" s="35"/>
      <c r="L79" s="27"/>
      <c r="M79" s="38"/>
      <c r="N79" s="38"/>
      <c r="P79" s="139">
        <f>'Данные объект'!B7</f>
        <v>46219</v>
      </c>
      <c r="Q79" s="139"/>
      <c r="R79" s="139"/>
      <c r="S79" s="139"/>
      <c r="T79" s="139"/>
      <c r="U79" s="139"/>
      <c r="V79" s="139"/>
      <c r="W79" s="139"/>
    </row>
    <row r="80" spans="1:36" s="26" customFormat="1" ht="7.5" customHeight="1" x14ac:dyDescent="0.2">
      <c r="A80" s="39"/>
      <c r="B80" s="39"/>
      <c r="C80" s="39"/>
      <c r="D80" s="40"/>
      <c r="E80" s="40"/>
      <c r="F80" s="40"/>
      <c r="G80" s="40"/>
    </row>
    <row r="81" spans="1:36" s="26" customFormat="1" ht="12" customHeight="1" x14ac:dyDescent="0.2">
      <c r="A81" s="26" t="s">
        <v>5</v>
      </c>
    </row>
    <row r="82" spans="1:36" s="26" customFormat="1" ht="12" customHeight="1" x14ac:dyDescent="0.2">
      <c r="A82" s="140" t="s">
        <v>108</v>
      </c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</row>
    <row r="83" spans="1:36" ht="8.25" customHeight="1" x14ac:dyDescent="0.25">
      <c r="A83" s="137" t="s">
        <v>4</v>
      </c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</row>
    <row r="84" spans="1:36" s="26" customFormat="1" ht="12" customHeight="1" x14ac:dyDescent="0.2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ht="8.25" customHeight="1" x14ac:dyDescent="0.25">
      <c r="A85" s="137" t="s">
        <v>59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26" t="s">
        <v>3</v>
      </c>
    </row>
    <row r="87" spans="1:36" s="26" customFormat="1" ht="12" customHeight="1" x14ac:dyDescent="0.2">
      <c r="A87" s="135" t="s">
        <v>292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ht="9" customHeight="1" x14ac:dyDescent="0.25">
      <c r="A88" s="137" t="s">
        <v>32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</row>
    <row r="89" spans="1:36" s="26" customFormat="1" ht="12" customHeight="1" x14ac:dyDescent="0.2">
      <c r="A89" s="26" t="s">
        <v>2</v>
      </c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6" customHeight="1" x14ac:dyDescent="0.25">
      <c r="D90" s="4"/>
      <c r="E90" s="4"/>
      <c r="F90" s="4"/>
      <c r="G90" s="4"/>
      <c r="H90" s="4"/>
      <c r="I90" s="4"/>
      <c r="J90" s="4"/>
    </row>
    <row r="91" spans="1:36" s="26" customFormat="1" ht="12" customHeight="1" x14ac:dyDescent="0.2">
      <c r="A91" s="26" t="s">
        <v>102</v>
      </c>
      <c r="H91" s="135"/>
      <c r="I91" s="135"/>
      <c r="J91" s="26" t="s">
        <v>33</v>
      </c>
    </row>
    <row r="92" spans="1:36" ht="4.5" customHeight="1" x14ac:dyDescent="0.25"/>
    <row r="93" spans="1:36" s="26" customFormat="1" ht="12" customHeight="1" x14ac:dyDescent="0.2">
      <c r="A93" s="26" t="s">
        <v>1</v>
      </c>
    </row>
    <row r="94" spans="1:36" s="26" customFormat="1" ht="12" customHeight="1" x14ac:dyDescent="0.2">
      <c r="A94" s="31" t="s">
        <v>87</v>
      </c>
      <c r="B94" s="140" t="str">
        <f>G73</f>
        <v>Исполнительная схема устройства фундамента</v>
      </c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31" t="s">
        <v>76</v>
      </c>
      <c r="R94" s="31" t="s">
        <v>88</v>
      </c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6" customFormat="1" ht="12" customHeight="1" x14ac:dyDescent="0.2">
      <c r="A95" s="37" t="s">
        <v>89</v>
      </c>
      <c r="B95" s="151" t="s">
        <v>200</v>
      </c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37" t="s">
        <v>76</v>
      </c>
      <c r="R95" s="37" t="s">
        <v>88</v>
      </c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</row>
    <row r="96" spans="1:36" s="26" customFormat="1" ht="12" hidden="1" customHeight="1" x14ac:dyDescent="0.2">
      <c r="A96" s="38" t="s">
        <v>99</v>
      </c>
      <c r="B96" s="156" t="s">
        <v>191</v>
      </c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</row>
    <row r="97" spans="1:36" ht="9.75" customHeight="1" x14ac:dyDescent="0.25">
      <c r="A97" s="137" t="s">
        <v>0</v>
      </c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38"/>
      <c r="AI97" s="138"/>
      <c r="AJ97" s="138"/>
    </row>
    <row r="98" spans="1:36" ht="6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26" customFormat="1" ht="12" customHeight="1" x14ac:dyDescent="0.2">
      <c r="A99" s="26" t="s">
        <v>23</v>
      </c>
    </row>
    <row r="100" spans="1:36" s="26" customFormat="1" ht="12" customHeight="1" x14ac:dyDescent="0.2">
      <c r="A100" s="26" t="s">
        <v>24</v>
      </c>
    </row>
    <row r="101" spans="1:36" s="26" customFormat="1" ht="12" customHeight="1" x14ac:dyDescent="0.2">
      <c r="A101" s="135" t="str">
        <f>'Данные объект'!B33</f>
        <v>Алексанян Г.Р.</v>
      </c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135"/>
      <c r="AC101" s="135"/>
      <c r="AD101" s="135"/>
      <c r="AE101" s="135"/>
      <c r="AF101" s="135"/>
      <c r="AG101" s="135"/>
      <c r="AH101" s="135"/>
      <c r="AI101" s="135"/>
      <c r="AJ101" s="135"/>
    </row>
    <row r="102" spans="1:36" ht="9" customHeight="1" x14ac:dyDescent="0.25">
      <c r="A102" s="133" t="s">
        <v>35</v>
      </c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4" t="s">
        <v>34</v>
      </c>
      <c r="AC102" s="134"/>
      <c r="AD102" s="134"/>
      <c r="AE102" s="134"/>
      <c r="AF102" s="134"/>
      <c r="AG102" s="134"/>
      <c r="AH102" s="134"/>
      <c r="AI102" s="134"/>
      <c r="AJ102" s="134"/>
    </row>
    <row r="103" spans="1:36" s="26" customFormat="1" ht="12" customHeight="1" x14ac:dyDescent="0.2">
      <c r="A103" s="26" t="s">
        <v>25</v>
      </c>
    </row>
    <row r="104" spans="1:36" s="26" customFormat="1" ht="12" customHeight="1" x14ac:dyDescent="0.2">
      <c r="A104" s="135" t="str">
        <f>'Данные объект'!B20</f>
        <v>Волков М.Ю.</v>
      </c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135"/>
      <c r="AC104" s="135"/>
      <c r="AD104" s="135"/>
      <c r="AE104" s="135"/>
      <c r="AF104" s="135"/>
      <c r="AG104" s="135"/>
      <c r="AH104" s="135"/>
      <c r="AI104" s="135"/>
      <c r="AJ104" s="135"/>
    </row>
    <row r="105" spans="1:36" ht="9" customHeight="1" x14ac:dyDescent="0.25">
      <c r="A105" s="133" t="s">
        <v>35</v>
      </c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7"/>
      <c r="Q105" s="17"/>
      <c r="R105" s="17"/>
      <c r="S105" s="17"/>
      <c r="T105" s="17"/>
      <c r="U105" s="16"/>
      <c r="V105" s="16"/>
      <c r="W105" s="16"/>
      <c r="X105" s="16"/>
      <c r="Y105" s="16"/>
      <c r="Z105" s="16"/>
      <c r="AA105" s="16"/>
      <c r="AB105" s="134" t="s">
        <v>34</v>
      </c>
      <c r="AC105" s="134"/>
      <c r="AD105" s="134"/>
      <c r="AE105" s="134"/>
      <c r="AF105" s="134"/>
      <c r="AG105" s="134"/>
      <c r="AH105" s="134"/>
      <c r="AI105" s="134"/>
      <c r="AJ105" s="134"/>
    </row>
    <row r="106" spans="1:36" s="26" customFormat="1" ht="12" customHeight="1" x14ac:dyDescent="0.2">
      <c r="A106" s="26" t="s">
        <v>27</v>
      </c>
    </row>
    <row r="107" spans="1:36" s="26" customFormat="1" ht="12" customHeight="1" x14ac:dyDescent="0.2">
      <c r="A107" s="26" t="s">
        <v>28</v>
      </c>
    </row>
    <row r="108" spans="1:36" s="26" customFormat="1" ht="12" customHeight="1" x14ac:dyDescent="0.2">
      <c r="A108" s="135" t="str">
        <f>'Данные объект'!B17</f>
        <v>Русин В.А.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35"/>
      <c r="AC108" s="135"/>
      <c r="AD108" s="135"/>
      <c r="AE108" s="135"/>
      <c r="AF108" s="135"/>
      <c r="AG108" s="135"/>
      <c r="AH108" s="135"/>
      <c r="AI108" s="135"/>
      <c r="AJ108" s="135"/>
    </row>
    <row r="109" spans="1:36" ht="9" customHeight="1" x14ac:dyDescent="0.25">
      <c r="A109" s="133" t="s">
        <v>35</v>
      </c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 t="s">
        <v>34</v>
      </c>
      <c r="AC109" s="134"/>
      <c r="AD109" s="134"/>
      <c r="AE109" s="134"/>
      <c r="AF109" s="134"/>
      <c r="AG109" s="134"/>
      <c r="AH109" s="134"/>
      <c r="AI109" s="134"/>
      <c r="AJ109" s="134"/>
    </row>
    <row r="110" spans="1:36" s="101" customFormat="1" ht="11.25" x14ac:dyDescent="0.2">
      <c r="A110" s="26" t="s">
        <v>211</v>
      </c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94"/>
      <c r="AC110" s="94"/>
      <c r="AD110" s="94"/>
      <c r="AE110" s="94"/>
      <c r="AF110" s="94"/>
      <c r="AG110" s="94"/>
      <c r="AH110" s="94"/>
      <c r="AI110" s="94"/>
      <c r="AJ110" s="94"/>
    </row>
    <row r="111" spans="1:36" s="101" customFormat="1" ht="11.25" x14ac:dyDescent="0.2">
      <c r="A111" s="135" t="str">
        <f>'[4]Данные объект'!$B$36</f>
        <v>Курчин М.М.</v>
      </c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35"/>
      <c r="AC111" s="135"/>
      <c r="AD111" s="135"/>
      <c r="AE111" s="135"/>
      <c r="AF111" s="135"/>
      <c r="AG111" s="135"/>
      <c r="AH111" s="135"/>
      <c r="AI111" s="135"/>
      <c r="AJ111" s="135"/>
    </row>
    <row r="112" spans="1:36" s="101" customFormat="1" ht="9" customHeight="1" x14ac:dyDescent="0.15">
      <c r="A112" s="133" t="s">
        <v>35</v>
      </c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4" t="s">
        <v>34</v>
      </c>
      <c r="AC112" s="134"/>
      <c r="AD112" s="134"/>
      <c r="AE112" s="134"/>
      <c r="AF112" s="134"/>
      <c r="AG112" s="134"/>
      <c r="AH112" s="134"/>
      <c r="AI112" s="134"/>
      <c r="AJ112" s="134"/>
    </row>
    <row r="113" spans="1:36" s="26" customFormat="1" ht="36" customHeight="1" x14ac:dyDescent="0.2">
      <c r="A113" s="136" t="s">
        <v>53</v>
      </c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</row>
    <row r="114" spans="1:36" s="26" customFormat="1" ht="12" customHeight="1" x14ac:dyDescent="0.2">
      <c r="A114" s="135" t="s">
        <v>76</v>
      </c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135" t="s">
        <v>76</v>
      </c>
      <c r="AC114" s="135"/>
      <c r="AD114" s="135"/>
      <c r="AE114" s="135"/>
      <c r="AF114" s="135"/>
      <c r="AG114" s="135"/>
      <c r="AH114" s="135"/>
      <c r="AI114" s="135"/>
      <c r="AJ114" s="135"/>
    </row>
    <row r="115" spans="1:36" ht="9" customHeight="1" x14ac:dyDescent="0.25">
      <c r="A115" s="133" t="s">
        <v>35</v>
      </c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4" t="s">
        <v>34</v>
      </c>
      <c r="AC115" s="134"/>
      <c r="AD115" s="134"/>
      <c r="AE115" s="134"/>
      <c r="AF115" s="134"/>
      <c r="AG115" s="134"/>
      <c r="AH115" s="134"/>
      <c r="AI115" s="134"/>
      <c r="AJ115" s="134"/>
    </row>
    <row r="116" spans="1:36" s="26" customFormat="1" ht="40.5" hidden="1" customHeight="1" x14ac:dyDescent="0.2">
      <c r="A116" s="136" t="s">
        <v>55</v>
      </c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</row>
    <row r="117" spans="1:36" ht="12" hidden="1" customHeight="1" x14ac:dyDescent="0.25">
      <c r="A117" s="154" t="e">
        <f>#REF!</f>
        <v>#REF!</v>
      </c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5"/>
      <c r="AC117" s="155"/>
      <c r="AD117" s="155"/>
      <c r="AE117" s="155"/>
      <c r="AF117" s="155"/>
      <c r="AG117" s="155"/>
      <c r="AH117" s="155"/>
      <c r="AI117" s="155"/>
      <c r="AJ117" s="155"/>
    </row>
    <row r="118" spans="1:36" ht="9" hidden="1" customHeight="1" x14ac:dyDescent="0.25">
      <c r="A118" s="133" t="s">
        <v>35</v>
      </c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7"/>
      <c r="Q118" s="17"/>
      <c r="R118" s="17"/>
      <c r="S118" s="17"/>
      <c r="T118" s="17"/>
      <c r="U118" s="16"/>
      <c r="V118" s="16"/>
      <c r="W118" s="16"/>
      <c r="X118" s="16"/>
      <c r="Y118" s="16"/>
      <c r="Z118" s="16"/>
      <c r="AA118" s="16"/>
      <c r="AB118" s="134" t="s">
        <v>34</v>
      </c>
      <c r="AC118" s="134"/>
      <c r="AD118" s="134"/>
      <c r="AE118" s="134"/>
      <c r="AF118" s="134"/>
      <c r="AG118" s="134"/>
      <c r="AH118" s="134"/>
      <c r="AI118" s="134"/>
      <c r="AJ118" s="134"/>
    </row>
    <row r="119" spans="1:36" ht="12" hidden="1" customHeight="1" x14ac:dyDescent="0.25"/>
  </sheetData>
  <mergeCells count="103">
    <mergeCell ref="AB111:AJ111"/>
    <mergeCell ref="A112:O112"/>
    <mergeCell ref="AB112:AJ112"/>
    <mergeCell ref="A39:AJ39"/>
    <mergeCell ref="A24:AJ24"/>
    <mergeCell ref="A25:AJ25"/>
    <mergeCell ref="A26:AJ26"/>
    <mergeCell ref="A27:AJ27"/>
    <mergeCell ref="A28:AJ28"/>
    <mergeCell ref="A30:AJ30"/>
    <mergeCell ref="AB34:AI34"/>
    <mergeCell ref="A31:AJ31"/>
    <mergeCell ref="E33:G33"/>
    <mergeCell ref="A36:AJ36"/>
    <mergeCell ref="A55:AJ55"/>
    <mergeCell ref="A40:AJ40"/>
    <mergeCell ref="A42:AJ42"/>
    <mergeCell ref="A43:AJ43"/>
    <mergeCell ref="A44:AJ44"/>
    <mergeCell ref="A45:AJ45"/>
    <mergeCell ref="A46:AJ46"/>
    <mergeCell ref="A50:AJ50"/>
    <mergeCell ref="A51:AJ51"/>
    <mergeCell ref="A60:AJ60"/>
    <mergeCell ref="A4:AJ4"/>
    <mergeCell ref="A5:AJ5"/>
    <mergeCell ref="A6:AJ6"/>
    <mergeCell ref="A7:AJ8"/>
    <mergeCell ref="A9:AJ9"/>
    <mergeCell ref="A10:AJ10"/>
    <mergeCell ref="A11:AJ11"/>
    <mergeCell ref="A12:AJ12"/>
    <mergeCell ref="A13:AJ13"/>
    <mergeCell ref="A14:AJ14"/>
    <mergeCell ref="A16:AJ16"/>
    <mergeCell ref="A17:AJ17"/>
    <mergeCell ref="A37:AJ37"/>
    <mergeCell ref="A38:AJ38"/>
    <mergeCell ref="A23:AJ23"/>
    <mergeCell ref="AB33:AI33"/>
    <mergeCell ref="A18:AJ18"/>
    <mergeCell ref="A19:AJ19"/>
    <mergeCell ref="A20:AJ20"/>
    <mergeCell ref="A21:AJ21"/>
    <mergeCell ref="P69:AJ69"/>
    <mergeCell ref="A63:AJ63"/>
    <mergeCell ref="A83:AJ83"/>
    <mergeCell ref="A71:AJ71"/>
    <mergeCell ref="A64:AJ64"/>
    <mergeCell ref="A66:AJ66"/>
    <mergeCell ref="A67:AJ67"/>
    <mergeCell ref="P68:AJ68"/>
    <mergeCell ref="G73:AJ73"/>
    <mergeCell ref="P78:W78"/>
    <mergeCell ref="P79:W79"/>
    <mergeCell ref="A74:B74"/>
    <mergeCell ref="G74:AJ74"/>
    <mergeCell ref="A75:AJ75"/>
    <mergeCell ref="A76:AJ76"/>
    <mergeCell ref="A82:AJ82"/>
    <mergeCell ref="A70:AJ70"/>
    <mergeCell ref="A52:AJ52"/>
    <mergeCell ref="A53:AJ53"/>
    <mergeCell ref="A54:AJ54"/>
    <mergeCell ref="A47:AJ47"/>
    <mergeCell ref="A48:AJ48"/>
    <mergeCell ref="A49:AJ49"/>
    <mergeCell ref="A56:AJ56"/>
    <mergeCell ref="A57:AJ57"/>
    <mergeCell ref="A59:AJ59"/>
    <mergeCell ref="A87:AJ87"/>
    <mergeCell ref="A88:AJ88"/>
    <mergeCell ref="L89:AJ89"/>
    <mergeCell ref="H91:I91"/>
    <mergeCell ref="A84:AJ84"/>
    <mergeCell ref="A85:AJ85"/>
    <mergeCell ref="B94:P94"/>
    <mergeCell ref="B95:P95"/>
    <mergeCell ref="A97:AJ97"/>
    <mergeCell ref="A101:O101"/>
    <mergeCell ref="AB101:AJ101"/>
    <mergeCell ref="A102:O102"/>
    <mergeCell ref="B96:AJ96"/>
    <mergeCell ref="A116:AJ116"/>
    <mergeCell ref="A117:O117"/>
    <mergeCell ref="AB117:AJ117"/>
    <mergeCell ref="A118:O118"/>
    <mergeCell ref="AB118:AJ118"/>
    <mergeCell ref="A113:AJ113"/>
    <mergeCell ref="A114:O114"/>
    <mergeCell ref="AB114:AJ114"/>
    <mergeCell ref="A115:O115"/>
    <mergeCell ref="AB115:AJ115"/>
    <mergeCell ref="A109:O109"/>
    <mergeCell ref="AB109:AJ109"/>
    <mergeCell ref="A104:O104"/>
    <mergeCell ref="AB104:AJ104"/>
    <mergeCell ref="A105:O105"/>
    <mergeCell ref="AB105:AJ105"/>
    <mergeCell ref="A108:O108"/>
    <mergeCell ref="AB108:AJ108"/>
    <mergeCell ref="AB102:AJ102"/>
    <mergeCell ref="A111:O111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9C73-0CE7-4502-95E3-64868EEDA1E4}">
  <sheetPr>
    <tabColor indexed="57"/>
    <pageSetUpPr fitToPage="1"/>
  </sheetPr>
  <dimension ref="A1:AQ119"/>
  <sheetViews>
    <sheetView view="pageBreakPreview" topLeftCell="A19" zoomScale="125" zoomScaleNormal="125" zoomScaleSheetLayoutView="125" workbookViewId="0">
      <selection activeCell="A87" sqref="A87:AJ87"/>
    </sheetView>
  </sheetViews>
  <sheetFormatPr defaultColWidth="10.6640625" defaultRowHeight="15" x14ac:dyDescent="0.25"/>
  <cols>
    <col min="1" max="3" width="2.83203125" style="1" customWidth="1"/>
    <col min="4" max="4" width="1.6640625" style="1" customWidth="1"/>
    <col min="5" max="6" width="2.83203125" style="1" customWidth="1"/>
    <col min="7" max="7" width="7.16406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54.7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95"/>
      <c r="B32" s="95"/>
      <c r="C32" s="95"/>
      <c r="D32" s="95"/>
      <c r="E32" s="95"/>
      <c r="F32" s="95"/>
      <c r="G32" s="95"/>
      <c r="H32" s="95"/>
      <c r="I32" s="95"/>
      <c r="J32" s="95"/>
    </row>
    <row r="33" spans="1:36" s="26" customFormat="1" ht="12.95" customHeight="1" x14ac:dyDescent="0.2">
      <c r="A33" s="30"/>
      <c r="B33" s="30" t="s">
        <v>18</v>
      </c>
      <c r="C33" s="31">
        <v>4</v>
      </c>
      <c r="D33" s="31"/>
      <c r="E33" s="135" t="s">
        <v>212</v>
      </c>
      <c r="F33" s="135"/>
      <c r="G33" s="135"/>
      <c r="H33" s="32"/>
      <c r="I33" s="32"/>
      <c r="J33" s="32"/>
      <c r="X33" s="27"/>
      <c r="Y33" s="38"/>
      <c r="Z33" s="38"/>
      <c r="AB33" s="139">
        <f>P79</f>
        <v>45454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57" t="str">
        <f>'[4]Данные объект'!$C$36</f>
        <v>Мастер СРЭС СЭС филиала ПАО "Россети Московский регион" Курчин М.М.</v>
      </c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79" t="str">
        <f>'АОСР-4'!A87:AJ87</f>
        <v>Устройство гидроизоляции 2БРП №171</v>
      </c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 t="s">
        <v>217</v>
      </c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4" t="s">
        <v>57</v>
      </c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</row>
    <row r="70" spans="1:36" s="2" customFormat="1" ht="15" customHeight="1" x14ac:dyDescent="0.2">
      <c r="A70" s="152" t="s">
        <v>218</v>
      </c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</row>
    <row r="71" spans="1:36" ht="18.75" customHeight="1" x14ac:dyDescent="0.25">
      <c r="A71" s="137" t="s">
        <v>58</v>
      </c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</row>
    <row r="72" spans="1:36" s="26" customFormat="1" ht="12" customHeight="1" x14ac:dyDescent="0.2">
      <c r="A72" s="26" t="s">
        <v>11</v>
      </c>
    </row>
    <row r="73" spans="1:36" s="26" customFormat="1" ht="12" customHeight="1" x14ac:dyDescent="0.2">
      <c r="A73" s="26" t="s">
        <v>10</v>
      </c>
      <c r="G73" s="140" t="s">
        <v>84</v>
      </c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</row>
    <row r="74" spans="1:36" ht="7.5" customHeight="1" x14ac:dyDescent="0.25">
      <c r="A74" s="142"/>
      <c r="B74" s="142"/>
      <c r="C74" s="8"/>
      <c r="D74" s="8"/>
      <c r="E74" s="8"/>
      <c r="F74" s="8"/>
      <c r="G74" s="138" t="s">
        <v>9</v>
      </c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</row>
    <row r="75" spans="1:36" s="26" customFormat="1" ht="12" customHeight="1" x14ac:dyDescent="0.2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7.5" customHeight="1" x14ac:dyDescent="0.25">
      <c r="A76" s="137" t="s">
        <v>31</v>
      </c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ht="9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26" customFormat="1" ht="12" customHeight="1" x14ac:dyDescent="0.2">
      <c r="A78" s="26" t="s">
        <v>8</v>
      </c>
      <c r="D78" s="35"/>
      <c r="E78" s="35"/>
      <c r="F78" s="35"/>
      <c r="G78" s="35"/>
      <c r="L78" s="27"/>
      <c r="M78" s="38"/>
      <c r="N78" s="38"/>
      <c r="P78" s="139">
        <v>45454</v>
      </c>
      <c r="Q78" s="139"/>
      <c r="R78" s="139"/>
      <c r="S78" s="139"/>
      <c r="T78" s="139"/>
      <c r="U78" s="139"/>
      <c r="V78" s="139"/>
      <c r="W78" s="139"/>
    </row>
    <row r="79" spans="1:36" s="26" customFormat="1" ht="12" customHeight="1" x14ac:dyDescent="0.2">
      <c r="A79" s="26" t="s">
        <v>7</v>
      </c>
      <c r="D79" s="35"/>
      <c r="E79" s="35"/>
      <c r="F79" s="35"/>
      <c r="G79" s="35"/>
      <c r="L79" s="27"/>
      <c r="M79" s="38"/>
      <c r="N79" s="38"/>
      <c r="P79" s="158">
        <f>P78</f>
        <v>45454</v>
      </c>
      <c r="Q79" s="158"/>
      <c r="R79" s="158"/>
      <c r="S79" s="158"/>
      <c r="T79" s="158"/>
      <c r="U79" s="158"/>
      <c r="V79" s="158"/>
      <c r="W79" s="158"/>
    </row>
    <row r="80" spans="1:36" s="26" customFormat="1" ht="7.5" customHeight="1" x14ac:dyDescent="0.2">
      <c r="A80" s="39"/>
      <c r="B80" s="39"/>
      <c r="C80" s="39"/>
      <c r="D80" s="40"/>
      <c r="E80" s="40"/>
      <c r="F80" s="40"/>
      <c r="G80" s="40"/>
    </row>
    <row r="81" spans="1:36" s="26" customFormat="1" ht="12" customHeight="1" x14ac:dyDescent="0.2">
      <c r="A81" s="26" t="s">
        <v>5</v>
      </c>
    </row>
    <row r="82" spans="1:36" s="26" customFormat="1" ht="12" customHeight="1" x14ac:dyDescent="0.2">
      <c r="A82" s="140" t="s">
        <v>108</v>
      </c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</row>
    <row r="83" spans="1:36" ht="8.25" customHeight="1" x14ac:dyDescent="0.25">
      <c r="A83" s="137" t="s">
        <v>4</v>
      </c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</row>
    <row r="84" spans="1:36" s="26" customFormat="1" ht="12" customHeight="1" x14ac:dyDescent="0.2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ht="8.25" customHeight="1" x14ac:dyDescent="0.25">
      <c r="A85" s="137" t="s">
        <v>59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26" t="s">
        <v>3</v>
      </c>
    </row>
    <row r="87" spans="1:36" s="26" customFormat="1" ht="12" customHeight="1" x14ac:dyDescent="0.2">
      <c r="A87" s="135" t="s">
        <v>214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ht="9" customHeight="1" x14ac:dyDescent="0.25">
      <c r="A88" s="137" t="s">
        <v>32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</row>
    <row r="89" spans="1:36" s="26" customFormat="1" ht="12" customHeight="1" x14ac:dyDescent="0.2">
      <c r="A89" s="26" t="s">
        <v>2</v>
      </c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6" customHeight="1" x14ac:dyDescent="0.25">
      <c r="D90" s="4"/>
      <c r="E90" s="4"/>
      <c r="F90" s="4"/>
      <c r="G90" s="4"/>
      <c r="H90" s="4"/>
      <c r="I90" s="4"/>
      <c r="J90" s="4"/>
    </row>
    <row r="91" spans="1:36" s="26" customFormat="1" ht="12" customHeight="1" x14ac:dyDescent="0.2">
      <c r="A91" s="26" t="s">
        <v>102</v>
      </c>
      <c r="H91" s="135"/>
      <c r="I91" s="135"/>
      <c r="J91" s="26" t="s">
        <v>33</v>
      </c>
    </row>
    <row r="92" spans="1:36" ht="4.5" customHeight="1" x14ac:dyDescent="0.25"/>
    <row r="93" spans="1:36" s="26" customFormat="1" ht="12" customHeight="1" x14ac:dyDescent="0.2">
      <c r="A93" s="26" t="s">
        <v>1</v>
      </c>
    </row>
    <row r="94" spans="1:36" s="26" customFormat="1" ht="12" customHeight="1" x14ac:dyDescent="0.2">
      <c r="A94" s="31" t="s">
        <v>87</v>
      </c>
      <c r="B94" s="140" t="str">
        <f>G73</f>
        <v>Исполнительная схема устройства фундамента</v>
      </c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31" t="s">
        <v>76</v>
      </c>
      <c r="R94" s="31" t="s">
        <v>88</v>
      </c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6" customFormat="1" ht="12" customHeight="1" x14ac:dyDescent="0.2">
      <c r="A95" s="37" t="s">
        <v>89</v>
      </c>
      <c r="B95" s="151" t="s">
        <v>216</v>
      </c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37" t="s">
        <v>76</v>
      </c>
      <c r="R95" s="37" t="s">
        <v>88</v>
      </c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</row>
    <row r="96" spans="1:36" s="26" customFormat="1" ht="12" hidden="1" customHeight="1" x14ac:dyDescent="0.2">
      <c r="A96" s="38" t="s">
        <v>99</v>
      </c>
      <c r="B96" s="156" t="s">
        <v>191</v>
      </c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</row>
    <row r="97" spans="1:36" ht="9.75" customHeight="1" x14ac:dyDescent="0.25">
      <c r="A97" s="137" t="s">
        <v>0</v>
      </c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38"/>
      <c r="AI97" s="138"/>
      <c r="AJ97" s="138"/>
    </row>
    <row r="98" spans="1:36" ht="6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26" customFormat="1" ht="12" customHeight="1" x14ac:dyDescent="0.2">
      <c r="A99" s="26" t="s">
        <v>23</v>
      </c>
    </row>
    <row r="100" spans="1:36" s="26" customFormat="1" ht="12" customHeight="1" x14ac:dyDescent="0.2">
      <c r="A100" s="26" t="s">
        <v>24</v>
      </c>
    </row>
    <row r="101" spans="1:36" s="26" customFormat="1" ht="12" customHeight="1" x14ac:dyDescent="0.2">
      <c r="A101" s="135" t="str">
        <f>'Данные объект'!B33</f>
        <v>Алексанян Г.Р.</v>
      </c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135"/>
      <c r="AC101" s="135"/>
      <c r="AD101" s="135"/>
      <c r="AE101" s="135"/>
      <c r="AF101" s="135"/>
      <c r="AG101" s="135"/>
      <c r="AH101" s="135"/>
      <c r="AI101" s="135"/>
      <c r="AJ101" s="135"/>
    </row>
    <row r="102" spans="1:36" ht="9" customHeight="1" x14ac:dyDescent="0.25">
      <c r="A102" s="133" t="s">
        <v>35</v>
      </c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4" t="s">
        <v>34</v>
      </c>
      <c r="AC102" s="134"/>
      <c r="AD102" s="134"/>
      <c r="AE102" s="134"/>
      <c r="AF102" s="134"/>
      <c r="AG102" s="134"/>
      <c r="AH102" s="134"/>
      <c r="AI102" s="134"/>
      <c r="AJ102" s="134"/>
    </row>
    <row r="103" spans="1:36" s="26" customFormat="1" ht="12" customHeight="1" x14ac:dyDescent="0.2">
      <c r="A103" s="26" t="s">
        <v>25</v>
      </c>
    </row>
    <row r="104" spans="1:36" s="26" customFormat="1" ht="12" customHeight="1" x14ac:dyDescent="0.2">
      <c r="A104" s="135" t="str">
        <f>'Данные объект'!B20</f>
        <v>Волков М.Ю.</v>
      </c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135"/>
      <c r="AC104" s="135"/>
      <c r="AD104" s="135"/>
      <c r="AE104" s="135"/>
      <c r="AF104" s="135"/>
      <c r="AG104" s="135"/>
      <c r="AH104" s="135"/>
      <c r="AI104" s="135"/>
      <c r="AJ104" s="135"/>
    </row>
    <row r="105" spans="1:36" ht="9" customHeight="1" x14ac:dyDescent="0.25">
      <c r="A105" s="133" t="s">
        <v>35</v>
      </c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7"/>
      <c r="Q105" s="17"/>
      <c r="R105" s="17"/>
      <c r="S105" s="17"/>
      <c r="T105" s="17"/>
      <c r="U105" s="16"/>
      <c r="V105" s="16"/>
      <c r="W105" s="16"/>
      <c r="X105" s="16"/>
      <c r="Y105" s="16"/>
      <c r="Z105" s="16"/>
      <c r="AA105" s="16"/>
      <c r="AB105" s="134" t="s">
        <v>34</v>
      </c>
      <c r="AC105" s="134"/>
      <c r="AD105" s="134"/>
      <c r="AE105" s="134"/>
      <c r="AF105" s="134"/>
      <c r="AG105" s="134"/>
      <c r="AH105" s="134"/>
      <c r="AI105" s="134"/>
      <c r="AJ105" s="134"/>
    </row>
    <row r="106" spans="1:36" s="26" customFormat="1" ht="12" customHeight="1" x14ac:dyDescent="0.2">
      <c r="A106" s="26" t="s">
        <v>27</v>
      </c>
    </row>
    <row r="107" spans="1:36" s="26" customFormat="1" ht="12" customHeight="1" x14ac:dyDescent="0.2">
      <c r="A107" s="26" t="s">
        <v>28</v>
      </c>
    </row>
    <row r="108" spans="1:36" s="26" customFormat="1" ht="12" customHeight="1" x14ac:dyDescent="0.2">
      <c r="A108" s="135" t="str">
        <f>'Данные объект'!B17</f>
        <v>Русин В.А.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35"/>
      <c r="AC108" s="135"/>
      <c r="AD108" s="135"/>
      <c r="AE108" s="135"/>
      <c r="AF108" s="135"/>
      <c r="AG108" s="135"/>
      <c r="AH108" s="135"/>
      <c r="AI108" s="135"/>
      <c r="AJ108" s="135"/>
    </row>
    <row r="109" spans="1:36" ht="9" customHeight="1" x14ac:dyDescent="0.25">
      <c r="A109" s="133" t="s">
        <v>35</v>
      </c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 t="s">
        <v>34</v>
      </c>
      <c r="AC109" s="134"/>
      <c r="AD109" s="134"/>
      <c r="AE109" s="134"/>
      <c r="AF109" s="134"/>
      <c r="AG109" s="134"/>
      <c r="AH109" s="134"/>
      <c r="AI109" s="134"/>
      <c r="AJ109" s="134"/>
    </row>
    <row r="110" spans="1:36" s="101" customFormat="1" ht="11.25" x14ac:dyDescent="0.2">
      <c r="A110" s="26" t="s">
        <v>211</v>
      </c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94"/>
      <c r="AC110" s="94"/>
      <c r="AD110" s="94"/>
      <c r="AE110" s="94"/>
      <c r="AF110" s="94"/>
      <c r="AG110" s="94"/>
      <c r="AH110" s="94"/>
      <c r="AI110" s="94"/>
      <c r="AJ110" s="94"/>
    </row>
    <row r="111" spans="1:36" s="101" customFormat="1" ht="11.25" x14ac:dyDescent="0.2">
      <c r="A111" s="135" t="str">
        <f>'[4]Данные объект'!$B$36</f>
        <v>Курчин М.М.</v>
      </c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35"/>
      <c r="AC111" s="135"/>
      <c r="AD111" s="135"/>
      <c r="AE111" s="135"/>
      <c r="AF111" s="135"/>
      <c r="AG111" s="135"/>
      <c r="AH111" s="135"/>
      <c r="AI111" s="135"/>
      <c r="AJ111" s="135"/>
    </row>
    <row r="112" spans="1:36" s="101" customFormat="1" ht="9" customHeight="1" x14ac:dyDescent="0.15">
      <c r="A112" s="133" t="s">
        <v>35</v>
      </c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4" t="s">
        <v>34</v>
      </c>
      <c r="AC112" s="134"/>
      <c r="AD112" s="134"/>
      <c r="AE112" s="134"/>
      <c r="AF112" s="134"/>
      <c r="AG112" s="134"/>
      <c r="AH112" s="134"/>
      <c r="AI112" s="134"/>
      <c r="AJ112" s="134"/>
    </row>
    <row r="113" spans="1:36" s="26" customFormat="1" ht="36" customHeight="1" x14ac:dyDescent="0.2">
      <c r="A113" s="136" t="s">
        <v>53</v>
      </c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</row>
    <row r="114" spans="1:36" s="26" customFormat="1" ht="12" customHeight="1" x14ac:dyDescent="0.2">
      <c r="A114" s="135" t="s">
        <v>76</v>
      </c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135" t="s">
        <v>76</v>
      </c>
      <c r="AC114" s="135"/>
      <c r="AD114" s="135"/>
      <c r="AE114" s="135"/>
      <c r="AF114" s="135"/>
      <c r="AG114" s="135"/>
      <c r="AH114" s="135"/>
      <c r="AI114" s="135"/>
      <c r="AJ114" s="135"/>
    </row>
    <row r="115" spans="1:36" ht="9" customHeight="1" x14ac:dyDescent="0.25">
      <c r="A115" s="133" t="s">
        <v>35</v>
      </c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4" t="s">
        <v>34</v>
      </c>
      <c r="AC115" s="134"/>
      <c r="AD115" s="134"/>
      <c r="AE115" s="134"/>
      <c r="AF115" s="134"/>
      <c r="AG115" s="134"/>
      <c r="AH115" s="134"/>
      <c r="AI115" s="134"/>
      <c r="AJ115" s="134"/>
    </row>
    <row r="116" spans="1:36" s="26" customFormat="1" ht="40.5" hidden="1" customHeight="1" x14ac:dyDescent="0.2">
      <c r="A116" s="136" t="s">
        <v>55</v>
      </c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</row>
    <row r="117" spans="1:36" ht="12" hidden="1" customHeight="1" x14ac:dyDescent="0.25">
      <c r="A117" s="154" t="e">
        <f>#REF!</f>
        <v>#REF!</v>
      </c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5"/>
      <c r="AC117" s="155"/>
      <c r="AD117" s="155"/>
      <c r="AE117" s="155"/>
      <c r="AF117" s="155"/>
      <c r="AG117" s="155"/>
      <c r="AH117" s="155"/>
      <c r="AI117" s="155"/>
      <c r="AJ117" s="155"/>
    </row>
    <row r="118" spans="1:36" ht="9" hidden="1" customHeight="1" x14ac:dyDescent="0.25">
      <c r="A118" s="133" t="s">
        <v>35</v>
      </c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7"/>
      <c r="Q118" s="17"/>
      <c r="R118" s="17"/>
      <c r="S118" s="17"/>
      <c r="T118" s="17"/>
      <c r="U118" s="16"/>
      <c r="V118" s="16"/>
      <c r="W118" s="16"/>
      <c r="X118" s="16"/>
      <c r="Y118" s="16"/>
      <c r="Z118" s="16"/>
      <c r="AA118" s="16"/>
      <c r="AB118" s="134" t="s">
        <v>34</v>
      </c>
      <c r="AC118" s="134"/>
      <c r="AD118" s="134"/>
      <c r="AE118" s="134"/>
      <c r="AF118" s="134"/>
      <c r="AG118" s="134"/>
      <c r="AH118" s="134"/>
      <c r="AI118" s="134"/>
      <c r="AJ118" s="134"/>
    </row>
    <row r="119" spans="1:36" ht="12" hidden="1" customHeight="1" x14ac:dyDescent="0.25"/>
  </sheetData>
  <mergeCells count="102">
    <mergeCell ref="A116:AJ116"/>
    <mergeCell ref="A117:O117"/>
    <mergeCell ref="AB117:AJ117"/>
    <mergeCell ref="A118:O118"/>
    <mergeCell ref="AB118:AJ118"/>
    <mergeCell ref="A112:O112"/>
    <mergeCell ref="AB112:AJ112"/>
    <mergeCell ref="A113:AJ113"/>
    <mergeCell ref="A114:O114"/>
    <mergeCell ref="AB114:AJ114"/>
    <mergeCell ref="A115:O115"/>
    <mergeCell ref="AB115:AJ115"/>
    <mergeCell ref="A108:O108"/>
    <mergeCell ref="AB108:AJ108"/>
    <mergeCell ref="A109:O109"/>
    <mergeCell ref="AB109:AJ109"/>
    <mergeCell ref="A111:O111"/>
    <mergeCell ref="AB111:AJ111"/>
    <mergeCell ref="A102:O102"/>
    <mergeCell ref="AB102:AJ102"/>
    <mergeCell ref="A104:O104"/>
    <mergeCell ref="AB104:AJ104"/>
    <mergeCell ref="A105:O105"/>
    <mergeCell ref="AB105:AJ105"/>
    <mergeCell ref="B94:P94"/>
    <mergeCell ref="B95:P95"/>
    <mergeCell ref="B96:AJ96"/>
    <mergeCell ref="A97:AJ97"/>
    <mergeCell ref="A101:O101"/>
    <mergeCell ref="AB101:AJ101"/>
    <mergeCell ref="A84:AJ84"/>
    <mergeCell ref="A85:AJ85"/>
    <mergeCell ref="A87:AJ87"/>
    <mergeCell ref="A88:AJ88"/>
    <mergeCell ref="L89:AJ89"/>
    <mergeCell ref="H91:I91"/>
    <mergeCell ref="A75:AJ75"/>
    <mergeCell ref="A76:AJ76"/>
    <mergeCell ref="P78:W78"/>
    <mergeCell ref="P79:W79"/>
    <mergeCell ref="A82:AJ82"/>
    <mergeCell ref="A83:AJ83"/>
    <mergeCell ref="P68:AJ68"/>
    <mergeCell ref="P69:AJ69"/>
    <mergeCell ref="A70:AJ70"/>
    <mergeCell ref="A71:AJ71"/>
    <mergeCell ref="G73:AJ73"/>
    <mergeCell ref="A74:B74"/>
    <mergeCell ref="G74:AJ74"/>
    <mergeCell ref="A59:AJ59"/>
    <mergeCell ref="A60:AJ60"/>
    <mergeCell ref="A64:AJ64"/>
    <mergeCell ref="A66:AJ66"/>
    <mergeCell ref="A67:AJ67"/>
    <mergeCell ref="A52:AJ52"/>
    <mergeCell ref="A53:AJ53"/>
    <mergeCell ref="A54:AJ54"/>
    <mergeCell ref="A55:AJ55"/>
    <mergeCell ref="A56:AJ56"/>
    <mergeCell ref="A57:AJ57"/>
    <mergeCell ref="A46:AJ46"/>
    <mergeCell ref="A47:AJ47"/>
    <mergeCell ref="A48:AJ48"/>
    <mergeCell ref="A49:AJ49"/>
    <mergeCell ref="A50:AJ50"/>
    <mergeCell ref="A51:AJ51"/>
    <mergeCell ref="A39:AJ39"/>
    <mergeCell ref="A40:AJ40"/>
    <mergeCell ref="A42:AJ42"/>
    <mergeCell ref="A43:AJ43"/>
    <mergeCell ref="A44:AJ44"/>
    <mergeCell ref="A45:AJ45"/>
    <mergeCell ref="E33:G33"/>
    <mergeCell ref="AB33:AI33"/>
    <mergeCell ref="AB34:AI34"/>
    <mergeCell ref="A36:AJ36"/>
    <mergeCell ref="A37:AJ37"/>
    <mergeCell ref="A38:AJ38"/>
    <mergeCell ref="A25:AJ25"/>
    <mergeCell ref="A26:AJ26"/>
    <mergeCell ref="A27:AJ27"/>
    <mergeCell ref="A28:AJ28"/>
    <mergeCell ref="A30:AJ30"/>
    <mergeCell ref="A31:AJ31"/>
    <mergeCell ref="A21:AJ21"/>
    <mergeCell ref="A23:AJ23"/>
    <mergeCell ref="A24:AJ24"/>
    <mergeCell ref="A11:AJ11"/>
    <mergeCell ref="A12:AJ12"/>
    <mergeCell ref="A13:AJ13"/>
    <mergeCell ref="A14:AJ14"/>
    <mergeCell ref="A16:AJ16"/>
    <mergeCell ref="A17:AJ17"/>
    <mergeCell ref="A4:AJ4"/>
    <mergeCell ref="A5:AJ5"/>
    <mergeCell ref="A6:AJ6"/>
    <mergeCell ref="A7:AJ8"/>
    <mergeCell ref="A9:AJ9"/>
    <mergeCell ref="A10:AJ10"/>
    <mergeCell ref="A18:AJ18"/>
    <mergeCell ref="A19:AJ19"/>
    <mergeCell ref="A20:AJ20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57"/>
    <pageSetUpPr fitToPage="1"/>
  </sheetPr>
  <dimension ref="A1:AQ118"/>
  <sheetViews>
    <sheetView view="pageBreakPreview" topLeftCell="A58" zoomScale="125" zoomScaleNormal="125" zoomScaleSheetLayoutView="125" workbookViewId="0">
      <selection activeCell="A87" sqref="A87:AJ87"/>
    </sheetView>
  </sheetViews>
  <sheetFormatPr defaultColWidth="10.6640625" defaultRowHeight="15" x14ac:dyDescent="0.25"/>
  <cols>
    <col min="1" max="6" width="2.83203125" style="1" customWidth="1"/>
    <col min="7" max="7" width="8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37.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5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P79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52" t="str">
        <f>'АОСР-4'!A87:AJ87</f>
        <v>Устройство гидроизоляции 2БРП №171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4" t="s">
        <v>57</v>
      </c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</row>
    <row r="70" spans="1:36" s="26" customFormat="1" ht="12" customHeight="1" x14ac:dyDescent="0.2">
      <c r="A70" s="79" t="s">
        <v>219</v>
      </c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 t="s">
        <v>220</v>
      </c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</row>
    <row r="71" spans="1:36" ht="18.75" customHeight="1" x14ac:dyDescent="0.25">
      <c r="A71" s="137" t="s">
        <v>58</v>
      </c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</row>
    <row r="72" spans="1:36" s="26" customFormat="1" ht="12" customHeight="1" x14ac:dyDescent="0.2">
      <c r="A72" s="26" t="s">
        <v>11</v>
      </c>
    </row>
    <row r="73" spans="1:36" s="26" customFormat="1" ht="12" customHeight="1" x14ac:dyDescent="0.2">
      <c r="A73" s="26" t="s">
        <v>10</v>
      </c>
      <c r="G73" s="140" t="s">
        <v>293</v>
      </c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</row>
    <row r="74" spans="1:36" ht="7.5" customHeight="1" x14ac:dyDescent="0.25">
      <c r="A74" s="142"/>
      <c r="B74" s="142"/>
      <c r="C74" s="8"/>
      <c r="D74" s="8"/>
      <c r="E74" s="8"/>
      <c r="F74" s="8"/>
      <c r="G74" s="138" t="s">
        <v>9</v>
      </c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</row>
    <row r="75" spans="1:36" s="26" customFormat="1" ht="12" customHeight="1" x14ac:dyDescent="0.2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7.5" customHeight="1" x14ac:dyDescent="0.25">
      <c r="A76" s="137" t="s">
        <v>31</v>
      </c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ht="9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26" customFormat="1" ht="12" customHeight="1" x14ac:dyDescent="0.2">
      <c r="A78" s="26" t="s">
        <v>8</v>
      </c>
      <c r="D78" s="35"/>
      <c r="E78" s="35"/>
      <c r="F78" s="35"/>
      <c r="G78" s="35"/>
      <c r="L78" s="27"/>
      <c r="M78" s="38"/>
      <c r="N78" s="38"/>
      <c r="P78" s="139">
        <f>'Данные объект'!B6</f>
        <v>45949</v>
      </c>
      <c r="Q78" s="139"/>
      <c r="R78" s="139"/>
      <c r="S78" s="139"/>
      <c r="T78" s="139"/>
      <c r="U78" s="139"/>
      <c r="V78" s="139"/>
      <c r="W78" s="139"/>
    </row>
    <row r="79" spans="1:36" s="26" customFormat="1" ht="12" customHeight="1" x14ac:dyDescent="0.2">
      <c r="A79" s="26" t="s">
        <v>7</v>
      </c>
      <c r="D79" s="35"/>
      <c r="E79" s="35"/>
      <c r="F79" s="35"/>
      <c r="G79" s="35"/>
      <c r="L79" s="27"/>
      <c r="M79" s="38"/>
      <c r="N79" s="38"/>
      <c r="P79" s="158">
        <f>'Данные объект'!B7</f>
        <v>46219</v>
      </c>
      <c r="Q79" s="158"/>
      <c r="R79" s="158"/>
      <c r="S79" s="158"/>
      <c r="T79" s="158"/>
      <c r="U79" s="158"/>
      <c r="V79" s="158"/>
      <c r="W79" s="158"/>
    </row>
    <row r="80" spans="1:36" ht="7.5" customHeight="1" x14ac:dyDescent="0.25">
      <c r="A80" s="6"/>
      <c r="B80" s="6"/>
      <c r="C80" s="6"/>
      <c r="D80" s="5"/>
      <c r="E80" s="5"/>
      <c r="F80" s="5"/>
      <c r="G80" s="5"/>
    </row>
    <row r="81" spans="1:36" s="26" customFormat="1" ht="12" customHeight="1" x14ac:dyDescent="0.2">
      <c r="A81" s="26" t="s">
        <v>5</v>
      </c>
    </row>
    <row r="82" spans="1:36" s="26" customFormat="1" ht="12" customHeight="1" x14ac:dyDescent="0.2">
      <c r="A82" s="140" t="s">
        <v>108</v>
      </c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</row>
    <row r="83" spans="1:36" ht="8.25" customHeight="1" x14ac:dyDescent="0.25">
      <c r="A83" s="137" t="s">
        <v>4</v>
      </c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</row>
    <row r="84" spans="1:36" s="26" customFormat="1" ht="12" customHeight="1" x14ac:dyDescent="0.2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ht="8.25" customHeight="1" x14ac:dyDescent="0.25">
      <c r="A85" s="137" t="s">
        <v>59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26" t="s">
        <v>3</v>
      </c>
    </row>
    <row r="87" spans="1:36" s="26" customFormat="1" ht="12" customHeight="1" x14ac:dyDescent="0.2">
      <c r="A87" s="135" t="s">
        <v>221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ht="9" customHeight="1" x14ac:dyDescent="0.25">
      <c r="A88" s="137" t="s">
        <v>32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</row>
    <row r="89" spans="1:36" s="26" customFormat="1" ht="12" customHeight="1" x14ac:dyDescent="0.2">
      <c r="A89" s="26" t="s">
        <v>2</v>
      </c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6" customHeight="1" x14ac:dyDescent="0.25">
      <c r="D90" s="4"/>
      <c r="E90" s="4"/>
      <c r="F90" s="4"/>
      <c r="G90" s="4"/>
      <c r="H90" s="4"/>
      <c r="I90" s="4"/>
      <c r="J90" s="4"/>
    </row>
    <row r="91" spans="1:36" s="26" customFormat="1" ht="12" customHeight="1" x14ac:dyDescent="0.2">
      <c r="A91" s="26" t="s">
        <v>102</v>
      </c>
      <c r="H91" s="135"/>
      <c r="I91" s="135"/>
      <c r="J91" s="26" t="s">
        <v>33</v>
      </c>
    </row>
    <row r="92" spans="1:36" ht="4.5" customHeight="1" x14ac:dyDescent="0.25"/>
    <row r="93" spans="1:36" s="26" customFormat="1" ht="12" customHeight="1" x14ac:dyDescent="0.2">
      <c r="A93" s="26" t="s">
        <v>1</v>
      </c>
    </row>
    <row r="94" spans="1:36" s="26" customFormat="1" ht="18" customHeight="1" x14ac:dyDescent="0.2">
      <c r="A94" s="31" t="s">
        <v>87</v>
      </c>
      <c r="B94" s="31" t="str">
        <f>G73</f>
        <v>Исполнительная схема устройства фундамента под 2БРП №171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 t="s">
        <v>76</v>
      </c>
      <c r="U94" s="31"/>
      <c r="V94" s="31"/>
      <c r="W94" s="31" t="s">
        <v>88</v>
      </c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6" customFormat="1" ht="12" customHeight="1" x14ac:dyDescent="0.2">
      <c r="A95" s="37" t="s">
        <v>89</v>
      </c>
      <c r="B95" s="37" t="str">
        <f>O70</f>
        <v>Сертификат соответствия №04УПС1.RU.С02839</v>
      </c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 t="s">
        <v>76</v>
      </c>
      <c r="V95" s="37" t="s">
        <v>88</v>
      </c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</row>
    <row r="96" spans="1:36" ht="9.75" customHeight="1" x14ac:dyDescent="0.25">
      <c r="A96" s="137" t="s">
        <v>0</v>
      </c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  <c r="AE96" s="138"/>
      <c r="AF96" s="138"/>
      <c r="AG96" s="138"/>
      <c r="AH96" s="138"/>
      <c r="AI96" s="138"/>
      <c r="AJ96" s="138"/>
    </row>
    <row r="97" spans="1:36" ht="6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26" customFormat="1" ht="12" customHeight="1" x14ac:dyDescent="0.2">
      <c r="A98" s="26" t="s">
        <v>23</v>
      </c>
    </row>
    <row r="99" spans="1:36" s="26" customFormat="1" ht="12" customHeight="1" x14ac:dyDescent="0.2">
      <c r="A99" s="26" t="s">
        <v>24</v>
      </c>
    </row>
    <row r="100" spans="1:36" s="26" customFormat="1" ht="12" customHeight="1" x14ac:dyDescent="0.2">
      <c r="A100" s="135" t="str">
        <f>'Данные объект'!B33</f>
        <v>Алексанян Г.Р.</v>
      </c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135"/>
      <c r="AC100" s="135"/>
      <c r="AD100" s="135"/>
      <c r="AE100" s="135"/>
      <c r="AF100" s="135"/>
      <c r="AG100" s="135"/>
      <c r="AH100" s="135"/>
      <c r="AI100" s="135"/>
      <c r="AJ100" s="135"/>
    </row>
    <row r="101" spans="1:36" ht="9" customHeight="1" x14ac:dyDescent="0.25">
      <c r="A101" s="133" t="s">
        <v>35</v>
      </c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7"/>
      <c r="Q101" s="17"/>
      <c r="R101" s="17"/>
      <c r="S101" s="17"/>
      <c r="T101" s="17"/>
      <c r="U101" s="16"/>
      <c r="V101" s="16"/>
      <c r="W101" s="16"/>
      <c r="X101" s="16"/>
      <c r="Y101" s="16"/>
      <c r="Z101" s="16"/>
      <c r="AA101" s="16"/>
      <c r="AB101" s="134" t="s">
        <v>34</v>
      </c>
      <c r="AC101" s="134"/>
      <c r="AD101" s="134"/>
      <c r="AE101" s="134"/>
      <c r="AF101" s="134"/>
      <c r="AG101" s="134"/>
      <c r="AH101" s="134"/>
      <c r="AI101" s="134"/>
      <c r="AJ101" s="134"/>
    </row>
    <row r="102" spans="1:36" s="26" customFormat="1" ht="12" customHeight="1" x14ac:dyDescent="0.2">
      <c r="A102" s="26" t="s">
        <v>25</v>
      </c>
    </row>
    <row r="103" spans="1:36" s="26" customFormat="1" ht="12" customHeight="1" x14ac:dyDescent="0.2">
      <c r="A103" s="135" t="str">
        <f>'Данные объект'!B20</f>
        <v>Волков М.Ю.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135"/>
      <c r="AC103" s="135"/>
      <c r="AD103" s="135"/>
      <c r="AE103" s="135"/>
      <c r="AF103" s="135"/>
      <c r="AG103" s="135"/>
      <c r="AH103" s="135"/>
      <c r="AI103" s="135"/>
      <c r="AJ103" s="135"/>
    </row>
    <row r="104" spans="1:36" ht="9" customHeight="1" x14ac:dyDescent="0.25">
      <c r="A104" s="133" t="s">
        <v>35</v>
      </c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7"/>
      <c r="Q104" s="17"/>
      <c r="R104" s="17"/>
      <c r="S104" s="17"/>
      <c r="T104" s="17"/>
      <c r="U104" s="16"/>
      <c r="V104" s="16"/>
      <c r="W104" s="16"/>
      <c r="X104" s="16"/>
      <c r="Y104" s="16"/>
      <c r="Z104" s="16"/>
      <c r="AA104" s="16"/>
      <c r="AB104" s="134" t="s">
        <v>34</v>
      </c>
      <c r="AC104" s="134"/>
      <c r="AD104" s="134"/>
      <c r="AE104" s="134"/>
      <c r="AF104" s="134"/>
      <c r="AG104" s="134"/>
      <c r="AH104" s="134"/>
      <c r="AI104" s="134"/>
      <c r="AJ104" s="134"/>
    </row>
    <row r="105" spans="1:36" s="26" customFormat="1" ht="12" customHeight="1" x14ac:dyDescent="0.2">
      <c r="A105" s="26" t="s">
        <v>27</v>
      </c>
    </row>
    <row r="106" spans="1:36" s="26" customFormat="1" ht="12" customHeight="1" x14ac:dyDescent="0.2">
      <c r="A106" s="26" t="s">
        <v>28</v>
      </c>
    </row>
    <row r="107" spans="1:36" s="26" customFormat="1" ht="12" customHeight="1" x14ac:dyDescent="0.2">
      <c r="A107" s="135" t="str">
        <f>'Данные объект'!B17</f>
        <v>Русин В.А.</v>
      </c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135"/>
      <c r="AC107" s="135"/>
      <c r="AD107" s="135"/>
      <c r="AE107" s="135"/>
      <c r="AF107" s="135"/>
      <c r="AG107" s="135"/>
      <c r="AH107" s="135"/>
      <c r="AI107" s="135"/>
      <c r="AJ107" s="135"/>
    </row>
    <row r="108" spans="1:36" ht="9" customHeight="1" x14ac:dyDescent="0.25">
      <c r="A108" s="133" t="s">
        <v>35</v>
      </c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4" t="s">
        <v>34</v>
      </c>
      <c r="AC108" s="134"/>
      <c r="AD108" s="134"/>
      <c r="AE108" s="134"/>
      <c r="AF108" s="134"/>
      <c r="AG108" s="134"/>
      <c r="AH108" s="134"/>
      <c r="AI108" s="134"/>
      <c r="AJ108" s="134"/>
    </row>
    <row r="109" spans="1:36" s="101" customFormat="1" ht="11.25" x14ac:dyDescent="0.2">
      <c r="A109" s="26" t="s">
        <v>211</v>
      </c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94"/>
      <c r="AC109" s="94"/>
      <c r="AD109" s="94"/>
      <c r="AE109" s="94"/>
      <c r="AF109" s="94"/>
      <c r="AG109" s="94"/>
      <c r="AH109" s="94"/>
      <c r="AI109" s="94"/>
      <c r="AJ109" s="94"/>
    </row>
    <row r="110" spans="1:36" s="101" customFormat="1" ht="11.25" x14ac:dyDescent="0.2">
      <c r="A110" s="135" t="str">
        <f>'[4]Данные объект'!$B$36</f>
        <v>Курчин М.М.</v>
      </c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5"/>
      <c r="AC110" s="135"/>
      <c r="AD110" s="135"/>
      <c r="AE110" s="135"/>
      <c r="AF110" s="135"/>
      <c r="AG110" s="135"/>
      <c r="AH110" s="135"/>
      <c r="AI110" s="135"/>
      <c r="AJ110" s="135"/>
    </row>
    <row r="111" spans="1:36" s="101" customFormat="1" ht="9" customHeight="1" x14ac:dyDescent="0.15">
      <c r="A111" s="133" t="s">
        <v>35</v>
      </c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34" t="s">
        <v>34</v>
      </c>
      <c r="AC111" s="134"/>
      <c r="AD111" s="134"/>
      <c r="AE111" s="134"/>
      <c r="AF111" s="134"/>
      <c r="AG111" s="134"/>
      <c r="AH111" s="134"/>
      <c r="AI111" s="134"/>
      <c r="AJ111" s="134"/>
    </row>
    <row r="112" spans="1:36" s="26" customFormat="1" ht="38.25" customHeight="1" x14ac:dyDescent="0.2">
      <c r="A112" s="136" t="s">
        <v>53</v>
      </c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</row>
    <row r="113" spans="1:36" s="26" customFormat="1" ht="12" customHeight="1" x14ac:dyDescent="0.2">
      <c r="A113" s="135" t="s">
        <v>76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135" t="s">
        <v>76</v>
      </c>
      <c r="AC113" s="135"/>
      <c r="AD113" s="135"/>
      <c r="AE113" s="135"/>
      <c r="AF113" s="135"/>
      <c r="AG113" s="135"/>
      <c r="AH113" s="135"/>
      <c r="AI113" s="135"/>
      <c r="AJ113" s="135"/>
    </row>
    <row r="114" spans="1:36" ht="9" customHeight="1" x14ac:dyDescent="0.25">
      <c r="A114" s="133" t="s">
        <v>35</v>
      </c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134" t="s">
        <v>34</v>
      </c>
      <c r="AC114" s="134"/>
      <c r="AD114" s="134"/>
      <c r="AE114" s="134"/>
      <c r="AF114" s="134"/>
      <c r="AG114" s="134"/>
      <c r="AH114" s="134"/>
      <c r="AI114" s="134"/>
      <c r="AJ114" s="134"/>
    </row>
    <row r="115" spans="1:36" s="26" customFormat="1" ht="40.5" hidden="1" customHeight="1" x14ac:dyDescent="0.2">
      <c r="A115" s="136" t="s">
        <v>55</v>
      </c>
      <c r="B115" s="136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</row>
    <row r="116" spans="1:36" s="26" customFormat="1" ht="12" hidden="1" customHeight="1" x14ac:dyDescent="0.2">
      <c r="A116" s="135" t="e">
        <f>#REF!</f>
        <v>#REF!</v>
      </c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135"/>
      <c r="AC116" s="135"/>
      <c r="AD116" s="135"/>
      <c r="AE116" s="135"/>
      <c r="AF116" s="135"/>
      <c r="AG116" s="135"/>
      <c r="AH116" s="135"/>
      <c r="AI116" s="135"/>
      <c r="AJ116" s="135"/>
    </row>
    <row r="117" spans="1:36" ht="9" hidden="1" customHeight="1" x14ac:dyDescent="0.25">
      <c r="A117" s="133" t="s">
        <v>35</v>
      </c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7"/>
      <c r="Q117" s="17"/>
      <c r="R117" s="17"/>
      <c r="S117" s="17"/>
      <c r="T117" s="17"/>
      <c r="U117" s="16"/>
      <c r="V117" s="16"/>
      <c r="W117" s="16"/>
      <c r="X117" s="16"/>
      <c r="Y117" s="16"/>
      <c r="Z117" s="16"/>
      <c r="AA117" s="16"/>
      <c r="AB117" s="134" t="s">
        <v>34</v>
      </c>
      <c r="AC117" s="134"/>
      <c r="AD117" s="134"/>
      <c r="AE117" s="134"/>
      <c r="AF117" s="134"/>
      <c r="AG117" s="134"/>
      <c r="AH117" s="134"/>
      <c r="AI117" s="134"/>
      <c r="AJ117" s="134"/>
    </row>
    <row r="118" spans="1:36" ht="12" customHeight="1" x14ac:dyDescent="0.25"/>
  </sheetData>
  <mergeCells count="99">
    <mergeCell ref="AB111:AJ111"/>
    <mergeCell ref="A20:AJ20"/>
    <mergeCell ref="A4:AJ4"/>
    <mergeCell ref="A5:AJ5"/>
    <mergeCell ref="A6:AJ6"/>
    <mergeCell ref="A7:AJ8"/>
    <mergeCell ref="A9:AJ9"/>
    <mergeCell ref="A10:AJ10"/>
    <mergeCell ref="A11:AJ11"/>
    <mergeCell ref="A12:AJ12"/>
    <mergeCell ref="A13:AJ13"/>
    <mergeCell ref="A14:AJ14"/>
    <mergeCell ref="A16:AJ16"/>
    <mergeCell ref="A17:AJ17"/>
    <mergeCell ref="A18:AJ18"/>
    <mergeCell ref="A19:AJ19"/>
    <mergeCell ref="A37:AJ37"/>
    <mergeCell ref="AB33:AI33"/>
    <mergeCell ref="AB34:AI34"/>
    <mergeCell ref="A21:AJ21"/>
    <mergeCell ref="A23:AJ23"/>
    <mergeCell ref="A24:AJ24"/>
    <mergeCell ref="A25:AJ25"/>
    <mergeCell ref="A26:AJ26"/>
    <mergeCell ref="A27:AJ27"/>
    <mergeCell ref="A28:AJ28"/>
    <mergeCell ref="A30:AJ30"/>
    <mergeCell ref="A31:AJ31"/>
    <mergeCell ref="E33:G33"/>
    <mergeCell ref="A36:AJ36"/>
    <mergeCell ref="A53:AJ53"/>
    <mergeCell ref="A38:AJ38"/>
    <mergeCell ref="A39:AJ39"/>
    <mergeCell ref="A40:AJ40"/>
    <mergeCell ref="A42:AJ42"/>
    <mergeCell ref="A43:AJ43"/>
    <mergeCell ref="A44:AJ44"/>
    <mergeCell ref="A45:AJ45"/>
    <mergeCell ref="A46:AJ46"/>
    <mergeCell ref="A50:AJ50"/>
    <mergeCell ref="A51:AJ51"/>
    <mergeCell ref="A52:AJ52"/>
    <mergeCell ref="A47:AJ47"/>
    <mergeCell ref="A48:AJ48"/>
    <mergeCell ref="A49:AJ49"/>
    <mergeCell ref="A64:AJ64"/>
    <mergeCell ref="A66:AJ66"/>
    <mergeCell ref="A67:AJ67"/>
    <mergeCell ref="P68:AJ68"/>
    <mergeCell ref="P69:AJ69"/>
    <mergeCell ref="A63:AJ63"/>
    <mergeCell ref="A54:AJ54"/>
    <mergeCell ref="A55:AJ55"/>
    <mergeCell ref="A56:AJ56"/>
    <mergeCell ref="A57:AJ57"/>
    <mergeCell ref="A59:AJ59"/>
    <mergeCell ref="A60:AJ60"/>
    <mergeCell ref="A83:AJ83"/>
    <mergeCell ref="P78:W78"/>
    <mergeCell ref="P79:W79"/>
    <mergeCell ref="A71:AJ71"/>
    <mergeCell ref="G73:AJ73"/>
    <mergeCell ref="A74:B74"/>
    <mergeCell ref="G74:AJ74"/>
    <mergeCell ref="A75:AJ75"/>
    <mergeCell ref="A76:AJ76"/>
    <mergeCell ref="A82:AJ82"/>
    <mergeCell ref="A101:O101"/>
    <mergeCell ref="AB101:AJ101"/>
    <mergeCell ref="A84:AJ84"/>
    <mergeCell ref="A85:AJ85"/>
    <mergeCell ref="A87:AJ87"/>
    <mergeCell ref="A88:AJ88"/>
    <mergeCell ref="L89:AJ89"/>
    <mergeCell ref="H91:I91"/>
    <mergeCell ref="A96:AJ96"/>
    <mergeCell ref="A100:O100"/>
    <mergeCell ref="AB100:AJ100"/>
    <mergeCell ref="A114:O114"/>
    <mergeCell ref="AB114:AJ114"/>
    <mergeCell ref="A103:O103"/>
    <mergeCell ref="AB103:AJ103"/>
    <mergeCell ref="A104:O104"/>
    <mergeCell ref="AB104:AJ104"/>
    <mergeCell ref="A107:O107"/>
    <mergeCell ref="AB107:AJ107"/>
    <mergeCell ref="A108:O108"/>
    <mergeCell ref="AB108:AJ108"/>
    <mergeCell ref="A112:AJ112"/>
    <mergeCell ref="A113:O113"/>
    <mergeCell ref="AB113:AJ113"/>
    <mergeCell ref="A110:O110"/>
    <mergeCell ref="AB110:AJ110"/>
    <mergeCell ref="A111:O111"/>
    <mergeCell ref="A115:AJ115"/>
    <mergeCell ref="A116:O116"/>
    <mergeCell ref="AB116:AJ116"/>
    <mergeCell ref="A117:O117"/>
    <mergeCell ref="AB117:AJ117"/>
  </mergeCells>
  <pageMargins left="0.78740157480314965" right="0.27559055118110237" top="0.39370078740157483" bottom="0.39370078740157483" header="0" footer="0"/>
  <pageSetup paperSize="9" scale="95" fitToHeight="3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CE3A-E313-4817-ACD7-F63723DFE538}">
  <sheetPr>
    <tabColor indexed="57"/>
    <pageSetUpPr fitToPage="1"/>
  </sheetPr>
  <dimension ref="A1:AQ120"/>
  <sheetViews>
    <sheetView view="pageBreakPreview" topLeftCell="A58" zoomScale="125" zoomScaleNormal="125" zoomScaleSheetLayoutView="125" workbookViewId="0">
      <selection activeCell="A89" sqref="A89:AJ89"/>
    </sheetView>
  </sheetViews>
  <sheetFormatPr defaultColWidth="10.6640625" defaultRowHeight="15" x14ac:dyDescent="0.25"/>
  <cols>
    <col min="1" max="5" width="2.83203125" style="1" customWidth="1"/>
    <col min="6" max="6" width="11.1640625" style="1" customWidth="1"/>
    <col min="7" max="7" width="5.66406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47.2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6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P81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tr">
        <f>'АОСР-3'!A87</f>
        <v>Выравнивание цементно-песчаной стяжкой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5.75" customHeight="1" x14ac:dyDescent="0.2">
      <c r="A68" s="26" t="s">
        <v>12</v>
      </c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</row>
    <row r="69" spans="1:36" s="26" customFormat="1" ht="12" customHeight="1" x14ac:dyDescent="0.2">
      <c r="A69" s="31" t="s">
        <v>222</v>
      </c>
      <c r="B69" s="86"/>
      <c r="C69" s="86"/>
      <c r="D69" s="86"/>
      <c r="E69" s="86"/>
      <c r="F69" s="86"/>
      <c r="G69" s="86"/>
      <c r="H69" s="31" t="s">
        <v>223</v>
      </c>
      <c r="I69" s="86"/>
      <c r="J69" s="86"/>
      <c r="K69" s="86"/>
      <c r="L69" s="86"/>
      <c r="M69" s="86"/>
      <c r="N69" s="86"/>
      <c r="O69" s="86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</row>
    <row r="70" spans="1:36" s="26" customFormat="1" ht="15.75" hidden="1" customHeight="1" x14ac:dyDescent="0.2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</row>
    <row r="71" spans="1:36" s="26" customFormat="1" ht="15.75" hidden="1" customHeight="1" x14ac:dyDescent="0.2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</row>
    <row r="72" spans="1:36" s="2" customFormat="1" ht="7.5" customHeight="1" x14ac:dyDescent="0.2">
      <c r="A72" s="134" t="s">
        <v>57</v>
      </c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</row>
    <row r="73" spans="1:36" ht="18.75" customHeight="1" x14ac:dyDescent="0.25">
      <c r="A73" s="137" t="s">
        <v>58</v>
      </c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s="26" customFormat="1" ht="12" customHeight="1" x14ac:dyDescent="0.2">
      <c r="A74" s="26" t="s">
        <v>11</v>
      </c>
    </row>
    <row r="75" spans="1:36" s="26" customFormat="1" ht="12" customHeight="1" x14ac:dyDescent="0.2">
      <c r="A75" s="26" t="s">
        <v>10</v>
      </c>
      <c r="G75" s="140" t="str">
        <f>'АОСР-3'!G73:AJ73</f>
        <v>Исполнительная схема устройства фундамента под 2БРП №171</v>
      </c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7.5" customHeight="1" x14ac:dyDescent="0.25">
      <c r="A76" s="142"/>
      <c r="B76" s="142"/>
      <c r="C76" s="8"/>
      <c r="D76" s="8"/>
      <c r="E76" s="8"/>
      <c r="F76" s="8"/>
      <c r="G76" s="138" t="s">
        <v>9</v>
      </c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s="26" customFormat="1" ht="12" customHeight="1" x14ac:dyDescent="0.2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</row>
    <row r="78" spans="1:36" ht="7.5" customHeight="1" x14ac:dyDescent="0.25">
      <c r="A78" s="137" t="s">
        <v>31</v>
      </c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</row>
    <row r="79" spans="1:36" ht="9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s="26" customFormat="1" ht="12" customHeight="1" x14ac:dyDescent="0.2">
      <c r="A80" s="26" t="s">
        <v>8</v>
      </c>
      <c r="D80" s="35"/>
      <c r="E80" s="35"/>
      <c r="F80" s="35"/>
      <c r="G80" s="35"/>
      <c r="L80" s="27"/>
      <c r="M80" s="38"/>
      <c r="N80" s="38"/>
      <c r="P80" s="139">
        <f>'Данные объект'!B6</f>
        <v>45949</v>
      </c>
      <c r="Q80" s="139"/>
      <c r="R80" s="139"/>
      <c r="S80" s="139"/>
      <c r="T80" s="139"/>
      <c r="U80" s="139"/>
      <c r="V80" s="139"/>
      <c r="W80" s="139"/>
    </row>
    <row r="81" spans="1:36" s="26" customFormat="1" ht="12" customHeight="1" x14ac:dyDescent="0.2">
      <c r="A81" s="26" t="s">
        <v>7</v>
      </c>
      <c r="D81" s="35"/>
      <c r="E81" s="35"/>
      <c r="F81" s="35"/>
      <c r="G81" s="35"/>
      <c r="L81" s="27"/>
      <c r="M81" s="38"/>
      <c r="N81" s="38"/>
      <c r="P81" s="158">
        <f>'Данные объект'!B7</f>
        <v>46219</v>
      </c>
      <c r="Q81" s="158"/>
      <c r="R81" s="158"/>
      <c r="S81" s="158"/>
      <c r="T81" s="158"/>
      <c r="U81" s="158"/>
      <c r="V81" s="158"/>
      <c r="W81" s="158"/>
    </row>
    <row r="82" spans="1:36" s="26" customFormat="1" ht="7.5" customHeight="1" x14ac:dyDescent="0.2">
      <c r="A82" s="39"/>
      <c r="B82" s="39"/>
      <c r="C82" s="39"/>
      <c r="D82" s="40"/>
      <c r="E82" s="40"/>
      <c r="F82" s="40"/>
      <c r="G82" s="40"/>
    </row>
    <row r="83" spans="1:36" s="26" customFormat="1" ht="12" customHeight="1" x14ac:dyDescent="0.2">
      <c r="A83" s="26" t="s">
        <v>5</v>
      </c>
    </row>
    <row r="84" spans="1:36" s="26" customFormat="1" ht="12" customHeight="1" x14ac:dyDescent="0.2">
      <c r="A84" s="140" t="s">
        <v>108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ht="8.25" customHeight="1" x14ac:dyDescent="0.25">
      <c r="A85" s="137" t="s">
        <v>4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ht="8.25" customHeight="1" x14ac:dyDescent="0.25">
      <c r="A87" s="137" t="s">
        <v>59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s="26" customFormat="1" ht="12" customHeight="1" x14ac:dyDescent="0.2">
      <c r="A88" s="26" t="s">
        <v>3</v>
      </c>
    </row>
    <row r="89" spans="1:36" s="26" customFormat="1" ht="12" customHeight="1" x14ac:dyDescent="0.2">
      <c r="A89" s="135" t="s">
        <v>294</v>
      </c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9" customHeight="1" x14ac:dyDescent="0.25">
      <c r="A90" s="137" t="s">
        <v>32</v>
      </c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</row>
    <row r="91" spans="1:36" s="26" customFormat="1" ht="12" customHeight="1" x14ac:dyDescent="0.2">
      <c r="A91" s="26" t="s">
        <v>2</v>
      </c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</row>
    <row r="92" spans="1:36" ht="6" customHeight="1" x14ac:dyDescent="0.25">
      <c r="D92" s="4"/>
      <c r="E92" s="4"/>
      <c r="F92" s="4"/>
      <c r="G92" s="4"/>
      <c r="H92" s="4"/>
      <c r="I92" s="4"/>
      <c r="J92" s="4"/>
    </row>
    <row r="93" spans="1:36" s="26" customFormat="1" ht="12" customHeight="1" x14ac:dyDescent="0.2">
      <c r="A93" s="26" t="s">
        <v>102</v>
      </c>
      <c r="H93" s="135"/>
      <c r="I93" s="135"/>
      <c r="J93" s="26" t="s">
        <v>33</v>
      </c>
    </row>
    <row r="94" spans="1:36" ht="4.5" customHeight="1" x14ac:dyDescent="0.25"/>
    <row r="95" spans="1:36" s="26" customFormat="1" ht="12" customHeight="1" x14ac:dyDescent="0.2">
      <c r="A95" s="26" t="s">
        <v>1</v>
      </c>
    </row>
    <row r="96" spans="1:36" s="26" customFormat="1" ht="12" customHeight="1" x14ac:dyDescent="0.2">
      <c r="A96" s="31" t="s">
        <v>87</v>
      </c>
      <c r="B96" s="140" t="str">
        <f>H69</f>
        <v>Декларация о соответствии № РОСС RU Д-RU.РА01.В.25133/22</v>
      </c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31" t="s">
        <v>76</v>
      </c>
      <c r="R96" s="31" t="s">
        <v>88</v>
      </c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s="26" customFormat="1" ht="12" customHeight="1" x14ac:dyDescent="0.2">
      <c r="A97" s="31" t="s">
        <v>87</v>
      </c>
      <c r="B97" s="31" t="str">
        <f>G75</f>
        <v>Исполнительная схема устройства фундамента под 2БРП №171</v>
      </c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 t="s">
        <v>76</v>
      </c>
      <c r="Y97" s="31" t="s">
        <v>88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</row>
    <row r="98" spans="1:36" ht="9.75" customHeight="1" x14ac:dyDescent="0.25">
      <c r="A98" s="137" t="s">
        <v>0</v>
      </c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  <c r="AE98" s="138"/>
      <c r="AF98" s="138"/>
      <c r="AG98" s="138"/>
      <c r="AH98" s="138"/>
      <c r="AI98" s="138"/>
      <c r="AJ98" s="138"/>
    </row>
    <row r="99" spans="1:36" ht="6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26" customFormat="1" ht="12" customHeight="1" x14ac:dyDescent="0.2">
      <c r="A100" s="26" t="s">
        <v>23</v>
      </c>
    </row>
    <row r="101" spans="1:36" s="26" customFormat="1" ht="12" customHeight="1" x14ac:dyDescent="0.2">
      <c r="A101" s="26" t="s">
        <v>24</v>
      </c>
    </row>
    <row r="102" spans="1:36" s="26" customFormat="1" ht="12" customHeight="1" x14ac:dyDescent="0.2">
      <c r="A102" s="135" t="str">
        <f>'Данные объект'!B33</f>
        <v>Алексанян Г.Р.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135"/>
      <c r="AC102" s="135"/>
      <c r="AD102" s="135"/>
      <c r="AE102" s="135"/>
      <c r="AF102" s="135"/>
      <c r="AG102" s="135"/>
      <c r="AH102" s="135"/>
      <c r="AI102" s="135"/>
      <c r="AJ102" s="135"/>
    </row>
    <row r="103" spans="1:36" ht="9" customHeight="1" x14ac:dyDescent="0.25">
      <c r="A103" s="133" t="s">
        <v>35</v>
      </c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4" t="s">
        <v>34</v>
      </c>
      <c r="AC103" s="134"/>
      <c r="AD103" s="134"/>
      <c r="AE103" s="134"/>
      <c r="AF103" s="134"/>
      <c r="AG103" s="134"/>
      <c r="AH103" s="134"/>
      <c r="AI103" s="134"/>
      <c r="AJ103" s="134"/>
    </row>
    <row r="104" spans="1:36" s="26" customFormat="1" ht="12" customHeight="1" x14ac:dyDescent="0.2">
      <c r="A104" s="26" t="s">
        <v>25</v>
      </c>
    </row>
    <row r="105" spans="1:36" s="26" customFormat="1" ht="12" customHeight="1" x14ac:dyDescent="0.2">
      <c r="A105" s="135" t="str">
        <f>'Данные объект'!B20</f>
        <v>Волков М.Ю.</v>
      </c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135"/>
      <c r="AC105" s="135"/>
      <c r="AD105" s="135"/>
      <c r="AE105" s="135"/>
      <c r="AF105" s="135"/>
      <c r="AG105" s="135"/>
      <c r="AH105" s="135"/>
      <c r="AI105" s="135"/>
      <c r="AJ105" s="135"/>
    </row>
    <row r="106" spans="1:36" ht="9" customHeight="1" x14ac:dyDescent="0.25">
      <c r="A106" s="133" t="s">
        <v>35</v>
      </c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4" t="s">
        <v>34</v>
      </c>
      <c r="AC106" s="134"/>
      <c r="AD106" s="134"/>
      <c r="AE106" s="134"/>
      <c r="AF106" s="134"/>
      <c r="AG106" s="134"/>
      <c r="AH106" s="134"/>
      <c r="AI106" s="134"/>
      <c r="AJ106" s="134"/>
    </row>
    <row r="107" spans="1:36" s="26" customFormat="1" ht="12" customHeight="1" x14ac:dyDescent="0.2">
      <c r="A107" s="26" t="s">
        <v>27</v>
      </c>
    </row>
    <row r="108" spans="1:36" s="26" customFormat="1" ht="12" customHeight="1" x14ac:dyDescent="0.2">
      <c r="A108" s="26" t="s">
        <v>28</v>
      </c>
    </row>
    <row r="109" spans="1:36" s="26" customFormat="1" ht="12" customHeight="1" x14ac:dyDescent="0.2">
      <c r="A109" s="135" t="str">
        <f>'Данные объект'!B17</f>
        <v>Русин В.А.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135"/>
      <c r="AC109" s="135"/>
      <c r="AD109" s="135"/>
      <c r="AE109" s="135"/>
      <c r="AF109" s="135"/>
      <c r="AG109" s="135"/>
      <c r="AH109" s="135"/>
      <c r="AI109" s="135"/>
      <c r="AJ109" s="135"/>
    </row>
    <row r="110" spans="1:36" ht="9" customHeight="1" x14ac:dyDescent="0.25">
      <c r="A110" s="133" t="s">
        <v>35</v>
      </c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4" t="s">
        <v>34</v>
      </c>
      <c r="AC110" s="134"/>
      <c r="AD110" s="134"/>
      <c r="AE110" s="134"/>
      <c r="AF110" s="134"/>
      <c r="AG110" s="134"/>
      <c r="AH110" s="134"/>
      <c r="AI110" s="134"/>
      <c r="AJ110" s="134"/>
    </row>
    <row r="111" spans="1:36" s="101" customFormat="1" ht="11.25" x14ac:dyDescent="0.2">
      <c r="A111" s="26" t="s">
        <v>211</v>
      </c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94"/>
      <c r="AC111" s="94"/>
      <c r="AD111" s="94"/>
      <c r="AE111" s="94"/>
      <c r="AF111" s="94"/>
      <c r="AG111" s="94"/>
      <c r="AH111" s="94"/>
      <c r="AI111" s="94"/>
      <c r="AJ111" s="94"/>
    </row>
    <row r="112" spans="1:36" s="101" customFormat="1" ht="11.25" x14ac:dyDescent="0.2">
      <c r="A112" s="135" t="str">
        <f>'[4]Данные объект'!$B$36</f>
        <v>Курчин М.М.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5"/>
      <c r="AC112" s="135"/>
      <c r="AD112" s="135"/>
      <c r="AE112" s="135"/>
      <c r="AF112" s="135"/>
      <c r="AG112" s="135"/>
      <c r="AH112" s="135"/>
      <c r="AI112" s="135"/>
      <c r="AJ112" s="135"/>
    </row>
    <row r="113" spans="1:36" s="101" customFormat="1" ht="9" customHeight="1" x14ac:dyDescent="0.15">
      <c r="A113" s="133" t="s">
        <v>35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4" t="s">
        <v>34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s="26" customFormat="1" ht="36" customHeight="1" x14ac:dyDescent="0.2">
      <c r="A114" s="136" t="s">
        <v>53</v>
      </c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</row>
    <row r="115" spans="1:36" s="26" customFormat="1" ht="12" customHeight="1" x14ac:dyDescent="0.2">
      <c r="A115" s="135" t="s">
        <v>76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135" t="s">
        <v>76</v>
      </c>
      <c r="AC115" s="135"/>
      <c r="AD115" s="135"/>
      <c r="AE115" s="135"/>
      <c r="AF115" s="135"/>
      <c r="AG115" s="135"/>
      <c r="AH115" s="135"/>
      <c r="AI115" s="135"/>
      <c r="AJ115" s="135"/>
    </row>
    <row r="116" spans="1:36" ht="9" customHeight="1" x14ac:dyDescent="0.25">
      <c r="A116" s="133" t="s">
        <v>35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4" t="s">
        <v>34</v>
      </c>
      <c r="AC116" s="134"/>
      <c r="AD116" s="134"/>
      <c r="AE116" s="134"/>
      <c r="AF116" s="134"/>
      <c r="AG116" s="134"/>
      <c r="AH116" s="134"/>
      <c r="AI116" s="134"/>
      <c r="AJ116" s="134"/>
    </row>
    <row r="117" spans="1:36" s="26" customFormat="1" ht="40.5" hidden="1" customHeight="1" x14ac:dyDescent="0.2">
      <c r="A117" s="136" t="s">
        <v>55</v>
      </c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</row>
    <row r="118" spans="1:36" ht="12" hidden="1" customHeight="1" x14ac:dyDescent="0.25">
      <c r="A118" s="154" t="e">
        <f>#REF!</f>
        <v>#REF!</v>
      </c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5"/>
      <c r="AC118" s="155"/>
      <c r="AD118" s="155"/>
      <c r="AE118" s="155"/>
      <c r="AF118" s="155"/>
      <c r="AG118" s="155"/>
      <c r="AH118" s="155"/>
      <c r="AI118" s="155"/>
      <c r="AJ118" s="155"/>
    </row>
    <row r="119" spans="1:36" ht="9" hidden="1" customHeight="1" x14ac:dyDescent="0.25">
      <c r="A119" s="133" t="s">
        <v>35</v>
      </c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4" t="s">
        <v>34</v>
      </c>
      <c r="AC119" s="134"/>
      <c r="AD119" s="134"/>
      <c r="AE119" s="134"/>
      <c r="AF119" s="134"/>
      <c r="AG119" s="134"/>
      <c r="AH119" s="134"/>
      <c r="AI119" s="134"/>
      <c r="AJ119" s="134"/>
    </row>
    <row r="120" spans="1:36" ht="12" hidden="1" customHeight="1" x14ac:dyDescent="0.25"/>
  </sheetData>
  <mergeCells count="99">
    <mergeCell ref="A112:O112"/>
    <mergeCell ref="AB112:AJ112"/>
    <mergeCell ref="A113:O113"/>
    <mergeCell ref="AB113:AJ113"/>
    <mergeCell ref="A10:AJ10"/>
    <mergeCell ref="A24:AJ24"/>
    <mergeCell ref="A11:AJ11"/>
    <mergeCell ref="A12:AJ12"/>
    <mergeCell ref="A13:AJ13"/>
    <mergeCell ref="A14:AJ14"/>
    <mergeCell ref="A16:AJ16"/>
    <mergeCell ref="A17:AJ17"/>
    <mergeCell ref="A18:AJ18"/>
    <mergeCell ref="A19:AJ19"/>
    <mergeCell ref="A20:AJ20"/>
    <mergeCell ref="A21:AJ21"/>
    <mergeCell ref="A4:AJ4"/>
    <mergeCell ref="A5:AJ5"/>
    <mergeCell ref="A6:AJ6"/>
    <mergeCell ref="A7:AJ8"/>
    <mergeCell ref="A9:AJ9"/>
    <mergeCell ref="A23:AJ23"/>
    <mergeCell ref="A38:AJ38"/>
    <mergeCell ref="A25:AJ25"/>
    <mergeCell ref="A26:AJ26"/>
    <mergeCell ref="A27:AJ27"/>
    <mergeCell ref="A28:AJ28"/>
    <mergeCell ref="A30:AJ30"/>
    <mergeCell ref="A31:AJ31"/>
    <mergeCell ref="E33:G33"/>
    <mergeCell ref="AB33:AI33"/>
    <mergeCell ref="AB34:AI34"/>
    <mergeCell ref="A36:AJ36"/>
    <mergeCell ref="A37:AJ37"/>
    <mergeCell ref="A54:AJ54"/>
    <mergeCell ref="A39:AJ39"/>
    <mergeCell ref="A40:AJ40"/>
    <mergeCell ref="A42:AJ42"/>
    <mergeCell ref="A43:AJ43"/>
    <mergeCell ref="A44:AJ44"/>
    <mergeCell ref="A45:AJ45"/>
    <mergeCell ref="A46:AJ46"/>
    <mergeCell ref="A50:AJ50"/>
    <mergeCell ref="A51:AJ51"/>
    <mergeCell ref="A52:AJ52"/>
    <mergeCell ref="A53:AJ53"/>
    <mergeCell ref="A47:AJ47"/>
    <mergeCell ref="A48:AJ48"/>
    <mergeCell ref="A49:AJ49"/>
    <mergeCell ref="A64:AJ64"/>
    <mergeCell ref="A66:AJ66"/>
    <mergeCell ref="A67:AJ67"/>
    <mergeCell ref="A73:AJ73"/>
    <mergeCell ref="A55:AJ55"/>
    <mergeCell ref="A56:AJ56"/>
    <mergeCell ref="A57:AJ57"/>
    <mergeCell ref="A59:AJ59"/>
    <mergeCell ref="A60:AJ60"/>
    <mergeCell ref="A63:AJ63"/>
    <mergeCell ref="A89:AJ89"/>
    <mergeCell ref="G75:AJ75"/>
    <mergeCell ref="A76:B76"/>
    <mergeCell ref="G76:AJ76"/>
    <mergeCell ref="A77:AJ77"/>
    <mergeCell ref="A78:AJ78"/>
    <mergeCell ref="P80:W80"/>
    <mergeCell ref="P81:W81"/>
    <mergeCell ref="A84:AJ84"/>
    <mergeCell ref="A85:AJ85"/>
    <mergeCell ref="A86:AJ86"/>
    <mergeCell ref="A87:AJ87"/>
    <mergeCell ref="A90:AJ90"/>
    <mergeCell ref="L91:AJ91"/>
    <mergeCell ref="H93:I93"/>
    <mergeCell ref="B96:P96"/>
    <mergeCell ref="A98:AJ98"/>
    <mergeCell ref="AB110:AJ110"/>
    <mergeCell ref="A102:O102"/>
    <mergeCell ref="AB102:AJ102"/>
    <mergeCell ref="A103:O103"/>
    <mergeCell ref="AB103:AJ103"/>
    <mergeCell ref="A105:O105"/>
    <mergeCell ref="AB105:AJ105"/>
    <mergeCell ref="A118:O118"/>
    <mergeCell ref="AB118:AJ118"/>
    <mergeCell ref="A119:O119"/>
    <mergeCell ref="AB119:AJ119"/>
    <mergeCell ref="A72:AJ72"/>
    <mergeCell ref="A114:AJ114"/>
    <mergeCell ref="A115:O115"/>
    <mergeCell ref="AB115:AJ115"/>
    <mergeCell ref="A116:O116"/>
    <mergeCell ref="AB116:AJ116"/>
    <mergeCell ref="A117:AJ117"/>
    <mergeCell ref="A106:O106"/>
    <mergeCell ref="AB106:AJ106"/>
    <mergeCell ref="A109:O109"/>
    <mergeCell ref="AB109:AJ109"/>
    <mergeCell ref="A110:O110"/>
  </mergeCells>
  <pageMargins left="0.78740157480314965" right="0.27559055118110237" top="0.39370078740157483" bottom="0.39370078740157483" header="0" footer="0"/>
  <pageSetup paperSize="9" scale="90" fitToHeight="3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523B-772F-4845-9343-1D7DBE862D27}">
  <sheetPr>
    <tabColor indexed="57"/>
    <pageSetUpPr fitToPage="1"/>
  </sheetPr>
  <dimension ref="A1:AQ120"/>
  <sheetViews>
    <sheetView view="pageBreakPreview" topLeftCell="A58" zoomScale="125" zoomScaleNormal="125" zoomScaleSheetLayoutView="125" workbookViewId="0">
      <selection activeCell="A89" sqref="A89:AJ89"/>
    </sheetView>
  </sheetViews>
  <sheetFormatPr defaultColWidth="10.6640625" defaultRowHeight="15" x14ac:dyDescent="0.25"/>
  <cols>
    <col min="1" max="2" width="2.83203125" style="1" customWidth="1"/>
    <col min="3" max="3" width="4.1640625" style="1" customWidth="1"/>
    <col min="4" max="5" width="2.83203125" style="1" customWidth="1"/>
    <col min="6" max="6" width="11.1640625" style="1" customWidth="1"/>
    <col min="7" max="7" width="5.66406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47.2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9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0.5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113"/>
      <c r="B32" s="113"/>
      <c r="C32" s="113"/>
      <c r="D32" s="113"/>
      <c r="E32" s="113"/>
      <c r="F32" s="113"/>
      <c r="G32" s="113"/>
      <c r="H32" s="113"/>
      <c r="I32" s="113"/>
      <c r="J32" s="113"/>
    </row>
    <row r="33" spans="1:36" s="26" customFormat="1" ht="12.95" customHeight="1" x14ac:dyDescent="0.2">
      <c r="A33" s="30"/>
      <c r="B33" s="30" t="s">
        <v>18</v>
      </c>
      <c r="C33" s="114" t="s">
        <v>316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P81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52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">
        <v>269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5.75" customHeight="1" x14ac:dyDescent="0.2">
      <c r="A68" s="26" t="s">
        <v>12</v>
      </c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</row>
    <row r="69" spans="1:36" s="26" customFormat="1" ht="12" customHeight="1" x14ac:dyDescent="0.2">
      <c r="A69" s="31" t="s">
        <v>271</v>
      </c>
      <c r="B69" s="86"/>
      <c r="C69" s="86"/>
      <c r="D69" s="86"/>
      <c r="E69" s="86"/>
      <c r="F69" s="86"/>
      <c r="G69" s="86"/>
      <c r="H69" s="31" t="s">
        <v>272</v>
      </c>
      <c r="I69" s="86"/>
      <c r="J69" s="86"/>
      <c r="K69" s="86"/>
      <c r="L69" s="86"/>
      <c r="M69" s="86"/>
      <c r="N69" s="86"/>
      <c r="O69" s="86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</row>
    <row r="70" spans="1:36" s="26" customFormat="1" ht="15.75" hidden="1" customHeight="1" x14ac:dyDescent="0.2">
      <c r="A70" s="31" t="s">
        <v>270</v>
      </c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</row>
    <row r="71" spans="1:36" s="26" customFormat="1" ht="15.75" hidden="1" customHeight="1" x14ac:dyDescent="0.2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</row>
    <row r="72" spans="1:36" s="2" customFormat="1" ht="7.5" customHeight="1" x14ac:dyDescent="0.2">
      <c r="A72" s="134" t="s">
        <v>57</v>
      </c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</row>
    <row r="73" spans="1:36" ht="18.75" customHeight="1" x14ac:dyDescent="0.25">
      <c r="A73" s="137" t="s">
        <v>58</v>
      </c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s="26" customFormat="1" ht="12" customHeight="1" x14ac:dyDescent="0.2">
      <c r="A74" s="26" t="s">
        <v>11</v>
      </c>
    </row>
    <row r="75" spans="1:36" s="26" customFormat="1" ht="12" customHeight="1" x14ac:dyDescent="0.2">
      <c r="A75" s="26" t="s">
        <v>10</v>
      </c>
      <c r="G75" s="140" t="str">
        <f>'АОСР-3'!G73:AJ73</f>
        <v>Исполнительная схема устройства фундамента под 2БРП №171</v>
      </c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7.5" customHeight="1" x14ac:dyDescent="0.25">
      <c r="A76" s="142"/>
      <c r="B76" s="142"/>
      <c r="C76" s="8"/>
      <c r="D76" s="8"/>
      <c r="E76" s="8"/>
      <c r="F76" s="8"/>
      <c r="G76" s="138" t="s">
        <v>9</v>
      </c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s="26" customFormat="1" ht="12" customHeight="1" x14ac:dyDescent="0.2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</row>
    <row r="78" spans="1:36" ht="7.5" customHeight="1" x14ac:dyDescent="0.25">
      <c r="A78" s="137" t="s">
        <v>31</v>
      </c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</row>
    <row r="79" spans="1:36" ht="9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s="26" customFormat="1" ht="12" customHeight="1" x14ac:dyDescent="0.2">
      <c r="A80" s="26" t="s">
        <v>8</v>
      </c>
      <c r="D80" s="35"/>
      <c r="E80" s="35"/>
      <c r="F80" s="35"/>
      <c r="G80" s="35"/>
      <c r="L80" s="27"/>
      <c r="M80" s="38"/>
      <c r="N80" s="38"/>
      <c r="P80" s="139">
        <f>'Данные объект'!B6</f>
        <v>45949</v>
      </c>
      <c r="Q80" s="139"/>
      <c r="R80" s="139"/>
      <c r="S80" s="139"/>
      <c r="T80" s="139"/>
      <c r="U80" s="139"/>
      <c r="V80" s="139"/>
      <c r="W80" s="139"/>
    </row>
    <row r="81" spans="1:36" s="26" customFormat="1" ht="12" customHeight="1" x14ac:dyDescent="0.2">
      <c r="A81" s="26" t="s">
        <v>7</v>
      </c>
      <c r="D81" s="35"/>
      <c r="E81" s="35"/>
      <c r="F81" s="35"/>
      <c r="G81" s="35"/>
      <c r="L81" s="27"/>
      <c r="M81" s="38"/>
      <c r="N81" s="38"/>
      <c r="P81" s="158">
        <f>'Данные объект'!B7</f>
        <v>46219</v>
      </c>
      <c r="Q81" s="158"/>
      <c r="R81" s="158"/>
      <c r="S81" s="158"/>
      <c r="T81" s="158"/>
      <c r="U81" s="158"/>
      <c r="V81" s="158"/>
      <c r="W81" s="158"/>
    </row>
    <row r="82" spans="1:36" s="26" customFormat="1" ht="7.5" customHeight="1" x14ac:dyDescent="0.2">
      <c r="A82" s="39"/>
      <c r="B82" s="39"/>
      <c r="C82" s="39"/>
      <c r="D82" s="40"/>
      <c r="E82" s="40"/>
      <c r="F82" s="40"/>
      <c r="G82" s="40"/>
    </row>
    <row r="83" spans="1:36" s="26" customFormat="1" ht="12" customHeight="1" x14ac:dyDescent="0.2">
      <c r="A83" s="26" t="s">
        <v>5</v>
      </c>
    </row>
    <row r="84" spans="1:36" s="26" customFormat="1" ht="12" customHeight="1" x14ac:dyDescent="0.2">
      <c r="A84" s="140" t="s">
        <v>108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ht="8.25" customHeight="1" x14ac:dyDescent="0.25">
      <c r="A85" s="137" t="s">
        <v>4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ht="8.25" customHeight="1" x14ac:dyDescent="0.25">
      <c r="A87" s="137" t="s">
        <v>59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s="26" customFormat="1" ht="12" customHeight="1" x14ac:dyDescent="0.2">
      <c r="A88" s="26" t="s">
        <v>3</v>
      </c>
    </row>
    <row r="89" spans="1:36" s="26" customFormat="1" ht="12" customHeight="1" x14ac:dyDescent="0.2">
      <c r="A89" s="135" t="s">
        <v>294</v>
      </c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9" customHeight="1" x14ac:dyDescent="0.25">
      <c r="A90" s="137" t="s">
        <v>32</v>
      </c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</row>
    <row r="91" spans="1:36" s="26" customFormat="1" ht="12" customHeight="1" x14ac:dyDescent="0.2">
      <c r="A91" s="26" t="s">
        <v>2</v>
      </c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</row>
    <row r="92" spans="1:36" ht="6" customHeight="1" x14ac:dyDescent="0.25">
      <c r="D92" s="4"/>
      <c r="E92" s="4"/>
      <c r="F92" s="4"/>
      <c r="G92" s="4"/>
      <c r="H92" s="4"/>
      <c r="I92" s="4"/>
      <c r="J92" s="4"/>
    </row>
    <row r="93" spans="1:36" s="26" customFormat="1" ht="12" customHeight="1" x14ac:dyDescent="0.2">
      <c r="A93" s="26" t="s">
        <v>102</v>
      </c>
      <c r="H93" s="135"/>
      <c r="I93" s="135"/>
      <c r="J93" s="26" t="s">
        <v>33</v>
      </c>
    </row>
    <row r="94" spans="1:36" ht="4.5" customHeight="1" x14ac:dyDescent="0.25"/>
    <row r="95" spans="1:36" s="26" customFormat="1" ht="12" customHeight="1" x14ac:dyDescent="0.2">
      <c r="A95" s="26" t="s">
        <v>1</v>
      </c>
    </row>
    <row r="96" spans="1:36" s="26" customFormat="1" ht="12" customHeight="1" x14ac:dyDescent="0.2">
      <c r="A96" s="31" t="s">
        <v>87</v>
      </c>
      <c r="B96" s="140" t="str">
        <f>H69</f>
        <v>Сертификат качества №122503424 от 30.01.2025</v>
      </c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31" t="s">
        <v>76</v>
      </c>
      <c r="R96" s="31" t="s">
        <v>273</v>
      </c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s="26" customFormat="1" ht="12" customHeight="1" x14ac:dyDescent="0.2">
      <c r="A97" s="31" t="s">
        <v>87</v>
      </c>
      <c r="B97" s="31" t="str">
        <f>G75</f>
        <v>Исполнительная схема устройства фундамента под 2БРП №171</v>
      </c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 t="s">
        <v>76</v>
      </c>
      <c r="Y97" s="31" t="s">
        <v>88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</row>
    <row r="98" spans="1:36" ht="9.75" customHeight="1" x14ac:dyDescent="0.25">
      <c r="A98" s="137" t="s">
        <v>0</v>
      </c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  <c r="AE98" s="138"/>
      <c r="AF98" s="138"/>
      <c r="AG98" s="138"/>
      <c r="AH98" s="138"/>
      <c r="AI98" s="138"/>
      <c r="AJ98" s="138"/>
    </row>
    <row r="99" spans="1:36" ht="6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26" customFormat="1" ht="12" customHeight="1" x14ac:dyDescent="0.2">
      <c r="A100" s="26" t="s">
        <v>23</v>
      </c>
    </row>
    <row r="101" spans="1:36" s="26" customFormat="1" ht="12" customHeight="1" x14ac:dyDescent="0.2">
      <c r="A101" s="26" t="s">
        <v>24</v>
      </c>
    </row>
    <row r="102" spans="1:36" s="26" customFormat="1" ht="12" customHeight="1" x14ac:dyDescent="0.2">
      <c r="A102" s="135" t="str">
        <f>'Данные объект'!B33</f>
        <v>Алексанян Г.Р.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135"/>
      <c r="AC102" s="135"/>
      <c r="AD102" s="135"/>
      <c r="AE102" s="135"/>
      <c r="AF102" s="135"/>
      <c r="AG102" s="135"/>
      <c r="AH102" s="135"/>
      <c r="AI102" s="135"/>
      <c r="AJ102" s="135"/>
    </row>
    <row r="103" spans="1:36" ht="9" customHeight="1" x14ac:dyDescent="0.25">
      <c r="A103" s="133" t="s">
        <v>35</v>
      </c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4" t="s">
        <v>34</v>
      </c>
      <c r="AC103" s="134"/>
      <c r="AD103" s="134"/>
      <c r="AE103" s="134"/>
      <c r="AF103" s="134"/>
      <c r="AG103" s="134"/>
      <c r="AH103" s="134"/>
      <c r="AI103" s="134"/>
      <c r="AJ103" s="134"/>
    </row>
    <row r="104" spans="1:36" s="26" customFormat="1" ht="12" customHeight="1" x14ac:dyDescent="0.2">
      <c r="A104" s="26" t="s">
        <v>25</v>
      </c>
    </row>
    <row r="105" spans="1:36" s="26" customFormat="1" ht="12" customHeight="1" x14ac:dyDescent="0.2">
      <c r="A105" s="135" t="str">
        <f>'Данные объект'!B20</f>
        <v>Волков М.Ю.</v>
      </c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135"/>
      <c r="AC105" s="135"/>
      <c r="AD105" s="135"/>
      <c r="AE105" s="135"/>
      <c r="AF105" s="135"/>
      <c r="AG105" s="135"/>
      <c r="AH105" s="135"/>
      <c r="AI105" s="135"/>
      <c r="AJ105" s="135"/>
    </row>
    <row r="106" spans="1:36" ht="9" customHeight="1" x14ac:dyDescent="0.25">
      <c r="A106" s="133" t="s">
        <v>35</v>
      </c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4" t="s">
        <v>34</v>
      </c>
      <c r="AC106" s="134"/>
      <c r="AD106" s="134"/>
      <c r="AE106" s="134"/>
      <c r="AF106" s="134"/>
      <c r="AG106" s="134"/>
      <c r="AH106" s="134"/>
      <c r="AI106" s="134"/>
      <c r="AJ106" s="134"/>
    </row>
    <row r="107" spans="1:36" s="26" customFormat="1" ht="12" customHeight="1" x14ac:dyDescent="0.2">
      <c r="A107" s="26" t="s">
        <v>27</v>
      </c>
    </row>
    <row r="108" spans="1:36" s="26" customFormat="1" ht="12" customHeight="1" x14ac:dyDescent="0.2">
      <c r="A108" s="26" t="s">
        <v>28</v>
      </c>
    </row>
    <row r="109" spans="1:36" s="26" customFormat="1" ht="12" customHeight="1" x14ac:dyDescent="0.2">
      <c r="A109" s="135" t="str">
        <f>'Данные объект'!B17</f>
        <v>Русин В.А.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135"/>
      <c r="AC109" s="135"/>
      <c r="AD109" s="135"/>
      <c r="AE109" s="135"/>
      <c r="AF109" s="135"/>
      <c r="AG109" s="135"/>
      <c r="AH109" s="135"/>
      <c r="AI109" s="135"/>
      <c r="AJ109" s="135"/>
    </row>
    <row r="110" spans="1:36" ht="9" customHeight="1" x14ac:dyDescent="0.25">
      <c r="A110" s="133" t="s">
        <v>35</v>
      </c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4" t="s">
        <v>34</v>
      </c>
      <c r="AC110" s="134"/>
      <c r="AD110" s="134"/>
      <c r="AE110" s="134"/>
      <c r="AF110" s="134"/>
      <c r="AG110" s="134"/>
      <c r="AH110" s="134"/>
      <c r="AI110" s="134"/>
      <c r="AJ110" s="134"/>
    </row>
    <row r="111" spans="1:36" s="101" customFormat="1" ht="11.25" x14ac:dyDescent="0.2">
      <c r="A111" s="26" t="s">
        <v>211</v>
      </c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11"/>
      <c r="AC111" s="111"/>
      <c r="AD111" s="111"/>
      <c r="AE111" s="111"/>
      <c r="AF111" s="111"/>
      <c r="AG111" s="111"/>
      <c r="AH111" s="111"/>
      <c r="AI111" s="111"/>
      <c r="AJ111" s="111"/>
    </row>
    <row r="112" spans="1:36" s="101" customFormat="1" ht="11.25" x14ac:dyDescent="0.2">
      <c r="A112" s="135" t="str">
        <f>'[4]Данные объект'!$B$36</f>
        <v>Курчин М.М.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5"/>
      <c r="AC112" s="135"/>
      <c r="AD112" s="135"/>
      <c r="AE112" s="135"/>
      <c r="AF112" s="135"/>
      <c r="AG112" s="135"/>
      <c r="AH112" s="135"/>
      <c r="AI112" s="135"/>
      <c r="AJ112" s="135"/>
    </row>
    <row r="113" spans="1:36" s="101" customFormat="1" ht="9" customHeight="1" x14ac:dyDescent="0.15">
      <c r="A113" s="133" t="s">
        <v>35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4" t="s">
        <v>34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s="26" customFormat="1" ht="36" customHeight="1" x14ac:dyDescent="0.2">
      <c r="A114" s="136" t="s">
        <v>53</v>
      </c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</row>
    <row r="115" spans="1:36" s="26" customFormat="1" ht="12" customHeight="1" x14ac:dyDescent="0.2">
      <c r="A115" s="135" t="s">
        <v>76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135" t="s">
        <v>76</v>
      </c>
      <c r="AC115" s="135"/>
      <c r="AD115" s="135"/>
      <c r="AE115" s="135"/>
      <c r="AF115" s="135"/>
      <c r="AG115" s="135"/>
      <c r="AH115" s="135"/>
      <c r="AI115" s="135"/>
      <c r="AJ115" s="135"/>
    </row>
    <row r="116" spans="1:36" ht="9" customHeight="1" x14ac:dyDescent="0.25">
      <c r="A116" s="133" t="s">
        <v>35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4" t="s">
        <v>34</v>
      </c>
      <c r="AC116" s="134"/>
      <c r="AD116" s="134"/>
      <c r="AE116" s="134"/>
      <c r="AF116" s="134"/>
      <c r="AG116" s="134"/>
      <c r="AH116" s="134"/>
      <c r="AI116" s="134"/>
      <c r="AJ116" s="134"/>
    </row>
    <row r="117" spans="1:36" s="26" customFormat="1" ht="40.5" hidden="1" customHeight="1" x14ac:dyDescent="0.2">
      <c r="A117" s="136" t="s">
        <v>55</v>
      </c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</row>
    <row r="118" spans="1:36" ht="12" hidden="1" customHeight="1" x14ac:dyDescent="0.25">
      <c r="A118" s="154" t="e">
        <f>#REF!</f>
        <v>#REF!</v>
      </c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5"/>
      <c r="AC118" s="155"/>
      <c r="AD118" s="155"/>
      <c r="AE118" s="155"/>
      <c r="AF118" s="155"/>
      <c r="AG118" s="155"/>
      <c r="AH118" s="155"/>
      <c r="AI118" s="155"/>
      <c r="AJ118" s="155"/>
    </row>
    <row r="119" spans="1:36" ht="9" hidden="1" customHeight="1" x14ac:dyDescent="0.25">
      <c r="A119" s="133" t="s">
        <v>35</v>
      </c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4" t="s">
        <v>34</v>
      </c>
      <c r="AC119" s="134"/>
      <c r="AD119" s="134"/>
      <c r="AE119" s="134"/>
      <c r="AF119" s="134"/>
      <c r="AG119" s="134"/>
      <c r="AH119" s="134"/>
      <c r="AI119" s="134"/>
      <c r="AJ119" s="134"/>
    </row>
    <row r="120" spans="1:36" ht="12" hidden="1" customHeight="1" x14ac:dyDescent="0.25"/>
  </sheetData>
  <mergeCells count="99">
    <mergeCell ref="A10:AJ10"/>
    <mergeCell ref="A4:AJ4"/>
    <mergeCell ref="A5:AJ5"/>
    <mergeCell ref="A6:AJ6"/>
    <mergeCell ref="A7:AJ8"/>
    <mergeCell ref="A9:AJ9"/>
    <mergeCell ref="A24:AJ24"/>
    <mergeCell ref="A11:AJ11"/>
    <mergeCell ref="A12:AJ12"/>
    <mergeCell ref="A13:AJ13"/>
    <mergeCell ref="A14:AJ14"/>
    <mergeCell ref="A16:AJ16"/>
    <mergeCell ref="A17:AJ17"/>
    <mergeCell ref="A18:AJ18"/>
    <mergeCell ref="A19:AJ19"/>
    <mergeCell ref="A20:AJ20"/>
    <mergeCell ref="A21:AJ21"/>
    <mergeCell ref="A23:AJ23"/>
    <mergeCell ref="A38:AJ38"/>
    <mergeCell ref="A25:AJ25"/>
    <mergeCell ref="A26:AJ26"/>
    <mergeCell ref="A27:AJ27"/>
    <mergeCell ref="A28:AJ28"/>
    <mergeCell ref="A30:AJ30"/>
    <mergeCell ref="A31:AJ31"/>
    <mergeCell ref="E33:G33"/>
    <mergeCell ref="AB33:AI33"/>
    <mergeCell ref="AB34:AI34"/>
    <mergeCell ref="A36:AJ36"/>
    <mergeCell ref="A37:AJ37"/>
    <mergeCell ref="A51:AJ51"/>
    <mergeCell ref="A39:AJ39"/>
    <mergeCell ref="A40:AJ40"/>
    <mergeCell ref="A42:AJ42"/>
    <mergeCell ref="A43:AJ43"/>
    <mergeCell ref="A44:AJ44"/>
    <mergeCell ref="A45:AJ45"/>
    <mergeCell ref="A46:AJ46"/>
    <mergeCell ref="A47:AJ47"/>
    <mergeCell ref="A48:AJ48"/>
    <mergeCell ref="A49:AJ49"/>
    <mergeCell ref="A50:AJ50"/>
    <mergeCell ref="A67:AJ67"/>
    <mergeCell ref="A52:AJ52"/>
    <mergeCell ref="A53:AJ53"/>
    <mergeCell ref="A54:AJ54"/>
    <mergeCell ref="A55:AJ55"/>
    <mergeCell ref="A56:AJ56"/>
    <mergeCell ref="A57:AJ57"/>
    <mergeCell ref="A59:AJ59"/>
    <mergeCell ref="A60:AJ60"/>
    <mergeCell ref="A63:AJ63"/>
    <mergeCell ref="A64:AJ64"/>
    <mergeCell ref="A66:AJ66"/>
    <mergeCell ref="A86:AJ86"/>
    <mergeCell ref="A72:AJ72"/>
    <mergeCell ref="A73:AJ73"/>
    <mergeCell ref="G75:AJ75"/>
    <mergeCell ref="A76:B76"/>
    <mergeCell ref="G76:AJ76"/>
    <mergeCell ref="A77:AJ77"/>
    <mergeCell ref="A78:AJ78"/>
    <mergeCell ref="P80:W80"/>
    <mergeCell ref="P81:W81"/>
    <mergeCell ref="A84:AJ84"/>
    <mergeCell ref="A85:AJ85"/>
    <mergeCell ref="A105:O105"/>
    <mergeCell ref="AB105:AJ105"/>
    <mergeCell ref="A87:AJ87"/>
    <mergeCell ref="A89:AJ89"/>
    <mergeCell ref="A90:AJ90"/>
    <mergeCell ref="L91:AJ91"/>
    <mergeCell ref="H93:I93"/>
    <mergeCell ref="B96:P96"/>
    <mergeCell ref="A98:AJ98"/>
    <mergeCell ref="A102:O102"/>
    <mergeCell ref="AB102:AJ102"/>
    <mergeCell ref="A103:O103"/>
    <mergeCell ref="AB103:AJ103"/>
    <mergeCell ref="A106:O106"/>
    <mergeCell ref="AB106:AJ106"/>
    <mergeCell ref="A109:O109"/>
    <mergeCell ref="AB109:AJ109"/>
    <mergeCell ref="A110:O110"/>
    <mergeCell ref="AB110:AJ110"/>
    <mergeCell ref="A119:O119"/>
    <mergeCell ref="AB119:AJ119"/>
    <mergeCell ref="A112:O112"/>
    <mergeCell ref="AB112:AJ112"/>
    <mergeCell ref="A113:O113"/>
    <mergeCell ref="AB113:AJ113"/>
    <mergeCell ref="A114:AJ114"/>
    <mergeCell ref="A115:O115"/>
    <mergeCell ref="AB115:AJ115"/>
    <mergeCell ref="A116:O116"/>
    <mergeCell ref="AB116:AJ116"/>
    <mergeCell ref="A117:AJ117"/>
    <mergeCell ref="A118:O118"/>
    <mergeCell ref="AB118:AJ118"/>
  </mergeCells>
  <phoneticPr fontId="9" type="noConversion"/>
  <pageMargins left="0.78740157480314965" right="0.27559055118110237" top="0.39370078740157483" bottom="0.39370078740157483" header="0" footer="0"/>
  <pageSetup paperSize="9" scale="89" fitToHeight="3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0C38-B055-4000-96A5-673FDD7E4040}">
  <sheetPr>
    <tabColor indexed="57"/>
    <pageSetUpPr fitToPage="1"/>
  </sheetPr>
  <dimension ref="A1:AQ118"/>
  <sheetViews>
    <sheetView view="pageBreakPreview" topLeftCell="A58" zoomScale="125" zoomScaleNormal="125" zoomScaleSheetLayoutView="125" workbookViewId="0">
      <selection activeCell="A87" sqref="A87:AJ87"/>
    </sheetView>
  </sheetViews>
  <sheetFormatPr defaultColWidth="10.6640625" defaultRowHeight="15" x14ac:dyDescent="0.25"/>
  <cols>
    <col min="1" max="5" width="2.83203125" style="1" customWidth="1"/>
    <col min="6" max="6" width="3.83203125" style="1" customWidth="1"/>
    <col min="7" max="7" width="5.6640625" style="1" customWidth="1"/>
    <col min="8" max="12" width="2.83203125" style="1" customWidth="1"/>
    <col min="13" max="13" width="10.83203125" style="1" customWidth="1"/>
    <col min="14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44.2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8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P79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tr">
        <f>'АОСР-5.1 (8)'!A89</f>
        <v>Устройство монолитной плиты под фундамент 2БРП №171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6.5" customHeight="1" x14ac:dyDescent="0.2">
      <c r="A68" s="26" t="s">
        <v>12</v>
      </c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</row>
    <row r="69" spans="1:36" s="26" customFormat="1" ht="16.5" customHeight="1" x14ac:dyDescent="0.2">
      <c r="A69" s="31" t="s">
        <v>224</v>
      </c>
      <c r="B69" s="86"/>
      <c r="C69" s="86"/>
      <c r="D69" s="86"/>
      <c r="E69" s="86"/>
      <c r="F69" s="86"/>
      <c r="G69" s="86" t="s">
        <v>76</v>
      </c>
      <c r="H69" s="31" t="s">
        <v>225</v>
      </c>
      <c r="I69" s="86"/>
      <c r="J69" s="86"/>
      <c r="K69" s="86" t="s">
        <v>76</v>
      </c>
      <c r="L69" s="86"/>
      <c r="M69" s="31" t="s">
        <v>226</v>
      </c>
      <c r="N69" s="86"/>
      <c r="O69" s="86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</row>
    <row r="70" spans="1:36" s="2" customFormat="1" ht="7.5" customHeight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138" t="s">
        <v>57</v>
      </c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</row>
    <row r="71" spans="1:36" ht="18.75" customHeight="1" x14ac:dyDescent="0.25">
      <c r="A71" s="137" t="s">
        <v>58</v>
      </c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</row>
    <row r="72" spans="1:36" s="26" customFormat="1" ht="12" customHeight="1" x14ac:dyDescent="0.2">
      <c r="A72" s="26" t="s">
        <v>11</v>
      </c>
    </row>
    <row r="73" spans="1:36" s="26" customFormat="1" ht="12" customHeight="1" x14ac:dyDescent="0.2">
      <c r="A73" s="26" t="s">
        <v>10</v>
      </c>
      <c r="G73" s="140" t="s">
        <v>288</v>
      </c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</row>
    <row r="74" spans="1:36" ht="7.5" customHeight="1" x14ac:dyDescent="0.25">
      <c r="A74" s="142"/>
      <c r="B74" s="142"/>
      <c r="C74" s="8"/>
      <c r="D74" s="8"/>
      <c r="E74" s="8"/>
      <c r="F74" s="8"/>
      <c r="G74" s="138" t="s">
        <v>9</v>
      </c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</row>
    <row r="75" spans="1:36" s="26" customFormat="1" ht="12" customHeight="1" x14ac:dyDescent="0.2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7.5" customHeight="1" x14ac:dyDescent="0.25">
      <c r="A76" s="137" t="s">
        <v>31</v>
      </c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ht="9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26" customFormat="1" ht="12" customHeight="1" x14ac:dyDescent="0.2">
      <c r="A78" s="26" t="s">
        <v>8</v>
      </c>
      <c r="D78" s="35"/>
      <c r="E78" s="35"/>
      <c r="F78" s="35"/>
      <c r="G78" s="35"/>
      <c r="L78" s="27"/>
      <c r="M78" s="38"/>
      <c r="N78" s="38"/>
      <c r="P78" s="139">
        <f>'Данные объект'!B6</f>
        <v>45949</v>
      </c>
      <c r="Q78" s="139"/>
      <c r="R78" s="139"/>
      <c r="S78" s="139"/>
      <c r="T78" s="139"/>
      <c r="U78" s="139"/>
      <c r="V78" s="139"/>
      <c r="W78" s="139"/>
    </row>
    <row r="79" spans="1:36" s="26" customFormat="1" ht="12" customHeight="1" x14ac:dyDescent="0.2">
      <c r="A79" s="26" t="s">
        <v>7</v>
      </c>
      <c r="D79" s="35"/>
      <c r="E79" s="35"/>
      <c r="F79" s="35"/>
      <c r="G79" s="35"/>
      <c r="L79" s="27"/>
      <c r="M79" s="38"/>
      <c r="N79" s="38"/>
      <c r="P79" s="158">
        <f>'Данные объект'!B7</f>
        <v>46219</v>
      </c>
      <c r="Q79" s="158"/>
      <c r="R79" s="158"/>
      <c r="S79" s="158"/>
      <c r="T79" s="158"/>
      <c r="U79" s="158"/>
      <c r="V79" s="158"/>
      <c r="W79" s="158"/>
    </row>
    <row r="80" spans="1:36" s="26" customFormat="1" ht="7.5" customHeight="1" x14ac:dyDescent="0.2">
      <c r="A80" s="39"/>
      <c r="B80" s="39"/>
      <c r="C80" s="39"/>
      <c r="D80" s="40"/>
      <c r="E80" s="40"/>
      <c r="F80" s="40"/>
      <c r="G80" s="40"/>
    </row>
    <row r="81" spans="1:36" s="26" customFormat="1" ht="12" customHeight="1" x14ac:dyDescent="0.2">
      <c r="A81" s="26" t="s">
        <v>5</v>
      </c>
    </row>
    <row r="82" spans="1:36" s="26" customFormat="1" ht="12" customHeight="1" x14ac:dyDescent="0.2">
      <c r="A82" s="140" t="s">
        <v>108</v>
      </c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</row>
    <row r="83" spans="1:36" ht="8.25" customHeight="1" x14ac:dyDescent="0.25">
      <c r="A83" s="137" t="s">
        <v>4</v>
      </c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</row>
    <row r="84" spans="1:36" s="26" customFormat="1" ht="12" customHeight="1" x14ac:dyDescent="0.2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ht="8.25" customHeight="1" x14ac:dyDescent="0.25">
      <c r="A85" s="137" t="s">
        <v>59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26" t="s">
        <v>3</v>
      </c>
    </row>
    <row r="87" spans="1:36" s="26" customFormat="1" ht="12" customHeight="1" x14ac:dyDescent="0.2">
      <c r="A87" s="135" t="s">
        <v>295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ht="9" customHeight="1" x14ac:dyDescent="0.25">
      <c r="A88" s="137" t="s">
        <v>32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</row>
    <row r="89" spans="1:36" s="26" customFormat="1" ht="12" customHeight="1" x14ac:dyDescent="0.2">
      <c r="A89" s="26" t="s">
        <v>2</v>
      </c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6" customHeight="1" x14ac:dyDescent="0.25">
      <c r="D90" s="4"/>
      <c r="E90" s="4"/>
      <c r="F90" s="4"/>
      <c r="G90" s="4"/>
      <c r="H90" s="4"/>
      <c r="I90" s="4"/>
      <c r="J90" s="4"/>
    </row>
    <row r="91" spans="1:36" s="26" customFormat="1" ht="12" customHeight="1" x14ac:dyDescent="0.2">
      <c r="A91" s="26" t="s">
        <v>102</v>
      </c>
      <c r="H91" s="135"/>
      <c r="I91" s="135"/>
      <c r="J91" s="26" t="s">
        <v>33</v>
      </c>
    </row>
    <row r="92" spans="1:36" ht="4.5" customHeight="1" x14ac:dyDescent="0.25"/>
    <row r="93" spans="1:36" s="26" customFormat="1" ht="12" customHeight="1" x14ac:dyDescent="0.2">
      <c r="A93" s="26" t="s">
        <v>1</v>
      </c>
    </row>
    <row r="94" spans="1:36" s="26" customFormat="1" ht="12" customHeight="1" x14ac:dyDescent="0.2">
      <c r="A94" s="31" t="s">
        <v>87</v>
      </c>
      <c r="B94" s="140" t="s">
        <v>226</v>
      </c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31" t="s">
        <v>76</v>
      </c>
      <c r="R94" s="31" t="s">
        <v>88</v>
      </c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6" customFormat="1" ht="12" customHeight="1" x14ac:dyDescent="0.2">
      <c r="A95" s="31" t="s">
        <v>87</v>
      </c>
      <c r="B95" s="140" t="str">
        <f>G73</f>
        <v>Исполнительная схема фундамента под 2БРП №171</v>
      </c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31" t="s">
        <v>76</v>
      </c>
      <c r="R95" s="31" t="s">
        <v>88</v>
      </c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</row>
    <row r="96" spans="1:36" ht="9.75" customHeight="1" x14ac:dyDescent="0.25">
      <c r="A96" s="137" t="s">
        <v>0</v>
      </c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  <c r="AE96" s="138"/>
      <c r="AF96" s="138"/>
      <c r="AG96" s="138"/>
      <c r="AH96" s="138"/>
      <c r="AI96" s="138"/>
      <c r="AJ96" s="138"/>
    </row>
    <row r="97" spans="1:36" ht="6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26" customFormat="1" ht="12" customHeight="1" x14ac:dyDescent="0.2">
      <c r="A98" s="26" t="s">
        <v>23</v>
      </c>
    </row>
    <row r="99" spans="1:36" s="26" customFormat="1" ht="12" customHeight="1" x14ac:dyDescent="0.2">
      <c r="A99" s="26" t="s">
        <v>24</v>
      </c>
    </row>
    <row r="100" spans="1:36" s="26" customFormat="1" ht="12" customHeight="1" x14ac:dyDescent="0.2">
      <c r="A100" s="135" t="str">
        <f>'Данные объект'!B33</f>
        <v>Алексанян Г.Р.</v>
      </c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135"/>
      <c r="AC100" s="135"/>
      <c r="AD100" s="135"/>
      <c r="AE100" s="135"/>
      <c r="AF100" s="135"/>
      <c r="AG100" s="135"/>
      <c r="AH100" s="135"/>
      <c r="AI100" s="135"/>
      <c r="AJ100" s="135"/>
    </row>
    <row r="101" spans="1:36" ht="9" customHeight="1" x14ac:dyDescent="0.25">
      <c r="A101" s="133" t="s">
        <v>35</v>
      </c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7"/>
      <c r="Q101" s="17"/>
      <c r="R101" s="17"/>
      <c r="S101" s="17"/>
      <c r="T101" s="17"/>
      <c r="U101" s="16"/>
      <c r="V101" s="16"/>
      <c r="W101" s="16"/>
      <c r="X101" s="16"/>
      <c r="Y101" s="16"/>
      <c r="Z101" s="16"/>
      <c r="AA101" s="16"/>
      <c r="AB101" s="134" t="s">
        <v>34</v>
      </c>
      <c r="AC101" s="134"/>
      <c r="AD101" s="134"/>
      <c r="AE101" s="134"/>
      <c r="AF101" s="134"/>
      <c r="AG101" s="134"/>
      <c r="AH101" s="134"/>
      <c r="AI101" s="134"/>
      <c r="AJ101" s="134"/>
    </row>
    <row r="102" spans="1:36" s="26" customFormat="1" ht="12" customHeight="1" x14ac:dyDescent="0.2">
      <c r="A102" s="26" t="s">
        <v>25</v>
      </c>
    </row>
    <row r="103" spans="1:36" s="26" customFormat="1" ht="12" customHeight="1" x14ac:dyDescent="0.2">
      <c r="A103" s="135" t="str">
        <f>'Данные объект'!B20</f>
        <v>Волков М.Ю.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135"/>
      <c r="AC103" s="135"/>
      <c r="AD103" s="135"/>
      <c r="AE103" s="135"/>
      <c r="AF103" s="135"/>
      <c r="AG103" s="135"/>
      <c r="AH103" s="135"/>
      <c r="AI103" s="135"/>
      <c r="AJ103" s="135"/>
    </row>
    <row r="104" spans="1:36" ht="9" customHeight="1" x14ac:dyDescent="0.25">
      <c r="A104" s="133" t="s">
        <v>35</v>
      </c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7"/>
      <c r="Q104" s="17"/>
      <c r="R104" s="17"/>
      <c r="S104" s="17"/>
      <c r="T104" s="17"/>
      <c r="U104" s="16"/>
      <c r="V104" s="16"/>
      <c r="W104" s="16"/>
      <c r="X104" s="16"/>
      <c r="Y104" s="16"/>
      <c r="Z104" s="16"/>
      <c r="AA104" s="16"/>
      <c r="AB104" s="134" t="s">
        <v>34</v>
      </c>
      <c r="AC104" s="134"/>
      <c r="AD104" s="134"/>
      <c r="AE104" s="134"/>
      <c r="AF104" s="134"/>
      <c r="AG104" s="134"/>
      <c r="AH104" s="134"/>
      <c r="AI104" s="134"/>
      <c r="AJ104" s="134"/>
    </row>
    <row r="105" spans="1:36" s="26" customFormat="1" ht="12" customHeight="1" x14ac:dyDescent="0.2">
      <c r="A105" s="26" t="s">
        <v>27</v>
      </c>
    </row>
    <row r="106" spans="1:36" s="26" customFormat="1" ht="12" customHeight="1" x14ac:dyDescent="0.2">
      <c r="A106" s="26" t="s">
        <v>28</v>
      </c>
    </row>
    <row r="107" spans="1:36" s="26" customFormat="1" ht="12" customHeight="1" x14ac:dyDescent="0.2">
      <c r="A107" s="135" t="str">
        <f>'Данные объект'!B17</f>
        <v>Русин В.А.</v>
      </c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135"/>
      <c r="AC107" s="135"/>
      <c r="AD107" s="135"/>
      <c r="AE107" s="135"/>
      <c r="AF107" s="135"/>
      <c r="AG107" s="135"/>
      <c r="AH107" s="135"/>
      <c r="AI107" s="135"/>
      <c r="AJ107" s="135"/>
    </row>
    <row r="108" spans="1:36" ht="9" customHeight="1" x14ac:dyDescent="0.25">
      <c r="A108" s="133" t="s">
        <v>35</v>
      </c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4" t="s">
        <v>34</v>
      </c>
      <c r="AC108" s="134"/>
      <c r="AD108" s="134"/>
      <c r="AE108" s="134"/>
      <c r="AF108" s="134"/>
      <c r="AG108" s="134"/>
      <c r="AH108" s="134"/>
      <c r="AI108" s="134"/>
      <c r="AJ108" s="134"/>
    </row>
    <row r="109" spans="1:36" s="101" customFormat="1" ht="11.25" x14ac:dyDescent="0.2">
      <c r="A109" s="26" t="s">
        <v>211</v>
      </c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97"/>
      <c r="AC109" s="97"/>
      <c r="AD109" s="97"/>
      <c r="AE109" s="97"/>
      <c r="AF109" s="97"/>
      <c r="AG109" s="97"/>
      <c r="AH109" s="97"/>
      <c r="AI109" s="97"/>
      <c r="AJ109" s="97"/>
    </row>
    <row r="110" spans="1:36" s="101" customFormat="1" ht="11.25" x14ac:dyDescent="0.2">
      <c r="A110" s="135" t="str">
        <f>'[4]Данные объект'!$B$36</f>
        <v>Курчин М.М.</v>
      </c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5"/>
      <c r="AC110" s="135"/>
      <c r="AD110" s="135"/>
      <c r="AE110" s="135"/>
      <c r="AF110" s="135"/>
      <c r="AG110" s="135"/>
      <c r="AH110" s="135"/>
      <c r="AI110" s="135"/>
      <c r="AJ110" s="135"/>
    </row>
    <row r="111" spans="1:36" s="101" customFormat="1" ht="9" customHeight="1" x14ac:dyDescent="0.15">
      <c r="A111" s="133" t="s">
        <v>35</v>
      </c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34" t="s">
        <v>34</v>
      </c>
      <c r="AC111" s="134"/>
      <c r="AD111" s="134"/>
      <c r="AE111" s="134"/>
      <c r="AF111" s="134"/>
      <c r="AG111" s="134"/>
      <c r="AH111" s="134"/>
      <c r="AI111" s="134"/>
      <c r="AJ111" s="134"/>
    </row>
    <row r="112" spans="1:36" s="26" customFormat="1" ht="36" customHeight="1" x14ac:dyDescent="0.2">
      <c r="A112" s="136" t="s">
        <v>53</v>
      </c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</row>
    <row r="113" spans="1:36" s="26" customFormat="1" ht="12" customHeight="1" x14ac:dyDescent="0.2">
      <c r="A113" s="135" t="s">
        <v>76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135" t="s">
        <v>76</v>
      </c>
      <c r="AC113" s="135"/>
      <c r="AD113" s="135"/>
      <c r="AE113" s="135"/>
      <c r="AF113" s="135"/>
      <c r="AG113" s="135"/>
      <c r="AH113" s="135"/>
      <c r="AI113" s="135"/>
      <c r="AJ113" s="135"/>
    </row>
    <row r="114" spans="1:36" ht="9" customHeight="1" x14ac:dyDescent="0.25">
      <c r="A114" s="133" t="s">
        <v>35</v>
      </c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134" t="s">
        <v>34</v>
      </c>
      <c r="AC114" s="134"/>
      <c r="AD114" s="134"/>
      <c r="AE114" s="134"/>
      <c r="AF114" s="134"/>
      <c r="AG114" s="134"/>
      <c r="AH114" s="134"/>
      <c r="AI114" s="134"/>
      <c r="AJ114" s="134"/>
    </row>
    <row r="115" spans="1:36" s="26" customFormat="1" ht="40.5" hidden="1" customHeight="1" x14ac:dyDescent="0.2">
      <c r="A115" s="136" t="s">
        <v>55</v>
      </c>
      <c r="B115" s="136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</row>
    <row r="116" spans="1:36" ht="12" hidden="1" customHeight="1" x14ac:dyDescent="0.25">
      <c r="A116" s="154" t="e">
        <f>#REF!</f>
        <v>#REF!</v>
      </c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5"/>
      <c r="AC116" s="155"/>
      <c r="AD116" s="155"/>
      <c r="AE116" s="155"/>
      <c r="AF116" s="155"/>
      <c r="AG116" s="155"/>
      <c r="AH116" s="155"/>
      <c r="AI116" s="155"/>
      <c r="AJ116" s="155"/>
    </row>
    <row r="117" spans="1:36" ht="9" hidden="1" customHeight="1" x14ac:dyDescent="0.25">
      <c r="A117" s="133" t="s">
        <v>35</v>
      </c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7"/>
      <c r="Q117" s="17"/>
      <c r="R117" s="17"/>
      <c r="S117" s="17"/>
      <c r="T117" s="17"/>
      <c r="U117" s="16"/>
      <c r="V117" s="16"/>
      <c r="W117" s="16"/>
      <c r="X117" s="16"/>
      <c r="Y117" s="16"/>
      <c r="Z117" s="16"/>
      <c r="AA117" s="16"/>
      <c r="AB117" s="134" t="s">
        <v>34</v>
      </c>
      <c r="AC117" s="134"/>
      <c r="AD117" s="134"/>
      <c r="AE117" s="134"/>
      <c r="AF117" s="134"/>
      <c r="AG117" s="134"/>
      <c r="AH117" s="134"/>
      <c r="AI117" s="134"/>
      <c r="AJ117" s="134"/>
    </row>
    <row r="118" spans="1:36" ht="12" hidden="1" customHeight="1" x14ac:dyDescent="0.25"/>
  </sheetData>
  <mergeCells count="101">
    <mergeCell ref="A17:AJ17"/>
    <mergeCell ref="A4:AJ4"/>
    <mergeCell ref="A5:AJ5"/>
    <mergeCell ref="A6:AJ6"/>
    <mergeCell ref="A7:AJ8"/>
    <mergeCell ref="A9:AJ9"/>
    <mergeCell ref="A10:AJ10"/>
    <mergeCell ref="A11:AJ11"/>
    <mergeCell ref="A12:AJ12"/>
    <mergeCell ref="A13:AJ13"/>
    <mergeCell ref="A14:AJ14"/>
    <mergeCell ref="A16:AJ16"/>
    <mergeCell ref="A31:AJ31"/>
    <mergeCell ref="A18:AJ18"/>
    <mergeCell ref="A19:AJ19"/>
    <mergeCell ref="A20:AJ20"/>
    <mergeCell ref="A21:AJ21"/>
    <mergeCell ref="A23:AJ23"/>
    <mergeCell ref="A24:AJ24"/>
    <mergeCell ref="A25:AJ25"/>
    <mergeCell ref="A26:AJ26"/>
    <mergeCell ref="A27:AJ27"/>
    <mergeCell ref="A28:AJ28"/>
    <mergeCell ref="A30:AJ30"/>
    <mergeCell ref="A45:AJ45"/>
    <mergeCell ref="E33:G33"/>
    <mergeCell ref="AB33:AI33"/>
    <mergeCell ref="AB34:AI34"/>
    <mergeCell ref="A36:AJ36"/>
    <mergeCell ref="A37:AJ37"/>
    <mergeCell ref="A38:AJ38"/>
    <mergeCell ref="A39:AJ39"/>
    <mergeCell ref="A40:AJ40"/>
    <mergeCell ref="A42:AJ42"/>
    <mergeCell ref="A43:AJ43"/>
    <mergeCell ref="A44:AJ44"/>
    <mergeCell ref="A63:AJ63"/>
    <mergeCell ref="A46:AJ46"/>
    <mergeCell ref="A50:AJ50"/>
    <mergeCell ref="A51:AJ51"/>
    <mergeCell ref="A52:AJ52"/>
    <mergeCell ref="A53:AJ53"/>
    <mergeCell ref="A54:AJ54"/>
    <mergeCell ref="A55:AJ55"/>
    <mergeCell ref="A56:AJ56"/>
    <mergeCell ref="A57:AJ57"/>
    <mergeCell ref="A59:AJ59"/>
    <mergeCell ref="A60:AJ60"/>
    <mergeCell ref="A47:AJ47"/>
    <mergeCell ref="A48:AJ48"/>
    <mergeCell ref="A49:AJ49"/>
    <mergeCell ref="P78:W78"/>
    <mergeCell ref="A64:AJ64"/>
    <mergeCell ref="A66:AJ66"/>
    <mergeCell ref="A67:AJ67"/>
    <mergeCell ref="P68:AJ68"/>
    <mergeCell ref="P70:AJ70"/>
    <mergeCell ref="A71:AJ71"/>
    <mergeCell ref="G73:AJ73"/>
    <mergeCell ref="A74:B74"/>
    <mergeCell ref="G74:AJ74"/>
    <mergeCell ref="A75:AJ75"/>
    <mergeCell ref="A76:AJ76"/>
    <mergeCell ref="A96:AJ96"/>
    <mergeCell ref="P79:W79"/>
    <mergeCell ref="A82:AJ82"/>
    <mergeCell ref="A83:AJ83"/>
    <mergeCell ref="A84:AJ84"/>
    <mergeCell ref="A85:AJ85"/>
    <mergeCell ref="A87:AJ87"/>
    <mergeCell ref="A88:AJ88"/>
    <mergeCell ref="L89:AJ89"/>
    <mergeCell ref="H91:I91"/>
    <mergeCell ref="B94:P94"/>
    <mergeCell ref="B95:P95"/>
    <mergeCell ref="A104:O104"/>
    <mergeCell ref="AB104:AJ104"/>
    <mergeCell ref="A107:O107"/>
    <mergeCell ref="AB107:AJ107"/>
    <mergeCell ref="A108:O108"/>
    <mergeCell ref="AB108:AJ108"/>
    <mergeCell ref="A100:O100"/>
    <mergeCell ref="AB100:AJ100"/>
    <mergeCell ref="A101:O101"/>
    <mergeCell ref="AB101:AJ101"/>
    <mergeCell ref="A103:O103"/>
    <mergeCell ref="AB103:AJ103"/>
    <mergeCell ref="A110:O110"/>
    <mergeCell ref="AB110:AJ110"/>
    <mergeCell ref="A111:O111"/>
    <mergeCell ref="AB111:AJ111"/>
    <mergeCell ref="A116:O116"/>
    <mergeCell ref="AB116:AJ116"/>
    <mergeCell ref="A117:O117"/>
    <mergeCell ref="AB117:AJ117"/>
    <mergeCell ref="A112:AJ112"/>
    <mergeCell ref="A113:O113"/>
    <mergeCell ref="AB113:AJ113"/>
    <mergeCell ref="A114:O114"/>
    <mergeCell ref="AB114:AJ114"/>
    <mergeCell ref="A115:AJ115"/>
  </mergeCells>
  <pageMargins left="0.78740157480314965" right="0.27559055118110237" top="0.39370078740157483" bottom="0.39370078740157483" header="0" footer="0"/>
  <pageSetup paperSize="9" scale="90" fitToHeight="3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DB8F-1EED-41C3-AF12-97E68FD963ED}">
  <sheetPr>
    <tabColor indexed="57"/>
    <pageSetUpPr fitToPage="1"/>
  </sheetPr>
  <dimension ref="A1:AQ118"/>
  <sheetViews>
    <sheetView view="pageBreakPreview" topLeftCell="A52" zoomScale="125" zoomScaleNormal="125" zoomScaleSheetLayoutView="125" workbookViewId="0">
      <selection activeCell="G73" sqref="G73:AJ73"/>
    </sheetView>
  </sheetViews>
  <sheetFormatPr defaultColWidth="10.6640625" defaultRowHeight="15" x14ac:dyDescent="0.25"/>
  <cols>
    <col min="1" max="5" width="2.83203125" style="1" customWidth="1"/>
    <col min="6" max="6" width="6.5" style="1" customWidth="1"/>
    <col min="7" max="7" width="5.6640625" style="1" customWidth="1"/>
    <col min="8" max="12" width="2.83203125" style="1" customWidth="1"/>
    <col min="13" max="13" width="10.83203125" style="1" customWidth="1"/>
    <col min="14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44.2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98"/>
      <c r="B32" s="98"/>
      <c r="C32" s="98"/>
      <c r="D32" s="98"/>
      <c r="E32" s="98"/>
      <c r="F32" s="98"/>
      <c r="G32" s="98"/>
      <c r="H32" s="98"/>
      <c r="I32" s="98"/>
      <c r="J32" s="98"/>
    </row>
    <row r="33" spans="1:36" s="26" customFormat="1" ht="12.95" customHeight="1" x14ac:dyDescent="0.2">
      <c r="A33" s="30"/>
      <c r="B33" s="30" t="s">
        <v>18</v>
      </c>
      <c r="C33" s="31">
        <v>7</v>
      </c>
      <c r="D33" s="31"/>
      <c r="E33" s="135" t="s">
        <v>206</v>
      </c>
      <c r="F33" s="135"/>
      <c r="G33" s="135"/>
      <c r="H33" s="32"/>
      <c r="I33" s="32"/>
      <c r="J33" s="32"/>
      <c r="X33" s="27"/>
      <c r="Y33" s="38"/>
      <c r="Z33" s="38"/>
      <c r="AB33" s="139">
        <f>P79</f>
        <v>45476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tr">
        <f>'АОСР-5.1 (3)'!A87:AJ87</f>
        <v>Устройство гидроизоляционного покрытия под 2БРП №171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6.5" customHeight="1" x14ac:dyDescent="0.2">
      <c r="A68" s="26" t="s">
        <v>12</v>
      </c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</row>
    <row r="69" spans="1:36" s="26" customFormat="1" ht="16.5" customHeight="1" x14ac:dyDescent="0.2">
      <c r="A69" s="31" t="s">
        <v>228</v>
      </c>
      <c r="B69" s="86"/>
      <c r="C69" s="86"/>
      <c r="D69" s="86"/>
      <c r="E69" s="86"/>
      <c r="F69" s="86"/>
      <c r="G69" s="107" t="s">
        <v>76</v>
      </c>
      <c r="H69" s="135" t="s">
        <v>229</v>
      </c>
      <c r="I69" s="135"/>
      <c r="J69" s="135"/>
      <c r="K69" s="86"/>
      <c r="L69" s="86"/>
      <c r="M69" s="86"/>
      <c r="N69" s="86"/>
      <c r="O69" s="86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</row>
    <row r="70" spans="1:36" s="2" customFormat="1" ht="7.5" customHeight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138" t="s">
        <v>57</v>
      </c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</row>
    <row r="71" spans="1:36" ht="18.75" customHeight="1" x14ac:dyDescent="0.25">
      <c r="A71" s="137" t="s">
        <v>58</v>
      </c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</row>
    <row r="72" spans="1:36" s="26" customFormat="1" ht="12" customHeight="1" x14ac:dyDescent="0.2">
      <c r="A72" s="26" t="s">
        <v>11</v>
      </c>
    </row>
    <row r="73" spans="1:36" s="26" customFormat="1" ht="12" customHeight="1" x14ac:dyDescent="0.2">
      <c r="A73" s="26" t="s">
        <v>10</v>
      </c>
      <c r="G73" s="140" t="s">
        <v>215</v>
      </c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</row>
    <row r="74" spans="1:36" ht="7.5" customHeight="1" x14ac:dyDescent="0.25">
      <c r="A74" s="142"/>
      <c r="B74" s="142"/>
      <c r="C74" s="8"/>
      <c r="D74" s="8"/>
      <c r="E74" s="8"/>
      <c r="F74" s="8"/>
      <c r="G74" s="138" t="s">
        <v>9</v>
      </c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</row>
    <row r="75" spans="1:36" s="26" customFormat="1" ht="12" customHeight="1" x14ac:dyDescent="0.2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7.5" customHeight="1" x14ac:dyDescent="0.25">
      <c r="A76" s="137" t="s">
        <v>31</v>
      </c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ht="9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26" customFormat="1" ht="12" customHeight="1" x14ac:dyDescent="0.2">
      <c r="A78" s="26" t="s">
        <v>8</v>
      </c>
      <c r="D78" s="35"/>
      <c r="E78" s="35"/>
      <c r="F78" s="35"/>
      <c r="G78" s="35"/>
      <c r="L78" s="27"/>
      <c r="M78" s="38"/>
      <c r="N78" s="38"/>
      <c r="P78" s="139">
        <v>45476</v>
      </c>
      <c r="Q78" s="139"/>
      <c r="R78" s="139"/>
      <c r="S78" s="139"/>
      <c r="T78" s="139"/>
      <c r="U78" s="139"/>
      <c r="V78" s="139"/>
      <c r="W78" s="139"/>
    </row>
    <row r="79" spans="1:36" s="26" customFormat="1" ht="12" customHeight="1" x14ac:dyDescent="0.2">
      <c r="A79" s="26" t="s">
        <v>7</v>
      </c>
      <c r="D79" s="35"/>
      <c r="E79" s="35"/>
      <c r="F79" s="35"/>
      <c r="G79" s="35"/>
      <c r="L79" s="27"/>
      <c r="M79" s="38"/>
      <c r="N79" s="38"/>
      <c r="P79" s="158">
        <f>P78</f>
        <v>45476</v>
      </c>
      <c r="Q79" s="158"/>
      <c r="R79" s="158"/>
      <c r="S79" s="158"/>
      <c r="T79" s="158"/>
      <c r="U79" s="158"/>
      <c r="V79" s="158"/>
      <c r="W79" s="158"/>
    </row>
    <row r="80" spans="1:36" s="26" customFormat="1" ht="7.5" customHeight="1" x14ac:dyDescent="0.2">
      <c r="A80" s="39"/>
      <c r="B80" s="39"/>
      <c r="C80" s="39"/>
      <c r="D80" s="40"/>
      <c r="E80" s="40"/>
      <c r="F80" s="40"/>
      <c r="G80" s="40"/>
    </row>
    <row r="81" spans="1:36" s="26" customFormat="1" ht="12" customHeight="1" x14ac:dyDescent="0.2">
      <c r="A81" s="26" t="s">
        <v>5</v>
      </c>
    </row>
    <row r="82" spans="1:36" s="26" customFormat="1" ht="12" customHeight="1" x14ac:dyDescent="0.2">
      <c r="A82" s="140" t="s">
        <v>108</v>
      </c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</row>
    <row r="83" spans="1:36" ht="8.25" customHeight="1" x14ac:dyDescent="0.25">
      <c r="A83" s="137" t="s">
        <v>4</v>
      </c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</row>
    <row r="84" spans="1:36" s="26" customFormat="1" ht="12" customHeight="1" x14ac:dyDescent="0.2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ht="8.25" customHeight="1" x14ac:dyDescent="0.25">
      <c r="A85" s="137" t="s">
        <v>59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26" t="s">
        <v>3</v>
      </c>
    </row>
    <row r="87" spans="1:36" s="26" customFormat="1" ht="12" customHeight="1" x14ac:dyDescent="0.2">
      <c r="A87" s="135" t="s">
        <v>227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ht="9" customHeight="1" x14ac:dyDescent="0.25">
      <c r="A88" s="137" t="s">
        <v>32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</row>
    <row r="89" spans="1:36" s="26" customFormat="1" ht="12" customHeight="1" x14ac:dyDescent="0.2">
      <c r="A89" s="26" t="s">
        <v>2</v>
      </c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6" customHeight="1" x14ac:dyDescent="0.25">
      <c r="D90" s="4"/>
      <c r="E90" s="4"/>
      <c r="F90" s="4"/>
      <c r="G90" s="4"/>
      <c r="H90" s="4"/>
      <c r="I90" s="4"/>
      <c r="J90" s="4"/>
    </row>
    <row r="91" spans="1:36" s="26" customFormat="1" ht="12" customHeight="1" x14ac:dyDescent="0.2">
      <c r="A91" s="26" t="s">
        <v>102</v>
      </c>
      <c r="H91" s="135"/>
      <c r="I91" s="135"/>
      <c r="J91" s="26" t="s">
        <v>33</v>
      </c>
    </row>
    <row r="92" spans="1:36" ht="4.5" customHeight="1" x14ac:dyDescent="0.25"/>
    <row r="93" spans="1:36" s="26" customFormat="1" ht="12" customHeight="1" x14ac:dyDescent="0.2">
      <c r="A93" s="26" t="s">
        <v>1</v>
      </c>
    </row>
    <row r="94" spans="1:36" s="26" customFormat="1" ht="12" customHeight="1" x14ac:dyDescent="0.2">
      <c r="A94" s="31" t="s">
        <v>87</v>
      </c>
      <c r="B94" s="140" t="s">
        <v>226</v>
      </c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31" t="s">
        <v>76</v>
      </c>
      <c r="R94" s="31" t="s">
        <v>88</v>
      </c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6" customFormat="1" ht="12" customHeight="1" x14ac:dyDescent="0.2">
      <c r="A95" s="31" t="s">
        <v>87</v>
      </c>
      <c r="B95" s="140" t="str">
        <f>G73</f>
        <v>Исполнительная схема фундамента под БКТП №4301</v>
      </c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31" t="s">
        <v>76</v>
      </c>
      <c r="R95" s="31" t="s">
        <v>88</v>
      </c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</row>
    <row r="96" spans="1:36" ht="9.75" customHeight="1" x14ac:dyDescent="0.25">
      <c r="A96" s="137" t="s">
        <v>0</v>
      </c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  <c r="AE96" s="138"/>
      <c r="AF96" s="138"/>
      <c r="AG96" s="138"/>
      <c r="AH96" s="138"/>
      <c r="AI96" s="138"/>
      <c r="AJ96" s="138"/>
    </row>
    <row r="97" spans="1:36" ht="6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26" customFormat="1" ht="12" customHeight="1" x14ac:dyDescent="0.2">
      <c r="A98" s="26" t="s">
        <v>23</v>
      </c>
    </row>
    <row r="99" spans="1:36" s="26" customFormat="1" ht="12" customHeight="1" x14ac:dyDescent="0.2">
      <c r="A99" s="26" t="s">
        <v>24</v>
      </c>
    </row>
    <row r="100" spans="1:36" s="26" customFormat="1" ht="12" customHeight="1" x14ac:dyDescent="0.2">
      <c r="A100" s="135" t="str">
        <f>'Данные объект'!B33</f>
        <v>Алексанян Г.Р.</v>
      </c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135"/>
      <c r="AC100" s="135"/>
      <c r="AD100" s="135"/>
      <c r="AE100" s="135"/>
      <c r="AF100" s="135"/>
      <c r="AG100" s="135"/>
      <c r="AH100" s="135"/>
      <c r="AI100" s="135"/>
      <c r="AJ100" s="135"/>
    </row>
    <row r="101" spans="1:36" ht="9" customHeight="1" x14ac:dyDescent="0.25">
      <c r="A101" s="133" t="s">
        <v>35</v>
      </c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7"/>
      <c r="Q101" s="17"/>
      <c r="R101" s="17"/>
      <c r="S101" s="17"/>
      <c r="T101" s="17"/>
      <c r="U101" s="16"/>
      <c r="V101" s="16"/>
      <c r="W101" s="16"/>
      <c r="X101" s="16"/>
      <c r="Y101" s="16"/>
      <c r="Z101" s="16"/>
      <c r="AA101" s="16"/>
      <c r="AB101" s="134" t="s">
        <v>34</v>
      </c>
      <c r="AC101" s="134"/>
      <c r="AD101" s="134"/>
      <c r="AE101" s="134"/>
      <c r="AF101" s="134"/>
      <c r="AG101" s="134"/>
      <c r="AH101" s="134"/>
      <c r="AI101" s="134"/>
      <c r="AJ101" s="134"/>
    </row>
    <row r="102" spans="1:36" s="26" customFormat="1" ht="12" customHeight="1" x14ac:dyDescent="0.2">
      <c r="A102" s="26" t="s">
        <v>25</v>
      </c>
    </row>
    <row r="103" spans="1:36" s="26" customFormat="1" ht="12" customHeight="1" x14ac:dyDescent="0.2">
      <c r="A103" s="135" t="str">
        <f>'Данные объект'!B20</f>
        <v>Волков М.Ю.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135"/>
      <c r="AC103" s="135"/>
      <c r="AD103" s="135"/>
      <c r="AE103" s="135"/>
      <c r="AF103" s="135"/>
      <c r="AG103" s="135"/>
      <c r="AH103" s="135"/>
      <c r="AI103" s="135"/>
      <c r="AJ103" s="135"/>
    </row>
    <row r="104" spans="1:36" ht="9" customHeight="1" x14ac:dyDescent="0.25">
      <c r="A104" s="133" t="s">
        <v>35</v>
      </c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7"/>
      <c r="Q104" s="17"/>
      <c r="R104" s="17"/>
      <c r="S104" s="17"/>
      <c r="T104" s="17"/>
      <c r="U104" s="16"/>
      <c r="V104" s="16"/>
      <c r="W104" s="16"/>
      <c r="X104" s="16"/>
      <c r="Y104" s="16"/>
      <c r="Z104" s="16"/>
      <c r="AA104" s="16"/>
      <c r="AB104" s="134" t="s">
        <v>34</v>
      </c>
      <c r="AC104" s="134"/>
      <c r="AD104" s="134"/>
      <c r="AE104" s="134"/>
      <c r="AF104" s="134"/>
      <c r="AG104" s="134"/>
      <c r="AH104" s="134"/>
      <c r="AI104" s="134"/>
      <c r="AJ104" s="134"/>
    </row>
    <row r="105" spans="1:36" s="26" customFormat="1" ht="12" customHeight="1" x14ac:dyDescent="0.2">
      <c r="A105" s="26" t="s">
        <v>27</v>
      </c>
    </row>
    <row r="106" spans="1:36" s="26" customFormat="1" ht="12" customHeight="1" x14ac:dyDescent="0.2">
      <c r="A106" s="26" t="s">
        <v>28</v>
      </c>
    </row>
    <row r="107" spans="1:36" s="26" customFormat="1" ht="12" customHeight="1" x14ac:dyDescent="0.2">
      <c r="A107" s="135" t="str">
        <f>'Данные объект'!B17</f>
        <v>Русин В.А.</v>
      </c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135"/>
      <c r="AC107" s="135"/>
      <c r="AD107" s="135"/>
      <c r="AE107" s="135"/>
      <c r="AF107" s="135"/>
      <c r="AG107" s="135"/>
      <c r="AH107" s="135"/>
      <c r="AI107" s="135"/>
      <c r="AJ107" s="135"/>
    </row>
    <row r="108" spans="1:36" ht="9" customHeight="1" x14ac:dyDescent="0.25">
      <c r="A108" s="133" t="s">
        <v>35</v>
      </c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4" t="s">
        <v>34</v>
      </c>
      <c r="AC108" s="134"/>
      <c r="AD108" s="134"/>
      <c r="AE108" s="134"/>
      <c r="AF108" s="134"/>
      <c r="AG108" s="134"/>
      <c r="AH108" s="134"/>
      <c r="AI108" s="134"/>
      <c r="AJ108" s="134"/>
    </row>
    <row r="109" spans="1:36" s="101" customFormat="1" ht="11.25" x14ac:dyDescent="0.2">
      <c r="A109" s="26" t="s">
        <v>211</v>
      </c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97"/>
      <c r="AC109" s="97"/>
      <c r="AD109" s="97"/>
      <c r="AE109" s="97"/>
      <c r="AF109" s="97"/>
      <c r="AG109" s="97"/>
      <c r="AH109" s="97"/>
      <c r="AI109" s="97"/>
      <c r="AJ109" s="97"/>
    </row>
    <row r="110" spans="1:36" s="101" customFormat="1" ht="11.25" x14ac:dyDescent="0.2">
      <c r="A110" s="135" t="str">
        <f>'[4]Данные объект'!$B$36</f>
        <v>Курчин М.М.</v>
      </c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5"/>
      <c r="AC110" s="135"/>
      <c r="AD110" s="135"/>
      <c r="AE110" s="135"/>
      <c r="AF110" s="135"/>
      <c r="AG110" s="135"/>
      <c r="AH110" s="135"/>
      <c r="AI110" s="135"/>
      <c r="AJ110" s="135"/>
    </row>
    <row r="111" spans="1:36" s="101" customFormat="1" ht="9" customHeight="1" x14ac:dyDescent="0.15">
      <c r="A111" s="133" t="s">
        <v>35</v>
      </c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34" t="s">
        <v>34</v>
      </c>
      <c r="AC111" s="134"/>
      <c r="AD111" s="134"/>
      <c r="AE111" s="134"/>
      <c r="AF111" s="134"/>
      <c r="AG111" s="134"/>
      <c r="AH111" s="134"/>
      <c r="AI111" s="134"/>
      <c r="AJ111" s="134"/>
    </row>
    <row r="112" spans="1:36" s="26" customFormat="1" ht="36" customHeight="1" x14ac:dyDescent="0.2">
      <c r="A112" s="136" t="s">
        <v>53</v>
      </c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</row>
    <row r="113" spans="1:36" s="26" customFormat="1" ht="12" customHeight="1" x14ac:dyDescent="0.2">
      <c r="A113" s="135" t="s">
        <v>76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135" t="s">
        <v>76</v>
      </c>
      <c r="AC113" s="135"/>
      <c r="AD113" s="135"/>
      <c r="AE113" s="135"/>
      <c r="AF113" s="135"/>
      <c r="AG113" s="135"/>
      <c r="AH113" s="135"/>
      <c r="AI113" s="135"/>
      <c r="AJ113" s="135"/>
    </row>
    <row r="114" spans="1:36" ht="9" customHeight="1" x14ac:dyDescent="0.25">
      <c r="A114" s="133" t="s">
        <v>35</v>
      </c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134" t="s">
        <v>34</v>
      </c>
      <c r="AC114" s="134"/>
      <c r="AD114" s="134"/>
      <c r="AE114" s="134"/>
      <c r="AF114" s="134"/>
      <c r="AG114" s="134"/>
      <c r="AH114" s="134"/>
      <c r="AI114" s="134"/>
      <c r="AJ114" s="134"/>
    </row>
    <row r="115" spans="1:36" s="26" customFormat="1" ht="40.5" hidden="1" customHeight="1" x14ac:dyDescent="0.2">
      <c r="A115" s="136" t="s">
        <v>55</v>
      </c>
      <c r="B115" s="136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</row>
    <row r="116" spans="1:36" ht="12" hidden="1" customHeight="1" x14ac:dyDescent="0.25">
      <c r="A116" s="154" t="e">
        <f>#REF!</f>
        <v>#REF!</v>
      </c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5"/>
      <c r="AC116" s="155"/>
      <c r="AD116" s="155"/>
      <c r="AE116" s="155"/>
      <c r="AF116" s="155"/>
      <c r="AG116" s="155"/>
      <c r="AH116" s="155"/>
      <c r="AI116" s="155"/>
      <c r="AJ116" s="155"/>
    </row>
    <row r="117" spans="1:36" ht="9" hidden="1" customHeight="1" x14ac:dyDescent="0.25">
      <c r="A117" s="133" t="s">
        <v>35</v>
      </c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7"/>
      <c r="Q117" s="17"/>
      <c r="R117" s="17"/>
      <c r="S117" s="17"/>
      <c r="T117" s="17"/>
      <c r="U117" s="16"/>
      <c r="V117" s="16"/>
      <c r="W117" s="16"/>
      <c r="X117" s="16"/>
      <c r="Y117" s="16"/>
      <c r="Z117" s="16"/>
      <c r="AA117" s="16"/>
      <c r="AB117" s="134" t="s">
        <v>34</v>
      </c>
      <c r="AC117" s="134"/>
      <c r="AD117" s="134"/>
      <c r="AE117" s="134"/>
      <c r="AF117" s="134"/>
      <c r="AG117" s="134"/>
      <c r="AH117" s="134"/>
      <c r="AI117" s="134"/>
      <c r="AJ117" s="134"/>
    </row>
    <row r="118" spans="1:36" ht="12" hidden="1" customHeight="1" x14ac:dyDescent="0.25"/>
  </sheetData>
  <mergeCells count="102">
    <mergeCell ref="A4:AJ4"/>
    <mergeCell ref="A5:AJ5"/>
    <mergeCell ref="A6:AJ6"/>
    <mergeCell ref="A7:AJ8"/>
    <mergeCell ref="A9:AJ9"/>
    <mergeCell ref="A10:AJ10"/>
    <mergeCell ref="A18:AJ18"/>
    <mergeCell ref="A19:AJ19"/>
    <mergeCell ref="A20:AJ20"/>
    <mergeCell ref="A21:AJ21"/>
    <mergeCell ref="A23:AJ23"/>
    <mergeCell ref="A24:AJ24"/>
    <mergeCell ref="A11:AJ11"/>
    <mergeCell ref="A12:AJ12"/>
    <mergeCell ref="A13:AJ13"/>
    <mergeCell ref="A14:AJ14"/>
    <mergeCell ref="A16:AJ16"/>
    <mergeCell ref="A17:AJ17"/>
    <mergeCell ref="E33:G33"/>
    <mergeCell ref="AB33:AI33"/>
    <mergeCell ref="AB34:AI34"/>
    <mergeCell ref="A36:AJ36"/>
    <mergeCell ref="A37:AJ37"/>
    <mergeCell ref="A38:AJ38"/>
    <mergeCell ref="A25:AJ25"/>
    <mergeCell ref="A26:AJ26"/>
    <mergeCell ref="A27:AJ27"/>
    <mergeCell ref="A28:AJ28"/>
    <mergeCell ref="A30:AJ30"/>
    <mergeCell ref="A31:AJ31"/>
    <mergeCell ref="A46:AJ46"/>
    <mergeCell ref="A47:AJ47"/>
    <mergeCell ref="A48:AJ48"/>
    <mergeCell ref="A49:AJ49"/>
    <mergeCell ref="A50:AJ50"/>
    <mergeCell ref="A51:AJ51"/>
    <mergeCell ref="A39:AJ39"/>
    <mergeCell ref="A40:AJ40"/>
    <mergeCell ref="A42:AJ42"/>
    <mergeCell ref="A43:AJ43"/>
    <mergeCell ref="A44:AJ44"/>
    <mergeCell ref="A45:AJ45"/>
    <mergeCell ref="A59:AJ59"/>
    <mergeCell ref="A60:AJ60"/>
    <mergeCell ref="A63:AJ63"/>
    <mergeCell ref="A64:AJ64"/>
    <mergeCell ref="A66:AJ66"/>
    <mergeCell ref="A67:AJ67"/>
    <mergeCell ref="A52:AJ52"/>
    <mergeCell ref="A53:AJ53"/>
    <mergeCell ref="A54:AJ54"/>
    <mergeCell ref="A55:AJ55"/>
    <mergeCell ref="A56:AJ56"/>
    <mergeCell ref="A57:AJ57"/>
    <mergeCell ref="A75:AJ75"/>
    <mergeCell ref="A76:AJ76"/>
    <mergeCell ref="P78:W78"/>
    <mergeCell ref="P79:W79"/>
    <mergeCell ref="A82:AJ82"/>
    <mergeCell ref="A83:AJ83"/>
    <mergeCell ref="P68:AJ68"/>
    <mergeCell ref="P70:AJ70"/>
    <mergeCell ref="A71:AJ71"/>
    <mergeCell ref="G73:AJ73"/>
    <mergeCell ref="A74:B74"/>
    <mergeCell ref="G74:AJ74"/>
    <mergeCell ref="B95:P95"/>
    <mergeCell ref="A96:AJ96"/>
    <mergeCell ref="A100:O100"/>
    <mergeCell ref="AB100:AJ100"/>
    <mergeCell ref="A101:O101"/>
    <mergeCell ref="AB101:AJ101"/>
    <mergeCell ref="A84:AJ84"/>
    <mergeCell ref="A85:AJ85"/>
    <mergeCell ref="A87:AJ87"/>
    <mergeCell ref="A88:AJ88"/>
    <mergeCell ref="L89:AJ89"/>
    <mergeCell ref="H91:I91"/>
    <mergeCell ref="A116:O116"/>
    <mergeCell ref="AB116:AJ116"/>
    <mergeCell ref="A117:O117"/>
    <mergeCell ref="AB117:AJ117"/>
    <mergeCell ref="H69:J69"/>
    <mergeCell ref="A112:AJ112"/>
    <mergeCell ref="A113:O113"/>
    <mergeCell ref="AB113:AJ113"/>
    <mergeCell ref="A114:O114"/>
    <mergeCell ref="AB114:AJ114"/>
    <mergeCell ref="A115:AJ115"/>
    <mergeCell ref="A108:O108"/>
    <mergeCell ref="AB108:AJ108"/>
    <mergeCell ref="A110:O110"/>
    <mergeCell ref="AB110:AJ110"/>
    <mergeCell ref="A111:O111"/>
    <mergeCell ref="AB111:AJ111"/>
    <mergeCell ref="A103:O103"/>
    <mergeCell ref="AB103:AJ103"/>
    <mergeCell ref="A104:O104"/>
    <mergeCell ref="AB104:AJ104"/>
    <mergeCell ref="A107:O107"/>
    <mergeCell ref="AB107:AJ107"/>
    <mergeCell ref="B94:P94"/>
  </mergeCells>
  <pageMargins left="0.78740157480314965" right="0.27559055118110237" top="0.39370078740157483" bottom="0.39370078740157483" header="0" footer="0"/>
  <pageSetup paperSize="9" scale="87" fitToHeight="3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19DA9-8576-4D3F-882E-B815B4141A2D}">
  <sheetPr>
    <tabColor indexed="57"/>
    <pageSetUpPr fitToPage="1"/>
  </sheetPr>
  <dimension ref="A1:AQ120"/>
  <sheetViews>
    <sheetView view="pageBreakPreview" topLeftCell="A58" zoomScale="125" zoomScaleNormal="125" zoomScaleSheetLayoutView="125" workbookViewId="0">
      <selection activeCell="A88" sqref="A88:AJ88"/>
    </sheetView>
  </sheetViews>
  <sheetFormatPr defaultColWidth="10.6640625" defaultRowHeight="15" x14ac:dyDescent="0.25"/>
  <cols>
    <col min="1" max="6" width="2.83203125" style="1" customWidth="1"/>
    <col min="7" max="7" width="5.66406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51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9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P80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tr">
        <f>'АОСР-5.1 (3)'!A87</f>
        <v>Устройство гидроизоляционного покрытия под 2БРП №171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</row>
    <row r="69" spans="1:36" s="26" customFormat="1" ht="12" customHeight="1" x14ac:dyDescent="0.2">
      <c r="A69" s="79" t="s">
        <v>230</v>
      </c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 t="s">
        <v>231</v>
      </c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</row>
    <row r="70" spans="1:36" s="26" customFormat="1" ht="12" customHeight="1" x14ac:dyDescent="0.2">
      <c r="A70" s="31" t="s">
        <v>232</v>
      </c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3"/>
      <c r="Q70" s="83"/>
      <c r="R70" s="83"/>
      <c r="S70" s="83"/>
      <c r="T70" s="36" t="s">
        <v>201</v>
      </c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</row>
    <row r="71" spans="1:36" s="2" customFormat="1" ht="8.25" customHeight="1" x14ac:dyDescent="0.2">
      <c r="A71" s="134" t="s">
        <v>57</v>
      </c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</row>
    <row r="72" spans="1:36" ht="18.75" customHeight="1" x14ac:dyDescent="0.25">
      <c r="A72" s="137" t="s">
        <v>58</v>
      </c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</row>
    <row r="73" spans="1:36" s="26" customFormat="1" ht="12" customHeight="1" x14ac:dyDescent="0.2">
      <c r="A73" s="26" t="s">
        <v>11</v>
      </c>
    </row>
    <row r="74" spans="1:36" s="26" customFormat="1" ht="12" customHeight="1" x14ac:dyDescent="0.2">
      <c r="A74" s="26" t="s">
        <v>10</v>
      </c>
      <c r="G74" s="140" t="s">
        <v>288</v>
      </c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</row>
    <row r="75" spans="1:36" ht="7.5" customHeight="1" x14ac:dyDescent="0.25">
      <c r="A75" s="142"/>
      <c r="B75" s="142"/>
      <c r="C75" s="8"/>
      <c r="D75" s="8"/>
      <c r="E75" s="8"/>
      <c r="F75" s="8"/>
      <c r="G75" s="138" t="s">
        <v>9</v>
      </c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</row>
    <row r="76" spans="1:36" s="26" customFormat="1" ht="12" customHeight="1" x14ac:dyDescent="0.2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</row>
    <row r="77" spans="1:36" ht="7.5" customHeight="1" x14ac:dyDescent="0.25">
      <c r="A77" s="137" t="s">
        <v>31</v>
      </c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  <c r="AH77" s="138"/>
      <c r="AI77" s="138"/>
      <c r="AJ77" s="138"/>
    </row>
    <row r="78" spans="1:36" ht="9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s="26" customFormat="1" ht="12" customHeight="1" x14ac:dyDescent="0.2">
      <c r="A79" s="26" t="s">
        <v>8</v>
      </c>
      <c r="D79" s="35"/>
      <c r="E79" s="35"/>
      <c r="F79" s="35"/>
      <c r="G79" s="35"/>
      <c r="L79" s="27"/>
      <c r="M79" s="38"/>
      <c r="N79" s="38"/>
      <c r="P79" s="139">
        <f>'Данные объект'!B6</f>
        <v>45949</v>
      </c>
      <c r="Q79" s="139"/>
      <c r="R79" s="139"/>
      <c r="S79" s="139"/>
      <c r="T79" s="139"/>
      <c r="U79" s="139"/>
      <c r="V79" s="139"/>
      <c r="W79" s="139"/>
    </row>
    <row r="80" spans="1:36" s="26" customFormat="1" ht="12" customHeight="1" x14ac:dyDescent="0.2">
      <c r="A80" s="26" t="s">
        <v>7</v>
      </c>
      <c r="D80" s="35"/>
      <c r="E80" s="35"/>
      <c r="F80" s="35"/>
      <c r="G80" s="35"/>
      <c r="L80" s="27"/>
      <c r="M80" s="38"/>
      <c r="N80" s="38"/>
      <c r="P80" s="158">
        <f>'Данные объект'!B7</f>
        <v>46219</v>
      </c>
      <c r="Q80" s="158"/>
      <c r="R80" s="158"/>
      <c r="S80" s="158"/>
      <c r="T80" s="158"/>
      <c r="U80" s="158"/>
      <c r="V80" s="158"/>
      <c r="W80" s="158"/>
    </row>
    <row r="81" spans="1:36" s="26" customFormat="1" ht="7.5" customHeight="1" x14ac:dyDescent="0.2">
      <c r="A81" s="39"/>
      <c r="B81" s="39"/>
      <c r="C81" s="39"/>
      <c r="D81" s="40"/>
      <c r="E81" s="40"/>
      <c r="F81" s="40"/>
      <c r="G81" s="40"/>
    </row>
    <row r="82" spans="1:36" s="26" customFormat="1" ht="12" customHeight="1" x14ac:dyDescent="0.2">
      <c r="A82" s="26" t="s">
        <v>5</v>
      </c>
    </row>
    <row r="83" spans="1:36" s="26" customFormat="1" ht="12" customHeight="1" x14ac:dyDescent="0.2">
      <c r="A83" s="140" t="s">
        <v>108</v>
      </c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</row>
    <row r="84" spans="1:36" ht="8.25" customHeight="1" x14ac:dyDescent="0.25">
      <c r="A84" s="137" t="s">
        <v>4</v>
      </c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</row>
    <row r="85" spans="1:36" s="26" customFormat="1" ht="12" customHeight="1" x14ac:dyDescent="0.2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</row>
    <row r="86" spans="1:36" ht="8.25" customHeight="1" x14ac:dyDescent="0.25">
      <c r="A86" s="137" t="s">
        <v>59</v>
      </c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H86" s="138"/>
      <c r="AI86" s="138"/>
      <c r="AJ86" s="138"/>
    </row>
    <row r="87" spans="1:36" s="26" customFormat="1" ht="12" customHeight="1" x14ac:dyDescent="0.2">
      <c r="A87" s="26" t="s">
        <v>3</v>
      </c>
    </row>
    <row r="88" spans="1:36" s="26" customFormat="1" ht="12" customHeight="1" x14ac:dyDescent="0.2">
      <c r="A88" s="135" t="s">
        <v>198</v>
      </c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</row>
    <row r="89" spans="1:36" ht="9" customHeight="1" x14ac:dyDescent="0.25">
      <c r="A89" s="137" t="s">
        <v>32</v>
      </c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  <c r="AE89" s="138"/>
      <c r="AF89" s="138"/>
      <c r="AG89" s="138"/>
      <c r="AH89" s="138"/>
      <c r="AI89" s="138"/>
      <c r="AJ89" s="138"/>
    </row>
    <row r="90" spans="1:36" s="26" customFormat="1" ht="12" customHeight="1" x14ac:dyDescent="0.2">
      <c r="A90" s="26" t="s">
        <v>2</v>
      </c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</row>
    <row r="91" spans="1:36" ht="6" customHeight="1" x14ac:dyDescent="0.25">
      <c r="D91" s="4"/>
      <c r="E91" s="4"/>
      <c r="F91" s="4"/>
      <c r="G91" s="4"/>
      <c r="H91" s="4"/>
      <c r="I91" s="4"/>
      <c r="J91" s="4"/>
    </row>
    <row r="92" spans="1:36" s="26" customFormat="1" ht="12" customHeight="1" x14ac:dyDescent="0.2">
      <c r="A92" s="26" t="s">
        <v>102</v>
      </c>
      <c r="H92" s="135"/>
      <c r="I92" s="135"/>
      <c r="J92" s="26" t="s">
        <v>33</v>
      </c>
    </row>
    <row r="93" spans="1:36" ht="4.5" customHeight="1" x14ac:dyDescent="0.25"/>
    <row r="94" spans="1:36" s="26" customFormat="1" ht="12" customHeight="1" x14ac:dyDescent="0.2">
      <c r="A94" s="26" t="s">
        <v>1</v>
      </c>
    </row>
    <row r="95" spans="1:36" s="26" customFormat="1" ht="12" customHeight="1" x14ac:dyDescent="0.2">
      <c r="A95" s="31" t="s">
        <v>87</v>
      </c>
      <c r="B95" s="140" t="str">
        <f>G74</f>
        <v>Исполнительная схема фундамента под 2БРП №171</v>
      </c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31" t="s">
        <v>76</v>
      </c>
      <c r="R95" s="31" t="s">
        <v>88</v>
      </c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</row>
    <row r="96" spans="1:36" s="26" customFormat="1" ht="12" customHeight="1" x14ac:dyDescent="0.2">
      <c r="A96" s="37" t="s">
        <v>89</v>
      </c>
      <c r="B96" s="84" t="str">
        <f>O69</f>
        <v>Сертификат соответствия №04ИДЮ101.RU.C05560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37" t="s">
        <v>76</v>
      </c>
      <c r="R96" s="37" t="s">
        <v>233</v>
      </c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</row>
    <row r="97" spans="1:36" s="26" customFormat="1" ht="12" customHeight="1" x14ac:dyDescent="0.2">
      <c r="A97" s="37" t="s">
        <v>99</v>
      </c>
      <c r="B97" s="84" t="str">
        <f>T70</f>
        <v>Сертификат соответствия№04УПС1.RU.С02817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37" t="s">
        <v>76</v>
      </c>
      <c r="R97" s="37" t="s">
        <v>202</v>
      </c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</row>
    <row r="98" spans="1:36" ht="9.75" customHeight="1" x14ac:dyDescent="0.25">
      <c r="A98" s="137" t="s">
        <v>0</v>
      </c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  <c r="AE98" s="138"/>
      <c r="AF98" s="138"/>
      <c r="AG98" s="138"/>
      <c r="AH98" s="138"/>
      <c r="AI98" s="138"/>
      <c r="AJ98" s="138"/>
    </row>
    <row r="99" spans="1:36" ht="6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26" customFormat="1" ht="12" customHeight="1" x14ac:dyDescent="0.2">
      <c r="A100" s="26" t="s">
        <v>23</v>
      </c>
    </row>
    <row r="101" spans="1:36" s="26" customFormat="1" ht="12" customHeight="1" x14ac:dyDescent="0.2">
      <c r="A101" s="26" t="s">
        <v>24</v>
      </c>
    </row>
    <row r="102" spans="1:36" s="26" customFormat="1" ht="12" customHeight="1" x14ac:dyDescent="0.2">
      <c r="A102" s="135" t="str">
        <f>'Данные объект'!B33</f>
        <v>Алексанян Г.Р.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135"/>
      <c r="AC102" s="135"/>
      <c r="AD102" s="135"/>
      <c r="AE102" s="135"/>
      <c r="AF102" s="135"/>
      <c r="AG102" s="135"/>
      <c r="AH102" s="135"/>
      <c r="AI102" s="135"/>
      <c r="AJ102" s="135"/>
    </row>
    <row r="103" spans="1:36" ht="9" customHeight="1" x14ac:dyDescent="0.25">
      <c r="A103" s="133" t="s">
        <v>35</v>
      </c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4" t="s">
        <v>34</v>
      </c>
      <c r="AC103" s="134"/>
      <c r="AD103" s="134"/>
      <c r="AE103" s="134"/>
      <c r="AF103" s="134"/>
      <c r="AG103" s="134"/>
      <c r="AH103" s="134"/>
      <c r="AI103" s="134"/>
      <c r="AJ103" s="134"/>
    </row>
    <row r="104" spans="1:36" s="26" customFormat="1" ht="12" customHeight="1" x14ac:dyDescent="0.2">
      <c r="A104" s="26" t="s">
        <v>25</v>
      </c>
    </row>
    <row r="105" spans="1:36" s="26" customFormat="1" ht="12" customHeight="1" x14ac:dyDescent="0.2">
      <c r="A105" s="135" t="str">
        <f>'Данные объект'!B20</f>
        <v>Волков М.Ю.</v>
      </c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135"/>
      <c r="AC105" s="135"/>
      <c r="AD105" s="135"/>
      <c r="AE105" s="135"/>
      <c r="AF105" s="135"/>
      <c r="AG105" s="135"/>
      <c r="AH105" s="135"/>
      <c r="AI105" s="135"/>
      <c r="AJ105" s="135"/>
    </row>
    <row r="106" spans="1:36" ht="9" customHeight="1" x14ac:dyDescent="0.25">
      <c r="A106" s="133" t="s">
        <v>35</v>
      </c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4" t="s">
        <v>34</v>
      </c>
      <c r="AC106" s="134"/>
      <c r="AD106" s="134"/>
      <c r="AE106" s="134"/>
      <c r="AF106" s="134"/>
      <c r="AG106" s="134"/>
      <c r="AH106" s="134"/>
      <c r="AI106" s="134"/>
      <c r="AJ106" s="134"/>
    </row>
    <row r="107" spans="1:36" s="26" customFormat="1" ht="12" customHeight="1" x14ac:dyDescent="0.2">
      <c r="A107" s="26" t="s">
        <v>27</v>
      </c>
    </row>
    <row r="108" spans="1:36" s="26" customFormat="1" ht="12" customHeight="1" x14ac:dyDescent="0.2">
      <c r="A108" s="26" t="s">
        <v>28</v>
      </c>
    </row>
    <row r="109" spans="1:36" s="26" customFormat="1" ht="12" customHeight="1" x14ac:dyDescent="0.2">
      <c r="A109" s="135" t="str">
        <f>'Данные объект'!B17</f>
        <v>Русин В.А.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135"/>
      <c r="AC109" s="135"/>
      <c r="AD109" s="135"/>
      <c r="AE109" s="135"/>
      <c r="AF109" s="135"/>
      <c r="AG109" s="135"/>
      <c r="AH109" s="135"/>
      <c r="AI109" s="135"/>
      <c r="AJ109" s="135"/>
    </row>
    <row r="110" spans="1:36" ht="9" customHeight="1" x14ac:dyDescent="0.25">
      <c r="A110" s="133" t="s">
        <v>35</v>
      </c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4" t="s">
        <v>34</v>
      </c>
      <c r="AC110" s="134"/>
      <c r="AD110" s="134"/>
      <c r="AE110" s="134"/>
      <c r="AF110" s="134"/>
      <c r="AG110" s="134"/>
      <c r="AH110" s="134"/>
      <c r="AI110" s="134"/>
      <c r="AJ110" s="134"/>
    </row>
    <row r="111" spans="1:36" s="101" customFormat="1" ht="11.25" x14ac:dyDescent="0.2">
      <c r="A111" s="26" t="s">
        <v>211</v>
      </c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97"/>
      <c r="AC111" s="97"/>
      <c r="AD111" s="97"/>
      <c r="AE111" s="97"/>
      <c r="AF111" s="97"/>
      <c r="AG111" s="97"/>
      <c r="AH111" s="97"/>
      <c r="AI111" s="97"/>
      <c r="AJ111" s="97"/>
    </row>
    <row r="112" spans="1:36" s="101" customFormat="1" ht="11.25" x14ac:dyDescent="0.2">
      <c r="A112" s="135" t="str">
        <f>'[4]Данные объект'!$B$36</f>
        <v>Курчин М.М.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5"/>
      <c r="AC112" s="135"/>
      <c r="AD112" s="135"/>
      <c r="AE112" s="135"/>
      <c r="AF112" s="135"/>
      <c r="AG112" s="135"/>
      <c r="AH112" s="135"/>
      <c r="AI112" s="135"/>
      <c r="AJ112" s="135"/>
    </row>
    <row r="113" spans="1:36" s="101" customFormat="1" ht="9" customHeight="1" x14ac:dyDescent="0.15">
      <c r="A113" s="133" t="s">
        <v>35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4" t="s">
        <v>34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s="26" customFormat="1" ht="36" customHeight="1" x14ac:dyDescent="0.2">
      <c r="A114" s="136" t="s">
        <v>53</v>
      </c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</row>
    <row r="115" spans="1:36" s="26" customFormat="1" ht="12" customHeight="1" x14ac:dyDescent="0.2">
      <c r="A115" s="135" t="s">
        <v>76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135" t="s">
        <v>76</v>
      </c>
      <c r="AC115" s="135"/>
      <c r="AD115" s="135"/>
      <c r="AE115" s="135"/>
      <c r="AF115" s="135"/>
      <c r="AG115" s="135"/>
      <c r="AH115" s="135"/>
      <c r="AI115" s="135"/>
      <c r="AJ115" s="135"/>
    </row>
    <row r="116" spans="1:36" ht="9" customHeight="1" x14ac:dyDescent="0.25">
      <c r="A116" s="133" t="s">
        <v>35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4" t="s">
        <v>34</v>
      </c>
      <c r="AC116" s="134"/>
      <c r="AD116" s="134"/>
      <c r="AE116" s="134"/>
      <c r="AF116" s="134"/>
      <c r="AG116" s="134"/>
      <c r="AH116" s="134"/>
      <c r="AI116" s="134"/>
      <c r="AJ116" s="134"/>
    </row>
    <row r="117" spans="1:36" s="26" customFormat="1" ht="40.5" hidden="1" customHeight="1" x14ac:dyDescent="0.2">
      <c r="A117" s="136" t="s">
        <v>55</v>
      </c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</row>
    <row r="118" spans="1:36" ht="12" hidden="1" customHeight="1" x14ac:dyDescent="0.25">
      <c r="A118" s="154" t="e">
        <f>#REF!</f>
        <v>#REF!</v>
      </c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5"/>
      <c r="AC118" s="155"/>
      <c r="AD118" s="155"/>
      <c r="AE118" s="155"/>
      <c r="AF118" s="155"/>
      <c r="AG118" s="155"/>
      <c r="AH118" s="155"/>
      <c r="AI118" s="155"/>
      <c r="AJ118" s="155"/>
    </row>
    <row r="119" spans="1:36" ht="9" hidden="1" customHeight="1" x14ac:dyDescent="0.25">
      <c r="A119" s="133" t="s">
        <v>35</v>
      </c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4" t="s">
        <v>34</v>
      </c>
      <c r="AC119" s="134"/>
      <c r="AD119" s="134"/>
      <c r="AE119" s="134"/>
      <c r="AF119" s="134"/>
      <c r="AG119" s="134"/>
      <c r="AH119" s="134"/>
      <c r="AI119" s="134"/>
      <c r="AJ119" s="134"/>
    </row>
    <row r="120" spans="1:36" ht="12" hidden="1" customHeight="1" x14ac:dyDescent="0.25"/>
  </sheetData>
  <mergeCells count="100">
    <mergeCell ref="A17:AJ17"/>
    <mergeCell ref="A4:AJ4"/>
    <mergeCell ref="A5:AJ5"/>
    <mergeCell ref="A6:AJ6"/>
    <mergeCell ref="A7:AJ8"/>
    <mergeCell ref="A9:AJ9"/>
    <mergeCell ref="A10:AJ10"/>
    <mergeCell ref="A11:AJ11"/>
    <mergeCell ref="A12:AJ12"/>
    <mergeCell ref="A13:AJ13"/>
    <mergeCell ref="A14:AJ14"/>
    <mergeCell ref="A16:AJ16"/>
    <mergeCell ref="A31:AJ31"/>
    <mergeCell ref="A18:AJ18"/>
    <mergeCell ref="A19:AJ19"/>
    <mergeCell ref="A20:AJ20"/>
    <mergeCell ref="A21:AJ21"/>
    <mergeCell ref="A23:AJ23"/>
    <mergeCell ref="A24:AJ24"/>
    <mergeCell ref="A25:AJ25"/>
    <mergeCell ref="A26:AJ26"/>
    <mergeCell ref="A27:AJ27"/>
    <mergeCell ref="A28:AJ28"/>
    <mergeCell ref="A30:AJ30"/>
    <mergeCell ref="A45:AJ45"/>
    <mergeCell ref="E33:G33"/>
    <mergeCell ref="AB33:AI33"/>
    <mergeCell ref="AB34:AI34"/>
    <mergeCell ref="A36:AJ36"/>
    <mergeCell ref="A37:AJ37"/>
    <mergeCell ref="A38:AJ38"/>
    <mergeCell ref="A39:AJ39"/>
    <mergeCell ref="A40:AJ40"/>
    <mergeCell ref="A42:AJ42"/>
    <mergeCell ref="A43:AJ43"/>
    <mergeCell ref="A44:AJ44"/>
    <mergeCell ref="A63:AJ63"/>
    <mergeCell ref="A46:AJ46"/>
    <mergeCell ref="A50:AJ50"/>
    <mergeCell ref="A51:AJ51"/>
    <mergeCell ref="A52:AJ52"/>
    <mergeCell ref="A53:AJ53"/>
    <mergeCell ref="A54:AJ54"/>
    <mergeCell ref="A55:AJ55"/>
    <mergeCell ref="A56:AJ56"/>
    <mergeCell ref="A57:AJ57"/>
    <mergeCell ref="A59:AJ59"/>
    <mergeCell ref="A60:AJ60"/>
    <mergeCell ref="A47:AJ47"/>
    <mergeCell ref="A48:AJ48"/>
    <mergeCell ref="A49:AJ49"/>
    <mergeCell ref="P79:W79"/>
    <mergeCell ref="A64:AJ64"/>
    <mergeCell ref="A66:AJ66"/>
    <mergeCell ref="A67:AJ67"/>
    <mergeCell ref="P68:AJ68"/>
    <mergeCell ref="A72:AJ72"/>
    <mergeCell ref="G74:AJ74"/>
    <mergeCell ref="A75:B75"/>
    <mergeCell ref="G75:AJ75"/>
    <mergeCell ref="A76:AJ76"/>
    <mergeCell ref="A77:AJ77"/>
    <mergeCell ref="A71:AJ71"/>
    <mergeCell ref="A102:O102"/>
    <mergeCell ref="AB102:AJ102"/>
    <mergeCell ref="P80:W80"/>
    <mergeCell ref="A83:AJ83"/>
    <mergeCell ref="A84:AJ84"/>
    <mergeCell ref="A85:AJ85"/>
    <mergeCell ref="A86:AJ86"/>
    <mergeCell ref="A88:AJ88"/>
    <mergeCell ref="A89:AJ89"/>
    <mergeCell ref="L90:AJ90"/>
    <mergeCell ref="H92:I92"/>
    <mergeCell ref="B95:P95"/>
    <mergeCell ref="A98:AJ98"/>
    <mergeCell ref="A112:O112"/>
    <mergeCell ref="AB112:AJ112"/>
    <mergeCell ref="A103:O103"/>
    <mergeCell ref="AB103:AJ103"/>
    <mergeCell ref="A105:O105"/>
    <mergeCell ref="AB105:AJ105"/>
    <mergeCell ref="A106:O106"/>
    <mergeCell ref="AB106:AJ106"/>
    <mergeCell ref="A113:O113"/>
    <mergeCell ref="AB113:AJ113"/>
    <mergeCell ref="A119:O119"/>
    <mergeCell ref="AB119:AJ119"/>
    <mergeCell ref="A109:O109"/>
    <mergeCell ref="AB109:AJ109"/>
    <mergeCell ref="A110:O110"/>
    <mergeCell ref="AB110:AJ110"/>
    <mergeCell ref="A114:AJ114"/>
    <mergeCell ref="A115:O115"/>
    <mergeCell ref="AB115:AJ115"/>
    <mergeCell ref="A116:O116"/>
    <mergeCell ref="AB116:AJ116"/>
    <mergeCell ref="A117:AJ117"/>
    <mergeCell ref="A118:O118"/>
    <mergeCell ref="AB118:AJ118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4667D-3B01-4C42-8272-BC803126C4D3}">
  <sheetPr>
    <tabColor indexed="57"/>
    <pageSetUpPr fitToPage="1"/>
  </sheetPr>
  <dimension ref="A1:AQ111"/>
  <sheetViews>
    <sheetView view="pageBreakPreview" topLeftCell="A67" zoomScale="125" zoomScaleNormal="125" zoomScaleSheetLayoutView="125" workbookViewId="0">
      <selection activeCell="AP36" sqref="AP36"/>
    </sheetView>
  </sheetViews>
  <sheetFormatPr defaultColWidth="10.6640625" defaultRowHeight="15" x14ac:dyDescent="0.25"/>
  <cols>
    <col min="1" max="6" width="2.83203125" style="1" customWidth="1"/>
    <col min="7" max="7" width="5.66406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24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7</v>
      </c>
      <c r="D33" s="31"/>
      <c r="E33" s="135" t="s">
        <v>175</v>
      </c>
      <c r="F33" s="135"/>
      <c r="G33" s="135"/>
      <c r="H33" s="32"/>
      <c r="I33" s="32"/>
      <c r="J33" s="32"/>
      <c r="X33" s="27"/>
      <c r="Y33" s="38"/>
      <c r="Z33" s="38"/>
      <c r="AB33" s="139">
        <f>'Данные объект'!B7</f>
        <v>46219</v>
      </c>
      <c r="AC33" s="139"/>
      <c r="AD33" s="139"/>
      <c r="AE33" s="139"/>
      <c r="AF33" s="139"/>
      <c r="AG33" s="139"/>
      <c r="AH33" s="139"/>
      <c r="AI33" s="139"/>
      <c r="AJ33" s="26" t="s">
        <v>6</v>
      </c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s="26" customFormat="1" ht="36.75" customHeight="1" x14ac:dyDescent="0.2">
      <c r="A47" s="136" t="s">
        <v>53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</row>
    <row r="48" spans="1:36" s="33" customFormat="1" ht="12.95" customHeight="1" x14ac:dyDescent="0.2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</row>
    <row r="49" spans="1:36" ht="29.25" customHeight="1" x14ac:dyDescent="0.25">
      <c r="A49" s="137" t="s">
        <v>54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25.5" hidden="1" customHeight="1" x14ac:dyDescent="0.2">
      <c r="A50" s="136" t="s">
        <v>55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26" customFormat="1" ht="12" hidden="1" customHeight="1" x14ac:dyDescent="0.2">
      <c r="A51" s="141" t="e">
        <f>CONCATENATE(#REF!,", ",#REF!," - ",#REF!)</f>
        <v>#REF!</v>
      </c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</row>
    <row r="52" spans="1:36" ht="9.75" hidden="1" customHeight="1" x14ac:dyDescent="0.25">
      <c r="A52" s="137" t="s">
        <v>29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12" hidden="1" customHeight="1" x14ac:dyDescent="0.2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</row>
    <row r="54" spans="1:36" ht="16.5" hidden="1" customHeight="1" x14ac:dyDescent="0.25">
      <c r="A54" s="137" t="s">
        <v>56</v>
      </c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</row>
    <row r="55" spans="1:36" s="26" customFormat="1" ht="12" customHeight="1" x14ac:dyDescent="0.2">
      <c r="A55" s="26" t="s">
        <v>16</v>
      </c>
    </row>
    <row r="56" spans="1:36" s="26" customFormat="1" ht="12.95" customHeight="1" x14ac:dyDescent="0.2">
      <c r="A56" s="135" t="str">
        <f>'Данные объект'!B11</f>
        <v>ООО"Энергосистемы"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ht="10.5" customHeight="1" x14ac:dyDescent="0.25">
      <c r="A57" s="133" t="s">
        <v>40</v>
      </c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</row>
    <row r="58" spans="1:36" s="26" customFormat="1" ht="12" customHeight="1" x14ac:dyDescent="0.2">
      <c r="A58" s="26" t="s">
        <v>15</v>
      </c>
    </row>
    <row r="59" spans="1:36" s="26" customFormat="1" ht="12" customHeight="1" x14ac:dyDescent="0.2">
      <c r="A59" s="26" t="s">
        <v>30</v>
      </c>
    </row>
    <row r="60" spans="1:36" s="26" customFormat="1" ht="12" customHeight="1" x14ac:dyDescent="0.2">
      <c r="A60" s="146" t="s">
        <v>194</v>
      </c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</row>
    <row r="61" spans="1:36" ht="8.25" customHeight="1" x14ac:dyDescent="0.25">
      <c r="A61" s="137" t="s">
        <v>14</v>
      </c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</row>
    <row r="62" spans="1:36" s="26" customFormat="1" ht="12" customHeight="1" x14ac:dyDescent="0.2">
      <c r="A62" s="26" t="s">
        <v>13</v>
      </c>
    </row>
    <row r="63" spans="1:36" s="26" customFormat="1" ht="12" customHeight="1" x14ac:dyDescent="0.2">
      <c r="A63" s="141" t="str">
        <f>'Данные объект'!B40</f>
        <v>4980-325834-216-09/24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</row>
    <row r="64" spans="1:36" ht="15" customHeight="1" x14ac:dyDescent="0.25">
      <c r="A64" s="137" t="s">
        <v>41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12</v>
      </c>
      <c r="P65" s="135" t="s">
        <v>196</v>
      </c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</row>
    <row r="66" spans="1:36" s="2" customFormat="1" ht="7.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134" t="s">
        <v>57</v>
      </c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</row>
    <row r="67" spans="1:36" ht="18.75" customHeight="1" x14ac:dyDescent="0.25">
      <c r="A67" s="137" t="s">
        <v>58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11</v>
      </c>
    </row>
    <row r="69" spans="1:36" s="26" customFormat="1" ht="12" customHeight="1" x14ac:dyDescent="0.2">
      <c r="A69" s="26" t="s">
        <v>10</v>
      </c>
      <c r="G69" s="140" t="s">
        <v>193</v>
      </c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</row>
    <row r="70" spans="1:36" ht="7.5" customHeight="1" x14ac:dyDescent="0.25">
      <c r="A70" s="142"/>
      <c r="B70" s="142"/>
      <c r="C70" s="8"/>
      <c r="D70" s="8"/>
      <c r="E70" s="8"/>
      <c r="F70" s="8"/>
      <c r="G70" s="138" t="s">
        <v>9</v>
      </c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</row>
    <row r="71" spans="1:36" s="26" customFormat="1" ht="12" customHeight="1" x14ac:dyDescent="0.2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</row>
    <row r="72" spans="1:36" ht="7.5" customHeight="1" x14ac:dyDescent="0.25">
      <c r="A72" s="137" t="s">
        <v>31</v>
      </c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</row>
    <row r="73" spans="1:36" ht="9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13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spans="1:36" s="26" customFormat="1" ht="12" customHeight="1" x14ac:dyDescent="0.2">
      <c r="A74" s="26" t="s">
        <v>8</v>
      </c>
      <c r="D74" s="35"/>
      <c r="E74" s="35"/>
      <c r="F74" s="35"/>
      <c r="G74" s="35"/>
      <c r="L74" s="27"/>
      <c r="M74" s="38"/>
      <c r="N74" s="38"/>
      <c r="P74" s="139">
        <f>'Данные объект'!B6</f>
        <v>45949</v>
      </c>
      <c r="Q74" s="139"/>
      <c r="R74" s="139"/>
      <c r="S74" s="139"/>
      <c r="T74" s="139"/>
      <c r="U74" s="139"/>
      <c r="V74" s="139"/>
      <c r="W74" s="139"/>
      <c r="X74" s="26" t="s">
        <v>6</v>
      </c>
    </row>
    <row r="75" spans="1:36" s="26" customFormat="1" ht="12" customHeight="1" x14ac:dyDescent="0.2">
      <c r="A75" s="26" t="s">
        <v>7</v>
      </c>
      <c r="D75" s="35"/>
      <c r="E75" s="35"/>
      <c r="F75" s="35"/>
      <c r="G75" s="35"/>
      <c r="L75" s="27"/>
      <c r="M75" s="38"/>
      <c r="N75" s="38"/>
      <c r="P75" s="158">
        <f>'Данные объект'!B7</f>
        <v>46219</v>
      </c>
      <c r="Q75" s="158"/>
      <c r="R75" s="158"/>
      <c r="S75" s="158"/>
      <c r="T75" s="158"/>
      <c r="U75" s="158"/>
      <c r="V75" s="158"/>
      <c r="W75" s="158"/>
      <c r="X75" s="26" t="s">
        <v>6</v>
      </c>
    </row>
    <row r="76" spans="1:36" s="26" customFormat="1" ht="7.5" customHeight="1" x14ac:dyDescent="0.2">
      <c r="A76" s="39"/>
      <c r="B76" s="39"/>
      <c r="C76" s="39"/>
      <c r="D76" s="40"/>
      <c r="E76" s="40"/>
      <c r="F76" s="40"/>
      <c r="G76" s="40"/>
    </row>
    <row r="77" spans="1:36" s="26" customFormat="1" ht="12" customHeight="1" x14ac:dyDescent="0.2">
      <c r="A77" s="26" t="s">
        <v>5</v>
      </c>
    </row>
    <row r="78" spans="1:36" s="26" customFormat="1" ht="12" customHeight="1" x14ac:dyDescent="0.2">
      <c r="A78" s="140" t="s">
        <v>108</v>
      </c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</row>
    <row r="79" spans="1:36" ht="8.25" customHeight="1" x14ac:dyDescent="0.25">
      <c r="A79" s="137" t="s">
        <v>4</v>
      </c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  <c r="AE79" s="138"/>
      <c r="AF79" s="138"/>
      <c r="AG79" s="138"/>
      <c r="AH79" s="138"/>
      <c r="AI79" s="138"/>
      <c r="AJ79" s="138"/>
    </row>
    <row r="80" spans="1:36" s="26" customFormat="1" ht="12" customHeight="1" x14ac:dyDescent="0.2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</row>
    <row r="81" spans="1:36" ht="8.25" customHeight="1" x14ac:dyDescent="0.25">
      <c r="A81" s="137" t="s">
        <v>59</v>
      </c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  <c r="AJ81" s="138"/>
    </row>
    <row r="82" spans="1:36" s="26" customFormat="1" ht="12" customHeight="1" x14ac:dyDescent="0.2">
      <c r="A82" s="26" t="s">
        <v>3</v>
      </c>
    </row>
    <row r="83" spans="1:36" s="26" customFormat="1" ht="12" customHeight="1" x14ac:dyDescent="0.2">
      <c r="A83" s="135" t="s">
        <v>195</v>
      </c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</row>
    <row r="84" spans="1:36" ht="9" customHeight="1" x14ac:dyDescent="0.25">
      <c r="A84" s="137" t="s">
        <v>32</v>
      </c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</row>
    <row r="85" spans="1:36" s="26" customFormat="1" ht="12" customHeight="1" x14ac:dyDescent="0.2">
      <c r="A85" s="26" t="s">
        <v>2</v>
      </c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</row>
    <row r="86" spans="1:36" ht="6" customHeight="1" x14ac:dyDescent="0.25">
      <c r="D86" s="4"/>
      <c r="E86" s="4"/>
      <c r="F86" s="4"/>
      <c r="G86" s="4"/>
      <c r="H86" s="4"/>
      <c r="I86" s="4"/>
      <c r="J86" s="4"/>
    </row>
    <row r="87" spans="1:36" s="26" customFormat="1" ht="12" customHeight="1" x14ac:dyDescent="0.2">
      <c r="A87" s="26" t="s">
        <v>102</v>
      </c>
      <c r="H87" s="135"/>
      <c r="I87" s="135"/>
      <c r="J87" s="26" t="s">
        <v>33</v>
      </c>
    </row>
    <row r="88" spans="1:36" ht="4.5" customHeight="1" x14ac:dyDescent="0.25"/>
    <row r="89" spans="1:36" s="26" customFormat="1" ht="12" customHeight="1" x14ac:dyDescent="0.2">
      <c r="A89" s="26" t="s">
        <v>1</v>
      </c>
    </row>
    <row r="90" spans="1:36" s="26" customFormat="1" ht="12" customHeight="1" x14ac:dyDescent="0.2">
      <c r="A90" s="31" t="s">
        <v>87</v>
      </c>
      <c r="B90" s="140" t="s">
        <v>197</v>
      </c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31" t="s">
        <v>76</v>
      </c>
      <c r="R90" s="31" t="s">
        <v>88</v>
      </c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</row>
    <row r="91" spans="1:36" s="26" customFormat="1" ht="12" customHeight="1" x14ac:dyDescent="0.2">
      <c r="A91" s="31" t="s">
        <v>87</v>
      </c>
      <c r="B91" s="140" t="str">
        <f>G69</f>
        <v>Исполнительная схема фундамента под БКТП №544</v>
      </c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31" t="s">
        <v>76</v>
      </c>
      <c r="R91" s="31" t="s">
        <v>88</v>
      </c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</row>
    <row r="92" spans="1:36" ht="9.75" customHeight="1" x14ac:dyDescent="0.25">
      <c r="A92" s="137" t="s">
        <v>0</v>
      </c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</row>
    <row r="93" spans="1:36" ht="6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26" customFormat="1" ht="12" customHeight="1" x14ac:dyDescent="0.2">
      <c r="A94" s="26" t="s">
        <v>23</v>
      </c>
    </row>
    <row r="95" spans="1:36" s="26" customFormat="1" ht="12" customHeight="1" x14ac:dyDescent="0.2">
      <c r="A95" s="26" t="s">
        <v>24</v>
      </c>
    </row>
    <row r="96" spans="1:36" s="26" customFormat="1" ht="12" customHeight="1" x14ac:dyDescent="0.2">
      <c r="A96" s="135" t="str">
        <f>'Данные объект'!B33</f>
        <v>Алексанян Г.Р.</v>
      </c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135"/>
      <c r="AC96" s="135"/>
      <c r="AD96" s="135"/>
      <c r="AE96" s="135"/>
      <c r="AF96" s="135"/>
      <c r="AG96" s="135"/>
      <c r="AH96" s="135"/>
      <c r="AI96" s="135"/>
      <c r="AJ96" s="135"/>
    </row>
    <row r="97" spans="1:36" ht="9" customHeight="1" x14ac:dyDescent="0.25">
      <c r="A97" s="133" t="s">
        <v>35</v>
      </c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7"/>
      <c r="Q97" s="17"/>
      <c r="R97" s="17"/>
      <c r="S97" s="17"/>
      <c r="T97" s="17"/>
      <c r="U97" s="16"/>
      <c r="V97" s="16"/>
      <c r="W97" s="16"/>
      <c r="X97" s="16"/>
      <c r="Y97" s="16"/>
      <c r="Z97" s="16"/>
      <c r="AA97" s="16"/>
      <c r="AB97" s="134" t="s">
        <v>34</v>
      </c>
      <c r="AC97" s="134"/>
      <c r="AD97" s="134"/>
      <c r="AE97" s="134"/>
      <c r="AF97" s="134"/>
      <c r="AG97" s="134"/>
      <c r="AH97" s="134"/>
      <c r="AI97" s="134"/>
      <c r="AJ97" s="134"/>
    </row>
    <row r="98" spans="1:36" s="26" customFormat="1" ht="12" customHeight="1" x14ac:dyDescent="0.2">
      <c r="A98" s="26" t="s">
        <v>25</v>
      </c>
    </row>
    <row r="99" spans="1:36" s="26" customFormat="1" ht="12" customHeight="1" x14ac:dyDescent="0.2">
      <c r="A99" s="135" t="str">
        <f>'Данные объект'!B20</f>
        <v>Волков М.Ю.</v>
      </c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135"/>
      <c r="AC99" s="135"/>
      <c r="AD99" s="135"/>
      <c r="AE99" s="135"/>
      <c r="AF99" s="135"/>
      <c r="AG99" s="135"/>
      <c r="AH99" s="135"/>
      <c r="AI99" s="135"/>
      <c r="AJ99" s="135"/>
    </row>
    <row r="100" spans="1:36" ht="9" customHeight="1" x14ac:dyDescent="0.25">
      <c r="A100" s="133" t="s">
        <v>35</v>
      </c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7"/>
      <c r="Q100" s="17"/>
      <c r="R100" s="17"/>
      <c r="S100" s="17"/>
      <c r="T100" s="17"/>
      <c r="U100" s="16"/>
      <c r="V100" s="16"/>
      <c r="W100" s="16"/>
      <c r="X100" s="16"/>
      <c r="Y100" s="16"/>
      <c r="Z100" s="16"/>
      <c r="AA100" s="16"/>
      <c r="AB100" s="134" t="s">
        <v>34</v>
      </c>
      <c r="AC100" s="134"/>
      <c r="AD100" s="134"/>
      <c r="AE100" s="134"/>
      <c r="AF100" s="134"/>
      <c r="AG100" s="134"/>
      <c r="AH100" s="134"/>
      <c r="AI100" s="134"/>
      <c r="AJ100" s="134"/>
    </row>
    <row r="101" spans="1:36" s="26" customFormat="1" ht="12" customHeight="1" x14ac:dyDescent="0.2">
      <c r="A101" s="26" t="s">
        <v>27</v>
      </c>
    </row>
    <row r="102" spans="1:36" s="26" customFormat="1" ht="12" customHeight="1" x14ac:dyDescent="0.2">
      <c r="A102" s="26" t="s">
        <v>28</v>
      </c>
    </row>
    <row r="103" spans="1:36" s="26" customFormat="1" ht="12" customHeight="1" x14ac:dyDescent="0.2">
      <c r="A103" s="135" t="str">
        <f>'Данные объект'!B17</f>
        <v>Русин В.А.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135"/>
      <c r="AC103" s="135"/>
      <c r="AD103" s="135"/>
      <c r="AE103" s="135"/>
      <c r="AF103" s="135"/>
      <c r="AG103" s="135"/>
      <c r="AH103" s="135"/>
      <c r="AI103" s="135"/>
      <c r="AJ103" s="135"/>
    </row>
    <row r="104" spans="1:36" ht="9" customHeight="1" x14ac:dyDescent="0.25">
      <c r="A104" s="133" t="s">
        <v>35</v>
      </c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7"/>
      <c r="Q104" s="17"/>
      <c r="R104" s="17"/>
      <c r="S104" s="17"/>
      <c r="T104" s="17"/>
      <c r="U104" s="16"/>
      <c r="V104" s="16"/>
      <c r="W104" s="16"/>
      <c r="X104" s="16"/>
      <c r="Y104" s="16"/>
      <c r="Z104" s="16"/>
      <c r="AA104" s="16"/>
      <c r="AB104" s="134" t="s">
        <v>34</v>
      </c>
      <c r="AC104" s="134"/>
      <c r="AD104" s="134"/>
      <c r="AE104" s="134"/>
      <c r="AF104" s="134"/>
      <c r="AG104" s="134"/>
      <c r="AH104" s="134"/>
      <c r="AI104" s="134"/>
      <c r="AJ104" s="134"/>
    </row>
    <row r="105" spans="1:36" s="26" customFormat="1" ht="36" customHeight="1" x14ac:dyDescent="0.2">
      <c r="A105" s="136" t="s">
        <v>53</v>
      </c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</row>
    <row r="106" spans="1:36" s="26" customFormat="1" ht="12" customHeight="1" x14ac:dyDescent="0.2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135"/>
      <c r="AC106" s="135"/>
      <c r="AD106" s="135"/>
      <c r="AE106" s="135"/>
      <c r="AF106" s="135"/>
      <c r="AG106" s="135"/>
      <c r="AH106" s="135"/>
      <c r="AI106" s="135"/>
      <c r="AJ106" s="135"/>
    </row>
    <row r="107" spans="1:36" ht="9" customHeight="1" x14ac:dyDescent="0.25">
      <c r="A107" s="133" t="s">
        <v>35</v>
      </c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34" t="s">
        <v>34</v>
      </c>
      <c r="AC107" s="134"/>
      <c r="AD107" s="134"/>
      <c r="AE107" s="134"/>
      <c r="AF107" s="134"/>
      <c r="AG107" s="134"/>
      <c r="AH107" s="134"/>
      <c r="AI107" s="134"/>
      <c r="AJ107" s="134"/>
    </row>
    <row r="108" spans="1:36" s="26" customFormat="1" ht="40.5" hidden="1" customHeight="1" x14ac:dyDescent="0.2">
      <c r="A108" s="136" t="s">
        <v>55</v>
      </c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</row>
    <row r="109" spans="1:36" ht="12" hidden="1" customHeight="1" x14ac:dyDescent="0.25">
      <c r="A109" s="154" t="e">
        <f>#REF!</f>
        <v>#REF!</v>
      </c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5"/>
      <c r="AC109" s="155"/>
      <c r="AD109" s="155"/>
      <c r="AE109" s="155"/>
      <c r="AF109" s="155"/>
      <c r="AG109" s="155"/>
      <c r="AH109" s="155"/>
      <c r="AI109" s="155"/>
      <c r="AJ109" s="155"/>
    </row>
    <row r="110" spans="1:36" ht="9" hidden="1" customHeight="1" x14ac:dyDescent="0.25">
      <c r="A110" s="133" t="s">
        <v>35</v>
      </c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4" t="s">
        <v>34</v>
      </c>
      <c r="AC110" s="134"/>
      <c r="AD110" s="134"/>
      <c r="AE110" s="134"/>
      <c r="AF110" s="134"/>
      <c r="AG110" s="134"/>
      <c r="AH110" s="134"/>
      <c r="AI110" s="134"/>
      <c r="AJ110" s="134"/>
    </row>
    <row r="111" spans="1:36" ht="12" hidden="1" customHeight="1" x14ac:dyDescent="0.25"/>
  </sheetData>
  <mergeCells count="94">
    <mergeCell ref="A108:AJ108"/>
    <mergeCell ref="A109:O109"/>
    <mergeCell ref="AB109:AJ109"/>
    <mergeCell ref="A110:O110"/>
    <mergeCell ref="AB110:AJ110"/>
    <mergeCell ref="A107:O107"/>
    <mergeCell ref="AB107:AJ107"/>
    <mergeCell ref="A99:O99"/>
    <mergeCell ref="AB99:AJ99"/>
    <mergeCell ref="A100:O100"/>
    <mergeCell ref="AB100:AJ100"/>
    <mergeCell ref="A103:O103"/>
    <mergeCell ref="AB103:AJ103"/>
    <mergeCell ref="A104:O104"/>
    <mergeCell ref="AB104:AJ104"/>
    <mergeCell ref="A105:AJ105"/>
    <mergeCell ref="A106:O106"/>
    <mergeCell ref="AB106:AJ106"/>
    <mergeCell ref="A92:AJ92"/>
    <mergeCell ref="A96:O96"/>
    <mergeCell ref="AB96:AJ96"/>
    <mergeCell ref="A97:O97"/>
    <mergeCell ref="AB97:AJ97"/>
    <mergeCell ref="B91:P91"/>
    <mergeCell ref="A72:AJ72"/>
    <mergeCell ref="P74:W74"/>
    <mergeCell ref="P75:W75"/>
    <mergeCell ref="A78:AJ78"/>
    <mergeCell ref="A79:AJ79"/>
    <mergeCell ref="A80:AJ80"/>
    <mergeCell ref="B90:P90"/>
    <mergeCell ref="A81:AJ81"/>
    <mergeCell ref="A83:AJ83"/>
    <mergeCell ref="A84:AJ84"/>
    <mergeCell ref="L85:AJ85"/>
    <mergeCell ref="H87:I87"/>
    <mergeCell ref="A67:AJ67"/>
    <mergeCell ref="G69:AJ69"/>
    <mergeCell ref="A70:B70"/>
    <mergeCell ref="G70:AJ70"/>
    <mergeCell ref="A71:AJ71"/>
    <mergeCell ref="A61:AJ61"/>
    <mergeCell ref="A63:AJ63"/>
    <mergeCell ref="A64:AJ64"/>
    <mergeCell ref="P65:AJ65"/>
    <mergeCell ref="P66:AJ66"/>
    <mergeCell ref="A51:AJ51"/>
    <mergeCell ref="A60:AJ60"/>
    <mergeCell ref="A52:AJ52"/>
    <mergeCell ref="A53:AJ53"/>
    <mergeCell ref="A54:AJ54"/>
    <mergeCell ref="A56:AJ56"/>
    <mergeCell ref="A57:AJ57"/>
    <mergeCell ref="A46:AJ46"/>
    <mergeCell ref="A47:AJ47"/>
    <mergeCell ref="A48:AJ48"/>
    <mergeCell ref="A49:AJ49"/>
    <mergeCell ref="A50:AJ50"/>
    <mergeCell ref="A45:AJ45"/>
    <mergeCell ref="E33:G33"/>
    <mergeCell ref="AB33:AI33"/>
    <mergeCell ref="AB34:AI34"/>
    <mergeCell ref="A36:AJ36"/>
    <mergeCell ref="A37:AJ37"/>
    <mergeCell ref="A38:AJ38"/>
    <mergeCell ref="A39:AJ39"/>
    <mergeCell ref="A40:AJ40"/>
    <mergeCell ref="A42:AJ42"/>
    <mergeCell ref="A43:AJ43"/>
    <mergeCell ref="A44:AJ44"/>
    <mergeCell ref="A31:AJ31"/>
    <mergeCell ref="A18:AJ18"/>
    <mergeCell ref="A19:AJ19"/>
    <mergeCell ref="A20:AJ20"/>
    <mergeCell ref="A21:AJ21"/>
    <mergeCell ref="A23:AJ23"/>
    <mergeCell ref="A24:AJ24"/>
    <mergeCell ref="A25:AJ25"/>
    <mergeCell ref="A26:AJ26"/>
    <mergeCell ref="A27:AJ27"/>
    <mergeCell ref="A28:AJ28"/>
    <mergeCell ref="A30:AJ30"/>
    <mergeCell ref="A17:AJ17"/>
    <mergeCell ref="A4:AJ4"/>
    <mergeCell ref="A5:AJ5"/>
    <mergeCell ref="A6:AJ6"/>
    <mergeCell ref="A7:AJ8"/>
    <mergeCell ref="A9:AJ9"/>
    <mergeCell ref="A10:AJ10"/>
    <mergeCell ref="A11:AJ11"/>
    <mergeCell ref="A12:AJ12"/>
    <mergeCell ref="A13:AJ13"/>
    <mergeCell ref="A14:AJ14"/>
    <mergeCell ref="A16:AJ16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CCD3-128A-41C8-9EF5-41AE0EE7A8CA}">
  <sheetPr>
    <tabColor indexed="57"/>
    <pageSetUpPr fitToPage="1"/>
  </sheetPr>
  <dimension ref="A1:AQ111"/>
  <sheetViews>
    <sheetView view="pageBreakPreview" topLeftCell="A55" zoomScale="125" zoomScaleNormal="125" zoomScaleSheetLayoutView="125" workbookViewId="0">
      <selection activeCell="AP86" sqref="AP86"/>
    </sheetView>
  </sheetViews>
  <sheetFormatPr defaultColWidth="10.6640625" defaultRowHeight="15" x14ac:dyDescent="0.25"/>
  <cols>
    <col min="1" max="6" width="2.83203125" style="1" customWidth="1"/>
    <col min="7" max="7" width="5.66406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24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5</v>
      </c>
      <c r="D33" s="31"/>
      <c r="E33" s="135" t="s">
        <v>175</v>
      </c>
      <c r="F33" s="135"/>
      <c r="G33" s="135"/>
      <c r="H33" s="32"/>
      <c r="I33" s="32"/>
      <c r="J33" s="32"/>
      <c r="X33" s="27"/>
      <c r="Y33" s="38"/>
      <c r="Z33" s="38"/>
      <c r="AB33" s="139">
        <f>'Данные объект'!B7</f>
        <v>46219</v>
      </c>
      <c r="AC33" s="139"/>
      <c r="AD33" s="139"/>
      <c r="AE33" s="139"/>
      <c r="AF33" s="139"/>
      <c r="AG33" s="139"/>
      <c r="AH33" s="139"/>
      <c r="AI33" s="139"/>
      <c r="AJ33" s="26" t="s">
        <v>6</v>
      </c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s="26" customFormat="1" ht="36.75" customHeight="1" x14ac:dyDescent="0.2">
      <c r="A47" s="136" t="s">
        <v>53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</row>
    <row r="48" spans="1:36" s="33" customFormat="1" ht="12.95" customHeight="1" x14ac:dyDescent="0.2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</row>
    <row r="49" spans="1:36" ht="29.25" customHeight="1" x14ac:dyDescent="0.25">
      <c r="A49" s="137" t="s">
        <v>54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25.5" hidden="1" customHeight="1" x14ac:dyDescent="0.2">
      <c r="A50" s="136" t="s">
        <v>55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26" customFormat="1" ht="12" hidden="1" customHeight="1" x14ac:dyDescent="0.2">
      <c r="A51" s="141" t="e">
        <f>CONCATENATE(#REF!,", ",#REF!," - ",#REF!)</f>
        <v>#REF!</v>
      </c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</row>
    <row r="52" spans="1:36" ht="9.75" hidden="1" customHeight="1" x14ac:dyDescent="0.25">
      <c r="A52" s="137" t="s">
        <v>29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12" hidden="1" customHeight="1" x14ac:dyDescent="0.2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</row>
    <row r="54" spans="1:36" ht="16.5" hidden="1" customHeight="1" x14ac:dyDescent="0.25">
      <c r="A54" s="137" t="s">
        <v>56</v>
      </c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</row>
    <row r="55" spans="1:36" s="26" customFormat="1" ht="12" customHeight="1" x14ac:dyDescent="0.2">
      <c r="A55" s="26" t="s">
        <v>16</v>
      </c>
    </row>
    <row r="56" spans="1:36" s="26" customFormat="1" ht="12.95" customHeight="1" x14ac:dyDescent="0.2">
      <c r="A56" s="135" t="str">
        <f>'Данные объект'!B11</f>
        <v>ООО"Энергосистемы"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ht="10.5" customHeight="1" x14ac:dyDescent="0.25">
      <c r="A57" s="133" t="s">
        <v>40</v>
      </c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</row>
    <row r="58" spans="1:36" s="26" customFormat="1" ht="12" customHeight="1" x14ac:dyDescent="0.2">
      <c r="A58" s="26" t="s">
        <v>15</v>
      </c>
    </row>
    <row r="59" spans="1:36" s="26" customFormat="1" ht="12" customHeight="1" x14ac:dyDescent="0.2">
      <c r="A59" s="26" t="s">
        <v>30</v>
      </c>
    </row>
    <row r="60" spans="1:36" s="26" customFormat="1" ht="12" customHeight="1" x14ac:dyDescent="0.2">
      <c r="A60" s="146" t="s">
        <v>194</v>
      </c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</row>
    <row r="61" spans="1:36" ht="8.25" customHeight="1" x14ac:dyDescent="0.25">
      <c r="A61" s="137" t="s">
        <v>14</v>
      </c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</row>
    <row r="62" spans="1:36" s="26" customFormat="1" ht="12" customHeight="1" x14ac:dyDescent="0.2">
      <c r="A62" s="26" t="s">
        <v>13</v>
      </c>
    </row>
    <row r="63" spans="1:36" s="26" customFormat="1" ht="12" customHeight="1" x14ac:dyDescent="0.2">
      <c r="A63" s="141" t="str">
        <f>'Данные объект'!B40</f>
        <v>4980-325834-216-09/24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</row>
    <row r="64" spans="1:36" ht="15" customHeight="1" x14ac:dyDescent="0.25">
      <c r="A64" s="137" t="s">
        <v>41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12</v>
      </c>
      <c r="P65" s="135" t="s">
        <v>196</v>
      </c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</row>
    <row r="66" spans="1:36" s="2" customFormat="1" ht="7.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134" t="s">
        <v>57</v>
      </c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</row>
    <row r="67" spans="1:36" ht="18.75" customHeight="1" x14ac:dyDescent="0.25">
      <c r="A67" s="137" t="s">
        <v>58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11</v>
      </c>
    </row>
    <row r="69" spans="1:36" s="26" customFormat="1" ht="12" customHeight="1" x14ac:dyDescent="0.2">
      <c r="A69" s="26" t="s">
        <v>10</v>
      </c>
      <c r="G69" s="140" t="s">
        <v>193</v>
      </c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</row>
    <row r="70" spans="1:36" ht="7.5" customHeight="1" x14ac:dyDescent="0.25">
      <c r="A70" s="142"/>
      <c r="B70" s="142"/>
      <c r="C70" s="8"/>
      <c r="D70" s="8"/>
      <c r="E70" s="8"/>
      <c r="F70" s="8"/>
      <c r="G70" s="138" t="s">
        <v>9</v>
      </c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</row>
    <row r="71" spans="1:36" s="26" customFormat="1" ht="12" customHeight="1" x14ac:dyDescent="0.2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</row>
    <row r="72" spans="1:36" ht="7.5" customHeight="1" x14ac:dyDescent="0.25">
      <c r="A72" s="137" t="s">
        <v>31</v>
      </c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</row>
    <row r="73" spans="1:36" ht="9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13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spans="1:36" s="26" customFormat="1" ht="12" customHeight="1" x14ac:dyDescent="0.2">
      <c r="A74" s="26" t="s">
        <v>8</v>
      </c>
      <c r="D74" s="35"/>
      <c r="E74" s="35"/>
      <c r="F74" s="35"/>
      <c r="G74" s="35"/>
      <c r="L74" s="27"/>
      <c r="M74" s="38"/>
      <c r="N74" s="38"/>
      <c r="P74" s="139">
        <f>'Данные объект'!B6</f>
        <v>45949</v>
      </c>
      <c r="Q74" s="139"/>
      <c r="R74" s="139"/>
      <c r="S74" s="139"/>
      <c r="T74" s="139"/>
      <c r="U74" s="139"/>
      <c r="V74" s="139"/>
      <c r="W74" s="139"/>
      <c r="X74" s="26" t="s">
        <v>6</v>
      </c>
    </row>
    <row r="75" spans="1:36" s="26" customFormat="1" ht="12" customHeight="1" x14ac:dyDescent="0.2">
      <c r="A75" s="26" t="s">
        <v>7</v>
      </c>
      <c r="D75" s="35"/>
      <c r="E75" s="35"/>
      <c r="F75" s="35"/>
      <c r="G75" s="35"/>
      <c r="L75" s="27"/>
      <c r="M75" s="38"/>
      <c r="N75" s="38"/>
      <c r="P75" s="158">
        <f>'Данные объект'!B7</f>
        <v>46219</v>
      </c>
      <c r="Q75" s="158"/>
      <c r="R75" s="158"/>
      <c r="S75" s="158"/>
      <c r="T75" s="158"/>
      <c r="U75" s="158"/>
      <c r="V75" s="158"/>
      <c r="W75" s="158"/>
      <c r="X75" s="26" t="s">
        <v>6</v>
      </c>
    </row>
    <row r="76" spans="1:36" s="26" customFormat="1" ht="7.5" customHeight="1" x14ac:dyDescent="0.2">
      <c r="A76" s="39"/>
      <c r="B76" s="39"/>
      <c r="C76" s="39"/>
      <c r="D76" s="40"/>
      <c r="E76" s="40"/>
      <c r="F76" s="40"/>
      <c r="G76" s="40"/>
    </row>
    <row r="77" spans="1:36" s="26" customFormat="1" ht="12" customHeight="1" x14ac:dyDescent="0.2">
      <c r="A77" s="26" t="s">
        <v>5</v>
      </c>
    </row>
    <row r="78" spans="1:36" s="26" customFormat="1" ht="12" customHeight="1" x14ac:dyDescent="0.2">
      <c r="A78" s="140" t="s">
        <v>108</v>
      </c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</row>
    <row r="79" spans="1:36" ht="8.25" customHeight="1" x14ac:dyDescent="0.25">
      <c r="A79" s="137" t="s">
        <v>4</v>
      </c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  <c r="AE79" s="138"/>
      <c r="AF79" s="138"/>
      <c r="AG79" s="138"/>
      <c r="AH79" s="138"/>
      <c r="AI79" s="138"/>
      <c r="AJ79" s="138"/>
    </row>
    <row r="80" spans="1:36" s="26" customFormat="1" ht="12" customHeight="1" x14ac:dyDescent="0.2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</row>
    <row r="81" spans="1:36" ht="8.25" customHeight="1" x14ac:dyDescent="0.25">
      <c r="A81" s="137" t="s">
        <v>59</v>
      </c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  <c r="AJ81" s="138"/>
    </row>
    <row r="82" spans="1:36" s="26" customFormat="1" ht="12" customHeight="1" x14ac:dyDescent="0.2">
      <c r="A82" s="26" t="s">
        <v>3</v>
      </c>
    </row>
    <row r="83" spans="1:36" s="26" customFormat="1" ht="12" customHeight="1" x14ac:dyDescent="0.2">
      <c r="A83" s="135" t="s">
        <v>195</v>
      </c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</row>
    <row r="84" spans="1:36" ht="9" customHeight="1" x14ac:dyDescent="0.25">
      <c r="A84" s="137" t="s">
        <v>32</v>
      </c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</row>
    <row r="85" spans="1:36" s="26" customFormat="1" ht="12" customHeight="1" x14ac:dyDescent="0.2">
      <c r="A85" s="26" t="s">
        <v>2</v>
      </c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</row>
    <row r="86" spans="1:36" ht="6" customHeight="1" x14ac:dyDescent="0.25">
      <c r="D86" s="4"/>
      <c r="E86" s="4"/>
      <c r="F86" s="4"/>
      <c r="G86" s="4"/>
      <c r="H86" s="4"/>
      <c r="I86" s="4"/>
      <c r="J86" s="4"/>
    </row>
    <row r="87" spans="1:36" s="26" customFormat="1" ht="12" customHeight="1" x14ac:dyDescent="0.2">
      <c r="A87" s="26" t="s">
        <v>102</v>
      </c>
      <c r="H87" s="135"/>
      <c r="I87" s="135"/>
      <c r="J87" s="26" t="s">
        <v>33</v>
      </c>
    </row>
    <row r="88" spans="1:36" ht="4.5" customHeight="1" x14ac:dyDescent="0.25"/>
    <row r="89" spans="1:36" s="26" customFormat="1" ht="12" customHeight="1" x14ac:dyDescent="0.2">
      <c r="A89" s="26" t="s">
        <v>1</v>
      </c>
    </row>
    <row r="90" spans="1:36" s="26" customFormat="1" ht="12" customHeight="1" x14ac:dyDescent="0.2">
      <c r="A90" s="31" t="s">
        <v>87</v>
      </c>
      <c r="B90" s="140" t="s">
        <v>197</v>
      </c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31" t="s">
        <v>76</v>
      </c>
      <c r="R90" s="31" t="s">
        <v>88</v>
      </c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</row>
    <row r="91" spans="1:36" s="26" customFormat="1" ht="12" customHeight="1" x14ac:dyDescent="0.2">
      <c r="A91" s="31" t="s">
        <v>87</v>
      </c>
      <c r="B91" s="140" t="str">
        <f>G69</f>
        <v>Исполнительная схема фундамента под БКТП №544</v>
      </c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31" t="s">
        <v>76</v>
      </c>
      <c r="R91" s="31" t="s">
        <v>88</v>
      </c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</row>
    <row r="92" spans="1:36" ht="9.75" customHeight="1" x14ac:dyDescent="0.25">
      <c r="A92" s="137" t="s">
        <v>0</v>
      </c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</row>
    <row r="93" spans="1:36" ht="6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26" customFormat="1" ht="12" customHeight="1" x14ac:dyDescent="0.2">
      <c r="A94" s="26" t="s">
        <v>23</v>
      </c>
    </row>
    <row r="95" spans="1:36" s="26" customFormat="1" ht="12" customHeight="1" x14ac:dyDescent="0.2">
      <c r="A95" s="26" t="s">
        <v>24</v>
      </c>
    </row>
    <row r="96" spans="1:36" s="26" customFormat="1" ht="12" customHeight="1" x14ac:dyDescent="0.2">
      <c r="A96" s="135" t="str">
        <f>'Данные объект'!B33</f>
        <v>Алексанян Г.Р.</v>
      </c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135"/>
      <c r="AC96" s="135"/>
      <c r="AD96" s="135"/>
      <c r="AE96" s="135"/>
      <c r="AF96" s="135"/>
      <c r="AG96" s="135"/>
      <c r="AH96" s="135"/>
      <c r="AI96" s="135"/>
      <c r="AJ96" s="135"/>
    </row>
    <row r="97" spans="1:36" ht="9" customHeight="1" x14ac:dyDescent="0.25">
      <c r="A97" s="133" t="s">
        <v>35</v>
      </c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7"/>
      <c r="Q97" s="17"/>
      <c r="R97" s="17"/>
      <c r="S97" s="17"/>
      <c r="T97" s="17"/>
      <c r="U97" s="16"/>
      <c r="V97" s="16"/>
      <c r="W97" s="16"/>
      <c r="X97" s="16"/>
      <c r="Y97" s="16"/>
      <c r="Z97" s="16"/>
      <c r="AA97" s="16"/>
      <c r="AB97" s="134" t="s">
        <v>34</v>
      </c>
      <c r="AC97" s="134"/>
      <c r="AD97" s="134"/>
      <c r="AE97" s="134"/>
      <c r="AF97" s="134"/>
      <c r="AG97" s="134"/>
      <c r="AH97" s="134"/>
      <c r="AI97" s="134"/>
      <c r="AJ97" s="134"/>
    </row>
    <row r="98" spans="1:36" s="26" customFormat="1" ht="12" customHeight="1" x14ac:dyDescent="0.2">
      <c r="A98" s="26" t="s">
        <v>25</v>
      </c>
    </row>
    <row r="99" spans="1:36" s="26" customFormat="1" ht="12" customHeight="1" x14ac:dyDescent="0.2">
      <c r="A99" s="135" t="str">
        <f>'Данные объект'!B20</f>
        <v>Волков М.Ю.</v>
      </c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135"/>
      <c r="AC99" s="135"/>
      <c r="AD99" s="135"/>
      <c r="AE99" s="135"/>
      <c r="AF99" s="135"/>
      <c r="AG99" s="135"/>
      <c r="AH99" s="135"/>
      <c r="AI99" s="135"/>
      <c r="AJ99" s="135"/>
    </row>
    <row r="100" spans="1:36" ht="9" customHeight="1" x14ac:dyDescent="0.25">
      <c r="A100" s="133" t="s">
        <v>35</v>
      </c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7"/>
      <c r="Q100" s="17"/>
      <c r="R100" s="17"/>
      <c r="S100" s="17"/>
      <c r="T100" s="17"/>
      <c r="U100" s="16"/>
      <c r="V100" s="16"/>
      <c r="W100" s="16"/>
      <c r="X100" s="16"/>
      <c r="Y100" s="16"/>
      <c r="Z100" s="16"/>
      <c r="AA100" s="16"/>
      <c r="AB100" s="134" t="s">
        <v>34</v>
      </c>
      <c r="AC100" s="134"/>
      <c r="AD100" s="134"/>
      <c r="AE100" s="134"/>
      <c r="AF100" s="134"/>
      <c r="AG100" s="134"/>
      <c r="AH100" s="134"/>
      <c r="AI100" s="134"/>
      <c r="AJ100" s="134"/>
    </row>
    <row r="101" spans="1:36" s="26" customFormat="1" ht="12" customHeight="1" x14ac:dyDescent="0.2">
      <c r="A101" s="26" t="s">
        <v>27</v>
      </c>
    </row>
    <row r="102" spans="1:36" s="26" customFormat="1" ht="12" customHeight="1" x14ac:dyDescent="0.2">
      <c r="A102" s="26" t="s">
        <v>28</v>
      </c>
    </row>
    <row r="103" spans="1:36" s="26" customFormat="1" ht="12" customHeight="1" x14ac:dyDescent="0.2">
      <c r="A103" s="135" t="str">
        <f>'Данные объект'!B17</f>
        <v>Русин В.А.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135"/>
      <c r="AC103" s="135"/>
      <c r="AD103" s="135"/>
      <c r="AE103" s="135"/>
      <c r="AF103" s="135"/>
      <c r="AG103" s="135"/>
      <c r="AH103" s="135"/>
      <c r="AI103" s="135"/>
      <c r="AJ103" s="135"/>
    </row>
    <row r="104" spans="1:36" ht="9" customHeight="1" x14ac:dyDescent="0.25">
      <c r="A104" s="133" t="s">
        <v>35</v>
      </c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7"/>
      <c r="Q104" s="17"/>
      <c r="R104" s="17"/>
      <c r="S104" s="17"/>
      <c r="T104" s="17"/>
      <c r="U104" s="16"/>
      <c r="V104" s="16"/>
      <c r="W104" s="16"/>
      <c r="X104" s="16"/>
      <c r="Y104" s="16"/>
      <c r="Z104" s="16"/>
      <c r="AA104" s="16"/>
      <c r="AB104" s="134" t="s">
        <v>34</v>
      </c>
      <c r="AC104" s="134"/>
      <c r="AD104" s="134"/>
      <c r="AE104" s="134"/>
      <c r="AF104" s="134"/>
      <c r="AG104" s="134"/>
      <c r="AH104" s="134"/>
      <c r="AI104" s="134"/>
      <c r="AJ104" s="134"/>
    </row>
    <row r="105" spans="1:36" s="26" customFormat="1" ht="36" customHeight="1" x14ac:dyDescent="0.2">
      <c r="A105" s="136" t="s">
        <v>53</v>
      </c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</row>
    <row r="106" spans="1:36" s="26" customFormat="1" ht="12" customHeight="1" x14ac:dyDescent="0.2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135"/>
      <c r="AC106" s="135"/>
      <c r="AD106" s="135"/>
      <c r="AE106" s="135"/>
      <c r="AF106" s="135"/>
      <c r="AG106" s="135"/>
      <c r="AH106" s="135"/>
      <c r="AI106" s="135"/>
      <c r="AJ106" s="135"/>
    </row>
    <row r="107" spans="1:36" ht="9" customHeight="1" x14ac:dyDescent="0.25">
      <c r="A107" s="133" t="s">
        <v>35</v>
      </c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34" t="s">
        <v>34</v>
      </c>
      <c r="AC107" s="134"/>
      <c r="AD107" s="134"/>
      <c r="AE107" s="134"/>
      <c r="AF107" s="134"/>
      <c r="AG107" s="134"/>
      <c r="AH107" s="134"/>
      <c r="AI107" s="134"/>
      <c r="AJ107" s="134"/>
    </row>
    <row r="108" spans="1:36" s="26" customFormat="1" ht="40.5" hidden="1" customHeight="1" x14ac:dyDescent="0.2">
      <c r="A108" s="136" t="s">
        <v>55</v>
      </c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</row>
    <row r="109" spans="1:36" ht="12" hidden="1" customHeight="1" x14ac:dyDescent="0.25">
      <c r="A109" s="154" t="e">
        <f>#REF!</f>
        <v>#REF!</v>
      </c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5"/>
      <c r="AC109" s="155"/>
      <c r="AD109" s="155"/>
      <c r="AE109" s="155"/>
      <c r="AF109" s="155"/>
      <c r="AG109" s="155"/>
      <c r="AH109" s="155"/>
      <c r="AI109" s="155"/>
      <c r="AJ109" s="155"/>
    </row>
    <row r="110" spans="1:36" ht="9" hidden="1" customHeight="1" x14ac:dyDescent="0.25">
      <c r="A110" s="133" t="s">
        <v>35</v>
      </c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4" t="s">
        <v>34</v>
      </c>
      <c r="AC110" s="134"/>
      <c r="AD110" s="134"/>
      <c r="AE110" s="134"/>
      <c r="AF110" s="134"/>
      <c r="AG110" s="134"/>
      <c r="AH110" s="134"/>
      <c r="AI110" s="134"/>
      <c r="AJ110" s="134"/>
    </row>
    <row r="111" spans="1:36" ht="12" hidden="1" customHeight="1" x14ac:dyDescent="0.25"/>
  </sheetData>
  <mergeCells count="94">
    <mergeCell ref="A17:AJ17"/>
    <mergeCell ref="A4:AJ4"/>
    <mergeCell ref="A5:AJ5"/>
    <mergeCell ref="A6:AJ6"/>
    <mergeCell ref="A7:AJ8"/>
    <mergeCell ref="A9:AJ9"/>
    <mergeCell ref="A10:AJ10"/>
    <mergeCell ref="A11:AJ11"/>
    <mergeCell ref="A12:AJ12"/>
    <mergeCell ref="A13:AJ13"/>
    <mergeCell ref="A14:AJ14"/>
    <mergeCell ref="A16:AJ16"/>
    <mergeCell ref="A31:AJ31"/>
    <mergeCell ref="A18:AJ18"/>
    <mergeCell ref="A19:AJ19"/>
    <mergeCell ref="A20:AJ20"/>
    <mergeCell ref="A21:AJ21"/>
    <mergeCell ref="A23:AJ23"/>
    <mergeCell ref="A24:AJ24"/>
    <mergeCell ref="A25:AJ25"/>
    <mergeCell ref="A26:AJ26"/>
    <mergeCell ref="A27:AJ27"/>
    <mergeCell ref="A28:AJ28"/>
    <mergeCell ref="A30:AJ30"/>
    <mergeCell ref="A45:AJ45"/>
    <mergeCell ref="E33:G33"/>
    <mergeCell ref="AB33:AI33"/>
    <mergeCell ref="AB34:AI34"/>
    <mergeCell ref="A36:AJ36"/>
    <mergeCell ref="A37:AJ37"/>
    <mergeCell ref="A38:AJ38"/>
    <mergeCell ref="A39:AJ39"/>
    <mergeCell ref="A40:AJ40"/>
    <mergeCell ref="A42:AJ42"/>
    <mergeCell ref="A43:AJ43"/>
    <mergeCell ref="A44:AJ44"/>
    <mergeCell ref="A60:AJ60"/>
    <mergeCell ref="A46:AJ46"/>
    <mergeCell ref="A47:AJ47"/>
    <mergeCell ref="A48:AJ48"/>
    <mergeCell ref="A49:AJ49"/>
    <mergeCell ref="A50:AJ50"/>
    <mergeCell ref="A51:AJ51"/>
    <mergeCell ref="A52:AJ52"/>
    <mergeCell ref="A53:AJ53"/>
    <mergeCell ref="A54:AJ54"/>
    <mergeCell ref="A56:AJ56"/>
    <mergeCell ref="A57:AJ57"/>
    <mergeCell ref="P74:W74"/>
    <mergeCell ref="A61:AJ61"/>
    <mergeCell ref="A63:AJ63"/>
    <mergeCell ref="A64:AJ64"/>
    <mergeCell ref="P65:AJ65"/>
    <mergeCell ref="P66:AJ66"/>
    <mergeCell ref="A67:AJ67"/>
    <mergeCell ref="G69:AJ69"/>
    <mergeCell ref="A70:B70"/>
    <mergeCell ref="G70:AJ70"/>
    <mergeCell ref="A71:AJ71"/>
    <mergeCell ref="A72:AJ72"/>
    <mergeCell ref="A92:AJ92"/>
    <mergeCell ref="P75:W75"/>
    <mergeCell ref="A78:AJ78"/>
    <mergeCell ref="A79:AJ79"/>
    <mergeCell ref="A80:AJ80"/>
    <mergeCell ref="A81:AJ81"/>
    <mergeCell ref="A83:AJ83"/>
    <mergeCell ref="A84:AJ84"/>
    <mergeCell ref="L85:AJ85"/>
    <mergeCell ref="H87:I87"/>
    <mergeCell ref="B90:P90"/>
    <mergeCell ref="B91:P91"/>
    <mergeCell ref="A96:O96"/>
    <mergeCell ref="AB96:AJ96"/>
    <mergeCell ref="A97:O97"/>
    <mergeCell ref="AB97:AJ97"/>
    <mergeCell ref="A99:O99"/>
    <mergeCell ref="AB99:AJ99"/>
    <mergeCell ref="A100:O100"/>
    <mergeCell ref="AB100:AJ100"/>
    <mergeCell ref="A103:O103"/>
    <mergeCell ref="AB103:AJ103"/>
    <mergeCell ref="A104:O104"/>
    <mergeCell ref="AB104:AJ104"/>
    <mergeCell ref="A109:O109"/>
    <mergeCell ref="AB109:AJ109"/>
    <mergeCell ref="A110:O110"/>
    <mergeCell ref="AB110:AJ110"/>
    <mergeCell ref="A105:AJ105"/>
    <mergeCell ref="A106:O106"/>
    <mergeCell ref="AB106:AJ106"/>
    <mergeCell ref="A107:O107"/>
    <mergeCell ref="AB107:AJ107"/>
    <mergeCell ref="A108:AJ108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F49A-59BF-40F8-AE72-7F0E97BADAD8}">
  <sheetPr>
    <tabColor indexed="57"/>
    <pageSetUpPr fitToPage="1"/>
  </sheetPr>
  <dimension ref="A1:AQ119"/>
  <sheetViews>
    <sheetView view="pageBreakPreview" topLeftCell="A61" zoomScale="125" zoomScaleNormal="125" zoomScaleSheetLayoutView="125" workbookViewId="0">
      <selection activeCell="A88" sqref="A88:AJ88"/>
    </sheetView>
  </sheetViews>
  <sheetFormatPr defaultColWidth="10.6640625" defaultRowHeight="15" x14ac:dyDescent="0.25"/>
  <cols>
    <col min="1" max="6" width="2.83203125" style="1" customWidth="1"/>
    <col min="7" max="7" width="8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47.2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10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P79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">
        <v>296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3.5" customHeight="1" x14ac:dyDescent="0.2">
      <c r="A68" s="26" t="s">
        <v>12</v>
      </c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</row>
    <row r="69" spans="1:36" s="26" customFormat="1" ht="13.5" customHeight="1" x14ac:dyDescent="0.2">
      <c r="A69" s="31" t="s">
        <v>234</v>
      </c>
      <c r="B69" s="86"/>
      <c r="C69" s="86"/>
      <c r="D69" s="86"/>
      <c r="E69" s="86"/>
      <c r="F69" s="86"/>
      <c r="G69" s="31">
        <v>57.38</v>
      </c>
      <c r="H69" s="31" t="s">
        <v>204</v>
      </c>
      <c r="I69" s="86"/>
      <c r="J69" s="86"/>
      <c r="K69" s="86"/>
      <c r="L69" s="86"/>
      <c r="M69" s="86"/>
      <c r="N69" s="86"/>
      <c r="O69" s="86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</row>
    <row r="70" spans="1:36" s="2" customFormat="1" ht="7.5" customHeight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138" t="s">
        <v>57</v>
      </c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</row>
    <row r="71" spans="1:36" ht="18.75" customHeight="1" x14ac:dyDescent="0.25">
      <c r="A71" s="137" t="s">
        <v>58</v>
      </c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</row>
    <row r="72" spans="1:36" s="26" customFormat="1" ht="12" customHeight="1" x14ac:dyDescent="0.2">
      <c r="A72" s="26" t="s">
        <v>11</v>
      </c>
    </row>
    <row r="73" spans="1:36" s="26" customFormat="1" ht="12" customHeight="1" x14ac:dyDescent="0.2">
      <c r="A73" s="26" t="s">
        <v>10</v>
      </c>
      <c r="G73" s="140" t="s">
        <v>288</v>
      </c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</row>
    <row r="74" spans="1:36" ht="7.5" customHeight="1" x14ac:dyDescent="0.25">
      <c r="A74" s="142"/>
      <c r="B74" s="142"/>
      <c r="C74" s="8"/>
      <c r="D74" s="8"/>
      <c r="E74" s="8"/>
      <c r="F74" s="8"/>
      <c r="G74" s="138" t="s">
        <v>9</v>
      </c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</row>
    <row r="75" spans="1:36" s="26" customFormat="1" ht="12" customHeight="1" x14ac:dyDescent="0.2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7.5" customHeight="1" x14ac:dyDescent="0.25">
      <c r="A76" s="137" t="s">
        <v>31</v>
      </c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ht="9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26" customFormat="1" ht="12" customHeight="1" x14ac:dyDescent="0.2">
      <c r="A78" s="26" t="s">
        <v>8</v>
      </c>
      <c r="D78" s="35"/>
      <c r="E78" s="35"/>
      <c r="F78" s="35"/>
      <c r="G78" s="35"/>
      <c r="L78" s="27"/>
      <c r="M78" s="38"/>
      <c r="N78" s="38"/>
      <c r="P78" s="139">
        <f>'Данные объект'!B6</f>
        <v>45949</v>
      </c>
      <c r="Q78" s="139"/>
      <c r="R78" s="139"/>
      <c r="S78" s="139"/>
      <c r="T78" s="139"/>
      <c r="U78" s="139"/>
      <c r="V78" s="139"/>
      <c r="W78" s="139"/>
    </row>
    <row r="79" spans="1:36" s="26" customFormat="1" ht="12" customHeight="1" x14ac:dyDescent="0.2">
      <c r="A79" s="26" t="s">
        <v>7</v>
      </c>
      <c r="D79" s="35"/>
      <c r="E79" s="35"/>
      <c r="F79" s="35"/>
      <c r="G79" s="35"/>
      <c r="L79" s="27"/>
      <c r="M79" s="38"/>
      <c r="N79" s="38"/>
      <c r="P79" s="158">
        <f>'Данные объект'!B7</f>
        <v>46219</v>
      </c>
      <c r="Q79" s="158"/>
      <c r="R79" s="158"/>
      <c r="S79" s="158"/>
      <c r="T79" s="158"/>
      <c r="U79" s="158"/>
      <c r="V79" s="158"/>
      <c r="W79" s="158"/>
    </row>
    <row r="80" spans="1:36" s="26" customFormat="1" ht="7.5" customHeight="1" x14ac:dyDescent="0.2">
      <c r="A80" s="39"/>
      <c r="B80" s="39"/>
      <c r="C80" s="39"/>
      <c r="D80" s="40"/>
      <c r="E80" s="40"/>
      <c r="F80" s="40"/>
      <c r="G80" s="40"/>
    </row>
    <row r="81" spans="1:36" s="26" customFormat="1" ht="12" customHeight="1" x14ac:dyDescent="0.2">
      <c r="A81" s="26" t="s">
        <v>5</v>
      </c>
    </row>
    <row r="82" spans="1:36" s="26" customFormat="1" ht="12" customHeight="1" x14ac:dyDescent="0.2">
      <c r="A82" s="140" t="s">
        <v>108</v>
      </c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</row>
    <row r="83" spans="1:36" ht="8.25" customHeight="1" x14ac:dyDescent="0.25">
      <c r="A83" s="137" t="s">
        <v>4</v>
      </c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</row>
    <row r="84" spans="1:36" s="26" customFormat="1" ht="12" customHeight="1" x14ac:dyDescent="0.2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ht="8.25" customHeight="1" x14ac:dyDescent="0.25">
      <c r="A85" s="137" t="s">
        <v>59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26" t="s">
        <v>3</v>
      </c>
    </row>
    <row r="87" spans="1:36" s="26" customFormat="1" ht="12" customHeight="1" x14ac:dyDescent="0.2">
      <c r="A87" s="135" t="str">
        <f>'АОСР-5.1 (11)'!A63:AJ63</f>
        <v>Устройство гидроизоляционного покрытия под 2БРП №171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ht="9" customHeight="1" x14ac:dyDescent="0.25">
      <c r="A88" s="137" t="s">
        <v>32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</row>
    <row r="89" spans="1:36" s="26" customFormat="1" ht="12" customHeight="1" x14ac:dyDescent="0.2">
      <c r="A89" s="26" t="s">
        <v>2</v>
      </c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6" customHeight="1" x14ac:dyDescent="0.25">
      <c r="D90" s="4"/>
      <c r="E90" s="4"/>
      <c r="F90" s="4"/>
      <c r="G90" s="4"/>
      <c r="H90" s="4"/>
      <c r="I90" s="4"/>
      <c r="J90" s="4"/>
    </row>
    <row r="91" spans="1:36" s="26" customFormat="1" ht="12" customHeight="1" x14ac:dyDescent="0.2">
      <c r="A91" s="26" t="s">
        <v>102</v>
      </c>
      <c r="H91" s="135"/>
      <c r="I91" s="135"/>
      <c r="J91" s="26" t="s">
        <v>33</v>
      </c>
    </row>
    <row r="92" spans="1:36" ht="4.5" customHeight="1" x14ac:dyDescent="0.25"/>
    <row r="93" spans="1:36" s="26" customFormat="1" ht="12" customHeight="1" x14ac:dyDescent="0.2">
      <c r="A93" s="26" t="s">
        <v>1</v>
      </c>
    </row>
    <row r="94" spans="1:36" s="26" customFormat="1" ht="12" customHeight="1" x14ac:dyDescent="0.2">
      <c r="A94" s="31" t="s">
        <v>87</v>
      </c>
      <c r="B94" s="31" t="s">
        <v>203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 t="s">
        <v>76</v>
      </c>
      <c r="W94" s="31" t="s">
        <v>88</v>
      </c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6" customFormat="1" ht="12" customHeight="1" x14ac:dyDescent="0.2">
      <c r="A95" s="31" t="s">
        <v>89</v>
      </c>
      <c r="B95" s="140" t="str">
        <f>G73</f>
        <v>Исполнительная схема фундамента под 2БРП №171</v>
      </c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31" t="s">
        <v>76</v>
      </c>
      <c r="R95" s="31" t="s">
        <v>88</v>
      </c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</row>
    <row r="96" spans="1:36" s="26" customFormat="1" ht="12" hidden="1" customHeight="1" x14ac:dyDescent="0.2">
      <c r="A96" s="37" t="s">
        <v>99</v>
      </c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</row>
    <row r="97" spans="1:36" ht="9.75" customHeight="1" x14ac:dyDescent="0.25">
      <c r="A97" s="137" t="s">
        <v>0</v>
      </c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38"/>
      <c r="AI97" s="138"/>
      <c r="AJ97" s="138"/>
    </row>
    <row r="98" spans="1:36" ht="6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26" customFormat="1" ht="12" customHeight="1" x14ac:dyDescent="0.2">
      <c r="A99" s="26" t="s">
        <v>23</v>
      </c>
    </row>
    <row r="100" spans="1:36" s="26" customFormat="1" ht="12" customHeight="1" x14ac:dyDescent="0.2">
      <c r="A100" s="26" t="s">
        <v>24</v>
      </c>
    </row>
    <row r="101" spans="1:36" s="26" customFormat="1" ht="12" customHeight="1" x14ac:dyDescent="0.2">
      <c r="A101" s="135" t="str">
        <f>'Данные объект'!B33</f>
        <v>Алексанян Г.Р.</v>
      </c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135"/>
      <c r="AC101" s="135"/>
      <c r="AD101" s="135"/>
      <c r="AE101" s="135"/>
      <c r="AF101" s="135"/>
      <c r="AG101" s="135"/>
      <c r="AH101" s="135"/>
      <c r="AI101" s="135"/>
      <c r="AJ101" s="135"/>
    </row>
    <row r="102" spans="1:36" ht="9" customHeight="1" x14ac:dyDescent="0.25">
      <c r="A102" s="133" t="s">
        <v>35</v>
      </c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4" t="s">
        <v>34</v>
      </c>
      <c r="AC102" s="134"/>
      <c r="AD102" s="134"/>
      <c r="AE102" s="134"/>
      <c r="AF102" s="134"/>
      <c r="AG102" s="134"/>
      <c r="AH102" s="134"/>
      <c r="AI102" s="134"/>
      <c r="AJ102" s="134"/>
    </row>
    <row r="103" spans="1:36" s="26" customFormat="1" ht="12" customHeight="1" x14ac:dyDescent="0.2">
      <c r="A103" s="26" t="s">
        <v>25</v>
      </c>
    </row>
    <row r="104" spans="1:36" s="26" customFormat="1" ht="12" customHeight="1" x14ac:dyDescent="0.2">
      <c r="A104" s="135" t="str">
        <f>'Данные объект'!B20</f>
        <v>Волков М.Ю.</v>
      </c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135"/>
      <c r="AC104" s="135"/>
      <c r="AD104" s="135"/>
      <c r="AE104" s="135"/>
      <c r="AF104" s="135"/>
      <c r="AG104" s="135"/>
      <c r="AH104" s="135"/>
      <c r="AI104" s="135"/>
      <c r="AJ104" s="135"/>
    </row>
    <row r="105" spans="1:36" ht="9" customHeight="1" x14ac:dyDescent="0.25">
      <c r="A105" s="133" t="s">
        <v>35</v>
      </c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7"/>
      <c r="Q105" s="17"/>
      <c r="R105" s="17"/>
      <c r="S105" s="17"/>
      <c r="T105" s="17"/>
      <c r="U105" s="16"/>
      <c r="V105" s="16"/>
      <c r="W105" s="16"/>
      <c r="X105" s="16"/>
      <c r="Y105" s="16"/>
      <c r="Z105" s="16"/>
      <c r="AA105" s="16"/>
      <c r="AB105" s="134" t="s">
        <v>34</v>
      </c>
      <c r="AC105" s="134"/>
      <c r="AD105" s="134"/>
      <c r="AE105" s="134"/>
      <c r="AF105" s="134"/>
      <c r="AG105" s="134"/>
      <c r="AH105" s="134"/>
      <c r="AI105" s="134"/>
      <c r="AJ105" s="134"/>
    </row>
    <row r="106" spans="1:36" s="26" customFormat="1" ht="12" customHeight="1" x14ac:dyDescent="0.2">
      <c r="A106" s="26" t="s">
        <v>27</v>
      </c>
    </row>
    <row r="107" spans="1:36" s="26" customFormat="1" ht="12" customHeight="1" x14ac:dyDescent="0.2">
      <c r="A107" s="26" t="s">
        <v>28</v>
      </c>
    </row>
    <row r="108" spans="1:36" s="26" customFormat="1" ht="12" customHeight="1" x14ac:dyDescent="0.2">
      <c r="A108" s="135" t="str">
        <f>'Данные объект'!B17</f>
        <v>Русин В.А.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35"/>
      <c r="AC108" s="135"/>
      <c r="AD108" s="135"/>
      <c r="AE108" s="135"/>
      <c r="AF108" s="135"/>
      <c r="AG108" s="135"/>
      <c r="AH108" s="135"/>
      <c r="AI108" s="135"/>
      <c r="AJ108" s="135"/>
    </row>
    <row r="109" spans="1:36" ht="9" customHeight="1" x14ac:dyDescent="0.25">
      <c r="A109" s="133" t="s">
        <v>35</v>
      </c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 t="s">
        <v>34</v>
      </c>
      <c r="AC109" s="134"/>
      <c r="AD109" s="134"/>
      <c r="AE109" s="134"/>
      <c r="AF109" s="134"/>
      <c r="AG109" s="134"/>
      <c r="AH109" s="134"/>
      <c r="AI109" s="134"/>
      <c r="AJ109" s="134"/>
    </row>
    <row r="110" spans="1:36" s="101" customFormat="1" ht="11.25" x14ac:dyDescent="0.2">
      <c r="A110" s="26" t="s">
        <v>211</v>
      </c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97"/>
      <c r="AC110" s="97"/>
      <c r="AD110" s="97"/>
      <c r="AE110" s="97"/>
      <c r="AF110" s="97"/>
      <c r="AG110" s="97"/>
      <c r="AH110" s="97"/>
      <c r="AI110" s="97"/>
      <c r="AJ110" s="97"/>
    </row>
    <row r="111" spans="1:36" s="101" customFormat="1" ht="11.25" x14ac:dyDescent="0.2">
      <c r="A111" s="135" t="str">
        <f>'[4]Данные объект'!$B$36</f>
        <v>Курчин М.М.</v>
      </c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35"/>
      <c r="AC111" s="135"/>
      <c r="AD111" s="135"/>
      <c r="AE111" s="135"/>
      <c r="AF111" s="135"/>
      <c r="AG111" s="135"/>
      <c r="AH111" s="135"/>
      <c r="AI111" s="135"/>
      <c r="AJ111" s="135"/>
    </row>
    <row r="112" spans="1:36" s="101" customFormat="1" ht="9" customHeight="1" x14ac:dyDescent="0.15">
      <c r="A112" s="133" t="s">
        <v>35</v>
      </c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4" t="s">
        <v>34</v>
      </c>
      <c r="AC112" s="134"/>
      <c r="AD112" s="134"/>
      <c r="AE112" s="134"/>
      <c r="AF112" s="134"/>
      <c r="AG112" s="134"/>
      <c r="AH112" s="134"/>
      <c r="AI112" s="134"/>
      <c r="AJ112" s="134"/>
    </row>
    <row r="113" spans="1:36" s="26" customFormat="1" ht="36" customHeight="1" x14ac:dyDescent="0.2">
      <c r="A113" s="136" t="s">
        <v>53</v>
      </c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</row>
    <row r="114" spans="1:36" s="26" customFormat="1" ht="12" customHeight="1" x14ac:dyDescent="0.2">
      <c r="A114" s="135" t="s">
        <v>76</v>
      </c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135" t="s">
        <v>76</v>
      </c>
      <c r="AC114" s="135"/>
      <c r="AD114" s="135"/>
      <c r="AE114" s="135"/>
      <c r="AF114" s="135"/>
      <c r="AG114" s="135"/>
      <c r="AH114" s="135"/>
      <c r="AI114" s="135"/>
      <c r="AJ114" s="135"/>
    </row>
    <row r="115" spans="1:36" ht="9" customHeight="1" x14ac:dyDescent="0.25">
      <c r="A115" s="133" t="s">
        <v>35</v>
      </c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4" t="s">
        <v>34</v>
      </c>
      <c r="AC115" s="134"/>
      <c r="AD115" s="134"/>
      <c r="AE115" s="134"/>
      <c r="AF115" s="134"/>
      <c r="AG115" s="134"/>
      <c r="AH115" s="134"/>
      <c r="AI115" s="134"/>
      <c r="AJ115" s="134"/>
    </row>
    <row r="116" spans="1:36" s="26" customFormat="1" ht="40.5" hidden="1" customHeight="1" x14ac:dyDescent="0.2">
      <c r="A116" s="136" t="s">
        <v>55</v>
      </c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</row>
    <row r="117" spans="1:36" ht="12" hidden="1" customHeight="1" x14ac:dyDescent="0.25">
      <c r="A117" s="154" t="e">
        <f>#REF!</f>
        <v>#REF!</v>
      </c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5"/>
      <c r="AC117" s="155"/>
      <c r="AD117" s="155"/>
      <c r="AE117" s="155"/>
      <c r="AF117" s="155"/>
      <c r="AG117" s="155"/>
      <c r="AH117" s="155"/>
      <c r="AI117" s="155"/>
      <c r="AJ117" s="155"/>
    </row>
    <row r="118" spans="1:36" ht="9" hidden="1" customHeight="1" x14ac:dyDescent="0.25">
      <c r="A118" s="133" t="s">
        <v>35</v>
      </c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7"/>
      <c r="Q118" s="17"/>
      <c r="R118" s="17"/>
      <c r="S118" s="17"/>
      <c r="T118" s="17"/>
      <c r="U118" s="16"/>
      <c r="V118" s="16"/>
      <c r="W118" s="16"/>
      <c r="X118" s="16"/>
      <c r="Y118" s="16"/>
      <c r="Z118" s="16"/>
      <c r="AA118" s="16"/>
      <c r="AB118" s="134" t="s">
        <v>34</v>
      </c>
      <c r="AC118" s="134"/>
      <c r="AD118" s="134"/>
      <c r="AE118" s="134"/>
      <c r="AF118" s="134"/>
      <c r="AG118" s="134"/>
      <c r="AH118" s="134"/>
      <c r="AI118" s="134"/>
      <c r="AJ118" s="134"/>
    </row>
    <row r="119" spans="1:36" ht="12" hidden="1" customHeight="1" x14ac:dyDescent="0.25"/>
  </sheetData>
  <mergeCells count="100">
    <mergeCell ref="A17:AJ17"/>
    <mergeCell ref="A4:AJ4"/>
    <mergeCell ref="A5:AJ5"/>
    <mergeCell ref="A6:AJ6"/>
    <mergeCell ref="A7:AJ8"/>
    <mergeCell ref="A9:AJ9"/>
    <mergeCell ref="A10:AJ10"/>
    <mergeCell ref="A11:AJ11"/>
    <mergeCell ref="A12:AJ12"/>
    <mergeCell ref="A13:AJ13"/>
    <mergeCell ref="A14:AJ14"/>
    <mergeCell ref="A16:AJ16"/>
    <mergeCell ref="A31:AJ31"/>
    <mergeCell ref="A18:AJ18"/>
    <mergeCell ref="A19:AJ19"/>
    <mergeCell ref="A20:AJ20"/>
    <mergeCell ref="A21:AJ21"/>
    <mergeCell ref="A23:AJ23"/>
    <mergeCell ref="A24:AJ24"/>
    <mergeCell ref="A25:AJ25"/>
    <mergeCell ref="A26:AJ26"/>
    <mergeCell ref="A27:AJ27"/>
    <mergeCell ref="A28:AJ28"/>
    <mergeCell ref="A30:AJ30"/>
    <mergeCell ref="A45:AJ45"/>
    <mergeCell ref="E33:G33"/>
    <mergeCell ref="AB33:AI33"/>
    <mergeCell ref="AB34:AI34"/>
    <mergeCell ref="A36:AJ36"/>
    <mergeCell ref="A37:AJ37"/>
    <mergeCell ref="A38:AJ38"/>
    <mergeCell ref="A39:AJ39"/>
    <mergeCell ref="A40:AJ40"/>
    <mergeCell ref="A42:AJ42"/>
    <mergeCell ref="A43:AJ43"/>
    <mergeCell ref="A44:AJ44"/>
    <mergeCell ref="A63:AJ63"/>
    <mergeCell ref="A46:AJ46"/>
    <mergeCell ref="A50:AJ50"/>
    <mergeCell ref="A51:AJ51"/>
    <mergeCell ref="A52:AJ52"/>
    <mergeCell ref="A53:AJ53"/>
    <mergeCell ref="A54:AJ54"/>
    <mergeCell ref="A55:AJ55"/>
    <mergeCell ref="A56:AJ56"/>
    <mergeCell ref="A57:AJ57"/>
    <mergeCell ref="A59:AJ59"/>
    <mergeCell ref="A60:AJ60"/>
    <mergeCell ref="A47:AJ47"/>
    <mergeCell ref="A48:AJ48"/>
    <mergeCell ref="A49:AJ49"/>
    <mergeCell ref="P78:W78"/>
    <mergeCell ref="A64:AJ64"/>
    <mergeCell ref="A66:AJ66"/>
    <mergeCell ref="A67:AJ67"/>
    <mergeCell ref="P68:AJ68"/>
    <mergeCell ref="P70:AJ70"/>
    <mergeCell ref="A71:AJ71"/>
    <mergeCell ref="G73:AJ73"/>
    <mergeCell ref="A74:B74"/>
    <mergeCell ref="G74:AJ74"/>
    <mergeCell ref="A75:AJ75"/>
    <mergeCell ref="A76:AJ76"/>
    <mergeCell ref="A97:AJ97"/>
    <mergeCell ref="P79:W79"/>
    <mergeCell ref="A82:AJ82"/>
    <mergeCell ref="A83:AJ83"/>
    <mergeCell ref="A84:AJ84"/>
    <mergeCell ref="A85:AJ85"/>
    <mergeCell ref="A87:AJ87"/>
    <mergeCell ref="A88:AJ88"/>
    <mergeCell ref="L89:AJ89"/>
    <mergeCell ref="H91:I91"/>
    <mergeCell ref="B95:P95"/>
    <mergeCell ref="A101:O101"/>
    <mergeCell ref="AB101:AJ101"/>
    <mergeCell ref="A102:O102"/>
    <mergeCell ref="AB102:AJ102"/>
    <mergeCell ref="A104:O104"/>
    <mergeCell ref="AB104:AJ104"/>
    <mergeCell ref="A105:O105"/>
    <mergeCell ref="AB105:AJ105"/>
    <mergeCell ref="A108:O108"/>
    <mergeCell ref="AB108:AJ108"/>
    <mergeCell ref="A109:O109"/>
    <mergeCell ref="AB109:AJ109"/>
    <mergeCell ref="A118:O118"/>
    <mergeCell ref="AB118:AJ118"/>
    <mergeCell ref="A113:AJ113"/>
    <mergeCell ref="A114:O114"/>
    <mergeCell ref="AB114:AJ114"/>
    <mergeCell ref="A115:O115"/>
    <mergeCell ref="AB115:AJ115"/>
    <mergeCell ref="A116:AJ116"/>
    <mergeCell ref="A111:O111"/>
    <mergeCell ref="AB111:AJ111"/>
    <mergeCell ref="A112:O112"/>
    <mergeCell ref="AB112:AJ112"/>
    <mergeCell ref="A117:O117"/>
    <mergeCell ref="AB117:AJ117"/>
  </mergeCells>
  <pageMargins left="0.78740157480314965" right="0.27559055118110237" top="0.39370078740157483" bottom="0.39370078740157483" header="0" footer="0"/>
  <pageSetup paperSize="9" scale="95" fitToHeight="3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7A571-EBF0-41BE-8021-3D1CED5C6378}">
  <sheetPr>
    <tabColor indexed="57"/>
    <pageSetUpPr fitToPage="1"/>
  </sheetPr>
  <dimension ref="A1:AQ120"/>
  <sheetViews>
    <sheetView view="pageBreakPreview" topLeftCell="A52" zoomScale="125" zoomScaleNormal="125" zoomScaleSheetLayoutView="125" workbookViewId="0">
      <selection activeCell="A88" sqref="A88:AJ88"/>
    </sheetView>
  </sheetViews>
  <sheetFormatPr defaultColWidth="10.6640625" defaultRowHeight="15" x14ac:dyDescent="0.25"/>
  <cols>
    <col min="1" max="6" width="2.83203125" style="1" customWidth="1"/>
    <col min="7" max="7" width="5.66406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51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119"/>
      <c r="B32" s="119"/>
      <c r="C32" s="119"/>
      <c r="D32" s="119"/>
      <c r="E32" s="119"/>
      <c r="F32" s="119"/>
      <c r="G32" s="119"/>
      <c r="H32" s="119"/>
      <c r="I32" s="119"/>
      <c r="J32" s="119"/>
    </row>
    <row r="33" spans="1:36" s="26" customFormat="1" ht="12.95" customHeight="1" x14ac:dyDescent="0.2">
      <c r="A33" s="30"/>
      <c r="B33" s="30" t="s">
        <v>18</v>
      </c>
      <c r="C33" s="31">
        <v>11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P80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tr">
        <f>'АОСР-5.1 (3)'!A87</f>
        <v>Устройство гидроизоляционного покрытия под 2БРП №171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</row>
    <row r="69" spans="1:36" s="26" customFormat="1" ht="12" customHeight="1" x14ac:dyDescent="0.2">
      <c r="A69" s="79" t="s">
        <v>297</v>
      </c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 t="s">
        <v>231</v>
      </c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</row>
    <row r="70" spans="1:36" s="26" customFormat="1" ht="12" customHeight="1" x14ac:dyDescent="0.2">
      <c r="A70" s="31" t="s">
        <v>298</v>
      </c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118"/>
      <c r="Q70" s="118"/>
      <c r="R70" s="118"/>
      <c r="S70" s="118"/>
      <c r="T70" s="120" t="s">
        <v>201</v>
      </c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</row>
    <row r="71" spans="1:36" s="2" customFormat="1" ht="8.25" customHeight="1" x14ac:dyDescent="0.2">
      <c r="A71" s="134" t="s">
        <v>57</v>
      </c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</row>
    <row r="72" spans="1:36" ht="18.75" customHeight="1" x14ac:dyDescent="0.25">
      <c r="A72" s="137" t="s">
        <v>58</v>
      </c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</row>
    <row r="73" spans="1:36" s="26" customFormat="1" ht="12" customHeight="1" x14ac:dyDescent="0.2">
      <c r="A73" s="26" t="s">
        <v>11</v>
      </c>
    </row>
    <row r="74" spans="1:36" s="26" customFormat="1" ht="12" customHeight="1" x14ac:dyDescent="0.2">
      <c r="A74" s="26" t="s">
        <v>10</v>
      </c>
      <c r="G74" s="140" t="s">
        <v>288</v>
      </c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</row>
    <row r="75" spans="1:36" ht="7.5" customHeight="1" x14ac:dyDescent="0.25">
      <c r="A75" s="142"/>
      <c r="B75" s="142"/>
      <c r="C75" s="8"/>
      <c r="D75" s="8"/>
      <c r="E75" s="8"/>
      <c r="F75" s="8"/>
      <c r="G75" s="138" t="s">
        <v>9</v>
      </c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</row>
    <row r="76" spans="1:36" s="26" customFormat="1" ht="12" customHeight="1" x14ac:dyDescent="0.2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</row>
    <row r="77" spans="1:36" ht="7.5" customHeight="1" x14ac:dyDescent="0.25">
      <c r="A77" s="137" t="s">
        <v>31</v>
      </c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  <c r="AH77" s="138"/>
      <c r="AI77" s="138"/>
      <c r="AJ77" s="138"/>
    </row>
    <row r="78" spans="1:36" ht="9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s="26" customFormat="1" ht="12" customHeight="1" x14ac:dyDescent="0.2">
      <c r="A79" s="26" t="s">
        <v>8</v>
      </c>
      <c r="D79" s="35"/>
      <c r="E79" s="35"/>
      <c r="F79" s="35"/>
      <c r="G79" s="35"/>
      <c r="L79" s="27"/>
      <c r="M79" s="38"/>
      <c r="N79" s="38"/>
      <c r="P79" s="139">
        <f>'Данные объект'!B6</f>
        <v>45949</v>
      </c>
      <c r="Q79" s="139"/>
      <c r="R79" s="139"/>
      <c r="S79" s="139"/>
      <c r="T79" s="139"/>
      <c r="U79" s="139"/>
      <c r="V79" s="139"/>
      <c r="W79" s="139"/>
    </row>
    <row r="80" spans="1:36" s="26" customFormat="1" ht="12" customHeight="1" x14ac:dyDescent="0.2">
      <c r="A80" s="26" t="s">
        <v>7</v>
      </c>
      <c r="D80" s="35"/>
      <c r="E80" s="35"/>
      <c r="F80" s="35"/>
      <c r="G80" s="35"/>
      <c r="L80" s="27"/>
      <c r="M80" s="38"/>
      <c r="N80" s="38"/>
      <c r="P80" s="158">
        <f>'Данные объект'!B7</f>
        <v>46219</v>
      </c>
      <c r="Q80" s="158"/>
      <c r="R80" s="158"/>
      <c r="S80" s="158"/>
      <c r="T80" s="158"/>
      <c r="U80" s="158"/>
      <c r="V80" s="158"/>
      <c r="W80" s="158"/>
    </row>
    <row r="81" spans="1:36" s="26" customFormat="1" ht="7.5" customHeight="1" x14ac:dyDescent="0.2">
      <c r="A81" s="39"/>
      <c r="B81" s="39"/>
      <c r="C81" s="39"/>
      <c r="D81" s="40"/>
      <c r="E81" s="40"/>
      <c r="F81" s="40"/>
      <c r="G81" s="40"/>
    </row>
    <row r="82" spans="1:36" s="26" customFormat="1" ht="12" customHeight="1" x14ac:dyDescent="0.2">
      <c r="A82" s="26" t="s">
        <v>5</v>
      </c>
    </row>
    <row r="83" spans="1:36" s="26" customFormat="1" ht="12" customHeight="1" x14ac:dyDescent="0.2">
      <c r="A83" s="140" t="s">
        <v>108</v>
      </c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</row>
    <row r="84" spans="1:36" ht="8.25" customHeight="1" x14ac:dyDescent="0.25">
      <c r="A84" s="137" t="s">
        <v>4</v>
      </c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</row>
    <row r="85" spans="1:36" s="26" customFormat="1" ht="12" customHeight="1" x14ac:dyDescent="0.2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</row>
    <row r="86" spans="1:36" ht="8.25" customHeight="1" x14ac:dyDescent="0.25">
      <c r="A86" s="137" t="s">
        <v>59</v>
      </c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H86" s="138"/>
      <c r="AI86" s="138"/>
      <c r="AJ86" s="138"/>
    </row>
    <row r="87" spans="1:36" s="26" customFormat="1" ht="12" customHeight="1" x14ac:dyDescent="0.2">
      <c r="A87" s="26" t="s">
        <v>3</v>
      </c>
    </row>
    <row r="88" spans="1:36" s="26" customFormat="1" ht="12" customHeight="1" x14ac:dyDescent="0.2">
      <c r="A88" s="135" t="s">
        <v>198</v>
      </c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</row>
    <row r="89" spans="1:36" ht="9" customHeight="1" x14ac:dyDescent="0.25">
      <c r="A89" s="137" t="s">
        <v>32</v>
      </c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  <c r="AE89" s="138"/>
      <c r="AF89" s="138"/>
      <c r="AG89" s="138"/>
      <c r="AH89" s="138"/>
      <c r="AI89" s="138"/>
      <c r="AJ89" s="138"/>
    </row>
    <row r="90" spans="1:36" s="26" customFormat="1" ht="12" customHeight="1" x14ac:dyDescent="0.2">
      <c r="A90" s="26" t="s">
        <v>2</v>
      </c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</row>
    <row r="91" spans="1:36" ht="6" customHeight="1" x14ac:dyDescent="0.25">
      <c r="D91" s="4"/>
      <c r="E91" s="4"/>
      <c r="F91" s="4"/>
      <c r="G91" s="4"/>
      <c r="H91" s="4"/>
      <c r="I91" s="4"/>
      <c r="J91" s="4"/>
    </row>
    <row r="92" spans="1:36" s="26" customFormat="1" ht="12" customHeight="1" x14ac:dyDescent="0.2">
      <c r="A92" s="26" t="s">
        <v>102</v>
      </c>
      <c r="H92" s="135"/>
      <c r="I92" s="135"/>
      <c r="J92" s="26" t="s">
        <v>33</v>
      </c>
    </row>
    <row r="93" spans="1:36" ht="4.5" customHeight="1" x14ac:dyDescent="0.25"/>
    <row r="94" spans="1:36" s="26" customFormat="1" ht="12" customHeight="1" x14ac:dyDescent="0.2">
      <c r="A94" s="26" t="s">
        <v>1</v>
      </c>
    </row>
    <row r="95" spans="1:36" s="26" customFormat="1" ht="12" customHeight="1" x14ac:dyDescent="0.2">
      <c r="A95" s="31" t="s">
        <v>87</v>
      </c>
      <c r="B95" s="140" t="str">
        <f>G74</f>
        <v>Исполнительная схема фундамента под 2БРП №171</v>
      </c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31" t="s">
        <v>76</v>
      </c>
      <c r="R95" s="31" t="s">
        <v>88</v>
      </c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</row>
    <row r="96" spans="1:36" s="26" customFormat="1" ht="12" customHeight="1" x14ac:dyDescent="0.2">
      <c r="A96" s="37" t="s">
        <v>89</v>
      </c>
      <c r="B96" s="121" t="str">
        <f>O69</f>
        <v>Сертификат соответствия №04ИДЮ101.RU.C05560</v>
      </c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37" t="s">
        <v>76</v>
      </c>
      <c r="R96" s="37" t="s">
        <v>233</v>
      </c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</row>
    <row r="97" spans="1:36" s="26" customFormat="1" ht="12" customHeight="1" x14ac:dyDescent="0.2">
      <c r="A97" s="37" t="s">
        <v>99</v>
      </c>
      <c r="B97" s="121" t="str">
        <f>T70</f>
        <v>Сертификат соответствия№04УПС1.RU.С02817</v>
      </c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37" t="s">
        <v>76</v>
      </c>
      <c r="R97" s="37" t="s">
        <v>202</v>
      </c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</row>
    <row r="98" spans="1:36" ht="9.75" customHeight="1" x14ac:dyDescent="0.25">
      <c r="A98" s="137" t="s">
        <v>0</v>
      </c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  <c r="AE98" s="138"/>
      <c r="AF98" s="138"/>
      <c r="AG98" s="138"/>
      <c r="AH98" s="138"/>
      <c r="AI98" s="138"/>
      <c r="AJ98" s="138"/>
    </row>
    <row r="99" spans="1:36" ht="6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26" customFormat="1" ht="12" customHeight="1" x14ac:dyDescent="0.2">
      <c r="A100" s="26" t="s">
        <v>23</v>
      </c>
    </row>
    <row r="101" spans="1:36" s="26" customFormat="1" ht="12" customHeight="1" x14ac:dyDescent="0.2">
      <c r="A101" s="26" t="s">
        <v>24</v>
      </c>
    </row>
    <row r="102" spans="1:36" s="26" customFormat="1" ht="12" customHeight="1" x14ac:dyDescent="0.2">
      <c r="A102" s="135" t="str">
        <f>'Данные объект'!B33</f>
        <v>Алексанян Г.Р.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135"/>
      <c r="AC102" s="135"/>
      <c r="AD102" s="135"/>
      <c r="AE102" s="135"/>
      <c r="AF102" s="135"/>
      <c r="AG102" s="135"/>
      <c r="AH102" s="135"/>
      <c r="AI102" s="135"/>
      <c r="AJ102" s="135"/>
    </row>
    <row r="103" spans="1:36" ht="9" customHeight="1" x14ac:dyDescent="0.25">
      <c r="A103" s="133" t="s">
        <v>35</v>
      </c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4" t="s">
        <v>34</v>
      </c>
      <c r="AC103" s="134"/>
      <c r="AD103" s="134"/>
      <c r="AE103" s="134"/>
      <c r="AF103" s="134"/>
      <c r="AG103" s="134"/>
      <c r="AH103" s="134"/>
      <c r="AI103" s="134"/>
      <c r="AJ103" s="134"/>
    </row>
    <row r="104" spans="1:36" s="26" customFormat="1" ht="12" customHeight="1" x14ac:dyDescent="0.2">
      <c r="A104" s="26" t="s">
        <v>25</v>
      </c>
    </row>
    <row r="105" spans="1:36" s="26" customFormat="1" ht="12" customHeight="1" x14ac:dyDescent="0.2">
      <c r="A105" s="135" t="str">
        <f>'Данные объект'!B20</f>
        <v>Волков М.Ю.</v>
      </c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135"/>
      <c r="AC105" s="135"/>
      <c r="AD105" s="135"/>
      <c r="AE105" s="135"/>
      <c r="AF105" s="135"/>
      <c r="AG105" s="135"/>
      <c r="AH105" s="135"/>
      <c r="AI105" s="135"/>
      <c r="AJ105" s="135"/>
    </row>
    <row r="106" spans="1:36" ht="9" customHeight="1" x14ac:dyDescent="0.25">
      <c r="A106" s="133" t="s">
        <v>35</v>
      </c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4" t="s">
        <v>34</v>
      </c>
      <c r="AC106" s="134"/>
      <c r="AD106" s="134"/>
      <c r="AE106" s="134"/>
      <c r="AF106" s="134"/>
      <c r="AG106" s="134"/>
      <c r="AH106" s="134"/>
      <c r="AI106" s="134"/>
      <c r="AJ106" s="134"/>
    </row>
    <row r="107" spans="1:36" s="26" customFormat="1" ht="12" customHeight="1" x14ac:dyDescent="0.2">
      <c r="A107" s="26" t="s">
        <v>27</v>
      </c>
    </row>
    <row r="108" spans="1:36" s="26" customFormat="1" ht="12" customHeight="1" x14ac:dyDescent="0.2">
      <c r="A108" s="26" t="s">
        <v>28</v>
      </c>
    </row>
    <row r="109" spans="1:36" s="26" customFormat="1" ht="12" customHeight="1" x14ac:dyDescent="0.2">
      <c r="A109" s="135" t="str">
        <f>'Данные объект'!B17</f>
        <v>Русин В.А.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135"/>
      <c r="AC109" s="135"/>
      <c r="AD109" s="135"/>
      <c r="AE109" s="135"/>
      <c r="AF109" s="135"/>
      <c r="AG109" s="135"/>
      <c r="AH109" s="135"/>
      <c r="AI109" s="135"/>
      <c r="AJ109" s="135"/>
    </row>
    <row r="110" spans="1:36" ht="9" customHeight="1" x14ac:dyDescent="0.25">
      <c r="A110" s="133" t="s">
        <v>35</v>
      </c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4" t="s">
        <v>34</v>
      </c>
      <c r="AC110" s="134"/>
      <c r="AD110" s="134"/>
      <c r="AE110" s="134"/>
      <c r="AF110" s="134"/>
      <c r="AG110" s="134"/>
      <c r="AH110" s="134"/>
      <c r="AI110" s="134"/>
      <c r="AJ110" s="134"/>
    </row>
    <row r="111" spans="1:36" s="101" customFormat="1" ht="11.25" x14ac:dyDescent="0.2">
      <c r="A111" s="26" t="s">
        <v>211</v>
      </c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17"/>
      <c r="AC111" s="117"/>
      <c r="AD111" s="117"/>
      <c r="AE111" s="117"/>
      <c r="AF111" s="117"/>
      <c r="AG111" s="117"/>
      <c r="AH111" s="117"/>
      <c r="AI111" s="117"/>
      <c r="AJ111" s="117"/>
    </row>
    <row r="112" spans="1:36" s="101" customFormat="1" ht="11.25" x14ac:dyDescent="0.2">
      <c r="A112" s="135" t="str">
        <f>'[4]Данные объект'!$B$36</f>
        <v>Курчин М.М.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5"/>
      <c r="AC112" s="135"/>
      <c r="AD112" s="135"/>
      <c r="AE112" s="135"/>
      <c r="AF112" s="135"/>
      <c r="AG112" s="135"/>
      <c r="AH112" s="135"/>
      <c r="AI112" s="135"/>
      <c r="AJ112" s="135"/>
    </row>
    <row r="113" spans="1:36" s="101" customFormat="1" ht="9" customHeight="1" x14ac:dyDescent="0.15">
      <c r="A113" s="133" t="s">
        <v>35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4" t="s">
        <v>34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s="26" customFormat="1" ht="36" customHeight="1" x14ac:dyDescent="0.2">
      <c r="A114" s="136" t="s">
        <v>53</v>
      </c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</row>
    <row r="115" spans="1:36" s="26" customFormat="1" ht="12" customHeight="1" x14ac:dyDescent="0.2">
      <c r="A115" s="135" t="s">
        <v>76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135" t="s">
        <v>76</v>
      </c>
      <c r="AC115" s="135"/>
      <c r="AD115" s="135"/>
      <c r="AE115" s="135"/>
      <c r="AF115" s="135"/>
      <c r="AG115" s="135"/>
      <c r="AH115" s="135"/>
      <c r="AI115" s="135"/>
      <c r="AJ115" s="135"/>
    </row>
    <row r="116" spans="1:36" ht="9" customHeight="1" x14ac:dyDescent="0.25">
      <c r="A116" s="133" t="s">
        <v>35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4" t="s">
        <v>34</v>
      </c>
      <c r="AC116" s="134"/>
      <c r="AD116" s="134"/>
      <c r="AE116" s="134"/>
      <c r="AF116" s="134"/>
      <c r="AG116" s="134"/>
      <c r="AH116" s="134"/>
      <c r="AI116" s="134"/>
      <c r="AJ116" s="134"/>
    </row>
    <row r="117" spans="1:36" s="26" customFormat="1" ht="40.5" hidden="1" customHeight="1" x14ac:dyDescent="0.2">
      <c r="A117" s="136" t="s">
        <v>55</v>
      </c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</row>
    <row r="118" spans="1:36" ht="12" hidden="1" customHeight="1" x14ac:dyDescent="0.25">
      <c r="A118" s="154" t="e">
        <f>#REF!</f>
        <v>#REF!</v>
      </c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5"/>
      <c r="AC118" s="155"/>
      <c r="AD118" s="155"/>
      <c r="AE118" s="155"/>
      <c r="AF118" s="155"/>
      <c r="AG118" s="155"/>
      <c r="AH118" s="155"/>
      <c r="AI118" s="155"/>
      <c r="AJ118" s="155"/>
    </row>
    <row r="119" spans="1:36" ht="9" hidden="1" customHeight="1" x14ac:dyDescent="0.25">
      <c r="A119" s="133" t="s">
        <v>35</v>
      </c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4" t="s">
        <v>34</v>
      </c>
      <c r="AC119" s="134"/>
      <c r="AD119" s="134"/>
      <c r="AE119" s="134"/>
      <c r="AF119" s="134"/>
      <c r="AG119" s="134"/>
      <c r="AH119" s="134"/>
      <c r="AI119" s="134"/>
      <c r="AJ119" s="134"/>
    </row>
    <row r="120" spans="1:36" ht="12" hidden="1" customHeight="1" x14ac:dyDescent="0.25"/>
  </sheetData>
  <mergeCells count="100">
    <mergeCell ref="A118:O118"/>
    <mergeCell ref="AB118:AJ118"/>
    <mergeCell ref="A119:O119"/>
    <mergeCell ref="AB119:AJ119"/>
    <mergeCell ref="A114:AJ114"/>
    <mergeCell ref="A115:O115"/>
    <mergeCell ref="AB115:AJ115"/>
    <mergeCell ref="A116:O116"/>
    <mergeCell ref="AB116:AJ116"/>
    <mergeCell ref="A117:AJ117"/>
    <mergeCell ref="A110:O110"/>
    <mergeCell ref="AB110:AJ110"/>
    <mergeCell ref="A112:O112"/>
    <mergeCell ref="AB112:AJ112"/>
    <mergeCell ref="A113:O113"/>
    <mergeCell ref="AB113:AJ113"/>
    <mergeCell ref="A105:O105"/>
    <mergeCell ref="AB105:AJ105"/>
    <mergeCell ref="A106:O106"/>
    <mergeCell ref="AB106:AJ106"/>
    <mergeCell ref="A109:O109"/>
    <mergeCell ref="AB109:AJ109"/>
    <mergeCell ref="B95:P95"/>
    <mergeCell ref="A98:AJ98"/>
    <mergeCell ref="A102:O102"/>
    <mergeCell ref="AB102:AJ102"/>
    <mergeCell ref="A103:O103"/>
    <mergeCell ref="AB103:AJ103"/>
    <mergeCell ref="H92:I92"/>
    <mergeCell ref="A76:AJ76"/>
    <mergeCell ref="A77:AJ77"/>
    <mergeCell ref="P79:W79"/>
    <mergeCell ref="P80:W80"/>
    <mergeCell ref="A83:AJ83"/>
    <mergeCell ref="A84:AJ84"/>
    <mergeCell ref="A85:AJ85"/>
    <mergeCell ref="A86:AJ86"/>
    <mergeCell ref="A88:AJ88"/>
    <mergeCell ref="A89:AJ89"/>
    <mergeCell ref="L90:AJ90"/>
    <mergeCell ref="P68:AJ68"/>
    <mergeCell ref="A71:AJ71"/>
    <mergeCell ref="A72:AJ72"/>
    <mergeCell ref="G74:AJ74"/>
    <mergeCell ref="A75:B75"/>
    <mergeCell ref="G75:AJ75"/>
    <mergeCell ref="A67:AJ67"/>
    <mergeCell ref="A52:AJ52"/>
    <mergeCell ref="A53:AJ53"/>
    <mergeCell ref="A54:AJ54"/>
    <mergeCell ref="A55:AJ55"/>
    <mergeCell ref="A56:AJ56"/>
    <mergeCell ref="A57:AJ57"/>
    <mergeCell ref="A59:AJ59"/>
    <mergeCell ref="A60:AJ60"/>
    <mergeCell ref="A63:AJ63"/>
    <mergeCell ref="A64:AJ64"/>
    <mergeCell ref="A66:AJ66"/>
    <mergeCell ref="A51:AJ51"/>
    <mergeCell ref="A39:AJ39"/>
    <mergeCell ref="A40:AJ40"/>
    <mergeCell ref="A42:AJ42"/>
    <mergeCell ref="A43:AJ43"/>
    <mergeCell ref="A44:AJ44"/>
    <mergeCell ref="A45:AJ45"/>
    <mergeCell ref="A46:AJ46"/>
    <mergeCell ref="A47:AJ47"/>
    <mergeCell ref="A48:AJ48"/>
    <mergeCell ref="A49:AJ49"/>
    <mergeCell ref="A50:AJ50"/>
    <mergeCell ref="A38:AJ38"/>
    <mergeCell ref="A25:AJ25"/>
    <mergeCell ref="A26:AJ26"/>
    <mergeCell ref="A27:AJ27"/>
    <mergeCell ref="A28:AJ28"/>
    <mergeCell ref="A30:AJ30"/>
    <mergeCell ref="A31:AJ31"/>
    <mergeCell ref="E33:G33"/>
    <mergeCell ref="AB33:AI33"/>
    <mergeCell ref="AB34:AI34"/>
    <mergeCell ref="A36:AJ36"/>
    <mergeCell ref="A37:AJ37"/>
    <mergeCell ref="A24:AJ24"/>
    <mergeCell ref="A11:AJ11"/>
    <mergeCell ref="A12:AJ12"/>
    <mergeCell ref="A13:AJ13"/>
    <mergeCell ref="A14:AJ14"/>
    <mergeCell ref="A16:AJ16"/>
    <mergeCell ref="A17:AJ17"/>
    <mergeCell ref="A18:AJ18"/>
    <mergeCell ref="A19:AJ19"/>
    <mergeCell ref="A20:AJ20"/>
    <mergeCell ref="A21:AJ21"/>
    <mergeCell ref="A23:AJ23"/>
    <mergeCell ref="A10:AJ10"/>
    <mergeCell ref="A4:AJ4"/>
    <mergeCell ref="A5:AJ5"/>
    <mergeCell ref="A6:AJ6"/>
    <mergeCell ref="A7:AJ8"/>
    <mergeCell ref="A9:AJ9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287E-395A-4225-AC1C-FE240F42AB98}">
  <sheetPr>
    <tabColor indexed="57"/>
    <pageSetUpPr fitToPage="1"/>
  </sheetPr>
  <dimension ref="A1:AQ119"/>
  <sheetViews>
    <sheetView view="pageBreakPreview" topLeftCell="A61" zoomScale="125" zoomScaleNormal="125" zoomScaleSheetLayoutView="125" workbookViewId="0">
      <selection activeCell="A87" sqref="A87:AJ87"/>
    </sheetView>
  </sheetViews>
  <sheetFormatPr defaultColWidth="10.6640625" defaultRowHeight="15" x14ac:dyDescent="0.25"/>
  <cols>
    <col min="1" max="6" width="2.83203125" style="1" customWidth="1"/>
    <col min="7" max="7" width="8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47.2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98"/>
      <c r="B32" s="98"/>
      <c r="C32" s="98"/>
      <c r="D32" s="98"/>
      <c r="E32" s="98"/>
      <c r="F32" s="98"/>
      <c r="G32" s="98"/>
      <c r="H32" s="98"/>
      <c r="I32" s="98"/>
      <c r="J32" s="98"/>
    </row>
    <row r="33" spans="1:36" s="26" customFormat="1" ht="12.95" customHeight="1" x14ac:dyDescent="0.2">
      <c r="A33" s="30"/>
      <c r="B33" s="30" t="s">
        <v>18</v>
      </c>
      <c r="C33" s="31">
        <v>12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P79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tr">
        <f>'АОСР-5.1 (6)'!A87:AJ87</f>
        <v>Устройство гидроизоляционного покрытия под 2БРП №171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3.5" customHeight="1" x14ac:dyDescent="0.2">
      <c r="A68" s="26" t="s">
        <v>12</v>
      </c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</row>
    <row r="69" spans="1:36" s="26" customFormat="1" ht="13.5" customHeight="1" x14ac:dyDescent="0.2">
      <c r="A69" s="31" t="s">
        <v>299</v>
      </c>
      <c r="B69" s="86"/>
      <c r="C69" s="86"/>
      <c r="D69" s="86"/>
      <c r="E69" s="86"/>
      <c r="F69" s="86"/>
      <c r="G69" s="135" t="s">
        <v>200</v>
      </c>
      <c r="H69" s="135"/>
      <c r="I69" s="135"/>
      <c r="J69" s="135"/>
      <c r="K69" s="135"/>
      <c r="L69" s="86"/>
      <c r="M69" s="86"/>
      <c r="N69" s="86"/>
      <c r="O69" s="86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</row>
    <row r="70" spans="1:36" s="2" customFormat="1" ht="7.5" customHeight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138" t="s">
        <v>57</v>
      </c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</row>
    <row r="71" spans="1:36" ht="18.75" customHeight="1" x14ac:dyDescent="0.25">
      <c r="A71" s="137" t="s">
        <v>58</v>
      </c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</row>
    <row r="72" spans="1:36" s="26" customFormat="1" ht="12" customHeight="1" x14ac:dyDescent="0.2">
      <c r="A72" s="26" t="s">
        <v>11</v>
      </c>
    </row>
    <row r="73" spans="1:36" s="26" customFormat="1" ht="12" customHeight="1" x14ac:dyDescent="0.2">
      <c r="A73" s="26" t="s">
        <v>10</v>
      </c>
      <c r="G73" s="140" t="s">
        <v>288</v>
      </c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</row>
    <row r="74" spans="1:36" ht="7.5" customHeight="1" x14ac:dyDescent="0.25">
      <c r="A74" s="142"/>
      <c r="B74" s="142"/>
      <c r="C74" s="8"/>
      <c r="D74" s="8"/>
      <c r="E74" s="8"/>
      <c r="F74" s="8"/>
      <c r="G74" s="138" t="s">
        <v>9</v>
      </c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</row>
    <row r="75" spans="1:36" s="26" customFormat="1" ht="12" customHeight="1" x14ac:dyDescent="0.2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1:36" ht="7.5" customHeight="1" x14ac:dyDescent="0.25">
      <c r="A76" s="137" t="s">
        <v>31</v>
      </c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ht="9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s="26" customFormat="1" ht="12" customHeight="1" x14ac:dyDescent="0.2">
      <c r="A78" s="26" t="s">
        <v>8</v>
      </c>
      <c r="D78" s="35"/>
      <c r="E78" s="35"/>
      <c r="F78" s="35"/>
      <c r="G78" s="35"/>
      <c r="L78" s="27"/>
      <c r="M78" s="38"/>
      <c r="N78" s="38"/>
      <c r="P78" s="139">
        <f>'Данные объект'!B6</f>
        <v>45949</v>
      </c>
      <c r="Q78" s="139"/>
      <c r="R78" s="139"/>
      <c r="S78" s="139"/>
      <c r="T78" s="139"/>
      <c r="U78" s="139"/>
      <c r="V78" s="139"/>
      <c r="W78" s="139"/>
    </row>
    <row r="79" spans="1:36" s="26" customFormat="1" ht="12" customHeight="1" x14ac:dyDescent="0.2">
      <c r="A79" s="26" t="s">
        <v>7</v>
      </c>
      <c r="D79" s="35"/>
      <c r="E79" s="35"/>
      <c r="F79" s="35"/>
      <c r="G79" s="35"/>
      <c r="L79" s="27"/>
      <c r="M79" s="38"/>
      <c r="N79" s="38"/>
      <c r="P79" s="158">
        <f>'Данные объект'!B7</f>
        <v>46219</v>
      </c>
      <c r="Q79" s="158"/>
      <c r="R79" s="158"/>
      <c r="S79" s="158"/>
      <c r="T79" s="158"/>
      <c r="U79" s="158"/>
      <c r="V79" s="158"/>
      <c r="W79" s="158"/>
    </row>
    <row r="80" spans="1:36" s="26" customFormat="1" ht="7.5" customHeight="1" x14ac:dyDescent="0.2">
      <c r="A80" s="39"/>
      <c r="B80" s="39"/>
      <c r="C80" s="39"/>
      <c r="D80" s="40"/>
      <c r="E80" s="40"/>
      <c r="F80" s="40"/>
      <c r="G80" s="40"/>
    </row>
    <row r="81" spans="1:36" s="26" customFormat="1" ht="12" customHeight="1" x14ac:dyDescent="0.2">
      <c r="A81" s="26" t="s">
        <v>5</v>
      </c>
    </row>
    <row r="82" spans="1:36" s="26" customFormat="1" ht="12" customHeight="1" x14ac:dyDescent="0.2">
      <c r="A82" s="140" t="s">
        <v>108</v>
      </c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</row>
    <row r="83" spans="1:36" ht="8.25" customHeight="1" x14ac:dyDescent="0.25">
      <c r="A83" s="137" t="s">
        <v>4</v>
      </c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</row>
    <row r="84" spans="1:36" s="26" customFormat="1" ht="12" customHeight="1" x14ac:dyDescent="0.2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ht="8.25" customHeight="1" x14ac:dyDescent="0.25">
      <c r="A85" s="137" t="s">
        <v>59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26" t="s">
        <v>3</v>
      </c>
    </row>
    <row r="87" spans="1:36" s="26" customFormat="1" ht="12" customHeight="1" x14ac:dyDescent="0.2">
      <c r="A87" s="135" t="s">
        <v>300</v>
      </c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ht="9" customHeight="1" x14ac:dyDescent="0.25">
      <c r="A88" s="137" t="s">
        <v>32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</row>
    <row r="89" spans="1:36" s="26" customFormat="1" ht="12" customHeight="1" x14ac:dyDescent="0.2">
      <c r="A89" s="26" t="s">
        <v>2</v>
      </c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6" customHeight="1" x14ac:dyDescent="0.25">
      <c r="D90" s="4"/>
      <c r="E90" s="4"/>
      <c r="F90" s="4"/>
      <c r="G90" s="4"/>
      <c r="H90" s="4"/>
      <c r="I90" s="4"/>
      <c r="J90" s="4"/>
    </row>
    <row r="91" spans="1:36" s="26" customFormat="1" ht="12" customHeight="1" x14ac:dyDescent="0.2">
      <c r="A91" s="26" t="s">
        <v>102</v>
      </c>
      <c r="H91" s="135"/>
      <c r="I91" s="135"/>
      <c r="J91" s="26" t="s">
        <v>33</v>
      </c>
    </row>
    <row r="92" spans="1:36" ht="4.5" customHeight="1" x14ac:dyDescent="0.25"/>
    <row r="93" spans="1:36" s="26" customFormat="1" ht="12" customHeight="1" x14ac:dyDescent="0.2">
      <c r="A93" s="26" t="s">
        <v>1</v>
      </c>
    </row>
    <row r="94" spans="1:36" s="26" customFormat="1" ht="12" customHeight="1" x14ac:dyDescent="0.2">
      <c r="A94" s="31" t="s">
        <v>87</v>
      </c>
      <c r="B94" s="140" t="str">
        <f>G73</f>
        <v>Исполнительная схема фундамента под 2БРП №171</v>
      </c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31" t="s">
        <v>76</v>
      </c>
      <c r="R94" s="31" t="s">
        <v>88</v>
      </c>
      <c r="S94" s="31"/>
      <c r="T94" s="31"/>
      <c r="U94" s="31"/>
      <c r="V94" s="86"/>
      <c r="W94" s="86"/>
      <c r="X94" s="86"/>
      <c r="Y94" s="86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6" customFormat="1" ht="12" customHeight="1" x14ac:dyDescent="0.2">
      <c r="A95" s="31" t="s">
        <v>89</v>
      </c>
      <c r="B95" s="140" t="s">
        <v>200</v>
      </c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37" t="s">
        <v>76</v>
      </c>
      <c r="R95" s="31" t="s">
        <v>88</v>
      </c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</row>
    <row r="96" spans="1:36" s="26" customFormat="1" ht="12" hidden="1" customHeight="1" x14ac:dyDescent="0.2">
      <c r="A96" s="37" t="s">
        <v>99</v>
      </c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</row>
    <row r="97" spans="1:36" ht="9.75" customHeight="1" x14ac:dyDescent="0.25">
      <c r="A97" s="137" t="s">
        <v>0</v>
      </c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38"/>
      <c r="AI97" s="138"/>
      <c r="AJ97" s="138"/>
    </row>
    <row r="98" spans="1:36" ht="6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26" customFormat="1" ht="12" customHeight="1" x14ac:dyDescent="0.2">
      <c r="A99" s="26" t="s">
        <v>23</v>
      </c>
    </row>
    <row r="100" spans="1:36" s="26" customFormat="1" ht="12" customHeight="1" x14ac:dyDescent="0.2">
      <c r="A100" s="26" t="s">
        <v>24</v>
      </c>
    </row>
    <row r="101" spans="1:36" s="26" customFormat="1" ht="12" customHeight="1" x14ac:dyDescent="0.2">
      <c r="A101" s="135" t="str">
        <f>'Данные объект'!B33</f>
        <v>Алексанян Г.Р.</v>
      </c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135"/>
      <c r="AC101" s="135"/>
      <c r="AD101" s="135"/>
      <c r="AE101" s="135"/>
      <c r="AF101" s="135"/>
      <c r="AG101" s="135"/>
      <c r="AH101" s="135"/>
      <c r="AI101" s="135"/>
      <c r="AJ101" s="135"/>
    </row>
    <row r="102" spans="1:36" ht="9" customHeight="1" x14ac:dyDescent="0.25">
      <c r="A102" s="133" t="s">
        <v>35</v>
      </c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4" t="s">
        <v>34</v>
      </c>
      <c r="AC102" s="134"/>
      <c r="AD102" s="134"/>
      <c r="AE102" s="134"/>
      <c r="AF102" s="134"/>
      <c r="AG102" s="134"/>
      <c r="AH102" s="134"/>
      <c r="AI102" s="134"/>
      <c r="AJ102" s="134"/>
    </row>
    <row r="103" spans="1:36" s="26" customFormat="1" ht="12" customHeight="1" x14ac:dyDescent="0.2">
      <c r="A103" s="26" t="s">
        <v>25</v>
      </c>
    </row>
    <row r="104" spans="1:36" s="26" customFormat="1" ht="12" customHeight="1" x14ac:dyDescent="0.2">
      <c r="A104" s="135" t="str">
        <f>'Данные объект'!B20</f>
        <v>Волков М.Ю.</v>
      </c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135"/>
      <c r="AC104" s="135"/>
      <c r="AD104" s="135"/>
      <c r="AE104" s="135"/>
      <c r="AF104" s="135"/>
      <c r="AG104" s="135"/>
      <c r="AH104" s="135"/>
      <c r="AI104" s="135"/>
      <c r="AJ104" s="135"/>
    </row>
    <row r="105" spans="1:36" ht="9" customHeight="1" x14ac:dyDescent="0.25">
      <c r="A105" s="133" t="s">
        <v>35</v>
      </c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7"/>
      <c r="Q105" s="17"/>
      <c r="R105" s="17"/>
      <c r="S105" s="17"/>
      <c r="T105" s="17"/>
      <c r="U105" s="16"/>
      <c r="V105" s="16"/>
      <c r="W105" s="16"/>
      <c r="X105" s="16"/>
      <c r="Y105" s="16"/>
      <c r="Z105" s="16"/>
      <c r="AA105" s="16"/>
      <c r="AB105" s="134" t="s">
        <v>34</v>
      </c>
      <c r="AC105" s="134"/>
      <c r="AD105" s="134"/>
      <c r="AE105" s="134"/>
      <c r="AF105" s="134"/>
      <c r="AG105" s="134"/>
      <c r="AH105" s="134"/>
      <c r="AI105" s="134"/>
      <c r="AJ105" s="134"/>
    </row>
    <row r="106" spans="1:36" s="26" customFormat="1" ht="12" customHeight="1" x14ac:dyDescent="0.2">
      <c r="A106" s="26" t="s">
        <v>27</v>
      </c>
    </row>
    <row r="107" spans="1:36" s="26" customFormat="1" ht="12" customHeight="1" x14ac:dyDescent="0.2">
      <c r="A107" s="26" t="s">
        <v>28</v>
      </c>
    </row>
    <row r="108" spans="1:36" s="26" customFormat="1" ht="12" customHeight="1" x14ac:dyDescent="0.2">
      <c r="A108" s="135" t="str">
        <f>'Данные объект'!B17</f>
        <v>Русин В.А.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35"/>
      <c r="AC108" s="135"/>
      <c r="AD108" s="135"/>
      <c r="AE108" s="135"/>
      <c r="AF108" s="135"/>
      <c r="AG108" s="135"/>
      <c r="AH108" s="135"/>
      <c r="AI108" s="135"/>
      <c r="AJ108" s="135"/>
    </row>
    <row r="109" spans="1:36" ht="9" customHeight="1" x14ac:dyDescent="0.25">
      <c r="A109" s="133" t="s">
        <v>35</v>
      </c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 t="s">
        <v>34</v>
      </c>
      <c r="AC109" s="134"/>
      <c r="AD109" s="134"/>
      <c r="AE109" s="134"/>
      <c r="AF109" s="134"/>
      <c r="AG109" s="134"/>
      <c r="AH109" s="134"/>
      <c r="AI109" s="134"/>
      <c r="AJ109" s="134"/>
    </row>
    <row r="110" spans="1:36" s="101" customFormat="1" ht="11.25" x14ac:dyDescent="0.2">
      <c r="A110" s="26" t="s">
        <v>211</v>
      </c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97"/>
      <c r="AC110" s="97"/>
      <c r="AD110" s="97"/>
      <c r="AE110" s="97"/>
      <c r="AF110" s="97"/>
      <c r="AG110" s="97"/>
      <c r="AH110" s="97"/>
      <c r="AI110" s="97"/>
      <c r="AJ110" s="97"/>
    </row>
    <row r="111" spans="1:36" s="101" customFormat="1" ht="11.25" x14ac:dyDescent="0.2">
      <c r="A111" s="135" t="str">
        <f>'[4]Данные объект'!$B$36</f>
        <v>Курчин М.М.</v>
      </c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35"/>
      <c r="AC111" s="135"/>
      <c r="AD111" s="135"/>
      <c r="AE111" s="135"/>
      <c r="AF111" s="135"/>
      <c r="AG111" s="135"/>
      <c r="AH111" s="135"/>
      <c r="AI111" s="135"/>
      <c r="AJ111" s="135"/>
    </row>
    <row r="112" spans="1:36" s="101" customFormat="1" ht="9" customHeight="1" x14ac:dyDescent="0.15">
      <c r="A112" s="133" t="s">
        <v>35</v>
      </c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4" t="s">
        <v>34</v>
      </c>
      <c r="AC112" s="134"/>
      <c r="AD112" s="134"/>
      <c r="AE112" s="134"/>
      <c r="AF112" s="134"/>
      <c r="AG112" s="134"/>
      <c r="AH112" s="134"/>
      <c r="AI112" s="134"/>
      <c r="AJ112" s="134"/>
    </row>
    <row r="113" spans="1:36" s="26" customFormat="1" ht="36" customHeight="1" x14ac:dyDescent="0.2">
      <c r="A113" s="136" t="s">
        <v>53</v>
      </c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</row>
    <row r="114" spans="1:36" s="26" customFormat="1" ht="12" customHeight="1" x14ac:dyDescent="0.2">
      <c r="A114" s="135" t="s">
        <v>76</v>
      </c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135" t="s">
        <v>76</v>
      </c>
      <c r="AC114" s="135"/>
      <c r="AD114" s="135"/>
      <c r="AE114" s="135"/>
      <c r="AF114" s="135"/>
      <c r="AG114" s="135"/>
      <c r="AH114" s="135"/>
      <c r="AI114" s="135"/>
      <c r="AJ114" s="135"/>
    </row>
    <row r="115" spans="1:36" ht="9" customHeight="1" x14ac:dyDescent="0.25">
      <c r="A115" s="133" t="s">
        <v>35</v>
      </c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4" t="s">
        <v>34</v>
      </c>
      <c r="AC115" s="134"/>
      <c r="AD115" s="134"/>
      <c r="AE115" s="134"/>
      <c r="AF115" s="134"/>
      <c r="AG115" s="134"/>
      <c r="AH115" s="134"/>
      <c r="AI115" s="134"/>
      <c r="AJ115" s="134"/>
    </row>
    <row r="116" spans="1:36" s="26" customFormat="1" ht="40.5" hidden="1" customHeight="1" x14ac:dyDescent="0.2">
      <c r="A116" s="136" t="s">
        <v>55</v>
      </c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</row>
    <row r="117" spans="1:36" ht="12" hidden="1" customHeight="1" x14ac:dyDescent="0.25">
      <c r="A117" s="154" t="e">
        <f>#REF!</f>
        <v>#REF!</v>
      </c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5"/>
      <c r="AC117" s="155"/>
      <c r="AD117" s="155"/>
      <c r="AE117" s="155"/>
      <c r="AF117" s="155"/>
      <c r="AG117" s="155"/>
      <c r="AH117" s="155"/>
      <c r="AI117" s="155"/>
      <c r="AJ117" s="155"/>
    </row>
    <row r="118" spans="1:36" ht="9" hidden="1" customHeight="1" x14ac:dyDescent="0.25">
      <c r="A118" s="133" t="s">
        <v>35</v>
      </c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7"/>
      <c r="Q118" s="17"/>
      <c r="R118" s="17"/>
      <c r="S118" s="17"/>
      <c r="T118" s="17"/>
      <c r="U118" s="16"/>
      <c r="V118" s="16"/>
      <c r="W118" s="16"/>
      <c r="X118" s="16"/>
      <c r="Y118" s="16"/>
      <c r="Z118" s="16"/>
      <c r="AA118" s="16"/>
      <c r="AB118" s="134" t="s">
        <v>34</v>
      </c>
      <c r="AC118" s="134"/>
      <c r="AD118" s="134"/>
      <c r="AE118" s="134"/>
      <c r="AF118" s="134"/>
      <c r="AG118" s="134"/>
      <c r="AH118" s="134"/>
      <c r="AI118" s="134"/>
      <c r="AJ118" s="134"/>
    </row>
    <row r="119" spans="1:36" ht="12" hidden="1" customHeight="1" x14ac:dyDescent="0.25"/>
  </sheetData>
  <mergeCells count="102">
    <mergeCell ref="A4:AJ4"/>
    <mergeCell ref="A5:AJ5"/>
    <mergeCell ref="A6:AJ6"/>
    <mergeCell ref="A7:AJ8"/>
    <mergeCell ref="A9:AJ9"/>
    <mergeCell ref="A10:AJ10"/>
    <mergeCell ref="A18:AJ18"/>
    <mergeCell ref="A19:AJ19"/>
    <mergeCell ref="A20:AJ20"/>
    <mergeCell ref="A21:AJ21"/>
    <mergeCell ref="A23:AJ23"/>
    <mergeCell ref="A24:AJ24"/>
    <mergeCell ref="A11:AJ11"/>
    <mergeCell ref="A12:AJ12"/>
    <mergeCell ref="A13:AJ13"/>
    <mergeCell ref="A14:AJ14"/>
    <mergeCell ref="A16:AJ16"/>
    <mergeCell ref="A17:AJ17"/>
    <mergeCell ref="E33:G33"/>
    <mergeCell ref="AB33:AI33"/>
    <mergeCell ref="AB34:AI34"/>
    <mergeCell ref="A36:AJ36"/>
    <mergeCell ref="A37:AJ37"/>
    <mergeCell ref="A38:AJ38"/>
    <mergeCell ref="A25:AJ25"/>
    <mergeCell ref="A26:AJ26"/>
    <mergeCell ref="A27:AJ27"/>
    <mergeCell ref="A28:AJ28"/>
    <mergeCell ref="A30:AJ30"/>
    <mergeCell ref="A31:AJ31"/>
    <mergeCell ref="A46:AJ46"/>
    <mergeCell ref="A47:AJ47"/>
    <mergeCell ref="A48:AJ48"/>
    <mergeCell ref="A49:AJ49"/>
    <mergeCell ref="A50:AJ50"/>
    <mergeCell ref="A51:AJ51"/>
    <mergeCell ref="A39:AJ39"/>
    <mergeCell ref="A40:AJ40"/>
    <mergeCell ref="A42:AJ42"/>
    <mergeCell ref="A43:AJ43"/>
    <mergeCell ref="A44:AJ44"/>
    <mergeCell ref="A45:AJ45"/>
    <mergeCell ref="A59:AJ59"/>
    <mergeCell ref="A60:AJ60"/>
    <mergeCell ref="A63:AJ63"/>
    <mergeCell ref="A64:AJ64"/>
    <mergeCell ref="A66:AJ66"/>
    <mergeCell ref="A67:AJ67"/>
    <mergeCell ref="A52:AJ52"/>
    <mergeCell ref="A53:AJ53"/>
    <mergeCell ref="A54:AJ54"/>
    <mergeCell ref="A55:AJ55"/>
    <mergeCell ref="A56:AJ56"/>
    <mergeCell ref="A57:AJ57"/>
    <mergeCell ref="A75:AJ75"/>
    <mergeCell ref="A76:AJ76"/>
    <mergeCell ref="P78:W78"/>
    <mergeCell ref="P79:W79"/>
    <mergeCell ref="A82:AJ82"/>
    <mergeCell ref="A83:AJ83"/>
    <mergeCell ref="P68:AJ68"/>
    <mergeCell ref="P70:AJ70"/>
    <mergeCell ref="A71:AJ71"/>
    <mergeCell ref="G73:AJ73"/>
    <mergeCell ref="A74:B74"/>
    <mergeCell ref="G74:AJ74"/>
    <mergeCell ref="B94:P94"/>
    <mergeCell ref="A97:AJ97"/>
    <mergeCell ref="A101:O101"/>
    <mergeCell ref="AB101:AJ101"/>
    <mergeCell ref="A102:O102"/>
    <mergeCell ref="AB102:AJ102"/>
    <mergeCell ref="A84:AJ84"/>
    <mergeCell ref="A85:AJ85"/>
    <mergeCell ref="A87:AJ87"/>
    <mergeCell ref="A88:AJ88"/>
    <mergeCell ref="L89:AJ89"/>
    <mergeCell ref="H91:I91"/>
    <mergeCell ref="A117:O117"/>
    <mergeCell ref="AB117:AJ117"/>
    <mergeCell ref="A118:O118"/>
    <mergeCell ref="AB118:AJ118"/>
    <mergeCell ref="G69:K69"/>
    <mergeCell ref="B95:P95"/>
    <mergeCell ref="A113:AJ113"/>
    <mergeCell ref="A114:O114"/>
    <mergeCell ref="AB114:AJ114"/>
    <mergeCell ref="A115:O115"/>
    <mergeCell ref="AB115:AJ115"/>
    <mergeCell ref="A116:AJ116"/>
    <mergeCell ref="A109:O109"/>
    <mergeCell ref="AB109:AJ109"/>
    <mergeCell ref="A111:O111"/>
    <mergeCell ref="AB111:AJ111"/>
    <mergeCell ref="A112:O112"/>
    <mergeCell ref="AB112:AJ112"/>
    <mergeCell ref="A104:O104"/>
    <mergeCell ref="AB104:AJ104"/>
    <mergeCell ref="A105:O105"/>
    <mergeCell ref="AB105:AJ105"/>
    <mergeCell ref="A108:O108"/>
    <mergeCell ref="AB108:AJ108"/>
  </mergeCells>
  <pageMargins left="0.78740157480314965" right="0.27559055118110237" top="0.39370078740157483" bottom="0.39370078740157483" header="0" footer="0"/>
  <pageSetup paperSize="9" scale="95" fitToHeight="3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3A1B-F53E-4475-A40F-727AB60F7DE9}">
  <sheetPr>
    <tabColor indexed="57"/>
    <pageSetUpPr fitToPage="1"/>
  </sheetPr>
  <dimension ref="A1:AQ117"/>
  <sheetViews>
    <sheetView view="pageBreakPreview" topLeftCell="A64" zoomScale="125" zoomScaleNormal="125" zoomScaleSheetLayoutView="125" workbookViewId="0">
      <selection activeCell="A86" sqref="A86:AJ86"/>
    </sheetView>
  </sheetViews>
  <sheetFormatPr defaultColWidth="10.6640625" defaultRowHeight="15" x14ac:dyDescent="0.25"/>
  <cols>
    <col min="1" max="6" width="2.83203125" style="1" customWidth="1"/>
    <col min="7" max="7" width="5.66406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47.2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13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P78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tr">
        <f>'АОСР-5.1 (10)'!A87:AJ87</f>
        <v>Монтаж модулей 2БРП №171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36.75" customHeight="1" x14ac:dyDescent="0.2">
      <c r="A68" s="26" t="s">
        <v>12</v>
      </c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4" t="s">
        <v>57</v>
      </c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</row>
    <row r="70" spans="1:36" ht="18.75" customHeight="1" x14ac:dyDescent="0.25">
      <c r="A70" s="137" t="s">
        <v>58</v>
      </c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</row>
    <row r="71" spans="1:36" s="26" customFormat="1" ht="12" customHeight="1" x14ac:dyDescent="0.2">
      <c r="A71" s="26" t="s">
        <v>11</v>
      </c>
    </row>
    <row r="72" spans="1:36" s="26" customFormat="1" ht="12" customHeight="1" x14ac:dyDescent="0.2">
      <c r="A72" s="26" t="s">
        <v>10</v>
      </c>
      <c r="G72" s="140" t="s">
        <v>288</v>
      </c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  <c r="AJ72" s="140"/>
    </row>
    <row r="73" spans="1:36" ht="7.5" customHeight="1" x14ac:dyDescent="0.25">
      <c r="A73" s="142"/>
      <c r="B73" s="142"/>
      <c r="C73" s="8"/>
      <c r="D73" s="8"/>
      <c r="E73" s="8"/>
      <c r="F73" s="8"/>
      <c r="G73" s="138" t="s">
        <v>9</v>
      </c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s="26" customFormat="1" ht="12" customHeight="1" x14ac:dyDescent="0.2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</row>
    <row r="75" spans="1:36" ht="7.5" customHeight="1" x14ac:dyDescent="0.25">
      <c r="A75" s="137" t="s">
        <v>31</v>
      </c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</row>
    <row r="76" spans="1:36" ht="9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6" customFormat="1" ht="12" customHeight="1" x14ac:dyDescent="0.2">
      <c r="A77" s="26" t="s">
        <v>8</v>
      </c>
      <c r="D77" s="35"/>
      <c r="E77" s="35"/>
      <c r="F77" s="35"/>
      <c r="G77" s="35"/>
      <c r="L77" s="27"/>
      <c r="M77" s="38"/>
      <c r="N77" s="38"/>
      <c r="P77" s="139">
        <f>'Данные объект'!B6</f>
        <v>45949</v>
      </c>
      <c r="Q77" s="139"/>
      <c r="R77" s="139"/>
      <c r="S77" s="139"/>
      <c r="T77" s="139"/>
      <c r="U77" s="139"/>
      <c r="V77" s="139"/>
      <c r="W77" s="139"/>
    </row>
    <row r="78" spans="1:36" s="26" customFormat="1" ht="12" customHeight="1" x14ac:dyDescent="0.2">
      <c r="A78" s="26" t="s">
        <v>7</v>
      </c>
      <c r="D78" s="35"/>
      <c r="E78" s="35"/>
      <c r="F78" s="35"/>
      <c r="G78" s="35"/>
      <c r="L78" s="27"/>
      <c r="M78" s="38"/>
      <c r="N78" s="38"/>
      <c r="P78" s="158">
        <f>'Данные объект'!B7</f>
        <v>46219</v>
      </c>
      <c r="Q78" s="158"/>
      <c r="R78" s="158"/>
      <c r="S78" s="158"/>
      <c r="T78" s="158"/>
      <c r="U78" s="158"/>
      <c r="V78" s="158"/>
      <c r="W78" s="158"/>
    </row>
    <row r="79" spans="1:36" s="26" customFormat="1" ht="7.5" customHeight="1" x14ac:dyDescent="0.2">
      <c r="A79" s="39"/>
      <c r="B79" s="39"/>
      <c r="C79" s="39"/>
      <c r="D79" s="40"/>
      <c r="E79" s="40"/>
      <c r="F79" s="40"/>
      <c r="G79" s="40"/>
    </row>
    <row r="80" spans="1:36" s="26" customFormat="1" ht="12" customHeight="1" x14ac:dyDescent="0.2">
      <c r="A80" s="26" t="s">
        <v>5</v>
      </c>
    </row>
    <row r="81" spans="1:36" s="26" customFormat="1" ht="12" customHeight="1" x14ac:dyDescent="0.2">
      <c r="A81" s="140" t="s">
        <v>108</v>
      </c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  <c r="AJ81" s="140"/>
    </row>
    <row r="82" spans="1:36" ht="8.25" customHeight="1" x14ac:dyDescent="0.25">
      <c r="A82" s="137" t="s">
        <v>4</v>
      </c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</row>
    <row r="83" spans="1:36" s="26" customFormat="1" ht="12" customHeight="1" x14ac:dyDescent="0.2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</row>
    <row r="84" spans="1:36" ht="8.25" customHeight="1" x14ac:dyDescent="0.25">
      <c r="A84" s="137" t="s">
        <v>59</v>
      </c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</row>
    <row r="85" spans="1:36" s="26" customFormat="1" ht="12" customHeight="1" x14ac:dyDescent="0.2">
      <c r="A85" s="26" t="s">
        <v>3</v>
      </c>
    </row>
    <row r="86" spans="1:36" s="26" customFormat="1" ht="12" customHeight="1" x14ac:dyDescent="0.2">
      <c r="A86" s="135" t="s">
        <v>302</v>
      </c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ht="9" customHeight="1" x14ac:dyDescent="0.25">
      <c r="A87" s="137" t="s">
        <v>32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s="26" customFormat="1" ht="12" customHeight="1" x14ac:dyDescent="0.2">
      <c r="A88" s="26" t="s">
        <v>2</v>
      </c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</row>
    <row r="89" spans="1:36" ht="6" customHeight="1" x14ac:dyDescent="0.25">
      <c r="D89" s="4"/>
      <c r="E89" s="4"/>
      <c r="F89" s="4"/>
      <c r="G89" s="4"/>
      <c r="H89" s="4"/>
      <c r="I89" s="4"/>
      <c r="J89" s="4"/>
    </row>
    <row r="90" spans="1:36" s="26" customFormat="1" ht="12" customHeight="1" x14ac:dyDescent="0.2">
      <c r="A90" s="26" t="s">
        <v>102</v>
      </c>
      <c r="H90" s="135"/>
      <c r="I90" s="135"/>
      <c r="J90" s="26" t="s">
        <v>33</v>
      </c>
    </row>
    <row r="91" spans="1:36" ht="4.5" customHeight="1" x14ac:dyDescent="0.25"/>
    <row r="92" spans="1:36" s="26" customFormat="1" ht="12" customHeight="1" x14ac:dyDescent="0.2">
      <c r="A92" s="26" t="s">
        <v>1</v>
      </c>
    </row>
    <row r="93" spans="1:36" s="26" customFormat="1" ht="12" customHeight="1" x14ac:dyDescent="0.2">
      <c r="A93" s="31" t="s">
        <v>87</v>
      </c>
      <c r="B93" s="140" t="s">
        <v>301</v>
      </c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31" t="s">
        <v>76</v>
      </c>
      <c r="R93" s="31" t="s">
        <v>88</v>
      </c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spans="1:36" s="26" customFormat="1" ht="12" customHeight="1" x14ac:dyDescent="0.2">
      <c r="A94" s="31" t="s">
        <v>87</v>
      </c>
      <c r="B94" s="140" t="str">
        <f>G72</f>
        <v>Исполнительная схема фундамента под 2БРП №171</v>
      </c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31" t="s">
        <v>76</v>
      </c>
      <c r="R94" s="31" t="s">
        <v>88</v>
      </c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ht="9.75" customHeight="1" x14ac:dyDescent="0.25">
      <c r="A95" s="137" t="s">
        <v>0</v>
      </c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  <c r="AH95" s="138"/>
      <c r="AI95" s="138"/>
      <c r="AJ95" s="138"/>
    </row>
    <row r="96" spans="1:36" ht="6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26" customFormat="1" ht="12" customHeight="1" x14ac:dyDescent="0.2">
      <c r="A97" s="26" t="s">
        <v>23</v>
      </c>
    </row>
    <row r="98" spans="1:36" s="26" customFormat="1" ht="12" customHeight="1" x14ac:dyDescent="0.2">
      <c r="A98" s="26" t="s">
        <v>24</v>
      </c>
    </row>
    <row r="99" spans="1:36" s="26" customFormat="1" ht="12" customHeight="1" x14ac:dyDescent="0.2">
      <c r="A99" s="135" t="str">
        <f>'Данные объект'!B33</f>
        <v>Алексанян Г.Р.</v>
      </c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135"/>
      <c r="AC99" s="135"/>
      <c r="AD99" s="135"/>
      <c r="AE99" s="135"/>
      <c r="AF99" s="135"/>
      <c r="AG99" s="135"/>
      <c r="AH99" s="135"/>
      <c r="AI99" s="135"/>
      <c r="AJ99" s="135"/>
    </row>
    <row r="100" spans="1:36" ht="9" customHeight="1" x14ac:dyDescent="0.25">
      <c r="A100" s="133" t="s">
        <v>35</v>
      </c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7"/>
      <c r="Q100" s="17"/>
      <c r="R100" s="17"/>
      <c r="S100" s="17"/>
      <c r="T100" s="17"/>
      <c r="U100" s="16"/>
      <c r="V100" s="16"/>
      <c r="W100" s="16"/>
      <c r="X100" s="16"/>
      <c r="Y100" s="16"/>
      <c r="Z100" s="16"/>
      <c r="AA100" s="16"/>
      <c r="AB100" s="134" t="s">
        <v>34</v>
      </c>
      <c r="AC100" s="134"/>
      <c r="AD100" s="134"/>
      <c r="AE100" s="134"/>
      <c r="AF100" s="134"/>
      <c r="AG100" s="134"/>
      <c r="AH100" s="134"/>
      <c r="AI100" s="134"/>
      <c r="AJ100" s="134"/>
    </row>
    <row r="101" spans="1:36" s="26" customFormat="1" ht="12" customHeight="1" x14ac:dyDescent="0.2">
      <c r="A101" s="26" t="s">
        <v>25</v>
      </c>
    </row>
    <row r="102" spans="1:36" s="26" customFormat="1" ht="12" customHeight="1" x14ac:dyDescent="0.2">
      <c r="A102" s="135" t="str">
        <f>'Данные объект'!B20</f>
        <v>Волков М.Ю.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135"/>
      <c r="AC102" s="135"/>
      <c r="AD102" s="135"/>
      <c r="AE102" s="135"/>
      <c r="AF102" s="135"/>
      <c r="AG102" s="135"/>
      <c r="AH102" s="135"/>
      <c r="AI102" s="135"/>
      <c r="AJ102" s="135"/>
    </row>
    <row r="103" spans="1:36" ht="9" customHeight="1" x14ac:dyDescent="0.25">
      <c r="A103" s="133" t="s">
        <v>35</v>
      </c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4" t="s">
        <v>34</v>
      </c>
      <c r="AC103" s="134"/>
      <c r="AD103" s="134"/>
      <c r="AE103" s="134"/>
      <c r="AF103" s="134"/>
      <c r="AG103" s="134"/>
      <c r="AH103" s="134"/>
      <c r="AI103" s="134"/>
      <c r="AJ103" s="134"/>
    </row>
    <row r="104" spans="1:36" s="26" customFormat="1" ht="12" customHeight="1" x14ac:dyDescent="0.2">
      <c r="A104" s="26" t="s">
        <v>27</v>
      </c>
    </row>
    <row r="105" spans="1:36" s="26" customFormat="1" ht="12" customHeight="1" x14ac:dyDescent="0.2">
      <c r="A105" s="26" t="s">
        <v>28</v>
      </c>
    </row>
    <row r="106" spans="1:36" s="26" customFormat="1" ht="12" customHeight="1" x14ac:dyDescent="0.2">
      <c r="A106" s="135" t="str">
        <f>'Данные объект'!B17</f>
        <v>Русин В.А.</v>
      </c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135"/>
      <c r="AC106" s="135"/>
      <c r="AD106" s="135"/>
      <c r="AE106" s="135"/>
      <c r="AF106" s="135"/>
      <c r="AG106" s="135"/>
      <c r="AH106" s="135"/>
      <c r="AI106" s="135"/>
      <c r="AJ106" s="135"/>
    </row>
    <row r="107" spans="1:36" ht="9" customHeight="1" x14ac:dyDescent="0.25">
      <c r="A107" s="133" t="s">
        <v>35</v>
      </c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34" t="s">
        <v>34</v>
      </c>
      <c r="AC107" s="134"/>
      <c r="AD107" s="134"/>
      <c r="AE107" s="134"/>
      <c r="AF107" s="134"/>
      <c r="AG107" s="134"/>
      <c r="AH107" s="134"/>
      <c r="AI107" s="134"/>
      <c r="AJ107" s="134"/>
    </row>
    <row r="108" spans="1:36" s="101" customFormat="1" ht="11.25" x14ac:dyDescent="0.2">
      <c r="A108" s="26" t="s">
        <v>211</v>
      </c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97"/>
      <c r="AC108" s="97"/>
      <c r="AD108" s="97"/>
      <c r="AE108" s="97"/>
      <c r="AF108" s="97"/>
      <c r="AG108" s="97"/>
      <c r="AH108" s="97"/>
      <c r="AI108" s="97"/>
      <c r="AJ108" s="97"/>
    </row>
    <row r="109" spans="1:36" s="101" customFormat="1" ht="11.25" x14ac:dyDescent="0.2">
      <c r="A109" s="135" t="str">
        <f>'[4]Данные объект'!$B$36</f>
        <v>Курчин М.М.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5"/>
      <c r="AC109" s="135"/>
      <c r="AD109" s="135"/>
      <c r="AE109" s="135"/>
      <c r="AF109" s="135"/>
      <c r="AG109" s="135"/>
      <c r="AH109" s="135"/>
      <c r="AI109" s="135"/>
      <c r="AJ109" s="135"/>
    </row>
    <row r="110" spans="1:36" s="101" customFormat="1" ht="9" customHeight="1" x14ac:dyDescent="0.15">
      <c r="A110" s="133" t="s">
        <v>35</v>
      </c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4" t="s">
        <v>34</v>
      </c>
      <c r="AC110" s="134"/>
      <c r="AD110" s="134"/>
      <c r="AE110" s="134"/>
      <c r="AF110" s="134"/>
      <c r="AG110" s="134"/>
      <c r="AH110" s="134"/>
      <c r="AI110" s="134"/>
      <c r="AJ110" s="134"/>
    </row>
    <row r="111" spans="1:36" s="26" customFormat="1" ht="36" customHeight="1" x14ac:dyDescent="0.2">
      <c r="A111" s="136" t="s">
        <v>53</v>
      </c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</row>
    <row r="112" spans="1:36" s="26" customFormat="1" ht="12" customHeight="1" x14ac:dyDescent="0.2">
      <c r="A112" s="135" t="s">
        <v>76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135" t="s">
        <v>76</v>
      </c>
      <c r="AC112" s="135"/>
      <c r="AD112" s="135"/>
      <c r="AE112" s="135"/>
      <c r="AF112" s="135"/>
      <c r="AG112" s="135"/>
      <c r="AH112" s="135"/>
      <c r="AI112" s="135"/>
      <c r="AJ112" s="135"/>
    </row>
    <row r="113" spans="1:36" ht="9" customHeight="1" x14ac:dyDescent="0.25">
      <c r="A113" s="133" t="s">
        <v>35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4" t="s">
        <v>34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s="26" customFormat="1" ht="40.5" hidden="1" customHeight="1" x14ac:dyDescent="0.2">
      <c r="A114" s="136" t="s">
        <v>55</v>
      </c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</row>
    <row r="115" spans="1:36" ht="12" hidden="1" customHeight="1" x14ac:dyDescent="0.25">
      <c r="A115" s="154" t="e">
        <f>#REF!</f>
        <v>#REF!</v>
      </c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5"/>
      <c r="AC115" s="155"/>
      <c r="AD115" s="155"/>
      <c r="AE115" s="155"/>
      <c r="AF115" s="155"/>
      <c r="AG115" s="155"/>
      <c r="AH115" s="155"/>
      <c r="AI115" s="155"/>
      <c r="AJ115" s="155"/>
    </row>
    <row r="116" spans="1:36" ht="9" hidden="1" customHeight="1" x14ac:dyDescent="0.25">
      <c r="A116" s="133" t="s">
        <v>35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4" t="s">
        <v>34</v>
      </c>
      <c r="AC116" s="134"/>
      <c r="AD116" s="134"/>
      <c r="AE116" s="134"/>
      <c r="AF116" s="134"/>
      <c r="AG116" s="134"/>
      <c r="AH116" s="134"/>
      <c r="AI116" s="134"/>
      <c r="AJ116" s="134"/>
    </row>
    <row r="117" spans="1:36" ht="12" hidden="1" customHeight="1" x14ac:dyDescent="0.25"/>
  </sheetData>
  <mergeCells count="101">
    <mergeCell ref="A17:AJ17"/>
    <mergeCell ref="A4:AJ4"/>
    <mergeCell ref="A5:AJ5"/>
    <mergeCell ref="A6:AJ6"/>
    <mergeCell ref="A7:AJ8"/>
    <mergeCell ref="A9:AJ9"/>
    <mergeCell ref="A10:AJ10"/>
    <mergeCell ref="A11:AJ11"/>
    <mergeCell ref="A12:AJ12"/>
    <mergeCell ref="A13:AJ13"/>
    <mergeCell ref="A14:AJ14"/>
    <mergeCell ref="A16:AJ16"/>
    <mergeCell ref="A31:AJ31"/>
    <mergeCell ref="A18:AJ18"/>
    <mergeCell ref="A19:AJ19"/>
    <mergeCell ref="A20:AJ20"/>
    <mergeCell ref="A21:AJ21"/>
    <mergeCell ref="A23:AJ23"/>
    <mergeCell ref="A24:AJ24"/>
    <mergeCell ref="A25:AJ25"/>
    <mergeCell ref="A26:AJ26"/>
    <mergeCell ref="A27:AJ27"/>
    <mergeCell ref="A28:AJ28"/>
    <mergeCell ref="A30:AJ30"/>
    <mergeCell ref="A45:AJ45"/>
    <mergeCell ref="E33:G33"/>
    <mergeCell ref="AB33:AI33"/>
    <mergeCell ref="AB34:AI34"/>
    <mergeCell ref="A36:AJ36"/>
    <mergeCell ref="A37:AJ37"/>
    <mergeCell ref="A38:AJ38"/>
    <mergeCell ref="A39:AJ39"/>
    <mergeCell ref="A40:AJ40"/>
    <mergeCell ref="A42:AJ42"/>
    <mergeCell ref="A43:AJ43"/>
    <mergeCell ref="A44:AJ44"/>
    <mergeCell ref="A63:AJ63"/>
    <mergeCell ref="A46:AJ46"/>
    <mergeCell ref="A50:AJ50"/>
    <mergeCell ref="A51:AJ51"/>
    <mergeCell ref="A52:AJ52"/>
    <mergeCell ref="A53:AJ53"/>
    <mergeCell ref="A54:AJ54"/>
    <mergeCell ref="A55:AJ55"/>
    <mergeCell ref="A56:AJ56"/>
    <mergeCell ref="A57:AJ57"/>
    <mergeCell ref="A59:AJ59"/>
    <mergeCell ref="A60:AJ60"/>
    <mergeCell ref="A47:AJ47"/>
    <mergeCell ref="A48:AJ48"/>
    <mergeCell ref="A49:AJ49"/>
    <mergeCell ref="P77:W77"/>
    <mergeCell ref="A64:AJ64"/>
    <mergeCell ref="A66:AJ66"/>
    <mergeCell ref="A67:AJ67"/>
    <mergeCell ref="P68:AJ68"/>
    <mergeCell ref="P69:AJ69"/>
    <mergeCell ref="A70:AJ70"/>
    <mergeCell ref="G72:AJ72"/>
    <mergeCell ref="A73:B73"/>
    <mergeCell ref="G73:AJ73"/>
    <mergeCell ref="A74:AJ74"/>
    <mergeCell ref="A75:AJ75"/>
    <mergeCell ref="A95:AJ95"/>
    <mergeCell ref="P78:W78"/>
    <mergeCell ref="A81:AJ81"/>
    <mergeCell ref="A82:AJ82"/>
    <mergeCell ref="A83:AJ83"/>
    <mergeCell ref="A84:AJ84"/>
    <mergeCell ref="A86:AJ86"/>
    <mergeCell ref="A87:AJ87"/>
    <mergeCell ref="L88:AJ88"/>
    <mergeCell ref="H90:I90"/>
    <mergeCell ref="B93:P93"/>
    <mergeCell ref="B94:P94"/>
    <mergeCell ref="A103:O103"/>
    <mergeCell ref="AB103:AJ103"/>
    <mergeCell ref="A106:O106"/>
    <mergeCell ref="AB106:AJ106"/>
    <mergeCell ref="A107:O107"/>
    <mergeCell ref="AB107:AJ107"/>
    <mergeCell ref="A99:O99"/>
    <mergeCell ref="AB99:AJ99"/>
    <mergeCell ref="A100:O100"/>
    <mergeCell ref="AB100:AJ100"/>
    <mergeCell ref="A102:O102"/>
    <mergeCell ref="AB102:AJ102"/>
    <mergeCell ref="A109:O109"/>
    <mergeCell ref="AB109:AJ109"/>
    <mergeCell ref="A110:O110"/>
    <mergeCell ref="AB110:AJ110"/>
    <mergeCell ref="A115:O115"/>
    <mergeCell ref="AB115:AJ115"/>
    <mergeCell ref="A116:O116"/>
    <mergeCell ref="AB116:AJ116"/>
    <mergeCell ref="A111:AJ111"/>
    <mergeCell ref="A112:O112"/>
    <mergeCell ref="AB112:AJ112"/>
    <mergeCell ref="A113:O113"/>
    <mergeCell ref="AB113:AJ113"/>
    <mergeCell ref="A114:AJ114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AQ123"/>
  <sheetViews>
    <sheetView view="pageBreakPreview" topLeftCell="A58" zoomScale="125" zoomScaleNormal="125" zoomScaleSheetLayoutView="125" workbookViewId="0">
      <selection activeCell="A89" sqref="A89:AJ89"/>
    </sheetView>
  </sheetViews>
  <sheetFormatPr defaultColWidth="10.6640625" defaultRowHeight="15" x14ac:dyDescent="0.25"/>
  <cols>
    <col min="1" max="6" width="2.83203125" style="1" customWidth="1"/>
    <col min="7" max="7" width="6.16406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52.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14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'Данные объект'!B7</f>
        <v>46219</v>
      </c>
      <c r="AC33" s="139"/>
      <c r="AD33" s="139"/>
      <c r="AE33" s="139"/>
      <c r="AF33" s="139"/>
      <c r="AG33" s="139"/>
      <c r="AH33" s="139"/>
      <c r="AI33" s="139"/>
      <c r="AJ33" s="26" t="s">
        <v>6</v>
      </c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52" t="s">
        <v>184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41" t="str">
        <f>'Данные объект'!B9</f>
        <v>2БРП №171</v>
      </c>
      <c r="Q63" s="141"/>
      <c r="R63" s="141"/>
      <c r="S63" s="141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4" t="s">
        <v>57</v>
      </c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</row>
    <row r="70" spans="1:36" s="26" customFormat="1" ht="12" customHeight="1" x14ac:dyDescent="0.2">
      <c r="A70" s="143" t="s">
        <v>185</v>
      </c>
      <c r="B70" s="143"/>
      <c r="C70" s="143"/>
      <c r="D70" s="143"/>
      <c r="E70" s="143"/>
      <c r="F70" s="143"/>
      <c r="G70" s="34" t="s">
        <v>76</v>
      </c>
      <c r="H70" s="141">
        <v>18</v>
      </c>
      <c r="I70" s="141"/>
      <c r="J70" s="141"/>
      <c r="K70" s="141" t="s">
        <v>166</v>
      </c>
      <c r="L70" s="141"/>
      <c r="M70" s="34"/>
      <c r="N70" s="143" t="s">
        <v>303</v>
      </c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34"/>
      <c r="AB70" s="34"/>
      <c r="AC70" s="34"/>
      <c r="AD70" s="34"/>
      <c r="AE70" s="34"/>
      <c r="AF70" s="34"/>
      <c r="AG70" s="34"/>
      <c r="AH70" s="34"/>
      <c r="AI70" s="34"/>
      <c r="AJ70" s="34"/>
    </row>
    <row r="71" spans="1:36" s="26" customFormat="1" ht="12" customHeight="1" x14ac:dyDescent="0.2">
      <c r="A71" s="143" t="s">
        <v>95</v>
      </c>
      <c r="B71" s="143"/>
      <c r="C71" s="143"/>
      <c r="D71" s="143"/>
      <c r="E71" s="143"/>
      <c r="F71" s="143"/>
      <c r="G71" s="34" t="s">
        <v>76</v>
      </c>
      <c r="H71" s="141">
        <v>35</v>
      </c>
      <c r="I71" s="141"/>
      <c r="J71" s="141"/>
      <c r="K71" s="141" t="s">
        <v>166</v>
      </c>
      <c r="L71" s="141"/>
      <c r="M71" s="34"/>
      <c r="N71" s="143" t="s">
        <v>304</v>
      </c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34"/>
      <c r="AB71" s="34"/>
      <c r="AC71" s="34"/>
      <c r="AD71" s="34"/>
      <c r="AE71" s="34"/>
      <c r="AF71" s="34"/>
      <c r="AG71" s="34"/>
      <c r="AH71" s="34"/>
      <c r="AI71" s="34"/>
      <c r="AJ71" s="34"/>
    </row>
    <row r="72" spans="1:36" s="26" customFormat="1" ht="12" hidden="1" customHeight="1" x14ac:dyDescent="0.2">
      <c r="A72" s="143" t="s">
        <v>186</v>
      </c>
      <c r="B72" s="143"/>
      <c r="C72" s="143"/>
      <c r="D72" s="143"/>
      <c r="E72" s="143"/>
      <c r="F72" s="143"/>
      <c r="G72" s="34" t="s">
        <v>76</v>
      </c>
      <c r="H72" s="141">
        <v>40</v>
      </c>
      <c r="I72" s="141"/>
      <c r="J72" s="141"/>
      <c r="K72" s="141" t="s">
        <v>166</v>
      </c>
      <c r="L72" s="141"/>
      <c r="M72" s="34"/>
      <c r="N72" s="143" t="s">
        <v>205</v>
      </c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34"/>
      <c r="AB72" s="34"/>
      <c r="AC72" s="34"/>
      <c r="AD72" s="34"/>
      <c r="AE72" s="34"/>
      <c r="AF72" s="34"/>
      <c r="AG72" s="34"/>
      <c r="AH72" s="34"/>
      <c r="AI72" s="34"/>
      <c r="AJ72" s="34"/>
    </row>
    <row r="73" spans="1:36" ht="18.75" customHeight="1" x14ac:dyDescent="0.25">
      <c r="A73" s="137" t="s">
        <v>58</v>
      </c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s="26" customFormat="1" ht="12" customHeight="1" x14ac:dyDescent="0.2">
      <c r="A74" s="26" t="s">
        <v>11</v>
      </c>
    </row>
    <row r="75" spans="1:36" s="26" customFormat="1" ht="12" customHeight="1" x14ac:dyDescent="0.2">
      <c r="A75" s="26" t="s">
        <v>10</v>
      </c>
      <c r="G75" s="140" t="s">
        <v>305</v>
      </c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7.5" customHeight="1" x14ac:dyDescent="0.25">
      <c r="A76" s="142"/>
      <c r="B76" s="142"/>
      <c r="C76" s="8"/>
      <c r="D76" s="8"/>
      <c r="E76" s="8"/>
      <c r="F76" s="8"/>
      <c r="G76" s="138" t="s">
        <v>9</v>
      </c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s="26" customFormat="1" ht="12" customHeight="1" x14ac:dyDescent="0.2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</row>
    <row r="78" spans="1:36" ht="7.5" customHeight="1" x14ac:dyDescent="0.25">
      <c r="A78" s="137" t="s">
        <v>31</v>
      </c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</row>
    <row r="79" spans="1:36" ht="9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s="26" customFormat="1" ht="12" customHeight="1" x14ac:dyDescent="0.2">
      <c r="A80" s="26" t="s">
        <v>8</v>
      </c>
      <c r="D80" s="35"/>
      <c r="E80" s="35"/>
      <c r="F80" s="35"/>
      <c r="G80" s="35"/>
      <c r="L80" s="27"/>
      <c r="M80" s="38"/>
      <c r="N80" s="38"/>
      <c r="P80" s="139">
        <f>'Данные объект'!B6</f>
        <v>45949</v>
      </c>
      <c r="Q80" s="139"/>
      <c r="R80" s="139"/>
      <c r="S80" s="139"/>
      <c r="T80" s="139"/>
      <c r="U80" s="139"/>
      <c r="V80" s="139"/>
      <c r="W80" s="139"/>
    </row>
    <row r="81" spans="1:36" s="26" customFormat="1" ht="12" customHeight="1" x14ac:dyDescent="0.2">
      <c r="A81" s="26" t="s">
        <v>7</v>
      </c>
      <c r="D81" s="35"/>
      <c r="E81" s="35"/>
      <c r="F81" s="35"/>
      <c r="G81" s="35"/>
      <c r="L81" s="27"/>
      <c r="M81" s="38"/>
      <c r="N81" s="38"/>
      <c r="P81" s="158">
        <f>'Данные объект'!B7</f>
        <v>46219</v>
      </c>
      <c r="Q81" s="158"/>
      <c r="R81" s="158"/>
      <c r="S81" s="158"/>
      <c r="T81" s="158"/>
      <c r="U81" s="158"/>
      <c r="V81" s="158"/>
      <c r="W81" s="158"/>
    </row>
    <row r="82" spans="1:36" s="26" customFormat="1" ht="7.5" customHeight="1" x14ac:dyDescent="0.2">
      <c r="A82" s="39"/>
      <c r="B82" s="39"/>
      <c r="C82" s="39"/>
      <c r="D82" s="40"/>
      <c r="E82" s="40"/>
      <c r="F82" s="40"/>
      <c r="G82" s="40"/>
    </row>
    <row r="83" spans="1:36" s="26" customFormat="1" ht="12" customHeight="1" x14ac:dyDescent="0.2">
      <c r="A83" s="26" t="s">
        <v>5</v>
      </c>
    </row>
    <row r="84" spans="1:36" s="26" customFormat="1" ht="12" customHeight="1" x14ac:dyDescent="0.2">
      <c r="A84" s="140" t="s">
        <v>108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ht="8.25" customHeight="1" x14ac:dyDescent="0.25">
      <c r="A85" s="137" t="s">
        <v>4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ht="8.25" customHeight="1" x14ac:dyDescent="0.25">
      <c r="A87" s="137" t="s">
        <v>59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s="26" customFormat="1" ht="12" customHeight="1" x14ac:dyDescent="0.2">
      <c r="A88" s="26" t="s">
        <v>3</v>
      </c>
    </row>
    <row r="89" spans="1:36" s="26" customFormat="1" ht="12" customHeight="1" x14ac:dyDescent="0.2">
      <c r="A89" s="135" t="s">
        <v>318</v>
      </c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9" customHeight="1" x14ac:dyDescent="0.25">
      <c r="A90" s="137" t="s">
        <v>32</v>
      </c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</row>
    <row r="91" spans="1:36" s="26" customFormat="1" ht="12" customHeight="1" x14ac:dyDescent="0.2">
      <c r="A91" s="26" t="s">
        <v>2</v>
      </c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</row>
    <row r="92" spans="1:36" ht="6" customHeight="1" x14ac:dyDescent="0.25">
      <c r="D92" s="4"/>
      <c r="E92" s="4"/>
      <c r="F92" s="4"/>
      <c r="G92" s="4"/>
      <c r="H92" s="4"/>
      <c r="I92" s="4"/>
      <c r="J92" s="4"/>
    </row>
    <row r="93" spans="1:36" s="26" customFormat="1" ht="12" customHeight="1" x14ac:dyDescent="0.2">
      <c r="A93" s="26" t="s">
        <v>102</v>
      </c>
      <c r="H93" s="135"/>
      <c r="I93" s="135"/>
      <c r="J93" s="26" t="s">
        <v>33</v>
      </c>
    </row>
    <row r="94" spans="1:36" ht="4.5" customHeight="1" x14ac:dyDescent="0.25"/>
    <row r="95" spans="1:36" s="26" customFormat="1" ht="12" customHeight="1" x14ac:dyDescent="0.2">
      <c r="A95" s="26" t="s">
        <v>1</v>
      </c>
    </row>
    <row r="96" spans="1:36" s="26" customFormat="1" ht="12" customHeight="1" x14ac:dyDescent="0.2">
      <c r="A96" s="31" t="s">
        <v>87</v>
      </c>
      <c r="B96" s="140" t="str">
        <f>G75</f>
        <v>Исполнительная схема внешнего контура заземления</v>
      </c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31" t="s">
        <v>76</v>
      </c>
      <c r="R96" s="31" t="s">
        <v>88</v>
      </c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s="26" customFormat="1" ht="12" customHeight="1" x14ac:dyDescent="0.2">
      <c r="A97" s="37" t="s">
        <v>89</v>
      </c>
      <c r="B97" s="151" t="str">
        <f>N70</f>
        <v>Сертификат №4421644223</v>
      </c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37" t="s">
        <v>76</v>
      </c>
      <c r="R97" s="37" t="s">
        <v>88</v>
      </c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</row>
    <row r="98" spans="1:36" s="26" customFormat="1" ht="12" customHeight="1" x14ac:dyDescent="0.2">
      <c r="A98" s="37" t="s">
        <v>99</v>
      </c>
      <c r="B98" s="151" t="str">
        <f>N71</f>
        <v>Сертификат №93583</v>
      </c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37" t="s">
        <v>76</v>
      </c>
      <c r="R98" s="37" t="s">
        <v>88</v>
      </c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</row>
    <row r="99" spans="1:36" s="26" customFormat="1" ht="12" customHeight="1" x14ac:dyDescent="0.2">
      <c r="A99" s="37" t="s">
        <v>100</v>
      </c>
      <c r="B99" s="151" t="str">
        <f>N72</f>
        <v>Исх.письмо б/н</v>
      </c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37" t="s">
        <v>76</v>
      </c>
      <c r="R99" s="37" t="s">
        <v>88</v>
      </c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</row>
    <row r="100" spans="1:36" s="26" customFormat="1" ht="12" hidden="1" customHeight="1" x14ac:dyDescent="0.2">
      <c r="A100" s="38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</row>
    <row r="101" spans="1:36" ht="9.75" customHeight="1" x14ac:dyDescent="0.25">
      <c r="A101" s="137" t="s">
        <v>0</v>
      </c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</row>
    <row r="102" spans="1:36" ht="6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26" customFormat="1" ht="12" customHeight="1" x14ac:dyDescent="0.2">
      <c r="A103" s="26" t="s">
        <v>23</v>
      </c>
    </row>
    <row r="104" spans="1:36" s="26" customFormat="1" ht="12" customHeight="1" x14ac:dyDescent="0.2">
      <c r="A104" s="26" t="s">
        <v>24</v>
      </c>
    </row>
    <row r="105" spans="1:36" s="26" customFormat="1" ht="12" customHeight="1" x14ac:dyDescent="0.2">
      <c r="A105" s="135" t="str">
        <f>'Данные объект'!B33</f>
        <v>Алексанян Г.Р.</v>
      </c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135"/>
      <c r="AC105" s="135"/>
      <c r="AD105" s="135"/>
      <c r="AE105" s="135"/>
      <c r="AF105" s="135"/>
      <c r="AG105" s="135"/>
      <c r="AH105" s="135"/>
      <c r="AI105" s="135"/>
      <c r="AJ105" s="135"/>
    </row>
    <row r="106" spans="1:36" ht="9" customHeight="1" x14ac:dyDescent="0.25">
      <c r="A106" s="133" t="s">
        <v>35</v>
      </c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4" t="s">
        <v>34</v>
      </c>
      <c r="AC106" s="134"/>
      <c r="AD106" s="134"/>
      <c r="AE106" s="134"/>
      <c r="AF106" s="134"/>
      <c r="AG106" s="134"/>
      <c r="AH106" s="134"/>
      <c r="AI106" s="134"/>
      <c r="AJ106" s="134"/>
    </row>
    <row r="107" spans="1:36" s="26" customFormat="1" ht="12" customHeight="1" x14ac:dyDescent="0.2">
      <c r="A107" s="26" t="s">
        <v>25</v>
      </c>
    </row>
    <row r="108" spans="1:36" s="26" customFormat="1" ht="12" customHeight="1" x14ac:dyDescent="0.2">
      <c r="A108" s="135" t="str">
        <f>'Данные объект'!B20</f>
        <v>Волков М.Ю.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35"/>
      <c r="AC108" s="135"/>
      <c r="AD108" s="135"/>
      <c r="AE108" s="135"/>
      <c r="AF108" s="135"/>
      <c r="AG108" s="135"/>
      <c r="AH108" s="135"/>
      <c r="AI108" s="135"/>
      <c r="AJ108" s="135"/>
    </row>
    <row r="109" spans="1:36" ht="9" customHeight="1" x14ac:dyDescent="0.25">
      <c r="A109" s="133" t="s">
        <v>35</v>
      </c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 t="s">
        <v>34</v>
      </c>
      <c r="AC109" s="134"/>
      <c r="AD109" s="134"/>
      <c r="AE109" s="134"/>
      <c r="AF109" s="134"/>
      <c r="AG109" s="134"/>
      <c r="AH109" s="134"/>
      <c r="AI109" s="134"/>
      <c r="AJ109" s="134"/>
    </row>
    <row r="110" spans="1:36" s="26" customFormat="1" ht="12" customHeight="1" x14ac:dyDescent="0.2">
      <c r="A110" s="26" t="s">
        <v>27</v>
      </c>
    </row>
    <row r="111" spans="1:36" s="26" customFormat="1" ht="12" customHeight="1" x14ac:dyDescent="0.2">
      <c r="A111" s="26" t="s">
        <v>28</v>
      </c>
    </row>
    <row r="112" spans="1:36" s="26" customFormat="1" ht="12" customHeight="1" x14ac:dyDescent="0.2">
      <c r="A112" s="135" t="str">
        <f>'Данные объект'!B17</f>
        <v>Русин В.А.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135"/>
      <c r="AC112" s="135"/>
      <c r="AD112" s="135"/>
      <c r="AE112" s="135"/>
      <c r="AF112" s="135"/>
      <c r="AG112" s="135"/>
      <c r="AH112" s="135"/>
      <c r="AI112" s="135"/>
      <c r="AJ112" s="135"/>
    </row>
    <row r="113" spans="1:36" ht="9" customHeight="1" x14ac:dyDescent="0.25">
      <c r="A113" s="133" t="s">
        <v>35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4" t="s">
        <v>34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s="101" customFormat="1" ht="11.25" x14ac:dyDescent="0.2">
      <c r="A114" s="26" t="s">
        <v>211</v>
      </c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97"/>
      <c r="AC114" s="97"/>
      <c r="AD114" s="97"/>
      <c r="AE114" s="97"/>
      <c r="AF114" s="97"/>
      <c r="AG114" s="97"/>
      <c r="AH114" s="97"/>
      <c r="AI114" s="97"/>
      <c r="AJ114" s="97"/>
    </row>
    <row r="115" spans="1:36" s="101" customFormat="1" ht="11.25" x14ac:dyDescent="0.2">
      <c r="A115" s="135" t="str">
        <f>'[4]Данные объект'!$B$36</f>
        <v>Курчин М.М.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5"/>
      <c r="AC115" s="135"/>
      <c r="AD115" s="135"/>
      <c r="AE115" s="135"/>
      <c r="AF115" s="135"/>
      <c r="AG115" s="135"/>
      <c r="AH115" s="135"/>
      <c r="AI115" s="135"/>
      <c r="AJ115" s="135"/>
    </row>
    <row r="116" spans="1:36" s="101" customFormat="1" ht="9" customHeight="1" x14ac:dyDescent="0.15">
      <c r="A116" s="133" t="s">
        <v>35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4" t="s">
        <v>34</v>
      </c>
      <c r="AC116" s="134"/>
      <c r="AD116" s="134"/>
      <c r="AE116" s="134"/>
      <c r="AF116" s="134"/>
      <c r="AG116" s="134"/>
      <c r="AH116" s="134"/>
      <c r="AI116" s="134"/>
      <c r="AJ116" s="134"/>
    </row>
    <row r="117" spans="1:36" s="26" customFormat="1" ht="36" customHeight="1" x14ac:dyDescent="0.2">
      <c r="A117" s="136" t="s">
        <v>53</v>
      </c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</row>
    <row r="118" spans="1:36" s="26" customFormat="1" ht="12" customHeight="1" x14ac:dyDescent="0.2">
      <c r="A118" s="135" t="s">
        <v>76</v>
      </c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135" t="s">
        <v>76</v>
      </c>
      <c r="AC118" s="135"/>
      <c r="AD118" s="135"/>
      <c r="AE118" s="135"/>
      <c r="AF118" s="135"/>
      <c r="AG118" s="135"/>
      <c r="AH118" s="135"/>
      <c r="AI118" s="135"/>
      <c r="AJ118" s="135"/>
    </row>
    <row r="119" spans="1:36" ht="9" customHeight="1" x14ac:dyDescent="0.25">
      <c r="A119" s="133" t="s">
        <v>35</v>
      </c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4" t="s">
        <v>34</v>
      </c>
      <c r="AC119" s="134"/>
      <c r="AD119" s="134"/>
      <c r="AE119" s="134"/>
      <c r="AF119" s="134"/>
      <c r="AG119" s="134"/>
      <c r="AH119" s="134"/>
      <c r="AI119" s="134"/>
      <c r="AJ119" s="134"/>
    </row>
    <row r="120" spans="1:36" s="26" customFormat="1" ht="40.5" hidden="1" customHeight="1" x14ac:dyDescent="0.2">
      <c r="A120" s="136" t="s">
        <v>55</v>
      </c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</row>
    <row r="121" spans="1:36" ht="12" hidden="1" customHeight="1" x14ac:dyDescent="0.25">
      <c r="A121" s="154" t="e">
        <f>#REF!</f>
        <v>#REF!</v>
      </c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5"/>
      <c r="AC121" s="155"/>
      <c r="AD121" s="155"/>
      <c r="AE121" s="155"/>
      <c r="AF121" s="155"/>
      <c r="AG121" s="155"/>
      <c r="AH121" s="155"/>
      <c r="AI121" s="155"/>
      <c r="AJ121" s="155"/>
    </row>
    <row r="122" spans="1:36" ht="9" hidden="1" customHeight="1" x14ac:dyDescent="0.25">
      <c r="A122" s="133" t="s">
        <v>35</v>
      </c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7"/>
      <c r="Q122" s="17"/>
      <c r="R122" s="17"/>
      <c r="S122" s="17"/>
      <c r="T122" s="17"/>
      <c r="U122" s="16"/>
      <c r="V122" s="16"/>
      <c r="W122" s="16"/>
      <c r="X122" s="16"/>
      <c r="Y122" s="16"/>
      <c r="Z122" s="16"/>
      <c r="AA122" s="16"/>
      <c r="AB122" s="134" t="s">
        <v>34</v>
      </c>
      <c r="AC122" s="134"/>
      <c r="AD122" s="134"/>
      <c r="AE122" s="134"/>
      <c r="AF122" s="134"/>
      <c r="AG122" s="134"/>
      <c r="AH122" s="134"/>
      <c r="AI122" s="134"/>
      <c r="AJ122" s="134"/>
    </row>
    <row r="123" spans="1:36" ht="12" hidden="1" customHeight="1" x14ac:dyDescent="0.25"/>
  </sheetData>
  <mergeCells count="116">
    <mergeCell ref="A117:AJ117"/>
    <mergeCell ref="A118:O118"/>
    <mergeCell ref="AB118:AJ118"/>
    <mergeCell ref="A119:O119"/>
    <mergeCell ref="AB119:AJ119"/>
    <mergeCell ref="A120:AJ120"/>
    <mergeCell ref="A121:O121"/>
    <mergeCell ref="AB121:AJ121"/>
    <mergeCell ref="A122:O122"/>
    <mergeCell ref="AB122:AJ122"/>
    <mergeCell ref="A106:O106"/>
    <mergeCell ref="AB106:AJ106"/>
    <mergeCell ref="A108:O108"/>
    <mergeCell ref="AB108:AJ108"/>
    <mergeCell ref="A109:O109"/>
    <mergeCell ref="AB109:AJ109"/>
    <mergeCell ref="A112:O112"/>
    <mergeCell ref="AB112:AJ112"/>
    <mergeCell ref="AB113:AJ113"/>
    <mergeCell ref="A113:O113"/>
    <mergeCell ref="A87:AJ87"/>
    <mergeCell ref="A89:AJ89"/>
    <mergeCell ref="A90:AJ90"/>
    <mergeCell ref="L91:AJ91"/>
    <mergeCell ref="H93:I93"/>
    <mergeCell ref="B96:P96"/>
    <mergeCell ref="B97:P97"/>
    <mergeCell ref="A101:AJ101"/>
    <mergeCell ref="A105:O105"/>
    <mergeCell ref="AB105:AJ105"/>
    <mergeCell ref="B98:P98"/>
    <mergeCell ref="B99:P99"/>
    <mergeCell ref="A84:AJ84"/>
    <mergeCell ref="A85:AJ85"/>
    <mergeCell ref="A86:AJ86"/>
    <mergeCell ref="A70:F70"/>
    <mergeCell ref="H70:J70"/>
    <mergeCell ref="K70:L70"/>
    <mergeCell ref="N70:Z70"/>
    <mergeCell ref="A71:F71"/>
    <mergeCell ref="H71:J71"/>
    <mergeCell ref="K71:L71"/>
    <mergeCell ref="P80:W80"/>
    <mergeCell ref="P81:W81"/>
    <mergeCell ref="A76:B76"/>
    <mergeCell ref="G76:AJ76"/>
    <mergeCell ref="A77:AJ77"/>
    <mergeCell ref="A78:AJ78"/>
    <mergeCell ref="N71:Z71"/>
    <mergeCell ref="A72:F72"/>
    <mergeCell ref="H72:J72"/>
    <mergeCell ref="K72:L72"/>
    <mergeCell ref="N72:Z72"/>
    <mergeCell ref="P69:AJ69"/>
    <mergeCell ref="A73:AJ73"/>
    <mergeCell ref="A63:O63"/>
    <mergeCell ref="A64:AJ64"/>
    <mergeCell ref="A66:AJ66"/>
    <mergeCell ref="A67:AJ67"/>
    <mergeCell ref="P68:AJ68"/>
    <mergeCell ref="P63:S63"/>
    <mergeCell ref="G75:AJ75"/>
    <mergeCell ref="A51:AJ51"/>
    <mergeCell ref="A52:AJ52"/>
    <mergeCell ref="A53:AJ53"/>
    <mergeCell ref="A54:AJ54"/>
    <mergeCell ref="A55:AJ55"/>
    <mergeCell ref="A56:AJ56"/>
    <mergeCell ref="A57:AJ57"/>
    <mergeCell ref="A59:AJ59"/>
    <mergeCell ref="A60:AJ60"/>
    <mergeCell ref="A38:AJ38"/>
    <mergeCell ref="A39:AJ39"/>
    <mergeCell ref="A40:AJ40"/>
    <mergeCell ref="A42:AJ42"/>
    <mergeCell ref="A43:AJ43"/>
    <mergeCell ref="A44:AJ44"/>
    <mergeCell ref="A45:AJ45"/>
    <mergeCell ref="A46:AJ46"/>
    <mergeCell ref="A50:AJ50"/>
    <mergeCell ref="A47:AJ47"/>
    <mergeCell ref="A48:AJ48"/>
    <mergeCell ref="A49:AJ49"/>
    <mergeCell ref="A36:AJ36"/>
    <mergeCell ref="A37:AJ37"/>
    <mergeCell ref="AB33:AI33"/>
    <mergeCell ref="AB34:AI34"/>
    <mergeCell ref="A25:AJ25"/>
    <mergeCell ref="A26:AJ26"/>
    <mergeCell ref="A27:AJ27"/>
    <mergeCell ref="A28:AJ28"/>
    <mergeCell ref="A30:AJ30"/>
    <mergeCell ref="A115:O115"/>
    <mergeCell ref="AB115:AJ115"/>
    <mergeCell ref="A116:O116"/>
    <mergeCell ref="AB116:AJ116"/>
    <mergeCell ref="A4:AJ4"/>
    <mergeCell ref="A5:AJ5"/>
    <mergeCell ref="A6:AJ6"/>
    <mergeCell ref="A7:AJ8"/>
    <mergeCell ref="A9:AJ9"/>
    <mergeCell ref="A10:AJ10"/>
    <mergeCell ref="A11:AJ11"/>
    <mergeCell ref="A12:AJ12"/>
    <mergeCell ref="A13:AJ13"/>
    <mergeCell ref="A14:AJ14"/>
    <mergeCell ref="A16:AJ16"/>
    <mergeCell ref="A17:AJ17"/>
    <mergeCell ref="A31:AJ31"/>
    <mergeCell ref="A18:AJ18"/>
    <mergeCell ref="A19:AJ19"/>
    <mergeCell ref="A20:AJ20"/>
    <mergeCell ref="A21:AJ21"/>
    <mergeCell ref="A23:AJ23"/>
    <mergeCell ref="A24:AJ24"/>
    <mergeCell ref="E33:G33"/>
  </mergeCells>
  <phoneticPr fontId="21" type="noConversion"/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DAB1-8988-42F4-B6F1-85734A7F6810}">
  <sheetPr>
    <tabColor indexed="57"/>
    <pageSetUpPr fitToPage="1"/>
  </sheetPr>
  <dimension ref="A1:AQ123"/>
  <sheetViews>
    <sheetView view="pageBreakPreview" topLeftCell="A61" zoomScale="125" zoomScaleNormal="125" zoomScaleSheetLayoutView="125" workbookViewId="0">
      <selection activeCell="A89" sqref="A89:AJ89"/>
    </sheetView>
  </sheetViews>
  <sheetFormatPr defaultColWidth="10.6640625" defaultRowHeight="15" x14ac:dyDescent="0.25"/>
  <cols>
    <col min="1" max="6" width="2.83203125" style="1" customWidth="1"/>
    <col min="7" max="7" width="5.832031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24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119"/>
      <c r="B32" s="119"/>
      <c r="C32" s="119"/>
      <c r="D32" s="119"/>
      <c r="E32" s="119"/>
      <c r="F32" s="119"/>
      <c r="G32" s="119"/>
      <c r="H32" s="119"/>
      <c r="I32" s="119"/>
      <c r="J32" s="119"/>
    </row>
    <row r="33" spans="1:36" s="26" customFormat="1" ht="12.95" customHeight="1" x14ac:dyDescent="0.2">
      <c r="A33" s="30"/>
      <c r="B33" s="30" t="s">
        <v>18</v>
      </c>
      <c r="C33" s="31">
        <v>15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P81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">
        <v>187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6" t="str">
        <f>'Данные объект'!B9</f>
        <v>2БРП №171</v>
      </c>
      <c r="N63" s="146"/>
      <c r="O63" s="146"/>
      <c r="P63" s="146"/>
      <c r="Q63" s="34" t="s">
        <v>163</v>
      </c>
      <c r="R63" s="141">
        <v>12.3</v>
      </c>
      <c r="S63" s="141"/>
      <c r="T63" s="141"/>
      <c r="U63" s="141" t="s">
        <v>85</v>
      </c>
      <c r="V63" s="141"/>
      <c r="W63" s="141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4" t="s">
        <v>57</v>
      </c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</row>
    <row r="70" spans="1:36" s="26" customFormat="1" ht="12" customHeight="1" x14ac:dyDescent="0.2">
      <c r="A70" s="152"/>
      <c r="B70" s="152"/>
      <c r="C70" s="152"/>
      <c r="D70" s="152"/>
      <c r="E70" s="152"/>
      <c r="F70" s="152"/>
      <c r="G70" s="34"/>
      <c r="H70" s="141"/>
      <c r="I70" s="141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34"/>
      <c r="AG70" s="34"/>
      <c r="AH70" s="34"/>
      <c r="AI70" s="34"/>
      <c r="AJ70" s="34"/>
    </row>
    <row r="71" spans="1:36" ht="12" hidden="1" customHeight="1" x14ac:dyDescent="0.25">
      <c r="A71" s="161" t="s">
        <v>95</v>
      </c>
      <c r="B71" s="161"/>
      <c r="C71" s="161"/>
      <c r="D71" s="161"/>
      <c r="E71" s="161"/>
      <c r="F71" s="161"/>
      <c r="G71" s="21" t="s">
        <v>76</v>
      </c>
      <c r="H71" s="162" t="s">
        <v>94</v>
      </c>
      <c r="I71" s="162"/>
      <c r="J71" s="161" t="s">
        <v>86</v>
      </c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21"/>
      <c r="AG71" s="21"/>
      <c r="AH71" s="21"/>
      <c r="AI71" s="21"/>
      <c r="AJ71" s="21"/>
    </row>
    <row r="72" spans="1:36" ht="12" hidden="1" customHeight="1" x14ac:dyDescent="0.25">
      <c r="A72" s="161" t="s">
        <v>96</v>
      </c>
      <c r="B72" s="161"/>
      <c r="C72" s="161"/>
      <c r="D72" s="161"/>
      <c r="E72" s="161"/>
      <c r="F72" s="161"/>
      <c r="G72" s="21" t="s">
        <v>76</v>
      </c>
      <c r="H72" s="162" t="s">
        <v>94</v>
      </c>
      <c r="I72" s="162"/>
      <c r="J72" s="161" t="s">
        <v>86</v>
      </c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21"/>
      <c r="AG72" s="21"/>
      <c r="AH72" s="21"/>
      <c r="AI72" s="21"/>
      <c r="AJ72" s="21"/>
    </row>
    <row r="73" spans="1:36" ht="18.75" customHeight="1" x14ac:dyDescent="0.25">
      <c r="A73" s="137" t="s">
        <v>58</v>
      </c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s="26" customFormat="1" ht="12" customHeight="1" x14ac:dyDescent="0.2">
      <c r="A74" s="26" t="s">
        <v>11</v>
      </c>
    </row>
    <row r="75" spans="1:36" s="26" customFormat="1" ht="12" customHeight="1" x14ac:dyDescent="0.2">
      <c r="A75" s="26" t="s">
        <v>10</v>
      </c>
      <c r="G75" s="140" t="s">
        <v>306</v>
      </c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7.5" customHeight="1" x14ac:dyDescent="0.25">
      <c r="A76" s="142"/>
      <c r="B76" s="142"/>
      <c r="C76" s="8"/>
      <c r="D76" s="8"/>
      <c r="E76" s="8"/>
      <c r="F76" s="8"/>
      <c r="G76" s="138" t="s">
        <v>9</v>
      </c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s="26" customFormat="1" ht="12" customHeight="1" x14ac:dyDescent="0.2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</row>
    <row r="78" spans="1:36" ht="7.5" customHeight="1" x14ac:dyDescent="0.25">
      <c r="A78" s="137" t="s">
        <v>31</v>
      </c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</row>
    <row r="79" spans="1:36" ht="9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s="26" customFormat="1" ht="12" customHeight="1" x14ac:dyDescent="0.2">
      <c r="A80" s="26" t="s">
        <v>8</v>
      </c>
      <c r="D80" s="35"/>
      <c r="E80" s="35"/>
      <c r="F80" s="35"/>
      <c r="G80" s="35"/>
      <c r="L80" s="27"/>
      <c r="M80" s="38"/>
      <c r="N80" s="38"/>
      <c r="P80" s="139">
        <f>'Данные объект'!B6</f>
        <v>45949</v>
      </c>
      <c r="Q80" s="139"/>
      <c r="R80" s="139"/>
      <c r="S80" s="139"/>
      <c r="T80" s="139"/>
      <c r="U80" s="139"/>
      <c r="V80" s="139"/>
      <c r="W80" s="139"/>
    </row>
    <row r="81" spans="1:36" s="26" customFormat="1" ht="12" customHeight="1" x14ac:dyDescent="0.2">
      <c r="A81" s="26" t="s">
        <v>7</v>
      </c>
      <c r="D81" s="35"/>
      <c r="E81" s="35"/>
      <c r="F81" s="35"/>
      <c r="G81" s="35"/>
      <c r="L81" s="27"/>
      <c r="M81" s="38"/>
      <c r="N81" s="38"/>
      <c r="P81" s="158">
        <f>'Данные объект'!B7</f>
        <v>46219</v>
      </c>
      <c r="Q81" s="158"/>
      <c r="R81" s="158"/>
      <c r="S81" s="158"/>
      <c r="T81" s="158"/>
      <c r="U81" s="158"/>
      <c r="V81" s="158"/>
      <c r="W81" s="158"/>
    </row>
    <row r="82" spans="1:36" ht="7.5" customHeight="1" x14ac:dyDescent="0.25">
      <c r="A82" s="6"/>
      <c r="B82" s="6"/>
      <c r="C82" s="6"/>
      <c r="D82" s="5"/>
      <c r="E82" s="5"/>
      <c r="F82" s="5"/>
      <c r="G82" s="5"/>
    </row>
    <row r="83" spans="1:36" s="26" customFormat="1" ht="12" customHeight="1" x14ac:dyDescent="0.2">
      <c r="A83" s="26" t="s">
        <v>5</v>
      </c>
    </row>
    <row r="84" spans="1:36" s="26" customFormat="1" ht="12" customHeight="1" x14ac:dyDescent="0.2">
      <c r="A84" s="140" t="s">
        <v>108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ht="8.25" customHeight="1" x14ac:dyDescent="0.25">
      <c r="A85" s="137" t="s">
        <v>4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ht="8.25" customHeight="1" x14ac:dyDescent="0.25">
      <c r="A87" s="137" t="s">
        <v>59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s="26" customFormat="1" ht="12" customHeight="1" x14ac:dyDescent="0.2">
      <c r="A88" s="26" t="s">
        <v>3</v>
      </c>
    </row>
    <row r="89" spans="1:36" s="26" customFormat="1" ht="12" customHeight="1" x14ac:dyDescent="0.2">
      <c r="A89" s="135" t="s">
        <v>307</v>
      </c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9" customHeight="1" x14ac:dyDescent="0.25">
      <c r="A90" s="137" t="s">
        <v>32</v>
      </c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</row>
    <row r="91" spans="1:36" s="26" customFormat="1" ht="12" customHeight="1" x14ac:dyDescent="0.2">
      <c r="A91" s="26" t="s">
        <v>2</v>
      </c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</row>
    <row r="92" spans="1:36" ht="6" customHeight="1" x14ac:dyDescent="0.25">
      <c r="D92" s="4"/>
      <c r="E92" s="4"/>
      <c r="F92" s="4"/>
      <c r="G92" s="4"/>
      <c r="H92" s="4"/>
      <c r="I92" s="4"/>
      <c r="J92" s="4"/>
    </row>
    <row r="93" spans="1:36" s="26" customFormat="1" ht="12" customHeight="1" x14ac:dyDescent="0.2">
      <c r="A93" s="26" t="s">
        <v>102</v>
      </c>
      <c r="H93" s="135"/>
      <c r="I93" s="135"/>
      <c r="J93" s="26" t="s">
        <v>33</v>
      </c>
    </row>
    <row r="94" spans="1:36" ht="4.5" customHeight="1" x14ac:dyDescent="0.25"/>
    <row r="95" spans="1:36" s="26" customFormat="1" ht="12" customHeight="1" x14ac:dyDescent="0.2">
      <c r="A95" s="26" t="s">
        <v>1</v>
      </c>
    </row>
    <row r="96" spans="1:36" s="26" customFormat="1" ht="12" customHeight="1" x14ac:dyDescent="0.2">
      <c r="A96" s="31" t="s">
        <v>87</v>
      </c>
      <c r="B96" s="140" t="str">
        <f>G75</f>
        <v>Исполнительная схема заземления 2БРП №171</v>
      </c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31" t="s">
        <v>76</v>
      </c>
      <c r="R96" s="31" t="s">
        <v>88</v>
      </c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ht="12" hidden="1" customHeight="1" x14ac:dyDescent="0.25">
      <c r="A97" s="23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3"/>
      <c r="R97" s="23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</row>
    <row r="98" spans="1:36" ht="12" hidden="1" customHeight="1" x14ac:dyDescent="0.25">
      <c r="A98" s="25" t="s">
        <v>89</v>
      </c>
      <c r="B98" s="163">
        <f>J70</f>
        <v>0</v>
      </c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25" t="s">
        <v>76</v>
      </c>
      <c r="R98" s="25" t="s">
        <v>88</v>
      </c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</row>
    <row r="99" spans="1:36" ht="12" hidden="1" customHeight="1" x14ac:dyDescent="0.25">
      <c r="A99" s="25" t="s">
        <v>99</v>
      </c>
      <c r="B99" s="163" t="str">
        <f>J71</f>
        <v>(сертификат №                от )</v>
      </c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25" t="s">
        <v>76</v>
      </c>
      <c r="R99" s="25" t="s">
        <v>97</v>
      </c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</row>
    <row r="100" spans="1:36" ht="12" hidden="1" customHeight="1" x14ac:dyDescent="0.25">
      <c r="A100" s="25" t="s">
        <v>100</v>
      </c>
      <c r="B100" s="163" t="str">
        <f>J72</f>
        <v>(сертификат №                от )</v>
      </c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25" t="s">
        <v>76</v>
      </c>
      <c r="R100" s="25" t="s">
        <v>98</v>
      </c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</row>
    <row r="101" spans="1:36" ht="9.75" customHeight="1" x14ac:dyDescent="0.25">
      <c r="A101" s="137" t="s">
        <v>0</v>
      </c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</row>
    <row r="102" spans="1:36" ht="6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26" customFormat="1" ht="12" customHeight="1" x14ac:dyDescent="0.2">
      <c r="A103" s="26" t="s">
        <v>23</v>
      </c>
    </row>
    <row r="104" spans="1:36" s="26" customFormat="1" ht="12" customHeight="1" x14ac:dyDescent="0.2">
      <c r="A104" s="26" t="s">
        <v>24</v>
      </c>
    </row>
    <row r="105" spans="1:36" s="26" customFormat="1" ht="12" customHeight="1" x14ac:dyDescent="0.2">
      <c r="A105" s="135" t="str">
        <f>'Данные объект'!B33</f>
        <v>Алексанян Г.Р.</v>
      </c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135"/>
      <c r="AC105" s="135"/>
      <c r="AD105" s="135"/>
      <c r="AE105" s="135"/>
      <c r="AF105" s="135"/>
      <c r="AG105" s="135"/>
      <c r="AH105" s="135"/>
      <c r="AI105" s="135"/>
      <c r="AJ105" s="135"/>
    </row>
    <row r="106" spans="1:36" ht="9" customHeight="1" x14ac:dyDescent="0.25">
      <c r="A106" s="133" t="s">
        <v>35</v>
      </c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4" t="s">
        <v>34</v>
      </c>
      <c r="AC106" s="134"/>
      <c r="AD106" s="134"/>
      <c r="AE106" s="134"/>
      <c r="AF106" s="134"/>
      <c r="AG106" s="134"/>
      <c r="AH106" s="134"/>
      <c r="AI106" s="134"/>
      <c r="AJ106" s="134"/>
    </row>
    <row r="107" spans="1:36" s="26" customFormat="1" ht="12" customHeight="1" x14ac:dyDescent="0.2">
      <c r="A107" s="26" t="s">
        <v>25</v>
      </c>
    </row>
    <row r="108" spans="1:36" s="26" customFormat="1" ht="12" customHeight="1" x14ac:dyDescent="0.2">
      <c r="A108" s="135" t="str">
        <f>'Данные объект'!B20</f>
        <v>Волков М.Ю.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35"/>
      <c r="AC108" s="135"/>
      <c r="AD108" s="135"/>
      <c r="AE108" s="135"/>
      <c r="AF108" s="135"/>
      <c r="AG108" s="135"/>
      <c r="AH108" s="135"/>
      <c r="AI108" s="135"/>
      <c r="AJ108" s="135"/>
    </row>
    <row r="109" spans="1:36" ht="9" customHeight="1" x14ac:dyDescent="0.25">
      <c r="A109" s="133" t="s">
        <v>35</v>
      </c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 t="s">
        <v>34</v>
      </c>
      <c r="AC109" s="134"/>
      <c r="AD109" s="134"/>
      <c r="AE109" s="134"/>
      <c r="AF109" s="134"/>
      <c r="AG109" s="134"/>
      <c r="AH109" s="134"/>
      <c r="AI109" s="134"/>
      <c r="AJ109" s="134"/>
    </row>
    <row r="110" spans="1:36" s="26" customFormat="1" ht="12" customHeight="1" x14ac:dyDescent="0.2">
      <c r="A110" s="26" t="s">
        <v>27</v>
      </c>
    </row>
    <row r="111" spans="1:36" s="26" customFormat="1" ht="12" customHeight="1" x14ac:dyDescent="0.2">
      <c r="A111" s="26" t="s">
        <v>28</v>
      </c>
    </row>
    <row r="112" spans="1:36" s="26" customFormat="1" ht="12" customHeight="1" x14ac:dyDescent="0.2">
      <c r="A112" s="135" t="str">
        <f>'Данные объект'!B17</f>
        <v>Русин В.А.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135"/>
      <c r="AC112" s="135"/>
      <c r="AD112" s="135"/>
      <c r="AE112" s="135"/>
      <c r="AF112" s="135"/>
      <c r="AG112" s="135"/>
      <c r="AH112" s="135"/>
      <c r="AI112" s="135"/>
      <c r="AJ112" s="135"/>
    </row>
    <row r="113" spans="1:36" ht="9" customHeight="1" x14ac:dyDescent="0.25">
      <c r="A113" s="133" t="s">
        <v>35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4" t="s">
        <v>34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s="101" customFormat="1" ht="11.25" x14ac:dyDescent="0.2">
      <c r="A114" s="26" t="s">
        <v>211</v>
      </c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117"/>
      <c r="AC114" s="117"/>
      <c r="AD114" s="117"/>
      <c r="AE114" s="117"/>
      <c r="AF114" s="117"/>
      <c r="AG114" s="117"/>
      <c r="AH114" s="117"/>
      <c r="AI114" s="117"/>
      <c r="AJ114" s="117"/>
    </row>
    <row r="115" spans="1:36" s="101" customFormat="1" ht="11.25" x14ac:dyDescent="0.2">
      <c r="A115" s="135" t="str">
        <f>'[4]Данные объект'!$B$36</f>
        <v>Курчин М.М.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5"/>
      <c r="AC115" s="135"/>
      <c r="AD115" s="135"/>
      <c r="AE115" s="135"/>
      <c r="AF115" s="135"/>
      <c r="AG115" s="135"/>
      <c r="AH115" s="135"/>
      <c r="AI115" s="135"/>
      <c r="AJ115" s="135"/>
    </row>
    <row r="116" spans="1:36" s="101" customFormat="1" ht="9" customHeight="1" x14ac:dyDescent="0.15">
      <c r="A116" s="133" t="s">
        <v>35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4" t="s">
        <v>34</v>
      </c>
      <c r="AC116" s="134"/>
      <c r="AD116" s="134"/>
      <c r="AE116" s="134"/>
      <c r="AF116" s="134"/>
      <c r="AG116" s="134"/>
      <c r="AH116" s="134"/>
      <c r="AI116" s="134"/>
      <c r="AJ116" s="134"/>
    </row>
    <row r="117" spans="1:36" s="26" customFormat="1" ht="35.25" customHeight="1" x14ac:dyDescent="0.2">
      <c r="A117" s="136" t="s">
        <v>53</v>
      </c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</row>
    <row r="118" spans="1:36" ht="12" customHeight="1" x14ac:dyDescent="0.25">
      <c r="A118" s="155" t="s">
        <v>76</v>
      </c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5" t="s">
        <v>76</v>
      </c>
      <c r="AC118" s="155"/>
      <c r="AD118" s="155"/>
      <c r="AE118" s="155"/>
      <c r="AF118" s="155"/>
      <c r="AG118" s="155"/>
      <c r="AH118" s="155"/>
      <c r="AI118" s="155"/>
      <c r="AJ118" s="155"/>
    </row>
    <row r="119" spans="1:36" ht="9" customHeight="1" x14ac:dyDescent="0.25">
      <c r="A119" s="133" t="s">
        <v>35</v>
      </c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4" t="s">
        <v>34</v>
      </c>
      <c r="AC119" s="134"/>
      <c r="AD119" s="134"/>
      <c r="AE119" s="134"/>
      <c r="AF119" s="134"/>
      <c r="AG119" s="134"/>
      <c r="AH119" s="134"/>
      <c r="AI119" s="134"/>
      <c r="AJ119" s="134"/>
    </row>
    <row r="120" spans="1:36" s="26" customFormat="1" ht="40.5" hidden="1" customHeight="1" x14ac:dyDescent="0.2">
      <c r="A120" s="136" t="s">
        <v>55</v>
      </c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</row>
    <row r="121" spans="1:36" s="26" customFormat="1" ht="12" hidden="1" customHeight="1" x14ac:dyDescent="0.2">
      <c r="A121" s="135" t="e">
        <f>#REF!</f>
        <v>#REF!</v>
      </c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135"/>
      <c r="AC121" s="135"/>
      <c r="AD121" s="135"/>
      <c r="AE121" s="135"/>
      <c r="AF121" s="135"/>
      <c r="AG121" s="135"/>
      <c r="AH121" s="135"/>
      <c r="AI121" s="135"/>
      <c r="AJ121" s="135"/>
    </row>
    <row r="122" spans="1:36" ht="9" hidden="1" customHeight="1" x14ac:dyDescent="0.25">
      <c r="A122" s="133" t="s">
        <v>35</v>
      </c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7"/>
      <c r="Q122" s="17"/>
      <c r="R122" s="17"/>
      <c r="S122" s="17"/>
      <c r="T122" s="17"/>
      <c r="U122" s="16"/>
      <c r="V122" s="16"/>
      <c r="W122" s="16"/>
      <c r="X122" s="16"/>
      <c r="Y122" s="16"/>
      <c r="Z122" s="16"/>
      <c r="AA122" s="16"/>
      <c r="AB122" s="134" t="s">
        <v>34</v>
      </c>
      <c r="AC122" s="134"/>
      <c r="AD122" s="134"/>
      <c r="AE122" s="134"/>
      <c r="AF122" s="134"/>
      <c r="AG122" s="134"/>
      <c r="AH122" s="134"/>
      <c r="AI122" s="134"/>
      <c r="AJ122" s="134"/>
    </row>
    <row r="123" spans="1:36" ht="12" customHeight="1" x14ac:dyDescent="0.25"/>
  </sheetData>
  <mergeCells count="115">
    <mergeCell ref="A121:O121"/>
    <mergeCell ref="AB121:AJ121"/>
    <mergeCell ref="A122:O122"/>
    <mergeCell ref="AB122:AJ122"/>
    <mergeCell ref="A117:AJ117"/>
    <mergeCell ref="A118:O118"/>
    <mergeCell ref="AB118:AJ118"/>
    <mergeCell ref="A119:O119"/>
    <mergeCell ref="AB119:AJ119"/>
    <mergeCell ref="A120:AJ120"/>
    <mergeCell ref="A113:O113"/>
    <mergeCell ref="AB113:AJ113"/>
    <mergeCell ref="A115:O115"/>
    <mergeCell ref="AB115:AJ115"/>
    <mergeCell ref="A116:O116"/>
    <mergeCell ref="AB116:AJ116"/>
    <mergeCell ref="A108:O108"/>
    <mergeCell ref="AB108:AJ108"/>
    <mergeCell ref="A109:O109"/>
    <mergeCell ref="AB109:AJ109"/>
    <mergeCell ref="A112:O112"/>
    <mergeCell ref="AB112:AJ112"/>
    <mergeCell ref="B99:P99"/>
    <mergeCell ref="B100:P100"/>
    <mergeCell ref="A101:AJ101"/>
    <mergeCell ref="A105:O105"/>
    <mergeCell ref="AB105:AJ105"/>
    <mergeCell ref="A106:O106"/>
    <mergeCell ref="AB106:AJ106"/>
    <mergeCell ref="A89:AJ89"/>
    <mergeCell ref="A90:AJ90"/>
    <mergeCell ref="L91:AJ91"/>
    <mergeCell ref="H93:I93"/>
    <mergeCell ref="B96:P96"/>
    <mergeCell ref="B98:P98"/>
    <mergeCell ref="P80:W80"/>
    <mergeCell ref="P81:W81"/>
    <mergeCell ref="A84:AJ84"/>
    <mergeCell ref="A85:AJ85"/>
    <mergeCell ref="A86:AJ86"/>
    <mergeCell ref="A87:AJ87"/>
    <mergeCell ref="A73:AJ73"/>
    <mergeCell ref="G75:AJ75"/>
    <mergeCell ref="A76:B76"/>
    <mergeCell ref="G76:AJ76"/>
    <mergeCell ref="A77:AJ77"/>
    <mergeCell ref="A78:AJ78"/>
    <mergeCell ref="A71:F71"/>
    <mergeCell ref="H71:I71"/>
    <mergeCell ref="J71:AE71"/>
    <mergeCell ref="A72:F72"/>
    <mergeCell ref="H72:I72"/>
    <mergeCell ref="J72:AE72"/>
    <mergeCell ref="A64:AJ64"/>
    <mergeCell ref="A66:AJ66"/>
    <mergeCell ref="A67:AJ67"/>
    <mergeCell ref="P68:AJ68"/>
    <mergeCell ref="P69:AJ69"/>
    <mergeCell ref="A70:F70"/>
    <mergeCell ref="H70:I70"/>
    <mergeCell ref="J70:AE70"/>
    <mergeCell ref="A59:AJ59"/>
    <mergeCell ref="A60:AJ60"/>
    <mergeCell ref="A63:L63"/>
    <mergeCell ref="M63:P63"/>
    <mergeCell ref="R63:T63"/>
    <mergeCell ref="U63:W63"/>
    <mergeCell ref="A52:AJ52"/>
    <mergeCell ref="A53:AJ53"/>
    <mergeCell ref="A54:AJ54"/>
    <mergeCell ref="A55:AJ55"/>
    <mergeCell ref="A56:AJ56"/>
    <mergeCell ref="A57:AJ57"/>
    <mergeCell ref="A46:AJ46"/>
    <mergeCell ref="A47:AJ47"/>
    <mergeCell ref="A48:AJ48"/>
    <mergeCell ref="A49:AJ49"/>
    <mergeCell ref="A50:AJ50"/>
    <mergeCell ref="A51:AJ51"/>
    <mergeCell ref="A39:AJ39"/>
    <mergeCell ref="A40:AJ40"/>
    <mergeCell ref="A42:AJ42"/>
    <mergeCell ref="A43:AJ43"/>
    <mergeCell ref="A44:AJ44"/>
    <mergeCell ref="A45:AJ45"/>
    <mergeCell ref="E33:G33"/>
    <mergeCell ref="AB33:AI33"/>
    <mergeCell ref="AB34:AI34"/>
    <mergeCell ref="A36:AJ36"/>
    <mergeCell ref="A37:AJ37"/>
    <mergeCell ref="A38:AJ38"/>
    <mergeCell ref="A25:AJ25"/>
    <mergeCell ref="A26:AJ26"/>
    <mergeCell ref="A27:AJ27"/>
    <mergeCell ref="A28:AJ28"/>
    <mergeCell ref="A30:AJ30"/>
    <mergeCell ref="A31:AJ31"/>
    <mergeCell ref="A21:AJ21"/>
    <mergeCell ref="A23:AJ23"/>
    <mergeCell ref="A24:AJ24"/>
    <mergeCell ref="A11:AJ11"/>
    <mergeCell ref="A12:AJ12"/>
    <mergeCell ref="A13:AJ13"/>
    <mergeCell ref="A14:AJ14"/>
    <mergeCell ref="A16:AJ16"/>
    <mergeCell ref="A17:AJ17"/>
    <mergeCell ref="A4:AJ4"/>
    <mergeCell ref="A5:AJ5"/>
    <mergeCell ref="A6:AJ6"/>
    <mergeCell ref="A7:AJ8"/>
    <mergeCell ref="A9:AJ9"/>
    <mergeCell ref="A10:AJ10"/>
    <mergeCell ref="A18:AJ18"/>
    <mergeCell ref="A19:AJ19"/>
    <mergeCell ref="A20:AJ20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BA845-3644-4A82-B365-858B501CDE92}">
  <sheetPr>
    <tabColor rgb="FF00B050"/>
    <pageSetUpPr fitToPage="1"/>
  </sheetPr>
  <dimension ref="A1:AQ124"/>
  <sheetViews>
    <sheetView view="pageBreakPreview" topLeftCell="A61" zoomScale="125" zoomScaleNormal="125" zoomScaleSheetLayoutView="125" workbookViewId="0">
      <selection activeCell="A90" sqref="A90:AJ90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58.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16</v>
      </c>
      <c r="D33" s="31"/>
      <c r="E33" s="135" t="s">
        <v>265</v>
      </c>
      <c r="F33" s="135"/>
      <c r="G33" s="135"/>
      <c r="H33" s="32"/>
      <c r="I33" s="32"/>
      <c r="J33" s="32"/>
      <c r="X33" s="27"/>
      <c r="Y33" s="38"/>
      <c r="Z33" s="38"/>
      <c r="AB33" s="139">
        <f>P82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52" t="s">
        <v>235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41" t="str">
        <f>'Данные объект'!B9</f>
        <v>2БРП №171</v>
      </c>
      <c r="Q63" s="141"/>
      <c r="R63" s="141"/>
      <c r="S63" s="141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4" t="s">
        <v>57</v>
      </c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</row>
    <row r="70" spans="1:36" s="26" customFormat="1" ht="12" customHeight="1" x14ac:dyDescent="0.2">
      <c r="A70" s="143" t="s">
        <v>95</v>
      </c>
      <c r="B70" s="143"/>
      <c r="C70" s="143"/>
      <c r="D70" s="143"/>
      <c r="E70" s="143"/>
      <c r="F70" s="143"/>
      <c r="G70" s="34" t="s">
        <v>76</v>
      </c>
      <c r="H70" s="141">
        <v>102</v>
      </c>
      <c r="I70" s="141"/>
      <c r="J70" s="141"/>
      <c r="K70" s="141" t="s">
        <v>166</v>
      </c>
      <c r="L70" s="141"/>
      <c r="M70" s="34"/>
      <c r="N70" s="143" t="s">
        <v>304</v>
      </c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34"/>
      <c r="AB70" s="34"/>
      <c r="AC70" s="34"/>
      <c r="AD70" s="34"/>
      <c r="AE70" s="34"/>
      <c r="AF70" s="34"/>
      <c r="AG70" s="34"/>
      <c r="AH70" s="34"/>
      <c r="AI70" s="34"/>
      <c r="AJ70" s="34"/>
    </row>
    <row r="71" spans="1:36" s="26" customFormat="1" ht="12" hidden="1" customHeight="1" x14ac:dyDescent="0.2">
      <c r="A71" s="143" t="s">
        <v>180</v>
      </c>
      <c r="B71" s="143"/>
      <c r="C71" s="143"/>
      <c r="D71" s="143"/>
      <c r="E71" s="143"/>
      <c r="F71" s="143"/>
      <c r="G71" s="34" t="s">
        <v>76</v>
      </c>
      <c r="H71" s="141">
        <v>10</v>
      </c>
      <c r="I71" s="141"/>
      <c r="J71" s="141"/>
      <c r="K71" s="141" t="s">
        <v>181</v>
      </c>
      <c r="L71" s="141"/>
      <c r="M71" s="34"/>
      <c r="N71" s="143" t="s">
        <v>164</v>
      </c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34"/>
      <c r="AB71" s="34"/>
      <c r="AC71" s="34"/>
      <c r="AD71" s="34"/>
      <c r="AE71" s="34"/>
      <c r="AF71" s="34"/>
      <c r="AG71" s="34"/>
      <c r="AH71" s="34"/>
      <c r="AI71" s="34"/>
      <c r="AJ71" s="34"/>
    </row>
    <row r="72" spans="1:36" s="26" customFormat="1" ht="13.5" hidden="1" customHeight="1" x14ac:dyDescent="0.2">
      <c r="A72" s="91" t="s">
        <v>182</v>
      </c>
      <c r="B72" s="91"/>
      <c r="C72" s="91"/>
      <c r="D72" s="91"/>
      <c r="E72" s="91"/>
      <c r="F72" s="91"/>
      <c r="G72" s="34"/>
      <c r="H72" s="90"/>
      <c r="I72" s="90"/>
      <c r="J72" s="90"/>
      <c r="K72" s="90">
        <v>69</v>
      </c>
      <c r="L72" s="90" t="s">
        <v>166</v>
      </c>
      <c r="M72" s="90"/>
      <c r="N72" s="92" t="str">
        <f>'АОСР-5'!N72</f>
        <v>Исх.письмо б/н</v>
      </c>
      <c r="O72" s="89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</row>
    <row r="73" spans="1:36" s="26" customFormat="1" ht="12" hidden="1" customHeight="1" x14ac:dyDescent="0.2">
      <c r="A73" s="164" t="s">
        <v>183</v>
      </c>
      <c r="B73" s="164"/>
      <c r="C73" s="164"/>
      <c r="D73" s="164"/>
      <c r="E73" s="164"/>
      <c r="F73" s="164"/>
      <c r="G73" s="34" t="s">
        <v>76</v>
      </c>
      <c r="H73" s="165">
        <v>45</v>
      </c>
      <c r="I73" s="165"/>
      <c r="J73" s="165"/>
      <c r="K73" s="141" t="s">
        <v>181</v>
      </c>
      <c r="L73" s="141"/>
      <c r="M73" s="34"/>
      <c r="N73" s="143" t="s">
        <v>164</v>
      </c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34"/>
      <c r="AB73" s="34"/>
      <c r="AC73" s="34"/>
      <c r="AD73" s="34"/>
      <c r="AE73" s="34"/>
      <c r="AF73" s="34"/>
      <c r="AG73" s="34"/>
      <c r="AH73" s="34"/>
      <c r="AI73" s="34"/>
      <c r="AJ73" s="34"/>
    </row>
    <row r="74" spans="1:36" ht="18.75" customHeight="1" x14ac:dyDescent="0.25">
      <c r="A74" s="137" t="s">
        <v>58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</row>
    <row r="75" spans="1:36" s="26" customFormat="1" ht="12" customHeight="1" x14ac:dyDescent="0.2">
      <c r="A75" s="26" t="s">
        <v>11</v>
      </c>
    </row>
    <row r="76" spans="1:36" s="26" customFormat="1" ht="12" customHeight="1" x14ac:dyDescent="0.2">
      <c r="A76" s="26" t="s">
        <v>10</v>
      </c>
      <c r="G76" s="140" t="s">
        <v>308</v>
      </c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</row>
    <row r="77" spans="1:36" ht="7.5" customHeight="1" x14ac:dyDescent="0.25">
      <c r="A77" s="142"/>
      <c r="B77" s="142"/>
      <c r="C77" s="8"/>
      <c r="D77" s="8"/>
      <c r="E77" s="8"/>
      <c r="F77" s="8"/>
      <c r="G77" s="138" t="s">
        <v>9</v>
      </c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  <c r="AH77" s="138"/>
      <c r="AI77" s="138"/>
      <c r="AJ77" s="138"/>
    </row>
    <row r="78" spans="1:36" s="26" customFormat="1" ht="12" customHeight="1" x14ac:dyDescent="0.2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</row>
    <row r="79" spans="1:36" ht="7.5" customHeight="1" x14ac:dyDescent="0.25">
      <c r="A79" s="137" t="s">
        <v>31</v>
      </c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  <c r="AE79" s="138"/>
      <c r="AF79" s="138"/>
      <c r="AG79" s="138"/>
      <c r="AH79" s="138"/>
      <c r="AI79" s="138"/>
      <c r="AJ79" s="138"/>
    </row>
    <row r="80" spans="1:36" ht="9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13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1:36" s="26" customFormat="1" ht="12" customHeight="1" x14ac:dyDescent="0.2">
      <c r="A81" s="26" t="s">
        <v>8</v>
      </c>
      <c r="D81" s="35"/>
      <c r="E81" s="35"/>
      <c r="F81" s="35"/>
      <c r="G81" s="35"/>
      <c r="L81" s="27"/>
      <c r="M81" s="38"/>
      <c r="N81" s="38"/>
      <c r="P81" s="139">
        <f>'Данные объект'!B6</f>
        <v>45949</v>
      </c>
      <c r="Q81" s="139"/>
      <c r="R81" s="139"/>
      <c r="S81" s="139"/>
      <c r="T81" s="139"/>
      <c r="U81" s="139"/>
      <c r="V81" s="139"/>
      <c r="W81" s="139"/>
    </row>
    <row r="82" spans="1:36" s="26" customFormat="1" ht="12" customHeight="1" x14ac:dyDescent="0.2">
      <c r="A82" s="26" t="s">
        <v>7</v>
      </c>
      <c r="D82" s="35"/>
      <c r="E82" s="35"/>
      <c r="F82" s="35"/>
      <c r="G82" s="35"/>
      <c r="L82" s="27"/>
      <c r="M82" s="38"/>
      <c r="N82" s="38"/>
      <c r="P82" s="158">
        <f>'Данные объект'!B7</f>
        <v>46219</v>
      </c>
      <c r="Q82" s="158"/>
      <c r="R82" s="158"/>
      <c r="S82" s="158"/>
      <c r="T82" s="158"/>
      <c r="U82" s="158"/>
      <c r="V82" s="158"/>
      <c r="W82" s="158"/>
    </row>
    <row r="83" spans="1:36" s="26" customFormat="1" ht="7.5" customHeight="1" x14ac:dyDescent="0.2">
      <c r="A83" s="39"/>
      <c r="B83" s="39"/>
      <c r="C83" s="39"/>
      <c r="D83" s="40"/>
      <c r="E83" s="40"/>
      <c r="F83" s="40"/>
      <c r="G83" s="40"/>
    </row>
    <row r="84" spans="1:36" s="26" customFormat="1" ht="12" customHeight="1" x14ac:dyDescent="0.2">
      <c r="A84" s="26" t="s">
        <v>5</v>
      </c>
    </row>
    <row r="85" spans="1:36" s="26" customFormat="1" ht="12" customHeight="1" x14ac:dyDescent="0.2">
      <c r="A85" s="140" t="s">
        <v>108</v>
      </c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</row>
    <row r="86" spans="1:36" ht="8.25" customHeight="1" x14ac:dyDescent="0.25">
      <c r="A86" s="137" t="s">
        <v>4</v>
      </c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H86" s="138"/>
      <c r="AI86" s="138"/>
      <c r="AJ86" s="138"/>
    </row>
    <row r="87" spans="1:36" s="26" customFormat="1" ht="12" customHeight="1" x14ac:dyDescent="0.2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</row>
    <row r="88" spans="1:36" ht="8.25" customHeight="1" x14ac:dyDescent="0.25">
      <c r="A88" s="137" t="s">
        <v>59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</row>
    <row r="89" spans="1:36" s="26" customFormat="1" ht="12" customHeight="1" x14ac:dyDescent="0.2">
      <c r="A89" s="26" t="s">
        <v>3</v>
      </c>
    </row>
    <row r="90" spans="1:36" s="26" customFormat="1" ht="12" customHeight="1" x14ac:dyDescent="0.2">
      <c r="A90" s="135" t="s">
        <v>309</v>
      </c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</row>
    <row r="91" spans="1:36" ht="9" customHeight="1" x14ac:dyDescent="0.25">
      <c r="A91" s="137" t="s">
        <v>32</v>
      </c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  <c r="AE91" s="138"/>
      <c r="AF91" s="138"/>
      <c r="AG91" s="138"/>
      <c r="AH91" s="138"/>
      <c r="AI91" s="138"/>
      <c r="AJ91" s="138"/>
    </row>
    <row r="92" spans="1:36" s="26" customFormat="1" ht="12" customHeight="1" x14ac:dyDescent="0.2">
      <c r="A92" s="26" t="s">
        <v>2</v>
      </c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</row>
    <row r="93" spans="1:36" ht="6" customHeight="1" x14ac:dyDescent="0.25">
      <c r="D93" s="4"/>
      <c r="E93" s="4"/>
      <c r="F93" s="4"/>
      <c r="G93" s="4"/>
      <c r="H93" s="4"/>
      <c r="I93" s="4"/>
      <c r="J93" s="4"/>
    </row>
    <row r="94" spans="1:36" s="26" customFormat="1" ht="12" customHeight="1" x14ac:dyDescent="0.2">
      <c r="A94" s="26" t="s">
        <v>102</v>
      </c>
      <c r="H94" s="135"/>
      <c r="I94" s="135"/>
      <c r="J94" s="26" t="s">
        <v>33</v>
      </c>
    </row>
    <row r="95" spans="1:36" ht="4.5" customHeight="1" x14ac:dyDescent="0.25"/>
    <row r="96" spans="1:36" s="26" customFormat="1" ht="12" customHeight="1" x14ac:dyDescent="0.2">
      <c r="A96" s="26" t="s">
        <v>1</v>
      </c>
    </row>
    <row r="97" spans="1:36" s="26" customFormat="1" ht="12" customHeight="1" x14ac:dyDescent="0.2">
      <c r="A97" s="31" t="s">
        <v>87</v>
      </c>
      <c r="B97" s="31" t="str">
        <f>G76</f>
        <v>Исполнительная схема заземления внутреннего контура 2БРП№171</v>
      </c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 t="s">
        <v>76</v>
      </c>
      <c r="Y97" s="31" t="s">
        <v>88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</row>
    <row r="98" spans="1:36" s="26" customFormat="1" ht="12" customHeight="1" x14ac:dyDescent="0.2">
      <c r="A98" s="37" t="s">
        <v>89</v>
      </c>
      <c r="B98" s="151" t="str">
        <f>N70</f>
        <v>Сертификат №93583</v>
      </c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37" t="s">
        <v>76</v>
      </c>
      <c r="R98" s="37" t="s">
        <v>88</v>
      </c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</row>
    <row r="99" spans="1:36" s="26" customFormat="1" ht="12" hidden="1" customHeight="1" x14ac:dyDescent="0.2">
      <c r="A99" s="37" t="s">
        <v>99</v>
      </c>
      <c r="B99" s="151" t="str">
        <f>N72</f>
        <v>Исх.письмо б/н</v>
      </c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37" t="s">
        <v>76</v>
      </c>
      <c r="R99" s="37" t="s">
        <v>88</v>
      </c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</row>
    <row r="100" spans="1:36" s="26" customFormat="1" ht="12" hidden="1" customHeight="1" x14ac:dyDescent="0.2">
      <c r="A100" s="37" t="s">
        <v>100</v>
      </c>
      <c r="B100" s="151" t="str">
        <f>N73</f>
        <v>Сертификат №</v>
      </c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37" t="s">
        <v>76</v>
      </c>
      <c r="R100" s="37" t="s">
        <v>88</v>
      </c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</row>
    <row r="101" spans="1:36" s="26" customFormat="1" ht="12" hidden="1" customHeight="1" x14ac:dyDescent="0.2">
      <c r="A101" s="38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</row>
    <row r="102" spans="1:36" ht="9.75" customHeight="1" x14ac:dyDescent="0.25">
      <c r="A102" s="137" t="s">
        <v>0</v>
      </c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  <c r="AE102" s="138"/>
      <c r="AF102" s="138"/>
      <c r="AG102" s="138"/>
      <c r="AH102" s="138"/>
      <c r="AI102" s="138"/>
      <c r="AJ102" s="138"/>
    </row>
    <row r="103" spans="1:36" ht="6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26" customFormat="1" ht="12" customHeight="1" x14ac:dyDescent="0.2">
      <c r="A104" s="26" t="s">
        <v>23</v>
      </c>
    </row>
    <row r="105" spans="1:36" s="26" customFormat="1" ht="12" customHeight="1" x14ac:dyDescent="0.2">
      <c r="A105" s="26" t="s">
        <v>24</v>
      </c>
    </row>
    <row r="106" spans="1:36" s="26" customFormat="1" ht="12" customHeight="1" x14ac:dyDescent="0.2">
      <c r="A106" s="135" t="str">
        <f>'Данные объект'!B33</f>
        <v>Алексанян Г.Р.</v>
      </c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135"/>
      <c r="AC106" s="135"/>
      <c r="AD106" s="135"/>
      <c r="AE106" s="135"/>
      <c r="AF106" s="135"/>
      <c r="AG106" s="135"/>
      <c r="AH106" s="135"/>
      <c r="AI106" s="135"/>
      <c r="AJ106" s="135"/>
    </row>
    <row r="107" spans="1:36" ht="9" customHeight="1" x14ac:dyDescent="0.25">
      <c r="A107" s="133" t="s">
        <v>35</v>
      </c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34" t="s">
        <v>34</v>
      </c>
      <c r="AC107" s="134"/>
      <c r="AD107" s="134"/>
      <c r="AE107" s="134"/>
      <c r="AF107" s="134"/>
      <c r="AG107" s="134"/>
      <c r="AH107" s="134"/>
      <c r="AI107" s="134"/>
      <c r="AJ107" s="134"/>
    </row>
    <row r="108" spans="1:36" s="26" customFormat="1" ht="12" customHeight="1" x14ac:dyDescent="0.2">
      <c r="A108" s="26" t="s">
        <v>25</v>
      </c>
    </row>
    <row r="109" spans="1:36" s="26" customFormat="1" ht="12" customHeight="1" x14ac:dyDescent="0.2">
      <c r="A109" s="135" t="str">
        <f>'Данные объект'!B20</f>
        <v>Волков М.Ю.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135"/>
      <c r="AC109" s="135"/>
      <c r="AD109" s="135"/>
      <c r="AE109" s="135"/>
      <c r="AF109" s="135"/>
      <c r="AG109" s="135"/>
      <c r="AH109" s="135"/>
      <c r="AI109" s="135"/>
      <c r="AJ109" s="135"/>
    </row>
    <row r="110" spans="1:36" ht="9" customHeight="1" x14ac:dyDescent="0.25">
      <c r="A110" s="133" t="s">
        <v>35</v>
      </c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4" t="s">
        <v>34</v>
      </c>
      <c r="AC110" s="134"/>
      <c r="AD110" s="134"/>
      <c r="AE110" s="134"/>
      <c r="AF110" s="134"/>
      <c r="AG110" s="134"/>
      <c r="AH110" s="134"/>
      <c r="AI110" s="134"/>
      <c r="AJ110" s="134"/>
    </row>
    <row r="111" spans="1:36" s="26" customFormat="1" ht="12" customHeight="1" x14ac:dyDescent="0.2">
      <c r="A111" s="26" t="s">
        <v>27</v>
      </c>
    </row>
    <row r="112" spans="1:36" s="26" customFormat="1" ht="12" customHeight="1" x14ac:dyDescent="0.2">
      <c r="A112" s="26" t="s">
        <v>28</v>
      </c>
    </row>
    <row r="113" spans="1:36" s="26" customFormat="1" ht="12" customHeight="1" x14ac:dyDescent="0.2">
      <c r="A113" s="135" t="str">
        <f>'Данные объект'!B17</f>
        <v>Русин В.А.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135"/>
      <c r="AC113" s="135"/>
      <c r="AD113" s="135"/>
      <c r="AE113" s="135"/>
      <c r="AF113" s="135"/>
      <c r="AG113" s="135"/>
      <c r="AH113" s="135"/>
      <c r="AI113" s="135"/>
      <c r="AJ113" s="135"/>
    </row>
    <row r="114" spans="1:36" ht="9" customHeight="1" x14ac:dyDescent="0.25">
      <c r="A114" s="133" t="s">
        <v>35</v>
      </c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134" t="s">
        <v>34</v>
      </c>
      <c r="AC114" s="134"/>
      <c r="AD114" s="134"/>
      <c r="AE114" s="134"/>
      <c r="AF114" s="134"/>
      <c r="AG114" s="134"/>
      <c r="AH114" s="134"/>
      <c r="AI114" s="134"/>
      <c r="AJ114" s="134"/>
    </row>
    <row r="115" spans="1:36" s="101" customFormat="1" ht="11.25" x14ac:dyDescent="0.2">
      <c r="A115" s="26" t="s">
        <v>211</v>
      </c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97"/>
      <c r="AC115" s="97"/>
      <c r="AD115" s="97"/>
      <c r="AE115" s="97"/>
      <c r="AF115" s="97"/>
      <c r="AG115" s="97"/>
      <c r="AH115" s="97"/>
      <c r="AI115" s="97"/>
      <c r="AJ115" s="97"/>
    </row>
    <row r="116" spans="1:36" s="101" customFormat="1" ht="11.25" x14ac:dyDescent="0.2">
      <c r="A116" s="135" t="str">
        <f>'[4]Данные объект'!$B$36</f>
        <v>Курчин М.М.</v>
      </c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5"/>
      <c r="AC116" s="135"/>
      <c r="AD116" s="135"/>
      <c r="AE116" s="135"/>
      <c r="AF116" s="135"/>
      <c r="AG116" s="135"/>
      <c r="AH116" s="135"/>
      <c r="AI116" s="135"/>
      <c r="AJ116" s="135"/>
    </row>
    <row r="117" spans="1:36" s="101" customFormat="1" ht="9" customHeight="1" x14ac:dyDescent="0.15">
      <c r="A117" s="133" t="s">
        <v>35</v>
      </c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7"/>
      <c r="Q117" s="17"/>
      <c r="R117" s="17"/>
      <c r="S117" s="17"/>
      <c r="T117" s="17"/>
      <c r="U117" s="16"/>
      <c r="V117" s="16"/>
      <c r="W117" s="16"/>
      <c r="X117" s="16"/>
      <c r="Y117" s="16"/>
      <c r="Z117" s="16"/>
      <c r="AA117" s="16"/>
      <c r="AB117" s="134" t="s">
        <v>34</v>
      </c>
      <c r="AC117" s="134"/>
      <c r="AD117" s="134"/>
      <c r="AE117" s="134"/>
      <c r="AF117" s="134"/>
      <c r="AG117" s="134"/>
      <c r="AH117" s="134"/>
      <c r="AI117" s="134"/>
      <c r="AJ117" s="134"/>
    </row>
    <row r="118" spans="1:36" s="26" customFormat="1" ht="36" customHeight="1" x14ac:dyDescent="0.2">
      <c r="A118" s="136" t="s">
        <v>53</v>
      </c>
      <c r="B118" s="136"/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</row>
    <row r="119" spans="1:36" s="26" customFormat="1" ht="12" customHeight="1" x14ac:dyDescent="0.2">
      <c r="A119" s="135" t="s">
        <v>76</v>
      </c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135" t="s">
        <v>76</v>
      </c>
      <c r="AC119" s="135"/>
      <c r="AD119" s="135"/>
      <c r="AE119" s="135"/>
      <c r="AF119" s="135"/>
      <c r="AG119" s="135"/>
      <c r="AH119" s="135"/>
      <c r="AI119" s="135"/>
      <c r="AJ119" s="135"/>
    </row>
    <row r="120" spans="1:36" ht="9" customHeight="1" x14ac:dyDescent="0.25">
      <c r="A120" s="133" t="s">
        <v>35</v>
      </c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7"/>
      <c r="Q120" s="17"/>
      <c r="R120" s="17"/>
      <c r="S120" s="17"/>
      <c r="T120" s="17"/>
      <c r="U120" s="16"/>
      <c r="V120" s="16"/>
      <c r="W120" s="16"/>
      <c r="X120" s="16"/>
      <c r="Y120" s="16"/>
      <c r="Z120" s="16"/>
      <c r="AA120" s="16"/>
      <c r="AB120" s="134" t="s">
        <v>34</v>
      </c>
      <c r="AC120" s="134"/>
      <c r="AD120" s="134"/>
      <c r="AE120" s="134"/>
      <c r="AF120" s="134"/>
      <c r="AG120" s="134"/>
      <c r="AH120" s="134"/>
      <c r="AI120" s="134"/>
      <c r="AJ120" s="134"/>
    </row>
    <row r="121" spans="1:36" s="26" customFormat="1" ht="40.5" hidden="1" customHeight="1" x14ac:dyDescent="0.2">
      <c r="A121" s="136" t="s">
        <v>55</v>
      </c>
      <c r="B121" s="136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</row>
    <row r="122" spans="1:36" ht="12" hidden="1" customHeight="1" x14ac:dyDescent="0.25">
      <c r="A122" s="154" t="e">
        <f>#REF!</f>
        <v>#REF!</v>
      </c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5"/>
      <c r="AC122" s="155"/>
      <c r="AD122" s="155"/>
      <c r="AE122" s="155"/>
      <c r="AF122" s="155"/>
      <c r="AG122" s="155"/>
      <c r="AH122" s="155"/>
      <c r="AI122" s="155"/>
      <c r="AJ122" s="155"/>
    </row>
    <row r="123" spans="1:36" ht="9" hidden="1" customHeight="1" x14ac:dyDescent="0.25">
      <c r="A123" s="133" t="s">
        <v>35</v>
      </c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7"/>
      <c r="Q123" s="17"/>
      <c r="R123" s="17"/>
      <c r="S123" s="17"/>
      <c r="T123" s="17"/>
      <c r="U123" s="16"/>
      <c r="V123" s="16"/>
      <c r="W123" s="16"/>
      <c r="X123" s="16"/>
      <c r="Y123" s="16"/>
      <c r="Z123" s="16"/>
      <c r="AA123" s="16"/>
      <c r="AB123" s="134" t="s">
        <v>34</v>
      </c>
      <c r="AC123" s="134"/>
      <c r="AD123" s="134"/>
      <c r="AE123" s="134"/>
      <c r="AF123" s="134"/>
      <c r="AG123" s="134"/>
      <c r="AH123" s="134"/>
      <c r="AI123" s="134"/>
      <c r="AJ123" s="134"/>
    </row>
    <row r="124" spans="1:36" ht="12" hidden="1" customHeight="1" x14ac:dyDescent="0.25"/>
  </sheetData>
  <mergeCells count="115">
    <mergeCell ref="A109:O109"/>
    <mergeCell ref="AB109:AJ109"/>
    <mergeCell ref="A110:O110"/>
    <mergeCell ref="AB110:AJ110"/>
    <mergeCell ref="A113:O113"/>
    <mergeCell ref="AB113:AJ113"/>
    <mergeCell ref="B99:P99"/>
    <mergeCell ref="B100:P100"/>
    <mergeCell ref="A121:AJ121"/>
    <mergeCell ref="A102:AJ102"/>
    <mergeCell ref="A106:O106"/>
    <mergeCell ref="AB106:AJ106"/>
    <mergeCell ref="A107:O107"/>
    <mergeCell ref="AB107:AJ107"/>
    <mergeCell ref="A122:O122"/>
    <mergeCell ref="AB122:AJ122"/>
    <mergeCell ref="A123:O123"/>
    <mergeCell ref="AB123:AJ123"/>
    <mergeCell ref="A114:O114"/>
    <mergeCell ref="AB114:AJ114"/>
    <mergeCell ref="A118:AJ118"/>
    <mergeCell ref="A119:O119"/>
    <mergeCell ref="AB119:AJ119"/>
    <mergeCell ref="A120:O120"/>
    <mergeCell ref="AB120:AJ120"/>
    <mergeCell ref="A116:O116"/>
    <mergeCell ref="AB116:AJ116"/>
    <mergeCell ref="A117:O117"/>
    <mergeCell ref="AB117:AJ117"/>
    <mergeCell ref="A90:AJ90"/>
    <mergeCell ref="A91:AJ91"/>
    <mergeCell ref="L92:AJ92"/>
    <mergeCell ref="H94:I94"/>
    <mergeCell ref="B98:P98"/>
    <mergeCell ref="P81:W81"/>
    <mergeCell ref="P82:W82"/>
    <mergeCell ref="A85:AJ85"/>
    <mergeCell ref="A86:AJ86"/>
    <mergeCell ref="A87:AJ87"/>
    <mergeCell ref="A88:AJ88"/>
    <mergeCell ref="A74:AJ74"/>
    <mergeCell ref="G76:AJ76"/>
    <mergeCell ref="A77:B77"/>
    <mergeCell ref="G77:AJ77"/>
    <mergeCell ref="A78:AJ78"/>
    <mergeCell ref="A79:AJ79"/>
    <mergeCell ref="A71:F71"/>
    <mergeCell ref="H71:J71"/>
    <mergeCell ref="K71:L71"/>
    <mergeCell ref="N71:Z71"/>
    <mergeCell ref="A73:F73"/>
    <mergeCell ref="H73:J73"/>
    <mergeCell ref="K73:L73"/>
    <mergeCell ref="N73:Z73"/>
    <mergeCell ref="A64:AJ64"/>
    <mergeCell ref="A66:AJ66"/>
    <mergeCell ref="A67:AJ67"/>
    <mergeCell ref="P68:AJ68"/>
    <mergeCell ref="P69:AJ69"/>
    <mergeCell ref="A70:F70"/>
    <mergeCell ref="H70:J70"/>
    <mergeCell ref="K70:L70"/>
    <mergeCell ref="N70:Z70"/>
    <mergeCell ref="A55:AJ55"/>
    <mergeCell ref="A56:AJ56"/>
    <mergeCell ref="A57:AJ57"/>
    <mergeCell ref="A59:AJ59"/>
    <mergeCell ref="A60:AJ60"/>
    <mergeCell ref="A63:O63"/>
    <mergeCell ref="P63:S63"/>
    <mergeCell ref="A46:AJ46"/>
    <mergeCell ref="A50:AJ50"/>
    <mergeCell ref="A51:AJ51"/>
    <mergeCell ref="A52:AJ52"/>
    <mergeCell ref="A53:AJ53"/>
    <mergeCell ref="A54:AJ54"/>
    <mergeCell ref="A47:AJ47"/>
    <mergeCell ref="A48:AJ48"/>
    <mergeCell ref="A49:AJ49"/>
    <mergeCell ref="A39:AJ39"/>
    <mergeCell ref="A40:AJ40"/>
    <mergeCell ref="A42:AJ42"/>
    <mergeCell ref="A43:AJ43"/>
    <mergeCell ref="A44:AJ44"/>
    <mergeCell ref="A45:AJ45"/>
    <mergeCell ref="E33:G33"/>
    <mergeCell ref="AB33:AI33"/>
    <mergeCell ref="AB34:AI34"/>
    <mergeCell ref="A36:AJ36"/>
    <mergeCell ref="A37:AJ37"/>
    <mergeCell ref="A38:AJ38"/>
    <mergeCell ref="A25:AJ25"/>
    <mergeCell ref="A26:AJ26"/>
    <mergeCell ref="A27:AJ27"/>
    <mergeCell ref="A28:AJ28"/>
    <mergeCell ref="A30:AJ30"/>
    <mergeCell ref="A31:AJ31"/>
    <mergeCell ref="A18:AJ18"/>
    <mergeCell ref="A19:AJ19"/>
    <mergeCell ref="A20:AJ20"/>
    <mergeCell ref="A21:AJ21"/>
    <mergeCell ref="A23:AJ23"/>
    <mergeCell ref="A24:AJ24"/>
    <mergeCell ref="A11:AJ11"/>
    <mergeCell ref="A12:AJ12"/>
    <mergeCell ref="A13:AJ13"/>
    <mergeCell ref="A14:AJ14"/>
    <mergeCell ref="A16:AJ16"/>
    <mergeCell ref="A17:AJ17"/>
    <mergeCell ref="A4:AJ4"/>
    <mergeCell ref="A5:AJ5"/>
    <mergeCell ref="A6:AJ6"/>
    <mergeCell ref="A7:AJ8"/>
    <mergeCell ref="A9:AJ9"/>
    <mergeCell ref="A10:AJ10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57"/>
    <pageSetUpPr fitToPage="1"/>
  </sheetPr>
  <dimension ref="A1:AQ111"/>
  <sheetViews>
    <sheetView view="pageBreakPreview" topLeftCell="A58" zoomScale="125" zoomScaleNormal="125" zoomScaleSheetLayoutView="125" workbookViewId="0">
      <selection activeCell="AZ79" sqref="AZ79"/>
    </sheetView>
  </sheetViews>
  <sheetFormatPr defaultColWidth="10.6640625" defaultRowHeight="15" x14ac:dyDescent="0.25"/>
  <cols>
    <col min="1" max="6" width="2.83203125" style="1" customWidth="1"/>
    <col min="7" max="7" width="6.16406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29.2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1</v>
      </c>
      <c r="D33" s="31"/>
      <c r="E33" s="135" t="s">
        <v>175</v>
      </c>
      <c r="F33" s="135"/>
      <c r="G33" s="135"/>
      <c r="H33" s="32"/>
      <c r="I33" s="32"/>
      <c r="J33" s="32"/>
      <c r="X33" s="27"/>
      <c r="Y33" s="38"/>
      <c r="Z33" s="38"/>
      <c r="AB33" s="139">
        <f>'Данные объект'!B7</f>
        <v>46219</v>
      </c>
      <c r="AC33" s="139"/>
      <c r="AD33" s="139"/>
      <c r="AE33" s="139"/>
      <c r="AF33" s="139"/>
      <c r="AG33" s="139"/>
      <c r="AH33" s="139"/>
      <c r="AI33" s="139"/>
      <c r="AJ33" s="26" t="s">
        <v>6</v>
      </c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5.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6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s="26" customFormat="1" ht="38.25" customHeight="1" x14ac:dyDescent="0.2">
      <c r="A47" s="136" t="s">
        <v>53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</row>
    <row r="48" spans="1:36" s="33" customFormat="1" ht="12.95" customHeight="1" x14ac:dyDescent="0.2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</row>
    <row r="49" spans="1:36" ht="29.25" customHeight="1" x14ac:dyDescent="0.25">
      <c r="A49" s="137" t="s">
        <v>54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27" hidden="1" customHeight="1" x14ac:dyDescent="0.2">
      <c r="A50" s="136" t="s">
        <v>55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26" customFormat="1" ht="12" hidden="1" customHeight="1" x14ac:dyDescent="0.2">
      <c r="A51" s="141" t="e">
        <f>CONCATENATE(#REF!,", ",#REF!," - ",#REF!)</f>
        <v>#REF!</v>
      </c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</row>
    <row r="52" spans="1:36" ht="9.75" hidden="1" customHeight="1" x14ac:dyDescent="0.25">
      <c r="A52" s="137" t="s">
        <v>29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12" hidden="1" customHeight="1" x14ac:dyDescent="0.2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</row>
    <row r="54" spans="1:36" ht="16.5" hidden="1" customHeight="1" x14ac:dyDescent="0.25">
      <c r="A54" s="137" t="s">
        <v>56</v>
      </c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</row>
    <row r="55" spans="1:36" s="26" customFormat="1" ht="12" customHeight="1" x14ac:dyDescent="0.2">
      <c r="A55" s="26" t="s">
        <v>16</v>
      </c>
    </row>
    <row r="56" spans="1:36" s="26" customFormat="1" ht="12.95" customHeight="1" x14ac:dyDescent="0.2">
      <c r="A56" s="135" t="str">
        <f>'Данные объект'!B11</f>
        <v>ООО"Энергосистемы"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ht="10.5" customHeight="1" x14ac:dyDescent="0.25">
      <c r="A57" s="133" t="s">
        <v>40</v>
      </c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</row>
    <row r="58" spans="1:36" s="26" customFormat="1" ht="12" customHeight="1" x14ac:dyDescent="0.2">
      <c r="A58" s="26" t="s">
        <v>15</v>
      </c>
    </row>
    <row r="59" spans="1:36" s="26" customFormat="1" ht="12" customHeight="1" x14ac:dyDescent="0.2">
      <c r="A59" s="26" t="s">
        <v>30</v>
      </c>
    </row>
    <row r="60" spans="1:36" s="26" customFormat="1" ht="12" customHeight="1" x14ac:dyDescent="0.2">
      <c r="A60" s="146" t="s">
        <v>176</v>
      </c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</row>
    <row r="61" spans="1:36" ht="8.25" customHeight="1" x14ac:dyDescent="0.25">
      <c r="A61" s="137" t="s">
        <v>14</v>
      </c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</row>
    <row r="62" spans="1:36" s="26" customFormat="1" ht="12" customHeight="1" x14ac:dyDescent="0.2">
      <c r="A62" s="26" t="s">
        <v>13</v>
      </c>
    </row>
    <row r="63" spans="1:36" s="26" customFormat="1" ht="12" customHeight="1" x14ac:dyDescent="0.2">
      <c r="A63" s="141" t="str">
        <f>'Данные объект'!B40</f>
        <v>4980-325834-216-09/24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</row>
    <row r="64" spans="1:36" ht="15" customHeight="1" x14ac:dyDescent="0.25">
      <c r="A64" s="137" t="s">
        <v>41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12</v>
      </c>
      <c r="P65" s="135" t="s">
        <v>177</v>
      </c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</row>
    <row r="66" spans="1:36" s="2" customFormat="1" ht="7.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134" t="s">
        <v>57</v>
      </c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</row>
    <row r="67" spans="1:36" s="26" customFormat="1" ht="12" customHeight="1" x14ac:dyDescent="0.2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</row>
    <row r="68" spans="1:36" ht="18.75" customHeight="1" x14ac:dyDescent="0.25">
      <c r="A68" s="137" t="s">
        <v>58</v>
      </c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  <c r="AI68" s="138"/>
      <c r="AJ68" s="138"/>
    </row>
    <row r="69" spans="1:36" s="26" customFormat="1" ht="12" customHeight="1" x14ac:dyDescent="0.2">
      <c r="A69" s="26" t="s">
        <v>11</v>
      </c>
    </row>
    <row r="70" spans="1:36" s="26" customFormat="1" ht="12" customHeight="1" x14ac:dyDescent="0.2">
      <c r="A70" s="26" t="s">
        <v>10</v>
      </c>
      <c r="G70" s="140" t="s">
        <v>178</v>
      </c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</row>
    <row r="71" spans="1:36" ht="7.5" customHeight="1" x14ac:dyDescent="0.25">
      <c r="A71" s="142"/>
      <c r="B71" s="142"/>
      <c r="C71" s="8"/>
      <c r="D71" s="8"/>
      <c r="E71" s="8"/>
      <c r="F71" s="8"/>
      <c r="G71" s="138" t="s">
        <v>9</v>
      </c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</row>
    <row r="72" spans="1:36" s="26" customFormat="1" ht="12" customHeight="1" x14ac:dyDescent="0.2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</row>
    <row r="73" spans="1:36" ht="7.5" customHeight="1" x14ac:dyDescent="0.25">
      <c r="A73" s="137" t="s">
        <v>31</v>
      </c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ht="9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13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spans="1:36" s="26" customFormat="1" ht="12" customHeight="1" x14ac:dyDescent="0.2">
      <c r="A75" s="26" t="s">
        <v>8</v>
      </c>
      <c r="D75" s="35"/>
      <c r="E75" s="35"/>
      <c r="F75" s="35"/>
      <c r="G75" s="35"/>
      <c r="L75" s="27"/>
      <c r="M75" s="38"/>
      <c r="N75" s="38"/>
      <c r="P75" s="139">
        <f>'Данные объект'!B6</f>
        <v>45949</v>
      </c>
      <c r="Q75" s="139"/>
      <c r="R75" s="139"/>
      <c r="S75" s="139"/>
      <c r="T75" s="139"/>
      <c r="U75" s="139"/>
      <c r="V75" s="139"/>
      <c r="W75" s="139"/>
      <c r="X75" s="26" t="s">
        <v>6</v>
      </c>
    </row>
    <row r="76" spans="1:36" s="26" customFormat="1" ht="12" customHeight="1" x14ac:dyDescent="0.2">
      <c r="A76" s="26" t="s">
        <v>7</v>
      </c>
      <c r="D76" s="35"/>
      <c r="E76" s="35"/>
      <c r="F76" s="35"/>
      <c r="G76" s="35"/>
      <c r="L76" s="27"/>
      <c r="M76" s="38"/>
      <c r="N76" s="38"/>
      <c r="P76" s="158">
        <f>'Данные объект'!B7</f>
        <v>46219</v>
      </c>
      <c r="Q76" s="158"/>
      <c r="R76" s="158"/>
      <c r="S76" s="158"/>
      <c r="T76" s="158"/>
      <c r="U76" s="158"/>
      <c r="V76" s="158"/>
      <c r="W76" s="158"/>
      <c r="X76" s="26" t="s">
        <v>6</v>
      </c>
    </row>
    <row r="77" spans="1:36" s="26" customFormat="1" ht="7.5" customHeight="1" x14ac:dyDescent="0.2">
      <c r="A77" s="39"/>
      <c r="B77" s="39"/>
      <c r="C77" s="39"/>
      <c r="D77" s="40"/>
      <c r="E77" s="40"/>
      <c r="F77" s="40"/>
      <c r="G77" s="40"/>
    </row>
    <row r="78" spans="1:36" s="26" customFormat="1" ht="12" customHeight="1" x14ac:dyDescent="0.2">
      <c r="A78" s="26" t="s">
        <v>5</v>
      </c>
    </row>
    <row r="79" spans="1:36" s="26" customFormat="1" ht="12" customHeight="1" x14ac:dyDescent="0.2">
      <c r="A79" s="140" t="s">
        <v>108</v>
      </c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  <c r="AE79" s="140"/>
      <c r="AF79" s="140"/>
      <c r="AG79" s="140"/>
      <c r="AH79" s="140"/>
      <c r="AI79" s="140"/>
      <c r="AJ79" s="140"/>
    </row>
    <row r="80" spans="1:36" ht="8.25" customHeight="1" x14ac:dyDescent="0.25">
      <c r="A80" s="137" t="s">
        <v>4</v>
      </c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</row>
    <row r="81" spans="1:36" s="26" customFormat="1" ht="12" customHeight="1" x14ac:dyDescent="0.2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</row>
    <row r="82" spans="1:36" ht="8.25" customHeight="1" x14ac:dyDescent="0.25">
      <c r="A82" s="137" t="s">
        <v>59</v>
      </c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</row>
    <row r="83" spans="1:36" s="26" customFormat="1" ht="12" customHeight="1" x14ac:dyDescent="0.2">
      <c r="A83" s="26" t="s">
        <v>3</v>
      </c>
    </row>
    <row r="84" spans="1:36" s="26" customFormat="1" ht="12" customHeight="1" x14ac:dyDescent="0.2">
      <c r="A84" s="135" t="s">
        <v>179</v>
      </c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ht="9" customHeight="1" x14ac:dyDescent="0.25">
      <c r="A85" s="137" t="s">
        <v>32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26" t="s">
        <v>2</v>
      </c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s="26" customFormat="1" ht="6" customHeight="1" x14ac:dyDescent="0.2">
      <c r="D87" s="41"/>
      <c r="E87" s="41"/>
      <c r="F87" s="41"/>
      <c r="G87" s="41"/>
      <c r="H87" s="41"/>
      <c r="I87" s="41"/>
      <c r="J87" s="41"/>
    </row>
    <row r="88" spans="1:36" s="26" customFormat="1" ht="12" customHeight="1" x14ac:dyDescent="0.2">
      <c r="A88" s="26" t="s">
        <v>102</v>
      </c>
      <c r="H88" s="135"/>
      <c r="I88" s="135"/>
      <c r="J88" s="26" t="s">
        <v>33</v>
      </c>
    </row>
    <row r="89" spans="1:36" s="26" customFormat="1" ht="4.5" customHeight="1" x14ac:dyDescent="0.2"/>
    <row r="90" spans="1:36" s="26" customFormat="1" ht="12" customHeight="1" x14ac:dyDescent="0.2">
      <c r="A90" s="26" t="s">
        <v>1</v>
      </c>
    </row>
    <row r="91" spans="1:36" s="26" customFormat="1" ht="12" customHeight="1" x14ac:dyDescent="0.2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</row>
    <row r="92" spans="1:36" ht="9.75" customHeight="1" x14ac:dyDescent="0.25">
      <c r="A92" s="137" t="s">
        <v>0</v>
      </c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</row>
    <row r="93" spans="1:36" ht="6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26" customFormat="1" ht="12" customHeight="1" x14ac:dyDescent="0.2">
      <c r="A94" s="26" t="s">
        <v>23</v>
      </c>
    </row>
    <row r="95" spans="1:36" s="26" customFormat="1" ht="12" customHeight="1" x14ac:dyDescent="0.2">
      <c r="A95" s="26" t="s">
        <v>24</v>
      </c>
    </row>
    <row r="96" spans="1:36" s="26" customFormat="1" ht="12" customHeight="1" x14ac:dyDescent="0.2">
      <c r="A96" s="135" t="str">
        <f>'Данные объект'!B33</f>
        <v>Алексанян Г.Р.</v>
      </c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135"/>
      <c r="AC96" s="135"/>
      <c r="AD96" s="135"/>
      <c r="AE96" s="135"/>
      <c r="AF96" s="135"/>
      <c r="AG96" s="135"/>
      <c r="AH96" s="135"/>
      <c r="AI96" s="135"/>
      <c r="AJ96" s="135"/>
    </row>
    <row r="97" spans="1:36" ht="9" customHeight="1" x14ac:dyDescent="0.25">
      <c r="A97" s="133" t="s">
        <v>35</v>
      </c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7"/>
      <c r="Q97" s="17"/>
      <c r="R97" s="17"/>
      <c r="S97" s="17"/>
      <c r="T97" s="17"/>
      <c r="U97" s="16"/>
      <c r="V97" s="16"/>
      <c r="W97" s="16"/>
      <c r="X97" s="16"/>
      <c r="Y97" s="16"/>
      <c r="Z97" s="16"/>
      <c r="AA97" s="16"/>
      <c r="AB97" s="134" t="s">
        <v>34</v>
      </c>
      <c r="AC97" s="134"/>
      <c r="AD97" s="134"/>
      <c r="AE97" s="134"/>
      <c r="AF97" s="134"/>
      <c r="AG97" s="134"/>
      <c r="AH97" s="134"/>
      <c r="AI97" s="134"/>
      <c r="AJ97" s="134"/>
    </row>
    <row r="98" spans="1:36" s="26" customFormat="1" ht="12" customHeight="1" x14ac:dyDescent="0.2">
      <c r="A98" s="26" t="s">
        <v>25</v>
      </c>
    </row>
    <row r="99" spans="1:36" s="26" customFormat="1" ht="12" customHeight="1" x14ac:dyDescent="0.2">
      <c r="A99" s="135" t="str">
        <f>'Данные объект'!B20</f>
        <v>Волков М.Ю.</v>
      </c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135"/>
      <c r="AC99" s="135"/>
      <c r="AD99" s="135"/>
      <c r="AE99" s="135"/>
      <c r="AF99" s="135"/>
      <c r="AG99" s="135"/>
      <c r="AH99" s="135"/>
      <c r="AI99" s="135"/>
      <c r="AJ99" s="135"/>
    </row>
    <row r="100" spans="1:36" ht="9" customHeight="1" x14ac:dyDescent="0.25">
      <c r="A100" s="133" t="s">
        <v>35</v>
      </c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7"/>
      <c r="Q100" s="17"/>
      <c r="R100" s="17"/>
      <c r="S100" s="17"/>
      <c r="T100" s="17"/>
      <c r="U100" s="16"/>
      <c r="V100" s="16"/>
      <c r="W100" s="16"/>
      <c r="X100" s="16"/>
      <c r="Y100" s="16"/>
      <c r="Z100" s="16"/>
      <c r="AA100" s="16"/>
      <c r="AB100" s="134" t="s">
        <v>34</v>
      </c>
      <c r="AC100" s="134"/>
      <c r="AD100" s="134"/>
      <c r="AE100" s="134"/>
      <c r="AF100" s="134"/>
      <c r="AG100" s="134"/>
      <c r="AH100" s="134"/>
      <c r="AI100" s="134"/>
      <c r="AJ100" s="134"/>
    </row>
    <row r="101" spans="1:36" s="26" customFormat="1" ht="12" customHeight="1" x14ac:dyDescent="0.2">
      <c r="A101" s="26" t="s">
        <v>27</v>
      </c>
    </row>
    <row r="102" spans="1:36" s="26" customFormat="1" ht="12" customHeight="1" x14ac:dyDescent="0.2">
      <c r="A102" s="26" t="s">
        <v>28</v>
      </c>
    </row>
    <row r="103" spans="1:36" s="26" customFormat="1" ht="12" customHeight="1" x14ac:dyDescent="0.2">
      <c r="A103" s="135" t="str">
        <f>'Данные объект'!B17</f>
        <v>Русин В.А.</v>
      </c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135"/>
      <c r="AC103" s="135"/>
      <c r="AD103" s="135"/>
      <c r="AE103" s="135"/>
      <c r="AF103" s="135"/>
      <c r="AG103" s="135"/>
      <c r="AH103" s="135"/>
      <c r="AI103" s="135"/>
      <c r="AJ103" s="135"/>
    </row>
    <row r="104" spans="1:36" ht="9" customHeight="1" x14ac:dyDescent="0.25">
      <c r="A104" s="133" t="s">
        <v>35</v>
      </c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7"/>
      <c r="Q104" s="17"/>
      <c r="R104" s="17"/>
      <c r="S104" s="17"/>
      <c r="T104" s="17"/>
      <c r="U104" s="16"/>
      <c r="V104" s="16"/>
      <c r="W104" s="16"/>
      <c r="X104" s="16"/>
      <c r="Y104" s="16"/>
      <c r="Z104" s="16"/>
      <c r="AA104" s="16"/>
      <c r="AB104" s="134" t="s">
        <v>34</v>
      </c>
      <c r="AC104" s="134"/>
      <c r="AD104" s="134"/>
      <c r="AE104" s="134"/>
      <c r="AF104" s="134"/>
      <c r="AG104" s="134"/>
      <c r="AH104" s="134"/>
      <c r="AI104" s="134"/>
      <c r="AJ104" s="134"/>
    </row>
    <row r="105" spans="1:36" s="26" customFormat="1" ht="39" customHeight="1" x14ac:dyDescent="0.2">
      <c r="A105" s="136" t="s">
        <v>53</v>
      </c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</row>
    <row r="106" spans="1:36" s="26" customFormat="1" ht="12" customHeight="1" x14ac:dyDescent="0.2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135"/>
      <c r="AC106" s="135"/>
      <c r="AD106" s="135"/>
      <c r="AE106" s="135"/>
      <c r="AF106" s="135"/>
      <c r="AG106" s="135"/>
      <c r="AH106" s="135"/>
      <c r="AI106" s="135"/>
      <c r="AJ106" s="135"/>
    </row>
    <row r="107" spans="1:36" ht="9" customHeight="1" x14ac:dyDescent="0.25">
      <c r="A107" s="133" t="s">
        <v>35</v>
      </c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7"/>
      <c r="Q107" s="17"/>
      <c r="R107" s="17"/>
      <c r="S107" s="17"/>
      <c r="T107" s="17"/>
      <c r="U107" s="16"/>
      <c r="V107" s="16"/>
      <c r="W107" s="16"/>
      <c r="X107" s="16"/>
      <c r="Y107" s="16"/>
      <c r="Z107" s="16"/>
      <c r="AA107" s="16"/>
      <c r="AB107" s="134" t="s">
        <v>34</v>
      </c>
      <c r="AC107" s="134"/>
      <c r="AD107" s="134"/>
      <c r="AE107" s="134"/>
      <c r="AF107" s="134"/>
      <c r="AG107" s="134"/>
      <c r="AH107" s="134"/>
      <c r="AI107" s="134"/>
      <c r="AJ107" s="134"/>
    </row>
    <row r="108" spans="1:36" s="26" customFormat="1" ht="40.5" hidden="1" customHeight="1" x14ac:dyDescent="0.2">
      <c r="A108" s="136" t="s">
        <v>55</v>
      </c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</row>
    <row r="109" spans="1:36" s="26" customFormat="1" ht="12" hidden="1" customHeight="1" x14ac:dyDescent="0.2">
      <c r="A109" s="135" t="e">
        <f>#REF!</f>
        <v>#REF!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135"/>
      <c r="AC109" s="135"/>
      <c r="AD109" s="135"/>
      <c r="AE109" s="135"/>
      <c r="AF109" s="135"/>
      <c r="AG109" s="135"/>
      <c r="AH109" s="135"/>
      <c r="AI109" s="135"/>
      <c r="AJ109" s="135"/>
    </row>
    <row r="110" spans="1:36" ht="9" hidden="1" customHeight="1" x14ac:dyDescent="0.25">
      <c r="A110" s="133" t="s">
        <v>35</v>
      </c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4" t="s">
        <v>34</v>
      </c>
      <c r="AC110" s="134"/>
      <c r="AD110" s="134"/>
      <c r="AE110" s="134"/>
      <c r="AF110" s="134"/>
      <c r="AG110" s="134"/>
      <c r="AH110" s="134"/>
      <c r="AI110" s="134"/>
      <c r="AJ110" s="134"/>
    </row>
    <row r="111" spans="1:36" ht="12" customHeight="1" x14ac:dyDescent="0.25"/>
  </sheetData>
  <mergeCells count="94">
    <mergeCell ref="A60:AJ60"/>
    <mergeCell ref="AB33:AI33"/>
    <mergeCell ref="AB34:AI34"/>
    <mergeCell ref="P75:W75"/>
    <mergeCell ref="P76:W76"/>
    <mergeCell ref="A36:AJ36"/>
    <mergeCell ref="A44:AJ44"/>
    <mergeCell ref="E33:G33"/>
    <mergeCell ref="A48:AJ48"/>
    <mergeCell ref="A42:AJ42"/>
    <mergeCell ref="A38:AJ38"/>
    <mergeCell ref="A43:AJ43"/>
    <mergeCell ref="A45:AJ45"/>
    <mergeCell ref="G71:AJ71"/>
    <mergeCell ref="P65:AJ65"/>
    <mergeCell ref="A46:AJ46"/>
    <mergeCell ref="A80:AJ80"/>
    <mergeCell ref="A81:AJ81"/>
    <mergeCell ref="AB99:AJ99"/>
    <mergeCell ref="AB96:AJ96"/>
    <mergeCell ref="A96:O96"/>
    <mergeCell ref="A99:O99"/>
    <mergeCell ref="L86:AJ86"/>
    <mergeCell ref="H88:I88"/>
    <mergeCell ref="A85:AJ85"/>
    <mergeCell ref="A82:AJ82"/>
    <mergeCell ref="A84:AJ84"/>
    <mergeCell ref="A91:AJ91"/>
    <mergeCell ref="A92:AJ92"/>
    <mergeCell ref="A26:AJ26"/>
    <mergeCell ref="A27:AJ27"/>
    <mergeCell ref="A28:AJ28"/>
    <mergeCell ref="A30:AJ30"/>
    <mergeCell ref="A20:AJ20"/>
    <mergeCell ref="A21:AJ21"/>
    <mergeCell ref="A24:AJ24"/>
    <mergeCell ref="A25:AJ25"/>
    <mergeCell ref="A13:AJ13"/>
    <mergeCell ref="A7:AJ8"/>
    <mergeCell ref="A14:AJ14"/>
    <mergeCell ref="A23:AJ23"/>
    <mergeCell ref="A11:AJ11"/>
    <mergeCell ref="A12:AJ12"/>
    <mergeCell ref="A16:AJ16"/>
    <mergeCell ref="A17:AJ17"/>
    <mergeCell ref="A18:AJ18"/>
    <mergeCell ref="A19:AJ19"/>
    <mergeCell ref="A4:AJ4"/>
    <mergeCell ref="A5:AJ5"/>
    <mergeCell ref="A6:AJ6"/>
    <mergeCell ref="A9:AJ9"/>
    <mergeCell ref="A10:AJ10"/>
    <mergeCell ref="A31:AJ31"/>
    <mergeCell ref="A37:AJ37"/>
    <mergeCell ref="A107:O107"/>
    <mergeCell ref="AB107:AJ107"/>
    <mergeCell ref="A103:O103"/>
    <mergeCell ref="A39:AJ39"/>
    <mergeCell ref="A40:AJ40"/>
    <mergeCell ref="A57:AJ57"/>
    <mergeCell ref="A56:AJ56"/>
    <mergeCell ref="A49:AJ49"/>
    <mergeCell ref="A51:AJ51"/>
    <mergeCell ref="A52:AJ52"/>
    <mergeCell ref="A53:AJ53"/>
    <mergeCell ref="A54:AJ54"/>
    <mergeCell ref="A61:AJ61"/>
    <mergeCell ref="A63:AJ63"/>
    <mergeCell ref="A109:O109"/>
    <mergeCell ref="AB109:AJ109"/>
    <mergeCell ref="A110:O110"/>
    <mergeCell ref="AB110:AJ110"/>
    <mergeCell ref="A108:AJ108"/>
    <mergeCell ref="A106:O106"/>
    <mergeCell ref="AB106:AJ106"/>
    <mergeCell ref="A105:AJ105"/>
    <mergeCell ref="A100:O100"/>
    <mergeCell ref="AB100:AJ100"/>
    <mergeCell ref="A47:AJ47"/>
    <mergeCell ref="A50:AJ50"/>
    <mergeCell ref="AB103:AJ103"/>
    <mergeCell ref="A104:O104"/>
    <mergeCell ref="AB104:AJ104"/>
    <mergeCell ref="A97:O97"/>
    <mergeCell ref="AB97:AJ97"/>
    <mergeCell ref="A64:AJ64"/>
    <mergeCell ref="A72:AJ72"/>
    <mergeCell ref="A73:AJ73"/>
    <mergeCell ref="G70:AJ70"/>
    <mergeCell ref="P66:AJ66"/>
    <mergeCell ref="A67:AJ67"/>
    <mergeCell ref="A68:AJ68"/>
    <mergeCell ref="A71:B71"/>
    <mergeCell ref="A79:AJ79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57"/>
    <pageSetUpPr fitToPage="1"/>
  </sheetPr>
  <dimension ref="A1:AQ112"/>
  <sheetViews>
    <sheetView view="pageBreakPreview" topLeftCell="A37" zoomScale="125" zoomScaleNormal="125" zoomScaleSheetLayoutView="125" workbookViewId="0">
      <selection activeCell="AS59" sqref="AS59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24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f>'АОСР-5'!C33+1</f>
        <v>15</v>
      </c>
      <c r="D33" s="31"/>
      <c r="E33" s="135" t="s">
        <v>90</v>
      </c>
      <c r="F33" s="135"/>
      <c r="G33" s="135"/>
      <c r="H33" s="32"/>
      <c r="I33" s="32"/>
      <c r="J33" s="32"/>
      <c r="X33" s="27"/>
      <c r="Y33" s="38"/>
      <c r="Z33" s="38"/>
      <c r="AB33" s="139">
        <f>'Данные объект'!B7</f>
        <v>46219</v>
      </c>
      <c r="AC33" s="139"/>
      <c r="AD33" s="139"/>
      <c r="AE33" s="139"/>
      <c r="AF33" s="139"/>
      <c r="AG33" s="139"/>
      <c r="AH33" s="139"/>
      <c r="AI33" s="139"/>
      <c r="AJ33" s="26" t="s">
        <v>6</v>
      </c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s="26" customFormat="1" ht="36.75" customHeight="1" x14ac:dyDescent="0.2">
      <c r="A47" s="136" t="s">
        <v>53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</row>
    <row r="48" spans="1:36" s="33" customFormat="1" ht="12.95" customHeight="1" x14ac:dyDescent="0.2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</row>
    <row r="49" spans="1:36" ht="29.25" customHeight="1" x14ac:dyDescent="0.25">
      <c r="A49" s="137" t="s">
        <v>54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25.5" hidden="1" customHeight="1" x14ac:dyDescent="0.2">
      <c r="A50" s="136" t="s">
        <v>55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26" customFormat="1" ht="12" hidden="1" customHeight="1" x14ac:dyDescent="0.2">
      <c r="A51" s="141" t="e">
        <f>CONCATENATE(#REF!,", ",#REF!," - ",#REF!)</f>
        <v>#REF!</v>
      </c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</row>
    <row r="52" spans="1:36" ht="9.75" hidden="1" customHeight="1" x14ac:dyDescent="0.25">
      <c r="A52" s="137" t="s">
        <v>29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12" hidden="1" customHeight="1" x14ac:dyDescent="0.2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</row>
    <row r="54" spans="1:36" ht="16.5" hidden="1" customHeight="1" x14ac:dyDescent="0.25">
      <c r="A54" s="137" t="s">
        <v>56</v>
      </c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</row>
    <row r="55" spans="1:36" s="26" customFormat="1" ht="12" customHeight="1" x14ac:dyDescent="0.2">
      <c r="A55" s="26" t="s">
        <v>16</v>
      </c>
    </row>
    <row r="56" spans="1:36" s="26" customFormat="1" ht="12.95" customHeight="1" x14ac:dyDescent="0.2">
      <c r="A56" s="135" t="str">
        <f>'Данные объект'!B11</f>
        <v>ООО"Энергосистемы"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ht="10.5" customHeight="1" x14ac:dyDescent="0.25">
      <c r="A57" s="133" t="s">
        <v>40</v>
      </c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</row>
    <row r="58" spans="1:36" s="26" customFormat="1" ht="12" customHeight="1" x14ac:dyDescent="0.2">
      <c r="A58" s="26" t="s">
        <v>15</v>
      </c>
    </row>
    <row r="59" spans="1:36" s="26" customFormat="1" ht="12" customHeight="1" x14ac:dyDescent="0.2">
      <c r="A59" s="26" t="s">
        <v>30</v>
      </c>
    </row>
    <row r="60" spans="1:36" s="26" customFormat="1" ht="12" customHeight="1" x14ac:dyDescent="0.2">
      <c r="A60" s="79" t="s">
        <v>167</v>
      </c>
      <c r="B60" s="79"/>
      <c r="C60" s="79"/>
      <c r="D60" s="79"/>
      <c r="E60" s="79"/>
      <c r="F60" s="79"/>
      <c r="G60" s="79"/>
      <c r="H60" s="79"/>
      <c r="I60" s="79"/>
      <c r="J60" s="79"/>
      <c r="K60" s="146" t="str">
        <f>'Данные объект'!B9</f>
        <v>2БРП №171</v>
      </c>
      <c r="L60" s="146"/>
      <c r="M60" s="146"/>
      <c r="N60" s="146"/>
      <c r="O60" s="79" t="s">
        <v>168</v>
      </c>
      <c r="P60" s="165"/>
      <c r="Q60" s="165"/>
      <c r="R60" s="165"/>
      <c r="S60" s="141" t="s">
        <v>85</v>
      </c>
      <c r="T60" s="141"/>
      <c r="U60" s="141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</row>
    <row r="61" spans="1:36" ht="8.25" customHeight="1" x14ac:dyDescent="0.25">
      <c r="A61" s="137" t="s">
        <v>14</v>
      </c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</row>
    <row r="62" spans="1:36" s="26" customFormat="1" ht="12" customHeight="1" x14ac:dyDescent="0.2">
      <c r="A62" s="26" t="s">
        <v>13</v>
      </c>
    </row>
    <row r="63" spans="1:36" s="26" customFormat="1" ht="12" customHeight="1" x14ac:dyDescent="0.2">
      <c r="A63" s="141" t="str">
        <f>'Данные объект'!B40</f>
        <v>4980-325834-216-09/24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</row>
    <row r="64" spans="1:36" ht="15" customHeight="1" x14ac:dyDescent="0.25">
      <c r="A64" s="137" t="s">
        <v>41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12</v>
      </c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</row>
    <row r="66" spans="1:36" s="2" customFormat="1" ht="7.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134" t="s">
        <v>57</v>
      </c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</row>
    <row r="67" spans="1:36" s="26" customFormat="1" ht="12" customHeight="1" x14ac:dyDescent="0.2">
      <c r="A67" s="152"/>
      <c r="B67" s="152"/>
      <c r="C67" s="152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34"/>
      <c r="AG67" s="34"/>
      <c r="AH67" s="34"/>
      <c r="AI67" s="34"/>
      <c r="AJ67" s="34"/>
    </row>
    <row r="68" spans="1:36" ht="18.75" customHeight="1" x14ac:dyDescent="0.25">
      <c r="A68" s="137" t="s">
        <v>58</v>
      </c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  <c r="AI68" s="138"/>
      <c r="AJ68" s="138"/>
    </row>
    <row r="69" spans="1:36" s="26" customFormat="1" ht="12" customHeight="1" x14ac:dyDescent="0.2">
      <c r="A69" s="26" t="s">
        <v>11</v>
      </c>
    </row>
    <row r="70" spans="1:36" s="26" customFormat="1" ht="12" customHeight="1" x14ac:dyDescent="0.2">
      <c r="A70" s="26" t="s">
        <v>10</v>
      </c>
      <c r="G70" s="140" t="s">
        <v>91</v>
      </c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</row>
    <row r="71" spans="1:36" ht="7.5" customHeight="1" x14ac:dyDescent="0.25">
      <c r="A71" s="142"/>
      <c r="B71" s="142"/>
      <c r="C71" s="8"/>
      <c r="D71" s="8"/>
      <c r="E71" s="8"/>
      <c r="F71" s="8"/>
      <c r="G71" s="138" t="s">
        <v>9</v>
      </c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</row>
    <row r="72" spans="1:36" s="26" customFormat="1" ht="12" customHeight="1" x14ac:dyDescent="0.2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</row>
    <row r="73" spans="1:36" ht="7.5" customHeight="1" x14ac:dyDescent="0.25">
      <c r="A73" s="137" t="s">
        <v>31</v>
      </c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ht="9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13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spans="1:36" s="26" customFormat="1" ht="12" customHeight="1" x14ac:dyDescent="0.2">
      <c r="A75" s="26" t="s">
        <v>8</v>
      </c>
      <c r="D75" s="35"/>
      <c r="E75" s="35"/>
      <c r="F75" s="35"/>
      <c r="G75" s="35"/>
      <c r="L75" s="27"/>
      <c r="M75" s="38"/>
      <c r="N75" s="38"/>
      <c r="P75" s="139">
        <f>'Данные объект'!B6</f>
        <v>45949</v>
      </c>
      <c r="Q75" s="139"/>
      <c r="R75" s="139"/>
      <c r="S75" s="139"/>
      <c r="T75" s="139"/>
      <c r="U75" s="139"/>
      <c r="V75" s="139"/>
      <c r="W75" s="139"/>
      <c r="X75" s="26" t="s">
        <v>6</v>
      </c>
    </row>
    <row r="76" spans="1:36" s="26" customFormat="1" ht="12" customHeight="1" x14ac:dyDescent="0.2">
      <c r="A76" s="26" t="s">
        <v>7</v>
      </c>
      <c r="D76" s="35"/>
      <c r="E76" s="35"/>
      <c r="F76" s="35"/>
      <c r="G76" s="35"/>
      <c r="L76" s="27"/>
      <c r="M76" s="38"/>
      <c r="N76" s="38"/>
      <c r="P76" s="158">
        <f>'Данные объект'!B7</f>
        <v>46219</v>
      </c>
      <c r="Q76" s="158"/>
      <c r="R76" s="158"/>
      <c r="S76" s="158"/>
      <c r="T76" s="158"/>
      <c r="U76" s="158"/>
      <c r="V76" s="158"/>
      <c r="W76" s="158"/>
      <c r="X76" s="26" t="s">
        <v>6</v>
      </c>
    </row>
    <row r="77" spans="1:36" ht="7.5" customHeight="1" x14ac:dyDescent="0.25">
      <c r="A77" s="6"/>
      <c r="B77" s="6"/>
      <c r="C77" s="6"/>
      <c r="D77" s="5"/>
      <c r="E77" s="5"/>
      <c r="F77" s="5"/>
      <c r="G77" s="5"/>
    </row>
    <row r="78" spans="1:36" s="26" customFormat="1" ht="12" customHeight="1" x14ac:dyDescent="0.2">
      <c r="A78" s="26" t="s">
        <v>5</v>
      </c>
    </row>
    <row r="79" spans="1:36" s="26" customFormat="1" ht="12" customHeight="1" x14ac:dyDescent="0.2">
      <c r="A79" s="140" t="s">
        <v>108</v>
      </c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  <c r="AE79" s="140"/>
      <c r="AF79" s="140"/>
      <c r="AG79" s="140"/>
      <c r="AH79" s="140"/>
      <c r="AI79" s="140"/>
      <c r="AJ79" s="140"/>
    </row>
    <row r="80" spans="1:36" ht="8.25" customHeight="1" x14ac:dyDescent="0.25">
      <c r="A80" s="137" t="s">
        <v>4</v>
      </c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</row>
    <row r="81" spans="1:36" s="26" customFormat="1" ht="12" customHeight="1" x14ac:dyDescent="0.2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</row>
    <row r="82" spans="1:36" ht="8.25" customHeight="1" x14ac:dyDescent="0.25">
      <c r="A82" s="137" t="s">
        <v>59</v>
      </c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</row>
    <row r="83" spans="1:36" s="26" customFormat="1" ht="12" customHeight="1" x14ac:dyDescent="0.2">
      <c r="A83" s="26" t="s">
        <v>3</v>
      </c>
    </row>
    <row r="84" spans="1:36" s="26" customFormat="1" ht="12" customHeight="1" x14ac:dyDescent="0.2">
      <c r="A84" s="135" t="s">
        <v>92</v>
      </c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</row>
    <row r="85" spans="1:36" ht="9" customHeight="1" x14ac:dyDescent="0.25">
      <c r="A85" s="137" t="s">
        <v>32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26" t="s">
        <v>2</v>
      </c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s="26" customFormat="1" ht="6" customHeight="1" x14ac:dyDescent="0.2">
      <c r="D87" s="41"/>
      <c r="E87" s="41"/>
      <c r="F87" s="41"/>
      <c r="G87" s="41"/>
      <c r="H87" s="41"/>
      <c r="I87" s="41"/>
      <c r="J87" s="41"/>
    </row>
    <row r="88" spans="1:36" s="26" customFormat="1" ht="12" customHeight="1" x14ac:dyDescent="0.2">
      <c r="A88" s="26" t="s">
        <v>102</v>
      </c>
      <c r="H88" s="135"/>
      <c r="I88" s="135"/>
      <c r="J88" s="26" t="s">
        <v>33</v>
      </c>
    </row>
    <row r="89" spans="1:36" s="26" customFormat="1" ht="4.5" customHeight="1" x14ac:dyDescent="0.2"/>
    <row r="90" spans="1:36" s="26" customFormat="1" ht="12" customHeight="1" x14ac:dyDescent="0.2">
      <c r="A90" s="26" t="s">
        <v>1</v>
      </c>
    </row>
    <row r="91" spans="1:36" s="26" customFormat="1" ht="12" customHeight="1" x14ac:dyDescent="0.2">
      <c r="A91" s="31" t="s">
        <v>87</v>
      </c>
      <c r="B91" s="140" t="str">
        <f>G70</f>
        <v>Исполнительная схема заземления ТП</v>
      </c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31" t="s">
        <v>76</v>
      </c>
      <c r="R91" s="31" t="s">
        <v>88</v>
      </c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</row>
    <row r="92" spans="1:36" ht="12" hidden="1" customHeight="1" x14ac:dyDescent="0.25">
      <c r="A92" s="25" t="s">
        <v>89</v>
      </c>
      <c r="B92" s="163">
        <f>H67</f>
        <v>0</v>
      </c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25" t="s">
        <v>76</v>
      </c>
      <c r="R92" s="25" t="s">
        <v>88</v>
      </c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</row>
    <row r="93" spans="1:36" ht="9.75" customHeight="1" x14ac:dyDescent="0.25">
      <c r="A93" s="137" t="s">
        <v>0</v>
      </c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  <c r="AE93" s="138"/>
      <c r="AF93" s="138"/>
      <c r="AG93" s="138"/>
      <c r="AH93" s="138"/>
      <c r="AI93" s="138"/>
      <c r="AJ93" s="138"/>
    </row>
    <row r="94" spans="1:36" ht="6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26" customFormat="1" ht="12" customHeight="1" x14ac:dyDescent="0.2">
      <c r="A95" s="26" t="s">
        <v>23</v>
      </c>
    </row>
    <row r="96" spans="1:36" s="26" customFormat="1" ht="12" customHeight="1" x14ac:dyDescent="0.2">
      <c r="A96" s="26" t="s">
        <v>24</v>
      </c>
    </row>
    <row r="97" spans="1:36" s="26" customFormat="1" ht="12" customHeight="1" x14ac:dyDescent="0.2">
      <c r="A97" s="135" t="str">
        <f>'Данные объект'!B33</f>
        <v>Алексанян Г.Р.</v>
      </c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135"/>
      <c r="AC97" s="135"/>
      <c r="AD97" s="135"/>
      <c r="AE97" s="135"/>
      <c r="AF97" s="135"/>
      <c r="AG97" s="135"/>
      <c r="AH97" s="135"/>
      <c r="AI97" s="135"/>
      <c r="AJ97" s="135"/>
    </row>
    <row r="98" spans="1:36" ht="9" customHeight="1" x14ac:dyDescent="0.25">
      <c r="A98" s="133" t="s">
        <v>35</v>
      </c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7"/>
      <c r="Q98" s="17"/>
      <c r="R98" s="17"/>
      <c r="S98" s="17"/>
      <c r="T98" s="17"/>
      <c r="U98" s="16"/>
      <c r="V98" s="16"/>
      <c r="W98" s="16"/>
      <c r="X98" s="16"/>
      <c r="Y98" s="16"/>
      <c r="Z98" s="16"/>
      <c r="AA98" s="16"/>
      <c r="AB98" s="134" t="s">
        <v>34</v>
      </c>
      <c r="AC98" s="134"/>
      <c r="AD98" s="134"/>
      <c r="AE98" s="134"/>
      <c r="AF98" s="134"/>
      <c r="AG98" s="134"/>
      <c r="AH98" s="134"/>
      <c r="AI98" s="134"/>
      <c r="AJ98" s="134"/>
    </row>
    <row r="99" spans="1:36" s="26" customFormat="1" ht="12" customHeight="1" x14ac:dyDescent="0.2">
      <c r="A99" s="26" t="s">
        <v>25</v>
      </c>
    </row>
    <row r="100" spans="1:36" s="26" customFormat="1" ht="12" customHeight="1" x14ac:dyDescent="0.2">
      <c r="A100" s="135" t="str">
        <f>'Данные объект'!B20</f>
        <v>Волков М.Ю.</v>
      </c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135"/>
      <c r="AC100" s="135"/>
      <c r="AD100" s="135"/>
      <c r="AE100" s="135"/>
      <c r="AF100" s="135"/>
      <c r="AG100" s="135"/>
      <c r="AH100" s="135"/>
      <c r="AI100" s="135"/>
      <c r="AJ100" s="135"/>
    </row>
    <row r="101" spans="1:36" ht="9" customHeight="1" x14ac:dyDescent="0.25">
      <c r="A101" s="133" t="s">
        <v>35</v>
      </c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7"/>
      <c r="Q101" s="17"/>
      <c r="R101" s="17"/>
      <c r="S101" s="17"/>
      <c r="T101" s="17"/>
      <c r="U101" s="16"/>
      <c r="V101" s="16"/>
      <c r="W101" s="16"/>
      <c r="X101" s="16"/>
      <c r="Y101" s="16"/>
      <c r="Z101" s="16"/>
      <c r="AA101" s="16"/>
      <c r="AB101" s="134" t="s">
        <v>34</v>
      </c>
      <c r="AC101" s="134"/>
      <c r="AD101" s="134"/>
      <c r="AE101" s="134"/>
      <c r="AF101" s="134"/>
      <c r="AG101" s="134"/>
      <c r="AH101" s="134"/>
      <c r="AI101" s="134"/>
      <c r="AJ101" s="134"/>
    </row>
    <row r="102" spans="1:36" s="26" customFormat="1" ht="12" customHeight="1" x14ac:dyDescent="0.2">
      <c r="A102" s="26" t="s">
        <v>27</v>
      </c>
    </row>
    <row r="103" spans="1:36" s="26" customFormat="1" ht="12" customHeight="1" x14ac:dyDescent="0.2">
      <c r="A103" s="26" t="s">
        <v>28</v>
      </c>
    </row>
    <row r="104" spans="1:36" s="26" customFormat="1" ht="12" customHeight="1" x14ac:dyDescent="0.2">
      <c r="A104" s="135" t="str">
        <f>'Данные объект'!B17</f>
        <v>Русин В.А.</v>
      </c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135"/>
      <c r="AC104" s="135"/>
      <c r="AD104" s="135"/>
      <c r="AE104" s="135"/>
      <c r="AF104" s="135"/>
      <c r="AG104" s="135"/>
      <c r="AH104" s="135"/>
      <c r="AI104" s="135"/>
      <c r="AJ104" s="135"/>
    </row>
    <row r="105" spans="1:36" ht="9" customHeight="1" x14ac:dyDescent="0.25">
      <c r="A105" s="133" t="s">
        <v>35</v>
      </c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7"/>
      <c r="Q105" s="17"/>
      <c r="R105" s="17"/>
      <c r="S105" s="17"/>
      <c r="T105" s="17"/>
      <c r="U105" s="16"/>
      <c r="V105" s="16"/>
      <c r="W105" s="16"/>
      <c r="X105" s="16"/>
      <c r="Y105" s="16"/>
      <c r="Z105" s="16"/>
      <c r="AA105" s="16"/>
      <c r="AB105" s="134" t="s">
        <v>34</v>
      </c>
      <c r="AC105" s="134"/>
      <c r="AD105" s="134"/>
      <c r="AE105" s="134"/>
      <c r="AF105" s="134"/>
      <c r="AG105" s="134"/>
      <c r="AH105" s="134"/>
      <c r="AI105" s="134"/>
      <c r="AJ105" s="134"/>
    </row>
    <row r="106" spans="1:36" s="26" customFormat="1" ht="36" customHeight="1" x14ac:dyDescent="0.2">
      <c r="A106" s="136" t="s">
        <v>53</v>
      </c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</row>
    <row r="107" spans="1:36" s="26" customFormat="1" ht="12" customHeight="1" x14ac:dyDescent="0.2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135"/>
      <c r="AC107" s="135"/>
      <c r="AD107" s="135"/>
      <c r="AE107" s="135"/>
      <c r="AF107" s="135"/>
      <c r="AG107" s="135"/>
      <c r="AH107" s="135"/>
      <c r="AI107" s="135"/>
      <c r="AJ107" s="135"/>
    </row>
    <row r="108" spans="1:36" ht="9" customHeight="1" x14ac:dyDescent="0.25">
      <c r="A108" s="133" t="s">
        <v>35</v>
      </c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4" t="s">
        <v>34</v>
      </c>
      <c r="AC108" s="134"/>
      <c r="AD108" s="134"/>
      <c r="AE108" s="134"/>
      <c r="AF108" s="134"/>
      <c r="AG108" s="134"/>
      <c r="AH108" s="134"/>
      <c r="AI108" s="134"/>
      <c r="AJ108" s="134"/>
    </row>
    <row r="109" spans="1:36" s="26" customFormat="1" ht="40.5" hidden="1" customHeight="1" x14ac:dyDescent="0.2">
      <c r="A109" s="136" t="s">
        <v>55</v>
      </c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</row>
    <row r="110" spans="1:36" s="26" customFormat="1" ht="12" hidden="1" customHeight="1" x14ac:dyDescent="0.2">
      <c r="A110" s="135" t="e">
        <f>#REF!</f>
        <v>#REF!</v>
      </c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135"/>
      <c r="AC110" s="135"/>
      <c r="AD110" s="135"/>
      <c r="AE110" s="135"/>
      <c r="AF110" s="135"/>
      <c r="AG110" s="135"/>
      <c r="AH110" s="135"/>
      <c r="AI110" s="135"/>
      <c r="AJ110" s="135"/>
    </row>
    <row r="111" spans="1:36" ht="9" hidden="1" customHeight="1" x14ac:dyDescent="0.25">
      <c r="A111" s="133" t="s">
        <v>35</v>
      </c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7"/>
      <c r="Q111" s="17"/>
      <c r="R111" s="17"/>
      <c r="S111" s="17"/>
      <c r="T111" s="17"/>
      <c r="U111" s="16"/>
      <c r="V111" s="16"/>
      <c r="W111" s="16"/>
      <c r="X111" s="16"/>
      <c r="Y111" s="16"/>
      <c r="Z111" s="16"/>
      <c r="AA111" s="16"/>
      <c r="AB111" s="134" t="s">
        <v>34</v>
      </c>
      <c r="AC111" s="134"/>
      <c r="AD111" s="134"/>
      <c r="AE111" s="134"/>
      <c r="AF111" s="134"/>
      <c r="AG111" s="134"/>
      <c r="AH111" s="134"/>
      <c r="AI111" s="134"/>
      <c r="AJ111" s="134"/>
    </row>
    <row r="112" spans="1:36" ht="12" hidden="1" customHeight="1" x14ac:dyDescent="0.25"/>
  </sheetData>
  <mergeCells count="100">
    <mergeCell ref="A17:AJ17"/>
    <mergeCell ref="A4:AJ4"/>
    <mergeCell ref="A5:AJ5"/>
    <mergeCell ref="A6:AJ6"/>
    <mergeCell ref="A7:AJ8"/>
    <mergeCell ref="A9:AJ9"/>
    <mergeCell ref="A10:AJ10"/>
    <mergeCell ref="A11:AJ11"/>
    <mergeCell ref="A12:AJ12"/>
    <mergeCell ref="A13:AJ13"/>
    <mergeCell ref="A14:AJ14"/>
    <mergeCell ref="A16:AJ16"/>
    <mergeCell ref="A31:AJ31"/>
    <mergeCell ref="A18:AJ18"/>
    <mergeCell ref="A19:AJ19"/>
    <mergeCell ref="A20:AJ20"/>
    <mergeCell ref="A21:AJ21"/>
    <mergeCell ref="A23:AJ23"/>
    <mergeCell ref="A24:AJ24"/>
    <mergeCell ref="A25:AJ25"/>
    <mergeCell ref="A26:AJ26"/>
    <mergeCell ref="A27:AJ27"/>
    <mergeCell ref="A28:AJ28"/>
    <mergeCell ref="A30:AJ30"/>
    <mergeCell ref="A47:AJ47"/>
    <mergeCell ref="E33:G33"/>
    <mergeCell ref="A36:AJ36"/>
    <mergeCell ref="A37:AJ37"/>
    <mergeCell ref="AB33:AI33"/>
    <mergeCell ref="AB34:AI34"/>
    <mergeCell ref="A38:AJ38"/>
    <mergeCell ref="A39:AJ39"/>
    <mergeCell ref="A40:AJ40"/>
    <mergeCell ref="A42:AJ42"/>
    <mergeCell ref="A43:AJ43"/>
    <mergeCell ref="A44:AJ44"/>
    <mergeCell ref="A45:AJ45"/>
    <mergeCell ref="A46:AJ46"/>
    <mergeCell ref="A63:AJ63"/>
    <mergeCell ref="A48:AJ48"/>
    <mergeCell ref="A49:AJ49"/>
    <mergeCell ref="A50:AJ50"/>
    <mergeCell ref="A51:AJ51"/>
    <mergeCell ref="A52:AJ52"/>
    <mergeCell ref="A53:AJ53"/>
    <mergeCell ref="K60:N60"/>
    <mergeCell ref="S60:U60"/>
    <mergeCell ref="A54:AJ54"/>
    <mergeCell ref="A56:AJ56"/>
    <mergeCell ref="A57:AJ57"/>
    <mergeCell ref="P60:R60"/>
    <mergeCell ref="A61:AJ61"/>
    <mergeCell ref="A64:AJ64"/>
    <mergeCell ref="P65:AJ65"/>
    <mergeCell ref="P66:AJ66"/>
    <mergeCell ref="A67:C67"/>
    <mergeCell ref="D67:K67"/>
    <mergeCell ref="L67:M67"/>
    <mergeCell ref="N67:AE67"/>
    <mergeCell ref="A82:AJ82"/>
    <mergeCell ref="A68:AJ68"/>
    <mergeCell ref="G70:AJ70"/>
    <mergeCell ref="A71:B71"/>
    <mergeCell ref="G71:AJ71"/>
    <mergeCell ref="A72:AJ72"/>
    <mergeCell ref="A73:AJ73"/>
    <mergeCell ref="P75:W75"/>
    <mergeCell ref="A79:AJ79"/>
    <mergeCell ref="A80:AJ80"/>
    <mergeCell ref="A81:AJ81"/>
    <mergeCell ref="P76:W76"/>
    <mergeCell ref="A100:O100"/>
    <mergeCell ref="AB100:AJ100"/>
    <mergeCell ref="A101:O101"/>
    <mergeCell ref="A84:AJ84"/>
    <mergeCell ref="A85:AJ85"/>
    <mergeCell ref="L86:AJ86"/>
    <mergeCell ref="H88:I88"/>
    <mergeCell ref="B91:P91"/>
    <mergeCell ref="B92:P92"/>
    <mergeCell ref="A93:AJ93"/>
    <mergeCell ref="A97:O97"/>
    <mergeCell ref="AB97:AJ97"/>
    <mergeCell ref="A98:O98"/>
    <mergeCell ref="AB98:AJ98"/>
    <mergeCell ref="AB101:AJ101"/>
    <mergeCell ref="A104:O104"/>
    <mergeCell ref="AB104:AJ104"/>
    <mergeCell ref="A109:AJ109"/>
    <mergeCell ref="A110:O110"/>
    <mergeCell ref="AB110:AJ110"/>
    <mergeCell ref="A108:O108"/>
    <mergeCell ref="AB108:AJ108"/>
    <mergeCell ref="A111:O111"/>
    <mergeCell ref="AB111:AJ111"/>
    <mergeCell ref="A105:O105"/>
    <mergeCell ref="AB105:AJ105"/>
    <mergeCell ref="A106:AJ106"/>
    <mergeCell ref="A107:O107"/>
    <mergeCell ref="AB107:AJ107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57"/>
    <pageSetUpPr fitToPage="1"/>
  </sheetPr>
  <dimension ref="A1:AQ117"/>
  <sheetViews>
    <sheetView view="pageBreakPreview" topLeftCell="A43" zoomScale="125" zoomScaleNormal="125" zoomScaleSheetLayoutView="125" workbookViewId="0">
      <selection activeCell="A67" sqref="A67:F69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24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f>'АОСР-6'!C33+1</f>
        <v>16</v>
      </c>
      <c r="D33" s="31"/>
      <c r="E33" s="135" t="s">
        <v>90</v>
      </c>
      <c r="F33" s="135"/>
      <c r="G33" s="135"/>
      <c r="H33" s="32"/>
      <c r="I33" s="32"/>
      <c r="J33" s="32"/>
      <c r="X33" s="27"/>
      <c r="Y33" s="38"/>
      <c r="Z33" s="38"/>
      <c r="AB33" s="139">
        <f>'Данные объект'!B7</f>
        <v>46219</v>
      </c>
      <c r="AC33" s="139"/>
      <c r="AD33" s="139"/>
      <c r="AE33" s="139"/>
      <c r="AF33" s="139"/>
      <c r="AG33" s="139"/>
      <c r="AH33" s="139"/>
      <c r="AI33" s="139"/>
      <c r="AJ33" s="26" t="s">
        <v>6</v>
      </c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s="26" customFormat="1" ht="36.75" customHeight="1" x14ac:dyDescent="0.2">
      <c r="A47" s="136" t="s">
        <v>53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</row>
    <row r="48" spans="1:36" s="33" customFormat="1" ht="12.95" customHeight="1" x14ac:dyDescent="0.2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</row>
    <row r="49" spans="1:36" ht="29.25" customHeight="1" x14ac:dyDescent="0.25">
      <c r="A49" s="137" t="s">
        <v>54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25.5" hidden="1" customHeight="1" x14ac:dyDescent="0.2">
      <c r="A50" s="136" t="s">
        <v>55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26" customFormat="1" ht="12" hidden="1" customHeight="1" x14ac:dyDescent="0.2">
      <c r="A51" s="141" t="e">
        <f>CONCATENATE(#REF!,", ",#REF!," - ",#REF!)</f>
        <v>#REF!</v>
      </c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</row>
    <row r="52" spans="1:36" ht="9.75" hidden="1" customHeight="1" x14ac:dyDescent="0.25">
      <c r="A52" s="137" t="s">
        <v>29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12" hidden="1" customHeight="1" x14ac:dyDescent="0.2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</row>
    <row r="54" spans="1:36" ht="16.5" hidden="1" customHeight="1" x14ac:dyDescent="0.25">
      <c r="A54" s="137" t="s">
        <v>56</v>
      </c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</row>
    <row r="55" spans="1:36" s="26" customFormat="1" ht="12" customHeight="1" x14ac:dyDescent="0.2">
      <c r="A55" s="26" t="s">
        <v>16</v>
      </c>
    </row>
    <row r="56" spans="1:36" s="26" customFormat="1" ht="12.95" customHeight="1" x14ac:dyDescent="0.2">
      <c r="A56" s="135" t="str">
        <f>'Данные объект'!B11</f>
        <v>ООО"Энергосистемы"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ht="10.5" customHeight="1" x14ac:dyDescent="0.25">
      <c r="A57" s="133" t="s">
        <v>40</v>
      </c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</row>
    <row r="58" spans="1:36" s="26" customFormat="1" ht="12" customHeight="1" x14ac:dyDescent="0.2">
      <c r="A58" s="26" t="s">
        <v>15</v>
      </c>
    </row>
    <row r="59" spans="1:36" s="26" customFormat="1" ht="12" customHeight="1" x14ac:dyDescent="0.2">
      <c r="A59" s="26" t="s">
        <v>30</v>
      </c>
    </row>
    <row r="60" spans="1:36" s="26" customFormat="1" ht="12" customHeight="1" x14ac:dyDescent="0.2">
      <c r="A60" s="143" t="s">
        <v>169</v>
      </c>
      <c r="B60" s="143"/>
      <c r="C60" s="143"/>
      <c r="D60" s="143"/>
      <c r="E60" s="143"/>
      <c r="F60" s="143"/>
      <c r="G60" s="143"/>
      <c r="H60" s="143"/>
      <c r="I60" s="143"/>
      <c r="J60" s="146" t="str">
        <f>'Данные объект'!B9</f>
        <v>2БРП №171</v>
      </c>
      <c r="K60" s="146"/>
      <c r="L60" s="146"/>
      <c r="M60" s="146"/>
      <c r="N60" s="79"/>
      <c r="O60" s="79"/>
      <c r="P60" s="141"/>
      <c r="Q60" s="141"/>
      <c r="R60" s="141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</row>
    <row r="61" spans="1:36" ht="8.25" customHeight="1" x14ac:dyDescent="0.25">
      <c r="A61" s="137" t="s">
        <v>14</v>
      </c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</row>
    <row r="62" spans="1:36" s="26" customFormat="1" ht="12" customHeight="1" x14ac:dyDescent="0.2">
      <c r="A62" s="26" t="s">
        <v>13</v>
      </c>
    </row>
    <row r="63" spans="1:36" s="26" customFormat="1" ht="12" customHeight="1" x14ac:dyDescent="0.2">
      <c r="A63" s="141" t="str">
        <f>'Данные объект'!B40</f>
        <v>4980-325834-216-09/24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</row>
    <row r="64" spans="1:36" ht="15" customHeight="1" x14ac:dyDescent="0.25">
      <c r="A64" s="137" t="s">
        <v>41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12</v>
      </c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</row>
    <row r="66" spans="1:36" s="2" customFormat="1" ht="7.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134" t="s">
        <v>57</v>
      </c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</row>
    <row r="67" spans="1:36" s="26" customFormat="1" ht="12" customHeight="1" x14ac:dyDescent="0.2">
      <c r="A67" s="166" t="s">
        <v>93</v>
      </c>
      <c r="B67" s="166"/>
      <c r="C67" s="166"/>
      <c r="D67" s="166"/>
      <c r="E67" s="166"/>
      <c r="F67" s="166"/>
      <c r="G67" s="34" t="s">
        <v>76</v>
      </c>
      <c r="H67" s="165" t="s">
        <v>94</v>
      </c>
      <c r="I67" s="165"/>
      <c r="J67" s="152" t="s">
        <v>170</v>
      </c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34"/>
      <c r="AG67" s="34"/>
      <c r="AH67" s="34"/>
      <c r="AI67" s="34"/>
      <c r="AJ67" s="34"/>
    </row>
    <row r="68" spans="1:36" s="26" customFormat="1" ht="12" customHeight="1" x14ac:dyDescent="0.2">
      <c r="A68" s="166" t="s">
        <v>95</v>
      </c>
      <c r="B68" s="166"/>
      <c r="C68" s="166"/>
      <c r="D68" s="166"/>
      <c r="E68" s="166"/>
      <c r="F68" s="166"/>
      <c r="G68" s="34" t="s">
        <v>76</v>
      </c>
      <c r="H68" s="165" t="s">
        <v>94</v>
      </c>
      <c r="I68" s="165"/>
      <c r="J68" s="152" t="s">
        <v>170</v>
      </c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34"/>
      <c r="AG68" s="34"/>
      <c r="AH68" s="34"/>
      <c r="AI68" s="34"/>
      <c r="AJ68" s="34"/>
    </row>
    <row r="69" spans="1:36" s="26" customFormat="1" ht="12" customHeight="1" x14ac:dyDescent="0.2">
      <c r="A69" s="166" t="s">
        <v>103</v>
      </c>
      <c r="B69" s="166"/>
      <c r="C69" s="166"/>
      <c r="D69" s="166"/>
      <c r="E69" s="166"/>
      <c r="F69" s="166"/>
      <c r="G69" s="34" t="s">
        <v>76</v>
      </c>
      <c r="H69" s="165" t="s">
        <v>94</v>
      </c>
      <c r="I69" s="165"/>
      <c r="J69" s="152" t="s">
        <v>164</v>
      </c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34"/>
      <c r="AG69" s="34"/>
      <c r="AH69" s="34"/>
      <c r="AI69" s="34"/>
      <c r="AJ69" s="34"/>
    </row>
    <row r="70" spans="1:36" ht="18.75" customHeight="1" x14ac:dyDescent="0.25">
      <c r="A70" s="137" t="s">
        <v>58</v>
      </c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</row>
    <row r="71" spans="1:36" s="26" customFormat="1" ht="12" customHeight="1" x14ac:dyDescent="0.2">
      <c r="A71" s="26" t="s">
        <v>11</v>
      </c>
    </row>
    <row r="72" spans="1:36" s="26" customFormat="1" ht="12" customHeight="1" x14ac:dyDescent="0.2">
      <c r="A72" s="26" t="s">
        <v>10</v>
      </c>
      <c r="G72" s="140" t="s">
        <v>91</v>
      </c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  <c r="AJ72" s="140"/>
    </row>
    <row r="73" spans="1:36" ht="7.5" customHeight="1" x14ac:dyDescent="0.25">
      <c r="A73" s="142"/>
      <c r="B73" s="142"/>
      <c r="C73" s="8"/>
      <c r="D73" s="8"/>
      <c r="E73" s="8"/>
      <c r="F73" s="8"/>
      <c r="G73" s="138" t="s">
        <v>9</v>
      </c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s="26" customFormat="1" ht="12" customHeight="1" x14ac:dyDescent="0.2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</row>
    <row r="75" spans="1:36" ht="7.5" customHeight="1" x14ac:dyDescent="0.25">
      <c r="A75" s="137" t="s">
        <v>31</v>
      </c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</row>
    <row r="76" spans="1:36" ht="9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6" customFormat="1" ht="12" customHeight="1" x14ac:dyDescent="0.2">
      <c r="A77" s="26" t="s">
        <v>8</v>
      </c>
      <c r="D77" s="35"/>
      <c r="E77" s="35"/>
      <c r="F77" s="35"/>
      <c r="G77" s="35"/>
      <c r="L77" s="27"/>
      <c r="M77" s="38"/>
      <c r="N77" s="38"/>
      <c r="P77" s="139">
        <f>'Данные объект'!B6</f>
        <v>45949</v>
      </c>
      <c r="Q77" s="139"/>
      <c r="R77" s="139"/>
      <c r="S77" s="139"/>
      <c r="T77" s="139"/>
      <c r="U77" s="139"/>
      <c r="V77" s="139"/>
      <c r="W77" s="139"/>
      <c r="X77" s="26" t="s">
        <v>6</v>
      </c>
    </row>
    <row r="78" spans="1:36" s="26" customFormat="1" ht="12" customHeight="1" x14ac:dyDescent="0.2">
      <c r="A78" s="26" t="s">
        <v>7</v>
      </c>
      <c r="D78" s="35"/>
      <c r="E78" s="35"/>
      <c r="F78" s="35"/>
      <c r="G78" s="35"/>
      <c r="L78" s="27"/>
      <c r="M78" s="38"/>
      <c r="N78" s="38"/>
      <c r="P78" s="158">
        <f>'Данные объект'!B7</f>
        <v>46219</v>
      </c>
      <c r="Q78" s="158"/>
      <c r="R78" s="158"/>
      <c r="S78" s="158"/>
      <c r="T78" s="158"/>
      <c r="U78" s="158"/>
      <c r="V78" s="158"/>
      <c r="W78" s="158"/>
      <c r="X78" s="26" t="s">
        <v>6</v>
      </c>
    </row>
    <row r="79" spans="1:36" ht="7.5" customHeight="1" x14ac:dyDescent="0.25">
      <c r="A79" s="6"/>
      <c r="B79" s="6"/>
      <c r="C79" s="6"/>
      <c r="D79" s="5"/>
      <c r="E79" s="5"/>
      <c r="F79" s="5"/>
      <c r="G79" s="5"/>
    </row>
    <row r="80" spans="1:36" s="26" customFormat="1" ht="12" customHeight="1" x14ac:dyDescent="0.2">
      <c r="A80" s="26" t="s">
        <v>5</v>
      </c>
    </row>
    <row r="81" spans="1:36" s="26" customFormat="1" ht="12" customHeight="1" x14ac:dyDescent="0.2">
      <c r="A81" s="140" t="s">
        <v>108</v>
      </c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  <c r="AJ81" s="140"/>
    </row>
    <row r="82" spans="1:36" ht="8.25" customHeight="1" x14ac:dyDescent="0.25">
      <c r="A82" s="137" t="s">
        <v>4</v>
      </c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</row>
    <row r="83" spans="1:36" s="26" customFormat="1" ht="12" customHeight="1" x14ac:dyDescent="0.2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</row>
    <row r="84" spans="1:36" ht="8.25" customHeight="1" x14ac:dyDescent="0.25">
      <c r="A84" s="137" t="s">
        <v>59</v>
      </c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</row>
    <row r="85" spans="1:36" s="26" customFormat="1" ht="12" customHeight="1" x14ac:dyDescent="0.2">
      <c r="A85" s="26" t="s">
        <v>3</v>
      </c>
    </row>
    <row r="86" spans="1:36" s="26" customFormat="1" ht="12" customHeight="1" x14ac:dyDescent="0.2">
      <c r="A86" s="135" t="s">
        <v>101</v>
      </c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ht="9" customHeight="1" x14ac:dyDescent="0.25">
      <c r="A87" s="137" t="s">
        <v>32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s="26" customFormat="1" ht="12" customHeight="1" x14ac:dyDescent="0.2">
      <c r="A88" s="26" t="s">
        <v>2</v>
      </c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</row>
    <row r="89" spans="1:36" ht="6" customHeight="1" x14ac:dyDescent="0.25">
      <c r="D89" s="4"/>
      <c r="E89" s="4"/>
      <c r="F89" s="4"/>
      <c r="G89" s="4"/>
      <c r="H89" s="4"/>
      <c r="I89" s="4"/>
      <c r="J89" s="4"/>
    </row>
    <row r="90" spans="1:36" s="26" customFormat="1" ht="12" customHeight="1" x14ac:dyDescent="0.2">
      <c r="A90" s="26" t="s">
        <v>102</v>
      </c>
      <c r="H90" s="135"/>
      <c r="I90" s="135"/>
      <c r="J90" s="26" t="s">
        <v>33</v>
      </c>
    </row>
    <row r="91" spans="1:36" s="26" customFormat="1" ht="4.5" customHeight="1" x14ac:dyDescent="0.2"/>
    <row r="92" spans="1:36" s="26" customFormat="1" ht="12" customHeight="1" x14ac:dyDescent="0.2">
      <c r="A92" s="26" t="s">
        <v>1</v>
      </c>
    </row>
    <row r="93" spans="1:36" s="26" customFormat="1" ht="12" customHeight="1" x14ac:dyDescent="0.2">
      <c r="A93" s="31" t="s">
        <v>87</v>
      </c>
      <c r="B93" s="140" t="str">
        <f>G72</f>
        <v>Исполнительная схема заземления ТП</v>
      </c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31" t="s">
        <v>76</v>
      </c>
      <c r="R93" s="31" t="s">
        <v>88</v>
      </c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spans="1:36" s="26" customFormat="1" ht="12" hidden="1" customHeight="1" x14ac:dyDescent="0.2">
      <c r="A94" s="31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s="26" customFormat="1" ht="12" customHeight="1" x14ac:dyDescent="0.2">
      <c r="A95" s="37" t="s">
        <v>89</v>
      </c>
      <c r="B95" s="151" t="str">
        <f>J67</f>
        <v xml:space="preserve">Сертификат № </v>
      </c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37" t="s">
        <v>76</v>
      </c>
      <c r="R95" s="37" t="s">
        <v>88</v>
      </c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</row>
    <row r="96" spans="1:36" s="26" customFormat="1" ht="12" customHeight="1" x14ac:dyDescent="0.2">
      <c r="A96" s="37" t="s">
        <v>99</v>
      </c>
      <c r="B96" s="151" t="str">
        <f>J68</f>
        <v xml:space="preserve">Сертификат № </v>
      </c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37" t="s">
        <v>76</v>
      </c>
      <c r="R96" s="37" t="s">
        <v>88</v>
      </c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</row>
    <row r="97" spans="1:36" s="26" customFormat="1" ht="12" customHeight="1" x14ac:dyDescent="0.2">
      <c r="A97" s="37" t="s">
        <v>100</v>
      </c>
      <c r="B97" s="151" t="str">
        <f>J69</f>
        <v>Сертификат №</v>
      </c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37" t="s">
        <v>76</v>
      </c>
      <c r="R97" s="37" t="s">
        <v>88</v>
      </c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</row>
    <row r="98" spans="1:36" ht="9.75" customHeight="1" x14ac:dyDescent="0.25">
      <c r="A98" s="137" t="s">
        <v>0</v>
      </c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  <c r="AE98" s="138"/>
      <c r="AF98" s="138"/>
      <c r="AG98" s="138"/>
      <c r="AH98" s="138"/>
      <c r="AI98" s="138"/>
      <c r="AJ98" s="138"/>
    </row>
    <row r="99" spans="1:36" ht="6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26" customFormat="1" ht="12" customHeight="1" x14ac:dyDescent="0.2">
      <c r="A100" s="26" t="s">
        <v>23</v>
      </c>
    </row>
    <row r="101" spans="1:36" s="26" customFormat="1" ht="12" customHeight="1" x14ac:dyDescent="0.2">
      <c r="A101" s="26" t="s">
        <v>24</v>
      </c>
    </row>
    <row r="102" spans="1:36" s="26" customFormat="1" ht="12" customHeight="1" x14ac:dyDescent="0.2">
      <c r="A102" s="135" t="str">
        <f>'Данные объект'!B33</f>
        <v>Алексанян Г.Р.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135"/>
      <c r="AC102" s="135"/>
      <c r="AD102" s="135"/>
      <c r="AE102" s="135"/>
      <c r="AF102" s="135"/>
      <c r="AG102" s="135"/>
      <c r="AH102" s="135"/>
      <c r="AI102" s="135"/>
      <c r="AJ102" s="135"/>
    </row>
    <row r="103" spans="1:36" ht="9" customHeight="1" x14ac:dyDescent="0.25">
      <c r="A103" s="133" t="s">
        <v>35</v>
      </c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7"/>
      <c r="Q103" s="17"/>
      <c r="R103" s="17"/>
      <c r="S103" s="17"/>
      <c r="T103" s="17"/>
      <c r="U103" s="16"/>
      <c r="V103" s="16"/>
      <c r="W103" s="16"/>
      <c r="X103" s="16"/>
      <c r="Y103" s="16"/>
      <c r="Z103" s="16"/>
      <c r="AA103" s="16"/>
      <c r="AB103" s="134" t="s">
        <v>34</v>
      </c>
      <c r="AC103" s="134"/>
      <c r="AD103" s="134"/>
      <c r="AE103" s="134"/>
      <c r="AF103" s="134"/>
      <c r="AG103" s="134"/>
      <c r="AH103" s="134"/>
      <c r="AI103" s="134"/>
      <c r="AJ103" s="134"/>
    </row>
    <row r="104" spans="1:36" s="26" customFormat="1" ht="12" customHeight="1" x14ac:dyDescent="0.2">
      <c r="A104" s="26" t="s">
        <v>25</v>
      </c>
    </row>
    <row r="105" spans="1:36" s="26" customFormat="1" ht="12" customHeight="1" x14ac:dyDescent="0.2">
      <c r="A105" s="135" t="str">
        <f>'Данные объект'!B20</f>
        <v>Волков М.Ю.</v>
      </c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135"/>
      <c r="AC105" s="135"/>
      <c r="AD105" s="135"/>
      <c r="AE105" s="135"/>
      <c r="AF105" s="135"/>
      <c r="AG105" s="135"/>
      <c r="AH105" s="135"/>
      <c r="AI105" s="135"/>
      <c r="AJ105" s="135"/>
    </row>
    <row r="106" spans="1:36" ht="9" customHeight="1" x14ac:dyDescent="0.25">
      <c r="A106" s="133" t="s">
        <v>35</v>
      </c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4" t="s">
        <v>34</v>
      </c>
      <c r="AC106" s="134"/>
      <c r="AD106" s="134"/>
      <c r="AE106" s="134"/>
      <c r="AF106" s="134"/>
      <c r="AG106" s="134"/>
      <c r="AH106" s="134"/>
      <c r="AI106" s="134"/>
      <c r="AJ106" s="134"/>
    </row>
    <row r="107" spans="1:36" s="26" customFormat="1" ht="12" customHeight="1" x14ac:dyDescent="0.2">
      <c r="A107" s="26" t="s">
        <v>27</v>
      </c>
    </row>
    <row r="108" spans="1:36" s="26" customFormat="1" ht="12" customHeight="1" x14ac:dyDescent="0.2">
      <c r="A108" s="26" t="s">
        <v>28</v>
      </c>
    </row>
    <row r="109" spans="1:36" s="26" customFormat="1" ht="12" customHeight="1" x14ac:dyDescent="0.2">
      <c r="A109" s="135" t="str">
        <f>'Данные объект'!B17</f>
        <v>Русин В.А.</v>
      </c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135"/>
      <c r="AC109" s="135"/>
      <c r="AD109" s="135"/>
      <c r="AE109" s="135"/>
      <c r="AF109" s="135"/>
      <c r="AG109" s="135"/>
      <c r="AH109" s="135"/>
      <c r="AI109" s="135"/>
      <c r="AJ109" s="135"/>
    </row>
    <row r="110" spans="1:36" ht="9" customHeight="1" x14ac:dyDescent="0.25">
      <c r="A110" s="133" t="s">
        <v>35</v>
      </c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7"/>
      <c r="Q110" s="17"/>
      <c r="R110" s="17"/>
      <c r="S110" s="17"/>
      <c r="T110" s="17"/>
      <c r="U110" s="16"/>
      <c r="V110" s="16"/>
      <c r="W110" s="16"/>
      <c r="X110" s="16"/>
      <c r="Y110" s="16"/>
      <c r="Z110" s="16"/>
      <c r="AA110" s="16"/>
      <c r="AB110" s="134" t="s">
        <v>34</v>
      </c>
      <c r="AC110" s="134"/>
      <c r="AD110" s="134"/>
      <c r="AE110" s="134"/>
      <c r="AF110" s="134"/>
      <c r="AG110" s="134"/>
      <c r="AH110" s="134"/>
      <c r="AI110" s="134"/>
      <c r="AJ110" s="134"/>
    </row>
    <row r="111" spans="1:36" s="26" customFormat="1" ht="36" customHeight="1" x14ac:dyDescent="0.2">
      <c r="A111" s="136" t="s">
        <v>53</v>
      </c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</row>
    <row r="112" spans="1:36" s="26" customFormat="1" ht="12" customHeight="1" x14ac:dyDescent="0.2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135"/>
      <c r="AC112" s="135"/>
      <c r="AD112" s="135"/>
      <c r="AE112" s="135"/>
      <c r="AF112" s="135"/>
      <c r="AG112" s="135"/>
      <c r="AH112" s="135"/>
      <c r="AI112" s="135"/>
      <c r="AJ112" s="135"/>
    </row>
    <row r="113" spans="1:36" ht="9" customHeight="1" x14ac:dyDescent="0.25">
      <c r="A113" s="133" t="s">
        <v>35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4" t="s">
        <v>34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s="26" customFormat="1" ht="40.5" hidden="1" customHeight="1" x14ac:dyDescent="0.2">
      <c r="A114" s="136" t="s">
        <v>55</v>
      </c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</row>
    <row r="115" spans="1:36" s="26" customFormat="1" ht="12" hidden="1" customHeight="1" x14ac:dyDescent="0.2">
      <c r="A115" s="135" t="e">
        <f>#REF!</f>
        <v>#REF!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135"/>
      <c r="AC115" s="135"/>
      <c r="AD115" s="135"/>
      <c r="AE115" s="135"/>
      <c r="AF115" s="135"/>
      <c r="AG115" s="135"/>
      <c r="AH115" s="135"/>
      <c r="AI115" s="135"/>
      <c r="AJ115" s="135"/>
    </row>
    <row r="116" spans="1:36" ht="9" hidden="1" customHeight="1" x14ac:dyDescent="0.25">
      <c r="A116" s="133" t="s">
        <v>35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4" t="s">
        <v>34</v>
      </c>
      <c r="AC116" s="134"/>
      <c r="AD116" s="134"/>
      <c r="AE116" s="134"/>
      <c r="AF116" s="134"/>
      <c r="AG116" s="134"/>
      <c r="AH116" s="134"/>
      <c r="AI116" s="134"/>
      <c r="AJ116" s="134"/>
    </row>
    <row r="117" spans="1:36" ht="12" customHeight="1" x14ac:dyDescent="0.25"/>
  </sheetData>
  <mergeCells count="107">
    <mergeCell ref="A11:AJ11"/>
    <mergeCell ref="A12:AJ12"/>
    <mergeCell ref="A13:AJ13"/>
    <mergeCell ref="A14:AJ14"/>
    <mergeCell ref="A16:AJ16"/>
    <mergeCell ref="A17:AJ17"/>
    <mergeCell ref="A4:AJ4"/>
    <mergeCell ref="A5:AJ5"/>
    <mergeCell ref="A6:AJ6"/>
    <mergeCell ref="A7:AJ8"/>
    <mergeCell ref="A9:AJ9"/>
    <mergeCell ref="A10:AJ10"/>
    <mergeCell ref="A25:AJ25"/>
    <mergeCell ref="A26:AJ26"/>
    <mergeCell ref="A27:AJ27"/>
    <mergeCell ref="A28:AJ28"/>
    <mergeCell ref="A30:AJ30"/>
    <mergeCell ref="A31:AJ31"/>
    <mergeCell ref="A18:AJ18"/>
    <mergeCell ref="A19:AJ19"/>
    <mergeCell ref="A20:AJ20"/>
    <mergeCell ref="A21:AJ21"/>
    <mergeCell ref="A23:AJ23"/>
    <mergeCell ref="A24:AJ24"/>
    <mergeCell ref="A42:AJ42"/>
    <mergeCell ref="A43:AJ43"/>
    <mergeCell ref="A44:AJ44"/>
    <mergeCell ref="A45:AJ45"/>
    <mergeCell ref="A46:AJ46"/>
    <mergeCell ref="A47:AJ47"/>
    <mergeCell ref="E33:G33"/>
    <mergeCell ref="A36:AJ36"/>
    <mergeCell ref="A37:AJ37"/>
    <mergeCell ref="AB33:AI33"/>
    <mergeCell ref="AB34:AI34"/>
    <mergeCell ref="A38:AJ38"/>
    <mergeCell ref="A39:AJ39"/>
    <mergeCell ref="A40:AJ40"/>
    <mergeCell ref="A54:AJ54"/>
    <mergeCell ref="A56:AJ56"/>
    <mergeCell ref="A57:AJ57"/>
    <mergeCell ref="P60:R60"/>
    <mergeCell ref="A61:AJ61"/>
    <mergeCell ref="A63:AJ63"/>
    <mergeCell ref="A48:AJ48"/>
    <mergeCell ref="A49:AJ49"/>
    <mergeCell ref="A50:AJ50"/>
    <mergeCell ref="A51:AJ51"/>
    <mergeCell ref="A52:AJ52"/>
    <mergeCell ref="A53:AJ53"/>
    <mergeCell ref="A60:I60"/>
    <mergeCell ref="J60:M60"/>
    <mergeCell ref="A64:AJ64"/>
    <mergeCell ref="P65:AJ65"/>
    <mergeCell ref="P66:AJ66"/>
    <mergeCell ref="A70:AJ70"/>
    <mergeCell ref="H68:I68"/>
    <mergeCell ref="J68:AE68"/>
    <mergeCell ref="A69:F69"/>
    <mergeCell ref="H69:I69"/>
    <mergeCell ref="J69:AE69"/>
    <mergeCell ref="A67:F67"/>
    <mergeCell ref="H67:I67"/>
    <mergeCell ref="J67:AE67"/>
    <mergeCell ref="A68:F68"/>
    <mergeCell ref="A116:O116"/>
    <mergeCell ref="AB116:AJ116"/>
    <mergeCell ref="A112:O112"/>
    <mergeCell ref="A114:AJ114"/>
    <mergeCell ref="A115:O115"/>
    <mergeCell ref="AB115:AJ115"/>
    <mergeCell ref="A87:AJ87"/>
    <mergeCell ref="L88:AJ88"/>
    <mergeCell ref="H90:I90"/>
    <mergeCell ref="B93:P93"/>
    <mergeCell ref="A109:O109"/>
    <mergeCell ref="AB109:AJ109"/>
    <mergeCell ref="B95:P95"/>
    <mergeCell ref="A98:AJ98"/>
    <mergeCell ref="A102:O102"/>
    <mergeCell ref="AB102:AJ102"/>
    <mergeCell ref="AB112:AJ112"/>
    <mergeCell ref="A113:O113"/>
    <mergeCell ref="AB113:AJ113"/>
    <mergeCell ref="AB105:AJ105"/>
    <mergeCell ref="A106:O106"/>
    <mergeCell ref="AB106:AJ106"/>
    <mergeCell ref="A110:O110"/>
    <mergeCell ref="AB110:AJ110"/>
    <mergeCell ref="P78:W78"/>
    <mergeCell ref="A84:AJ84"/>
    <mergeCell ref="A86:AJ86"/>
    <mergeCell ref="G72:AJ72"/>
    <mergeCell ref="A111:AJ111"/>
    <mergeCell ref="A105:O105"/>
    <mergeCell ref="A103:O103"/>
    <mergeCell ref="AB103:AJ103"/>
    <mergeCell ref="B96:P96"/>
    <mergeCell ref="B97:P97"/>
    <mergeCell ref="A81:AJ81"/>
    <mergeCell ref="A82:AJ82"/>
    <mergeCell ref="A83:AJ83"/>
    <mergeCell ref="A73:B73"/>
    <mergeCell ref="G73:AJ73"/>
    <mergeCell ref="A74:AJ74"/>
    <mergeCell ref="A75:AJ75"/>
    <mergeCell ref="P77:W77"/>
  </mergeCells>
  <phoneticPr fontId="9" type="noConversion"/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57"/>
    <pageSetUpPr fitToPage="1"/>
  </sheetPr>
  <dimension ref="A1:AQ123"/>
  <sheetViews>
    <sheetView view="pageBreakPreview" topLeftCell="A43" zoomScale="125" zoomScaleNormal="125" zoomScaleSheetLayoutView="125" workbookViewId="0">
      <selection activeCell="A36" sqref="A36:AJ36"/>
    </sheetView>
  </sheetViews>
  <sheetFormatPr defaultColWidth="10.6640625" defaultRowHeight="15" x14ac:dyDescent="0.25"/>
  <cols>
    <col min="1" max="6" width="2.83203125" style="1" customWidth="1"/>
    <col min="7" max="7" width="5.832031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24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14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P81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">
        <v>187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6" t="str">
        <f>'Данные объект'!B9</f>
        <v>2БРП №171</v>
      </c>
      <c r="N63" s="146"/>
      <c r="O63" s="146"/>
      <c r="P63" s="146"/>
      <c r="Q63" s="34" t="s">
        <v>163</v>
      </c>
      <c r="R63" s="141">
        <v>11.6</v>
      </c>
      <c r="S63" s="141"/>
      <c r="T63" s="141"/>
      <c r="U63" s="141" t="s">
        <v>85</v>
      </c>
      <c r="V63" s="141"/>
      <c r="W63" s="141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4" t="s">
        <v>57</v>
      </c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</row>
    <row r="70" spans="1:36" s="26" customFormat="1" ht="12" customHeight="1" x14ac:dyDescent="0.2">
      <c r="A70" s="152"/>
      <c r="B70" s="152"/>
      <c r="C70" s="152"/>
      <c r="D70" s="152"/>
      <c r="E70" s="152"/>
      <c r="F70" s="152"/>
      <c r="G70" s="34"/>
      <c r="H70" s="141"/>
      <c r="I70" s="141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34"/>
      <c r="AG70" s="34"/>
      <c r="AH70" s="34"/>
      <c r="AI70" s="34"/>
      <c r="AJ70" s="34"/>
    </row>
    <row r="71" spans="1:36" ht="12" hidden="1" customHeight="1" x14ac:dyDescent="0.25">
      <c r="A71" s="161" t="s">
        <v>95</v>
      </c>
      <c r="B71" s="161"/>
      <c r="C71" s="161"/>
      <c r="D71" s="161"/>
      <c r="E71" s="161"/>
      <c r="F71" s="161"/>
      <c r="G71" s="21" t="s">
        <v>76</v>
      </c>
      <c r="H71" s="162" t="s">
        <v>94</v>
      </c>
      <c r="I71" s="162"/>
      <c r="J71" s="161" t="s">
        <v>86</v>
      </c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21"/>
      <c r="AG71" s="21"/>
      <c r="AH71" s="21"/>
      <c r="AI71" s="21"/>
      <c r="AJ71" s="21"/>
    </row>
    <row r="72" spans="1:36" ht="12" hidden="1" customHeight="1" x14ac:dyDescent="0.25">
      <c r="A72" s="161" t="s">
        <v>96</v>
      </c>
      <c r="B72" s="161"/>
      <c r="C72" s="161"/>
      <c r="D72" s="161"/>
      <c r="E72" s="161"/>
      <c r="F72" s="161"/>
      <c r="G72" s="21" t="s">
        <v>76</v>
      </c>
      <c r="H72" s="162" t="s">
        <v>94</v>
      </c>
      <c r="I72" s="162"/>
      <c r="J72" s="161" t="s">
        <v>86</v>
      </c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21"/>
      <c r="AG72" s="21"/>
      <c r="AH72" s="21"/>
      <c r="AI72" s="21"/>
      <c r="AJ72" s="21"/>
    </row>
    <row r="73" spans="1:36" ht="18.75" customHeight="1" x14ac:dyDescent="0.25">
      <c r="A73" s="137" t="s">
        <v>58</v>
      </c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s="26" customFormat="1" ht="12" customHeight="1" x14ac:dyDescent="0.2">
      <c r="A74" s="26" t="s">
        <v>11</v>
      </c>
    </row>
    <row r="75" spans="1:36" s="26" customFormat="1" ht="12" customHeight="1" x14ac:dyDescent="0.2">
      <c r="A75" s="26" t="s">
        <v>10</v>
      </c>
      <c r="G75" s="140" t="s">
        <v>236</v>
      </c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7.5" customHeight="1" x14ac:dyDescent="0.25">
      <c r="A76" s="142"/>
      <c r="B76" s="142"/>
      <c r="C76" s="8"/>
      <c r="D76" s="8"/>
      <c r="E76" s="8"/>
      <c r="F76" s="8"/>
      <c r="G76" s="138" t="s">
        <v>9</v>
      </c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s="26" customFormat="1" ht="12" customHeight="1" x14ac:dyDescent="0.2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</row>
    <row r="78" spans="1:36" ht="7.5" customHeight="1" x14ac:dyDescent="0.25">
      <c r="A78" s="137" t="s">
        <v>31</v>
      </c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</row>
    <row r="79" spans="1:36" ht="9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s="26" customFormat="1" ht="12" customHeight="1" x14ac:dyDescent="0.2">
      <c r="A80" s="26" t="s">
        <v>8</v>
      </c>
      <c r="D80" s="35"/>
      <c r="E80" s="35"/>
      <c r="F80" s="35"/>
      <c r="G80" s="35"/>
      <c r="L80" s="27"/>
      <c r="M80" s="38"/>
      <c r="N80" s="38"/>
      <c r="P80" s="139">
        <f>'Данные объект'!B6</f>
        <v>45949</v>
      </c>
      <c r="Q80" s="139"/>
      <c r="R80" s="139"/>
      <c r="S80" s="139"/>
      <c r="T80" s="139"/>
      <c r="U80" s="139"/>
      <c r="V80" s="139"/>
      <c r="W80" s="139"/>
    </row>
    <row r="81" spans="1:36" s="26" customFormat="1" ht="12" customHeight="1" x14ac:dyDescent="0.2">
      <c r="A81" s="26" t="s">
        <v>7</v>
      </c>
      <c r="D81" s="35"/>
      <c r="E81" s="35"/>
      <c r="F81" s="35"/>
      <c r="G81" s="35"/>
      <c r="L81" s="27"/>
      <c r="M81" s="38"/>
      <c r="N81" s="38"/>
      <c r="P81" s="158">
        <f>'Данные объект'!B7</f>
        <v>46219</v>
      </c>
      <c r="Q81" s="158"/>
      <c r="R81" s="158"/>
      <c r="S81" s="158"/>
      <c r="T81" s="158"/>
      <c r="U81" s="158"/>
      <c r="V81" s="158"/>
      <c r="W81" s="158"/>
    </row>
    <row r="82" spans="1:36" ht="7.5" customHeight="1" x14ac:dyDescent="0.25">
      <c r="A82" s="6"/>
      <c r="B82" s="6"/>
      <c r="C82" s="6"/>
      <c r="D82" s="5"/>
      <c r="E82" s="5"/>
      <c r="F82" s="5"/>
      <c r="G82" s="5"/>
    </row>
    <row r="83" spans="1:36" s="26" customFormat="1" ht="12" customHeight="1" x14ac:dyDescent="0.2">
      <c r="A83" s="26" t="s">
        <v>5</v>
      </c>
    </row>
    <row r="84" spans="1:36" s="26" customFormat="1" ht="12" customHeight="1" x14ac:dyDescent="0.2">
      <c r="A84" s="140" t="s">
        <v>108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ht="8.25" customHeight="1" x14ac:dyDescent="0.25">
      <c r="A85" s="137" t="s">
        <v>4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ht="8.25" customHeight="1" x14ac:dyDescent="0.25">
      <c r="A87" s="137" t="s">
        <v>59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s="26" customFormat="1" ht="12" customHeight="1" x14ac:dyDescent="0.2">
      <c r="A88" s="26" t="s">
        <v>3</v>
      </c>
    </row>
    <row r="89" spans="1:36" s="26" customFormat="1" ht="12" customHeight="1" x14ac:dyDescent="0.2">
      <c r="A89" s="135" t="s">
        <v>237</v>
      </c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9" customHeight="1" x14ac:dyDescent="0.25">
      <c r="A90" s="137" t="s">
        <v>32</v>
      </c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</row>
    <row r="91" spans="1:36" s="26" customFormat="1" ht="12" customHeight="1" x14ac:dyDescent="0.2">
      <c r="A91" s="26" t="s">
        <v>2</v>
      </c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</row>
    <row r="92" spans="1:36" ht="6" customHeight="1" x14ac:dyDescent="0.25">
      <c r="D92" s="4"/>
      <c r="E92" s="4"/>
      <c r="F92" s="4"/>
      <c r="G92" s="4"/>
      <c r="H92" s="4"/>
      <c r="I92" s="4"/>
      <c r="J92" s="4"/>
    </row>
    <row r="93" spans="1:36" s="26" customFormat="1" ht="12" customHeight="1" x14ac:dyDescent="0.2">
      <c r="A93" s="26" t="s">
        <v>102</v>
      </c>
      <c r="H93" s="135"/>
      <c r="I93" s="135"/>
      <c r="J93" s="26" t="s">
        <v>33</v>
      </c>
    </row>
    <row r="94" spans="1:36" ht="4.5" customHeight="1" x14ac:dyDescent="0.25"/>
    <row r="95" spans="1:36" s="26" customFormat="1" ht="12" customHeight="1" x14ac:dyDescent="0.2">
      <c r="A95" s="26" t="s">
        <v>1</v>
      </c>
    </row>
    <row r="96" spans="1:36" s="26" customFormat="1" ht="12" customHeight="1" x14ac:dyDescent="0.2">
      <c r="A96" s="31" t="s">
        <v>87</v>
      </c>
      <c r="B96" s="140" t="str">
        <f>G75</f>
        <v>Исполнительная схема заземления 2БКТП №4301</v>
      </c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31" t="s">
        <v>76</v>
      </c>
      <c r="R96" s="31" t="s">
        <v>88</v>
      </c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ht="12" hidden="1" customHeight="1" x14ac:dyDescent="0.25">
      <c r="A97" s="23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3"/>
      <c r="R97" s="23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</row>
    <row r="98" spans="1:36" ht="12" hidden="1" customHeight="1" x14ac:dyDescent="0.25">
      <c r="A98" s="25" t="s">
        <v>89</v>
      </c>
      <c r="B98" s="163">
        <f>J70</f>
        <v>0</v>
      </c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25" t="s">
        <v>76</v>
      </c>
      <c r="R98" s="25" t="s">
        <v>88</v>
      </c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</row>
    <row r="99" spans="1:36" ht="12" hidden="1" customHeight="1" x14ac:dyDescent="0.25">
      <c r="A99" s="25" t="s">
        <v>99</v>
      </c>
      <c r="B99" s="163" t="str">
        <f>J71</f>
        <v>(сертификат №                от )</v>
      </c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25" t="s">
        <v>76</v>
      </c>
      <c r="R99" s="25" t="s">
        <v>97</v>
      </c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</row>
    <row r="100" spans="1:36" ht="12" hidden="1" customHeight="1" x14ac:dyDescent="0.25">
      <c r="A100" s="25" t="s">
        <v>100</v>
      </c>
      <c r="B100" s="163" t="str">
        <f>J72</f>
        <v>(сертификат №                от )</v>
      </c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25" t="s">
        <v>76</v>
      </c>
      <c r="R100" s="25" t="s">
        <v>98</v>
      </c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</row>
    <row r="101" spans="1:36" ht="9.75" customHeight="1" x14ac:dyDescent="0.25">
      <c r="A101" s="137" t="s">
        <v>0</v>
      </c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</row>
    <row r="102" spans="1:36" ht="6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26" customFormat="1" ht="12" customHeight="1" x14ac:dyDescent="0.2">
      <c r="A103" s="26" t="s">
        <v>23</v>
      </c>
    </row>
    <row r="104" spans="1:36" s="26" customFormat="1" ht="12" customHeight="1" x14ac:dyDescent="0.2">
      <c r="A104" s="26" t="s">
        <v>24</v>
      </c>
    </row>
    <row r="105" spans="1:36" s="26" customFormat="1" ht="12" customHeight="1" x14ac:dyDescent="0.2">
      <c r="A105" s="135" t="str">
        <f>'Данные объект'!B33</f>
        <v>Алексанян Г.Р.</v>
      </c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135"/>
      <c r="AC105" s="135"/>
      <c r="AD105" s="135"/>
      <c r="AE105" s="135"/>
      <c r="AF105" s="135"/>
      <c r="AG105" s="135"/>
      <c r="AH105" s="135"/>
      <c r="AI105" s="135"/>
      <c r="AJ105" s="135"/>
    </row>
    <row r="106" spans="1:36" ht="9" customHeight="1" x14ac:dyDescent="0.25">
      <c r="A106" s="133" t="s">
        <v>35</v>
      </c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4" t="s">
        <v>34</v>
      </c>
      <c r="AC106" s="134"/>
      <c r="AD106" s="134"/>
      <c r="AE106" s="134"/>
      <c r="AF106" s="134"/>
      <c r="AG106" s="134"/>
      <c r="AH106" s="134"/>
      <c r="AI106" s="134"/>
      <c r="AJ106" s="134"/>
    </row>
    <row r="107" spans="1:36" s="26" customFormat="1" ht="12" customHeight="1" x14ac:dyDescent="0.2">
      <c r="A107" s="26" t="s">
        <v>25</v>
      </c>
    </row>
    <row r="108" spans="1:36" s="26" customFormat="1" ht="12" customHeight="1" x14ac:dyDescent="0.2">
      <c r="A108" s="135" t="str">
        <f>'Данные объект'!B20</f>
        <v>Волков М.Ю.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35"/>
      <c r="AC108" s="135"/>
      <c r="AD108" s="135"/>
      <c r="AE108" s="135"/>
      <c r="AF108" s="135"/>
      <c r="AG108" s="135"/>
      <c r="AH108" s="135"/>
      <c r="AI108" s="135"/>
      <c r="AJ108" s="135"/>
    </row>
    <row r="109" spans="1:36" ht="9" customHeight="1" x14ac:dyDescent="0.25">
      <c r="A109" s="133" t="s">
        <v>35</v>
      </c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 t="s">
        <v>34</v>
      </c>
      <c r="AC109" s="134"/>
      <c r="AD109" s="134"/>
      <c r="AE109" s="134"/>
      <c r="AF109" s="134"/>
      <c r="AG109" s="134"/>
      <c r="AH109" s="134"/>
      <c r="AI109" s="134"/>
      <c r="AJ109" s="134"/>
    </row>
    <row r="110" spans="1:36" s="26" customFormat="1" ht="12" customHeight="1" x14ac:dyDescent="0.2">
      <c r="A110" s="26" t="s">
        <v>27</v>
      </c>
    </row>
    <row r="111" spans="1:36" s="26" customFormat="1" ht="12" customHeight="1" x14ac:dyDescent="0.2">
      <c r="A111" s="26" t="s">
        <v>28</v>
      </c>
    </row>
    <row r="112" spans="1:36" s="26" customFormat="1" ht="12" customHeight="1" x14ac:dyDescent="0.2">
      <c r="A112" s="135" t="str">
        <f>'Данные объект'!B17</f>
        <v>Русин В.А.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135"/>
      <c r="AC112" s="135"/>
      <c r="AD112" s="135"/>
      <c r="AE112" s="135"/>
      <c r="AF112" s="135"/>
      <c r="AG112" s="135"/>
      <c r="AH112" s="135"/>
      <c r="AI112" s="135"/>
      <c r="AJ112" s="135"/>
    </row>
    <row r="113" spans="1:36" ht="9" customHeight="1" x14ac:dyDescent="0.25">
      <c r="A113" s="133" t="s">
        <v>35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4" t="s">
        <v>34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s="101" customFormat="1" ht="11.25" x14ac:dyDescent="0.2">
      <c r="A114" s="26" t="s">
        <v>211</v>
      </c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97"/>
      <c r="AC114" s="97"/>
      <c r="AD114" s="97"/>
      <c r="AE114" s="97"/>
      <c r="AF114" s="97"/>
      <c r="AG114" s="97"/>
      <c r="AH114" s="97"/>
      <c r="AI114" s="97"/>
      <c r="AJ114" s="97"/>
    </row>
    <row r="115" spans="1:36" s="101" customFormat="1" ht="11.25" x14ac:dyDescent="0.2">
      <c r="A115" s="135" t="str">
        <f>'[4]Данные объект'!$B$36</f>
        <v>Курчин М.М.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5"/>
      <c r="AC115" s="135"/>
      <c r="AD115" s="135"/>
      <c r="AE115" s="135"/>
      <c r="AF115" s="135"/>
      <c r="AG115" s="135"/>
      <c r="AH115" s="135"/>
      <c r="AI115" s="135"/>
      <c r="AJ115" s="135"/>
    </row>
    <row r="116" spans="1:36" s="101" customFormat="1" ht="9" customHeight="1" x14ac:dyDescent="0.15">
      <c r="A116" s="133" t="s">
        <v>35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4" t="s">
        <v>34</v>
      </c>
      <c r="AC116" s="134"/>
      <c r="AD116" s="134"/>
      <c r="AE116" s="134"/>
      <c r="AF116" s="134"/>
      <c r="AG116" s="134"/>
      <c r="AH116" s="134"/>
      <c r="AI116" s="134"/>
      <c r="AJ116" s="134"/>
    </row>
    <row r="117" spans="1:36" s="26" customFormat="1" ht="35.25" customHeight="1" x14ac:dyDescent="0.2">
      <c r="A117" s="136" t="s">
        <v>53</v>
      </c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</row>
    <row r="118" spans="1:36" ht="12" customHeight="1" x14ac:dyDescent="0.25">
      <c r="A118" s="155" t="s">
        <v>76</v>
      </c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5" t="s">
        <v>76</v>
      </c>
      <c r="AC118" s="155"/>
      <c r="AD118" s="155"/>
      <c r="AE118" s="155"/>
      <c r="AF118" s="155"/>
      <c r="AG118" s="155"/>
      <c r="AH118" s="155"/>
      <c r="AI118" s="155"/>
      <c r="AJ118" s="155"/>
    </row>
    <row r="119" spans="1:36" ht="9" customHeight="1" x14ac:dyDescent="0.25">
      <c r="A119" s="133" t="s">
        <v>35</v>
      </c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4" t="s">
        <v>34</v>
      </c>
      <c r="AC119" s="134"/>
      <c r="AD119" s="134"/>
      <c r="AE119" s="134"/>
      <c r="AF119" s="134"/>
      <c r="AG119" s="134"/>
      <c r="AH119" s="134"/>
      <c r="AI119" s="134"/>
      <c r="AJ119" s="134"/>
    </row>
    <row r="120" spans="1:36" s="26" customFormat="1" ht="40.5" hidden="1" customHeight="1" x14ac:dyDescent="0.2">
      <c r="A120" s="136" t="s">
        <v>55</v>
      </c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</row>
    <row r="121" spans="1:36" s="26" customFormat="1" ht="12" hidden="1" customHeight="1" x14ac:dyDescent="0.2">
      <c r="A121" s="135" t="e">
        <f>#REF!</f>
        <v>#REF!</v>
      </c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135"/>
      <c r="AC121" s="135"/>
      <c r="AD121" s="135"/>
      <c r="AE121" s="135"/>
      <c r="AF121" s="135"/>
      <c r="AG121" s="135"/>
      <c r="AH121" s="135"/>
      <c r="AI121" s="135"/>
      <c r="AJ121" s="135"/>
    </row>
    <row r="122" spans="1:36" ht="9" hidden="1" customHeight="1" x14ac:dyDescent="0.25">
      <c r="A122" s="133" t="s">
        <v>35</v>
      </c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7"/>
      <c r="Q122" s="17"/>
      <c r="R122" s="17"/>
      <c r="S122" s="17"/>
      <c r="T122" s="17"/>
      <c r="U122" s="16"/>
      <c r="V122" s="16"/>
      <c r="W122" s="16"/>
      <c r="X122" s="16"/>
      <c r="Y122" s="16"/>
      <c r="Z122" s="16"/>
      <c r="AA122" s="16"/>
      <c r="AB122" s="134" t="s">
        <v>34</v>
      </c>
      <c r="AC122" s="134"/>
      <c r="AD122" s="134"/>
      <c r="AE122" s="134"/>
      <c r="AF122" s="134"/>
      <c r="AG122" s="134"/>
      <c r="AH122" s="134"/>
      <c r="AI122" s="134"/>
      <c r="AJ122" s="134"/>
    </row>
    <row r="123" spans="1:36" ht="12" customHeight="1" x14ac:dyDescent="0.25"/>
  </sheetData>
  <mergeCells count="115">
    <mergeCell ref="A4:AJ4"/>
    <mergeCell ref="A5:AJ5"/>
    <mergeCell ref="A6:AJ6"/>
    <mergeCell ref="A7:AJ8"/>
    <mergeCell ref="A9:AJ9"/>
    <mergeCell ref="A10:AJ10"/>
    <mergeCell ref="A18:AJ18"/>
    <mergeCell ref="A19:AJ19"/>
    <mergeCell ref="A20:AJ20"/>
    <mergeCell ref="A21:AJ21"/>
    <mergeCell ref="A23:AJ23"/>
    <mergeCell ref="A24:AJ24"/>
    <mergeCell ref="A11:AJ11"/>
    <mergeCell ref="A12:AJ12"/>
    <mergeCell ref="A13:AJ13"/>
    <mergeCell ref="A14:AJ14"/>
    <mergeCell ref="A16:AJ16"/>
    <mergeCell ref="A17:AJ17"/>
    <mergeCell ref="A42:AJ42"/>
    <mergeCell ref="A43:AJ43"/>
    <mergeCell ref="A44:AJ44"/>
    <mergeCell ref="A45:AJ45"/>
    <mergeCell ref="A47:AJ47"/>
    <mergeCell ref="A48:AJ48"/>
    <mergeCell ref="A25:AJ25"/>
    <mergeCell ref="A26:AJ26"/>
    <mergeCell ref="A27:AJ27"/>
    <mergeCell ref="A28:AJ28"/>
    <mergeCell ref="A30:AJ30"/>
    <mergeCell ref="A31:AJ31"/>
    <mergeCell ref="A55:AJ55"/>
    <mergeCell ref="A56:AJ56"/>
    <mergeCell ref="A57:AJ57"/>
    <mergeCell ref="A59:AJ59"/>
    <mergeCell ref="A60:AJ60"/>
    <mergeCell ref="A64:AJ64"/>
    <mergeCell ref="E33:G33"/>
    <mergeCell ref="A36:AJ36"/>
    <mergeCell ref="A37:AJ37"/>
    <mergeCell ref="AB33:AI33"/>
    <mergeCell ref="AB34:AI34"/>
    <mergeCell ref="A63:L63"/>
    <mergeCell ref="M63:P63"/>
    <mergeCell ref="R63:T63"/>
    <mergeCell ref="U63:W63"/>
    <mergeCell ref="A38:AJ38"/>
    <mergeCell ref="A46:AJ46"/>
    <mergeCell ref="A50:AJ50"/>
    <mergeCell ref="A51:AJ51"/>
    <mergeCell ref="A52:AJ52"/>
    <mergeCell ref="A53:AJ53"/>
    <mergeCell ref="A54:AJ54"/>
    <mergeCell ref="A39:AJ39"/>
    <mergeCell ref="A40:AJ40"/>
    <mergeCell ref="A71:F71"/>
    <mergeCell ref="H71:I71"/>
    <mergeCell ref="J71:AE71"/>
    <mergeCell ref="A72:F72"/>
    <mergeCell ref="H72:I72"/>
    <mergeCell ref="J72:AE72"/>
    <mergeCell ref="A66:AJ66"/>
    <mergeCell ref="A67:AJ67"/>
    <mergeCell ref="P68:AJ68"/>
    <mergeCell ref="P69:AJ69"/>
    <mergeCell ref="A70:F70"/>
    <mergeCell ref="H70:I70"/>
    <mergeCell ref="J70:AE70"/>
    <mergeCell ref="A84:AJ84"/>
    <mergeCell ref="A85:AJ85"/>
    <mergeCell ref="A86:AJ86"/>
    <mergeCell ref="A87:AJ87"/>
    <mergeCell ref="A73:AJ73"/>
    <mergeCell ref="G75:AJ75"/>
    <mergeCell ref="A76:B76"/>
    <mergeCell ref="G76:AJ76"/>
    <mergeCell ref="A77:AJ77"/>
    <mergeCell ref="A78:AJ78"/>
    <mergeCell ref="A121:O121"/>
    <mergeCell ref="AB121:AJ121"/>
    <mergeCell ref="A122:O122"/>
    <mergeCell ref="AB122:AJ122"/>
    <mergeCell ref="A117:AJ117"/>
    <mergeCell ref="A118:O118"/>
    <mergeCell ref="AB118:AJ118"/>
    <mergeCell ref="A119:O119"/>
    <mergeCell ref="A108:O108"/>
    <mergeCell ref="AB108:AJ108"/>
    <mergeCell ref="A109:O109"/>
    <mergeCell ref="AB109:AJ109"/>
    <mergeCell ref="A112:O112"/>
    <mergeCell ref="AB112:AJ112"/>
    <mergeCell ref="A49:AJ49"/>
    <mergeCell ref="A115:O115"/>
    <mergeCell ref="AB115:AJ115"/>
    <mergeCell ref="A116:O116"/>
    <mergeCell ref="AB116:AJ116"/>
    <mergeCell ref="AB119:AJ119"/>
    <mergeCell ref="A120:AJ120"/>
    <mergeCell ref="A113:O113"/>
    <mergeCell ref="AB113:AJ113"/>
    <mergeCell ref="B99:P99"/>
    <mergeCell ref="B100:P100"/>
    <mergeCell ref="A101:AJ101"/>
    <mergeCell ref="A105:O105"/>
    <mergeCell ref="AB105:AJ105"/>
    <mergeCell ref="A106:O106"/>
    <mergeCell ref="AB106:AJ106"/>
    <mergeCell ref="A89:AJ89"/>
    <mergeCell ref="A90:AJ90"/>
    <mergeCell ref="L91:AJ91"/>
    <mergeCell ref="H93:I93"/>
    <mergeCell ref="B96:P96"/>
    <mergeCell ref="B98:P98"/>
    <mergeCell ref="P80:W80"/>
    <mergeCell ref="P81:W81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E38E-9251-4AAC-A68C-2A13039D4344}">
  <sheetPr>
    <tabColor indexed="57"/>
    <pageSetUpPr fitToPage="1"/>
  </sheetPr>
  <dimension ref="A1:AQ123"/>
  <sheetViews>
    <sheetView view="pageBreakPreview" topLeftCell="A61" zoomScale="125" zoomScaleNormal="125" zoomScaleSheetLayoutView="125" workbookViewId="0">
      <selection activeCell="A89" sqref="A89:AJ89"/>
    </sheetView>
  </sheetViews>
  <sheetFormatPr defaultColWidth="10.6640625" defaultRowHeight="15" x14ac:dyDescent="0.25"/>
  <cols>
    <col min="1" max="6" width="2.83203125" style="1" customWidth="1"/>
    <col min="7" max="7" width="5.832031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24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17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P81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">
        <v>310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4" t="s">
        <v>57</v>
      </c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</row>
    <row r="70" spans="1:36" s="26" customFormat="1" ht="12" customHeight="1" x14ac:dyDescent="0.2">
      <c r="A70" s="152"/>
      <c r="B70" s="152"/>
      <c r="C70" s="152"/>
      <c r="D70" s="152"/>
      <c r="E70" s="152"/>
      <c r="F70" s="152"/>
      <c r="G70" s="34"/>
      <c r="H70" s="141"/>
      <c r="I70" s="141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34"/>
      <c r="AG70" s="34"/>
      <c r="AH70" s="34"/>
      <c r="AI70" s="34"/>
      <c r="AJ70" s="34"/>
    </row>
    <row r="71" spans="1:36" ht="12" hidden="1" customHeight="1" x14ac:dyDescent="0.25">
      <c r="A71" s="161" t="s">
        <v>95</v>
      </c>
      <c r="B71" s="161"/>
      <c r="C71" s="161"/>
      <c r="D71" s="161"/>
      <c r="E71" s="161"/>
      <c r="F71" s="161"/>
      <c r="G71" s="21" t="s">
        <v>76</v>
      </c>
      <c r="H71" s="162" t="s">
        <v>94</v>
      </c>
      <c r="I71" s="162"/>
      <c r="J71" s="161" t="s">
        <v>86</v>
      </c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21"/>
      <c r="AG71" s="21"/>
      <c r="AH71" s="21"/>
      <c r="AI71" s="21"/>
      <c r="AJ71" s="21"/>
    </row>
    <row r="72" spans="1:36" ht="12" hidden="1" customHeight="1" x14ac:dyDescent="0.25">
      <c r="A72" s="161" t="s">
        <v>96</v>
      </c>
      <c r="B72" s="161"/>
      <c r="C72" s="161"/>
      <c r="D72" s="161"/>
      <c r="E72" s="161"/>
      <c r="F72" s="161"/>
      <c r="G72" s="21" t="s">
        <v>76</v>
      </c>
      <c r="H72" s="162" t="s">
        <v>94</v>
      </c>
      <c r="I72" s="162"/>
      <c r="J72" s="161" t="s">
        <v>86</v>
      </c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21"/>
      <c r="AG72" s="21"/>
      <c r="AH72" s="21"/>
      <c r="AI72" s="21"/>
      <c r="AJ72" s="21"/>
    </row>
    <row r="73" spans="1:36" ht="18.75" customHeight="1" x14ac:dyDescent="0.25">
      <c r="A73" s="137" t="s">
        <v>58</v>
      </c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s="26" customFormat="1" ht="12" customHeight="1" x14ac:dyDescent="0.2">
      <c r="A74" s="26" t="s">
        <v>11</v>
      </c>
    </row>
    <row r="75" spans="1:36" s="26" customFormat="1" ht="12" customHeight="1" x14ac:dyDescent="0.2">
      <c r="A75" s="26" t="s">
        <v>10</v>
      </c>
      <c r="G75" s="140" t="s">
        <v>311</v>
      </c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7.5" customHeight="1" x14ac:dyDescent="0.25">
      <c r="A76" s="142"/>
      <c r="B76" s="142"/>
      <c r="C76" s="8"/>
      <c r="D76" s="8"/>
      <c r="E76" s="8"/>
      <c r="F76" s="8"/>
      <c r="G76" s="138" t="s">
        <v>9</v>
      </c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s="26" customFormat="1" ht="12" customHeight="1" x14ac:dyDescent="0.2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</row>
    <row r="78" spans="1:36" ht="7.5" customHeight="1" x14ac:dyDescent="0.25">
      <c r="A78" s="137" t="s">
        <v>31</v>
      </c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</row>
    <row r="79" spans="1:36" ht="9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s="26" customFormat="1" ht="12" customHeight="1" x14ac:dyDescent="0.2">
      <c r="A80" s="26" t="s">
        <v>8</v>
      </c>
      <c r="D80" s="35"/>
      <c r="E80" s="35"/>
      <c r="F80" s="35"/>
      <c r="G80" s="35"/>
      <c r="L80" s="27"/>
      <c r="M80" s="38"/>
      <c r="N80" s="38"/>
      <c r="P80" s="139">
        <f>'Данные объект'!B6</f>
        <v>45949</v>
      </c>
      <c r="Q80" s="139"/>
      <c r="R80" s="139"/>
      <c r="S80" s="139"/>
      <c r="T80" s="139"/>
      <c r="U80" s="139"/>
      <c r="V80" s="139"/>
      <c r="W80" s="139"/>
    </row>
    <row r="81" spans="1:36" s="26" customFormat="1" ht="12" customHeight="1" x14ac:dyDescent="0.2">
      <c r="A81" s="26" t="s">
        <v>7</v>
      </c>
      <c r="D81" s="35"/>
      <c r="E81" s="35"/>
      <c r="F81" s="35"/>
      <c r="G81" s="35"/>
      <c r="L81" s="27"/>
      <c r="M81" s="38"/>
      <c r="N81" s="38"/>
      <c r="P81" s="158">
        <f>'Данные объект'!B7</f>
        <v>46219</v>
      </c>
      <c r="Q81" s="158"/>
      <c r="R81" s="158"/>
      <c r="S81" s="158"/>
      <c r="T81" s="158"/>
      <c r="U81" s="158"/>
      <c r="V81" s="158"/>
      <c r="W81" s="158"/>
    </row>
    <row r="82" spans="1:36" ht="7.5" customHeight="1" x14ac:dyDescent="0.25">
      <c r="A82" s="6"/>
      <c r="B82" s="6"/>
      <c r="C82" s="6"/>
      <c r="D82" s="5"/>
      <c r="E82" s="5"/>
      <c r="F82" s="5"/>
      <c r="G82" s="5"/>
    </row>
    <row r="83" spans="1:36" s="26" customFormat="1" ht="12" customHeight="1" x14ac:dyDescent="0.2">
      <c r="A83" s="26" t="s">
        <v>5</v>
      </c>
    </row>
    <row r="84" spans="1:36" s="26" customFormat="1" ht="12" customHeight="1" x14ac:dyDescent="0.2">
      <c r="A84" s="140" t="s">
        <v>108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ht="8.25" customHeight="1" x14ac:dyDescent="0.25">
      <c r="A85" s="137" t="s">
        <v>4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ht="8.25" customHeight="1" x14ac:dyDescent="0.25">
      <c r="A87" s="137" t="s">
        <v>59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s="26" customFormat="1" ht="12" customHeight="1" x14ac:dyDescent="0.2">
      <c r="A88" s="26" t="s">
        <v>3</v>
      </c>
    </row>
    <row r="89" spans="1:36" s="26" customFormat="1" ht="12" customHeight="1" x14ac:dyDescent="0.2">
      <c r="A89" s="135" t="s">
        <v>241</v>
      </c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9" customHeight="1" x14ac:dyDescent="0.25">
      <c r="A90" s="137" t="s">
        <v>32</v>
      </c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</row>
    <row r="91" spans="1:36" s="26" customFormat="1" ht="12" customHeight="1" x14ac:dyDescent="0.2">
      <c r="A91" s="26" t="s">
        <v>2</v>
      </c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</row>
    <row r="92" spans="1:36" ht="6" customHeight="1" x14ac:dyDescent="0.25">
      <c r="D92" s="4"/>
      <c r="E92" s="4"/>
      <c r="F92" s="4"/>
      <c r="G92" s="4"/>
      <c r="H92" s="4"/>
      <c r="I92" s="4"/>
      <c r="J92" s="4"/>
    </row>
    <row r="93" spans="1:36" s="26" customFormat="1" ht="12" customHeight="1" x14ac:dyDescent="0.2">
      <c r="A93" s="26" t="s">
        <v>102</v>
      </c>
      <c r="H93" s="135"/>
      <c r="I93" s="135"/>
      <c r="J93" s="26" t="s">
        <v>33</v>
      </c>
    </row>
    <row r="94" spans="1:36" ht="4.5" customHeight="1" x14ac:dyDescent="0.25"/>
    <row r="95" spans="1:36" s="26" customFormat="1" ht="12" customHeight="1" x14ac:dyDescent="0.2">
      <c r="A95" s="26" t="s">
        <v>1</v>
      </c>
    </row>
    <row r="96" spans="1:36" s="26" customFormat="1" ht="12" customHeight="1" x14ac:dyDescent="0.2">
      <c r="A96" s="31" t="s">
        <v>87</v>
      </c>
      <c r="B96" s="140" t="str">
        <f>G75</f>
        <v>Исполнительная схема раскладки труб в БРП №171</v>
      </c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31" t="s">
        <v>76</v>
      </c>
      <c r="R96" s="31" t="s">
        <v>88</v>
      </c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ht="12" hidden="1" customHeight="1" x14ac:dyDescent="0.25">
      <c r="A97" s="23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3"/>
      <c r="R97" s="23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</row>
    <row r="98" spans="1:36" ht="12" hidden="1" customHeight="1" x14ac:dyDescent="0.25">
      <c r="A98" s="25" t="s">
        <v>89</v>
      </c>
      <c r="B98" s="163">
        <f>J70</f>
        <v>0</v>
      </c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25" t="s">
        <v>76</v>
      </c>
      <c r="R98" s="25" t="s">
        <v>88</v>
      </c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</row>
    <row r="99" spans="1:36" ht="12" hidden="1" customHeight="1" x14ac:dyDescent="0.25">
      <c r="A99" s="25" t="s">
        <v>99</v>
      </c>
      <c r="B99" s="163" t="str">
        <f>J71</f>
        <v>(сертификат №                от )</v>
      </c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25" t="s">
        <v>76</v>
      </c>
      <c r="R99" s="25" t="s">
        <v>97</v>
      </c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</row>
    <row r="100" spans="1:36" ht="12" hidden="1" customHeight="1" x14ac:dyDescent="0.25">
      <c r="A100" s="25" t="s">
        <v>100</v>
      </c>
      <c r="B100" s="163" t="str">
        <f>J72</f>
        <v>(сертификат №                от )</v>
      </c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25" t="s">
        <v>76</v>
      </c>
      <c r="R100" s="25" t="s">
        <v>98</v>
      </c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</row>
    <row r="101" spans="1:36" ht="9.75" customHeight="1" x14ac:dyDescent="0.25">
      <c r="A101" s="137" t="s">
        <v>0</v>
      </c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</row>
    <row r="102" spans="1:36" ht="6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26" customFormat="1" ht="12" customHeight="1" x14ac:dyDescent="0.2">
      <c r="A103" s="26" t="s">
        <v>23</v>
      </c>
    </row>
    <row r="104" spans="1:36" s="26" customFormat="1" ht="12" customHeight="1" x14ac:dyDescent="0.2">
      <c r="A104" s="26" t="s">
        <v>24</v>
      </c>
    </row>
    <row r="105" spans="1:36" s="26" customFormat="1" ht="12" customHeight="1" x14ac:dyDescent="0.2">
      <c r="A105" s="135" t="str">
        <f>'Данные объект'!B33</f>
        <v>Алексанян Г.Р.</v>
      </c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135"/>
      <c r="AC105" s="135"/>
      <c r="AD105" s="135"/>
      <c r="AE105" s="135"/>
      <c r="AF105" s="135"/>
      <c r="AG105" s="135"/>
      <c r="AH105" s="135"/>
      <c r="AI105" s="135"/>
      <c r="AJ105" s="135"/>
    </row>
    <row r="106" spans="1:36" ht="9" customHeight="1" x14ac:dyDescent="0.25">
      <c r="A106" s="133" t="s">
        <v>35</v>
      </c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4" t="s">
        <v>34</v>
      </c>
      <c r="AC106" s="134"/>
      <c r="AD106" s="134"/>
      <c r="AE106" s="134"/>
      <c r="AF106" s="134"/>
      <c r="AG106" s="134"/>
      <c r="AH106" s="134"/>
      <c r="AI106" s="134"/>
      <c r="AJ106" s="134"/>
    </row>
    <row r="107" spans="1:36" s="26" customFormat="1" ht="12" customHeight="1" x14ac:dyDescent="0.2">
      <c r="A107" s="26" t="s">
        <v>25</v>
      </c>
    </row>
    <row r="108" spans="1:36" s="26" customFormat="1" ht="12" customHeight="1" x14ac:dyDescent="0.2">
      <c r="A108" s="135" t="str">
        <f>'Данные объект'!B20</f>
        <v>Волков М.Ю.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35"/>
      <c r="AC108" s="135"/>
      <c r="AD108" s="135"/>
      <c r="AE108" s="135"/>
      <c r="AF108" s="135"/>
      <c r="AG108" s="135"/>
      <c r="AH108" s="135"/>
      <c r="AI108" s="135"/>
      <c r="AJ108" s="135"/>
    </row>
    <row r="109" spans="1:36" ht="9" customHeight="1" x14ac:dyDescent="0.25">
      <c r="A109" s="133" t="s">
        <v>35</v>
      </c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 t="s">
        <v>34</v>
      </c>
      <c r="AC109" s="134"/>
      <c r="AD109" s="134"/>
      <c r="AE109" s="134"/>
      <c r="AF109" s="134"/>
      <c r="AG109" s="134"/>
      <c r="AH109" s="134"/>
      <c r="AI109" s="134"/>
      <c r="AJ109" s="134"/>
    </row>
    <row r="110" spans="1:36" s="26" customFormat="1" ht="12" customHeight="1" x14ac:dyDescent="0.2">
      <c r="A110" s="26" t="s">
        <v>27</v>
      </c>
    </row>
    <row r="111" spans="1:36" s="26" customFormat="1" ht="12" customHeight="1" x14ac:dyDescent="0.2">
      <c r="A111" s="26" t="s">
        <v>28</v>
      </c>
    </row>
    <row r="112" spans="1:36" s="26" customFormat="1" ht="12" customHeight="1" x14ac:dyDescent="0.2">
      <c r="A112" s="135" t="str">
        <f>'Данные объект'!B17</f>
        <v>Русин В.А.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135"/>
      <c r="AC112" s="135"/>
      <c r="AD112" s="135"/>
      <c r="AE112" s="135"/>
      <c r="AF112" s="135"/>
      <c r="AG112" s="135"/>
      <c r="AH112" s="135"/>
      <c r="AI112" s="135"/>
      <c r="AJ112" s="135"/>
    </row>
    <row r="113" spans="1:36" ht="9" customHeight="1" x14ac:dyDescent="0.25">
      <c r="A113" s="133" t="s">
        <v>35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4" t="s">
        <v>34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s="101" customFormat="1" ht="11.25" x14ac:dyDescent="0.2">
      <c r="A114" s="26" t="s">
        <v>211</v>
      </c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97"/>
      <c r="AC114" s="97"/>
      <c r="AD114" s="97"/>
      <c r="AE114" s="97"/>
      <c r="AF114" s="97"/>
      <c r="AG114" s="97"/>
      <c r="AH114" s="97"/>
      <c r="AI114" s="97"/>
      <c r="AJ114" s="97"/>
    </row>
    <row r="115" spans="1:36" s="101" customFormat="1" ht="11.25" x14ac:dyDescent="0.2">
      <c r="A115" s="135" t="str">
        <f>'[4]Данные объект'!$B$36</f>
        <v>Курчин М.М.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5"/>
      <c r="AC115" s="135"/>
      <c r="AD115" s="135"/>
      <c r="AE115" s="135"/>
      <c r="AF115" s="135"/>
      <c r="AG115" s="135"/>
      <c r="AH115" s="135"/>
      <c r="AI115" s="135"/>
      <c r="AJ115" s="135"/>
    </row>
    <row r="116" spans="1:36" s="101" customFormat="1" ht="9" customHeight="1" x14ac:dyDescent="0.15">
      <c r="A116" s="133" t="s">
        <v>35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4" t="s">
        <v>34</v>
      </c>
      <c r="AC116" s="134"/>
      <c r="AD116" s="134"/>
      <c r="AE116" s="134"/>
      <c r="AF116" s="134"/>
      <c r="AG116" s="134"/>
      <c r="AH116" s="134"/>
      <c r="AI116" s="134"/>
      <c r="AJ116" s="134"/>
    </row>
    <row r="117" spans="1:36" s="26" customFormat="1" ht="35.25" customHeight="1" x14ac:dyDescent="0.2">
      <c r="A117" s="136" t="s">
        <v>53</v>
      </c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</row>
    <row r="118" spans="1:36" ht="12" customHeight="1" x14ac:dyDescent="0.25">
      <c r="A118" s="155" t="s">
        <v>76</v>
      </c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5" t="s">
        <v>76</v>
      </c>
      <c r="AC118" s="155"/>
      <c r="AD118" s="155"/>
      <c r="AE118" s="155"/>
      <c r="AF118" s="155"/>
      <c r="AG118" s="155"/>
      <c r="AH118" s="155"/>
      <c r="AI118" s="155"/>
      <c r="AJ118" s="155"/>
    </row>
    <row r="119" spans="1:36" ht="9" customHeight="1" x14ac:dyDescent="0.25">
      <c r="A119" s="133" t="s">
        <v>35</v>
      </c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4" t="s">
        <v>34</v>
      </c>
      <c r="AC119" s="134"/>
      <c r="AD119" s="134"/>
      <c r="AE119" s="134"/>
      <c r="AF119" s="134"/>
      <c r="AG119" s="134"/>
      <c r="AH119" s="134"/>
      <c r="AI119" s="134"/>
      <c r="AJ119" s="134"/>
    </row>
    <row r="120" spans="1:36" s="26" customFormat="1" ht="40.5" hidden="1" customHeight="1" x14ac:dyDescent="0.2">
      <c r="A120" s="136" t="s">
        <v>55</v>
      </c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</row>
    <row r="121" spans="1:36" s="26" customFormat="1" ht="12" hidden="1" customHeight="1" x14ac:dyDescent="0.2">
      <c r="A121" s="135" t="e">
        <f>#REF!</f>
        <v>#REF!</v>
      </c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135"/>
      <c r="AC121" s="135"/>
      <c r="AD121" s="135"/>
      <c r="AE121" s="135"/>
      <c r="AF121" s="135"/>
      <c r="AG121" s="135"/>
      <c r="AH121" s="135"/>
      <c r="AI121" s="135"/>
      <c r="AJ121" s="135"/>
    </row>
    <row r="122" spans="1:36" ht="9" hidden="1" customHeight="1" x14ac:dyDescent="0.25">
      <c r="A122" s="133" t="s">
        <v>35</v>
      </c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7"/>
      <c r="Q122" s="17"/>
      <c r="R122" s="17"/>
      <c r="S122" s="17"/>
      <c r="T122" s="17"/>
      <c r="U122" s="16"/>
      <c r="V122" s="16"/>
      <c r="W122" s="16"/>
      <c r="X122" s="16"/>
      <c r="Y122" s="16"/>
      <c r="Z122" s="16"/>
      <c r="AA122" s="16"/>
      <c r="AB122" s="134" t="s">
        <v>34</v>
      </c>
      <c r="AC122" s="134"/>
      <c r="AD122" s="134"/>
      <c r="AE122" s="134"/>
      <c r="AF122" s="134"/>
      <c r="AG122" s="134"/>
      <c r="AH122" s="134"/>
      <c r="AI122" s="134"/>
      <c r="AJ122" s="134"/>
    </row>
    <row r="123" spans="1:36" ht="12" customHeight="1" x14ac:dyDescent="0.25"/>
  </sheetData>
  <mergeCells count="112">
    <mergeCell ref="A4:AJ4"/>
    <mergeCell ref="A5:AJ5"/>
    <mergeCell ref="A6:AJ6"/>
    <mergeCell ref="A7:AJ8"/>
    <mergeCell ref="A9:AJ9"/>
    <mergeCell ref="A10:AJ10"/>
    <mergeCell ref="A18:AJ18"/>
    <mergeCell ref="A19:AJ19"/>
    <mergeCell ref="A20:AJ20"/>
    <mergeCell ref="A21:AJ21"/>
    <mergeCell ref="A23:AJ23"/>
    <mergeCell ref="A24:AJ24"/>
    <mergeCell ref="A11:AJ11"/>
    <mergeCell ref="A12:AJ12"/>
    <mergeCell ref="A13:AJ13"/>
    <mergeCell ref="A14:AJ14"/>
    <mergeCell ref="A16:AJ16"/>
    <mergeCell ref="A17:AJ17"/>
    <mergeCell ref="E33:G33"/>
    <mergeCell ref="AB33:AI33"/>
    <mergeCell ref="AB34:AI34"/>
    <mergeCell ref="A36:AJ36"/>
    <mergeCell ref="A37:AJ37"/>
    <mergeCell ref="A38:AJ38"/>
    <mergeCell ref="A25:AJ25"/>
    <mergeCell ref="A26:AJ26"/>
    <mergeCell ref="A27:AJ27"/>
    <mergeCell ref="A28:AJ28"/>
    <mergeCell ref="A30:AJ30"/>
    <mergeCell ref="A31:AJ31"/>
    <mergeCell ref="A39:AJ39"/>
    <mergeCell ref="A40:AJ40"/>
    <mergeCell ref="A42:AJ42"/>
    <mergeCell ref="A43:AJ43"/>
    <mergeCell ref="A44:AJ44"/>
    <mergeCell ref="A45:AJ45"/>
    <mergeCell ref="A47:AJ47"/>
    <mergeCell ref="A48:AJ48"/>
    <mergeCell ref="A49:AJ49"/>
    <mergeCell ref="A55:AJ55"/>
    <mergeCell ref="A56:AJ56"/>
    <mergeCell ref="A57:AJ57"/>
    <mergeCell ref="A59:AJ59"/>
    <mergeCell ref="A60:AJ60"/>
    <mergeCell ref="A63:W63"/>
    <mergeCell ref="A46:AJ46"/>
    <mergeCell ref="A50:AJ50"/>
    <mergeCell ref="A51:AJ51"/>
    <mergeCell ref="A52:AJ52"/>
    <mergeCell ref="A53:AJ53"/>
    <mergeCell ref="A54:AJ54"/>
    <mergeCell ref="A71:F71"/>
    <mergeCell ref="H71:I71"/>
    <mergeCell ref="J71:AE71"/>
    <mergeCell ref="A72:F72"/>
    <mergeCell ref="H72:I72"/>
    <mergeCell ref="J72:AE72"/>
    <mergeCell ref="A64:AJ64"/>
    <mergeCell ref="A66:AJ66"/>
    <mergeCell ref="A67:AJ67"/>
    <mergeCell ref="P68:AJ68"/>
    <mergeCell ref="P69:AJ69"/>
    <mergeCell ref="A70:F70"/>
    <mergeCell ref="H70:I70"/>
    <mergeCell ref="J70:AE70"/>
    <mergeCell ref="P80:W80"/>
    <mergeCell ref="P81:W81"/>
    <mergeCell ref="A84:AJ84"/>
    <mergeCell ref="A85:AJ85"/>
    <mergeCell ref="A86:AJ86"/>
    <mergeCell ref="A87:AJ87"/>
    <mergeCell ref="A73:AJ73"/>
    <mergeCell ref="G75:AJ75"/>
    <mergeCell ref="A76:B76"/>
    <mergeCell ref="G76:AJ76"/>
    <mergeCell ref="A77:AJ77"/>
    <mergeCell ref="A78:AJ78"/>
    <mergeCell ref="A89:AJ89"/>
    <mergeCell ref="A90:AJ90"/>
    <mergeCell ref="L91:AJ91"/>
    <mergeCell ref="A113:O113"/>
    <mergeCell ref="AB113:AJ113"/>
    <mergeCell ref="A117:AJ117"/>
    <mergeCell ref="A118:O118"/>
    <mergeCell ref="AB118:AJ118"/>
    <mergeCell ref="A119:O119"/>
    <mergeCell ref="AB119:AJ119"/>
    <mergeCell ref="A108:O108"/>
    <mergeCell ref="AB108:AJ108"/>
    <mergeCell ref="A109:O109"/>
    <mergeCell ref="AB109:AJ109"/>
    <mergeCell ref="A112:O112"/>
    <mergeCell ref="AB112:AJ112"/>
    <mergeCell ref="A115:O115"/>
    <mergeCell ref="AB115:AJ115"/>
    <mergeCell ref="A116:O116"/>
    <mergeCell ref="AB116:AJ116"/>
    <mergeCell ref="H93:I93"/>
    <mergeCell ref="B96:P96"/>
    <mergeCell ref="B98:P98"/>
    <mergeCell ref="A120:AJ120"/>
    <mergeCell ref="A121:O121"/>
    <mergeCell ref="AB121:AJ121"/>
    <mergeCell ref="A122:O122"/>
    <mergeCell ref="AB122:AJ122"/>
    <mergeCell ref="B99:P99"/>
    <mergeCell ref="B100:P100"/>
    <mergeCell ref="A101:AJ101"/>
    <mergeCell ref="A105:O105"/>
    <mergeCell ref="AB105:AJ105"/>
    <mergeCell ref="A106:O106"/>
    <mergeCell ref="AB106:AJ106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FF27-046A-49F4-9810-646844C084CD}">
  <sheetPr>
    <tabColor indexed="57"/>
    <pageSetUpPr fitToPage="1"/>
  </sheetPr>
  <dimension ref="A1:AQ123"/>
  <sheetViews>
    <sheetView view="pageBreakPreview" topLeftCell="A49" zoomScale="125" zoomScaleNormal="125" zoomScaleSheetLayoutView="125" workbookViewId="0">
      <selection activeCell="A89" sqref="A89:AJ89"/>
    </sheetView>
  </sheetViews>
  <sheetFormatPr defaultColWidth="10.6640625" defaultRowHeight="15" x14ac:dyDescent="0.25"/>
  <cols>
    <col min="1" max="4" width="2.83203125" style="1" customWidth="1"/>
    <col min="5" max="5" width="4.83203125" style="1" customWidth="1"/>
    <col min="6" max="6" width="2.83203125" style="1" customWidth="1"/>
    <col min="7" max="7" width="5.832031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39.7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18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P81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">
        <v>242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35" t="s">
        <v>312</v>
      </c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4" t="s">
        <v>57</v>
      </c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</row>
    <row r="70" spans="1:36" s="26" customFormat="1" ht="12" customHeight="1" x14ac:dyDescent="0.2">
      <c r="A70" s="152"/>
      <c r="B70" s="152"/>
      <c r="C70" s="152"/>
      <c r="D70" s="152"/>
      <c r="E70" s="152"/>
      <c r="F70" s="152"/>
      <c r="G70" s="34"/>
      <c r="H70" s="141"/>
      <c r="I70" s="141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34"/>
      <c r="AG70" s="34"/>
      <c r="AH70" s="34"/>
      <c r="AI70" s="34"/>
      <c r="AJ70" s="34"/>
    </row>
    <row r="71" spans="1:36" ht="12" hidden="1" customHeight="1" x14ac:dyDescent="0.25">
      <c r="A71" s="161" t="s">
        <v>95</v>
      </c>
      <c r="B71" s="161"/>
      <c r="C71" s="161"/>
      <c r="D71" s="161"/>
      <c r="E71" s="161"/>
      <c r="F71" s="161"/>
      <c r="G71" s="21" t="s">
        <v>76</v>
      </c>
      <c r="H71" s="162" t="s">
        <v>94</v>
      </c>
      <c r="I71" s="162"/>
      <c r="J71" s="161" t="s">
        <v>86</v>
      </c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21"/>
      <c r="AG71" s="21"/>
      <c r="AH71" s="21"/>
      <c r="AI71" s="21"/>
      <c r="AJ71" s="21"/>
    </row>
    <row r="72" spans="1:36" ht="12" hidden="1" customHeight="1" x14ac:dyDescent="0.25">
      <c r="A72" s="161" t="s">
        <v>96</v>
      </c>
      <c r="B72" s="161"/>
      <c r="C72" s="161"/>
      <c r="D72" s="161"/>
      <c r="E72" s="161"/>
      <c r="F72" s="161"/>
      <c r="G72" s="21" t="s">
        <v>76</v>
      </c>
      <c r="H72" s="162" t="s">
        <v>94</v>
      </c>
      <c r="I72" s="162"/>
      <c r="J72" s="161" t="s">
        <v>86</v>
      </c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21"/>
      <c r="AG72" s="21"/>
      <c r="AH72" s="21"/>
      <c r="AI72" s="21"/>
      <c r="AJ72" s="21"/>
    </row>
    <row r="73" spans="1:36" ht="18.75" customHeight="1" x14ac:dyDescent="0.25">
      <c r="A73" s="137" t="s">
        <v>58</v>
      </c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s="26" customFormat="1" ht="12" customHeight="1" x14ac:dyDescent="0.2">
      <c r="A74" s="26" t="s">
        <v>11</v>
      </c>
    </row>
    <row r="75" spans="1:36" s="26" customFormat="1" ht="12" customHeight="1" x14ac:dyDescent="0.2">
      <c r="A75" s="26" t="s">
        <v>10</v>
      </c>
      <c r="G75" s="140" t="s">
        <v>311</v>
      </c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7.5" customHeight="1" x14ac:dyDescent="0.25">
      <c r="A76" s="142"/>
      <c r="B76" s="142"/>
      <c r="C76" s="8"/>
      <c r="D76" s="8"/>
      <c r="E76" s="8"/>
      <c r="F76" s="8"/>
      <c r="G76" s="138" t="s">
        <v>9</v>
      </c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s="26" customFormat="1" ht="12" customHeight="1" x14ac:dyDescent="0.2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</row>
    <row r="78" spans="1:36" ht="7.5" customHeight="1" x14ac:dyDescent="0.25">
      <c r="A78" s="137" t="s">
        <v>31</v>
      </c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</row>
    <row r="79" spans="1:36" ht="9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s="26" customFormat="1" ht="12" customHeight="1" x14ac:dyDescent="0.2">
      <c r="A80" s="26" t="s">
        <v>8</v>
      </c>
      <c r="D80" s="35"/>
      <c r="E80" s="35"/>
      <c r="F80" s="35"/>
      <c r="G80" s="35"/>
      <c r="L80" s="27"/>
      <c r="M80" s="38"/>
      <c r="N80" s="38"/>
      <c r="P80" s="139">
        <f>'Данные объект'!B6</f>
        <v>45949</v>
      </c>
      <c r="Q80" s="139"/>
      <c r="R80" s="139"/>
      <c r="S80" s="139"/>
      <c r="T80" s="139"/>
      <c r="U80" s="139"/>
      <c r="V80" s="139"/>
      <c r="W80" s="139"/>
    </row>
    <row r="81" spans="1:36" s="26" customFormat="1" ht="12" customHeight="1" x14ac:dyDescent="0.2">
      <c r="A81" s="26" t="s">
        <v>7</v>
      </c>
      <c r="D81" s="35"/>
      <c r="E81" s="35"/>
      <c r="F81" s="35"/>
      <c r="G81" s="35"/>
      <c r="L81" s="27"/>
      <c r="M81" s="38"/>
      <c r="N81" s="38"/>
      <c r="P81" s="158">
        <f>'Данные объект'!B7</f>
        <v>46219</v>
      </c>
      <c r="Q81" s="158"/>
      <c r="R81" s="158"/>
      <c r="S81" s="158"/>
      <c r="T81" s="158"/>
      <c r="U81" s="158"/>
      <c r="V81" s="158"/>
      <c r="W81" s="158"/>
    </row>
    <row r="82" spans="1:36" ht="7.5" customHeight="1" x14ac:dyDescent="0.25">
      <c r="A82" s="6"/>
      <c r="B82" s="6"/>
      <c r="C82" s="6"/>
      <c r="D82" s="5"/>
      <c r="E82" s="5"/>
      <c r="F82" s="5"/>
      <c r="G82" s="5"/>
    </row>
    <row r="83" spans="1:36" s="26" customFormat="1" ht="12" customHeight="1" x14ac:dyDescent="0.2">
      <c r="A83" s="26" t="s">
        <v>5</v>
      </c>
    </row>
    <row r="84" spans="1:36" s="26" customFormat="1" ht="12" customHeight="1" x14ac:dyDescent="0.2">
      <c r="A84" s="140" t="s">
        <v>108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ht="8.25" customHeight="1" x14ac:dyDescent="0.25">
      <c r="A85" s="137" t="s">
        <v>4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ht="8.25" customHeight="1" x14ac:dyDescent="0.25">
      <c r="A87" s="137" t="s">
        <v>59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s="26" customFormat="1" ht="12" customHeight="1" x14ac:dyDescent="0.2">
      <c r="A88" s="26" t="s">
        <v>3</v>
      </c>
    </row>
    <row r="89" spans="1:36" s="26" customFormat="1" ht="12" customHeight="1" x14ac:dyDescent="0.2">
      <c r="A89" s="135" t="s">
        <v>243</v>
      </c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9" customHeight="1" x14ac:dyDescent="0.25">
      <c r="A90" s="137" t="s">
        <v>32</v>
      </c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</row>
    <row r="91" spans="1:36" s="26" customFormat="1" ht="12" customHeight="1" x14ac:dyDescent="0.2">
      <c r="A91" s="26" t="s">
        <v>2</v>
      </c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</row>
    <row r="92" spans="1:36" ht="6" customHeight="1" x14ac:dyDescent="0.25">
      <c r="D92" s="4"/>
      <c r="E92" s="4"/>
      <c r="F92" s="4"/>
      <c r="G92" s="4"/>
      <c r="H92" s="4"/>
      <c r="I92" s="4"/>
      <c r="J92" s="4"/>
    </row>
    <row r="93" spans="1:36" s="26" customFormat="1" ht="12" customHeight="1" x14ac:dyDescent="0.2">
      <c r="A93" s="26" t="s">
        <v>102</v>
      </c>
      <c r="H93" s="135"/>
      <c r="I93" s="135"/>
      <c r="J93" s="26" t="s">
        <v>33</v>
      </c>
    </row>
    <row r="94" spans="1:36" ht="4.5" customHeight="1" x14ac:dyDescent="0.25"/>
    <row r="95" spans="1:36" s="26" customFormat="1" ht="12" customHeight="1" x14ac:dyDescent="0.2">
      <c r="A95" s="26" t="s">
        <v>1</v>
      </c>
    </row>
    <row r="96" spans="1:36" s="26" customFormat="1" ht="12" customHeight="1" x14ac:dyDescent="0.2">
      <c r="A96" s="31" t="s">
        <v>87</v>
      </c>
      <c r="B96" s="140" t="str">
        <f>G75</f>
        <v>Исполнительная схема раскладки труб в БРП №171</v>
      </c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31" t="s">
        <v>76</v>
      </c>
      <c r="R96" s="31" t="s">
        <v>88</v>
      </c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ht="12" hidden="1" customHeight="1" x14ac:dyDescent="0.25">
      <c r="A97" s="23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3"/>
      <c r="R97" s="23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</row>
    <row r="98" spans="1:36" ht="12" hidden="1" customHeight="1" x14ac:dyDescent="0.25">
      <c r="A98" s="25" t="s">
        <v>89</v>
      </c>
      <c r="B98" s="163">
        <f>J70</f>
        <v>0</v>
      </c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25" t="s">
        <v>76</v>
      </c>
      <c r="R98" s="25" t="s">
        <v>88</v>
      </c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</row>
    <row r="99" spans="1:36" ht="12" hidden="1" customHeight="1" x14ac:dyDescent="0.25">
      <c r="A99" s="25" t="s">
        <v>99</v>
      </c>
      <c r="B99" s="163" t="str">
        <f>J71</f>
        <v>(сертификат №                от )</v>
      </c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25" t="s">
        <v>76</v>
      </c>
      <c r="R99" s="25" t="s">
        <v>97</v>
      </c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</row>
    <row r="100" spans="1:36" ht="12" hidden="1" customHeight="1" x14ac:dyDescent="0.25">
      <c r="A100" s="25" t="s">
        <v>100</v>
      </c>
      <c r="B100" s="163" t="str">
        <f>J72</f>
        <v>(сертификат №                от )</v>
      </c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25" t="s">
        <v>76</v>
      </c>
      <c r="R100" s="25" t="s">
        <v>98</v>
      </c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</row>
    <row r="101" spans="1:36" ht="9.75" customHeight="1" x14ac:dyDescent="0.25">
      <c r="A101" s="137" t="s">
        <v>0</v>
      </c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</row>
    <row r="102" spans="1:36" ht="6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26" customFormat="1" ht="12" customHeight="1" x14ac:dyDescent="0.2">
      <c r="A103" s="26" t="s">
        <v>23</v>
      </c>
    </row>
    <row r="104" spans="1:36" s="26" customFormat="1" ht="12" customHeight="1" x14ac:dyDescent="0.2">
      <c r="A104" s="26" t="s">
        <v>24</v>
      </c>
    </row>
    <row r="105" spans="1:36" s="26" customFormat="1" ht="12" customHeight="1" x14ac:dyDescent="0.2">
      <c r="A105" s="135" t="str">
        <f>'Данные объект'!B33</f>
        <v>Алексанян Г.Р.</v>
      </c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135"/>
      <c r="AC105" s="135"/>
      <c r="AD105" s="135"/>
      <c r="AE105" s="135"/>
      <c r="AF105" s="135"/>
      <c r="AG105" s="135"/>
      <c r="AH105" s="135"/>
      <c r="AI105" s="135"/>
      <c r="AJ105" s="135"/>
    </row>
    <row r="106" spans="1:36" ht="9" customHeight="1" x14ac:dyDescent="0.25">
      <c r="A106" s="133" t="s">
        <v>35</v>
      </c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4" t="s">
        <v>34</v>
      </c>
      <c r="AC106" s="134"/>
      <c r="AD106" s="134"/>
      <c r="AE106" s="134"/>
      <c r="AF106" s="134"/>
      <c r="AG106" s="134"/>
      <c r="AH106" s="134"/>
      <c r="AI106" s="134"/>
      <c r="AJ106" s="134"/>
    </row>
    <row r="107" spans="1:36" s="26" customFormat="1" ht="12" customHeight="1" x14ac:dyDescent="0.2">
      <c r="A107" s="26" t="s">
        <v>25</v>
      </c>
    </row>
    <row r="108" spans="1:36" s="26" customFormat="1" ht="12" customHeight="1" x14ac:dyDescent="0.2">
      <c r="A108" s="135" t="str">
        <f>'Данные объект'!B20</f>
        <v>Волков М.Ю.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35"/>
      <c r="AC108" s="135"/>
      <c r="AD108" s="135"/>
      <c r="AE108" s="135"/>
      <c r="AF108" s="135"/>
      <c r="AG108" s="135"/>
      <c r="AH108" s="135"/>
      <c r="AI108" s="135"/>
      <c r="AJ108" s="135"/>
    </row>
    <row r="109" spans="1:36" ht="9" customHeight="1" x14ac:dyDescent="0.25">
      <c r="A109" s="133" t="s">
        <v>35</v>
      </c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 t="s">
        <v>34</v>
      </c>
      <c r="AC109" s="134"/>
      <c r="AD109" s="134"/>
      <c r="AE109" s="134"/>
      <c r="AF109" s="134"/>
      <c r="AG109" s="134"/>
      <c r="AH109" s="134"/>
      <c r="AI109" s="134"/>
      <c r="AJ109" s="134"/>
    </row>
    <row r="110" spans="1:36" s="26" customFormat="1" ht="12" customHeight="1" x14ac:dyDescent="0.2">
      <c r="A110" s="26" t="s">
        <v>27</v>
      </c>
    </row>
    <row r="111" spans="1:36" s="26" customFormat="1" ht="12" customHeight="1" x14ac:dyDescent="0.2">
      <c r="A111" s="26" t="s">
        <v>28</v>
      </c>
    </row>
    <row r="112" spans="1:36" s="26" customFormat="1" ht="12" customHeight="1" x14ac:dyDescent="0.2">
      <c r="A112" s="135" t="str">
        <f>'Данные объект'!B17</f>
        <v>Русин В.А.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135"/>
      <c r="AC112" s="135"/>
      <c r="AD112" s="135"/>
      <c r="AE112" s="135"/>
      <c r="AF112" s="135"/>
      <c r="AG112" s="135"/>
      <c r="AH112" s="135"/>
      <c r="AI112" s="135"/>
      <c r="AJ112" s="135"/>
    </row>
    <row r="113" spans="1:36" ht="9" customHeight="1" x14ac:dyDescent="0.25">
      <c r="A113" s="133" t="s">
        <v>35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4" t="s">
        <v>34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s="101" customFormat="1" ht="11.25" x14ac:dyDescent="0.2">
      <c r="A114" s="26" t="s">
        <v>211</v>
      </c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97"/>
      <c r="AC114" s="97"/>
      <c r="AD114" s="97"/>
      <c r="AE114" s="97"/>
      <c r="AF114" s="97"/>
      <c r="AG114" s="97"/>
      <c r="AH114" s="97"/>
      <c r="AI114" s="97"/>
      <c r="AJ114" s="97"/>
    </row>
    <row r="115" spans="1:36" s="101" customFormat="1" ht="11.25" x14ac:dyDescent="0.2">
      <c r="A115" s="135" t="str">
        <f>'[4]Данные объект'!$B$36</f>
        <v>Курчин М.М.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5"/>
      <c r="AC115" s="135"/>
      <c r="AD115" s="135"/>
      <c r="AE115" s="135"/>
      <c r="AF115" s="135"/>
      <c r="AG115" s="135"/>
      <c r="AH115" s="135"/>
      <c r="AI115" s="135"/>
      <c r="AJ115" s="135"/>
    </row>
    <row r="116" spans="1:36" s="101" customFormat="1" ht="9" customHeight="1" x14ac:dyDescent="0.15">
      <c r="A116" s="133" t="s">
        <v>35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4" t="s">
        <v>34</v>
      </c>
      <c r="AC116" s="134"/>
      <c r="AD116" s="134"/>
      <c r="AE116" s="134"/>
      <c r="AF116" s="134"/>
      <c r="AG116" s="134"/>
      <c r="AH116" s="134"/>
      <c r="AI116" s="134"/>
      <c r="AJ116" s="134"/>
    </row>
    <row r="117" spans="1:36" s="26" customFormat="1" ht="35.25" customHeight="1" x14ac:dyDescent="0.2">
      <c r="A117" s="136" t="s">
        <v>53</v>
      </c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</row>
    <row r="118" spans="1:36" ht="12" customHeight="1" x14ac:dyDescent="0.25">
      <c r="A118" s="155" t="s">
        <v>76</v>
      </c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5" t="s">
        <v>76</v>
      </c>
      <c r="AC118" s="155"/>
      <c r="AD118" s="155"/>
      <c r="AE118" s="155"/>
      <c r="AF118" s="155"/>
      <c r="AG118" s="155"/>
      <c r="AH118" s="155"/>
      <c r="AI118" s="155"/>
      <c r="AJ118" s="155"/>
    </row>
    <row r="119" spans="1:36" ht="9" customHeight="1" x14ac:dyDescent="0.25">
      <c r="A119" s="133" t="s">
        <v>35</v>
      </c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4" t="s">
        <v>34</v>
      </c>
      <c r="AC119" s="134"/>
      <c r="AD119" s="134"/>
      <c r="AE119" s="134"/>
      <c r="AF119" s="134"/>
      <c r="AG119" s="134"/>
      <c r="AH119" s="134"/>
      <c r="AI119" s="134"/>
      <c r="AJ119" s="134"/>
    </row>
    <row r="120" spans="1:36" s="26" customFormat="1" ht="40.5" hidden="1" customHeight="1" x14ac:dyDescent="0.2">
      <c r="A120" s="136" t="s">
        <v>55</v>
      </c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</row>
    <row r="121" spans="1:36" s="26" customFormat="1" ht="12" hidden="1" customHeight="1" x14ac:dyDescent="0.2">
      <c r="A121" s="135" t="e">
        <f>#REF!</f>
        <v>#REF!</v>
      </c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135"/>
      <c r="AC121" s="135"/>
      <c r="AD121" s="135"/>
      <c r="AE121" s="135"/>
      <c r="AF121" s="135"/>
      <c r="AG121" s="135"/>
      <c r="AH121" s="135"/>
      <c r="AI121" s="135"/>
      <c r="AJ121" s="135"/>
    </row>
    <row r="122" spans="1:36" ht="9" hidden="1" customHeight="1" x14ac:dyDescent="0.25">
      <c r="A122" s="133" t="s">
        <v>35</v>
      </c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7"/>
      <c r="Q122" s="17"/>
      <c r="R122" s="17"/>
      <c r="S122" s="17"/>
      <c r="T122" s="17"/>
      <c r="U122" s="16"/>
      <c r="V122" s="16"/>
      <c r="W122" s="16"/>
      <c r="X122" s="16"/>
      <c r="Y122" s="16"/>
      <c r="Z122" s="16"/>
      <c r="AA122" s="16"/>
      <c r="AB122" s="134" t="s">
        <v>34</v>
      </c>
      <c r="AC122" s="134"/>
      <c r="AD122" s="134"/>
      <c r="AE122" s="134"/>
      <c r="AF122" s="134"/>
      <c r="AG122" s="134"/>
      <c r="AH122" s="134"/>
      <c r="AI122" s="134"/>
      <c r="AJ122" s="134"/>
    </row>
    <row r="123" spans="1:36" ht="12" customHeight="1" x14ac:dyDescent="0.25"/>
  </sheetData>
  <mergeCells count="112">
    <mergeCell ref="A4:AJ4"/>
    <mergeCell ref="A5:AJ5"/>
    <mergeCell ref="A6:AJ6"/>
    <mergeCell ref="A7:AJ8"/>
    <mergeCell ref="A9:AJ9"/>
    <mergeCell ref="A10:AJ10"/>
    <mergeCell ref="A18:AJ18"/>
    <mergeCell ref="A19:AJ19"/>
    <mergeCell ref="A20:AJ20"/>
    <mergeCell ref="A21:AJ21"/>
    <mergeCell ref="A23:AJ23"/>
    <mergeCell ref="A24:AJ24"/>
    <mergeCell ref="A11:AJ11"/>
    <mergeCell ref="A12:AJ12"/>
    <mergeCell ref="A13:AJ13"/>
    <mergeCell ref="A14:AJ14"/>
    <mergeCell ref="A16:AJ16"/>
    <mergeCell ref="A17:AJ17"/>
    <mergeCell ref="E33:G33"/>
    <mergeCell ref="AB33:AI33"/>
    <mergeCell ref="AB34:AI34"/>
    <mergeCell ref="A36:AJ36"/>
    <mergeCell ref="A37:AJ37"/>
    <mergeCell ref="A38:AJ38"/>
    <mergeCell ref="A25:AJ25"/>
    <mergeCell ref="A26:AJ26"/>
    <mergeCell ref="A27:AJ27"/>
    <mergeCell ref="A28:AJ28"/>
    <mergeCell ref="A30:AJ30"/>
    <mergeCell ref="A31:AJ31"/>
    <mergeCell ref="A46:AJ46"/>
    <mergeCell ref="A50:AJ50"/>
    <mergeCell ref="A51:AJ51"/>
    <mergeCell ref="A52:AJ52"/>
    <mergeCell ref="A53:AJ53"/>
    <mergeCell ref="A54:AJ54"/>
    <mergeCell ref="A39:AJ39"/>
    <mergeCell ref="A40:AJ40"/>
    <mergeCell ref="A42:AJ42"/>
    <mergeCell ref="A43:AJ43"/>
    <mergeCell ref="A44:AJ44"/>
    <mergeCell ref="A45:AJ45"/>
    <mergeCell ref="A47:AJ47"/>
    <mergeCell ref="A48:AJ48"/>
    <mergeCell ref="A49:AJ49"/>
    <mergeCell ref="A64:AJ64"/>
    <mergeCell ref="A66:AJ66"/>
    <mergeCell ref="A67:AJ67"/>
    <mergeCell ref="P68:AJ68"/>
    <mergeCell ref="P69:AJ69"/>
    <mergeCell ref="A70:F70"/>
    <mergeCell ref="H70:I70"/>
    <mergeCell ref="J70:AE70"/>
    <mergeCell ref="A55:AJ55"/>
    <mergeCell ref="A56:AJ56"/>
    <mergeCell ref="A57:AJ57"/>
    <mergeCell ref="A59:AJ59"/>
    <mergeCell ref="A60:AJ60"/>
    <mergeCell ref="A63:W63"/>
    <mergeCell ref="A73:AJ73"/>
    <mergeCell ref="G75:AJ75"/>
    <mergeCell ref="A76:B76"/>
    <mergeCell ref="G76:AJ76"/>
    <mergeCell ref="A77:AJ77"/>
    <mergeCell ref="A78:AJ78"/>
    <mergeCell ref="A71:F71"/>
    <mergeCell ref="H71:I71"/>
    <mergeCell ref="J71:AE71"/>
    <mergeCell ref="A72:F72"/>
    <mergeCell ref="H72:I72"/>
    <mergeCell ref="J72:AE72"/>
    <mergeCell ref="A89:AJ89"/>
    <mergeCell ref="A90:AJ90"/>
    <mergeCell ref="L91:AJ91"/>
    <mergeCell ref="H93:I93"/>
    <mergeCell ref="B96:P96"/>
    <mergeCell ref="B98:P98"/>
    <mergeCell ref="P80:W80"/>
    <mergeCell ref="P81:W81"/>
    <mergeCell ref="A84:AJ84"/>
    <mergeCell ref="A85:AJ85"/>
    <mergeCell ref="A86:AJ86"/>
    <mergeCell ref="A87:AJ87"/>
    <mergeCell ref="A108:O108"/>
    <mergeCell ref="AB108:AJ108"/>
    <mergeCell ref="A109:O109"/>
    <mergeCell ref="AB109:AJ109"/>
    <mergeCell ref="A112:O112"/>
    <mergeCell ref="AB112:AJ112"/>
    <mergeCell ref="B99:P99"/>
    <mergeCell ref="B100:P100"/>
    <mergeCell ref="A101:AJ101"/>
    <mergeCell ref="A105:O105"/>
    <mergeCell ref="AB105:AJ105"/>
    <mergeCell ref="A106:O106"/>
    <mergeCell ref="AB106:AJ106"/>
    <mergeCell ref="A120:AJ120"/>
    <mergeCell ref="A121:O121"/>
    <mergeCell ref="AB121:AJ121"/>
    <mergeCell ref="A122:O122"/>
    <mergeCell ref="AB122:AJ122"/>
    <mergeCell ref="A113:O113"/>
    <mergeCell ref="AB113:AJ113"/>
    <mergeCell ref="A117:AJ117"/>
    <mergeCell ref="A118:O118"/>
    <mergeCell ref="AB118:AJ118"/>
    <mergeCell ref="A119:O119"/>
    <mergeCell ref="AB119:AJ119"/>
    <mergeCell ref="A115:O115"/>
    <mergeCell ref="AB115:AJ115"/>
    <mergeCell ref="A116:O116"/>
    <mergeCell ref="AB116:AJ116"/>
  </mergeCells>
  <pageMargins left="0.78740157480314965" right="0.27559055118110237" top="0.39370078740157483" bottom="0.39370078740157483" header="0" footer="0"/>
  <pageSetup paperSize="9" scale="96" fitToHeight="3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4B16-81DC-4588-A50B-4DC8C7994562}">
  <sheetPr>
    <tabColor indexed="57"/>
    <pageSetUpPr fitToPage="1"/>
  </sheetPr>
  <dimension ref="A1:AQ123"/>
  <sheetViews>
    <sheetView view="pageBreakPreview" topLeftCell="A61" zoomScale="125" zoomScaleNormal="125" zoomScaleSheetLayoutView="125" workbookViewId="0">
      <selection activeCell="A89" sqref="A89:AJ89"/>
    </sheetView>
  </sheetViews>
  <sheetFormatPr defaultColWidth="10.6640625" defaultRowHeight="15" x14ac:dyDescent="0.25"/>
  <cols>
    <col min="1" max="6" width="2.83203125" style="1" customWidth="1"/>
    <col min="7" max="7" width="5.832031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4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19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P81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tr">
        <f>'АОСР-9.1 (2)'!A89:AJ89</f>
        <v>Герметезация труб Ø150мм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4" t="s">
        <v>57</v>
      </c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</row>
    <row r="70" spans="1:36" s="26" customFormat="1" ht="12" customHeight="1" x14ac:dyDescent="0.2">
      <c r="A70" s="152"/>
      <c r="B70" s="152"/>
      <c r="C70" s="152"/>
      <c r="D70" s="152"/>
      <c r="E70" s="152"/>
      <c r="F70" s="152"/>
      <c r="G70" s="34"/>
      <c r="H70" s="141"/>
      <c r="I70" s="141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34"/>
      <c r="AG70" s="34"/>
      <c r="AH70" s="34"/>
      <c r="AI70" s="34"/>
      <c r="AJ70" s="34"/>
    </row>
    <row r="71" spans="1:36" ht="12" hidden="1" customHeight="1" x14ac:dyDescent="0.25">
      <c r="A71" s="161" t="s">
        <v>95</v>
      </c>
      <c r="B71" s="161"/>
      <c r="C71" s="161"/>
      <c r="D71" s="161"/>
      <c r="E71" s="161"/>
      <c r="F71" s="161"/>
      <c r="G71" s="21" t="s">
        <v>76</v>
      </c>
      <c r="H71" s="162" t="s">
        <v>94</v>
      </c>
      <c r="I71" s="162"/>
      <c r="J71" s="161" t="s">
        <v>86</v>
      </c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21"/>
      <c r="AG71" s="21"/>
      <c r="AH71" s="21"/>
      <c r="AI71" s="21"/>
      <c r="AJ71" s="21"/>
    </row>
    <row r="72" spans="1:36" ht="12" hidden="1" customHeight="1" x14ac:dyDescent="0.25">
      <c r="A72" s="161" t="s">
        <v>96</v>
      </c>
      <c r="B72" s="161"/>
      <c r="C72" s="161"/>
      <c r="D72" s="161"/>
      <c r="E72" s="161"/>
      <c r="F72" s="161"/>
      <c r="G72" s="21" t="s">
        <v>76</v>
      </c>
      <c r="H72" s="162" t="s">
        <v>94</v>
      </c>
      <c r="I72" s="162"/>
      <c r="J72" s="161" t="s">
        <v>86</v>
      </c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21"/>
      <c r="AG72" s="21"/>
      <c r="AH72" s="21"/>
      <c r="AI72" s="21"/>
      <c r="AJ72" s="21"/>
    </row>
    <row r="73" spans="1:36" ht="18.75" customHeight="1" x14ac:dyDescent="0.25">
      <c r="A73" s="137" t="s">
        <v>58</v>
      </c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s="26" customFormat="1" ht="12" customHeight="1" x14ac:dyDescent="0.2">
      <c r="A74" s="26" t="s">
        <v>11</v>
      </c>
    </row>
    <row r="75" spans="1:36" s="26" customFormat="1" ht="12" customHeight="1" x14ac:dyDescent="0.2">
      <c r="A75" s="26" t="s">
        <v>10</v>
      </c>
      <c r="G75" s="140" t="s">
        <v>311</v>
      </c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7.5" customHeight="1" x14ac:dyDescent="0.25">
      <c r="A76" s="142"/>
      <c r="B76" s="142"/>
      <c r="C76" s="8"/>
      <c r="D76" s="8"/>
      <c r="E76" s="8"/>
      <c r="F76" s="8"/>
      <c r="G76" s="138" t="s">
        <v>9</v>
      </c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s="26" customFormat="1" ht="12" customHeight="1" x14ac:dyDescent="0.2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</row>
    <row r="78" spans="1:36" ht="7.5" customHeight="1" x14ac:dyDescent="0.25">
      <c r="A78" s="137" t="s">
        <v>31</v>
      </c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</row>
    <row r="79" spans="1:36" ht="9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s="26" customFormat="1" ht="12" customHeight="1" x14ac:dyDescent="0.2">
      <c r="A80" s="26" t="s">
        <v>8</v>
      </c>
      <c r="D80" s="35"/>
      <c r="E80" s="35"/>
      <c r="F80" s="35"/>
      <c r="G80" s="35"/>
      <c r="L80" s="27"/>
      <c r="M80" s="38"/>
      <c r="N80" s="38"/>
      <c r="P80" s="139">
        <f>'Данные объект'!B6</f>
        <v>45949</v>
      </c>
      <c r="Q80" s="139"/>
      <c r="R80" s="139"/>
      <c r="S80" s="139"/>
      <c r="T80" s="139"/>
      <c r="U80" s="139"/>
      <c r="V80" s="139"/>
      <c r="W80" s="139"/>
    </row>
    <row r="81" spans="1:36" s="26" customFormat="1" ht="12" customHeight="1" x14ac:dyDescent="0.2">
      <c r="A81" s="26" t="s">
        <v>7</v>
      </c>
      <c r="D81" s="35"/>
      <c r="E81" s="35"/>
      <c r="F81" s="35"/>
      <c r="G81" s="35"/>
      <c r="L81" s="27"/>
      <c r="M81" s="38"/>
      <c r="N81" s="38"/>
      <c r="P81" s="158">
        <f>'Данные объект'!B7</f>
        <v>46219</v>
      </c>
      <c r="Q81" s="158"/>
      <c r="R81" s="158"/>
      <c r="S81" s="158"/>
      <c r="T81" s="158"/>
      <c r="U81" s="158"/>
      <c r="V81" s="158"/>
      <c r="W81" s="158"/>
    </row>
    <row r="82" spans="1:36" ht="7.5" customHeight="1" x14ac:dyDescent="0.25">
      <c r="A82" s="6"/>
      <c r="B82" s="6"/>
      <c r="C82" s="6"/>
      <c r="D82" s="5"/>
      <c r="E82" s="5"/>
      <c r="F82" s="5"/>
      <c r="G82" s="5"/>
    </row>
    <row r="83" spans="1:36" s="26" customFormat="1" ht="12" customHeight="1" x14ac:dyDescent="0.2">
      <c r="A83" s="26" t="s">
        <v>5</v>
      </c>
    </row>
    <row r="84" spans="1:36" s="26" customFormat="1" ht="12" customHeight="1" x14ac:dyDescent="0.2">
      <c r="A84" s="140" t="s">
        <v>108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ht="8.25" customHeight="1" x14ac:dyDescent="0.25">
      <c r="A85" s="137" t="s">
        <v>4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ht="8.25" customHeight="1" x14ac:dyDescent="0.25">
      <c r="A87" s="137" t="s">
        <v>59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s="26" customFormat="1" ht="12" customHeight="1" x14ac:dyDescent="0.2">
      <c r="A88" s="26" t="s">
        <v>3</v>
      </c>
    </row>
    <row r="89" spans="1:36" s="26" customFormat="1" ht="12" customHeight="1" x14ac:dyDescent="0.2">
      <c r="A89" s="135" t="s">
        <v>313</v>
      </c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9" customHeight="1" x14ac:dyDescent="0.25">
      <c r="A90" s="137" t="s">
        <v>32</v>
      </c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</row>
    <row r="91" spans="1:36" s="26" customFormat="1" ht="12" customHeight="1" x14ac:dyDescent="0.2">
      <c r="A91" s="26" t="s">
        <v>2</v>
      </c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</row>
    <row r="92" spans="1:36" ht="6" customHeight="1" x14ac:dyDescent="0.25">
      <c r="D92" s="4"/>
      <c r="E92" s="4"/>
      <c r="F92" s="4"/>
      <c r="G92" s="4"/>
      <c r="H92" s="4"/>
      <c r="I92" s="4"/>
      <c r="J92" s="4"/>
    </row>
    <row r="93" spans="1:36" s="26" customFormat="1" ht="12" customHeight="1" x14ac:dyDescent="0.2">
      <c r="A93" s="26" t="s">
        <v>102</v>
      </c>
      <c r="H93" s="135"/>
      <c r="I93" s="135"/>
      <c r="J93" s="26" t="s">
        <v>33</v>
      </c>
    </row>
    <row r="94" spans="1:36" ht="4.5" customHeight="1" x14ac:dyDescent="0.25"/>
    <row r="95" spans="1:36" s="26" customFormat="1" ht="12" customHeight="1" x14ac:dyDescent="0.2">
      <c r="A95" s="26" t="s">
        <v>1</v>
      </c>
    </row>
    <row r="96" spans="1:36" s="26" customFormat="1" ht="12" customHeight="1" x14ac:dyDescent="0.2">
      <c r="A96" s="31" t="s">
        <v>87</v>
      </c>
      <c r="B96" s="140" t="str">
        <f>G75</f>
        <v>Исполнительная схема раскладки труб в БРП №171</v>
      </c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31" t="s">
        <v>76</v>
      </c>
      <c r="R96" s="31" t="s">
        <v>88</v>
      </c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ht="12" hidden="1" customHeight="1" x14ac:dyDescent="0.25">
      <c r="A97" s="23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3"/>
      <c r="R97" s="23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</row>
    <row r="98" spans="1:36" ht="12" hidden="1" customHeight="1" x14ac:dyDescent="0.25">
      <c r="A98" s="25" t="s">
        <v>89</v>
      </c>
      <c r="B98" s="163">
        <f>J70</f>
        <v>0</v>
      </c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25" t="s">
        <v>76</v>
      </c>
      <c r="R98" s="25" t="s">
        <v>88</v>
      </c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</row>
    <row r="99" spans="1:36" ht="12" hidden="1" customHeight="1" x14ac:dyDescent="0.25">
      <c r="A99" s="25" t="s">
        <v>99</v>
      </c>
      <c r="B99" s="163" t="str">
        <f>J71</f>
        <v>(сертификат №                от )</v>
      </c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25" t="s">
        <v>76</v>
      </c>
      <c r="R99" s="25" t="s">
        <v>97</v>
      </c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</row>
    <row r="100" spans="1:36" ht="12" hidden="1" customHeight="1" x14ac:dyDescent="0.25">
      <c r="A100" s="25" t="s">
        <v>100</v>
      </c>
      <c r="B100" s="163" t="str">
        <f>J72</f>
        <v>(сертификат №                от )</v>
      </c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25" t="s">
        <v>76</v>
      </c>
      <c r="R100" s="25" t="s">
        <v>98</v>
      </c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</row>
    <row r="101" spans="1:36" ht="9.75" customHeight="1" x14ac:dyDescent="0.25">
      <c r="A101" s="137" t="s">
        <v>0</v>
      </c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</row>
    <row r="102" spans="1:36" ht="6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26" customFormat="1" ht="12" customHeight="1" x14ac:dyDescent="0.2">
      <c r="A103" s="26" t="s">
        <v>23</v>
      </c>
    </row>
    <row r="104" spans="1:36" s="26" customFormat="1" ht="12" customHeight="1" x14ac:dyDescent="0.2">
      <c r="A104" s="26" t="s">
        <v>24</v>
      </c>
    </row>
    <row r="105" spans="1:36" s="26" customFormat="1" ht="12" customHeight="1" x14ac:dyDescent="0.2">
      <c r="A105" s="135" t="str">
        <f>'Данные объект'!B33</f>
        <v>Алексанян Г.Р.</v>
      </c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135"/>
      <c r="AC105" s="135"/>
      <c r="AD105" s="135"/>
      <c r="AE105" s="135"/>
      <c r="AF105" s="135"/>
      <c r="AG105" s="135"/>
      <c r="AH105" s="135"/>
      <c r="AI105" s="135"/>
      <c r="AJ105" s="135"/>
    </row>
    <row r="106" spans="1:36" ht="9" customHeight="1" x14ac:dyDescent="0.25">
      <c r="A106" s="133" t="s">
        <v>35</v>
      </c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4" t="s">
        <v>34</v>
      </c>
      <c r="AC106" s="134"/>
      <c r="AD106" s="134"/>
      <c r="AE106" s="134"/>
      <c r="AF106" s="134"/>
      <c r="AG106" s="134"/>
      <c r="AH106" s="134"/>
      <c r="AI106" s="134"/>
      <c r="AJ106" s="134"/>
    </row>
    <row r="107" spans="1:36" s="26" customFormat="1" ht="12" customHeight="1" x14ac:dyDescent="0.2">
      <c r="A107" s="26" t="s">
        <v>25</v>
      </c>
    </row>
    <row r="108" spans="1:36" s="26" customFormat="1" ht="12" customHeight="1" x14ac:dyDescent="0.2">
      <c r="A108" s="135" t="str">
        <f>'Данные объект'!B20</f>
        <v>Волков М.Ю.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35"/>
      <c r="AC108" s="135"/>
      <c r="AD108" s="135"/>
      <c r="AE108" s="135"/>
      <c r="AF108" s="135"/>
      <c r="AG108" s="135"/>
      <c r="AH108" s="135"/>
      <c r="AI108" s="135"/>
      <c r="AJ108" s="135"/>
    </row>
    <row r="109" spans="1:36" ht="9" customHeight="1" x14ac:dyDescent="0.25">
      <c r="A109" s="133" t="s">
        <v>35</v>
      </c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 t="s">
        <v>34</v>
      </c>
      <c r="AC109" s="134"/>
      <c r="AD109" s="134"/>
      <c r="AE109" s="134"/>
      <c r="AF109" s="134"/>
      <c r="AG109" s="134"/>
      <c r="AH109" s="134"/>
      <c r="AI109" s="134"/>
      <c r="AJ109" s="134"/>
    </row>
    <row r="110" spans="1:36" s="26" customFormat="1" ht="12" customHeight="1" x14ac:dyDescent="0.2">
      <c r="A110" s="26" t="s">
        <v>27</v>
      </c>
    </row>
    <row r="111" spans="1:36" s="26" customFormat="1" ht="12" customHeight="1" x14ac:dyDescent="0.2">
      <c r="A111" s="26" t="s">
        <v>28</v>
      </c>
    </row>
    <row r="112" spans="1:36" s="26" customFormat="1" ht="12" customHeight="1" x14ac:dyDescent="0.2">
      <c r="A112" s="135" t="str">
        <f>'Данные объект'!B17</f>
        <v>Русин В.А.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135"/>
      <c r="AC112" s="135"/>
      <c r="AD112" s="135"/>
      <c r="AE112" s="135"/>
      <c r="AF112" s="135"/>
      <c r="AG112" s="135"/>
      <c r="AH112" s="135"/>
      <c r="AI112" s="135"/>
      <c r="AJ112" s="135"/>
    </row>
    <row r="113" spans="1:36" ht="9" customHeight="1" x14ac:dyDescent="0.25">
      <c r="A113" s="133" t="s">
        <v>35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4" t="s">
        <v>34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s="101" customFormat="1" ht="11.25" x14ac:dyDescent="0.2">
      <c r="A114" s="26" t="s">
        <v>211</v>
      </c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97"/>
      <c r="AC114" s="97"/>
      <c r="AD114" s="97"/>
      <c r="AE114" s="97"/>
      <c r="AF114" s="97"/>
      <c r="AG114" s="97"/>
      <c r="AH114" s="97"/>
      <c r="AI114" s="97"/>
      <c r="AJ114" s="97"/>
    </row>
    <row r="115" spans="1:36" s="101" customFormat="1" ht="11.25" x14ac:dyDescent="0.2">
      <c r="A115" s="135" t="str">
        <f>'[4]Данные объект'!$B$36</f>
        <v>Курчин М.М.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5"/>
      <c r="AC115" s="135"/>
      <c r="AD115" s="135"/>
      <c r="AE115" s="135"/>
      <c r="AF115" s="135"/>
      <c r="AG115" s="135"/>
      <c r="AH115" s="135"/>
      <c r="AI115" s="135"/>
      <c r="AJ115" s="135"/>
    </row>
    <row r="116" spans="1:36" s="101" customFormat="1" ht="9" customHeight="1" x14ac:dyDescent="0.15">
      <c r="A116" s="133" t="s">
        <v>35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4" t="s">
        <v>34</v>
      </c>
      <c r="AC116" s="134"/>
      <c r="AD116" s="134"/>
      <c r="AE116" s="134"/>
      <c r="AF116" s="134"/>
      <c r="AG116" s="134"/>
      <c r="AH116" s="134"/>
      <c r="AI116" s="134"/>
      <c r="AJ116" s="134"/>
    </row>
    <row r="117" spans="1:36" s="26" customFormat="1" ht="35.25" customHeight="1" x14ac:dyDescent="0.2">
      <c r="A117" s="136" t="s">
        <v>53</v>
      </c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</row>
    <row r="118" spans="1:36" ht="12" customHeight="1" x14ac:dyDescent="0.25">
      <c r="A118" s="155" t="s">
        <v>76</v>
      </c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5" t="s">
        <v>76</v>
      </c>
      <c r="AC118" s="155"/>
      <c r="AD118" s="155"/>
      <c r="AE118" s="155"/>
      <c r="AF118" s="155"/>
      <c r="AG118" s="155"/>
      <c r="AH118" s="155"/>
      <c r="AI118" s="155"/>
      <c r="AJ118" s="155"/>
    </row>
    <row r="119" spans="1:36" ht="9" customHeight="1" x14ac:dyDescent="0.25">
      <c r="A119" s="133" t="s">
        <v>35</v>
      </c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4" t="s">
        <v>34</v>
      </c>
      <c r="AC119" s="134"/>
      <c r="AD119" s="134"/>
      <c r="AE119" s="134"/>
      <c r="AF119" s="134"/>
      <c r="AG119" s="134"/>
      <c r="AH119" s="134"/>
      <c r="AI119" s="134"/>
      <c r="AJ119" s="134"/>
    </row>
    <row r="120" spans="1:36" s="26" customFormat="1" ht="40.5" hidden="1" customHeight="1" x14ac:dyDescent="0.2">
      <c r="A120" s="136" t="s">
        <v>55</v>
      </c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</row>
    <row r="121" spans="1:36" s="26" customFormat="1" ht="12" hidden="1" customHeight="1" x14ac:dyDescent="0.2">
      <c r="A121" s="135" t="e">
        <f>#REF!</f>
        <v>#REF!</v>
      </c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135"/>
      <c r="AC121" s="135"/>
      <c r="AD121" s="135"/>
      <c r="AE121" s="135"/>
      <c r="AF121" s="135"/>
      <c r="AG121" s="135"/>
      <c r="AH121" s="135"/>
      <c r="AI121" s="135"/>
      <c r="AJ121" s="135"/>
    </row>
    <row r="122" spans="1:36" ht="9" hidden="1" customHeight="1" x14ac:dyDescent="0.25">
      <c r="A122" s="133" t="s">
        <v>35</v>
      </c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7"/>
      <c r="Q122" s="17"/>
      <c r="R122" s="17"/>
      <c r="S122" s="17"/>
      <c r="T122" s="17"/>
      <c r="U122" s="16"/>
      <c r="V122" s="16"/>
      <c r="W122" s="16"/>
      <c r="X122" s="16"/>
      <c r="Y122" s="16"/>
      <c r="Z122" s="16"/>
      <c r="AA122" s="16"/>
      <c r="AB122" s="134" t="s">
        <v>34</v>
      </c>
      <c r="AC122" s="134"/>
      <c r="AD122" s="134"/>
      <c r="AE122" s="134"/>
      <c r="AF122" s="134"/>
      <c r="AG122" s="134"/>
      <c r="AH122" s="134"/>
      <c r="AI122" s="134"/>
      <c r="AJ122" s="134"/>
    </row>
    <row r="123" spans="1:36" ht="12" customHeight="1" x14ac:dyDescent="0.25"/>
  </sheetData>
  <mergeCells count="112">
    <mergeCell ref="A4:AJ4"/>
    <mergeCell ref="A5:AJ5"/>
    <mergeCell ref="A6:AJ6"/>
    <mergeCell ref="A7:AJ8"/>
    <mergeCell ref="A9:AJ9"/>
    <mergeCell ref="A10:AJ10"/>
    <mergeCell ref="A18:AJ18"/>
    <mergeCell ref="A19:AJ19"/>
    <mergeCell ref="A20:AJ20"/>
    <mergeCell ref="A21:AJ21"/>
    <mergeCell ref="A23:AJ23"/>
    <mergeCell ref="A24:AJ24"/>
    <mergeCell ref="A11:AJ11"/>
    <mergeCell ref="A12:AJ12"/>
    <mergeCell ref="A13:AJ13"/>
    <mergeCell ref="A14:AJ14"/>
    <mergeCell ref="A16:AJ16"/>
    <mergeCell ref="A17:AJ17"/>
    <mergeCell ref="E33:G33"/>
    <mergeCell ref="AB33:AI33"/>
    <mergeCell ref="AB34:AI34"/>
    <mergeCell ref="A36:AJ36"/>
    <mergeCell ref="A37:AJ37"/>
    <mergeCell ref="A38:AJ38"/>
    <mergeCell ref="A25:AJ25"/>
    <mergeCell ref="A26:AJ26"/>
    <mergeCell ref="A27:AJ27"/>
    <mergeCell ref="A28:AJ28"/>
    <mergeCell ref="A30:AJ30"/>
    <mergeCell ref="A31:AJ31"/>
    <mergeCell ref="A46:AJ46"/>
    <mergeCell ref="A50:AJ50"/>
    <mergeCell ref="A51:AJ51"/>
    <mergeCell ref="A52:AJ52"/>
    <mergeCell ref="A53:AJ53"/>
    <mergeCell ref="A54:AJ54"/>
    <mergeCell ref="A39:AJ39"/>
    <mergeCell ref="A40:AJ40"/>
    <mergeCell ref="A42:AJ42"/>
    <mergeCell ref="A43:AJ43"/>
    <mergeCell ref="A44:AJ44"/>
    <mergeCell ref="A45:AJ45"/>
    <mergeCell ref="A47:AJ47"/>
    <mergeCell ref="A48:AJ48"/>
    <mergeCell ref="A49:AJ49"/>
    <mergeCell ref="A64:AJ64"/>
    <mergeCell ref="A66:AJ66"/>
    <mergeCell ref="A67:AJ67"/>
    <mergeCell ref="P68:AJ68"/>
    <mergeCell ref="P69:AJ69"/>
    <mergeCell ref="A70:F70"/>
    <mergeCell ref="H70:I70"/>
    <mergeCell ref="J70:AE70"/>
    <mergeCell ref="A55:AJ55"/>
    <mergeCell ref="A56:AJ56"/>
    <mergeCell ref="A57:AJ57"/>
    <mergeCell ref="A59:AJ59"/>
    <mergeCell ref="A60:AJ60"/>
    <mergeCell ref="A63:W63"/>
    <mergeCell ref="A73:AJ73"/>
    <mergeCell ref="G75:AJ75"/>
    <mergeCell ref="A76:B76"/>
    <mergeCell ref="G76:AJ76"/>
    <mergeCell ref="A77:AJ77"/>
    <mergeCell ref="A78:AJ78"/>
    <mergeCell ref="A71:F71"/>
    <mergeCell ref="H71:I71"/>
    <mergeCell ref="J71:AE71"/>
    <mergeCell ref="A72:F72"/>
    <mergeCell ref="H72:I72"/>
    <mergeCell ref="J72:AE72"/>
    <mergeCell ref="A89:AJ89"/>
    <mergeCell ref="A90:AJ90"/>
    <mergeCell ref="L91:AJ91"/>
    <mergeCell ref="H93:I93"/>
    <mergeCell ref="B96:P96"/>
    <mergeCell ref="B98:P98"/>
    <mergeCell ref="P80:W80"/>
    <mergeCell ref="P81:W81"/>
    <mergeCell ref="A84:AJ84"/>
    <mergeCell ref="A85:AJ85"/>
    <mergeCell ref="A86:AJ86"/>
    <mergeCell ref="A87:AJ87"/>
    <mergeCell ref="A108:O108"/>
    <mergeCell ref="AB108:AJ108"/>
    <mergeCell ref="A109:O109"/>
    <mergeCell ref="AB109:AJ109"/>
    <mergeCell ref="A112:O112"/>
    <mergeCell ref="AB112:AJ112"/>
    <mergeCell ref="B99:P99"/>
    <mergeCell ref="B100:P100"/>
    <mergeCell ref="A101:AJ101"/>
    <mergeCell ref="A105:O105"/>
    <mergeCell ref="AB105:AJ105"/>
    <mergeCell ref="A106:O106"/>
    <mergeCell ref="AB106:AJ106"/>
    <mergeCell ref="A120:AJ120"/>
    <mergeCell ref="A121:O121"/>
    <mergeCell ref="AB121:AJ121"/>
    <mergeCell ref="A122:O122"/>
    <mergeCell ref="AB122:AJ122"/>
    <mergeCell ref="A113:O113"/>
    <mergeCell ref="AB113:AJ113"/>
    <mergeCell ref="A117:AJ117"/>
    <mergeCell ref="A118:O118"/>
    <mergeCell ref="AB118:AJ118"/>
    <mergeCell ref="A119:O119"/>
    <mergeCell ref="AB119:AJ119"/>
    <mergeCell ref="A115:O115"/>
    <mergeCell ref="AB115:AJ115"/>
    <mergeCell ref="A116:O116"/>
    <mergeCell ref="AB116:AJ116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413F-D2C6-4C04-9D57-7D1F19B3A6E5}">
  <sheetPr>
    <tabColor indexed="57"/>
    <pageSetUpPr fitToPage="1"/>
  </sheetPr>
  <dimension ref="A1:AQ123"/>
  <sheetViews>
    <sheetView tabSelected="1" view="pageBreakPreview" topLeftCell="A76" zoomScale="125" zoomScaleNormal="125" zoomScaleSheetLayoutView="125" workbookViewId="0">
      <selection activeCell="AZ75" sqref="AZ75"/>
    </sheetView>
  </sheetViews>
  <sheetFormatPr defaultColWidth="10.6640625" defaultRowHeight="15" x14ac:dyDescent="0.25"/>
  <cols>
    <col min="1" max="6" width="2.83203125" style="1" customWidth="1"/>
    <col min="7" max="7" width="5.832031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4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119"/>
      <c r="B32" s="119"/>
      <c r="C32" s="119"/>
      <c r="D32" s="119"/>
      <c r="E32" s="119"/>
      <c r="F32" s="119"/>
      <c r="G32" s="119"/>
      <c r="H32" s="119"/>
      <c r="I32" s="119"/>
      <c r="J32" s="119"/>
    </row>
    <row r="33" spans="1:36" s="26" customFormat="1" ht="12.95" customHeight="1" x14ac:dyDescent="0.2">
      <c r="A33" s="30"/>
      <c r="B33" s="30" t="s">
        <v>18</v>
      </c>
      <c r="C33" s="31">
        <v>20</v>
      </c>
      <c r="D33" s="31"/>
      <c r="E33" s="135" t="s">
        <v>286</v>
      </c>
      <c r="F33" s="135"/>
      <c r="G33" s="135"/>
      <c r="H33" s="32"/>
      <c r="I33" s="32"/>
      <c r="J33" s="32"/>
      <c r="X33" s="27"/>
      <c r="Y33" s="38"/>
      <c r="Z33" s="38"/>
      <c r="AB33" s="139">
        <f>P81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">
        <v>314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35" t="s">
        <v>319</v>
      </c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4" t="s">
        <v>57</v>
      </c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</row>
    <row r="70" spans="1:36" s="26" customFormat="1" ht="12" customHeight="1" x14ac:dyDescent="0.2">
      <c r="A70" s="152"/>
      <c r="B70" s="152"/>
      <c r="C70" s="152"/>
      <c r="D70" s="152"/>
      <c r="E70" s="152"/>
      <c r="F70" s="152"/>
      <c r="G70" s="34"/>
      <c r="H70" s="141"/>
      <c r="I70" s="141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34"/>
      <c r="AG70" s="34"/>
      <c r="AH70" s="34"/>
      <c r="AI70" s="34"/>
      <c r="AJ70" s="34"/>
    </row>
    <row r="71" spans="1:36" ht="12" hidden="1" customHeight="1" x14ac:dyDescent="0.25">
      <c r="A71" s="161" t="s">
        <v>95</v>
      </c>
      <c r="B71" s="161"/>
      <c r="C71" s="161"/>
      <c r="D71" s="161"/>
      <c r="E71" s="161"/>
      <c r="F71" s="161"/>
      <c r="G71" s="21" t="s">
        <v>76</v>
      </c>
      <c r="H71" s="162" t="s">
        <v>94</v>
      </c>
      <c r="I71" s="162"/>
      <c r="J71" s="161" t="s">
        <v>86</v>
      </c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21"/>
      <c r="AG71" s="21"/>
      <c r="AH71" s="21"/>
      <c r="AI71" s="21"/>
      <c r="AJ71" s="21"/>
    </row>
    <row r="72" spans="1:36" ht="12" hidden="1" customHeight="1" x14ac:dyDescent="0.25">
      <c r="A72" s="161" t="s">
        <v>96</v>
      </c>
      <c r="B72" s="161"/>
      <c r="C72" s="161"/>
      <c r="D72" s="161"/>
      <c r="E72" s="161"/>
      <c r="F72" s="161"/>
      <c r="G72" s="21" t="s">
        <v>76</v>
      </c>
      <c r="H72" s="162" t="s">
        <v>94</v>
      </c>
      <c r="I72" s="162"/>
      <c r="J72" s="161" t="s">
        <v>86</v>
      </c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21"/>
      <c r="AG72" s="21"/>
      <c r="AH72" s="21"/>
      <c r="AI72" s="21"/>
      <c r="AJ72" s="21"/>
    </row>
    <row r="73" spans="1:36" ht="18.75" customHeight="1" x14ac:dyDescent="0.25">
      <c r="A73" s="137" t="s">
        <v>58</v>
      </c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s="26" customFormat="1" ht="12" customHeight="1" x14ac:dyDescent="0.2">
      <c r="A74" s="26" t="s">
        <v>11</v>
      </c>
    </row>
    <row r="75" spans="1:36" s="26" customFormat="1" ht="12" customHeight="1" x14ac:dyDescent="0.2">
      <c r="A75" s="26" t="s">
        <v>10</v>
      </c>
      <c r="G75" s="140" t="s">
        <v>315</v>
      </c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7.5" customHeight="1" x14ac:dyDescent="0.25">
      <c r="A76" s="142"/>
      <c r="B76" s="142"/>
      <c r="C76" s="8"/>
      <c r="D76" s="8"/>
      <c r="E76" s="8"/>
      <c r="F76" s="8"/>
      <c r="G76" s="138" t="s">
        <v>9</v>
      </c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s="26" customFormat="1" ht="12" customHeight="1" x14ac:dyDescent="0.2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</row>
    <row r="78" spans="1:36" ht="7.5" customHeight="1" x14ac:dyDescent="0.25">
      <c r="A78" s="137" t="s">
        <v>31</v>
      </c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</row>
    <row r="79" spans="1:36" ht="9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s="26" customFormat="1" ht="12" customHeight="1" x14ac:dyDescent="0.2">
      <c r="A80" s="26" t="s">
        <v>8</v>
      </c>
      <c r="D80" s="35"/>
      <c r="E80" s="35"/>
      <c r="F80" s="35"/>
      <c r="G80" s="35"/>
      <c r="L80" s="27"/>
      <c r="M80" s="38"/>
      <c r="N80" s="38"/>
      <c r="P80" s="139">
        <f>'Данные объект'!B6</f>
        <v>45949</v>
      </c>
      <c r="Q80" s="139"/>
      <c r="R80" s="139"/>
      <c r="S80" s="139"/>
      <c r="T80" s="139"/>
      <c r="U80" s="139"/>
      <c r="V80" s="139"/>
      <c r="W80" s="139"/>
    </row>
    <row r="81" spans="1:36" s="26" customFormat="1" ht="12" customHeight="1" x14ac:dyDescent="0.2">
      <c r="A81" s="26" t="s">
        <v>7</v>
      </c>
      <c r="D81" s="35"/>
      <c r="E81" s="35"/>
      <c r="F81" s="35"/>
      <c r="G81" s="35"/>
      <c r="L81" s="27"/>
      <c r="M81" s="38"/>
      <c r="N81" s="38"/>
      <c r="P81" s="158">
        <f>'Данные объект'!B7</f>
        <v>46219</v>
      </c>
      <c r="Q81" s="158"/>
      <c r="R81" s="158"/>
      <c r="S81" s="158"/>
      <c r="T81" s="158"/>
      <c r="U81" s="158"/>
      <c r="V81" s="158"/>
      <c r="W81" s="158"/>
    </row>
    <row r="82" spans="1:36" ht="7.5" customHeight="1" x14ac:dyDescent="0.25">
      <c r="A82" s="6"/>
      <c r="B82" s="6"/>
      <c r="C82" s="6"/>
      <c r="D82" s="5"/>
      <c r="E82" s="5"/>
      <c r="F82" s="5"/>
      <c r="G82" s="5"/>
    </row>
    <row r="83" spans="1:36" s="26" customFormat="1" ht="12" customHeight="1" x14ac:dyDescent="0.2">
      <c r="A83" s="26" t="s">
        <v>5</v>
      </c>
    </row>
    <row r="84" spans="1:36" s="26" customFormat="1" ht="12" customHeight="1" x14ac:dyDescent="0.2">
      <c r="A84" s="140" t="s">
        <v>108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ht="8.25" customHeight="1" x14ac:dyDescent="0.25">
      <c r="A85" s="137" t="s">
        <v>4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ht="8.25" customHeight="1" x14ac:dyDescent="0.25">
      <c r="A87" s="137" t="s">
        <v>59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s="26" customFormat="1" ht="12" customHeight="1" x14ac:dyDescent="0.2">
      <c r="A88" s="26" t="s">
        <v>3</v>
      </c>
    </row>
    <row r="89" spans="1:36" s="26" customFormat="1" ht="12" customHeight="1" x14ac:dyDescent="0.2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9" customHeight="1" x14ac:dyDescent="0.25">
      <c r="A90" s="137" t="s">
        <v>32</v>
      </c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</row>
    <row r="91" spans="1:36" s="26" customFormat="1" ht="12" customHeight="1" x14ac:dyDescent="0.2">
      <c r="A91" s="26" t="s">
        <v>2</v>
      </c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</row>
    <row r="92" spans="1:36" ht="6" customHeight="1" x14ac:dyDescent="0.25">
      <c r="D92" s="4"/>
      <c r="E92" s="4"/>
      <c r="F92" s="4"/>
      <c r="G92" s="4"/>
      <c r="H92" s="4"/>
      <c r="I92" s="4"/>
      <c r="J92" s="4"/>
    </row>
    <row r="93" spans="1:36" s="26" customFormat="1" ht="12" customHeight="1" x14ac:dyDescent="0.2">
      <c r="A93" s="26" t="s">
        <v>102</v>
      </c>
      <c r="H93" s="135"/>
      <c r="I93" s="135"/>
      <c r="J93" s="26" t="s">
        <v>33</v>
      </c>
    </row>
    <row r="94" spans="1:36" ht="4.5" customHeight="1" x14ac:dyDescent="0.25"/>
    <row r="95" spans="1:36" s="26" customFormat="1" ht="12" customHeight="1" x14ac:dyDescent="0.2">
      <c r="A95" s="26" t="s">
        <v>1</v>
      </c>
    </row>
    <row r="96" spans="1:36" s="26" customFormat="1" ht="12" customHeight="1" x14ac:dyDescent="0.2">
      <c r="A96" s="31" t="s">
        <v>87</v>
      </c>
      <c r="B96" s="140" t="str">
        <f>G75</f>
        <v>Исполнительная однолинейная схема БРТП №171</v>
      </c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31" t="s">
        <v>76</v>
      </c>
      <c r="R96" s="31" t="s">
        <v>88</v>
      </c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ht="12" hidden="1" customHeight="1" x14ac:dyDescent="0.25">
      <c r="A97" s="23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3"/>
      <c r="R97" s="23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</row>
    <row r="98" spans="1:36" ht="12" hidden="1" customHeight="1" x14ac:dyDescent="0.25">
      <c r="A98" s="25" t="s">
        <v>89</v>
      </c>
      <c r="B98" s="163">
        <f>J70</f>
        <v>0</v>
      </c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25" t="s">
        <v>76</v>
      </c>
      <c r="R98" s="25" t="s">
        <v>88</v>
      </c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</row>
    <row r="99" spans="1:36" ht="12" hidden="1" customHeight="1" x14ac:dyDescent="0.25">
      <c r="A99" s="25" t="s">
        <v>99</v>
      </c>
      <c r="B99" s="163" t="str">
        <f>J71</f>
        <v>(сертификат №                от )</v>
      </c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25" t="s">
        <v>76</v>
      </c>
      <c r="R99" s="25" t="s">
        <v>97</v>
      </c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</row>
    <row r="100" spans="1:36" ht="12" hidden="1" customHeight="1" x14ac:dyDescent="0.25">
      <c r="A100" s="25" t="s">
        <v>100</v>
      </c>
      <c r="B100" s="163" t="str">
        <f>J72</f>
        <v>(сертификат №                от )</v>
      </c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25" t="s">
        <v>76</v>
      </c>
      <c r="R100" s="25" t="s">
        <v>98</v>
      </c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</row>
    <row r="101" spans="1:36" ht="9.75" customHeight="1" x14ac:dyDescent="0.25">
      <c r="A101" s="137" t="s">
        <v>0</v>
      </c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</row>
    <row r="102" spans="1:36" ht="6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26" customFormat="1" ht="12" customHeight="1" x14ac:dyDescent="0.2">
      <c r="A103" s="26" t="s">
        <v>23</v>
      </c>
    </row>
    <row r="104" spans="1:36" s="26" customFormat="1" ht="12" customHeight="1" x14ac:dyDescent="0.2">
      <c r="A104" s="26" t="s">
        <v>24</v>
      </c>
    </row>
    <row r="105" spans="1:36" s="26" customFormat="1" ht="12" customHeight="1" x14ac:dyDescent="0.2">
      <c r="A105" s="135" t="str">
        <f>'Данные объект'!B33</f>
        <v>Алексанян Г.Р.</v>
      </c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135"/>
      <c r="AC105" s="135"/>
      <c r="AD105" s="135"/>
      <c r="AE105" s="135"/>
      <c r="AF105" s="135"/>
      <c r="AG105" s="135"/>
      <c r="AH105" s="135"/>
      <c r="AI105" s="135"/>
      <c r="AJ105" s="135"/>
    </row>
    <row r="106" spans="1:36" ht="9" customHeight="1" x14ac:dyDescent="0.25">
      <c r="A106" s="133" t="s">
        <v>35</v>
      </c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4" t="s">
        <v>34</v>
      </c>
      <c r="AC106" s="134"/>
      <c r="AD106" s="134"/>
      <c r="AE106" s="134"/>
      <c r="AF106" s="134"/>
      <c r="AG106" s="134"/>
      <c r="AH106" s="134"/>
      <c r="AI106" s="134"/>
      <c r="AJ106" s="134"/>
    </row>
    <row r="107" spans="1:36" s="26" customFormat="1" ht="12" customHeight="1" x14ac:dyDescent="0.2">
      <c r="A107" s="26" t="s">
        <v>25</v>
      </c>
    </row>
    <row r="108" spans="1:36" s="26" customFormat="1" ht="12" customHeight="1" x14ac:dyDescent="0.2">
      <c r="A108" s="135" t="str">
        <f>'Данные объект'!B20</f>
        <v>Волков М.Ю.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35"/>
      <c r="AC108" s="135"/>
      <c r="AD108" s="135"/>
      <c r="AE108" s="135"/>
      <c r="AF108" s="135"/>
      <c r="AG108" s="135"/>
      <c r="AH108" s="135"/>
      <c r="AI108" s="135"/>
      <c r="AJ108" s="135"/>
    </row>
    <row r="109" spans="1:36" ht="9" customHeight="1" x14ac:dyDescent="0.25">
      <c r="A109" s="133" t="s">
        <v>35</v>
      </c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 t="s">
        <v>34</v>
      </c>
      <c r="AC109" s="134"/>
      <c r="AD109" s="134"/>
      <c r="AE109" s="134"/>
      <c r="AF109" s="134"/>
      <c r="AG109" s="134"/>
      <c r="AH109" s="134"/>
      <c r="AI109" s="134"/>
      <c r="AJ109" s="134"/>
    </row>
    <row r="110" spans="1:36" s="26" customFormat="1" ht="12" customHeight="1" x14ac:dyDescent="0.2">
      <c r="A110" s="26" t="s">
        <v>27</v>
      </c>
    </row>
    <row r="111" spans="1:36" s="26" customFormat="1" ht="12" customHeight="1" x14ac:dyDescent="0.2">
      <c r="A111" s="26" t="s">
        <v>28</v>
      </c>
    </row>
    <row r="112" spans="1:36" s="26" customFormat="1" ht="12" customHeight="1" x14ac:dyDescent="0.2">
      <c r="A112" s="135" t="str">
        <f>'Данные объект'!B17</f>
        <v>Русин В.А.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135"/>
      <c r="AC112" s="135"/>
      <c r="AD112" s="135"/>
      <c r="AE112" s="135"/>
      <c r="AF112" s="135"/>
      <c r="AG112" s="135"/>
      <c r="AH112" s="135"/>
      <c r="AI112" s="135"/>
      <c r="AJ112" s="135"/>
    </row>
    <row r="113" spans="1:36" ht="9" customHeight="1" x14ac:dyDescent="0.25">
      <c r="A113" s="133" t="s">
        <v>35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4" t="s">
        <v>34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s="101" customFormat="1" ht="11.25" x14ac:dyDescent="0.2">
      <c r="A114" s="26" t="s">
        <v>211</v>
      </c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117"/>
      <c r="AC114" s="117"/>
      <c r="AD114" s="117"/>
      <c r="AE114" s="117"/>
      <c r="AF114" s="117"/>
      <c r="AG114" s="117"/>
      <c r="AH114" s="117"/>
      <c r="AI114" s="117"/>
      <c r="AJ114" s="117"/>
    </row>
    <row r="115" spans="1:36" s="101" customFormat="1" ht="11.25" x14ac:dyDescent="0.2">
      <c r="A115" s="135" t="str">
        <f>'[4]Данные объект'!$B$36</f>
        <v>Курчин М.М.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5"/>
      <c r="AC115" s="135"/>
      <c r="AD115" s="135"/>
      <c r="AE115" s="135"/>
      <c r="AF115" s="135"/>
      <c r="AG115" s="135"/>
      <c r="AH115" s="135"/>
      <c r="AI115" s="135"/>
      <c r="AJ115" s="135"/>
    </row>
    <row r="116" spans="1:36" s="101" customFormat="1" ht="9" customHeight="1" x14ac:dyDescent="0.15">
      <c r="A116" s="133" t="s">
        <v>35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4" t="s">
        <v>34</v>
      </c>
      <c r="AC116" s="134"/>
      <c r="AD116" s="134"/>
      <c r="AE116" s="134"/>
      <c r="AF116" s="134"/>
      <c r="AG116" s="134"/>
      <c r="AH116" s="134"/>
      <c r="AI116" s="134"/>
      <c r="AJ116" s="134"/>
    </row>
    <row r="117" spans="1:36" s="26" customFormat="1" ht="35.25" customHeight="1" x14ac:dyDescent="0.2">
      <c r="A117" s="136" t="s">
        <v>53</v>
      </c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</row>
    <row r="118" spans="1:36" ht="12" customHeight="1" x14ac:dyDescent="0.25">
      <c r="A118" s="155" t="s">
        <v>76</v>
      </c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5" t="s">
        <v>76</v>
      </c>
      <c r="AC118" s="155"/>
      <c r="AD118" s="155"/>
      <c r="AE118" s="155"/>
      <c r="AF118" s="155"/>
      <c r="AG118" s="155"/>
      <c r="AH118" s="155"/>
      <c r="AI118" s="155"/>
      <c r="AJ118" s="155"/>
    </row>
    <row r="119" spans="1:36" ht="9" customHeight="1" x14ac:dyDescent="0.25">
      <c r="A119" s="133" t="s">
        <v>35</v>
      </c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4" t="s">
        <v>34</v>
      </c>
      <c r="AC119" s="134"/>
      <c r="AD119" s="134"/>
      <c r="AE119" s="134"/>
      <c r="AF119" s="134"/>
      <c r="AG119" s="134"/>
      <c r="AH119" s="134"/>
      <c r="AI119" s="134"/>
      <c r="AJ119" s="134"/>
    </row>
    <row r="120" spans="1:36" s="26" customFormat="1" ht="40.5" hidden="1" customHeight="1" x14ac:dyDescent="0.2">
      <c r="A120" s="136" t="s">
        <v>55</v>
      </c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</row>
    <row r="121" spans="1:36" s="26" customFormat="1" ht="12" hidden="1" customHeight="1" x14ac:dyDescent="0.2">
      <c r="A121" s="135" t="e">
        <f>#REF!</f>
        <v>#REF!</v>
      </c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135"/>
      <c r="AC121" s="135"/>
      <c r="AD121" s="135"/>
      <c r="AE121" s="135"/>
      <c r="AF121" s="135"/>
      <c r="AG121" s="135"/>
      <c r="AH121" s="135"/>
      <c r="AI121" s="135"/>
      <c r="AJ121" s="135"/>
    </row>
    <row r="122" spans="1:36" ht="9" hidden="1" customHeight="1" x14ac:dyDescent="0.25">
      <c r="A122" s="133" t="s">
        <v>35</v>
      </c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7"/>
      <c r="Q122" s="17"/>
      <c r="R122" s="17"/>
      <c r="S122" s="17"/>
      <c r="T122" s="17"/>
      <c r="U122" s="16"/>
      <c r="V122" s="16"/>
      <c r="W122" s="16"/>
      <c r="X122" s="16"/>
      <c r="Y122" s="16"/>
      <c r="Z122" s="16"/>
      <c r="AA122" s="16"/>
      <c r="AB122" s="134" t="s">
        <v>34</v>
      </c>
      <c r="AC122" s="134"/>
      <c r="AD122" s="134"/>
      <c r="AE122" s="134"/>
      <c r="AF122" s="134"/>
      <c r="AG122" s="134"/>
      <c r="AH122" s="134"/>
      <c r="AI122" s="134"/>
      <c r="AJ122" s="134"/>
    </row>
    <row r="123" spans="1:36" ht="12" customHeight="1" x14ac:dyDescent="0.25"/>
  </sheetData>
  <mergeCells count="112">
    <mergeCell ref="A120:AJ120"/>
    <mergeCell ref="A121:O121"/>
    <mergeCell ref="AB121:AJ121"/>
    <mergeCell ref="A122:O122"/>
    <mergeCell ref="AB122:AJ122"/>
    <mergeCell ref="A116:O116"/>
    <mergeCell ref="AB116:AJ116"/>
    <mergeCell ref="A117:AJ117"/>
    <mergeCell ref="A118:O118"/>
    <mergeCell ref="AB118:AJ118"/>
    <mergeCell ref="A119:O119"/>
    <mergeCell ref="AB119:AJ119"/>
    <mergeCell ref="A112:O112"/>
    <mergeCell ref="AB112:AJ112"/>
    <mergeCell ref="A113:O113"/>
    <mergeCell ref="AB113:AJ113"/>
    <mergeCell ref="A115:O115"/>
    <mergeCell ref="AB115:AJ115"/>
    <mergeCell ref="A106:O106"/>
    <mergeCell ref="AB106:AJ106"/>
    <mergeCell ref="A108:O108"/>
    <mergeCell ref="AB108:AJ108"/>
    <mergeCell ref="A109:O109"/>
    <mergeCell ref="AB109:AJ109"/>
    <mergeCell ref="B96:P96"/>
    <mergeCell ref="B98:P98"/>
    <mergeCell ref="B99:P99"/>
    <mergeCell ref="B100:P100"/>
    <mergeCell ref="A101:AJ101"/>
    <mergeCell ref="A105:O105"/>
    <mergeCell ref="AB105:AJ105"/>
    <mergeCell ref="A86:AJ86"/>
    <mergeCell ref="A87:AJ87"/>
    <mergeCell ref="A89:AJ89"/>
    <mergeCell ref="A90:AJ90"/>
    <mergeCell ref="L91:AJ91"/>
    <mergeCell ref="H93:I93"/>
    <mergeCell ref="A77:AJ77"/>
    <mergeCell ref="A78:AJ78"/>
    <mergeCell ref="P80:W80"/>
    <mergeCell ref="P81:W81"/>
    <mergeCell ref="A84:AJ84"/>
    <mergeCell ref="A85:AJ85"/>
    <mergeCell ref="A72:F72"/>
    <mergeCell ref="H72:I72"/>
    <mergeCell ref="J72:AE72"/>
    <mergeCell ref="A73:AJ73"/>
    <mergeCell ref="G75:AJ75"/>
    <mergeCell ref="A76:B76"/>
    <mergeCell ref="G76:AJ76"/>
    <mergeCell ref="P68:AJ68"/>
    <mergeCell ref="P69:AJ69"/>
    <mergeCell ref="A70:F70"/>
    <mergeCell ref="H70:I70"/>
    <mergeCell ref="J70:AE70"/>
    <mergeCell ref="A71:F71"/>
    <mergeCell ref="H71:I71"/>
    <mergeCell ref="J71:AE71"/>
    <mergeCell ref="A59:AJ59"/>
    <mergeCell ref="A60:AJ60"/>
    <mergeCell ref="A63:W63"/>
    <mergeCell ref="A64:AJ64"/>
    <mergeCell ref="A66:AJ66"/>
    <mergeCell ref="A67:AJ67"/>
    <mergeCell ref="A52:AJ52"/>
    <mergeCell ref="A53:AJ53"/>
    <mergeCell ref="A54:AJ54"/>
    <mergeCell ref="A55:AJ55"/>
    <mergeCell ref="A56:AJ56"/>
    <mergeCell ref="A57:AJ57"/>
    <mergeCell ref="A46:AJ46"/>
    <mergeCell ref="A47:AJ47"/>
    <mergeCell ref="A48:AJ48"/>
    <mergeCell ref="A49:AJ49"/>
    <mergeCell ref="A50:AJ50"/>
    <mergeCell ref="A51:AJ51"/>
    <mergeCell ref="A39:AJ39"/>
    <mergeCell ref="A40:AJ40"/>
    <mergeCell ref="A42:AJ42"/>
    <mergeCell ref="A43:AJ43"/>
    <mergeCell ref="A44:AJ44"/>
    <mergeCell ref="A45:AJ45"/>
    <mergeCell ref="E33:G33"/>
    <mergeCell ref="AB33:AI33"/>
    <mergeCell ref="AB34:AI34"/>
    <mergeCell ref="A36:AJ36"/>
    <mergeCell ref="A37:AJ37"/>
    <mergeCell ref="A38:AJ38"/>
    <mergeCell ref="A25:AJ25"/>
    <mergeCell ref="A26:AJ26"/>
    <mergeCell ref="A27:AJ27"/>
    <mergeCell ref="A28:AJ28"/>
    <mergeCell ref="A30:AJ30"/>
    <mergeCell ref="A31:AJ31"/>
    <mergeCell ref="A18:AJ18"/>
    <mergeCell ref="A19:AJ19"/>
    <mergeCell ref="A20:AJ20"/>
    <mergeCell ref="A21:AJ21"/>
    <mergeCell ref="A23:AJ23"/>
    <mergeCell ref="A24:AJ24"/>
    <mergeCell ref="A11:AJ11"/>
    <mergeCell ref="A12:AJ12"/>
    <mergeCell ref="A13:AJ13"/>
    <mergeCell ref="A14:AJ14"/>
    <mergeCell ref="A16:AJ16"/>
    <mergeCell ref="A17:AJ17"/>
    <mergeCell ref="A4:AJ4"/>
    <mergeCell ref="A5:AJ5"/>
    <mergeCell ref="A6:AJ6"/>
    <mergeCell ref="A7:AJ8"/>
    <mergeCell ref="A9:AJ9"/>
    <mergeCell ref="A10:AJ10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CF40-EF22-4DEF-8B38-3005DC8C9DEC}">
  <sheetPr>
    <tabColor indexed="57"/>
    <pageSetUpPr fitToPage="1"/>
  </sheetPr>
  <dimension ref="A1:AQ123"/>
  <sheetViews>
    <sheetView view="pageBreakPreview" topLeftCell="A49" zoomScale="125" zoomScaleNormal="125" zoomScaleSheetLayoutView="125" workbookViewId="0">
      <selection activeCell="A63" sqref="A63:W63"/>
    </sheetView>
  </sheetViews>
  <sheetFormatPr defaultColWidth="10.6640625" defaultRowHeight="15" x14ac:dyDescent="0.25"/>
  <cols>
    <col min="1" max="5" width="2.83203125" style="1" customWidth="1"/>
    <col min="6" max="7" width="5.832031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24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18</v>
      </c>
      <c r="D33" s="31"/>
      <c r="E33" s="135" t="s">
        <v>264</v>
      </c>
      <c r="F33" s="135"/>
      <c r="G33" s="135"/>
      <c r="H33" s="32"/>
      <c r="I33" s="32"/>
      <c r="J33" s="32"/>
      <c r="X33" s="27"/>
      <c r="Y33" s="38"/>
      <c r="Z33" s="38"/>
      <c r="AB33" s="139">
        <f>P81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">
        <v>239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4" t="s">
        <v>57</v>
      </c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</row>
    <row r="70" spans="1:36" s="26" customFormat="1" ht="12" customHeight="1" x14ac:dyDescent="0.2">
      <c r="A70" s="152"/>
      <c r="B70" s="152"/>
      <c r="C70" s="152"/>
      <c r="D70" s="152"/>
      <c r="E70" s="152"/>
      <c r="F70" s="152"/>
      <c r="G70" s="34"/>
      <c r="H70" s="141"/>
      <c r="I70" s="141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34"/>
      <c r="AG70" s="34"/>
      <c r="AH70" s="34"/>
      <c r="AI70" s="34"/>
      <c r="AJ70" s="34"/>
    </row>
    <row r="71" spans="1:36" ht="12" hidden="1" customHeight="1" x14ac:dyDescent="0.25">
      <c r="A71" s="161" t="s">
        <v>95</v>
      </c>
      <c r="B71" s="161"/>
      <c r="C71" s="161"/>
      <c r="D71" s="161"/>
      <c r="E71" s="161"/>
      <c r="F71" s="161"/>
      <c r="G71" s="21" t="s">
        <v>76</v>
      </c>
      <c r="H71" s="162" t="s">
        <v>94</v>
      </c>
      <c r="I71" s="162"/>
      <c r="J71" s="161" t="s">
        <v>86</v>
      </c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21"/>
      <c r="AG71" s="21"/>
      <c r="AH71" s="21"/>
      <c r="AI71" s="21"/>
      <c r="AJ71" s="21"/>
    </row>
    <row r="72" spans="1:36" ht="12" hidden="1" customHeight="1" x14ac:dyDescent="0.25">
      <c r="A72" s="161" t="s">
        <v>96</v>
      </c>
      <c r="B72" s="161"/>
      <c r="C72" s="161"/>
      <c r="D72" s="161"/>
      <c r="E72" s="161"/>
      <c r="F72" s="161"/>
      <c r="G72" s="21" t="s">
        <v>76</v>
      </c>
      <c r="H72" s="162" t="s">
        <v>94</v>
      </c>
      <c r="I72" s="162"/>
      <c r="J72" s="161" t="s">
        <v>86</v>
      </c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21"/>
      <c r="AG72" s="21"/>
      <c r="AH72" s="21"/>
      <c r="AI72" s="21"/>
      <c r="AJ72" s="21"/>
    </row>
    <row r="73" spans="1:36" ht="18.75" customHeight="1" x14ac:dyDescent="0.25">
      <c r="A73" s="137" t="s">
        <v>58</v>
      </c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s="26" customFormat="1" ht="12" customHeight="1" x14ac:dyDescent="0.2">
      <c r="A74" s="26" t="s">
        <v>11</v>
      </c>
    </row>
    <row r="75" spans="1:36" s="26" customFormat="1" ht="12" customHeight="1" x14ac:dyDescent="0.2">
      <c r="A75" s="26" t="s">
        <v>10</v>
      </c>
      <c r="G75" s="140" t="s">
        <v>238</v>
      </c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7.5" customHeight="1" x14ac:dyDescent="0.25">
      <c r="A76" s="142"/>
      <c r="B76" s="142"/>
      <c r="C76" s="8"/>
      <c r="D76" s="8"/>
      <c r="E76" s="8"/>
      <c r="F76" s="8"/>
      <c r="G76" s="138" t="s">
        <v>9</v>
      </c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s="26" customFormat="1" ht="12" customHeight="1" x14ac:dyDescent="0.2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</row>
    <row r="78" spans="1:36" ht="7.5" customHeight="1" x14ac:dyDescent="0.25">
      <c r="A78" s="137" t="s">
        <v>31</v>
      </c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</row>
    <row r="79" spans="1:36" ht="9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s="26" customFormat="1" ht="12" customHeight="1" x14ac:dyDescent="0.2">
      <c r="A80" s="26" t="s">
        <v>8</v>
      </c>
      <c r="D80" s="35"/>
      <c r="E80" s="35"/>
      <c r="F80" s="35"/>
      <c r="G80" s="35"/>
      <c r="L80" s="27"/>
      <c r="M80" s="38"/>
      <c r="N80" s="38"/>
      <c r="P80" s="139">
        <f>'Данные объект'!B6</f>
        <v>45949</v>
      </c>
      <c r="Q80" s="139"/>
      <c r="R80" s="139"/>
      <c r="S80" s="139"/>
      <c r="T80" s="139"/>
      <c r="U80" s="139"/>
      <c r="V80" s="139"/>
      <c r="W80" s="139"/>
    </row>
    <row r="81" spans="1:36" s="26" customFormat="1" ht="12" customHeight="1" x14ac:dyDescent="0.2">
      <c r="A81" s="26" t="s">
        <v>7</v>
      </c>
      <c r="D81" s="35"/>
      <c r="E81" s="35"/>
      <c r="F81" s="35"/>
      <c r="G81" s="35"/>
      <c r="L81" s="27"/>
      <c r="M81" s="38"/>
      <c r="N81" s="38"/>
      <c r="P81" s="158">
        <f>'Данные объект'!B7</f>
        <v>46219</v>
      </c>
      <c r="Q81" s="158"/>
      <c r="R81" s="158"/>
      <c r="S81" s="158"/>
      <c r="T81" s="158"/>
      <c r="U81" s="158"/>
      <c r="V81" s="158"/>
      <c r="W81" s="158"/>
    </row>
    <row r="82" spans="1:36" ht="7.5" customHeight="1" x14ac:dyDescent="0.25">
      <c r="A82" s="6"/>
      <c r="B82" s="6"/>
      <c r="C82" s="6"/>
      <c r="D82" s="5"/>
      <c r="E82" s="5"/>
      <c r="F82" s="5"/>
      <c r="G82" s="5"/>
    </row>
    <row r="83" spans="1:36" s="26" customFormat="1" ht="12" customHeight="1" x14ac:dyDescent="0.2">
      <c r="A83" s="26" t="s">
        <v>5</v>
      </c>
    </row>
    <row r="84" spans="1:36" s="26" customFormat="1" ht="12" customHeight="1" x14ac:dyDescent="0.2">
      <c r="A84" s="140" t="s">
        <v>108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ht="8.25" customHeight="1" x14ac:dyDescent="0.25">
      <c r="A85" s="137" t="s">
        <v>4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ht="8.25" customHeight="1" x14ac:dyDescent="0.25">
      <c r="A87" s="137" t="s">
        <v>59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s="26" customFormat="1" ht="12" customHeight="1" x14ac:dyDescent="0.2">
      <c r="A88" s="26" t="s">
        <v>3</v>
      </c>
    </row>
    <row r="89" spans="1:36" s="26" customFormat="1" ht="12" customHeight="1" x14ac:dyDescent="0.2">
      <c r="A89" s="135" t="s">
        <v>244</v>
      </c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9" customHeight="1" x14ac:dyDescent="0.25">
      <c r="A90" s="137" t="s">
        <v>32</v>
      </c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</row>
    <row r="91" spans="1:36" s="26" customFormat="1" ht="12" customHeight="1" x14ac:dyDescent="0.2">
      <c r="A91" s="26" t="s">
        <v>2</v>
      </c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</row>
    <row r="92" spans="1:36" ht="6" customHeight="1" x14ac:dyDescent="0.25">
      <c r="D92" s="4"/>
      <c r="E92" s="4"/>
      <c r="F92" s="4"/>
      <c r="G92" s="4"/>
      <c r="H92" s="4"/>
      <c r="I92" s="4"/>
      <c r="J92" s="4"/>
    </row>
    <row r="93" spans="1:36" s="26" customFormat="1" ht="12" customHeight="1" x14ac:dyDescent="0.2">
      <c r="A93" s="26" t="s">
        <v>102</v>
      </c>
      <c r="H93" s="135"/>
      <c r="I93" s="135"/>
      <c r="J93" s="26" t="s">
        <v>33</v>
      </c>
    </row>
    <row r="94" spans="1:36" ht="4.5" customHeight="1" x14ac:dyDescent="0.25"/>
    <row r="95" spans="1:36" s="26" customFormat="1" ht="12" customHeight="1" x14ac:dyDescent="0.2">
      <c r="A95" s="26" t="s">
        <v>1</v>
      </c>
    </row>
    <row r="96" spans="1:36" s="26" customFormat="1" ht="12" customHeight="1" x14ac:dyDescent="0.2">
      <c r="A96" s="31" t="s">
        <v>87</v>
      </c>
      <c r="B96" s="140" t="str">
        <f>G75</f>
        <v>Исполнительная схема раскладки труб в БКТП №4301</v>
      </c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31" t="s">
        <v>76</v>
      </c>
      <c r="R96" s="31" t="s">
        <v>88</v>
      </c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ht="12" hidden="1" customHeight="1" x14ac:dyDescent="0.25">
      <c r="A97" s="23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3"/>
      <c r="R97" s="23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</row>
    <row r="98" spans="1:36" ht="12" hidden="1" customHeight="1" x14ac:dyDescent="0.25">
      <c r="A98" s="25" t="s">
        <v>89</v>
      </c>
      <c r="B98" s="163">
        <f>J70</f>
        <v>0</v>
      </c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25" t="s">
        <v>76</v>
      </c>
      <c r="R98" s="25" t="s">
        <v>88</v>
      </c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</row>
    <row r="99" spans="1:36" ht="12" hidden="1" customHeight="1" x14ac:dyDescent="0.25">
      <c r="A99" s="25" t="s">
        <v>99</v>
      </c>
      <c r="B99" s="163" t="str">
        <f>J71</f>
        <v>(сертификат №                от )</v>
      </c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25" t="s">
        <v>76</v>
      </c>
      <c r="R99" s="25" t="s">
        <v>97</v>
      </c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</row>
    <row r="100" spans="1:36" ht="12" hidden="1" customHeight="1" x14ac:dyDescent="0.25">
      <c r="A100" s="25" t="s">
        <v>100</v>
      </c>
      <c r="B100" s="163" t="str">
        <f>J72</f>
        <v>(сертификат №                от )</v>
      </c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25" t="s">
        <v>76</v>
      </c>
      <c r="R100" s="25" t="s">
        <v>98</v>
      </c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</row>
    <row r="101" spans="1:36" ht="9.75" customHeight="1" x14ac:dyDescent="0.25">
      <c r="A101" s="137" t="s">
        <v>0</v>
      </c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</row>
    <row r="102" spans="1:36" ht="6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26" customFormat="1" ht="12" customHeight="1" x14ac:dyDescent="0.2">
      <c r="A103" s="26" t="s">
        <v>23</v>
      </c>
    </row>
    <row r="104" spans="1:36" s="26" customFormat="1" ht="12" customHeight="1" x14ac:dyDescent="0.2">
      <c r="A104" s="26" t="s">
        <v>24</v>
      </c>
    </row>
    <row r="105" spans="1:36" s="26" customFormat="1" ht="12" customHeight="1" x14ac:dyDescent="0.2">
      <c r="A105" s="135" t="str">
        <f>'Данные объект'!B33</f>
        <v>Алексанян Г.Р.</v>
      </c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135"/>
      <c r="AC105" s="135"/>
      <c r="AD105" s="135"/>
      <c r="AE105" s="135"/>
      <c r="AF105" s="135"/>
      <c r="AG105" s="135"/>
      <c r="AH105" s="135"/>
      <c r="AI105" s="135"/>
      <c r="AJ105" s="135"/>
    </row>
    <row r="106" spans="1:36" ht="9" customHeight="1" x14ac:dyDescent="0.25">
      <c r="A106" s="133" t="s">
        <v>35</v>
      </c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4" t="s">
        <v>34</v>
      </c>
      <c r="AC106" s="134"/>
      <c r="AD106" s="134"/>
      <c r="AE106" s="134"/>
      <c r="AF106" s="134"/>
      <c r="AG106" s="134"/>
      <c r="AH106" s="134"/>
      <c r="AI106" s="134"/>
      <c r="AJ106" s="134"/>
    </row>
    <row r="107" spans="1:36" s="26" customFormat="1" ht="12" customHeight="1" x14ac:dyDescent="0.2">
      <c r="A107" s="26" t="s">
        <v>25</v>
      </c>
    </row>
    <row r="108" spans="1:36" s="26" customFormat="1" ht="12" customHeight="1" x14ac:dyDescent="0.2">
      <c r="A108" s="135" t="str">
        <f>'Данные объект'!B20</f>
        <v>Волков М.Ю.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35"/>
      <c r="AC108" s="135"/>
      <c r="AD108" s="135"/>
      <c r="AE108" s="135"/>
      <c r="AF108" s="135"/>
      <c r="AG108" s="135"/>
      <c r="AH108" s="135"/>
      <c r="AI108" s="135"/>
      <c r="AJ108" s="135"/>
    </row>
    <row r="109" spans="1:36" ht="9" customHeight="1" x14ac:dyDescent="0.25">
      <c r="A109" s="133" t="s">
        <v>35</v>
      </c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 t="s">
        <v>34</v>
      </c>
      <c r="AC109" s="134"/>
      <c r="AD109" s="134"/>
      <c r="AE109" s="134"/>
      <c r="AF109" s="134"/>
      <c r="AG109" s="134"/>
      <c r="AH109" s="134"/>
      <c r="AI109" s="134"/>
      <c r="AJ109" s="134"/>
    </row>
    <row r="110" spans="1:36" s="26" customFormat="1" ht="12" customHeight="1" x14ac:dyDescent="0.2">
      <c r="A110" s="26" t="s">
        <v>27</v>
      </c>
    </row>
    <row r="111" spans="1:36" s="26" customFormat="1" ht="12" customHeight="1" x14ac:dyDescent="0.2">
      <c r="A111" s="26" t="s">
        <v>28</v>
      </c>
    </row>
    <row r="112" spans="1:36" s="26" customFormat="1" ht="12" customHeight="1" x14ac:dyDescent="0.2">
      <c r="A112" s="135" t="str">
        <f>'Данные объект'!B17</f>
        <v>Русин В.А.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135"/>
      <c r="AC112" s="135"/>
      <c r="AD112" s="135"/>
      <c r="AE112" s="135"/>
      <c r="AF112" s="135"/>
      <c r="AG112" s="135"/>
      <c r="AH112" s="135"/>
      <c r="AI112" s="135"/>
      <c r="AJ112" s="135"/>
    </row>
    <row r="113" spans="1:36" ht="9" customHeight="1" x14ac:dyDescent="0.25">
      <c r="A113" s="133" t="s">
        <v>35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4" t="s">
        <v>34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s="101" customFormat="1" ht="11.25" x14ac:dyDescent="0.2">
      <c r="A114" s="26" t="s">
        <v>211</v>
      </c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97"/>
      <c r="AC114" s="97"/>
      <c r="AD114" s="97"/>
      <c r="AE114" s="97"/>
      <c r="AF114" s="97"/>
      <c r="AG114" s="97"/>
      <c r="AH114" s="97"/>
      <c r="AI114" s="97"/>
      <c r="AJ114" s="97"/>
    </row>
    <row r="115" spans="1:36" s="101" customFormat="1" ht="11.25" x14ac:dyDescent="0.2">
      <c r="A115" s="135" t="str">
        <f>'[4]Данные объект'!$B$36</f>
        <v>Курчин М.М.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5"/>
      <c r="AC115" s="135"/>
      <c r="AD115" s="135"/>
      <c r="AE115" s="135"/>
      <c r="AF115" s="135"/>
      <c r="AG115" s="135"/>
      <c r="AH115" s="135"/>
      <c r="AI115" s="135"/>
      <c r="AJ115" s="135"/>
    </row>
    <row r="116" spans="1:36" s="101" customFormat="1" ht="9" customHeight="1" x14ac:dyDescent="0.15">
      <c r="A116" s="133" t="s">
        <v>35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4" t="s">
        <v>34</v>
      </c>
      <c r="AC116" s="134"/>
      <c r="AD116" s="134"/>
      <c r="AE116" s="134"/>
      <c r="AF116" s="134"/>
      <c r="AG116" s="134"/>
      <c r="AH116" s="134"/>
      <c r="AI116" s="134"/>
      <c r="AJ116" s="134"/>
    </row>
    <row r="117" spans="1:36" s="26" customFormat="1" ht="35.25" customHeight="1" x14ac:dyDescent="0.2">
      <c r="A117" s="136" t="s">
        <v>53</v>
      </c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</row>
    <row r="118" spans="1:36" ht="12" customHeight="1" x14ac:dyDescent="0.25">
      <c r="A118" s="155" t="s">
        <v>76</v>
      </c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5" t="s">
        <v>76</v>
      </c>
      <c r="AC118" s="155"/>
      <c r="AD118" s="155"/>
      <c r="AE118" s="155"/>
      <c r="AF118" s="155"/>
      <c r="AG118" s="155"/>
      <c r="AH118" s="155"/>
      <c r="AI118" s="155"/>
      <c r="AJ118" s="155"/>
    </row>
    <row r="119" spans="1:36" ht="9" customHeight="1" x14ac:dyDescent="0.25">
      <c r="A119" s="133" t="s">
        <v>35</v>
      </c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4" t="s">
        <v>34</v>
      </c>
      <c r="AC119" s="134"/>
      <c r="AD119" s="134"/>
      <c r="AE119" s="134"/>
      <c r="AF119" s="134"/>
      <c r="AG119" s="134"/>
      <c r="AH119" s="134"/>
      <c r="AI119" s="134"/>
      <c r="AJ119" s="134"/>
    </row>
    <row r="120" spans="1:36" s="26" customFormat="1" ht="40.5" hidden="1" customHeight="1" x14ac:dyDescent="0.2">
      <c r="A120" s="136" t="s">
        <v>55</v>
      </c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</row>
    <row r="121" spans="1:36" s="26" customFormat="1" ht="12" hidden="1" customHeight="1" x14ac:dyDescent="0.2">
      <c r="A121" s="135" t="e">
        <f>#REF!</f>
        <v>#REF!</v>
      </c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135"/>
      <c r="AC121" s="135"/>
      <c r="AD121" s="135"/>
      <c r="AE121" s="135"/>
      <c r="AF121" s="135"/>
      <c r="AG121" s="135"/>
      <c r="AH121" s="135"/>
      <c r="AI121" s="135"/>
      <c r="AJ121" s="135"/>
    </row>
    <row r="122" spans="1:36" ht="9" hidden="1" customHeight="1" x14ac:dyDescent="0.25">
      <c r="A122" s="133" t="s">
        <v>35</v>
      </c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7"/>
      <c r="Q122" s="17"/>
      <c r="R122" s="17"/>
      <c r="S122" s="17"/>
      <c r="T122" s="17"/>
      <c r="U122" s="16"/>
      <c r="V122" s="16"/>
      <c r="W122" s="16"/>
      <c r="X122" s="16"/>
      <c r="Y122" s="16"/>
      <c r="Z122" s="16"/>
      <c r="AA122" s="16"/>
      <c r="AB122" s="134" t="s">
        <v>34</v>
      </c>
      <c r="AC122" s="134"/>
      <c r="AD122" s="134"/>
      <c r="AE122" s="134"/>
      <c r="AF122" s="134"/>
      <c r="AG122" s="134"/>
      <c r="AH122" s="134"/>
      <c r="AI122" s="134"/>
      <c r="AJ122" s="134"/>
    </row>
    <row r="123" spans="1:36" ht="12" customHeight="1" x14ac:dyDescent="0.25"/>
  </sheetData>
  <mergeCells count="112">
    <mergeCell ref="A4:AJ4"/>
    <mergeCell ref="A5:AJ5"/>
    <mergeCell ref="A6:AJ6"/>
    <mergeCell ref="A7:AJ8"/>
    <mergeCell ref="A9:AJ9"/>
    <mergeCell ref="A10:AJ10"/>
    <mergeCell ref="A18:AJ18"/>
    <mergeCell ref="A19:AJ19"/>
    <mergeCell ref="A20:AJ20"/>
    <mergeCell ref="A21:AJ21"/>
    <mergeCell ref="A23:AJ23"/>
    <mergeCell ref="A24:AJ24"/>
    <mergeCell ref="A11:AJ11"/>
    <mergeCell ref="A12:AJ12"/>
    <mergeCell ref="A13:AJ13"/>
    <mergeCell ref="A14:AJ14"/>
    <mergeCell ref="A16:AJ16"/>
    <mergeCell ref="A17:AJ17"/>
    <mergeCell ref="E33:G33"/>
    <mergeCell ref="AB33:AI33"/>
    <mergeCell ref="AB34:AI34"/>
    <mergeCell ref="A36:AJ36"/>
    <mergeCell ref="A37:AJ37"/>
    <mergeCell ref="A38:AJ38"/>
    <mergeCell ref="A25:AJ25"/>
    <mergeCell ref="A26:AJ26"/>
    <mergeCell ref="A27:AJ27"/>
    <mergeCell ref="A28:AJ28"/>
    <mergeCell ref="A30:AJ30"/>
    <mergeCell ref="A31:AJ31"/>
    <mergeCell ref="A46:AJ46"/>
    <mergeCell ref="A50:AJ50"/>
    <mergeCell ref="A51:AJ51"/>
    <mergeCell ref="A52:AJ52"/>
    <mergeCell ref="A53:AJ53"/>
    <mergeCell ref="A54:AJ54"/>
    <mergeCell ref="A39:AJ39"/>
    <mergeCell ref="A40:AJ40"/>
    <mergeCell ref="A42:AJ42"/>
    <mergeCell ref="A43:AJ43"/>
    <mergeCell ref="A44:AJ44"/>
    <mergeCell ref="A45:AJ45"/>
    <mergeCell ref="A47:AJ47"/>
    <mergeCell ref="A48:AJ48"/>
    <mergeCell ref="A49:AJ49"/>
    <mergeCell ref="A64:AJ64"/>
    <mergeCell ref="A66:AJ66"/>
    <mergeCell ref="A67:AJ67"/>
    <mergeCell ref="P68:AJ68"/>
    <mergeCell ref="P69:AJ69"/>
    <mergeCell ref="A70:F70"/>
    <mergeCell ref="H70:I70"/>
    <mergeCell ref="J70:AE70"/>
    <mergeCell ref="A55:AJ55"/>
    <mergeCell ref="A56:AJ56"/>
    <mergeCell ref="A57:AJ57"/>
    <mergeCell ref="A59:AJ59"/>
    <mergeCell ref="A60:AJ60"/>
    <mergeCell ref="A63:W63"/>
    <mergeCell ref="A73:AJ73"/>
    <mergeCell ref="G75:AJ75"/>
    <mergeCell ref="A76:B76"/>
    <mergeCell ref="G76:AJ76"/>
    <mergeCell ref="A77:AJ77"/>
    <mergeCell ref="A78:AJ78"/>
    <mergeCell ref="A71:F71"/>
    <mergeCell ref="H71:I71"/>
    <mergeCell ref="J71:AE71"/>
    <mergeCell ref="A72:F72"/>
    <mergeCell ref="H72:I72"/>
    <mergeCell ref="J72:AE72"/>
    <mergeCell ref="A89:AJ89"/>
    <mergeCell ref="A90:AJ90"/>
    <mergeCell ref="L91:AJ91"/>
    <mergeCell ref="H93:I93"/>
    <mergeCell ref="B96:P96"/>
    <mergeCell ref="B98:P98"/>
    <mergeCell ref="P80:W80"/>
    <mergeCell ref="P81:W81"/>
    <mergeCell ref="A84:AJ84"/>
    <mergeCell ref="A85:AJ85"/>
    <mergeCell ref="A86:AJ86"/>
    <mergeCell ref="A87:AJ87"/>
    <mergeCell ref="A108:O108"/>
    <mergeCell ref="AB108:AJ108"/>
    <mergeCell ref="A109:O109"/>
    <mergeCell ref="AB109:AJ109"/>
    <mergeCell ref="A112:O112"/>
    <mergeCell ref="AB112:AJ112"/>
    <mergeCell ref="B99:P99"/>
    <mergeCell ref="B100:P100"/>
    <mergeCell ref="A101:AJ101"/>
    <mergeCell ref="A105:O105"/>
    <mergeCell ref="AB105:AJ105"/>
    <mergeCell ref="A106:O106"/>
    <mergeCell ref="AB106:AJ106"/>
    <mergeCell ref="A120:AJ120"/>
    <mergeCell ref="A121:O121"/>
    <mergeCell ref="AB121:AJ121"/>
    <mergeCell ref="A122:O122"/>
    <mergeCell ref="AB122:AJ122"/>
    <mergeCell ref="A113:O113"/>
    <mergeCell ref="AB113:AJ113"/>
    <mergeCell ref="A117:AJ117"/>
    <mergeCell ref="A118:O118"/>
    <mergeCell ref="AB118:AJ118"/>
    <mergeCell ref="A119:O119"/>
    <mergeCell ref="AB119:AJ119"/>
    <mergeCell ref="A115:O115"/>
    <mergeCell ref="AB115:AJ115"/>
    <mergeCell ref="A116:O116"/>
    <mergeCell ref="AB116:AJ116"/>
  </mergeCells>
  <pageMargins left="0.78740157480314965" right="0.27559055118110237" top="0.39370078740157483" bottom="0.39370078740157483" header="0" footer="0"/>
  <pageSetup paperSize="9" scale="95" fitToHeight="3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050F-D1A5-4359-B81C-0772125E353B}">
  <sheetPr>
    <tabColor indexed="57"/>
    <pageSetUpPr fitToPage="1"/>
  </sheetPr>
  <dimension ref="A1:AQ123"/>
  <sheetViews>
    <sheetView view="pageBreakPreview" topLeftCell="A40" zoomScale="125" zoomScaleNormal="125" zoomScaleSheetLayoutView="125" workbookViewId="0">
      <selection activeCell="A63" sqref="A63:W63"/>
    </sheetView>
  </sheetViews>
  <sheetFormatPr defaultColWidth="10.6640625" defaultRowHeight="15" x14ac:dyDescent="0.25"/>
  <cols>
    <col min="1" max="5" width="2.83203125" style="1" customWidth="1"/>
    <col min="6" max="6" width="5.1640625" style="1" customWidth="1"/>
    <col min="7" max="7" width="5.832031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46.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19</v>
      </c>
      <c r="D33" s="31"/>
      <c r="E33" s="135" t="s">
        <v>264</v>
      </c>
      <c r="F33" s="135"/>
      <c r="G33" s="135"/>
      <c r="H33" s="32"/>
      <c r="I33" s="32"/>
      <c r="J33" s="32"/>
      <c r="X33" s="27"/>
      <c r="Y33" s="38"/>
      <c r="Z33" s="38"/>
      <c r="AB33" s="139">
        <f>P81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">
        <v>240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35" t="s">
        <v>245</v>
      </c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4" t="s">
        <v>57</v>
      </c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</row>
    <row r="70" spans="1:36" s="26" customFormat="1" ht="12" customHeight="1" x14ac:dyDescent="0.2">
      <c r="A70" s="152"/>
      <c r="B70" s="152"/>
      <c r="C70" s="152"/>
      <c r="D70" s="152"/>
      <c r="E70" s="152"/>
      <c r="F70" s="152"/>
      <c r="G70" s="34"/>
      <c r="H70" s="141"/>
      <c r="I70" s="141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34"/>
      <c r="AG70" s="34"/>
      <c r="AH70" s="34"/>
      <c r="AI70" s="34"/>
      <c r="AJ70" s="34"/>
    </row>
    <row r="71" spans="1:36" ht="12" hidden="1" customHeight="1" x14ac:dyDescent="0.25">
      <c r="A71" s="161" t="s">
        <v>95</v>
      </c>
      <c r="B71" s="161"/>
      <c r="C71" s="161"/>
      <c r="D71" s="161"/>
      <c r="E71" s="161"/>
      <c r="F71" s="161"/>
      <c r="G71" s="21" t="s">
        <v>76</v>
      </c>
      <c r="H71" s="162" t="s">
        <v>94</v>
      </c>
      <c r="I71" s="162"/>
      <c r="J71" s="161" t="s">
        <v>86</v>
      </c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21"/>
      <c r="AG71" s="21"/>
      <c r="AH71" s="21"/>
      <c r="AI71" s="21"/>
      <c r="AJ71" s="21"/>
    </row>
    <row r="72" spans="1:36" ht="12" hidden="1" customHeight="1" x14ac:dyDescent="0.25">
      <c r="A72" s="161" t="s">
        <v>96</v>
      </c>
      <c r="B72" s="161"/>
      <c r="C72" s="161"/>
      <c r="D72" s="161"/>
      <c r="E72" s="161"/>
      <c r="F72" s="161"/>
      <c r="G72" s="21" t="s">
        <v>76</v>
      </c>
      <c r="H72" s="162" t="s">
        <v>94</v>
      </c>
      <c r="I72" s="162"/>
      <c r="J72" s="161" t="s">
        <v>86</v>
      </c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21"/>
      <c r="AG72" s="21"/>
      <c r="AH72" s="21"/>
      <c r="AI72" s="21"/>
      <c r="AJ72" s="21"/>
    </row>
    <row r="73" spans="1:36" ht="18.75" customHeight="1" x14ac:dyDescent="0.25">
      <c r="A73" s="137" t="s">
        <v>58</v>
      </c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s="26" customFormat="1" ht="12" customHeight="1" x14ac:dyDescent="0.2">
      <c r="A74" s="26" t="s">
        <v>11</v>
      </c>
    </row>
    <row r="75" spans="1:36" s="26" customFormat="1" ht="12" customHeight="1" x14ac:dyDescent="0.2">
      <c r="A75" s="26" t="s">
        <v>10</v>
      </c>
      <c r="G75" s="140" t="s">
        <v>238</v>
      </c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7.5" customHeight="1" x14ac:dyDescent="0.25">
      <c r="A76" s="142"/>
      <c r="B76" s="142"/>
      <c r="C76" s="8"/>
      <c r="D76" s="8"/>
      <c r="E76" s="8"/>
      <c r="F76" s="8"/>
      <c r="G76" s="138" t="s">
        <v>9</v>
      </c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s="26" customFormat="1" ht="12" customHeight="1" x14ac:dyDescent="0.2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</row>
    <row r="78" spans="1:36" ht="7.5" customHeight="1" x14ac:dyDescent="0.25">
      <c r="A78" s="137" t="s">
        <v>31</v>
      </c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</row>
    <row r="79" spans="1:36" ht="9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s="26" customFormat="1" ht="12" customHeight="1" x14ac:dyDescent="0.2">
      <c r="A80" s="26" t="s">
        <v>8</v>
      </c>
      <c r="D80" s="35"/>
      <c r="E80" s="35"/>
      <c r="F80" s="35"/>
      <c r="G80" s="35"/>
      <c r="L80" s="27"/>
      <c r="M80" s="38"/>
      <c r="N80" s="38"/>
      <c r="P80" s="139">
        <f>'Данные объект'!B6</f>
        <v>45949</v>
      </c>
      <c r="Q80" s="139"/>
      <c r="R80" s="139"/>
      <c r="S80" s="139"/>
      <c r="T80" s="139"/>
      <c r="U80" s="139"/>
      <c r="V80" s="139"/>
      <c r="W80" s="139"/>
    </row>
    <row r="81" spans="1:36" s="26" customFormat="1" ht="12" customHeight="1" x14ac:dyDescent="0.2">
      <c r="A81" s="26" t="s">
        <v>7</v>
      </c>
      <c r="D81" s="35"/>
      <c r="E81" s="35"/>
      <c r="F81" s="35"/>
      <c r="G81" s="35"/>
      <c r="L81" s="27"/>
      <c r="M81" s="38"/>
      <c r="N81" s="38"/>
      <c r="P81" s="158">
        <f>'Данные объект'!B7</f>
        <v>46219</v>
      </c>
      <c r="Q81" s="158"/>
      <c r="R81" s="158"/>
      <c r="S81" s="158"/>
      <c r="T81" s="158"/>
      <c r="U81" s="158"/>
      <c r="V81" s="158"/>
      <c r="W81" s="158"/>
    </row>
    <row r="82" spans="1:36" ht="7.5" customHeight="1" x14ac:dyDescent="0.25">
      <c r="A82" s="6"/>
      <c r="B82" s="6"/>
      <c r="C82" s="6"/>
      <c r="D82" s="5"/>
      <c r="E82" s="5"/>
      <c r="F82" s="5"/>
      <c r="G82" s="5"/>
    </row>
    <row r="83" spans="1:36" s="26" customFormat="1" ht="12" customHeight="1" x14ac:dyDescent="0.2">
      <c r="A83" s="26" t="s">
        <v>5</v>
      </c>
    </row>
    <row r="84" spans="1:36" s="26" customFormat="1" ht="12" customHeight="1" x14ac:dyDescent="0.2">
      <c r="A84" s="140" t="s">
        <v>108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ht="8.25" customHeight="1" x14ac:dyDescent="0.25">
      <c r="A85" s="137" t="s">
        <v>4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ht="8.25" customHeight="1" x14ac:dyDescent="0.25">
      <c r="A87" s="137" t="s">
        <v>59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s="26" customFormat="1" ht="12" customHeight="1" x14ac:dyDescent="0.2">
      <c r="A88" s="26" t="s">
        <v>3</v>
      </c>
    </row>
    <row r="89" spans="1:36" s="26" customFormat="1" ht="12" customHeight="1" x14ac:dyDescent="0.2">
      <c r="A89" s="135" t="s">
        <v>207</v>
      </c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9" customHeight="1" x14ac:dyDescent="0.25">
      <c r="A90" s="137" t="s">
        <v>32</v>
      </c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</row>
    <row r="91" spans="1:36" s="26" customFormat="1" ht="12" customHeight="1" x14ac:dyDescent="0.2">
      <c r="A91" s="26" t="s">
        <v>2</v>
      </c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</row>
    <row r="92" spans="1:36" ht="6" customHeight="1" x14ac:dyDescent="0.25">
      <c r="D92" s="4"/>
      <c r="E92" s="4"/>
      <c r="F92" s="4"/>
      <c r="G92" s="4"/>
      <c r="H92" s="4"/>
      <c r="I92" s="4"/>
      <c r="J92" s="4"/>
    </row>
    <row r="93" spans="1:36" s="26" customFormat="1" ht="12" customHeight="1" x14ac:dyDescent="0.2">
      <c r="A93" s="26" t="s">
        <v>102</v>
      </c>
      <c r="H93" s="135"/>
      <c r="I93" s="135"/>
      <c r="J93" s="26" t="s">
        <v>33</v>
      </c>
    </row>
    <row r="94" spans="1:36" ht="4.5" customHeight="1" x14ac:dyDescent="0.25"/>
    <row r="95" spans="1:36" s="26" customFormat="1" ht="12" customHeight="1" x14ac:dyDescent="0.2">
      <c r="A95" s="26" t="s">
        <v>1</v>
      </c>
    </row>
    <row r="96" spans="1:36" s="26" customFormat="1" ht="12" customHeight="1" x14ac:dyDescent="0.2">
      <c r="A96" s="31" t="s">
        <v>87</v>
      </c>
      <c r="B96" s="140" t="str">
        <f>G75</f>
        <v>Исполнительная схема раскладки труб в БКТП №4301</v>
      </c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31" t="s">
        <v>76</v>
      </c>
      <c r="R96" s="31" t="s">
        <v>88</v>
      </c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ht="12" hidden="1" customHeight="1" x14ac:dyDescent="0.25">
      <c r="A97" s="23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3"/>
      <c r="R97" s="23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</row>
    <row r="98" spans="1:36" ht="12" hidden="1" customHeight="1" x14ac:dyDescent="0.25">
      <c r="A98" s="25" t="s">
        <v>89</v>
      </c>
      <c r="B98" s="163">
        <f>J70</f>
        <v>0</v>
      </c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25" t="s">
        <v>76</v>
      </c>
      <c r="R98" s="25" t="s">
        <v>88</v>
      </c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</row>
    <row r="99" spans="1:36" ht="12" hidden="1" customHeight="1" x14ac:dyDescent="0.25">
      <c r="A99" s="25" t="s">
        <v>99</v>
      </c>
      <c r="B99" s="163" t="str">
        <f>J71</f>
        <v>(сертификат №                от )</v>
      </c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25" t="s">
        <v>76</v>
      </c>
      <c r="R99" s="25" t="s">
        <v>97</v>
      </c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</row>
    <row r="100" spans="1:36" ht="12" hidden="1" customHeight="1" x14ac:dyDescent="0.25">
      <c r="A100" s="25" t="s">
        <v>100</v>
      </c>
      <c r="B100" s="163" t="str">
        <f>J72</f>
        <v>(сертификат №                от )</v>
      </c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25" t="s">
        <v>76</v>
      </c>
      <c r="R100" s="25" t="s">
        <v>98</v>
      </c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</row>
    <row r="101" spans="1:36" ht="9.75" customHeight="1" x14ac:dyDescent="0.25">
      <c r="A101" s="137" t="s">
        <v>0</v>
      </c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</row>
    <row r="102" spans="1:36" ht="6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26" customFormat="1" ht="12" customHeight="1" x14ac:dyDescent="0.2">
      <c r="A103" s="26" t="s">
        <v>23</v>
      </c>
    </row>
    <row r="104" spans="1:36" s="26" customFormat="1" ht="12" customHeight="1" x14ac:dyDescent="0.2">
      <c r="A104" s="26" t="s">
        <v>24</v>
      </c>
    </row>
    <row r="105" spans="1:36" s="26" customFormat="1" ht="12" customHeight="1" x14ac:dyDescent="0.2">
      <c r="A105" s="135" t="str">
        <f>'Данные объект'!B33</f>
        <v>Алексанян Г.Р.</v>
      </c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135"/>
      <c r="AC105" s="135"/>
      <c r="AD105" s="135"/>
      <c r="AE105" s="135"/>
      <c r="AF105" s="135"/>
      <c r="AG105" s="135"/>
      <c r="AH105" s="135"/>
      <c r="AI105" s="135"/>
      <c r="AJ105" s="135"/>
    </row>
    <row r="106" spans="1:36" ht="9" customHeight="1" x14ac:dyDescent="0.25">
      <c r="A106" s="133" t="s">
        <v>35</v>
      </c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4" t="s">
        <v>34</v>
      </c>
      <c r="AC106" s="134"/>
      <c r="AD106" s="134"/>
      <c r="AE106" s="134"/>
      <c r="AF106" s="134"/>
      <c r="AG106" s="134"/>
      <c r="AH106" s="134"/>
      <c r="AI106" s="134"/>
      <c r="AJ106" s="134"/>
    </row>
    <row r="107" spans="1:36" s="26" customFormat="1" ht="12" customHeight="1" x14ac:dyDescent="0.2">
      <c r="A107" s="26" t="s">
        <v>25</v>
      </c>
    </row>
    <row r="108" spans="1:36" s="26" customFormat="1" ht="12" customHeight="1" x14ac:dyDescent="0.2">
      <c r="A108" s="135" t="str">
        <f>'Данные объект'!B20</f>
        <v>Волков М.Ю.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35"/>
      <c r="AC108" s="135"/>
      <c r="AD108" s="135"/>
      <c r="AE108" s="135"/>
      <c r="AF108" s="135"/>
      <c r="AG108" s="135"/>
      <c r="AH108" s="135"/>
      <c r="AI108" s="135"/>
      <c r="AJ108" s="135"/>
    </row>
    <row r="109" spans="1:36" ht="9" customHeight="1" x14ac:dyDescent="0.25">
      <c r="A109" s="133" t="s">
        <v>35</v>
      </c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 t="s">
        <v>34</v>
      </c>
      <c r="AC109" s="134"/>
      <c r="AD109" s="134"/>
      <c r="AE109" s="134"/>
      <c r="AF109" s="134"/>
      <c r="AG109" s="134"/>
      <c r="AH109" s="134"/>
      <c r="AI109" s="134"/>
      <c r="AJ109" s="134"/>
    </row>
    <row r="110" spans="1:36" s="26" customFormat="1" ht="12" customHeight="1" x14ac:dyDescent="0.2">
      <c r="A110" s="26" t="s">
        <v>27</v>
      </c>
    </row>
    <row r="111" spans="1:36" s="26" customFormat="1" ht="12" customHeight="1" x14ac:dyDescent="0.2">
      <c r="A111" s="26" t="s">
        <v>28</v>
      </c>
    </row>
    <row r="112" spans="1:36" s="26" customFormat="1" ht="12" customHeight="1" x14ac:dyDescent="0.2">
      <c r="A112" s="135" t="str">
        <f>'Данные объект'!B17</f>
        <v>Русин В.А.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135"/>
      <c r="AC112" s="135"/>
      <c r="AD112" s="135"/>
      <c r="AE112" s="135"/>
      <c r="AF112" s="135"/>
      <c r="AG112" s="135"/>
      <c r="AH112" s="135"/>
      <c r="AI112" s="135"/>
      <c r="AJ112" s="135"/>
    </row>
    <row r="113" spans="1:36" ht="9" customHeight="1" x14ac:dyDescent="0.25">
      <c r="A113" s="133" t="s">
        <v>35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4" t="s">
        <v>34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s="101" customFormat="1" ht="11.25" x14ac:dyDescent="0.2">
      <c r="A114" s="26" t="s">
        <v>211</v>
      </c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97"/>
      <c r="AC114" s="97"/>
      <c r="AD114" s="97"/>
      <c r="AE114" s="97"/>
      <c r="AF114" s="97"/>
      <c r="AG114" s="97"/>
      <c r="AH114" s="97"/>
      <c r="AI114" s="97"/>
      <c r="AJ114" s="97"/>
    </row>
    <row r="115" spans="1:36" s="101" customFormat="1" ht="11.25" x14ac:dyDescent="0.2">
      <c r="A115" s="135" t="str">
        <f>'[4]Данные объект'!$B$36</f>
        <v>Курчин М.М.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5"/>
      <c r="AC115" s="135"/>
      <c r="AD115" s="135"/>
      <c r="AE115" s="135"/>
      <c r="AF115" s="135"/>
      <c r="AG115" s="135"/>
      <c r="AH115" s="135"/>
      <c r="AI115" s="135"/>
      <c r="AJ115" s="135"/>
    </row>
    <row r="116" spans="1:36" s="101" customFormat="1" ht="9" customHeight="1" x14ac:dyDescent="0.15">
      <c r="A116" s="133" t="s">
        <v>35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4" t="s">
        <v>34</v>
      </c>
      <c r="AC116" s="134"/>
      <c r="AD116" s="134"/>
      <c r="AE116" s="134"/>
      <c r="AF116" s="134"/>
      <c r="AG116" s="134"/>
      <c r="AH116" s="134"/>
      <c r="AI116" s="134"/>
      <c r="AJ116" s="134"/>
    </row>
    <row r="117" spans="1:36" s="26" customFormat="1" ht="35.25" customHeight="1" x14ac:dyDescent="0.2">
      <c r="A117" s="136" t="s">
        <v>53</v>
      </c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</row>
    <row r="118" spans="1:36" ht="12" customHeight="1" x14ac:dyDescent="0.25">
      <c r="A118" s="155" t="s">
        <v>76</v>
      </c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5" t="s">
        <v>76</v>
      </c>
      <c r="AC118" s="155"/>
      <c r="AD118" s="155"/>
      <c r="AE118" s="155"/>
      <c r="AF118" s="155"/>
      <c r="AG118" s="155"/>
      <c r="AH118" s="155"/>
      <c r="AI118" s="155"/>
      <c r="AJ118" s="155"/>
    </row>
    <row r="119" spans="1:36" ht="9" customHeight="1" x14ac:dyDescent="0.25">
      <c r="A119" s="133" t="s">
        <v>35</v>
      </c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4" t="s">
        <v>34</v>
      </c>
      <c r="AC119" s="134"/>
      <c r="AD119" s="134"/>
      <c r="AE119" s="134"/>
      <c r="AF119" s="134"/>
      <c r="AG119" s="134"/>
      <c r="AH119" s="134"/>
      <c r="AI119" s="134"/>
      <c r="AJ119" s="134"/>
    </row>
    <row r="120" spans="1:36" s="26" customFormat="1" ht="40.5" hidden="1" customHeight="1" x14ac:dyDescent="0.2">
      <c r="A120" s="136" t="s">
        <v>55</v>
      </c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</row>
    <row r="121" spans="1:36" s="26" customFormat="1" ht="12" hidden="1" customHeight="1" x14ac:dyDescent="0.2">
      <c r="A121" s="135" t="e">
        <f>#REF!</f>
        <v>#REF!</v>
      </c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135"/>
      <c r="AC121" s="135"/>
      <c r="AD121" s="135"/>
      <c r="AE121" s="135"/>
      <c r="AF121" s="135"/>
      <c r="AG121" s="135"/>
      <c r="AH121" s="135"/>
      <c r="AI121" s="135"/>
      <c r="AJ121" s="135"/>
    </row>
    <row r="122" spans="1:36" ht="9" hidden="1" customHeight="1" x14ac:dyDescent="0.25">
      <c r="A122" s="133" t="s">
        <v>35</v>
      </c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7"/>
      <c r="Q122" s="17"/>
      <c r="R122" s="17"/>
      <c r="S122" s="17"/>
      <c r="T122" s="17"/>
      <c r="U122" s="16"/>
      <c r="V122" s="16"/>
      <c r="W122" s="16"/>
      <c r="X122" s="16"/>
      <c r="Y122" s="16"/>
      <c r="Z122" s="16"/>
      <c r="AA122" s="16"/>
      <c r="AB122" s="134" t="s">
        <v>34</v>
      </c>
      <c r="AC122" s="134"/>
      <c r="AD122" s="134"/>
      <c r="AE122" s="134"/>
      <c r="AF122" s="134"/>
      <c r="AG122" s="134"/>
      <c r="AH122" s="134"/>
      <c r="AI122" s="134"/>
      <c r="AJ122" s="134"/>
    </row>
    <row r="123" spans="1:36" ht="12" customHeight="1" x14ac:dyDescent="0.25"/>
  </sheetData>
  <mergeCells count="112">
    <mergeCell ref="A4:AJ4"/>
    <mergeCell ref="A5:AJ5"/>
    <mergeCell ref="A6:AJ6"/>
    <mergeCell ref="A7:AJ8"/>
    <mergeCell ref="A9:AJ9"/>
    <mergeCell ref="A10:AJ10"/>
    <mergeCell ref="A18:AJ18"/>
    <mergeCell ref="A19:AJ19"/>
    <mergeCell ref="A20:AJ20"/>
    <mergeCell ref="A21:AJ21"/>
    <mergeCell ref="A23:AJ23"/>
    <mergeCell ref="A24:AJ24"/>
    <mergeCell ref="A11:AJ11"/>
    <mergeCell ref="A12:AJ12"/>
    <mergeCell ref="A13:AJ13"/>
    <mergeCell ref="A14:AJ14"/>
    <mergeCell ref="A16:AJ16"/>
    <mergeCell ref="A17:AJ17"/>
    <mergeCell ref="E33:G33"/>
    <mergeCell ref="AB33:AI33"/>
    <mergeCell ref="AB34:AI34"/>
    <mergeCell ref="A36:AJ36"/>
    <mergeCell ref="A37:AJ37"/>
    <mergeCell ref="A38:AJ38"/>
    <mergeCell ref="A25:AJ25"/>
    <mergeCell ref="A26:AJ26"/>
    <mergeCell ref="A27:AJ27"/>
    <mergeCell ref="A28:AJ28"/>
    <mergeCell ref="A30:AJ30"/>
    <mergeCell ref="A31:AJ31"/>
    <mergeCell ref="A46:AJ46"/>
    <mergeCell ref="A50:AJ50"/>
    <mergeCell ref="A51:AJ51"/>
    <mergeCell ref="A52:AJ52"/>
    <mergeCell ref="A53:AJ53"/>
    <mergeCell ref="A54:AJ54"/>
    <mergeCell ref="A39:AJ39"/>
    <mergeCell ref="A40:AJ40"/>
    <mergeCell ref="A42:AJ42"/>
    <mergeCell ref="A43:AJ43"/>
    <mergeCell ref="A44:AJ44"/>
    <mergeCell ref="A45:AJ45"/>
    <mergeCell ref="A47:AJ47"/>
    <mergeCell ref="A48:AJ48"/>
    <mergeCell ref="A49:AJ49"/>
    <mergeCell ref="A64:AJ64"/>
    <mergeCell ref="A66:AJ66"/>
    <mergeCell ref="A67:AJ67"/>
    <mergeCell ref="P68:AJ68"/>
    <mergeCell ref="P69:AJ69"/>
    <mergeCell ref="A70:F70"/>
    <mergeCell ref="H70:I70"/>
    <mergeCell ref="J70:AE70"/>
    <mergeCell ref="A55:AJ55"/>
    <mergeCell ref="A56:AJ56"/>
    <mergeCell ref="A57:AJ57"/>
    <mergeCell ref="A59:AJ59"/>
    <mergeCell ref="A60:AJ60"/>
    <mergeCell ref="A63:W63"/>
    <mergeCell ref="A73:AJ73"/>
    <mergeCell ref="G75:AJ75"/>
    <mergeCell ref="A76:B76"/>
    <mergeCell ref="G76:AJ76"/>
    <mergeCell ref="A77:AJ77"/>
    <mergeCell ref="A78:AJ78"/>
    <mergeCell ref="A71:F71"/>
    <mergeCell ref="H71:I71"/>
    <mergeCell ref="J71:AE71"/>
    <mergeCell ref="A72:F72"/>
    <mergeCell ref="H72:I72"/>
    <mergeCell ref="J72:AE72"/>
    <mergeCell ref="A89:AJ89"/>
    <mergeCell ref="A90:AJ90"/>
    <mergeCell ref="L91:AJ91"/>
    <mergeCell ref="H93:I93"/>
    <mergeCell ref="B96:P96"/>
    <mergeCell ref="B98:P98"/>
    <mergeCell ref="P80:W80"/>
    <mergeCell ref="P81:W81"/>
    <mergeCell ref="A84:AJ84"/>
    <mergeCell ref="A85:AJ85"/>
    <mergeCell ref="A86:AJ86"/>
    <mergeCell ref="A87:AJ87"/>
    <mergeCell ref="A108:O108"/>
    <mergeCell ref="AB108:AJ108"/>
    <mergeCell ref="A109:O109"/>
    <mergeCell ref="AB109:AJ109"/>
    <mergeCell ref="A112:O112"/>
    <mergeCell ref="AB112:AJ112"/>
    <mergeCell ref="B99:P99"/>
    <mergeCell ref="B100:P100"/>
    <mergeCell ref="A101:AJ101"/>
    <mergeCell ref="A105:O105"/>
    <mergeCell ref="AB105:AJ105"/>
    <mergeCell ref="A106:O106"/>
    <mergeCell ref="AB106:AJ106"/>
    <mergeCell ref="A120:AJ120"/>
    <mergeCell ref="A121:O121"/>
    <mergeCell ref="AB121:AJ121"/>
    <mergeCell ref="A122:O122"/>
    <mergeCell ref="AB122:AJ122"/>
    <mergeCell ref="A113:O113"/>
    <mergeCell ref="AB113:AJ113"/>
    <mergeCell ref="A117:AJ117"/>
    <mergeCell ref="A118:O118"/>
    <mergeCell ref="AB118:AJ118"/>
    <mergeCell ref="A119:O119"/>
    <mergeCell ref="AB119:AJ119"/>
    <mergeCell ref="A115:O115"/>
    <mergeCell ref="AB115:AJ115"/>
    <mergeCell ref="A116:O116"/>
    <mergeCell ref="AB116:AJ116"/>
  </mergeCells>
  <pageMargins left="0.78740157480314965" right="0.27559055118110237" top="0.39370078740157483" bottom="0.39370078740157483" header="0" footer="0"/>
  <pageSetup paperSize="9" scale="95" fitToHeight="3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E5EA-1D65-41F5-B026-906226929A90}">
  <sheetPr>
    <tabColor indexed="57"/>
    <pageSetUpPr fitToPage="1"/>
  </sheetPr>
  <dimension ref="A1:AQ123"/>
  <sheetViews>
    <sheetView view="pageBreakPreview" topLeftCell="A43" zoomScale="125" zoomScaleNormal="125" zoomScaleSheetLayoutView="125" workbookViewId="0">
      <selection activeCell="A63" sqref="A63:W63"/>
    </sheetView>
  </sheetViews>
  <sheetFormatPr defaultColWidth="10.6640625" defaultRowHeight="15" x14ac:dyDescent="0.25"/>
  <cols>
    <col min="1" max="4" width="2.83203125" style="1" customWidth="1"/>
    <col min="5" max="5" width="3.83203125" style="1" customWidth="1"/>
    <col min="6" max="6" width="5.1640625" style="1" customWidth="1"/>
    <col min="7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24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v>20</v>
      </c>
      <c r="D33" s="31"/>
      <c r="E33" s="135" t="s">
        <v>264</v>
      </c>
      <c r="F33" s="135"/>
      <c r="G33" s="135"/>
      <c r="H33" s="32"/>
      <c r="I33" s="32"/>
      <c r="J33" s="32"/>
      <c r="X33" s="27"/>
      <c r="Y33" s="38"/>
      <c r="Z33" s="38"/>
      <c r="AB33" s="139">
        <f>P81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">
        <v>246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34" t="s">
        <v>57</v>
      </c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</row>
    <row r="70" spans="1:36" s="26" customFormat="1" ht="12" customHeight="1" x14ac:dyDescent="0.2">
      <c r="A70" s="152"/>
      <c r="B70" s="152"/>
      <c r="C70" s="152"/>
      <c r="D70" s="152"/>
      <c r="E70" s="152"/>
      <c r="F70" s="152"/>
      <c r="G70" s="34"/>
      <c r="H70" s="141"/>
      <c r="I70" s="141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34"/>
      <c r="AG70" s="34"/>
      <c r="AH70" s="34"/>
      <c r="AI70" s="34"/>
      <c r="AJ70" s="34"/>
    </row>
    <row r="71" spans="1:36" ht="12" hidden="1" customHeight="1" x14ac:dyDescent="0.25">
      <c r="A71" s="161" t="s">
        <v>95</v>
      </c>
      <c r="B71" s="161"/>
      <c r="C71" s="161"/>
      <c r="D71" s="161"/>
      <c r="E71" s="161"/>
      <c r="F71" s="161"/>
      <c r="G71" s="21" t="s">
        <v>76</v>
      </c>
      <c r="H71" s="162" t="s">
        <v>94</v>
      </c>
      <c r="I71" s="162"/>
      <c r="J71" s="161" t="s">
        <v>86</v>
      </c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21"/>
      <c r="AG71" s="21"/>
      <c r="AH71" s="21"/>
      <c r="AI71" s="21"/>
      <c r="AJ71" s="21"/>
    </row>
    <row r="72" spans="1:36" ht="12" hidden="1" customHeight="1" x14ac:dyDescent="0.25">
      <c r="A72" s="161" t="s">
        <v>96</v>
      </c>
      <c r="B72" s="161"/>
      <c r="C72" s="161"/>
      <c r="D72" s="161"/>
      <c r="E72" s="161"/>
      <c r="F72" s="161"/>
      <c r="G72" s="21" t="s">
        <v>76</v>
      </c>
      <c r="H72" s="162" t="s">
        <v>94</v>
      </c>
      <c r="I72" s="162"/>
      <c r="J72" s="161" t="s">
        <v>86</v>
      </c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21"/>
      <c r="AG72" s="21"/>
      <c r="AH72" s="21"/>
      <c r="AI72" s="21"/>
      <c r="AJ72" s="21"/>
    </row>
    <row r="73" spans="1:36" ht="18.75" customHeight="1" x14ac:dyDescent="0.25">
      <c r="A73" s="137" t="s">
        <v>58</v>
      </c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s="26" customFormat="1" ht="12" customHeight="1" x14ac:dyDescent="0.2">
      <c r="A74" s="26" t="s">
        <v>11</v>
      </c>
    </row>
    <row r="75" spans="1:36" s="26" customFormat="1" ht="12" customHeight="1" x14ac:dyDescent="0.2">
      <c r="A75" s="26" t="s">
        <v>10</v>
      </c>
      <c r="G75" s="140" t="s">
        <v>238</v>
      </c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7.5" customHeight="1" x14ac:dyDescent="0.25">
      <c r="A76" s="142"/>
      <c r="B76" s="142"/>
      <c r="C76" s="8"/>
      <c r="D76" s="8"/>
      <c r="E76" s="8"/>
      <c r="F76" s="8"/>
      <c r="G76" s="138" t="s">
        <v>9</v>
      </c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s="26" customFormat="1" ht="12" customHeight="1" x14ac:dyDescent="0.2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</row>
    <row r="78" spans="1:36" ht="7.5" customHeight="1" x14ac:dyDescent="0.25">
      <c r="A78" s="137" t="s">
        <v>31</v>
      </c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</row>
    <row r="79" spans="1:36" ht="9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s="26" customFormat="1" ht="12" customHeight="1" x14ac:dyDescent="0.2">
      <c r="A80" s="26" t="s">
        <v>8</v>
      </c>
      <c r="D80" s="35"/>
      <c r="E80" s="35"/>
      <c r="F80" s="35"/>
      <c r="G80" s="35"/>
      <c r="L80" s="27"/>
      <c r="M80" s="38"/>
      <c r="N80" s="38"/>
      <c r="P80" s="139">
        <f>'Данные объект'!B6</f>
        <v>45949</v>
      </c>
      <c r="Q80" s="139"/>
      <c r="R80" s="139"/>
      <c r="S80" s="139"/>
      <c r="T80" s="139"/>
      <c r="U80" s="139"/>
      <c r="V80" s="139"/>
      <c r="W80" s="139"/>
    </row>
    <row r="81" spans="1:36" s="26" customFormat="1" ht="12" customHeight="1" x14ac:dyDescent="0.2">
      <c r="A81" s="26" t="s">
        <v>7</v>
      </c>
      <c r="D81" s="35"/>
      <c r="E81" s="35"/>
      <c r="F81" s="35"/>
      <c r="G81" s="35"/>
      <c r="L81" s="27"/>
      <c r="M81" s="38"/>
      <c r="N81" s="38"/>
      <c r="P81" s="158">
        <f>'Данные объект'!B7</f>
        <v>46219</v>
      </c>
      <c r="Q81" s="158"/>
      <c r="R81" s="158"/>
      <c r="S81" s="158"/>
      <c r="T81" s="158"/>
      <c r="U81" s="158"/>
      <c r="V81" s="158"/>
      <c r="W81" s="158"/>
    </row>
    <row r="82" spans="1:36" ht="7.5" customHeight="1" x14ac:dyDescent="0.25">
      <c r="A82" s="6"/>
      <c r="B82" s="6"/>
      <c r="C82" s="6"/>
      <c r="D82" s="5"/>
      <c r="E82" s="5"/>
      <c r="F82" s="5"/>
      <c r="G82" s="5"/>
    </row>
    <row r="83" spans="1:36" s="26" customFormat="1" ht="12" customHeight="1" x14ac:dyDescent="0.2">
      <c r="A83" s="26" t="s">
        <v>5</v>
      </c>
    </row>
    <row r="84" spans="1:36" s="26" customFormat="1" ht="12" customHeight="1" x14ac:dyDescent="0.2">
      <c r="A84" s="140" t="s">
        <v>108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ht="8.25" customHeight="1" x14ac:dyDescent="0.25">
      <c r="A85" s="137" t="s">
        <v>4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ht="8.25" customHeight="1" x14ac:dyDescent="0.25">
      <c r="A87" s="137" t="s">
        <v>59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s="26" customFormat="1" ht="12" customHeight="1" x14ac:dyDescent="0.2">
      <c r="A88" s="26" t="s">
        <v>3</v>
      </c>
    </row>
    <row r="89" spans="1:36" s="26" customFormat="1" ht="12" customHeight="1" x14ac:dyDescent="0.2">
      <c r="A89" s="135" t="s">
        <v>247</v>
      </c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9" customHeight="1" x14ac:dyDescent="0.25">
      <c r="A90" s="137" t="s">
        <v>32</v>
      </c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</row>
    <row r="91" spans="1:36" s="26" customFormat="1" ht="12" customHeight="1" x14ac:dyDescent="0.2">
      <c r="A91" s="26" t="s">
        <v>2</v>
      </c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</row>
    <row r="92" spans="1:36" ht="6" customHeight="1" x14ac:dyDescent="0.25">
      <c r="D92" s="4"/>
      <c r="E92" s="4"/>
      <c r="F92" s="4"/>
      <c r="G92" s="4"/>
      <c r="H92" s="4"/>
      <c r="I92" s="4"/>
      <c r="J92" s="4"/>
    </row>
    <row r="93" spans="1:36" s="26" customFormat="1" ht="12" customHeight="1" x14ac:dyDescent="0.2">
      <c r="A93" s="26" t="s">
        <v>102</v>
      </c>
      <c r="H93" s="135"/>
      <c r="I93" s="135"/>
      <c r="J93" s="26" t="s">
        <v>33</v>
      </c>
    </row>
    <row r="94" spans="1:36" ht="4.5" customHeight="1" x14ac:dyDescent="0.25"/>
    <row r="95" spans="1:36" s="26" customFormat="1" ht="12" customHeight="1" x14ac:dyDescent="0.2">
      <c r="A95" s="26" t="s">
        <v>1</v>
      </c>
    </row>
    <row r="96" spans="1:36" s="26" customFormat="1" ht="12" customHeight="1" x14ac:dyDescent="0.2">
      <c r="A96" s="31" t="s">
        <v>87</v>
      </c>
      <c r="B96" s="140" t="str">
        <f>G75</f>
        <v>Исполнительная схема раскладки труб в БКТП №4301</v>
      </c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31" t="s">
        <v>76</v>
      </c>
      <c r="R96" s="31" t="s">
        <v>88</v>
      </c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ht="12" hidden="1" customHeight="1" x14ac:dyDescent="0.25">
      <c r="A97" s="23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3"/>
      <c r="R97" s="23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</row>
    <row r="98" spans="1:36" ht="12" hidden="1" customHeight="1" x14ac:dyDescent="0.25">
      <c r="A98" s="25" t="s">
        <v>89</v>
      </c>
      <c r="B98" s="163">
        <f>J70</f>
        <v>0</v>
      </c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25" t="s">
        <v>76</v>
      </c>
      <c r="R98" s="25" t="s">
        <v>88</v>
      </c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</row>
    <row r="99" spans="1:36" ht="12" hidden="1" customHeight="1" x14ac:dyDescent="0.25">
      <c r="A99" s="25" t="s">
        <v>99</v>
      </c>
      <c r="B99" s="163" t="str">
        <f>J71</f>
        <v>(сертификат №                от )</v>
      </c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25" t="s">
        <v>76</v>
      </c>
      <c r="R99" s="25" t="s">
        <v>97</v>
      </c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</row>
    <row r="100" spans="1:36" ht="12" hidden="1" customHeight="1" x14ac:dyDescent="0.25">
      <c r="A100" s="25" t="s">
        <v>100</v>
      </c>
      <c r="B100" s="163" t="str">
        <f>J72</f>
        <v>(сертификат №                от )</v>
      </c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25" t="s">
        <v>76</v>
      </c>
      <c r="R100" s="25" t="s">
        <v>98</v>
      </c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</row>
    <row r="101" spans="1:36" ht="9.75" customHeight="1" x14ac:dyDescent="0.25">
      <c r="A101" s="137" t="s">
        <v>0</v>
      </c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</row>
    <row r="102" spans="1:36" ht="6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26" customFormat="1" ht="12" customHeight="1" x14ac:dyDescent="0.2">
      <c r="A103" s="26" t="s">
        <v>23</v>
      </c>
    </row>
    <row r="104" spans="1:36" s="26" customFormat="1" ht="12" customHeight="1" x14ac:dyDescent="0.2">
      <c r="A104" s="26" t="s">
        <v>24</v>
      </c>
    </row>
    <row r="105" spans="1:36" s="26" customFormat="1" ht="12" customHeight="1" x14ac:dyDescent="0.2">
      <c r="A105" s="135" t="str">
        <f>'Данные объект'!B33</f>
        <v>Алексанян Г.Р.</v>
      </c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135"/>
      <c r="AC105" s="135"/>
      <c r="AD105" s="135"/>
      <c r="AE105" s="135"/>
      <c r="AF105" s="135"/>
      <c r="AG105" s="135"/>
      <c r="AH105" s="135"/>
      <c r="AI105" s="135"/>
      <c r="AJ105" s="135"/>
    </row>
    <row r="106" spans="1:36" ht="9" customHeight="1" x14ac:dyDescent="0.25">
      <c r="A106" s="133" t="s">
        <v>35</v>
      </c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4" t="s">
        <v>34</v>
      </c>
      <c r="AC106" s="134"/>
      <c r="AD106" s="134"/>
      <c r="AE106" s="134"/>
      <c r="AF106" s="134"/>
      <c r="AG106" s="134"/>
      <c r="AH106" s="134"/>
      <c r="AI106" s="134"/>
      <c r="AJ106" s="134"/>
    </row>
    <row r="107" spans="1:36" s="26" customFormat="1" ht="12" customHeight="1" x14ac:dyDescent="0.2">
      <c r="A107" s="26" t="s">
        <v>25</v>
      </c>
    </row>
    <row r="108" spans="1:36" s="26" customFormat="1" ht="12" customHeight="1" x14ac:dyDescent="0.2">
      <c r="A108" s="135" t="str">
        <f>'Данные объект'!B20</f>
        <v>Волков М.Ю.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35"/>
      <c r="AC108" s="135"/>
      <c r="AD108" s="135"/>
      <c r="AE108" s="135"/>
      <c r="AF108" s="135"/>
      <c r="AG108" s="135"/>
      <c r="AH108" s="135"/>
      <c r="AI108" s="135"/>
      <c r="AJ108" s="135"/>
    </row>
    <row r="109" spans="1:36" ht="9" customHeight="1" x14ac:dyDescent="0.25">
      <c r="A109" s="133" t="s">
        <v>35</v>
      </c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 t="s">
        <v>34</v>
      </c>
      <c r="AC109" s="134"/>
      <c r="AD109" s="134"/>
      <c r="AE109" s="134"/>
      <c r="AF109" s="134"/>
      <c r="AG109" s="134"/>
      <c r="AH109" s="134"/>
      <c r="AI109" s="134"/>
      <c r="AJ109" s="134"/>
    </row>
    <row r="110" spans="1:36" s="26" customFormat="1" ht="12" customHeight="1" x14ac:dyDescent="0.2">
      <c r="A110" s="26" t="s">
        <v>27</v>
      </c>
    </row>
    <row r="111" spans="1:36" s="26" customFormat="1" ht="12" customHeight="1" x14ac:dyDescent="0.2">
      <c r="A111" s="26" t="s">
        <v>28</v>
      </c>
    </row>
    <row r="112" spans="1:36" s="26" customFormat="1" ht="12" customHeight="1" x14ac:dyDescent="0.2">
      <c r="A112" s="135" t="str">
        <f>'Данные объект'!B17</f>
        <v>Русин В.А.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135"/>
      <c r="AC112" s="135"/>
      <c r="AD112" s="135"/>
      <c r="AE112" s="135"/>
      <c r="AF112" s="135"/>
      <c r="AG112" s="135"/>
      <c r="AH112" s="135"/>
      <c r="AI112" s="135"/>
      <c r="AJ112" s="135"/>
    </row>
    <row r="113" spans="1:36" ht="9" customHeight="1" x14ac:dyDescent="0.25">
      <c r="A113" s="133" t="s">
        <v>35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4" t="s">
        <v>34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s="101" customFormat="1" ht="11.25" x14ac:dyDescent="0.2">
      <c r="A114" s="26" t="s">
        <v>211</v>
      </c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97"/>
      <c r="AC114" s="97"/>
      <c r="AD114" s="97"/>
      <c r="AE114" s="97"/>
      <c r="AF114" s="97"/>
      <c r="AG114" s="97"/>
      <c r="AH114" s="97"/>
      <c r="AI114" s="97"/>
      <c r="AJ114" s="97"/>
    </row>
    <row r="115" spans="1:36" s="101" customFormat="1" ht="11.25" x14ac:dyDescent="0.2">
      <c r="A115" s="135" t="str">
        <f>'[4]Данные объект'!$B$36</f>
        <v>Курчин М.М.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5"/>
      <c r="AC115" s="135"/>
      <c r="AD115" s="135"/>
      <c r="AE115" s="135"/>
      <c r="AF115" s="135"/>
      <c r="AG115" s="135"/>
      <c r="AH115" s="135"/>
      <c r="AI115" s="135"/>
      <c r="AJ115" s="135"/>
    </row>
    <row r="116" spans="1:36" s="101" customFormat="1" ht="9" customHeight="1" x14ac:dyDescent="0.15">
      <c r="A116" s="133" t="s">
        <v>35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4" t="s">
        <v>34</v>
      </c>
      <c r="AC116" s="134"/>
      <c r="AD116" s="134"/>
      <c r="AE116" s="134"/>
      <c r="AF116" s="134"/>
      <c r="AG116" s="134"/>
      <c r="AH116" s="134"/>
      <c r="AI116" s="134"/>
      <c r="AJ116" s="134"/>
    </row>
    <row r="117" spans="1:36" s="26" customFormat="1" ht="35.25" customHeight="1" x14ac:dyDescent="0.2">
      <c r="A117" s="136" t="s">
        <v>53</v>
      </c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</row>
    <row r="118" spans="1:36" ht="12" customHeight="1" x14ac:dyDescent="0.25">
      <c r="A118" s="155" t="s">
        <v>76</v>
      </c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5" t="s">
        <v>76</v>
      </c>
      <c r="AC118" s="155"/>
      <c r="AD118" s="155"/>
      <c r="AE118" s="155"/>
      <c r="AF118" s="155"/>
      <c r="AG118" s="155"/>
      <c r="AH118" s="155"/>
      <c r="AI118" s="155"/>
      <c r="AJ118" s="155"/>
    </row>
    <row r="119" spans="1:36" ht="9" customHeight="1" x14ac:dyDescent="0.25">
      <c r="A119" s="133" t="s">
        <v>35</v>
      </c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4" t="s">
        <v>34</v>
      </c>
      <c r="AC119" s="134"/>
      <c r="AD119" s="134"/>
      <c r="AE119" s="134"/>
      <c r="AF119" s="134"/>
      <c r="AG119" s="134"/>
      <c r="AH119" s="134"/>
      <c r="AI119" s="134"/>
      <c r="AJ119" s="134"/>
    </row>
    <row r="120" spans="1:36" s="26" customFormat="1" ht="40.5" hidden="1" customHeight="1" x14ac:dyDescent="0.2">
      <c r="A120" s="136" t="s">
        <v>55</v>
      </c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</row>
    <row r="121" spans="1:36" s="26" customFormat="1" ht="12" hidden="1" customHeight="1" x14ac:dyDescent="0.2">
      <c r="A121" s="135" t="e">
        <f>#REF!</f>
        <v>#REF!</v>
      </c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135"/>
      <c r="AC121" s="135"/>
      <c r="AD121" s="135"/>
      <c r="AE121" s="135"/>
      <c r="AF121" s="135"/>
      <c r="AG121" s="135"/>
      <c r="AH121" s="135"/>
      <c r="AI121" s="135"/>
      <c r="AJ121" s="135"/>
    </row>
    <row r="122" spans="1:36" ht="9" hidden="1" customHeight="1" x14ac:dyDescent="0.25">
      <c r="A122" s="133" t="s">
        <v>35</v>
      </c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7"/>
      <c r="Q122" s="17"/>
      <c r="R122" s="17"/>
      <c r="S122" s="17"/>
      <c r="T122" s="17"/>
      <c r="U122" s="16"/>
      <c r="V122" s="16"/>
      <c r="W122" s="16"/>
      <c r="X122" s="16"/>
      <c r="Y122" s="16"/>
      <c r="Z122" s="16"/>
      <c r="AA122" s="16"/>
      <c r="AB122" s="134" t="s">
        <v>34</v>
      </c>
      <c r="AC122" s="134"/>
      <c r="AD122" s="134"/>
      <c r="AE122" s="134"/>
      <c r="AF122" s="134"/>
      <c r="AG122" s="134"/>
      <c r="AH122" s="134"/>
      <c r="AI122" s="134"/>
      <c r="AJ122" s="134"/>
    </row>
    <row r="123" spans="1:36" ht="12" customHeight="1" x14ac:dyDescent="0.25"/>
  </sheetData>
  <mergeCells count="112">
    <mergeCell ref="A4:AJ4"/>
    <mergeCell ref="A5:AJ5"/>
    <mergeCell ref="A6:AJ6"/>
    <mergeCell ref="A7:AJ8"/>
    <mergeCell ref="A9:AJ9"/>
    <mergeCell ref="A10:AJ10"/>
    <mergeCell ref="A18:AJ18"/>
    <mergeCell ref="A19:AJ19"/>
    <mergeCell ref="A20:AJ20"/>
    <mergeCell ref="A21:AJ21"/>
    <mergeCell ref="A23:AJ23"/>
    <mergeCell ref="A24:AJ24"/>
    <mergeCell ref="A11:AJ11"/>
    <mergeCell ref="A12:AJ12"/>
    <mergeCell ref="A13:AJ13"/>
    <mergeCell ref="A14:AJ14"/>
    <mergeCell ref="A16:AJ16"/>
    <mergeCell ref="A17:AJ17"/>
    <mergeCell ref="E33:G33"/>
    <mergeCell ref="AB33:AI33"/>
    <mergeCell ref="AB34:AI34"/>
    <mergeCell ref="A36:AJ36"/>
    <mergeCell ref="A37:AJ37"/>
    <mergeCell ref="A38:AJ38"/>
    <mergeCell ref="A25:AJ25"/>
    <mergeCell ref="A26:AJ26"/>
    <mergeCell ref="A27:AJ27"/>
    <mergeCell ref="A28:AJ28"/>
    <mergeCell ref="A30:AJ30"/>
    <mergeCell ref="A31:AJ31"/>
    <mergeCell ref="A46:AJ46"/>
    <mergeCell ref="A50:AJ50"/>
    <mergeCell ref="A51:AJ51"/>
    <mergeCell ref="A52:AJ52"/>
    <mergeCell ref="A53:AJ53"/>
    <mergeCell ref="A54:AJ54"/>
    <mergeCell ref="A39:AJ39"/>
    <mergeCell ref="A40:AJ40"/>
    <mergeCell ref="A42:AJ42"/>
    <mergeCell ref="A43:AJ43"/>
    <mergeCell ref="A44:AJ44"/>
    <mergeCell ref="A45:AJ45"/>
    <mergeCell ref="A47:AJ47"/>
    <mergeCell ref="A48:AJ48"/>
    <mergeCell ref="A49:AJ49"/>
    <mergeCell ref="A64:AJ64"/>
    <mergeCell ref="A66:AJ66"/>
    <mergeCell ref="A67:AJ67"/>
    <mergeCell ref="P68:AJ68"/>
    <mergeCell ref="P69:AJ69"/>
    <mergeCell ref="A70:F70"/>
    <mergeCell ref="H70:I70"/>
    <mergeCell ref="J70:AE70"/>
    <mergeCell ref="A55:AJ55"/>
    <mergeCell ref="A56:AJ56"/>
    <mergeCell ref="A57:AJ57"/>
    <mergeCell ref="A59:AJ59"/>
    <mergeCell ref="A60:AJ60"/>
    <mergeCell ref="A63:W63"/>
    <mergeCell ref="A73:AJ73"/>
    <mergeCell ref="G75:AJ75"/>
    <mergeCell ref="A76:B76"/>
    <mergeCell ref="G76:AJ76"/>
    <mergeCell ref="A77:AJ77"/>
    <mergeCell ref="A78:AJ78"/>
    <mergeCell ref="A71:F71"/>
    <mergeCell ref="H71:I71"/>
    <mergeCell ref="J71:AE71"/>
    <mergeCell ref="A72:F72"/>
    <mergeCell ref="H72:I72"/>
    <mergeCell ref="J72:AE72"/>
    <mergeCell ref="A89:AJ89"/>
    <mergeCell ref="A90:AJ90"/>
    <mergeCell ref="L91:AJ91"/>
    <mergeCell ref="H93:I93"/>
    <mergeCell ref="B96:P96"/>
    <mergeCell ref="B98:P98"/>
    <mergeCell ref="P80:W80"/>
    <mergeCell ref="P81:W81"/>
    <mergeCell ref="A84:AJ84"/>
    <mergeCell ref="A85:AJ85"/>
    <mergeCell ref="A86:AJ86"/>
    <mergeCell ref="A87:AJ87"/>
    <mergeCell ref="A108:O108"/>
    <mergeCell ref="AB108:AJ108"/>
    <mergeCell ref="A109:O109"/>
    <mergeCell ref="AB109:AJ109"/>
    <mergeCell ref="A112:O112"/>
    <mergeCell ref="AB112:AJ112"/>
    <mergeCell ref="B99:P99"/>
    <mergeCell ref="B100:P100"/>
    <mergeCell ref="A101:AJ101"/>
    <mergeCell ref="A105:O105"/>
    <mergeCell ref="AB105:AJ105"/>
    <mergeCell ref="A106:O106"/>
    <mergeCell ref="AB106:AJ106"/>
    <mergeCell ref="A120:AJ120"/>
    <mergeCell ref="A121:O121"/>
    <mergeCell ref="AB121:AJ121"/>
    <mergeCell ref="A122:O122"/>
    <mergeCell ref="AB122:AJ122"/>
    <mergeCell ref="A113:O113"/>
    <mergeCell ref="AB113:AJ113"/>
    <mergeCell ref="A117:AJ117"/>
    <mergeCell ref="A118:O118"/>
    <mergeCell ref="AB118:AJ118"/>
    <mergeCell ref="A119:O119"/>
    <mergeCell ref="AB119:AJ119"/>
    <mergeCell ref="A115:O115"/>
    <mergeCell ref="AB115:AJ115"/>
    <mergeCell ref="A116:O116"/>
    <mergeCell ref="AB116:AJ116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D9B74-CB2C-4A6C-8C60-597B3256B8C6}">
  <sheetPr>
    <tabColor indexed="57"/>
    <pageSetUpPr fitToPage="1"/>
  </sheetPr>
  <dimension ref="A1:AQ122"/>
  <sheetViews>
    <sheetView view="pageBreakPreview" topLeftCell="A46" zoomScale="125" zoomScaleNormal="125" zoomScaleSheetLayoutView="125" workbookViewId="0">
      <selection activeCell="A63" sqref="A63:W63"/>
    </sheetView>
  </sheetViews>
  <sheetFormatPr defaultColWidth="10.6640625" defaultRowHeight="15" x14ac:dyDescent="0.25"/>
  <cols>
    <col min="1" max="4" width="2.83203125" style="1" customWidth="1"/>
    <col min="5" max="5" width="3.83203125" style="1" customWidth="1"/>
    <col min="6" max="6" width="5.1640625" style="1" customWidth="1"/>
    <col min="7" max="8" width="2.83203125" style="1" customWidth="1"/>
    <col min="9" max="9" width="5.6640625" style="1" customWidth="1"/>
    <col min="10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24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98"/>
      <c r="B32" s="98"/>
      <c r="C32" s="98"/>
      <c r="D32" s="98"/>
      <c r="E32" s="98"/>
      <c r="F32" s="98"/>
      <c r="G32" s="98"/>
      <c r="H32" s="98"/>
      <c r="I32" s="98"/>
      <c r="J32" s="98"/>
    </row>
    <row r="33" spans="1:36" s="26" customFormat="1" ht="12.95" customHeight="1" x14ac:dyDescent="0.2">
      <c r="A33" s="30"/>
      <c r="B33" s="30" t="s">
        <v>18</v>
      </c>
      <c r="C33" s="31">
        <v>21</v>
      </c>
      <c r="D33" s="31"/>
      <c r="E33" s="135" t="s">
        <v>264</v>
      </c>
      <c r="F33" s="135"/>
      <c r="G33" s="135"/>
      <c r="H33" s="32"/>
      <c r="I33" s="32"/>
      <c r="J33" s="32"/>
      <c r="X33" s="27"/>
      <c r="Y33" s="38"/>
      <c r="Z33" s="38"/>
      <c r="AB33" s="139">
        <f>P81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">
        <v>248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108"/>
      <c r="I69" s="108"/>
      <c r="J69" s="108"/>
      <c r="K69" s="108"/>
      <c r="L69" s="108"/>
      <c r="M69" s="108"/>
      <c r="N69" s="108"/>
      <c r="O69" s="108"/>
      <c r="P69" s="170" t="s">
        <v>57</v>
      </c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170"/>
      <c r="AH69" s="170"/>
      <c r="AI69" s="170"/>
      <c r="AJ69" s="170"/>
    </row>
    <row r="70" spans="1:36" s="26" customFormat="1" ht="12" customHeight="1" x14ac:dyDescent="0.2">
      <c r="A70" s="152" t="s">
        <v>255</v>
      </c>
      <c r="B70" s="152"/>
      <c r="C70" s="152"/>
      <c r="D70" s="152"/>
      <c r="E70" s="152"/>
      <c r="F70" s="152"/>
      <c r="G70" s="21" t="s">
        <v>76</v>
      </c>
      <c r="H70" s="171" t="s">
        <v>256</v>
      </c>
      <c r="I70" s="17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34"/>
      <c r="AG70" s="34"/>
      <c r="AH70" s="34"/>
      <c r="AI70" s="34"/>
      <c r="AJ70" s="34"/>
    </row>
    <row r="71" spans="1:36" ht="12" customHeight="1" x14ac:dyDescent="0.25">
      <c r="A71" s="140" t="s">
        <v>249</v>
      </c>
      <c r="B71" s="140"/>
      <c r="C71" s="140"/>
      <c r="D71" s="140"/>
      <c r="E71" s="140"/>
      <c r="F71" s="140"/>
      <c r="G71" s="21" t="s">
        <v>76</v>
      </c>
      <c r="H71" s="167" t="s">
        <v>250</v>
      </c>
      <c r="I71" s="167"/>
      <c r="J71" s="168" t="s">
        <v>253</v>
      </c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8"/>
      <c r="AE71" s="168"/>
      <c r="AF71" s="21"/>
      <c r="AG71" s="21"/>
      <c r="AH71" s="21"/>
      <c r="AI71" s="21"/>
      <c r="AJ71" s="21"/>
    </row>
    <row r="72" spans="1:36" ht="12" customHeight="1" x14ac:dyDescent="0.25">
      <c r="A72" s="140" t="s">
        <v>251</v>
      </c>
      <c r="B72" s="140"/>
      <c r="C72" s="140"/>
      <c r="D72" s="140"/>
      <c r="E72" s="140"/>
      <c r="F72" s="140"/>
      <c r="G72" s="21" t="s">
        <v>76</v>
      </c>
      <c r="H72" s="167" t="s">
        <v>252</v>
      </c>
      <c r="I72" s="167"/>
      <c r="J72" s="168" t="s">
        <v>254</v>
      </c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  <c r="AC72" s="168"/>
      <c r="AD72" s="168"/>
      <c r="AE72" s="168"/>
      <c r="AF72" s="21"/>
      <c r="AG72" s="21"/>
      <c r="AH72" s="21"/>
      <c r="AI72" s="21"/>
      <c r="AJ72" s="21"/>
    </row>
    <row r="73" spans="1:36" ht="18.75" customHeight="1" x14ac:dyDescent="0.25">
      <c r="A73" s="137" t="s">
        <v>58</v>
      </c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s="26" customFormat="1" ht="12" customHeight="1" x14ac:dyDescent="0.2">
      <c r="A74" s="26" t="s">
        <v>11</v>
      </c>
    </row>
    <row r="75" spans="1:36" s="26" customFormat="1" ht="12" customHeight="1" x14ac:dyDescent="0.2">
      <c r="A75" s="26" t="s">
        <v>10</v>
      </c>
      <c r="G75" s="140" t="s">
        <v>258</v>
      </c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7.5" customHeight="1" x14ac:dyDescent="0.25">
      <c r="A76" s="142"/>
      <c r="B76" s="142"/>
      <c r="C76" s="8"/>
      <c r="D76" s="8"/>
      <c r="E76" s="8"/>
      <c r="F76" s="8"/>
      <c r="G76" s="138" t="s">
        <v>9</v>
      </c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s="26" customFormat="1" ht="12" customHeight="1" x14ac:dyDescent="0.2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</row>
    <row r="78" spans="1:36" ht="7.5" customHeight="1" x14ac:dyDescent="0.25">
      <c r="A78" s="137" t="s">
        <v>31</v>
      </c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</row>
    <row r="79" spans="1:36" ht="9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s="26" customFormat="1" ht="12" customHeight="1" x14ac:dyDescent="0.2">
      <c r="A80" s="26" t="s">
        <v>8</v>
      </c>
      <c r="D80" s="35"/>
      <c r="E80" s="35"/>
      <c r="F80" s="35"/>
      <c r="G80" s="35"/>
      <c r="L80" s="27"/>
      <c r="M80" s="38"/>
      <c r="N80" s="38"/>
      <c r="P80" s="139">
        <f>'Данные объект'!B6</f>
        <v>45949</v>
      </c>
      <c r="Q80" s="139"/>
      <c r="R80" s="139"/>
      <c r="S80" s="139"/>
      <c r="T80" s="139"/>
      <c r="U80" s="139"/>
      <c r="V80" s="139"/>
      <c r="W80" s="139"/>
    </row>
    <row r="81" spans="1:36" s="26" customFormat="1" ht="12" customHeight="1" x14ac:dyDescent="0.2">
      <c r="A81" s="26" t="s">
        <v>7</v>
      </c>
      <c r="D81" s="35"/>
      <c r="E81" s="35"/>
      <c r="F81" s="35"/>
      <c r="G81" s="35"/>
      <c r="L81" s="27"/>
      <c r="M81" s="38"/>
      <c r="N81" s="38"/>
      <c r="P81" s="158">
        <f>'Данные объект'!B7</f>
        <v>46219</v>
      </c>
      <c r="Q81" s="158"/>
      <c r="R81" s="158"/>
      <c r="S81" s="158"/>
      <c r="T81" s="158"/>
      <c r="U81" s="158"/>
      <c r="V81" s="158"/>
      <c r="W81" s="158"/>
    </row>
    <row r="82" spans="1:36" ht="7.5" customHeight="1" x14ac:dyDescent="0.25">
      <c r="A82" s="6"/>
      <c r="B82" s="6"/>
      <c r="C82" s="6"/>
      <c r="D82" s="5"/>
      <c r="E82" s="5"/>
      <c r="F82" s="5"/>
      <c r="G82" s="5"/>
    </row>
    <row r="83" spans="1:36" s="26" customFormat="1" ht="12" customHeight="1" x14ac:dyDescent="0.2">
      <c r="A83" s="26" t="s">
        <v>5</v>
      </c>
    </row>
    <row r="84" spans="1:36" s="26" customFormat="1" ht="12" customHeight="1" x14ac:dyDescent="0.2">
      <c r="A84" s="140" t="s">
        <v>108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ht="8.25" customHeight="1" x14ac:dyDescent="0.25">
      <c r="A85" s="137" t="s">
        <v>4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ht="8.25" customHeight="1" x14ac:dyDescent="0.25">
      <c r="A87" s="137" t="s">
        <v>59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s="26" customFormat="1" ht="12" customHeight="1" x14ac:dyDescent="0.2">
      <c r="A88" s="26" t="s">
        <v>3</v>
      </c>
    </row>
    <row r="89" spans="1:36" s="26" customFormat="1" ht="12" customHeight="1" x14ac:dyDescent="0.2">
      <c r="A89" s="135" t="s">
        <v>257</v>
      </c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9" customHeight="1" x14ac:dyDescent="0.25">
      <c r="A90" s="137" t="s">
        <v>32</v>
      </c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</row>
    <row r="91" spans="1:36" s="26" customFormat="1" ht="12" customHeight="1" x14ac:dyDescent="0.2">
      <c r="A91" s="26" t="s">
        <v>2</v>
      </c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</row>
    <row r="92" spans="1:36" ht="6" customHeight="1" x14ac:dyDescent="0.25">
      <c r="D92" s="4"/>
      <c r="E92" s="4"/>
      <c r="F92" s="4"/>
      <c r="G92" s="4"/>
      <c r="H92" s="4"/>
      <c r="I92" s="4"/>
      <c r="J92" s="4"/>
    </row>
    <row r="93" spans="1:36" s="26" customFormat="1" ht="12" customHeight="1" x14ac:dyDescent="0.2">
      <c r="A93" s="26" t="s">
        <v>102</v>
      </c>
      <c r="H93" s="135"/>
      <c r="I93" s="135"/>
      <c r="J93" s="26" t="s">
        <v>33</v>
      </c>
    </row>
    <row r="94" spans="1:36" ht="4.5" customHeight="1" x14ac:dyDescent="0.25"/>
    <row r="95" spans="1:36" s="26" customFormat="1" ht="12" customHeight="1" x14ac:dyDescent="0.2">
      <c r="A95" s="26" t="s">
        <v>1</v>
      </c>
    </row>
    <row r="96" spans="1:36" s="26" customFormat="1" ht="12" customHeight="1" x14ac:dyDescent="0.2">
      <c r="A96" s="31" t="s">
        <v>87</v>
      </c>
      <c r="B96" s="140" t="str">
        <f>G75</f>
        <v xml:space="preserve">Исполнительная схема </v>
      </c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31" t="s">
        <v>76</v>
      </c>
      <c r="R96" s="31" t="s">
        <v>88</v>
      </c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ht="12" customHeight="1" x14ac:dyDescent="0.25">
      <c r="A97" s="25" t="s">
        <v>89</v>
      </c>
      <c r="B97" s="106" t="str">
        <f>J71</f>
        <v>Сертификат качества № 4010317902</v>
      </c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25" t="s">
        <v>76</v>
      </c>
      <c r="R97" s="25" t="s">
        <v>88</v>
      </c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</row>
    <row r="98" spans="1:36" ht="12" customHeight="1" x14ac:dyDescent="0.25">
      <c r="A98" s="25" t="s">
        <v>99</v>
      </c>
      <c r="B98" s="106" t="str">
        <f>J72</f>
        <v>Сертификат качества № 2021244264</v>
      </c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25" t="s">
        <v>76</v>
      </c>
      <c r="R98" s="25" t="s">
        <v>88</v>
      </c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</row>
    <row r="99" spans="1:36" ht="12" customHeight="1" x14ac:dyDescent="0.25"/>
    <row r="100" spans="1:36" ht="9.75" customHeight="1" x14ac:dyDescent="0.25">
      <c r="A100" s="137" t="s">
        <v>0</v>
      </c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  <c r="AH100" s="138"/>
      <c r="AI100" s="138"/>
      <c r="AJ100" s="138"/>
    </row>
    <row r="101" spans="1:36" ht="6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26" customFormat="1" ht="12" customHeight="1" x14ac:dyDescent="0.2">
      <c r="A102" s="26" t="s">
        <v>23</v>
      </c>
    </row>
    <row r="103" spans="1:36" s="26" customFormat="1" ht="12" customHeight="1" x14ac:dyDescent="0.2">
      <c r="A103" s="26" t="s">
        <v>24</v>
      </c>
    </row>
    <row r="104" spans="1:36" s="26" customFormat="1" ht="12" customHeight="1" x14ac:dyDescent="0.2">
      <c r="A104" s="135" t="str">
        <f>'Данные объект'!B33</f>
        <v>Алексанян Г.Р.</v>
      </c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135"/>
      <c r="AC104" s="135"/>
      <c r="AD104" s="135"/>
      <c r="AE104" s="135"/>
      <c r="AF104" s="135"/>
      <c r="AG104" s="135"/>
      <c r="AH104" s="135"/>
      <c r="AI104" s="135"/>
      <c r="AJ104" s="135"/>
    </row>
    <row r="105" spans="1:36" ht="9" customHeight="1" x14ac:dyDescent="0.25">
      <c r="A105" s="133" t="s">
        <v>35</v>
      </c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7"/>
      <c r="Q105" s="17"/>
      <c r="R105" s="17"/>
      <c r="S105" s="17"/>
      <c r="T105" s="17"/>
      <c r="U105" s="16"/>
      <c r="V105" s="16"/>
      <c r="W105" s="16"/>
      <c r="X105" s="16"/>
      <c r="Y105" s="16"/>
      <c r="Z105" s="16"/>
      <c r="AA105" s="16"/>
      <c r="AB105" s="134" t="s">
        <v>34</v>
      </c>
      <c r="AC105" s="134"/>
      <c r="AD105" s="134"/>
      <c r="AE105" s="134"/>
      <c r="AF105" s="134"/>
      <c r="AG105" s="134"/>
      <c r="AH105" s="134"/>
      <c r="AI105" s="134"/>
      <c r="AJ105" s="134"/>
    </row>
    <row r="106" spans="1:36" s="26" customFormat="1" ht="12" customHeight="1" x14ac:dyDescent="0.2">
      <c r="A106" s="26" t="s">
        <v>25</v>
      </c>
    </row>
    <row r="107" spans="1:36" s="26" customFormat="1" ht="12" customHeight="1" x14ac:dyDescent="0.2">
      <c r="A107" s="135" t="str">
        <f>'Данные объект'!B20</f>
        <v>Волков М.Ю.</v>
      </c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135"/>
      <c r="AC107" s="135"/>
      <c r="AD107" s="135"/>
      <c r="AE107" s="135"/>
      <c r="AF107" s="135"/>
      <c r="AG107" s="135"/>
      <c r="AH107" s="135"/>
      <c r="AI107" s="135"/>
      <c r="AJ107" s="135"/>
    </row>
    <row r="108" spans="1:36" ht="9" customHeight="1" x14ac:dyDescent="0.25">
      <c r="A108" s="133" t="s">
        <v>35</v>
      </c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7"/>
      <c r="Q108" s="17"/>
      <c r="R108" s="17"/>
      <c r="S108" s="17"/>
      <c r="T108" s="17"/>
      <c r="U108" s="16"/>
      <c r="V108" s="16"/>
      <c r="W108" s="16"/>
      <c r="X108" s="16"/>
      <c r="Y108" s="16"/>
      <c r="Z108" s="16"/>
      <c r="AA108" s="16"/>
      <c r="AB108" s="134" t="s">
        <v>34</v>
      </c>
      <c r="AC108" s="134"/>
      <c r="AD108" s="134"/>
      <c r="AE108" s="134"/>
      <c r="AF108" s="134"/>
      <c r="AG108" s="134"/>
      <c r="AH108" s="134"/>
      <c r="AI108" s="134"/>
      <c r="AJ108" s="134"/>
    </row>
    <row r="109" spans="1:36" s="26" customFormat="1" ht="12" customHeight="1" x14ac:dyDescent="0.2">
      <c r="A109" s="26" t="s">
        <v>27</v>
      </c>
    </row>
    <row r="110" spans="1:36" s="26" customFormat="1" ht="12" customHeight="1" x14ac:dyDescent="0.2">
      <c r="A110" s="26" t="s">
        <v>28</v>
      </c>
    </row>
    <row r="111" spans="1:36" s="26" customFormat="1" ht="12" customHeight="1" x14ac:dyDescent="0.2">
      <c r="A111" s="135" t="str">
        <f>'Данные объект'!B17</f>
        <v>Русин В.А.</v>
      </c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135"/>
      <c r="AC111" s="135"/>
      <c r="AD111" s="135"/>
      <c r="AE111" s="135"/>
      <c r="AF111" s="135"/>
      <c r="AG111" s="135"/>
      <c r="AH111" s="135"/>
      <c r="AI111" s="135"/>
      <c r="AJ111" s="135"/>
    </row>
    <row r="112" spans="1:36" ht="9" customHeight="1" x14ac:dyDescent="0.25">
      <c r="A112" s="133" t="s">
        <v>35</v>
      </c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4" t="s">
        <v>34</v>
      </c>
      <c r="AC112" s="134"/>
      <c r="AD112" s="134"/>
      <c r="AE112" s="134"/>
      <c r="AF112" s="134"/>
      <c r="AG112" s="134"/>
      <c r="AH112" s="134"/>
      <c r="AI112" s="134"/>
      <c r="AJ112" s="134"/>
    </row>
    <row r="113" spans="1:36" s="101" customFormat="1" ht="11.25" x14ac:dyDescent="0.2">
      <c r="A113" s="26" t="s">
        <v>211</v>
      </c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97"/>
      <c r="AC113" s="97"/>
      <c r="AD113" s="97"/>
      <c r="AE113" s="97"/>
      <c r="AF113" s="97"/>
      <c r="AG113" s="97"/>
      <c r="AH113" s="97"/>
      <c r="AI113" s="97"/>
      <c r="AJ113" s="97"/>
    </row>
    <row r="114" spans="1:36" s="101" customFormat="1" ht="11.25" x14ac:dyDescent="0.2">
      <c r="A114" s="135" t="str">
        <f>'[4]Данные объект'!$B$36</f>
        <v>Курчин М.М.</v>
      </c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135"/>
      <c r="AC114" s="135"/>
      <c r="AD114" s="135"/>
      <c r="AE114" s="135"/>
      <c r="AF114" s="135"/>
      <c r="AG114" s="135"/>
      <c r="AH114" s="135"/>
      <c r="AI114" s="135"/>
      <c r="AJ114" s="135"/>
    </row>
    <row r="115" spans="1:36" s="101" customFormat="1" ht="9" customHeight="1" x14ac:dyDescent="0.15">
      <c r="A115" s="133" t="s">
        <v>35</v>
      </c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4" t="s">
        <v>34</v>
      </c>
      <c r="AC115" s="134"/>
      <c r="AD115" s="134"/>
      <c r="AE115" s="134"/>
      <c r="AF115" s="134"/>
      <c r="AG115" s="134"/>
      <c r="AH115" s="134"/>
      <c r="AI115" s="134"/>
      <c r="AJ115" s="134"/>
    </row>
    <row r="116" spans="1:36" s="26" customFormat="1" ht="35.25" customHeight="1" x14ac:dyDescent="0.2">
      <c r="A116" s="136" t="s">
        <v>53</v>
      </c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</row>
    <row r="117" spans="1:36" ht="12" customHeight="1" x14ac:dyDescent="0.25">
      <c r="A117" s="155" t="s">
        <v>76</v>
      </c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5" t="s">
        <v>76</v>
      </c>
      <c r="AC117" s="155"/>
      <c r="AD117" s="155"/>
      <c r="AE117" s="155"/>
      <c r="AF117" s="155"/>
      <c r="AG117" s="155"/>
      <c r="AH117" s="155"/>
      <c r="AI117" s="155"/>
      <c r="AJ117" s="155"/>
    </row>
    <row r="118" spans="1:36" ht="9" customHeight="1" x14ac:dyDescent="0.25">
      <c r="A118" s="133" t="s">
        <v>35</v>
      </c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7"/>
      <c r="Q118" s="17"/>
      <c r="R118" s="17"/>
      <c r="S118" s="17"/>
      <c r="T118" s="17"/>
      <c r="U118" s="16"/>
      <c r="V118" s="16"/>
      <c r="W118" s="16"/>
      <c r="X118" s="16"/>
      <c r="Y118" s="16"/>
      <c r="Z118" s="16"/>
      <c r="AA118" s="16"/>
      <c r="AB118" s="134" t="s">
        <v>34</v>
      </c>
      <c r="AC118" s="134"/>
      <c r="AD118" s="134"/>
      <c r="AE118" s="134"/>
      <c r="AF118" s="134"/>
      <c r="AG118" s="134"/>
      <c r="AH118" s="134"/>
      <c r="AI118" s="134"/>
      <c r="AJ118" s="134"/>
    </row>
    <row r="119" spans="1:36" s="26" customFormat="1" ht="40.5" hidden="1" customHeight="1" x14ac:dyDescent="0.2">
      <c r="A119" s="136" t="s">
        <v>55</v>
      </c>
      <c r="B119" s="136"/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</row>
    <row r="120" spans="1:36" s="26" customFormat="1" ht="12" hidden="1" customHeight="1" x14ac:dyDescent="0.2">
      <c r="A120" s="135" t="e">
        <f>#REF!</f>
        <v>#REF!</v>
      </c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135"/>
      <c r="AC120" s="135"/>
      <c r="AD120" s="135"/>
      <c r="AE120" s="135"/>
      <c r="AF120" s="135"/>
      <c r="AG120" s="135"/>
      <c r="AH120" s="135"/>
      <c r="AI120" s="135"/>
      <c r="AJ120" s="135"/>
    </row>
    <row r="121" spans="1:36" ht="9" hidden="1" customHeight="1" x14ac:dyDescent="0.25">
      <c r="A121" s="133" t="s">
        <v>35</v>
      </c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7"/>
      <c r="Q121" s="17"/>
      <c r="R121" s="17"/>
      <c r="S121" s="17"/>
      <c r="T121" s="17"/>
      <c r="U121" s="16"/>
      <c r="V121" s="16"/>
      <c r="W121" s="16"/>
      <c r="X121" s="16"/>
      <c r="Y121" s="16"/>
      <c r="Z121" s="16"/>
      <c r="AA121" s="16"/>
      <c r="AB121" s="134" t="s">
        <v>34</v>
      </c>
      <c r="AC121" s="134"/>
      <c r="AD121" s="134"/>
      <c r="AE121" s="134"/>
      <c r="AF121" s="134"/>
      <c r="AG121" s="134"/>
      <c r="AH121" s="134"/>
      <c r="AI121" s="134"/>
      <c r="AJ121" s="134"/>
    </row>
    <row r="122" spans="1:36" ht="12" customHeight="1" x14ac:dyDescent="0.25"/>
  </sheetData>
  <mergeCells count="108">
    <mergeCell ref="A11:AJ11"/>
    <mergeCell ref="A12:AJ12"/>
    <mergeCell ref="A13:AJ13"/>
    <mergeCell ref="A14:AJ14"/>
    <mergeCell ref="A16:AJ16"/>
    <mergeCell ref="A17:AJ17"/>
    <mergeCell ref="A4:AJ4"/>
    <mergeCell ref="A5:AJ5"/>
    <mergeCell ref="A6:AJ6"/>
    <mergeCell ref="A7:AJ8"/>
    <mergeCell ref="A9:AJ9"/>
    <mergeCell ref="A10:AJ10"/>
    <mergeCell ref="A25:AJ25"/>
    <mergeCell ref="A26:AJ26"/>
    <mergeCell ref="A27:AJ27"/>
    <mergeCell ref="A28:AJ28"/>
    <mergeCell ref="A30:AJ30"/>
    <mergeCell ref="A31:AJ31"/>
    <mergeCell ref="A18:AJ18"/>
    <mergeCell ref="A19:AJ19"/>
    <mergeCell ref="A20:AJ20"/>
    <mergeCell ref="A21:AJ21"/>
    <mergeCell ref="A23:AJ23"/>
    <mergeCell ref="A24:AJ24"/>
    <mergeCell ref="A39:AJ39"/>
    <mergeCell ref="A40:AJ40"/>
    <mergeCell ref="A42:AJ42"/>
    <mergeCell ref="A43:AJ43"/>
    <mergeCell ref="A44:AJ44"/>
    <mergeCell ref="A45:AJ45"/>
    <mergeCell ref="E33:G33"/>
    <mergeCell ref="AB33:AI33"/>
    <mergeCell ref="AB34:AI34"/>
    <mergeCell ref="A36:AJ36"/>
    <mergeCell ref="A37:AJ37"/>
    <mergeCell ref="A38:AJ38"/>
    <mergeCell ref="A52:AJ52"/>
    <mergeCell ref="A53:AJ53"/>
    <mergeCell ref="A54:AJ54"/>
    <mergeCell ref="A55:AJ55"/>
    <mergeCell ref="A56:AJ56"/>
    <mergeCell ref="A57:AJ57"/>
    <mergeCell ref="A46:AJ46"/>
    <mergeCell ref="A47:AJ47"/>
    <mergeCell ref="A48:AJ48"/>
    <mergeCell ref="A49:AJ49"/>
    <mergeCell ref="A50:AJ50"/>
    <mergeCell ref="A51:AJ51"/>
    <mergeCell ref="P68:AJ68"/>
    <mergeCell ref="P69:AJ69"/>
    <mergeCell ref="A70:F70"/>
    <mergeCell ref="H70:I70"/>
    <mergeCell ref="A71:F71"/>
    <mergeCell ref="H71:I71"/>
    <mergeCell ref="J71:AE71"/>
    <mergeCell ref="A59:AJ59"/>
    <mergeCell ref="A60:AJ60"/>
    <mergeCell ref="A63:W63"/>
    <mergeCell ref="A64:AJ64"/>
    <mergeCell ref="A66:AJ66"/>
    <mergeCell ref="A67:AJ67"/>
    <mergeCell ref="A77:AJ77"/>
    <mergeCell ref="A78:AJ78"/>
    <mergeCell ref="P80:W80"/>
    <mergeCell ref="P81:W81"/>
    <mergeCell ref="A84:AJ84"/>
    <mergeCell ref="A85:AJ85"/>
    <mergeCell ref="A72:F72"/>
    <mergeCell ref="H72:I72"/>
    <mergeCell ref="J72:AE72"/>
    <mergeCell ref="A73:AJ73"/>
    <mergeCell ref="G75:AJ75"/>
    <mergeCell ref="A76:B76"/>
    <mergeCell ref="G76:AJ76"/>
    <mergeCell ref="B96:P96"/>
    <mergeCell ref="A100:AJ100"/>
    <mergeCell ref="A104:O104"/>
    <mergeCell ref="AB104:AJ104"/>
    <mergeCell ref="A86:AJ86"/>
    <mergeCell ref="A87:AJ87"/>
    <mergeCell ref="A89:AJ89"/>
    <mergeCell ref="A90:AJ90"/>
    <mergeCell ref="L91:AJ91"/>
    <mergeCell ref="H93:I93"/>
    <mergeCell ref="A111:O111"/>
    <mergeCell ref="AB111:AJ111"/>
    <mergeCell ref="A112:O112"/>
    <mergeCell ref="AB112:AJ112"/>
    <mergeCell ref="A114:O114"/>
    <mergeCell ref="AB114:AJ114"/>
    <mergeCell ref="A105:O105"/>
    <mergeCell ref="AB105:AJ105"/>
    <mergeCell ref="A107:O107"/>
    <mergeCell ref="AB107:AJ107"/>
    <mergeCell ref="A108:O108"/>
    <mergeCell ref="AB108:AJ108"/>
    <mergeCell ref="A119:AJ119"/>
    <mergeCell ref="A120:O120"/>
    <mergeCell ref="AB120:AJ120"/>
    <mergeCell ref="A121:O121"/>
    <mergeCell ref="AB121:AJ121"/>
    <mergeCell ref="A115:O115"/>
    <mergeCell ref="AB115:AJ115"/>
    <mergeCell ref="A116:AJ116"/>
    <mergeCell ref="A117:O117"/>
    <mergeCell ref="AB117:AJ117"/>
    <mergeCell ref="A118:O118"/>
    <mergeCell ref="AB118:AJ118"/>
  </mergeCells>
  <pageMargins left="0.78740157480314965" right="0.27559055118110237" top="0.39370078740157483" bottom="0.39370078740157483" header="0" footer="0"/>
  <pageSetup paperSize="9" scale="94" fitToHeight="3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8E2A-BFA7-4548-9DA3-ABC2F3A2C24C}">
  <sheetPr>
    <tabColor indexed="57"/>
    <pageSetUpPr fitToPage="1"/>
  </sheetPr>
  <dimension ref="A1:AQ123"/>
  <sheetViews>
    <sheetView view="pageBreakPreview" topLeftCell="A49" zoomScale="125" zoomScaleNormal="125" zoomScaleSheetLayoutView="125" workbookViewId="0">
      <selection activeCell="AL78" sqref="AL78"/>
    </sheetView>
  </sheetViews>
  <sheetFormatPr defaultColWidth="10.6640625" defaultRowHeight="15" x14ac:dyDescent="0.25"/>
  <cols>
    <col min="1" max="4" width="2.83203125" style="1" customWidth="1"/>
    <col min="5" max="5" width="3.83203125" style="1" customWidth="1"/>
    <col min="6" max="6" width="6.5" style="1" customWidth="1"/>
    <col min="7" max="8" width="2.83203125" style="1" customWidth="1"/>
    <col min="9" max="9" width="5.6640625" style="1" customWidth="1"/>
    <col min="10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43.5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104"/>
      <c r="B32" s="104"/>
      <c r="C32" s="104"/>
      <c r="D32" s="104"/>
      <c r="E32" s="104"/>
      <c r="F32" s="104"/>
      <c r="G32" s="104"/>
      <c r="H32" s="104"/>
      <c r="I32" s="104"/>
      <c r="J32" s="104"/>
    </row>
    <row r="33" spans="1:36" s="26" customFormat="1" ht="12.95" customHeight="1" x14ac:dyDescent="0.2">
      <c r="A33" s="30"/>
      <c r="B33" s="30" t="s">
        <v>18</v>
      </c>
      <c r="C33" s="31">
        <v>23</v>
      </c>
      <c r="D33" s="31"/>
      <c r="E33" s="135" t="s">
        <v>264</v>
      </c>
      <c r="F33" s="135"/>
      <c r="G33" s="135"/>
      <c r="H33" s="32"/>
      <c r="I33" s="32"/>
      <c r="J33" s="32"/>
      <c r="X33" s="27"/>
      <c r="Y33" s="38"/>
      <c r="Z33" s="38"/>
      <c r="AB33" s="139">
        <f>P81</f>
        <v>46219</v>
      </c>
      <c r="AC33" s="139"/>
      <c r="AD33" s="139"/>
      <c r="AE33" s="139"/>
      <c r="AF33" s="139"/>
      <c r="AG33" s="139"/>
      <c r="AH33" s="139"/>
      <c r="AI33" s="139"/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ht="12" customHeight="1" x14ac:dyDescent="0.25">
      <c r="A47" s="144" t="s">
        <v>210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 ht="12" customHeight="1" x14ac:dyDescent="0.25">
      <c r="A48" s="145" t="str">
        <f>'[4]Данные объект'!$C$36</f>
        <v>Мастер СРЭС СЭС филиала ПАО "Россети Московский регион" Курчин М.М.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</row>
    <row r="49" spans="1:36" ht="12" customHeight="1" x14ac:dyDescent="0.25">
      <c r="A49" s="137" t="s">
        <v>26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36.75" customHeight="1" x14ac:dyDescent="0.2">
      <c r="A50" s="136" t="s">
        <v>53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33" customFormat="1" ht="12.95" customHeight="1" x14ac:dyDescent="0.2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29.25" customHeight="1" x14ac:dyDescent="0.25">
      <c r="A52" s="137" t="s">
        <v>54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25.5" hidden="1" customHeight="1" x14ac:dyDescent="0.2">
      <c r="A53" s="136" t="s">
        <v>55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</row>
    <row r="54" spans="1:36" s="26" customFormat="1" ht="12" hidden="1" customHeight="1" x14ac:dyDescent="0.2">
      <c r="A54" s="141" t="e">
        <f>CONCATENATE(#REF!,", ",#REF!," - ",#REF!)</f>
        <v>#REF!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</row>
    <row r="55" spans="1:36" ht="9.75" hidden="1" customHeight="1" x14ac:dyDescent="0.25">
      <c r="A55" s="137" t="s">
        <v>29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</row>
    <row r="56" spans="1:36" s="26" customFormat="1" ht="12" hidden="1" customHeight="1" x14ac:dyDescent="0.2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</row>
    <row r="57" spans="1:36" ht="16.5" hidden="1" customHeight="1" x14ac:dyDescent="0.25">
      <c r="A57" s="137" t="s">
        <v>56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</row>
    <row r="58" spans="1:36" s="26" customFormat="1" ht="12" customHeight="1" x14ac:dyDescent="0.2">
      <c r="A58" s="26" t="s">
        <v>16</v>
      </c>
    </row>
    <row r="59" spans="1:36" s="26" customFormat="1" ht="12.95" customHeight="1" x14ac:dyDescent="0.2">
      <c r="A59" s="135" t="str">
        <f>'Данные объект'!B11</f>
        <v>ООО"Энергосистемы"</v>
      </c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spans="1:36" ht="10.5" customHeight="1" x14ac:dyDescent="0.25">
      <c r="A60" s="133" t="s">
        <v>40</v>
      </c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</row>
    <row r="61" spans="1:36" s="26" customFormat="1" ht="12" customHeight="1" x14ac:dyDescent="0.2">
      <c r="A61" s="26" t="s">
        <v>15</v>
      </c>
    </row>
    <row r="62" spans="1:36" s="26" customFormat="1" ht="12" customHeight="1" x14ac:dyDescent="0.2">
      <c r="A62" s="26" t="s">
        <v>30</v>
      </c>
    </row>
    <row r="63" spans="1:36" s="26" customFormat="1" ht="12" customHeight="1" x14ac:dyDescent="0.2">
      <c r="A63" s="143" t="s">
        <v>277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</row>
    <row r="64" spans="1:36" ht="8.25" customHeight="1" x14ac:dyDescent="0.25">
      <c r="A64" s="137" t="s">
        <v>14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13</v>
      </c>
    </row>
    <row r="66" spans="1:36" s="26" customFormat="1" ht="12" customHeight="1" x14ac:dyDescent="0.2">
      <c r="A66" s="141" t="str">
        <f>'Данные объект'!B40</f>
        <v>4980-325834-216-09/24</v>
      </c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</row>
    <row r="67" spans="1:36" ht="15" customHeight="1" x14ac:dyDescent="0.25">
      <c r="A67" s="137" t="s">
        <v>41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</row>
    <row r="68" spans="1:36" s="26" customFormat="1" ht="12" customHeight="1" x14ac:dyDescent="0.2">
      <c r="A68" s="26" t="s">
        <v>12</v>
      </c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</row>
    <row r="69" spans="1:36" s="2" customFormat="1" ht="7.5" customHeight="1" x14ac:dyDescent="0.2">
      <c r="A69" s="9"/>
      <c r="B69" s="9"/>
      <c r="C69" s="9"/>
      <c r="D69" s="9"/>
      <c r="E69" s="9"/>
      <c r="F69" s="9"/>
      <c r="G69" s="9"/>
      <c r="H69" s="108"/>
      <c r="I69" s="108"/>
      <c r="J69" s="108"/>
      <c r="K69" s="108"/>
      <c r="L69" s="108"/>
      <c r="M69" s="108"/>
      <c r="N69" s="108"/>
      <c r="O69" s="108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170"/>
      <c r="AH69" s="170"/>
      <c r="AI69" s="170"/>
      <c r="AJ69" s="170"/>
    </row>
    <row r="70" spans="1:36" s="26" customFormat="1" ht="12" customHeight="1" x14ac:dyDescent="0.2">
      <c r="A70" s="152" t="s">
        <v>274</v>
      </c>
      <c r="B70" s="152"/>
      <c r="C70" s="152"/>
      <c r="D70" s="152"/>
      <c r="E70" s="152"/>
      <c r="F70" s="152"/>
      <c r="G70" s="21" t="s">
        <v>76</v>
      </c>
      <c r="H70" s="171" t="s">
        <v>276</v>
      </c>
      <c r="I70" s="171"/>
      <c r="J70" s="161" t="s">
        <v>275</v>
      </c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34"/>
      <c r="AG70" s="34"/>
      <c r="AH70" s="34"/>
      <c r="AI70" s="34"/>
      <c r="AJ70" s="34"/>
    </row>
    <row r="71" spans="1:36" ht="12" hidden="1" customHeight="1" x14ac:dyDescent="0.25">
      <c r="A71" s="140" t="s">
        <v>259</v>
      </c>
      <c r="B71" s="140"/>
      <c r="C71" s="140"/>
      <c r="D71" s="140"/>
      <c r="E71" s="140"/>
      <c r="F71" s="140"/>
      <c r="G71" s="21" t="s">
        <v>76</v>
      </c>
      <c r="H71" s="167" t="s">
        <v>260</v>
      </c>
      <c r="I71" s="167"/>
      <c r="J71" s="168" t="s">
        <v>262</v>
      </c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8"/>
      <c r="AE71" s="168"/>
      <c r="AF71" s="21"/>
      <c r="AG71" s="21"/>
      <c r="AH71" s="21"/>
      <c r="AI71" s="21"/>
      <c r="AJ71" s="21"/>
    </row>
    <row r="72" spans="1:36" ht="12" hidden="1" customHeight="1" x14ac:dyDescent="0.25">
      <c r="A72" s="140" t="s">
        <v>261</v>
      </c>
      <c r="B72" s="140"/>
      <c r="C72" s="140"/>
      <c r="D72" s="140"/>
      <c r="E72" s="140"/>
      <c r="F72" s="140"/>
      <c r="G72" s="21" t="s">
        <v>76</v>
      </c>
      <c r="H72" s="167" t="s">
        <v>190</v>
      </c>
      <c r="I72" s="167"/>
      <c r="J72" s="168" t="s">
        <v>263</v>
      </c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  <c r="AC72" s="168"/>
      <c r="AD72" s="168"/>
      <c r="AE72" s="168"/>
      <c r="AF72" s="21"/>
      <c r="AG72" s="21"/>
      <c r="AH72" s="21"/>
      <c r="AI72" s="21"/>
      <c r="AJ72" s="21"/>
    </row>
    <row r="73" spans="1:36" ht="18.75" customHeight="1" x14ac:dyDescent="0.25">
      <c r="A73" s="137" t="s">
        <v>58</v>
      </c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s="26" customFormat="1" ht="12" customHeight="1" x14ac:dyDescent="0.2">
      <c r="A74" s="26" t="s">
        <v>11</v>
      </c>
    </row>
    <row r="75" spans="1:36" s="26" customFormat="1" ht="12" customHeight="1" x14ac:dyDescent="0.2">
      <c r="A75" s="26" t="s">
        <v>10</v>
      </c>
      <c r="G75" s="140" t="s">
        <v>278</v>
      </c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</row>
    <row r="76" spans="1:36" ht="7.5" customHeight="1" x14ac:dyDescent="0.25">
      <c r="A76" s="142"/>
      <c r="B76" s="142"/>
      <c r="C76" s="8"/>
      <c r="D76" s="8"/>
      <c r="E76" s="8"/>
      <c r="F76" s="8"/>
      <c r="G76" s="138" t="s">
        <v>9</v>
      </c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spans="1:36" s="26" customFormat="1" ht="12" customHeight="1" x14ac:dyDescent="0.2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</row>
    <row r="78" spans="1:36" ht="7.5" customHeight="1" x14ac:dyDescent="0.25">
      <c r="A78" s="137" t="s">
        <v>31</v>
      </c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</row>
    <row r="79" spans="1:36" ht="9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s="26" customFormat="1" ht="12" customHeight="1" x14ac:dyDescent="0.2">
      <c r="A80" s="26" t="s">
        <v>8</v>
      </c>
      <c r="D80" s="35"/>
      <c r="E80" s="35"/>
      <c r="F80" s="35"/>
      <c r="G80" s="35"/>
      <c r="L80" s="27"/>
      <c r="M80" s="38"/>
      <c r="N80" s="38"/>
      <c r="P80" s="139">
        <f>'Данные объект'!B6</f>
        <v>45949</v>
      </c>
      <c r="Q80" s="139"/>
      <c r="R80" s="139"/>
      <c r="S80" s="139"/>
      <c r="T80" s="139"/>
      <c r="U80" s="139"/>
      <c r="V80" s="139"/>
      <c r="W80" s="139"/>
    </row>
    <row r="81" spans="1:36" s="26" customFormat="1" ht="12" customHeight="1" x14ac:dyDescent="0.2">
      <c r="A81" s="26" t="s">
        <v>7</v>
      </c>
      <c r="D81" s="35"/>
      <c r="E81" s="35"/>
      <c r="F81" s="35"/>
      <c r="G81" s="35"/>
      <c r="L81" s="27"/>
      <c r="M81" s="38"/>
      <c r="N81" s="38"/>
      <c r="P81" s="158">
        <f>'Данные объект'!B7</f>
        <v>46219</v>
      </c>
      <c r="Q81" s="158"/>
      <c r="R81" s="158"/>
      <c r="S81" s="158"/>
      <c r="T81" s="158"/>
      <c r="U81" s="158"/>
      <c r="V81" s="158"/>
      <c r="W81" s="158"/>
    </row>
    <row r="82" spans="1:36" ht="7.5" customHeight="1" x14ac:dyDescent="0.25">
      <c r="A82" s="6"/>
      <c r="B82" s="6"/>
      <c r="C82" s="6"/>
      <c r="D82" s="5"/>
      <c r="E82" s="5"/>
      <c r="F82" s="5"/>
      <c r="G82" s="5"/>
    </row>
    <row r="83" spans="1:36" s="26" customFormat="1" ht="12" customHeight="1" x14ac:dyDescent="0.2">
      <c r="A83" s="26" t="s">
        <v>5</v>
      </c>
    </row>
    <row r="84" spans="1:36" s="26" customFormat="1" ht="12" customHeight="1" x14ac:dyDescent="0.2">
      <c r="A84" s="140" t="s">
        <v>108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</row>
    <row r="85" spans="1:36" ht="8.25" customHeight="1" x14ac:dyDescent="0.25">
      <c r="A85" s="137" t="s">
        <v>4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s="26" customFormat="1" ht="12" customHeight="1" x14ac:dyDescent="0.2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ht="8.25" customHeight="1" x14ac:dyDescent="0.25">
      <c r="A87" s="137" t="s">
        <v>59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s="26" customFormat="1" ht="12" customHeight="1" x14ac:dyDescent="0.2">
      <c r="A88" s="26" t="s">
        <v>3</v>
      </c>
    </row>
    <row r="89" spans="1:36" s="26" customFormat="1" ht="12" customHeight="1" x14ac:dyDescent="0.2">
      <c r="A89" s="135" t="s">
        <v>257</v>
      </c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</row>
    <row r="90" spans="1:36" ht="9" customHeight="1" x14ac:dyDescent="0.25">
      <c r="A90" s="137" t="s">
        <v>32</v>
      </c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</row>
    <row r="91" spans="1:36" s="26" customFormat="1" ht="12" customHeight="1" x14ac:dyDescent="0.2">
      <c r="A91" s="26" t="s">
        <v>2</v>
      </c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</row>
    <row r="92" spans="1:36" ht="6" customHeight="1" x14ac:dyDescent="0.25">
      <c r="D92" s="4"/>
      <c r="E92" s="4"/>
      <c r="F92" s="4"/>
      <c r="G92" s="4"/>
      <c r="H92" s="4"/>
      <c r="I92" s="4"/>
      <c r="J92" s="4"/>
    </row>
    <row r="93" spans="1:36" s="26" customFormat="1" ht="12" customHeight="1" x14ac:dyDescent="0.2">
      <c r="A93" s="26" t="s">
        <v>102</v>
      </c>
      <c r="H93" s="135"/>
      <c r="I93" s="135"/>
      <c r="J93" s="26" t="s">
        <v>33</v>
      </c>
    </row>
    <row r="94" spans="1:36" ht="4.5" customHeight="1" x14ac:dyDescent="0.25"/>
    <row r="95" spans="1:36" s="26" customFormat="1" ht="12" customHeight="1" x14ac:dyDescent="0.2">
      <c r="A95" s="26" t="s">
        <v>1</v>
      </c>
      <c r="Q95" s="109"/>
      <c r="R95" s="109"/>
      <c r="S95" s="109"/>
      <c r="T95" s="109"/>
    </row>
    <row r="96" spans="1:36" s="26" customFormat="1" ht="12" customHeight="1" x14ac:dyDescent="0.2">
      <c r="A96" s="31" t="s">
        <v>87</v>
      </c>
      <c r="B96" s="140" t="str">
        <f>G75</f>
        <v>Исполнительная схема глубинных заземлителей</v>
      </c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31" t="s">
        <v>76</v>
      </c>
      <c r="R96" s="31" t="s">
        <v>88</v>
      </c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ht="12" customHeight="1" x14ac:dyDescent="0.25">
      <c r="A97" s="25" t="s">
        <v>89</v>
      </c>
      <c r="B97" s="151" t="str">
        <f>J70</f>
        <v>Сертификат качества № УП-00011617Т от 24.02.2024г</v>
      </c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37" t="s">
        <v>76</v>
      </c>
      <c r="R97" s="37" t="s">
        <v>88</v>
      </c>
      <c r="S97" s="37"/>
      <c r="T97" s="37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</row>
    <row r="98" spans="1:36" ht="12" hidden="1" customHeight="1" x14ac:dyDescent="0.25">
      <c r="A98" s="25" t="s">
        <v>99</v>
      </c>
      <c r="B98" s="140" t="str">
        <f>J71</f>
        <v>Сертификат качества № 2060647170</v>
      </c>
      <c r="C98" s="140"/>
      <c r="D98" s="140"/>
      <c r="E98" s="140"/>
      <c r="F98" s="140"/>
      <c r="G98" s="140"/>
      <c r="H98" s="140"/>
      <c r="I98" s="140"/>
      <c r="J98" s="140"/>
      <c r="K98" s="140"/>
      <c r="L98" s="105"/>
      <c r="M98" s="106"/>
      <c r="N98" s="106"/>
      <c r="O98" s="106"/>
      <c r="P98" s="106"/>
      <c r="Q98" s="37" t="s">
        <v>76</v>
      </c>
      <c r="R98" s="37" t="s">
        <v>88</v>
      </c>
      <c r="S98" s="37"/>
      <c r="T98" s="37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</row>
    <row r="99" spans="1:36" ht="12" hidden="1" customHeight="1" x14ac:dyDescent="0.25">
      <c r="A99" s="25" t="s">
        <v>100</v>
      </c>
      <c r="B99" s="140" t="str">
        <f>J72</f>
        <v>Сертификат качества № 2022877070</v>
      </c>
      <c r="C99" s="140"/>
      <c r="D99" s="140"/>
      <c r="E99" s="140"/>
      <c r="F99" s="140"/>
      <c r="G99" s="140"/>
      <c r="H99" s="140"/>
      <c r="I99" s="140"/>
      <c r="J99" s="140"/>
      <c r="K99" s="140"/>
      <c r="L99" s="105"/>
      <c r="M99" s="106"/>
      <c r="N99" s="106"/>
      <c r="O99" s="106"/>
      <c r="P99" s="106"/>
      <c r="Q99" s="37" t="s">
        <v>76</v>
      </c>
      <c r="R99" s="37" t="s">
        <v>88</v>
      </c>
      <c r="S99" s="37"/>
      <c r="T99" s="37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</row>
    <row r="100" spans="1:36" ht="12" customHeight="1" x14ac:dyDescent="0.25"/>
    <row r="101" spans="1:36" ht="9.75" customHeight="1" x14ac:dyDescent="0.25">
      <c r="A101" s="137" t="s">
        <v>0</v>
      </c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</row>
    <row r="102" spans="1:36" ht="6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26" customFormat="1" ht="12" customHeight="1" x14ac:dyDescent="0.2">
      <c r="A103" s="26" t="s">
        <v>23</v>
      </c>
    </row>
    <row r="104" spans="1:36" s="26" customFormat="1" ht="12" customHeight="1" x14ac:dyDescent="0.2">
      <c r="A104" s="26" t="s">
        <v>24</v>
      </c>
    </row>
    <row r="105" spans="1:36" s="26" customFormat="1" ht="12" customHeight="1" x14ac:dyDescent="0.2">
      <c r="A105" s="135" t="str">
        <f>'Данные объект'!B33</f>
        <v>Алексанян Г.Р.</v>
      </c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135"/>
      <c r="AC105" s="135"/>
      <c r="AD105" s="135"/>
      <c r="AE105" s="135"/>
      <c r="AF105" s="135"/>
      <c r="AG105" s="135"/>
      <c r="AH105" s="135"/>
      <c r="AI105" s="135"/>
      <c r="AJ105" s="135"/>
    </row>
    <row r="106" spans="1:36" ht="9" customHeight="1" x14ac:dyDescent="0.25">
      <c r="A106" s="133" t="s">
        <v>35</v>
      </c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7"/>
      <c r="Q106" s="17"/>
      <c r="R106" s="17"/>
      <c r="S106" s="17"/>
      <c r="T106" s="17"/>
      <c r="U106" s="16"/>
      <c r="V106" s="16"/>
      <c r="W106" s="16"/>
      <c r="X106" s="16"/>
      <c r="Y106" s="16"/>
      <c r="Z106" s="16"/>
      <c r="AA106" s="16"/>
      <c r="AB106" s="134" t="s">
        <v>34</v>
      </c>
      <c r="AC106" s="134"/>
      <c r="AD106" s="134"/>
      <c r="AE106" s="134"/>
      <c r="AF106" s="134"/>
      <c r="AG106" s="134"/>
      <c r="AH106" s="134"/>
      <c r="AI106" s="134"/>
      <c r="AJ106" s="134"/>
    </row>
    <row r="107" spans="1:36" s="26" customFormat="1" ht="12" customHeight="1" x14ac:dyDescent="0.2">
      <c r="A107" s="26" t="s">
        <v>25</v>
      </c>
    </row>
    <row r="108" spans="1:36" s="26" customFormat="1" ht="12" customHeight="1" x14ac:dyDescent="0.2">
      <c r="A108" s="135" t="str">
        <f>'Данные объект'!B20</f>
        <v>Волков М.Ю.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35"/>
      <c r="AC108" s="135"/>
      <c r="AD108" s="135"/>
      <c r="AE108" s="135"/>
      <c r="AF108" s="135"/>
      <c r="AG108" s="135"/>
      <c r="AH108" s="135"/>
      <c r="AI108" s="135"/>
      <c r="AJ108" s="135"/>
    </row>
    <row r="109" spans="1:36" ht="9" customHeight="1" x14ac:dyDescent="0.25">
      <c r="A109" s="133" t="s">
        <v>35</v>
      </c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 t="s">
        <v>34</v>
      </c>
      <c r="AC109" s="134"/>
      <c r="AD109" s="134"/>
      <c r="AE109" s="134"/>
      <c r="AF109" s="134"/>
      <c r="AG109" s="134"/>
      <c r="AH109" s="134"/>
      <c r="AI109" s="134"/>
      <c r="AJ109" s="134"/>
    </row>
    <row r="110" spans="1:36" s="26" customFormat="1" ht="12" customHeight="1" x14ac:dyDescent="0.2">
      <c r="A110" s="26" t="s">
        <v>27</v>
      </c>
    </row>
    <row r="111" spans="1:36" s="26" customFormat="1" ht="12" customHeight="1" x14ac:dyDescent="0.2">
      <c r="A111" s="26" t="s">
        <v>28</v>
      </c>
    </row>
    <row r="112" spans="1:36" s="26" customFormat="1" ht="12" customHeight="1" x14ac:dyDescent="0.2">
      <c r="A112" s="135" t="str">
        <f>'Данные объект'!B17</f>
        <v>Русин В.А.</v>
      </c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135"/>
      <c r="AC112" s="135"/>
      <c r="AD112" s="135"/>
      <c r="AE112" s="135"/>
      <c r="AF112" s="135"/>
      <c r="AG112" s="135"/>
      <c r="AH112" s="135"/>
      <c r="AI112" s="135"/>
      <c r="AJ112" s="135"/>
    </row>
    <row r="113" spans="1:36" ht="9" customHeight="1" x14ac:dyDescent="0.25">
      <c r="A113" s="133" t="s">
        <v>35</v>
      </c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7"/>
      <c r="Q113" s="17"/>
      <c r="R113" s="17"/>
      <c r="S113" s="17"/>
      <c r="T113" s="17"/>
      <c r="U113" s="16"/>
      <c r="V113" s="16"/>
      <c r="W113" s="16"/>
      <c r="X113" s="16"/>
      <c r="Y113" s="16"/>
      <c r="Z113" s="16"/>
      <c r="AA113" s="16"/>
      <c r="AB113" s="134" t="s">
        <v>34</v>
      </c>
      <c r="AC113" s="134"/>
      <c r="AD113" s="134"/>
      <c r="AE113" s="134"/>
      <c r="AF113" s="134"/>
      <c r="AG113" s="134"/>
      <c r="AH113" s="134"/>
      <c r="AI113" s="134"/>
      <c r="AJ113" s="134"/>
    </row>
    <row r="114" spans="1:36" s="101" customFormat="1" ht="11.25" x14ac:dyDescent="0.2">
      <c r="A114" s="26" t="s">
        <v>211</v>
      </c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7"/>
      <c r="Q114" s="17"/>
      <c r="R114" s="17"/>
      <c r="S114" s="17"/>
      <c r="T114" s="17"/>
      <c r="U114" s="16"/>
      <c r="V114" s="16"/>
      <c r="W114" s="16"/>
      <c r="X114" s="16"/>
      <c r="Y114" s="16"/>
      <c r="Z114" s="16"/>
      <c r="AA114" s="16"/>
      <c r="AB114" s="103"/>
      <c r="AC114" s="103"/>
      <c r="AD114" s="103"/>
      <c r="AE114" s="103"/>
      <c r="AF114" s="103"/>
      <c r="AG114" s="103"/>
      <c r="AH114" s="103"/>
      <c r="AI114" s="103"/>
      <c r="AJ114" s="103"/>
    </row>
    <row r="115" spans="1:36" s="101" customFormat="1" ht="11.25" x14ac:dyDescent="0.2">
      <c r="A115" s="135" t="str">
        <f>'[4]Данные объект'!$B$36</f>
        <v>Курчин М.М.</v>
      </c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5"/>
      <c r="AC115" s="135"/>
      <c r="AD115" s="135"/>
      <c r="AE115" s="135"/>
      <c r="AF115" s="135"/>
      <c r="AG115" s="135"/>
      <c r="AH115" s="135"/>
      <c r="AI115" s="135"/>
      <c r="AJ115" s="135"/>
    </row>
    <row r="116" spans="1:36" s="101" customFormat="1" ht="9" customHeight="1" x14ac:dyDescent="0.15">
      <c r="A116" s="133" t="s">
        <v>35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7"/>
      <c r="Q116" s="17"/>
      <c r="R116" s="17"/>
      <c r="S116" s="17"/>
      <c r="T116" s="17"/>
      <c r="U116" s="16"/>
      <c r="V116" s="16"/>
      <c r="W116" s="16"/>
      <c r="X116" s="16"/>
      <c r="Y116" s="16"/>
      <c r="Z116" s="16"/>
      <c r="AA116" s="16"/>
      <c r="AB116" s="134" t="s">
        <v>34</v>
      </c>
      <c r="AC116" s="134"/>
      <c r="AD116" s="134"/>
      <c r="AE116" s="134"/>
      <c r="AF116" s="134"/>
      <c r="AG116" s="134"/>
      <c r="AH116" s="134"/>
      <c r="AI116" s="134"/>
      <c r="AJ116" s="134"/>
    </row>
    <row r="117" spans="1:36" s="26" customFormat="1" ht="35.25" customHeight="1" x14ac:dyDescent="0.2">
      <c r="A117" s="136" t="s">
        <v>53</v>
      </c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</row>
    <row r="118" spans="1:36" ht="12" customHeight="1" x14ac:dyDescent="0.25">
      <c r="A118" s="155" t="s">
        <v>76</v>
      </c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5" t="s">
        <v>76</v>
      </c>
      <c r="AC118" s="155"/>
      <c r="AD118" s="155"/>
      <c r="AE118" s="155"/>
      <c r="AF118" s="155"/>
      <c r="AG118" s="155"/>
      <c r="AH118" s="155"/>
      <c r="AI118" s="155"/>
      <c r="AJ118" s="155"/>
    </row>
    <row r="119" spans="1:36" ht="9" customHeight="1" x14ac:dyDescent="0.25">
      <c r="A119" s="133" t="s">
        <v>35</v>
      </c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7"/>
      <c r="Q119" s="17"/>
      <c r="R119" s="17"/>
      <c r="S119" s="17"/>
      <c r="T119" s="17"/>
      <c r="U119" s="16"/>
      <c r="V119" s="16"/>
      <c r="W119" s="16"/>
      <c r="X119" s="16"/>
      <c r="Y119" s="16"/>
      <c r="Z119" s="16"/>
      <c r="AA119" s="16"/>
      <c r="AB119" s="134" t="s">
        <v>34</v>
      </c>
      <c r="AC119" s="134"/>
      <c r="AD119" s="134"/>
      <c r="AE119" s="134"/>
      <c r="AF119" s="134"/>
      <c r="AG119" s="134"/>
      <c r="AH119" s="134"/>
      <c r="AI119" s="134"/>
      <c r="AJ119" s="134"/>
    </row>
    <row r="120" spans="1:36" s="26" customFormat="1" ht="40.5" hidden="1" customHeight="1" x14ac:dyDescent="0.2">
      <c r="A120" s="136" t="s">
        <v>55</v>
      </c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</row>
    <row r="121" spans="1:36" s="26" customFormat="1" ht="12" hidden="1" customHeight="1" x14ac:dyDescent="0.2">
      <c r="A121" s="135" t="e">
        <f>#REF!</f>
        <v>#REF!</v>
      </c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135"/>
      <c r="AC121" s="135"/>
      <c r="AD121" s="135"/>
      <c r="AE121" s="135"/>
      <c r="AF121" s="135"/>
      <c r="AG121" s="135"/>
      <c r="AH121" s="135"/>
      <c r="AI121" s="135"/>
      <c r="AJ121" s="135"/>
    </row>
    <row r="122" spans="1:36" ht="9" hidden="1" customHeight="1" x14ac:dyDescent="0.25">
      <c r="A122" s="133" t="s">
        <v>35</v>
      </c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7"/>
      <c r="Q122" s="17"/>
      <c r="R122" s="17"/>
      <c r="S122" s="17"/>
      <c r="T122" s="17"/>
      <c r="U122" s="16"/>
      <c r="V122" s="16"/>
      <c r="W122" s="16"/>
      <c r="X122" s="16"/>
      <c r="Y122" s="16"/>
      <c r="Z122" s="16"/>
      <c r="AA122" s="16"/>
      <c r="AB122" s="134" t="s">
        <v>34</v>
      </c>
      <c r="AC122" s="134"/>
      <c r="AD122" s="134"/>
      <c r="AE122" s="134"/>
      <c r="AF122" s="134"/>
      <c r="AG122" s="134"/>
      <c r="AH122" s="134"/>
      <c r="AI122" s="134"/>
      <c r="AJ122" s="134"/>
    </row>
    <row r="123" spans="1:36" ht="12" customHeight="1" x14ac:dyDescent="0.25"/>
  </sheetData>
  <mergeCells count="112">
    <mergeCell ref="A121:O121"/>
    <mergeCell ref="AB121:AJ121"/>
    <mergeCell ref="A122:O122"/>
    <mergeCell ref="AB122:AJ122"/>
    <mergeCell ref="J70:AE70"/>
    <mergeCell ref="A117:AJ117"/>
    <mergeCell ref="A118:O118"/>
    <mergeCell ref="AB118:AJ118"/>
    <mergeCell ref="A119:O119"/>
    <mergeCell ref="AB119:AJ119"/>
    <mergeCell ref="A120:AJ120"/>
    <mergeCell ref="A113:O113"/>
    <mergeCell ref="AB113:AJ113"/>
    <mergeCell ref="A115:O115"/>
    <mergeCell ref="AB115:AJ115"/>
    <mergeCell ref="A116:O116"/>
    <mergeCell ref="AB116:AJ116"/>
    <mergeCell ref="A108:O108"/>
    <mergeCell ref="AB108:AJ108"/>
    <mergeCell ref="A109:O109"/>
    <mergeCell ref="AB109:AJ109"/>
    <mergeCell ref="A112:O112"/>
    <mergeCell ref="AB112:AJ112"/>
    <mergeCell ref="B96:P96"/>
    <mergeCell ref="A101:AJ101"/>
    <mergeCell ref="A105:O105"/>
    <mergeCell ref="AB105:AJ105"/>
    <mergeCell ref="A106:O106"/>
    <mergeCell ref="AB106:AJ106"/>
    <mergeCell ref="A86:AJ86"/>
    <mergeCell ref="A87:AJ87"/>
    <mergeCell ref="A89:AJ89"/>
    <mergeCell ref="A90:AJ90"/>
    <mergeCell ref="L91:AJ91"/>
    <mergeCell ref="H93:I93"/>
    <mergeCell ref="B98:K98"/>
    <mergeCell ref="B99:K99"/>
    <mergeCell ref="B97:P97"/>
    <mergeCell ref="A77:AJ77"/>
    <mergeCell ref="A78:AJ78"/>
    <mergeCell ref="P80:W80"/>
    <mergeCell ref="P81:W81"/>
    <mergeCell ref="A84:AJ84"/>
    <mergeCell ref="A85:AJ85"/>
    <mergeCell ref="A72:F72"/>
    <mergeCell ref="H72:I72"/>
    <mergeCell ref="J72:AE72"/>
    <mergeCell ref="A73:AJ73"/>
    <mergeCell ref="G75:AJ75"/>
    <mergeCell ref="A76:B76"/>
    <mergeCell ref="G76:AJ76"/>
    <mergeCell ref="P68:AJ68"/>
    <mergeCell ref="P69:AJ69"/>
    <mergeCell ref="A70:F70"/>
    <mergeCell ref="H70:I70"/>
    <mergeCell ref="A71:F71"/>
    <mergeCell ref="H71:I71"/>
    <mergeCell ref="J71:AE71"/>
    <mergeCell ref="A59:AJ59"/>
    <mergeCell ref="A60:AJ60"/>
    <mergeCell ref="A63:W63"/>
    <mergeCell ref="A64:AJ64"/>
    <mergeCell ref="A66:AJ66"/>
    <mergeCell ref="A67:AJ67"/>
    <mergeCell ref="A52:AJ52"/>
    <mergeCell ref="A53:AJ53"/>
    <mergeCell ref="A54:AJ54"/>
    <mergeCell ref="A55:AJ55"/>
    <mergeCell ref="A56:AJ56"/>
    <mergeCell ref="A57:AJ57"/>
    <mergeCell ref="A46:AJ46"/>
    <mergeCell ref="A47:AJ47"/>
    <mergeCell ref="A48:AJ48"/>
    <mergeCell ref="A49:AJ49"/>
    <mergeCell ref="A50:AJ50"/>
    <mergeCell ref="A51:AJ51"/>
    <mergeCell ref="A39:AJ39"/>
    <mergeCell ref="A40:AJ40"/>
    <mergeCell ref="A42:AJ42"/>
    <mergeCell ref="A43:AJ43"/>
    <mergeCell ref="A44:AJ44"/>
    <mergeCell ref="A45:AJ45"/>
    <mergeCell ref="E33:G33"/>
    <mergeCell ref="AB33:AI33"/>
    <mergeCell ref="AB34:AI34"/>
    <mergeCell ref="A36:AJ36"/>
    <mergeCell ref="A37:AJ37"/>
    <mergeCell ref="A38:AJ38"/>
    <mergeCell ref="A25:AJ25"/>
    <mergeCell ref="A26:AJ26"/>
    <mergeCell ref="A27:AJ27"/>
    <mergeCell ref="A28:AJ28"/>
    <mergeCell ref="A30:AJ30"/>
    <mergeCell ref="A31:AJ31"/>
    <mergeCell ref="A18:AJ18"/>
    <mergeCell ref="A19:AJ19"/>
    <mergeCell ref="A20:AJ20"/>
    <mergeCell ref="A21:AJ21"/>
    <mergeCell ref="A23:AJ23"/>
    <mergeCell ref="A24:AJ24"/>
    <mergeCell ref="A11:AJ11"/>
    <mergeCell ref="A12:AJ12"/>
    <mergeCell ref="A13:AJ13"/>
    <mergeCell ref="A14:AJ14"/>
    <mergeCell ref="A16:AJ16"/>
    <mergeCell ref="A17:AJ17"/>
    <mergeCell ref="A4:AJ4"/>
    <mergeCell ref="A5:AJ5"/>
    <mergeCell ref="A6:AJ6"/>
    <mergeCell ref="A7:AJ8"/>
    <mergeCell ref="A9:AJ9"/>
    <mergeCell ref="A10:AJ10"/>
  </mergeCells>
  <pageMargins left="0.78740157480314965" right="0.27559055118110237" top="0.39370078740157483" bottom="0.39370078740157483" header="0" footer="0"/>
  <pageSetup paperSize="9" scale="93" fitToHeight="3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AQ116"/>
  <sheetViews>
    <sheetView view="pageBreakPreview" topLeftCell="A55" zoomScale="125" zoomScaleNormal="125" zoomScaleSheetLayoutView="125" workbookViewId="0">
      <selection activeCell="AU77" sqref="AU77"/>
    </sheetView>
  </sheetViews>
  <sheetFormatPr defaultColWidth="10.6640625" defaultRowHeight="15" x14ac:dyDescent="0.25"/>
  <cols>
    <col min="1" max="6" width="2.83203125" style="1" customWidth="1"/>
    <col min="7" max="7" width="6.33203125" style="1" customWidth="1"/>
    <col min="8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s="26" customFormat="1" ht="12.75" customHeight="1" x14ac:dyDescent="0.2">
      <c r="AJ1" s="27" t="s">
        <v>43</v>
      </c>
    </row>
    <row r="2" spans="1:43" s="26" customFormat="1" ht="11.25" customHeight="1" x14ac:dyDescent="0.2">
      <c r="AJ2" s="27" t="s">
        <v>42</v>
      </c>
    </row>
    <row r="3" spans="1:43" s="26" customFormat="1" ht="14.25" customHeight="1" x14ac:dyDescent="0.2">
      <c r="A3" s="26" t="s">
        <v>21</v>
      </c>
      <c r="AJ3" s="28"/>
      <c r="AK3" s="28"/>
      <c r="AL3" s="28"/>
      <c r="AM3" s="28"/>
      <c r="AN3" s="28"/>
      <c r="AO3" s="28"/>
      <c r="AP3" s="28"/>
      <c r="AQ3" s="28"/>
    </row>
    <row r="4" spans="1:43" s="26" customFormat="1" ht="24" customHeight="1" x14ac:dyDescent="0.2">
      <c r="A4" s="141" t="str">
        <f>'Данные объект'!B3</f>
        <v>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</row>
    <row r="5" spans="1:43" s="26" customFormat="1" ht="12" customHeight="1" x14ac:dyDescent="0.2">
      <c r="A5" s="146" t="str">
        <f>'Данные объект'!B9</f>
        <v>2БРП №171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</row>
    <row r="6" spans="1:43" ht="18.75" customHeight="1" x14ac:dyDescent="0.25">
      <c r="A6" s="137" t="s">
        <v>37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</row>
    <row r="7" spans="1:43" s="26" customFormat="1" ht="12.75" customHeight="1" x14ac:dyDescent="0.2">
      <c r="A7" s="144" t="s">
        <v>44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43" s="26" customFormat="1" ht="12" customHeight="1" x14ac:dyDescent="0.2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43" s="26" customFormat="1" ht="12" customHeight="1" x14ac:dyDescent="0.2">
      <c r="A9" s="146" t="str">
        <f>'Данные объект'!B23</f>
        <v>ПАО "Россети Московский регион"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</row>
    <row r="10" spans="1:43" ht="19.5" customHeight="1" x14ac:dyDescent="0.25">
      <c r="A10" s="137" t="s">
        <v>60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</row>
    <row r="11" spans="1:43" s="26" customFormat="1" ht="12" customHeight="1" x14ac:dyDescent="0.2">
      <c r="A11" s="146" t="str">
        <f>'Данные объект'!B24</f>
        <v>ОГРН 1057746555811 ИНН 5036065113 КПП 772501001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</row>
    <row r="12" spans="1:43" ht="28.5" customHeight="1" x14ac:dyDescent="0.25">
      <c r="A12" s="137" t="s">
        <v>61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</row>
    <row r="13" spans="1:43" s="26" customFormat="1" ht="12" customHeight="1" x14ac:dyDescent="0.2">
      <c r="A13" s="146" t="str">
        <f>'Данные объект'!B25</f>
        <v>115114, город Москва, проезд Павелецкий 2-й, дом 3, строение 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</row>
    <row r="14" spans="1:43" ht="11.25" customHeight="1" x14ac:dyDescent="0.25">
      <c r="A14" s="137" t="s">
        <v>45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</row>
    <row r="15" spans="1:43" s="26" customFormat="1" ht="12" customHeight="1" x14ac:dyDescent="0.2">
      <c r="A15" s="26" t="s">
        <v>22</v>
      </c>
    </row>
    <row r="16" spans="1:43" s="26" customFormat="1" ht="12" customHeight="1" x14ac:dyDescent="0.2">
      <c r="A16" s="146" t="str">
        <f>'Данные объект'!B11</f>
        <v>ООО"Энергосистемы"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</row>
    <row r="17" spans="1:36" ht="9.75" customHeight="1" x14ac:dyDescent="0.25">
      <c r="A17" s="137" t="s">
        <v>39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</row>
    <row r="18" spans="1:36" s="26" customFormat="1" ht="12" customHeight="1" x14ac:dyDescent="0.2">
      <c r="A18" s="146" t="str">
        <f>'Данные объект'!B12</f>
        <v>ОГРН 1135044003709  ИНН 5044089069 КПП 504401001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</row>
    <row r="19" spans="1:36" ht="8.25" customHeight="1" x14ac:dyDescent="0.25">
      <c r="A19" s="137" t="s">
        <v>46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</row>
    <row r="20" spans="1:36" s="26" customFormat="1" ht="12" customHeight="1" x14ac:dyDescent="0.2">
      <c r="A20" s="146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</row>
    <row r="21" spans="1:36" ht="27" customHeight="1" x14ac:dyDescent="0.25">
      <c r="A21" s="137" t="s">
        <v>62</v>
      </c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</row>
    <row r="22" spans="1:36" s="26" customFormat="1" ht="12" customHeight="1" x14ac:dyDescent="0.2">
      <c r="A22" s="26" t="s">
        <v>20</v>
      </c>
    </row>
    <row r="23" spans="1:36" s="26" customFormat="1" ht="12" customHeight="1" x14ac:dyDescent="0.2">
      <c r="A23" s="146" t="str">
        <f>'Данные объект'!B36</f>
        <v>ООО"Энергосистемы"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</row>
    <row r="24" spans="1:36" ht="7.5" customHeight="1" x14ac:dyDescent="0.25">
      <c r="A24" s="137" t="s">
        <v>38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</row>
    <row r="25" spans="1:36" s="26" customFormat="1" ht="12" customHeight="1" x14ac:dyDescent="0.2">
      <c r="A25" s="146" t="str">
        <f>'Данные объект'!B37</f>
        <v>ОГРН 1135044003709  ИНН 5044089069 КПП 504401001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</row>
    <row r="26" spans="1:36" ht="7.5" customHeight="1" x14ac:dyDescent="0.25">
      <c r="A26" s="137" t="s">
        <v>63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</row>
    <row r="27" spans="1:36" s="26" customFormat="1" ht="12" customHeight="1" x14ac:dyDescent="0.2">
      <c r="A27" s="146" t="str">
        <f>'Данные объект'!B38</f>
        <v xml:space="preserve">141508, Московская область, г.о. Солнечногорск, г. Солнечногорск, ул. Промышленная, стр. 5, помещение 179
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</row>
    <row r="28" spans="1:36" ht="22.5" customHeight="1" x14ac:dyDescent="0.25">
      <c r="A28" s="137" t="s">
        <v>47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</row>
    <row r="29" spans="1:36" ht="12.95" customHeight="1" x14ac:dyDescent="0.25">
      <c r="A29" s="2"/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36" s="26" customFormat="1" ht="12.95" customHeight="1" x14ac:dyDescent="0.2">
      <c r="A30" s="147" t="s">
        <v>36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</row>
    <row r="31" spans="1:36" s="26" customFormat="1" ht="12.95" customHeight="1" x14ac:dyDescent="0.2">
      <c r="A31" s="150" t="s">
        <v>19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</row>
    <row r="32" spans="1:36" s="26" customFormat="1" ht="12.9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36" s="26" customFormat="1" ht="12.95" customHeight="1" x14ac:dyDescent="0.2">
      <c r="A33" s="30"/>
      <c r="B33" s="30" t="s">
        <v>18</v>
      </c>
      <c r="C33" s="31">
        <f>'АОСР-8'!C33+1</f>
        <v>15</v>
      </c>
      <c r="D33" s="31"/>
      <c r="E33" s="135" t="s">
        <v>175</v>
      </c>
      <c r="F33" s="135"/>
      <c r="G33" s="135"/>
      <c r="H33" s="32"/>
      <c r="I33" s="32"/>
      <c r="J33" s="32"/>
      <c r="X33" s="27"/>
      <c r="Y33" s="38"/>
      <c r="Z33" s="38"/>
      <c r="AB33" s="139">
        <f>'Данные объект'!B7</f>
        <v>46219</v>
      </c>
      <c r="AC33" s="139"/>
      <c r="AD33" s="139"/>
      <c r="AE33" s="139"/>
      <c r="AF33" s="139"/>
      <c r="AG33" s="139"/>
      <c r="AH33" s="139"/>
      <c r="AI33" s="139"/>
      <c r="AJ33" s="26" t="s">
        <v>6</v>
      </c>
    </row>
    <row r="34" spans="1:36" ht="12.95" customHeight="1" x14ac:dyDescent="0.25">
      <c r="Y34" s="11"/>
      <c r="Z34" s="14"/>
      <c r="AA34" s="11"/>
      <c r="AB34" s="148" t="s">
        <v>17</v>
      </c>
      <c r="AC34" s="148"/>
      <c r="AD34" s="148"/>
      <c r="AE34" s="148"/>
      <c r="AF34" s="148"/>
      <c r="AG34" s="148"/>
      <c r="AH34" s="148"/>
      <c r="AI34" s="148"/>
    </row>
    <row r="35" spans="1:36" ht="11.25" customHeight="1" x14ac:dyDescent="0.25"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6" s="26" customFormat="1" ht="27.75" customHeight="1" x14ac:dyDescent="0.2">
      <c r="A36" s="144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 s="26" customFormat="1" ht="24.75" customHeight="1" x14ac:dyDescent="0.2">
      <c r="A37" s="141" t="str">
        <f>'Данные объект'!C34</f>
        <v>Гл. специалист ССК УКС ПАО "Россети Московский регион" Алексанян Г.Р..Приказ №2363 от 29 июля 2025г (НРС С-50-069023)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28.5" customHeight="1" x14ac:dyDescent="0.25">
      <c r="A38" s="137" t="s">
        <v>49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</row>
    <row r="39" spans="1:36" s="26" customFormat="1" ht="23.25" customHeight="1" x14ac:dyDescent="0.2">
      <c r="A39" s="141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</row>
    <row r="40" spans="1:36" ht="25.5" customHeight="1" x14ac:dyDescent="0.25">
      <c r="A40" s="149" t="s">
        <v>50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</row>
    <row r="41" spans="1:36" s="26" customFormat="1" ht="12" customHeight="1" x14ac:dyDescent="0.2">
      <c r="A41" s="26" t="s">
        <v>25</v>
      </c>
    </row>
    <row r="42" spans="1:36" s="26" customFormat="1" ht="12" customHeight="1" x14ac:dyDescent="0.2">
      <c r="A42" s="146" t="str">
        <f>'Данные объект'!C21</f>
        <v>Прораб ООО"Энергосистемы" Волков М.Ю..Приказ №05-ОТ/24 от 09 января 2024г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</row>
    <row r="43" spans="1:36" ht="9" customHeight="1" x14ac:dyDescent="0.25">
      <c r="A43" s="137" t="s">
        <v>26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</row>
    <row r="44" spans="1:36" s="26" customFormat="1" ht="14.25" customHeight="1" x14ac:dyDescent="0.2">
      <c r="A44" s="144" t="s">
        <v>51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 s="33" customFormat="1" ht="23.25" customHeight="1" x14ac:dyDescent="0.2">
      <c r="A45" s="141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</row>
    <row r="46" spans="1:36" ht="30" customHeight="1" x14ac:dyDescent="0.25">
      <c r="A46" s="137" t="s">
        <v>52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</row>
    <row r="47" spans="1:36" s="26" customFormat="1" ht="36.75" customHeight="1" x14ac:dyDescent="0.2">
      <c r="A47" s="136" t="s">
        <v>53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</row>
    <row r="48" spans="1:36" s="33" customFormat="1" ht="12.95" customHeight="1" x14ac:dyDescent="0.2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</row>
    <row r="49" spans="1:36" ht="29.25" customHeight="1" x14ac:dyDescent="0.25">
      <c r="A49" s="137" t="s">
        <v>54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</row>
    <row r="50" spans="1:36" s="26" customFormat="1" ht="25.5" hidden="1" customHeight="1" x14ac:dyDescent="0.2">
      <c r="A50" s="136" t="s">
        <v>55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</row>
    <row r="51" spans="1:36" s="26" customFormat="1" ht="12" hidden="1" customHeight="1" x14ac:dyDescent="0.2">
      <c r="A51" s="141" t="e">
        <f>CONCATENATE(#REF!,", ",#REF!," - ",#REF!)</f>
        <v>#REF!</v>
      </c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</row>
    <row r="52" spans="1:36" ht="9.75" hidden="1" customHeight="1" x14ac:dyDescent="0.25">
      <c r="A52" s="137" t="s">
        <v>29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</row>
    <row r="53" spans="1:36" s="26" customFormat="1" ht="12" hidden="1" customHeight="1" x14ac:dyDescent="0.2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</row>
    <row r="54" spans="1:36" ht="16.5" hidden="1" customHeight="1" x14ac:dyDescent="0.25">
      <c r="A54" s="137" t="s">
        <v>56</v>
      </c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</row>
    <row r="55" spans="1:36" s="26" customFormat="1" ht="12" customHeight="1" x14ac:dyDescent="0.2">
      <c r="A55" s="26" t="s">
        <v>16</v>
      </c>
    </row>
    <row r="56" spans="1:36" s="26" customFormat="1" ht="12.95" customHeight="1" x14ac:dyDescent="0.2">
      <c r="A56" s="135" t="str">
        <f>'Данные объект'!B11</f>
        <v>ООО"Энергосистемы"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</row>
    <row r="57" spans="1:36" ht="10.5" customHeight="1" x14ac:dyDescent="0.25">
      <c r="A57" s="133" t="s">
        <v>40</v>
      </c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</row>
    <row r="58" spans="1:36" s="26" customFormat="1" ht="12" customHeight="1" x14ac:dyDescent="0.2">
      <c r="A58" s="26" t="s">
        <v>15</v>
      </c>
    </row>
    <row r="59" spans="1:36" s="26" customFormat="1" ht="12" customHeight="1" x14ac:dyDescent="0.2">
      <c r="A59" s="26" t="s">
        <v>30</v>
      </c>
    </row>
    <row r="60" spans="1:36" s="26" customFormat="1" ht="12" customHeight="1" x14ac:dyDescent="0.2">
      <c r="A60" s="143" t="s">
        <v>171</v>
      </c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1" t="str">
        <f>'Данные объект'!B9</f>
        <v>2БРП №171</v>
      </c>
      <c r="R60" s="141"/>
      <c r="S60" s="141"/>
      <c r="T60" s="141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</row>
    <row r="61" spans="1:36" ht="8.25" customHeight="1" x14ac:dyDescent="0.25">
      <c r="A61" s="137" t="s">
        <v>14</v>
      </c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</row>
    <row r="62" spans="1:36" s="26" customFormat="1" ht="12" customHeight="1" x14ac:dyDescent="0.2">
      <c r="A62" s="26" t="s">
        <v>13</v>
      </c>
    </row>
    <row r="63" spans="1:36" s="26" customFormat="1" ht="12" customHeight="1" x14ac:dyDescent="0.2">
      <c r="A63" s="141" t="str">
        <f>'Данные объект'!B40</f>
        <v>4980-325834-216-09/24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</row>
    <row r="64" spans="1:36" ht="15" customHeight="1" x14ac:dyDescent="0.25">
      <c r="A64" s="137" t="s">
        <v>41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</row>
    <row r="65" spans="1:36" s="26" customFormat="1" ht="12" customHeight="1" x14ac:dyDescent="0.2">
      <c r="A65" s="26" t="s">
        <v>12</v>
      </c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</row>
    <row r="66" spans="1:36" s="2" customFormat="1" ht="7.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134" t="s">
        <v>57</v>
      </c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</row>
    <row r="67" spans="1:36" s="26" customFormat="1" ht="12" customHeight="1" x14ac:dyDescent="0.2">
      <c r="A67" s="166" t="s">
        <v>165</v>
      </c>
      <c r="B67" s="166"/>
      <c r="C67" s="166"/>
      <c r="D67" s="166"/>
      <c r="E67" s="166"/>
      <c r="F67" s="166"/>
      <c r="G67" s="34" t="s">
        <v>76</v>
      </c>
      <c r="H67" s="165" t="s">
        <v>188</v>
      </c>
      <c r="I67" s="165"/>
      <c r="J67" s="152" t="s">
        <v>164</v>
      </c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34"/>
      <c r="AG67" s="34"/>
      <c r="AH67" s="34"/>
      <c r="AI67" s="34"/>
      <c r="AJ67" s="34"/>
    </row>
    <row r="68" spans="1:36" ht="12" customHeight="1" x14ac:dyDescent="0.25">
      <c r="A68" s="166" t="s">
        <v>172</v>
      </c>
      <c r="B68" s="166"/>
      <c r="C68" s="166"/>
      <c r="D68" s="166"/>
      <c r="E68" s="166"/>
      <c r="F68" s="166"/>
      <c r="G68" s="34" t="s">
        <v>76</v>
      </c>
      <c r="H68" s="165" t="s">
        <v>189</v>
      </c>
      <c r="I68" s="165"/>
      <c r="J68" s="152" t="s">
        <v>164</v>
      </c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21"/>
      <c r="AG68" s="21"/>
      <c r="AH68" s="21"/>
      <c r="AI68" s="21"/>
      <c r="AJ68" s="21"/>
    </row>
    <row r="69" spans="1:36" ht="12" customHeight="1" x14ac:dyDescent="0.25">
      <c r="A69" s="166" t="s">
        <v>173</v>
      </c>
      <c r="B69" s="166"/>
      <c r="C69" s="166"/>
      <c r="D69" s="166"/>
      <c r="E69" s="166"/>
      <c r="F69" s="166"/>
      <c r="G69" s="34" t="s">
        <v>76</v>
      </c>
      <c r="H69" s="165" t="s">
        <v>190</v>
      </c>
      <c r="I69" s="165"/>
      <c r="J69" s="152" t="s">
        <v>164</v>
      </c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21"/>
      <c r="AG69" s="21"/>
      <c r="AH69" s="21"/>
      <c r="AI69" s="21"/>
      <c r="AJ69" s="21"/>
    </row>
    <row r="70" spans="1:36" ht="18.75" customHeight="1" x14ac:dyDescent="0.25">
      <c r="A70" s="137" t="s">
        <v>58</v>
      </c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</row>
    <row r="71" spans="1:36" s="26" customFormat="1" ht="12" customHeight="1" x14ac:dyDescent="0.2">
      <c r="A71" s="26" t="s">
        <v>11</v>
      </c>
    </row>
    <row r="72" spans="1:36" s="26" customFormat="1" ht="12" customHeight="1" x14ac:dyDescent="0.2">
      <c r="A72" s="26" t="s">
        <v>10</v>
      </c>
      <c r="G72" s="140" t="s">
        <v>199</v>
      </c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  <c r="AJ72" s="140"/>
    </row>
    <row r="73" spans="1:36" ht="7.5" customHeight="1" x14ac:dyDescent="0.25">
      <c r="A73" s="142"/>
      <c r="B73" s="142"/>
      <c r="C73" s="8"/>
      <c r="D73" s="8"/>
      <c r="E73" s="8"/>
      <c r="F73" s="8"/>
      <c r="G73" s="138" t="s">
        <v>9</v>
      </c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spans="1:36" s="26" customFormat="1" ht="12" customHeight="1" x14ac:dyDescent="0.2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</row>
    <row r="75" spans="1:36" ht="7.5" customHeight="1" x14ac:dyDescent="0.25">
      <c r="A75" s="137" t="s">
        <v>31</v>
      </c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</row>
    <row r="76" spans="1:36" ht="9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s="26" customFormat="1" ht="12" customHeight="1" x14ac:dyDescent="0.2">
      <c r="A77" s="26" t="s">
        <v>8</v>
      </c>
      <c r="D77" s="35"/>
      <c r="E77" s="35"/>
      <c r="F77" s="35"/>
      <c r="G77" s="35"/>
      <c r="L77" s="27"/>
      <c r="M77" s="38"/>
      <c r="N77" s="38"/>
      <c r="P77" s="139">
        <f>'Данные объект'!B6</f>
        <v>45949</v>
      </c>
      <c r="Q77" s="139"/>
      <c r="R77" s="139"/>
      <c r="S77" s="139"/>
      <c r="T77" s="139"/>
      <c r="U77" s="139"/>
      <c r="V77" s="139"/>
      <c r="W77" s="139"/>
      <c r="X77" s="26" t="s">
        <v>6</v>
      </c>
    </row>
    <row r="78" spans="1:36" s="26" customFormat="1" ht="12" customHeight="1" x14ac:dyDescent="0.2">
      <c r="A78" s="26" t="s">
        <v>7</v>
      </c>
      <c r="D78" s="35"/>
      <c r="E78" s="35"/>
      <c r="F78" s="35"/>
      <c r="G78" s="35"/>
      <c r="L78" s="27"/>
      <c r="M78" s="38"/>
      <c r="N78" s="38"/>
      <c r="P78" s="158">
        <f>'Данные объект'!B7</f>
        <v>46219</v>
      </c>
      <c r="Q78" s="158"/>
      <c r="R78" s="158"/>
      <c r="S78" s="158"/>
      <c r="T78" s="158"/>
      <c r="U78" s="158"/>
      <c r="V78" s="158"/>
      <c r="W78" s="158"/>
      <c r="X78" s="26" t="s">
        <v>6</v>
      </c>
    </row>
    <row r="79" spans="1:36" ht="7.5" customHeight="1" x14ac:dyDescent="0.25">
      <c r="A79" s="6"/>
      <c r="B79" s="6"/>
      <c r="C79" s="6"/>
      <c r="D79" s="5"/>
      <c r="E79" s="5"/>
      <c r="F79" s="5"/>
      <c r="G79" s="5"/>
    </row>
    <row r="80" spans="1:36" s="26" customFormat="1" ht="12" customHeight="1" x14ac:dyDescent="0.2">
      <c r="A80" s="26" t="s">
        <v>5</v>
      </c>
    </row>
    <row r="81" spans="1:36" s="26" customFormat="1" ht="12" customHeight="1" x14ac:dyDescent="0.2">
      <c r="A81" s="140" t="s">
        <v>108</v>
      </c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  <c r="AJ81" s="140"/>
    </row>
    <row r="82" spans="1:36" ht="8.25" customHeight="1" x14ac:dyDescent="0.25">
      <c r="A82" s="137" t="s">
        <v>4</v>
      </c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</row>
    <row r="83" spans="1:36" s="26" customFormat="1" ht="12" customHeight="1" x14ac:dyDescent="0.2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</row>
    <row r="84" spans="1:36" ht="8.25" customHeight="1" x14ac:dyDescent="0.25">
      <c r="A84" s="137" t="s">
        <v>59</v>
      </c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</row>
    <row r="85" spans="1:36" s="26" customFormat="1" ht="12" customHeight="1" x14ac:dyDescent="0.2">
      <c r="A85" s="26" t="s">
        <v>3</v>
      </c>
    </row>
    <row r="86" spans="1:36" s="26" customFormat="1" ht="12" customHeight="1" x14ac:dyDescent="0.2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ht="9" customHeight="1" x14ac:dyDescent="0.25">
      <c r="A87" s="137" t="s">
        <v>32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s="26" customFormat="1" ht="12" customHeight="1" x14ac:dyDescent="0.2">
      <c r="A88" s="26" t="s">
        <v>2</v>
      </c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</row>
    <row r="89" spans="1:36" ht="6" customHeight="1" x14ac:dyDescent="0.25">
      <c r="D89" s="4"/>
      <c r="E89" s="4"/>
      <c r="F89" s="4"/>
      <c r="G89" s="4"/>
      <c r="H89" s="4"/>
      <c r="I89" s="4"/>
      <c r="J89" s="4"/>
    </row>
    <row r="90" spans="1:36" s="26" customFormat="1" ht="12" customHeight="1" x14ac:dyDescent="0.2">
      <c r="A90" s="26" t="s">
        <v>102</v>
      </c>
      <c r="H90" s="135"/>
      <c r="I90" s="135"/>
      <c r="J90" s="26" t="s">
        <v>33</v>
      </c>
    </row>
    <row r="91" spans="1:36" ht="4.5" customHeight="1" x14ac:dyDescent="0.25"/>
    <row r="92" spans="1:36" s="26" customFormat="1" ht="12" customHeight="1" x14ac:dyDescent="0.2">
      <c r="A92" s="26" t="s">
        <v>1</v>
      </c>
    </row>
    <row r="93" spans="1:36" s="26" customFormat="1" ht="12" customHeight="1" x14ac:dyDescent="0.2">
      <c r="A93" s="31" t="s">
        <v>87</v>
      </c>
      <c r="B93" s="140" t="str">
        <f>G72</f>
        <v>Исполнительная схема конструкции площадки обслуживания БКТП №544</v>
      </c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31" t="s">
        <v>76</v>
      </c>
      <c r="W93" s="31" t="s">
        <v>88</v>
      </c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spans="1:36" s="26" customFormat="1" ht="12" customHeight="1" x14ac:dyDescent="0.2">
      <c r="A94" s="37" t="s">
        <v>89</v>
      </c>
      <c r="B94" s="151" t="str">
        <f>J67</f>
        <v>Сертификат №</v>
      </c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37" t="s">
        <v>76</v>
      </c>
      <c r="R94" s="37" t="s">
        <v>88</v>
      </c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</row>
    <row r="95" spans="1:36" s="26" customFormat="1" ht="12" customHeight="1" x14ac:dyDescent="0.2">
      <c r="A95" s="37" t="s">
        <v>99</v>
      </c>
      <c r="B95" s="151" t="str">
        <f>J68</f>
        <v>Сертификат №</v>
      </c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37" t="s">
        <v>76</v>
      </c>
      <c r="R95" s="37" t="s">
        <v>97</v>
      </c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</row>
    <row r="96" spans="1:36" s="26" customFormat="1" ht="12" customHeight="1" x14ac:dyDescent="0.2">
      <c r="A96" s="37" t="s">
        <v>100</v>
      </c>
      <c r="B96" s="151" t="str">
        <f>J69</f>
        <v>Сертификат №</v>
      </c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37" t="s">
        <v>76</v>
      </c>
      <c r="R96" s="37" t="s">
        <v>98</v>
      </c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</row>
    <row r="97" spans="1:36" ht="9.75" customHeight="1" x14ac:dyDescent="0.25">
      <c r="A97" s="137" t="s">
        <v>0</v>
      </c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38"/>
      <c r="AI97" s="138"/>
      <c r="AJ97" s="138"/>
    </row>
    <row r="98" spans="1:36" ht="6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26" customFormat="1" ht="12" customHeight="1" x14ac:dyDescent="0.2">
      <c r="A99" s="26" t="s">
        <v>23</v>
      </c>
    </row>
    <row r="100" spans="1:36" s="26" customFormat="1" ht="12" customHeight="1" x14ac:dyDescent="0.2">
      <c r="A100" s="26" t="s">
        <v>24</v>
      </c>
    </row>
    <row r="101" spans="1:36" s="26" customFormat="1" ht="12" customHeight="1" x14ac:dyDescent="0.2">
      <c r="A101" s="135" t="str">
        <f>'Данные объект'!B33</f>
        <v>Алексанян Г.Р.</v>
      </c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135"/>
      <c r="AC101" s="135"/>
      <c r="AD101" s="135"/>
      <c r="AE101" s="135"/>
      <c r="AF101" s="135"/>
      <c r="AG101" s="135"/>
      <c r="AH101" s="135"/>
      <c r="AI101" s="135"/>
      <c r="AJ101" s="135"/>
    </row>
    <row r="102" spans="1:36" ht="9" customHeight="1" x14ac:dyDescent="0.25">
      <c r="A102" s="133" t="s">
        <v>35</v>
      </c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7"/>
      <c r="Q102" s="17"/>
      <c r="R102" s="17"/>
      <c r="S102" s="17"/>
      <c r="T102" s="17"/>
      <c r="U102" s="16"/>
      <c r="V102" s="16"/>
      <c r="W102" s="16"/>
      <c r="X102" s="16"/>
      <c r="Y102" s="16"/>
      <c r="Z102" s="16"/>
      <c r="AA102" s="16"/>
      <c r="AB102" s="134" t="s">
        <v>34</v>
      </c>
      <c r="AC102" s="134"/>
      <c r="AD102" s="134"/>
      <c r="AE102" s="134"/>
      <c r="AF102" s="134"/>
      <c r="AG102" s="134"/>
      <c r="AH102" s="134"/>
      <c r="AI102" s="134"/>
      <c r="AJ102" s="134"/>
    </row>
    <row r="103" spans="1:36" s="26" customFormat="1" ht="12" customHeight="1" x14ac:dyDescent="0.2">
      <c r="A103" s="26" t="s">
        <v>25</v>
      </c>
    </row>
    <row r="104" spans="1:36" s="26" customFormat="1" ht="12" customHeight="1" x14ac:dyDescent="0.2">
      <c r="A104" s="135" t="str">
        <f>'Данные объект'!B20</f>
        <v>Волков М.Ю.</v>
      </c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135"/>
      <c r="AC104" s="135"/>
      <c r="AD104" s="135"/>
      <c r="AE104" s="135"/>
      <c r="AF104" s="135"/>
      <c r="AG104" s="135"/>
      <c r="AH104" s="135"/>
      <c r="AI104" s="135"/>
      <c r="AJ104" s="135"/>
    </row>
    <row r="105" spans="1:36" ht="9" customHeight="1" x14ac:dyDescent="0.25">
      <c r="A105" s="133" t="s">
        <v>35</v>
      </c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7"/>
      <c r="Q105" s="17"/>
      <c r="R105" s="17"/>
      <c r="S105" s="17"/>
      <c r="T105" s="17"/>
      <c r="U105" s="16"/>
      <c r="V105" s="16"/>
      <c r="W105" s="16"/>
      <c r="X105" s="16"/>
      <c r="Y105" s="16"/>
      <c r="Z105" s="16"/>
      <c r="AA105" s="16"/>
      <c r="AB105" s="134" t="s">
        <v>34</v>
      </c>
      <c r="AC105" s="134"/>
      <c r="AD105" s="134"/>
      <c r="AE105" s="134"/>
      <c r="AF105" s="134"/>
      <c r="AG105" s="134"/>
      <c r="AH105" s="134"/>
      <c r="AI105" s="134"/>
      <c r="AJ105" s="134"/>
    </row>
    <row r="106" spans="1:36" s="26" customFormat="1" ht="12" customHeight="1" x14ac:dyDescent="0.2">
      <c r="A106" s="26" t="s">
        <v>27</v>
      </c>
    </row>
    <row r="107" spans="1:36" s="26" customFormat="1" ht="12" customHeight="1" x14ac:dyDescent="0.2">
      <c r="A107" s="26" t="s">
        <v>28</v>
      </c>
    </row>
    <row r="108" spans="1:36" s="26" customFormat="1" ht="12" customHeight="1" x14ac:dyDescent="0.2">
      <c r="A108" s="135" t="str">
        <f>'Данные объект'!B17</f>
        <v>Русин В.А.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135"/>
      <c r="AC108" s="135"/>
      <c r="AD108" s="135"/>
      <c r="AE108" s="135"/>
      <c r="AF108" s="135"/>
      <c r="AG108" s="135"/>
      <c r="AH108" s="135"/>
      <c r="AI108" s="135"/>
      <c r="AJ108" s="135"/>
    </row>
    <row r="109" spans="1:36" ht="9" customHeight="1" x14ac:dyDescent="0.25">
      <c r="A109" s="133" t="s">
        <v>35</v>
      </c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7"/>
      <c r="Q109" s="17"/>
      <c r="R109" s="17"/>
      <c r="S109" s="17"/>
      <c r="T109" s="17"/>
      <c r="U109" s="16"/>
      <c r="V109" s="16"/>
      <c r="W109" s="16"/>
      <c r="X109" s="16"/>
      <c r="Y109" s="16"/>
      <c r="Z109" s="16"/>
      <c r="AA109" s="16"/>
      <c r="AB109" s="134" t="s">
        <v>34</v>
      </c>
      <c r="AC109" s="134"/>
      <c r="AD109" s="134"/>
      <c r="AE109" s="134"/>
      <c r="AF109" s="134"/>
      <c r="AG109" s="134"/>
      <c r="AH109" s="134"/>
      <c r="AI109" s="134"/>
      <c r="AJ109" s="134"/>
    </row>
    <row r="110" spans="1:36" s="26" customFormat="1" ht="35.25" customHeight="1" x14ac:dyDescent="0.2">
      <c r="A110" s="136" t="s">
        <v>53</v>
      </c>
      <c r="B110" s="136"/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</row>
    <row r="111" spans="1:36" ht="12" customHeight="1" x14ac:dyDescent="0.25">
      <c r="A111" s="155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5"/>
      <c r="AC111" s="155"/>
      <c r="AD111" s="155"/>
      <c r="AE111" s="155"/>
      <c r="AF111" s="155"/>
      <c r="AG111" s="155"/>
      <c r="AH111" s="155"/>
      <c r="AI111" s="155"/>
      <c r="AJ111" s="155"/>
    </row>
    <row r="112" spans="1:36" ht="9" customHeight="1" x14ac:dyDescent="0.25">
      <c r="A112" s="133" t="s">
        <v>35</v>
      </c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7"/>
      <c r="Q112" s="17"/>
      <c r="R112" s="17"/>
      <c r="S112" s="17"/>
      <c r="T112" s="17"/>
      <c r="U112" s="16"/>
      <c r="V112" s="16"/>
      <c r="W112" s="16"/>
      <c r="X112" s="16"/>
      <c r="Y112" s="16"/>
      <c r="Z112" s="16"/>
      <c r="AA112" s="16"/>
      <c r="AB112" s="134" t="s">
        <v>34</v>
      </c>
      <c r="AC112" s="134"/>
      <c r="AD112" s="134"/>
      <c r="AE112" s="134"/>
      <c r="AF112" s="134"/>
      <c r="AG112" s="134"/>
      <c r="AH112" s="134"/>
      <c r="AI112" s="134"/>
      <c r="AJ112" s="134"/>
    </row>
    <row r="113" spans="1:36" s="26" customFormat="1" ht="40.5" hidden="1" customHeight="1" x14ac:dyDescent="0.2">
      <c r="A113" s="136" t="s">
        <v>55</v>
      </c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</row>
    <row r="114" spans="1:36" s="26" customFormat="1" ht="12" hidden="1" customHeight="1" x14ac:dyDescent="0.2">
      <c r="A114" s="135" t="e">
        <f>#REF!</f>
        <v>#REF!</v>
      </c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135"/>
      <c r="AC114" s="135"/>
      <c r="AD114" s="135"/>
      <c r="AE114" s="135"/>
      <c r="AF114" s="135"/>
      <c r="AG114" s="135"/>
      <c r="AH114" s="135"/>
      <c r="AI114" s="135"/>
      <c r="AJ114" s="135"/>
    </row>
    <row r="115" spans="1:36" ht="9" hidden="1" customHeight="1" x14ac:dyDescent="0.25">
      <c r="A115" s="133" t="s">
        <v>35</v>
      </c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7"/>
      <c r="Q115" s="17"/>
      <c r="R115" s="17"/>
      <c r="S115" s="17"/>
      <c r="T115" s="17"/>
      <c r="U115" s="16"/>
      <c r="V115" s="16"/>
      <c r="W115" s="16"/>
      <c r="X115" s="16"/>
      <c r="Y115" s="16"/>
      <c r="Z115" s="16"/>
      <c r="AA115" s="16"/>
      <c r="AB115" s="134" t="s">
        <v>34</v>
      </c>
      <c r="AC115" s="134"/>
      <c r="AD115" s="134"/>
      <c r="AE115" s="134"/>
      <c r="AF115" s="134"/>
      <c r="AG115" s="134"/>
      <c r="AH115" s="134"/>
      <c r="AI115" s="134"/>
      <c r="AJ115" s="134"/>
    </row>
    <row r="116" spans="1:36" ht="12" customHeight="1" x14ac:dyDescent="0.25"/>
  </sheetData>
  <mergeCells count="106">
    <mergeCell ref="A115:O115"/>
    <mergeCell ref="AB115:AJ115"/>
    <mergeCell ref="P77:W77"/>
    <mergeCell ref="P78:W78"/>
    <mergeCell ref="B93:U93"/>
    <mergeCell ref="A110:AJ110"/>
    <mergeCell ref="A111:O111"/>
    <mergeCell ref="AB111:AJ111"/>
    <mergeCell ref="A113:AJ113"/>
    <mergeCell ref="A105:O105"/>
    <mergeCell ref="AB105:AJ105"/>
    <mergeCell ref="A108:O108"/>
    <mergeCell ref="AB108:AJ108"/>
    <mergeCell ref="A109:O109"/>
    <mergeCell ref="AB109:AJ109"/>
    <mergeCell ref="A114:O114"/>
    <mergeCell ref="AB114:AJ114"/>
    <mergeCell ref="A97:AJ97"/>
    <mergeCell ref="A101:O101"/>
    <mergeCell ref="AB101:AJ101"/>
    <mergeCell ref="A102:O102"/>
    <mergeCell ref="AB102:AJ102"/>
    <mergeCell ref="A104:O104"/>
    <mergeCell ref="AB104:AJ104"/>
    <mergeCell ref="A112:O112"/>
    <mergeCell ref="AB112:AJ112"/>
    <mergeCell ref="L88:AJ88"/>
    <mergeCell ref="H90:I90"/>
    <mergeCell ref="B94:P94"/>
    <mergeCell ref="B95:P95"/>
    <mergeCell ref="B96:P96"/>
    <mergeCell ref="A81:AJ81"/>
    <mergeCell ref="A82:AJ82"/>
    <mergeCell ref="A83:AJ83"/>
    <mergeCell ref="A84:AJ84"/>
    <mergeCell ref="A86:AJ86"/>
    <mergeCell ref="A87:AJ87"/>
    <mergeCell ref="A74:AJ74"/>
    <mergeCell ref="A75:AJ75"/>
    <mergeCell ref="A60:P60"/>
    <mergeCell ref="Q60:T60"/>
    <mergeCell ref="A67:F67"/>
    <mergeCell ref="J67:AE67"/>
    <mergeCell ref="H67:I67"/>
    <mergeCell ref="A69:F69"/>
    <mergeCell ref="H69:I69"/>
    <mergeCell ref="J69:AE69"/>
    <mergeCell ref="A70:AJ70"/>
    <mergeCell ref="G72:AJ72"/>
    <mergeCell ref="A73:B73"/>
    <mergeCell ref="G73:AJ73"/>
    <mergeCell ref="P66:AJ66"/>
    <mergeCell ref="A68:F68"/>
    <mergeCell ref="H68:I68"/>
    <mergeCell ref="J68:AE68"/>
    <mergeCell ref="A48:AJ48"/>
    <mergeCell ref="A49:AJ49"/>
    <mergeCell ref="A50:AJ50"/>
    <mergeCell ref="A61:AJ61"/>
    <mergeCell ref="A63:AJ63"/>
    <mergeCell ref="A64:AJ64"/>
    <mergeCell ref="P65:AJ65"/>
    <mergeCell ref="A51:AJ51"/>
    <mergeCell ref="A52:AJ52"/>
    <mergeCell ref="A53:AJ53"/>
    <mergeCell ref="A54:AJ54"/>
    <mergeCell ref="A56:AJ56"/>
    <mergeCell ref="A57:AJ57"/>
    <mergeCell ref="A38:AJ38"/>
    <mergeCell ref="A39:AJ39"/>
    <mergeCell ref="A40:AJ40"/>
    <mergeCell ref="A42:AJ42"/>
    <mergeCell ref="A43:AJ43"/>
    <mergeCell ref="A44:AJ44"/>
    <mergeCell ref="A45:AJ45"/>
    <mergeCell ref="A46:AJ46"/>
    <mergeCell ref="A47:AJ47"/>
    <mergeCell ref="E33:G33"/>
    <mergeCell ref="A36:AJ36"/>
    <mergeCell ref="A37:AJ37"/>
    <mergeCell ref="AB33:AI33"/>
    <mergeCell ref="AB34:AI34"/>
    <mergeCell ref="A25:AJ25"/>
    <mergeCell ref="A26:AJ26"/>
    <mergeCell ref="A27:AJ27"/>
    <mergeCell ref="A28:AJ28"/>
    <mergeCell ref="A30:AJ30"/>
    <mergeCell ref="A14:AJ14"/>
    <mergeCell ref="A16:AJ16"/>
    <mergeCell ref="A17:AJ17"/>
    <mergeCell ref="A31:AJ31"/>
    <mergeCell ref="A18:AJ18"/>
    <mergeCell ref="A19:AJ19"/>
    <mergeCell ref="A20:AJ20"/>
    <mergeCell ref="A21:AJ21"/>
    <mergeCell ref="A23:AJ23"/>
    <mergeCell ref="A24:AJ24"/>
    <mergeCell ref="A4:AJ4"/>
    <mergeCell ref="A5:AJ5"/>
    <mergeCell ref="A6:AJ6"/>
    <mergeCell ref="A7:AJ8"/>
    <mergeCell ref="A9:AJ9"/>
    <mergeCell ref="A10:AJ10"/>
    <mergeCell ref="A11:AJ11"/>
    <mergeCell ref="A12:AJ12"/>
    <mergeCell ref="A13:AJ13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36</vt:i4>
      </vt:variant>
      <vt:variant>
        <vt:lpstr>Именованные диапазоны</vt:lpstr>
      </vt:variant>
      <vt:variant>
        <vt:i4>34</vt:i4>
      </vt:variant>
    </vt:vector>
  </HeadingPairs>
  <TitlesOfParts>
    <vt:vector size="70" baseType="lpstr">
      <vt:lpstr>Данные организации</vt:lpstr>
      <vt:lpstr>Данные объект</vt:lpstr>
      <vt:lpstr>АОСР-1.1</vt:lpstr>
      <vt:lpstr>АОСР-2</vt:lpstr>
      <vt:lpstr>АОСР-5.1 (5)</vt:lpstr>
      <vt:lpstr>АОСР-4</vt:lpstr>
      <vt:lpstr>АОСР-4 (2)</vt:lpstr>
      <vt:lpstr>АОСР-3</vt:lpstr>
      <vt:lpstr>АОСР-5.1 (8)</vt:lpstr>
      <vt:lpstr>АОСР-6.1</vt:lpstr>
      <vt:lpstr>АОСР-5.1 (3)</vt:lpstr>
      <vt:lpstr>АОСР-5.1 (9)</vt:lpstr>
      <vt:lpstr>АОСР-5.1 (2)</vt:lpstr>
      <vt:lpstr>АОСР-5.1</vt:lpstr>
      <vt:lpstr>АОСР-5.1 (4)</vt:lpstr>
      <vt:lpstr>АОСР-5.1 (6)</vt:lpstr>
      <vt:lpstr>АОСР-5.1 (11)</vt:lpstr>
      <vt:lpstr>АОСР-5.1 (10)</vt:lpstr>
      <vt:lpstr>АОСР-5.1 (7)</vt:lpstr>
      <vt:lpstr>АОСР-5</vt:lpstr>
      <vt:lpstr>АОСР-8 (2)</vt:lpstr>
      <vt:lpstr>АОСР-5 (2)</vt:lpstr>
      <vt:lpstr>АОСР-1</vt:lpstr>
      <vt:lpstr>АОСР-6</vt:lpstr>
      <vt:lpstr>АОСР-7</vt:lpstr>
      <vt:lpstr>АОСР-8</vt:lpstr>
      <vt:lpstr>АОСР-9.1</vt:lpstr>
      <vt:lpstr>АОСР-9.1 (2)</vt:lpstr>
      <vt:lpstr>АОСР-9.1 (3)</vt:lpstr>
      <vt:lpstr>АОСР-9.1 (9)</vt:lpstr>
      <vt:lpstr>АОСР-9.1 (4)</vt:lpstr>
      <vt:lpstr>АОСР-9.1 (5)</vt:lpstr>
      <vt:lpstr>АОСР-9.1 (6)</vt:lpstr>
      <vt:lpstr>АОСР-9.1 (7)</vt:lpstr>
      <vt:lpstr>АОСР-9.1 (8)</vt:lpstr>
      <vt:lpstr>АОСР-9</vt:lpstr>
      <vt:lpstr>'АОСР-1'!Область_печати</vt:lpstr>
      <vt:lpstr>'АОСР-1.1'!Область_печати</vt:lpstr>
      <vt:lpstr>'АОСР-2'!Область_печати</vt:lpstr>
      <vt:lpstr>'АОСР-3'!Область_печати</vt:lpstr>
      <vt:lpstr>'АОСР-4'!Область_печати</vt:lpstr>
      <vt:lpstr>'АОСР-4 (2)'!Область_печати</vt:lpstr>
      <vt:lpstr>'АОСР-5'!Область_печати</vt:lpstr>
      <vt:lpstr>'АОСР-5 (2)'!Область_печати</vt:lpstr>
      <vt:lpstr>'АОСР-5.1'!Область_печати</vt:lpstr>
      <vt:lpstr>'АОСР-5.1 (10)'!Область_печати</vt:lpstr>
      <vt:lpstr>'АОСР-5.1 (11)'!Область_печати</vt:lpstr>
      <vt:lpstr>'АОСР-5.1 (2)'!Область_печати</vt:lpstr>
      <vt:lpstr>'АОСР-5.1 (3)'!Область_печати</vt:lpstr>
      <vt:lpstr>'АОСР-5.1 (4)'!Область_печати</vt:lpstr>
      <vt:lpstr>'АОСР-5.1 (5)'!Область_печати</vt:lpstr>
      <vt:lpstr>'АОСР-5.1 (6)'!Область_печати</vt:lpstr>
      <vt:lpstr>'АОСР-5.1 (7)'!Область_печати</vt:lpstr>
      <vt:lpstr>'АОСР-5.1 (8)'!Область_печати</vt:lpstr>
      <vt:lpstr>'АОСР-5.1 (9)'!Область_печати</vt:lpstr>
      <vt:lpstr>'АОСР-6'!Область_печати</vt:lpstr>
      <vt:lpstr>'АОСР-6.1'!Область_печати</vt:lpstr>
      <vt:lpstr>'АОСР-7'!Область_печати</vt:lpstr>
      <vt:lpstr>'АОСР-8'!Область_печати</vt:lpstr>
      <vt:lpstr>'АОСР-8 (2)'!Область_печати</vt:lpstr>
      <vt:lpstr>'АОСР-9'!Область_печати</vt:lpstr>
      <vt:lpstr>'АОСР-9.1'!Область_печати</vt:lpstr>
      <vt:lpstr>'АОСР-9.1 (2)'!Область_печати</vt:lpstr>
      <vt:lpstr>'АОСР-9.1 (3)'!Область_печати</vt:lpstr>
      <vt:lpstr>'АОСР-9.1 (4)'!Область_печати</vt:lpstr>
      <vt:lpstr>'АОСР-9.1 (5)'!Область_печати</vt:lpstr>
      <vt:lpstr>'АОСР-9.1 (6)'!Область_печати</vt:lpstr>
      <vt:lpstr>'АОСР-9.1 (7)'!Область_печати</vt:lpstr>
      <vt:lpstr>'АОСР-9.1 (8)'!Область_печати</vt:lpstr>
      <vt:lpstr>'АОСР-9.1 (9)'!Область_печати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ispolnitelnaya.ru</dc:creator>
  <cp:lastModifiedBy>Ксения Власова</cp:lastModifiedBy>
  <cp:lastPrinted>2026-07-16T14:42:40Z</cp:lastPrinted>
  <dcterms:created xsi:type="dcterms:W3CDTF">2018-02-24T16:53:12Z</dcterms:created>
  <dcterms:modified xsi:type="dcterms:W3CDTF">2026-07-21T07:25:07Z</dcterms:modified>
</cp:coreProperties>
</file>