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Y:\!!! Бибилиотека\Исполнительная документация\1. Шаблоны актуальные\"/>
    </mc:Choice>
  </mc:AlternateContent>
  <xr:revisionPtr revIDLastSave="0" documentId="13_ncr:1_{3BD44AE4-79B2-484D-831C-F961B58A9C09}" xr6:coauthVersionLast="45" xr6:coauthVersionMax="47" xr10:uidLastSave="{00000000-0000-0000-0000-000000000000}"/>
  <bookViews>
    <workbookView xWindow="-120" yWindow="-120" windowWidth="29040" windowHeight="15840" tabRatio="905" activeTab="1" xr2:uid="{00000000-000D-0000-FFFF-FFFF00000000}"/>
  </bookViews>
  <sheets>
    <sheet name="Данные организации" sheetId="129" r:id="rId1"/>
    <sheet name="Данные объект" sheetId="128" r:id="rId2"/>
    <sheet name="Обложка" sheetId="125" r:id="rId3"/>
    <sheet name="Титульный лист" sheetId="116" r:id="rId4"/>
    <sheet name="Раздел1" sheetId="118" r:id="rId5"/>
    <sheet name="Раздел2" sheetId="119" r:id="rId6"/>
    <sheet name="Раздел3" sheetId="120" r:id="rId7"/>
    <sheet name="Раздел4" sheetId="124" r:id="rId8"/>
    <sheet name="Раздел5" sheetId="122" r:id="rId9"/>
    <sheet name="Раздел6" sheetId="121" r:id="rId10"/>
    <sheet name="ярлык" sheetId="127" r:id="rId11"/>
  </sheets>
  <definedNames>
    <definedName name="_xlnm.Print_Titles" localSheetId="4">Раздел1!$3:$4</definedName>
    <definedName name="_xlnm.Print_Titles" localSheetId="6">Раздел3!$3:$4</definedName>
    <definedName name="_xlnm.Print_Titles" localSheetId="7">Раздел4!$3:$4</definedName>
    <definedName name="_xlnm.Print_Titles" localSheetId="8">Раздел5!$3:$4</definedName>
    <definedName name="_xlnm.Print_Titles" localSheetId="9">Раздел6!$3:$4</definedName>
    <definedName name="_xlnm.Print_Area" localSheetId="2">Обложка!$A$1:$I$55</definedName>
    <definedName name="_xlnm.Print_Area" localSheetId="4">Раздел1!$A$1:$F$45</definedName>
    <definedName name="_xlnm.Print_Area" localSheetId="5">Раздел2!$A$1:$E$51</definedName>
    <definedName name="_xlnm.Print_Area" localSheetId="6">Раздел3!$A$1:$E$53</definedName>
    <definedName name="_xlnm.Print_Area" localSheetId="7">Раздел4!$A$1:$G$47</definedName>
    <definedName name="_xlnm.Print_Area" localSheetId="8">Раздел5!$A$1:$C$57</definedName>
    <definedName name="_xlnm.Print_Area" localSheetId="9">Раздел6!$A$1:$G$57</definedName>
    <definedName name="_xlnm.Print_Area" localSheetId="3">'Титульный лист'!$A$1:$AJ$232</definedName>
    <definedName name="_xlnm.Print_Area" localSheetId="10">ярлык!$A$1:$F$15</definedName>
  </definedNames>
  <calcPr calcId="191029" calcMode="auto" fullCalcOnLoad="1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5" i="119" l="1"/>
  <c r="E7" i="118"/>
  <c r="E6" i="118"/>
  <c r="V195" i="116"/>
  <c r="O39" i="116"/>
  <c r="C39" i="128"/>
  <c r="H27" i="129" l="1"/>
  <c r="H26" i="129"/>
  <c r="I25" i="129"/>
  <c r="G25" i="129"/>
  <c r="H25" i="129"/>
  <c r="F7" i="118" l="1"/>
  <c r="F6" i="118"/>
  <c r="F5" i="118"/>
  <c r="G6" i="124"/>
  <c r="E6" i="124"/>
  <c r="D7" i="118"/>
  <c r="D6" i="118"/>
  <c r="E5" i="118"/>
  <c r="D5" i="118"/>
  <c r="C34" i="128" l="1"/>
  <c r="V119" i="116" l="1"/>
  <c r="V103" i="116"/>
  <c r="C39" i="116" l="1"/>
  <c r="B55" i="128" l="1"/>
  <c r="A17" i="116" l="1"/>
  <c r="A15" i="116"/>
  <c r="Q4" i="116"/>
  <c r="A13" i="116"/>
  <c r="F23" i="125"/>
  <c r="H185" i="116"/>
  <c r="H182" i="116"/>
  <c r="A178" i="116"/>
  <c r="A176" i="116"/>
  <c r="C119" i="116"/>
  <c r="C103" i="116"/>
  <c r="O96" i="116"/>
  <c r="C96" i="116"/>
  <c r="T95" i="116"/>
  <c r="O95" i="116"/>
  <c r="C95" i="116"/>
  <c r="A69" i="116"/>
  <c r="A67" i="116"/>
  <c r="A65" i="116"/>
  <c r="A8" i="116"/>
  <c r="C58" i="128"/>
  <c r="C48" i="128"/>
  <c r="C47" i="128"/>
  <c r="C46" i="128"/>
  <c r="C45" i="128"/>
  <c r="C44" i="128"/>
  <c r="C42" i="128"/>
  <c r="C41" i="128"/>
  <c r="C40" i="128"/>
  <c r="O103" i="116" s="1"/>
  <c r="C38" i="128"/>
  <c r="C37" i="128"/>
  <c r="C36" i="128"/>
  <c r="C35" i="128"/>
  <c r="C33" i="128"/>
  <c r="J39" i="116" s="1"/>
  <c r="B32" i="128"/>
  <c r="B31" i="128"/>
  <c r="C28" i="128"/>
  <c r="C27" i="128"/>
  <c r="C26" i="128"/>
  <c r="C24" i="128"/>
  <c r="C23" i="128"/>
  <c r="C22" i="128"/>
  <c r="J95" i="116" s="1"/>
  <c r="C21" i="128"/>
  <c r="C17" i="128"/>
  <c r="D30" i="129"/>
  <c r="C30" i="129"/>
  <c r="G30" i="129"/>
  <c r="D29" i="129"/>
  <c r="C29" i="129"/>
  <c r="I29" i="129"/>
  <c r="G29" i="129"/>
  <c r="D28" i="129"/>
  <c r="C28" i="129"/>
  <c r="I28" i="129"/>
  <c r="G28" i="129"/>
  <c r="D27" i="129"/>
  <c r="C27" i="129"/>
  <c r="I27" i="129"/>
  <c r="G27" i="129"/>
  <c r="D26" i="129"/>
  <c r="C26" i="129"/>
  <c r="I26" i="129"/>
  <c r="G26" i="129"/>
  <c r="D25" i="129"/>
  <c r="C25" i="129"/>
  <c r="D24" i="129"/>
  <c r="C24" i="129"/>
  <c r="G5" i="124" l="1"/>
  <c r="E5" i="124"/>
  <c r="J96" i="116"/>
  <c r="O119" i="116"/>
  <c r="A31" i="116"/>
  <c r="A33" i="116"/>
</calcChain>
</file>

<file path=xl/sharedStrings.xml><?xml version="1.0" encoding="utf-8"?>
<sst xmlns="http://schemas.openxmlformats.org/spreadsheetml/2006/main" count="313" uniqueCount="179">
  <si>
    <t>Лицо, осуществляющее подготовку проектной документации</t>
  </si>
  <si>
    <t xml:space="preserve">(наименование объекта капитального строительства, его  почтовый или строительный адрес) </t>
  </si>
  <si>
    <t xml:space="preserve">Уполномоченный представитель застройщика </t>
  </si>
  <si>
    <t>Наименование, дата, номер документа, подтверждающего полномочие</t>
  </si>
  <si>
    <t>Подпись</t>
  </si>
  <si>
    <t>Другие лица, осуществляющие строительство, их уполномоченные представители</t>
  </si>
  <si>
    <t>(наименование объекта капитального строительства,</t>
  </si>
  <si>
    <t>М.П.</t>
  </si>
  <si>
    <t>Регистрационная надпись органа государственного строительного надзора</t>
  </si>
  <si>
    <t>(заполняется должностным лицом органа государственного строительного надзора)</t>
  </si>
  <si>
    <t>Дата</t>
  </si>
  <si>
    <t>Застройщик</t>
  </si>
  <si>
    <t xml:space="preserve">Начало строительства, реконструкции, капитального ремонта объекта капитального  </t>
  </si>
  <si>
    <t>строительства</t>
  </si>
  <si>
    <t xml:space="preserve">Окончание строительства, реконструкции, капитального ремонта объекта капитального  </t>
  </si>
  <si>
    <t xml:space="preserve">                                                                                                    </t>
  </si>
  <si>
    <t xml:space="preserve"> (дата)</t>
  </si>
  <si>
    <t>(заполняется в случае, если в процессе строительства, реконструкции, капитального ремонта велось несколько журналов).</t>
  </si>
  <si>
    <t>Изменения в записях с указанием основания</t>
  </si>
  <si>
    <t xml:space="preserve">Дата начала 
работ на объекте капитального строительства с указанием вида работ
</t>
  </si>
  <si>
    <t>РАЗДЕЛ 1</t>
  </si>
  <si>
    <t>Наименование специального журнала (журнала авторского надзора) и дата его выдачи</t>
  </si>
  <si>
    <t xml:space="preserve">Дата передачи застройщику или заказчику журнала </t>
  </si>
  <si>
    <t>РАЗДЕЛ 2</t>
  </si>
  <si>
    <t xml:space="preserve">Перечень специальных журналов, в которых ведется учет выполнения работ, а также журналов авторского надзора лица, осуществляющего подготовку проектной документации </t>
  </si>
  <si>
    <t>РАЗДЕЛ 3</t>
  </si>
  <si>
    <t>РАЗДЕЛ 4</t>
  </si>
  <si>
    <t>Выявленные 
недостатки</t>
  </si>
  <si>
    <t>Срок устранения выявленных недостатков</t>
  </si>
  <si>
    <t>Дата устранения недостатков</t>
  </si>
  <si>
    <t>РАЗДЕЛ 5</t>
  </si>
  <si>
    <t>Перечень исполнительной документации при строительстве, 
реконструкции, капитальном ремонте объекта капитального строительства</t>
  </si>
  <si>
    <t>Сведения о государственном строительном надзоре при строительстве, 
реконструкции, капитальном ремонте объекта капитального строительства</t>
  </si>
  <si>
    <t>1</t>
  </si>
  <si>
    <t>2</t>
  </si>
  <si>
    <t>3</t>
  </si>
  <si>
    <t>Срок устранения выявленных нарушений</t>
  </si>
  <si>
    <t>Фактическая дата устранения выявленных нарушений</t>
  </si>
  <si>
    <t xml:space="preserve">Должность, фамилия, инициалы, подпись должностного лица </t>
  </si>
  <si>
    <t>№№/ 
пп</t>
  </si>
  <si>
    <t>В журнале пронумеровано и прошнуровано</t>
  </si>
  <si>
    <t>“ ____ ” _____________ 20___ г.</t>
  </si>
  <si>
    <t>(должность, фамилия, инициалы и подпись руководителя организации,</t>
  </si>
  <si>
    <t>выдавшего журнал)</t>
  </si>
  <si>
    <t>Общий журнал работ, в котором ведется учет выполнения работ</t>
  </si>
  <si>
    <t>по строительству, реконтрукции, капитальному ремонту</t>
  </si>
  <si>
    <t>объекта капитального строительства</t>
  </si>
  <si>
    <t>№</t>
  </si>
  <si>
    <t>(фамилия, имя, отчество (последнее - при наличии), адрес места жительства, ОГРНИП, ИНН индивидуального  предпринимателя,</t>
  </si>
  <si>
    <t>полное и (или) сокращенное наименование, ОГРН, ИНН, место нахождения юридического лица, телефон/факс, адрес
электронной почты (при наличии),</t>
  </si>
  <si>
    <t>полное и (или) сокращенное наименование, ОГРН, ИНН саморегулируемой организации, членом которой является указанное юридическое лицо или индивидуальный предприниматель (за исключением случаев, когда членство в саморегулируемых организациях в области инженерных изысканий, архитектурно-строительного проектирования, строительства, реконструкции, капитального ремонта объектов капитального строительства не требуется);</t>
  </si>
  <si>
    <t>фамилия, имя, отчество (последнее - при наличии), паспортные данные, адрес места жительства, телефон/факс, адрес электронной почты (при наличии) - для физических лиц, не являющихся индивидуальными предпринимателями)</t>
  </si>
  <si>
    <t>Фамилия, имя, отчество
 (последнее при наличии)</t>
  </si>
  <si>
    <t>Должность
 (при наличии)</t>
  </si>
  <si>
    <t>Идентификационный номер в национальном реестре специалистов в области строительства (за исключением случаев, когда членство в  саморегулируемых организациях в области инженерных изысканий, архитектурно- строительного проектирования, строительства, реконструкции, капитального ремонта объектов капитального строительства не требуется)</t>
  </si>
  <si>
    <t>4</t>
  </si>
  <si>
    <t>5</t>
  </si>
  <si>
    <t>6</t>
  </si>
  <si>
    <t>Технический заказчик</t>
  </si>
  <si>
    <t>Уполномоченный представитель технического заказчика</t>
  </si>
  <si>
    <t>Лицо, ответственное за эксплуатацию здания, сооружения, или региональный оператор (заполняется в случае, если договор строительного подряда заключается с лицом, ответственным за эксплуатацию здания, сооружения, или региональным оператором)</t>
  </si>
  <si>
    <t xml:space="preserve">Уполномоченный представитель лица, ответственного за эксплуатацию здания, сооружения, или регионального оператора (заполняется в случае, если договор строительного подряда заключается с лицом, ответственным за эксплуатацию  здания, сооружения, или региональным оператором) </t>
  </si>
  <si>
    <t>Наименование, дата, номер документа, подтверждаю-щего полномочие</t>
  </si>
  <si>
    <t>Сведения о выданном разрешении на строительство (заполняется в случае, если разрешение на строительство требуется в соответствии со статьей 51 Градостроительного кодекса Российской Федерации (Собрание законодательства Российской Федерации, 2005, № 1, ст. 16; 2022, № 29, ст. 5317)</t>
  </si>
  <si>
    <t>полное и (или) сокращенное наименование, ОГРН, ИНН саморегулируемой организации, членом которой является указанное юридическое лицо или индивидуальный предприниматель (за исключением случаев, когда членство в саморегулируемых организациях в области инженерных изысканий, архитектурно-строительного проектирования, строительства, реконструкции, капитального ремонта объектов капитального строительства не требуется)</t>
  </si>
  <si>
    <t>Сведения о положительном заключении экспертизы проектной документации (заполняется в случае, если при строительстве, реконструкции объекта капитального строительства в соответствии со статьей 49 Градостроительного кодекса Российской Федерации (Собрание законодательства Российской Федерации, 2005, № 1, ст. 16; 2022, № 29, ст. 5317) проводится экспертиза проектной документации)</t>
  </si>
  <si>
    <t>(номер и дата выдачи, орган или организация, его утвердившие)</t>
  </si>
  <si>
    <t>Лицо, осуществляющее строительство, реконструкцию, капитальный ремонт</t>
  </si>
  <si>
    <t>Уполномоченный представитель лица, осуществляющего строительство,   реконструкцию, капитальный ремонт</t>
  </si>
  <si>
    <t>№ 
п/п</t>
  </si>
  <si>
    <t>Фамилия, имя, отчество (последнее - при наличии), адрес места жительства, ОГРНИП, ИНН-для индивидуальных предпринимателей, полное и (или) сокращенное наименование, ОГРН, ИНН, место нахождения - для юридических лиц, фамилия, имя, отчество (последнее - при наличии) паспортные данные, адрес места жительства - для физических лиц, не являющихся индивидуальными предпринимателями</t>
  </si>
  <si>
    <t>Фамилия, имя, отчество (последнее - при наличии), должность (при наличии) уполномоченного представителя лица, осуществляющего строительство, реконструкцию, капитальный ремонт, наименование, дата, номер документа, подтверждающего полномочие</t>
  </si>
  <si>
    <t>Выполняемые работы по строительству, реконструкции, капитальному ремонту объекта капитального строительства</t>
  </si>
  <si>
    <t xml:space="preserve">Подпись
уполномоченного
представителя
лица,
осуществляющего
строительство,
реконструкцию,
капитальный
ремонт
</t>
  </si>
  <si>
    <t>номер, дата приказа (распоряжения) о назначении должностного лица ответственным за осуществление государственного строительного надзора на объекте капитального строительства)</t>
  </si>
  <si>
    <t>фамилия, имя, отчество (последнее - при наличии), должность должностного лица,</t>
  </si>
  <si>
    <t>краткие  проектные  характеристики объекта капитального строительства)</t>
  </si>
  <si>
    <r>
      <t xml:space="preserve">В настоящем журнале </t>
    </r>
    <r>
      <rPr>
        <i/>
        <sz val="10"/>
        <rFont val="Times New Roman"/>
        <family val="1"/>
        <charset val="204"/>
      </rPr>
      <t/>
    </r>
  </si>
  <si>
    <t xml:space="preserve">страниц. Журнал пронумерован, сброшюрован и скреплен </t>
  </si>
  <si>
    <t xml:space="preserve">печатью.  (заполняется в случае, если общий журнал, в котором ведется учет выполненных </t>
  </si>
  <si>
    <t>работ, ведется на бумажном носителе).</t>
  </si>
  <si>
    <t xml:space="preserve">В журнале содержится учет выполнения работ в период с </t>
  </si>
  <si>
    <t>по</t>
  </si>
  <si>
    <t>(расшифровка подписи)</t>
  </si>
  <si>
    <t>(должность (при наличии)  -  для застройщика или технического заказчика, являющегося юридическим лицом)</t>
  </si>
  <si>
    <t>(личная подпись)</t>
  </si>
  <si>
    <t>(при наличии)</t>
  </si>
  <si>
    <t>(для застройщика или технического заказчика, являющегося юридическим лицом, заполняется в случае, если общий журнал, в котором ведется учет выполненных работ, ведется на бумажном носителе)</t>
  </si>
  <si>
    <t>(должность (при наличии)</t>
  </si>
  <si>
    <t>"</t>
  </si>
  <si>
    <t>г.</t>
  </si>
  <si>
    <t>№
п/п</t>
  </si>
  <si>
    <t>Фамилия, инициалы, должность (при наличии) лица, внесшего изменения, наименование, дата, номер документа, подтверждающего полномочие лица</t>
  </si>
  <si>
    <t>Полное и (или) сокращенное наименование или фамилия, имя отчество (последнее - при наличии) лица, осуществляющего строительство, реконструкцию, капитальный ремонт</t>
  </si>
  <si>
    <t>Фамилия, 
инициалы,
должность (при наличии) лица, входящего в список инженерно- технического персонала</t>
  </si>
  <si>
    <t xml:space="preserve">Дата окончания работ на объекте капитального строительства </t>
  </si>
  <si>
    <t>Должность (при наличии), фамилия, инициалы, подпись уполномоченного представителя лица, осуществляющего строительство, реконструкцию, капитальный ремонт</t>
  </si>
  <si>
    <t>Полное и (или) сокращенное наименование или фамилия, имя, отчество (при наличии) лица, осуществляющего строительство, реконструкцию, капитальный ремонт (лица, осуществляющего подготовку проектной документации), ведущих журнал, их уполномоченных представителей с указанием должности (при наличии), фамилии, инициалов</t>
  </si>
  <si>
    <t>Подпись уполномоченного представителя застройщика или технического заказчика, лица, ответственного за эксплуатацию здания, сооружения, и (или) регионального оператора</t>
  </si>
  <si>
    <t>Сведения о выполнении работ в процессе строительства, реконструкции, капитального ремонта объекта капитального строительства</t>
  </si>
  <si>
    <t xml:space="preserve">Условия
произ-водства
работ
</t>
  </si>
  <si>
    <t>Наименование работ, выполняемых в процессе строительства, реконструкции, капитального ремонта объекта капитального строительства с указанием осей, рядов, отметов, пикетов, этажей, ярусов, секций, помещений, в которых выполнялись работы, сведения о методах выполнения работ, применяемых строительных материалах, изделиях и конструкциях, проведенных испытаниях конструкций, оборудования, систем, сетей и устройств (опробование вхолостую или под нагрузкой, подача электроэнергии, давления, испытания на прочность и герметичность)</t>
  </si>
  <si>
    <t>Дата
выпол-нения работ</t>
  </si>
  <si>
    <t>Должность (при наличии), фамилия, инициалы,подпись уполномоченного представителя лица, осуществляющего строительство, реконструкцию, капитальный ремонт</t>
  </si>
  <si>
    <t>Сведения о строительном контроле в процессе строительства, реконструкции, капитального ремонта объекта капитального строительства</t>
  </si>
  <si>
    <t>7</t>
  </si>
  <si>
    <t>Сведения о проведении строительного 
контроля при строительстве, реконструкции, капитальном ремонте объекта
 капитального строительства</t>
  </si>
  <si>
    <t xml:space="preserve">Должность (при наличии), фамилия, инициалы, подпись уполномоченного представителя застройщика или технического заказчика, лица, ответственного за
эксплуатацию здания, сооружения, и(или) регионального оператора по вопросам строительного контроля
</t>
  </si>
  <si>
    <t>Наименование исполнительной документации (с указанием наименования и реквизитов документа, вида работ, места расположения конструкций, участков сетей инженерно- технического обеспечения)</t>
  </si>
  <si>
    <t>Дата подписания документа, должности (при наличии), фамилии, инициалы лиц, подписавших документы</t>
  </si>
  <si>
    <t>Дата
контрольного
(надзорного)
мероприятия</t>
  </si>
  <si>
    <t>Данные о проведенных органом государственного строительного надзора контрольных (надзорных) мероприятиях</t>
  </si>
  <si>
    <t>в котором ведется учет выполнения работ по строительству, реконструкции, капитальному ремонту объекта капитального строительства</t>
  </si>
  <si>
    <t>(полное и (или) сокращенное наименование, ОГРН, ИНН, место нахождения юридического лица, телефон/факс, адрес
электронной почты (при наличии),</t>
  </si>
  <si>
    <t>полное и (или) сокращенное наименование, ОГРН, ИНН саморегулируемой организации, членом которой является указанное юридическое лицо (за исключением случаев, когда членство в саморегулируемых организациях в области инженерных изысканий, архитектурно-строительного проектирования, строительства, реконструкции, капитального ремонта объектов капитального строительства не требуется);</t>
  </si>
  <si>
    <t>(номер, дата выдачи разрешения на строительство, наименование органа исполнительной власти,</t>
  </si>
  <si>
    <t>государственной корпорации или органа местного самоуправления, выдавших разрешение)</t>
  </si>
  <si>
    <t>Полное и (или) сокращенное наименование или фамилия, имя, отчество (последнее - при наличии) лица, осуществляющего подготовку проектной документации, сведения о разделах проектной документации, подготовленных этим лицом</t>
  </si>
  <si>
    <t>Фамилия, имя, отчество (последнее - при наличии), должность (при наличии)</t>
  </si>
  <si>
    <t>Уполномоченный представитель лица, ответственного за эксплуатацию здания, сооружения, и (или) регионального оператора по вопросам строительного контроля</t>
  </si>
  <si>
    <t>Уполномоченный представитель лица, осуществляющего строительство, реконструкцию, капитальный ремонт, по вопросам строительного контроля</t>
  </si>
  <si>
    <t>(наименование органа  государственного строительного надзора, почтовые реквизиты, телефон/факс, адрес электронной почты (при наличии),</t>
  </si>
  <si>
    <t>Сведения об изменениях в записях титульного листа общего журнала, в котором ведется учет выполнения работ по строительству, реконструкции, капитальному ремонту объекта капитального строительства</t>
  </si>
  <si>
    <t>Список инженерно-технического персонала лица, осуществляющего строительство, реконструкцию, капитальный ремонт, занятого при строительстве, реконструкции,  капитальном ремонте объекта капитального строительства</t>
  </si>
  <si>
    <t>РАЗДЕЛ 6</t>
  </si>
  <si>
    <t>ОБЩИЙ ЖУРНАЛ РАБОТ,</t>
  </si>
  <si>
    <t xml:space="preserve">№
п/п
</t>
  </si>
  <si>
    <r>
      <t>( указать строительство, реконструкция, капитальный ремонт)</t>
    </r>
    <r>
      <rPr>
        <b/>
        <sz val="5"/>
        <rFont val="Times New Roman"/>
        <family val="1"/>
        <charset val="204"/>
      </rPr>
      <t xml:space="preserve"> </t>
    </r>
  </si>
  <si>
    <r>
      <t>по</t>
    </r>
    <r>
      <rPr>
        <b/>
        <sz val="8"/>
        <rFont val="Times New Roman"/>
        <family val="1"/>
        <charset val="204"/>
      </rPr>
      <t xml:space="preserve"> </t>
    </r>
    <r>
      <rPr>
        <sz val="9"/>
        <rFont val="Times New Roman"/>
        <family val="1"/>
        <charset val="204"/>
      </rPr>
      <t/>
    </r>
  </si>
  <si>
    <r>
      <t>Сведения о государственном строительном надзоре</t>
    </r>
    <r>
      <rPr>
        <b/>
        <sz val="8"/>
        <rFont val="Times New Roman"/>
        <family val="1"/>
        <charset val="204"/>
      </rPr>
      <t xml:space="preserve"> </t>
    </r>
  </si>
  <si>
    <r>
      <t>Общие сведения об объекте капитального строительства</t>
    </r>
    <r>
      <rPr>
        <b/>
        <sz val="8"/>
        <rFont val="Times New Roman"/>
        <family val="1"/>
        <charset val="204"/>
      </rPr>
      <t xml:space="preserve">   </t>
    </r>
    <r>
      <rPr>
        <i/>
        <sz val="8"/>
        <rFont val="Times New Roman"/>
        <family val="1"/>
        <charset val="204"/>
      </rPr>
      <t xml:space="preserve">                           </t>
    </r>
  </si>
  <si>
    <t xml:space="preserve">Уполномоченный представитель застройщика или технического заказчика по вопросам строительного контроля </t>
  </si>
  <si>
    <t>Уполномоченный представитель лица, осуществляющего подготовку проектной документации, по вопросам проверки соответствия выполняемых работ проектной документации (далее - авторский надзор)</t>
  </si>
  <si>
    <t>Прораб</t>
  </si>
  <si>
    <t>организация</t>
  </si>
  <si>
    <t>реквизиты</t>
  </si>
  <si>
    <t>адрес</t>
  </si>
  <si>
    <t>район</t>
  </si>
  <si>
    <t>директор</t>
  </si>
  <si>
    <t>директор ФИО</t>
  </si>
  <si>
    <t>Строй.контроль</t>
  </si>
  <si>
    <t>Приказ стр.контр.</t>
  </si>
  <si>
    <t>ФИО стр.контр.</t>
  </si>
  <si>
    <t>Представитель</t>
  </si>
  <si>
    <t>ФИО предст.</t>
  </si>
  <si>
    <t>Приказ прораб</t>
  </si>
  <si>
    <t>ФИО прораб</t>
  </si>
  <si>
    <t>сцепленные организация</t>
  </si>
  <si>
    <t>Данные объекта</t>
  </si>
  <si>
    <t xml:space="preserve">№ САП </t>
  </si>
  <si>
    <t>Объект</t>
  </si>
  <si>
    <t>р-н</t>
  </si>
  <si>
    <t>Адрес</t>
  </si>
  <si>
    <t>Дата разбивки</t>
  </si>
  <si>
    <t>Дата старт</t>
  </si>
  <si>
    <t>Дата финиш</t>
  </si>
  <si>
    <t>год</t>
  </si>
  <si>
    <t>Наименование электроустановки</t>
  </si>
  <si>
    <t>ВЛ-10</t>
  </si>
  <si>
    <t>ВЛ-0,4</t>
  </si>
  <si>
    <t>КЛ</t>
  </si>
  <si>
    <t>ВРЩ</t>
  </si>
  <si>
    <t>Монтажная организация</t>
  </si>
  <si>
    <t xml:space="preserve">Организация </t>
  </si>
  <si>
    <t>Реквизиты</t>
  </si>
  <si>
    <t>Должность</t>
  </si>
  <si>
    <t>ФИО</t>
  </si>
  <si>
    <t>Ф.И.О.</t>
  </si>
  <si>
    <t>Приказ</t>
  </si>
  <si>
    <t>Заказчик</t>
  </si>
  <si>
    <t>Проект</t>
  </si>
  <si>
    <t>Город</t>
  </si>
  <si>
    <t>Название</t>
  </si>
  <si>
    <t>Пусконаладочная организация</t>
  </si>
  <si>
    <t>номер свидетельства</t>
  </si>
  <si>
    <t>нострой</t>
  </si>
  <si>
    <t>-</t>
  </si>
  <si>
    <t>Строительству</t>
  </si>
  <si>
    <t>Заполняется от руки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</si>
</sst>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"/>
    <numFmt numFmtId="165" formatCode="[$-F800]dddd\,\ mmmm\ dd\,\ yyyy"/>
  </numFmts>
  <fonts count="38" x14ac:knownFonts="1">
    <font>
      <sz val="10"/>
      <name val="Arial"/>
    </font>
    <font>
      <sz val="11"/>
      <color theme="1"/>
      <name val="Calibri"/>
      <family val="2"/>
      <charset val="204"/>
      <scheme val="minor"/>
    </font>
    <font>
      <sz val="10"/>
      <name val="Arial"/>
      <family val="2"/>
      <charset val="204"/>
    </font>
    <font>
      <sz val="11"/>
      <name val="Times New Roman"/>
      <family val="1"/>
      <charset val="204"/>
    </font>
    <font>
      <b/>
      <sz val="14"/>
      <name val="Times New Roman"/>
      <family val="1"/>
      <charset val="204"/>
    </font>
    <font>
      <sz val="9"/>
      <name val="Times New Roman"/>
      <family val="1"/>
      <charset val="204"/>
    </font>
    <font>
      <i/>
      <sz val="12"/>
      <name val="Times New Roman"/>
      <family val="1"/>
      <charset val="204"/>
    </font>
    <font>
      <i/>
      <sz val="9"/>
      <name val="Times New Roman"/>
      <family val="1"/>
      <charset val="204"/>
    </font>
    <font>
      <b/>
      <sz val="9"/>
      <name val="Times New Roman"/>
      <family val="1"/>
      <charset val="204"/>
    </font>
    <font>
      <i/>
      <sz val="10"/>
      <name val="Times New Roman"/>
      <family val="1"/>
      <charset val="204"/>
    </font>
    <font>
      <i/>
      <sz val="8"/>
      <name val="Times New Roman"/>
      <family val="1"/>
      <charset val="204"/>
    </font>
    <font>
      <b/>
      <sz val="8"/>
      <name val="Times New Roman"/>
      <family val="1"/>
      <charset val="204"/>
    </font>
    <font>
      <sz val="8"/>
      <name val="Arial"/>
      <family val="2"/>
      <charset val="204"/>
    </font>
    <font>
      <b/>
      <i/>
      <sz val="10"/>
      <name val="Times New Roman"/>
      <family val="1"/>
      <charset val="204"/>
    </font>
    <font>
      <sz val="10"/>
      <name val="Arial"/>
      <family val="2"/>
      <charset val="204"/>
    </font>
    <font>
      <sz val="9"/>
      <name val="Arial"/>
      <family val="2"/>
      <charset val="204"/>
    </font>
    <font>
      <b/>
      <sz val="10"/>
      <name val="Times New Roman"/>
      <family val="1"/>
      <charset val="204"/>
    </font>
    <font>
      <i/>
      <sz val="5"/>
      <name val="Times New Roman"/>
      <family val="1"/>
      <charset val="204"/>
    </font>
    <font>
      <b/>
      <sz val="5"/>
      <name val="Times New Roman"/>
      <family val="1"/>
      <charset val="204"/>
    </font>
    <font>
      <sz val="5"/>
      <name val="Arial"/>
      <family val="2"/>
      <charset val="204"/>
    </font>
    <font>
      <sz val="5"/>
      <name val="Times New Roman"/>
      <family val="1"/>
      <charset val="204"/>
    </font>
    <font>
      <sz val="8"/>
      <name val="Times New Roman"/>
      <family val="1"/>
      <charset val="204"/>
    </font>
    <font>
      <b/>
      <i/>
      <sz val="8"/>
      <name val="Times New Roman"/>
      <family val="1"/>
      <charset val="204"/>
    </font>
    <font>
      <i/>
      <sz val="8"/>
      <color indexed="8"/>
      <name val="Times New Roman"/>
      <family val="1"/>
      <charset val="204"/>
    </font>
    <font>
      <vertAlign val="superscript"/>
      <sz val="5"/>
      <name val="Arial"/>
      <family val="2"/>
      <charset val="204"/>
    </font>
    <font>
      <sz val="10"/>
      <name val="Times New Roman"/>
      <family val="1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000000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b/>
      <i/>
      <sz val="10"/>
      <color theme="1"/>
      <name val="Times New Roman"/>
      <family val="1"/>
      <charset val="204"/>
    </font>
    <font>
      <b/>
      <i/>
      <sz val="8"/>
      <color theme="1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b/>
      <i/>
      <sz val="11"/>
      <name val="Times New Roman"/>
      <family val="1"/>
      <charset val="204"/>
    </font>
    <font>
      <b/>
      <sz val="12"/>
      <name val="Times New Roman"/>
      <family val="1"/>
      <charset val="204"/>
    </font>
  </fonts>
  <fills count="1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CCCC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9966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4">
    <xf numFmtId="0" fontId="0" fillId="0" borderId="0"/>
    <xf numFmtId="0" fontId="14" fillId="0" borderId="0"/>
    <xf numFmtId="0" fontId="2" fillId="0" borderId="0"/>
    <xf numFmtId="0" fontId="1" fillId="0" borderId="0"/>
  </cellStyleXfs>
  <cellXfs count="253">
    <xf numFmtId="0" fontId="0" fillId="0" borderId="0" xfId="0"/>
    <xf numFmtId="0" fontId="4" fillId="0" borderId="0" xfId="0" applyFont="1"/>
    <xf numFmtId="0" fontId="0" fillId="0" borderId="0" xfId="0" applyAlignment="1">
      <alignment wrapText="1"/>
    </xf>
    <xf numFmtId="49" fontId="10" fillId="0" borderId="1" xfId="0" applyNumberFormat="1" applyFont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49" fontId="10" fillId="0" borderId="1" xfId="0" applyNumberFormat="1" applyFont="1" applyBorder="1" applyAlignment="1">
      <alignment horizontal="center" vertical="center" textRotation="90" wrapText="1"/>
    </xf>
    <xf numFmtId="0" fontId="4" fillId="0" borderId="0" xfId="0" applyFont="1" applyAlignment="1">
      <alignment vertical="center" wrapText="1"/>
    </xf>
    <xf numFmtId="49" fontId="7" fillId="2" borderId="0" xfId="0" applyNumberFormat="1" applyFont="1" applyFill="1" applyAlignment="1">
      <alignment horizontal="center" vertical="center" wrapText="1"/>
    </xf>
    <xf numFmtId="0" fontId="15" fillId="0" borderId="9" xfId="0" applyFont="1" applyBorder="1" applyAlignment="1">
      <alignment horizontal="right"/>
    </xf>
    <xf numFmtId="0" fontId="19" fillId="0" borderId="0" xfId="0" applyFont="1"/>
    <xf numFmtId="0" fontId="12" fillId="0" borderId="0" xfId="0" applyFont="1"/>
    <xf numFmtId="49" fontId="21" fillId="0" borderId="0" xfId="0" applyNumberFormat="1" applyFont="1" applyAlignment="1">
      <alignment wrapText="1"/>
    </xf>
    <xf numFmtId="49" fontId="10" fillId="2" borderId="10" xfId="0" applyNumberFormat="1" applyFont="1" applyFill="1" applyBorder="1" applyAlignment="1">
      <alignment horizontal="center" vertical="center" wrapText="1"/>
    </xf>
    <xf numFmtId="49" fontId="23" fillId="2" borderId="9" xfId="0" applyNumberFormat="1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 wrapText="1"/>
    </xf>
    <xf numFmtId="49" fontId="10" fillId="2" borderId="11" xfId="0" applyNumberFormat="1" applyFont="1" applyFill="1" applyBorder="1" applyAlignment="1">
      <alignment horizontal="center" vertical="center" wrapText="1"/>
    </xf>
    <xf numFmtId="49" fontId="10" fillId="2" borderId="9" xfId="0" applyNumberFormat="1" applyFont="1" applyFill="1" applyBorder="1" applyAlignment="1">
      <alignment horizontal="center" vertical="center" wrapText="1"/>
    </xf>
    <xf numFmtId="49" fontId="21" fillId="0" borderId="1" xfId="0" applyNumberFormat="1" applyFont="1" applyBorder="1" applyAlignment="1">
      <alignment wrapText="1"/>
    </xf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/>
    </xf>
    <xf numFmtId="0" fontId="21" fillId="0" borderId="1" xfId="0" applyFont="1" applyBorder="1" applyAlignment="1">
      <alignment wrapText="1"/>
    </xf>
    <xf numFmtId="0" fontId="12" fillId="0" borderId="2" xfId="0" applyFont="1" applyBorder="1"/>
    <xf numFmtId="0" fontId="12" fillId="0" borderId="3" xfId="0" applyFont="1" applyBorder="1"/>
    <xf numFmtId="0" fontId="12" fillId="0" borderId="9" xfId="0" applyFont="1" applyBorder="1"/>
    <xf numFmtId="0" fontId="12" fillId="0" borderId="5" xfId="0" applyFont="1" applyBorder="1"/>
    <xf numFmtId="0" fontId="12" fillId="0" borderId="4" xfId="0" applyFont="1" applyBorder="1"/>
    <xf numFmtId="0" fontId="26" fillId="0" borderId="22" xfId="0" applyFont="1" applyBorder="1" applyAlignment="1">
      <alignment vertical="center"/>
    </xf>
    <xf numFmtId="0" fontId="26" fillId="0" borderId="22" xfId="0" applyFont="1" applyBorder="1" applyAlignment="1">
      <alignment horizontal="center" vertical="center"/>
    </xf>
    <xf numFmtId="0" fontId="26" fillId="0" borderId="22" xfId="0" applyFont="1" applyBorder="1"/>
    <xf numFmtId="0" fontId="0" fillId="3" borderId="12" xfId="0" applyFill="1" applyBorder="1" applyAlignment="1">
      <alignment vertical="center"/>
    </xf>
    <xf numFmtId="0" fontId="0" fillId="3" borderId="12" xfId="0" applyFill="1" applyBorder="1" applyAlignment="1">
      <alignment horizontal="center" vertical="center" wrapText="1"/>
    </xf>
    <xf numFmtId="0" fontId="0" fillId="3" borderId="16" xfId="0" applyFill="1" applyBorder="1" applyAlignment="1">
      <alignment horizontal="center" vertical="center" wrapText="1"/>
    </xf>
    <xf numFmtId="0" fontId="0" fillId="0" borderId="12" xfId="0" applyBorder="1" applyAlignment="1">
      <alignment vertical="center"/>
    </xf>
    <xf numFmtId="0" fontId="0" fillId="0" borderId="12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3" borderId="12" xfId="0" applyFill="1" applyBorder="1"/>
    <xf numFmtId="0" fontId="0" fillId="4" borderId="12" xfId="0" applyFill="1" applyBorder="1" applyAlignment="1">
      <alignment wrapText="1"/>
    </xf>
    <xf numFmtId="0" fontId="0" fillId="4" borderId="0" xfId="0" applyFill="1" applyAlignment="1">
      <alignment wrapText="1"/>
    </xf>
    <xf numFmtId="0" fontId="0" fillId="5" borderId="0" xfId="0" applyFill="1" applyAlignment="1">
      <alignment wrapText="1"/>
    </xf>
    <xf numFmtId="0" fontId="0" fillId="6" borderId="12" xfId="0" applyFill="1" applyBorder="1" applyAlignment="1">
      <alignment wrapText="1"/>
    </xf>
    <xf numFmtId="0" fontId="0" fillId="6" borderId="0" xfId="0" applyFill="1" applyAlignment="1">
      <alignment wrapText="1"/>
    </xf>
    <xf numFmtId="0" fontId="0" fillId="5" borderId="12" xfId="0" applyFill="1" applyBorder="1" applyAlignment="1">
      <alignment wrapText="1"/>
    </xf>
    <xf numFmtId="0" fontId="0" fillId="7" borderId="0" xfId="0" applyFill="1" applyAlignment="1">
      <alignment wrapText="1"/>
    </xf>
    <xf numFmtId="0" fontId="0" fillId="5" borderId="12" xfId="0" applyFill="1" applyBorder="1"/>
    <xf numFmtId="0" fontId="28" fillId="0" borderId="0" xfId="0" applyFont="1"/>
    <xf numFmtId="0" fontId="29" fillId="0" borderId="12" xfId="0" applyFont="1" applyBorder="1" applyAlignment="1">
      <alignment horizontal="center"/>
    </xf>
    <xf numFmtId="0" fontId="29" fillId="8" borderId="12" xfId="0" applyFont="1" applyFill="1" applyBorder="1" applyAlignment="1">
      <alignment horizontal="center"/>
    </xf>
    <xf numFmtId="0" fontId="30" fillId="0" borderId="12" xfId="0" applyFont="1" applyBorder="1" applyAlignment="1">
      <alignment horizontal="center" wrapText="1"/>
    </xf>
    <xf numFmtId="0" fontId="30" fillId="8" borderId="12" xfId="0" applyFont="1" applyFill="1" applyBorder="1" applyAlignment="1">
      <alignment horizontal="center" vertical="center" wrapText="1"/>
    </xf>
    <xf numFmtId="0" fontId="30" fillId="0" borderId="19" xfId="0" applyFont="1" applyBorder="1" applyAlignment="1">
      <alignment horizontal="center" wrapText="1"/>
    </xf>
    <xf numFmtId="0" fontId="30" fillId="8" borderId="12" xfId="0" applyFont="1" applyFill="1" applyBorder="1" applyAlignment="1">
      <alignment horizontal="center" wrapText="1"/>
    </xf>
    <xf numFmtId="14" fontId="28" fillId="0" borderId="0" xfId="0" applyNumberFormat="1" applyFont="1"/>
    <xf numFmtId="0" fontId="30" fillId="0" borderId="16" xfId="0" applyFont="1" applyBorder="1" applyAlignment="1">
      <alignment horizontal="center" wrapText="1"/>
    </xf>
    <xf numFmtId="164" fontId="30" fillId="9" borderId="12" xfId="0" applyNumberFormat="1" applyFont="1" applyFill="1" applyBorder="1" applyAlignment="1">
      <alignment horizontal="center" wrapText="1"/>
    </xf>
    <xf numFmtId="164" fontId="30" fillId="10" borderId="12" xfId="0" applyNumberFormat="1" applyFont="1" applyFill="1" applyBorder="1" applyAlignment="1">
      <alignment horizontal="center" wrapText="1"/>
    </xf>
    <xf numFmtId="0" fontId="30" fillId="6" borderId="12" xfId="0" applyFont="1" applyFill="1" applyBorder="1" applyAlignment="1">
      <alignment horizontal="center" wrapText="1"/>
    </xf>
    <xf numFmtId="0" fontId="28" fillId="0" borderId="12" xfId="0" applyFont="1" applyBorder="1"/>
    <xf numFmtId="0" fontId="25" fillId="0" borderId="12" xfId="0" applyFont="1" applyBorder="1"/>
    <xf numFmtId="0" fontId="30" fillId="0" borderId="20" xfId="0" applyFont="1" applyBorder="1" applyAlignment="1">
      <alignment horizontal="center" wrapText="1"/>
    </xf>
    <xf numFmtId="0" fontId="30" fillId="7" borderId="12" xfId="0" applyFont="1" applyFill="1" applyBorder="1" applyAlignment="1">
      <alignment horizontal="center" wrapText="1"/>
    </xf>
    <xf numFmtId="0" fontId="30" fillId="7" borderId="12" xfId="0" applyFont="1" applyFill="1" applyBorder="1" applyAlignment="1">
      <alignment horizontal="center"/>
    </xf>
    <xf numFmtId="0" fontId="25" fillId="0" borderId="0" xfId="0" applyFont="1"/>
    <xf numFmtId="0" fontId="30" fillId="7" borderId="18" xfId="0" applyFont="1" applyFill="1" applyBorder="1" applyAlignment="1">
      <alignment horizontal="center" wrapText="1"/>
    </xf>
    <xf numFmtId="0" fontId="30" fillId="5" borderId="12" xfId="0" applyFont="1" applyFill="1" applyBorder="1" applyAlignment="1">
      <alignment horizontal="center" wrapText="1"/>
    </xf>
    <xf numFmtId="0" fontId="30" fillId="4" borderId="12" xfId="0" applyFont="1" applyFill="1" applyBorder="1" applyAlignment="1">
      <alignment horizontal="center" wrapText="1"/>
    </xf>
    <xf numFmtId="0" fontId="29" fillId="4" borderId="1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32" fillId="0" borderId="0" xfId="0" applyFont="1" applyAlignment="1">
      <alignment vertical="center" wrapText="1"/>
    </xf>
    <xf numFmtId="0" fontId="33" fillId="0" borderId="0" xfId="0" applyFont="1" applyAlignment="1">
      <alignment vertical="center" wrapText="1"/>
    </xf>
    <xf numFmtId="0" fontId="33" fillId="0" borderId="0" xfId="0" applyFont="1" applyAlignment="1">
      <alignment vertical="center"/>
    </xf>
    <xf numFmtId="0" fontId="15" fillId="0" borderId="0" xfId="0" applyFont="1"/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4" fillId="0" borderId="0" xfId="0" applyFont="1"/>
    <xf numFmtId="0" fontId="21" fillId="0" borderId="0" xfId="0" applyFont="1" applyAlignment="1">
      <alignment horizontal="center"/>
    </xf>
    <xf numFmtId="0" fontId="17" fillId="0" borderId="0" xfId="0" applyFont="1"/>
    <xf numFmtId="0" fontId="10" fillId="0" borderId="0" xfId="0" applyFont="1" applyAlignment="1">
      <alignment horizontal="center"/>
    </xf>
    <xf numFmtId="0" fontId="0" fillId="0" borderId="0" xfId="0" applyAlignment="1">
      <alignment horizontal="left"/>
    </xf>
    <xf numFmtId="0" fontId="21" fillId="0" borderId="0" xfId="0" applyFont="1" applyAlignment="1">
      <alignment vertical="center"/>
    </xf>
    <xf numFmtId="0" fontId="22" fillId="0" borderId="0" xfId="0" applyFont="1" applyAlignment="1">
      <alignment vertical="center"/>
    </xf>
    <xf numFmtId="0" fontId="21" fillId="0" borderId="0" xfId="0" applyFont="1"/>
    <xf numFmtId="0" fontId="20" fillId="0" borderId="0" xfId="0" applyFont="1"/>
    <xf numFmtId="0" fontId="13" fillId="0" borderId="0" xfId="0" applyFont="1" applyAlignment="1">
      <alignment horizontal="left" vertical="center"/>
    </xf>
    <xf numFmtId="0" fontId="3" fillId="0" borderId="0" xfId="0" applyFont="1"/>
    <xf numFmtId="0" fontId="21" fillId="0" borderId="0" xfId="2" applyFont="1" applyAlignment="1">
      <alignment vertical="center"/>
    </xf>
    <xf numFmtId="0" fontId="22" fillId="0" borderId="0" xfId="2" applyFont="1" applyAlignment="1">
      <alignment vertical="center"/>
    </xf>
    <xf numFmtId="0" fontId="21" fillId="0" borderId="0" xfId="2" applyFont="1"/>
    <xf numFmtId="0" fontId="3" fillId="0" borderId="0" xfId="2" applyFont="1" applyAlignment="1">
      <alignment vertical="center"/>
    </xf>
    <xf numFmtId="0" fontId="13" fillId="0" borderId="0" xfId="2" applyFont="1" applyAlignment="1">
      <alignment vertical="center"/>
    </xf>
    <xf numFmtId="0" fontId="3" fillId="0" borderId="0" xfId="2" applyFont="1"/>
    <xf numFmtId="0" fontId="22" fillId="0" borderId="0" xfId="0" applyFont="1" applyAlignment="1">
      <alignment horizontal="left" vertical="center"/>
    </xf>
    <xf numFmtId="0" fontId="7" fillId="0" borderId="0" xfId="0" applyFont="1" applyAlignment="1">
      <alignment horizontal="center" wrapText="1"/>
    </xf>
    <xf numFmtId="0" fontId="7" fillId="0" borderId="0" xfId="0" applyFont="1" applyAlignment="1">
      <alignment horizontal="center"/>
    </xf>
    <xf numFmtId="0" fontId="12" fillId="0" borderId="0" xfId="0" applyFont="1" applyAlignment="1">
      <alignment horizontal="left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0" fontId="21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 wrapText="1"/>
    </xf>
    <xf numFmtId="0" fontId="3" fillId="0" borderId="0" xfId="0" applyFont="1" applyAlignment="1">
      <alignment wrapText="1"/>
    </xf>
    <xf numFmtId="0" fontId="21" fillId="0" borderId="0" xfId="0" applyFont="1" applyAlignment="1">
      <alignment horizontal="left" wrapText="1"/>
    </xf>
    <xf numFmtId="0" fontId="22" fillId="0" borderId="0" xfId="0" applyFont="1" applyAlignment="1">
      <alignment horizontal="center" vertical="center"/>
    </xf>
    <xf numFmtId="0" fontId="21" fillId="0" borderId="0" xfId="0" applyFont="1" applyAlignment="1">
      <alignment horizontal="left"/>
    </xf>
    <xf numFmtId="0" fontId="22" fillId="0" borderId="0" xfId="0" applyFont="1"/>
    <xf numFmtId="0" fontId="8" fillId="0" borderId="0" xfId="0" applyFont="1" applyAlignment="1">
      <alignment horizontal="left"/>
    </xf>
    <xf numFmtId="0" fontId="10" fillId="0" borderId="0" xfId="0" applyFont="1" applyAlignment="1">
      <alignment horizontal="center" vertical="top" wrapText="1"/>
    </xf>
    <xf numFmtId="0" fontId="11" fillId="0" borderId="0" xfId="0" applyFont="1"/>
    <xf numFmtId="0" fontId="17" fillId="0" borderId="0" xfId="0" applyFont="1" applyAlignment="1">
      <alignment horizontal="left"/>
    </xf>
    <xf numFmtId="0" fontId="21" fillId="0" borderId="0" xfId="0" applyFont="1" applyAlignment="1">
      <alignment wrapText="1"/>
    </xf>
    <xf numFmtId="0" fontId="21" fillId="0" borderId="0" xfId="0" applyFont="1" applyAlignment="1">
      <alignment horizontal="center" wrapText="1"/>
    </xf>
    <xf numFmtId="0" fontId="17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0" fontId="10" fillId="0" borderId="0" xfId="0" applyFont="1" applyAlignment="1">
      <alignment vertical="top" wrapText="1"/>
    </xf>
    <xf numFmtId="0" fontId="5" fillId="0" borderId="0" xfId="0" applyFont="1" applyAlignment="1">
      <alignment horizontal="center" vertical="center"/>
    </xf>
    <xf numFmtId="0" fontId="21" fillId="0" borderId="0" xfId="2" applyFont="1" applyAlignment="1">
      <alignment horizontal="right"/>
    </xf>
    <xf numFmtId="0" fontId="14" fillId="0" borderId="12" xfId="0" applyFont="1" applyBorder="1" applyAlignment="1">
      <alignment horizontal="center" vertical="center" wrapText="1"/>
    </xf>
    <xf numFmtId="0" fontId="28" fillId="11" borderId="12" xfId="0" applyFont="1" applyFill="1" applyBorder="1" applyAlignment="1">
      <alignment wrapText="1"/>
    </xf>
    <xf numFmtId="0" fontId="28" fillId="11" borderId="12" xfId="0" applyFont="1" applyFill="1" applyBorder="1"/>
    <xf numFmtId="0" fontId="14" fillId="3" borderId="12" xfId="0" applyFont="1" applyFill="1" applyBorder="1" applyAlignment="1">
      <alignment horizontal="center" vertical="center" wrapText="1"/>
    </xf>
    <xf numFmtId="0" fontId="35" fillId="0" borderId="0" xfId="0" applyFont="1"/>
    <xf numFmtId="49" fontId="10" fillId="0" borderId="10" xfId="0" applyNumberFormat="1" applyFont="1" applyBorder="1" applyAlignment="1">
      <alignment horizontal="center"/>
    </xf>
    <xf numFmtId="49" fontId="10" fillId="0" borderId="9" xfId="0" applyNumberFormat="1" applyFont="1" applyBorder="1" applyAlignment="1">
      <alignment horizontal="center" vertical="top" wrapText="1"/>
    </xf>
    <xf numFmtId="49" fontId="30" fillId="8" borderId="12" xfId="0" applyNumberFormat="1" applyFont="1" applyFill="1" applyBorder="1" applyAlignment="1">
      <alignment horizontal="center" wrapText="1"/>
    </xf>
    <xf numFmtId="49" fontId="10" fillId="0" borderId="10" xfId="0" applyNumberFormat="1" applyFont="1" applyFill="1" applyBorder="1" applyAlignment="1">
      <alignment horizontal="center" vertical="center" wrapText="1"/>
    </xf>
    <xf numFmtId="49" fontId="10" fillId="0" borderId="9" xfId="0" applyNumberFormat="1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left" vertical="center" wrapText="1"/>
    </xf>
    <xf numFmtId="49" fontId="10" fillId="0" borderId="1" xfId="0" applyNumberFormat="1" applyFont="1" applyFill="1" applyBorder="1" applyAlignment="1">
      <alignment horizontal="center" vertical="center" wrapText="1"/>
    </xf>
    <xf numFmtId="49" fontId="10" fillId="0" borderId="24" xfId="0" applyNumberFormat="1" applyFont="1" applyBorder="1" applyAlignment="1">
      <alignment horizontal="center" vertical="center"/>
    </xf>
    <xf numFmtId="49" fontId="10" fillId="0" borderId="1" xfId="0" applyNumberFormat="1" applyFont="1" applyBorder="1" applyAlignment="1">
      <alignment horizontal="center" vertical="center"/>
    </xf>
    <xf numFmtId="0" fontId="0" fillId="0" borderId="0" xfId="0" applyBorder="1"/>
    <xf numFmtId="0" fontId="16" fillId="0" borderId="0" xfId="0" applyFont="1" applyBorder="1" applyAlignment="1">
      <alignment horizontal="right" vertical="center" wrapText="1"/>
    </xf>
    <xf numFmtId="0" fontId="4" fillId="0" borderId="0" xfId="0" applyFont="1" applyBorder="1" applyAlignment="1">
      <alignment vertical="center" wrapText="1"/>
    </xf>
    <xf numFmtId="0" fontId="4" fillId="0" borderId="5" xfId="0" applyFont="1" applyBorder="1" applyAlignment="1">
      <alignment vertical="center" wrapText="1"/>
    </xf>
    <xf numFmtId="49" fontId="10" fillId="0" borderId="1" xfId="0" applyNumberFormat="1" applyFont="1" applyBorder="1" applyAlignment="1">
      <alignment horizontal="left" vertical="center"/>
    </xf>
    <xf numFmtId="0" fontId="30" fillId="6" borderId="12" xfId="3" applyFont="1" applyFill="1" applyBorder="1" applyAlignment="1">
      <alignment horizontal="center" wrapText="1"/>
    </xf>
    <xf numFmtId="0" fontId="10" fillId="0" borderId="10" xfId="0" applyNumberFormat="1" applyFont="1" applyFill="1" applyBorder="1" applyAlignment="1">
      <alignment horizontal="center" vertical="center" wrapText="1"/>
    </xf>
    <xf numFmtId="0" fontId="10" fillId="2" borderId="9" xfId="0" applyNumberFormat="1" applyFont="1" applyFill="1" applyBorder="1" applyAlignment="1">
      <alignment horizontal="center" vertical="center" wrapText="1"/>
    </xf>
    <xf numFmtId="0" fontId="21" fillId="0" borderId="1" xfId="0" applyNumberFormat="1" applyFont="1" applyBorder="1" applyAlignment="1">
      <alignment wrapText="1"/>
    </xf>
    <xf numFmtId="0" fontId="2" fillId="0" borderId="12" xfId="0" applyFont="1" applyBorder="1" applyAlignment="1">
      <alignment horizontal="center" vertical="center" wrapText="1"/>
    </xf>
    <xf numFmtId="0" fontId="14" fillId="3" borderId="16" xfId="1" applyFill="1" applyBorder="1" applyAlignment="1">
      <alignment horizontal="center" vertical="center" wrapText="1"/>
    </xf>
    <xf numFmtId="49" fontId="10" fillId="0" borderId="11" xfId="0" applyNumberFormat="1" applyFont="1" applyFill="1" applyBorder="1" applyAlignment="1">
      <alignment horizontal="center" vertical="center" wrapText="1"/>
    </xf>
    <xf numFmtId="49" fontId="10" fillId="2" borderId="25" xfId="0" applyNumberFormat="1" applyFont="1" applyFill="1" applyBorder="1" applyAlignment="1">
      <alignment horizontal="center" vertical="center" wrapText="1"/>
    </xf>
    <xf numFmtId="49" fontId="10" fillId="2" borderId="26" xfId="0" applyNumberFormat="1" applyFont="1" applyFill="1" applyBorder="1" applyAlignment="1">
      <alignment horizontal="center" vertical="center" wrapText="1"/>
    </xf>
    <xf numFmtId="49" fontId="10" fillId="2" borderId="18" xfId="0" applyNumberFormat="1" applyFont="1" applyFill="1" applyBorder="1" applyAlignment="1">
      <alignment horizontal="center" vertical="center" wrapText="1"/>
    </xf>
    <xf numFmtId="49" fontId="10" fillId="2" borderId="7" xfId="0" applyNumberFormat="1" applyFont="1" applyFill="1" applyBorder="1" applyAlignment="1">
      <alignment horizontal="center" vertical="center" wrapText="1"/>
    </xf>
    <xf numFmtId="49" fontId="10" fillId="2" borderId="27" xfId="0" applyNumberFormat="1" applyFont="1" applyFill="1" applyBorder="1" applyAlignment="1">
      <alignment horizontal="left" vertical="center" wrapText="1"/>
    </xf>
    <xf numFmtId="49" fontId="10" fillId="2" borderId="1" xfId="0" applyNumberFormat="1" applyFont="1" applyFill="1" applyBorder="1" applyAlignment="1">
      <alignment vertical="center" wrapText="1"/>
    </xf>
    <xf numFmtId="0" fontId="37" fillId="0" borderId="0" xfId="0" applyFont="1"/>
    <xf numFmtId="0" fontId="10" fillId="2" borderId="10" xfId="0" applyNumberFormat="1" applyFont="1" applyFill="1" applyBorder="1" applyAlignment="1">
      <alignment horizontal="left" vertical="center" wrapText="1"/>
    </xf>
    <xf numFmtId="0" fontId="21" fillId="0" borderId="1" xfId="0" applyNumberFormat="1" applyFont="1" applyBorder="1" applyAlignment="1">
      <alignment horizontal="center" vertical="center" wrapText="1"/>
    </xf>
    <xf numFmtId="0" fontId="21" fillId="0" borderId="1" xfId="0" applyNumberFormat="1" applyFont="1" applyBorder="1" applyAlignment="1">
      <alignment horizontal="left" vertical="top" wrapText="1"/>
    </xf>
    <xf numFmtId="49" fontId="21" fillId="0" borderId="1" xfId="0" applyNumberFormat="1" applyFont="1" applyBorder="1" applyAlignment="1">
      <alignment horizontal="center" vertical="center" wrapText="1"/>
    </xf>
    <xf numFmtId="49" fontId="21" fillId="0" borderId="1" xfId="0" applyNumberFormat="1" applyFont="1" applyBorder="1" applyAlignment="1">
      <alignment horizontal="left" vertical="center" wrapText="1"/>
    </xf>
    <xf numFmtId="0" fontId="26" fillId="0" borderId="22" xfId="0" applyFont="1" applyBorder="1" applyAlignment="1">
      <alignment horizontal="center"/>
    </xf>
    <xf numFmtId="0" fontId="0" fillId="3" borderId="16" xfId="0" applyFill="1" applyBorder="1" applyAlignment="1">
      <alignment horizontal="center" vertical="center" wrapText="1"/>
    </xf>
    <xf numFmtId="0" fontId="0" fillId="3" borderId="18" xfId="0" applyFill="1" applyBorder="1" applyAlignment="1">
      <alignment horizontal="center" vertical="center" wrapText="1"/>
    </xf>
    <xf numFmtId="0" fontId="0" fillId="3" borderId="17" xfId="0" applyFill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31" fillId="0" borderId="21" xfId="0" applyFont="1" applyBorder="1" applyAlignment="1">
      <alignment horizontal="center"/>
    </xf>
    <xf numFmtId="0" fontId="31" fillId="0" borderId="0" xfId="0" applyFont="1" applyAlignment="1">
      <alignment horizontal="center"/>
    </xf>
    <xf numFmtId="0" fontId="27" fillId="0" borderId="16" xfId="0" applyFont="1" applyBorder="1" applyAlignment="1">
      <alignment horizontal="center" wrapText="1"/>
    </xf>
    <xf numFmtId="0" fontId="27" fillId="0" borderId="18" xfId="0" applyFont="1" applyBorder="1" applyAlignment="1">
      <alignment horizontal="center" wrapText="1"/>
    </xf>
    <xf numFmtId="0" fontId="27" fillId="0" borderId="16" xfId="0" applyFont="1" applyBorder="1" applyAlignment="1">
      <alignment horizontal="center"/>
    </xf>
    <xf numFmtId="0" fontId="27" fillId="0" borderId="18" xfId="0" applyFont="1" applyBorder="1" applyAlignment="1">
      <alignment horizontal="center"/>
    </xf>
    <xf numFmtId="0" fontId="27" fillId="0" borderId="23" xfId="0" applyFont="1" applyBorder="1" applyAlignment="1">
      <alignment horizontal="center" wrapText="1"/>
    </xf>
    <xf numFmtId="0" fontId="16" fillId="0" borderId="4" xfId="0" applyFont="1" applyBorder="1" applyAlignment="1">
      <alignment horizontal="center" vertical="center"/>
    </xf>
    <xf numFmtId="0" fontId="16" fillId="0" borderId="0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 wrapText="1"/>
    </xf>
    <xf numFmtId="0" fontId="16" fillId="0" borderId="0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0" fontId="16" fillId="0" borderId="0" xfId="0" applyFont="1" applyBorder="1" applyAlignment="1">
      <alignment horizontal="left" vertical="center" wrapText="1"/>
    </xf>
    <xf numFmtId="0" fontId="22" fillId="0" borderId="0" xfId="0" applyFont="1" applyAlignment="1">
      <alignment horizontal="center" wrapText="1"/>
    </xf>
    <xf numFmtId="0" fontId="22" fillId="0" borderId="13" xfId="0" applyFont="1" applyBorder="1" applyAlignment="1">
      <alignment horizontal="center" wrapText="1"/>
    </xf>
    <xf numFmtId="0" fontId="17" fillId="0" borderId="0" xfId="0" applyFont="1" applyAlignment="1">
      <alignment horizontal="center" vertical="top" wrapText="1"/>
    </xf>
    <xf numFmtId="0" fontId="22" fillId="0" borderId="13" xfId="0" applyFont="1" applyBorder="1" applyAlignment="1">
      <alignment horizontal="center" vertical="center"/>
    </xf>
    <xf numFmtId="0" fontId="22" fillId="0" borderId="12" xfId="0" applyFont="1" applyBorder="1" applyAlignment="1">
      <alignment horizontal="center" vertical="center"/>
    </xf>
    <xf numFmtId="0" fontId="21" fillId="0" borderId="12" xfId="0" applyFont="1" applyBorder="1" applyAlignment="1">
      <alignment horizontal="center"/>
    </xf>
    <xf numFmtId="0" fontId="21" fillId="0" borderId="13" xfId="0" applyFont="1" applyBorder="1" applyAlignment="1">
      <alignment horizontal="center"/>
    </xf>
    <xf numFmtId="0" fontId="21" fillId="0" borderId="12" xfId="0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/>
    </xf>
    <xf numFmtId="0" fontId="21" fillId="0" borderId="16" xfId="0" applyFont="1" applyBorder="1" applyAlignment="1">
      <alignment horizontal="center" vertical="center" wrapText="1"/>
    </xf>
    <xf numFmtId="0" fontId="21" fillId="0" borderId="18" xfId="0" applyFont="1" applyBorder="1" applyAlignment="1">
      <alignment horizontal="center" vertical="center"/>
    </xf>
    <xf numFmtId="0" fontId="21" fillId="0" borderId="17" xfId="0" applyFont="1" applyBorder="1" applyAlignment="1">
      <alignment horizontal="center" vertical="center"/>
    </xf>
    <xf numFmtId="0" fontId="21" fillId="0" borderId="18" xfId="0" applyFont="1" applyBorder="1" applyAlignment="1">
      <alignment horizontal="center" vertical="center" wrapText="1"/>
    </xf>
    <xf numFmtId="0" fontId="21" fillId="0" borderId="17" xfId="0" applyFont="1" applyBorder="1" applyAlignment="1">
      <alignment horizontal="center" vertical="center" wrapText="1"/>
    </xf>
    <xf numFmtId="0" fontId="21" fillId="0" borderId="13" xfId="0" applyFont="1" applyBorder="1" applyAlignment="1">
      <alignment horizontal="left" vertical="center"/>
    </xf>
    <xf numFmtId="0" fontId="8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2" fillId="11" borderId="13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17" fillId="0" borderId="21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7" fillId="0" borderId="0" xfId="0" applyFont="1" applyAlignment="1">
      <alignment horizontal="center" vertical="center" wrapText="1"/>
    </xf>
    <xf numFmtId="0" fontId="22" fillId="0" borderId="13" xfId="0" applyFont="1" applyBorder="1" applyAlignment="1">
      <alignment horizontal="center" vertical="center" wrapText="1"/>
    </xf>
    <xf numFmtId="0" fontId="17" fillId="0" borderId="21" xfId="0" applyFont="1" applyBorder="1" applyAlignment="1">
      <alignment horizontal="center" vertical="center" wrapText="1"/>
    </xf>
    <xf numFmtId="0" fontId="21" fillId="0" borderId="0" xfId="0" applyFont="1" applyAlignment="1">
      <alignment horizontal="left" vertical="center" wrapText="1"/>
    </xf>
    <xf numFmtId="0" fontId="17" fillId="0" borderId="21" xfId="0" applyFont="1" applyBorder="1" applyAlignment="1">
      <alignment horizontal="center" wrapText="1"/>
    </xf>
    <xf numFmtId="0" fontId="17" fillId="0" borderId="0" xfId="0" applyFont="1" applyAlignment="1">
      <alignment horizontal="center" wrapText="1"/>
    </xf>
    <xf numFmtId="0" fontId="21" fillId="0" borderId="16" xfId="0" applyFont="1" applyBorder="1" applyAlignment="1">
      <alignment horizontal="center" vertical="center"/>
    </xf>
    <xf numFmtId="0" fontId="21" fillId="0" borderId="12" xfId="0" applyFont="1" applyBorder="1" applyAlignment="1">
      <alignment horizontal="center" wrapText="1"/>
    </xf>
    <xf numFmtId="0" fontId="34" fillId="0" borderId="0" xfId="0" applyFont="1" applyAlignment="1">
      <alignment horizontal="justify" vertical="center" wrapText="1"/>
    </xf>
    <xf numFmtId="0" fontId="36" fillId="0" borderId="12" xfId="0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/>
    </xf>
    <xf numFmtId="0" fontId="21" fillId="0" borderId="0" xfId="0" applyFont="1" applyAlignment="1">
      <alignment horizontal="left" vertical="top" wrapText="1"/>
    </xf>
    <xf numFmtId="0" fontId="3" fillId="0" borderId="13" xfId="0" applyFont="1" applyBorder="1" applyAlignment="1">
      <alignment horizontal="center"/>
    </xf>
    <xf numFmtId="0" fontId="21" fillId="0" borderId="0" xfId="0" applyFont="1" applyAlignment="1">
      <alignment horizontal="left" wrapText="1"/>
    </xf>
    <xf numFmtId="165" fontId="11" fillId="0" borderId="13" xfId="0" applyNumberFormat="1" applyFont="1" applyBorder="1" applyAlignment="1">
      <alignment horizontal="center"/>
    </xf>
    <xf numFmtId="0" fontId="21" fillId="12" borderId="13" xfId="0" applyFont="1" applyFill="1" applyBorder="1" applyAlignment="1">
      <alignment horizontal="center" wrapText="1"/>
    </xf>
    <xf numFmtId="165" fontId="21" fillId="0" borderId="13" xfId="0" applyNumberFormat="1" applyFont="1" applyBorder="1" applyAlignment="1">
      <alignment horizontal="center"/>
    </xf>
    <xf numFmtId="0" fontId="21" fillId="0" borderId="13" xfId="0" applyFont="1" applyBorder="1" applyAlignment="1">
      <alignment horizontal="center" wrapText="1"/>
    </xf>
    <xf numFmtId="0" fontId="17" fillId="0" borderId="21" xfId="0" applyFont="1" applyBorder="1" applyAlignment="1">
      <alignment horizontal="center" vertical="top" wrapText="1"/>
    </xf>
    <xf numFmtId="0" fontId="21" fillId="0" borderId="13" xfId="0" applyFont="1" applyBorder="1" applyAlignment="1">
      <alignment horizontal="left" vertical="center" wrapText="1"/>
    </xf>
    <xf numFmtId="0" fontId="6" fillId="0" borderId="0" xfId="0" applyFont="1" applyAlignment="1">
      <alignment horizontal="center" vertical="top" wrapText="1"/>
    </xf>
    <xf numFmtId="0" fontId="10" fillId="0" borderId="0" xfId="0" applyFont="1" applyAlignment="1">
      <alignment horizontal="center" vertical="top" wrapText="1"/>
    </xf>
    <xf numFmtId="0" fontId="21" fillId="0" borderId="0" xfId="0" applyFont="1" applyAlignment="1">
      <alignment horizontal="center" vertical="top" wrapText="1"/>
    </xf>
    <xf numFmtId="0" fontId="20" fillId="0" borderId="0" xfId="0" applyFont="1" applyAlignment="1">
      <alignment horizontal="center" vertical="center"/>
    </xf>
    <xf numFmtId="0" fontId="21" fillId="0" borderId="13" xfId="2" applyFont="1" applyBorder="1" applyAlignment="1">
      <alignment horizontal="center"/>
    </xf>
    <xf numFmtId="0" fontId="22" fillId="0" borderId="13" xfId="2" applyFont="1" applyBorder="1" applyAlignment="1">
      <alignment horizontal="center"/>
    </xf>
    <xf numFmtId="0" fontId="11" fillId="0" borderId="13" xfId="2" applyFont="1" applyBorder="1" applyAlignment="1">
      <alignment horizontal="center"/>
    </xf>
    <xf numFmtId="0" fontId="20" fillId="0" borderId="0" xfId="0" applyFont="1" applyAlignment="1">
      <alignment horizontal="center" vertical="center" wrapText="1"/>
    </xf>
    <xf numFmtId="0" fontId="21" fillId="0" borderId="13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1" fillId="0" borderId="0" xfId="2" applyFont="1" applyAlignment="1">
      <alignment horizontal="left" vertical="center"/>
    </xf>
    <xf numFmtId="0" fontId="21" fillId="12" borderId="12" xfId="0" applyFont="1" applyFill="1" applyBorder="1" applyAlignment="1">
      <alignment horizontal="center" vertical="center" wrapText="1"/>
    </xf>
    <xf numFmtId="0" fontId="21" fillId="0" borderId="13" xfId="0" applyFont="1" applyBorder="1" applyAlignment="1">
      <alignment horizontal="left" wrapText="1"/>
    </xf>
    <xf numFmtId="49" fontId="16" fillId="0" borderId="7" xfId="0" applyNumberFormat="1" applyFont="1" applyBorder="1" applyAlignment="1">
      <alignment horizontal="center" vertical="center" wrapText="1"/>
    </xf>
    <xf numFmtId="0" fontId="16" fillId="0" borderId="0" xfId="0" applyFont="1" applyAlignment="1">
      <alignment horizontal="center"/>
    </xf>
    <xf numFmtId="49" fontId="16" fillId="0" borderId="0" xfId="0" applyNumberFormat="1" applyFont="1" applyAlignment="1">
      <alignment horizontal="center"/>
    </xf>
    <xf numFmtId="49" fontId="16" fillId="0" borderId="7" xfId="0" applyNumberFormat="1" applyFont="1" applyBorder="1" applyAlignment="1">
      <alignment horizontal="center" vertical="center"/>
    </xf>
    <xf numFmtId="49" fontId="4" fillId="0" borderId="0" xfId="0" applyNumberFormat="1" applyFont="1" applyAlignment="1">
      <alignment horizontal="center"/>
    </xf>
    <xf numFmtId="49" fontId="16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12" fillId="0" borderId="14" xfId="0" applyFont="1" applyBorder="1" applyAlignment="1">
      <alignment horizontal="center"/>
    </xf>
    <xf numFmtId="0" fontId="12" fillId="0" borderId="13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0" fontId="24" fillId="0" borderId="4" xfId="0" applyFont="1" applyBorder="1" applyAlignment="1">
      <alignment horizontal="center"/>
    </xf>
    <xf numFmtId="0" fontId="24" fillId="0" borderId="0" xfId="0" applyFont="1" applyAlignment="1">
      <alignment horizontal="center"/>
    </xf>
    <xf numFmtId="0" fontId="24" fillId="0" borderId="5" xfId="0" applyFont="1" applyBorder="1" applyAlignment="1">
      <alignment horizontal="center"/>
    </xf>
    <xf numFmtId="0" fontId="24" fillId="0" borderId="6" xfId="0" applyFont="1" applyBorder="1" applyAlignment="1">
      <alignment horizontal="center"/>
    </xf>
    <xf numFmtId="0" fontId="24" fillId="0" borderId="7" xfId="0" applyFont="1" applyBorder="1" applyAlignment="1">
      <alignment horizontal="center"/>
    </xf>
    <xf numFmtId="0" fontId="24" fillId="0" borderId="8" xfId="0" applyFont="1" applyBorder="1" applyAlignment="1">
      <alignment horizontal="center"/>
    </xf>
  </cellXfs>
  <cellStyles count="4">
    <cellStyle name="Обычный" xfId="0" builtinId="0"/>
    <cellStyle name="Обычный 2" xfId="1" xr:uid="{00000000-0005-0000-0000-000001000000}"/>
    <cellStyle name="Обычный 6" xfId="3" xr:uid="{2E9D31AD-C9DC-4747-970B-7B5808D094D2}"/>
    <cellStyle name="Обычный_Пример акта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0"/>
  <sheetViews>
    <sheetView topLeftCell="D1" workbookViewId="0">
      <selection activeCell="K15" sqref="K15"/>
    </sheetView>
  </sheetViews>
  <sheetFormatPr defaultRowHeight="12.75" x14ac:dyDescent="0.2"/>
  <cols>
    <col min="1" max="1" width="14.7109375" customWidth="1"/>
    <col min="2" max="2" width="26.42578125" customWidth="1"/>
    <col min="3" max="3" width="38.28515625" customWidth="1"/>
    <col min="4" max="4" width="44.28515625" customWidth="1"/>
    <col min="5" max="5" width="39.42578125" customWidth="1"/>
    <col min="6" max="6" width="23.5703125" customWidth="1"/>
    <col min="7" max="8" width="27.85546875" customWidth="1"/>
    <col min="9" max="9" width="39" customWidth="1"/>
  </cols>
  <sheetData>
    <row r="1" spans="1:9" ht="15" x14ac:dyDescent="0.25">
      <c r="A1" s="33" t="s">
        <v>134</v>
      </c>
      <c r="B1" s="33"/>
      <c r="C1" s="34"/>
      <c r="D1" s="34"/>
      <c r="E1" s="34"/>
      <c r="F1" s="35"/>
      <c r="G1" s="160"/>
      <c r="H1" s="160"/>
      <c r="I1" s="160"/>
    </row>
    <row r="2" spans="1:9" ht="25.5" x14ac:dyDescent="0.2">
      <c r="A2" s="36" t="s">
        <v>135</v>
      </c>
      <c r="B2" s="36"/>
      <c r="C2" s="37"/>
      <c r="D2" s="37"/>
      <c r="E2" s="38"/>
      <c r="F2" s="38"/>
      <c r="G2" s="161"/>
      <c r="H2" s="162"/>
      <c r="I2" s="163"/>
    </row>
    <row r="3" spans="1:9" ht="53.25" customHeight="1" x14ac:dyDescent="0.2">
      <c r="A3" s="39" t="s">
        <v>136</v>
      </c>
      <c r="B3" s="39"/>
      <c r="C3" s="40"/>
      <c r="D3" s="40"/>
      <c r="E3" s="41"/>
      <c r="F3" s="41"/>
      <c r="G3" s="164"/>
      <c r="H3" s="165"/>
      <c r="I3" s="166"/>
    </row>
    <row r="4" spans="1:9" x14ac:dyDescent="0.2">
      <c r="A4" s="36" t="s">
        <v>137</v>
      </c>
      <c r="B4" s="36"/>
      <c r="C4" s="37"/>
      <c r="D4" s="37"/>
      <c r="E4" s="37"/>
      <c r="F4" s="37"/>
      <c r="G4" s="37"/>
      <c r="H4" s="37"/>
      <c r="I4" s="37"/>
    </row>
    <row r="5" spans="1:9" x14ac:dyDescent="0.2">
      <c r="A5" s="39"/>
      <c r="B5" s="39"/>
      <c r="C5" s="40"/>
      <c r="D5" s="40"/>
      <c r="E5" s="40"/>
      <c r="F5" s="40"/>
      <c r="G5" s="40"/>
      <c r="H5" s="40"/>
      <c r="I5" s="40"/>
    </row>
    <row r="6" spans="1:9" ht="24" customHeight="1" x14ac:dyDescent="0.2">
      <c r="A6" s="36" t="s">
        <v>138</v>
      </c>
      <c r="B6" s="36"/>
      <c r="C6" s="37"/>
      <c r="D6" s="37"/>
      <c r="E6" s="37"/>
      <c r="F6" s="37"/>
      <c r="G6" s="37"/>
      <c r="H6" s="37"/>
      <c r="I6" s="37"/>
    </row>
    <row r="7" spans="1:9" ht="15" customHeight="1" x14ac:dyDescent="0.2">
      <c r="A7" s="39" t="s">
        <v>139</v>
      </c>
      <c r="B7" s="39"/>
      <c r="C7" s="40"/>
      <c r="D7" s="40"/>
      <c r="E7" s="40"/>
      <c r="F7" s="40"/>
      <c r="G7" s="40"/>
      <c r="H7" s="40"/>
      <c r="I7" s="40"/>
    </row>
    <row r="8" spans="1:9" ht="29.25" customHeight="1" x14ac:dyDescent="0.2">
      <c r="A8" s="36" t="s">
        <v>140</v>
      </c>
      <c r="B8" s="37"/>
      <c r="C8" s="37"/>
      <c r="D8" s="37"/>
      <c r="E8" s="37"/>
      <c r="F8" s="37"/>
      <c r="G8" s="145"/>
      <c r="H8" s="40"/>
      <c r="I8" s="145"/>
    </row>
    <row r="9" spans="1:9" ht="42.75" customHeight="1" x14ac:dyDescent="0.2">
      <c r="A9" s="39" t="s">
        <v>141</v>
      </c>
      <c r="B9" s="39"/>
      <c r="C9" s="122"/>
      <c r="D9" s="122"/>
      <c r="E9" s="40"/>
      <c r="F9" s="40"/>
      <c r="G9" s="37"/>
      <c r="H9" s="37"/>
      <c r="I9" s="37"/>
    </row>
    <row r="10" spans="1:9" ht="42.75" customHeight="1" x14ac:dyDescent="0.2">
      <c r="A10" s="39"/>
      <c r="B10" s="122"/>
      <c r="C10" s="122"/>
      <c r="D10" s="122"/>
      <c r="E10" s="40"/>
      <c r="F10" s="40"/>
      <c r="G10" s="145"/>
      <c r="H10" s="145"/>
      <c r="I10" s="145"/>
    </row>
    <row r="11" spans="1:9" x14ac:dyDescent="0.2">
      <c r="A11" s="36" t="s">
        <v>142</v>
      </c>
      <c r="B11" s="37"/>
      <c r="C11" s="37"/>
      <c r="D11" s="37"/>
      <c r="E11" s="37"/>
      <c r="F11" s="37"/>
      <c r="G11" s="145"/>
      <c r="H11" s="145"/>
      <c r="I11" s="145"/>
    </row>
    <row r="12" spans="1:9" ht="30.75" customHeight="1" x14ac:dyDescent="0.2">
      <c r="A12" s="39" t="s">
        <v>143</v>
      </c>
      <c r="B12" s="39"/>
      <c r="C12" s="40"/>
      <c r="D12" s="40"/>
      <c r="E12" s="40"/>
      <c r="F12" s="40"/>
      <c r="G12" s="37"/>
      <c r="H12" s="146"/>
      <c r="I12" s="37"/>
    </row>
    <row r="13" spans="1:9" x14ac:dyDescent="0.2">
      <c r="A13" s="36" t="s">
        <v>144</v>
      </c>
      <c r="B13" s="36"/>
      <c r="C13" s="37"/>
      <c r="D13" s="37"/>
      <c r="E13" s="37"/>
      <c r="F13" s="37"/>
      <c r="G13" s="40"/>
      <c r="H13" s="40"/>
      <c r="I13" s="40"/>
    </row>
    <row r="14" spans="1:9" x14ac:dyDescent="0.2">
      <c r="A14" s="36"/>
      <c r="B14" s="36"/>
      <c r="C14" s="37"/>
      <c r="D14" s="37"/>
      <c r="E14" s="37"/>
      <c r="F14" s="37"/>
      <c r="G14" s="37"/>
      <c r="H14" s="37"/>
      <c r="I14" s="37"/>
    </row>
    <row r="15" spans="1:9" ht="39" customHeight="1" x14ac:dyDescent="0.2">
      <c r="A15" s="39"/>
      <c r="B15" s="39"/>
      <c r="C15" s="40"/>
      <c r="D15" s="40"/>
      <c r="E15" s="40"/>
      <c r="F15" s="40"/>
      <c r="G15" s="37"/>
      <c r="H15" s="37"/>
      <c r="I15" s="37"/>
    </row>
    <row r="16" spans="1:9" ht="16.5" customHeight="1" x14ac:dyDescent="0.2">
      <c r="A16" s="36"/>
      <c r="B16" s="36"/>
      <c r="C16" s="37"/>
      <c r="D16" s="37"/>
      <c r="E16" s="37"/>
      <c r="F16" s="37"/>
      <c r="G16" s="40"/>
      <c r="H16" s="40"/>
      <c r="I16" s="40"/>
    </row>
    <row r="17" spans="1:9" ht="16.5" customHeight="1" x14ac:dyDescent="0.2">
      <c r="A17" s="39"/>
      <c r="B17" s="39"/>
      <c r="C17" s="40"/>
      <c r="D17" s="40"/>
      <c r="E17" s="40"/>
      <c r="F17" s="40"/>
      <c r="G17" s="37"/>
      <c r="H17" s="37"/>
      <c r="I17" s="125"/>
    </row>
    <row r="18" spans="1:9" ht="18" customHeight="1" x14ac:dyDescent="0.2">
      <c r="A18" s="36"/>
      <c r="B18" s="36"/>
      <c r="C18" s="37"/>
      <c r="D18" s="37"/>
      <c r="E18" s="37"/>
      <c r="F18" s="37"/>
      <c r="G18" s="40"/>
      <c r="H18" s="40"/>
      <c r="I18" s="40"/>
    </row>
    <row r="19" spans="1:9" ht="21.75" customHeight="1" x14ac:dyDescent="0.2">
      <c r="A19" s="39" t="s">
        <v>133</v>
      </c>
      <c r="B19" s="39"/>
      <c r="C19" s="40"/>
      <c r="D19" s="40"/>
      <c r="E19" s="40"/>
      <c r="F19" s="40"/>
      <c r="G19" s="37"/>
      <c r="H19" s="37"/>
      <c r="I19" s="37"/>
    </row>
    <row r="20" spans="1:9" ht="26.25" customHeight="1" x14ac:dyDescent="0.2">
      <c r="A20" s="36" t="s">
        <v>145</v>
      </c>
      <c r="B20" s="36"/>
      <c r="C20" s="37"/>
      <c r="D20" s="37"/>
      <c r="E20" s="37"/>
      <c r="F20" s="37"/>
      <c r="G20" s="40"/>
      <c r="H20" s="40"/>
      <c r="I20" s="40"/>
    </row>
    <row r="21" spans="1:9" x14ac:dyDescent="0.2">
      <c r="A21" s="39" t="s">
        <v>146</v>
      </c>
      <c r="B21" s="39"/>
      <c r="C21" s="40"/>
      <c r="D21" s="40"/>
      <c r="E21" s="40"/>
      <c r="F21" s="40"/>
      <c r="G21" s="37"/>
      <c r="H21" s="37"/>
      <c r="I21" s="37"/>
    </row>
    <row r="22" spans="1:9" x14ac:dyDescent="0.2">
      <c r="A22" s="42"/>
      <c r="B22" s="42"/>
      <c r="C22" s="37"/>
      <c r="D22" s="37"/>
      <c r="E22" s="37"/>
      <c r="F22" s="37"/>
      <c r="G22" s="40"/>
      <c r="H22" s="40"/>
      <c r="I22" s="40"/>
    </row>
    <row r="23" spans="1:9" x14ac:dyDescent="0.2">
      <c r="G23" s="37"/>
      <c r="H23" s="37"/>
      <c r="I23" s="37"/>
    </row>
    <row r="24" spans="1:9" ht="84" customHeight="1" x14ac:dyDescent="0.2">
      <c r="A24" s="2" t="s">
        <v>147</v>
      </c>
      <c r="B24" s="2"/>
      <c r="C24" s="43" t="str">
        <f>CONCATENATE(C2,",",C3)</f>
      </c>
      <c r="D24" s="43" t="str">
        <f>CONCATENATE(D2,",",D3)</f>
      </c>
      <c r="E24" s="44"/>
    </row>
    <row r="25" spans="1:9" ht="90.75" customHeight="1" x14ac:dyDescent="0.2">
      <c r="A25" s="2" t="s">
        <v>147</v>
      </c>
      <c r="B25" s="2"/>
      <c r="C25" s="43" t="str">
        <f>CONCATENATE(C1,",",C2,",",C3)</f>
      </c>
      <c r="D25" s="43" t="str">
        <f>CONCATENATE(D1,",",D2,",",D3)</f>
      </c>
      <c r="E25" s="44"/>
      <c r="G25" s="45" t="str">
        <f>CONCATENATE(G9," ",G1,"-",G12," .",G10,"-",G11)</f>
      </c>
      <c r="H25" s="45" t="str">
        <f>CONCATENATE(H9," ",G1,"-",H12,".",H10,"-",H11)</f>
      </c>
      <c r="I25" s="45" t="str">
        <f>CONCATENATE(I9," ",G1,"-",I12," .",I10,"-",I11)</f>
      </c>
    </row>
    <row r="26" spans="1:9" ht="79.5" customHeight="1" x14ac:dyDescent="0.2">
      <c r="C26" s="46" t="str">
        <f>CONCATENATE(C8," ",C1,"-",C11,".",C9)</f>
      </c>
      <c r="D26" s="46" t="str">
        <f>CONCATENATE(D8," ",D1,"-",D11,".",D9)</f>
      </c>
      <c r="E26" s="47"/>
      <c r="G26" s="45" t="str">
        <f>CONCATENATE(G9," ",G1,"-",G12)</f>
      </c>
      <c r="H26" s="45" t="str">
        <f>CONCATENATE(H9," ",G1," ",H12)</f>
      </c>
      <c r="I26" s="45" t="str">
        <f>CONCATENATE(I9," ",G1,"-",I12)</f>
      </c>
    </row>
    <row r="27" spans="1:9" ht="62.25" customHeight="1" x14ac:dyDescent="0.2">
      <c r="C27" s="46" t="str">
        <f>CONCATENATE(C8," ",C1)</f>
      </c>
      <c r="D27" s="46" t="str">
        <f>CONCATENATE(D8," ",D1)</f>
      </c>
      <c r="E27" s="47"/>
      <c r="G27" s="45" t="str">
        <f>CONCATENATE(G9," ",G1)</f>
      </c>
      <c r="H27" s="45" t="str">
        <f>CONCATENATE(H9," ",G1)</f>
      </c>
      <c r="I27" s="45" t="str">
        <f>CONCATENATE(I9," ",G1)</f>
      </c>
    </row>
    <row r="28" spans="1:9" ht="56.25" customHeight="1" x14ac:dyDescent="0.2">
      <c r="C28" s="48" t="str">
        <f>CONCATENATE(C19," ",C1,"-",C21,".",C20)</f>
      </c>
      <c r="D28" s="48" t="str">
        <f>CONCATENATE(D19," ",D1,"-",D21,".",D20)</f>
      </c>
      <c r="E28" s="45"/>
      <c r="G28" s="2" t="str">
        <f>CONCATENATE(G6," ",G1," ",G7)</f>
      </c>
      <c r="H28" s="2"/>
      <c r="I28" s="2" t="str">
        <f>CONCATENATE(I6," ",G1," ",I7)</f>
      </c>
    </row>
    <row r="29" spans="1:9" ht="49.5" customHeight="1" x14ac:dyDescent="0.2">
      <c r="C29" s="48" t="str">
        <f>CONCATENATE(C19," ",C1," ",C21)</f>
      </c>
      <c r="D29" s="48" t="str">
        <f>CONCATENATE(D19," ",D1,"-",D21)</f>
      </c>
      <c r="E29" s="45"/>
      <c r="G29" s="49" t="str">
        <f>CONCATENATE(G16," ",G1," ",G17)</f>
      </c>
      <c r="H29" s="49"/>
      <c r="I29" s="49" t="str">
        <f>CONCATENATE(I16," ",G1," ",I17)</f>
      </c>
    </row>
    <row r="30" spans="1:9" ht="36" customHeight="1" x14ac:dyDescent="0.2">
      <c r="C30" s="50" t="str">
        <f>CONCATENATE(C19," ",C1)</f>
      </c>
      <c r="D30" s="48" t="str">
        <f>CONCATENATE(D19," ",D1)</f>
      </c>
      <c r="E30" s="45"/>
      <c r="G30" s="2" t="str">
        <f>CONCATENATE(G18," ",G1," ",G19)</f>
      </c>
      <c r="H30" s="2"/>
    </row>
  </sheetData>
  <mergeCells count="3">
    <mergeCell ref="G1:I1"/>
    <mergeCell ref="G2:I2"/>
    <mergeCell ref="G3:I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AK96"/>
  <sheetViews>
    <sheetView tabSelected="1" topLeftCell="A19" workbookViewId="0">
      <selection activeCell="F50" sqref="F50"/>
    </sheetView>
  </sheetViews>
  <sheetFormatPr defaultRowHeight="12.75" x14ac:dyDescent="0.2"/>
  <cols>
    <col min="1" max="1" width="30" style="73" customWidth="1"/>
    <col min="2" max="2" width="116.7109375" customWidth="1"/>
    <col min="3" max="3" width="46.7109375" style="51" customWidth="1"/>
    <col min="5" max="5" width="10.28515625" customWidth="1"/>
    <col min="6" max="6" width="5.85546875" customWidth="1"/>
    <col min="8" max="8" width="33.28515625" customWidth="1"/>
    <col min="9" max="9" width="22.7109375" customWidth="1"/>
    <col min="10" max="10" width="4.7109375" customWidth="1"/>
    <col min="13" max="13" width="57.140625" customWidth="1"/>
  </cols>
  <sheetData>
    <row r="1" spans="1:3" ht="14.25" x14ac:dyDescent="0.2">
      <c r="A1" s="169" t="s">
        <v>148</v>
      </c>
      <c r="B1" s="170"/>
    </row>
    <row r="2" spans="1:3" ht="15" x14ac:dyDescent="0.25">
      <c r="A2" s="52" t="s">
        <v>149</v>
      </c>
      <c r="B2" s="53"/>
    </row>
    <row r="3" spans="1:3" ht="75" x14ac:dyDescent="0.25">
      <c r="A3" s="54" t="s">
        <v>150</v>
      </c>
      <c r="B3" s="55"/>
    </row>
    <row r="4" spans="1:3" ht="15" x14ac:dyDescent="0.25">
      <c r="A4" s="56" t="s">
        <v>151</v>
      </c>
      <c r="B4" s="57"/>
    </row>
    <row r="5" spans="1:3" ht="15" x14ac:dyDescent="0.25">
      <c r="A5" s="56" t="s">
        <v>152</v>
      </c>
      <c r="B5" s="57"/>
    </row>
    <row r="6" spans="1:3" ht="15" x14ac:dyDescent="0.25">
      <c r="A6" s="56" t="s">
        <v>153</v>
      </c>
      <c r="B6" s="129"/>
    </row>
    <row r="7" spans="1:3" ht="15" x14ac:dyDescent="0.25">
      <c r="A7" s="56" t="s">
        <v>154</v>
      </c>
      <c r="B7" s="129"/>
    </row>
    <row r="8" spans="1:3" ht="15" x14ac:dyDescent="0.25">
      <c r="A8" s="56" t="s">
        <v>155</v>
      </c>
      <c r="B8" s="129"/>
      <c r="C8" s="58"/>
    </row>
    <row r="9" spans="1:3" ht="15" x14ac:dyDescent="0.25">
      <c r="A9" s="54" t="s">
        <v>156</v>
      </c>
      <c r="B9" s="129"/>
    </row>
    <row r="10" spans="1:3" ht="14.25" x14ac:dyDescent="0.2">
      <c r="A10" s="169" t="s">
        <v>157</v>
      </c>
      <c r="B10" s="170"/>
    </row>
    <row r="11" spans="1:3" ht="15" x14ac:dyDescent="0.25">
      <c r="A11" s="59"/>
      <c r="B11" s="60"/>
    </row>
    <row r="12" spans="1:3" ht="15" hidden="1" x14ac:dyDescent="0.25">
      <c r="A12" s="59" t="s">
        <v>158</v>
      </c>
      <c r="B12" s="60"/>
    </row>
    <row r="13" spans="1:3" ht="15" hidden="1" x14ac:dyDescent="0.25">
      <c r="A13" s="59" t="s">
        <v>159</v>
      </c>
      <c r="B13" s="61"/>
    </row>
    <row r="14" spans="1:3" ht="15" hidden="1" x14ac:dyDescent="0.25">
      <c r="A14" s="59" t="s">
        <v>160</v>
      </c>
      <c r="B14" s="60"/>
    </row>
    <row r="15" spans="1:3" ht="15" hidden="1" x14ac:dyDescent="0.25">
      <c r="A15" s="59" t="s">
        <v>161</v>
      </c>
      <c r="B15" s="60"/>
    </row>
    <row r="16" spans="1:3" ht="14.25" x14ac:dyDescent="0.2">
      <c r="A16" s="169" t="s">
        <v>162</v>
      </c>
      <c r="B16" s="170"/>
    </row>
    <row r="17" spans="1:3" ht="15" x14ac:dyDescent="0.25">
      <c r="A17" s="56" t="s">
        <v>163</v>
      </c>
      <c r="B17" s="62"/>
      <c r="C17" s="63" t="str">
        <f>CONCATENATE(B17," ",B18," ",B19)</f>
      </c>
    </row>
    <row r="18" spans="1:3" ht="15" x14ac:dyDescent="0.25">
      <c r="A18" s="56" t="s">
        <v>164</v>
      </c>
      <c r="B18" s="62"/>
      <c r="C18" s="124"/>
    </row>
    <row r="19" spans="1:3" ht="39" x14ac:dyDescent="0.25">
      <c r="A19" s="56" t="s">
        <v>136</v>
      </c>
      <c r="B19" s="62"/>
      <c r="C19" s="123"/>
    </row>
    <row r="20" spans="1:3" ht="15" x14ac:dyDescent="0.25">
      <c r="A20" s="56" t="s">
        <v>165</v>
      </c>
      <c r="B20" s="62"/>
      <c r="C20" s="63"/>
    </row>
    <row r="21" spans="1:3" ht="15" x14ac:dyDescent="0.25">
      <c r="A21" s="56" t="s">
        <v>166</v>
      </c>
      <c r="B21" s="62"/>
      <c r="C21" s="63" t="str">
        <f>CONCATENATE(B20," ",B17," ",B21)</f>
      </c>
    </row>
    <row r="22" spans="1:3" ht="15" x14ac:dyDescent="0.25">
      <c r="A22" s="56" t="s">
        <v>165</v>
      </c>
      <c r="B22" s="62"/>
      <c r="C22" s="63" t="str">
        <f>CONCATENATE(B22," ",B17)</f>
      </c>
    </row>
    <row r="23" spans="1:3" ht="15" x14ac:dyDescent="0.25">
      <c r="A23" s="56" t="s">
        <v>167</v>
      </c>
      <c r="B23" s="141"/>
      <c r="C23" s="64" t="str">
        <f>CONCATENATE(B22," ",B17," ",B23)</f>
      </c>
    </row>
    <row r="24" spans="1:3" ht="15" x14ac:dyDescent="0.25">
      <c r="A24" s="56" t="s">
        <v>168</v>
      </c>
      <c r="B24" s="62"/>
      <c r="C24" s="64" t="str">
        <f>CONCATENATE(B22," ",B17," ",B23,".",B24)</f>
      </c>
    </row>
    <row r="25" spans="1:3" ht="15" x14ac:dyDescent="0.25">
      <c r="A25" s="56"/>
      <c r="B25" s="62"/>
      <c r="C25" s="64"/>
    </row>
    <row r="26" spans="1:3" ht="15" x14ac:dyDescent="0.25">
      <c r="A26" s="56" t="s">
        <v>165</v>
      </c>
      <c r="B26" s="62"/>
      <c r="C26" s="63" t="str">
        <f>CONCATENATE(B26," ",B17)</f>
      </c>
    </row>
    <row r="27" spans="1:3" ht="15" x14ac:dyDescent="0.25">
      <c r="A27" s="56" t="s">
        <v>167</v>
      </c>
      <c r="B27" s="62"/>
      <c r="C27" s="64" t="str">
        <f>CONCATENATE(B26," ",B17," ",B27)</f>
      </c>
    </row>
    <row r="28" spans="1:3" ht="15" x14ac:dyDescent="0.25">
      <c r="A28" s="65" t="s">
        <v>168</v>
      </c>
      <c r="B28" s="62"/>
      <c r="C28" s="64" t="str">
        <f>CONCATENATE(B26," ",B17," ",B27,".",B28)</f>
      </c>
    </row>
    <row r="29" spans="1:3" ht="14.25" x14ac:dyDescent="0.2">
      <c r="A29" s="171" t="s">
        <v>169</v>
      </c>
      <c r="B29" s="172"/>
    </row>
    <row r="30" spans="1:3" ht="15" x14ac:dyDescent="0.25">
      <c r="A30" s="65" t="s">
        <v>163</v>
      </c>
      <c r="B30" s="66"/>
    </row>
    <row r="31" spans="1:3" ht="15" x14ac:dyDescent="0.25">
      <c r="A31" s="65" t="s">
        <v>164</v>
      </c>
      <c r="B31" s="66" t="str">
        <f>'Данные организации'!F2</f>
      </c>
    </row>
    <row r="32" spans="1:3" ht="15" x14ac:dyDescent="0.25">
      <c r="A32" s="65" t="s">
        <v>136</v>
      </c>
      <c r="B32" s="66" t="str">
        <f>'Данные организации'!F3</f>
      </c>
    </row>
    <row r="33" spans="1:5" ht="15" x14ac:dyDescent="0.25">
      <c r="A33" s="65" t="s">
        <v>165</v>
      </c>
      <c r="B33" s="67"/>
      <c r="C33" s="51" t="str">
        <f>CONCATENATE(B33," ",B30)</f>
      </c>
    </row>
    <row r="34" spans="1:5" ht="15" x14ac:dyDescent="0.25">
      <c r="A34" s="65" t="s">
        <v>167</v>
      </c>
      <c r="B34" s="66"/>
      <c r="C34" s="51" t="str">
        <f>CONCATENATE(B33," ",B30," ",B34)</f>
      </c>
    </row>
    <row r="35" spans="1:5" ht="15" hidden="1" x14ac:dyDescent="0.25">
      <c r="A35" s="65" t="s">
        <v>165</v>
      </c>
      <c r="B35" s="66"/>
      <c r="C35" s="51" t="str">
        <f>CONCATENATE(B35," ",B30)</f>
      </c>
    </row>
    <row r="36" spans="1:5" ht="15" hidden="1" x14ac:dyDescent="0.25">
      <c r="A36" s="65" t="s">
        <v>167</v>
      </c>
      <c r="B36" s="66"/>
      <c r="C36" s="51" t="str">
        <f>CONCATENATE(B35," ",B30," ",B36)</f>
      </c>
    </row>
    <row r="37" spans="1:5" ht="15" hidden="1" x14ac:dyDescent="0.25">
      <c r="A37" s="65" t="s">
        <v>165</v>
      </c>
      <c r="B37" s="66"/>
      <c r="C37" s="51" t="str">
        <f>CONCATENATE(B37," ",B30)</f>
      </c>
    </row>
    <row r="38" spans="1:5" ht="15" hidden="1" x14ac:dyDescent="0.25">
      <c r="A38" s="65" t="s">
        <v>167</v>
      </c>
      <c r="B38" s="66"/>
      <c r="C38" s="51" t="str">
        <f>CONCATENATE(B37," ",B30," ",B38)</f>
      </c>
    </row>
    <row r="39" spans="1:5" ht="15" x14ac:dyDescent="0.25">
      <c r="A39" s="65"/>
      <c r="B39" s="66"/>
      <c r="C39" s="51" t="str">
        <f>CONCATENATE(B33," ",B30," ",B34," ",B39)</f>
      </c>
    </row>
    <row r="40" spans="1:5" ht="15" x14ac:dyDescent="0.25">
      <c r="A40" s="65" t="s">
        <v>165</v>
      </c>
      <c r="B40" s="66"/>
      <c r="C40" s="51" t="str">
        <f>CONCATENATE(B40," ",B30)</f>
      </c>
    </row>
    <row r="41" spans="1:5" ht="15" x14ac:dyDescent="0.25">
      <c r="A41" s="65" t="s">
        <v>167</v>
      </c>
      <c r="B41" s="66"/>
      <c r="C41" s="68" t="str">
        <f>CONCATENATE(B40," ",B30," ",B41)</f>
      </c>
    </row>
    <row r="42" spans="1:5" ht="15" x14ac:dyDescent="0.25">
      <c r="A42" s="65" t="s">
        <v>168</v>
      </c>
      <c r="B42" s="66"/>
      <c r="C42" s="51" t="str">
        <f>CONCATENATE(B40," ",B30," ",B41,".",B42)</f>
      </c>
    </row>
    <row r="43" spans="1:5" ht="15" x14ac:dyDescent="0.25">
      <c r="A43" s="65" t="s">
        <v>175</v>
      </c>
      <c r="B43" s="69"/>
      <c r="E43" s="126"/>
    </row>
    <row r="44" spans="1:5" ht="15" x14ac:dyDescent="0.25">
      <c r="A44" s="65" t="s">
        <v>165</v>
      </c>
      <c r="B44" s="69"/>
      <c r="C44" s="51" t="str">
        <f>CONCATENATE(B44," ",B30)</f>
      </c>
    </row>
    <row r="45" spans="1:5" ht="15" x14ac:dyDescent="0.25">
      <c r="A45" s="65" t="s">
        <v>167</v>
      </c>
      <c r="B45" s="69"/>
      <c r="C45" s="51" t="str">
        <f>CONCATENATE(B44," ",B30," ",B45)</f>
      </c>
    </row>
    <row r="46" spans="1:5" ht="15" x14ac:dyDescent="0.25">
      <c r="A46" s="65" t="s">
        <v>168</v>
      </c>
      <c r="B46" s="69"/>
      <c r="C46" s="51" t="str">
        <f>CONCATENATE(B44," ",B30," ",B45,".",B46)</f>
      </c>
    </row>
    <row r="47" spans="1:5" ht="15" x14ac:dyDescent="0.25">
      <c r="A47" s="65" t="s">
        <v>165</v>
      </c>
      <c r="B47" s="69"/>
      <c r="C47" s="51" t="str">
        <f>CONCATENATE(B47," ",B30)</f>
      </c>
    </row>
    <row r="48" spans="1:5" ht="15" x14ac:dyDescent="0.25">
      <c r="A48" s="65" t="s">
        <v>167</v>
      </c>
      <c r="B48" s="66"/>
      <c r="C48" s="51" t="str">
        <f>CONCATENATE(B47," ",B30," ",B48)</f>
      </c>
    </row>
    <row r="49" spans="1:3" ht="14.25" x14ac:dyDescent="0.2">
      <c r="A49" s="169" t="s">
        <v>170</v>
      </c>
      <c r="B49" s="173"/>
    </row>
    <row r="50" spans="1:3" ht="15" x14ac:dyDescent="0.25">
      <c r="A50" s="54" t="s">
        <v>163</v>
      </c>
      <c r="B50" s="70"/>
    </row>
    <row r="51" spans="1:3" ht="15" x14ac:dyDescent="0.25">
      <c r="A51" s="56" t="s">
        <v>164</v>
      </c>
      <c r="B51" s="70"/>
    </row>
    <row r="52" spans="1:3" ht="30" x14ac:dyDescent="0.25">
      <c r="A52" s="56" t="s">
        <v>136</v>
      </c>
      <c r="B52" s="70"/>
    </row>
    <row r="53" spans="1:3" ht="15" x14ac:dyDescent="0.25">
      <c r="A53" s="54" t="s">
        <v>171</v>
      </c>
      <c r="B53" s="70"/>
    </row>
    <row r="54" spans="1:3" ht="15" x14ac:dyDescent="0.25">
      <c r="A54" s="54" t="s">
        <v>47</v>
      </c>
      <c r="B54" s="70"/>
    </row>
    <row r="55" spans="1:3" ht="75" x14ac:dyDescent="0.25">
      <c r="A55" s="54" t="s">
        <v>172</v>
      </c>
      <c r="B55" s="70" t="str">
        <f>B3</f>
      </c>
    </row>
    <row r="56" spans="1:3" x14ac:dyDescent="0.2">
      <c r="A56" s="167" t="s">
        <v>173</v>
      </c>
      <c r="B56" s="167"/>
    </row>
    <row r="57" spans="1:3" x14ac:dyDescent="0.2">
      <c r="A57" s="168"/>
      <c r="B57" s="168"/>
    </row>
    <row r="58" spans="1:3" ht="15" x14ac:dyDescent="0.25">
      <c r="A58" s="54" t="s">
        <v>163</v>
      </c>
      <c r="B58" s="71"/>
      <c r="C58" s="51" t="str">
        <f>CONCATENATE(B62," ",B58," ",B63)</f>
      </c>
    </row>
    <row r="59" spans="1:3" ht="15" x14ac:dyDescent="0.25">
      <c r="A59" s="65" t="s">
        <v>164</v>
      </c>
      <c r="B59" s="72"/>
    </row>
    <row r="60" spans="1:3" ht="15" x14ac:dyDescent="0.25">
      <c r="A60" s="65" t="s">
        <v>136</v>
      </c>
      <c r="B60" s="72"/>
    </row>
    <row r="61" spans="1:3" ht="15" x14ac:dyDescent="0.25">
      <c r="A61" s="65" t="s">
        <v>174</v>
      </c>
      <c r="B61" s="72"/>
    </row>
    <row r="62" spans="1:3" ht="15" x14ac:dyDescent="0.25">
      <c r="A62" s="54" t="s">
        <v>165</v>
      </c>
      <c r="B62" s="71"/>
    </row>
    <row r="63" spans="1:3" ht="15" x14ac:dyDescent="0.25">
      <c r="A63" s="54" t="s">
        <v>167</v>
      </c>
      <c r="B63" s="71"/>
    </row>
    <row r="66" spans="3:37" ht="13.5" x14ac:dyDescent="0.2">
      <c r="C66" s="74"/>
      <c r="D66" s="75"/>
      <c r="E66" s="75"/>
      <c r="F66" s="75"/>
      <c r="G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  <c r="AA66" s="75"/>
      <c r="AB66" s="75"/>
      <c r="AC66" s="75"/>
      <c r="AD66" s="75"/>
      <c r="AE66" s="75"/>
    </row>
    <row r="67" spans="3:37" ht="13.5" x14ac:dyDescent="0.2">
      <c r="C67" s="74"/>
      <c r="D67" s="75"/>
      <c r="E67" s="75"/>
      <c r="F67" s="75"/>
      <c r="G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  <c r="AA67" s="75"/>
      <c r="AB67" s="75"/>
      <c r="AC67" s="75"/>
      <c r="AD67" s="75"/>
      <c r="AE67" s="75"/>
    </row>
    <row r="68" spans="3:37" ht="13.5" x14ac:dyDescent="0.2">
      <c r="C68" s="74"/>
      <c r="D68" s="75"/>
      <c r="E68" s="75"/>
      <c r="F68" s="75"/>
      <c r="G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  <c r="AA68" s="75"/>
      <c r="AB68" s="75"/>
      <c r="AC68" s="75"/>
      <c r="AD68" s="75"/>
      <c r="AE68" s="75"/>
    </row>
    <row r="69" spans="3:37" ht="13.5" x14ac:dyDescent="0.2">
      <c r="C69" s="74"/>
      <c r="D69" s="75"/>
      <c r="E69" s="75"/>
      <c r="F69" s="75"/>
      <c r="G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  <c r="AA69" s="75"/>
      <c r="AB69" s="75"/>
      <c r="AC69" s="75"/>
      <c r="AD69" s="75"/>
      <c r="AE69" s="75"/>
    </row>
    <row r="70" spans="3:37" ht="13.5" x14ac:dyDescent="0.2">
      <c r="C70" s="74"/>
      <c r="D70" s="75"/>
      <c r="E70" s="75"/>
      <c r="F70" s="75"/>
      <c r="G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  <c r="AA70" s="75"/>
      <c r="AB70" s="75"/>
      <c r="AC70" s="75"/>
      <c r="AD70" s="75"/>
      <c r="AE70" s="75"/>
    </row>
    <row r="71" spans="3:37" ht="13.5" x14ac:dyDescent="0.2">
      <c r="C71" s="74"/>
      <c r="D71" s="75"/>
      <c r="E71" s="75"/>
      <c r="F71" s="75"/>
      <c r="G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  <c r="AA71" s="75"/>
      <c r="AB71" s="75"/>
      <c r="AC71" s="75"/>
      <c r="AD71" s="75"/>
      <c r="AE71" s="75"/>
    </row>
    <row r="72" spans="3:37" ht="13.5" x14ac:dyDescent="0.2">
      <c r="C72" s="74"/>
      <c r="D72" s="75"/>
      <c r="E72" s="75"/>
      <c r="F72" s="75"/>
      <c r="G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  <c r="AA72" s="75"/>
      <c r="AB72" s="75"/>
      <c r="AC72" s="75"/>
      <c r="AD72" s="75"/>
      <c r="AE72" s="75"/>
    </row>
    <row r="73" spans="3:37" ht="13.5" x14ac:dyDescent="0.2">
      <c r="C73" s="74"/>
      <c r="D73" s="75"/>
      <c r="E73" s="75"/>
      <c r="F73" s="75"/>
      <c r="G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  <c r="AA73" s="75"/>
      <c r="AB73" s="75"/>
      <c r="AC73" s="75"/>
      <c r="AD73" s="75"/>
      <c r="AE73" s="75"/>
    </row>
    <row r="77" spans="3:37" ht="14.45" customHeight="1" x14ac:dyDescent="0.2"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  <c r="AA77" s="75"/>
      <c r="AB77" s="75"/>
      <c r="AC77" s="75"/>
      <c r="AD77" s="75"/>
      <c r="AE77" s="75"/>
      <c r="AF77" s="75"/>
      <c r="AG77" s="75"/>
      <c r="AH77" s="75"/>
      <c r="AI77" s="75"/>
      <c r="AJ77" s="75"/>
      <c r="AK77" s="75"/>
    </row>
    <row r="78" spans="3:37" ht="14.45" customHeight="1" x14ac:dyDescent="0.2"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  <c r="AA78" s="75"/>
      <c r="AB78" s="75"/>
      <c r="AC78" s="75"/>
      <c r="AD78" s="75"/>
      <c r="AE78" s="75"/>
      <c r="AF78" s="75"/>
      <c r="AG78" s="75"/>
      <c r="AH78" s="75"/>
      <c r="AI78" s="75"/>
      <c r="AJ78" s="75"/>
      <c r="AK78" s="75"/>
    </row>
    <row r="79" spans="3:37" x14ac:dyDescent="0.2"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  <c r="AA79" s="76"/>
      <c r="AB79" s="76"/>
      <c r="AC79" s="76"/>
      <c r="AD79" s="76"/>
      <c r="AE79" s="76"/>
      <c r="AF79" s="76"/>
      <c r="AG79" s="76"/>
      <c r="AH79" s="76"/>
      <c r="AI79" s="76"/>
      <c r="AJ79" s="76"/>
      <c r="AK79" s="76"/>
    </row>
    <row r="80" spans="3:37" x14ac:dyDescent="0.2"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  <c r="AA80" s="76"/>
      <c r="AB80" s="76"/>
      <c r="AC80" s="76"/>
      <c r="AD80" s="76"/>
      <c r="AE80" s="76"/>
      <c r="AF80" s="76"/>
      <c r="AG80" s="76"/>
      <c r="AH80" s="76"/>
      <c r="AI80" s="76"/>
      <c r="AJ80" s="76"/>
      <c r="AK80" s="76"/>
    </row>
    <row r="81" spans="2:37" x14ac:dyDescent="0.2"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  <c r="AA81" s="76"/>
      <c r="AB81" s="76"/>
      <c r="AC81" s="76"/>
      <c r="AD81" s="76"/>
      <c r="AE81" s="76"/>
      <c r="AF81" s="76"/>
      <c r="AG81" s="76"/>
      <c r="AH81" s="76"/>
      <c r="AI81" s="76"/>
      <c r="AJ81" s="76"/>
      <c r="AK81" s="76"/>
    </row>
    <row r="82" spans="2:37" x14ac:dyDescent="0.2"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  <c r="AA82" s="76"/>
      <c r="AB82" s="76"/>
      <c r="AC82" s="76"/>
      <c r="AD82" s="76"/>
      <c r="AE82" s="76"/>
      <c r="AF82" s="76"/>
      <c r="AG82" s="76"/>
      <c r="AH82" s="76"/>
      <c r="AI82" s="76"/>
      <c r="AJ82" s="76"/>
      <c r="AK82" s="76"/>
    </row>
    <row r="83" spans="2:37" x14ac:dyDescent="0.2"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  <c r="AA83" s="76"/>
      <c r="AB83" s="76"/>
      <c r="AC83" s="76"/>
      <c r="AD83" s="76"/>
      <c r="AE83" s="76"/>
      <c r="AF83" s="76"/>
      <c r="AG83" s="76"/>
      <c r="AH83" s="76"/>
      <c r="AI83" s="76"/>
      <c r="AJ83" s="76"/>
      <c r="AK83" s="76"/>
    </row>
    <row r="84" spans="2:37" x14ac:dyDescent="0.2"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  <c r="AA84" s="76"/>
      <c r="AB84" s="76"/>
      <c r="AC84" s="76"/>
      <c r="AD84" s="76"/>
      <c r="AE84" s="76"/>
      <c r="AF84" s="76"/>
      <c r="AG84" s="76"/>
      <c r="AH84" s="76"/>
      <c r="AI84" s="76"/>
      <c r="AJ84" s="76"/>
      <c r="AK84" s="76"/>
    </row>
    <row r="85" spans="2:37" x14ac:dyDescent="0.2"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  <c r="AA85" s="76"/>
      <c r="AB85" s="76"/>
      <c r="AC85" s="76"/>
      <c r="AD85" s="76"/>
      <c r="AE85" s="76"/>
      <c r="AF85" s="76"/>
      <c r="AG85" s="76"/>
      <c r="AH85" s="76"/>
      <c r="AI85" s="76"/>
      <c r="AJ85" s="76"/>
      <c r="AK85" s="76"/>
    </row>
    <row r="86" spans="2:37" x14ac:dyDescent="0.2"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  <c r="AA86" s="76"/>
      <c r="AB86" s="76"/>
      <c r="AC86" s="76"/>
      <c r="AD86" s="76"/>
      <c r="AE86" s="76"/>
      <c r="AF86" s="76"/>
      <c r="AG86" s="76"/>
      <c r="AH86" s="76"/>
      <c r="AI86" s="76"/>
      <c r="AJ86" s="76"/>
      <c r="AK86" s="76"/>
    </row>
    <row r="87" spans="2:37" x14ac:dyDescent="0.2"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  <c r="AA87" s="76"/>
      <c r="AB87" s="76"/>
      <c r="AC87" s="76"/>
      <c r="AD87" s="76"/>
      <c r="AE87" s="76"/>
      <c r="AF87" s="76"/>
      <c r="AG87" s="76"/>
      <c r="AH87" s="76"/>
      <c r="AI87" s="76"/>
      <c r="AJ87" s="76"/>
      <c r="AK87" s="76"/>
    </row>
    <row r="88" spans="2:37" x14ac:dyDescent="0.2"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  <c r="AA88" s="76"/>
      <c r="AB88" s="76"/>
      <c r="AC88" s="76"/>
      <c r="AD88" s="76"/>
      <c r="AE88" s="76"/>
      <c r="AF88" s="76"/>
      <c r="AG88" s="76"/>
      <c r="AH88" s="76"/>
      <c r="AI88" s="76"/>
      <c r="AJ88" s="76"/>
      <c r="AK88" s="76"/>
    </row>
    <row r="89" spans="2:37" x14ac:dyDescent="0.2"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  <c r="AA89" s="76"/>
      <c r="AB89" s="76"/>
      <c r="AC89" s="76"/>
      <c r="AD89" s="76"/>
      <c r="AE89" s="76"/>
      <c r="AF89" s="76"/>
      <c r="AG89" s="76"/>
      <c r="AH89" s="76"/>
      <c r="AI89" s="76"/>
      <c r="AJ89" s="76"/>
      <c r="AK89" s="76"/>
    </row>
    <row r="90" spans="2:37" x14ac:dyDescent="0.2"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  <c r="AA90" s="76"/>
      <c r="AB90" s="76"/>
      <c r="AC90" s="76"/>
      <c r="AD90" s="76"/>
      <c r="AE90" s="76"/>
      <c r="AF90" s="76"/>
      <c r="AG90" s="76"/>
      <c r="AH90" s="76"/>
      <c r="AI90" s="76"/>
      <c r="AJ90" s="76"/>
      <c r="AK90" s="76"/>
    </row>
    <row r="91" spans="2:37" ht="14.45" customHeight="1" x14ac:dyDescent="0.2"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  <c r="AA91" s="75"/>
      <c r="AB91" s="75"/>
      <c r="AC91" s="75"/>
      <c r="AD91" s="75"/>
      <c r="AE91" s="75"/>
      <c r="AF91" s="75"/>
      <c r="AG91" s="75"/>
      <c r="AH91" s="75"/>
      <c r="AI91" s="75"/>
      <c r="AJ91" s="75"/>
      <c r="AK91" s="75"/>
    </row>
    <row r="96" spans="2:37" ht="16.149999999999999" customHeight="1" x14ac:dyDescent="0.2">
      <c r="B96" s="2"/>
    </row>
  </sheetData>
  <mergeCells count="6">
    <mergeCell ref="A56:B57"/>
    <mergeCell ref="A1:B1"/>
    <mergeCell ref="A10:B10"/>
    <mergeCell ref="A16:B16"/>
    <mergeCell ref="A29:B29"/>
    <mergeCell ref="A49:B49"/>
  </mergeCells>
  <dataValidations count="1">
    <dataValidation type="list" allowBlank="1" showInputMessage="1" showErrorMessage="1" sqref="C65" xr:uid="{00000000-0002-0000-0100-000000000000}">
      <formula1>ТП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1">
        <x14:dataValidation type="list" allowBlank="1" showInputMessage="1" showErrorMessage="1" xr:uid="{EF862542-98AA-4FE9-A97A-58C81B2CA417}">
          <x14:formula1>
            <xm:f>'Данные организации'!$C$1:$E$1</xm:f>
          </x14:formula1>
          <xm:sqref>B17 B50</xm:sqref>
        </x14:dataValidation>
        <x14:dataValidation type="list" allowBlank="1" showInputMessage="1" showErrorMessage="1" xr:uid="{7C181A29-63F1-4409-93B3-0A91FF57663D}">
          <x14:formula1>
            <xm:f>'Данные организации'!$C$2:$E$2</xm:f>
          </x14:formula1>
          <xm:sqref>B18 B51</xm:sqref>
        </x14:dataValidation>
        <x14:dataValidation type="list" allowBlank="1" showInputMessage="1" showErrorMessage="1" xr:uid="{BA8A57FC-D57C-4F4C-80EE-1D8FC1F1C5A6}">
          <x14:formula1>
            <xm:f>'Данные организации'!$C$3:$E$3</xm:f>
          </x14:formula1>
          <xm:sqref>B19 B52</xm:sqref>
        </x14:dataValidation>
        <x14:dataValidation type="list" allowBlank="1" showInputMessage="1" showErrorMessage="1" xr:uid="{6FF7B7B3-5F35-4BF5-B7EB-BD3E1A97CFB7}">
          <x14:formula1>
            <xm:f>'Данные организации'!$C$6:$E$6</xm:f>
          </x14:formula1>
          <xm:sqref>B20</xm:sqref>
        </x14:dataValidation>
        <x14:dataValidation type="list" allowBlank="1" showInputMessage="1" showErrorMessage="1" xr:uid="{BB6E05AE-DBD9-459F-98DE-755D348D9F31}">
          <x14:formula1>
            <xm:f>'Данные организации'!$C$7:$E$7</xm:f>
          </x14:formula1>
          <xm:sqref>B21</xm:sqref>
        </x14:dataValidation>
        <x14:dataValidation type="list" allowBlank="1" showInputMessage="1" showErrorMessage="1" xr:uid="{0D755A2E-69DC-475E-95DB-4C6F090C4404}">
          <x14:formula1>
            <xm:f>'Данные организации'!$B$8:$E$8</xm:f>
          </x14:formula1>
          <xm:sqref>B22</xm:sqref>
        </x14:dataValidation>
        <x14:dataValidation type="list" allowBlank="1" showInputMessage="1" showErrorMessage="1" xr:uid="{88FCACEF-829A-4E3D-8F40-8A747696CA00}">
          <x14:formula1>
            <xm:f>'Данные организации'!$B$9:$E$9</xm:f>
          </x14:formula1>
          <xm:sqref>B24</xm:sqref>
        </x14:dataValidation>
        <x14:dataValidation type="list" allowBlank="1" showInputMessage="1" showErrorMessage="1" xr:uid="{9549A048-7139-4AA4-9513-DA29BBA073D2}">
          <x14:formula1>
            <xm:f>'Данные организации'!$B$10:$E$10</xm:f>
          </x14:formula1>
          <xm:sqref>B25</xm:sqref>
        </x14:dataValidation>
        <x14:dataValidation type="list" allowBlank="1" showInputMessage="1" showErrorMessage="1" xr:uid="{2D25F9BC-F680-4C69-9DEF-766795AB241E}">
          <x14:formula1>
            <xm:f>'Данные организации'!$C$19:$E$19</xm:f>
          </x14:formula1>
          <xm:sqref>B26</xm:sqref>
        </x14:dataValidation>
        <x14:dataValidation type="list" allowBlank="1" showInputMessage="1" showErrorMessage="1" xr:uid="{09DFAFAF-6EB6-484C-B6F2-8AD7C98635F4}">
          <x14:formula1>
            <xm:f>'Данные организации'!$C$21:$E$21</xm:f>
          </x14:formula1>
          <xm:sqref>B27</xm:sqref>
        </x14:dataValidation>
        <x14:dataValidation type="list" allowBlank="1" showInputMessage="1" showErrorMessage="1" xr:uid="{637D1046-067D-430C-AFF0-827AE3F835EA}">
          <x14:formula1>
            <xm:f>'Данные организации'!$C$20:$E$20</xm:f>
          </x14:formula1>
          <xm:sqref>B28</xm:sqref>
        </x14:dataValidation>
        <x14:dataValidation type="list" allowBlank="1" showInputMessage="1" showErrorMessage="1" xr:uid="{60184A9B-6891-4EB1-9688-F9DDE5A07E48}">
          <x14:formula1>
            <xm:f>'Данные организации'!$G$6:$I$6</xm:f>
          </x14:formula1>
          <xm:sqref>B33</xm:sqref>
        </x14:dataValidation>
        <x14:dataValidation type="list" allowBlank="1" showInputMessage="1" showErrorMessage="1" xr:uid="{B99BAADF-BFF5-4243-927D-0C3197E5BCF0}">
          <x14:formula1>
            <xm:f>'Данные организации'!$B$11:$E$11</xm:f>
          </x14:formula1>
          <xm:sqref>B23</xm:sqref>
        </x14:dataValidation>
        <x14:dataValidation type="list" allowBlank="1" showInputMessage="1" showErrorMessage="1" xr:uid="{1DADFFE0-F5A7-459E-853B-9A492E409A45}">
          <x14:formula1>
            <xm:f>'Данные организации'!$G$4:$I$4</xm:f>
          </x14:formula1>
          <xm:sqref>B4</xm:sqref>
        </x14:dataValidation>
        <x14:dataValidation type="list" allowBlank="1" showInputMessage="1" showErrorMessage="1" xr:uid="{4B228C58-9E56-4EB8-BD33-6C39F0AC5146}">
          <x14:formula1>
            <xm:f>'Данные организации'!$G$7:$I$7</xm:f>
          </x14:formula1>
          <xm:sqref>B34</xm:sqref>
        </x14:dataValidation>
        <x14:dataValidation type="list" allowBlank="1" showInputMessage="1" showErrorMessage="1" xr:uid="{DCAADB88-1F8D-4AA9-B0B8-E99465320AA6}">
          <x14:formula1>
            <xm:f>'Данные организации'!$G$8:$I$8</xm:f>
          </x14:formula1>
          <xm:sqref>B39</xm:sqref>
        </x14:dataValidation>
        <x14:dataValidation type="list" allowBlank="1" showInputMessage="1" showErrorMessage="1" xr:uid="{AF8AD6DD-1DC6-4DF5-AB2E-344990CCE699}">
          <x14:formula1>
            <xm:f>'Данные организации'!$G$12:$I$12</xm:f>
          </x14:formula1>
          <xm:sqref>B41 B44</xm:sqref>
        </x14:dataValidation>
        <x14:dataValidation type="list" allowBlank="1" showInputMessage="1" showErrorMessage="1" xr:uid="{0F2161CF-C2FF-48EF-B0DE-01B3B5BD6D63}">
          <x14:formula1>
            <xm:f>'Данные организации'!$G$10:$I$10</xm:f>
          </x14:formula1>
          <xm:sqref>B42</xm:sqref>
        </x14:dataValidation>
        <x14:dataValidation type="list" allowBlank="1" showInputMessage="1" showErrorMessage="1" xr:uid="{58B66D04-5D24-45E3-84F4-B4F108BC7C95}">
          <x14:formula1>
            <xm:f>'Данные организации'!$G$13:$I$13</xm:f>
          </x14:formula1>
          <xm:sqref>B45</xm:sqref>
        </x14:dataValidation>
        <x14:dataValidation type="list" allowBlank="1" showInputMessage="1" showErrorMessage="1" xr:uid="{B556946E-29C3-4EDA-BAA5-E1E4A7EF162C}">
          <x14:formula1>
            <xm:f>'Данные организации'!$G$9:$I$9</xm:f>
          </x14:formula1>
          <xm:sqref>B40</xm:sqref>
        </x14:dataValidation>
        <x14:dataValidation type="list" allowBlank="1" showInputMessage="1" showErrorMessage="1" xr:uid="{E3685923-6558-4156-8F4F-C01A0893844B}">
          <x14:formula1>
            <xm:f>'Данные организации'!$G$11:$I$11</xm:f>
          </x14:formula1>
          <xm:sqref>B43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8000"/>
  </sheetPr>
  <dimension ref="A1:L55"/>
  <sheetViews>
    <sheetView view="pageBreakPreview" zoomScale="120" zoomScaleNormal="100" zoomScaleSheetLayoutView="120" workbookViewId="0">
      <selection activeCell="A22" sqref="A22:I22"/>
    </sheetView>
  </sheetViews>
  <sheetFormatPr defaultRowHeight="12.75" x14ac:dyDescent="0.2"/>
  <cols>
    <col min="1" max="4" width="9.140625" customWidth="1"/>
    <col min="5" max="5" width="6.7109375" customWidth="1"/>
    <col min="6" max="6" width="7.42578125" customWidth="1"/>
    <col min="7" max="7" width="12" customWidth="1"/>
    <col min="8" max="8" width="9.140625" customWidth="1"/>
    <col min="9" max="9" width="15.140625" customWidth="1"/>
  </cols>
  <sheetData>
    <row r="1" spans="1:9" x14ac:dyDescent="0.2">
      <c r="A1" s="5"/>
      <c r="B1" s="6"/>
      <c r="C1" s="6"/>
      <c r="D1" s="6"/>
      <c r="E1" s="6"/>
      <c r="F1" s="6"/>
      <c r="G1" s="6"/>
      <c r="H1" s="6"/>
      <c r="I1" s="15"/>
    </row>
    <row r="2" spans="1:9" x14ac:dyDescent="0.2">
      <c r="A2" s="7"/>
      <c r="B2" s="136"/>
      <c r="C2" s="136"/>
      <c r="D2" s="136"/>
      <c r="E2" s="136"/>
      <c r="F2" s="136"/>
      <c r="G2" s="136"/>
      <c r="H2" s="136"/>
      <c r="I2" s="8"/>
    </row>
    <row r="3" spans="1:9" x14ac:dyDescent="0.2">
      <c r="A3" s="7"/>
      <c r="B3" s="136"/>
      <c r="C3" s="136"/>
      <c r="D3" s="136"/>
      <c r="E3" s="136"/>
      <c r="F3" s="136"/>
      <c r="G3" s="136"/>
      <c r="H3" s="136"/>
      <c r="I3" s="8"/>
    </row>
    <row r="4" spans="1:9" x14ac:dyDescent="0.2">
      <c r="A4" s="7"/>
      <c r="B4" s="136"/>
      <c r="C4" s="136"/>
      <c r="D4" s="136"/>
      <c r="E4" s="136"/>
      <c r="F4" s="136"/>
      <c r="G4" s="136"/>
      <c r="H4" s="136"/>
      <c r="I4" s="8"/>
    </row>
    <row r="5" spans="1:9" x14ac:dyDescent="0.2">
      <c r="A5" s="7"/>
      <c r="B5" s="136"/>
      <c r="C5" s="136"/>
      <c r="D5" s="136"/>
      <c r="E5" s="136"/>
      <c r="F5" s="136"/>
      <c r="G5" s="136"/>
      <c r="H5" s="136"/>
      <c r="I5" s="8"/>
    </row>
    <row r="6" spans="1:9" x14ac:dyDescent="0.2">
      <c r="A6" s="7"/>
      <c r="B6" s="136"/>
      <c r="C6" s="136"/>
      <c r="D6" s="136"/>
      <c r="E6" s="136"/>
      <c r="F6" s="136"/>
      <c r="G6" s="136"/>
      <c r="H6" s="136"/>
      <c r="I6" s="8"/>
    </row>
    <row r="7" spans="1:9" x14ac:dyDescent="0.2">
      <c r="A7" s="7"/>
      <c r="B7" s="136"/>
      <c r="C7" s="136"/>
      <c r="D7" s="136"/>
      <c r="E7" s="136"/>
      <c r="F7" s="136"/>
      <c r="G7" s="136"/>
      <c r="H7" s="136"/>
      <c r="I7" s="8"/>
    </row>
    <row r="8" spans="1:9" x14ac:dyDescent="0.2">
      <c r="A8" s="7"/>
      <c r="B8" s="136"/>
      <c r="C8" s="136"/>
      <c r="D8" s="136"/>
      <c r="E8" s="136"/>
      <c r="F8" s="136"/>
      <c r="G8" s="136"/>
      <c r="H8" s="136"/>
      <c r="I8" s="8"/>
    </row>
    <row r="9" spans="1:9" x14ac:dyDescent="0.2">
      <c r="A9" s="7"/>
      <c r="B9" s="136"/>
      <c r="C9" s="136"/>
      <c r="D9" s="136"/>
      <c r="E9" s="136"/>
      <c r="F9" s="136"/>
      <c r="G9" s="136"/>
      <c r="H9" s="136"/>
      <c r="I9" s="8"/>
    </row>
    <row r="10" spans="1:9" x14ac:dyDescent="0.2">
      <c r="A10" s="7"/>
      <c r="B10" s="136"/>
      <c r="C10" s="136"/>
      <c r="D10" s="136"/>
      <c r="E10" s="136"/>
      <c r="F10" s="136"/>
      <c r="G10" s="136"/>
      <c r="H10" s="136"/>
      <c r="I10" s="8"/>
    </row>
    <row r="11" spans="1:9" x14ac:dyDescent="0.2">
      <c r="A11" s="7"/>
      <c r="B11" s="136"/>
      <c r="C11" s="136"/>
      <c r="D11" s="136"/>
      <c r="E11" s="136"/>
      <c r="F11" s="136"/>
      <c r="G11" s="136"/>
      <c r="H11" s="136"/>
      <c r="I11" s="8"/>
    </row>
    <row r="12" spans="1:9" x14ac:dyDescent="0.2">
      <c r="A12" s="7"/>
      <c r="B12" s="136"/>
      <c r="C12" s="136"/>
      <c r="D12" s="136"/>
      <c r="E12" s="136"/>
      <c r="F12" s="136"/>
      <c r="G12" s="136"/>
      <c r="H12" s="136"/>
      <c r="I12" s="8"/>
    </row>
    <row r="13" spans="1:9" x14ac:dyDescent="0.2">
      <c r="A13" s="7"/>
      <c r="B13" s="136"/>
      <c r="C13" s="136"/>
      <c r="D13" s="136"/>
      <c r="E13" s="136"/>
      <c r="F13" s="136"/>
      <c r="G13" s="136"/>
      <c r="H13" s="136"/>
      <c r="I13" s="8"/>
    </row>
    <row r="14" spans="1:9" x14ac:dyDescent="0.2">
      <c r="A14" s="7"/>
      <c r="B14" s="136"/>
      <c r="C14" s="136"/>
      <c r="D14" s="136"/>
      <c r="E14" s="136"/>
      <c r="F14" s="136"/>
      <c r="G14" s="136"/>
      <c r="H14" s="136"/>
      <c r="I14" s="8"/>
    </row>
    <row r="15" spans="1:9" x14ac:dyDescent="0.2">
      <c r="A15" s="7"/>
      <c r="B15" s="136"/>
      <c r="C15" s="136"/>
      <c r="D15" s="136"/>
      <c r="E15" s="136"/>
      <c r="F15" s="136"/>
      <c r="G15" s="136"/>
      <c r="H15" s="136"/>
      <c r="I15" s="8"/>
    </row>
    <row r="16" spans="1:9" x14ac:dyDescent="0.2">
      <c r="A16" s="7"/>
      <c r="B16" s="136"/>
      <c r="C16" s="136"/>
      <c r="D16" s="136"/>
      <c r="E16" s="136"/>
      <c r="F16" s="136"/>
      <c r="G16" s="136"/>
      <c r="H16" s="136"/>
      <c r="I16" s="8"/>
    </row>
    <row r="17" spans="1:12" x14ac:dyDescent="0.2">
      <c r="A17" s="7"/>
      <c r="B17" s="136"/>
      <c r="C17" s="136"/>
      <c r="D17" s="136"/>
      <c r="E17" s="136"/>
      <c r="F17" s="136"/>
      <c r="G17" s="136"/>
      <c r="H17" s="136"/>
      <c r="I17" s="8"/>
    </row>
    <row r="18" spans="1:12" x14ac:dyDescent="0.2">
      <c r="A18" s="7"/>
      <c r="B18" s="136"/>
      <c r="C18" s="136"/>
      <c r="D18" s="136"/>
      <c r="E18" s="136"/>
      <c r="F18" s="136"/>
      <c r="G18" s="136"/>
      <c r="H18" s="136"/>
      <c r="I18" s="8"/>
    </row>
    <row r="19" spans="1:12" x14ac:dyDescent="0.2">
      <c r="A19" s="7"/>
      <c r="B19" s="136"/>
      <c r="C19" s="136"/>
      <c r="D19" s="136"/>
      <c r="E19" s="136"/>
      <c r="F19" s="136"/>
      <c r="G19" s="136"/>
      <c r="H19" s="136"/>
      <c r="I19" s="8"/>
    </row>
    <row r="20" spans="1:12" x14ac:dyDescent="0.2">
      <c r="A20" s="7"/>
      <c r="B20" s="136"/>
      <c r="C20" s="136"/>
      <c r="D20" s="136"/>
      <c r="E20" s="136"/>
      <c r="F20" s="136"/>
      <c r="G20" s="136"/>
      <c r="H20" s="136"/>
      <c r="I20" s="8"/>
    </row>
    <row r="21" spans="1:12" x14ac:dyDescent="0.2">
      <c r="A21" s="174" t="s">
        <v>125</v>
      </c>
      <c r="B21" s="175"/>
      <c r="C21" s="175"/>
      <c r="D21" s="175"/>
      <c r="E21" s="175"/>
      <c r="F21" s="175"/>
      <c r="G21" s="175"/>
      <c r="H21" s="175"/>
      <c r="I21" s="176"/>
    </row>
    <row r="22" spans="1:12" ht="37.5" customHeight="1" x14ac:dyDescent="0.2">
      <c r="A22" s="177" t="s">
        <v>112</v>
      </c>
      <c r="B22" s="178"/>
      <c r="C22" s="178"/>
      <c r="D22" s="178"/>
      <c r="E22" s="178"/>
      <c r="F22" s="178"/>
      <c r="G22" s="178"/>
      <c r="H22" s="178"/>
      <c r="I22" s="179"/>
    </row>
    <row r="23" spans="1:12" ht="18.75" x14ac:dyDescent="0.2">
      <c r="A23" s="7"/>
      <c r="B23" s="136"/>
      <c r="C23" s="136"/>
      <c r="D23" s="136"/>
      <c r="E23" s="137" t="s">
        <v>47</v>
      </c>
      <c r="F23" s="180" t="str">
        <f>'Данные объект'!B2</f>
      </c>
      <c r="G23" s="180"/>
      <c r="H23" s="138"/>
      <c r="I23" s="139"/>
      <c r="J23" s="13"/>
      <c r="K23" s="13"/>
      <c r="L23" s="13"/>
    </row>
    <row r="24" spans="1:12" x14ac:dyDescent="0.2">
      <c r="A24" s="7"/>
      <c r="B24" s="136"/>
      <c r="C24" s="136"/>
      <c r="D24" s="136"/>
      <c r="E24" s="136"/>
      <c r="F24" s="136"/>
      <c r="G24" s="136"/>
      <c r="H24" s="136"/>
      <c r="I24" s="8"/>
    </row>
    <row r="25" spans="1:12" x14ac:dyDescent="0.2">
      <c r="A25" s="7"/>
      <c r="B25" s="136"/>
      <c r="C25" s="136"/>
      <c r="D25" s="136"/>
      <c r="E25" s="136"/>
      <c r="F25" s="136"/>
      <c r="G25" s="136"/>
      <c r="H25" s="136"/>
      <c r="I25" s="8"/>
    </row>
    <row r="26" spans="1:12" x14ac:dyDescent="0.2">
      <c r="A26" s="7"/>
      <c r="B26" s="136"/>
      <c r="C26" s="136"/>
      <c r="D26" s="136"/>
      <c r="E26" s="136"/>
      <c r="F26" s="136"/>
      <c r="G26" s="136"/>
      <c r="H26" s="136"/>
      <c r="I26" s="8"/>
    </row>
    <row r="27" spans="1:12" x14ac:dyDescent="0.2">
      <c r="A27" s="7"/>
      <c r="B27" s="136"/>
      <c r="C27" s="136"/>
      <c r="D27" s="136"/>
      <c r="E27" s="136"/>
      <c r="F27" s="136"/>
      <c r="G27" s="136"/>
      <c r="H27" s="136"/>
      <c r="I27" s="8"/>
    </row>
    <row r="28" spans="1:12" x14ac:dyDescent="0.2">
      <c r="A28" s="7"/>
      <c r="B28" s="136"/>
      <c r="C28" s="136"/>
      <c r="D28" s="136"/>
      <c r="E28" s="136"/>
      <c r="F28" s="136"/>
      <c r="G28" s="136"/>
      <c r="H28" s="136"/>
      <c r="I28" s="8"/>
    </row>
    <row r="29" spans="1:12" x14ac:dyDescent="0.2">
      <c r="A29" s="7"/>
      <c r="B29" s="136"/>
      <c r="C29" s="136"/>
      <c r="D29" s="136"/>
      <c r="E29" s="136"/>
      <c r="F29" s="136"/>
      <c r="G29" s="136"/>
      <c r="H29" s="136"/>
      <c r="I29" s="8"/>
    </row>
    <row r="30" spans="1:12" x14ac:dyDescent="0.2">
      <c r="A30" s="7"/>
      <c r="B30" s="136"/>
      <c r="C30" s="136"/>
      <c r="D30" s="136"/>
      <c r="E30" s="136"/>
      <c r="F30" s="136"/>
      <c r="G30" s="136"/>
      <c r="H30" s="136"/>
      <c r="I30" s="8"/>
    </row>
    <row r="31" spans="1:12" x14ac:dyDescent="0.2">
      <c r="A31" s="7"/>
      <c r="B31" s="136"/>
      <c r="C31" s="136"/>
      <c r="D31" s="136"/>
      <c r="E31" s="136"/>
      <c r="F31" s="136"/>
      <c r="G31" s="136"/>
      <c r="H31" s="136"/>
      <c r="I31" s="8"/>
    </row>
    <row r="32" spans="1:12" x14ac:dyDescent="0.2">
      <c r="A32" s="7"/>
      <c r="B32" s="136"/>
      <c r="C32" s="136"/>
      <c r="D32" s="136"/>
      <c r="E32" s="136"/>
      <c r="F32" s="136"/>
      <c r="G32" s="136"/>
      <c r="H32" s="136"/>
      <c r="I32" s="8"/>
    </row>
    <row r="33" spans="1:9" x14ac:dyDescent="0.2">
      <c r="A33" s="7"/>
      <c r="B33" s="136"/>
      <c r="C33" s="136"/>
      <c r="D33" s="136"/>
      <c r="E33" s="136"/>
      <c r="F33" s="136"/>
      <c r="G33" s="136"/>
      <c r="H33" s="136"/>
      <c r="I33" s="8"/>
    </row>
    <row r="34" spans="1:9" x14ac:dyDescent="0.2">
      <c r="A34" s="7"/>
      <c r="B34" s="136"/>
      <c r="C34" s="136"/>
      <c r="D34" s="136"/>
      <c r="E34" s="136"/>
      <c r="F34" s="136"/>
      <c r="G34" s="136"/>
      <c r="H34" s="136"/>
      <c r="I34" s="8"/>
    </row>
    <row r="35" spans="1:9" x14ac:dyDescent="0.2">
      <c r="A35" s="7"/>
      <c r="B35" s="136"/>
      <c r="C35" s="136"/>
      <c r="D35" s="136"/>
      <c r="E35" s="136"/>
      <c r="F35" s="136"/>
      <c r="G35" s="136"/>
      <c r="H35" s="136"/>
      <c r="I35" s="8"/>
    </row>
    <row r="36" spans="1:9" x14ac:dyDescent="0.2">
      <c r="A36" s="7"/>
      <c r="B36" s="136"/>
      <c r="C36" s="136"/>
      <c r="D36" s="136"/>
      <c r="E36" s="136"/>
      <c r="F36" s="136"/>
      <c r="G36" s="136"/>
      <c r="H36" s="136"/>
      <c r="I36" s="8"/>
    </row>
    <row r="37" spans="1:9" x14ac:dyDescent="0.2">
      <c r="A37" s="7"/>
      <c r="B37" s="136"/>
      <c r="C37" s="136"/>
      <c r="D37" s="136"/>
      <c r="E37" s="136"/>
      <c r="F37" s="136"/>
      <c r="G37" s="136"/>
      <c r="H37" s="136"/>
      <c r="I37" s="8"/>
    </row>
    <row r="38" spans="1:9" x14ac:dyDescent="0.2">
      <c r="A38" s="7"/>
      <c r="B38" s="136"/>
      <c r="C38" s="136"/>
      <c r="D38" s="136"/>
      <c r="E38" s="136"/>
      <c r="F38" s="136"/>
      <c r="G38" s="136"/>
      <c r="H38" s="136"/>
      <c r="I38" s="8"/>
    </row>
    <row r="39" spans="1:9" x14ac:dyDescent="0.2">
      <c r="A39" s="7"/>
      <c r="B39" s="136"/>
      <c r="C39" s="136"/>
      <c r="D39" s="136"/>
      <c r="E39" s="136"/>
      <c r="F39" s="136"/>
      <c r="G39" s="136"/>
      <c r="H39" s="136"/>
      <c r="I39" s="8"/>
    </row>
    <row r="40" spans="1:9" x14ac:dyDescent="0.2">
      <c r="A40" s="7"/>
      <c r="B40" s="136"/>
      <c r="C40" s="136"/>
      <c r="D40" s="136"/>
      <c r="E40" s="136"/>
      <c r="F40" s="136"/>
      <c r="G40" s="136"/>
      <c r="H40" s="136"/>
      <c r="I40" s="8"/>
    </row>
    <row r="41" spans="1:9" x14ac:dyDescent="0.2">
      <c r="A41" s="7"/>
      <c r="B41" s="136"/>
      <c r="C41" s="136"/>
      <c r="D41" s="136"/>
      <c r="E41" s="136"/>
      <c r="F41" s="136"/>
      <c r="G41" s="136"/>
      <c r="H41" s="136"/>
      <c r="I41" s="8"/>
    </row>
    <row r="42" spans="1:9" x14ac:dyDescent="0.2">
      <c r="A42" s="7"/>
      <c r="B42" s="136"/>
      <c r="C42" s="136"/>
      <c r="D42" s="136"/>
      <c r="E42" s="136"/>
      <c r="F42" s="136"/>
      <c r="G42" s="136"/>
      <c r="H42" s="136"/>
      <c r="I42" s="8"/>
    </row>
    <row r="43" spans="1:9" x14ac:dyDescent="0.2">
      <c r="A43" s="7"/>
      <c r="B43" s="136"/>
      <c r="C43" s="136"/>
      <c r="D43" s="136"/>
      <c r="E43" s="136"/>
      <c r="F43" s="136"/>
      <c r="G43" s="136"/>
      <c r="H43" s="136"/>
      <c r="I43" s="8"/>
    </row>
    <row r="44" spans="1:9" x14ac:dyDescent="0.2">
      <c r="A44" s="7"/>
      <c r="B44" s="136"/>
      <c r="C44" s="136"/>
      <c r="D44" s="136"/>
      <c r="E44" s="136"/>
      <c r="F44" s="136"/>
      <c r="G44" s="136"/>
      <c r="H44" s="136"/>
      <c r="I44" s="8"/>
    </row>
    <row r="45" spans="1:9" x14ac:dyDescent="0.2">
      <c r="A45" s="7"/>
      <c r="B45" s="136"/>
      <c r="C45" s="136"/>
      <c r="D45" s="136"/>
      <c r="E45" s="136"/>
      <c r="F45" s="136"/>
      <c r="G45" s="136"/>
      <c r="H45" s="136"/>
      <c r="I45" s="8"/>
    </row>
    <row r="46" spans="1:9" x14ac:dyDescent="0.2">
      <c r="A46" s="7"/>
      <c r="B46" s="136"/>
      <c r="C46" s="136"/>
      <c r="D46" s="136"/>
      <c r="E46" s="136"/>
      <c r="F46" s="136"/>
      <c r="G46" s="136"/>
      <c r="H46" s="136"/>
      <c r="I46" s="8"/>
    </row>
    <row r="47" spans="1:9" x14ac:dyDescent="0.2">
      <c r="A47" s="7"/>
      <c r="B47" s="136"/>
      <c r="C47" s="136"/>
      <c r="D47" s="136"/>
      <c r="E47" s="136"/>
      <c r="F47" s="136"/>
      <c r="G47" s="136"/>
      <c r="H47" s="136"/>
      <c r="I47" s="8"/>
    </row>
    <row r="48" spans="1:9" x14ac:dyDescent="0.2">
      <c r="A48" s="7"/>
      <c r="B48" s="136"/>
      <c r="C48" s="136"/>
      <c r="D48" s="136"/>
      <c r="E48" s="136"/>
      <c r="F48" s="136"/>
      <c r="G48" s="136"/>
      <c r="H48" s="136"/>
      <c r="I48" s="8"/>
    </row>
    <row r="49" spans="1:9" x14ac:dyDescent="0.2">
      <c r="A49" s="7"/>
      <c r="B49" s="136"/>
      <c r="C49" s="136"/>
      <c r="D49" s="136"/>
      <c r="E49" s="136"/>
      <c r="F49" s="136"/>
      <c r="G49" s="136"/>
      <c r="H49" s="136"/>
      <c r="I49" s="8"/>
    </row>
    <row r="50" spans="1:9" x14ac:dyDescent="0.2">
      <c r="A50" s="7"/>
      <c r="B50" s="136"/>
      <c r="C50" s="136"/>
      <c r="D50" s="136"/>
      <c r="E50" s="136"/>
      <c r="F50" s="136"/>
      <c r="G50" s="136"/>
      <c r="H50" s="136"/>
      <c r="I50" s="8"/>
    </row>
    <row r="51" spans="1:9" x14ac:dyDescent="0.2">
      <c r="A51" s="7"/>
      <c r="B51" s="136"/>
      <c r="C51" s="136"/>
      <c r="D51" s="136"/>
      <c r="E51" s="136"/>
      <c r="F51" s="136"/>
      <c r="G51" s="136"/>
      <c r="H51" s="136"/>
      <c r="I51" s="8"/>
    </row>
    <row r="52" spans="1:9" x14ac:dyDescent="0.2">
      <c r="A52" s="7"/>
      <c r="B52" s="136"/>
      <c r="C52" s="136"/>
      <c r="D52" s="136"/>
      <c r="E52" s="136"/>
      <c r="F52" s="136"/>
      <c r="G52" s="136"/>
      <c r="H52" s="136"/>
      <c r="I52" s="8"/>
    </row>
    <row r="53" spans="1:9" x14ac:dyDescent="0.2">
      <c r="A53" s="7"/>
      <c r="B53" s="136"/>
      <c r="C53" s="136"/>
      <c r="D53" s="136"/>
      <c r="E53" s="136"/>
      <c r="F53" s="136"/>
      <c r="G53" s="136"/>
      <c r="H53" s="136"/>
      <c r="I53" s="8"/>
    </row>
    <row r="54" spans="1:9" x14ac:dyDescent="0.2">
      <c r="A54" s="7"/>
      <c r="B54" s="136"/>
      <c r="C54" s="136"/>
      <c r="D54" s="136"/>
      <c r="E54" s="136"/>
      <c r="F54" s="136"/>
      <c r="G54" s="136"/>
      <c r="H54" s="136"/>
      <c r="I54" s="8"/>
    </row>
    <row r="55" spans="1:9" ht="37.5" customHeight="1" thickBot="1" x14ac:dyDescent="0.25">
      <c r="A55" s="9"/>
      <c r="B55" s="10"/>
      <c r="C55" s="10"/>
      <c r="D55" s="10"/>
      <c r="E55" s="10"/>
      <c r="F55" s="10"/>
      <c r="G55" s="10"/>
      <c r="H55" s="10"/>
      <c r="I55" s="11"/>
    </row>
  </sheetData>
  <mergeCells count="3">
    <mergeCell ref="A21:I21"/>
    <mergeCell ref="A22:I22"/>
    <mergeCell ref="F23:G23"/>
  </mergeCells>
  <pageMargins left="0.9055118110236221" right="0.51181102362204722" top="0.55118110236220474" bottom="0.55118110236220474" header="0.31496062992125984" footer="0.31496062992125984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indexed="17"/>
  </sheetPr>
  <dimension ref="A1:AJ232"/>
  <sheetViews>
    <sheetView view="pageBreakPreview" topLeftCell="A205" zoomScaleNormal="140" zoomScaleSheetLayoutView="100" workbookViewId="0">
      <selection activeCell="AM233" sqref="AM233"/>
    </sheetView>
  </sheetViews>
  <sheetFormatPr defaultColWidth="9.140625" defaultRowHeight="15" x14ac:dyDescent="0.25"/>
  <cols>
    <col min="1" max="36" width="2.5703125" style="91" customWidth="1"/>
    <col min="37" max="16384" width="9.140625" style="91"/>
  </cols>
  <sheetData>
    <row r="1" spans="1:36" s="77" customFormat="1" ht="12" x14ac:dyDescent="0.2">
      <c r="A1" s="196" t="s">
        <v>44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6"/>
      <c r="AH1" s="196"/>
      <c r="AI1" s="196"/>
      <c r="AJ1" s="196"/>
    </row>
    <row r="2" spans="1:36" s="77" customFormat="1" ht="12" x14ac:dyDescent="0.2">
      <c r="A2" s="196" t="s">
        <v>45</v>
      </c>
      <c r="B2" s="196"/>
      <c r="C2" s="196"/>
      <c r="D2" s="196"/>
      <c r="E2" s="196"/>
      <c r="F2" s="196"/>
      <c r="G2" s="196"/>
      <c r="H2" s="196"/>
      <c r="I2" s="196"/>
      <c r="J2" s="196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6"/>
      <c r="X2" s="196"/>
      <c r="Y2" s="196"/>
      <c r="Z2" s="196"/>
      <c r="AA2" s="196"/>
      <c r="AB2" s="196"/>
      <c r="AC2" s="196"/>
      <c r="AD2" s="196"/>
      <c r="AE2" s="196"/>
      <c r="AF2" s="196"/>
      <c r="AG2" s="196"/>
      <c r="AH2" s="196"/>
      <c r="AI2" s="196"/>
      <c r="AJ2" s="196"/>
    </row>
    <row r="3" spans="1:36" s="77" customFormat="1" ht="20.25" customHeight="1" x14ac:dyDescent="0.2">
      <c r="A3" s="196" t="s">
        <v>46</v>
      </c>
      <c r="B3" s="196"/>
      <c r="C3" s="196"/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96"/>
      <c r="T3" s="196"/>
      <c r="U3" s="196"/>
      <c r="V3" s="196"/>
      <c r="W3" s="196"/>
      <c r="X3" s="196"/>
      <c r="Y3" s="196"/>
      <c r="Z3" s="196"/>
      <c r="AA3" s="196"/>
      <c r="AB3" s="196"/>
      <c r="AC3" s="196"/>
      <c r="AD3" s="196"/>
      <c r="AE3" s="196"/>
      <c r="AF3" s="196"/>
      <c r="AG3" s="196"/>
      <c r="AH3" s="196"/>
      <c r="AI3" s="196"/>
      <c r="AJ3" s="196"/>
    </row>
    <row r="4" spans="1:36" s="81" customFormat="1" ht="17.25" customHeight="1" x14ac:dyDescent="0.2">
      <c r="A4" s="78"/>
      <c r="B4" s="78"/>
      <c r="C4" s="78"/>
      <c r="D4" s="78"/>
      <c r="E4" s="79"/>
      <c r="F4" s="78"/>
      <c r="G4" s="78"/>
      <c r="H4" s="78"/>
      <c r="I4" s="78"/>
      <c r="J4" s="78"/>
      <c r="K4" s="80"/>
      <c r="O4" s="79"/>
      <c r="P4" s="79" t="s">
        <v>47</v>
      </c>
      <c r="Q4" s="201" t="str">
        <f>'Данные объект'!B2</f>
      </c>
      <c r="R4" s="201"/>
      <c r="S4" s="201"/>
      <c r="T4" s="201"/>
      <c r="U4" s="201"/>
    </row>
    <row r="5" spans="1:36" s="81" customFormat="1" ht="14.25" customHeight="1" x14ac:dyDescent="0.2">
      <c r="A5" s="78"/>
      <c r="B5" s="78"/>
      <c r="C5" s="78"/>
      <c r="D5" s="78"/>
      <c r="E5" s="78"/>
      <c r="F5" s="78"/>
      <c r="G5" s="78"/>
      <c r="H5" s="78"/>
      <c r="I5" s="78"/>
      <c r="J5" s="78"/>
      <c r="K5" s="80"/>
    </row>
    <row r="6" spans="1:36" s="17" customFormat="1" ht="12" x14ac:dyDescent="0.2">
      <c r="A6" s="197" t="s">
        <v>128</v>
      </c>
      <c r="B6" s="197"/>
      <c r="C6" s="198" t="s">
        <v>177</v>
      </c>
      <c r="D6" s="198"/>
      <c r="E6" s="198"/>
      <c r="F6" s="198"/>
      <c r="G6" s="198"/>
      <c r="H6" s="198"/>
      <c r="I6" s="198"/>
      <c r="J6" s="198"/>
      <c r="K6" s="198"/>
      <c r="L6" s="198"/>
      <c r="M6" s="198"/>
      <c r="N6" s="198"/>
      <c r="O6" s="198"/>
      <c r="P6" s="198"/>
      <c r="Q6" s="198"/>
      <c r="R6" s="198"/>
      <c r="S6" s="198"/>
      <c r="T6" s="198"/>
      <c r="U6" s="198"/>
      <c r="V6" s="198"/>
      <c r="W6" s="198"/>
      <c r="X6" s="198"/>
      <c r="Y6" s="198"/>
      <c r="Z6" s="198"/>
      <c r="AA6" s="198"/>
      <c r="AB6" s="198"/>
      <c r="AC6" s="198"/>
      <c r="AD6" s="198"/>
      <c r="AE6" s="198"/>
      <c r="AF6" s="198"/>
      <c r="AG6" s="198"/>
      <c r="AH6" s="198"/>
      <c r="AI6" s="198"/>
      <c r="AJ6" s="198"/>
    </row>
    <row r="7" spans="1:36" s="16" customFormat="1" ht="8.25" x14ac:dyDescent="0.15">
      <c r="A7" s="83"/>
      <c r="B7" s="83"/>
      <c r="C7" s="199" t="s">
        <v>127</v>
      </c>
      <c r="D7" s="199"/>
      <c r="E7" s="199"/>
      <c r="F7" s="199"/>
      <c r="G7" s="199"/>
      <c r="H7" s="199"/>
      <c r="I7" s="199"/>
      <c r="J7" s="199"/>
      <c r="K7" s="199"/>
      <c r="L7" s="199"/>
      <c r="M7" s="199"/>
      <c r="N7" s="199"/>
      <c r="O7" s="199"/>
      <c r="P7" s="199"/>
      <c r="Q7" s="199"/>
      <c r="R7" s="199"/>
      <c r="S7" s="199"/>
      <c r="T7" s="199"/>
      <c r="U7" s="199"/>
      <c r="V7" s="199"/>
      <c r="W7" s="199"/>
      <c r="X7" s="199"/>
      <c r="Y7" s="199"/>
      <c r="Z7" s="199"/>
      <c r="AA7" s="199"/>
      <c r="AB7" s="199"/>
      <c r="AC7" s="199"/>
      <c r="AD7" s="199"/>
      <c r="AE7" s="199"/>
      <c r="AF7" s="199"/>
      <c r="AG7" s="199"/>
      <c r="AH7" s="199"/>
      <c r="AI7" s="199"/>
      <c r="AJ7" s="199"/>
    </row>
    <row r="8" spans="1:36" s="17" customFormat="1" ht="11.25" x14ac:dyDescent="0.2">
      <c r="A8" s="181" t="str">
        <f>'Данные объект'!B3</f>
      </c>
      <c r="B8" s="181"/>
      <c r="C8" s="181"/>
      <c r="D8" s="181"/>
      <c r="E8" s="181"/>
      <c r="F8" s="181"/>
      <c r="G8" s="181"/>
      <c r="H8" s="181"/>
      <c r="I8" s="181"/>
      <c r="J8" s="181"/>
      <c r="K8" s="181"/>
      <c r="L8" s="181"/>
      <c r="M8" s="181"/>
      <c r="N8" s="181"/>
      <c r="O8" s="181"/>
      <c r="P8" s="181"/>
      <c r="Q8" s="181"/>
      <c r="R8" s="181"/>
      <c r="S8" s="181"/>
      <c r="T8" s="181"/>
      <c r="U8" s="181"/>
      <c r="V8" s="181"/>
      <c r="W8" s="181"/>
      <c r="X8" s="181"/>
      <c r="Y8" s="181"/>
      <c r="Z8" s="181"/>
      <c r="AA8" s="181"/>
      <c r="AB8" s="181"/>
      <c r="AC8" s="181"/>
      <c r="AD8" s="181"/>
      <c r="AE8" s="181"/>
      <c r="AF8" s="181"/>
      <c r="AG8" s="181"/>
      <c r="AH8" s="181"/>
      <c r="AI8" s="181"/>
      <c r="AJ8" s="181"/>
    </row>
    <row r="9" spans="1:36" s="17" customFormat="1" ht="46.5" customHeight="1" x14ac:dyDescent="0.2">
      <c r="A9" s="182"/>
      <c r="B9" s="182"/>
      <c r="C9" s="182"/>
      <c r="D9" s="182"/>
      <c r="E9" s="182"/>
      <c r="F9" s="182"/>
      <c r="G9" s="182"/>
      <c r="H9" s="182"/>
      <c r="I9" s="182"/>
      <c r="J9" s="182"/>
      <c r="K9" s="182"/>
      <c r="L9" s="182"/>
      <c r="M9" s="182"/>
      <c r="N9" s="182"/>
      <c r="O9" s="182"/>
      <c r="P9" s="182"/>
      <c r="Q9" s="182"/>
      <c r="R9" s="182"/>
      <c r="S9" s="182"/>
      <c r="T9" s="182"/>
      <c r="U9" s="182"/>
      <c r="V9" s="182"/>
      <c r="W9" s="182"/>
      <c r="X9" s="182"/>
      <c r="Y9" s="182"/>
      <c r="Z9" s="182"/>
      <c r="AA9" s="182"/>
      <c r="AB9" s="182"/>
      <c r="AC9" s="182"/>
      <c r="AD9" s="182"/>
      <c r="AE9" s="182"/>
      <c r="AF9" s="182"/>
      <c r="AG9" s="182"/>
      <c r="AH9" s="182"/>
      <c r="AI9" s="182"/>
      <c r="AJ9" s="182"/>
    </row>
    <row r="10" spans="1:36" s="16" customFormat="1" ht="8.25" x14ac:dyDescent="0.15">
      <c r="A10" s="200" t="s">
        <v>1</v>
      </c>
      <c r="B10" s="200"/>
      <c r="C10" s="200"/>
      <c r="D10" s="200"/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0"/>
      <c r="AI10" s="200"/>
      <c r="AJ10" s="200"/>
    </row>
    <row r="11" spans="1:36" customFormat="1" ht="18" customHeight="1" x14ac:dyDescent="0.2">
      <c r="A11" s="84"/>
      <c r="B11" s="84"/>
      <c r="C11" s="84"/>
      <c r="D11" s="84"/>
      <c r="E11" s="84"/>
      <c r="F11" s="84"/>
      <c r="G11" s="84"/>
      <c r="H11" s="84"/>
      <c r="I11" s="84"/>
      <c r="J11" s="84"/>
      <c r="K11" s="85"/>
    </row>
    <row r="12" spans="1:36" s="88" customFormat="1" ht="15.75" customHeight="1" x14ac:dyDescent="0.2">
      <c r="A12" s="86" t="s">
        <v>11</v>
      </c>
      <c r="B12" s="86"/>
      <c r="C12" s="87"/>
      <c r="D12" s="87"/>
      <c r="E12" s="87"/>
      <c r="F12" s="87"/>
      <c r="G12" s="87"/>
      <c r="H12" s="87"/>
      <c r="I12" s="87"/>
      <c r="J12" s="87"/>
    </row>
    <row r="13" spans="1:36" s="88" customFormat="1" ht="11.25" x14ac:dyDescent="0.2">
      <c r="A13" s="184" t="str">
        <f>'Данные объект'!B17</f>
      </c>
      <c r="B13" s="184"/>
      <c r="C13" s="184"/>
      <c r="D13" s="184"/>
      <c r="E13" s="184"/>
      <c r="F13" s="184"/>
      <c r="G13" s="184"/>
      <c r="H13" s="184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  <c r="AA13" s="184"/>
      <c r="AB13" s="184"/>
      <c r="AC13" s="184"/>
      <c r="AD13" s="184"/>
      <c r="AE13" s="184"/>
      <c r="AF13" s="184"/>
      <c r="AG13" s="184"/>
      <c r="AH13" s="184"/>
      <c r="AI13" s="184"/>
      <c r="AJ13" s="184"/>
    </row>
    <row r="14" spans="1:36" s="89" customFormat="1" ht="7.5" x14ac:dyDescent="0.15">
      <c r="A14" s="202" t="s">
        <v>48</v>
      </c>
      <c r="B14" s="202"/>
      <c r="C14" s="202"/>
      <c r="D14" s="202"/>
      <c r="E14" s="202"/>
      <c r="F14" s="202"/>
      <c r="G14" s="202"/>
      <c r="H14" s="202"/>
      <c r="I14" s="202"/>
      <c r="J14" s="202"/>
      <c r="K14" s="202"/>
      <c r="L14" s="202"/>
      <c r="M14" s="202"/>
      <c r="N14" s="202"/>
      <c r="O14" s="202"/>
      <c r="P14" s="202"/>
      <c r="Q14" s="202"/>
      <c r="R14" s="202"/>
      <c r="S14" s="202"/>
      <c r="T14" s="202"/>
      <c r="U14" s="202"/>
      <c r="V14" s="202"/>
      <c r="W14" s="202"/>
      <c r="X14" s="202"/>
      <c r="Y14" s="202"/>
      <c r="Z14" s="202"/>
      <c r="AA14" s="202"/>
      <c r="AB14" s="202"/>
      <c r="AC14" s="202"/>
      <c r="AD14" s="202"/>
      <c r="AE14" s="202"/>
      <c r="AF14" s="202"/>
      <c r="AG14" s="202"/>
      <c r="AH14" s="202"/>
      <c r="AI14" s="202"/>
      <c r="AJ14" s="202"/>
    </row>
    <row r="15" spans="1:36" s="88" customFormat="1" ht="11.25" x14ac:dyDescent="0.2">
      <c r="A15" s="184" t="str">
        <f>'Данные объект'!B18</f>
      </c>
      <c r="B15" s="184"/>
      <c r="C15" s="184"/>
      <c r="D15" s="184"/>
      <c r="E15" s="184"/>
      <c r="F15" s="184"/>
      <c r="G15" s="184"/>
      <c r="H15" s="184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  <c r="AA15" s="184"/>
      <c r="AB15" s="184"/>
      <c r="AC15" s="184"/>
      <c r="AD15" s="184"/>
      <c r="AE15" s="184"/>
      <c r="AF15" s="184"/>
      <c r="AG15" s="184"/>
      <c r="AH15" s="184"/>
      <c r="AI15" s="184"/>
      <c r="AJ15" s="184"/>
    </row>
    <row r="16" spans="1:36" s="89" customFormat="1" ht="7.5" x14ac:dyDescent="0.15">
      <c r="A16" s="202" t="s">
        <v>49</v>
      </c>
      <c r="B16" s="202"/>
      <c r="C16" s="202"/>
      <c r="D16" s="202"/>
      <c r="E16" s="202"/>
      <c r="F16" s="202"/>
      <c r="G16" s="202"/>
      <c r="H16" s="202"/>
      <c r="I16" s="202"/>
      <c r="J16" s="202"/>
      <c r="K16" s="202"/>
      <c r="L16" s="202"/>
      <c r="M16" s="202"/>
      <c r="N16" s="202"/>
      <c r="O16" s="202"/>
      <c r="P16" s="202"/>
      <c r="Q16" s="202"/>
      <c r="R16" s="202"/>
      <c r="S16" s="202"/>
      <c r="T16" s="202"/>
      <c r="U16" s="202"/>
      <c r="V16" s="202"/>
      <c r="W16" s="202"/>
      <c r="X16" s="202"/>
      <c r="Y16" s="202"/>
      <c r="Z16" s="202"/>
      <c r="AA16" s="202"/>
      <c r="AB16" s="202"/>
      <c r="AC16" s="202"/>
      <c r="AD16" s="202"/>
      <c r="AE16" s="202"/>
      <c r="AF16" s="202"/>
      <c r="AG16" s="202"/>
      <c r="AH16" s="202"/>
      <c r="AI16" s="202"/>
      <c r="AJ16" s="202"/>
    </row>
    <row r="17" spans="1:36" s="88" customFormat="1" ht="11.25" x14ac:dyDescent="0.2">
      <c r="A17" s="184" t="str">
        <f>'Данные объект'!B19</f>
      </c>
      <c r="B17" s="184"/>
      <c r="C17" s="184"/>
      <c r="D17" s="184"/>
      <c r="E17" s="184"/>
      <c r="F17" s="184"/>
      <c r="G17" s="184"/>
      <c r="H17" s="184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  <c r="AA17" s="184"/>
      <c r="AB17" s="184"/>
      <c r="AC17" s="184"/>
      <c r="AD17" s="184"/>
      <c r="AE17" s="184"/>
      <c r="AF17" s="184"/>
      <c r="AG17" s="184"/>
      <c r="AH17" s="184"/>
      <c r="AI17" s="184"/>
      <c r="AJ17" s="184"/>
    </row>
    <row r="18" spans="1:36" s="89" customFormat="1" ht="24.75" customHeight="1" x14ac:dyDescent="0.15">
      <c r="A18" s="204" t="s">
        <v>50</v>
      </c>
      <c r="B18" s="204"/>
      <c r="C18" s="204"/>
      <c r="D18" s="204"/>
      <c r="E18" s="204"/>
      <c r="F18" s="204"/>
      <c r="G18" s="204"/>
      <c r="H18" s="204"/>
      <c r="I18" s="204"/>
      <c r="J18" s="204"/>
      <c r="K18" s="204"/>
      <c r="L18" s="204"/>
      <c r="M18" s="204"/>
      <c r="N18" s="204"/>
      <c r="O18" s="204"/>
      <c r="P18" s="204"/>
      <c r="Q18" s="204"/>
      <c r="R18" s="204"/>
      <c r="S18" s="204"/>
      <c r="T18" s="204"/>
      <c r="U18" s="204"/>
      <c r="V18" s="204"/>
      <c r="W18" s="204"/>
      <c r="X18" s="204"/>
      <c r="Y18" s="204"/>
      <c r="Z18" s="204"/>
      <c r="AA18" s="204"/>
      <c r="AB18" s="204"/>
      <c r="AC18" s="204"/>
      <c r="AD18" s="204"/>
      <c r="AE18" s="204"/>
      <c r="AF18" s="204"/>
      <c r="AG18" s="204"/>
      <c r="AH18" s="204"/>
      <c r="AI18" s="204"/>
      <c r="AJ18" s="204"/>
    </row>
    <row r="19" spans="1:36" s="88" customFormat="1" ht="11.25" x14ac:dyDescent="0.2">
      <c r="A19" s="203"/>
      <c r="B19" s="203"/>
      <c r="C19" s="203"/>
      <c r="D19" s="203"/>
      <c r="E19" s="203"/>
      <c r="F19" s="203"/>
      <c r="G19" s="203"/>
      <c r="H19" s="203"/>
      <c r="I19" s="203"/>
      <c r="J19" s="203"/>
      <c r="K19" s="203"/>
      <c r="L19" s="203"/>
      <c r="M19" s="203"/>
      <c r="N19" s="203"/>
      <c r="O19" s="203"/>
      <c r="P19" s="203"/>
      <c r="Q19" s="203"/>
      <c r="R19" s="203"/>
      <c r="S19" s="203"/>
      <c r="T19" s="203"/>
      <c r="U19" s="203"/>
      <c r="V19" s="203"/>
      <c r="W19" s="203"/>
      <c r="X19" s="203"/>
      <c r="Y19" s="203"/>
      <c r="Z19" s="203"/>
      <c r="AA19" s="203"/>
      <c r="AB19" s="203"/>
      <c r="AC19" s="203"/>
      <c r="AD19" s="203"/>
      <c r="AE19" s="203"/>
      <c r="AF19" s="203"/>
      <c r="AG19" s="203"/>
      <c r="AH19" s="203"/>
      <c r="AI19" s="203"/>
      <c r="AJ19" s="203"/>
    </row>
    <row r="20" spans="1:36" s="89" customFormat="1" ht="15.75" customHeight="1" x14ac:dyDescent="0.15">
      <c r="A20" s="202" t="s">
        <v>51</v>
      </c>
      <c r="B20" s="202"/>
      <c r="C20" s="202"/>
      <c r="D20" s="202"/>
      <c r="E20" s="202"/>
      <c r="F20" s="202"/>
      <c r="G20" s="202"/>
      <c r="H20" s="202"/>
      <c r="I20" s="202"/>
      <c r="J20" s="202"/>
      <c r="K20" s="202"/>
      <c r="L20" s="202"/>
      <c r="M20" s="202"/>
      <c r="N20" s="202"/>
      <c r="O20" s="202"/>
      <c r="P20" s="202"/>
      <c r="Q20" s="202"/>
      <c r="R20" s="202"/>
      <c r="S20" s="202"/>
      <c r="T20" s="202"/>
      <c r="U20" s="202"/>
      <c r="V20" s="202"/>
      <c r="W20" s="202"/>
      <c r="X20" s="202"/>
      <c r="Y20" s="202"/>
      <c r="Z20" s="202"/>
      <c r="AA20" s="202"/>
      <c r="AB20" s="202"/>
      <c r="AC20" s="202"/>
      <c r="AD20" s="202"/>
      <c r="AE20" s="202"/>
      <c r="AF20" s="202"/>
      <c r="AG20" s="202"/>
      <c r="AH20" s="202"/>
      <c r="AI20" s="202"/>
      <c r="AJ20" s="202"/>
    </row>
    <row r="21" spans="1:36" ht="13.5" customHeight="1" x14ac:dyDescent="0.25">
      <c r="A21" s="90"/>
      <c r="B21" s="90"/>
      <c r="C21" s="90"/>
      <c r="D21" s="90"/>
      <c r="E21" s="90"/>
      <c r="F21" s="90"/>
      <c r="G21" s="90"/>
      <c r="H21" s="90"/>
      <c r="I21" s="90"/>
      <c r="J21" s="90"/>
    </row>
    <row r="22" spans="1:36" s="17" customFormat="1" ht="17.25" customHeight="1" x14ac:dyDescent="0.2">
      <c r="A22" s="195" t="s">
        <v>2</v>
      </c>
      <c r="B22" s="195"/>
      <c r="C22" s="195"/>
      <c r="D22" s="195"/>
      <c r="E22" s="195"/>
      <c r="F22" s="195"/>
      <c r="G22" s="195"/>
      <c r="H22" s="195"/>
      <c r="I22" s="195"/>
      <c r="J22" s="195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5"/>
      <c r="Z22" s="195"/>
      <c r="AA22" s="195"/>
      <c r="AB22" s="195"/>
      <c r="AC22" s="195"/>
      <c r="AD22" s="195"/>
      <c r="AE22" s="195"/>
      <c r="AF22" s="195"/>
      <c r="AG22" s="195"/>
      <c r="AH22" s="195"/>
      <c r="AI22" s="195"/>
      <c r="AJ22" s="195"/>
    </row>
    <row r="23" spans="1:36" s="17" customFormat="1" ht="91.5" customHeight="1" x14ac:dyDescent="0.2">
      <c r="A23" s="188" t="s">
        <v>39</v>
      </c>
      <c r="B23" s="188"/>
      <c r="C23" s="188" t="s">
        <v>52</v>
      </c>
      <c r="D23" s="188"/>
      <c r="E23" s="188"/>
      <c r="F23" s="188"/>
      <c r="G23" s="188"/>
      <c r="H23" s="188"/>
      <c r="I23" s="188"/>
      <c r="J23" s="188" t="s">
        <v>53</v>
      </c>
      <c r="K23" s="188"/>
      <c r="L23" s="188"/>
      <c r="M23" s="188"/>
      <c r="N23" s="188"/>
      <c r="O23" s="188" t="s">
        <v>3</v>
      </c>
      <c r="P23" s="188"/>
      <c r="Q23" s="188"/>
      <c r="R23" s="188"/>
      <c r="S23" s="188"/>
      <c r="T23" s="188" t="s">
        <v>54</v>
      </c>
      <c r="U23" s="188"/>
      <c r="V23" s="188"/>
      <c r="W23" s="188"/>
      <c r="X23" s="188"/>
      <c r="Y23" s="188"/>
      <c r="Z23" s="188"/>
      <c r="AA23" s="188"/>
      <c r="AB23" s="188"/>
      <c r="AC23" s="188"/>
      <c r="AD23" s="188"/>
      <c r="AE23" s="188"/>
      <c r="AF23" s="188"/>
      <c r="AG23" s="188" t="s">
        <v>4</v>
      </c>
      <c r="AH23" s="188"/>
      <c r="AI23" s="188"/>
      <c r="AJ23" s="188"/>
    </row>
    <row r="24" spans="1:36" s="17" customFormat="1" ht="11.25" x14ac:dyDescent="0.2">
      <c r="A24" s="188" t="s">
        <v>33</v>
      </c>
      <c r="B24" s="188"/>
      <c r="C24" s="188" t="s">
        <v>34</v>
      </c>
      <c r="D24" s="188"/>
      <c r="E24" s="188"/>
      <c r="F24" s="188"/>
      <c r="G24" s="188"/>
      <c r="H24" s="188"/>
      <c r="I24" s="188"/>
      <c r="J24" s="188" t="s">
        <v>35</v>
      </c>
      <c r="K24" s="188"/>
      <c r="L24" s="188"/>
      <c r="M24" s="188"/>
      <c r="N24" s="188"/>
      <c r="O24" s="188" t="s">
        <v>55</v>
      </c>
      <c r="P24" s="188"/>
      <c r="Q24" s="188"/>
      <c r="R24" s="188"/>
      <c r="S24" s="188"/>
      <c r="T24" s="188" t="s">
        <v>56</v>
      </c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/>
      <c r="AF24" s="188"/>
      <c r="AG24" s="188" t="s">
        <v>57</v>
      </c>
      <c r="AH24" s="188"/>
      <c r="AI24" s="188"/>
      <c r="AJ24" s="188"/>
    </row>
    <row r="25" spans="1:36" s="17" customFormat="1" ht="60" customHeight="1" x14ac:dyDescent="0.2">
      <c r="A25" s="188" t="s">
        <v>33</v>
      </c>
      <c r="B25" s="188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N25" s="188"/>
      <c r="O25" s="188"/>
      <c r="P25" s="188"/>
      <c r="Q25" s="188"/>
      <c r="R25" s="188"/>
      <c r="S25" s="188"/>
      <c r="T25" s="188"/>
      <c r="U25" s="188"/>
      <c r="V25" s="188"/>
      <c r="W25" s="188"/>
      <c r="X25" s="188"/>
      <c r="Y25" s="188"/>
      <c r="Z25" s="188"/>
      <c r="AA25" s="188"/>
      <c r="AB25" s="188"/>
      <c r="AC25" s="188"/>
      <c r="AD25" s="188"/>
      <c r="AE25" s="188"/>
      <c r="AF25" s="188"/>
      <c r="AG25" s="188"/>
      <c r="AH25" s="188"/>
      <c r="AI25" s="188"/>
      <c r="AJ25" s="188"/>
    </row>
    <row r="26" spans="1:36" s="17" customFormat="1" ht="56.25" customHeight="1" x14ac:dyDescent="0.2">
      <c r="A26" s="188" t="s">
        <v>34</v>
      </c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N26" s="188"/>
      <c r="O26" s="188"/>
      <c r="P26" s="188"/>
      <c r="Q26" s="188"/>
      <c r="R26" s="188"/>
      <c r="S26" s="188"/>
      <c r="T26" s="188"/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8"/>
      <c r="AG26" s="188"/>
      <c r="AH26" s="188"/>
      <c r="AI26" s="188"/>
      <c r="AJ26" s="188"/>
    </row>
    <row r="27" spans="1:36" s="17" customFormat="1" ht="11.25" x14ac:dyDescent="0.2">
      <c r="A27" s="188"/>
      <c r="B27" s="18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88"/>
      <c r="AB27" s="188"/>
      <c r="AC27" s="188"/>
      <c r="AD27" s="188"/>
      <c r="AE27" s="188"/>
      <c r="AF27" s="188"/>
      <c r="AG27" s="188"/>
      <c r="AH27" s="188"/>
      <c r="AI27" s="188"/>
      <c r="AJ27" s="188"/>
    </row>
    <row r="28" spans="1:36" s="17" customFormat="1" ht="11.25" x14ac:dyDescent="0.2">
      <c r="A28" s="188"/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R28" s="188"/>
      <c r="S28" s="188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8"/>
      <c r="AF28" s="188"/>
      <c r="AG28" s="188"/>
      <c r="AH28" s="188"/>
      <c r="AI28" s="188"/>
      <c r="AJ28" s="188"/>
    </row>
    <row r="29" spans="1:36" ht="16.5" customHeight="1" x14ac:dyDescent="0.25">
      <c r="A29" s="90"/>
      <c r="B29" s="90"/>
      <c r="C29" s="90"/>
      <c r="D29" s="90"/>
      <c r="E29" s="90"/>
      <c r="F29" s="90"/>
      <c r="G29" s="90"/>
      <c r="H29" s="90"/>
      <c r="I29" s="90"/>
      <c r="J29" s="90"/>
    </row>
    <row r="30" spans="1:36" s="94" customFormat="1" ht="17.25" customHeight="1" x14ac:dyDescent="0.2">
      <c r="A30" s="92" t="s">
        <v>58</v>
      </c>
      <c r="B30" s="93"/>
      <c r="C30" s="93"/>
      <c r="D30" s="93"/>
      <c r="E30" s="93"/>
      <c r="F30" s="93"/>
      <c r="G30" s="93"/>
      <c r="H30" s="93"/>
      <c r="I30" s="93"/>
      <c r="J30" s="93"/>
    </row>
    <row r="31" spans="1:36" s="88" customFormat="1" ht="11.25" x14ac:dyDescent="0.2">
      <c r="A31" s="184" t="str">
        <f>CONCATENATE('Данные объект'!B30," ",'Данные объект'!B31)</f>
      </c>
      <c r="B31" s="184"/>
      <c r="C31" s="184"/>
      <c r="D31" s="184"/>
      <c r="E31" s="184"/>
      <c r="F31" s="184"/>
      <c r="G31" s="184"/>
      <c r="H31" s="184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  <c r="AA31" s="184"/>
      <c r="AB31" s="184"/>
      <c r="AC31" s="184"/>
      <c r="AD31" s="184"/>
      <c r="AE31" s="184"/>
      <c r="AF31" s="184"/>
      <c r="AG31" s="184"/>
      <c r="AH31" s="184"/>
      <c r="AI31" s="184"/>
      <c r="AJ31" s="184"/>
    </row>
    <row r="32" spans="1:36" s="89" customFormat="1" ht="7.5" x14ac:dyDescent="0.15">
      <c r="A32" s="202" t="s">
        <v>113</v>
      </c>
      <c r="B32" s="202"/>
      <c r="C32" s="202"/>
      <c r="D32" s="202"/>
      <c r="E32" s="202"/>
      <c r="F32" s="202"/>
      <c r="G32" s="202"/>
      <c r="H32" s="202"/>
      <c r="I32" s="202"/>
      <c r="J32" s="202"/>
      <c r="K32" s="202"/>
      <c r="L32" s="202"/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  <c r="AA32" s="202"/>
      <c r="AB32" s="202"/>
      <c r="AC32" s="202"/>
      <c r="AD32" s="202"/>
      <c r="AE32" s="202"/>
      <c r="AF32" s="202"/>
      <c r="AG32" s="202"/>
      <c r="AH32" s="202"/>
      <c r="AI32" s="202"/>
      <c r="AJ32" s="202"/>
    </row>
    <row r="33" spans="1:36" s="88" customFormat="1" ht="11.25" x14ac:dyDescent="0.2">
      <c r="A33" s="184" t="str">
        <f>'Данные объект'!B32</f>
      </c>
      <c r="B33" s="184"/>
      <c r="C33" s="184"/>
      <c r="D33" s="184"/>
      <c r="E33" s="184"/>
      <c r="F33" s="184"/>
      <c r="G33" s="184"/>
      <c r="H33" s="184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  <c r="AA33" s="184"/>
      <c r="AB33" s="184"/>
      <c r="AC33" s="184"/>
      <c r="AD33" s="184"/>
      <c r="AE33" s="184"/>
      <c r="AF33" s="184"/>
      <c r="AG33" s="184"/>
      <c r="AH33" s="184"/>
      <c r="AI33" s="184"/>
      <c r="AJ33" s="184"/>
    </row>
    <row r="34" spans="1:36" s="89" customFormat="1" ht="20.25" customHeight="1" x14ac:dyDescent="0.15">
      <c r="A34" s="204" t="s">
        <v>114</v>
      </c>
      <c r="B34" s="204"/>
      <c r="C34" s="204"/>
      <c r="D34" s="204"/>
      <c r="E34" s="204"/>
      <c r="F34" s="204"/>
      <c r="G34" s="204"/>
      <c r="H34" s="204"/>
      <c r="I34" s="204"/>
      <c r="J34" s="204"/>
      <c r="K34" s="204"/>
      <c r="L34" s="204"/>
      <c r="M34" s="204"/>
      <c r="N34" s="204"/>
      <c r="O34" s="204"/>
      <c r="P34" s="204"/>
      <c r="Q34" s="204"/>
      <c r="R34" s="204"/>
      <c r="S34" s="204"/>
      <c r="T34" s="204"/>
      <c r="U34" s="204"/>
      <c r="V34" s="204"/>
      <c r="W34" s="204"/>
      <c r="X34" s="204"/>
      <c r="Y34" s="204"/>
      <c r="Z34" s="204"/>
      <c r="AA34" s="204"/>
      <c r="AB34" s="204"/>
      <c r="AC34" s="204"/>
      <c r="AD34" s="204"/>
      <c r="AE34" s="204"/>
      <c r="AF34" s="204"/>
      <c r="AG34" s="204"/>
      <c r="AH34" s="204"/>
      <c r="AI34" s="204"/>
      <c r="AJ34" s="204"/>
    </row>
    <row r="35" spans="1:36" s="97" customFormat="1" ht="6" customHeight="1" x14ac:dyDescent="0.25">
      <c r="A35" s="95"/>
      <c r="B35" s="96"/>
      <c r="C35" s="96"/>
      <c r="D35" s="96"/>
      <c r="E35" s="96"/>
      <c r="F35" s="96"/>
      <c r="G35" s="96"/>
      <c r="H35" s="96"/>
      <c r="I35" s="96"/>
      <c r="J35" s="96"/>
    </row>
    <row r="36" spans="1:36" s="94" customFormat="1" ht="15" customHeight="1" x14ac:dyDescent="0.2">
      <c r="A36" s="232" t="s">
        <v>59</v>
      </c>
      <c r="B36" s="232"/>
      <c r="C36" s="232"/>
      <c r="D36" s="232"/>
      <c r="E36" s="232"/>
      <c r="F36" s="232"/>
      <c r="G36" s="232"/>
      <c r="H36" s="232"/>
      <c r="I36" s="232"/>
      <c r="J36" s="232"/>
      <c r="K36" s="232"/>
      <c r="L36" s="232"/>
      <c r="M36" s="232"/>
      <c r="N36" s="232"/>
      <c r="O36" s="232"/>
      <c r="P36" s="232"/>
      <c r="Q36" s="232"/>
      <c r="R36" s="232"/>
      <c r="S36" s="232"/>
      <c r="T36" s="232"/>
      <c r="U36" s="232"/>
      <c r="V36" s="232"/>
      <c r="W36" s="232"/>
      <c r="X36" s="232"/>
      <c r="Y36" s="232"/>
      <c r="Z36" s="232"/>
      <c r="AA36" s="232"/>
      <c r="AB36" s="232"/>
      <c r="AC36" s="232"/>
      <c r="AD36" s="232"/>
      <c r="AE36" s="232"/>
      <c r="AF36" s="232"/>
      <c r="AG36" s="232"/>
      <c r="AH36" s="232"/>
      <c r="AI36" s="232"/>
      <c r="AJ36" s="232"/>
    </row>
    <row r="37" spans="1:36" s="17" customFormat="1" ht="106.5" customHeight="1" x14ac:dyDescent="0.2">
      <c r="A37" s="188" t="s">
        <v>39</v>
      </c>
      <c r="B37" s="188"/>
      <c r="C37" s="188" t="s">
        <v>52</v>
      </c>
      <c r="D37" s="188"/>
      <c r="E37" s="188"/>
      <c r="F37" s="188"/>
      <c r="G37" s="188"/>
      <c r="H37" s="188"/>
      <c r="I37" s="188"/>
      <c r="J37" s="188" t="s">
        <v>53</v>
      </c>
      <c r="K37" s="188"/>
      <c r="L37" s="188"/>
      <c r="M37" s="188"/>
      <c r="N37" s="188"/>
      <c r="O37" s="188" t="s">
        <v>62</v>
      </c>
      <c r="P37" s="188"/>
      <c r="Q37" s="188"/>
      <c r="R37" s="188"/>
      <c r="S37" s="188"/>
      <c r="T37" s="188" t="s">
        <v>54</v>
      </c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8"/>
      <c r="AG37" s="188" t="s">
        <v>4</v>
      </c>
      <c r="AH37" s="188"/>
      <c r="AI37" s="188"/>
      <c r="AJ37" s="188"/>
    </row>
    <row r="38" spans="1:36" s="17" customFormat="1" ht="11.25" x14ac:dyDescent="0.2">
      <c r="A38" s="188" t="s">
        <v>33</v>
      </c>
      <c r="B38" s="188"/>
      <c r="C38" s="188" t="s">
        <v>34</v>
      </c>
      <c r="D38" s="188"/>
      <c r="E38" s="188"/>
      <c r="F38" s="188"/>
      <c r="G38" s="188"/>
      <c r="H38" s="188"/>
      <c r="I38" s="188"/>
      <c r="J38" s="188" t="s">
        <v>35</v>
      </c>
      <c r="K38" s="188"/>
      <c r="L38" s="188"/>
      <c r="M38" s="188"/>
      <c r="N38" s="188"/>
      <c r="O38" s="188" t="s">
        <v>55</v>
      </c>
      <c r="P38" s="188"/>
      <c r="Q38" s="188"/>
      <c r="R38" s="188"/>
      <c r="S38" s="188"/>
      <c r="T38" s="188" t="s">
        <v>56</v>
      </c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  <c r="AG38" s="188" t="s">
        <v>57</v>
      </c>
      <c r="AH38" s="188"/>
      <c r="AI38" s="188"/>
      <c r="AJ38" s="188"/>
    </row>
    <row r="39" spans="1:36" s="17" customFormat="1" ht="58.5" customHeight="1" x14ac:dyDescent="0.2">
      <c r="A39" s="188"/>
      <c r="B39" s="188"/>
      <c r="C39" s="188" t="str">
        <f>'Данные объект'!B34</f>
      </c>
      <c r="D39" s="188"/>
      <c r="E39" s="188"/>
      <c r="F39" s="188"/>
      <c r="G39" s="188"/>
      <c r="H39" s="188"/>
      <c r="I39" s="188"/>
      <c r="J39" s="188" t="str">
        <f>'Данные объект'!C33</f>
      </c>
      <c r="K39" s="188"/>
      <c r="L39" s="188"/>
      <c r="M39" s="188"/>
      <c r="N39" s="188"/>
      <c r="O39" s="233" t="str">
        <f>'Данные объект'!B39</f>
      </c>
      <c r="P39" s="233"/>
      <c r="Q39" s="233"/>
      <c r="R39" s="233"/>
      <c r="S39" s="233"/>
      <c r="T39" s="188"/>
      <c r="U39" s="188"/>
      <c r="V39" s="188"/>
      <c r="W39" s="188"/>
      <c r="X39" s="188"/>
      <c r="Y39" s="188"/>
      <c r="Z39" s="188"/>
      <c r="AA39" s="188"/>
      <c r="AB39" s="188"/>
      <c r="AC39" s="188"/>
      <c r="AD39" s="188"/>
      <c r="AE39" s="188"/>
      <c r="AF39" s="188"/>
      <c r="AG39" s="188"/>
      <c r="AH39" s="188"/>
      <c r="AI39" s="188"/>
      <c r="AJ39" s="188"/>
    </row>
    <row r="40" spans="1:36" s="17" customFormat="1" ht="11.25" x14ac:dyDescent="0.2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8"/>
      <c r="AG40" s="188"/>
      <c r="AH40" s="188"/>
      <c r="AI40" s="188"/>
      <c r="AJ40" s="188"/>
    </row>
    <row r="41" spans="1:36" s="88" customFormat="1" ht="9.75" hidden="1" customHeight="1" x14ac:dyDescent="0.2">
      <c r="A41" s="98"/>
      <c r="B41" s="98"/>
      <c r="C41" s="98"/>
      <c r="D41" s="98"/>
      <c r="E41" s="98"/>
      <c r="F41" s="98"/>
      <c r="G41" s="98"/>
      <c r="H41" s="98"/>
      <c r="I41" s="98"/>
      <c r="J41" s="98"/>
    </row>
    <row r="42" spans="1:36" s="17" customFormat="1" ht="28.5" hidden="1" customHeight="1" x14ac:dyDescent="0.2">
      <c r="A42" s="205" t="s">
        <v>60</v>
      </c>
      <c r="B42" s="205"/>
      <c r="C42" s="205"/>
      <c r="D42" s="205"/>
      <c r="E42" s="205"/>
      <c r="F42" s="205"/>
      <c r="G42" s="205"/>
      <c r="H42" s="205"/>
      <c r="I42" s="205"/>
      <c r="J42" s="205"/>
      <c r="K42" s="205"/>
      <c r="L42" s="205"/>
      <c r="M42" s="205"/>
      <c r="N42" s="205"/>
      <c r="O42" s="205"/>
      <c r="P42" s="205"/>
      <c r="Q42" s="205"/>
      <c r="R42" s="205"/>
      <c r="S42" s="205"/>
      <c r="T42" s="205"/>
      <c r="U42" s="205"/>
      <c r="V42" s="205"/>
      <c r="W42" s="205"/>
      <c r="X42" s="205"/>
      <c r="Y42" s="205"/>
      <c r="Z42" s="205"/>
      <c r="AA42" s="205"/>
      <c r="AB42" s="205"/>
      <c r="AC42" s="205"/>
      <c r="AD42" s="205"/>
      <c r="AE42" s="205"/>
      <c r="AF42" s="205"/>
      <c r="AG42" s="205"/>
      <c r="AH42" s="205"/>
      <c r="AI42" s="205"/>
      <c r="AJ42" s="205"/>
    </row>
    <row r="43" spans="1:36" s="88" customFormat="1" ht="11.25" hidden="1" x14ac:dyDescent="0.2">
      <c r="A43" s="230"/>
      <c r="B43" s="230"/>
      <c r="C43" s="230"/>
      <c r="D43" s="230"/>
      <c r="E43" s="230"/>
      <c r="F43" s="230"/>
      <c r="G43" s="230"/>
      <c r="H43" s="230"/>
      <c r="I43" s="230"/>
      <c r="J43" s="230"/>
      <c r="K43" s="230"/>
      <c r="L43" s="230"/>
      <c r="M43" s="230"/>
      <c r="N43" s="230"/>
      <c r="O43" s="230"/>
      <c r="P43" s="230"/>
      <c r="Q43" s="230"/>
      <c r="R43" s="230"/>
      <c r="S43" s="230"/>
      <c r="T43" s="230"/>
      <c r="U43" s="230"/>
      <c r="V43" s="230"/>
      <c r="W43" s="230"/>
      <c r="X43" s="230"/>
      <c r="Y43" s="230"/>
      <c r="Z43" s="230"/>
      <c r="AA43" s="230"/>
      <c r="AB43" s="230"/>
      <c r="AC43" s="230"/>
      <c r="AD43" s="230"/>
      <c r="AE43" s="230"/>
      <c r="AF43" s="230"/>
      <c r="AG43" s="230"/>
      <c r="AH43" s="230"/>
      <c r="AI43" s="230"/>
      <c r="AJ43" s="230"/>
    </row>
    <row r="44" spans="1:36" s="89" customFormat="1" ht="7.5" hidden="1" x14ac:dyDescent="0.15">
      <c r="A44" s="202" t="s">
        <v>48</v>
      </c>
      <c r="B44" s="202"/>
      <c r="C44" s="202"/>
      <c r="D44" s="202"/>
      <c r="E44" s="202"/>
      <c r="F44" s="202"/>
      <c r="G44" s="202"/>
      <c r="H44" s="202"/>
      <c r="I44" s="202"/>
      <c r="J44" s="202"/>
      <c r="K44" s="202"/>
      <c r="L44" s="202"/>
      <c r="M44" s="202"/>
      <c r="N44" s="202"/>
      <c r="O44" s="202"/>
      <c r="P44" s="202"/>
      <c r="Q44" s="202"/>
      <c r="R44" s="202"/>
      <c r="S44" s="202"/>
      <c r="T44" s="202"/>
      <c r="U44" s="202"/>
      <c r="V44" s="202"/>
      <c r="W44" s="202"/>
      <c r="X44" s="202"/>
      <c r="Y44" s="202"/>
      <c r="Z44" s="202"/>
      <c r="AA44" s="202"/>
      <c r="AB44" s="202"/>
      <c r="AC44" s="202"/>
      <c r="AD44" s="202"/>
      <c r="AE44" s="202"/>
      <c r="AF44" s="202"/>
      <c r="AG44" s="202"/>
      <c r="AH44" s="202"/>
      <c r="AI44" s="202"/>
      <c r="AJ44" s="202"/>
    </row>
    <row r="45" spans="1:36" s="88" customFormat="1" ht="11.25" hidden="1" x14ac:dyDescent="0.2">
      <c r="A45" s="184"/>
      <c r="B45" s="184"/>
      <c r="C45" s="184"/>
      <c r="D45" s="184"/>
      <c r="E45" s="184"/>
      <c r="F45" s="184"/>
      <c r="G45" s="184"/>
      <c r="H45" s="184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  <c r="AA45" s="184"/>
      <c r="AB45" s="184"/>
      <c r="AC45" s="184"/>
      <c r="AD45" s="184"/>
      <c r="AE45" s="184"/>
      <c r="AF45" s="184"/>
      <c r="AG45" s="184"/>
      <c r="AH45" s="184"/>
      <c r="AI45" s="184"/>
      <c r="AJ45" s="184"/>
    </row>
    <row r="46" spans="1:36" s="89" customFormat="1" ht="7.5" hidden="1" x14ac:dyDescent="0.15">
      <c r="A46" s="202" t="s">
        <v>49</v>
      </c>
      <c r="B46" s="202"/>
      <c r="C46" s="202"/>
      <c r="D46" s="202"/>
      <c r="E46" s="202"/>
      <c r="F46" s="202"/>
      <c r="G46" s="20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202"/>
      <c r="V46" s="202"/>
      <c r="W46" s="202"/>
      <c r="X46" s="202"/>
      <c r="Y46" s="202"/>
      <c r="Z46" s="202"/>
      <c r="AA46" s="202"/>
      <c r="AB46" s="202"/>
      <c r="AC46" s="202"/>
      <c r="AD46" s="202"/>
      <c r="AE46" s="202"/>
      <c r="AF46" s="202"/>
      <c r="AG46" s="202"/>
      <c r="AH46" s="202"/>
      <c r="AI46" s="202"/>
      <c r="AJ46" s="202"/>
    </row>
    <row r="47" spans="1:36" s="88" customFormat="1" ht="11.25" hidden="1" x14ac:dyDescent="0.2">
      <c r="A47" s="184"/>
      <c r="B47" s="184"/>
      <c r="C47" s="184"/>
      <c r="D47" s="184"/>
      <c r="E47" s="184"/>
      <c r="F47" s="184"/>
      <c r="G47" s="184"/>
      <c r="H47" s="184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  <c r="AA47" s="184"/>
      <c r="AB47" s="184"/>
      <c r="AC47" s="184"/>
      <c r="AD47" s="184"/>
      <c r="AE47" s="184"/>
      <c r="AF47" s="184"/>
      <c r="AG47" s="184"/>
      <c r="AH47" s="184"/>
      <c r="AI47" s="184"/>
      <c r="AJ47" s="184"/>
    </row>
    <row r="48" spans="1:36" s="89" customFormat="1" ht="7.5" hidden="1" x14ac:dyDescent="0.15">
      <c r="A48" s="204" t="s">
        <v>51</v>
      </c>
      <c r="B48" s="204"/>
      <c r="C48" s="204"/>
      <c r="D48" s="204"/>
      <c r="E48" s="204"/>
      <c r="F48" s="204"/>
      <c r="G48" s="204"/>
      <c r="H48" s="204"/>
      <c r="I48" s="204"/>
      <c r="J48" s="204"/>
      <c r="K48" s="204"/>
      <c r="L48" s="204"/>
      <c r="M48" s="204"/>
      <c r="N48" s="204"/>
      <c r="O48" s="204"/>
      <c r="P48" s="204"/>
      <c r="Q48" s="204"/>
      <c r="R48" s="204"/>
      <c r="S48" s="204"/>
      <c r="T48" s="204"/>
      <c r="U48" s="204"/>
      <c r="V48" s="204"/>
      <c r="W48" s="204"/>
      <c r="X48" s="204"/>
      <c r="Y48" s="204"/>
      <c r="Z48" s="204"/>
      <c r="AA48" s="204"/>
      <c r="AB48" s="204"/>
      <c r="AC48" s="204"/>
      <c r="AD48" s="204"/>
      <c r="AE48" s="204"/>
      <c r="AF48" s="204"/>
      <c r="AG48" s="204"/>
      <c r="AH48" s="204"/>
      <c r="AI48" s="204"/>
      <c r="AJ48" s="204"/>
    </row>
    <row r="49" spans="1:36" ht="12.6" hidden="1" customHeight="1" x14ac:dyDescent="0.25">
      <c r="A49" s="90"/>
      <c r="B49" s="90"/>
      <c r="C49" s="90"/>
      <c r="D49" s="90"/>
      <c r="E49" s="90"/>
      <c r="F49" s="90"/>
      <c r="G49" s="90"/>
      <c r="H49" s="90"/>
      <c r="I49" s="90"/>
      <c r="J49" s="90"/>
    </row>
    <row r="50" spans="1:36" s="88" customFormat="1" ht="39.75" hidden="1" customHeight="1" x14ac:dyDescent="0.2">
      <c r="A50" s="205" t="s">
        <v>61</v>
      </c>
      <c r="B50" s="205"/>
      <c r="C50" s="205"/>
      <c r="D50" s="205"/>
      <c r="E50" s="205"/>
      <c r="F50" s="205"/>
      <c r="G50" s="205"/>
      <c r="H50" s="205"/>
      <c r="I50" s="205"/>
      <c r="J50" s="205"/>
      <c r="K50" s="205"/>
      <c r="L50" s="205"/>
      <c r="M50" s="205"/>
      <c r="N50" s="205"/>
      <c r="O50" s="205"/>
      <c r="P50" s="205"/>
      <c r="Q50" s="205"/>
      <c r="R50" s="205"/>
      <c r="S50" s="205"/>
      <c r="T50" s="205"/>
      <c r="U50" s="205"/>
      <c r="V50" s="205"/>
      <c r="W50" s="205"/>
      <c r="X50" s="205"/>
      <c r="Y50" s="205"/>
      <c r="Z50" s="205"/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</row>
    <row r="51" spans="1:36" s="88" customFormat="1" ht="37.5" hidden="1" customHeight="1" x14ac:dyDescent="0.2">
      <c r="A51" s="188" t="s">
        <v>39</v>
      </c>
      <c r="B51" s="189"/>
      <c r="C51" s="188" t="s">
        <v>52</v>
      </c>
      <c r="D51" s="189"/>
      <c r="E51" s="189"/>
      <c r="F51" s="189"/>
      <c r="G51" s="189"/>
      <c r="H51" s="189"/>
      <c r="I51" s="189"/>
      <c r="J51" s="189"/>
      <c r="K51" s="189"/>
      <c r="L51" s="189"/>
      <c r="M51" s="189"/>
      <c r="N51" s="189"/>
      <c r="O51" s="190" t="s">
        <v>53</v>
      </c>
      <c r="P51" s="191"/>
      <c r="Q51" s="191"/>
      <c r="R51" s="191"/>
      <c r="S51" s="191"/>
      <c r="T51" s="191"/>
      <c r="U51" s="192"/>
      <c r="V51" s="190" t="s">
        <v>3</v>
      </c>
      <c r="W51" s="193"/>
      <c r="X51" s="193"/>
      <c r="Y51" s="193"/>
      <c r="Z51" s="193"/>
      <c r="AA51" s="193"/>
      <c r="AB51" s="193"/>
      <c r="AC51" s="193"/>
      <c r="AD51" s="194"/>
      <c r="AE51" s="208" t="s">
        <v>4</v>
      </c>
      <c r="AF51" s="191"/>
      <c r="AG51" s="191"/>
      <c r="AH51" s="191"/>
      <c r="AI51" s="191"/>
      <c r="AJ51" s="192"/>
    </row>
    <row r="52" spans="1:36" s="88" customFormat="1" ht="11.25" hidden="1" x14ac:dyDescent="0.2">
      <c r="A52" s="189" t="s">
        <v>33</v>
      </c>
      <c r="B52" s="189"/>
      <c r="C52" s="189" t="s">
        <v>34</v>
      </c>
      <c r="D52" s="189"/>
      <c r="E52" s="189"/>
      <c r="F52" s="189"/>
      <c r="G52" s="189"/>
      <c r="H52" s="189"/>
      <c r="I52" s="189"/>
      <c r="J52" s="189"/>
      <c r="K52" s="189"/>
      <c r="L52" s="189"/>
      <c r="M52" s="189"/>
      <c r="N52" s="189"/>
      <c r="O52" s="189">
        <v>3</v>
      </c>
      <c r="P52" s="189"/>
      <c r="Q52" s="189"/>
      <c r="R52" s="189"/>
      <c r="S52" s="189"/>
      <c r="T52" s="189"/>
      <c r="U52" s="189"/>
      <c r="V52" s="189">
        <v>4</v>
      </c>
      <c r="W52" s="189"/>
      <c r="X52" s="189"/>
      <c r="Y52" s="189"/>
      <c r="Z52" s="189"/>
      <c r="AA52" s="189"/>
      <c r="AB52" s="189"/>
      <c r="AC52" s="189"/>
      <c r="AD52" s="189"/>
      <c r="AE52" s="189">
        <v>5</v>
      </c>
      <c r="AF52" s="189"/>
      <c r="AG52" s="189"/>
      <c r="AH52" s="189"/>
      <c r="AI52" s="189"/>
      <c r="AJ52" s="189"/>
    </row>
    <row r="53" spans="1:36" s="88" customFormat="1" ht="11.25" hidden="1" x14ac:dyDescent="0.2">
      <c r="A53" s="185"/>
      <c r="B53" s="185"/>
      <c r="C53" s="185"/>
      <c r="D53" s="185"/>
      <c r="E53" s="185"/>
      <c r="F53" s="185"/>
      <c r="G53" s="185"/>
      <c r="H53" s="185"/>
      <c r="I53" s="185"/>
      <c r="J53" s="185"/>
      <c r="K53" s="185"/>
      <c r="L53" s="185"/>
      <c r="M53" s="185"/>
      <c r="N53" s="185"/>
      <c r="O53" s="186"/>
      <c r="P53" s="186"/>
      <c r="Q53" s="186"/>
      <c r="R53" s="186"/>
      <c r="S53" s="186"/>
      <c r="T53" s="186"/>
      <c r="U53" s="186"/>
      <c r="V53" s="186"/>
      <c r="W53" s="186"/>
      <c r="X53" s="186"/>
      <c r="Y53" s="186"/>
      <c r="Z53" s="186"/>
      <c r="AA53" s="186"/>
      <c r="AB53" s="186"/>
      <c r="AC53" s="186"/>
      <c r="AD53" s="186"/>
      <c r="AE53" s="186"/>
      <c r="AF53" s="186"/>
      <c r="AG53" s="186"/>
      <c r="AH53" s="186"/>
      <c r="AI53" s="186"/>
      <c r="AJ53" s="186"/>
    </row>
    <row r="54" spans="1:36" s="88" customFormat="1" ht="11.25" hidden="1" x14ac:dyDescent="0.2">
      <c r="A54" s="185"/>
      <c r="B54" s="185"/>
      <c r="C54" s="185"/>
      <c r="D54" s="185"/>
      <c r="E54" s="185"/>
      <c r="F54" s="185"/>
      <c r="G54" s="185"/>
      <c r="H54" s="185"/>
      <c r="I54" s="185"/>
      <c r="J54" s="185"/>
      <c r="K54" s="185"/>
      <c r="L54" s="185"/>
      <c r="M54" s="185"/>
      <c r="N54" s="185"/>
      <c r="O54" s="186"/>
      <c r="P54" s="186"/>
      <c r="Q54" s="186"/>
      <c r="R54" s="186"/>
      <c r="S54" s="186"/>
      <c r="T54" s="186"/>
      <c r="U54" s="186"/>
      <c r="V54" s="186"/>
      <c r="W54" s="186"/>
      <c r="X54" s="186"/>
      <c r="Y54" s="186"/>
      <c r="Z54" s="186"/>
      <c r="AA54" s="186"/>
      <c r="AB54" s="186"/>
      <c r="AC54" s="186"/>
      <c r="AD54" s="186"/>
      <c r="AE54" s="186"/>
      <c r="AF54" s="186"/>
      <c r="AG54" s="186"/>
      <c r="AH54" s="186"/>
      <c r="AI54" s="186"/>
      <c r="AJ54" s="186"/>
    </row>
    <row r="55" spans="1:36" s="88" customFormat="1" ht="11.25" hidden="1" x14ac:dyDescent="0.2">
      <c r="A55" s="185"/>
      <c r="B55" s="185"/>
      <c r="C55" s="185"/>
      <c r="D55" s="185"/>
      <c r="E55" s="185"/>
      <c r="F55" s="185"/>
      <c r="G55" s="185"/>
      <c r="H55" s="185"/>
      <c r="I55" s="185"/>
      <c r="J55" s="185"/>
      <c r="K55" s="185"/>
      <c r="L55" s="185"/>
      <c r="M55" s="185"/>
      <c r="N55" s="185"/>
      <c r="O55" s="186"/>
      <c r="P55" s="186"/>
      <c r="Q55" s="186"/>
      <c r="R55" s="186"/>
      <c r="S55" s="186"/>
      <c r="T55" s="186"/>
      <c r="U55" s="186"/>
      <c r="V55" s="186"/>
      <c r="W55" s="186"/>
      <c r="X55" s="186"/>
      <c r="Y55" s="186"/>
      <c r="Z55" s="186"/>
      <c r="AA55" s="186"/>
      <c r="AB55" s="186"/>
      <c r="AC55" s="186"/>
      <c r="AD55" s="186"/>
      <c r="AE55" s="186"/>
      <c r="AF55" s="186"/>
      <c r="AG55" s="186"/>
      <c r="AH55" s="186"/>
      <c r="AI55" s="186"/>
      <c r="AJ55" s="186"/>
    </row>
    <row r="56" spans="1:36" s="88" customFormat="1" ht="11.25" hidden="1" x14ac:dyDescent="0.2">
      <c r="A56" s="185"/>
      <c r="B56" s="185"/>
      <c r="C56" s="185"/>
      <c r="D56" s="185"/>
      <c r="E56" s="185"/>
      <c r="F56" s="185"/>
      <c r="G56" s="185"/>
      <c r="H56" s="185"/>
      <c r="I56" s="185"/>
      <c r="J56" s="185"/>
      <c r="K56" s="185"/>
      <c r="L56" s="185"/>
      <c r="M56" s="185"/>
      <c r="N56" s="185"/>
      <c r="O56" s="186"/>
      <c r="P56" s="186"/>
      <c r="Q56" s="186"/>
      <c r="R56" s="186"/>
      <c r="S56" s="186"/>
      <c r="T56" s="186"/>
      <c r="U56" s="186"/>
      <c r="V56" s="186"/>
      <c r="W56" s="186"/>
      <c r="X56" s="186"/>
      <c r="Y56" s="186"/>
      <c r="Z56" s="186"/>
      <c r="AA56" s="186"/>
      <c r="AB56" s="186"/>
      <c r="AC56" s="186"/>
      <c r="AD56" s="186"/>
      <c r="AE56" s="186"/>
      <c r="AF56" s="186"/>
      <c r="AG56" s="186"/>
      <c r="AH56" s="186"/>
      <c r="AI56" s="186"/>
      <c r="AJ56" s="186"/>
    </row>
    <row r="57" spans="1:36" s="88" customFormat="1" ht="12.75" hidden="1" customHeight="1" x14ac:dyDescent="0.2">
      <c r="A57" s="98"/>
      <c r="B57" s="98"/>
      <c r="C57" s="98"/>
      <c r="D57" s="98"/>
      <c r="E57" s="98"/>
      <c r="F57" s="98"/>
      <c r="G57" s="98"/>
      <c r="H57" s="98"/>
      <c r="I57" s="98"/>
      <c r="J57" s="98"/>
    </row>
    <row r="58" spans="1:36" s="88" customFormat="1" ht="42" hidden="1" customHeight="1" x14ac:dyDescent="0.2">
      <c r="A58" s="205" t="s">
        <v>63</v>
      </c>
      <c r="B58" s="205"/>
      <c r="C58" s="205"/>
      <c r="D58" s="205"/>
      <c r="E58" s="205"/>
      <c r="F58" s="205"/>
      <c r="G58" s="205"/>
      <c r="H58" s="205"/>
      <c r="I58" s="205"/>
      <c r="J58" s="205"/>
      <c r="K58" s="205"/>
      <c r="L58" s="205"/>
      <c r="M58" s="205"/>
      <c r="N58" s="205"/>
      <c r="O58" s="205"/>
      <c r="P58" s="205"/>
      <c r="Q58" s="205"/>
      <c r="R58" s="205"/>
      <c r="S58" s="205"/>
      <c r="T58" s="205"/>
      <c r="U58" s="205"/>
      <c r="V58" s="205"/>
      <c r="W58" s="205"/>
      <c r="X58" s="205"/>
      <c r="Y58" s="205"/>
      <c r="Z58" s="205"/>
      <c r="AA58" s="205"/>
      <c r="AB58" s="205"/>
      <c r="AC58" s="205"/>
      <c r="AD58" s="205"/>
      <c r="AE58" s="205"/>
      <c r="AF58" s="205"/>
      <c r="AG58" s="205"/>
      <c r="AH58" s="205"/>
      <c r="AI58" s="205"/>
      <c r="AJ58" s="205"/>
    </row>
    <row r="59" spans="1:36" s="17" customFormat="1" ht="11.25" hidden="1" x14ac:dyDescent="0.2">
      <c r="A59" s="187"/>
      <c r="B59" s="187"/>
      <c r="C59" s="187"/>
      <c r="D59" s="187"/>
      <c r="E59" s="187"/>
      <c r="F59" s="187"/>
      <c r="G59" s="187"/>
      <c r="H59" s="187"/>
      <c r="I59" s="187"/>
      <c r="J59" s="187"/>
      <c r="K59" s="187"/>
      <c r="L59" s="187"/>
      <c r="M59" s="187"/>
      <c r="N59" s="187"/>
      <c r="O59" s="187"/>
      <c r="P59" s="187"/>
      <c r="Q59" s="187"/>
      <c r="R59" s="187"/>
      <c r="S59" s="187"/>
      <c r="T59" s="187"/>
      <c r="U59" s="187"/>
      <c r="V59" s="187"/>
      <c r="W59" s="187"/>
      <c r="X59" s="187"/>
      <c r="Y59" s="187"/>
      <c r="Z59" s="187"/>
      <c r="AA59" s="187"/>
      <c r="AB59" s="187"/>
      <c r="AC59" s="187"/>
      <c r="AD59" s="187"/>
      <c r="AE59" s="187"/>
      <c r="AF59" s="187"/>
      <c r="AG59" s="187"/>
      <c r="AH59" s="187"/>
      <c r="AI59" s="187"/>
      <c r="AJ59" s="187"/>
    </row>
    <row r="60" spans="1:36" s="16" customFormat="1" ht="8.25" hidden="1" x14ac:dyDescent="0.15">
      <c r="A60" s="207" t="s">
        <v>115</v>
      </c>
      <c r="B60" s="199"/>
      <c r="C60" s="199"/>
      <c r="D60" s="199"/>
      <c r="E60" s="199"/>
      <c r="F60" s="199"/>
      <c r="G60" s="199"/>
      <c r="H60" s="199"/>
      <c r="I60" s="199"/>
      <c r="J60" s="199"/>
      <c r="K60" s="199"/>
      <c r="L60" s="199"/>
      <c r="M60" s="199"/>
      <c r="N60" s="199"/>
      <c r="O60" s="199"/>
      <c r="P60" s="199"/>
      <c r="Q60" s="199"/>
      <c r="R60" s="199"/>
      <c r="S60" s="199"/>
      <c r="T60" s="199"/>
      <c r="U60" s="199"/>
      <c r="V60" s="199"/>
      <c r="W60" s="199"/>
      <c r="X60" s="199"/>
      <c r="Y60" s="199"/>
      <c r="Z60" s="199"/>
      <c r="AA60" s="199"/>
      <c r="AB60" s="199"/>
      <c r="AC60" s="199"/>
      <c r="AD60" s="199"/>
      <c r="AE60" s="199"/>
      <c r="AF60" s="199"/>
      <c r="AG60" s="199"/>
      <c r="AH60" s="199"/>
      <c r="AI60" s="199"/>
      <c r="AJ60" s="199"/>
    </row>
    <row r="61" spans="1:36" s="17" customFormat="1" ht="11.25" hidden="1" x14ac:dyDescent="0.2">
      <c r="A61" s="187"/>
      <c r="B61" s="187"/>
      <c r="C61" s="187"/>
      <c r="D61" s="187"/>
      <c r="E61" s="187"/>
      <c r="F61" s="187"/>
      <c r="G61" s="187"/>
      <c r="H61" s="187"/>
      <c r="I61" s="187"/>
      <c r="J61" s="187"/>
      <c r="K61" s="187"/>
      <c r="L61" s="187"/>
      <c r="M61" s="187"/>
      <c r="N61" s="187"/>
      <c r="O61" s="187"/>
      <c r="P61" s="187"/>
      <c r="Q61" s="187"/>
      <c r="R61" s="187"/>
      <c r="S61" s="187"/>
      <c r="T61" s="187"/>
      <c r="U61" s="187"/>
      <c r="V61" s="187"/>
      <c r="W61" s="187"/>
      <c r="X61" s="187"/>
      <c r="Y61" s="187"/>
      <c r="Z61" s="187"/>
      <c r="AA61" s="187"/>
      <c r="AB61" s="187"/>
      <c r="AC61" s="187"/>
      <c r="AD61" s="187"/>
      <c r="AE61" s="187"/>
      <c r="AF61" s="187"/>
      <c r="AG61" s="187"/>
      <c r="AH61" s="187"/>
      <c r="AI61" s="187"/>
      <c r="AJ61" s="187"/>
    </row>
    <row r="62" spans="1:36" s="16" customFormat="1" ht="8.25" hidden="1" x14ac:dyDescent="0.15">
      <c r="A62" s="207" t="s">
        <v>116</v>
      </c>
      <c r="B62" s="199"/>
      <c r="C62" s="199"/>
      <c r="D62" s="199"/>
      <c r="E62" s="199"/>
      <c r="F62" s="199"/>
      <c r="G62" s="199"/>
      <c r="H62" s="199"/>
      <c r="I62" s="199"/>
      <c r="J62" s="199"/>
      <c r="K62" s="199"/>
      <c r="L62" s="199"/>
      <c r="M62" s="199"/>
      <c r="N62" s="199"/>
      <c r="O62" s="199"/>
      <c r="P62" s="199"/>
      <c r="Q62" s="199"/>
      <c r="R62" s="199"/>
      <c r="S62" s="199"/>
      <c r="T62" s="199"/>
      <c r="U62" s="199"/>
      <c r="V62" s="199"/>
      <c r="W62" s="199"/>
      <c r="X62" s="199"/>
      <c r="Y62" s="199"/>
      <c r="Z62" s="199"/>
      <c r="AA62" s="199"/>
      <c r="AB62" s="199"/>
      <c r="AC62" s="199"/>
      <c r="AD62" s="199"/>
      <c r="AE62" s="199"/>
      <c r="AF62" s="199"/>
      <c r="AG62" s="199"/>
      <c r="AH62" s="199"/>
      <c r="AI62" s="199"/>
      <c r="AJ62" s="199"/>
    </row>
    <row r="63" spans="1:36" customFormat="1" ht="12.75" x14ac:dyDescent="0.2">
      <c r="A63" s="99"/>
      <c r="B63" s="100"/>
      <c r="C63" s="100"/>
      <c r="D63" s="100"/>
      <c r="E63" s="100"/>
      <c r="F63" s="100"/>
      <c r="G63" s="100"/>
      <c r="H63" s="100"/>
      <c r="I63" s="100"/>
      <c r="J63" s="100"/>
      <c r="K63" s="100"/>
      <c r="L63" s="100"/>
      <c r="M63" s="100"/>
      <c r="N63" s="100"/>
      <c r="O63" s="100"/>
      <c r="P63" s="100"/>
      <c r="Q63" s="100"/>
      <c r="R63" s="100"/>
      <c r="S63" s="100"/>
      <c r="T63" s="100"/>
      <c r="U63" s="100"/>
      <c r="V63" s="100"/>
      <c r="W63" s="100"/>
      <c r="X63" s="100"/>
      <c r="Y63" s="100"/>
      <c r="Z63" s="100"/>
      <c r="AA63" s="100"/>
      <c r="AB63" s="100"/>
      <c r="AC63" s="100"/>
      <c r="AD63" s="100"/>
      <c r="AE63" s="100"/>
      <c r="AF63" s="100"/>
      <c r="AG63" s="100"/>
      <c r="AH63" s="100"/>
      <c r="AI63" s="100"/>
      <c r="AJ63" s="100"/>
    </row>
    <row r="64" spans="1:36" s="17" customFormat="1" ht="18" customHeight="1" x14ac:dyDescent="0.2">
      <c r="A64" s="86" t="s">
        <v>0</v>
      </c>
      <c r="B64" s="87"/>
      <c r="C64" s="87"/>
      <c r="D64" s="87"/>
      <c r="E64" s="87"/>
      <c r="F64" s="87"/>
      <c r="G64" s="87"/>
      <c r="H64" s="87"/>
      <c r="I64" s="87"/>
      <c r="J64" s="87"/>
      <c r="K64" s="101"/>
    </row>
    <row r="65" spans="1:36" s="88" customFormat="1" ht="11.25" x14ac:dyDescent="0.2">
      <c r="A65" s="184" t="str">
        <f>'Данные объект'!B50</f>
      </c>
      <c r="B65" s="184"/>
      <c r="C65" s="184"/>
      <c r="D65" s="184"/>
      <c r="E65" s="184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  <c r="AA65" s="184"/>
      <c r="AB65" s="184"/>
      <c r="AC65" s="184"/>
      <c r="AD65" s="184"/>
      <c r="AE65" s="184"/>
      <c r="AF65" s="184"/>
      <c r="AG65" s="184"/>
      <c r="AH65" s="184"/>
      <c r="AI65" s="184"/>
      <c r="AJ65" s="184"/>
    </row>
    <row r="66" spans="1:36" s="89" customFormat="1" ht="7.5" x14ac:dyDescent="0.15">
      <c r="A66" s="202" t="s">
        <v>48</v>
      </c>
      <c r="B66" s="202"/>
      <c r="C66" s="202"/>
      <c r="D66" s="202"/>
      <c r="E66" s="202"/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202"/>
      <c r="V66" s="202"/>
      <c r="W66" s="202"/>
      <c r="X66" s="202"/>
      <c r="Y66" s="202"/>
      <c r="Z66" s="202"/>
      <c r="AA66" s="202"/>
      <c r="AB66" s="202"/>
      <c r="AC66" s="202"/>
      <c r="AD66" s="202"/>
      <c r="AE66" s="202"/>
      <c r="AF66" s="202"/>
      <c r="AG66" s="202"/>
      <c r="AH66" s="202"/>
      <c r="AI66" s="202"/>
      <c r="AJ66" s="202"/>
    </row>
    <row r="67" spans="1:36" s="88" customFormat="1" ht="11.25" x14ac:dyDescent="0.2">
      <c r="A67" s="184" t="str">
        <f>'Данные объект'!B51</f>
      </c>
      <c r="B67" s="184"/>
      <c r="C67" s="184"/>
      <c r="D67" s="184"/>
      <c r="E67" s="184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  <c r="AA67" s="184"/>
      <c r="AB67" s="184"/>
      <c r="AC67" s="184"/>
      <c r="AD67" s="184"/>
      <c r="AE67" s="184"/>
      <c r="AF67" s="184"/>
      <c r="AG67" s="184"/>
      <c r="AH67" s="184"/>
      <c r="AI67" s="184"/>
      <c r="AJ67" s="184"/>
    </row>
    <row r="68" spans="1:36" s="89" customFormat="1" ht="7.5" x14ac:dyDescent="0.15">
      <c r="A68" s="202" t="s">
        <v>49</v>
      </c>
      <c r="B68" s="202"/>
      <c r="C68" s="202"/>
      <c r="D68" s="202"/>
      <c r="E68" s="202"/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202"/>
      <c r="V68" s="202"/>
      <c r="W68" s="202"/>
      <c r="X68" s="202"/>
      <c r="Y68" s="202"/>
      <c r="Z68" s="202"/>
      <c r="AA68" s="202"/>
      <c r="AB68" s="202"/>
      <c r="AC68" s="202"/>
      <c r="AD68" s="202"/>
      <c r="AE68" s="202"/>
      <c r="AF68" s="202"/>
      <c r="AG68" s="202"/>
      <c r="AH68" s="202"/>
      <c r="AI68" s="202"/>
      <c r="AJ68" s="202"/>
    </row>
    <row r="69" spans="1:36" s="88" customFormat="1" ht="11.25" x14ac:dyDescent="0.2">
      <c r="A69" s="184" t="str">
        <f>'Данные объект'!B52</f>
      </c>
      <c r="B69" s="184"/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  <c r="AA69" s="184"/>
      <c r="AB69" s="184"/>
      <c r="AC69" s="184"/>
      <c r="AD69" s="184"/>
      <c r="AE69" s="184"/>
      <c r="AF69" s="184"/>
      <c r="AG69" s="184"/>
      <c r="AH69" s="184"/>
      <c r="AI69" s="184"/>
      <c r="AJ69" s="184"/>
    </row>
    <row r="70" spans="1:36" s="89" customFormat="1" ht="28.5" customHeight="1" x14ac:dyDescent="0.15">
      <c r="A70" s="204" t="s">
        <v>64</v>
      </c>
      <c r="B70" s="204"/>
      <c r="C70" s="204"/>
      <c r="D70" s="204"/>
      <c r="E70" s="204"/>
      <c r="F70" s="204"/>
      <c r="G70" s="204"/>
      <c r="H70" s="204"/>
      <c r="I70" s="204"/>
      <c r="J70" s="204"/>
      <c r="K70" s="204"/>
      <c r="L70" s="204"/>
      <c r="M70" s="204"/>
      <c r="N70" s="204"/>
      <c r="O70" s="204"/>
      <c r="P70" s="204"/>
      <c r="Q70" s="204"/>
      <c r="R70" s="204"/>
      <c r="S70" s="204"/>
      <c r="T70" s="204"/>
      <c r="U70" s="204"/>
      <c r="V70" s="204"/>
      <c r="W70" s="204"/>
      <c r="X70" s="204"/>
      <c r="Y70" s="204"/>
      <c r="Z70" s="204"/>
      <c r="AA70" s="204"/>
      <c r="AB70" s="204"/>
      <c r="AC70" s="204"/>
      <c r="AD70" s="204"/>
      <c r="AE70" s="204"/>
      <c r="AF70" s="204"/>
      <c r="AG70" s="204"/>
      <c r="AH70" s="204"/>
      <c r="AI70" s="204"/>
      <c r="AJ70" s="204"/>
    </row>
    <row r="71" spans="1:36" customFormat="1" ht="9.75" customHeight="1" x14ac:dyDescent="0.2">
      <c r="A71" s="102"/>
      <c r="B71" s="102"/>
      <c r="C71" s="102"/>
      <c r="D71" s="102"/>
      <c r="E71" s="102"/>
      <c r="F71" s="102"/>
      <c r="G71" s="102"/>
      <c r="H71" s="102"/>
      <c r="I71" s="102"/>
      <c r="J71" s="102"/>
      <c r="K71" s="85"/>
    </row>
    <row r="72" spans="1:36" s="17" customFormat="1" ht="24.75" customHeight="1" x14ac:dyDescent="0.2">
      <c r="A72" s="205" t="s">
        <v>132</v>
      </c>
      <c r="B72" s="205"/>
      <c r="C72" s="205"/>
      <c r="D72" s="205"/>
      <c r="E72" s="205"/>
      <c r="F72" s="205"/>
      <c r="G72" s="205"/>
      <c r="H72" s="205"/>
      <c r="I72" s="205"/>
      <c r="J72" s="205"/>
      <c r="K72" s="205"/>
      <c r="L72" s="205"/>
      <c r="M72" s="205"/>
      <c r="N72" s="205"/>
      <c r="O72" s="205"/>
      <c r="P72" s="205"/>
      <c r="Q72" s="205"/>
      <c r="R72" s="205"/>
      <c r="S72" s="205"/>
      <c r="T72" s="205"/>
      <c r="U72" s="205"/>
      <c r="V72" s="205"/>
      <c r="W72" s="205"/>
      <c r="X72" s="205"/>
      <c r="Y72" s="205"/>
      <c r="Z72" s="205"/>
      <c r="AA72" s="205"/>
      <c r="AB72" s="205"/>
      <c r="AC72" s="205"/>
      <c r="AD72" s="205"/>
      <c r="AE72" s="205"/>
      <c r="AF72" s="205"/>
      <c r="AG72" s="205"/>
      <c r="AH72" s="205"/>
      <c r="AI72" s="205"/>
      <c r="AJ72" s="205"/>
    </row>
    <row r="73" spans="1:36" s="17" customFormat="1" ht="150.75" customHeight="1" x14ac:dyDescent="0.2">
      <c r="A73" s="188" t="s">
        <v>69</v>
      </c>
      <c r="B73" s="188"/>
      <c r="C73" s="188" t="s">
        <v>117</v>
      </c>
      <c r="D73" s="188"/>
      <c r="E73" s="188"/>
      <c r="F73" s="188"/>
      <c r="G73" s="188"/>
      <c r="H73" s="188"/>
      <c r="I73" s="188"/>
      <c r="J73" s="188" t="s">
        <v>118</v>
      </c>
      <c r="K73" s="188"/>
      <c r="L73" s="188"/>
      <c r="M73" s="188"/>
      <c r="N73" s="188"/>
      <c r="O73" s="188" t="s">
        <v>62</v>
      </c>
      <c r="P73" s="188"/>
      <c r="Q73" s="188"/>
      <c r="R73" s="188"/>
      <c r="S73" s="188"/>
      <c r="T73" s="188" t="s">
        <v>54</v>
      </c>
      <c r="U73" s="188"/>
      <c r="V73" s="188"/>
      <c r="W73" s="188"/>
      <c r="X73" s="188"/>
      <c r="Y73" s="188"/>
      <c r="Z73" s="188"/>
      <c r="AA73" s="188"/>
      <c r="AB73" s="188"/>
      <c r="AC73" s="188"/>
      <c r="AD73" s="188"/>
      <c r="AE73" s="188"/>
      <c r="AF73" s="188"/>
      <c r="AG73" s="188" t="s">
        <v>4</v>
      </c>
      <c r="AH73" s="188"/>
      <c r="AI73" s="188"/>
      <c r="AJ73" s="188"/>
    </row>
    <row r="74" spans="1:36" s="17" customFormat="1" ht="11.25" x14ac:dyDescent="0.2">
      <c r="A74" s="188" t="s">
        <v>33</v>
      </c>
      <c r="B74" s="188"/>
      <c r="C74" s="188" t="s">
        <v>34</v>
      </c>
      <c r="D74" s="188"/>
      <c r="E74" s="188"/>
      <c r="F74" s="188"/>
      <c r="G74" s="188"/>
      <c r="H74" s="188"/>
      <c r="I74" s="188"/>
      <c r="J74" s="188" t="s">
        <v>35</v>
      </c>
      <c r="K74" s="188"/>
      <c r="L74" s="188"/>
      <c r="M74" s="188"/>
      <c r="N74" s="188"/>
      <c r="O74" s="188" t="s">
        <v>55</v>
      </c>
      <c r="P74" s="188"/>
      <c r="Q74" s="188"/>
      <c r="R74" s="188"/>
      <c r="S74" s="188"/>
      <c r="T74" s="188" t="s">
        <v>56</v>
      </c>
      <c r="U74" s="188"/>
      <c r="V74" s="188"/>
      <c r="W74" s="188"/>
      <c r="X74" s="188"/>
      <c r="Y74" s="188"/>
      <c r="Z74" s="188"/>
      <c r="AA74" s="188"/>
      <c r="AB74" s="188"/>
      <c r="AC74" s="188"/>
      <c r="AD74" s="188"/>
      <c r="AE74" s="188"/>
      <c r="AF74" s="188"/>
      <c r="AG74" s="188" t="s">
        <v>57</v>
      </c>
      <c r="AH74" s="188"/>
      <c r="AI74" s="188"/>
      <c r="AJ74" s="188"/>
    </row>
    <row r="75" spans="1:36" s="17" customFormat="1" ht="11.25" x14ac:dyDescent="0.2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N75" s="188"/>
      <c r="O75" s="188"/>
      <c r="P75" s="188"/>
      <c r="Q75" s="188"/>
      <c r="R75" s="188"/>
      <c r="S75" s="188"/>
      <c r="T75" s="188"/>
      <c r="U75" s="188"/>
      <c r="V75" s="188"/>
      <c r="W75" s="188"/>
      <c r="X75" s="188"/>
      <c r="Y75" s="188"/>
      <c r="Z75" s="188"/>
      <c r="AA75" s="188"/>
      <c r="AB75" s="188"/>
      <c r="AC75" s="188"/>
      <c r="AD75" s="188"/>
      <c r="AE75" s="188"/>
      <c r="AF75" s="188"/>
      <c r="AG75" s="188"/>
      <c r="AH75" s="188"/>
      <c r="AI75" s="188"/>
      <c r="AJ75" s="188"/>
    </row>
    <row r="76" spans="1:36" s="17" customFormat="1" ht="11.25" x14ac:dyDescent="0.2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R76" s="188"/>
      <c r="S76" s="188"/>
      <c r="T76" s="188"/>
      <c r="U76" s="188"/>
      <c r="V76" s="188"/>
      <c r="W76" s="188"/>
      <c r="X76" s="188"/>
      <c r="Y76" s="188"/>
      <c r="Z76" s="188"/>
      <c r="AA76" s="188"/>
      <c r="AB76" s="188"/>
      <c r="AC76" s="188"/>
      <c r="AD76" s="188"/>
      <c r="AE76" s="188"/>
      <c r="AF76" s="188"/>
      <c r="AG76" s="188"/>
      <c r="AH76" s="188"/>
      <c r="AI76" s="188"/>
      <c r="AJ76" s="188"/>
    </row>
    <row r="77" spans="1:36" s="17" customFormat="1" ht="11.25" x14ac:dyDescent="0.2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N77" s="188"/>
      <c r="O77" s="188"/>
      <c r="P77" s="188"/>
      <c r="Q77" s="188"/>
      <c r="R77" s="188"/>
      <c r="S77" s="188"/>
      <c r="T77" s="188"/>
      <c r="U77" s="188"/>
      <c r="V77" s="188"/>
      <c r="W77" s="188"/>
      <c r="X77" s="188"/>
      <c r="Y77" s="188"/>
      <c r="Z77" s="188"/>
      <c r="AA77" s="188"/>
      <c r="AB77" s="188"/>
      <c r="AC77" s="188"/>
      <c r="AD77" s="188"/>
      <c r="AE77" s="188"/>
      <c r="AF77" s="188"/>
      <c r="AG77" s="188"/>
      <c r="AH77" s="188"/>
      <c r="AI77" s="188"/>
      <c r="AJ77" s="188"/>
    </row>
    <row r="78" spans="1:36" s="17" customFormat="1" ht="11.25" x14ac:dyDescent="0.2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N78" s="188"/>
      <c r="O78" s="188"/>
      <c r="P78" s="188"/>
      <c r="Q78" s="188"/>
      <c r="R78" s="188"/>
      <c r="S78" s="188"/>
      <c r="T78" s="188"/>
      <c r="U78" s="188"/>
      <c r="V78" s="188"/>
      <c r="W78" s="188"/>
      <c r="X78" s="188"/>
      <c r="Y78" s="188"/>
      <c r="Z78" s="188"/>
      <c r="AA78" s="188"/>
      <c r="AB78" s="188"/>
      <c r="AC78" s="188"/>
      <c r="AD78" s="188"/>
      <c r="AE78" s="188"/>
      <c r="AF78" s="188"/>
      <c r="AG78" s="188"/>
      <c r="AH78" s="188"/>
      <c r="AI78" s="188"/>
      <c r="AJ78" s="188"/>
    </row>
    <row r="79" spans="1:36" s="88" customFormat="1" ht="12.6" customHeight="1" x14ac:dyDescent="0.2">
      <c r="A79" s="86"/>
      <c r="B79" s="86"/>
      <c r="C79" s="86"/>
      <c r="D79" s="86"/>
      <c r="E79" s="86"/>
      <c r="F79" s="86"/>
      <c r="G79" s="87"/>
      <c r="H79" s="87"/>
      <c r="I79" s="87"/>
      <c r="J79" s="87"/>
    </row>
    <row r="80" spans="1:36" s="88" customFormat="1" ht="35.25" customHeight="1" x14ac:dyDescent="0.2">
      <c r="A80" s="210" t="s">
        <v>65</v>
      </c>
      <c r="B80" s="210"/>
      <c r="C80" s="210"/>
      <c r="D80" s="210"/>
      <c r="E80" s="210"/>
      <c r="F80" s="210"/>
      <c r="G80" s="210"/>
      <c r="H80" s="210"/>
      <c r="I80" s="210"/>
      <c r="J80" s="210"/>
      <c r="K80" s="210"/>
      <c r="L80" s="210"/>
      <c r="M80" s="210"/>
      <c r="N80" s="210"/>
      <c r="O80" s="210"/>
      <c r="P80" s="210"/>
      <c r="Q80" s="210"/>
      <c r="R80" s="210"/>
      <c r="S80" s="210"/>
      <c r="T80" s="210"/>
      <c r="U80" s="210"/>
      <c r="V80" s="210"/>
      <c r="W80" s="210"/>
      <c r="X80" s="210"/>
      <c r="Y80" s="210"/>
      <c r="Z80" s="210"/>
      <c r="AA80" s="210"/>
      <c r="AB80" s="210"/>
      <c r="AC80" s="210"/>
      <c r="AD80" s="210"/>
      <c r="AE80" s="210"/>
      <c r="AF80" s="210"/>
      <c r="AG80" s="210"/>
      <c r="AH80" s="210"/>
      <c r="AI80" s="210"/>
      <c r="AJ80" s="210"/>
    </row>
    <row r="81" spans="1:36" s="88" customFormat="1" ht="11.25" x14ac:dyDescent="0.2">
      <c r="A81" s="230"/>
      <c r="B81" s="230"/>
      <c r="C81" s="230"/>
      <c r="D81" s="230"/>
      <c r="E81" s="230"/>
      <c r="F81" s="230"/>
      <c r="G81" s="230"/>
      <c r="H81" s="230"/>
      <c r="I81" s="230"/>
      <c r="J81" s="230"/>
      <c r="K81" s="230"/>
      <c r="L81" s="230"/>
      <c r="M81" s="230"/>
      <c r="N81" s="230"/>
      <c r="O81" s="230"/>
      <c r="P81" s="230"/>
      <c r="Q81" s="230"/>
      <c r="R81" s="230"/>
      <c r="S81" s="230"/>
      <c r="T81" s="230"/>
      <c r="U81" s="230"/>
      <c r="V81" s="230"/>
      <c r="W81" s="230"/>
      <c r="X81" s="230"/>
      <c r="Y81" s="230"/>
      <c r="Z81" s="230"/>
      <c r="AA81" s="230"/>
      <c r="AB81" s="230"/>
      <c r="AC81" s="230"/>
      <c r="AD81" s="230"/>
      <c r="AE81" s="230"/>
      <c r="AF81" s="230"/>
      <c r="AG81" s="230"/>
      <c r="AH81" s="230"/>
      <c r="AI81" s="230"/>
      <c r="AJ81" s="230"/>
    </row>
    <row r="82" spans="1:36" s="89" customFormat="1" ht="7.5" x14ac:dyDescent="0.15">
      <c r="A82" s="231" t="s">
        <v>66</v>
      </c>
      <c r="B82" s="231"/>
      <c r="C82" s="231"/>
      <c r="D82" s="231"/>
      <c r="E82" s="231"/>
      <c r="F82" s="231"/>
      <c r="G82" s="231"/>
      <c r="H82" s="231"/>
      <c r="I82" s="231"/>
      <c r="J82" s="231"/>
      <c r="K82" s="231"/>
      <c r="L82" s="231"/>
      <c r="M82" s="231"/>
      <c r="N82" s="231"/>
      <c r="O82" s="231"/>
      <c r="P82" s="231"/>
      <c r="Q82" s="231"/>
      <c r="R82" s="231"/>
      <c r="S82" s="231"/>
      <c r="T82" s="231"/>
      <c r="U82" s="231"/>
      <c r="V82" s="231"/>
      <c r="W82" s="231"/>
      <c r="X82" s="231"/>
      <c r="Y82" s="231"/>
      <c r="Z82" s="231"/>
      <c r="AA82" s="231"/>
      <c r="AB82" s="231"/>
      <c r="AC82" s="231"/>
      <c r="AD82" s="231"/>
      <c r="AE82" s="231"/>
      <c r="AF82" s="231"/>
      <c r="AG82" s="231"/>
      <c r="AH82" s="231"/>
      <c r="AI82" s="231"/>
      <c r="AJ82" s="231"/>
    </row>
    <row r="83" spans="1:36" ht="12.75" customHeight="1" x14ac:dyDescent="0.25">
      <c r="A83" s="103"/>
      <c r="B83" s="103"/>
      <c r="C83" s="103"/>
      <c r="D83" s="103"/>
      <c r="E83" s="103"/>
      <c r="F83" s="103"/>
      <c r="G83" s="103"/>
      <c r="H83" s="103"/>
      <c r="I83" s="103"/>
      <c r="J83" s="103"/>
      <c r="K83" s="103"/>
      <c r="L83" s="103"/>
      <c r="M83" s="103"/>
      <c r="N83" s="103"/>
      <c r="O83" s="103"/>
      <c r="P83" s="103"/>
      <c r="Q83" s="103"/>
      <c r="R83" s="103"/>
      <c r="S83" s="103"/>
      <c r="T83" s="103"/>
      <c r="U83" s="103"/>
      <c r="V83" s="103"/>
      <c r="W83" s="103"/>
      <c r="X83" s="103"/>
      <c r="Y83" s="103"/>
      <c r="Z83" s="103"/>
      <c r="AA83" s="103"/>
      <c r="AB83" s="103"/>
      <c r="AC83" s="103"/>
      <c r="AD83" s="103"/>
      <c r="AE83" s="103"/>
      <c r="AF83" s="103"/>
      <c r="AG83" s="103"/>
      <c r="AH83" s="103"/>
      <c r="AI83" s="103"/>
      <c r="AJ83" s="103"/>
    </row>
    <row r="84" spans="1:36" s="88" customFormat="1" ht="18" customHeight="1" x14ac:dyDescent="0.2">
      <c r="A84" s="104" t="s">
        <v>67</v>
      </c>
      <c r="B84" s="103"/>
      <c r="C84" s="103"/>
      <c r="D84" s="103"/>
      <c r="E84" s="103"/>
      <c r="F84" s="103"/>
      <c r="G84" s="103"/>
      <c r="H84" s="103"/>
      <c r="I84" s="103"/>
      <c r="J84" s="103"/>
    </row>
    <row r="85" spans="1:36" s="88" customFormat="1" ht="11.25" x14ac:dyDescent="0.2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  <c r="AA85" s="184"/>
      <c r="AB85" s="184"/>
      <c r="AC85" s="184"/>
      <c r="AD85" s="184"/>
      <c r="AE85" s="184"/>
      <c r="AF85" s="184"/>
      <c r="AG85" s="184"/>
      <c r="AH85" s="184"/>
      <c r="AI85" s="184"/>
      <c r="AJ85" s="184"/>
    </row>
    <row r="86" spans="1:36" s="89" customFormat="1" ht="7.5" x14ac:dyDescent="0.15">
      <c r="A86" s="202" t="s">
        <v>48</v>
      </c>
      <c r="B86" s="202"/>
      <c r="C86" s="202"/>
      <c r="D86" s="202"/>
      <c r="E86" s="202"/>
      <c r="F86" s="202"/>
      <c r="G86" s="202"/>
      <c r="H86" s="202"/>
      <c r="I86" s="202"/>
      <c r="J86" s="202"/>
      <c r="K86" s="202"/>
      <c r="L86" s="202"/>
      <c r="M86" s="202"/>
      <c r="N86" s="202"/>
      <c r="O86" s="202"/>
      <c r="P86" s="202"/>
      <c r="Q86" s="202"/>
      <c r="R86" s="202"/>
      <c r="S86" s="202"/>
      <c r="T86" s="202"/>
      <c r="U86" s="202"/>
      <c r="V86" s="202"/>
      <c r="W86" s="202"/>
      <c r="X86" s="202"/>
      <c r="Y86" s="202"/>
      <c r="Z86" s="202"/>
      <c r="AA86" s="202"/>
      <c r="AB86" s="202"/>
      <c r="AC86" s="202"/>
      <c r="AD86" s="202"/>
      <c r="AE86" s="202"/>
      <c r="AF86" s="202"/>
      <c r="AG86" s="202"/>
      <c r="AH86" s="202"/>
      <c r="AI86" s="202"/>
      <c r="AJ86" s="202"/>
    </row>
    <row r="87" spans="1:36" s="88" customFormat="1" ht="11.25" x14ac:dyDescent="0.2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  <c r="AA87" s="184"/>
      <c r="AB87" s="184"/>
      <c r="AC87" s="184"/>
      <c r="AD87" s="184"/>
      <c r="AE87" s="184"/>
      <c r="AF87" s="184"/>
      <c r="AG87" s="184"/>
      <c r="AH87" s="184"/>
      <c r="AI87" s="184"/>
      <c r="AJ87" s="184"/>
    </row>
    <row r="88" spans="1:36" s="89" customFormat="1" ht="7.5" customHeight="1" x14ac:dyDescent="0.15">
      <c r="A88" s="204" t="s">
        <v>49</v>
      </c>
      <c r="B88" s="204"/>
      <c r="C88" s="204"/>
      <c r="D88" s="204"/>
      <c r="E88" s="204"/>
      <c r="F88" s="204"/>
      <c r="G88" s="204"/>
      <c r="H88" s="204"/>
      <c r="I88" s="204"/>
      <c r="J88" s="204"/>
      <c r="K88" s="204"/>
      <c r="L88" s="204"/>
      <c r="M88" s="204"/>
      <c r="N88" s="204"/>
      <c r="O88" s="204"/>
      <c r="P88" s="204"/>
      <c r="Q88" s="204"/>
      <c r="R88" s="204"/>
      <c r="S88" s="204"/>
      <c r="T88" s="204"/>
      <c r="U88" s="204"/>
      <c r="V88" s="204"/>
      <c r="W88" s="204"/>
      <c r="X88" s="204"/>
      <c r="Y88" s="204"/>
      <c r="Z88" s="204"/>
      <c r="AA88" s="204"/>
      <c r="AB88" s="204"/>
      <c r="AC88" s="204"/>
      <c r="AD88" s="204"/>
      <c r="AE88" s="204"/>
      <c r="AF88" s="204"/>
      <c r="AG88" s="204"/>
      <c r="AH88" s="204"/>
      <c r="AI88" s="204"/>
      <c r="AJ88" s="204"/>
    </row>
    <row r="89" spans="1:36" s="88" customFormat="1" ht="11.25" x14ac:dyDescent="0.2">
      <c r="A89" s="212"/>
      <c r="B89" s="212"/>
      <c r="C89" s="212"/>
      <c r="D89" s="212"/>
      <c r="E89" s="212"/>
      <c r="F89" s="212"/>
      <c r="G89" s="212"/>
      <c r="H89" s="212"/>
      <c r="I89" s="212"/>
      <c r="J89" s="212"/>
      <c r="K89" s="212"/>
      <c r="L89" s="212"/>
      <c r="M89" s="212"/>
      <c r="N89" s="212"/>
      <c r="O89" s="212"/>
      <c r="P89" s="212"/>
      <c r="Q89" s="212"/>
      <c r="R89" s="212"/>
      <c r="S89" s="212"/>
      <c r="T89" s="212"/>
      <c r="U89" s="212"/>
      <c r="V89" s="212"/>
      <c r="W89" s="212"/>
      <c r="X89" s="212"/>
      <c r="Y89" s="212"/>
      <c r="Z89" s="212"/>
      <c r="AA89" s="212"/>
      <c r="AB89" s="212"/>
      <c r="AC89" s="212"/>
      <c r="AD89" s="212"/>
      <c r="AE89" s="212"/>
      <c r="AF89" s="212"/>
      <c r="AG89" s="212"/>
      <c r="AH89" s="212"/>
      <c r="AI89" s="212"/>
      <c r="AJ89" s="212"/>
    </row>
    <row r="90" spans="1:36" s="89" customFormat="1" ht="27" customHeight="1" x14ac:dyDescent="0.15">
      <c r="A90" s="204" t="s">
        <v>64</v>
      </c>
      <c r="B90" s="204"/>
      <c r="C90" s="204"/>
      <c r="D90" s="204"/>
      <c r="E90" s="204"/>
      <c r="F90" s="204"/>
      <c r="G90" s="204"/>
      <c r="H90" s="204"/>
      <c r="I90" s="204"/>
      <c r="J90" s="204"/>
      <c r="K90" s="204"/>
      <c r="L90" s="204"/>
      <c r="M90" s="204"/>
      <c r="N90" s="204"/>
      <c r="O90" s="204"/>
      <c r="P90" s="204"/>
      <c r="Q90" s="204"/>
      <c r="R90" s="204"/>
      <c r="S90" s="204"/>
      <c r="T90" s="204"/>
      <c r="U90" s="204"/>
      <c r="V90" s="204"/>
      <c r="W90" s="204"/>
      <c r="X90" s="204"/>
      <c r="Y90" s="204"/>
      <c r="Z90" s="204"/>
      <c r="AA90" s="204"/>
      <c r="AB90" s="204"/>
      <c r="AC90" s="204"/>
      <c r="AD90" s="204"/>
      <c r="AE90" s="204"/>
      <c r="AF90" s="204"/>
      <c r="AG90" s="204"/>
      <c r="AH90" s="204"/>
      <c r="AI90" s="204"/>
      <c r="AJ90" s="204"/>
    </row>
    <row r="91" spans="1:36" ht="18" customHeight="1" x14ac:dyDescent="0.25">
      <c r="A91" s="105"/>
      <c r="B91" s="105"/>
      <c r="C91" s="105"/>
      <c r="D91" s="105"/>
      <c r="E91" s="105"/>
      <c r="F91" s="105"/>
      <c r="G91" s="105"/>
      <c r="H91" s="105"/>
      <c r="I91" s="105"/>
      <c r="J91" s="105"/>
      <c r="K91" s="105"/>
      <c r="L91" s="105"/>
      <c r="M91" s="105"/>
      <c r="N91" s="105"/>
      <c r="O91" s="105"/>
      <c r="P91" s="105"/>
      <c r="Q91" s="105"/>
      <c r="R91" s="105"/>
      <c r="S91" s="105"/>
      <c r="T91" s="105"/>
      <c r="U91" s="105"/>
      <c r="V91" s="105"/>
      <c r="W91" s="105"/>
      <c r="X91" s="105"/>
      <c r="Y91" s="105"/>
      <c r="Z91" s="105"/>
      <c r="AA91" s="105"/>
      <c r="AB91" s="105"/>
      <c r="AC91" s="105"/>
      <c r="AD91" s="105"/>
      <c r="AE91" s="105"/>
      <c r="AF91" s="105"/>
      <c r="AG91" s="105"/>
      <c r="AH91" s="105"/>
      <c r="AI91" s="105"/>
      <c r="AJ91" s="105"/>
    </row>
    <row r="92" spans="1:36" s="17" customFormat="1" ht="15" customHeight="1" x14ac:dyDescent="0.2">
      <c r="A92" s="213" t="s">
        <v>68</v>
      </c>
      <c r="B92" s="213"/>
      <c r="C92" s="213"/>
      <c r="D92" s="213"/>
      <c r="E92" s="213"/>
      <c r="F92" s="213"/>
      <c r="G92" s="213"/>
      <c r="H92" s="213"/>
      <c r="I92" s="213"/>
      <c r="J92" s="213"/>
      <c r="K92" s="213"/>
      <c r="L92" s="213"/>
      <c r="M92" s="213"/>
      <c r="N92" s="213"/>
      <c r="O92" s="213"/>
      <c r="P92" s="213"/>
      <c r="Q92" s="213"/>
      <c r="R92" s="213"/>
      <c r="S92" s="213"/>
      <c r="T92" s="213"/>
      <c r="U92" s="213"/>
      <c r="V92" s="213"/>
      <c r="W92" s="213"/>
      <c r="X92" s="213"/>
      <c r="Y92" s="213"/>
      <c r="Z92" s="213"/>
      <c r="AA92" s="213"/>
      <c r="AB92" s="213"/>
      <c r="AC92" s="213"/>
      <c r="AD92" s="213"/>
      <c r="AE92" s="213"/>
      <c r="AF92" s="213"/>
      <c r="AG92" s="213"/>
      <c r="AH92" s="213"/>
      <c r="AI92" s="213"/>
      <c r="AJ92" s="213"/>
    </row>
    <row r="93" spans="1:36" s="17" customFormat="1" ht="98.25" customHeight="1" x14ac:dyDescent="0.2">
      <c r="A93" s="188" t="s">
        <v>69</v>
      </c>
      <c r="B93" s="188"/>
      <c r="C93" s="188" t="s">
        <v>52</v>
      </c>
      <c r="D93" s="188"/>
      <c r="E93" s="188"/>
      <c r="F93" s="188"/>
      <c r="G93" s="188"/>
      <c r="H93" s="188"/>
      <c r="I93" s="188"/>
      <c r="J93" s="188" t="s">
        <v>53</v>
      </c>
      <c r="K93" s="188"/>
      <c r="L93" s="188"/>
      <c r="M93" s="188"/>
      <c r="N93" s="188"/>
      <c r="O93" s="188" t="s">
        <v>62</v>
      </c>
      <c r="P93" s="188"/>
      <c r="Q93" s="188"/>
      <c r="R93" s="188"/>
      <c r="S93" s="188"/>
      <c r="T93" s="188" t="s">
        <v>54</v>
      </c>
      <c r="U93" s="188"/>
      <c r="V93" s="188"/>
      <c r="W93" s="188"/>
      <c r="X93" s="188"/>
      <c r="Y93" s="188"/>
      <c r="Z93" s="188"/>
      <c r="AA93" s="188"/>
      <c r="AB93" s="188"/>
      <c r="AC93" s="188"/>
      <c r="AD93" s="188"/>
      <c r="AE93" s="188"/>
      <c r="AF93" s="188"/>
      <c r="AG93" s="188" t="s">
        <v>4</v>
      </c>
      <c r="AH93" s="188"/>
      <c r="AI93" s="188"/>
      <c r="AJ93" s="188"/>
    </row>
    <row r="94" spans="1:36" s="17" customFormat="1" ht="11.25" x14ac:dyDescent="0.2">
      <c r="A94" s="188" t="s">
        <v>33</v>
      </c>
      <c r="B94" s="188"/>
      <c r="C94" s="188" t="s">
        <v>34</v>
      </c>
      <c r="D94" s="188"/>
      <c r="E94" s="188"/>
      <c r="F94" s="188"/>
      <c r="G94" s="188"/>
      <c r="H94" s="188"/>
      <c r="I94" s="188"/>
      <c r="J94" s="188" t="s">
        <v>35</v>
      </c>
      <c r="K94" s="188"/>
      <c r="L94" s="188"/>
      <c r="M94" s="188"/>
      <c r="N94" s="188"/>
      <c r="O94" s="188" t="s">
        <v>55</v>
      </c>
      <c r="P94" s="188"/>
      <c r="Q94" s="188"/>
      <c r="R94" s="188"/>
      <c r="S94" s="188"/>
      <c r="T94" s="188" t="s">
        <v>56</v>
      </c>
      <c r="U94" s="188"/>
      <c r="V94" s="188"/>
      <c r="W94" s="188"/>
      <c r="X94" s="188"/>
      <c r="Y94" s="188"/>
      <c r="Z94" s="188"/>
      <c r="AA94" s="188"/>
      <c r="AB94" s="188"/>
      <c r="AC94" s="188"/>
      <c r="AD94" s="188"/>
      <c r="AE94" s="188"/>
      <c r="AF94" s="188"/>
      <c r="AG94" s="188" t="s">
        <v>57</v>
      </c>
      <c r="AH94" s="188"/>
      <c r="AI94" s="188"/>
      <c r="AJ94" s="188"/>
    </row>
    <row r="95" spans="1:36" s="17" customFormat="1" ht="54" hidden="1" customHeight="1" x14ac:dyDescent="0.2">
      <c r="A95" s="188"/>
      <c r="B95" s="188"/>
      <c r="C95" s="188" t="str">
        <f>'Данные объект'!B23</f>
      </c>
      <c r="D95" s="188"/>
      <c r="E95" s="188"/>
      <c r="F95" s="188"/>
      <c r="G95" s="188"/>
      <c r="H95" s="188"/>
      <c r="I95" s="188"/>
      <c r="J95" s="188" t="str">
        <f>'Данные объект'!C22</f>
      </c>
      <c r="K95" s="188"/>
      <c r="L95" s="188"/>
      <c r="M95" s="188"/>
      <c r="N95" s="188"/>
      <c r="O95" s="188" t="str">
        <f>'Данные объект'!B24</f>
      </c>
      <c r="P95" s="188"/>
      <c r="Q95" s="188"/>
      <c r="R95" s="188"/>
      <c r="S95" s="188"/>
      <c r="T95" s="188" t="str">
        <f>'Данные объект'!B25</f>
      </c>
      <c r="U95" s="188"/>
      <c r="V95" s="188"/>
      <c r="W95" s="188"/>
      <c r="X95" s="188"/>
      <c r="Y95" s="188"/>
      <c r="Z95" s="188"/>
      <c r="AA95" s="188"/>
      <c r="AB95" s="188"/>
      <c r="AC95" s="188"/>
      <c r="AD95" s="188"/>
      <c r="AE95" s="188"/>
      <c r="AF95" s="188"/>
      <c r="AG95" s="188"/>
      <c r="AH95" s="188"/>
      <c r="AI95" s="188"/>
      <c r="AJ95" s="188"/>
    </row>
    <row r="96" spans="1:36" s="17" customFormat="1" ht="39" customHeight="1" x14ac:dyDescent="0.2">
      <c r="A96" s="188"/>
      <c r="B96" s="188"/>
      <c r="C96" s="188" t="str">
        <f>'Данные объект'!B27</f>
      </c>
      <c r="D96" s="188"/>
      <c r="E96" s="188"/>
      <c r="F96" s="188"/>
      <c r="G96" s="188"/>
      <c r="H96" s="188"/>
      <c r="I96" s="188"/>
      <c r="J96" s="188" t="str">
        <f>'Данные объект'!C26</f>
      </c>
      <c r="K96" s="188"/>
      <c r="L96" s="188"/>
      <c r="M96" s="188"/>
      <c r="N96" s="188"/>
      <c r="O96" s="188" t="str">
        <f>'Данные объект'!B28</f>
      </c>
      <c r="P96" s="188"/>
      <c r="Q96" s="188"/>
      <c r="R96" s="188"/>
      <c r="S96" s="188"/>
      <c r="T96" s="211" t="s">
        <v>176</v>
      </c>
      <c r="U96" s="211"/>
      <c r="V96" s="211"/>
      <c r="W96" s="211"/>
      <c r="X96" s="211"/>
      <c r="Y96" s="211"/>
      <c r="Z96" s="211"/>
      <c r="AA96" s="211"/>
      <c r="AB96" s="211"/>
      <c r="AC96" s="211"/>
      <c r="AD96" s="211"/>
      <c r="AE96" s="211"/>
      <c r="AF96" s="211"/>
      <c r="AG96" s="188"/>
      <c r="AH96" s="188"/>
      <c r="AI96" s="188"/>
      <c r="AJ96" s="188"/>
    </row>
    <row r="97" spans="1:36" s="17" customFormat="1" ht="11.25" x14ac:dyDescent="0.2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N97" s="188"/>
      <c r="O97" s="188"/>
      <c r="P97" s="188"/>
      <c r="Q97" s="188"/>
      <c r="R97" s="188"/>
      <c r="S97" s="188"/>
      <c r="T97" s="188"/>
      <c r="U97" s="188"/>
      <c r="V97" s="188"/>
      <c r="W97" s="188"/>
      <c r="X97" s="188"/>
      <c r="Y97" s="188"/>
      <c r="Z97" s="188"/>
      <c r="AA97" s="188"/>
      <c r="AB97" s="188"/>
      <c r="AC97" s="188"/>
      <c r="AD97" s="188"/>
      <c r="AE97" s="188"/>
      <c r="AF97" s="188"/>
      <c r="AG97" s="188"/>
      <c r="AH97" s="188"/>
      <c r="AI97" s="188"/>
      <c r="AJ97" s="188"/>
    </row>
    <row r="98" spans="1:36" s="17" customFormat="1" ht="11.25" x14ac:dyDescent="0.2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88"/>
      <c r="AB98" s="188"/>
      <c r="AC98" s="188"/>
      <c r="AD98" s="188"/>
      <c r="AE98" s="188"/>
      <c r="AF98" s="188"/>
      <c r="AG98" s="188"/>
      <c r="AH98" s="188"/>
      <c r="AI98" s="188"/>
      <c r="AJ98" s="188"/>
    </row>
    <row r="99" spans="1:36" ht="15.75" customHeight="1" x14ac:dyDescent="0.25">
      <c r="A99" s="106"/>
      <c r="B99" s="106"/>
      <c r="C99" s="106"/>
      <c r="D99" s="106"/>
      <c r="E99" s="106"/>
      <c r="F99" s="106"/>
      <c r="G99" s="106"/>
      <c r="H99" s="106"/>
      <c r="I99" s="106"/>
      <c r="J99" s="106"/>
    </row>
    <row r="100" spans="1:36" s="88" customFormat="1" ht="15.75" customHeight="1" x14ac:dyDescent="0.2">
      <c r="A100" s="234" t="s">
        <v>131</v>
      </c>
      <c r="B100" s="234"/>
      <c r="C100" s="234"/>
      <c r="D100" s="234"/>
      <c r="E100" s="234"/>
      <c r="F100" s="234"/>
      <c r="G100" s="234"/>
      <c r="H100" s="234"/>
      <c r="I100" s="234"/>
      <c r="J100" s="234"/>
      <c r="K100" s="234"/>
      <c r="L100" s="234"/>
      <c r="M100" s="234"/>
      <c r="N100" s="234"/>
      <c r="O100" s="234"/>
      <c r="P100" s="234"/>
      <c r="Q100" s="234"/>
      <c r="R100" s="234"/>
      <c r="S100" s="234"/>
      <c r="T100" s="234"/>
      <c r="U100" s="234"/>
      <c r="V100" s="234"/>
      <c r="W100" s="234"/>
      <c r="X100" s="234"/>
      <c r="Y100" s="234"/>
      <c r="Z100" s="234"/>
      <c r="AA100" s="234"/>
      <c r="AB100" s="234"/>
      <c r="AC100" s="234"/>
      <c r="AD100" s="234"/>
      <c r="AE100" s="234"/>
      <c r="AF100" s="234"/>
      <c r="AG100" s="234"/>
      <c r="AH100" s="234"/>
      <c r="AI100" s="234"/>
      <c r="AJ100" s="234"/>
    </row>
    <row r="101" spans="1:36" s="88" customFormat="1" ht="37.5" customHeight="1" x14ac:dyDescent="0.2">
      <c r="A101" s="188" t="s">
        <v>69</v>
      </c>
      <c r="B101" s="189"/>
      <c r="C101" s="188" t="s">
        <v>52</v>
      </c>
      <c r="D101" s="189"/>
      <c r="E101" s="189"/>
      <c r="F101" s="189"/>
      <c r="G101" s="189"/>
      <c r="H101" s="189"/>
      <c r="I101" s="189"/>
      <c r="J101" s="189"/>
      <c r="K101" s="189"/>
      <c r="L101" s="189"/>
      <c r="M101" s="189"/>
      <c r="N101" s="189"/>
      <c r="O101" s="190" t="s">
        <v>53</v>
      </c>
      <c r="P101" s="191"/>
      <c r="Q101" s="191"/>
      <c r="R101" s="191"/>
      <c r="S101" s="191"/>
      <c r="T101" s="191"/>
      <c r="U101" s="192"/>
      <c r="V101" s="190" t="s">
        <v>3</v>
      </c>
      <c r="W101" s="193"/>
      <c r="X101" s="193"/>
      <c r="Y101" s="193"/>
      <c r="Z101" s="193"/>
      <c r="AA101" s="193"/>
      <c r="AB101" s="193"/>
      <c r="AC101" s="193"/>
      <c r="AD101" s="194"/>
      <c r="AE101" s="208" t="s">
        <v>4</v>
      </c>
      <c r="AF101" s="191"/>
      <c r="AG101" s="191"/>
      <c r="AH101" s="191"/>
      <c r="AI101" s="191"/>
      <c r="AJ101" s="192"/>
    </row>
    <row r="102" spans="1:36" s="88" customFormat="1" ht="9.75" customHeight="1" x14ac:dyDescent="0.2">
      <c r="A102" s="189" t="s">
        <v>33</v>
      </c>
      <c r="B102" s="189"/>
      <c r="C102" s="189" t="s">
        <v>34</v>
      </c>
      <c r="D102" s="189"/>
      <c r="E102" s="189"/>
      <c r="F102" s="189"/>
      <c r="G102" s="189"/>
      <c r="H102" s="189"/>
      <c r="I102" s="189"/>
      <c r="J102" s="189"/>
      <c r="K102" s="189"/>
      <c r="L102" s="189"/>
      <c r="M102" s="189"/>
      <c r="N102" s="189"/>
      <c r="O102" s="189">
        <v>3</v>
      </c>
      <c r="P102" s="189"/>
      <c r="Q102" s="189"/>
      <c r="R102" s="189"/>
      <c r="S102" s="189"/>
      <c r="T102" s="189"/>
      <c r="U102" s="189"/>
      <c r="V102" s="189">
        <v>4</v>
      </c>
      <c r="W102" s="189"/>
      <c r="X102" s="189"/>
      <c r="Y102" s="189"/>
      <c r="Z102" s="189"/>
      <c r="AA102" s="189"/>
      <c r="AB102" s="189"/>
      <c r="AC102" s="189"/>
      <c r="AD102" s="189"/>
      <c r="AE102" s="189">
        <v>5</v>
      </c>
      <c r="AF102" s="189"/>
      <c r="AG102" s="189"/>
      <c r="AH102" s="189"/>
      <c r="AI102" s="189"/>
      <c r="AJ102" s="189"/>
    </row>
    <row r="103" spans="1:36" s="88" customFormat="1" ht="41.25" customHeight="1" x14ac:dyDescent="0.2">
      <c r="A103" s="185"/>
      <c r="B103" s="185"/>
      <c r="C103" s="189" t="str">
        <f>'Данные объект'!B41</f>
      </c>
      <c r="D103" s="189"/>
      <c r="E103" s="189"/>
      <c r="F103" s="189"/>
      <c r="G103" s="189"/>
      <c r="H103" s="189"/>
      <c r="I103" s="189"/>
      <c r="J103" s="189"/>
      <c r="K103" s="189"/>
      <c r="L103" s="189"/>
      <c r="M103" s="189"/>
      <c r="N103" s="189"/>
      <c r="O103" s="209" t="str">
        <f>'Данные объект'!C40</f>
      </c>
      <c r="P103" s="209"/>
      <c r="Q103" s="209"/>
      <c r="R103" s="209"/>
      <c r="S103" s="209"/>
      <c r="T103" s="209"/>
      <c r="U103" s="209"/>
      <c r="V103" s="188" t="str">
        <f>CONCATENATE('Данные объект'!B42," ",'Данные объект'!B43)</f>
      </c>
      <c r="W103" s="188"/>
      <c r="X103" s="188"/>
      <c r="Y103" s="188"/>
      <c r="Z103" s="188"/>
      <c r="AA103" s="188"/>
      <c r="AB103" s="188"/>
      <c r="AC103" s="188"/>
      <c r="AD103" s="188"/>
      <c r="AE103" s="186"/>
      <c r="AF103" s="186"/>
      <c r="AG103" s="186"/>
      <c r="AH103" s="186"/>
      <c r="AI103" s="186"/>
      <c r="AJ103" s="186"/>
    </row>
    <row r="104" spans="1:36" s="88" customFormat="1" ht="11.25" x14ac:dyDescent="0.2">
      <c r="A104" s="185"/>
      <c r="B104" s="185"/>
      <c r="C104" s="185"/>
      <c r="D104" s="185"/>
      <c r="E104" s="185"/>
      <c r="F104" s="185"/>
      <c r="G104" s="185"/>
      <c r="H104" s="185"/>
      <c r="I104" s="185"/>
      <c r="J104" s="185"/>
      <c r="K104" s="185"/>
      <c r="L104" s="185"/>
      <c r="M104" s="185"/>
      <c r="N104" s="185"/>
      <c r="O104" s="186"/>
      <c r="P104" s="186"/>
      <c r="Q104" s="186"/>
      <c r="R104" s="186"/>
      <c r="S104" s="186"/>
      <c r="T104" s="186"/>
      <c r="U104" s="186"/>
      <c r="V104" s="186"/>
      <c r="W104" s="186"/>
      <c r="X104" s="186"/>
      <c r="Y104" s="186"/>
      <c r="Z104" s="186"/>
      <c r="AA104" s="186"/>
      <c r="AB104" s="186"/>
      <c r="AC104" s="186"/>
      <c r="AD104" s="186"/>
      <c r="AE104" s="186"/>
      <c r="AF104" s="186"/>
      <c r="AG104" s="186"/>
      <c r="AH104" s="186"/>
      <c r="AI104" s="186"/>
      <c r="AJ104" s="186"/>
    </row>
    <row r="105" spans="1:36" s="88" customFormat="1" ht="11.25" x14ac:dyDescent="0.2">
      <c r="A105" s="185"/>
      <c r="B105" s="185"/>
      <c r="C105" s="185"/>
      <c r="D105" s="185"/>
      <c r="E105" s="185"/>
      <c r="F105" s="185"/>
      <c r="G105" s="185"/>
      <c r="H105" s="185"/>
      <c r="I105" s="185"/>
      <c r="J105" s="185"/>
      <c r="K105" s="185"/>
      <c r="L105" s="185"/>
      <c r="M105" s="185"/>
      <c r="N105" s="185"/>
      <c r="O105" s="186"/>
      <c r="P105" s="186"/>
      <c r="Q105" s="186"/>
      <c r="R105" s="186"/>
      <c r="S105" s="186"/>
      <c r="T105" s="186"/>
      <c r="U105" s="186"/>
      <c r="V105" s="186"/>
      <c r="W105" s="186"/>
      <c r="X105" s="186"/>
      <c r="Y105" s="186"/>
      <c r="Z105" s="186"/>
      <c r="AA105" s="186"/>
      <c r="AB105" s="186"/>
      <c r="AC105" s="186"/>
      <c r="AD105" s="186"/>
      <c r="AE105" s="186"/>
      <c r="AF105" s="186"/>
      <c r="AG105" s="186"/>
      <c r="AH105" s="186"/>
      <c r="AI105" s="186"/>
      <c r="AJ105" s="186"/>
    </row>
    <row r="106" spans="1:36" s="88" customFormat="1" ht="11.25" x14ac:dyDescent="0.2">
      <c r="A106" s="185"/>
      <c r="B106" s="185"/>
      <c r="C106" s="185"/>
      <c r="D106" s="185"/>
      <c r="E106" s="185"/>
      <c r="F106" s="185"/>
      <c r="G106" s="185"/>
      <c r="H106" s="185"/>
      <c r="I106" s="185"/>
      <c r="J106" s="185"/>
      <c r="K106" s="185"/>
      <c r="L106" s="185"/>
      <c r="M106" s="185"/>
      <c r="N106" s="185"/>
      <c r="O106" s="186"/>
      <c r="P106" s="186"/>
      <c r="Q106" s="186"/>
      <c r="R106" s="186"/>
      <c r="S106" s="186"/>
      <c r="T106" s="186"/>
      <c r="U106" s="186"/>
      <c r="V106" s="186"/>
      <c r="W106" s="186"/>
      <c r="X106" s="186"/>
      <c r="Y106" s="186"/>
      <c r="Z106" s="186"/>
      <c r="AA106" s="186"/>
      <c r="AB106" s="186"/>
      <c r="AC106" s="186"/>
      <c r="AD106" s="186"/>
      <c r="AE106" s="186"/>
      <c r="AF106" s="186"/>
      <c r="AG106" s="186"/>
      <c r="AH106" s="186"/>
      <c r="AI106" s="186"/>
      <c r="AJ106" s="186"/>
    </row>
    <row r="107" spans="1:36" s="88" customFormat="1" ht="11.25" x14ac:dyDescent="0.2"/>
    <row r="108" spans="1:36" s="88" customFormat="1" ht="24" customHeight="1" x14ac:dyDescent="0.2">
      <c r="A108" s="215" t="s">
        <v>119</v>
      </c>
      <c r="B108" s="215"/>
      <c r="C108" s="215"/>
      <c r="D108" s="215"/>
      <c r="E108" s="215"/>
      <c r="F108" s="215"/>
      <c r="G108" s="215"/>
      <c r="H108" s="215"/>
      <c r="I108" s="215"/>
      <c r="J108" s="215"/>
      <c r="K108" s="215"/>
      <c r="L108" s="215"/>
      <c r="M108" s="215"/>
      <c r="N108" s="215"/>
      <c r="O108" s="215"/>
      <c r="P108" s="215"/>
      <c r="Q108" s="215"/>
      <c r="R108" s="215"/>
      <c r="S108" s="215"/>
      <c r="T108" s="215"/>
      <c r="U108" s="215"/>
      <c r="V108" s="215"/>
      <c r="W108" s="215"/>
      <c r="X108" s="215"/>
      <c r="Y108" s="215"/>
      <c r="Z108" s="215"/>
      <c r="AA108" s="215"/>
      <c r="AB108" s="215"/>
      <c r="AC108" s="215"/>
      <c r="AD108" s="215"/>
      <c r="AE108" s="215"/>
      <c r="AF108" s="215"/>
      <c r="AG108" s="215"/>
      <c r="AH108" s="215"/>
      <c r="AI108" s="215"/>
      <c r="AJ108" s="215"/>
    </row>
    <row r="109" spans="1:36" s="88" customFormat="1" ht="37.5" customHeight="1" x14ac:dyDescent="0.2">
      <c r="A109" s="188" t="s">
        <v>69</v>
      </c>
      <c r="B109" s="189"/>
      <c r="C109" s="188" t="s">
        <v>52</v>
      </c>
      <c r="D109" s="189"/>
      <c r="E109" s="189"/>
      <c r="F109" s="189"/>
      <c r="G109" s="189"/>
      <c r="H109" s="189"/>
      <c r="I109" s="189"/>
      <c r="J109" s="189"/>
      <c r="K109" s="189"/>
      <c r="L109" s="189"/>
      <c r="M109" s="189"/>
      <c r="N109" s="189"/>
      <c r="O109" s="190" t="s">
        <v>53</v>
      </c>
      <c r="P109" s="191"/>
      <c r="Q109" s="191"/>
      <c r="R109" s="191"/>
      <c r="S109" s="191"/>
      <c r="T109" s="191"/>
      <c r="U109" s="192"/>
      <c r="V109" s="190" t="s">
        <v>3</v>
      </c>
      <c r="W109" s="193"/>
      <c r="X109" s="193"/>
      <c r="Y109" s="193"/>
      <c r="Z109" s="193"/>
      <c r="AA109" s="193"/>
      <c r="AB109" s="193"/>
      <c r="AC109" s="193"/>
      <c r="AD109" s="194"/>
      <c r="AE109" s="208" t="s">
        <v>4</v>
      </c>
      <c r="AF109" s="191"/>
      <c r="AG109" s="191"/>
      <c r="AH109" s="191"/>
      <c r="AI109" s="191"/>
      <c r="AJ109" s="192"/>
    </row>
    <row r="110" spans="1:36" s="88" customFormat="1" ht="14.25" customHeight="1" x14ac:dyDescent="0.2">
      <c r="A110" s="189" t="s">
        <v>33</v>
      </c>
      <c r="B110" s="189"/>
      <c r="C110" s="189" t="s">
        <v>34</v>
      </c>
      <c r="D110" s="189"/>
      <c r="E110" s="189"/>
      <c r="F110" s="189"/>
      <c r="G110" s="189"/>
      <c r="H110" s="189"/>
      <c r="I110" s="189"/>
      <c r="J110" s="189"/>
      <c r="K110" s="189"/>
      <c r="L110" s="189"/>
      <c r="M110" s="189"/>
      <c r="N110" s="189"/>
      <c r="O110" s="189">
        <v>3</v>
      </c>
      <c r="P110" s="189"/>
      <c r="Q110" s="189"/>
      <c r="R110" s="189"/>
      <c r="S110" s="189"/>
      <c r="T110" s="189"/>
      <c r="U110" s="189"/>
      <c r="V110" s="189">
        <v>4</v>
      </c>
      <c r="W110" s="189"/>
      <c r="X110" s="189"/>
      <c r="Y110" s="189"/>
      <c r="Z110" s="189"/>
      <c r="AA110" s="189"/>
      <c r="AB110" s="189"/>
      <c r="AC110" s="189"/>
      <c r="AD110" s="189"/>
      <c r="AE110" s="189">
        <v>5</v>
      </c>
      <c r="AF110" s="189"/>
      <c r="AG110" s="189"/>
      <c r="AH110" s="189"/>
      <c r="AI110" s="189"/>
      <c r="AJ110" s="189"/>
    </row>
    <row r="111" spans="1:36" s="88" customFormat="1" ht="11.25" x14ac:dyDescent="0.2">
      <c r="A111" s="185"/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  <c r="L111" s="185"/>
      <c r="M111" s="185"/>
      <c r="N111" s="185"/>
      <c r="O111" s="186"/>
      <c r="P111" s="186"/>
      <c r="Q111" s="186"/>
      <c r="R111" s="186"/>
      <c r="S111" s="186"/>
      <c r="T111" s="186"/>
      <c r="U111" s="186"/>
      <c r="V111" s="186"/>
      <c r="W111" s="186"/>
      <c r="X111" s="186"/>
      <c r="Y111" s="186"/>
      <c r="Z111" s="186"/>
      <c r="AA111" s="186"/>
      <c r="AB111" s="186"/>
      <c r="AC111" s="186"/>
      <c r="AD111" s="186"/>
      <c r="AE111" s="186"/>
      <c r="AF111" s="186"/>
      <c r="AG111" s="186"/>
      <c r="AH111" s="186"/>
      <c r="AI111" s="186"/>
      <c r="AJ111" s="186"/>
    </row>
    <row r="112" spans="1:36" s="88" customFormat="1" ht="11.25" x14ac:dyDescent="0.2">
      <c r="A112" s="185"/>
      <c r="B112" s="185"/>
      <c r="C112" s="185"/>
      <c r="D112" s="185"/>
      <c r="E112" s="185"/>
      <c r="F112" s="185"/>
      <c r="G112" s="185"/>
      <c r="H112" s="185"/>
      <c r="I112" s="185"/>
      <c r="J112" s="185"/>
      <c r="K112" s="185"/>
      <c r="L112" s="185"/>
      <c r="M112" s="185"/>
      <c r="N112" s="185"/>
      <c r="O112" s="186"/>
      <c r="P112" s="186"/>
      <c r="Q112" s="186"/>
      <c r="R112" s="186"/>
      <c r="S112" s="186"/>
      <c r="T112" s="186"/>
      <c r="U112" s="186"/>
      <c r="V112" s="186"/>
      <c r="W112" s="186"/>
      <c r="X112" s="186"/>
      <c r="Y112" s="186"/>
      <c r="Z112" s="186"/>
      <c r="AA112" s="186"/>
      <c r="AB112" s="186"/>
      <c r="AC112" s="186"/>
      <c r="AD112" s="186"/>
      <c r="AE112" s="186"/>
      <c r="AF112" s="186"/>
      <c r="AG112" s="186"/>
      <c r="AH112" s="186"/>
      <c r="AI112" s="186"/>
      <c r="AJ112" s="186"/>
    </row>
    <row r="113" spans="1:36" s="88" customFormat="1" ht="11.25" x14ac:dyDescent="0.2">
      <c r="A113" s="185"/>
      <c r="B113" s="185"/>
      <c r="C113" s="185"/>
      <c r="D113" s="185"/>
      <c r="E113" s="185"/>
      <c r="F113" s="185"/>
      <c r="G113" s="185"/>
      <c r="H113" s="185"/>
      <c r="I113" s="185"/>
      <c r="J113" s="185"/>
      <c r="K113" s="185"/>
      <c r="L113" s="185"/>
      <c r="M113" s="185"/>
      <c r="N113" s="185"/>
      <c r="O113" s="186"/>
      <c r="P113" s="186"/>
      <c r="Q113" s="186"/>
      <c r="R113" s="186"/>
      <c r="S113" s="186"/>
      <c r="T113" s="186"/>
      <c r="U113" s="186"/>
      <c r="V113" s="186"/>
      <c r="W113" s="186"/>
      <c r="X113" s="186"/>
      <c r="Y113" s="186"/>
      <c r="Z113" s="186"/>
      <c r="AA113" s="186"/>
      <c r="AB113" s="186"/>
      <c r="AC113" s="186"/>
      <c r="AD113" s="186"/>
      <c r="AE113" s="186"/>
      <c r="AF113" s="186"/>
      <c r="AG113" s="186"/>
      <c r="AH113" s="186"/>
      <c r="AI113" s="186"/>
      <c r="AJ113" s="186"/>
    </row>
    <row r="114" spans="1:36" s="88" customFormat="1" ht="11.25" x14ac:dyDescent="0.2">
      <c r="A114" s="185"/>
      <c r="B114" s="185"/>
      <c r="C114" s="185"/>
      <c r="D114" s="185"/>
      <c r="E114" s="185"/>
      <c r="F114" s="185"/>
      <c r="G114" s="185"/>
      <c r="H114" s="185"/>
      <c r="I114" s="185"/>
      <c r="J114" s="185"/>
      <c r="K114" s="185"/>
      <c r="L114" s="185"/>
      <c r="M114" s="185"/>
      <c r="N114" s="185"/>
      <c r="O114" s="186"/>
      <c r="P114" s="186"/>
      <c r="Q114" s="186"/>
      <c r="R114" s="186"/>
      <c r="S114" s="186"/>
      <c r="T114" s="186"/>
      <c r="U114" s="186"/>
      <c r="V114" s="186"/>
      <c r="W114" s="186"/>
      <c r="X114" s="186"/>
      <c r="Y114" s="186"/>
      <c r="Z114" s="186"/>
      <c r="AA114" s="186"/>
      <c r="AB114" s="186"/>
      <c r="AC114" s="186"/>
      <c r="AD114" s="186"/>
      <c r="AE114" s="186"/>
      <c r="AF114" s="186"/>
      <c r="AG114" s="186"/>
      <c r="AH114" s="186"/>
      <c r="AI114" s="186"/>
      <c r="AJ114" s="186"/>
    </row>
    <row r="115" spans="1:36" s="88" customFormat="1" ht="11.25" x14ac:dyDescent="0.2"/>
    <row r="116" spans="1:36" s="88" customFormat="1" ht="21.75" customHeight="1" x14ac:dyDescent="0.2">
      <c r="A116" s="221" t="s">
        <v>120</v>
      </c>
      <c r="B116" s="221"/>
      <c r="C116" s="221"/>
      <c r="D116" s="221"/>
      <c r="E116" s="221"/>
      <c r="F116" s="221"/>
      <c r="G116" s="221"/>
      <c r="H116" s="221"/>
      <c r="I116" s="221"/>
      <c r="J116" s="221"/>
      <c r="K116" s="221"/>
      <c r="L116" s="221"/>
      <c r="M116" s="221"/>
      <c r="N116" s="221"/>
      <c r="O116" s="221"/>
      <c r="P116" s="221"/>
      <c r="Q116" s="221"/>
      <c r="R116" s="221"/>
      <c r="S116" s="221"/>
      <c r="T116" s="221"/>
      <c r="U116" s="221"/>
      <c r="V116" s="221"/>
      <c r="W116" s="221"/>
      <c r="X116" s="221"/>
      <c r="Y116" s="221"/>
      <c r="Z116" s="221"/>
      <c r="AA116" s="221"/>
      <c r="AB116" s="221"/>
      <c r="AC116" s="221"/>
      <c r="AD116" s="221"/>
      <c r="AE116" s="221"/>
      <c r="AF116" s="221"/>
      <c r="AG116" s="221"/>
      <c r="AH116" s="221"/>
      <c r="AI116" s="221"/>
      <c r="AJ116" s="221"/>
    </row>
    <row r="117" spans="1:36" s="88" customFormat="1" ht="42" customHeight="1" x14ac:dyDescent="0.2">
      <c r="A117" s="188" t="s">
        <v>69</v>
      </c>
      <c r="B117" s="189"/>
      <c r="C117" s="188" t="s">
        <v>52</v>
      </c>
      <c r="D117" s="189"/>
      <c r="E117" s="189"/>
      <c r="F117" s="189"/>
      <c r="G117" s="189"/>
      <c r="H117" s="189"/>
      <c r="I117" s="189"/>
      <c r="J117" s="189"/>
      <c r="K117" s="189"/>
      <c r="L117" s="189"/>
      <c r="M117" s="189"/>
      <c r="N117" s="189"/>
      <c r="O117" s="190" t="s">
        <v>53</v>
      </c>
      <c r="P117" s="191"/>
      <c r="Q117" s="191"/>
      <c r="R117" s="191"/>
      <c r="S117" s="191"/>
      <c r="T117" s="191"/>
      <c r="U117" s="192"/>
      <c r="V117" s="190" t="s">
        <v>3</v>
      </c>
      <c r="W117" s="193"/>
      <c r="X117" s="193"/>
      <c r="Y117" s="193"/>
      <c r="Z117" s="193"/>
      <c r="AA117" s="193"/>
      <c r="AB117" s="193"/>
      <c r="AC117" s="193"/>
      <c r="AD117" s="194"/>
      <c r="AE117" s="208" t="s">
        <v>4</v>
      </c>
      <c r="AF117" s="191"/>
      <c r="AG117" s="191"/>
      <c r="AH117" s="191"/>
      <c r="AI117" s="191"/>
      <c r="AJ117" s="192"/>
    </row>
    <row r="118" spans="1:36" s="88" customFormat="1" ht="11.25" customHeight="1" x14ac:dyDescent="0.2">
      <c r="A118" s="189" t="s">
        <v>33</v>
      </c>
      <c r="B118" s="189"/>
      <c r="C118" s="189" t="s">
        <v>34</v>
      </c>
      <c r="D118" s="189"/>
      <c r="E118" s="189"/>
      <c r="F118" s="189"/>
      <c r="G118" s="189"/>
      <c r="H118" s="189"/>
      <c r="I118" s="189"/>
      <c r="J118" s="189"/>
      <c r="K118" s="189"/>
      <c r="L118" s="189"/>
      <c r="M118" s="189"/>
      <c r="N118" s="189"/>
      <c r="O118" s="189">
        <v>3</v>
      </c>
      <c r="P118" s="189"/>
      <c r="Q118" s="189"/>
      <c r="R118" s="189"/>
      <c r="S118" s="189"/>
      <c r="T118" s="189"/>
      <c r="U118" s="189"/>
      <c r="V118" s="189">
        <v>4</v>
      </c>
      <c r="W118" s="189"/>
      <c r="X118" s="189"/>
      <c r="Y118" s="189"/>
      <c r="Z118" s="189"/>
      <c r="AA118" s="189"/>
      <c r="AB118" s="189"/>
      <c r="AC118" s="189"/>
      <c r="AD118" s="189"/>
      <c r="AE118" s="189">
        <v>5</v>
      </c>
      <c r="AF118" s="189"/>
      <c r="AG118" s="189"/>
      <c r="AH118" s="189"/>
      <c r="AI118" s="189"/>
      <c r="AJ118" s="189"/>
    </row>
    <row r="119" spans="1:36" s="88" customFormat="1" ht="46.5" customHeight="1" x14ac:dyDescent="0.2">
      <c r="A119" s="185"/>
      <c r="B119" s="185"/>
      <c r="C119" s="185" t="str">
        <f>'Данные объект'!B23</f>
      </c>
      <c r="D119" s="185"/>
      <c r="E119" s="185"/>
      <c r="F119" s="185"/>
      <c r="G119" s="185"/>
      <c r="H119" s="185"/>
      <c r="I119" s="185"/>
      <c r="J119" s="185"/>
      <c r="K119" s="185"/>
      <c r="L119" s="185"/>
      <c r="M119" s="185"/>
      <c r="N119" s="185"/>
      <c r="O119" s="209" t="str">
        <f>'Данные объект'!C22</f>
      </c>
      <c r="P119" s="209"/>
      <c r="Q119" s="209"/>
      <c r="R119" s="209"/>
      <c r="S119" s="209"/>
      <c r="T119" s="209"/>
      <c r="U119" s="209"/>
      <c r="V119" s="188" t="str">
        <f>CONCATENATE('Данные объект'!B24," ",'Данные объект'!B25)</f>
      </c>
      <c r="W119" s="188"/>
      <c r="X119" s="188"/>
      <c r="Y119" s="188"/>
      <c r="Z119" s="188"/>
      <c r="AA119" s="188"/>
      <c r="AB119" s="188"/>
      <c r="AC119" s="188"/>
      <c r="AD119" s="188"/>
      <c r="AE119" s="186"/>
      <c r="AF119" s="186"/>
      <c r="AG119" s="186"/>
      <c r="AH119" s="186"/>
      <c r="AI119" s="186"/>
      <c r="AJ119" s="186"/>
    </row>
    <row r="120" spans="1:36" s="88" customFormat="1" ht="11.25" x14ac:dyDescent="0.2">
      <c r="A120" s="185"/>
      <c r="B120" s="185"/>
      <c r="C120" s="185"/>
      <c r="D120" s="185"/>
      <c r="E120" s="185"/>
      <c r="F120" s="185"/>
      <c r="G120" s="185"/>
      <c r="H120" s="185"/>
      <c r="I120" s="185"/>
      <c r="J120" s="185"/>
      <c r="K120" s="185"/>
      <c r="L120" s="185"/>
      <c r="M120" s="185"/>
      <c r="N120" s="185"/>
      <c r="O120" s="186"/>
      <c r="P120" s="186"/>
      <c r="Q120" s="186"/>
      <c r="R120" s="186"/>
      <c r="S120" s="186"/>
      <c r="T120" s="186"/>
      <c r="U120" s="186"/>
      <c r="V120" s="186"/>
      <c r="W120" s="186"/>
      <c r="X120" s="186"/>
      <c r="Y120" s="186"/>
      <c r="Z120" s="186"/>
      <c r="AA120" s="186"/>
      <c r="AB120" s="186"/>
      <c r="AC120" s="186"/>
      <c r="AD120" s="186"/>
      <c r="AE120" s="186"/>
      <c r="AF120" s="186"/>
      <c r="AG120" s="186"/>
      <c r="AH120" s="186"/>
      <c r="AI120" s="186"/>
      <c r="AJ120" s="186"/>
    </row>
    <row r="121" spans="1:36" s="88" customFormat="1" ht="11.25" x14ac:dyDescent="0.2">
      <c r="A121" s="185"/>
      <c r="B121" s="185"/>
      <c r="C121" s="185"/>
      <c r="D121" s="185"/>
      <c r="E121" s="185"/>
      <c r="F121" s="185"/>
      <c r="G121" s="185"/>
      <c r="H121" s="185"/>
      <c r="I121" s="185"/>
      <c r="J121" s="185"/>
      <c r="K121" s="185"/>
      <c r="L121" s="185"/>
      <c r="M121" s="185"/>
      <c r="N121" s="185"/>
      <c r="O121" s="186"/>
      <c r="P121" s="186"/>
      <c r="Q121" s="186"/>
      <c r="R121" s="186"/>
      <c r="S121" s="186"/>
      <c r="T121" s="186"/>
      <c r="U121" s="186"/>
      <c r="V121" s="186"/>
      <c r="W121" s="186"/>
      <c r="X121" s="186"/>
      <c r="Y121" s="186"/>
      <c r="Z121" s="186"/>
      <c r="AA121" s="186"/>
      <c r="AB121" s="186"/>
      <c r="AC121" s="186"/>
      <c r="AD121" s="186"/>
      <c r="AE121" s="186"/>
      <c r="AF121" s="186"/>
      <c r="AG121" s="186"/>
      <c r="AH121" s="186"/>
      <c r="AI121" s="186"/>
      <c r="AJ121" s="186"/>
    </row>
    <row r="122" spans="1:36" s="88" customFormat="1" ht="11.25" x14ac:dyDescent="0.2">
      <c r="A122" s="185"/>
      <c r="B122" s="185"/>
      <c r="C122" s="185"/>
      <c r="D122" s="185"/>
      <c r="E122" s="185"/>
      <c r="F122" s="185"/>
      <c r="G122" s="185"/>
      <c r="H122" s="185"/>
      <c r="I122" s="185"/>
      <c r="J122" s="185"/>
      <c r="K122" s="185"/>
      <c r="L122" s="185"/>
      <c r="M122" s="185"/>
      <c r="N122" s="185"/>
      <c r="O122" s="186"/>
      <c r="P122" s="186"/>
      <c r="Q122" s="186"/>
      <c r="R122" s="186"/>
      <c r="S122" s="186"/>
      <c r="T122" s="186"/>
      <c r="U122" s="186"/>
      <c r="V122" s="186"/>
      <c r="W122" s="186"/>
      <c r="X122" s="186"/>
      <c r="Y122" s="186"/>
      <c r="Z122" s="186"/>
      <c r="AA122" s="186"/>
      <c r="AB122" s="186"/>
      <c r="AC122" s="186"/>
      <c r="AD122" s="186"/>
      <c r="AE122" s="186"/>
      <c r="AF122" s="186"/>
      <c r="AG122" s="186"/>
      <c r="AH122" s="186"/>
      <c r="AI122" s="186"/>
      <c r="AJ122" s="186"/>
    </row>
    <row r="123" spans="1:36" s="88" customFormat="1" ht="21" customHeight="1" x14ac:dyDescent="0.2">
      <c r="A123" s="108"/>
      <c r="B123" s="108"/>
      <c r="C123" s="108"/>
      <c r="D123" s="108"/>
      <c r="E123" s="108"/>
      <c r="F123" s="108"/>
      <c r="G123" s="108"/>
      <c r="H123" s="108"/>
      <c r="I123" s="108"/>
      <c r="J123" s="108"/>
      <c r="K123" s="108"/>
      <c r="L123" s="108"/>
      <c r="M123" s="108"/>
      <c r="N123" s="108"/>
      <c r="O123" s="82"/>
      <c r="P123" s="82"/>
      <c r="Q123" s="82"/>
      <c r="R123" s="82"/>
      <c r="S123" s="82"/>
      <c r="T123" s="82"/>
      <c r="U123" s="82"/>
      <c r="V123" s="82"/>
      <c r="W123" s="82"/>
      <c r="X123" s="82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  <c r="AI123" s="82"/>
      <c r="AJ123" s="82"/>
    </row>
    <row r="124" spans="1:36" s="88" customFormat="1" ht="16.5" customHeight="1" x14ac:dyDescent="0.2">
      <c r="A124" s="195" t="s">
        <v>5</v>
      </c>
      <c r="B124" s="195"/>
      <c r="C124" s="195"/>
      <c r="D124" s="195"/>
      <c r="E124" s="195"/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R124" s="195"/>
      <c r="S124" s="195"/>
      <c r="T124" s="195"/>
      <c r="U124" s="195"/>
      <c r="V124" s="195"/>
      <c r="W124" s="195"/>
      <c r="X124" s="195"/>
      <c r="Y124" s="195"/>
      <c r="Z124" s="195"/>
      <c r="AA124" s="195"/>
      <c r="AB124" s="195"/>
      <c r="AC124" s="195"/>
      <c r="AD124" s="195"/>
      <c r="AE124" s="195"/>
      <c r="AF124" s="195"/>
      <c r="AG124" s="195"/>
      <c r="AH124" s="195"/>
      <c r="AI124" s="195"/>
      <c r="AJ124" s="195"/>
    </row>
    <row r="125" spans="1:36" s="88" customFormat="1" ht="149.25" customHeight="1" x14ac:dyDescent="0.2">
      <c r="A125" s="188" t="s">
        <v>69</v>
      </c>
      <c r="B125" s="189"/>
      <c r="C125" s="188" t="s">
        <v>70</v>
      </c>
      <c r="D125" s="189"/>
      <c r="E125" s="189"/>
      <c r="F125" s="189"/>
      <c r="G125" s="189"/>
      <c r="H125" s="189"/>
      <c r="I125" s="189"/>
      <c r="J125" s="189"/>
      <c r="K125" s="189"/>
      <c r="L125" s="189"/>
      <c r="M125" s="189"/>
      <c r="N125" s="189"/>
      <c r="O125" s="190" t="s">
        <v>71</v>
      </c>
      <c r="P125" s="191"/>
      <c r="Q125" s="191"/>
      <c r="R125" s="191"/>
      <c r="S125" s="191"/>
      <c r="T125" s="191"/>
      <c r="U125" s="192"/>
      <c r="V125" s="190" t="s">
        <v>72</v>
      </c>
      <c r="W125" s="193"/>
      <c r="X125" s="193"/>
      <c r="Y125" s="193"/>
      <c r="Z125" s="193"/>
      <c r="AA125" s="193"/>
      <c r="AB125" s="193"/>
      <c r="AC125" s="193"/>
      <c r="AD125" s="194"/>
      <c r="AE125" s="190" t="s">
        <v>73</v>
      </c>
      <c r="AF125" s="191"/>
      <c r="AG125" s="191"/>
      <c r="AH125" s="191"/>
      <c r="AI125" s="191"/>
      <c r="AJ125" s="192"/>
    </row>
    <row r="126" spans="1:36" s="88" customFormat="1" ht="11.25" x14ac:dyDescent="0.2">
      <c r="A126" s="189" t="s">
        <v>33</v>
      </c>
      <c r="B126" s="189"/>
      <c r="C126" s="189" t="s">
        <v>34</v>
      </c>
      <c r="D126" s="189"/>
      <c r="E126" s="189"/>
      <c r="F126" s="189"/>
      <c r="G126" s="189"/>
      <c r="H126" s="189"/>
      <c r="I126" s="189"/>
      <c r="J126" s="189"/>
      <c r="K126" s="189"/>
      <c r="L126" s="189"/>
      <c r="M126" s="189"/>
      <c r="N126" s="189"/>
      <c r="O126" s="189">
        <v>3</v>
      </c>
      <c r="P126" s="189"/>
      <c r="Q126" s="189"/>
      <c r="R126" s="189"/>
      <c r="S126" s="189"/>
      <c r="T126" s="189"/>
      <c r="U126" s="189"/>
      <c r="V126" s="189">
        <v>4</v>
      </c>
      <c r="W126" s="189"/>
      <c r="X126" s="189"/>
      <c r="Y126" s="189"/>
      <c r="Z126" s="189"/>
      <c r="AA126" s="189"/>
      <c r="AB126" s="189"/>
      <c r="AC126" s="189"/>
      <c r="AD126" s="189"/>
      <c r="AE126" s="189">
        <v>5</v>
      </c>
      <c r="AF126" s="189"/>
      <c r="AG126" s="189"/>
      <c r="AH126" s="189"/>
      <c r="AI126" s="189"/>
      <c r="AJ126" s="189"/>
    </row>
    <row r="127" spans="1:36" s="88" customFormat="1" ht="11.25" x14ac:dyDescent="0.2">
      <c r="A127" s="185"/>
      <c r="B127" s="185"/>
      <c r="C127" s="185"/>
      <c r="D127" s="185"/>
      <c r="E127" s="185"/>
      <c r="F127" s="185"/>
      <c r="G127" s="185"/>
      <c r="H127" s="185"/>
      <c r="I127" s="185"/>
      <c r="J127" s="185"/>
      <c r="K127" s="185"/>
      <c r="L127" s="185"/>
      <c r="M127" s="185"/>
      <c r="N127" s="185"/>
      <c r="O127" s="186"/>
      <c r="P127" s="186"/>
      <c r="Q127" s="186"/>
      <c r="R127" s="186"/>
      <c r="S127" s="186"/>
      <c r="T127" s="186"/>
      <c r="U127" s="186"/>
      <c r="V127" s="186"/>
      <c r="W127" s="186"/>
      <c r="X127" s="186"/>
      <c r="Y127" s="186"/>
      <c r="Z127" s="186"/>
      <c r="AA127" s="186"/>
      <c r="AB127" s="186"/>
      <c r="AC127" s="186"/>
      <c r="AD127" s="186"/>
      <c r="AE127" s="186"/>
      <c r="AF127" s="186"/>
      <c r="AG127" s="186"/>
      <c r="AH127" s="186"/>
      <c r="AI127" s="186"/>
      <c r="AJ127" s="186"/>
    </row>
    <row r="128" spans="1:36" s="88" customFormat="1" ht="11.25" x14ac:dyDescent="0.2">
      <c r="A128" s="185"/>
      <c r="B128" s="185"/>
      <c r="C128" s="185"/>
      <c r="D128" s="185"/>
      <c r="E128" s="185"/>
      <c r="F128" s="185"/>
      <c r="G128" s="185"/>
      <c r="H128" s="185"/>
      <c r="I128" s="185"/>
      <c r="J128" s="185"/>
      <c r="K128" s="185"/>
      <c r="L128" s="185"/>
      <c r="M128" s="185"/>
      <c r="N128" s="185"/>
      <c r="O128" s="186"/>
      <c r="P128" s="186"/>
      <c r="Q128" s="186"/>
      <c r="R128" s="186"/>
      <c r="S128" s="186"/>
      <c r="T128" s="186"/>
      <c r="U128" s="186"/>
      <c r="V128" s="186"/>
      <c r="W128" s="186"/>
      <c r="X128" s="186"/>
      <c r="Y128" s="186"/>
      <c r="Z128" s="186"/>
      <c r="AA128" s="186"/>
      <c r="AB128" s="186"/>
      <c r="AC128" s="186"/>
      <c r="AD128" s="186"/>
      <c r="AE128" s="186"/>
      <c r="AF128" s="186"/>
      <c r="AG128" s="186"/>
      <c r="AH128" s="186"/>
      <c r="AI128" s="186"/>
      <c r="AJ128" s="186"/>
    </row>
    <row r="129" spans="1:36" s="88" customFormat="1" ht="11.25" x14ac:dyDescent="0.2">
      <c r="A129" s="185"/>
      <c r="B129" s="185"/>
      <c r="C129" s="185"/>
      <c r="D129" s="185"/>
      <c r="E129" s="185"/>
      <c r="F129" s="185"/>
      <c r="G129" s="185"/>
      <c r="H129" s="185"/>
      <c r="I129" s="185"/>
      <c r="J129" s="185"/>
      <c r="K129" s="185"/>
      <c r="L129" s="185"/>
      <c r="M129" s="185"/>
      <c r="N129" s="185"/>
      <c r="O129" s="186"/>
      <c r="P129" s="186"/>
      <c r="Q129" s="186"/>
      <c r="R129" s="186"/>
      <c r="S129" s="186"/>
      <c r="T129" s="186"/>
      <c r="U129" s="186"/>
      <c r="V129" s="186"/>
      <c r="W129" s="186"/>
      <c r="X129" s="186"/>
      <c r="Y129" s="186"/>
      <c r="Z129" s="186"/>
      <c r="AA129" s="186"/>
      <c r="AB129" s="186"/>
      <c r="AC129" s="186"/>
      <c r="AD129" s="186"/>
      <c r="AE129" s="186"/>
      <c r="AF129" s="186"/>
      <c r="AG129" s="186"/>
      <c r="AH129" s="186"/>
      <c r="AI129" s="186"/>
      <c r="AJ129" s="186"/>
    </row>
    <row r="130" spans="1:36" s="88" customFormat="1" ht="11.25" x14ac:dyDescent="0.2">
      <c r="A130" s="185"/>
      <c r="B130" s="185"/>
      <c r="C130" s="185"/>
      <c r="D130" s="185"/>
      <c r="E130" s="185"/>
      <c r="F130" s="185"/>
      <c r="G130" s="185"/>
      <c r="H130" s="185"/>
      <c r="I130" s="185"/>
      <c r="J130" s="185"/>
      <c r="K130" s="185"/>
      <c r="L130" s="185"/>
      <c r="M130" s="185"/>
      <c r="N130" s="185"/>
      <c r="O130" s="186"/>
      <c r="P130" s="186"/>
      <c r="Q130" s="186"/>
      <c r="R130" s="186"/>
      <c r="S130" s="186"/>
      <c r="T130" s="186"/>
      <c r="U130" s="186"/>
      <c r="V130" s="186"/>
      <c r="W130" s="186"/>
      <c r="X130" s="186"/>
      <c r="Y130" s="186"/>
      <c r="Z130" s="186"/>
      <c r="AA130" s="186"/>
      <c r="AB130" s="186"/>
      <c r="AC130" s="186"/>
      <c r="AD130" s="186"/>
      <c r="AE130" s="186"/>
      <c r="AF130" s="186"/>
      <c r="AG130" s="186"/>
      <c r="AH130" s="186"/>
      <c r="AI130" s="186"/>
      <c r="AJ130" s="186"/>
    </row>
    <row r="131" spans="1:36" s="88" customFormat="1" ht="11.25" x14ac:dyDescent="0.2">
      <c r="A131" s="185"/>
      <c r="B131" s="185"/>
      <c r="C131" s="185"/>
      <c r="D131" s="185"/>
      <c r="E131" s="185"/>
      <c r="F131" s="185"/>
      <c r="G131" s="185"/>
      <c r="H131" s="185"/>
      <c r="I131" s="185"/>
      <c r="J131" s="185"/>
      <c r="K131" s="185"/>
      <c r="L131" s="185"/>
      <c r="M131" s="185"/>
      <c r="N131" s="185"/>
      <c r="O131" s="186"/>
      <c r="P131" s="186"/>
      <c r="Q131" s="186"/>
      <c r="R131" s="186"/>
      <c r="S131" s="186"/>
      <c r="T131" s="186"/>
      <c r="U131" s="186"/>
      <c r="V131" s="186"/>
      <c r="W131" s="186"/>
      <c r="X131" s="186"/>
      <c r="Y131" s="186"/>
      <c r="Z131" s="186"/>
      <c r="AA131" s="186"/>
      <c r="AB131" s="186"/>
      <c r="AC131" s="186"/>
      <c r="AD131" s="186"/>
      <c r="AE131" s="186"/>
      <c r="AF131" s="186"/>
      <c r="AG131" s="186"/>
      <c r="AH131" s="186"/>
      <c r="AI131" s="186"/>
      <c r="AJ131" s="186"/>
    </row>
    <row r="132" spans="1:36" s="88" customFormat="1" ht="11.25" x14ac:dyDescent="0.2">
      <c r="A132" s="185"/>
      <c r="B132" s="185"/>
      <c r="C132" s="185"/>
      <c r="D132" s="185"/>
      <c r="E132" s="185"/>
      <c r="F132" s="185"/>
      <c r="G132" s="185"/>
      <c r="H132" s="185"/>
      <c r="I132" s="185"/>
      <c r="J132" s="185"/>
      <c r="K132" s="185"/>
      <c r="L132" s="185"/>
      <c r="M132" s="185"/>
      <c r="N132" s="185"/>
      <c r="O132" s="186"/>
      <c r="P132" s="186"/>
      <c r="Q132" s="186"/>
      <c r="R132" s="186"/>
      <c r="S132" s="186"/>
      <c r="T132" s="186"/>
      <c r="U132" s="186"/>
      <c r="V132" s="186"/>
      <c r="W132" s="186"/>
      <c r="X132" s="186"/>
      <c r="Y132" s="186"/>
      <c r="Z132" s="186"/>
      <c r="AA132" s="186"/>
      <c r="AB132" s="186"/>
      <c r="AC132" s="186"/>
      <c r="AD132" s="186"/>
      <c r="AE132" s="186"/>
      <c r="AF132" s="186"/>
      <c r="AG132" s="186"/>
      <c r="AH132" s="186"/>
      <c r="AI132" s="186"/>
      <c r="AJ132" s="186"/>
    </row>
    <row r="133" spans="1:36" s="88" customFormat="1" ht="11.25" x14ac:dyDescent="0.2">
      <c r="A133" s="185"/>
      <c r="B133" s="185"/>
      <c r="C133" s="185"/>
      <c r="D133" s="185"/>
      <c r="E133" s="185"/>
      <c r="F133" s="185"/>
      <c r="G133" s="185"/>
      <c r="H133" s="185"/>
      <c r="I133" s="185"/>
      <c r="J133" s="185"/>
      <c r="K133" s="185"/>
      <c r="L133" s="185"/>
      <c r="M133" s="185"/>
      <c r="N133" s="185"/>
      <c r="O133" s="186"/>
      <c r="P133" s="186"/>
      <c r="Q133" s="186"/>
      <c r="R133" s="186"/>
      <c r="S133" s="186"/>
      <c r="T133" s="186"/>
      <c r="U133" s="186"/>
      <c r="V133" s="186"/>
      <c r="W133" s="186"/>
      <c r="X133" s="186"/>
      <c r="Y133" s="186"/>
      <c r="Z133" s="186"/>
      <c r="AA133" s="186"/>
      <c r="AB133" s="186"/>
      <c r="AC133" s="186"/>
      <c r="AD133" s="186"/>
      <c r="AE133" s="186"/>
      <c r="AF133" s="186"/>
      <c r="AG133" s="186"/>
      <c r="AH133" s="186"/>
      <c r="AI133" s="186"/>
      <c r="AJ133" s="186"/>
    </row>
    <row r="134" spans="1:36" s="88" customFormat="1" ht="11.25" hidden="1" x14ac:dyDescent="0.2">
      <c r="A134" s="185"/>
      <c r="B134" s="185"/>
      <c r="C134" s="185"/>
      <c r="D134" s="185"/>
      <c r="E134" s="185"/>
      <c r="F134" s="185"/>
      <c r="G134" s="185"/>
      <c r="H134" s="185"/>
      <c r="I134" s="185"/>
      <c r="J134" s="185"/>
      <c r="K134" s="185"/>
      <c r="L134" s="185"/>
      <c r="M134" s="185"/>
      <c r="N134" s="185"/>
      <c r="O134" s="186"/>
      <c r="P134" s="186"/>
      <c r="Q134" s="186"/>
      <c r="R134" s="186"/>
      <c r="S134" s="186"/>
      <c r="T134" s="186"/>
      <c r="U134" s="186"/>
      <c r="V134" s="186"/>
      <c r="W134" s="186"/>
      <c r="X134" s="186"/>
      <c r="Y134" s="186"/>
      <c r="Z134" s="186"/>
      <c r="AA134" s="186"/>
      <c r="AB134" s="186"/>
      <c r="AC134" s="186"/>
      <c r="AD134" s="186"/>
      <c r="AE134" s="186"/>
      <c r="AF134" s="186"/>
      <c r="AG134" s="186"/>
      <c r="AH134" s="186"/>
      <c r="AI134" s="186"/>
      <c r="AJ134" s="186"/>
    </row>
    <row r="135" spans="1:36" s="88" customFormat="1" ht="11.25" hidden="1" x14ac:dyDescent="0.2">
      <c r="A135" s="185"/>
      <c r="B135" s="185"/>
      <c r="C135" s="185"/>
      <c r="D135" s="185"/>
      <c r="E135" s="185"/>
      <c r="F135" s="185"/>
      <c r="G135" s="185"/>
      <c r="H135" s="185"/>
      <c r="I135" s="185"/>
      <c r="J135" s="185"/>
      <c r="K135" s="185"/>
      <c r="L135" s="185"/>
      <c r="M135" s="185"/>
      <c r="N135" s="185"/>
      <c r="O135" s="186"/>
      <c r="P135" s="186"/>
      <c r="Q135" s="186"/>
      <c r="R135" s="186"/>
      <c r="S135" s="186"/>
      <c r="T135" s="186"/>
      <c r="U135" s="186"/>
      <c r="V135" s="186"/>
      <c r="W135" s="186"/>
      <c r="X135" s="186"/>
      <c r="Y135" s="186"/>
      <c r="Z135" s="186"/>
      <c r="AA135" s="186"/>
      <c r="AB135" s="186"/>
      <c r="AC135" s="186"/>
      <c r="AD135" s="186"/>
      <c r="AE135" s="186"/>
      <c r="AF135" s="186"/>
      <c r="AG135" s="186"/>
      <c r="AH135" s="186"/>
      <c r="AI135" s="186"/>
      <c r="AJ135" s="186"/>
    </row>
    <row r="136" spans="1:36" s="88" customFormat="1" ht="11.25" hidden="1" x14ac:dyDescent="0.2">
      <c r="A136" s="185"/>
      <c r="B136" s="185"/>
      <c r="C136" s="185"/>
      <c r="D136" s="185"/>
      <c r="E136" s="185"/>
      <c r="F136" s="185"/>
      <c r="G136" s="185"/>
      <c r="H136" s="185"/>
      <c r="I136" s="185"/>
      <c r="J136" s="185"/>
      <c r="K136" s="185"/>
      <c r="L136" s="185"/>
      <c r="M136" s="185"/>
      <c r="N136" s="185"/>
      <c r="O136" s="186"/>
      <c r="P136" s="186"/>
      <c r="Q136" s="186"/>
      <c r="R136" s="186"/>
      <c r="S136" s="186"/>
      <c r="T136" s="186"/>
      <c r="U136" s="186"/>
      <c r="V136" s="186"/>
      <c r="W136" s="186"/>
      <c r="X136" s="186"/>
      <c r="Y136" s="186"/>
      <c r="Z136" s="186"/>
      <c r="AA136" s="186"/>
      <c r="AB136" s="186"/>
      <c r="AC136" s="186"/>
      <c r="AD136" s="186"/>
      <c r="AE136" s="186"/>
      <c r="AF136" s="186"/>
      <c r="AG136" s="186"/>
      <c r="AH136" s="186"/>
      <c r="AI136" s="186"/>
      <c r="AJ136" s="186"/>
    </row>
    <row r="137" spans="1:36" s="88" customFormat="1" ht="11.25" hidden="1" x14ac:dyDescent="0.2">
      <c r="A137" s="185"/>
      <c r="B137" s="185"/>
      <c r="C137" s="185"/>
      <c r="D137" s="185"/>
      <c r="E137" s="185"/>
      <c r="F137" s="185"/>
      <c r="G137" s="185"/>
      <c r="H137" s="185"/>
      <c r="I137" s="185"/>
      <c r="J137" s="185"/>
      <c r="K137" s="185"/>
      <c r="L137" s="185"/>
      <c r="M137" s="185"/>
      <c r="N137" s="185"/>
      <c r="O137" s="186"/>
      <c r="P137" s="186"/>
      <c r="Q137" s="186"/>
      <c r="R137" s="186"/>
      <c r="S137" s="186"/>
      <c r="T137" s="186"/>
      <c r="U137" s="186"/>
      <c r="V137" s="186"/>
      <c r="W137" s="186"/>
      <c r="X137" s="186"/>
      <c r="Y137" s="186"/>
      <c r="Z137" s="186"/>
      <c r="AA137" s="186"/>
      <c r="AB137" s="186"/>
      <c r="AC137" s="186"/>
      <c r="AD137" s="186"/>
      <c r="AE137" s="186"/>
      <c r="AF137" s="186"/>
      <c r="AG137" s="186"/>
      <c r="AH137" s="186"/>
      <c r="AI137" s="186"/>
      <c r="AJ137" s="186"/>
    </row>
    <row r="138" spans="1:36" s="88" customFormat="1" ht="11.25" hidden="1" x14ac:dyDescent="0.2">
      <c r="A138" s="185"/>
      <c r="B138" s="185"/>
      <c r="C138" s="185"/>
      <c r="D138" s="185"/>
      <c r="E138" s="185"/>
      <c r="F138" s="185"/>
      <c r="G138" s="185"/>
      <c r="H138" s="185"/>
      <c r="I138" s="185"/>
      <c r="J138" s="185"/>
      <c r="K138" s="185"/>
      <c r="L138" s="185"/>
      <c r="M138" s="185"/>
      <c r="N138" s="185"/>
      <c r="O138" s="186"/>
      <c r="P138" s="186"/>
      <c r="Q138" s="186"/>
      <c r="R138" s="186"/>
      <c r="S138" s="186"/>
      <c r="T138" s="186"/>
      <c r="U138" s="186"/>
      <c r="V138" s="186"/>
      <c r="W138" s="186"/>
      <c r="X138" s="186"/>
      <c r="Y138" s="186"/>
      <c r="Z138" s="186"/>
      <c r="AA138" s="186"/>
      <c r="AB138" s="186"/>
      <c r="AC138" s="186"/>
      <c r="AD138" s="186"/>
      <c r="AE138" s="186"/>
      <c r="AF138" s="186"/>
      <c r="AG138" s="186"/>
      <c r="AH138" s="186"/>
      <c r="AI138" s="186"/>
      <c r="AJ138" s="186"/>
    </row>
    <row r="139" spans="1:36" s="88" customFormat="1" ht="11.25" hidden="1" x14ac:dyDescent="0.2">
      <c r="A139" s="185"/>
      <c r="B139" s="185"/>
      <c r="C139" s="185"/>
      <c r="D139" s="185"/>
      <c r="E139" s="185"/>
      <c r="F139" s="185"/>
      <c r="G139" s="185"/>
      <c r="H139" s="185"/>
      <c r="I139" s="185"/>
      <c r="J139" s="185"/>
      <c r="K139" s="185"/>
      <c r="L139" s="185"/>
      <c r="M139" s="185"/>
      <c r="N139" s="185"/>
      <c r="O139" s="186"/>
      <c r="P139" s="186"/>
      <c r="Q139" s="186"/>
      <c r="R139" s="186"/>
      <c r="S139" s="186"/>
      <c r="T139" s="186"/>
      <c r="U139" s="186"/>
      <c r="V139" s="186"/>
      <c r="W139" s="186"/>
      <c r="X139" s="186"/>
      <c r="Y139" s="186"/>
      <c r="Z139" s="186"/>
      <c r="AA139" s="186"/>
      <c r="AB139" s="186"/>
      <c r="AC139" s="186"/>
      <c r="AD139" s="186"/>
      <c r="AE139" s="186"/>
      <c r="AF139" s="186"/>
      <c r="AG139" s="186"/>
      <c r="AH139" s="186"/>
      <c r="AI139" s="186"/>
      <c r="AJ139" s="186"/>
    </row>
    <row r="140" spans="1:36" s="88" customFormat="1" ht="11.25" hidden="1" x14ac:dyDescent="0.2">
      <c r="A140" s="185"/>
      <c r="B140" s="185"/>
      <c r="C140" s="185"/>
      <c r="D140" s="185"/>
      <c r="E140" s="185"/>
      <c r="F140" s="185"/>
      <c r="G140" s="185"/>
      <c r="H140" s="185"/>
      <c r="I140" s="185"/>
      <c r="J140" s="185"/>
      <c r="K140" s="185"/>
      <c r="L140" s="185"/>
      <c r="M140" s="185"/>
      <c r="N140" s="185"/>
      <c r="O140" s="186"/>
      <c r="P140" s="186"/>
      <c r="Q140" s="186"/>
      <c r="R140" s="186"/>
      <c r="S140" s="186"/>
      <c r="T140" s="186"/>
      <c r="U140" s="186"/>
      <c r="V140" s="186"/>
      <c r="W140" s="186"/>
      <c r="X140" s="186"/>
      <c r="Y140" s="186"/>
      <c r="Z140" s="186"/>
      <c r="AA140" s="186"/>
      <c r="AB140" s="186"/>
      <c r="AC140" s="186"/>
      <c r="AD140" s="186"/>
      <c r="AE140" s="186"/>
      <c r="AF140" s="186"/>
      <c r="AG140" s="186"/>
      <c r="AH140" s="186"/>
      <c r="AI140" s="186"/>
      <c r="AJ140" s="186"/>
    </row>
    <row r="141" spans="1:36" s="88" customFormat="1" ht="11.25" hidden="1" x14ac:dyDescent="0.2">
      <c r="A141" s="185"/>
      <c r="B141" s="185"/>
      <c r="C141" s="185"/>
      <c r="D141" s="185"/>
      <c r="E141" s="185"/>
      <c r="F141" s="185"/>
      <c r="G141" s="185"/>
      <c r="H141" s="185"/>
      <c r="I141" s="185"/>
      <c r="J141" s="185"/>
      <c r="K141" s="185"/>
      <c r="L141" s="185"/>
      <c r="M141" s="185"/>
      <c r="N141" s="185"/>
      <c r="O141" s="186"/>
      <c r="P141" s="186"/>
      <c r="Q141" s="186"/>
      <c r="R141" s="186"/>
      <c r="S141" s="186"/>
      <c r="T141" s="186"/>
      <c r="U141" s="186"/>
      <c r="V141" s="186"/>
      <c r="W141" s="186"/>
      <c r="X141" s="186"/>
      <c r="Y141" s="186"/>
      <c r="Z141" s="186"/>
      <c r="AA141" s="186"/>
      <c r="AB141" s="186"/>
      <c r="AC141" s="186"/>
      <c r="AD141" s="186"/>
      <c r="AE141" s="186"/>
      <c r="AF141" s="186"/>
      <c r="AG141" s="186"/>
      <c r="AH141" s="186"/>
      <c r="AI141" s="186"/>
      <c r="AJ141" s="186"/>
    </row>
    <row r="142" spans="1:36" s="88" customFormat="1" ht="11.25" hidden="1" x14ac:dyDescent="0.2">
      <c r="A142" s="185"/>
      <c r="B142" s="185"/>
      <c r="C142" s="185"/>
      <c r="D142" s="185"/>
      <c r="E142" s="185"/>
      <c r="F142" s="185"/>
      <c r="G142" s="185"/>
      <c r="H142" s="185"/>
      <c r="I142" s="185"/>
      <c r="J142" s="185"/>
      <c r="K142" s="185"/>
      <c r="L142" s="185"/>
      <c r="M142" s="185"/>
      <c r="N142" s="185"/>
      <c r="O142" s="186"/>
      <c r="P142" s="186"/>
      <c r="Q142" s="186"/>
      <c r="R142" s="186"/>
      <c r="S142" s="186"/>
      <c r="T142" s="186"/>
      <c r="U142" s="186"/>
      <c r="V142" s="186"/>
      <c r="W142" s="186"/>
      <c r="X142" s="186"/>
      <c r="Y142" s="186"/>
      <c r="Z142" s="186"/>
      <c r="AA142" s="186"/>
      <c r="AB142" s="186"/>
      <c r="AC142" s="186"/>
      <c r="AD142" s="186"/>
      <c r="AE142" s="186"/>
      <c r="AF142" s="186"/>
      <c r="AG142" s="186"/>
      <c r="AH142" s="186"/>
      <c r="AI142" s="186"/>
      <c r="AJ142" s="186"/>
    </row>
    <row r="143" spans="1:36" s="88" customFormat="1" ht="11.25" hidden="1" x14ac:dyDescent="0.2">
      <c r="A143" s="185"/>
      <c r="B143" s="185"/>
      <c r="C143" s="185"/>
      <c r="D143" s="185"/>
      <c r="E143" s="185"/>
      <c r="F143" s="185"/>
      <c r="G143" s="185"/>
      <c r="H143" s="185"/>
      <c r="I143" s="185"/>
      <c r="J143" s="185"/>
      <c r="K143" s="185"/>
      <c r="L143" s="185"/>
      <c r="M143" s="185"/>
      <c r="N143" s="185"/>
      <c r="O143" s="186"/>
      <c r="P143" s="186"/>
      <c r="Q143" s="186"/>
      <c r="R143" s="186"/>
      <c r="S143" s="186"/>
      <c r="T143" s="186"/>
      <c r="U143" s="186"/>
      <c r="V143" s="186"/>
      <c r="W143" s="186"/>
      <c r="X143" s="186"/>
      <c r="Y143" s="186"/>
      <c r="Z143" s="186"/>
      <c r="AA143" s="186"/>
      <c r="AB143" s="186"/>
      <c r="AC143" s="186"/>
      <c r="AD143" s="186"/>
      <c r="AE143" s="186"/>
      <c r="AF143" s="186"/>
      <c r="AG143" s="186"/>
      <c r="AH143" s="186"/>
      <c r="AI143" s="186"/>
      <c r="AJ143" s="186"/>
    </row>
    <row r="144" spans="1:36" s="88" customFormat="1" ht="11.25" hidden="1" x14ac:dyDescent="0.2">
      <c r="A144" s="185"/>
      <c r="B144" s="185"/>
      <c r="C144" s="185"/>
      <c r="D144" s="185"/>
      <c r="E144" s="185"/>
      <c r="F144" s="185"/>
      <c r="G144" s="185"/>
      <c r="H144" s="185"/>
      <c r="I144" s="185"/>
      <c r="J144" s="185"/>
      <c r="K144" s="185"/>
      <c r="L144" s="185"/>
      <c r="M144" s="185"/>
      <c r="N144" s="185"/>
      <c r="O144" s="186"/>
      <c r="P144" s="186"/>
      <c r="Q144" s="186"/>
      <c r="R144" s="186"/>
      <c r="S144" s="186"/>
      <c r="T144" s="186"/>
      <c r="U144" s="186"/>
      <c r="V144" s="186"/>
      <c r="W144" s="186"/>
      <c r="X144" s="186"/>
      <c r="Y144" s="186"/>
      <c r="Z144" s="186"/>
      <c r="AA144" s="186"/>
      <c r="AB144" s="186"/>
      <c r="AC144" s="186"/>
      <c r="AD144" s="186"/>
      <c r="AE144" s="186"/>
      <c r="AF144" s="186"/>
      <c r="AG144" s="186"/>
      <c r="AH144" s="186"/>
      <c r="AI144" s="186"/>
      <c r="AJ144" s="186"/>
    </row>
    <row r="145" spans="1:36" s="88" customFormat="1" ht="11.25" hidden="1" x14ac:dyDescent="0.2">
      <c r="A145" s="185"/>
      <c r="B145" s="185"/>
      <c r="C145" s="185"/>
      <c r="D145" s="185"/>
      <c r="E145" s="185"/>
      <c r="F145" s="185"/>
      <c r="G145" s="185"/>
      <c r="H145" s="185"/>
      <c r="I145" s="185"/>
      <c r="J145" s="185"/>
      <c r="K145" s="185"/>
      <c r="L145" s="185"/>
      <c r="M145" s="185"/>
      <c r="N145" s="185"/>
      <c r="O145" s="186"/>
      <c r="P145" s="186"/>
      <c r="Q145" s="186"/>
      <c r="R145" s="186"/>
      <c r="S145" s="186"/>
      <c r="T145" s="186"/>
      <c r="U145" s="186"/>
      <c r="V145" s="186"/>
      <c r="W145" s="186"/>
      <c r="X145" s="186"/>
      <c r="Y145" s="186"/>
      <c r="Z145" s="186"/>
      <c r="AA145" s="186"/>
      <c r="AB145" s="186"/>
      <c r="AC145" s="186"/>
      <c r="AD145" s="186"/>
      <c r="AE145" s="186"/>
      <c r="AF145" s="186"/>
      <c r="AG145" s="186"/>
      <c r="AH145" s="186"/>
      <c r="AI145" s="186"/>
      <c r="AJ145" s="186"/>
    </row>
    <row r="146" spans="1:36" s="88" customFormat="1" ht="11.25" hidden="1" x14ac:dyDescent="0.2">
      <c r="A146" s="185"/>
      <c r="B146" s="185"/>
      <c r="C146" s="185"/>
      <c r="D146" s="185"/>
      <c r="E146" s="185"/>
      <c r="F146" s="185"/>
      <c r="G146" s="185"/>
      <c r="H146" s="185"/>
      <c r="I146" s="185"/>
      <c r="J146" s="185"/>
      <c r="K146" s="185"/>
      <c r="L146" s="185"/>
      <c r="M146" s="185"/>
      <c r="N146" s="185"/>
      <c r="O146" s="186"/>
      <c r="P146" s="186"/>
      <c r="Q146" s="186"/>
      <c r="R146" s="186"/>
      <c r="S146" s="186"/>
      <c r="T146" s="186"/>
      <c r="U146" s="186"/>
      <c r="V146" s="186"/>
      <c r="W146" s="186"/>
      <c r="X146" s="186"/>
      <c r="Y146" s="186"/>
      <c r="Z146" s="186"/>
      <c r="AA146" s="186"/>
      <c r="AB146" s="186"/>
      <c r="AC146" s="186"/>
      <c r="AD146" s="186"/>
      <c r="AE146" s="186"/>
      <c r="AF146" s="186"/>
      <c r="AG146" s="186"/>
      <c r="AH146" s="186"/>
      <c r="AI146" s="186"/>
      <c r="AJ146" s="186"/>
    </row>
    <row r="147" spans="1:36" s="88" customFormat="1" ht="11.25" hidden="1" x14ac:dyDescent="0.2">
      <c r="A147" s="185"/>
      <c r="B147" s="185"/>
      <c r="C147" s="185"/>
      <c r="D147" s="185"/>
      <c r="E147" s="185"/>
      <c r="F147" s="185"/>
      <c r="G147" s="185"/>
      <c r="H147" s="185"/>
      <c r="I147" s="185"/>
      <c r="J147" s="185"/>
      <c r="K147" s="185"/>
      <c r="L147" s="185"/>
      <c r="M147" s="185"/>
      <c r="N147" s="185"/>
      <c r="O147" s="186"/>
      <c r="P147" s="186"/>
      <c r="Q147" s="186"/>
      <c r="R147" s="186"/>
      <c r="S147" s="186"/>
      <c r="T147" s="186"/>
      <c r="U147" s="186"/>
      <c r="V147" s="186"/>
      <c r="W147" s="186"/>
      <c r="X147" s="186"/>
      <c r="Y147" s="186"/>
      <c r="Z147" s="186"/>
      <c r="AA147" s="186"/>
      <c r="AB147" s="186"/>
      <c r="AC147" s="186"/>
      <c r="AD147" s="186"/>
      <c r="AE147" s="186"/>
      <c r="AF147" s="186"/>
      <c r="AG147" s="186"/>
      <c r="AH147" s="186"/>
      <c r="AI147" s="186"/>
      <c r="AJ147" s="186"/>
    </row>
    <row r="148" spans="1:36" s="88" customFormat="1" ht="11.25" hidden="1" x14ac:dyDescent="0.2">
      <c r="A148" s="185"/>
      <c r="B148" s="185"/>
      <c r="C148" s="185"/>
      <c r="D148" s="185"/>
      <c r="E148" s="185"/>
      <c r="F148" s="185"/>
      <c r="G148" s="185"/>
      <c r="H148" s="185"/>
      <c r="I148" s="185"/>
      <c r="J148" s="185"/>
      <c r="K148" s="185"/>
      <c r="L148" s="185"/>
      <c r="M148" s="185"/>
      <c r="N148" s="185"/>
      <c r="O148" s="186"/>
      <c r="P148" s="186"/>
      <c r="Q148" s="186"/>
      <c r="R148" s="186"/>
      <c r="S148" s="186"/>
      <c r="T148" s="186"/>
      <c r="U148" s="186"/>
      <c r="V148" s="186"/>
      <c r="W148" s="186"/>
      <c r="X148" s="186"/>
      <c r="Y148" s="186"/>
      <c r="Z148" s="186"/>
      <c r="AA148" s="186"/>
      <c r="AB148" s="186"/>
      <c r="AC148" s="186"/>
      <c r="AD148" s="186"/>
      <c r="AE148" s="186"/>
      <c r="AF148" s="186"/>
      <c r="AG148" s="186"/>
      <c r="AH148" s="186"/>
      <c r="AI148" s="186"/>
      <c r="AJ148" s="186"/>
    </row>
    <row r="149" spans="1:36" s="88" customFormat="1" ht="11.25" hidden="1" x14ac:dyDescent="0.2">
      <c r="A149" s="185"/>
      <c r="B149" s="185"/>
      <c r="C149" s="185"/>
      <c r="D149" s="185"/>
      <c r="E149" s="185"/>
      <c r="F149" s="185"/>
      <c r="G149" s="185"/>
      <c r="H149" s="185"/>
      <c r="I149" s="185"/>
      <c r="J149" s="185"/>
      <c r="K149" s="185"/>
      <c r="L149" s="185"/>
      <c r="M149" s="185"/>
      <c r="N149" s="185"/>
      <c r="O149" s="186"/>
      <c r="P149" s="186"/>
      <c r="Q149" s="186"/>
      <c r="R149" s="186"/>
      <c r="S149" s="186"/>
      <c r="T149" s="186"/>
      <c r="U149" s="186"/>
      <c r="V149" s="186"/>
      <c r="W149" s="186"/>
      <c r="X149" s="186"/>
      <c r="Y149" s="186"/>
      <c r="Z149" s="186"/>
      <c r="AA149" s="186"/>
      <c r="AB149" s="186"/>
      <c r="AC149" s="186"/>
      <c r="AD149" s="186"/>
      <c r="AE149" s="186"/>
      <c r="AF149" s="186"/>
      <c r="AG149" s="186"/>
      <c r="AH149" s="186"/>
      <c r="AI149" s="186"/>
      <c r="AJ149" s="186"/>
    </row>
    <row r="150" spans="1:36" s="88" customFormat="1" ht="11.25" hidden="1" x14ac:dyDescent="0.2">
      <c r="A150" s="185"/>
      <c r="B150" s="185"/>
      <c r="C150" s="185"/>
      <c r="D150" s="185"/>
      <c r="E150" s="185"/>
      <c r="F150" s="185"/>
      <c r="G150" s="185"/>
      <c r="H150" s="185"/>
      <c r="I150" s="185"/>
      <c r="J150" s="185"/>
      <c r="K150" s="185"/>
      <c r="L150" s="185"/>
      <c r="M150" s="185"/>
      <c r="N150" s="185"/>
      <c r="O150" s="186"/>
      <c r="P150" s="186"/>
      <c r="Q150" s="186"/>
      <c r="R150" s="186"/>
      <c r="S150" s="186"/>
      <c r="T150" s="186"/>
      <c r="U150" s="186"/>
      <c r="V150" s="186"/>
      <c r="W150" s="186"/>
      <c r="X150" s="186"/>
      <c r="Y150" s="186"/>
      <c r="Z150" s="186"/>
      <c r="AA150" s="186"/>
      <c r="AB150" s="186"/>
      <c r="AC150" s="186"/>
      <c r="AD150" s="186"/>
      <c r="AE150" s="186"/>
      <c r="AF150" s="186"/>
      <c r="AG150" s="186"/>
      <c r="AH150" s="186"/>
      <c r="AI150" s="186"/>
      <c r="AJ150" s="186"/>
    </row>
    <row r="151" spans="1:36" s="88" customFormat="1" ht="11.25" hidden="1" x14ac:dyDescent="0.2">
      <c r="A151" s="185"/>
      <c r="B151" s="185"/>
      <c r="C151" s="185"/>
      <c r="D151" s="185"/>
      <c r="E151" s="185"/>
      <c r="F151" s="185"/>
      <c r="G151" s="185"/>
      <c r="H151" s="185"/>
      <c r="I151" s="185"/>
      <c r="J151" s="185"/>
      <c r="K151" s="185"/>
      <c r="L151" s="185"/>
      <c r="M151" s="185"/>
      <c r="N151" s="185"/>
      <c r="O151" s="186"/>
      <c r="P151" s="186"/>
      <c r="Q151" s="186"/>
      <c r="R151" s="186"/>
      <c r="S151" s="186"/>
      <c r="T151" s="186"/>
      <c r="U151" s="186"/>
      <c r="V151" s="186"/>
      <c r="W151" s="186"/>
      <c r="X151" s="186"/>
      <c r="Y151" s="186"/>
      <c r="Z151" s="186"/>
      <c r="AA151" s="186"/>
      <c r="AB151" s="186"/>
      <c r="AC151" s="186"/>
      <c r="AD151" s="186"/>
      <c r="AE151" s="186"/>
      <c r="AF151" s="186"/>
      <c r="AG151" s="186"/>
      <c r="AH151" s="186"/>
      <c r="AI151" s="186"/>
      <c r="AJ151" s="186"/>
    </row>
    <row r="152" spans="1:36" s="88" customFormat="1" ht="11.25" hidden="1" x14ac:dyDescent="0.2">
      <c r="A152" s="185"/>
      <c r="B152" s="185"/>
      <c r="C152" s="185"/>
      <c r="D152" s="185"/>
      <c r="E152" s="185"/>
      <c r="F152" s="185"/>
      <c r="G152" s="185"/>
      <c r="H152" s="185"/>
      <c r="I152" s="185"/>
      <c r="J152" s="185"/>
      <c r="K152" s="185"/>
      <c r="L152" s="185"/>
      <c r="M152" s="185"/>
      <c r="N152" s="185"/>
      <c r="O152" s="186"/>
      <c r="P152" s="186"/>
      <c r="Q152" s="186"/>
      <c r="R152" s="186"/>
      <c r="S152" s="186"/>
      <c r="T152" s="186"/>
      <c r="U152" s="186"/>
      <c r="V152" s="186"/>
      <c r="W152" s="186"/>
      <c r="X152" s="186"/>
      <c r="Y152" s="186"/>
      <c r="Z152" s="186"/>
      <c r="AA152" s="186"/>
      <c r="AB152" s="186"/>
      <c r="AC152" s="186"/>
      <c r="AD152" s="186"/>
      <c r="AE152" s="186"/>
      <c r="AF152" s="186"/>
      <c r="AG152" s="186"/>
      <c r="AH152" s="186"/>
      <c r="AI152" s="186"/>
      <c r="AJ152" s="186"/>
    </row>
    <row r="153" spans="1:36" s="88" customFormat="1" ht="11.25" hidden="1" x14ac:dyDescent="0.2">
      <c r="A153" s="185"/>
      <c r="B153" s="185"/>
      <c r="C153" s="185"/>
      <c r="D153" s="185"/>
      <c r="E153" s="185"/>
      <c r="F153" s="185"/>
      <c r="G153" s="185"/>
      <c r="H153" s="185"/>
      <c r="I153" s="185"/>
      <c r="J153" s="185"/>
      <c r="K153" s="185"/>
      <c r="L153" s="185"/>
      <c r="M153" s="185"/>
      <c r="N153" s="185"/>
      <c r="O153" s="186"/>
      <c r="P153" s="186"/>
      <c r="Q153" s="186"/>
      <c r="R153" s="186"/>
      <c r="S153" s="186"/>
      <c r="T153" s="186"/>
      <c r="U153" s="186"/>
      <c r="V153" s="186"/>
      <c r="W153" s="186"/>
      <c r="X153" s="186"/>
      <c r="Y153" s="186"/>
      <c r="Z153" s="186"/>
      <c r="AA153" s="186"/>
      <c r="AB153" s="186"/>
      <c r="AC153" s="186"/>
      <c r="AD153" s="186"/>
      <c r="AE153" s="186"/>
      <c r="AF153" s="186"/>
      <c r="AG153" s="186"/>
      <c r="AH153" s="186"/>
      <c r="AI153" s="186"/>
      <c r="AJ153" s="186"/>
    </row>
    <row r="154" spans="1:36" s="88" customFormat="1" ht="11.25" hidden="1" x14ac:dyDescent="0.2">
      <c r="A154" s="185"/>
      <c r="B154" s="185"/>
      <c r="C154" s="185"/>
      <c r="D154" s="185"/>
      <c r="E154" s="185"/>
      <c r="F154" s="185"/>
      <c r="G154" s="185"/>
      <c r="H154" s="185"/>
      <c r="I154" s="185"/>
      <c r="J154" s="185"/>
      <c r="K154" s="185"/>
      <c r="L154" s="185"/>
      <c r="M154" s="185"/>
      <c r="N154" s="185"/>
      <c r="O154" s="186"/>
      <c r="P154" s="186"/>
      <c r="Q154" s="186"/>
      <c r="R154" s="186"/>
      <c r="S154" s="186"/>
      <c r="T154" s="186"/>
      <c r="U154" s="186"/>
      <c r="V154" s="186"/>
      <c r="W154" s="186"/>
      <c r="X154" s="186"/>
      <c r="Y154" s="186"/>
      <c r="Z154" s="186"/>
      <c r="AA154" s="186"/>
      <c r="AB154" s="186"/>
      <c r="AC154" s="186"/>
      <c r="AD154" s="186"/>
      <c r="AE154" s="186"/>
      <c r="AF154" s="186"/>
      <c r="AG154" s="186"/>
      <c r="AH154" s="186"/>
      <c r="AI154" s="186"/>
      <c r="AJ154" s="186"/>
    </row>
    <row r="155" spans="1:36" s="88" customFormat="1" ht="11.25" hidden="1" x14ac:dyDescent="0.2">
      <c r="A155" s="185"/>
      <c r="B155" s="185"/>
      <c r="C155" s="185"/>
      <c r="D155" s="185"/>
      <c r="E155" s="185"/>
      <c r="F155" s="185"/>
      <c r="G155" s="185"/>
      <c r="H155" s="185"/>
      <c r="I155" s="185"/>
      <c r="J155" s="185"/>
      <c r="K155" s="185"/>
      <c r="L155" s="185"/>
      <c r="M155" s="185"/>
      <c r="N155" s="185"/>
      <c r="O155" s="186"/>
      <c r="P155" s="186"/>
      <c r="Q155" s="186"/>
      <c r="R155" s="186"/>
      <c r="S155" s="186"/>
      <c r="T155" s="186"/>
      <c r="U155" s="186"/>
      <c r="V155" s="186"/>
      <c r="W155" s="186"/>
      <c r="X155" s="186"/>
      <c r="Y155" s="186"/>
      <c r="Z155" s="186"/>
      <c r="AA155" s="186"/>
      <c r="AB155" s="186"/>
      <c r="AC155" s="186"/>
      <c r="AD155" s="186"/>
      <c r="AE155" s="186"/>
      <c r="AF155" s="186"/>
      <c r="AG155" s="186"/>
      <c r="AH155" s="186"/>
      <c r="AI155" s="186"/>
      <c r="AJ155" s="186"/>
    </row>
    <row r="156" spans="1:36" s="88" customFormat="1" ht="11.25" hidden="1" x14ac:dyDescent="0.2">
      <c r="A156" s="185"/>
      <c r="B156" s="185"/>
      <c r="C156" s="185"/>
      <c r="D156" s="185"/>
      <c r="E156" s="185"/>
      <c r="F156" s="185"/>
      <c r="G156" s="185"/>
      <c r="H156" s="185"/>
      <c r="I156" s="185"/>
      <c r="J156" s="185"/>
      <c r="K156" s="185"/>
      <c r="L156" s="185"/>
      <c r="M156" s="185"/>
      <c r="N156" s="185"/>
      <c r="O156" s="186"/>
      <c r="P156" s="186"/>
      <c r="Q156" s="186"/>
      <c r="R156" s="186"/>
      <c r="S156" s="186"/>
      <c r="T156" s="186"/>
      <c r="U156" s="186"/>
      <c r="V156" s="186"/>
      <c r="W156" s="186"/>
      <c r="X156" s="186"/>
      <c r="Y156" s="186"/>
      <c r="Z156" s="186"/>
      <c r="AA156" s="186"/>
      <c r="AB156" s="186"/>
      <c r="AC156" s="186"/>
      <c r="AD156" s="186"/>
      <c r="AE156" s="186"/>
      <c r="AF156" s="186"/>
      <c r="AG156" s="186"/>
      <c r="AH156" s="186"/>
      <c r="AI156" s="186"/>
      <c r="AJ156" s="186"/>
    </row>
    <row r="157" spans="1:36" s="88" customFormat="1" ht="11.25" hidden="1" x14ac:dyDescent="0.2">
      <c r="A157" s="185"/>
      <c r="B157" s="185"/>
      <c r="C157" s="185"/>
      <c r="D157" s="185"/>
      <c r="E157" s="185"/>
      <c r="F157" s="185"/>
      <c r="G157" s="185"/>
      <c r="H157" s="185"/>
      <c r="I157" s="185"/>
      <c r="J157" s="185"/>
      <c r="K157" s="185"/>
      <c r="L157" s="185"/>
      <c r="M157" s="185"/>
      <c r="N157" s="185"/>
      <c r="O157" s="186"/>
      <c r="P157" s="186"/>
      <c r="Q157" s="186"/>
      <c r="R157" s="186"/>
      <c r="S157" s="186"/>
      <c r="T157" s="186"/>
      <c r="U157" s="186"/>
      <c r="V157" s="186"/>
      <c r="W157" s="186"/>
      <c r="X157" s="186"/>
      <c r="Y157" s="186"/>
      <c r="Z157" s="186"/>
      <c r="AA157" s="186"/>
      <c r="AB157" s="186"/>
      <c r="AC157" s="186"/>
      <c r="AD157" s="186"/>
      <c r="AE157" s="186"/>
      <c r="AF157" s="186"/>
      <c r="AG157" s="186"/>
      <c r="AH157" s="186"/>
      <c r="AI157" s="186"/>
      <c r="AJ157" s="186"/>
    </row>
    <row r="158" spans="1:36" s="88" customFormat="1" ht="11.25" hidden="1" x14ac:dyDescent="0.2">
      <c r="A158" s="185"/>
      <c r="B158" s="185"/>
      <c r="C158" s="185"/>
      <c r="D158" s="185"/>
      <c r="E158" s="185"/>
      <c r="F158" s="185"/>
      <c r="G158" s="185"/>
      <c r="H158" s="185"/>
      <c r="I158" s="185"/>
      <c r="J158" s="185"/>
      <c r="K158" s="185"/>
      <c r="L158" s="185"/>
      <c r="M158" s="185"/>
      <c r="N158" s="185"/>
      <c r="O158" s="186"/>
      <c r="P158" s="186"/>
      <c r="Q158" s="186"/>
      <c r="R158" s="186"/>
      <c r="S158" s="186"/>
      <c r="T158" s="186"/>
      <c r="U158" s="186"/>
      <c r="V158" s="186"/>
      <c r="W158" s="186"/>
      <c r="X158" s="186"/>
      <c r="Y158" s="186"/>
      <c r="Z158" s="186"/>
      <c r="AA158" s="186"/>
      <c r="AB158" s="186"/>
      <c r="AC158" s="186"/>
      <c r="AD158" s="186"/>
      <c r="AE158" s="186"/>
      <c r="AF158" s="186"/>
      <c r="AG158" s="186"/>
      <c r="AH158" s="186"/>
      <c r="AI158" s="186"/>
      <c r="AJ158" s="186"/>
    </row>
    <row r="159" spans="1:36" s="88" customFormat="1" ht="11.25" hidden="1" x14ac:dyDescent="0.2">
      <c r="A159" s="185"/>
      <c r="B159" s="185"/>
      <c r="C159" s="185"/>
      <c r="D159" s="185"/>
      <c r="E159" s="185"/>
      <c r="F159" s="185"/>
      <c r="G159" s="185"/>
      <c r="H159" s="185"/>
      <c r="I159" s="185"/>
      <c r="J159" s="185"/>
      <c r="K159" s="185"/>
      <c r="L159" s="185"/>
      <c r="M159" s="185"/>
      <c r="N159" s="185"/>
      <c r="O159" s="186"/>
      <c r="P159" s="186"/>
      <c r="Q159" s="186"/>
      <c r="R159" s="186"/>
      <c r="S159" s="186"/>
      <c r="T159" s="186"/>
      <c r="U159" s="186"/>
      <c r="V159" s="186"/>
      <c r="W159" s="186"/>
      <c r="X159" s="186"/>
      <c r="Y159" s="186"/>
      <c r="Z159" s="186"/>
      <c r="AA159" s="186"/>
      <c r="AB159" s="186"/>
      <c r="AC159" s="186"/>
      <c r="AD159" s="186"/>
      <c r="AE159" s="186"/>
      <c r="AF159" s="186"/>
      <c r="AG159" s="186"/>
      <c r="AH159" s="186"/>
      <c r="AI159" s="186"/>
      <c r="AJ159" s="186"/>
    </row>
    <row r="160" spans="1:36" s="88" customFormat="1" ht="11.25" hidden="1" x14ac:dyDescent="0.2">
      <c r="A160" s="185"/>
      <c r="B160" s="185"/>
      <c r="C160" s="185"/>
      <c r="D160" s="185"/>
      <c r="E160" s="185"/>
      <c r="F160" s="185"/>
      <c r="G160" s="185"/>
      <c r="H160" s="185"/>
      <c r="I160" s="185"/>
      <c r="J160" s="185"/>
      <c r="K160" s="185"/>
      <c r="L160" s="185"/>
      <c r="M160" s="185"/>
      <c r="N160" s="185"/>
      <c r="O160" s="186"/>
      <c r="P160" s="186"/>
      <c r="Q160" s="186"/>
      <c r="R160" s="186"/>
      <c r="S160" s="186"/>
      <c r="T160" s="186"/>
      <c r="U160" s="186"/>
      <c r="V160" s="186"/>
      <c r="W160" s="186"/>
      <c r="X160" s="186"/>
      <c r="Y160" s="186"/>
      <c r="Z160" s="186"/>
      <c r="AA160" s="186"/>
      <c r="AB160" s="186"/>
      <c r="AC160" s="186"/>
      <c r="AD160" s="186"/>
      <c r="AE160" s="186"/>
      <c r="AF160" s="186"/>
      <c r="AG160" s="186"/>
      <c r="AH160" s="186"/>
      <c r="AI160" s="186"/>
      <c r="AJ160" s="186"/>
    </row>
    <row r="161" spans="1:36" s="88" customFormat="1" ht="11.25" hidden="1" x14ac:dyDescent="0.2">
      <c r="A161" s="185"/>
      <c r="B161" s="185"/>
      <c r="C161" s="185"/>
      <c r="D161" s="185"/>
      <c r="E161" s="185"/>
      <c r="F161" s="185"/>
      <c r="G161" s="185"/>
      <c r="H161" s="185"/>
      <c r="I161" s="185"/>
      <c r="J161" s="185"/>
      <c r="K161" s="185"/>
      <c r="L161" s="185"/>
      <c r="M161" s="185"/>
      <c r="N161" s="185"/>
      <c r="O161" s="186"/>
      <c r="P161" s="186"/>
      <c r="Q161" s="186"/>
      <c r="R161" s="186"/>
      <c r="S161" s="186"/>
      <c r="T161" s="186"/>
      <c r="U161" s="186"/>
      <c r="V161" s="186"/>
      <c r="W161" s="186"/>
      <c r="X161" s="186"/>
      <c r="Y161" s="186"/>
      <c r="Z161" s="186"/>
      <c r="AA161" s="186"/>
      <c r="AB161" s="186"/>
      <c r="AC161" s="186"/>
      <c r="AD161" s="186"/>
      <c r="AE161" s="186"/>
      <c r="AF161" s="186"/>
      <c r="AG161" s="186"/>
      <c r="AH161" s="186"/>
      <c r="AI161" s="186"/>
      <c r="AJ161" s="186"/>
    </row>
    <row r="162" spans="1:36" s="88" customFormat="1" ht="11.25" hidden="1" x14ac:dyDescent="0.2">
      <c r="A162" s="185"/>
      <c r="B162" s="185"/>
      <c r="C162" s="185"/>
      <c r="D162" s="185"/>
      <c r="E162" s="185"/>
      <c r="F162" s="185"/>
      <c r="G162" s="185"/>
      <c r="H162" s="185"/>
      <c r="I162" s="185"/>
      <c r="J162" s="185"/>
      <c r="K162" s="185"/>
      <c r="L162" s="185"/>
      <c r="M162" s="185"/>
      <c r="N162" s="185"/>
      <c r="O162" s="186"/>
      <c r="P162" s="186"/>
      <c r="Q162" s="186"/>
      <c r="R162" s="186"/>
      <c r="S162" s="186"/>
      <c r="T162" s="186"/>
      <c r="U162" s="186"/>
      <c r="V162" s="186"/>
      <c r="W162" s="186"/>
      <c r="X162" s="186"/>
      <c r="Y162" s="186"/>
      <c r="Z162" s="186"/>
      <c r="AA162" s="186"/>
      <c r="AB162" s="186"/>
      <c r="AC162" s="186"/>
      <c r="AD162" s="186"/>
      <c r="AE162" s="186"/>
      <c r="AF162" s="186"/>
      <c r="AG162" s="186"/>
      <c r="AH162" s="186"/>
      <c r="AI162" s="186"/>
      <c r="AJ162" s="186"/>
    </row>
    <row r="163" spans="1:36" s="88" customFormat="1" ht="11.25" hidden="1" x14ac:dyDescent="0.2">
      <c r="A163" s="185"/>
      <c r="B163" s="185"/>
      <c r="C163" s="185"/>
      <c r="D163" s="185"/>
      <c r="E163" s="185"/>
      <c r="F163" s="185"/>
      <c r="G163" s="185"/>
      <c r="H163" s="185"/>
      <c r="I163" s="185"/>
      <c r="J163" s="185"/>
      <c r="K163" s="185"/>
      <c r="L163" s="185"/>
      <c r="M163" s="185"/>
      <c r="N163" s="185"/>
      <c r="O163" s="186"/>
      <c r="P163" s="186"/>
      <c r="Q163" s="186"/>
      <c r="R163" s="186"/>
      <c r="S163" s="186"/>
      <c r="T163" s="186"/>
      <c r="U163" s="186"/>
      <c r="V163" s="186"/>
      <c r="W163" s="186"/>
      <c r="X163" s="186"/>
      <c r="Y163" s="186"/>
      <c r="Z163" s="186"/>
      <c r="AA163" s="186"/>
      <c r="AB163" s="186"/>
      <c r="AC163" s="186"/>
      <c r="AD163" s="186"/>
      <c r="AE163" s="186"/>
      <c r="AF163" s="186"/>
      <c r="AG163" s="186"/>
      <c r="AH163" s="186"/>
      <c r="AI163" s="186"/>
      <c r="AJ163" s="186"/>
    </row>
    <row r="164" spans="1:36" s="88" customFormat="1" ht="11.25" hidden="1" x14ac:dyDescent="0.2">
      <c r="A164" s="185"/>
      <c r="B164" s="185"/>
      <c r="C164" s="185"/>
      <c r="D164" s="185"/>
      <c r="E164" s="185"/>
      <c r="F164" s="185"/>
      <c r="G164" s="185"/>
      <c r="H164" s="185"/>
      <c r="I164" s="185"/>
      <c r="J164" s="185"/>
      <c r="K164" s="185"/>
      <c r="L164" s="185"/>
      <c r="M164" s="185"/>
      <c r="N164" s="185"/>
      <c r="O164" s="186"/>
      <c r="P164" s="186"/>
      <c r="Q164" s="186"/>
      <c r="R164" s="186"/>
      <c r="S164" s="186"/>
      <c r="T164" s="186"/>
      <c r="U164" s="186"/>
      <c r="V164" s="186"/>
      <c r="W164" s="186"/>
      <c r="X164" s="186"/>
      <c r="Y164" s="186"/>
      <c r="Z164" s="186"/>
      <c r="AA164" s="186"/>
      <c r="AB164" s="186"/>
      <c r="AC164" s="186"/>
      <c r="AD164" s="186"/>
      <c r="AE164" s="186"/>
      <c r="AF164" s="186"/>
      <c r="AG164" s="186"/>
      <c r="AH164" s="186"/>
      <c r="AI164" s="186"/>
      <c r="AJ164" s="186"/>
    </row>
    <row r="165" spans="1:36" s="88" customFormat="1" ht="11.25" hidden="1" x14ac:dyDescent="0.2">
      <c r="A165" s="185"/>
      <c r="B165" s="185"/>
      <c r="C165" s="185"/>
      <c r="D165" s="185"/>
      <c r="E165" s="185"/>
      <c r="F165" s="185"/>
      <c r="G165" s="185"/>
      <c r="H165" s="185"/>
      <c r="I165" s="185"/>
      <c r="J165" s="185"/>
      <c r="K165" s="185"/>
      <c r="L165" s="185"/>
      <c r="M165" s="185"/>
      <c r="N165" s="185"/>
      <c r="O165" s="186"/>
      <c r="P165" s="186"/>
      <c r="Q165" s="186"/>
      <c r="R165" s="186"/>
      <c r="S165" s="186"/>
      <c r="T165" s="186"/>
      <c r="U165" s="186"/>
      <c r="V165" s="186"/>
      <c r="W165" s="186"/>
      <c r="X165" s="186"/>
      <c r="Y165" s="186"/>
      <c r="Z165" s="186"/>
      <c r="AA165" s="186"/>
      <c r="AB165" s="186"/>
      <c r="AC165" s="186"/>
      <c r="AD165" s="186"/>
      <c r="AE165" s="186"/>
      <c r="AF165" s="186"/>
      <c r="AG165" s="186"/>
      <c r="AH165" s="186"/>
      <c r="AI165" s="186"/>
      <c r="AJ165" s="186"/>
    </row>
    <row r="166" spans="1:36" ht="20.25" customHeight="1" x14ac:dyDescent="0.25"/>
    <row r="167" spans="1:36" s="88" customFormat="1" ht="11.25" x14ac:dyDescent="0.2">
      <c r="A167" s="109" t="s">
        <v>129</v>
      </c>
      <c r="G167" s="110"/>
      <c r="H167" s="110"/>
      <c r="I167" s="110"/>
      <c r="J167" s="110"/>
    </row>
    <row r="168" spans="1:36" s="88" customFormat="1" ht="11.25" x14ac:dyDescent="0.2">
      <c r="A168" s="187"/>
      <c r="B168" s="187"/>
      <c r="C168" s="187"/>
      <c r="D168" s="187"/>
      <c r="E168" s="187"/>
      <c r="F168" s="187"/>
      <c r="G168" s="187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187"/>
      <c r="S168" s="187"/>
      <c r="T168" s="187"/>
      <c r="U168" s="187"/>
      <c r="V168" s="187"/>
      <c r="W168" s="187"/>
      <c r="X168" s="187"/>
      <c r="Y168" s="187"/>
      <c r="Z168" s="187"/>
      <c r="AA168" s="187"/>
      <c r="AB168" s="187"/>
      <c r="AC168" s="187"/>
      <c r="AD168" s="187"/>
      <c r="AE168" s="187"/>
      <c r="AF168" s="187"/>
      <c r="AG168" s="187"/>
      <c r="AH168" s="187"/>
      <c r="AI168" s="187"/>
      <c r="AJ168" s="187"/>
    </row>
    <row r="169" spans="1:36" s="89" customFormat="1" ht="9" customHeight="1" x14ac:dyDescent="0.15">
      <c r="A169" s="206" t="s">
        <v>121</v>
      </c>
      <c r="B169" s="200"/>
      <c r="C169" s="200"/>
      <c r="D169" s="200"/>
      <c r="E169" s="200"/>
      <c r="F169" s="200"/>
      <c r="G169" s="200"/>
      <c r="H169" s="200"/>
      <c r="I169" s="200"/>
      <c r="J169" s="200"/>
      <c r="K169" s="200"/>
      <c r="L169" s="200"/>
      <c r="M169" s="200"/>
      <c r="N169" s="200"/>
      <c r="O169" s="200"/>
      <c r="P169" s="200"/>
      <c r="Q169" s="200"/>
      <c r="R169" s="200"/>
      <c r="S169" s="200"/>
      <c r="T169" s="200"/>
      <c r="U169" s="200"/>
      <c r="V169" s="200"/>
      <c r="W169" s="200"/>
      <c r="X169" s="200"/>
      <c r="Y169" s="200"/>
      <c r="Z169" s="200"/>
      <c r="AA169" s="200"/>
      <c r="AB169" s="200"/>
      <c r="AC169" s="200"/>
      <c r="AD169" s="200"/>
      <c r="AE169" s="200"/>
      <c r="AF169" s="200"/>
      <c r="AG169" s="200"/>
      <c r="AH169" s="200"/>
      <c r="AI169" s="200"/>
      <c r="AJ169" s="200"/>
    </row>
    <row r="170" spans="1:36" s="88" customFormat="1" ht="11.25" x14ac:dyDescent="0.2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  <c r="AA170" s="184"/>
      <c r="AB170" s="184"/>
      <c r="AC170" s="184"/>
      <c r="AD170" s="184"/>
      <c r="AE170" s="184"/>
      <c r="AF170" s="184"/>
      <c r="AG170" s="184"/>
      <c r="AH170" s="184"/>
      <c r="AI170" s="184"/>
      <c r="AJ170" s="184"/>
    </row>
    <row r="171" spans="1:36" s="89" customFormat="1" ht="9" customHeight="1" x14ac:dyDescent="0.15">
      <c r="A171" s="207" t="s">
        <v>75</v>
      </c>
      <c r="B171" s="199"/>
      <c r="C171" s="199"/>
      <c r="D171" s="199"/>
      <c r="E171" s="199"/>
      <c r="F171" s="199"/>
      <c r="G171" s="199"/>
      <c r="H171" s="199"/>
      <c r="I171" s="199"/>
      <c r="J171" s="199"/>
      <c r="K171" s="199"/>
      <c r="L171" s="199"/>
      <c r="M171" s="199"/>
      <c r="N171" s="199"/>
      <c r="O171" s="199"/>
      <c r="P171" s="199"/>
      <c r="Q171" s="199"/>
      <c r="R171" s="199"/>
      <c r="S171" s="199"/>
      <c r="T171" s="199"/>
      <c r="U171" s="199"/>
      <c r="V171" s="199"/>
      <c r="W171" s="199"/>
      <c r="X171" s="199"/>
      <c r="Y171" s="199"/>
      <c r="Z171" s="199"/>
      <c r="AA171" s="199"/>
      <c r="AB171" s="199"/>
      <c r="AC171" s="199"/>
      <c r="AD171" s="199"/>
      <c r="AE171" s="199"/>
      <c r="AF171" s="199"/>
      <c r="AG171" s="199"/>
      <c r="AH171" s="199"/>
      <c r="AI171" s="199"/>
      <c r="AJ171" s="199"/>
    </row>
    <row r="172" spans="1:36" s="88" customFormat="1" ht="11.25" x14ac:dyDescent="0.2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  <c r="AA172" s="184"/>
      <c r="AB172" s="184"/>
      <c r="AC172" s="184"/>
      <c r="AD172" s="184"/>
      <c r="AE172" s="184"/>
      <c r="AF172" s="184"/>
      <c r="AG172" s="184"/>
      <c r="AH172" s="184"/>
      <c r="AI172" s="184"/>
      <c r="AJ172" s="184"/>
    </row>
    <row r="173" spans="1:36" s="89" customFormat="1" ht="11.25" customHeight="1" x14ac:dyDescent="0.15">
      <c r="A173" s="207" t="s">
        <v>74</v>
      </c>
      <c r="B173" s="199"/>
      <c r="C173" s="199"/>
      <c r="D173" s="199"/>
      <c r="E173" s="199"/>
      <c r="F173" s="199"/>
      <c r="G173" s="199"/>
      <c r="H173" s="199"/>
      <c r="I173" s="199"/>
      <c r="J173" s="199"/>
      <c r="K173" s="199"/>
      <c r="L173" s="199"/>
      <c r="M173" s="199"/>
      <c r="N173" s="199"/>
      <c r="O173" s="199"/>
      <c r="P173" s="199"/>
      <c r="Q173" s="199"/>
      <c r="R173" s="199"/>
      <c r="S173" s="199"/>
      <c r="T173" s="199"/>
      <c r="U173" s="199"/>
      <c r="V173" s="199"/>
      <c r="W173" s="199"/>
      <c r="X173" s="199"/>
      <c r="Y173" s="199"/>
      <c r="Z173" s="199"/>
      <c r="AA173" s="199"/>
      <c r="AB173" s="199"/>
      <c r="AC173" s="199"/>
      <c r="AD173" s="199"/>
      <c r="AE173" s="199"/>
      <c r="AF173" s="199"/>
      <c r="AG173" s="199"/>
      <c r="AH173" s="199"/>
      <c r="AI173" s="199"/>
      <c r="AJ173" s="199"/>
    </row>
    <row r="174" spans="1:36" x14ac:dyDescent="0.25">
      <c r="A174" s="111"/>
    </row>
    <row r="175" spans="1:36" s="88" customFormat="1" ht="11.25" x14ac:dyDescent="0.2">
      <c r="A175" s="109" t="s">
        <v>130</v>
      </c>
      <c r="G175" s="110"/>
      <c r="H175" s="110"/>
      <c r="I175" s="110"/>
      <c r="J175" s="110"/>
    </row>
    <row r="176" spans="1:36" s="88" customFormat="1" ht="58.5" customHeight="1" x14ac:dyDescent="0.2">
      <c r="A176" s="203" t="str">
        <f>'Данные объект'!B3</f>
      </c>
      <c r="B176" s="203"/>
      <c r="C176" s="203"/>
      <c r="D176" s="203"/>
      <c r="E176" s="203"/>
      <c r="F176" s="203"/>
      <c r="G176" s="203"/>
      <c r="H176" s="203"/>
      <c r="I176" s="203"/>
      <c r="J176" s="203"/>
      <c r="K176" s="203"/>
      <c r="L176" s="203"/>
      <c r="M176" s="203"/>
      <c r="N176" s="203"/>
      <c r="O176" s="203"/>
      <c r="P176" s="203"/>
      <c r="Q176" s="203"/>
      <c r="R176" s="203"/>
      <c r="S176" s="203"/>
      <c r="T176" s="203"/>
      <c r="U176" s="203"/>
      <c r="V176" s="203"/>
      <c r="W176" s="203"/>
      <c r="X176" s="203"/>
      <c r="Y176" s="203"/>
      <c r="Z176" s="203"/>
      <c r="AA176" s="203"/>
      <c r="AB176" s="203"/>
      <c r="AC176" s="203"/>
      <c r="AD176" s="203"/>
      <c r="AE176" s="203"/>
      <c r="AF176" s="203"/>
      <c r="AG176" s="203"/>
      <c r="AH176" s="203"/>
      <c r="AI176" s="203"/>
      <c r="AJ176" s="203"/>
    </row>
    <row r="177" spans="1:36" s="89" customFormat="1" ht="12.75" customHeight="1" x14ac:dyDescent="0.15">
      <c r="A177" s="183" t="s">
        <v>6</v>
      </c>
      <c r="B177" s="183"/>
      <c r="C177" s="183"/>
      <c r="D177" s="183"/>
      <c r="E177" s="183"/>
      <c r="F177" s="183"/>
      <c r="G177" s="183"/>
      <c r="H177" s="183"/>
      <c r="I177" s="183"/>
      <c r="J177" s="183"/>
      <c r="K177" s="183"/>
      <c r="L177" s="183"/>
      <c r="M177" s="183"/>
      <c r="N177" s="183"/>
      <c r="O177" s="183"/>
      <c r="P177" s="183"/>
      <c r="Q177" s="183"/>
      <c r="R177" s="183"/>
      <c r="S177" s="183"/>
      <c r="T177" s="183"/>
      <c r="U177" s="183"/>
      <c r="V177" s="183"/>
      <c r="W177" s="183"/>
      <c r="X177" s="183"/>
      <c r="Y177" s="183"/>
      <c r="Z177" s="183"/>
      <c r="AA177" s="183"/>
      <c r="AB177" s="183"/>
      <c r="AC177" s="183"/>
      <c r="AD177" s="183"/>
      <c r="AE177" s="183"/>
      <c r="AF177" s="183"/>
      <c r="AG177" s="183"/>
      <c r="AH177" s="183"/>
      <c r="AI177" s="183"/>
      <c r="AJ177" s="183"/>
    </row>
    <row r="178" spans="1:36" s="88" customFormat="1" ht="11.25" x14ac:dyDescent="0.2">
      <c r="A178" s="184" t="str">
        <f>'Данные объект'!B11</f>
      </c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  <c r="AA178" s="184"/>
      <c r="AB178" s="184"/>
      <c r="AC178" s="184"/>
      <c r="AD178" s="184"/>
      <c r="AE178" s="184"/>
      <c r="AF178" s="184"/>
      <c r="AG178" s="184"/>
      <c r="AH178" s="184"/>
      <c r="AI178" s="184"/>
      <c r="AJ178" s="184"/>
    </row>
    <row r="179" spans="1:36" s="89" customFormat="1" ht="10.5" customHeight="1" x14ac:dyDescent="0.15">
      <c r="A179" s="183" t="s">
        <v>76</v>
      </c>
      <c r="B179" s="183"/>
      <c r="C179" s="183"/>
      <c r="D179" s="183"/>
      <c r="E179" s="183"/>
      <c r="F179" s="183"/>
      <c r="G179" s="183"/>
      <c r="H179" s="183"/>
      <c r="I179" s="183"/>
      <c r="J179" s="183"/>
      <c r="K179" s="183"/>
      <c r="L179" s="183"/>
      <c r="M179" s="183"/>
      <c r="N179" s="183"/>
      <c r="O179" s="183"/>
      <c r="P179" s="183"/>
      <c r="Q179" s="183"/>
      <c r="R179" s="183"/>
      <c r="S179" s="183"/>
      <c r="T179" s="183"/>
      <c r="U179" s="183"/>
      <c r="V179" s="183"/>
      <c r="W179" s="183"/>
      <c r="X179" s="183"/>
      <c r="Y179" s="183"/>
      <c r="Z179" s="183"/>
      <c r="AA179" s="183"/>
      <c r="AB179" s="183"/>
      <c r="AC179" s="183"/>
      <c r="AD179" s="183"/>
      <c r="AE179" s="183"/>
      <c r="AF179" s="183"/>
      <c r="AG179" s="183"/>
      <c r="AH179" s="183"/>
      <c r="AI179" s="183"/>
      <c r="AJ179" s="183"/>
    </row>
    <row r="180" spans="1:36" ht="10.5" customHeight="1" x14ac:dyDescent="0.25">
      <c r="A180" s="112"/>
      <c r="B180" s="112"/>
      <c r="C180" s="112"/>
      <c r="D180" s="112"/>
      <c r="E180" s="112"/>
      <c r="F180" s="112"/>
      <c r="G180" s="112"/>
      <c r="H180" s="112"/>
      <c r="I180" s="112"/>
      <c r="J180" s="112"/>
    </row>
    <row r="181" spans="1:36" s="88" customFormat="1" ht="15.75" customHeight="1" x14ac:dyDescent="0.2">
      <c r="A181" s="215" t="s">
        <v>12</v>
      </c>
      <c r="B181" s="215"/>
      <c r="C181" s="215"/>
      <c r="D181" s="215"/>
      <c r="E181" s="215"/>
      <c r="F181" s="215"/>
      <c r="G181" s="215"/>
      <c r="H181" s="215"/>
      <c r="I181" s="215"/>
      <c r="J181" s="215"/>
      <c r="K181" s="215"/>
      <c r="L181" s="215"/>
      <c r="M181" s="215"/>
      <c r="N181" s="215"/>
      <c r="O181" s="215"/>
      <c r="P181" s="215"/>
      <c r="Q181" s="215"/>
      <c r="R181" s="215"/>
      <c r="S181" s="215"/>
      <c r="T181" s="215"/>
      <c r="U181" s="215"/>
      <c r="V181" s="215"/>
      <c r="W181" s="215"/>
      <c r="X181" s="215"/>
      <c r="Y181" s="215"/>
      <c r="Z181" s="215"/>
      <c r="AA181" s="215"/>
      <c r="AB181" s="215"/>
      <c r="AC181" s="215"/>
      <c r="AD181" s="215"/>
      <c r="AE181" s="215"/>
      <c r="AF181" s="215"/>
      <c r="AG181" s="215"/>
      <c r="AH181" s="215"/>
      <c r="AI181" s="215"/>
      <c r="AJ181" s="215"/>
    </row>
    <row r="182" spans="1:36" s="88" customFormat="1" ht="11.25" x14ac:dyDescent="0.2">
      <c r="A182" s="88" t="s">
        <v>13</v>
      </c>
      <c r="C182" s="113"/>
      <c r="D182" s="113"/>
      <c r="E182" s="113"/>
      <c r="F182" s="113"/>
      <c r="G182" s="113"/>
      <c r="H182" s="216">
        <f>'Данные объект'!B7</f>
      </c>
      <c r="I182" s="216"/>
      <c r="J182" s="216"/>
      <c r="K182" s="216"/>
      <c r="L182" s="216"/>
      <c r="M182" s="216"/>
      <c r="N182" s="216"/>
      <c r="O182" s="216"/>
      <c r="P182" s="216"/>
      <c r="Q182" s="216"/>
      <c r="R182" s="216"/>
      <c r="S182" s="216"/>
      <c r="T182" s="216"/>
      <c r="U182" s="216"/>
      <c r="V182" s="216"/>
      <c r="W182" s="216"/>
      <c r="X182" s="216"/>
      <c r="Y182" s="216"/>
      <c r="Z182" s="216"/>
      <c r="AA182" s="216"/>
      <c r="AB182" s="216"/>
      <c r="AC182" s="216"/>
      <c r="AD182" s="216"/>
      <c r="AE182" s="216"/>
      <c r="AF182" s="216"/>
      <c r="AG182" s="216"/>
      <c r="AH182" s="216"/>
      <c r="AI182" s="216"/>
      <c r="AJ182" s="216"/>
    </row>
    <row r="183" spans="1:36" s="89" customFormat="1" ht="10.5" customHeight="1" x14ac:dyDescent="0.15">
      <c r="A183" s="114" t="s">
        <v>15</v>
      </c>
      <c r="C183" s="83"/>
      <c r="D183" s="83"/>
      <c r="E183" s="83"/>
      <c r="F183" s="83"/>
      <c r="G183" s="83"/>
      <c r="H183" s="200" t="s">
        <v>16</v>
      </c>
      <c r="I183" s="200"/>
      <c r="J183" s="200"/>
      <c r="K183" s="200"/>
      <c r="L183" s="200"/>
      <c r="M183" s="200"/>
      <c r="N183" s="200"/>
      <c r="O183" s="200"/>
      <c r="P183" s="200"/>
      <c r="Q183" s="200"/>
      <c r="R183" s="200"/>
      <c r="S183" s="200"/>
      <c r="T183" s="200"/>
      <c r="U183" s="200"/>
      <c r="V183" s="200"/>
      <c r="W183" s="200"/>
      <c r="X183" s="200"/>
      <c r="Y183" s="200"/>
      <c r="Z183" s="200"/>
      <c r="AA183" s="200"/>
      <c r="AB183" s="200"/>
      <c r="AC183" s="200"/>
      <c r="AD183" s="200"/>
      <c r="AE183" s="200"/>
      <c r="AF183" s="200"/>
      <c r="AG183" s="200"/>
      <c r="AH183" s="200"/>
      <c r="AI183" s="200"/>
      <c r="AJ183" s="200"/>
    </row>
    <row r="184" spans="1:36" s="88" customFormat="1" ht="15" customHeight="1" x14ac:dyDescent="0.2">
      <c r="A184" s="215" t="s">
        <v>14</v>
      </c>
      <c r="B184" s="215"/>
      <c r="C184" s="215"/>
      <c r="D184" s="215"/>
      <c r="E184" s="215"/>
      <c r="F184" s="215"/>
      <c r="G184" s="215"/>
      <c r="H184" s="215"/>
      <c r="I184" s="215"/>
      <c r="J184" s="215"/>
      <c r="K184" s="215"/>
      <c r="L184" s="215"/>
      <c r="M184" s="215"/>
      <c r="N184" s="215"/>
      <c r="O184" s="215"/>
      <c r="P184" s="215"/>
      <c r="Q184" s="215"/>
      <c r="R184" s="215"/>
      <c r="S184" s="215"/>
      <c r="T184" s="215"/>
      <c r="U184" s="215"/>
      <c r="V184" s="215"/>
      <c r="W184" s="215"/>
      <c r="X184" s="215"/>
      <c r="Y184" s="215"/>
      <c r="Z184" s="215"/>
      <c r="AA184" s="215"/>
      <c r="AB184" s="215"/>
      <c r="AC184" s="215"/>
      <c r="AD184" s="215"/>
      <c r="AE184" s="215"/>
      <c r="AF184" s="215"/>
      <c r="AG184" s="215"/>
      <c r="AH184" s="215"/>
      <c r="AI184" s="215"/>
      <c r="AJ184" s="215"/>
    </row>
    <row r="185" spans="1:36" s="88" customFormat="1" ht="11.25" x14ac:dyDescent="0.2">
      <c r="A185" s="88" t="s">
        <v>13</v>
      </c>
      <c r="C185" s="113"/>
      <c r="D185" s="113"/>
      <c r="E185" s="113"/>
      <c r="F185" s="113"/>
      <c r="G185" s="113"/>
      <c r="H185" s="216">
        <f>'Данные объект'!B8</f>
      </c>
      <c r="I185" s="216"/>
      <c r="J185" s="216"/>
      <c r="K185" s="216"/>
      <c r="L185" s="216"/>
      <c r="M185" s="216"/>
      <c r="N185" s="216"/>
      <c r="O185" s="216"/>
      <c r="P185" s="216"/>
      <c r="Q185" s="216"/>
      <c r="R185" s="216"/>
      <c r="S185" s="216"/>
      <c r="T185" s="216"/>
      <c r="U185" s="216"/>
      <c r="V185" s="216"/>
      <c r="W185" s="216"/>
      <c r="X185" s="216"/>
      <c r="Y185" s="216"/>
      <c r="Z185" s="216"/>
      <c r="AA185" s="216"/>
      <c r="AB185" s="216"/>
      <c r="AC185" s="216"/>
      <c r="AD185" s="216"/>
      <c r="AE185" s="216"/>
      <c r="AF185" s="216"/>
      <c r="AG185" s="216"/>
      <c r="AH185" s="216"/>
      <c r="AI185" s="216"/>
      <c r="AJ185" s="216"/>
    </row>
    <row r="186" spans="1:36" s="89" customFormat="1" ht="11.25" customHeight="1" x14ac:dyDescent="0.15">
      <c r="C186" s="83"/>
      <c r="D186" s="83"/>
      <c r="E186" s="83"/>
      <c r="F186" s="83"/>
      <c r="G186" s="83"/>
      <c r="H186" s="200" t="s">
        <v>16</v>
      </c>
      <c r="I186" s="200"/>
      <c r="J186" s="200"/>
      <c r="K186" s="200"/>
      <c r="L186" s="200"/>
      <c r="M186" s="200"/>
      <c r="N186" s="200"/>
      <c r="O186" s="200"/>
      <c r="P186" s="200"/>
      <c r="Q186" s="200"/>
      <c r="R186" s="200"/>
      <c r="S186" s="200"/>
      <c r="T186" s="200"/>
      <c r="U186" s="200"/>
      <c r="V186" s="200"/>
      <c r="W186" s="200"/>
      <c r="X186" s="200"/>
      <c r="Y186" s="200"/>
      <c r="Z186" s="200"/>
      <c r="AA186" s="200"/>
      <c r="AB186" s="200"/>
      <c r="AC186" s="200"/>
      <c r="AD186" s="200"/>
      <c r="AE186" s="200"/>
      <c r="AF186" s="200"/>
      <c r="AG186" s="200"/>
      <c r="AH186" s="200"/>
      <c r="AI186" s="200"/>
      <c r="AJ186" s="200"/>
    </row>
    <row r="187" spans="1:36" ht="6.75" customHeight="1" x14ac:dyDescent="0.25">
      <c r="C187" s="84"/>
      <c r="D187" s="84"/>
      <c r="E187" s="84"/>
      <c r="F187" s="84"/>
      <c r="G187" s="84"/>
      <c r="H187" s="84"/>
      <c r="I187" s="84"/>
      <c r="J187" s="84"/>
    </row>
    <row r="188" spans="1:36" s="88" customFormat="1" ht="12.75" x14ac:dyDescent="0.2">
      <c r="A188" s="88" t="s">
        <v>77</v>
      </c>
      <c r="B188" s="115"/>
      <c r="C188" s="115"/>
      <c r="D188" s="115"/>
      <c r="E188" s="115"/>
      <c r="F188" s="115"/>
      <c r="G188" s="115"/>
      <c r="H188" s="115"/>
      <c r="I188" s="115"/>
      <c r="J188" s="217"/>
      <c r="K188" s="217"/>
      <c r="L188" s="217"/>
      <c r="M188" s="88" t="s">
        <v>78</v>
      </c>
    </row>
    <row r="189" spans="1:36" s="88" customFormat="1" ht="15.75" customHeight="1" x14ac:dyDescent="0.2">
      <c r="A189" s="88" t="s">
        <v>79</v>
      </c>
      <c r="B189" s="115"/>
      <c r="C189" s="115"/>
      <c r="D189" s="115"/>
      <c r="E189" s="115"/>
      <c r="F189" s="115"/>
      <c r="G189" s="115"/>
      <c r="H189" s="115"/>
      <c r="I189" s="115"/>
      <c r="J189" s="116"/>
      <c r="K189" s="116"/>
      <c r="L189" s="116"/>
    </row>
    <row r="190" spans="1:36" s="88" customFormat="1" ht="15.75" customHeight="1" x14ac:dyDescent="0.2">
      <c r="A190" s="88" t="s">
        <v>80</v>
      </c>
      <c r="B190" s="115"/>
      <c r="C190" s="115"/>
      <c r="D190" s="115"/>
      <c r="E190" s="115"/>
      <c r="F190" s="115"/>
      <c r="G190" s="115"/>
      <c r="H190" s="115"/>
      <c r="I190" s="115"/>
      <c r="J190" s="116"/>
      <c r="K190" s="116"/>
      <c r="L190" s="116"/>
    </row>
    <row r="191" spans="1:36" s="88" customFormat="1" ht="15.75" customHeight="1" x14ac:dyDescent="0.2">
      <c r="B191" s="115"/>
      <c r="C191" s="115"/>
      <c r="D191" s="115"/>
      <c r="E191" s="115"/>
      <c r="F191" s="115"/>
      <c r="G191" s="115"/>
      <c r="H191" s="115"/>
      <c r="I191" s="115"/>
      <c r="J191" s="116"/>
      <c r="K191" s="116"/>
      <c r="L191" s="116"/>
    </row>
    <row r="192" spans="1:36" s="88" customFormat="1" ht="11.25" x14ac:dyDescent="0.2">
      <c r="A192" s="88" t="s">
        <v>81</v>
      </c>
      <c r="V192" s="218"/>
      <c r="W192" s="187"/>
      <c r="X192" s="187"/>
      <c r="Y192" s="187"/>
      <c r="Z192" s="187"/>
      <c r="AA192" s="187"/>
      <c r="AB192" s="187"/>
      <c r="AC192" s="88" t="s">
        <v>82</v>
      </c>
      <c r="AE192" s="218"/>
      <c r="AF192" s="187"/>
      <c r="AG192" s="187"/>
      <c r="AH192" s="187"/>
      <c r="AI192" s="187"/>
      <c r="AJ192" s="187"/>
    </row>
    <row r="193" spans="1:36" s="88" customFormat="1" ht="15" customHeight="1" x14ac:dyDescent="0.2">
      <c r="A193" s="215" t="s">
        <v>17</v>
      </c>
      <c r="B193" s="215"/>
      <c r="C193" s="215"/>
      <c r="D193" s="215"/>
      <c r="E193" s="215"/>
      <c r="F193" s="215"/>
      <c r="G193" s="215"/>
      <c r="H193" s="215"/>
      <c r="I193" s="215"/>
      <c r="J193" s="215"/>
      <c r="K193" s="215"/>
      <c r="L193" s="215"/>
      <c r="M193" s="215"/>
      <c r="N193" s="215"/>
      <c r="O193" s="215"/>
      <c r="P193" s="215"/>
      <c r="Q193" s="215"/>
      <c r="R193" s="215"/>
      <c r="S193" s="215"/>
      <c r="T193" s="215"/>
      <c r="U193" s="215"/>
      <c r="V193" s="215"/>
      <c r="W193" s="215"/>
      <c r="X193" s="215"/>
      <c r="Y193" s="215"/>
      <c r="Z193" s="215"/>
      <c r="AA193" s="215"/>
      <c r="AB193" s="215"/>
      <c r="AC193" s="215"/>
      <c r="AD193" s="215"/>
      <c r="AE193" s="215"/>
      <c r="AF193" s="215"/>
      <c r="AG193" s="215"/>
      <c r="AH193" s="215"/>
      <c r="AI193" s="215"/>
      <c r="AJ193" s="215"/>
    </row>
    <row r="194" spans="1:36" s="88" customFormat="1" ht="12" customHeight="1" x14ac:dyDescent="0.2">
      <c r="A194" s="107"/>
      <c r="B194" s="107"/>
      <c r="C194" s="107"/>
      <c r="D194" s="107"/>
      <c r="E194" s="107"/>
      <c r="F194" s="107"/>
      <c r="G194" s="107"/>
      <c r="H194" s="107"/>
      <c r="I194" s="107"/>
      <c r="J194" s="107"/>
      <c r="K194" s="107"/>
      <c r="L194" s="107"/>
      <c r="M194" s="107"/>
      <c r="N194" s="107"/>
      <c r="O194" s="107"/>
      <c r="P194" s="107"/>
      <c r="Q194" s="107"/>
      <c r="R194" s="107"/>
      <c r="S194" s="107"/>
      <c r="T194" s="107"/>
      <c r="U194" s="107"/>
      <c r="V194" s="107"/>
      <c r="W194" s="107"/>
      <c r="X194" s="107"/>
      <c r="Y194" s="107"/>
      <c r="Z194" s="107"/>
      <c r="AA194" s="107"/>
      <c r="AB194" s="107"/>
      <c r="AC194" s="107"/>
      <c r="AD194" s="107"/>
      <c r="AE194" s="107"/>
      <c r="AF194" s="107"/>
      <c r="AG194" s="107"/>
      <c r="AH194" s="107"/>
      <c r="AI194" s="107"/>
      <c r="AJ194" s="107"/>
    </row>
    <row r="195" spans="1:36" s="88" customFormat="1" ht="26.25" customHeight="1" x14ac:dyDescent="0.2">
      <c r="A195" s="187"/>
      <c r="B195" s="187"/>
      <c r="C195" s="187"/>
      <c r="D195" s="187"/>
      <c r="E195" s="187"/>
      <c r="F195" s="187"/>
      <c r="G195" s="187"/>
      <c r="H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V195" s="219" t="str">
        <f>'Данные объект'!C34</f>
      </c>
      <c r="W195" s="219"/>
      <c r="X195" s="219"/>
      <c r="Y195" s="219"/>
      <c r="Z195" s="219"/>
      <c r="AA195" s="219"/>
      <c r="AB195" s="219"/>
      <c r="AC195" s="219"/>
      <c r="AD195" s="219"/>
      <c r="AE195" s="219"/>
      <c r="AF195" s="219"/>
      <c r="AG195" s="219"/>
      <c r="AH195" s="219"/>
      <c r="AI195" s="219"/>
      <c r="AJ195" s="219"/>
    </row>
    <row r="196" spans="1:36" s="89" customFormat="1" ht="16.5" customHeight="1" x14ac:dyDescent="0.15">
      <c r="A196" s="220" t="s">
        <v>85</v>
      </c>
      <c r="B196" s="220"/>
      <c r="C196" s="220"/>
      <c r="D196" s="220"/>
      <c r="E196" s="220"/>
      <c r="F196" s="220"/>
      <c r="G196" s="220"/>
      <c r="H196" s="220"/>
      <c r="I196" s="117"/>
      <c r="J196" s="220" t="s">
        <v>83</v>
      </c>
      <c r="K196" s="220"/>
      <c r="L196" s="220"/>
      <c r="M196" s="220"/>
      <c r="N196" s="220"/>
      <c r="O196" s="220"/>
      <c r="P196" s="220"/>
      <c r="Q196" s="220"/>
      <c r="R196" s="220"/>
      <c r="S196" s="220"/>
      <c r="T196" s="220"/>
      <c r="V196" s="183" t="s">
        <v>84</v>
      </c>
      <c r="W196" s="183"/>
      <c r="X196" s="183"/>
      <c r="Y196" s="183"/>
      <c r="Z196" s="183"/>
      <c r="AA196" s="183"/>
      <c r="AB196" s="183"/>
      <c r="AC196" s="183"/>
      <c r="AD196" s="183"/>
      <c r="AE196" s="183"/>
      <c r="AF196" s="183"/>
      <c r="AG196" s="183"/>
      <c r="AH196" s="183"/>
      <c r="AI196" s="183"/>
      <c r="AJ196" s="183"/>
    </row>
    <row r="197" spans="1:36" ht="15.75" x14ac:dyDescent="0.25">
      <c r="A197" s="222"/>
      <c r="B197" s="222"/>
      <c r="C197" s="222"/>
      <c r="D197" s="118"/>
    </row>
    <row r="198" spans="1:36" s="88" customFormat="1" ht="13.5" customHeight="1" x14ac:dyDescent="0.2">
      <c r="A198" s="223"/>
      <c r="B198" s="223"/>
      <c r="C198" s="223"/>
      <c r="D198" s="119"/>
      <c r="F198" s="224" t="s">
        <v>7</v>
      </c>
      <c r="G198" s="224"/>
      <c r="H198" s="224"/>
    </row>
    <row r="199" spans="1:36" s="89" customFormat="1" ht="7.5" x14ac:dyDescent="0.15">
      <c r="E199" s="225" t="s">
        <v>86</v>
      </c>
      <c r="F199" s="225"/>
      <c r="G199" s="225"/>
      <c r="H199" s="225"/>
      <c r="I199" s="225"/>
    </row>
    <row r="200" spans="1:36" s="89" customFormat="1" ht="7.5" x14ac:dyDescent="0.15">
      <c r="B200" s="229" t="s">
        <v>87</v>
      </c>
      <c r="C200" s="229"/>
      <c r="D200" s="229"/>
      <c r="E200" s="229"/>
      <c r="F200" s="229"/>
      <c r="G200" s="229"/>
      <c r="H200" s="229"/>
      <c r="I200" s="229"/>
      <c r="J200" s="229"/>
      <c r="K200" s="229"/>
      <c r="L200" s="229"/>
    </row>
    <row r="201" spans="1:36" s="89" customFormat="1" ht="7.5" x14ac:dyDescent="0.15">
      <c r="B201" s="229"/>
      <c r="C201" s="229"/>
      <c r="D201" s="229"/>
      <c r="E201" s="229"/>
      <c r="F201" s="229"/>
      <c r="G201" s="229"/>
      <c r="H201" s="229"/>
      <c r="I201" s="229"/>
      <c r="J201" s="229"/>
      <c r="K201" s="229"/>
      <c r="L201" s="229"/>
    </row>
    <row r="202" spans="1:36" s="89" customFormat="1" ht="7.5" x14ac:dyDescent="0.15">
      <c r="B202" s="229"/>
      <c r="C202" s="229"/>
      <c r="D202" s="229"/>
      <c r="E202" s="229"/>
      <c r="F202" s="229"/>
      <c r="G202" s="229"/>
      <c r="H202" s="229"/>
      <c r="I202" s="229"/>
      <c r="J202" s="229"/>
      <c r="K202" s="229"/>
      <c r="L202" s="229"/>
    </row>
    <row r="203" spans="1:36" s="89" customFormat="1" ht="7.5" x14ac:dyDescent="0.15">
      <c r="B203" s="229"/>
      <c r="C203" s="229"/>
      <c r="D203" s="229"/>
      <c r="E203" s="229"/>
      <c r="F203" s="229"/>
      <c r="G203" s="229"/>
      <c r="H203" s="229"/>
      <c r="I203" s="229"/>
      <c r="J203" s="229"/>
      <c r="K203" s="229"/>
      <c r="L203" s="229"/>
    </row>
    <row r="204" spans="1:36" s="89" customFormat="1" ht="7.5" x14ac:dyDescent="0.15">
      <c r="B204" s="229"/>
      <c r="C204" s="229"/>
      <c r="D204" s="229"/>
      <c r="E204" s="229"/>
      <c r="F204" s="229"/>
      <c r="G204" s="229"/>
      <c r="H204" s="229"/>
      <c r="I204" s="229"/>
      <c r="J204" s="229"/>
      <c r="K204" s="229"/>
      <c r="L204" s="229"/>
    </row>
    <row r="205" spans="1:36" ht="6.75" customHeight="1" x14ac:dyDescent="0.25">
      <c r="E205" s="120"/>
      <c r="F205" s="120"/>
      <c r="G205" s="120"/>
      <c r="H205" s="120"/>
      <c r="I205" s="120"/>
    </row>
    <row r="206" spans="1:36" ht="6.75" customHeight="1" x14ac:dyDescent="0.25"/>
    <row r="207" spans="1:36" s="88" customFormat="1" ht="11.25" x14ac:dyDescent="0.2">
      <c r="A207" s="88" t="s">
        <v>8</v>
      </c>
    </row>
    <row r="208" spans="1:36" s="88" customFormat="1" ht="11.25" x14ac:dyDescent="0.2">
      <c r="A208" s="187"/>
      <c r="B208" s="187"/>
      <c r="C208" s="187"/>
      <c r="D208" s="187"/>
      <c r="E208" s="187"/>
      <c r="F208" s="187"/>
      <c r="G208" s="187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187"/>
      <c r="Y208" s="187"/>
      <c r="Z208" s="187"/>
      <c r="AA208" s="187"/>
      <c r="AB208" s="187"/>
      <c r="AC208" s="187"/>
      <c r="AD208" s="187"/>
      <c r="AE208" s="187"/>
      <c r="AF208" s="187"/>
      <c r="AG208" s="187"/>
      <c r="AH208" s="187"/>
      <c r="AI208" s="187"/>
      <c r="AJ208" s="187"/>
    </row>
    <row r="209" spans="1:36" s="89" customFormat="1" ht="9.75" customHeight="1" x14ac:dyDescent="0.15">
      <c r="A209" s="200" t="s">
        <v>9</v>
      </c>
      <c r="B209" s="200"/>
      <c r="C209" s="200"/>
      <c r="D209" s="200"/>
      <c r="E209" s="200"/>
      <c r="F209" s="200"/>
      <c r="G209" s="200"/>
      <c r="H209" s="200"/>
      <c r="I209" s="200"/>
      <c r="J209" s="200"/>
      <c r="K209" s="200"/>
      <c r="L209" s="200"/>
      <c r="M209" s="200"/>
      <c r="N209" s="200"/>
      <c r="O209" s="200"/>
      <c r="P209" s="200"/>
      <c r="Q209" s="200"/>
      <c r="R209" s="200"/>
      <c r="S209" s="200"/>
      <c r="T209" s="200"/>
      <c r="U209" s="200"/>
      <c r="V209" s="200"/>
      <c r="W209" s="200"/>
      <c r="X209" s="200"/>
      <c r="Y209" s="200"/>
      <c r="Z209" s="200"/>
      <c r="AA209" s="200"/>
      <c r="AB209" s="200"/>
      <c r="AC209" s="200"/>
      <c r="AD209" s="200"/>
      <c r="AE209" s="200"/>
      <c r="AF209" s="200"/>
      <c r="AG209" s="200"/>
      <c r="AH209" s="200"/>
      <c r="AI209" s="200"/>
      <c r="AJ209" s="200"/>
    </row>
    <row r="210" spans="1:36" ht="9" customHeight="1" x14ac:dyDescent="0.25"/>
    <row r="211" spans="1:36" x14ac:dyDescent="0.25">
      <c r="A211" s="214"/>
      <c r="B211" s="214"/>
      <c r="C211" s="214"/>
      <c r="D211" s="214"/>
      <c r="E211" s="214"/>
      <c r="F211" s="214"/>
      <c r="G211" s="214"/>
      <c r="H211" s="214"/>
      <c r="J211" s="214"/>
      <c r="K211" s="214"/>
      <c r="L211" s="214"/>
      <c r="M211" s="214"/>
      <c r="N211" s="214"/>
      <c r="O211" s="214"/>
      <c r="P211" s="214"/>
      <c r="Q211" s="214"/>
      <c r="R211" s="214"/>
      <c r="S211" s="214"/>
      <c r="T211" s="214"/>
      <c r="V211" s="214"/>
      <c r="W211" s="214"/>
      <c r="X211" s="214"/>
      <c r="Y211" s="214"/>
      <c r="Z211" s="214"/>
      <c r="AA211" s="214"/>
      <c r="AB211" s="214"/>
      <c r="AC211" s="214"/>
      <c r="AD211" s="214"/>
      <c r="AE211" s="214"/>
      <c r="AF211" s="214"/>
      <c r="AG211" s="214"/>
      <c r="AH211" s="214"/>
      <c r="AI211" s="214"/>
      <c r="AJ211" s="214"/>
    </row>
    <row r="212" spans="1:36" s="89" customFormat="1" ht="9" customHeight="1" x14ac:dyDescent="0.15">
      <c r="A212" s="220" t="s">
        <v>85</v>
      </c>
      <c r="B212" s="220"/>
      <c r="C212" s="220"/>
      <c r="D212" s="220"/>
      <c r="E212" s="220"/>
      <c r="F212" s="220"/>
      <c r="G212" s="220"/>
      <c r="H212" s="220"/>
      <c r="I212" s="117"/>
      <c r="J212" s="220" t="s">
        <v>83</v>
      </c>
      <c r="K212" s="220"/>
      <c r="L212" s="220"/>
      <c r="M212" s="220"/>
      <c r="N212" s="220"/>
      <c r="O212" s="220"/>
      <c r="P212" s="220"/>
      <c r="Q212" s="220"/>
      <c r="R212" s="220"/>
      <c r="S212" s="220"/>
      <c r="T212" s="220"/>
      <c r="V212" s="183" t="s">
        <v>88</v>
      </c>
      <c r="W212" s="183"/>
      <c r="X212" s="183"/>
      <c r="Y212" s="183"/>
      <c r="Z212" s="183"/>
      <c r="AA212" s="183"/>
      <c r="AB212" s="183"/>
      <c r="AC212" s="183"/>
      <c r="AD212" s="183"/>
      <c r="AE212" s="183"/>
      <c r="AF212" s="183"/>
      <c r="AG212" s="183"/>
      <c r="AH212" s="183"/>
      <c r="AI212" s="183"/>
      <c r="AJ212" s="183"/>
    </row>
    <row r="213" spans="1:36" ht="9" customHeight="1" x14ac:dyDescent="0.25"/>
    <row r="214" spans="1:36" s="88" customFormat="1" ht="11.25" x14ac:dyDescent="0.2">
      <c r="W214" s="121" t="s">
        <v>89</v>
      </c>
      <c r="X214" s="226"/>
      <c r="Y214" s="226"/>
      <c r="Z214" s="94" t="s">
        <v>89</v>
      </c>
      <c r="AA214" s="227"/>
      <c r="AB214" s="227"/>
      <c r="AC214" s="227"/>
      <c r="AD214" s="227"/>
      <c r="AE214" s="94"/>
      <c r="AF214" s="228"/>
      <c r="AG214" s="228"/>
      <c r="AH214" s="228"/>
      <c r="AI214" s="94" t="s">
        <v>90</v>
      </c>
    </row>
    <row r="216" spans="1:36" s="88" customFormat="1" ht="11.25" x14ac:dyDescent="0.2">
      <c r="A216" s="221" t="s">
        <v>122</v>
      </c>
      <c r="B216" s="221"/>
      <c r="C216" s="221"/>
      <c r="D216" s="221"/>
      <c r="E216" s="221"/>
      <c r="F216" s="221"/>
      <c r="G216" s="221"/>
      <c r="H216" s="221"/>
      <c r="I216" s="221"/>
      <c r="J216" s="221"/>
      <c r="K216" s="221"/>
      <c r="L216" s="221"/>
      <c r="M216" s="221"/>
      <c r="N216" s="221"/>
      <c r="O216" s="221"/>
      <c r="P216" s="221"/>
      <c r="Q216" s="221"/>
      <c r="R216" s="221"/>
      <c r="S216" s="221"/>
      <c r="T216" s="221"/>
      <c r="U216" s="221"/>
      <c r="V216" s="221"/>
      <c r="W216" s="221"/>
      <c r="X216" s="221"/>
      <c r="Y216" s="221"/>
      <c r="Z216" s="221"/>
      <c r="AA216" s="221"/>
      <c r="AB216" s="221"/>
      <c r="AC216" s="221"/>
      <c r="AD216" s="221"/>
      <c r="AE216" s="221"/>
      <c r="AF216" s="221"/>
      <c r="AG216" s="221"/>
      <c r="AH216" s="221"/>
      <c r="AI216" s="221"/>
      <c r="AJ216" s="221"/>
    </row>
    <row r="217" spans="1:36" s="88" customFormat="1" ht="52.5" customHeight="1" x14ac:dyDescent="0.2">
      <c r="A217" s="188" t="s">
        <v>91</v>
      </c>
      <c r="B217" s="189"/>
      <c r="C217" s="208" t="s">
        <v>10</v>
      </c>
      <c r="D217" s="191"/>
      <c r="E217" s="191"/>
      <c r="F217" s="192"/>
      <c r="G217" s="190" t="s">
        <v>18</v>
      </c>
      <c r="H217" s="193"/>
      <c r="I217" s="193"/>
      <c r="J217" s="193"/>
      <c r="K217" s="193"/>
      <c r="L217" s="193"/>
      <c r="M217" s="193"/>
      <c r="N217" s="193"/>
      <c r="O217" s="193"/>
      <c r="P217" s="193"/>
      <c r="Q217" s="193"/>
      <c r="R217" s="193"/>
      <c r="S217" s="193"/>
      <c r="T217" s="193"/>
      <c r="U217" s="194"/>
      <c r="V217" s="190" t="s">
        <v>92</v>
      </c>
      <c r="W217" s="193"/>
      <c r="X217" s="193"/>
      <c r="Y217" s="193"/>
      <c r="Z217" s="193"/>
      <c r="AA217" s="193"/>
      <c r="AB217" s="193"/>
      <c r="AC217" s="193"/>
      <c r="AD217" s="193"/>
      <c r="AE217" s="194"/>
      <c r="AF217" s="208" t="s">
        <v>4</v>
      </c>
      <c r="AG217" s="191"/>
      <c r="AH217" s="191"/>
      <c r="AI217" s="191"/>
      <c r="AJ217" s="192"/>
    </row>
    <row r="218" spans="1:36" s="88" customFormat="1" ht="11.25" x14ac:dyDescent="0.2">
      <c r="A218" s="188" t="s">
        <v>33</v>
      </c>
      <c r="B218" s="188"/>
      <c r="C218" s="189" t="s">
        <v>34</v>
      </c>
      <c r="D218" s="189"/>
      <c r="E218" s="189"/>
      <c r="F218" s="189"/>
      <c r="G218" s="188" t="s">
        <v>35</v>
      </c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R218" s="188"/>
      <c r="S218" s="188"/>
      <c r="T218" s="188"/>
      <c r="U218" s="188"/>
      <c r="V218" s="209">
        <v>4</v>
      </c>
      <c r="W218" s="209"/>
      <c r="X218" s="209"/>
      <c r="Y218" s="209"/>
      <c r="Z218" s="209"/>
      <c r="AA218" s="209"/>
      <c r="AB218" s="209"/>
      <c r="AC218" s="209"/>
      <c r="AD218" s="209"/>
      <c r="AE218" s="209"/>
      <c r="AF218" s="189">
        <v>5</v>
      </c>
      <c r="AG218" s="189"/>
      <c r="AH218" s="189"/>
      <c r="AI218" s="189"/>
      <c r="AJ218" s="189"/>
    </row>
    <row r="219" spans="1:36" s="88" customFormat="1" ht="11.25" x14ac:dyDescent="0.2">
      <c r="A219" s="188"/>
      <c r="B219" s="188"/>
      <c r="C219" s="189"/>
      <c r="D219" s="189"/>
      <c r="E219" s="189"/>
      <c r="F219" s="189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209"/>
      <c r="W219" s="209"/>
      <c r="X219" s="209"/>
      <c r="Y219" s="209"/>
      <c r="Z219" s="209"/>
      <c r="AA219" s="209"/>
      <c r="AB219" s="209"/>
      <c r="AC219" s="209"/>
      <c r="AD219" s="209"/>
      <c r="AE219" s="209"/>
      <c r="AF219" s="189"/>
      <c r="AG219" s="189"/>
      <c r="AH219" s="189"/>
      <c r="AI219" s="189"/>
      <c r="AJ219" s="189"/>
    </row>
    <row r="220" spans="1:36" s="88" customFormat="1" ht="11.25" x14ac:dyDescent="0.2">
      <c r="A220" s="188"/>
      <c r="B220" s="188"/>
      <c r="C220" s="189"/>
      <c r="D220" s="189"/>
      <c r="E220" s="189"/>
      <c r="F220" s="189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209"/>
      <c r="W220" s="209"/>
      <c r="X220" s="209"/>
      <c r="Y220" s="209"/>
      <c r="Z220" s="209"/>
      <c r="AA220" s="209"/>
      <c r="AB220" s="209"/>
      <c r="AC220" s="209"/>
      <c r="AD220" s="209"/>
      <c r="AE220" s="209"/>
      <c r="AF220" s="189"/>
      <c r="AG220" s="189"/>
      <c r="AH220" s="189"/>
      <c r="AI220" s="189"/>
      <c r="AJ220" s="189"/>
    </row>
    <row r="221" spans="1:36" s="88" customFormat="1" ht="11.25" x14ac:dyDescent="0.2">
      <c r="A221" s="188"/>
      <c r="B221" s="188"/>
      <c r="C221" s="189"/>
      <c r="D221" s="189"/>
      <c r="E221" s="189"/>
      <c r="F221" s="189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209"/>
      <c r="W221" s="209"/>
      <c r="X221" s="209"/>
      <c r="Y221" s="209"/>
      <c r="Z221" s="209"/>
      <c r="AA221" s="209"/>
      <c r="AB221" s="209"/>
      <c r="AC221" s="209"/>
      <c r="AD221" s="209"/>
      <c r="AE221" s="209"/>
      <c r="AF221" s="189"/>
      <c r="AG221" s="189"/>
      <c r="AH221" s="189"/>
      <c r="AI221" s="189"/>
      <c r="AJ221" s="189"/>
    </row>
    <row r="222" spans="1:36" s="88" customFormat="1" ht="11.25" x14ac:dyDescent="0.2">
      <c r="A222" s="188"/>
      <c r="B222" s="188"/>
      <c r="C222" s="189"/>
      <c r="D222" s="189"/>
      <c r="E222" s="189"/>
      <c r="F222" s="189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209"/>
      <c r="W222" s="209"/>
      <c r="X222" s="209"/>
      <c r="Y222" s="209"/>
      <c r="Z222" s="209"/>
      <c r="AA222" s="209"/>
      <c r="AB222" s="209"/>
      <c r="AC222" s="209"/>
      <c r="AD222" s="209"/>
      <c r="AE222" s="209"/>
      <c r="AF222" s="189"/>
      <c r="AG222" s="189"/>
      <c r="AH222" s="189"/>
      <c r="AI222" s="189"/>
      <c r="AJ222" s="189"/>
    </row>
    <row r="223" spans="1:36" s="88" customFormat="1" ht="11.25" x14ac:dyDescent="0.2">
      <c r="A223" s="188"/>
      <c r="B223" s="188"/>
      <c r="C223" s="189"/>
      <c r="D223" s="189"/>
      <c r="E223" s="189"/>
      <c r="F223" s="189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209"/>
      <c r="W223" s="209"/>
      <c r="X223" s="209"/>
      <c r="Y223" s="209"/>
      <c r="Z223" s="209"/>
      <c r="AA223" s="209"/>
      <c r="AB223" s="209"/>
      <c r="AC223" s="209"/>
      <c r="AD223" s="209"/>
      <c r="AE223" s="209"/>
      <c r="AF223" s="189"/>
      <c r="AG223" s="189"/>
      <c r="AH223" s="189"/>
      <c r="AI223" s="189"/>
      <c r="AJ223" s="189"/>
    </row>
    <row r="224" spans="1:36" s="88" customFormat="1" ht="11.25" x14ac:dyDescent="0.2">
      <c r="A224" s="188"/>
      <c r="B224" s="188"/>
      <c r="C224" s="189"/>
      <c r="D224" s="189"/>
      <c r="E224" s="189"/>
      <c r="F224" s="189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209"/>
      <c r="W224" s="209"/>
      <c r="X224" s="209"/>
      <c r="Y224" s="209"/>
      <c r="Z224" s="209"/>
      <c r="AA224" s="209"/>
      <c r="AB224" s="209"/>
      <c r="AC224" s="209"/>
      <c r="AD224" s="209"/>
      <c r="AE224" s="209"/>
      <c r="AF224" s="189"/>
      <c r="AG224" s="189"/>
      <c r="AH224" s="189"/>
      <c r="AI224" s="189"/>
      <c r="AJ224" s="189"/>
    </row>
    <row r="225" spans="1:36" s="88" customFormat="1" ht="11.25" x14ac:dyDescent="0.2">
      <c r="A225" s="188"/>
      <c r="B225" s="188"/>
      <c r="C225" s="189"/>
      <c r="D225" s="189"/>
      <c r="E225" s="189"/>
      <c r="F225" s="189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209"/>
      <c r="W225" s="209"/>
      <c r="X225" s="209"/>
      <c r="Y225" s="209"/>
      <c r="Z225" s="209"/>
      <c r="AA225" s="209"/>
      <c r="AB225" s="209"/>
      <c r="AC225" s="209"/>
      <c r="AD225" s="209"/>
      <c r="AE225" s="209"/>
      <c r="AF225" s="189"/>
      <c r="AG225" s="189"/>
      <c r="AH225" s="189"/>
      <c r="AI225" s="189"/>
      <c r="AJ225" s="189"/>
    </row>
    <row r="226" spans="1:36" s="88" customFormat="1" ht="11.25" x14ac:dyDescent="0.2">
      <c r="A226" s="188"/>
      <c r="B226" s="188"/>
      <c r="C226" s="189"/>
      <c r="D226" s="189"/>
      <c r="E226" s="189"/>
      <c r="F226" s="189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209"/>
      <c r="W226" s="209"/>
      <c r="X226" s="209"/>
      <c r="Y226" s="209"/>
      <c r="Z226" s="209"/>
      <c r="AA226" s="209"/>
      <c r="AB226" s="209"/>
      <c r="AC226" s="209"/>
      <c r="AD226" s="209"/>
      <c r="AE226" s="209"/>
      <c r="AF226" s="189"/>
      <c r="AG226" s="189"/>
      <c r="AH226" s="189"/>
      <c r="AI226" s="189"/>
      <c r="AJ226" s="189"/>
    </row>
    <row r="227" spans="1:36" s="88" customFormat="1" ht="11.25" x14ac:dyDescent="0.2">
      <c r="A227" s="188"/>
      <c r="B227" s="188"/>
      <c r="C227" s="189"/>
      <c r="D227" s="189"/>
      <c r="E227" s="189"/>
      <c r="F227" s="189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209"/>
      <c r="W227" s="209"/>
      <c r="X227" s="209"/>
      <c r="Y227" s="209"/>
      <c r="Z227" s="209"/>
      <c r="AA227" s="209"/>
      <c r="AB227" s="209"/>
      <c r="AC227" s="209"/>
      <c r="AD227" s="209"/>
      <c r="AE227" s="209"/>
      <c r="AF227" s="189"/>
      <c r="AG227" s="189"/>
      <c r="AH227" s="189"/>
      <c r="AI227" s="189"/>
      <c r="AJ227" s="189"/>
    </row>
    <row r="228" spans="1:36" s="88" customFormat="1" ht="11.25" x14ac:dyDescent="0.2">
      <c r="A228" s="188"/>
      <c r="B228" s="188"/>
      <c r="C228" s="189"/>
      <c r="D228" s="189"/>
      <c r="E228" s="189"/>
      <c r="F228" s="189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209"/>
      <c r="W228" s="209"/>
      <c r="X228" s="209"/>
      <c r="Y228" s="209"/>
      <c r="Z228" s="209"/>
      <c r="AA228" s="209"/>
      <c r="AB228" s="209"/>
      <c r="AC228" s="209"/>
      <c r="AD228" s="209"/>
      <c r="AE228" s="209"/>
      <c r="AF228" s="189"/>
      <c r="AG228" s="189"/>
      <c r="AH228" s="189"/>
      <c r="AI228" s="189"/>
      <c r="AJ228" s="189"/>
    </row>
    <row r="229" spans="1:36" s="88" customFormat="1" ht="11.25" x14ac:dyDescent="0.2">
      <c r="A229" s="188"/>
      <c r="B229" s="188"/>
      <c r="C229" s="189"/>
      <c r="D229" s="189"/>
      <c r="E229" s="189"/>
      <c r="F229" s="189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209"/>
      <c r="W229" s="209"/>
      <c r="X229" s="209"/>
      <c r="Y229" s="209"/>
      <c r="Z229" s="209"/>
      <c r="AA229" s="209"/>
      <c r="AB229" s="209"/>
      <c r="AC229" s="209"/>
      <c r="AD229" s="209"/>
      <c r="AE229" s="209"/>
      <c r="AF229" s="189"/>
      <c r="AG229" s="189"/>
      <c r="AH229" s="189"/>
      <c r="AI229" s="189"/>
      <c r="AJ229" s="189"/>
    </row>
    <row r="230" spans="1:36" s="88" customFormat="1" ht="11.25" x14ac:dyDescent="0.2">
      <c r="A230" s="188"/>
      <c r="B230" s="188"/>
      <c r="C230" s="189"/>
      <c r="D230" s="189"/>
      <c r="E230" s="189"/>
      <c r="F230" s="189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209"/>
      <c r="W230" s="209"/>
      <c r="X230" s="209"/>
      <c r="Y230" s="209"/>
      <c r="Z230" s="209"/>
      <c r="AA230" s="209"/>
      <c r="AB230" s="209"/>
      <c r="AC230" s="209"/>
      <c r="AD230" s="209"/>
      <c r="AE230" s="209"/>
      <c r="AF230" s="189"/>
      <c r="AG230" s="189"/>
      <c r="AH230" s="189"/>
      <c r="AI230" s="189"/>
      <c r="AJ230" s="189"/>
    </row>
    <row r="231" spans="1:36" s="88" customFormat="1" ht="11.25" x14ac:dyDescent="0.2">
      <c r="A231" s="188"/>
      <c r="B231" s="188"/>
      <c r="C231" s="189"/>
      <c r="D231" s="189"/>
      <c r="E231" s="189"/>
      <c r="F231" s="189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209"/>
      <c r="W231" s="209"/>
      <c r="X231" s="209"/>
      <c r="Y231" s="209"/>
      <c r="Z231" s="209"/>
      <c r="AA231" s="209"/>
      <c r="AB231" s="209"/>
      <c r="AC231" s="209"/>
      <c r="AD231" s="209"/>
      <c r="AE231" s="209"/>
      <c r="AF231" s="189"/>
      <c r="AG231" s="189"/>
      <c r="AH231" s="189"/>
      <c r="AI231" s="189"/>
      <c r="AJ231" s="189"/>
    </row>
    <row r="232" spans="1:36" s="88" customFormat="1" ht="11.25" x14ac:dyDescent="0.2">
      <c r="A232" s="188"/>
      <c r="B232" s="188"/>
      <c r="C232" s="189"/>
      <c r="D232" s="189"/>
      <c r="E232" s="189"/>
      <c r="F232" s="189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209"/>
      <c r="W232" s="209"/>
      <c r="X232" s="209"/>
      <c r="Y232" s="209"/>
      <c r="Z232" s="209"/>
      <c r="AA232" s="209"/>
      <c r="AB232" s="209"/>
      <c r="AC232" s="209"/>
      <c r="AD232" s="209"/>
      <c r="AE232" s="209"/>
      <c r="AF232" s="189"/>
      <c r="AG232" s="189"/>
      <c r="AH232" s="189"/>
      <c r="AI232" s="189"/>
      <c r="AJ232" s="189"/>
    </row>
  </sheetData>
  <mergeCells count="637">
    <mergeCell ref="A225:B225"/>
    <mergeCell ref="C225:F225"/>
    <mergeCell ref="G225:U225"/>
    <mergeCell ref="V225:AE225"/>
    <mergeCell ref="AF225:AJ225"/>
    <mergeCell ref="A223:B223"/>
    <mergeCell ref="C223:F223"/>
    <mergeCell ref="G223:U223"/>
    <mergeCell ref="V223:AE223"/>
    <mergeCell ref="AF223:AJ223"/>
    <mergeCell ref="A224:B224"/>
    <mergeCell ref="C224:F224"/>
    <mergeCell ref="G224:U224"/>
    <mergeCell ref="V224:AE224"/>
    <mergeCell ref="AF224:AJ224"/>
    <mergeCell ref="A221:B221"/>
    <mergeCell ref="C221:F221"/>
    <mergeCell ref="G221:U221"/>
    <mergeCell ref="V221:AE221"/>
    <mergeCell ref="AF221:AJ221"/>
    <mergeCell ref="A222:B222"/>
    <mergeCell ref="C222:F222"/>
    <mergeCell ref="G222:U222"/>
    <mergeCell ref="V222:AE222"/>
    <mergeCell ref="AF222:AJ222"/>
    <mergeCell ref="A219:B219"/>
    <mergeCell ref="C219:F219"/>
    <mergeCell ref="G219:U219"/>
    <mergeCell ref="V219:AE219"/>
    <mergeCell ref="AF219:AJ219"/>
    <mergeCell ref="A220:B220"/>
    <mergeCell ref="C220:F220"/>
    <mergeCell ref="G220:U220"/>
    <mergeCell ref="V220:AE220"/>
    <mergeCell ref="AF220:AJ220"/>
    <mergeCell ref="A157:B157"/>
    <mergeCell ref="C157:N157"/>
    <mergeCell ref="O157:U157"/>
    <mergeCell ref="V157:AD157"/>
    <mergeCell ref="AE157:AJ157"/>
    <mergeCell ref="A158:B158"/>
    <mergeCell ref="C158:N158"/>
    <mergeCell ref="O158:U158"/>
    <mergeCell ref="V158:AD158"/>
    <mergeCell ref="AE158:AJ158"/>
    <mergeCell ref="A155:B155"/>
    <mergeCell ref="C155:N155"/>
    <mergeCell ref="O155:U155"/>
    <mergeCell ref="V155:AD155"/>
    <mergeCell ref="AE155:AJ155"/>
    <mergeCell ref="A156:B156"/>
    <mergeCell ref="C156:N156"/>
    <mergeCell ref="O156:U156"/>
    <mergeCell ref="V156:AD156"/>
    <mergeCell ref="AE156:AJ156"/>
    <mergeCell ref="A153:B153"/>
    <mergeCell ref="C153:N153"/>
    <mergeCell ref="O153:U153"/>
    <mergeCell ref="V153:AD153"/>
    <mergeCell ref="AE153:AJ153"/>
    <mergeCell ref="A154:B154"/>
    <mergeCell ref="C154:N154"/>
    <mergeCell ref="O154:U154"/>
    <mergeCell ref="V154:AD154"/>
    <mergeCell ref="AE154:AJ154"/>
    <mergeCell ref="A151:B151"/>
    <mergeCell ref="C151:N151"/>
    <mergeCell ref="O151:U151"/>
    <mergeCell ref="V151:AD151"/>
    <mergeCell ref="AE151:AJ151"/>
    <mergeCell ref="A152:B152"/>
    <mergeCell ref="C152:N152"/>
    <mergeCell ref="O152:U152"/>
    <mergeCell ref="V152:AD152"/>
    <mergeCell ref="AE152:AJ152"/>
    <mergeCell ref="A149:B149"/>
    <mergeCell ref="C149:N149"/>
    <mergeCell ref="O149:U149"/>
    <mergeCell ref="V149:AD149"/>
    <mergeCell ref="AE149:AJ149"/>
    <mergeCell ref="A150:B150"/>
    <mergeCell ref="C150:N150"/>
    <mergeCell ref="O150:U150"/>
    <mergeCell ref="V150:AD150"/>
    <mergeCell ref="AE150:AJ150"/>
    <mergeCell ref="A147:B147"/>
    <mergeCell ref="C147:N147"/>
    <mergeCell ref="O147:U147"/>
    <mergeCell ref="V147:AD147"/>
    <mergeCell ref="AE147:AJ147"/>
    <mergeCell ref="A148:B148"/>
    <mergeCell ref="C148:N148"/>
    <mergeCell ref="O148:U148"/>
    <mergeCell ref="V148:AD148"/>
    <mergeCell ref="AE148:AJ148"/>
    <mergeCell ref="A145:B145"/>
    <mergeCell ref="C145:N145"/>
    <mergeCell ref="O145:U145"/>
    <mergeCell ref="V145:AD145"/>
    <mergeCell ref="AE145:AJ145"/>
    <mergeCell ref="A146:B146"/>
    <mergeCell ref="C146:N146"/>
    <mergeCell ref="O146:U146"/>
    <mergeCell ref="V146:AD146"/>
    <mergeCell ref="AE146:AJ146"/>
    <mergeCell ref="A143:B143"/>
    <mergeCell ref="C143:N143"/>
    <mergeCell ref="O143:U143"/>
    <mergeCell ref="V143:AD143"/>
    <mergeCell ref="AE143:AJ143"/>
    <mergeCell ref="A144:B144"/>
    <mergeCell ref="C144:N144"/>
    <mergeCell ref="O144:U144"/>
    <mergeCell ref="V144:AD144"/>
    <mergeCell ref="AE144:AJ144"/>
    <mergeCell ref="A165:B165"/>
    <mergeCell ref="C165:N165"/>
    <mergeCell ref="O165:U165"/>
    <mergeCell ref="V165:AD165"/>
    <mergeCell ref="AE165:AJ165"/>
    <mergeCell ref="A163:B163"/>
    <mergeCell ref="C163:N163"/>
    <mergeCell ref="O163:U163"/>
    <mergeCell ref="V163:AD163"/>
    <mergeCell ref="AE163:AJ163"/>
    <mergeCell ref="A164:B164"/>
    <mergeCell ref="C164:N164"/>
    <mergeCell ref="O164:U164"/>
    <mergeCell ref="V164:AD164"/>
    <mergeCell ref="AE164:AJ164"/>
    <mergeCell ref="A161:B161"/>
    <mergeCell ref="C161:N161"/>
    <mergeCell ref="O161:U161"/>
    <mergeCell ref="V161:AD161"/>
    <mergeCell ref="AE161:AJ161"/>
    <mergeCell ref="A162:B162"/>
    <mergeCell ref="C162:N162"/>
    <mergeCell ref="O162:U162"/>
    <mergeCell ref="V162:AD162"/>
    <mergeCell ref="AE162:AJ162"/>
    <mergeCell ref="A159:B159"/>
    <mergeCell ref="C159:N159"/>
    <mergeCell ref="O159:U159"/>
    <mergeCell ref="V159:AD159"/>
    <mergeCell ref="AE159:AJ159"/>
    <mergeCell ref="A160:B160"/>
    <mergeCell ref="C160:N160"/>
    <mergeCell ref="O160:U160"/>
    <mergeCell ref="V160:AD160"/>
    <mergeCell ref="AE160:AJ160"/>
    <mergeCell ref="A141:B141"/>
    <mergeCell ref="C141:N141"/>
    <mergeCell ref="O141:U141"/>
    <mergeCell ref="V141:AD141"/>
    <mergeCell ref="AE141:AJ141"/>
    <mergeCell ref="A142:B142"/>
    <mergeCell ref="C142:N142"/>
    <mergeCell ref="O142:U142"/>
    <mergeCell ref="V142:AD142"/>
    <mergeCell ref="AE142:AJ142"/>
    <mergeCell ref="A139:B139"/>
    <mergeCell ref="C139:N139"/>
    <mergeCell ref="O139:U139"/>
    <mergeCell ref="V139:AD139"/>
    <mergeCell ref="AE139:AJ139"/>
    <mergeCell ref="A140:B140"/>
    <mergeCell ref="C140:N140"/>
    <mergeCell ref="O140:U140"/>
    <mergeCell ref="V140:AD140"/>
    <mergeCell ref="AE140:AJ140"/>
    <mergeCell ref="A137:B137"/>
    <mergeCell ref="C137:N137"/>
    <mergeCell ref="O137:U137"/>
    <mergeCell ref="V137:AD137"/>
    <mergeCell ref="AE137:AJ137"/>
    <mergeCell ref="A138:B138"/>
    <mergeCell ref="C138:N138"/>
    <mergeCell ref="O138:U138"/>
    <mergeCell ref="V138:AD138"/>
    <mergeCell ref="AE138:AJ138"/>
    <mergeCell ref="A135:B135"/>
    <mergeCell ref="C135:N135"/>
    <mergeCell ref="O135:U135"/>
    <mergeCell ref="V135:AD135"/>
    <mergeCell ref="AE135:AJ135"/>
    <mergeCell ref="A136:B136"/>
    <mergeCell ref="C136:N136"/>
    <mergeCell ref="O136:U136"/>
    <mergeCell ref="V136:AD136"/>
    <mergeCell ref="AE136:AJ136"/>
    <mergeCell ref="A133:B133"/>
    <mergeCell ref="C133:N133"/>
    <mergeCell ref="O133:U133"/>
    <mergeCell ref="V133:AD133"/>
    <mergeCell ref="AE133:AJ133"/>
    <mergeCell ref="A134:B134"/>
    <mergeCell ref="C134:N134"/>
    <mergeCell ref="O134:U134"/>
    <mergeCell ref="V134:AD134"/>
    <mergeCell ref="AE134:AJ134"/>
    <mergeCell ref="A131:B131"/>
    <mergeCell ref="C131:N131"/>
    <mergeCell ref="O131:U131"/>
    <mergeCell ref="V131:AD131"/>
    <mergeCell ref="AE131:AJ131"/>
    <mergeCell ref="A132:B132"/>
    <mergeCell ref="C132:N132"/>
    <mergeCell ref="O132:U132"/>
    <mergeCell ref="V132:AD132"/>
    <mergeCell ref="AE132:AJ132"/>
    <mergeCell ref="A129:B129"/>
    <mergeCell ref="C129:N129"/>
    <mergeCell ref="O129:U129"/>
    <mergeCell ref="V129:AD129"/>
    <mergeCell ref="AE129:AJ129"/>
    <mergeCell ref="A130:B130"/>
    <mergeCell ref="C130:N130"/>
    <mergeCell ref="O130:U130"/>
    <mergeCell ref="V130:AD130"/>
    <mergeCell ref="AE130:AJ130"/>
    <mergeCell ref="O121:U121"/>
    <mergeCell ref="V121:AD121"/>
    <mergeCell ref="AE121:AJ121"/>
    <mergeCell ref="A122:B122"/>
    <mergeCell ref="C122:N122"/>
    <mergeCell ref="O122:U122"/>
    <mergeCell ref="V122:AD122"/>
    <mergeCell ref="AE122:AJ122"/>
    <mergeCell ref="A128:B128"/>
    <mergeCell ref="C128:N128"/>
    <mergeCell ref="O128:U128"/>
    <mergeCell ref="V128:AD128"/>
    <mergeCell ref="AE128:AJ128"/>
    <mergeCell ref="A124:AJ124"/>
    <mergeCell ref="AE126:AJ126"/>
    <mergeCell ref="A113:B113"/>
    <mergeCell ref="C113:N113"/>
    <mergeCell ref="O113:U113"/>
    <mergeCell ref="V113:AD113"/>
    <mergeCell ref="AE113:AJ113"/>
    <mergeCell ref="A114:B114"/>
    <mergeCell ref="C114:N114"/>
    <mergeCell ref="O114:U114"/>
    <mergeCell ref="V114:AD114"/>
    <mergeCell ref="AE114:AJ114"/>
    <mergeCell ref="O106:U106"/>
    <mergeCell ref="V106:AD106"/>
    <mergeCell ref="AE106:AJ106"/>
    <mergeCell ref="A112:B112"/>
    <mergeCell ref="C112:N112"/>
    <mergeCell ref="O112:U112"/>
    <mergeCell ref="V112:AD112"/>
    <mergeCell ref="AE112:AJ112"/>
    <mergeCell ref="A110:B110"/>
    <mergeCell ref="C110:N110"/>
    <mergeCell ref="O110:U110"/>
    <mergeCell ref="V110:AD110"/>
    <mergeCell ref="A108:AJ108"/>
    <mergeCell ref="A109:B109"/>
    <mergeCell ref="C109:N109"/>
    <mergeCell ref="O109:U109"/>
    <mergeCell ref="V109:AD109"/>
    <mergeCell ref="AE109:AJ109"/>
    <mergeCell ref="A111:B111"/>
    <mergeCell ref="C111:N111"/>
    <mergeCell ref="O111:U111"/>
    <mergeCell ref="V111:AD111"/>
    <mergeCell ref="A59:AJ59"/>
    <mergeCell ref="O104:U104"/>
    <mergeCell ref="V104:AD104"/>
    <mergeCell ref="AE104:AJ104"/>
    <mergeCell ref="A105:B105"/>
    <mergeCell ref="C105:N105"/>
    <mergeCell ref="O105:U105"/>
    <mergeCell ref="V105:AD105"/>
    <mergeCell ref="AE105:AJ105"/>
    <mergeCell ref="A98:B98"/>
    <mergeCell ref="C98:I98"/>
    <mergeCell ref="J98:N98"/>
    <mergeCell ref="O98:S98"/>
    <mergeCell ref="T98:AF98"/>
    <mergeCell ref="AG98:AJ98"/>
    <mergeCell ref="A100:AJ100"/>
    <mergeCell ref="AE103:AJ103"/>
    <mergeCell ref="A104:B104"/>
    <mergeCell ref="C104:N104"/>
    <mergeCell ref="AG96:AJ96"/>
    <mergeCell ref="A78:B78"/>
    <mergeCell ref="C78:I78"/>
    <mergeCell ref="J78:N78"/>
    <mergeCell ref="O78:S78"/>
    <mergeCell ref="T78:AF78"/>
    <mergeCell ref="AG78:AJ78"/>
    <mergeCell ref="T76:AF76"/>
    <mergeCell ref="AG76:AJ76"/>
    <mergeCell ref="A60:AJ60"/>
    <mergeCell ref="A77:B77"/>
    <mergeCell ref="C77:I77"/>
    <mergeCell ref="J77:N77"/>
    <mergeCell ref="O77:S77"/>
    <mergeCell ref="T77:AF77"/>
    <mergeCell ref="T73:AF73"/>
    <mergeCell ref="A65:AJ65"/>
    <mergeCell ref="A66:AJ66"/>
    <mergeCell ref="A67:AJ67"/>
    <mergeCell ref="A68:AJ68"/>
    <mergeCell ref="A69:AJ69"/>
    <mergeCell ref="A70:AJ70"/>
    <mergeCell ref="A56:B56"/>
    <mergeCell ref="C56:N56"/>
    <mergeCell ref="O56:U56"/>
    <mergeCell ref="V56:AD56"/>
    <mergeCell ref="AE56:AJ56"/>
    <mergeCell ref="AG39:AJ39"/>
    <mergeCell ref="A38:B38"/>
    <mergeCell ref="O52:U52"/>
    <mergeCell ref="V52:AD52"/>
    <mergeCell ref="J39:N39"/>
    <mergeCell ref="O39:S39"/>
    <mergeCell ref="C38:I38"/>
    <mergeCell ref="J38:N38"/>
    <mergeCell ref="O38:S38"/>
    <mergeCell ref="T38:AF38"/>
    <mergeCell ref="AG38:AJ38"/>
    <mergeCell ref="A43:AJ43"/>
    <mergeCell ref="A40:B40"/>
    <mergeCell ref="O53:U53"/>
    <mergeCell ref="A53:B53"/>
    <mergeCell ref="C53:N53"/>
    <mergeCell ref="C40:I40"/>
    <mergeCell ref="J40:N40"/>
    <mergeCell ref="O40:S40"/>
    <mergeCell ref="T40:AF40"/>
    <mergeCell ref="T39:AF39"/>
    <mergeCell ref="AG28:AJ28"/>
    <mergeCell ref="J28:N28"/>
    <mergeCell ref="AG40:AJ40"/>
    <mergeCell ref="A52:B52"/>
    <mergeCell ref="C52:N52"/>
    <mergeCell ref="O28:S28"/>
    <mergeCell ref="T28:AF28"/>
    <mergeCell ref="A28:B28"/>
    <mergeCell ref="C28:I28"/>
    <mergeCell ref="A33:AJ33"/>
    <mergeCell ref="A55:B55"/>
    <mergeCell ref="C55:N55"/>
    <mergeCell ref="O55:U55"/>
    <mergeCell ref="V55:AD55"/>
    <mergeCell ref="AE55:AJ55"/>
    <mergeCell ref="A54:B54"/>
    <mergeCell ref="C54:N54"/>
    <mergeCell ref="O54:U54"/>
    <mergeCell ref="V54:AD54"/>
    <mergeCell ref="AE54:AJ54"/>
    <mergeCell ref="C27:I27"/>
    <mergeCell ref="J27:N27"/>
    <mergeCell ref="O27:S27"/>
    <mergeCell ref="T27:AF27"/>
    <mergeCell ref="AG77:AJ77"/>
    <mergeCell ref="J93:N93"/>
    <mergeCell ref="O93:S93"/>
    <mergeCell ref="T93:AF93"/>
    <mergeCell ref="AG93:AJ93"/>
    <mergeCell ref="V53:AD53"/>
    <mergeCell ref="O73:S73"/>
    <mergeCell ref="A85:AJ85"/>
    <mergeCell ref="A86:AJ86"/>
    <mergeCell ref="A87:AJ87"/>
    <mergeCell ref="A42:AJ42"/>
    <mergeCell ref="A34:AJ34"/>
    <mergeCell ref="A36:AJ36"/>
    <mergeCell ref="A37:B37"/>
    <mergeCell ref="C37:I37"/>
    <mergeCell ref="J37:N37"/>
    <mergeCell ref="O37:S37"/>
    <mergeCell ref="T37:AF37"/>
    <mergeCell ref="AG37:AJ37"/>
    <mergeCell ref="AG27:AJ27"/>
    <mergeCell ref="A81:AJ81"/>
    <mergeCell ref="A82:AJ82"/>
    <mergeCell ref="AF230:AJ230"/>
    <mergeCell ref="A119:B119"/>
    <mergeCell ref="C119:N119"/>
    <mergeCell ref="O119:U119"/>
    <mergeCell ref="V119:AD119"/>
    <mergeCell ref="AE119:AJ119"/>
    <mergeCell ref="A116:AJ116"/>
    <mergeCell ref="A117:B117"/>
    <mergeCell ref="C117:N117"/>
    <mergeCell ref="O117:U117"/>
    <mergeCell ref="V117:AD117"/>
    <mergeCell ref="AE117:AJ117"/>
    <mergeCell ref="A118:B118"/>
    <mergeCell ref="C118:N118"/>
    <mergeCell ref="O118:U118"/>
    <mergeCell ref="V118:AD118"/>
    <mergeCell ref="AE118:AJ118"/>
    <mergeCell ref="A120:B120"/>
    <mergeCell ref="C120:N120"/>
    <mergeCell ref="O120:U120"/>
    <mergeCell ref="A106:B106"/>
    <mergeCell ref="C106:N106"/>
    <mergeCell ref="V120:AD120"/>
    <mergeCell ref="AE120:AJ120"/>
    <mergeCell ref="A121:B121"/>
    <mergeCell ref="C121:N121"/>
    <mergeCell ref="A228:B228"/>
    <mergeCell ref="C228:F228"/>
    <mergeCell ref="G228:U228"/>
    <mergeCell ref="V228:AE228"/>
    <mergeCell ref="AF228:AJ228"/>
    <mergeCell ref="V226:AE226"/>
    <mergeCell ref="AF226:AJ226"/>
    <mergeCell ref="A227:B227"/>
    <mergeCell ref="C227:F227"/>
    <mergeCell ref="G227:U227"/>
    <mergeCell ref="V227:AE227"/>
    <mergeCell ref="AF227:AJ227"/>
    <mergeCell ref="A226:B226"/>
    <mergeCell ref="C226:F226"/>
    <mergeCell ref="G226:U226"/>
    <mergeCell ref="V217:AE217"/>
    <mergeCell ref="AF217:AJ217"/>
    <mergeCell ref="A218:B218"/>
    <mergeCell ref="C218:F218"/>
    <mergeCell ref="G218:U218"/>
    <mergeCell ref="A232:B232"/>
    <mergeCell ref="C232:F232"/>
    <mergeCell ref="G232:U232"/>
    <mergeCell ref="V232:AE232"/>
    <mergeCell ref="AF232:AJ232"/>
    <mergeCell ref="A231:B231"/>
    <mergeCell ref="C231:F231"/>
    <mergeCell ref="G231:U231"/>
    <mergeCell ref="V231:AE231"/>
    <mergeCell ref="AF231:AJ231"/>
    <mergeCell ref="A229:B229"/>
    <mergeCell ref="C229:F229"/>
    <mergeCell ref="G229:U229"/>
    <mergeCell ref="V229:AE229"/>
    <mergeCell ref="AF229:AJ229"/>
    <mergeCell ref="A230:B230"/>
    <mergeCell ref="C230:F230"/>
    <mergeCell ref="G230:U230"/>
    <mergeCell ref="V230:AE230"/>
    <mergeCell ref="V218:AE218"/>
    <mergeCell ref="AF218:AJ218"/>
    <mergeCell ref="A217:B217"/>
    <mergeCell ref="C217:F217"/>
    <mergeCell ref="G217:U217"/>
    <mergeCell ref="A193:AJ193"/>
    <mergeCell ref="V195:AJ195"/>
    <mergeCell ref="V196:AJ196"/>
    <mergeCell ref="J195:T195"/>
    <mergeCell ref="J196:T196"/>
    <mergeCell ref="A216:AJ216"/>
    <mergeCell ref="A197:C197"/>
    <mergeCell ref="A198:C198"/>
    <mergeCell ref="F198:H198"/>
    <mergeCell ref="E199:I199"/>
    <mergeCell ref="A195:H195"/>
    <mergeCell ref="A196:H196"/>
    <mergeCell ref="A212:H212"/>
    <mergeCell ref="J212:T212"/>
    <mergeCell ref="V212:AJ212"/>
    <mergeCell ref="X214:Y214"/>
    <mergeCell ref="AA214:AD214"/>
    <mergeCell ref="AF214:AH214"/>
    <mergeCell ref="B200:L204"/>
    <mergeCell ref="A208:AJ208"/>
    <mergeCell ref="A209:AJ209"/>
    <mergeCell ref="A211:H211"/>
    <mergeCell ref="J211:T211"/>
    <mergeCell ref="V211:AJ211"/>
    <mergeCell ref="A88:AJ88"/>
    <mergeCell ref="A184:AJ184"/>
    <mergeCell ref="H186:AJ186"/>
    <mergeCell ref="H185:AJ185"/>
    <mergeCell ref="J188:L188"/>
    <mergeCell ref="V192:AB192"/>
    <mergeCell ref="AE192:AJ192"/>
    <mergeCell ref="A173:AJ173"/>
    <mergeCell ref="A181:AJ181"/>
    <mergeCell ref="H182:AJ182"/>
    <mergeCell ref="H183:AJ183"/>
    <mergeCell ref="A176:AJ176"/>
    <mergeCell ref="AG94:AJ94"/>
    <mergeCell ref="A97:B97"/>
    <mergeCell ref="C97:I97"/>
    <mergeCell ref="J97:N97"/>
    <mergeCell ref="O97:S97"/>
    <mergeCell ref="T97:AF97"/>
    <mergeCell ref="AG97:AJ97"/>
    <mergeCell ref="J96:N96"/>
    <mergeCell ref="O96:S96"/>
    <mergeCell ref="T96:AF96"/>
    <mergeCell ref="AE51:AJ51"/>
    <mergeCell ref="A31:AJ31"/>
    <mergeCell ref="A94:B94"/>
    <mergeCell ref="C94:I94"/>
    <mergeCell ref="J94:N94"/>
    <mergeCell ref="O94:S94"/>
    <mergeCell ref="T94:AF94"/>
    <mergeCell ref="A89:AJ89"/>
    <mergeCell ref="A92:AJ92"/>
    <mergeCell ref="A90:AJ90"/>
    <mergeCell ref="A93:B93"/>
    <mergeCell ref="C93:I93"/>
    <mergeCell ref="J74:N74"/>
    <mergeCell ref="AG73:AJ73"/>
    <mergeCell ref="O74:S74"/>
    <mergeCell ref="T74:AF74"/>
    <mergeCell ref="AG74:AJ74"/>
    <mergeCell ref="C73:I73"/>
    <mergeCell ref="J73:N73"/>
    <mergeCell ref="T95:AF95"/>
    <mergeCell ref="AG95:AJ95"/>
    <mergeCell ref="A1:AJ1"/>
    <mergeCell ref="A2:AJ2"/>
    <mergeCell ref="AE53:AJ53"/>
    <mergeCell ref="T75:AF75"/>
    <mergeCell ref="AG75:AJ75"/>
    <mergeCell ref="A75:B75"/>
    <mergeCell ref="C75:I75"/>
    <mergeCell ref="J75:N75"/>
    <mergeCell ref="A80:AJ80"/>
    <mergeCell ref="O75:S75"/>
    <mergeCell ref="A76:B76"/>
    <mergeCell ref="C76:I76"/>
    <mergeCell ref="J76:N76"/>
    <mergeCell ref="O76:S76"/>
    <mergeCell ref="A74:B74"/>
    <mergeCell ref="C74:I74"/>
    <mergeCell ref="A72:AJ72"/>
    <mergeCell ref="A73:B73"/>
    <mergeCell ref="A58:AJ58"/>
    <mergeCell ref="A61:AJ61"/>
    <mergeCell ref="A62:AJ62"/>
    <mergeCell ref="A17:AJ17"/>
    <mergeCell ref="A18:AJ18"/>
    <mergeCell ref="A27:B27"/>
    <mergeCell ref="A169:AJ169"/>
    <mergeCell ref="A170:AJ170"/>
    <mergeCell ref="A171:AJ171"/>
    <mergeCell ref="A95:B95"/>
    <mergeCell ref="C95:I95"/>
    <mergeCell ref="J95:N95"/>
    <mergeCell ref="O95:S95"/>
    <mergeCell ref="A101:B101"/>
    <mergeCell ref="C101:N101"/>
    <mergeCell ref="O101:U101"/>
    <mergeCell ref="V101:AD101"/>
    <mergeCell ref="AE101:AJ101"/>
    <mergeCell ref="A102:B102"/>
    <mergeCell ref="C102:N102"/>
    <mergeCell ref="O102:U102"/>
    <mergeCell ref="V102:AD102"/>
    <mergeCell ref="AE110:AJ110"/>
    <mergeCell ref="AE102:AJ102"/>
    <mergeCell ref="A103:B103"/>
    <mergeCell ref="C103:N103"/>
    <mergeCell ref="O103:U103"/>
    <mergeCell ref="V103:AD103"/>
    <mergeCell ref="A96:B96"/>
    <mergeCell ref="C96:I96"/>
    <mergeCell ref="O24:S24"/>
    <mergeCell ref="T24:AF24"/>
    <mergeCell ref="A23:B23"/>
    <mergeCell ref="AE52:AJ52"/>
    <mergeCell ref="A48:AJ48"/>
    <mergeCell ref="A50:AJ50"/>
    <mergeCell ref="A51:B51"/>
    <mergeCell ref="C51:N51"/>
    <mergeCell ref="O51:U51"/>
    <mergeCell ref="V51:AD51"/>
    <mergeCell ref="A47:AJ47"/>
    <mergeCell ref="AG24:AJ24"/>
    <mergeCell ref="A25:B25"/>
    <mergeCell ref="C25:I25"/>
    <mergeCell ref="J25:N25"/>
    <mergeCell ref="O25:S25"/>
    <mergeCell ref="T25:AF25"/>
    <mergeCell ref="A44:AJ44"/>
    <mergeCell ref="A45:AJ45"/>
    <mergeCell ref="A46:AJ46"/>
    <mergeCell ref="A39:B39"/>
    <mergeCell ref="C39:I39"/>
    <mergeCell ref="AG25:AJ25"/>
    <mergeCell ref="A32:AJ32"/>
    <mergeCell ref="O26:S26"/>
    <mergeCell ref="T26:AF26"/>
    <mergeCell ref="AG26:AJ26"/>
    <mergeCell ref="A3:AJ3"/>
    <mergeCell ref="A6:B6"/>
    <mergeCell ref="C6:AJ6"/>
    <mergeCell ref="C7:AJ7"/>
    <mergeCell ref="A10:AJ10"/>
    <mergeCell ref="Q4:U4"/>
    <mergeCell ref="A26:B26"/>
    <mergeCell ref="A13:AJ13"/>
    <mergeCell ref="A14:AJ14"/>
    <mergeCell ref="A15:AJ15"/>
    <mergeCell ref="A16:AJ16"/>
    <mergeCell ref="A19:AJ19"/>
    <mergeCell ref="A20:AJ20"/>
    <mergeCell ref="A24:B24"/>
    <mergeCell ref="C24:I24"/>
    <mergeCell ref="AG23:AJ23"/>
    <mergeCell ref="C23:I23"/>
    <mergeCell ref="J23:N23"/>
    <mergeCell ref="O23:S23"/>
    <mergeCell ref="T23:AF23"/>
    <mergeCell ref="J24:N24"/>
    <mergeCell ref="A8:AJ9"/>
    <mergeCell ref="A177:AJ177"/>
    <mergeCell ref="A178:AJ178"/>
    <mergeCell ref="A179:AJ179"/>
    <mergeCell ref="A127:B127"/>
    <mergeCell ref="C127:N127"/>
    <mergeCell ref="O127:U127"/>
    <mergeCell ref="V127:AD127"/>
    <mergeCell ref="AE127:AJ127"/>
    <mergeCell ref="A168:AJ168"/>
    <mergeCell ref="AE111:AJ111"/>
    <mergeCell ref="A172:AJ172"/>
    <mergeCell ref="A125:B125"/>
    <mergeCell ref="C125:N125"/>
    <mergeCell ref="O125:U125"/>
    <mergeCell ref="V125:AD125"/>
    <mergeCell ref="AE125:AJ125"/>
    <mergeCell ref="A126:B126"/>
    <mergeCell ref="C126:N126"/>
    <mergeCell ref="O126:U126"/>
    <mergeCell ref="V126:AD126"/>
    <mergeCell ref="A22:AJ22"/>
    <mergeCell ref="C26:I26"/>
    <mergeCell ref="J26:N26"/>
  </mergeCells>
  <phoneticPr fontId="0" type="noConversion"/>
  <pageMargins left="0.70866141732283472" right="0.19685039370078741" top="0.23622047244094491" bottom="0.27559055118110237" header="0" footer="0"/>
  <pageSetup paperSize="9" scale="96" fitToHeight="2" orientation="portrait" r:id="rId1"/>
  <headerFooter alignWithMargins="0"/>
  <rowBreaks count="3" manualBreakCount="3">
    <brk id="40" max="35" man="1"/>
    <brk id="99" max="35" man="1"/>
    <brk id="174" max="3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indexed="17"/>
  </sheetPr>
  <dimension ref="A1:F62"/>
  <sheetViews>
    <sheetView view="pageBreakPreview" topLeftCell="A13" zoomScale="90" zoomScaleNormal="100" zoomScaleSheetLayoutView="90" workbookViewId="0">
      <selection activeCell="J5" sqref="J5"/>
    </sheetView>
  </sheetViews>
  <sheetFormatPr defaultRowHeight="12.75" x14ac:dyDescent="0.2"/>
  <cols>
    <col min="1" max="1" width="6.42578125" customWidth="1"/>
    <col min="2" max="5" width="17.42578125" customWidth="1"/>
    <col min="6" max="6" width="19.7109375" customWidth="1"/>
  </cols>
  <sheetData>
    <row r="1" spans="1:6" ht="21" customHeight="1" x14ac:dyDescent="0.2">
      <c r="A1" s="236" t="s">
        <v>20</v>
      </c>
      <c r="B1" s="236"/>
      <c r="C1" s="236"/>
      <c r="D1" s="236"/>
      <c r="E1" s="236"/>
      <c r="F1" s="236"/>
    </row>
    <row r="2" spans="1:6" ht="51" customHeight="1" thickBot="1" x14ac:dyDescent="0.25">
      <c r="A2" s="235" t="s">
        <v>123</v>
      </c>
      <c r="B2" s="235"/>
      <c r="C2" s="235"/>
      <c r="D2" s="235"/>
      <c r="E2" s="235"/>
      <c r="F2" s="235"/>
    </row>
    <row r="3" spans="1:6" ht="113.25" thickBot="1" x14ac:dyDescent="0.25">
      <c r="A3" s="19" t="s">
        <v>126</v>
      </c>
      <c r="B3" s="19" t="s">
        <v>93</v>
      </c>
      <c r="C3" s="19" t="s">
        <v>94</v>
      </c>
      <c r="D3" s="19" t="s">
        <v>19</v>
      </c>
      <c r="E3" s="19" t="s">
        <v>95</v>
      </c>
      <c r="F3" s="19" t="s">
        <v>96</v>
      </c>
    </row>
    <row r="4" spans="1:6" ht="13.5" thickBot="1" x14ac:dyDescent="0.25">
      <c r="A4" s="19">
        <v>1</v>
      </c>
      <c r="B4" s="19">
        <v>2</v>
      </c>
      <c r="C4" s="19">
        <v>3</v>
      </c>
      <c r="D4" s="19">
        <v>4</v>
      </c>
      <c r="E4" s="19">
        <v>5</v>
      </c>
      <c r="F4" s="19">
        <v>6</v>
      </c>
    </row>
    <row r="5" spans="1:6" ht="51" customHeight="1" thickBot="1" x14ac:dyDescent="0.25">
      <c r="A5" s="19"/>
      <c r="B5" s="19"/>
      <c r="C5" s="19"/>
      <c r="D5" s="142">
        <f>'Данные объект'!B7</f>
      </c>
      <c r="E5" s="142">
        <f>'Данные объект'!B8</f>
      </c>
      <c r="F5" s="155" t="str">
        <f>'Данные объект'!C21</f>
      </c>
    </row>
    <row r="6" spans="1:6" ht="51" customHeight="1" thickBot="1" x14ac:dyDescent="0.25">
      <c r="A6" s="19"/>
      <c r="B6" s="19"/>
      <c r="C6" s="19"/>
      <c r="D6" s="130">
        <f>'Данные объект'!B7</f>
      </c>
      <c r="E6" s="130">
        <f>'Данные объект'!B8</f>
      </c>
      <c r="F6" s="155" t="str">
        <f>'Данные объект'!C21</f>
      </c>
    </row>
    <row r="7" spans="1:6" ht="51" customHeight="1" thickBot="1" x14ac:dyDescent="0.25">
      <c r="A7" s="19"/>
      <c r="B7" s="19"/>
      <c r="C7" s="19"/>
      <c r="D7" s="130">
        <f>'Данные объект'!B7</f>
      </c>
      <c r="E7" s="130">
        <f>'Данные объект'!B8</f>
      </c>
      <c r="F7" s="155" t="str">
        <f>'Данные объект'!C21</f>
      </c>
    </row>
    <row r="8" spans="1:6" ht="13.5" thickBot="1" x14ac:dyDescent="0.25">
      <c r="A8" s="19"/>
      <c r="B8" s="19"/>
      <c r="C8" s="19"/>
      <c r="D8" s="19"/>
      <c r="E8" s="19"/>
      <c r="F8" s="19"/>
    </row>
    <row r="9" spans="1:6" ht="13.5" thickBot="1" x14ac:dyDescent="0.25">
      <c r="A9" s="19"/>
      <c r="B9" s="19"/>
      <c r="C9" s="19"/>
      <c r="D9" s="19"/>
      <c r="E9" s="19"/>
      <c r="F9" s="19"/>
    </row>
    <row r="10" spans="1:6" ht="13.5" thickBot="1" x14ac:dyDescent="0.25">
      <c r="A10" s="19"/>
      <c r="B10" s="19"/>
      <c r="C10" s="19"/>
      <c r="D10" s="19"/>
      <c r="E10" s="19"/>
      <c r="F10" s="19"/>
    </row>
    <row r="11" spans="1:6" ht="13.5" thickBot="1" x14ac:dyDescent="0.25">
      <c r="A11" s="19"/>
      <c r="B11" s="19"/>
      <c r="C11" s="19"/>
      <c r="D11" s="19"/>
      <c r="E11" s="19"/>
      <c r="F11" s="19"/>
    </row>
    <row r="12" spans="1:6" ht="13.5" thickBot="1" x14ac:dyDescent="0.25">
      <c r="A12" s="19"/>
      <c r="B12" s="19"/>
      <c r="C12" s="19"/>
      <c r="D12" s="19"/>
      <c r="E12" s="19"/>
      <c r="F12" s="19"/>
    </row>
    <row r="13" spans="1:6" ht="13.5" thickBot="1" x14ac:dyDescent="0.25">
      <c r="A13" s="19"/>
      <c r="B13" s="19"/>
      <c r="C13" s="19"/>
      <c r="D13" s="19"/>
      <c r="E13" s="19"/>
      <c r="F13" s="19"/>
    </row>
    <row r="14" spans="1:6" ht="13.5" thickBot="1" x14ac:dyDescent="0.25">
      <c r="A14" s="19"/>
      <c r="B14" s="19"/>
      <c r="C14" s="19"/>
      <c r="D14" s="19"/>
      <c r="E14" s="19"/>
      <c r="F14" s="19"/>
    </row>
    <row r="15" spans="1:6" ht="13.5" thickBot="1" x14ac:dyDescent="0.25">
      <c r="A15" s="19"/>
      <c r="B15" s="19"/>
      <c r="C15" s="19"/>
      <c r="D15" s="19"/>
      <c r="E15" s="19"/>
      <c r="F15" s="19"/>
    </row>
    <row r="16" spans="1:6" ht="13.5" thickBot="1" x14ac:dyDescent="0.25">
      <c r="A16" s="19"/>
      <c r="B16" s="19"/>
      <c r="C16" s="19"/>
      <c r="D16" s="19"/>
      <c r="E16" s="19"/>
      <c r="F16" s="19"/>
    </row>
    <row r="17" spans="1:6" ht="13.5" thickBot="1" x14ac:dyDescent="0.25">
      <c r="A17" s="19"/>
      <c r="B17" s="19"/>
      <c r="C17" s="19"/>
      <c r="D17" s="19"/>
      <c r="E17" s="19"/>
      <c r="F17" s="19"/>
    </row>
    <row r="18" spans="1:6" ht="13.5" thickBot="1" x14ac:dyDescent="0.25">
      <c r="A18" s="19"/>
      <c r="B18" s="19"/>
      <c r="C18" s="19"/>
      <c r="D18" s="19"/>
      <c r="E18" s="19"/>
      <c r="F18" s="19"/>
    </row>
    <row r="19" spans="1:6" ht="13.5" thickBot="1" x14ac:dyDescent="0.25">
      <c r="A19" s="19"/>
      <c r="B19" s="19"/>
      <c r="C19" s="19"/>
      <c r="D19" s="19"/>
      <c r="E19" s="19"/>
      <c r="F19" s="19"/>
    </row>
    <row r="20" spans="1:6" ht="13.5" thickBot="1" x14ac:dyDescent="0.25">
      <c r="A20" s="19"/>
      <c r="B20" s="19"/>
      <c r="C20" s="19"/>
      <c r="D20" s="19"/>
      <c r="E20" s="19"/>
      <c r="F20" s="19"/>
    </row>
    <row r="21" spans="1:6" ht="13.5" thickBot="1" x14ac:dyDescent="0.25">
      <c r="A21" s="19"/>
      <c r="B21" s="19"/>
      <c r="C21" s="19"/>
      <c r="D21" s="19"/>
      <c r="E21" s="19"/>
      <c r="F21" s="19"/>
    </row>
    <row r="22" spans="1:6" ht="13.5" thickBot="1" x14ac:dyDescent="0.25">
      <c r="A22" s="19"/>
      <c r="B22" s="19"/>
      <c r="C22" s="19"/>
      <c r="D22" s="19"/>
      <c r="E22" s="19"/>
      <c r="F22" s="19"/>
    </row>
    <row r="23" spans="1:6" ht="13.5" thickBot="1" x14ac:dyDescent="0.25">
      <c r="A23" s="19"/>
      <c r="B23" s="19"/>
      <c r="C23" s="19"/>
      <c r="D23" s="19"/>
      <c r="E23" s="19"/>
      <c r="F23" s="19"/>
    </row>
    <row r="24" spans="1:6" ht="13.5" thickBot="1" x14ac:dyDescent="0.25">
      <c r="A24" s="19"/>
      <c r="B24" s="19"/>
      <c r="C24" s="19"/>
      <c r="D24" s="19"/>
      <c r="E24" s="19"/>
      <c r="F24" s="19"/>
    </row>
    <row r="25" spans="1:6" ht="13.5" thickBot="1" x14ac:dyDescent="0.25">
      <c r="A25" s="19"/>
      <c r="B25" s="19"/>
      <c r="C25" s="19"/>
      <c r="D25" s="19"/>
      <c r="E25" s="19"/>
      <c r="F25" s="19"/>
    </row>
    <row r="26" spans="1:6" ht="13.5" thickBot="1" x14ac:dyDescent="0.25">
      <c r="A26" s="19"/>
      <c r="B26" s="19"/>
      <c r="C26" s="19"/>
      <c r="D26" s="19"/>
      <c r="E26" s="19"/>
      <c r="F26" s="19"/>
    </row>
    <row r="27" spans="1:6" ht="13.5" thickBot="1" x14ac:dyDescent="0.25">
      <c r="A27" s="19"/>
      <c r="B27" s="19"/>
      <c r="C27" s="19"/>
      <c r="D27" s="19"/>
      <c r="E27" s="19"/>
      <c r="F27" s="19"/>
    </row>
    <row r="28" spans="1:6" ht="13.5" thickBot="1" x14ac:dyDescent="0.25">
      <c r="A28" s="19"/>
      <c r="B28" s="19"/>
      <c r="C28" s="19"/>
      <c r="D28" s="19"/>
      <c r="E28" s="19"/>
      <c r="F28" s="19"/>
    </row>
    <row r="29" spans="1:6" ht="13.5" thickBot="1" x14ac:dyDescent="0.25">
      <c r="A29" s="19"/>
      <c r="B29" s="19"/>
      <c r="C29" s="19"/>
      <c r="D29" s="19"/>
      <c r="E29" s="19"/>
      <c r="F29" s="19"/>
    </row>
    <row r="30" spans="1:6" ht="13.5" thickBot="1" x14ac:dyDescent="0.25">
      <c r="A30" s="19"/>
      <c r="B30" s="19"/>
      <c r="C30" s="19"/>
      <c r="D30" s="19"/>
      <c r="E30" s="19"/>
      <c r="F30" s="19"/>
    </row>
    <row r="31" spans="1:6" ht="13.5" thickBot="1" x14ac:dyDescent="0.25">
      <c r="A31" s="19"/>
      <c r="B31" s="19"/>
      <c r="C31" s="19"/>
      <c r="D31" s="19"/>
      <c r="E31" s="19"/>
      <c r="F31" s="19"/>
    </row>
    <row r="32" spans="1:6" ht="13.5" thickBot="1" x14ac:dyDescent="0.25">
      <c r="A32" s="19"/>
      <c r="B32" s="19"/>
      <c r="C32" s="19"/>
      <c r="D32" s="19"/>
      <c r="E32" s="19"/>
      <c r="F32" s="19"/>
    </row>
    <row r="33" spans="1:6" ht="13.5" thickBot="1" x14ac:dyDescent="0.25">
      <c r="A33" s="19"/>
      <c r="B33" s="19"/>
      <c r="C33" s="19"/>
      <c r="D33" s="19"/>
      <c r="E33" s="19"/>
      <c r="F33" s="19"/>
    </row>
    <row r="34" spans="1:6" ht="13.5" thickBot="1" x14ac:dyDescent="0.25">
      <c r="A34" s="19"/>
      <c r="B34" s="19"/>
      <c r="C34" s="19"/>
      <c r="D34" s="19"/>
      <c r="E34" s="19"/>
      <c r="F34" s="19"/>
    </row>
    <row r="35" spans="1:6" ht="13.5" thickBot="1" x14ac:dyDescent="0.25">
      <c r="A35" s="19"/>
      <c r="B35" s="19"/>
      <c r="C35" s="19"/>
      <c r="D35" s="19"/>
      <c r="E35" s="19"/>
      <c r="F35" s="19"/>
    </row>
    <row r="36" spans="1:6" ht="13.5" thickBot="1" x14ac:dyDescent="0.25">
      <c r="A36" s="19"/>
      <c r="B36" s="19"/>
      <c r="C36" s="19"/>
      <c r="D36" s="19"/>
      <c r="E36" s="19"/>
      <c r="F36" s="19"/>
    </row>
    <row r="37" spans="1:6" ht="13.5" thickBot="1" x14ac:dyDescent="0.25">
      <c r="A37" s="19"/>
      <c r="B37" s="19"/>
      <c r="C37" s="19"/>
      <c r="D37" s="19"/>
      <c r="E37" s="19"/>
      <c r="F37" s="19"/>
    </row>
    <row r="38" spans="1:6" ht="13.5" thickBot="1" x14ac:dyDescent="0.25">
      <c r="A38" s="19"/>
      <c r="B38" s="19"/>
      <c r="C38" s="19"/>
      <c r="D38" s="19"/>
      <c r="E38" s="19"/>
      <c r="F38" s="19"/>
    </row>
    <row r="39" spans="1:6" ht="13.5" thickBot="1" x14ac:dyDescent="0.25">
      <c r="A39" s="19"/>
      <c r="B39" s="19"/>
      <c r="C39" s="19"/>
      <c r="D39" s="19"/>
      <c r="E39" s="19"/>
      <c r="F39" s="19"/>
    </row>
    <row r="40" spans="1:6" x14ac:dyDescent="0.2">
      <c r="A40" s="19"/>
      <c r="B40" s="19"/>
      <c r="C40" s="19"/>
      <c r="D40" s="19"/>
      <c r="E40" s="19"/>
      <c r="F40" s="19"/>
    </row>
    <row r="41" spans="1:6" ht="13.5" hidden="1" thickBot="1" x14ac:dyDescent="0.25">
      <c r="A41" s="19"/>
      <c r="B41" s="19"/>
      <c r="C41" s="19"/>
      <c r="D41" s="19"/>
      <c r="E41" s="19"/>
      <c r="F41" s="19"/>
    </row>
    <row r="42" spans="1:6" ht="13.5" hidden="1" thickBot="1" x14ac:dyDescent="0.25">
      <c r="A42" s="19"/>
      <c r="B42" s="19"/>
      <c r="C42" s="19"/>
      <c r="D42" s="19"/>
      <c r="E42" s="19"/>
      <c r="F42" s="19"/>
    </row>
    <row r="43" spans="1:6" ht="13.5" hidden="1" thickBot="1" x14ac:dyDescent="0.25">
      <c r="A43" s="19"/>
      <c r="B43" s="19"/>
      <c r="C43" s="19"/>
      <c r="D43" s="19"/>
      <c r="E43" s="19"/>
      <c r="F43" s="19"/>
    </row>
    <row r="44" spans="1:6" hidden="1" x14ac:dyDescent="0.2">
      <c r="A44" s="19"/>
      <c r="B44" s="19"/>
      <c r="C44" s="19"/>
      <c r="D44" s="19"/>
      <c r="E44" s="19"/>
      <c r="F44" s="19"/>
    </row>
    <row r="45" spans="1:6" ht="13.5" hidden="1" thickBot="1" x14ac:dyDescent="0.25">
      <c r="A45" s="21"/>
      <c r="B45" s="21"/>
      <c r="C45" s="21"/>
      <c r="D45" s="21"/>
      <c r="E45" s="21"/>
      <c r="F45" s="21"/>
    </row>
    <row r="46" spans="1:6" ht="0.75" hidden="1" customHeight="1" x14ac:dyDescent="0.2">
      <c r="A46" s="2"/>
      <c r="B46" s="2"/>
      <c r="C46" s="2"/>
      <c r="D46" s="2"/>
      <c r="E46" s="2"/>
      <c r="F46" s="2"/>
    </row>
    <row r="47" spans="1:6" hidden="1" x14ac:dyDescent="0.2"/>
    <row r="48" spans="1:6" hidden="1" x14ac:dyDescent="0.2"/>
    <row r="49" hidden="1" x14ac:dyDescent="0.2"/>
    <row r="50" hidden="1" x14ac:dyDescent="0.2"/>
    <row r="51" hidden="1" x14ac:dyDescent="0.2"/>
    <row r="52" hidden="1" x14ac:dyDescent="0.2"/>
    <row r="53" hidden="1" x14ac:dyDescent="0.2"/>
    <row r="54" hidden="1" x14ac:dyDescent="0.2"/>
    <row r="55" hidden="1" x14ac:dyDescent="0.2"/>
    <row r="56" hidden="1" x14ac:dyDescent="0.2"/>
    <row r="57" hidden="1" x14ac:dyDescent="0.2"/>
    <row r="58" hidden="1" x14ac:dyDescent="0.2"/>
    <row r="59" hidden="1" x14ac:dyDescent="0.2"/>
    <row r="60" hidden="1" x14ac:dyDescent="0.2"/>
    <row r="61" hidden="1" x14ac:dyDescent="0.2"/>
    <row r="62" hidden="1" x14ac:dyDescent="0.2"/>
  </sheetData>
  <mergeCells count="2">
    <mergeCell ref="A2:F2"/>
    <mergeCell ref="A1:F1"/>
  </mergeCells>
  <phoneticPr fontId="12" type="noConversion"/>
  <pageMargins left="0.78740157480314965" right="0.19685039370078741" top="0.39370078740157483" bottom="0.39370078740157483" header="0.51181102362204722" footer="0.51181102362204722"/>
  <pageSetup paperSize="9" scale="98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indexed="17"/>
  </sheetPr>
  <dimension ref="A1:E51"/>
  <sheetViews>
    <sheetView view="pageBreakPreview" zoomScaleNormal="145" zoomScaleSheetLayoutView="100" workbookViewId="0">
      <selection activeCell="K7" sqref="K7"/>
    </sheetView>
  </sheetViews>
  <sheetFormatPr defaultRowHeight="12.75" x14ac:dyDescent="0.2"/>
  <cols>
    <col min="1" max="1" width="6.7109375" customWidth="1"/>
    <col min="2" max="2" width="21.5703125" customWidth="1"/>
    <col min="3" max="3" width="31.7109375" customWidth="1"/>
    <col min="4" max="4" width="17.85546875" customWidth="1"/>
    <col min="5" max="5" width="16.5703125" customWidth="1"/>
  </cols>
  <sheetData>
    <row r="1" spans="1:5" x14ac:dyDescent="0.2">
      <c r="A1" s="237" t="s">
        <v>23</v>
      </c>
      <c r="B1" s="237"/>
      <c r="C1" s="237"/>
      <c r="D1" s="237"/>
      <c r="E1" s="237"/>
    </row>
    <row r="2" spans="1:5" ht="35.25" customHeight="1" thickBot="1" x14ac:dyDescent="0.25">
      <c r="A2" s="235" t="s">
        <v>24</v>
      </c>
      <c r="B2" s="238"/>
      <c r="C2" s="238"/>
      <c r="D2" s="238"/>
      <c r="E2" s="238"/>
    </row>
    <row r="3" spans="1:5" s="17" customFormat="1" ht="135.75" thickBot="1" x14ac:dyDescent="0.25">
      <c r="A3" s="19" t="s">
        <v>126</v>
      </c>
      <c r="B3" s="20" t="s">
        <v>21</v>
      </c>
      <c r="C3" s="20" t="s">
        <v>97</v>
      </c>
      <c r="D3" s="20" t="s">
        <v>22</v>
      </c>
      <c r="E3" s="20" t="s">
        <v>98</v>
      </c>
    </row>
    <row r="4" spans="1:5" s="17" customFormat="1" ht="12" thickBot="1" x14ac:dyDescent="0.25">
      <c r="A4" s="21">
        <v>1</v>
      </c>
      <c r="B4" s="22">
        <v>2</v>
      </c>
      <c r="C4" s="22">
        <v>3</v>
      </c>
      <c r="D4" s="22">
        <v>4</v>
      </c>
      <c r="E4" s="22">
        <v>5</v>
      </c>
    </row>
    <row r="5" spans="1:5" s="17" customFormat="1" ht="24" customHeight="1" thickBot="1" x14ac:dyDescent="0.25">
      <c r="A5" s="19"/>
      <c r="B5" s="23"/>
      <c r="C5" s="143" t="str">
        <f>'Данные объект'!C23</f>
      </c>
      <c r="D5" s="131"/>
      <c r="E5" s="23"/>
    </row>
    <row r="6" spans="1:5" s="17" customFormat="1" ht="12" thickBot="1" x14ac:dyDescent="0.25">
      <c r="A6" s="19"/>
      <c r="B6" s="23"/>
      <c r="C6" s="23"/>
      <c r="D6" s="131"/>
      <c r="E6" s="23"/>
    </row>
    <row r="7" spans="1:5" s="17" customFormat="1" ht="12" thickBot="1" x14ac:dyDescent="0.25">
      <c r="A7" s="19"/>
      <c r="B7" s="23"/>
      <c r="C7" s="23"/>
      <c r="D7" s="23"/>
      <c r="E7" s="23"/>
    </row>
    <row r="8" spans="1:5" s="17" customFormat="1" ht="12" thickBot="1" x14ac:dyDescent="0.25">
      <c r="A8" s="19"/>
      <c r="B8" s="23"/>
      <c r="C8" s="23"/>
      <c r="D8" s="23"/>
      <c r="E8" s="23"/>
    </row>
    <row r="9" spans="1:5" s="17" customFormat="1" ht="12" thickBot="1" x14ac:dyDescent="0.25">
      <c r="A9" s="19"/>
      <c r="B9" s="23"/>
      <c r="C9" s="23"/>
      <c r="D9" s="23"/>
      <c r="E9" s="23"/>
    </row>
    <row r="10" spans="1:5" s="17" customFormat="1" ht="12" thickBot="1" x14ac:dyDescent="0.25">
      <c r="A10" s="19"/>
      <c r="B10" s="23"/>
      <c r="C10" s="23"/>
      <c r="D10" s="23"/>
      <c r="E10" s="23"/>
    </row>
    <row r="11" spans="1:5" s="17" customFormat="1" ht="12" thickBot="1" x14ac:dyDescent="0.25">
      <c r="A11" s="19"/>
      <c r="B11" s="23"/>
      <c r="C11" s="23"/>
      <c r="D11" s="23"/>
      <c r="E11" s="23"/>
    </row>
    <row r="12" spans="1:5" s="17" customFormat="1" ht="12" thickBot="1" x14ac:dyDescent="0.25">
      <c r="A12" s="19"/>
      <c r="B12" s="23"/>
      <c r="C12" s="23"/>
      <c r="D12" s="23"/>
      <c r="E12" s="23"/>
    </row>
    <row r="13" spans="1:5" s="17" customFormat="1" ht="12" thickBot="1" x14ac:dyDescent="0.25">
      <c r="A13" s="19"/>
      <c r="B13" s="23"/>
      <c r="C13" s="23"/>
      <c r="D13" s="23"/>
      <c r="E13" s="23"/>
    </row>
    <row r="14" spans="1:5" s="17" customFormat="1" ht="12" thickBot="1" x14ac:dyDescent="0.25">
      <c r="A14" s="19"/>
      <c r="B14" s="23"/>
      <c r="C14" s="23"/>
      <c r="D14" s="23"/>
      <c r="E14" s="23"/>
    </row>
    <row r="15" spans="1:5" s="17" customFormat="1" ht="12" thickBot="1" x14ac:dyDescent="0.25">
      <c r="A15" s="19"/>
      <c r="B15" s="23"/>
      <c r="C15" s="23"/>
      <c r="D15" s="23"/>
      <c r="E15" s="23"/>
    </row>
    <row r="16" spans="1:5" s="17" customFormat="1" ht="12" thickBot="1" x14ac:dyDescent="0.25">
      <c r="A16" s="19"/>
      <c r="B16" s="23"/>
      <c r="C16" s="23"/>
      <c r="D16" s="23"/>
      <c r="E16" s="23"/>
    </row>
    <row r="17" spans="1:5" s="17" customFormat="1" ht="12" thickBot="1" x14ac:dyDescent="0.25">
      <c r="A17" s="19"/>
      <c r="B17" s="23"/>
      <c r="C17" s="23"/>
      <c r="D17" s="23"/>
      <c r="E17" s="23"/>
    </row>
    <row r="18" spans="1:5" s="17" customFormat="1" ht="12" thickBot="1" x14ac:dyDescent="0.25">
      <c r="A18" s="19"/>
      <c r="B18" s="19"/>
      <c r="C18" s="19"/>
      <c r="D18" s="19"/>
      <c r="E18" s="19"/>
    </row>
    <row r="19" spans="1:5" s="17" customFormat="1" ht="12" thickBot="1" x14ac:dyDescent="0.25">
      <c r="A19" s="19"/>
      <c r="B19" s="19"/>
      <c r="C19" s="19"/>
      <c r="D19" s="19"/>
      <c r="E19" s="19"/>
    </row>
    <row r="20" spans="1:5" s="17" customFormat="1" ht="12" thickBot="1" x14ac:dyDescent="0.25">
      <c r="A20" s="19"/>
      <c r="B20" s="19"/>
      <c r="C20" s="19"/>
      <c r="D20" s="19"/>
      <c r="E20" s="19"/>
    </row>
    <row r="21" spans="1:5" s="17" customFormat="1" ht="12" thickBot="1" x14ac:dyDescent="0.25">
      <c r="A21" s="19"/>
      <c r="B21" s="19"/>
      <c r="C21" s="19"/>
      <c r="D21" s="19"/>
      <c r="E21" s="19"/>
    </row>
    <row r="22" spans="1:5" s="17" customFormat="1" ht="12" thickBot="1" x14ac:dyDescent="0.25">
      <c r="A22" s="19"/>
      <c r="B22" s="19"/>
      <c r="C22" s="19"/>
      <c r="D22" s="19"/>
      <c r="E22" s="19"/>
    </row>
    <row r="23" spans="1:5" s="17" customFormat="1" ht="12" thickBot="1" x14ac:dyDescent="0.25">
      <c r="A23" s="19"/>
      <c r="B23" s="19"/>
      <c r="C23" s="19"/>
      <c r="D23" s="19"/>
      <c r="E23" s="19"/>
    </row>
    <row r="24" spans="1:5" s="17" customFormat="1" ht="12" thickBot="1" x14ac:dyDescent="0.25">
      <c r="A24" s="19"/>
      <c r="B24" s="19"/>
      <c r="C24" s="19"/>
      <c r="D24" s="19"/>
      <c r="E24" s="19"/>
    </row>
    <row r="25" spans="1:5" s="17" customFormat="1" ht="12" thickBot="1" x14ac:dyDescent="0.25">
      <c r="A25" s="19"/>
      <c r="B25" s="19"/>
      <c r="C25" s="19"/>
      <c r="D25" s="19"/>
      <c r="E25" s="19"/>
    </row>
    <row r="26" spans="1:5" ht="13.5" thickBot="1" x14ac:dyDescent="0.25">
      <c r="A26" s="19"/>
      <c r="B26" s="19"/>
      <c r="C26" s="19"/>
      <c r="D26" s="19"/>
      <c r="E26" s="19"/>
    </row>
    <row r="27" spans="1:5" ht="13.5" thickBot="1" x14ac:dyDescent="0.25">
      <c r="A27" s="19"/>
      <c r="B27" s="19"/>
      <c r="C27" s="19"/>
      <c r="D27" s="19"/>
      <c r="E27" s="19"/>
    </row>
    <row r="28" spans="1:5" ht="13.5" thickBot="1" x14ac:dyDescent="0.25">
      <c r="A28" s="19"/>
      <c r="B28" s="19"/>
      <c r="C28" s="19"/>
      <c r="D28" s="19"/>
      <c r="E28" s="19"/>
    </row>
    <row r="29" spans="1:5" ht="13.5" thickBot="1" x14ac:dyDescent="0.25">
      <c r="A29" s="19"/>
      <c r="B29" s="19"/>
      <c r="C29" s="19"/>
      <c r="D29" s="19"/>
      <c r="E29" s="19"/>
    </row>
    <row r="30" spans="1:5" ht="13.5" thickBot="1" x14ac:dyDescent="0.25">
      <c r="A30" s="19"/>
      <c r="B30" s="19"/>
      <c r="C30" s="19"/>
      <c r="D30" s="19"/>
      <c r="E30" s="19"/>
    </row>
    <row r="31" spans="1:5" ht="13.5" thickBot="1" x14ac:dyDescent="0.25">
      <c r="A31" s="19"/>
      <c r="B31" s="19"/>
      <c r="C31" s="19"/>
      <c r="D31" s="19"/>
      <c r="E31" s="19"/>
    </row>
    <row r="32" spans="1:5" ht="13.5" thickBot="1" x14ac:dyDescent="0.25">
      <c r="A32" s="19"/>
      <c r="B32" s="19"/>
      <c r="C32" s="19"/>
      <c r="D32" s="19"/>
      <c r="E32" s="19"/>
    </row>
    <row r="33" spans="1:5" ht="13.5" thickBot="1" x14ac:dyDescent="0.25">
      <c r="A33" s="19"/>
      <c r="B33" s="19"/>
      <c r="C33" s="19"/>
      <c r="D33" s="19"/>
      <c r="E33" s="19"/>
    </row>
    <row r="34" spans="1:5" ht="13.5" thickBot="1" x14ac:dyDescent="0.25">
      <c r="A34" s="19"/>
      <c r="B34" s="19"/>
      <c r="C34" s="19"/>
      <c r="D34" s="19"/>
      <c r="E34" s="19"/>
    </row>
    <row r="35" spans="1:5" ht="13.5" thickBot="1" x14ac:dyDescent="0.25">
      <c r="A35" s="19"/>
      <c r="B35" s="19"/>
      <c r="C35" s="19"/>
      <c r="D35" s="19"/>
      <c r="E35" s="19"/>
    </row>
    <row r="36" spans="1:5" ht="13.5" thickBot="1" x14ac:dyDescent="0.25">
      <c r="A36" s="19"/>
      <c r="B36" s="19"/>
      <c r="C36" s="19"/>
      <c r="D36" s="19"/>
      <c r="E36" s="19"/>
    </row>
    <row r="37" spans="1:5" ht="13.5" thickBot="1" x14ac:dyDescent="0.25">
      <c r="A37" s="19"/>
      <c r="B37" s="19"/>
      <c r="C37" s="19"/>
      <c r="D37" s="19"/>
      <c r="E37" s="19"/>
    </row>
    <row r="38" spans="1:5" ht="13.5" thickBot="1" x14ac:dyDescent="0.25">
      <c r="A38" s="19"/>
      <c r="B38" s="19"/>
      <c r="C38" s="19"/>
      <c r="D38" s="19"/>
      <c r="E38" s="19"/>
    </row>
    <row r="39" spans="1:5" ht="13.5" thickBot="1" x14ac:dyDescent="0.25">
      <c r="A39" s="19"/>
      <c r="B39" s="19"/>
      <c r="C39" s="19"/>
      <c r="D39" s="19"/>
      <c r="E39" s="19"/>
    </row>
    <row r="40" spans="1:5" ht="13.5" thickBot="1" x14ac:dyDescent="0.25">
      <c r="A40" s="19"/>
      <c r="B40" s="19"/>
      <c r="C40" s="19"/>
      <c r="D40" s="19"/>
      <c r="E40" s="19"/>
    </row>
    <row r="41" spans="1:5" ht="13.5" thickBot="1" x14ac:dyDescent="0.25">
      <c r="A41" s="19"/>
      <c r="B41" s="19"/>
      <c r="C41" s="19"/>
      <c r="D41" s="19"/>
      <c r="E41" s="19"/>
    </row>
    <row r="42" spans="1:5" ht="13.5" thickBot="1" x14ac:dyDescent="0.25">
      <c r="A42" s="19"/>
      <c r="B42" s="19"/>
      <c r="C42" s="19"/>
      <c r="D42" s="19"/>
      <c r="E42" s="19"/>
    </row>
    <row r="43" spans="1:5" ht="13.5" thickBot="1" x14ac:dyDescent="0.25">
      <c r="A43" s="19"/>
      <c r="B43" s="19"/>
      <c r="C43" s="19"/>
      <c r="D43" s="19"/>
      <c r="E43" s="19"/>
    </row>
    <row r="44" spans="1:5" ht="13.5" thickBot="1" x14ac:dyDescent="0.25">
      <c r="A44" s="19"/>
      <c r="B44" s="19"/>
      <c r="C44" s="19"/>
      <c r="D44" s="19"/>
      <c r="E44" s="19"/>
    </row>
    <row r="45" spans="1:5" ht="13.5" thickBot="1" x14ac:dyDescent="0.25">
      <c r="A45" s="19"/>
      <c r="B45" s="19"/>
      <c r="C45" s="19"/>
      <c r="D45" s="19"/>
      <c r="E45" s="19"/>
    </row>
    <row r="46" spans="1:5" ht="13.5" thickBot="1" x14ac:dyDescent="0.25">
      <c r="A46" s="19"/>
      <c r="B46" s="19"/>
      <c r="C46" s="19"/>
      <c r="D46" s="19"/>
      <c r="E46" s="19"/>
    </row>
    <row r="47" spans="1:5" ht="13.5" thickBot="1" x14ac:dyDescent="0.25">
      <c r="A47" s="19"/>
      <c r="B47" s="19"/>
      <c r="C47" s="19"/>
      <c r="D47" s="19"/>
      <c r="E47" s="19"/>
    </row>
    <row r="48" spans="1:5" ht="13.5" thickBot="1" x14ac:dyDescent="0.25">
      <c r="A48" s="19"/>
      <c r="B48" s="19"/>
      <c r="C48" s="19"/>
      <c r="D48" s="19"/>
      <c r="E48" s="19"/>
    </row>
    <row r="49" spans="1:5" ht="13.5" thickBot="1" x14ac:dyDescent="0.25">
      <c r="A49" s="19"/>
      <c r="B49" s="19"/>
      <c r="C49" s="19"/>
      <c r="D49" s="19"/>
      <c r="E49" s="19"/>
    </row>
    <row r="50" spans="1:5" ht="13.5" thickBot="1" x14ac:dyDescent="0.25">
      <c r="A50" s="19"/>
      <c r="B50" s="19"/>
      <c r="C50" s="19"/>
      <c r="D50" s="19"/>
      <c r="E50" s="19"/>
    </row>
    <row r="51" spans="1:5" x14ac:dyDescent="0.2">
      <c r="A51" s="19"/>
      <c r="B51" s="19"/>
      <c r="C51" s="19"/>
      <c r="D51" s="19"/>
      <c r="E51" s="19"/>
    </row>
  </sheetData>
  <mergeCells count="2">
    <mergeCell ref="A1:E1"/>
    <mergeCell ref="A2:E2"/>
  </mergeCells>
  <phoneticPr fontId="12" type="noConversion"/>
  <pageMargins left="0.78740157480314965" right="0.19685039370078741" top="0.39370078740157483" bottom="0.39370078740157483" header="0.51181102362204722" footer="0.51181102362204722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indexed="17"/>
  </sheetPr>
  <dimension ref="A1:F63"/>
  <sheetViews>
    <sheetView view="pageBreakPreview" zoomScale="115" zoomScaleNormal="145" zoomScaleSheetLayoutView="115" workbookViewId="0">
      <selection activeCell="J14" sqref="J14"/>
    </sheetView>
  </sheetViews>
  <sheetFormatPr defaultRowHeight="12.75" x14ac:dyDescent="0.2"/>
  <cols>
    <col min="1" max="1" width="4.7109375" customWidth="1"/>
    <col min="2" max="2" width="8.5703125" customWidth="1"/>
    <col min="3" max="3" width="8.42578125" hidden="1" customWidth="1"/>
    <col min="4" max="4" width="52" customWidth="1"/>
    <col min="5" max="5" width="20" customWidth="1"/>
  </cols>
  <sheetData>
    <row r="1" spans="1:6" ht="18.75" x14ac:dyDescent="0.3">
      <c r="A1" s="237" t="s">
        <v>25</v>
      </c>
      <c r="B1" s="237"/>
      <c r="C1" s="237"/>
      <c r="D1" s="237"/>
      <c r="E1" s="237"/>
      <c r="F1" s="1"/>
    </row>
    <row r="2" spans="1:6" ht="37.5" customHeight="1" thickBot="1" x14ac:dyDescent="0.35">
      <c r="A2" s="235" t="s">
        <v>99</v>
      </c>
      <c r="B2" s="235"/>
      <c r="C2" s="235"/>
      <c r="D2" s="235"/>
      <c r="E2" s="235"/>
      <c r="F2" s="1"/>
    </row>
    <row r="3" spans="1:6" s="17" customFormat="1" ht="113.25" thickBot="1" x14ac:dyDescent="0.25">
      <c r="A3" s="21" t="s">
        <v>126</v>
      </c>
      <c r="B3" s="3" t="s">
        <v>102</v>
      </c>
      <c r="C3" s="3" t="s">
        <v>100</v>
      </c>
      <c r="D3" s="3" t="s">
        <v>101</v>
      </c>
      <c r="E3" s="3" t="s">
        <v>103</v>
      </c>
    </row>
    <row r="4" spans="1:6" s="17" customFormat="1" ht="12" thickBot="1" x14ac:dyDescent="0.25">
      <c r="A4" s="21">
        <v>1</v>
      </c>
      <c r="B4" s="21">
        <v>2</v>
      </c>
      <c r="C4" s="22" t="s">
        <v>35</v>
      </c>
      <c r="D4" s="22" t="s">
        <v>35</v>
      </c>
      <c r="E4" s="22" t="s">
        <v>55</v>
      </c>
    </row>
    <row r="5" spans="1:6" s="17" customFormat="1" ht="12.6" customHeight="1" thickBot="1" x14ac:dyDescent="0.3">
      <c r="A5" s="148"/>
      <c r="B5" s="153"/>
      <c r="C5" s="149"/>
      <c r="D5" s="152"/>
      <c r="E5" s="22"/>
      <c r="F5" s="154" t="s">
        <v>178</v>
      </c>
    </row>
    <row r="6" spans="1:6" s="17" customFormat="1" ht="12.6" customHeight="1" thickBot="1" x14ac:dyDescent="0.25">
      <c r="A6" s="22"/>
      <c r="B6" s="153"/>
      <c r="C6" s="150"/>
      <c r="D6" s="132"/>
      <c r="E6" s="147"/>
    </row>
    <row r="7" spans="1:6" s="17" customFormat="1" ht="12.6" customHeight="1" thickBot="1" x14ac:dyDescent="0.25">
      <c r="A7" s="147"/>
      <c r="B7" s="153"/>
      <c r="C7" s="150"/>
      <c r="D7" s="132"/>
      <c r="E7" s="147"/>
    </row>
    <row r="8" spans="1:6" s="17" customFormat="1" ht="12.6" customHeight="1" thickBot="1" x14ac:dyDescent="0.25">
      <c r="A8" s="147"/>
      <c r="B8" s="153"/>
      <c r="C8" s="150"/>
      <c r="D8" s="132"/>
      <c r="E8" s="147"/>
    </row>
    <row r="9" spans="1:6" s="17" customFormat="1" ht="12.6" customHeight="1" thickBot="1" x14ac:dyDescent="0.25">
      <c r="A9" s="147"/>
      <c r="B9" s="153"/>
      <c r="C9" s="150"/>
      <c r="D9" s="132"/>
      <c r="E9" s="147"/>
    </row>
    <row r="10" spans="1:6" s="17" customFormat="1" ht="12.6" customHeight="1" thickBot="1" x14ac:dyDescent="0.25">
      <c r="A10" s="147"/>
      <c r="B10" s="153"/>
      <c r="C10" s="150"/>
      <c r="D10" s="132"/>
      <c r="E10" s="147"/>
    </row>
    <row r="11" spans="1:6" s="17" customFormat="1" ht="12.6" customHeight="1" thickBot="1" x14ac:dyDescent="0.25">
      <c r="A11" s="147"/>
      <c r="B11" s="153"/>
      <c r="C11" s="150"/>
      <c r="D11" s="132"/>
      <c r="E11" s="147"/>
    </row>
    <row r="12" spans="1:6" s="17" customFormat="1" ht="12.6" customHeight="1" thickBot="1" x14ac:dyDescent="0.25">
      <c r="A12" s="147"/>
      <c r="B12" s="153"/>
      <c r="C12" s="150"/>
      <c r="D12" s="132"/>
      <c r="E12" s="147"/>
    </row>
    <row r="13" spans="1:6" s="17" customFormat="1" ht="12.6" customHeight="1" thickBot="1" x14ac:dyDescent="0.25">
      <c r="A13" s="147"/>
      <c r="B13" s="21"/>
      <c r="C13" s="151"/>
      <c r="D13" s="132"/>
      <c r="E13" s="147"/>
    </row>
    <row r="14" spans="1:6" s="17" customFormat="1" ht="12.6" customHeight="1" thickBot="1" x14ac:dyDescent="0.25">
      <c r="A14" s="147"/>
      <c r="B14" s="21"/>
      <c r="C14" s="21"/>
      <c r="D14" s="132"/>
      <c r="E14" s="133"/>
    </row>
    <row r="15" spans="1:6" s="17" customFormat="1" ht="12.6" customHeight="1" thickBot="1" x14ac:dyDescent="0.25">
      <c r="A15" s="133"/>
      <c r="B15" s="21"/>
      <c r="C15" s="21"/>
      <c r="D15" s="132"/>
      <c r="E15" s="133"/>
    </row>
    <row r="16" spans="1:6" s="17" customFormat="1" ht="12.6" customHeight="1" thickBot="1" x14ac:dyDescent="0.25">
      <c r="A16" s="133"/>
      <c r="B16" s="21"/>
      <c r="C16" s="21"/>
      <c r="D16" s="132"/>
      <c r="E16" s="133"/>
    </row>
    <row r="17" spans="1:5" s="17" customFormat="1" ht="12.6" customHeight="1" thickBot="1" x14ac:dyDescent="0.25">
      <c r="A17" s="133"/>
      <c r="B17" s="21"/>
      <c r="C17" s="21"/>
      <c r="D17" s="132"/>
      <c r="E17" s="133"/>
    </row>
    <row r="18" spans="1:5" s="17" customFormat="1" ht="12.6" customHeight="1" thickBot="1" x14ac:dyDescent="0.25">
      <c r="A18" s="133"/>
      <c r="B18" s="21"/>
      <c r="C18" s="21"/>
      <c r="D18" s="132"/>
      <c r="E18" s="133"/>
    </row>
    <row r="19" spans="1:5" s="17" customFormat="1" ht="12.6" customHeight="1" thickBot="1" x14ac:dyDescent="0.25">
      <c r="A19" s="133"/>
      <c r="B19" s="21"/>
      <c r="C19" s="21"/>
      <c r="D19" s="132"/>
      <c r="E19" s="133"/>
    </row>
    <row r="20" spans="1:5" s="17" customFormat="1" ht="12.6" customHeight="1" thickBot="1" x14ac:dyDescent="0.25">
      <c r="A20" s="133"/>
      <c r="B20" s="21"/>
      <c r="C20" s="21"/>
      <c r="D20" s="140"/>
      <c r="E20" s="133"/>
    </row>
    <row r="21" spans="1:5" s="17" customFormat="1" ht="12.6" customHeight="1" thickBot="1" x14ac:dyDescent="0.25">
      <c r="A21" s="133"/>
      <c r="B21" s="21"/>
      <c r="C21" s="21"/>
      <c r="D21" s="140"/>
      <c r="E21" s="133"/>
    </row>
    <row r="22" spans="1:5" s="17" customFormat="1" ht="12.6" customHeight="1" thickBot="1" x14ac:dyDescent="0.25">
      <c r="A22" s="133"/>
      <c r="B22" s="21"/>
      <c r="C22" s="21"/>
      <c r="D22" s="140"/>
      <c r="E22" s="133"/>
    </row>
    <row r="23" spans="1:5" s="17" customFormat="1" ht="12.6" customHeight="1" thickBot="1" x14ac:dyDescent="0.25">
      <c r="A23" s="133"/>
      <c r="B23" s="21"/>
      <c r="C23" s="21"/>
      <c r="D23" s="140"/>
      <c r="E23" s="133"/>
    </row>
    <row r="24" spans="1:5" s="17" customFormat="1" ht="12.6" customHeight="1" thickBot="1" x14ac:dyDescent="0.25">
      <c r="A24" s="21"/>
      <c r="B24" s="21"/>
      <c r="C24" s="21"/>
      <c r="D24" s="140"/>
      <c r="E24" s="133"/>
    </row>
    <row r="25" spans="1:5" s="17" customFormat="1" ht="12.6" customHeight="1" thickBot="1" x14ac:dyDescent="0.25">
      <c r="A25" s="21"/>
      <c r="B25" s="21"/>
      <c r="C25" s="21"/>
      <c r="D25" s="132"/>
      <c r="E25" s="133"/>
    </row>
    <row r="26" spans="1:5" s="17" customFormat="1" ht="12.6" customHeight="1" thickBot="1" x14ac:dyDescent="0.25">
      <c r="A26" s="21"/>
      <c r="B26" s="21"/>
      <c r="C26" s="21"/>
      <c r="D26" s="132"/>
      <c r="E26" s="21"/>
    </row>
    <row r="27" spans="1:5" s="17" customFormat="1" ht="12.6" customHeight="1" thickBot="1" x14ac:dyDescent="0.25">
      <c r="A27" s="21"/>
      <c r="B27" s="21"/>
      <c r="C27" s="21"/>
      <c r="D27" s="132"/>
      <c r="E27" s="21"/>
    </row>
    <row r="28" spans="1:5" s="17" customFormat="1" ht="12.6" customHeight="1" thickBot="1" x14ac:dyDescent="0.25">
      <c r="A28" s="21"/>
      <c r="B28" s="21"/>
      <c r="C28" s="21"/>
      <c r="D28" s="132"/>
      <c r="E28" s="21"/>
    </row>
    <row r="29" spans="1:5" s="17" customFormat="1" ht="12.6" customHeight="1" thickBot="1" x14ac:dyDescent="0.25">
      <c r="A29" s="21"/>
      <c r="B29" s="21"/>
      <c r="C29" s="21"/>
      <c r="D29" s="132"/>
      <c r="E29" s="21"/>
    </row>
    <row r="30" spans="1:5" s="17" customFormat="1" ht="12.6" customHeight="1" thickBot="1" x14ac:dyDescent="0.25">
      <c r="A30" s="21"/>
      <c r="B30" s="21"/>
      <c r="C30" s="21"/>
      <c r="D30" s="132"/>
      <c r="E30" s="21"/>
    </row>
    <row r="31" spans="1:5" s="17" customFormat="1" ht="12.6" customHeight="1" thickBot="1" x14ac:dyDescent="0.25">
      <c r="A31" s="21"/>
      <c r="B31" s="21"/>
      <c r="C31" s="21"/>
      <c r="D31" s="132"/>
      <c r="E31" s="21"/>
    </row>
    <row r="32" spans="1:5" s="17" customFormat="1" ht="12.6" customHeight="1" thickBot="1" x14ac:dyDescent="0.25">
      <c r="A32" s="21"/>
      <c r="B32" s="21"/>
      <c r="C32" s="21"/>
      <c r="D32" s="132"/>
      <c r="E32" s="21"/>
    </row>
    <row r="33" spans="1:5" s="17" customFormat="1" ht="12.6" customHeight="1" thickBot="1" x14ac:dyDescent="0.25">
      <c r="A33" s="21"/>
      <c r="B33" s="21"/>
      <c r="C33" s="21"/>
      <c r="D33" s="132"/>
      <c r="E33" s="21"/>
    </row>
    <row r="34" spans="1:5" s="17" customFormat="1" ht="12.6" customHeight="1" thickBot="1" x14ac:dyDescent="0.25">
      <c r="A34" s="21"/>
      <c r="B34" s="21"/>
      <c r="C34" s="21"/>
      <c r="D34" s="132"/>
      <c r="E34" s="21"/>
    </row>
    <row r="35" spans="1:5" s="17" customFormat="1" ht="12.6" customHeight="1" thickBot="1" x14ac:dyDescent="0.25">
      <c r="A35" s="21"/>
      <c r="B35" s="21"/>
      <c r="C35" s="21"/>
      <c r="D35" s="132"/>
      <c r="E35" s="21"/>
    </row>
    <row r="36" spans="1:5" s="17" customFormat="1" ht="12.6" customHeight="1" thickBot="1" x14ac:dyDescent="0.25">
      <c r="A36" s="21"/>
      <c r="B36" s="21"/>
      <c r="C36" s="21"/>
      <c r="D36" s="132"/>
      <c r="E36" s="21"/>
    </row>
    <row r="37" spans="1:5" s="17" customFormat="1" ht="12.6" customHeight="1" thickBot="1" x14ac:dyDescent="0.25">
      <c r="A37" s="21"/>
      <c r="B37" s="21"/>
      <c r="C37" s="21"/>
      <c r="D37" s="132"/>
      <c r="E37" s="21"/>
    </row>
    <row r="38" spans="1:5" s="17" customFormat="1" ht="12.6" customHeight="1" thickBot="1" x14ac:dyDescent="0.25">
      <c r="A38" s="21"/>
      <c r="B38" s="21"/>
      <c r="C38" s="21"/>
      <c r="D38" s="21"/>
      <c r="E38" s="21"/>
    </row>
    <row r="39" spans="1:5" s="17" customFormat="1" ht="12.6" customHeight="1" thickBot="1" x14ac:dyDescent="0.25">
      <c r="A39" s="21"/>
      <c r="B39" s="21"/>
      <c r="C39" s="21"/>
      <c r="D39" s="21"/>
      <c r="E39" s="21"/>
    </row>
    <row r="40" spans="1:5" s="17" customFormat="1" ht="12.6" customHeight="1" thickBot="1" x14ac:dyDescent="0.25">
      <c r="A40" s="21"/>
      <c r="B40" s="21"/>
      <c r="C40" s="21"/>
      <c r="D40" s="21"/>
      <c r="E40" s="21"/>
    </row>
    <row r="41" spans="1:5" s="17" customFormat="1" ht="12.6" customHeight="1" thickBot="1" x14ac:dyDescent="0.25">
      <c r="A41" s="21"/>
      <c r="B41" s="21"/>
      <c r="C41" s="21"/>
      <c r="D41" s="21"/>
      <c r="E41" s="21"/>
    </row>
    <row r="42" spans="1:5" s="17" customFormat="1" ht="12.6" customHeight="1" thickBot="1" x14ac:dyDescent="0.25">
      <c r="A42" s="21"/>
      <c r="B42" s="21"/>
      <c r="C42" s="21"/>
      <c r="D42" s="21"/>
      <c r="E42" s="21"/>
    </row>
    <row r="43" spans="1:5" s="17" customFormat="1" ht="12.6" customHeight="1" thickBot="1" x14ac:dyDescent="0.25">
      <c r="A43" s="21"/>
      <c r="B43" s="21"/>
      <c r="C43" s="21"/>
      <c r="D43" s="21"/>
      <c r="E43" s="21"/>
    </row>
    <row r="44" spans="1:5" s="17" customFormat="1" ht="12.6" customHeight="1" thickBot="1" x14ac:dyDescent="0.25">
      <c r="A44" s="21"/>
      <c r="B44" s="21"/>
      <c r="C44" s="21"/>
      <c r="D44" s="21"/>
      <c r="E44" s="21"/>
    </row>
    <row r="45" spans="1:5" s="17" customFormat="1" ht="12.6" customHeight="1" thickBot="1" x14ac:dyDescent="0.25">
      <c r="A45" s="21"/>
      <c r="B45" s="21"/>
      <c r="C45" s="21"/>
      <c r="D45" s="21"/>
      <c r="E45" s="21"/>
    </row>
    <row r="46" spans="1:5" s="17" customFormat="1" ht="12.6" customHeight="1" thickBot="1" x14ac:dyDescent="0.25">
      <c r="A46" s="21"/>
      <c r="B46" s="21"/>
      <c r="C46" s="21"/>
      <c r="D46" s="21"/>
      <c r="E46" s="21"/>
    </row>
    <row r="47" spans="1:5" s="17" customFormat="1" ht="12.6" customHeight="1" thickBot="1" x14ac:dyDescent="0.25">
      <c r="A47" s="21"/>
      <c r="B47" s="21"/>
      <c r="C47" s="21"/>
      <c r="D47" s="21"/>
      <c r="E47" s="21"/>
    </row>
    <row r="48" spans="1:5" s="17" customFormat="1" ht="12.6" customHeight="1" thickBot="1" x14ac:dyDescent="0.25">
      <c r="A48" s="21"/>
      <c r="B48" s="21"/>
      <c r="C48" s="21"/>
      <c r="D48" s="21"/>
      <c r="E48" s="21"/>
    </row>
    <row r="49" spans="1:5" s="17" customFormat="1" ht="12.6" customHeight="1" thickBot="1" x14ac:dyDescent="0.25">
      <c r="A49" s="21"/>
      <c r="B49" s="21"/>
      <c r="C49" s="21"/>
      <c r="D49" s="21"/>
      <c r="E49" s="21"/>
    </row>
    <row r="50" spans="1:5" s="17" customFormat="1" ht="12.6" customHeight="1" thickBot="1" x14ac:dyDescent="0.25">
      <c r="A50" s="21"/>
      <c r="B50" s="21"/>
      <c r="C50" s="21"/>
      <c r="D50" s="21"/>
      <c r="E50" s="21"/>
    </row>
    <row r="51" spans="1:5" s="17" customFormat="1" ht="12.6" customHeight="1" thickBot="1" x14ac:dyDescent="0.25">
      <c r="A51" s="21"/>
      <c r="B51" s="21"/>
      <c r="C51" s="21"/>
      <c r="D51" s="21"/>
      <c r="E51" s="21"/>
    </row>
    <row r="52" spans="1:5" s="17" customFormat="1" ht="12.6" customHeight="1" thickBot="1" x14ac:dyDescent="0.25">
      <c r="A52" s="21"/>
      <c r="B52" s="21"/>
      <c r="C52" s="21"/>
      <c r="D52" s="21"/>
      <c r="E52" s="21"/>
    </row>
    <row r="53" spans="1:5" s="17" customFormat="1" ht="12.6" customHeight="1" thickBot="1" x14ac:dyDescent="0.25">
      <c r="A53" s="21"/>
      <c r="B53" s="21"/>
      <c r="C53" s="21"/>
      <c r="D53" s="21"/>
      <c r="E53" s="21"/>
    </row>
    <row r="54" spans="1:5" s="17" customFormat="1" ht="12" thickBot="1" x14ac:dyDescent="0.25">
      <c r="A54" s="21"/>
      <c r="B54" s="21"/>
      <c r="C54" s="21"/>
      <c r="D54" s="21"/>
      <c r="E54" s="21"/>
    </row>
    <row r="55" spans="1:5" s="17" customFormat="1" ht="12" thickBot="1" x14ac:dyDescent="0.25">
      <c r="A55" s="21"/>
      <c r="B55" s="21"/>
      <c r="C55" s="21"/>
      <c r="D55" s="21"/>
      <c r="E55" s="21"/>
    </row>
    <row r="56" spans="1:5" s="17" customFormat="1" ht="12" thickBot="1" x14ac:dyDescent="0.25">
      <c r="A56" s="21"/>
      <c r="B56" s="21"/>
      <c r="C56" s="21"/>
      <c r="D56" s="21"/>
      <c r="E56" s="21"/>
    </row>
    <row r="57" spans="1:5" ht="27" customHeight="1" x14ac:dyDescent="0.2">
      <c r="A57" s="14"/>
      <c r="B57" s="14"/>
      <c r="C57" s="14"/>
      <c r="D57" s="14"/>
      <c r="E57" s="14"/>
    </row>
    <row r="58" spans="1:5" ht="27" customHeight="1" x14ac:dyDescent="0.2">
      <c r="A58" s="14"/>
      <c r="B58" s="14"/>
      <c r="C58" s="14"/>
      <c r="D58" s="14"/>
      <c r="E58" s="14"/>
    </row>
    <row r="59" spans="1:5" ht="27" customHeight="1" x14ac:dyDescent="0.2">
      <c r="A59" s="14"/>
      <c r="B59" s="14"/>
      <c r="C59" s="14"/>
      <c r="D59" s="14"/>
      <c r="E59" s="14"/>
    </row>
    <row r="60" spans="1:5" ht="27" customHeight="1" x14ac:dyDescent="0.2">
      <c r="A60" s="14"/>
      <c r="B60" s="14"/>
      <c r="C60" s="14"/>
      <c r="D60" s="14"/>
      <c r="E60" s="14"/>
    </row>
    <row r="61" spans="1:5" ht="27" customHeight="1" x14ac:dyDescent="0.2">
      <c r="A61" s="14"/>
      <c r="B61" s="14"/>
      <c r="C61" s="14"/>
      <c r="D61" s="14"/>
      <c r="E61" s="14"/>
    </row>
    <row r="62" spans="1:5" ht="27" customHeight="1" x14ac:dyDescent="0.2">
      <c r="A62" s="14"/>
      <c r="B62" s="14"/>
      <c r="C62" s="14"/>
      <c r="D62" s="14"/>
      <c r="E62" s="14"/>
    </row>
    <row r="63" spans="1:5" ht="27" customHeight="1" x14ac:dyDescent="0.2">
      <c r="A63" s="14"/>
      <c r="B63" s="14"/>
      <c r="C63" s="14"/>
      <c r="D63" s="14"/>
      <c r="E63" s="14"/>
    </row>
  </sheetData>
  <mergeCells count="2">
    <mergeCell ref="A1:E1"/>
    <mergeCell ref="A2:E2"/>
  </mergeCells>
  <phoneticPr fontId="12" type="noConversion"/>
  <pageMargins left="0.78740157480314965" right="0.19685039370078741" top="0.39370078740157483" bottom="0.39370078740157483" header="0.51181102362204722" footer="0.51181102362204722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indexed="17"/>
  </sheetPr>
  <dimension ref="A1:G54"/>
  <sheetViews>
    <sheetView view="pageBreakPreview" zoomScaleNormal="100" zoomScaleSheetLayoutView="100" workbookViewId="0">
      <selection activeCell="K6" sqref="K6"/>
    </sheetView>
  </sheetViews>
  <sheetFormatPr defaultRowHeight="12.75" x14ac:dyDescent="0.2"/>
  <cols>
    <col min="1" max="1" width="4.5703125" customWidth="1"/>
    <col min="2" max="2" width="16" customWidth="1"/>
    <col min="3" max="3" width="17.7109375" customWidth="1"/>
    <col min="4" max="4" width="8" customWidth="1"/>
    <col min="5" max="5" width="20.42578125" customWidth="1"/>
    <col min="6" max="6" width="8.140625" customWidth="1"/>
    <col min="7" max="7" width="19.5703125" customWidth="1"/>
  </cols>
  <sheetData>
    <row r="1" spans="1:7" x14ac:dyDescent="0.2">
      <c r="A1" s="237" t="s">
        <v>26</v>
      </c>
      <c r="B1" s="237"/>
      <c r="C1" s="237"/>
      <c r="D1" s="237"/>
      <c r="E1" s="237"/>
      <c r="F1" s="237"/>
      <c r="G1" s="237"/>
    </row>
    <row r="2" spans="1:7" ht="33" customHeight="1" thickBot="1" x14ac:dyDescent="0.25">
      <c r="A2" s="235" t="s">
        <v>104</v>
      </c>
      <c r="B2" s="238"/>
      <c r="C2" s="238"/>
      <c r="D2" s="238"/>
      <c r="E2" s="238"/>
      <c r="F2" s="238"/>
      <c r="G2" s="238"/>
    </row>
    <row r="3" spans="1:7" s="17" customFormat="1" ht="180.75" thickBot="1" x14ac:dyDescent="0.25">
      <c r="A3" s="19" t="s">
        <v>126</v>
      </c>
      <c r="B3" s="3" t="s">
        <v>106</v>
      </c>
      <c r="C3" s="3" t="s">
        <v>27</v>
      </c>
      <c r="D3" s="12" t="s">
        <v>28</v>
      </c>
      <c r="E3" s="3" t="s">
        <v>107</v>
      </c>
      <c r="F3" s="12" t="s">
        <v>29</v>
      </c>
      <c r="G3" s="3" t="s">
        <v>107</v>
      </c>
    </row>
    <row r="4" spans="1:7" s="17" customFormat="1" ht="12" thickBot="1" x14ac:dyDescent="0.25">
      <c r="A4" s="4">
        <v>1</v>
      </c>
      <c r="B4" s="4">
        <v>2</v>
      </c>
      <c r="C4" s="4">
        <v>3</v>
      </c>
      <c r="D4" s="4">
        <v>4</v>
      </c>
      <c r="E4" s="4" t="s">
        <v>56</v>
      </c>
      <c r="F4" s="4" t="s">
        <v>57</v>
      </c>
      <c r="G4" s="4" t="s">
        <v>105</v>
      </c>
    </row>
    <row r="5" spans="1:7" s="17" customFormat="1" ht="53.25" customHeight="1" thickBot="1" x14ac:dyDescent="0.25">
      <c r="A5" s="158"/>
      <c r="B5" s="159"/>
      <c r="C5" s="159"/>
      <c r="D5" s="158"/>
      <c r="E5" s="157" t="str">
        <f>'Данные объект'!C41</f>
      </c>
      <c r="F5" s="156"/>
      <c r="G5" s="157" t="str">
        <f>'Данные объект'!C41</f>
      </c>
    </row>
    <row r="6" spans="1:7" s="17" customFormat="1" ht="36.6" customHeight="1" thickBot="1" x14ac:dyDescent="0.25">
      <c r="A6" s="158"/>
      <c r="B6" s="159"/>
      <c r="C6" s="159"/>
      <c r="D6" s="158"/>
      <c r="E6" s="144" t="str">
        <f>'Данные объект'!C23</f>
      </c>
      <c r="F6" s="156"/>
      <c r="G6" s="144" t="str">
        <f>'Данные объект'!C23</f>
      </c>
    </row>
    <row r="7" spans="1:7" s="17" customFormat="1" ht="12" thickBot="1" x14ac:dyDescent="0.25">
      <c r="A7" s="24"/>
      <c r="B7" s="24"/>
      <c r="C7" s="24"/>
      <c r="D7" s="24"/>
      <c r="E7" s="24"/>
      <c r="F7" s="24"/>
      <c r="G7" s="24"/>
    </row>
    <row r="8" spans="1:7" s="17" customFormat="1" ht="12" thickBot="1" x14ac:dyDescent="0.25">
      <c r="A8" s="24"/>
      <c r="B8" s="24"/>
      <c r="C8" s="24"/>
      <c r="D8" s="24"/>
      <c r="E8" s="24"/>
      <c r="F8" s="24"/>
      <c r="G8" s="24"/>
    </row>
    <row r="9" spans="1:7" s="17" customFormat="1" ht="12" thickBot="1" x14ac:dyDescent="0.25">
      <c r="A9" s="24"/>
      <c r="B9" s="24"/>
      <c r="C9" s="24"/>
      <c r="D9" s="24"/>
      <c r="E9" s="24"/>
      <c r="F9" s="24"/>
      <c r="G9" s="24"/>
    </row>
    <row r="10" spans="1:7" s="17" customFormat="1" ht="12" thickBot="1" x14ac:dyDescent="0.25">
      <c r="A10" s="24"/>
      <c r="B10" s="24"/>
      <c r="C10" s="24"/>
      <c r="D10" s="24"/>
      <c r="E10" s="24"/>
      <c r="F10" s="24"/>
      <c r="G10" s="24"/>
    </row>
    <row r="11" spans="1:7" s="17" customFormat="1" ht="12" thickBot="1" x14ac:dyDescent="0.25">
      <c r="A11" s="24"/>
      <c r="B11" s="24"/>
      <c r="C11" s="24"/>
      <c r="D11" s="24"/>
      <c r="E11" s="24"/>
      <c r="F11" s="24"/>
      <c r="G11" s="24"/>
    </row>
    <row r="12" spans="1:7" s="17" customFormat="1" ht="12" thickBot="1" x14ac:dyDescent="0.25">
      <c r="A12" s="24"/>
      <c r="B12" s="24"/>
      <c r="C12" s="24"/>
      <c r="D12" s="24"/>
      <c r="E12" s="24"/>
      <c r="F12" s="24"/>
      <c r="G12" s="24"/>
    </row>
    <row r="13" spans="1:7" s="17" customFormat="1" ht="12" thickBot="1" x14ac:dyDescent="0.25">
      <c r="A13" s="24"/>
      <c r="B13" s="24"/>
      <c r="C13" s="24"/>
      <c r="D13" s="24"/>
      <c r="E13" s="24"/>
      <c r="F13" s="24"/>
      <c r="G13" s="24"/>
    </row>
    <row r="14" spans="1:7" s="17" customFormat="1" ht="12" thickBot="1" x14ac:dyDescent="0.25">
      <c r="A14" s="24"/>
      <c r="B14" s="24"/>
      <c r="C14" s="24"/>
      <c r="D14" s="24"/>
      <c r="E14" s="24"/>
      <c r="F14" s="24"/>
      <c r="G14" s="24"/>
    </row>
    <row r="15" spans="1:7" s="17" customFormat="1" ht="12" thickBot="1" x14ac:dyDescent="0.25">
      <c r="A15" s="24"/>
      <c r="B15" s="24"/>
      <c r="C15" s="24"/>
      <c r="D15" s="24"/>
      <c r="E15" s="24"/>
      <c r="F15" s="24"/>
      <c r="G15" s="24"/>
    </row>
    <row r="16" spans="1:7" s="17" customFormat="1" ht="12" thickBot="1" x14ac:dyDescent="0.25">
      <c r="A16" s="24"/>
      <c r="B16" s="24"/>
      <c r="C16" s="24"/>
      <c r="D16" s="24"/>
      <c r="E16" s="24"/>
      <c r="F16" s="24"/>
      <c r="G16" s="24"/>
    </row>
    <row r="17" spans="1:7" s="17" customFormat="1" ht="12" thickBot="1" x14ac:dyDescent="0.25">
      <c r="A17" s="24"/>
      <c r="B17" s="18"/>
      <c r="C17" s="24"/>
      <c r="D17" s="24"/>
      <c r="E17" s="24"/>
      <c r="F17" s="24"/>
      <c r="G17" s="24"/>
    </row>
    <row r="18" spans="1:7" s="17" customFormat="1" ht="12" thickBot="1" x14ac:dyDescent="0.25">
      <c r="A18" s="24"/>
      <c r="B18" s="24"/>
      <c r="C18" s="24"/>
      <c r="D18" s="24"/>
      <c r="E18" s="24"/>
      <c r="F18" s="24"/>
      <c r="G18" s="24"/>
    </row>
    <row r="19" spans="1:7" s="17" customFormat="1" ht="12" thickBot="1" x14ac:dyDescent="0.25">
      <c r="A19" s="24"/>
      <c r="B19" s="24"/>
      <c r="C19" s="24"/>
      <c r="D19" s="24"/>
      <c r="E19" s="24"/>
      <c r="F19" s="24"/>
      <c r="G19" s="24"/>
    </row>
    <row r="20" spans="1:7" s="17" customFormat="1" ht="12" thickBot="1" x14ac:dyDescent="0.25">
      <c r="A20" s="24"/>
      <c r="B20" s="24"/>
      <c r="C20" s="24"/>
      <c r="D20" s="24"/>
      <c r="E20" s="24"/>
      <c r="F20" s="24"/>
      <c r="G20" s="24"/>
    </row>
    <row r="21" spans="1:7" s="17" customFormat="1" ht="12" thickBot="1" x14ac:dyDescent="0.25">
      <c r="A21" s="24"/>
      <c r="B21" s="24"/>
      <c r="C21" s="24"/>
      <c r="D21" s="24"/>
      <c r="E21" s="24"/>
      <c r="F21" s="24"/>
      <c r="G21" s="24"/>
    </row>
    <row r="22" spans="1:7" s="17" customFormat="1" ht="12" thickBot="1" x14ac:dyDescent="0.25">
      <c r="A22" s="24"/>
      <c r="B22" s="24"/>
      <c r="C22" s="24"/>
      <c r="D22" s="24"/>
      <c r="E22" s="24"/>
      <c r="F22" s="24"/>
      <c r="G22" s="24"/>
    </row>
    <row r="23" spans="1:7" s="17" customFormat="1" ht="12" thickBot="1" x14ac:dyDescent="0.25">
      <c r="A23" s="24"/>
      <c r="B23" s="24"/>
      <c r="C23" s="24"/>
      <c r="D23" s="24"/>
      <c r="E23" s="24"/>
      <c r="F23" s="24"/>
      <c r="G23" s="24"/>
    </row>
    <row r="24" spans="1:7" s="17" customFormat="1" ht="12" thickBot="1" x14ac:dyDescent="0.25">
      <c r="A24" s="24"/>
      <c r="B24" s="24"/>
      <c r="C24" s="24"/>
      <c r="D24" s="24"/>
      <c r="E24" s="24"/>
      <c r="F24" s="24"/>
      <c r="G24" s="24"/>
    </row>
    <row r="25" spans="1:7" s="17" customFormat="1" ht="12" thickBot="1" x14ac:dyDescent="0.25">
      <c r="A25" s="24"/>
      <c r="B25" s="24"/>
      <c r="C25" s="24"/>
      <c r="D25" s="24"/>
      <c r="E25" s="24"/>
      <c r="F25" s="24"/>
      <c r="G25" s="24"/>
    </row>
    <row r="26" spans="1:7" s="17" customFormat="1" ht="12" thickBot="1" x14ac:dyDescent="0.25">
      <c r="A26" s="24"/>
      <c r="B26" s="24"/>
      <c r="C26" s="24"/>
      <c r="D26" s="24"/>
      <c r="E26" s="24"/>
      <c r="F26" s="24"/>
      <c r="G26" s="24"/>
    </row>
    <row r="27" spans="1:7" s="17" customFormat="1" ht="12" thickBot="1" x14ac:dyDescent="0.25">
      <c r="A27" s="24"/>
      <c r="B27" s="24"/>
      <c r="C27" s="24"/>
      <c r="D27" s="24"/>
      <c r="E27" s="24"/>
      <c r="F27" s="24"/>
      <c r="G27" s="24"/>
    </row>
    <row r="28" spans="1:7" s="17" customFormat="1" ht="12" thickBot="1" x14ac:dyDescent="0.25">
      <c r="A28" s="24"/>
      <c r="B28" s="24"/>
      <c r="C28" s="24"/>
      <c r="D28" s="24"/>
      <c r="E28" s="24"/>
      <c r="F28" s="24"/>
      <c r="G28" s="24"/>
    </row>
    <row r="29" spans="1:7" s="17" customFormat="1" ht="12" thickBot="1" x14ac:dyDescent="0.25">
      <c r="A29" s="24"/>
      <c r="B29" s="24"/>
      <c r="C29" s="24"/>
      <c r="D29" s="24"/>
      <c r="E29" s="24"/>
      <c r="F29" s="24"/>
      <c r="G29" s="24"/>
    </row>
    <row r="30" spans="1:7" s="17" customFormat="1" ht="12" thickBot="1" x14ac:dyDescent="0.25">
      <c r="A30" s="24"/>
      <c r="B30" s="24"/>
      <c r="C30" s="24"/>
      <c r="D30" s="24"/>
      <c r="E30" s="24"/>
      <c r="F30" s="24"/>
      <c r="G30" s="24"/>
    </row>
    <row r="31" spans="1:7" s="17" customFormat="1" ht="12" thickBot="1" x14ac:dyDescent="0.25">
      <c r="A31" s="24"/>
      <c r="B31" s="24"/>
      <c r="C31" s="24"/>
      <c r="D31" s="24"/>
      <c r="E31" s="24"/>
      <c r="F31" s="24"/>
      <c r="G31" s="24"/>
    </row>
    <row r="32" spans="1:7" s="17" customFormat="1" ht="12" thickBot="1" x14ac:dyDescent="0.25">
      <c r="A32" s="24"/>
      <c r="B32" s="24"/>
      <c r="C32" s="24"/>
      <c r="D32" s="24"/>
      <c r="E32" s="24"/>
      <c r="F32" s="24"/>
      <c r="G32" s="24"/>
    </row>
    <row r="33" spans="1:7" s="17" customFormat="1" ht="12" thickBot="1" x14ac:dyDescent="0.25">
      <c r="A33" s="24"/>
      <c r="B33" s="24"/>
      <c r="C33" s="24"/>
      <c r="D33" s="24"/>
      <c r="E33" s="24"/>
      <c r="F33" s="24"/>
      <c r="G33" s="24"/>
    </row>
    <row r="34" spans="1:7" s="17" customFormat="1" ht="12" thickBot="1" x14ac:dyDescent="0.25">
      <c r="A34" s="24"/>
      <c r="B34" s="24"/>
      <c r="C34" s="24"/>
      <c r="D34" s="24"/>
      <c r="E34" s="24"/>
      <c r="F34" s="24"/>
      <c r="G34" s="24"/>
    </row>
    <row r="35" spans="1:7" s="17" customFormat="1" ht="12" thickBot="1" x14ac:dyDescent="0.25">
      <c r="A35" s="24"/>
      <c r="B35" s="24"/>
      <c r="C35" s="24"/>
      <c r="D35" s="24"/>
      <c r="E35" s="24"/>
      <c r="F35" s="24"/>
      <c r="G35" s="24"/>
    </row>
    <row r="36" spans="1:7" s="17" customFormat="1" ht="12" thickBot="1" x14ac:dyDescent="0.25">
      <c r="A36" s="24"/>
      <c r="B36" s="24"/>
      <c r="C36" s="24"/>
      <c r="D36" s="24"/>
      <c r="E36" s="24"/>
      <c r="F36" s="24"/>
      <c r="G36" s="24"/>
    </row>
    <row r="37" spans="1:7" s="17" customFormat="1" ht="12" thickBot="1" x14ac:dyDescent="0.25">
      <c r="A37" s="24"/>
      <c r="B37" s="24"/>
      <c r="C37" s="24"/>
      <c r="D37" s="24"/>
      <c r="E37" s="24"/>
      <c r="F37" s="24"/>
      <c r="G37" s="24"/>
    </row>
    <row r="38" spans="1:7" s="17" customFormat="1" ht="12" thickBot="1" x14ac:dyDescent="0.25">
      <c r="A38" s="24"/>
      <c r="B38" s="24"/>
      <c r="C38" s="24"/>
      <c r="D38" s="24"/>
      <c r="E38" s="24"/>
      <c r="F38" s="24"/>
      <c r="G38" s="24"/>
    </row>
    <row r="39" spans="1:7" s="17" customFormat="1" ht="12" thickBot="1" x14ac:dyDescent="0.25">
      <c r="A39" s="24"/>
      <c r="B39" s="24"/>
      <c r="C39" s="24"/>
      <c r="D39" s="24"/>
      <c r="E39" s="24"/>
      <c r="F39" s="24"/>
      <c r="G39" s="24"/>
    </row>
    <row r="40" spans="1:7" s="17" customFormat="1" ht="12" thickBot="1" x14ac:dyDescent="0.25">
      <c r="A40" s="24"/>
      <c r="B40" s="24"/>
      <c r="C40" s="24"/>
      <c r="D40" s="24"/>
      <c r="E40" s="24"/>
      <c r="F40" s="24"/>
      <c r="G40" s="24"/>
    </row>
    <row r="41" spans="1:7" s="17" customFormat="1" ht="12" thickBot="1" x14ac:dyDescent="0.25">
      <c r="A41" s="24"/>
      <c r="B41" s="24"/>
      <c r="C41" s="24"/>
      <c r="D41" s="24"/>
      <c r="E41" s="24"/>
      <c r="F41" s="24"/>
      <c r="G41" s="24"/>
    </row>
    <row r="42" spans="1:7" s="17" customFormat="1" ht="12" thickBot="1" x14ac:dyDescent="0.25">
      <c r="A42" s="24"/>
      <c r="B42" s="24"/>
      <c r="C42" s="24"/>
      <c r="D42" s="24"/>
      <c r="E42" s="24"/>
      <c r="F42" s="24"/>
      <c r="G42" s="24"/>
    </row>
    <row r="43" spans="1:7" s="17" customFormat="1" ht="12" thickBot="1" x14ac:dyDescent="0.25">
      <c r="A43" s="24"/>
      <c r="B43" s="24"/>
      <c r="C43" s="24"/>
      <c r="D43" s="24"/>
      <c r="E43" s="24"/>
      <c r="F43" s="24"/>
      <c r="G43" s="24"/>
    </row>
    <row r="44" spans="1:7" s="17" customFormat="1" ht="12" thickBot="1" x14ac:dyDescent="0.25">
      <c r="A44" s="24"/>
      <c r="B44" s="24"/>
      <c r="C44" s="24"/>
      <c r="D44" s="24"/>
      <c r="E44" s="24"/>
      <c r="F44" s="24"/>
      <c r="G44" s="24"/>
    </row>
    <row r="45" spans="1:7" s="17" customFormat="1" ht="12" thickBot="1" x14ac:dyDescent="0.25">
      <c r="A45" s="24"/>
      <c r="B45" s="24"/>
      <c r="C45" s="24"/>
      <c r="D45" s="24"/>
      <c r="E45" s="24"/>
      <c r="F45" s="24"/>
      <c r="G45" s="24"/>
    </row>
    <row r="46" spans="1:7" s="17" customFormat="1" ht="12" thickBot="1" x14ac:dyDescent="0.25">
      <c r="A46" s="24"/>
      <c r="B46" s="24"/>
      <c r="C46" s="24"/>
      <c r="D46" s="24"/>
      <c r="E46" s="24"/>
      <c r="F46" s="24"/>
      <c r="G46" s="24"/>
    </row>
    <row r="47" spans="1:7" s="17" customFormat="1" ht="12" thickBot="1" x14ac:dyDescent="0.25">
      <c r="A47" s="24"/>
      <c r="B47" s="24"/>
      <c r="C47" s="24"/>
      <c r="D47" s="24"/>
      <c r="E47" s="24"/>
      <c r="F47" s="24"/>
      <c r="G47" s="24"/>
    </row>
    <row r="48" spans="1:7" s="17" customFormat="1" ht="12" thickBot="1" x14ac:dyDescent="0.25">
      <c r="A48" s="24"/>
      <c r="B48" s="24"/>
      <c r="C48" s="24"/>
      <c r="D48" s="24"/>
      <c r="E48" s="24"/>
      <c r="F48" s="24"/>
      <c r="G48" s="24"/>
    </row>
    <row r="49" spans="1:7" s="17" customFormat="1" ht="12" thickBot="1" x14ac:dyDescent="0.25">
      <c r="A49" s="24"/>
      <c r="B49" s="24"/>
      <c r="C49" s="24"/>
      <c r="D49" s="24"/>
      <c r="E49" s="24"/>
      <c r="F49" s="24"/>
      <c r="G49" s="24"/>
    </row>
    <row r="50" spans="1:7" s="17" customFormat="1" ht="12" thickBot="1" x14ac:dyDescent="0.25">
      <c r="A50" s="24"/>
      <c r="B50" s="24"/>
      <c r="C50" s="24"/>
      <c r="D50" s="24"/>
      <c r="E50" s="24"/>
      <c r="F50" s="24"/>
      <c r="G50" s="24"/>
    </row>
    <row r="51" spans="1:7" s="17" customFormat="1" ht="12" thickBot="1" x14ac:dyDescent="0.25">
      <c r="A51" s="24"/>
      <c r="B51" s="24"/>
      <c r="C51" s="24"/>
      <c r="D51" s="24"/>
      <c r="E51" s="24"/>
      <c r="F51" s="24"/>
      <c r="G51" s="24"/>
    </row>
    <row r="52" spans="1:7" s="17" customFormat="1" ht="12" thickBot="1" x14ac:dyDescent="0.25">
      <c r="A52" s="24"/>
      <c r="B52" s="24"/>
      <c r="C52" s="24"/>
      <c r="D52" s="24"/>
      <c r="E52" s="24"/>
      <c r="F52" s="24"/>
      <c r="G52" s="24"/>
    </row>
    <row r="53" spans="1:7" s="17" customFormat="1" ht="12" thickBot="1" x14ac:dyDescent="0.25">
      <c r="A53" s="24"/>
      <c r="B53" s="24"/>
      <c r="C53" s="24"/>
      <c r="D53" s="24"/>
      <c r="E53" s="24"/>
      <c r="F53" s="24"/>
      <c r="G53" s="24"/>
    </row>
    <row r="54" spans="1:7" s="17" customFormat="1" ht="12" thickBot="1" x14ac:dyDescent="0.25">
      <c r="A54" s="24"/>
      <c r="B54" s="24"/>
      <c r="C54" s="24"/>
      <c r="D54" s="24"/>
      <c r="E54" s="24"/>
      <c r="F54" s="24"/>
      <c r="G54" s="24"/>
    </row>
  </sheetData>
  <mergeCells count="2">
    <mergeCell ref="A1:G1"/>
    <mergeCell ref="A2:G2"/>
  </mergeCells>
  <phoneticPr fontId="12" type="noConversion"/>
  <pageMargins left="0.78740157480314965" right="0.19685039370078741" top="0.39370078740157483" bottom="0.39370078740157483" header="0.51181102362204722" footer="0.51181102362204722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indexed="17"/>
  </sheetPr>
  <dimension ref="A1:C58"/>
  <sheetViews>
    <sheetView view="pageBreakPreview" zoomScaleNormal="100" zoomScaleSheetLayoutView="100" workbookViewId="0">
      <selection activeCell="G12" sqref="G12"/>
    </sheetView>
  </sheetViews>
  <sheetFormatPr defaultRowHeight="12.75" x14ac:dyDescent="0.2"/>
  <cols>
    <col min="1" max="1" width="4.42578125" customWidth="1"/>
    <col min="2" max="2" width="58.7109375" customWidth="1"/>
    <col min="3" max="3" width="30.42578125" customWidth="1"/>
  </cols>
  <sheetData>
    <row r="1" spans="1:3" x14ac:dyDescent="0.2">
      <c r="A1" s="237" t="s">
        <v>30</v>
      </c>
      <c r="B1" s="237"/>
      <c r="C1" s="237"/>
    </row>
    <row r="2" spans="1:3" ht="31.5" customHeight="1" thickBot="1" x14ac:dyDescent="0.25">
      <c r="A2" s="240" t="s">
        <v>31</v>
      </c>
      <c r="B2" s="241"/>
      <c r="C2" s="241"/>
    </row>
    <row r="3" spans="1:3" s="17" customFormat="1" ht="45.75" thickBot="1" x14ac:dyDescent="0.25">
      <c r="A3" s="19" t="s">
        <v>91</v>
      </c>
      <c r="B3" s="3" t="s">
        <v>108</v>
      </c>
      <c r="C3" s="3" t="s">
        <v>109</v>
      </c>
    </row>
    <row r="4" spans="1:3" s="17" customFormat="1" ht="12" thickBot="1" x14ac:dyDescent="0.25">
      <c r="A4" s="127" t="s">
        <v>33</v>
      </c>
      <c r="B4" s="127" t="s">
        <v>34</v>
      </c>
      <c r="C4" s="127" t="s">
        <v>35</v>
      </c>
    </row>
    <row r="5" spans="1:3" s="17" customFormat="1" ht="79.5" thickBot="1" x14ac:dyDescent="0.25">
      <c r="A5" s="134"/>
      <c r="B5" s="132"/>
      <c r="C5" s="128"/>
    </row>
    <row r="6" spans="1:3" s="17" customFormat="1" ht="12" thickBot="1" x14ac:dyDescent="0.25">
      <c r="A6" s="134"/>
      <c r="B6" s="132"/>
      <c r="C6" s="128"/>
    </row>
    <row r="7" spans="1:3" s="17" customFormat="1" ht="12" thickBot="1" x14ac:dyDescent="0.25">
      <c r="A7" s="134"/>
      <c r="B7" s="132"/>
      <c r="C7" s="128"/>
    </row>
    <row r="8" spans="1:3" s="17" customFormat="1" ht="12" thickBot="1" x14ac:dyDescent="0.25">
      <c r="A8" s="134"/>
      <c r="B8" s="132"/>
      <c r="C8" s="128"/>
    </row>
    <row r="9" spans="1:3" s="17" customFormat="1" ht="12" thickBot="1" x14ac:dyDescent="0.25">
      <c r="A9" s="135"/>
      <c r="B9" s="132"/>
      <c r="C9" s="128"/>
    </row>
    <row r="10" spans="1:3" s="17" customFormat="1" ht="12" thickBot="1" x14ac:dyDescent="0.25">
      <c r="A10" s="135"/>
      <c r="B10" s="132"/>
      <c r="C10" s="128"/>
    </row>
    <row r="11" spans="1:3" s="17" customFormat="1" ht="12" thickBot="1" x14ac:dyDescent="0.25">
      <c r="A11" s="135"/>
      <c r="B11" s="132"/>
      <c r="C11" s="128"/>
    </row>
    <row r="12" spans="1:3" s="17" customFormat="1" ht="12" thickBot="1" x14ac:dyDescent="0.25">
      <c r="A12" s="135"/>
      <c r="B12" s="132"/>
      <c r="C12" s="128"/>
    </row>
    <row r="13" spans="1:3" s="17" customFormat="1" ht="12" thickBot="1" x14ac:dyDescent="0.25">
      <c r="A13" s="135"/>
      <c r="B13" s="132"/>
      <c r="C13" s="128"/>
    </row>
    <row r="14" spans="1:3" s="17" customFormat="1" ht="12" thickBot="1" x14ac:dyDescent="0.25">
      <c r="A14" s="135"/>
      <c r="B14" s="132"/>
      <c r="C14" s="128"/>
    </row>
    <row r="15" spans="1:3" s="17" customFormat="1" ht="12" thickBot="1" x14ac:dyDescent="0.25">
      <c r="A15" s="135"/>
      <c r="B15" s="132"/>
      <c r="C15" s="128"/>
    </row>
    <row r="16" spans="1:3" s="17" customFormat="1" ht="12" thickBot="1" x14ac:dyDescent="0.25">
      <c r="A16" s="135"/>
      <c r="B16" s="132"/>
      <c r="C16" s="128"/>
    </row>
    <row r="17" spans="1:3" s="17" customFormat="1" ht="12" thickBot="1" x14ac:dyDescent="0.25">
      <c r="A17" s="135"/>
      <c r="B17" s="132"/>
      <c r="C17" s="128"/>
    </row>
    <row r="18" spans="1:3" s="17" customFormat="1" ht="12" thickBot="1" x14ac:dyDescent="0.25">
      <c r="A18" s="135"/>
      <c r="B18" s="132"/>
      <c r="C18" s="128"/>
    </row>
    <row r="19" spans="1:3" s="17" customFormat="1" ht="12" thickBot="1" x14ac:dyDescent="0.25">
      <c r="A19" s="4"/>
      <c r="B19" s="140"/>
      <c r="C19" s="128"/>
    </row>
    <row r="20" spans="1:3" s="17" customFormat="1" ht="12" thickBot="1" x14ac:dyDescent="0.25">
      <c r="A20" s="4"/>
      <c r="B20" s="140"/>
      <c r="C20" s="128"/>
    </row>
    <row r="21" spans="1:3" s="17" customFormat="1" ht="12" thickBot="1" x14ac:dyDescent="0.25">
      <c r="A21" s="4"/>
      <c r="B21" s="140"/>
      <c r="C21" s="128"/>
    </row>
    <row r="22" spans="1:3" s="17" customFormat="1" ht="12" thickBot="1" x14ac:dyDescent="0.25">
      <c r="A22" s="4"/>
      <c r="B22" s="140"/>
      <c r="C22" s="128"/>
    </row>
    <row r="23" spans="1:3" s="17" customFormat="1" ht="12" thickBot="1" x14ac:dyDescent="0.25">
      <c r="A23" s="4"/>
      <c r="B23" s="140"/>
      <c r="C23" s="128"/>
    </row>
    <row r="24" spans="1:3" s="17" customFormat="1" ht="12" thickBot="1" x14ac:dyDescent="0.25">
      <c r="A24" s="4"/>
      <c r="B24" s="4"/>
      <c r="C24" s="4"/>
    </row>
    <row r="25" spans="1:3" s="17" customFormat="1" ht="12" thickBot="1" x14ac:dyDescent="0.25">
      <c r="A25" s="4"/>
      <c r="B25" s="4"/>
      <c r="C25" s="4"/>
    </row>
    <row r="26" spans="1:3" s="17" customFormat="1" ht="12" thickBot="1" x14ac:dyDescent="0.25">
      <c r="A26" s="4"/>
      <c r="B26" s="4"/>
      <c r="C26" s="4"/>
    </row>
    <row r="27" spans="1:3" s="17" customFormat="1" ht="12" thickBot="1" x14ac:dyDescent="0.25">
      <c r="A27" s="4"/>
      <c r="B27" s="4"/>
      <c r="C27" s="4"/>
    </row>
    <row r="28" spans="1:3" s="17" customFormat="1" ht="12" thickBot="1" x14ac:dyDescent="0.25">
      <c r="A28" s="4"/>
      <c r="B28" s="4"/>
      <c r="C28" s="4"/>
    </row>
    <row r="29" spans="1:3" s="17" customFormat="1" ht="12" thickBot="1" x14ac:dyDescent="0.25">
      <c r="A29" s="4"/>
      <c r="B29" s="4"/>
      <c r="C29" s="4"/>
    </row>
    <row r="30" spans="1:3" s="17" customFormat="1" ht="12" thickBot="1" x14ac:dyDescent="0.25">
      <c r="A30" s="4"/>
      <c r="B30" s="4"/>
      <c r="C30" s="4"/>
    </row>
    <row r="31" spans="1:3" s="17" customFormat="1" ht="12" thickBot="1" x14ac:dyDescent="0.25">
      <c r="A31" s="4"/>
      <c r="B31" s="4"/>
      <c r="C31" s="4"/>
    </row>
    <row r="32" spans="1:3" s="17" customFormat="1" ht="12" thickBot="1" x14ac:dyDescent="0.25">
      <c r="A32" s="4"/>
      <c r="B32" s="4"/>
      <c r="C32" s="4"/>
    </row>
    <row r="33" spans="1:3" s="17" customFormat="1" ht="12" thickBot="1" x14ac:dyDescent="0.25">
      <c r="A33" s="4"/>
      <c r="B33" s="4"/>
      <c r="C33" s="4"/>
    </row>
    <row r="34" spans="1:3" s="17" customFormat="1" ht="12" thickBot="1" x14ac:dyDescent="0.25">
      <c r="A34" s="4"/>
      <c r="B34" s="4"/>
      <c r="C34" s="4"/>
    </row>
    <row r="35" spans="1:3" s="17" customFormat="1" ht="12" thickBot="1" x14ac:dyDescent="0.25">
      <c r="A35" s="4"/>
      <c r="B35" s="4"/>
      <c r="C35" s="4"/>
    </row>
    <row r="36" spans="1:3" s="17" customFormat="1" ht="12" thickBot="1" x14ac:dyDescent="0.25">
      <c r="A36" s="4"/>
      <c r="B36" s="4"/>
      <c r="C36" s="4"/>
    </row>
    <row r="37" spans="1:3" s="17" customFormat="1" ht="12" thickBot="1" x14ac:dyDescent="0.25">
      <c r="A37" s="4"/>
      <c r="B37" s="4"/>
      <c r="C37" s="4"/>
    </row>
    <row r="38" spans="1:3" s="17" customFormat="1" ht="12" thickBot="1" x14ac:dyDescent="0.25">
      <c r="A38" s="4"/>
      <c r="B38" s="4"/>
      <c r="C38" s="4"/>
    </row>
    <row r="39" spans="1:3" s="17" customFormat="1" ht="12" thickBot="1" x14ac:dyDescent="0.25">
      <c r="A39" s="4"/>
      <c r="B39" s="4"/>
      <c r="C39" s="4"/>
    </row>
    <row r="40" spans="1:3" s="17" customFormat="1" ht="12" thickBot="1" x14ac:dyDescent="0.25">
      <c r="A40" s="4"/>
      <c r="B40" s="4"/>
      <c r="C40" s="4"/>
    </row>
    <row r="41" spans="1:3" s="17" customFormat="1" ht="12" thickBot="1" x14ac:dyDescent="0.25">
      <c r="A41" s="4"/>
      <c r="B41" s="4"/>
      <c r="C41" s="4"/>
    </row>
    <row r="42" spans="1:3" s="17" customFormat="1" ht="12" thickBot="1" x14ac:dyDescent="0.25">
      <c r="A42" s="4"/>
      <c r="B42" s="4"/>
      <c r="C42" s="4"/>
    </row>
    <row r="43" spans="1:3" s="17" customFormat="1" ht="12" thickBot="1" x14ac:dyDescent="0.25">
      <c r="A43" s="4"/>
      <c r="B43" s="4"/>
      <c r="C43" s="4"/>
    </row>
    <row r="44" spans="1:3" s="17" customFormat="1" ht="12" thickBot="1" x14ac:dyDescent="0.25">
      <c r="A44" s="4"/>
      <c r="B44" s="4"/>
      <c r="C44" s="4"/>
    </row>
    <row r="45" spans="1:3" s="17" customFormat="1" ht="12" thickBot="1" x14ac:dyDescent="0.25">
      <c r="A45" s="4"/>
      <c r="B45" s="4"/>
      <c r="C45" s="4"/>
    </row>
    <row r="46" spans="1:3" s="17" customFormat="1" ht="12" thickBot="1" x14ac:dyDescent="0.25">
      <c r="A46" s="4"/>
      <c r="B46" s="4"/>
      <c r="C46" s="4"/>
    </row>
    <row r="47" spans="1:3" s="17" customFormat="1" ht="12" thickBot="1" x14ac:dyDescent="0.25">
      <c r="A47" s="4"/>
      <c r="B47" s="4"/>
      <c r="C47" s="4"/>
    </row>
    <row r="48" spans="1:3" s="17" customFormat="1" ht="12" thickBot="1" x14ac:dyDescent="0.25">
      <c r="A48" s="4"/>
      <c r="B48" s="4"/>
      <c r="C48" s="4"/>
    </row>
    <row r="49" spans="1:3" s="17" customFormat="1" ht="12" thickBot="1" x14ac:dyDescent="0.25">
      <c r="A49" s="4"/>
      <c r="B49" s="4"/>
      <c r="C49" s="4"/>
    </row>
    <row r="50" spans="1:3" s="17" customFormat="1" ht="12" thickBot="1" x14ac:dyDescent="0.25">
      <c r="A50" s="4"/>
      <c r="B50" s="4"/>
      <c r="C50" s="4"/>
    </row>
    <row r="51" spans="1:3" s="17" customFormat="1" ht="12" thickBot="1" x14ac:dyDescent="0.25">
      <c r="A51" s="4"/>
      <c r="B51" s="4"/>
      <c r="C51" s="4"/>
    </row>
    <row r="52" spans="1:3" s="17" customFormat="1" ht="12" thickBot="1" x14ac:dyDescent="0.25">
      <c r="A52" s="4"/>
      <c r="B52" s="4"/>
      <c r="C52" s="4"/>
    </row>
    <row r="53" spans="1:3" s="17" customFormat="1" ht="12" thickBot="1" x14ac:dyDescent="0.25">
      <c r="A53" s="4"/>
      <c r="B53" s="4"/>
      <c r="C53" s="4"/>
    </row>
    <row r="54" spans="1:3" s="17" customFormat="1" ht="12" thickBot="1" x14ac:dyDescent="0.25">
      <c r="A54" s="4"/>
      <c r="B54" s="4"/>
      <c r="C54" s="4"/>
    </row>
    <row r="55" spans="1:3" s="17" customFormat="1" ht="12" thickBot="1" x14ac:dyDescent="0.25">
      <c r="A55" s="4"/>
      <c r="B55" s="4"/>
      <c r="C55" s="4"/>
    </row>
    <row r="56" spans="1:3" s="17" customFormat="1" ht="12" thickBot="1" x14ac:dyDescent="0.25">
      <c r="A56" s="4"/>
      <c r="B56" s="4"/>
      <c r="C56" s="4"/>
    </row>
    <row r="57" spans="1:3" s="17" customFormat="1" ht="12" thickBot="1" x14ac:dyDescent="0.25">
      <c r="A57" s="4"/>
      <c r="B57" s="4"/>
      <c r="C57" s="4"/>
    </row>
    <row r="58" spans="1:3" ht="18.75" x14ac:dyDescent="0.3">
      <c r="A58" s="239"/>
      <c r="B58" s="239"/>
      <c r="C58" s="239"/>
    </row>
  </sheetData>
  <mergeCells count="3">
    <mergeCell ref="A58:C58"/>
    <mergeCell ref="A1:C1"/>
    <mergeCell ref="A2:C2"/>
  </mergeCells>
  <phoneticPr fontId="12" type="noConversion"/>
  <pageMargins left="0.78740157480314965" right="0.19685039370078741" top="0.39370078740157483" bottom="0.39370078740157483" header="0.51181102362204722" footer="0.51181102362204722"/>
  <pageSetup paperSize="9" orientation="portrait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indexed="17"/>
  </sheetPr>
  <dimension ref="A1:G57"/>
  <sheetViews>
    <sheetView view="pageBreakPreview" zoomScaleNormal="100" zoomScaleSheetLayoutView="100" workbookViewId="0">
      <selection activeCell="A63" sqref="A63"/>
    </sheetView>
  </sheetViews>
  <sheetFormatPr defaultRowHeight="12.75" x14ac:dyDescent="0.2"/>
  <cols>
    <col min="1" max="1" width="4.5703125" customWidth="1"/>
    <col min="2" max="2" width="11.7109375" customWidth="1"/>
    <col min="3" max="3" width="25.28515625" customWidth="1"/>
    <col min="4" max="4" width="13.85546875" customWidth="1"/>
    <col min="5" max="5" width="14.7109375" customWidth="1"/>
    <col min="6" max="6" width="12" customWidth="1"/>
    <col min="7" max="7" width="11.85546875" customWidth="1"/>
  </cols>
  <sheetData>
    <row r="1" spans="1:7" x14ac:dyDescent="0.2">
      <c r="A1" s="237" t="s">
        <v>124</v>
      </c>
      <c r="B1" s="237"/>
      <c r="C1" s="237"/>
      <c r="D1" s="237"/>
      <c r="E1" s="237"/>
      <c r="F1" s="237"/>
      <c r="G1" s="237"/>
    </row>
    <row r="2" spans="1:7" ht="35.25" customHeight="1" thickBot="1" x14ac:dyDescent="0.25">
      <c r="A2" s="242" t="s">
        <v>32</v>
      </c>
      <c r="B2" s="242"/>
      <c r="C2" s="243"/>
      <c r="D2" s="243"/>
      <c r="E2" s="243"/>
      <c r="F2" s="243"/>
      <c r="G2" s="243"/>
    </row>
    <row r="3" spans="1:7" s="17" customFormat="1" ht="68.25" thickBot="1" x14ac:dyDescent="0.25">
      <c r="A3" s="19" t="s">
        <v>91</v>
      </c>
      <c r="B3" s="25" t="s">
        <v>110</v>
      </c>
      <c r="C3" s="25" t="s">
        <v>111</v>
      </c>
      <c r="D3" s="25" t="s">
        <v>36</v>
      </c>
      <c r="E3" s="25" t="s">
        <v>38</v>
      </c>
      <c r="F3" s="25" t="s">
        <v>37</v>
      </c>
      <c r="G3" s="25" t="s">
        <v>38</v>
      </c>
    </row>
    <row r="4" spans="1:7" s="17" customFormat="1" ht="12" thickBot="1" x14ac:dyDescent="0.25">
      <c r="A4" s="26">
        <v>1</v>
      </c>
      <c r="B4" s="26">
        <v>2</v>
      </c>
      <c r="C4" s="26">
        <v>3</v>
      </c>
      <c r="D4" s="26">
        <v>4</v>
      </c>
      <c r="E4" s="26">
        <v>5</v>
      </c>
      <c r="F4" s="26">
        <v>6</v>
      </c>
      <c r="G4" s="26">
        <v>7</v>
      </c>
    </row>
    <row r="5" spans="1:7" s="17" customFormat="1" ht="12" thickBot="1" x14ac:dyDescent="0.25">
      <c r="A5" s="27"/>
      <c r="B5" s="27"/>
      <c r="C5" s="27"/>
      <c r="D5" s="27"/>
      <c r="E5" s="27"/>
      <c r="F5" s="27"/>
      <c r="G5" s="27"/>
    </row>
    <row r="6" spans="1:7" s="17" customFormat="1" ht="12" thickBot="1" x14ac:dyDescent="0.25">
      <c r="A6" s="27"/>
      <c r="B6" s="27"/>
      <c r="C6" s="27"/>
      <c r="D6" s="27"/>
      <c r="E6" s="27"/>
      <c r="F6" s="27"/>
      <c r="G6" s="27"/>
    </row>
    <row r="7" spans="1:7" s="17" customFormat="1" ht="12" thickBot="1" x14ac:dyDescent="0.25">
      <c r="A7" s="27"/>
      <c r="B7" s="27"/>
      <c r="C7" s="27"/>
      <c r="D7" s="27"/>
      <c r="E7" s="27"/>
      <c r="F7" s="27"/>
      <c r="G7" s="27"/>
    </row>
    <row r="8" spans="1:7" s="17" customFormat="1" ht="12" thickBot="1" x14ac:dyDescent="0.25">
      <c r="A8" s="27"/>
      <c r="B8" s="27"/>
      <c r="C8" s="27"/>
      <c r="D8" s="27"/>
      <c r="E8" s="27"/>
      <c r="F8" s="27"/>
      <c r="G8" s="27"/>
    </row>
    <row r="9" spans="1:7" s="17" customFormat="1" ht="12" thickBot="1" x14ac:dyDescent="0.25">
      <c r="A9" s="27"/>
      <c r="B9" s="27"/>
      <c r="C9" s="27"/>
      <c r="D9" s="27"/>
      <c r="E9" s="27"/>
      <c r="F9" s="27"/>
      <c r="G9" s="27"/>
    </row>
    <row r="10" spans="1:7" s="17" customFormat="1" ht="12" thickBot="1" x14ac:dyDescent="0.25">
      <c r="A10" s="27"/>
      <c r="B10" s="27"/>
      <c r="C10" s="27"/>
      <c r="D10" s="27"/>
      <c r="E10" s="27"/>
      <c r="F10" s="27"/>
      <c r="G10" s="27"/>
    </row>
    <row r="11" spans="1:7" s="17" customFormat="1" ht="12" thickBot="1" x14ac:dyDescent="0.25">
      <c r="A11" s="27"/>
      <c r="B11" s="27"/>
      <c r="C11" s="27"/>
      <c r="D11" s="27"/>
      <c r="E11" s="27"/>
      <c r="F11" s="27"/>
      <c r="G11" s="27"/>
    </row>
    <row r="12" spans="1:7" s="17" customFormat="1" ht="12" thickBot="1" x14ac:dyDescent="0.25">
      <c r="A12" s="27"/>
      <c r="B12" s="27"/>
      <c r="C12" s="27"/>
      <c r="D12" s="27"/>
      <c r="E12" s="27"/>
      <c r="F12" s="27"/>
      <c r="G12" s="27"/>
    </row>
    <row r="13" spans="1:7" s="17" customFormat="1" ht="12" thickBot="1" x14ac:dyDescent="0.25">
      <c r="A13" s="27"/>
      <c r="B13" s="27"/>
      <c r="C13" s="27"/>
      <c r="D13" s="27"/>
      <c r="E13" s="27"/>
      <c r="F13" s="27"/>
      <c r="G13" s="27"/>
    </row>
    <row r="14" spans="1:7" s="17" customFormat="1" ht="12" thickBot="1" x14ac:dyDescent="0.25">
      <c r="A14" s="27"/>
      <c r="B14" s="27"/>
      <c r="C14" s="27"/>
      <c r="D14" s="27"/>
      <c r="E14" s="27"/>
      <c r="F14" s="27"/>
      <c r="G14" s="27"/>
    </row>
    <row r="15" spans="1:7" s="17" customFormat="1" ht="12" thickBot="1" x14ac:dyDescent="0.25">
      <c r="A15" s="27"/>
      <c r="B15" s="27"/>
      <c r="C15" s="27"/>
      <c r="D15" s="27"/>
      <c r="E15" s="27"/>
      <c r="F15" s="27"/>
      <c r="G15" s="27"/>
    </row>
    <row r="16" spans="1:7" s="17" customFormat="1" ht="12" thickBot="1" x14ac:dyDescent="0.25">
      <c r="A16" s="27"/>
      <c r="B16" s="27"/>
      <c r="C16" s="27"/>
      <c r="D16" s="27"/>
      <c r="E16" s="27"/>
      <c r="F16" s="27"/>
      <c r="G16" s="27"/>
    </row>
    <row r="17" spans="1:7" s="17" customFormat="1" ht="12" thickBot="1" x14ac:dyDescent="0.25">
      <c r="A17" s="27"/>
      <c r="B17" s="27"/>
      <c r="C17" s="27"/>
      <c r="D17" s="27"/>
      <c r="E17" s="27"/>
      <c r="F17" s="27"/>
      <c r="G17" s="27"/>
    </row>
    <row r="18" spans="1:7" s="17" customFormat="1" ht="12" thickBot="1" x14ac:dyDescent="0.25">
      <c r="A18" s="27"/>
      <c r="B18" s="27"/>
      <c r="C18" s="27"/>
      <c r="D18" s="27"/>
      <c r="E18" s="27"/>
      <c r="F18" s="27"/>
      <c r="G18" s="27"/>
    </row>
    <row r="19" spans="1:7" s="17" customFormat="1" ht="12" thickBot="1" x14ac:dyDescent="0.25">
      <c r="A19" s="27"/>
      <c r="B19" s="27"/>
      <c r="C19" s="27"/>
      <c r="D19" s="27"/>
      <c r="E19" s="27"/>
      <c r="F19" s="27"/>
      <c r="G19" s="27"/>
    </row>
    <row r="20" spans="1:7" s="17" customFormat="1" ht="12" thickBot="1" x14ac:dyDescent="0.25">
      <c r="A20" s="27"/>
      <c r="B20" s="27"/>
      <c r="C20" s="27"/>
      <c r="D20" s="27"/>
      <c r="E20" s="27"/>
      <c r="F20" s="27"/>
      <c r="G20" s="27"/>
    </row>
    <row r="21" spans="1:7" s="17" customFormat="1" ht="12" thickBot="1" x14ac:dyDescent="0.25">
      <c r="A21" s="27"/>
      <c r="B21" s="27"/>
      <c r="C21" s="27"/>
      <c r="D21" s="27"/>
      <c r="E21" s="27"/>
      <c r="F21" s="27"/>
      <c r="G21" s="27"/>
    </row>
    <row r="22" spans="1:7" s="17" customFormat="1" ht="12" thickBot="1" x14ac:dyDescent="0.25">
      <c r="A22" s="27"/>
      <c r="B22" s="27"/>
      <c r="C22" s="27"/>
      <c r="D22" s="27"/>
      <c r="E22" s="27"/>
      <c r="F22" s="27"/>
      <c r="G22" s="27"/>
    </row>
    <row r="23" spans="1:7" s="17" customFormat="1" ht="12" thickBot="1" x14ac:dyDescent="0.25">
      <c r="A23" s="27"/>
      <c r="B23" s="27"/>
      <c r="C23" s="27"/>
      <c r="D23" s="27"/>
      <c r="E23" s="27"/>
      <c r="F23" s="27"/>
      <c r="G23" s="27"/>
    </row>
    <row r="24" spans="1:7" s="17" customFormat="1" ht="12" thickBot="1" x14ac:dyDescent="0.25">
      <c r="A24" s="27"/>
      <c r="B24" s="27"/>
      <c r="C24" s="27"/>
      <c r="D24" s="27"/>
      <c r="E24" s="27"/>
      <c r="F24" s="27"/>
      <c r="G24" s="27"/>
    </row>
    <row r="25" spans="1:7" s="17" customFormat="1" ht="12" thickBot="1" x14ac:dyDescent="0.25">
      <c r="A25" s="27"/>
      <c r="B25" s="27"/>
      <c r="C25" s="27"/>
      <c r="D25" s="27"/>
      <c r="E25" s="27"/>
      <c r="F25" s="27"/>
      <c r="G25" s="27"/>
    </row>
    <row r="26" spans="1:7" s="17" customFormat="1" ht="12" thickBot="1" x14ac:dyDescent="0.25">
      <c r="A26" s="27"/>
      <c r="B26" s="27"/>
      <c r="C26" s="27"/>
      <c r="D26" s="27"/>
      <c r="E26" s="27"/>
      <c r="F26" s="27"/>
      <c r="G26" s="27"/>
    </row>
    <row r="27" spans="1:7" s="17" customFormat="1" ht="12" thickBot="1" x14ac:dyDescent="0.25">
      <c r="A27" s="27"/>
      <c r="B27" s="27"/>
      <c r="C27" s="27"/>
      <c r="D27" s="27"/>
      <c r="E27" s="27"/>
      <c r="F27" s="27"/>
      <c r="G27" s="27"/>
    </row>
    <row r="28" spans="1:7" s="17" customFormat="1" ht="12" thickBot="1" x14ac:dyDescent="0.25">
      <c r="A28" s="27"/>
      <c r="B28" s="27"/>
      <c r="C28" s="27"/>
      <c r="D28" s="27"/>
      <c r="E28" s="27"/>
      <c r="F28" s="27"/>
      <c r="G28" s="27"/>
    </row>
    <row r="29" spans="1:7" ht="13.5" thickBot="1" x14ac:dyDescent="0.25">
      <c r="A29" s="27"/>
      <c r="B29" s="27"/>
      <c r="C29" s="27"/>
      <c r="D29" s="27"/>
      <c r="E29" s="27"/>
      <c r="F29" s="27"/>
      <c r="G29" s="27"/>
    </row>
    <row r="30" spans="1:7" ht="13.5" thickBot="1" x14ac:dyDescent="0.25">
      <c r="A30" s="27"/>
      <c r="B30" s="27"/>
      <c r="C30" s="27"/>
      <c r="D30" s="27"/>
      <c r="E30" s="27"/>
      <c r="F30" s="27"/>
      <c r="G30" s="27"/>
    </row>
    <row r="31" spans="1:7" ht="13.5" thickBot="1" x14ac:dyDescent="0.25">
      <c r="A31" s="27"/>
      <c r="B31" s="27"/>
      <c r="C31" s="27"/>
      <c r="D31" s="27"/>
      <c r="E31" s="27"/>
      <c r="F31" s="27"/>
      <c r="G31" s="27"/>
    </row>
    <row r="32" spans="1:7" ht="13.5" thickBot="1" x14ac:dyDescent="0.25">
      <c r="A32" s="27"/>
      <c r="B32" s="27"/>
      <c r="C32" s="27"/>
      <c r="D32" s="27"/>
      <c r="E32" s="27"/>
      <c r="F32" s="27"/>
      <c r="G32" s="27"/>
    </row>
    <row r="33" spans="1:7" ht="13.5" thickBot="1" x14ac:dyDescent="0.25">
      <c r="A33" s="27"/>
      <c r="B33" s="27"/>
      <c r="C33" s="27"/>
      <c r="D33" s="27"/>
      <c r="E33" s="27"/>
      <c r="F33" s="27"/>
      <c r="G33" s="27"/>
    </row>
    <row r="34" spans="1:7" ht="13.5" thickBot="1" x14ac:dyDescent="0.25">
      <c r="A34" s="27"/>
      <c r="B34" s="27"/>
      <c r="C34" s="27"/>
      <c r="D34" s="27"/>
      <c r="E34" s="27"/>
      <c r="F34" s="27"/>
      <c r="G34" s="27"/>
    </row>
    <row r="35" spans="1:7" ht="13.5" thickBot="1" x14ac:dyDescent="0.25">
      <c r="A35" s="27"/>
      <c r="B35" s="27"/>
      <c r="C35" s="27"/>
      <c r="D35" s="27"/>
      <c r="E35" s="27"/>
      <c r="F35" s="27"/>
      <c r="G35" s="27"/>
    </row>
    <row r="36" spans="1:7" ht="13.5" thickBot="1" x14ac:dyDescent="0.25">
      <c r="A36" s="27"/>
      <c r="B36" s="27"/>
      <c r="C36" s="27"/>
      <c r="D36" s="27"/>
      <c r="E36" s="27"/>
      <c r="F36" s="27"/>
      <c r="G36" s="27"/>
    </row>
    <row r="37" spans="1:7" ht="13.5" thickBot="1" x14ac:dyDescent="0.25">
      <c r="A37" s="27"/>
      <c r="B37" s="27"/>
      <c r="C37" s="27"/>
      <c r="D37" s="27"/>
      <c r="E37" s="27"/>
      <c r="F37" s="27"/>
      <c r="G37" s="27"/>
    </row>
    <row r="38" spans="1:7" ht="13.5" thickBot="1" x14ac:dyDescent="0.25">
      <c r="A38" s="27"/>
      <c r="B38" s="27"/>
      <c r="C38" s="27"/>
      <c r="D38" s="27"/>
      <c r="E38" s="27"/>
      <c r="F38" s="27"/>
      <c r="G38" s="27"/>
    </row>
    <row r="39" spans="1:7" ht="13.5" thickBot="1" x14ac:dyDescent="0.25">
      <c r="A39" s="27"/>
      <c r="B39" s="27"/>
      <c r="C39" s="27"/>
      <c r="D39" s="27"/>
      <c r="E39" s="27"/>
      <c r="F39" s="27"/>
      <c r="G39" s="27"/>
    </row>
    <row r="40" spans="1:7" ht="13.5" thickBot="1" x14ac:dyDescent="0.25">
      <c r="A40" s="27"/>
      <c r="B40" s="27"/>
      <c r="C40" s="27"/>
      <c r="D40" s="27"/>
      <c r="E40" s="27"/>
      <c r="F40" s="27"/>
      <c r="G40" s="27"/>
    </row>
    <row r="41" spans="1:7" ht="13.5" thickBot="1" x14ac:dyDescent="0.25">
      <c r="A41" s="27"/>
      <c r="B41" s="27"/>
      <c r="C41" s="27"/>
      <c r="D41" s="27"/>
      <c r="E41" s="27"/>
      <c r="F41" s="27"/>
      <c r="G41" s="27"/>
    </row>
    <row r="42" spans="1:7" ht="13.5" thickBot="1" x14ac:dyDescent="0.25">
      <c r="A42" s="27"/>
      <c r="B42" s="27"/>
      <c r="C42" s="27"/>
      <c r="D42" s="27"/>
      <c r="E42" s="27"/>
      <c r="F42" s="27"/>
      <c r="G42" s="27"/>
    </row>
    <row r="43" spans="1:7" ht="13.5" thickBot="1" x14ac:dyDescent="0.25">
      <c r="A43" s="27"/>
      <c r="B43" s="27"/>
      <c r="C43" s="27"/>
      <c r="D43" s="27"/>
      <c r="E43" s="27"/>
      <c r="F43" s="27"/>
      <c r="G43" s="27"/>
    </row>
    <row r="44" spans="1:7" ht="13.5" thickBot="1" x14ac:dyDescent="0.25">
      <c r="A44" s="27"/>
      <c r="B44" s="27"/>
      <c r="C44" s="27"/>
      <c r="D44" s="27"/>
      <c r="E44" s="27"/>
      <c r="F44" s="27"/>
      <c r="G44" s="27"/>
    </row>
    <row r="45" spans="1:7" ht="13.5" thickBot="1" x14ac:dyDescent="0.25">
      <c r="A45" s="27"/>
      <c r="B45" s="27"/>
      <c r="C45" s="27"/>
      <c r="D45" s="27"/>
      <c r="E45" s="27"/>
      <c r="F45" s="27"/>
      <c r="G45" s="27"/>
    </row>
    <row r="46" spans="1:7" ht="13.5" thickBot="1" x14ac:dyDescent="0.25">
      <c r="A46" s="27"/>
      <c r="B46" s="27"/>
      <c r="C46" s="27"/>
      <c r="D46" s="27"/>
      <c r="E46" s="27"/>
      <c r="F46" s="27"/>
      <c r="G46" s="27"/>
    </row>
    <row r="47" spans="1:7" ht="13.5" thickBot="1" x14ac:dyDescent="0.25">
      <c r="A47" s="27"/>
      <c r="B47" s="27"/>
      <c r="C47" s="27"/>
      <c r="D47" s="27"/>
      <c r="E47" s="27"/>
      <c r="F47" s="27"/>
      <c r="G47" s="27"/>
    </row>
    <row r="48" spans="1:7" ht="13.5" thickBot="1" x14ac:dyDescent="0.25">
      <c r="A48" s="27"/>
      <c r="B48" s="27"/>
      <c r="C48" s="27"/>
      <c r="D48" s="27"/>
      <c r="E48" s="27"/>
      <c r="F48" s="27"/>
      <c r="G48" s="27"/>
    </row>
    <row r="49" spans="1:7" ht="13.5" thickBot="1" x14ac:dyDescent="0.25">
      <c r="A49" s="27"/>
      <c r="B49" s="27"/>
      <c r="C49" s="27"/>
      <c r="D49" s="27"/>
      <c r="E49" s="27"/>
      <c r="F49" s="27"/>
      <c r="G49" s="27"/>
    </row>
    <row r="50" spans="1:7" ht="13.5" thickBot="1" x14ac:dyDescent="0.25">
      <c r="A50" s="27"/>
      <c r="B50" s="27"/>
      <c r="C50" s="27"/>
      <c r="D50" s="27"/>
      <c r="E50" s="27"/>
      <c r="F50" s="27"/>
      <c r="G50" s="27"/>
    </row>
    <row r="51" spans="1:7" ht="13.5" thickBot="1" x14ac:dyDescent="0.25">
      <c r="A51" s="27"/>
      <c r="B51" s="27"/>
      <c r="C51" s="27"/>
      <c r="D51" s="27"/>
      <c r="E51" s="27"/>
      <c r="F51" s="27"/>
      <c r="G51" s="27"/>
    </row>
    <row r="52" spans="1:7" ht="13.5" thickBot="1" x14ac:dyDescent="0.25">
      <c r="A52" s="27"/>
      <c r="B52" s="27"/>
      <c r="C52" s="27"/>
      <c r="D52" s="27"/>
      <c r="E52" s="27"/>
      <c r="F52" s="27"/>
      <c r="G52" s="27"/>
    </row>
    <row r="53" spans="1:7" ht="13.5" thickBot="1" x14ac:dyDescent="0.25">
      <c r="A53" s="27"/>
      <c r="B53" s="27"/>
      <c r="C53" s="27"/>
      <c r="D53" s="27"/>
      <c r="E53" s="27"/>
      <c r="F53" s="27"/>
      <c r="G53" s="27"/>
    </row>
    <row r="54" spans="1:7" ht="13.5" thickBot="1" x14ac:dyDescent="0.25">
      <c r="A54" s="27"/>
      <c r="B54" s="27"/>
      <c r="C54" s="27"/>
      <c r="D54" s="27"/>
      <c r="E54" s="27"/>
      <c r="F54" s="27"/>
      <c r="G54" s="27"/>
    </row>
    <row r="55" spans="1:7" ht="13.5" thickBot="1" x14ac:dyDescent="0.25">
      <c r="A55" s="27"/>
      <c r="B55" s="27"/>
      <c r="C55" s="27"/>
      <c r="D55" s="27"/>
      <c r="E55" s="27"/>
      <c r="F55" s="27"/>
      <c r="G55" s="27"/>
    </row>
    <row r="56" spans="1:7" ht="13.5" thickBot="1" x14ac:dyDescent="0.25">
      <c r="A56" s="27"/>
      <c r="B56" s="27"/>
      <c r="C56" s="27"/>
      <c r="D56" s="27"/>
      <c r="E56" s="27"/>
      <c r="F56" s="27"/>
      <c r="G56" s="27"/>
    </row>
    <row r="57" spans="1:7" ht="13.5" thickBot="1" x14ac:dyDescent="0.25">
      <c r="A57" s="27"/>
      <c r="B57" s="27"/>
      <c r="C57" s="27"/>
      <c r="D57" s="27"/>
      <c r="E57" s="27"/>
      <c r="F57" s="27"/>
      <c r="G57" s="27"/>
    </row>
  </sheetData>
  <mergeCells count="2">
    <mergeCell ref="A1:G1"/>
    <mergeCell ref="A2:G2"/>
  </mergeCells>
  <phoneticPr fontId="12" type="noConversion"/>
  <pageMargins left="0.78740157480314965" right="0.19685039370078741" top="0.39370078740157483" bottom="0.39370078740157483" header="0.51181102362204722" footer="0.51181102362204722"/>
  <pageSetup paperSize="9" orientation="portrait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indexed="17"/>
  </sheetPr>
  <dimension ref="A1:F15"/>
  <sheetViews>
    <sheetView view="pageBreakPreview" zoomScale="145" zoomScaleNormal="145" zoomScaleSheetLayoutView="145" workbookViewId="0">
      <selection activeCell="I10" sqref="I10"/>
    </sheetView>
  </sheetViews>
  <sheetFormatPr defaultRowHeight="12.75" x14ac:dyDescent="0.2"/>
  <cols>
    <col min="1" max="5" width="9.7109375" customWidth="1"/>
    <col min="6" max="6" width="5.28515625" customWidth="1"/>
  </cols>
  <sheetData>
    <row r="1" spans="1:6" s="17" customFormat="1" ht="11.25" x14ac:dyDescent="0.2">
      <c r="A1" s="28" t="s">
        <v>40</v>
      </c>
      <c r="B1" s="29"/>
      <c r="C1" s="29"/>
      <c r="D1" s="29"/>
      <c r="E1" s="29"/>
      <c r="F1" s="30"/>
    </row>
    <row r="2" spans="1:6" s="17" customFormat="1" ht="11.25" x14ac:dyDescent="0.2">
      <c r="A2" s="244"/>
      <c r="B2" s="245"/>
      <c r="C2" s="245"/>
      <c r="F2" s="31"/>
    </row>
    <row r="3" spans="1:6" s="17" customFormat="1" ht="11.25" x14ac:dyDescent="0.2">
      <c r="A3" s="32" t="s">
        <v>41</v>
      </c>
      <c r="F3" s="31"/>
    </row>
    <row r="4" spans="1:6" x14ac:dyDescent="0.2">
      <c r="A4" s="244"/>
      <c r="B4" s="245"/>
      <c r="C4" s="245"/>
      <c r="D4" s="245"/>
      <c r="E4" s="245"/>
      <c r="F4" s="246"/>
    </row>
    <row r="5" spans="1:6" s="16" customFormat="1" ht="9.75" x14ac:dyDescent="0.15">
      <c r="A5" s="247" t="s">
        <v>42</v>
      </c>
      <c r="B5" s="248"/>
      <c r="C5" s="248"/>
      <c r="D5" s="248"/>
      <c r="E5" s="248"/>
      <c r="F5" s="249"/>
    </row>
    <row r="6" spans="1:6" x14ac:dyDescent="0.2">
      <c r="A6" s="244"/>
      <c r="B6" s="245"/>
      <c r="C6" s="245"/>
      <c r="D6" s="245"/>
      <c r="E6" s="245"/>
      <c r="F6" s="246"/>
    </row>
    <row r="7" spans="1:6" s="16" customFormat="1" ht="10.5" thickBot="1" x14ac:dyDescent="0.2">
      <c r="A7" s="250" t="s">
        <v>43</v>
      </c>
      <c r="B7" s="251"/>
      <c r="C7" s="251"/>
      <c r="D7" s="251"/>
      <c r="E7" s="251"/>
      <c r="F7" s="252"/>
    </row>
    <row r="8" spans="1:6" ht="13.5" thickBot="1" x14ac:dyDescent="0.25"/>
    <row r="9" spans="1:6" x14ac:dyDescent="0.2">
      <c r="A9" s="28" t="s">
        <v>40</v>
      </c>
      <c r="B9" s="29"/>
      <c r="C9" s="29"/>
      <c r="D9" s="29"/>
      <c r="E9" s="29"/>
      <c r="F9" s="30"/>
    </row>
    <row r="10" spans="1:6" x14ac:dyDescent="0.2">
      <c r="A10" s="244"/>
      <c r="B10" s="245"/>
      <c r="C10" s="245"/>
      <c r="D10" s="17"/>
      <c r="E10" s="17"/>
      <c r="F10" s="31"/>
    </row>
    <row r="11" spans="1:6" x14ac:dyDescent="0.2">
      <c r="A11" s="32" t="s">
        <v>41</v>
      </c>
      <c r="B11" s="17"/>
      <c r="C11" s="17"/>
      <c r="D11" s="17"/>
      <c r="E11" s="17"/>
      <c r="F11" s="31"/>
    </row>
    <row r="12" spans="1:6" x14ac:dyDescent="0.2">
      <c r="A12" s="244"/>
      <c r="B12" s="245"/>
      <c r="C12" s="245"/>
      <c r="D12" s="245"/>
      <c r="E12" s="245"/>
      <c r="F12" s="246"/>
    </row>
    <row r="13" spans="1:6" x14ac:dyDescent="0.2">
      <c r="A13" s="247" t="s">
        <v>42</v>
      </c>
      <c r="B13" s="248"/>
      <c r="C13" s="248"/>
      <c r="D13" s="248"/>
      <c r="E13" s="248"/>
      <c r="F13" s="249"/>
    </row>
    <row r="14" spans="1:6" x14ac:dyDescent="0.2">
      <c r="A14" s="244"/>
      <c r="B14" s="245"/>
      <c r="C14" s="245"/>
      <c r="D14" s="245"/>
      <c r="E14" s="245"/>
      <c r="F14" s="246"/>
    </row>
    <row r="15" spans="1:6" ht="13.5" thickBot="1" x14ac:dyDescent="0.25">
      <c r="A15" s="250" t="s">
        <v>43</v>
      </c>
      <c r="B15" s="251"/>
      <c r="C15" s="251"/>
      <c r="D15" s="251"/>
      <c r="E15" s="251"/>
      <c r="F15" s="252"/>
    </row>
  </sheetData>
  <mergeCells count="10">
    <mergeCell ref="A10:C10"/>
    <mergeCell ref="A12:F12"/>
    <mergeCell ref="A13:F13"/>
    <mergeCell ref="A14:F14"/>
    <mergeCell ref="A15:F15"/>
    <mergeCell ref="A4:F4"/>
    <mergeCell ref="A5:F5"/>
    <mergeCell ref="A6:F6"/>
    <mergeCell ref="A7:F7"/>
    <mergeCell ref="A2:C2"/>
  </mergeCells>
  <pageMargins left="0.78740157480314965" right="0.19685039370078741" top="0.39370078740157483" bottom="0.39370078740157483" header="0.51181102362204722" footer="0.51181102362204722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11</vt:i4>
      </vt:variant>
      <vt:variant>
        <vt:lpstr>Именованные диапазоны</vt:lpstr>
      </vt:variant>
      <vt:variant>
        <vt:i4>14</vt:i4>
      </vt:variant>
    </vt:vector>
  </HeadingPairs>
  <TitlesOfParts>
    <vt:vector size="25" baseType="lpstr">
      <vt:lpstr>Данные организации</vt:lpstr>
      <vt:lpstr>Данные объект</vt:lpstr>
      <vt:lpstr>Обложка</vt:lpstr>
      <vt:lpstr>Титульный лист</vt:lpstr>
      <vt:lpstr>Раздел1</vt:lpstr>
      <vt:lpstr>Раздел2</vt:lpstr>
      <vt:lpstr>Раздел3</vt:lpstr>
      <vt:lpstr>Раздел4</vt:lpstr>
      <vt:lpstr>Раздел5</vt:lpstr>
      <vt:lpstr>Раздел6</vt:lpstr>
      <vt:lpstr>ярлык</vt:lpstr>
      <vt:lpstr>Раздел1!Заголовки_для_печати</vt:lpstr>
      <vt:lpstr>Раздел3!Заголовки_для_печати</vt:lpstr>
      <vt:lpstr>Раздел4!Заголовки_для_печати</vt:lpstr>
      <vt:lpstr>Раздел5!Заголовки_для_печати</vt:lpstr>
      <vt:lpstr>Раздел6!Заголовки_для_печати</vt:lpstr>
      <vt:lpstr>Обложка!Область_печати</vt:lpstr>
      <vt:lpstr>Раздел1!Область_печати</vt:lpstr>
      <vt:lpstr>Раздел2!Область_печати</vt:lpstr>
      <vt:lpstr>Раздел3!Область_печати</vt:lpstr>
      <vt:lpstr>Раздел4!Область_печати</vt:lpstr>
      <vt:lpstr>Раздел5!Область_печати</vt:lpstr>
      <vt:lpstr>Раздел6!Область_печати</vt:lpstr>
      <vt:lpstr>'Титульный лист'!Область_печати</vt:lpstr>
      <vt:lpstr>ярлык!Область_печати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Executive Docs</dc:creator>
  <cp:lastModifiedBy>Executive Docs</cp:lastModifiedBy>
</cp:coreProperties>
</file>