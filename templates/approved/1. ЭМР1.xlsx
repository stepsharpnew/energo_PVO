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6361F195-AEAB-4017-99D2-33D6ADD91EF4}" xr6:coauthVersionLast="45" xr6:coauthVersionMax="47" xr10:uidLastSave="{00000000-0000-0000-0000-000000000000}"/>
  <bookViews>
    <workbookView xWindow="-120" yWindow="-120" windowWidth="29040" windowHeight="15840" tabRatio="954" firstSheet="3" activeTab="4" xr2:uid="{00000000-000D-0000-FFFF-FFFF00000000}"/>
  </bookViews>
  <sheets>
    <sheet name="Главная " sheetId="1" state="hidden" r:id="rId1"/>
    <sheet name="связ.данные (Работы)" sheetId="83" state="hidden" r:id="rId2"/>
    <sheet name="связ.данные(оборудование)" sheetId="33" state="hidden" r:id="rId3"/>
    <sheet name="Данные организации" sheetId="84" r:id="rId4"/>
    <sheet name="Данные объект" sheetId="2" r:id="rId5"/>
    <sheet name="Титульный ЭС" sheetId="4" r:id="rId6"/>
    <sheet name="Титульный подрядчик" sheetId="121" r:id="rId7"/>
    <sheet name="Акт опробования" sheetId="149" r:id="rId8"/>
    <sheet name="Приложение_№_2" sheetId="150" r:id="rId9"/>
    <sheet name="Приложение_№_4" sheetId="151" r:id="rId10"/>
    <sheet name="Пр.6А" sheetId="120" r:id="rId11"/>
    <sheet name="Пр.6Б" sheetId="95" r:id="rId12"/>
    <sheet name="Пр.7" sheetId="94" r:id="rId13"/>
    <sheet name="Пр.10" sheetId="96" r:id="rId14"/>
    <sheet name="Пр.11" sheetId="97" r:id="rId15"/>
    <sheet name="Пр.13 Справка ИД" sheetId="118" r:id="rId16"/>
    <sheet name="Пр.15 Реестр" sheetId="141" r:id="rId17"/>
    <sheet name="Ведомость перед" sheetId="148" state="hidden" r:id="rId18"/>
    <sheet name="Пр.16" sheetId="111" r:id="rId19"/>
    <sheet name="Пр.15 Реестр Химки" sheetId="140" r:id="rId20"/>
    <sheet name="Пр.16 Химки" sheetId="142" r:id="rId21"/>
    <sheet name="акт ГЕО" sheetId="81" state="hidden" r:id="rId22"/>
    <sheet name="акт ГЕО оси" sheetId="122" r:id="rId23"/>
    <sheet name="1 " sheetId="6" r:id="rId24"/>
    <sheet name="2" sheetId="7" r:id="rId25"/>
    <sheet name="3" sheetId="8" r:id="rId26"/>
    <sheet name="Ведомость общ" sheetId="10" r:id="rId27"/>
    <sheet name="ТП-1" sheetId="11" r:id="rId28"/>
    <sheet name="ТП-2" sheetId="69" r:id="rId29"/>
    <sheet name="ТП-3" sheetId="70" r:id="rId30"/>
    <sheet name="ТП-4" sheetId="71" r:id="rId31"/>
    <sheet name="АСП-1" sheetId="143" r:id="rId32"/>
    <sheet name="АСП-2" sheetId="144" r:id="rId33"/>
    <sheet name="АСП-3" sheetId="145" r:id="rId34"/>
    <sheet name="КЛ-1" sheetId="20" r:id="rId35"/>
    <sheet name="КЛ-2" sheetId="18" r:id="rId36"/>
    <sheet name="КЛ-3" sheetId="72" r:id="rId37"/>
    <sheet name="КЛ-4" sheetId="21" r:id="rId38"/>
    <sheet name="КЛ-5" sheetId="22" r:id="rId39"/>
    <sheet name="КЛ-6" sheetId="23" r:id="rId40"/>
    <sheet name="КЛ-7" sheetId="24" r:id="rId41"/>
    <sheet name="КЛ-8" sheetId="25" r:id="rId42"/>
    <sheet name="КЛ-9" sheetId="73" r:id="rId43"/>
    <sheet name="ВЛЗ-3" sheetId="76" r:id="rId44"/>
    <sheet name="ВЛЗ-6" sheetId="79" r:id="rId45"/>
    <sheet name="ВЛЗ-8" sheetId="80" r:id="rId46"/>
    <sheet name="24 ВЛЗ" sheetId="28" r:id="rId47"/>
    <sheet name="26 ВЛЗ" sheetId="30" r:id="rId48"/>
    <sheet name="ВЛЗ-3 0,4" sheetId="130" r:id="rId49"/>
    <sheet name="ВЛЗ-6 0,4" sheetId="131" r:id="rId50"/>
    <sheet name="ВЛИ- 8 0,4" sheetId="132" r:id="rId51"/>
    <sheet name="24 ВЛЗ 0,4" sheetId="133" r:id="rId52"/>
    <sheet name="26 ВЛЗ 0,4" sheetId="134" r:id="rId53"/>
    <sheet name="ВРЩ-1" sheetId="116" r:id="rId54"/>
    <sheet name="ВРЩ-2" sheetId="117" r:id="rId55"/>
    <sheet name="ПНР ТП" sheetId="127" r:id="rId56"/>
    <sheet name="ВЛ-1" sheetId="27" state="hidden" r:id="rId57"/>
    <sheet name="ВЛ-2" sheetId="75" state="hidden" r:id="rId58"/>
    <sheet name="ВЛИ-3" sheetId="105" state="hidden" r:id="rId59"/>
    <sheet name="ВЛИ-6" sheetId="106" state="hidden" r:id="rId60"/>
    <sheet name="ВЛИ-8" sheetId="107" state="hidden" r:id="rId61"/>
    <sheet name="24 ВЛИ" sheetId="108" state="hidden" r:id="rId62"/>
    <sheet name="26 ВЛИ" sheetId="109" state="hidden" r:id="rId63"/>
  </sheets>
  <definedNames>
    <definedName name="_Toc27724337" localSheetId="10">Пр.6А!$J$1</definedName>
    <definedName name="aaaa">'[1]связ.данные(оборудование)'!$L$17:$L$23</definedName>
    <definedName name="№диспет">[2]Значения!$CY$15:$CY$18</definedName>
    <definedName name="авпвапп">[3]ВыгрузкаОС!$1:$1048576</definedName>
    <definedName name="вл04">[2]ОКОФ!$B$2</definedName>
    <definedName name="габариты2">[2]Значения!$DF$15:$DF$16</definedName>
    <definedName name="Группы_НУ">'[4]Группы НУ'!$A$4:$A$13</definedName>
    <definedName name="дис">'[5]3-кв.2016г'!$BW$6</definedName>
    <definedName name="кабель" localSheetId="1">'связ.данные (Работы)'!$B$85:$B$86</definedName>
    <definedName name="кабель" localSheetId="2">'связ.данные(оборудование)'!$B$85:$B$86</definedName>
    <definedName name="КЛ" localSheetId="2">'связ.данные(оборудование)'!$H$64:$H$66</definedName>
    <definedName name="кл04">[2]ОКОФ!$E$2</definedName>
    <definedName name="кл6">[2]ОКОФ!$D$2</definedName>
    <definedName name="ктп2">[2]ОКОФ!$H$2</definedName>
    <definedName name="КТП3">[2]Значения!$DE$15:$DE$17</definedName>
    <definedName name="мастера2">[2]Значения!$DV$15:$DV$17</definedName>
    <definedName name="мурэс">[2]УРЭС!$A$7</definedName>
    <definedName name="начи">'[6]Для заполнения'!$L$1:$L$2</definedName>
    <definedName name="_xlnm.Print_Area" localSheetId="23">'1 '!$A$1:$BZ$99</definedName>
    <definedName name="_xlnm.Print_Area" localSheetId="24">'2'!$A$1:$CE$50</definedName>
    <definedName name="_xlnm.Print_Area" localSheetId="46">'24 ВЛЗ'!$A$1:$CB$73</definedName>
    <definedName name="_xlnm.Print_Area" localSheetId="51">'24 ВЛЗ 0,4'!$A$1:$CB$73</definedName>
    <definedName name="_xlnm.Print_Area" localSheetId="61">'24 ВЛИ'!$A$1:$CB$73</definedName>
    <definedName name="_xlnm.Print_Area" localSheetId="22">'акт ГЕО оси'!$A$1:$AJ$95</definedName>
    <definedName name="_xlnm.Print_Area" localSheetId="32">'АСП-2'!$A$1:$CB$50</definedName>
    <definedName name="_xlnm.Print_Area" localSheetId="17">'Ведомость перед'!$A$1:$F$250</definedName>
    <definedName name="_xlnm.Print_Area" localSheetId="57">'ВЛ-2'!$A$1:$CE$48</definedName>
    <definedName name="_xlnm.Print_Area" localSheetId="43">'ВЛЗ-3'!$A$1:$CE$42</definedName>
    <definedName name="_xlnm.Print_Area" localSheetId="48">'ВЛЗ-3 0,4'!$A$1:$CE$42</definedName>
    <definedName name="_xlnm.Print_Area" localSheetId="44">'ВЛЗ-6'!$A$1:$CE$50</definedName>
    <definedName name="_xlnm.Print_Area" localSheetId="49">'ВЛЗ-6 0,4'!$A$1:$CE$50</definedName>
    <definedName name="_xlnm.Print_Area" localSheetId="45">'ВЛЗ-8'!$A$1:$CE$40</definedName>
    <definedName name="_xlnm.Print_Area" localSheetId="50">'ВЛИ- 8 0,4'!$A$1:$CE$41</definedName>
    <definedName name="_xlnm.Print_Area" localSheetId="58">'ВЛИ-3'!$A$1:$CE$42</definedName>
    <definedName name="_xlnm.Print_Area" localSheetId="59">'ВЛИ-6'!$A$1:$CE$50</definedName>
    <definedName name="_xlnm.Print_Area" localSheetId="60">'ВЛИ-8'!$A$1:$CE$49</definedName>
    <definedName name="_xlnm.Print_Area" localSheetId="53">'ВРЩ-1'!$A$1:$CE$49</definedName>
    <definedName name="_xlnm.Print_Area" localSheetId="36">'КЛ-3'!$A$1:$CB$49</definedName>
    <definedName name="_xlnm.Print_Area" localSheetId="37">'КЛ-4'!$A$1:$BY$32</definedName>
    <definedName name="_xlnm.Print_Area" localSheetId="13">Пр.10!$A$1:$M$62</definedName>
    <definedName name="_xlnm.Print_Area" localSheetId="16">'Пр.15 Реестр'!$A$1:$F$259</definedName>
    <definedName name="_xlnm.Print_Area" localSheetId="19">'Пр.15 Реестр Химки'!$A$1:$F$253</definedName>
    <definedName name="_xlnm.Print_Area" localSheetId="20">'Пр.16 Химки'!$A$1:$K$31</definedName>
    <definedName name="_xlnm.Print_Area" localSheetId="12">Пр.7!$A$1:$L$138</definedName>
    <definedName name="_xlnm.Print_Area" localSheetId="8">Приложение_№_2!$A$1:$AF$140</definedName>
    <definedName name="_xlnm.Print_Area" localSheetId="9">Приложение_№_4!$A$1:$AF$185</definedName>
    <definedName name="_xlnm.Print_Area" localSheetId="28">'ТП-2'!$A$1:$CB$50</definedName>
    <definedName name="_xlnm.Print_Area" localSheetId="30">'ТП-4'!$A$1:$CB$52</definedName>
    <definedName name="Оборудование" localSheetId="2">'связ.данные(оборудование)'!$H$70:$H$93</definedName>
    <definedName name="ОС">[2]Значения!$AL$22:$AL$23</definedName>
    <definedName name="ПОДРЯДЧИК">#N/A</definedName>
    <definedName name="провод" localSheetId="1">'связ.данные (Работы)'!$B$75:$B$82</definedName>
    <definedName name="провод" localSheetId="2">'связ.данные(оборудование)'!$B$75:$B$82</definedName>
    <definedName name="работысмр" localSheetId="1">'связ.данные (Работы)'!$B$58:$B$68</definedName>
    <definedName name="работысмр" localSheetId="2">'связ.данные(оборудование)'!$B$58:$B$68</definedName>
    <definedName name="район2">[2]Значения!$DU$15:$DU$16</definedName>
    <definedName name="сер">[2]УРЭС!$A$5</definedName>
    <definedName name="СПИСКА">[2]КС14!$A$158:$A$162</definedName>
    <definedName name="СПИСОК2">'[2]Протокол-старый'!$A$35:$A$40</definedName>
    <definedName name="список3">[2]КС14_ХС!$A$154:$A$158</definedName>
    <definedName name="стойка" localSheetId="1">'связ.данные (Работы)'!$B$71:$B$72</definedName>
    <definedName name="стойка" localSheetId="2">'связ.данные(оборудование)'!$B$71:$B$72</definedName>
    <definedName name="ТМГ">[2]ОКОФ!$F$2</definedName>
    <definedName name="ТП" localSheetId="2">'связ.данные(оборудование)'!$H$50:$H$60</definedName>
    <definedName name="уровень">[2]Значения!$AK$22:$AK$23</definedName>
    <definedName name="цецуекуе">[7]Лист10!$1:$1048576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5" i="95" l="1"/>
  <c r="A13" i="95"/>
  <c r="C15" i="95"/>
  <c r="J193" i="97" l="1"/>
  <c r="A193" i="97"/>
  <c r="A41" i="97"/>
  <c r="BD55" i="117" l="1"/>
  <c r="BC41" i="116"/>
  <c r="BI64" i="134"/>
  <c r="A63" i="134"/>
  <c r="BC42" i="131"/>
  <c r="BC34" i="130"/>
  <c r="BI64" i="30"/>
  <c r="BC42" i="79"/>
  <c r="BC34" i="76"/>
  <c r="BC46" i="73"/>
  <c r="BC57" i="23"/>
  <c r="BC42" i="72"/>
  <c r="BC50" i="18"/>
  <c r="BC61" i="20"/>
  <c r="BF33" i="145"/>
  <c r="BC44" i="144"/>
  <c r="BC57" i="143"/>
  <c r="BC47" i="71"/>
  <c r="BF33" i="70"/>
  <c r="C33" i="70"/>
  <c r="BC44" i="69"/>
  <c r="BC57" i="11"/>
  <c r="A67" i="10"/>
  <c r="BI59" i="10"/>
  <c r="A58" i="10"/>
  <c r="A40" i="8"/>
  <c r="BI35" i="8"/>
  <c r="A34" i="8"/>
  <c r="BI44" i="7"/>
  <c r="A43" i="7"/>
  <c r="BC90" i="6"/>
  <c r="A77" i="122"/>
  <c r="A41" i="122"/>
  <c r="A47" i="122" s="1"/>
  <c r="C30" i="142"/>
  <c r="B251" i="140"/>
  <c r="A25" i="118"/>
  <c r="A29" i="118"/>
  <c r="J179" i="97"/>
  <c r="A179" i="97"/>
  <c r="C22" i="97"/>
  <c r="K57" i="96"/>
  <c r="C57" i="96"/>
  <c r="C14" i="96"/>
  <c r="K133" i="94"/>
  <c r="A13" i="120"/>
  <c r="C133" i="94"/>
  <c r="D15" i="94"/>
  <c r="J40" i="120"/>
  <c r="C15" i="120"/>
  <c r="C45" i="2"/>
  <c r="A19" i="76" s="1"/>
  <c r="C44" i="2"/>
  <c r="C43" i="2"/>
  <c r="A36" i="122" s="1"/>
  <c r="C42" i="2"/>
  <c r="A28" i="118" s="1"/>
  <c r="C39" i="2"/>
  <c r="C37" i="2"/>
  <c r="C36" i="2"/>
  <c r="A22" i="72" l="1"/>
  <c r="A21" i="134"/>
  <c r="A27" i="143"/>
  <c r="B258" i="141"/>
  <c r="A19" i="79"/>
  <c r="A20" i="144"/>
  <c r="A21" i="30"/>
  <c r="A22" i="20"/>
  <c r="A19" i="130"/>
  <c r="A19" i="131"/>
  <c r="A27" i="11"/>
  <c r="A20" i="69"/>
  <c r="A20" i="117"/>
  <c r="A21" i="18"/>
  <c r="B13" i="111"/>
  <c r="C27" i="111"/>
  <c r="A24" i="23"/>
  <c r="A18" i="116"/>
  <c r="A30" i="6"/>
  <c r="A19" i="71"/>
  <c r="A17" i="131"/>
  <c r="A19" i="72"/>
  <c r="A17" i="130"/>
  <c r="A17" i="71"/>
  <c r="A21" i="23"/>
  <c r="A24" i="143"/>
  <c r="A18" i="144"/>
  <c r="A18" i="134"/>
  <c r="A17" i="76"/>
  <c r="A19" i="20"/>
  <c r="A18" i="18"/>
  <c r="A17" i="117"/>
  <c r="A24" i="11"/>
  <c r="A17" i="79"/>
  <c r="A16" i="116"/>
  <c r="A18" i="69"/>
  <c r="A18" i="30"/>
  <c r="A13" i="94"/>
  <c r="B248" i="140"/>
  <c r="B13" i="142"/>
  <c r="A12" i="96"/>
  <c r="C27" i="142"/>
  <c r="A19" i="97"/>
  <c r="A28" i="6"/>
  <c r="A92" i="97"/>
  <c r="X7" i="151" l="1"/>
  <c r="A110" i="150"/>
  <c r="X7" i="150"/>
  <c r="M109" i="149"/>
  <c r="Y7" i="149"/>
  <c r="Y82" i="149"/>
  <c r="C84" i="149" s="1"/>
  <c r="B7" i="151"/>
  <c r="Y133" i="150"/>
  <c r="A133" i="150"/>
  <c r="Y130" i="150"/>
  <c r="A130" i="150"/>
  <c r="Y124" i="150"/>
  <c r="A124" i="150"/>
  <c r="A89" i="150"/>
  <c r="A84" i="150"/>
  <c r="A79" i="150"/>
  <c r="A65" i="150"/>
  <c r="A48" i="150"/>
  <c r="A43" i="150"/>
  <c r="A28" i="150"/>
  <c r="B7" i="150"/>
  <c r="Q4" i="150"/>
  <c r="A77" i="149"/>
  <c r="A73" i="149"/>
  <c r="A34" i="149"/>
  <c r="A34" i="150" s="1"/>
  <c r="P4" i="149" l="1"/>
  <c r="R4" i="151" s="1"/>
  <c r="Y178" i="151"/>
  <c r="A178" i="151"/>
  <c r="Y175" i="151"/>
  <c r="A175" i="151"/>
  <c r="Y169" i="151"/>
  <c r="A169" i="151"/>
  <c r="Y164" i="151"/>
  <c r="A164" i="151"/>
  <c r="U119" i="151"/>
  <c r="F119" i="151"/>
  <c r="A84" i="151"/>
  <c r="A153" i="151" s="1"/>
  <c r="A72" i="151"/>
  <c r="A128" i="151" s="1"/>
  <c r="A65" i="151"/>
  <c r="A48" i="151"/>
  <c r="A43" i="151"/>
  <c r="A34" i="151"/>
  <c r="A28" i="151"/>
  <c r="A22" i="151"/>
  <c r="B17" i="151"/>
  <c r="AF15" i="151"/>
  <c r="X15" i="151"/>
  <c r="U15" i="151"/>
  <c r="A11" i="151"/>
  <c r="A4" i="151"/>
  <c r="X138" i="150"/>
  <c r="X183" i="151" s="1"/>
  <c r="A138" i="150"/>
  <c r="A183" i="151" s="1"/>
  <c r="X137" i="150"/>
  <c r="X182" i="151" s="1"/>
  <c r="A137" i="150"/>
  <c r="A182" i="151" s="1"/>
  <c r="A111" i="150"/>
  <c r="A94" i="150"/>
  <c r="A105" i="151" s="1"/>
  <c r="B239" i="148" l="1"/>
  <c r="A238" i="148"/>
  <c r="B188" i="148"/>
  <c r="B136" i="148"/>
  <c r="B135" i="148"/>
  <c r="B134" i="148"/>
  <c r="B133" i="148"/>
  <c r="B132" i="148"/>
  <c r="B114" i="148"/>
  <c r="B113" i="148"/>
  <c r="B112" i="148"/>
  <c r="B111" i="148"/>
  <c r="B110" i="148"/>
  <c r="B109" i="148"/>
  <c r="B108" i="148"/>
  <c r="B107" i="148"/>
  <c r="B106" i="148"/>
  <c r="B73" i="148"/>
  <c r="B72" i="148"/>
  <c r="B71" i="148"/>
  <c r="B38" i="148"/>
  <c r="B37" i="148"/>
  <c r="B36" i="148"/>
  <c r="B35" i="148"/>
  <c r="B34" i="148"/>
  <c r="B33" i="148"/>
  <c r="B32" i="148"/>
  <c r="B31" i="148"/>
  <c r="D26" i="148"/>
  <c r="B24" i="148"/>
  <c r="B23" i="148"/>
  <c r="B22" i="148"/>
  <c r="B21" i="148"/>
  <c r="B20" i="148"/>
  <c r="B19" i="148"/>
  <c r="A16" i="148"/>
  <c r="A17" i="148" s="1"/>
  <c r="A18" i="148" s="1"/>
  <c r="A19" i="148" s="1"/>
  <c r="A20" i="148" s="1"/>
  <c r="A21" i="148" s="1"/>
  <c r="A22" i="148" s="1"/>
  <c r="A23" i="148" s="1"/>
  <c r="A24" i="148" s="1"/>
  <c r="A25" i="148" s="1"/>
  <c r="A26" i="148" s="1"/>
  <c r="A27" i="148" s="1"/>
  <c r="A28" i="148" s="1"/>
  <c r="A29" i="148" s="1"/>
  <c r="A30" i="148" s="1"/>
  <c r="A31" i="148" s="1"/>
  <c r="A32" i="148" s="1"/>
  <c r="A33" i="148" s="1"/>
  <c r="A34" i="148" s="1"/>
  <c r="A35" i="148" s="1"/>
  <c r="A36" i="148" s="1"/>
  <c r="A37" i="148" s="1"/>
  <c r="A38" i="148" s="1"/>
  <c r="A39" i="148" s="1"/>
  <c r="A40" i="148" s="1"/>
  <c r="A41" i="148" s="1"/>
  <c r="A42" i="148" s="1"/>
  <c r="A43" i="148" s="1"/>
  <c r="A44" i="148" s="1"/>
  <c r="A45" i="148" s="1"/>
  <c r="A46" i="148" s="1"/>
  <c r="A47" i="148" s="1"/>
  <c r="A48" i="148" s="1"/>
  <c r="A49" i="148" s="1"/>
  <c r="A50" i="148" s="1"/>
  <c r="A51" i="148" s="1"/>
  <c r="A52" i="148" s="1"/>
  <c r="A53" i="148" s="1"/>
  <c r="A54" i="148" s="1"/>
  <c r="A55" i="148" s="1"/>
  <c r="A56" i="148" s="1"/>
  <c r="A57" i="148" s="1"/>
  <c r="A58" i="148" s="1"/>
  <c r="A59" i="148" s="1"/>
  <c r="A60" i="148" s="1"/>
  <c r="A61" i="148" s="1"/>
  <c r="A62" i="148" s="1"/>
  <c r="A63" i="148" s="1"/>
  <c r="A64" i="148" s="1"/>
  <c r="A65" i="148" s="1"/>
  <c r="A66" i="148" s="1"/>
  <c r="A67" i="148" s="1"/>
  <c r="A68" i="148" s="1"/>
  <c r="A69" i="148" s="1"/>
  <c r="A70" i="148" s="1"/>
  <c r="A71" i="148" s="1"/>
  <c r="A72" i="148" s="1"/>
  <c r="A73" i="148" s="1"/>
  <c r="A74" i="148" s="1"/>
  <c r="A75" i="148" s="1"/>
  <c r="A76" i="148" s="1"/>
  <c r="A77" i="148" s="1"/>
  <c r="A78" i="148" s="1"/>
  <c r="A79" i="148" s="1"/>
  <c r="A80" i="148" s="1"/>
  <c r="A81" i="148" s="1"/>
  <c r="A82" i="148" s="1"/>
  <c r="A83" i="148" s="1"/>
  <c r="A84" i="148" s="1"/>
  <c r="A85" i="148" s="1"/>
  <c r="A86" i="148" s="1"/>
  <c r="A87" i="148" s="1"/>
  <c r="A88" i="148" s="1"/>
  <c r="A89" i="148" s="1"/>
  <c r="A90" i="148" s="1"/>
  <c r="A91" i="148" s="1"/>
  <c r="A92" i="148" s="1"/>
  <c r="A93" i="148" s="1"/>
  <c r="A94" i="148" s="1"/>
  <c r="A95" i="148" s="1"/>
  <c r="A96" i="148" s="1"/>
  <c r="A97" i="148" s="1"/>
  <c r="A98" i="148" s="1"/>
  <c r="A99" i="148" s="1"/>
  <c r="A100" i="148" s="1"/>
  <c r="A101" i="148" s="1"/>
  <c r="A102" i="148" s="1"/>
  <c r="A103" i="148" s="1"/>
  <c r="A104" i="148" s="1"/>
  <c r="A105" i="148" s="1"/>
  <c r="A106" i="148" s="1"/>
  <c r="A107" i="148" s="1"/>
  <c r="A108" i="148" s="1"/>
  <c r="A109" i="148" s="1"/>
  <c r="A110" i="148" s="1"/>
  <c r="A111" i="148" s="1"/>
  <c r="A112" i="148" s="1"/>
  <c r="A113" i="148" s="1"/>
  <c r="A114" i="148" s="1"/>
  <c r="A115" i="148" s="1"/>
  <c r="A116" i="148" s="1"/>
  <c r="A117" i="148" s="1"/>
  <c r="A118" i="148" s="1"/>
  <c r="A119" i="148" s="1"/>
  <c r="A120" i="148" s="1"/>
  <c r="A121" i="148" s="1"/>
  <c r="A122" i="148" s="1"/>
  <c r="A123" i="148" s="1"/>
  <c r="A124" i="148" s="1"/>
  <c r="A125" i="148" s="1"/>
  <c r="A126" i="148" s="1"/>
  <c r="A127" i="148" s="1"/>
  <c r="A128" i="148" s="1"/>
  <c r="A129" i="148" s="1"/>
  <c r="A130" i="148" s="1"/>
  <c r="A131" i="148" s="1"/>
  <c r="A132" i="148" s="1"/>
  <c r="A133" i="148" s="1"/>
  <c r="A134" i="148" s="1"/>
  <c r="A135" i="148" s="1"/>
  <c r="A136" i="148" s="1"/>
  <c r="A137" i="148" s="1"/>
  <c r="A138" i="148" s="1"/>
  <c r="A139" i="148" s="1"/>
  <c r="A140" i="148" s="1"/>
  <c r="A141" i="148" s="1"/>
  <c r="A142" i="148" s="1"/>
  <c r="A143" i="148" s="1"/>
  <c r="A144" i="148" s="1"/>
  <c r="A145" i="148" s="1"/>
  <c r="A146" i="148" s="1"/>
  <c r="A147" i="148" s="1"/>
  <c r="A148" i="148" s="1"/>
  <c r="A149" i="148" s="1"/>
  <c r="A150" i="148" s="1"/>
  <c r="A151" i="148" s="1"/>
  <c r="A152" i="148" s="1"/>
  <c r="A153" i="148" s="1"/>
  <c r="A154" i="148" s="1"/>
  <c r="A155" i="148" s="1"/>
  <c r="A156" i="148" s="1"/>
  <c r="A157" i="148" s="1"/>
  <c r="A158" i="148" s="1"/>
  <c r="A159" i="148" s="1"/>
  <c r="A160" i="148" s="1"/>
  <c r="A161" i="148" s="1"/>
  <c r="A162" i="148" s="1"/>
  <c r="A163" i="148" s="1"/>
  <c r="A164" i="148" s="1"/>
  <c r="A165" i="148" s="1"/>
  <c r="A166" i="148" s="1"/>
  <c r="A167" i="148" s="1"/>
  <c r="A168" i="148" s="1"/>
  <c r="A169" i="148" s="1"/>
  <c r="A170" i="148" s="1"/>
  <c r="A171" i="148" s="1"/>
  <c r="A172" i="148" s="1"/>
  <c r="A173" i="148" s="1"/>
  <c r="A174" i="148" s="1"/>
  <c r="A175" i="148" s="1"/>
  <c r="A176" i="148" s="1"/>
  <c r="A177" i="148" s="1"/>
  <c r="A178" i="148" s="1"/>
  <c r="A179" i="148" s="1"/>
  <c r="A180" i="148" s="1"/>
  <c r="A181" i="148" s="1"/>
  <c r="A182" i="148" s="1"/>
  <c r="A183" i="148" s="1"/>
  <c r="A184" i="148" s="1"/>
  <c r="A185" i="148" s="1"/>
  <c r="A186" i="148" s="1"/>
  <c r="A187" i="148" s="1"/>
  <c r="A188" i="148" s="1"/>
  <c r="A189" i="148" s="1"/>
  <c r="A190" i="148" s="1"/>
  <c r="A191" i="148" s="1"/>
  <c r="A192" i="148" s="1"/>
  <c r="A193" i="148" s="1"/>
  <c r="A194" i="148" s="1"/>
  <c r="A195" i="148" s="1"/>
  <c r="A196" i="148" s="1"/>
  <c r="A197" i="148" s="1"/>
  <c r="A198" i="148" s="1"/>
  <c r="A199" i="148" s="1"/>
  <c r="A200" i="148" s="1"/>
  <c r="A201" i="148" s="1"/>
  <c r="A202" i="148" s="1"/>
  <c r="A203" i="148" s="1"/>
  <c r="A204" i="148" s="1"/>
  <c r="A205" i="148" s="1"/>
  <c r="A206" i="148" s="1"/>
  <c r="A207" i="148" s="1"/>
  <c r="A208" i="148" s="1"/>
  <c r="A209" i="148" s="1"/>
  <c r="A210" i="148" s="1"/>
  <c r="A211" i="148" s="1"/>
  <c r="A212" i="148" s="1"/>
  <c r="A213" i="148" s="1"/>
  <c r="A214" i="148" s="1"/>
  <c r="A215" i="148" s="1"/>
  <c r="A216" i="148" s="1"/>
  <c r="A217" i="148" s="1"/>
  <c r="A218" i="148" s="1"/>
  <c r="A219" i="148" s="1"/>
  <c r="A220" i="148" s="1"/>
  <c r="A221" i="148" s="1"/>
  <c r="A222" i="148" s="1"/>
  <c r="A223" i="148" s="1"/>
  <c r="A224" i="148" s="1"/>
  <c r="A225" i="148" s="1"/>
  <c r="A226" i="148" s="1"/>
  <c r="A227" i="148" s="1"/>
  <c r="A228" i="148" s="1"/>
  <c r="A229" i="148" s="1"/>
  <c r="A230" i="148" s="1"/>
  <c r="A231" i="148" s="1"/>
  <c r="A232" i="148" s="1"/>
  <c r="A233" i="148" s="1"/>
  <c r="A234" i="148" s="1"/>
  <c r="A8" i="148"/>
  <c r="C6" i="148"/>
  <c r="D227" i="148" s="1"/>
  <c r="C5" i="148"/>
  <c r="C4" i="148"/>
  <c r="A11" i="148" s="1"/>
  <c r="D30" i="148" l="1"/>
  <c r="D91" i="148"/>
  <c r="D37" i="148"/>
  <c r="D45" i="148"/>
  <c r="D67" i="148"/>
  <c r="D95" i="148"/>
  <c r="D117" i="148"/>
  <c r="D134" i="148"/>
  <c r="D151" i="148"/>
  <c r="D217" i="148"/>
  <c r="D19" i="148"/>
  <c r="D32" i="148"/>
  <c r="D75" i="148"/>
  <c r="D111" i="148"/>
  <c r="D127" i="148"/>
  <c r="D142" i="148"/>
  <c r="D161" i="148"/>
  <c r="D171" i="148"/>
  <c r="D207" i="148"/>
  <c r="D116" i="148"/>
  <c r="D150" i="148"/>
  <c r="D24" i="148"/>
  <c r="D68" i="148"/>
  <c r="D96" i="148"/>
  <c r="D106" i="148"/>
  <c r="D118" i="148"/>
  <c r="D152" i="148"/>
  <c r="D197" i="148"/>
  <c r="D229" i="148"/>
  <c r="D53" i="148"/>
  <c r="D102" i="148"/>
  <c r="D115" i="148"/>
  <c r="D44" i="148"/>
  <c r="D38" i="148"/>
  <c r="D47" i="148"/>
  <c r="D76" i="148"/>
  <c r="D135" i="148"/>
  <c r="D143" i="148"/>
  <c r="D219" i="148"/>
  <c r="D41" i="148"/>
  <c r="D42" i="148"/>
  <c r="D109" i="148"/>
  <c r="D97" i="148"/>
  <c r="D153" i="148"/>
  <c r="D60" i="148"/>
  <c r="D88" i="148"/>
  <c r="D107" i="148"/>
  <c r="D130" i="148"/>
  <c r="D136" i="148"/>
  <c r="D154" i="148"/>
  <c r="D164" i="148"/>
  <c r="D221" i="148"/>
  <c r="D20" i="148"/>
  <c r="D33" i="148"/>
  <c r="D112" i="148"/>
  <c r="D163" i="148"/>
  <c r="D188" i="148"/>
  <c r="D39" i="148"/>
  <c r="D48" i="148"/>
  <c r="D77" i="148"/>
  <c r="D120" i="148"/>
  <c r="D98" i="148"/>
  <c r="D21" i="148"/>
  <c r="D28" i="148"/>
  <c r="D34" i="148"/>
  <c r="D40" i="148"/>
  <c r="D61" i="148"/>
  <c r="D71" i="148"/>
  <c r="D89" i="148"/>
  <c r="D29" i="148"/>
  <c r="D63" i="148"/>
  <c r="D203" i="148"/>
  <c r="D129" i="148"/>
  <c r="D209" i="148"/>
  <c r="D27" i="148"/>
  <c r="D144" i="148"/>
  <c r="D199" i="148"/>
  <c r="D231" i="148"/>
  <c r="D113" i="148"/>
  <c r="D121" i="148"/>
  <c r="D145" i="148"/>
  <c r="D190" i="148"/>
  <c r="D211" i="148"/>
  <c r="D232" i="148"/>
  <c r="D79" i="148"/>
  <c r="D108" i="148"/>
  <c r="D137" i="148"/>
  <c r="D155" i="148"/>
  <c r="D165" i="148"/>
  <c r="D201" i="148"/>
  <c r="D62" i="148"/>
  <c r="D90" i="148"/>
  <c r="D191" i="148"/>
  <c r="D223" i="148"/>
  <c r="D233" i="148"/>
  <c r="D22" i="148"/>
  <c r="D35" i="148"/>
  <c r="D72" i="148"/>
  <c r="D80" i="148"/>
  <c r="D114" i="148"/>
  <c r="D123" i="148"/>
  <c r="D132" i="148"/>
  <c r="D138" i="148"/>
  <c r="D156" i="148"/>
  <c r="D166" i="148"/>
  <c r="D213" i="148"/>
  <c r="D234" i="148"/>
  <c r="D124" i="148"/>
  <c r="D139" i="148"/>
  <c r="D149" i="148"/>
  <c r="D193" i="148"/>
  <c r="D225" i="148"/>
  <c r="D23" i="148"/>
  <c r="D36" i="148"/>
  <c r="D54" i="148"/>
  <c r="D73" i="148"/>
  <c r="D82" i="148"/>
  <c r="D103" i="148"/>
  <c r="D133" i="148"/>
  <c r="D215" i="148"/>
  <c r="D31" i="148"/>
  <c r="D110" i="148"/>
  <c r="D140" i="148"/>
  <c r="D205" i="148"/>
  <c r="D55" i="148"/>
  <c r="D74" i="148"/>
  <c r="D83" i="148"/>
  <c r="D126" i="148"/>
  <c r="D160" i="148"/>
  <c r="D170" i="148"/>
  <c r="D195" i="148"/>
  <c r="B11" i="2"/>
  <c r="AU5" i="7" l="1"/>
  <c r="AU7" i="7"/>
  <c r="AG15" i="7"/>
  <c r="H26" i="84" l="1"/>
  <c r="H25" i="84" l="1"/>
  <c r="G25" i="84"/>
  <c r="H24" i="84"/>
  <c r="BC44" i="116" l="1"/>
  <c r="A62" i="97" l="1"/>
  <c r="A63" i="97"/>
  <c r="A64" i="97"/>
  <c r="A65" i="97"/>
  <c r="A66" i="97"/>
  <c r="A67" i="97"/>
  <c r="A68" i="97"/>
  <c r="A61" i="97"/>
  <c r="B188" i="140" l="1"/>
  <c r="B136" i="140"/>
  <c r="B135" i="140"/>
  <c r="B134" i="140"/>
  <c r="B133" i="140"/>
  <c r="B132" i="140"/>
  <c r="B114" i="140"/>
  <c r="B113" i="140"/>
  <c r="B112" i="140"/>
  <c r="B111" i="140"/>
  <c r="B110" i="140"/>
  <c r="B109" i="140"/>
  <c r="B108" i="140"/>
  <c r="B107" i="140"/>
  <c r="B106" i="140"/>
  <c r="B73" i="140"/>
  <c r="B72" i="140"/>
  <c r="B71" i="140"/>
  <c r="B38" i="140"/>
  <c r="B37" i="140"/>
  <c r="B36" i="140"/>
  <c r="B35" i="140"/>
  <c r="B34" i="140"/>
  <c r="B33" i="140"/>
  <c r="B32" i="140"/>
  <c r="B31" i="140"/>
  <c r="D26" i="140"/>
  <c r="B24" i="140"/>
  <c r="B23" i="140"/>
  <c r="B22" i="140"/>
  <c r="B21" i="140"/>
  <c r="B20" i="140"/>
  <c r="B19" i="140"/>
  <c r="A16" i="140"/>
  <c r="A17" i="140" s="1"/>
  <c r="A18" i="140" s="1"/>
  <c r="A19" i="140" s="1"/>
  <c r="A20" i="140" s="1"/>
  <c r="A21" i="140" s="1"/>
  <c r="A22" i="140" s="1"/>
  <c r="A23" i="140" s="1"/>
  <c r="A24" i="140" s="1"/>
  <c r="A25" i="140" s="1"/>
  <c r="A26" i="140" s="1"/>
  <c r="A27" i="140" s="1"/>
  <c r="A28" i="140" s="1"/>
  <c r="A29" i="140" s="1"/>
  <c r="A30" i="140" s="1"/>
  <c r="A31" i="140" s="1"/>
  <c r="A32" i="140" s="1"/>
  <c r="A33" i="140" s="1"/>
  <c r="A34" i="140" s="1"/>
  <c r="A35" i="140" s="1"/>
  <c r="A36" i="140" s="1"/>
  <c r="A37" i="140" s="1"/>
  <c r="A38" i="140" s="1"/>
  <c r="A39" i="140" s="1"/>
  <c r="A40" i="140" s="1"/>
  <c r="A41" i="140" s="1"/>
  <c r="A42" i="140" s="1"/>
  <c r="A43" i="140" s="1"/>
  <c r="A44" i="140" s="1"/>
  <c r="A45" i="140" s="1"/>
  <c r="A46" i="140" s="1"/>
  <c r="A47" i="140" s="1"/>
  <c r="A48" i="140" s="1"/>
  <c r="A49" i="140" s="1"/>
  <c r="A50" i="140" s="1"/>
  <c r="A51" i="140" s="1"/>
  <c r="A52" i="140" s="1"/>
  <c r="A53" i="140" s="1"/>
  <c r="A54" i="140" s="1"/>
  <c r="A55" i="140" s="1"/>
  <c r="A56" i="140" s="1"/>
  <c r="A57" i="140" s="1"/>
  <c r="A58" i="140" s="1"/>
  <c r="A59" i="140" s="1"/>
  <c r="A60" i="140" s="1"/>
  <c r="A61" i="140" s="1"/>
  <c r="A62" i="140" s="1"/>
  <c r="A63" i="140" s="1"/>
  <c r="A64" i="140" s="1"/>
  <c r="A65" i="140" s="1"/>
  <c r="A66" i="140" s="1"/>
  <c r="A67" i="140" s="1"/>
  <c r="A68" i="140" s="1"/>
  <c r="A69" i="140" s="1"/>
  <c r="A70" i="140" s="1"/>
  <c r="A71" i="140" s="1"/>
  <c r="A72" i="140" s="1"/>
  <c r="A73" i="140" s="1"/>
  <c r="A74" i="140" s="1"/>
  <c r="A75" i="140" s="1"/>
  <c r="A76" i="140" s="1"/>
  <c r="A77" i="140" s="1"/>
  <c r="A78" i="140" s="1"/>
  <c r="A79" i="140" s="1"/>
  <c r="A80" i="140" s="1"/>
  <c r="A81" i="140" s="1"/>
  <c r="A82" i="140" s="1"/>
  <c r="A83" i="140" s="1"/>
  <c r="A84" i="140" s="1"/>
  <c r="A85" i="140" s="1"/>
  <c r="A86" i="140" s="1"/>
  <c r="A87" i="140" s="1"/>
  <c r="A88" i="140" s="1"/>
  <c r="A89" i="140" s="1"/>
  <c r="A90" i="140" s="1"/>
  <c r="A91" i="140" s="1"/>
  <c r="A92" i="140" s="1"/>
  <c r="A93" i="140" s="1"/>
  <c r="A94" i="140" s="1"/>
  <c r="A95" i="140" s="1"/>
  <c r="A96" i="140" s="1"/>
  <c r="A97" i="140" s="1"/>
  <c r="A98" i="140" s="1"/>
  <c r="A99" i="140" s="1"/>
  <c r="A100" i="140" s="1"/>
  <c r="A101" i="140" s="1"/>
  <c r="A102" i="140" s="1"/>
  <c r="A103" i="140" s="1"/>
  <c r="A104" i="140" s="1"/>
  <c r="A105" i="140" s="1"/>
  <c r="A106" i="140" s="1"/>
  <c r="A107" i="140" s="1"/>
  <c r="A108" i="140" s="1"/>
  <c r="A109" i="140" s="1"/>
  <c r="A110" i="140" s="1"/>
  <c r="A111" i="140" s="1"/>
  <c r="A112" i="140" s="1"/>
  <c r="A113" i="140" s="1"/>
  <c r="A114" i="140" s="1"/>
  <c r="A115" i="140" s="1"/>
  <c r="A116" i="140" s="1"/>
  <c r="A117" i="140" s="1"/>
  <c r="A118" i="140" s="1"/>
  <c r="A119" i="140" s="1"/>
  <c r="A120" i="140" s="1"/>
  <c r="A121" i="140" s="1"/>
  <c r="A122" i="140" s="1"/>
  <c r="A123" i="140" s="1"/>
  <c r="A124" i="140" s="1"/>
  <c r="A125" i="140" s="1"/>
  <c r="A126" i="140" s="1"/>
  <c r="A127" i="140" s="1"/>
  <c r="A128" i="140" s="1"/>
  <c r="A129" i="140" s="1"/>
  <c r="A130" i="140" s="1"/>
  <c r="A131" i="140" s="1"/>
  <c r="A132" i="140" s="1"/>
  <c r="A133" i="140" s="1"/>
  <c r="A134" i="140" s="1"/>
  <c r="A135" i="140" s="1"/>
  <c r="A136" i="140" s="1"/>
  <c r="A137" i="140" s="1"/>
  <c r="A138" i="140" s="1"/>
  <c r="A139" i="140" s="1"/>
  <c r="A140" i="140" s="1"/>
  <c r="A141" i="140" s="1"/>
  <c r="A142" i="140" s="1"/>
  <c r="A143" i="140" s="1"/>
  <c r="A144" i="140" s="1"/>
  <c r="A145" i="140" s="1"/>
  <c r="A146" i="140" s="1"/>
  <c r="A147" i="140" s="1"/>
  <c r="A148" i="140" s="1"/>
  <c r="A149" i="140" s="1"/>
  <c r="A150" i="140" s="1"/>
  <c r="A151" i="140" s="1"/>
  <c r="A152" i="140" s="1"/>
  <c r="A153" i="140" s="1"/>
  <c r="A154" i="140" s="1"/>
  <c r="A155" i="140" s="1"/>
  <c r="A156" i="140" s="1"/>
  <c r="A157" i="140" s="1"/>
  <c r="A158" i="140" s="1"/>
  <c r="A159" i="140" s="1"/>
  <c r="A160" i="140" s="1"/>
  <c r="A161" i="140" s="1"/>
  <c r="A162" i="140" s="1"/>
  <c r="A163" i="140" s="1"/>
  <c r="A164" i="140" s="1"/>
  <c r="A165" i="140" s="1"/>
  <c r="A166" i="140" s="1"/>
  <c r="A167" i="140" s="1"/>
  <c r="A168" i="140" s="1"/>
  <c r="A169" i="140" s="1"/>
  <c r="A170" i="140" s="1"/>
  <c r="A171" i="140" s="1"/>
  <c r="A172" i="140" s="1"/>
  <c r="A173" i="140" s="1"/>
  <c r="A174" i="140" s="1"/>
  <c r="A175" i="140" s="1"/>
  <c r="A176" i="140" s="1"/>
  <c r="A177" i="140" s="1"/>
  <c r="A178" i="140" s="1"/>
  <c r="A179" i="140" s="1"/>
  <c r="A180" i="140" s="1"/>
  <c r="A181" i="140" s="1"/>
  <c r="A182" i="140" s="1"/>
  <c r="A183" i="140" s="1"/>
  <c r="A184" i="140" s="1"/>
  <c r="A185" i="140" s="1"/>
  <c r="A186" i="140" s="1"/>
  <c r="A187" i="140" s="1"/>
  <c r="A188" i="140" s="1"/>
  <c r="A189" i="140" s="1"/>
  <c r="A190" i="140" s="1"/>
  <c r="A191" i="140" s="1"/>
  <c r="A192" i="140" s="1"/>
  <c r="A193" i="140" s="1"/>
  <c r="A194" i="140" s="1"/>
  <c r="A195" i="140" s="1"/>
  <c r="A196" i="140" s="1"/>
  <c r="A197" i="140" s="1"/>
  <c r="A198" i="140" s="1"/>
  <c r="A199" i="140" s="1"/>
  <c r="A200" i="140" s="1"/>
  <c r="A201" i="140" s="1"/>
  <c r="A202" i="140" s="1"/>
  <c r="A203" i="140" s="1"/>
  <c r="A204" i="140" s="1"/>
  <c r="A205" i="140" s="1"/>
  <c r="A206" i="140" s="1"/>
  <c r="A207" i="140" s="1"/>
  <c r="A208" i="140" s="1"/>
  <c r="A209" i="140" s="1"/>
  <c r="A210" i="140" s="1"/>
  <c r="A211" i="140" s="1"/>
  <c r="A212" i="140" s="1"/>
  <c r="A213" i="140" s="1"/>
  <c r="A214" i="140" s="1"/>
  <c r="A215" i="140" s="1"/>
  <c r="A216" i="140" s="1"/>
  <c r="A217" i="140" s="1"/>
  <c r="A218" i="140" s="1"/>
  <c r="A219" i="140" s="1"/>
  <c r="A220" i="140" s="1"/>
  <c r="A221" i="140" s="1"/>
  <c r="A222" i="140" s="1"/>
  <c r="A223" i="140" s="1"/>
  <c r="A224" i="140" s="1"/>
  <c r="A225" i="140" s="1"/>
  <c r="A226" i="140" s="1"/>
  <c r="A227" i="140" s="1"/>
  <c r="A228" i="140" s="1"/>
  <c r="A229" i="140" s="1"/>
  <c r="A230" i="140" s="1"/>
  <c r="A231" i="140" s="1"/>
  <c r="A232" i="140" s="1"/>
  <c r="A233" i="140" s="1"/>
  <c r="A234" i="140" s="1"/>
  <c r="A16" i="141" l="1"/>
  <c r="A17" i="141" s="1"/>
  <c r="A18" i="141" s="1"/>
  <c r="A21" i="141" s="1"/>
  <c r="A22" i="141" s="1"/>
  <c r="A23" i="141" s="1"/>
  <c r="A24" i="141" s="1"/>
  <c r="A25" i="141" s="1"/>
  <c r="A26" i="141" s="1"/>
  <c r="A27" i="141" s="1"/>
  <c r="A28" i="141" s="1"/>
  <c r="B76" i="141"/>
  <c r="B75" i="141"/>
  <c r="B74" i="141"/>
  <c r="B40" i="141"/>
  <c r="B39" i="141"/>
  <c r="B38" i="141"/>
  <c r="Q16" i="145"/>
  <c r="V25" i="144"/>
  <c r="A8" i="145"/>
  <c r="A8" i="144"/>
  <c r="A10" i="143"/>
  <c r="A18" i="121"/>
  <c r="A15" i="4"/>
  <c r="AN39" i="143"/>
  <c r="BF37" i="145"/>
  <c r="BF28" i="145"/>
  <c r="AI16" i="145"/>
  <c r="AR11" i="145"/>
  <c r="AR6" i="145"/>
  <c r="AR4" i="145"/>
  <c r="A4" i="145"/>
  <c r="A2" i="145"/>
  <c r="AR1" i="145"/>
  <c r="BC48" i="144"/>
  <c r="BC40" i="144"/>
  <c r="W27" i="144"/>
  <c r="L26" i="144"/>
  <c r="AR11" i="144"/>
  <c r="AR6" i="144"/>
  <c r="AR4" i="144"/>
  <c r="A4" i="144"/>
  <c r="A2" i="144"/>
  <c r="AR1" i="144"/>
  <c r="BC70" i="143"/>
  <c r="BC61" i="143"/>
  <c r="H50" i="143"/>
  <c r="AB44" i="143"/>
  <c r="A42" i="143"/>
  <c r="A33" i="143"/>
  <c r="A22" i="143"/>
  <c r="AT12" i="143"/>
  <c r="A11" i="143"/>
  <c r="AT7" i="143"/>
  <c r="AT4" i="143"/>
  <c r="A4" i="143"/>
  <c r="A2" i="143"/>
  <c r="AT1" i="143"/>
  <c r="A29" i="141" l="1"/>
  <c r="A30" i="141" s="1"/>
  <c r="A31" i="141" s="1"/>
  <c r="A32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A180" i="141" s="1"/>
  <c r="A181" i="141" s="1"/>
  <c r="A182" i="141" s="1"/>
  <c r="A183" i="141" s="1"/>
  <c r="A184" i="141" s="1"/>
  <c r="A185" i="141" s="1"/>
  <c r="A186" i="141" s="1"/>
  <c r="A187" i="141" s="1"/>
  <c r="A188" i="141" s="1"/>
  <c r="A189" i="141" s="1"/>
  <c r="A190" i="141" s="1"/>
  <c r="A191" i="141" s="1"/>
  <c r="A192" i="141" s="1"/>
  <c r="A193" i="141" s="1"/>
  <c r="A194" i="141" s="1"/>
  <c r="A195" i="141" s="1"/>
  <c r="A196" i="141" s="1"/>
  <c r="A197" i="141" s="1"/>
  <c r="A198" i="141" s="1"/>
  <c r="A199" i="141" s="1"/>
  <c r="A200" i="141" s="1"/>
  <c r="A201" i="141" s="1"/>
  <c r="A202" i="141" s="1"/>
  <c r="A203" i="141" s="1"/>
  <c r="A204" i="141" s="1"/>
  <c r="A205" i="141" s="1"/>
  <c r="A206" i="141" s="1"/>
  <c r="A207" i="141" s="1"/>
  <c r="A208" i="141" s="1"/>
  <c r="A209" i="141" s="1"/>
  <c r="A210" i="141" s="1"/>
  <c r="A211" i="141" s="1"/>
  <c r="A212" i="141" s="1"/>
  <c r="A213" i="141" s="1"/>
  <c r="A214" i="141" s="1"/>
  <c r="A215" i="141" s="1"/>
  <c r="A216" i="141" s="1"/>
  <c r="A217" i="141" s="1"/>
  <c r="A218" i="141" s="1"/>
  <c r="A219" i="141" s="1"/>
  <c r="A220" i="141" s="1"/>
  <c r="A221" i="141" s="1"/>
  <c r="A222" i="141" s="1"/>
  <c r="A223" i="141" s="1"/>
  <c r="A224" i="141" s="1"/>
  <c r="A225" i="141" s="1"/>
  <c r="A226" i="141" s="1"/>
  <c r="A227" i="141" s="1"/>
  <c r="A228" i="141" s="1"/>
  <c r="A229" i="141" s="1"/>
  <c r="A230" i="141" s="1"/>
  <c r="A231" i="141" s="1"/>
  <c r="A232" i="141" s="1"/>
  <c r="A233" i="141" s="1"/>
  <c r="A234" i="141" s="1"/>
  <c r="A235" i="141" s="1"/>
  <c r="A236" i="141" s="1"/>
  <c r="A237" i="141" s="1"/>
  <c r="A238" i="141" s="1"/>
  <c r="A239" i="141" s="1"/>
  <c r="A240" i="141" s="1"/>
  <c r="A241" i="141" s="1"/>
  <c r="A242" i="141" s="1"/>
  <c r="A243" i="141" s="1"/>
  <c r="A244" i="141" s="1"/>
  <c r="A26" i="127"/>
  <c r="A27" i="127"/>
  <c r="A28" i="127"/>
  <c r="A29" i="127"/>
  <c r="A30" i="127"/>
  <c r="A31" i="127"/>
  <c r="A32" i="127"/>
  <c r="T23" i="73"/>
  <c r="A9" i="73"/>
  <c r="Q17" i="73" s="1"/>
  <c r="AM25" i="24"/>
  <c r="A9" i="20"/>
  <c r="A8" i="23"/>
  <c r="A8" i="22"/>
  <c r="R22" i="21"/>
  <c r="H22" i="21"/>
  <c r="A22" i="21"/>
  <c r="W27" i="71"/>
  <c r="V25" i="69"/>
  <c r="AN39" i="11"/>
  <c r="A59" i="6"/>
  <c r="A94" i="122"/>
  <c r="I86" i="81"/>
  <c r="C31" i="2"/>
  <c r="A44" i="81" s="1"/>
  <c r="C30" i="2"/>
  <c r="B86" i="81"/>
  <c r="I29" i="81"/>
  <c r="I74" i="81"/>
  <c r="B239" i="140"/>
  <c r="B249" i="141"/>
  <c r="C16" i="111" s="1"/>
  <c r="E19" i="142"/>
  <c r="C9" i="142"/>
  <c r="A7" i="142"/>
  <c r="A6" i="142"/>
  <c r="E19" i="111"/>
  <c r="A248" i="141"/>
  <c r="B198" i="141"/>
  <c r="B139" i="141"/>
  <c r="B138" i="141"/>
  <c r="B137" i="141"/>
  <c r="B136" i="141"/>
  <c r="B135" i="141"/>
  <c r="B117" i="141"/>
  <c r="B116" i="141"/>
  <c r="B115" i="141"/>
  <c r="B114" i="141"/>
  <c r="B113" i="141"/>
  <c r="B112" i="141"/>
  <c r="B111" i="141"/>
  <c r="B110" i="141"/>
  <c r="B109" i="141"/>
  <c r="B41" i="141"/>
  <c r="B37" i="141"/>
  <c r="B36" i="141"/>
  <c r="B35" i="141"/>
  <c r="B34" i="141"/>
  <c r="D28" i="141"/>
  <c r="B26" i="141"/>
  <c r="B25" i="141"/>
  <c r="B24" i="141"/>
  <c r="B23" i="141"/>
  <c r="B22" i="141"/>
  <c r="B21" i="141"/>
  <c r="A8" i="141"/>
  <c r="C6" i="141"/>
  <c r="C5" i="141"/>
  <c r="C4" i="141"/>
  <c r="A11" i="141" s="1"/>
  <c r="D30" i="141" l="1"/>
  <c r="D29" i="141"/>
  <c r="D70" i="141"/>
  <c r="D71" i="141"/>
  <c r="A50" i="122"/>
  <c r="D106" i="141"/>
  <c r="D105" i="141"/>
  <c r="D235" i="141"/>
  <c r="D101" i="141"/>
  <c r="D76" i="141"/>
  <c r="D74" i="141"/>
  <c r="D83" i="141"/>
  <c r="D79" i="141"/>
  <c r="D77" i="141"/>
  <c r="D100" i="141"/>
  <c r="D75" i="141"/>
  <c r="D98" i="141"/>
  <c r="D94" i="141"/>
  <c r="D82" i="141"/>
  <c r="D80" i="141"/>
  <c r="D99" i="141"/>
  <c r="D93" i="141"/>
  <c r="D92" i="141"/>
  <c r="D91" i="141"/>
  <c r="D86" i="141"/>
  <c r="D85" i="141"/>
  <c r="D78" i="141"/>
  <c r="D136" i="141"/>
  <c r="D63" i="141"/>
  <c r="D180" i="141"/>
  <c r="D233" i="141"/>
  <c r="D26" i="141"/>
  <c r="D58" i="141"/>
  <c r="D112" i="141"/>
  <c r="D22" i="141"/>
  <c r="D23" i="141"/>
  <c r="D129" i="141"/>
  <c r="D43" i="141"/>
  <c r="D38" i="141"/>
  <c r="D39" i="141"/>
  <c r="D44" i="141"/>
  <c r="D34" i="141"/>
  <c r="D147" i="141"/>
  <c r="D111" i="141"/>
  <c r="D176" i="141"/>
  <c r="C16" i="142"/>
  <c r="D138" i="141"/>
  <c r="D201" i="141"/>
  <c r="D211" i="141"/>
  <c r="D50" i="141"/>
  <c r="D141" i="141"/>
  <c r="D217" i="141"/>
  <c r="D31" i="141"/>
  <c r="D51" i="141"/>
  <c r="D145" i="141"/>
  <c r="D225" i="141"/>
  <c r="D57" i="141"/>
  <c r="D116" i="141"/>
  <c r="D146" i="141"/>
  <c r="D227" i="141"/>
  <c r="D118" i="141"/>
  <c r="D164" i="141"/>
  <c r="D119" i="141"/>
  <c r="D171" i="141"/>
  <c r="D117" i="141"/>
  <c r="D163" i="141"/>
  <c r="D109" i="141"/>
  <c r="D127" i="141"/>
  <c r="D175" i="141"/>
  <c r="D142" i="141"/>
  <c r="D173" i="141"/>
  <c r="D215" i="141"/>
  <c r="D32" i="141"/>
  <c r="D56" i="141"/>
  <c r="D135" i="141"/>
  <c r="D143" i="141"/>
  <c r="D174" i="141"/>
  <c r="D205" i="141"/>
  <c r="D237" i="141"/>
  <c r="D239" i="141"/>
  <c r="D40" i="141"/>
  <c r="D64" i="141"/>
  <c r="D120" i="141"/>
  <c r="D148" i="141"/>
  <c r="D181" i="141"/>
  <c r="D229" i="141"/>
  <c r="D113" i="141"/>
  <c r="D121" i="141"/>
  <c r="D152" i="141"/>
  <c r="D219" i="141"/>
  <c r="D241" i="141"/>
  <c r="D24" i="141"/>
  <c r="D35" i="141"/>
  <c r="D65" i="141"/>
  <c r="D66" i="141"/>
  <c r="D123" i="141"/>
  <c r="D137" i="141"/>
  <c r="D153" i="141"/>
  <c r="D198" i="141"/>
  <c r="D209" i="141"/>
  <c r="D242" i="141"/>
  <c r="D207" i="141"/>
  <c r="D25" i="141"/>
  <c r="D41" i="141"/>
  <c r="D124" i="141"/>
  <c r="D161" i="141"/>
  <c r="D231" i="141"/>
  <c r="D243" i="141"/>
  <c r="D36" i="141"/>
  <c r="D42" i="141"/>
  <c r="D114" i="141"/>
  <c r="D126" i="141"/>
  <c r="D162" i="141"/>
  <c r="D200" i="141"/>
  <c r="D221" i="141"/>
  <c r="D244" i="141"/>
  <c r="D130" i="141"/>
  <c r="D21" i="141"/>
  <c r="D37" i="141"/>
  <c r="D45" i="141"/>
  <c r="D115" i="141"/>
  <c r="D165" i="141"/>
  <c r="D223" i="141"/>
  <c r="D47" i="141"/>
  <c r="D110" i="141"/>
  <c r="D132" i="141"/>
  <c r="D139" i="141"/>
  <c r="D166" i="141"/>
  <c r="D213" i="141"/>
  <c r="D48" i="141"/>
  <c r="D133" i="141"/>
  <c r="D140" i="141"/>
  <c r="D170" i="141"/>
  <c r="D203" i="141"/>
  <c r="A238" i="140" l="1"/>
  <c r="A8" i="140"/>
  <c r="C6" i="140"/>
  <c r="C5" i="140"/>
  <c r="C4" i="140"/>
  <c r="A11" i="140" s="1"/>
  <c r="A52" i="96"/>
  <c r="A36" i="94"/>
  <c r="A130" i="94" s="1"/>
  <c r="A30" i="94"/>
  <c r="A124" i="94" s="1"/>
  <c r="A31" i="94"/>
  <c r="A125" i="94" s="1"/>
  <c r="A32" i="94"/>
  <c r="A126" i="94" s="1"/>
  <c r="A33" i="94"/>
  <c r="A127" i="94" s="1"/>
  <c r="A34" i="94"/>
  <c r="A128" i="94" s="1"/>
  <c r="A35" i="94"/>
  <c r="A129" i="94" s="1"/>
  <c r="A29" i="94"/>
  <c r="A8" i="94"/>
  <c r="I5" i="95"/>
  <c r="B19" i="95" s="1"/>
  <c r="I5" i="120"/>
  <c r="E19" i="120" s="1"/>
  <c r="D234" i="140" l="1"/>
  <c r="D205" i="140"/>
  <c r="D163" i="140"/>
  <c r="D139" i="140"/>
  <c r="D126" i="140"/>
  <c r="D95" i="140"/>
  <c r="D42" i="140"/>
  <c r="D32" i="140"/>
  <c r="D233" i="140"/>
  <c r="D203" i="140"/>
  <c r="D161" i="140"/>
  <c r="D138" i="140"/>
  <c r="D124" i="140"/>
  <c r="D110" i="140"/>
  <c r="D91" i="140"/>
  <c r="D71" i="140"/>
  <c r="D41" i="140"/>
  <c r="D20" i="140"/>
  <c r="D63" i="140"/>
  <c r="D37" i="140"/>
  <c r="D80" i="140"/>
  <c r="D188" i="140"/>
  <c r="D24" i="140"/>
  <c r="D215" i="140"/>
  <c r="D23" i="140"/>
  <c r="D211" i="140"/>
  <c r="D73" i="140"/>
  <c r="D33" i="140"/>
  <c r="D127" i="140"/>
  <c r="D232" i="140"/>
  <c r="D201" i="140"/>
  <c r="D160" i="140"/>
  <c r="D137" i="140"/>
  <c r="D123" i="140"/>
  <c r="D90" i="140"/>
  <c r="D40" i="140"/>
  <c r="D31" i="140"/>
  <c r="D108" i="140"/>
  <c r="D62" i="140"/>
  <c r="D107" i="140"/>
  <c r="D79" i="140"/>
  <c r="D133" i="140"/>
  <c r="D54" i="140"/>
  <c r="D75" i="140"/>
  <c r="D144" i="140"/>
  <c r="D47" i="140"/>
  <c r="D97" i="140"/>
  <c r="D96" i="140"/>
  <c r="D231" i="140"/>
  <c r="D199" i="140"/>
  <c r="D156" i="140"/>
  <c r="D136" i="140"/>
  <c r="D121" i="140"/>
  <c r="D109" i="140"/>
  <c r="D89" i="140"/>
  <c r="D68" i="140"/>
  <c r="D39" i="140"/>
  <c r="D19" i="140"/>
  <c r="D118" i="140"/>
  <c r="D76" i="140"/>
  <c r="D103" i="140"/>
  <c r="D170" i="140"/>
  <c r="D98" i="140"/>
  <c r="D129" i="140"/>
  <c r="D72" i="140"/>
  <c r="D229" i="140"/>
  <c r="D197" i="140"/>
  <c r="D155" i="140"/>
  <c r="D120" i="140"/>
  <c r="D88" i="140"/>
  <c r="D67" i="140"/>
  <c r="D38" i="140"/>
  <c r="D30" i="140"/>
  <c r="D29" i="140"/>
  <c r="D82" i="140"/>
  <c r="D28" i="140"/>
  <c r="D27" i="140"/>
  <c r="D60" i="140"/>
  <c r="D150" i="140"/>
  <c r="D145" i="140"/>
  <c r="D74" i="140"/>
  <c r="D143" i="140"/>
  <c r="D45" i="140"/>
  <c r="D111" i="140"/>
  <c r="D21" i="140"/>
  <c r="D227" i="140"/>
  <c r="D195" i="140"/>
  <c r="D154" i="140"/>
  <c r="D135" i="140"/>
  <c r="D83" i="140"/>
  <c r="D116" i="140"/>
  <c r="D219" i="140"/>
  <c r="D171" i="140"/>
  <c r="D102" i="140"/>
  <c r="D166" i="140"/>
  <c r="D22" i="140"/>
  <c r="D207" i="140"/>
  <c r="D225" i="140"/>
  <c r="D193" i="140"/>
  <c r="D153" i="140"/>
  <c r="D117" i="140"/>
  <c r="D36" i="140"/>
  <c r="D77" i="140"/>
  <c r="D35" i="140"/>
  <c r="D113" i="140"/>
  <c r="D48" i="140"/>
  <c r="D130" i="140"/>
  <c r="D164" i="140"/>
  <c r="D223" i="140"/>
  <c r="D191" i="140"/>
  <c r="D152" i="140"/>
  <c r="D134" i="140"/>
  <c r="D61" i="140"/>
  <c r="D55" i="140"/>
  <c r="D53" i="140"/>
  <c r="D213" i="140"/>
  <c r="D165" i="140"/>
  <c r="D221" i="140"/>
  <c r="D190" i="140"/>
  <c r="D151" i="140"/>
  <c r="D115" i="140"/>
  <c r="D114" i="140"/>
  <c r="D149" i="140"/>
  <c r="D132" i="140"/>
  <c r="D34" i="140"/>
  <c r="D112" i="140"/>
  <c r="D142" i="140"/>
  <c r="D44" i="140"/>
  <c r="D106" i="140"/>
  <c r="D209" i="140"/>
  <c r="D217" i="140"/>
  <c r="D140" i="140"/>
  <c r="A55" i="97"/>
  <c r="A9" i="6"/>
  <c r="A9" i="8"/>
  <c r="A8" i="10"/>
  <c r="E19" i="95"/>
  <c r="B19" i="120"/>
  <c r="AL40" i="71"/>
  <c r="A8" i="127" l="1"/>
  <c r="A8" i="117"/>
  <c r="A8" i="116"/>
  <c r="AI16" i="70"/>
  <c r="R25" i="24" l="1"/>
  <c r="W24" i="73" s="1"/>
  <c r="A90" i="122" l="1"/>
  <c r="I71" i="81" l="1"/>
  <c r="A21" i="121" l="1"/>
  <c r="A20" i="121"/>
  <c r="A19" i="121"/>
  <c r="A17" i="121"/>
  <c r="A24" i="121"/>
  <c r="A18" i="4"/>
  <c r="A17" i="4"/>
  <c r="A16" i="4"/>
  <c r="A14" i="4"/>
  <c r="A21" i="4"/>
  <c r="A26" i="118"/>
  <c r="A8" i="134"/>
  <c r="A8" i="133"/>
  <c r="A8" i="132"/>
  <c r="A8" i="131"/>
  <c r="A8" i="130"/>
  <c r="BI69" i="134"/>
  <c r="BI58" i="134"/>
  <c r="BS47" i="134"/>
  <c r="AW47" i="134"/>
  <c r="AP47" i="134"/>
  <c r="AW46" i="134"/>
  <c r="AP46" i="134"/>
  <c r="AW45" i="134"/>
  <c r="AP45" i="134"/>
  <c r="BO34" i="134"/>
  <c r="O34" i="134"/>
  <c r="C32" i="134"/>
  <c r="AR11" i="134"/>
  <c r="AR6" i="134"/>
  <c r="AR4" i="134"/>
  <c r="A4" i="134"/>
  <c r="A2" i="134"/>
  <c r="AR1" i="134"/>
  <c r="BJ72" i="133"/>
  <c r="AD61" i="133"/>
  <c r="G50" i="133"/>
  <c r="AG24" i="133"/>
  <c r="Q24" i="133"/>
  <c r="AG23" i="133"/>
  <c r="Q23" i="133"/>
  <c r="AG22" i="133"/>
  <c r="Q22" i="133"/>
  <c r="Q21" i="133"/>
  <c r="AR11" i="133"/>
  <c r="AR6" i="133"/>
  <c r="AR4" i="133"/>
  <c r="A4" i="133"/>
  <c r="A2" i="133"/>
  <c r="AR1" i="133"/>
  <c r="BC39" i="132"/>
  <c r="AR11" i="132"/>
  <c r="AR6" i="132"/>
  <c r="AR4" i="132"/>
  <c r="A4" i="132"/>
  <c r="A2" i="132"/>
  <c r="AR1" i="132"/>
  <c r="BC48" i="131"/>
  <c r="BC45" i="131"/>
  <c r="AA27" i="131"/>
  <c r="AR11" i="131"/>
  <c r="A10" i="131"/>
  <c r="AR6" i="131"/>
  <c r="AR4" i="131"/>
  <c r="A4" i="131"/>
  <c r="A2" i="131"/>
  <c r="AR1" i="131"/>
  <c r="BC40" i="130"/>
  <c r="BC37" i="130"/>
  <c r="A25" i="130"/>
  <c r="AR11" i="130"/>
  <c r="AR6" i="130"/>
  <c r="AR4" i="130"/>
  <c r="A4" i="130"/>
  <c r="A2" i="130"/>
  <c r="AR1" i="130"/>
  <c r="A8" i="30"/>
  <c r="A8" i="28"/>
  <c r="A8" i="79"/>
  <c r="A8" i="76"/>
  <c r="BC53" i="127"/>
  <c r="BC48" i="127"/>
  <c r="A35" i="127"/>
  <c r="A25" i="127"/>
  <c r="AR11" i="127"/>
  <c r="AR6" i="127"/>
  <c r="AR4" i="127"/>
  <c r="A4" i="127"/>
  <c r="A2" i="127"/>
  <c r="AR1" i="127"/>
  <c r="A8" i="25"/>
  <c r="A8" i="24"/>
  <c r="A8" i="21"/>
  <c r="A9" i="72"/>
  <c r="A9" i="18"/>
  <c r="A11" i="11"/>
  <c r="G50" i="28" l="1"/>
  <c r="AD61" i="28"/>
  <c r="AG24" i="28"/>
  <c r="AG23" i="28"/>
  <c r="AG22" i="28"/>
  <c r="A10" i="79"/>
  <c r="AB26" i="116"/>
  <c r="AT12" i="11"/>
  <c r="A17" i="122"/>
  <c r="A24" i="122" s="1"/>
  <c r="A15" i="122"/>
  <c r="A22" i="122" s="1"/>
  <c r="A86" i="122"/>
  <c r="A81" i="122"/>
  <c r="L59" i="122"/>
  <c r="A56" i="122"/>
  <c r="AB32" i="122"/>
  <c r="A4" i="122"/>
  <c r="A26" i="122"/>
  <c r="A19" i="122"/>
  <c r="A8" i="122"/>
  <c r="A7" i="122"/>
  <c r="A56" i="121"/>
  <c r="A55" i="121"/>
  <c r="A35" i="121"/>
  <c r="A26" i="121"/>
  <c r="A6" i="121"/>
  <c r="A35" i="120" l="1"/>
  <c r="A30" i="95"/>
  <c r="A7" i="95"/>
  <c r="A4" i="95"/>
  <c r="A8" i="120"/>
  <c r="A4" i="120"/>
  <c r="BO34" i="30"/>
  <c r="A49" i="4"/>
  <c r="A48" i="4"/>
  <c r="H50" i="11"/>
  <c r="C26" i="2"/>
  <c r="A44" i="122" s="1"/>
  <c r="C29" i="2"/>
  <c r="A33" i="118" l="1"/>
  <c r="BC37" i="105"/>
  <c r="BC49" i="73"/>
  <c r="A7" i="120" l="1"/>
  <c r="A17" i="120"/>
  <c r="A11" i="120"/>
  <c r="A5" i="120"/>
  <c r="A17" i="118" l="1"/>
  <c r="L16" i="118"/>
  <c r="L12" i="118"/>
  <c r="F21" i="118" s="1"/>
  <c r="D5" i="118"/>
  <c r="D4" i="118"/>
  <c r="D3" i="118"/>
  <c r="B57" i="2" l="1"/>
  <c r="BD59" i="117"/>
  <c r="BI72" i="109" l="1"/>
  <c r="BI65" i="109"/>
  <c r="BI58" i="109"/>
  <c r="BJ72" i="108"/>
  <c r="BC48" i="106"/>
  <c r="BC45" i="106"/>
  <c r="BC42" i="106"/>
  <c r="BC48" i="79"/>
  <c r="BC45" i="79"/>
  <c r="BC40" i="76"/>
  <c r="BC37" i="76"/>
  <c r="BC97" i="27"/>
  <c r="BI69" i="30"/>
  <c r="BI58" i="30"/>
  <c r="BJ72" i="28"/>
  <c r="BC48" i="72"/>
  <c r="BC56" i="18"/>
  <c r="BI67" i="10"/>
  <c r="BI37" i="7"/>
  <c r="BI49" i="7"/>
  <c r="BI41" i="8"/>
  <c r="BC51" i="71" l="1"/>
  <c r="BF37" i="70"/>
  <c r="BC48" i="69"/>
  <c r="BC94" i="6"/>
  <c r="I80" i="81"/>
  <c r="I77" i="81"/>
  <c r="BC40" i="69"/>
  <c r="BD65" i="117"/>
  <c r="BD62" i="117"/>
  <c r="O33" i="117"/>
  <c r="C31" i="117"/>
  <c r="AR11" i="117"/>
  <c r="AR6" i="117"/>
  <c r="AR4" i="117"/>
  <c r="A4" i="117"/>
  <c r="A2" i="117"/>
  <c r="AR1" i="117"/>
  <c r="BC47" i="116"/>
  <c r="AQ11" i="116"/>
  <c r="AQ6" i="116"/>
  <c r="AQ4" i="116"/>
  <c r="A4" i="116"/>
  <c r="A2" i="116"/>
  <c r="AQ1" i="116"/>
  <c r="C9" i="111" l="1"/>
  <c r="A7" i="111"/>
  <c r="A6" i="111"/>
  <c r="A8" i="109"/>
  <c r="A8" i="108"/>
  <c r="A8" i="107"/>
  <c r="A8" i="106"/>
  <c r="A8" i="105"/>
  <c r="BS47" i="109"/>
  <c r="AW47" i="109"/>
  <c r="AP47" i="109"/>
  <c r="AW46" i="109"/>
  <c r="AP46" i="109"/>
  <c r="AW45" i="109"/>
  <c r="AP45" i="109"/>
  <c r="O34" i="109"/>
  <c r="C32" i="109"/>
  <c r="AR11" i="109"/>
  <c r="AR6" i="109"/>
  <c r="AR4" i="109"/>
  <c r="A4" i="109"/>
  <c r="A2" i="109"/>
  <c r="AR1" i="109"/>
  <c r="AD61" i="108"/>
  <c r="BT29" i="108"/>
  <c r="AG29" i="108"/>
  <c r="G29" i="108"/>
  <c r="G50" i="108" s="1"/>
  <c r="AG24" i="108"/>
  <c r="Q24" i="108"/>
  <c r="AG23" i="108"/>
  <c r="Q23" i="108"/>
  <c r="AG22" i="108"/>
  <c r="Q22" i="108"/>
  <c r="AG21" i="108"/>
  <c r="Q21" i="108"/>
  <c r="AR11" i="108"/>
  <c r="AR6" i="108"/>
  <c r="AR4" i="108"/>
  <c r="A4" i="108"/>
  <c r="A2" i="108"/>
  <c r="AR1" i="108"/>
  <c r="BC47" i="107"/>
  <c r="S16" i="107"/>
  <c r="AR11" i="107"/>
  <c r="AR6" i="107"/>
  <c r="AR4" i="107"/>
  <c r="A4" i="107"/>
  <c r="A2" i="107"/>
  <c r="AR1" i="107"/>
  <c r="AA27" i="106"/>
  <c r="AR11" i="106"/>
  <c r="A10" i="106"/>
  <c r="AR6" i="106"/>
  <c r="AR4" i="106"/>
  <c r="A4" i="106"/>
  <c r="A2" i="106"/>
  <c r="AR1" i="106"/>
  <c r="BC40" i="105"/>
  <c r="BC34" i="105"/>
  <c r="A25" i="105"/>
  <c r="AR11" i="105"/>
  <c r="AR6" i="105"/>
  <c r="AR4" i="105"/>
  <c r="A4" i="105"/>
  <c r="A2" i="105"/>
  <c r="AR1" i="105"/>
  <c r="Q25" i="108"/>
  <c r="J182" i="97" l="1"/>
  <c r="A127" i="97"/>
  <c r="A123" i="97"/>
  <c r="E120" i="97"/>
  <c r="E98" i="97"/>
  <c r="G94" i="97"/>
  <c r="C94" i="97"/>
  <c r="G88" i="97"/>
  <c r="C88" i="97"/>
  <c r="E83" i="97"/>
  <c r="E80" i="97"/>
  <c r="A77" i="97"/>
  <c r="A58" i="97"/>
  <c r="E49" i="97"/>
  <c r="B49" i="97"/>
  <c r="D52" i="97"/>
  <c r="A29" i="97"/>
  <c r="A15" i="97"/>
  <c r="A13" i="97"/>
  <c r="K9" i="97"/>
  <c r="A9" i="97"/>
  <c r="A7" i="97"/>
  <c r="A5" i="97"/>
  <c r="A3" i="96"/>
  <c r="A4" i="94"/>
  <c r="K61" i="96"/>
  <c r="A49" i="96"/>
  <c r="D18" i="96"/>
  <c r="A15" i="96"/>
  <c r="A10" i="96"/>
  <c r="K7" i="96"/>
  <c r="A17" i="95"/>
  <c r="A11" i="95"/>
  <c r="A8" i="95"/>
  <c r="A5" i="95"/>
  <c r="K137" i="94"/>
  <c r="A119" i="94"/>
  <c r="A123" i="94"/>
  <c r="E19" i="94"/>
  <c r="A16" i="94"/>
  <c r="A11" i="94"/>
  <c r="L8" i="94"/>
  <c r="BS47" i="30"/>
  <c r="AW47" i="30"/>
  <c r="AW46" i="30"/>
  <c r="AW45" i="30"/>
  <c r="AP47" i="30"/>
  <c r="AP46" i="30"/>
  <c r="AP45" i="30"/>
  <c r="O34" i="30"/>
  <c r="BC38" i="80"/>
  <c r="S16" i="80"/>
  <c r="A25" i="76"/>
  <c r="BC100" i="27"/>
  <c r="BC94" i="27"/>
  <c r="BE84" i="27"/>
  <c r="BE83" i="27"/>
  <c r="BE82" i="27"/>
  <c r="BE81" i="27"/>
  <c r="BE80" i="27"/>
  <c r="BE79" i="27"/>
  <c r="BE78" i="27"/>
  <c r="BE77" i="27"/>
  <c r="BE76" i="27"/>
  <c r="BE75" i="27"/>
  <c r="BE74" i="27"/>
  <c r="BE73" i="27"/>
  <c r="BE72" i="27"/>
  <c r="BE71" i="27"/>
  <c r="BE70" i="27"/>
  <c r="BE69" i="27"/>
  <c r="BE68" i="27"/>
  <c r="BM84" i="27"/>
  <c r="BM83" i="27"/>
  <c r="BM82" i="27"/>
  <c r="BM81" i="27"/>
  <c r="BM80" i="27"/>
  <c r="BM79" i="27"/>
  <c r="BM78" i="27"/>
  <c r="BM77" i="27"/>
  <c r="BM76" i="27"/>
  <c r="BM75" i="27"/>
  <c r="BM74" i="27"/>
  <c r="BM73" i="27"/>
  <c r="BM72" i="27"/>
  <c r="BM71" i="27"/>
  <c r="BM70" i="27"/>
  <c r="BM69" i="27"/>
  <c r="BM68" i="27"/>
  <c r="BG25" i="27"/>
  <c r="F78" i="27" s="1"/>
  <c r="AM34" i="27"/>
  <c r="A8" i="80"/>
  <c r="A8" i="27"/>
  <c r="K20" i="25"/>
  <c r="BC52" i="73"/>
  <c r="W20" i="73"/>
  <c r="T19" i="73"/>
  <c r="BJ20" i="25"/>
  <c r="BJ28" i="25"/>
  <c r="BU25" i="24"/>
  <c r="BJ28" i="24"/>
  <c r="BC63" i="23"/>
  <c r="BC60" i="23"/>
  <c r="AE32" i="23"/>
  <c r="BJ32" i="22"/>
  <c r="AA23" i="22"/>
  <c r="A23" i="22"/>
  <c r="BJ30" i="21"/>
  <c r="BC45" i="72"/>
  <c r="BC53" i="18"/>
  <c r="C33" i="18"/>
  <c r="O26" i="18"/>
  <c r="BC64" i="20"/>
  <c r="BC67" i="20"/>
  <c r="AV35" i="20"/>
  <c r="AD27" i="20"/>
  <c r="C59" i="2"/>
  <c r="BC43" i="71"/>
  <c r="M28" i="71"/>
  <c r="T40" i="71"/>
  <c r="BF28" i="70"/>
  <c r="Q16" i="70"/>
  <c r="L26" i="69"/>
  <c r="BC70" i="11"/>
  <c r="BC61" i="11"/>
  <c r="AB44" i="11"/>
  <c r="BI45" i="10"/>
  <c r="C19" i="2"/>
  <c r="A23" i="81" s="1"/>
  <c r="A20" i="81"/>
  <c r="A18" i="81"/>
  <c r="G16" i="81"/>
  <c r="A14" i="81"/>
  <c r="A12" i="81"/>
  <c r="E10" i="81"/>
  <c r="E4" i="81"/>
  <c r="C37" i="145"/>
  <c r="BI28" i="8"/>
  <c r="A71" i="81"/>
  <c r="B248" i="148"/>
  <c r="C33" i="145"/>
  <c r="BC86" i="6"/>
  <c r="BC82" i="6"/>
  <c r="BC78" i="6"/>
  <c r="BC97" i="6"/>
  <c r="C23" i="2"/>
  <c r="C25" i="2"/>
  <c r="B243" i="148" s="1"/>
  <c r="C24" i="2"/>
  <c r="A80" i="81" s="1"/>
  <c r="A38" i="81"/>
  <c r="C27" i="2"/>
  <c r="C28" i="145" s="1"/>
  <c r="C28" i="2"/>
  <c r="A8" i="71"/>
  <c r="A8" i="70"/>
  <c r="A8" i="69"/>
  <c r="A10" i="11"/>
  <c r="AR4" i="6"/>
  <c r="G29" i="84"/>
  <c r="I28" i="84"/>
  <c r="G28" i="84"/>
  <c r="I27" i="84"/>
  <c r="G27" i="84"/>
  <c r="I26" i="84"/>
  <c r="I25" i="84"/>
  <c r="G26" i="84"/>
  <c r="D29" i="84"/>
  <c r="D28" i="84"/>
  <c r="C29" i="84"/>
  <c r="C28" i="84"/>
  <c r="D27" i="84"/>
  <c r="C27" i="84"/>
  <c r="D26" i="84"/>
  <c r="D25" i="84"/>
  <c r="C26" i="84"/>
  <c r="C25" i="84"/>
  <c r="A6" i="4"/>
  <c r="G24" i="84"/>
  <c r="I24" i="84"/>
  <c r="D24" i="84"/>
  <c r="C24" i="84"/>
  <c r="C23" i="84"/>
  <c r="D23" i="84"/>
  <c r="B35" i="2"/>
  <c r="A8" i="81" s="1"/>
  <c r="B34" i="2"/>
  <c r="A6" i="81" s="1"/>
  <c r="A23" i="144" l="1"/>
  <c r="A36" i="143"/>
  <c r="A41" i="81"/>
  <c r="C24" i="111"/>
  <c r="B10" i="111"/>
  <c r="B10" i="142"/>
  <c r="C24" i="142"/>
  <c r="B253" i="141"/>
  <c r="B243" i="140"/>
  <c r="A24" i="118"/>
  <c r="A57" i="134"/>
  <c r="F71" i="133"/>
  <c r="A27" i="134"/>
  <c r="A22" i="131"/>
  <c r="A21" i="127"/>
  <c r="A22" i="130"/>
  <c r="A32" i="118"/>
  <c r="A20" i="27"/>
  <c r="A19" i="106"/>
  <c r="A19" i="105"/>
  <c r="A68" i="134"/>
  <c r="A18" i="127"/>
  <c r="A32" i="81"/>
  <c r="L23" i="22"/>
  <c r="A35" i="81"/>
  <c r="F71" i="108"/>
  <c r="F71" i="28"/>
  <c r="A57" i="109"/>
  <c r="A36" i="7"/>
  <c r="A57" i="30"/>
  <c r="C28" i="70"/>
  <c r="A64" i="109"/>
  <c r="A63" i="30"/>
  <c r="A48" i="7"/>
  <c r="A71" i="109"/>
  <c r="A68" i="30"/>
  <c r="C37" i="70"/>
  <c r="A77" i="81"/>
  <c r="A182" i="97"/>
  <c r="F74" i="27"/>
  <c r="F75" i="27"/>
  <c r="A21" i="116"/>
  <c r="A26" i="117"/>
  <c r="F76" i="27"/>
  <c r="F80" i="27"/>
  <c r="F72" i="27"/>
  <c r="F77" i="27"/>
  <c r="F81" i="27"/>
  <c r="F82" i="27"/>
  <c r="F83" i="27"/>
  <c r="F70" i="27"/>
  <c r="A24" i="6"/>
  <c r="F73" i="27"/>
  <c r="A21" i="109"/>
  <c r="F84" i="27"/>
  <c r="F79" i="27"/>
  <c r="A21" i="6"/>
  <c r="F68" i="27"/>
  <c r="F69" i="27"/>
  <c r="F71" i="27"/>
  <c r="A26" i="6"/>
  <c r="A17" i="106"/>
  <c r="A18" i="109"/>
  <c r="A17" i="105"/>
  <c r="A27" i="109"/>
  <c r="A22" i="106"/>
  <c r="A22" i="105"/>
  <c r="A33" i="6"/>
  <c r="E27" i="24"/>
  <c r="A27" i="23"/>
  <c r="C61" i="96"/>
  <c r="A25" i="97"/>
  <c r="A25" i="72"/>
  <c r="A25" i="20"/>
  <c r="A23" i="27"/>
  <c r="C137" i="94"/>
  <c r="A22" i="96"/>
  <c r="A27" i="30"/>
  <c r="C31" i="22"/>
  <c r="A22" i="79"/>
  <c r="A25" i="94"/>
  <c r="A24" i="18"/>
  <c r="F29" i="21"/>
  <c r="F27" i="25"/>
  <c r="A22" i="76"/>
  <c r="A74" i="81"/>
  <c r="A18" i="27"/>
  <c r="A44" i="10"/>
  <c r="A27" i="8"/>
  <c r="A36" i="11"/>
  <c r="A22" i="71"/>
  <c r="A23" i="69"/>
  <c r="L19" i="83" l="1"/>
  <c r="A47" i="81" l="1"/>
  <c r="A2" i="81"/>
  <c r="AR11" i="80"/>
  <c r="AR6" i="80"/>
  <c r="AR4" i="80"/>
  <c r="A4" i="80"/>
  <c r="A2" i="80"/>
  <c r="AR1" i="80"/>
  <c r="AA27" i="79"/>
  <c r="AR11" i="79"/>
  <c r="AR6" i="79"/>
  <c r="AR4" i="79"/>
  <c r="A4" i="79"/>
  <c r="A2" i="79"/>
  <c r="AR1" i="79"/>
  <c r="AR11" i="76"/>
  <c r="AR6" i="76"/>
  <c r="AR4" i="76"/>
  <c r="A4" i="76"/>
  <c r="A2" i="76"/>
  <c r="AR1" i="76"/>
  <c r="BJ47" i="75" l="1"/>
  <c r="F47" i="75"/>
  <c r="O20" i="75"/>
  <c r="AR11" i="75"/>
  <c r="A8" i="75"/>
  <c r="AR6" i="75"/>
  <c r="AR4" i="75"/>
  <c r="A4" i="75"/>
  <c r="A2" i="75"/>
  <c r="AR1" i="75"/>
  <c r="AR11" i="73"/>
  <c r="AR7" i="73"/>
  <c r="AR4" i="73"/>
  <c r="A4" i="73"/>
  <c r="A2" i="73"/>
  <c r="AR1" i="73"/>
  <c r="AR11" i="72" l="1"/>
  <c r="AR7" i="72"/>
  <c r="AR4" i="72"/>
  <c r="A4" i="72"/>
  <c r="A2" i="72"/>
  <c r="AR1" i="72"/>
  <c r="AR11" i="71"/>
  <c r="AR6" i="71"/>
  <c r="AR4" i="71"/>
  <c r="A4" i="71"/>
  <c r="A2" i="71"/>
  <c r="AR1" i="71"/>
  <c r="AR11" i="70"/>
  <c r="AR6" i="70"/>
  <c r="AR4" i="70"/>
  <c r="A4" i="70"/>
  <c r="A2" i="70"/>
  <c r="AR1" i="70"/>
  <c r="W27" i="69"/>
  <c r="AR11" i="69"/>
  <c r="AR6" i="69"/>
  <c r="AR4" i="69"/>
  <c r="A4" i="69"/>
  <c r="A2" i="69"/>
  <c r="AR1" i="69"/>
  <c r="AR11" i="30" l="1"/>
  <c r="AR6" i="30"/>
  <c r="AR4" i="30"/>
  <c r="A4" i="30"/>
  <c r="A2" i="30"/>
  <c r="AR1" i="30"/>
  <c r="AR11" i="28"/>
  <c r="AR6" i="28"/>
  <c r="AR4" i="28"/>
  <c r="A4" i="28"/>
  <c r="A2" i="28"/>
  <c r="AR1" i="28"/>
  <c r="M36" i="27"/>
  <c r="AR11" i="27"/>
  <c r="AR6" i="27"/>
  <c r="AR4" i="27"/>
  <c r="A4" i="27"/>
  <c r="A2" i="27"/>
  <c r="AR1" i="27"/>
  <c r="AR11" i="25"/>
  <c r="AR6" i="25"/>
  <c r="AR4" i="25"/>
  <c r="A4" i="25"/>
  <c r="A2" i="25"/>
  <c r="AR1" i="25"/>
  <c r="AR11" i="24"/>
  <c r="AR6" i="24"/>
  <c r="AR4" i="24"/>
  <c r="A4" i="24"/>
  <c r="A2" i="24"/>
  <c r="AR1" i="24"/>
  <c r="C34" i="23"/>
  <c r="AR11" i="23"/>
  <c r="AR6" i="23"/>
  <c r="AR4" i="23"/>
  <c r="A4" i="23"/>
  <c r="A2" i="23"/>
  <c r="AR1" i="23"/>
  <c r="AR11" i="22"/>
  <c r="AR6" i="22"/>
  <c r="AR4" i="22"/>
  <c r="A4" i="22"/>
  <c r="A2" i="22"/>
  <c r="AR1" i="22"/>
  <c r="AR11" i="21"/>
  <c r="AR6" i="21"/>
  <c r="AR4" i="21"/>
  <c r="A4" i="21"/>
  <c r="A2" i="21"/>
  <c r="AR1" i="21"/>
  <c r="C36" i="20"/>
  <c r="AR11" i="20"/>
  <c r="AR7" i="20"/>
  <c r="AR4" i="20"/>
  <c r="A4" i="20"/>
  <c r="A2" i="20"/>
  <c r="AR1" i="20"/>
  <c r="AR11" i="18"/>
  <c r="AR7" i="18"/>
  <c r="AR4" i="18"/>
  <c r="A4" i="18"/>
  <c r="A2" i="18"/>
  <c r="AR1" i="18"/>
  <c r="BB20" i="25" l="1"/>
  <c r="AR4" i="10"/>
  <c r="A4" i="10"/>
  <c r="AR11" i="10"/>
  <c r="AR6" i="10"/>
  <c r="A2" i="10"/>
  <c r="AR1" i="10"/>
  <c r="AR11" i="8"/>
  <c r="AR7" i="8"/>
  <c r="AR4" i="8"/>
  <c r="A4" i="8"/>
  <c r="A2" i="8"/>
  <c r="AR1" i="8"/>
  <c r="A3" i="7"/>
  <c r="A29" i="4" l="1"/>
  <c r="A33" i="11" l="1"/>
  <c r="A42" i="11" l="1"/>
  <c r="C32" i="30" l="1"/>
  <c r="A25" i="24" l="1"/>
  <c r="A23" i="4" l="1"/>
  <c r="AS28" i="27"/>
  <c r="BI60" i="27"/>
  <c r="AK31" i="20"/>
  <c r="B31" i="20"/>
  <c r="A31" i="20"/>
  <c r="AG32" i="18"/>
  <c r="A22" i="11"/>
  <c r="AT7" i="11"/>
  <c r="AT4" i="11"/>
  <c r="AT1" i="11"/>
  <c r="A4" i="11"/>
  <c r="A2" i="11"/>
  <c r="BI52" i="10"/>
  <c r="A52" i="10"/>
  <c r="A51" i="10"/>
  <c r="A2" i="6"/>
  <c r="A19" i="6"/>
  <c r="AR12" i="6"/>
  <c r="A4" i="6"/>
  <c r="AR7" i="6"/>
  <c r="AR1" i="6"/>
  <c r="Q25" i="133" l="1"/>
</calcChain>
</file>

<file path=xl/sharedStrings.xml><?xml version="1.0" encoding="utf-8"?>
<sst xmlns="http://schemas.openxmlformats.org/spreadsheetml/2006/main" count="3659" uniqueCount="1524">
  <si>
    <t>Примечание</t>
  </si>
  <si>
    <t>(должность)</t>
  </si>
  <si>
    <t>(подпись)</t>
  </si>
  <si>
    <t>(расшифровка подписи)</t>
  </si>
  <si>
    <t>Объект</t>
  </si>
  <si>
    <t>Город</t>
  </si>
  <si>
    <t>Адрес</t>
  </si>
  <si>
    <t>Монтажная организация</t>
  </si>
  <si>
    <t xml:space="preserve">Организация </t>
  </si>
  <si>
    <t>Должность</t>
  </si>
  <si>
    <t>Ф.И.О.</t>
  </si>
  <si>
    <t>Заказчик</t>
  </si>
  <si>
    <t>Проект</t>
  </si>
  <si>
    <t>№</t>
  </si>
  <si>
    <t>Название</t>
  </si>
  <si>
    <t>Титульный лист</t>
  </si>
  <si>
    <t>Ведомость технической документации (форма 1)</t>
  </si>
  <si>
    <t>Акт технической готовности электромонтажных работ (форма 2)</t>
  </si>
  <si>
    <t>Ведомость изменений и отступлений от проекта (форма 3)</t>
  </si>
  <si>
    <t>Ведомость электромонтажных недоделок, не препятствующих комплексному опробованию (форма 4)</t>
  </si>
  <si>
    <t>Ведомость смонтированного электрооборудования (форма 5)</t>
  </si>
  <si>
    <t>Акт готовности строительной части помещений (сооружений) к производству электромонтажных работ (форма 6)</t>
  </si>
  <si>
    <t>(город)</t>
  </si>
  <si>
    <t>(заказчик)</t>
  </si>
  <si>
    <t>(объект)</t>
  </si>
  <si>
    <t>(электромонтажная организация)</t>
  </si>
  <si>
    <t>АКТ ТЕХНИЧЕСКОЙ ГОТОВНОСТИ ЭЛЕКТРОМОНТАЖНЫХ РАБОТ</t>
  </si>
  <si>
    <t>Комиссия в составе:</t>
  </si>
  <si>
    <t xml:space="preserve">представителя заказчика </t>
  </si>
  <si>
    <t xml:space="preserve">представителя генерального подрядчика </t>
  </si>
  <si>
    <t>представителя электромонтажной организации</t>
  </si>
  <si>
    <t>(должность, фамилия, имя, отчество)</t>
  </si>
  <si>
    <t>произвела осмотр смонтированного электрооборудования.</t>
  </si>
  <si>
    <t>1.</t>
  </si>
  <si>
    <t>Электромонтажной организацией выполнены следующие работы:</t>
  </si>
  <si>
    <t>(перечень, основные технические характеристики, физические объемы)</t>
  </si>
  <si>
    <t>2.</t>
  </si>
  <si>
    <t xml:space="preserve">Электромонтажные работы выполнены в соответствии с проектом, разработанным </t>
  </si>
  <si>
    <t>(проектная организация)</t>
  </si>
  <si>
    <t>3.</t>
  </si>
  <si>
    <t>Отступления от проекта перечислены в Приложении 1 (форма 3).</t>
  </si>
  <si>
    <t>4.</t>
  </si>
  <si>
    <t>5.</t>
  </si>
  <si>
    <t xml:space="preserve">Индивидуальные испытания электрооборудования </t>
  </si>
  <si>
    <t>(проведены, не проведены)</t>
  </si>
  <si>
    <t>проведены</t>
  </si>
  <si>
    <t>не проведены</t>
  </si>
  <si>
    <t>6.</t>
  </si>
  <si>
    <t>Ведомость смонтированного электрооборудования приведена в Приложении 4 (форма 5).</t>
  </si>
  <si>
    <t>Остающиеся недостатки, не препятствующие комплексному опробованию, и сроки их устранения перечислены в Приложении 3 (форма 4).</t>
  </si>
  <si>
    <t>7.</t>
  </si>
  <si>
    <t>8.</t>
  </si>
  <si>
    <t>8.1</t>
  </si>
  <si>
    <t>Заключение.</t>
  </si>
  <si>
    <t>8.2</t>
  </si>
  <si>
    <t>а)</t>
  </si>
  <si>
    <t>организации работы рабочей комиссии о приемке оборудования после индивидуальных испытаний;</t>
  </si>
  <si>
    <t>б)</t>
  </si>
  <si>
    <t>непосредственной передачи электроустановки заказчику (генподрядчику) в эксплуатацию.</t>
  </si>
  <si>
    <t>Представитель заказчика</t>
  </si>
  <si>
    <t>Представитель генерального подрядчика</t>
  </si>
  <si>
    <t>Представитель электромонтажной организации</t>
  </si>
  <si>
    <t>М.П.</t>
  </si>
  <si>
    <t>Настоящий Акт является основанием для (нужное подчеркнуть.):</t>
  </si>
  <si>
    <t>№     п/п</t>
  </si>
  <si>
    <t>Недоделки</t>
  </si>
  <si>
    <t>Срок устранения</t>
  </si>
  <si>
    <t>Кто устраняет</t>
  </si>
  <si>
    <t xml:space="preserve">Представитель монтажной организации
</t>
  </si>
  <si>
    <t>Тип, марка</t>
  </si>
  <si>
    <t>Номер</t>
  </si>
  <si>
    <t>Кол-во</t>
  </si>
  <si>
    <t>(фамилия И.О.)</t>
  </si>
  <si>
    <t>№ п/п</t>
  </si>
  <si>
    <t>Наименование электрооборудования,
 комплекта</t>
  </si>
  <si>
    <t>Акт приемки-передачи оборудования в монтаж (форма ОС-15)</t>
  </si>
  <si>
    <t>Акт о выявленных дефектах оборудования (форма ОС-16)</t>
  </si>
  <si>
    <t>произвела осмотр помещений (сооружений), передаваемых для производства электромонтажных работ.</t>
  </si>
  <si>
    <t>Для производства электромонтажных работ передаются:</t>
  </si>
  <si>
    <t>(наименование помещений, сооружений)</t>
  </si>
  <si>
    <t>(указать проект, № чертежа)</t>
  </si>
  <si>
    <t xml:space="preserve">с учетом чертежей строительных зданий </t>
  </si>
  <si>
    <t>(наименование проектной организации, № чертежей строительных зданий)</t>
  </si>
  <si>
    <t xml:space="preserve">     Помещения (сооружения), перечисленные в п. 1 настоящего Акта, пригодны для производства электромонтажных </t>
  </si>
  <si>
    <t>работ с</t>
  </si>
  <si>
    <t>Недоделки, не препятствующие началу электромонтажных работ, подлежат устранению в следующие сроки:</t>
  </si>
  <si>
    <t>Помещение (сооружение)</t>
  </si>
  <si>
    <t>Сроки устранения</t>
  </si>
  <si>
    <t>Пусконаладочная организация</t>
  </si>
  <si>
    <t xml:space="preserve">представителя пусконаладочной организации </t>
  </si>
  <si>
    <t xml:space="preserve">представителя электромонтажной организации </t>
  </si>
  <si>
    <t>Электромонтажные работы выполнены в соответствии с проектом, разработанным</t>
  </si>
  <si>
    <t>5.1</t>
  </si>
  <si>
    <t>5.2</t>
  </si>
  <si>
    <t>Настоящий Акт является основанием для организации производства пусконаладочных работ на смонтированном оборудовании.</t>
  </si>
  <si>
    <t>Сдал:</t>
  </si>
  <si>
    <t>Принял:</t>
  </si>
  <si>
    <t xml:space="preserve">Представитель пусконаладочной организации </t>
  </si>
  <si>
    <t>Акт передачи смонтированного оборудования для производства пусконаладочных работ(форма 6б)</t>
  </si>
  <si>
    <t>Справка о ликвидации недоделок (форма 6а)</t>
  </si>
  <si>
    <t>нет</t>
  </si>
  <si>
    <t>-</t>
  </si>
  <si>
    <t>Акт о приемке и монтаже силового трансформатора</t>
  </si>
  <si>
    <t>ОБЩИЕ ФОРМЫ ПРИЕМОСДАТОЧНОЙ ДОКУМЕНТАЦИИ</t>
  </si>
  <si>
    <t>ФОРМЫ ДОКУМЕНТОВ ПО ЭЛЕКТРООБОРУДОВАНИЮ РАСПРЕДЕЛИТЕЛЬНЫХ УСТРОЙСТВ И ЭЛЕКТРИЧЕСКИХ ПОДСТАНЦИЙ НАПРЯЖЕНИЕМ ДО 220 кВ ВКЛЮЧИТЕЛЬНО</t>
  </si>
  <si>
    <t>ФОРМЫ ДОКУМЕНТОВ ПО АККУМУЛЯТОРНЫМ БАТАРЕЯМ</t>
  </si>
  <si>
    <t xml:space="preserve">Осмотр и проверку произвел </t>
  </si>
  <si>
    <t>Производитель работ (мастер)</t>
  </si>
  <si>
    <t>ФОРМА ДОКУМЕНТОВ ПО ЭЛЕКТРОПРОВОДКАМ</t>
  </si>
  <si>
    <t>Протокол осмотра и проверки технической готовности электромонтажных работ по аккумуляторной батарее</t>
  </si>
  <si>
    <t>Ведомость замеров при контрольном разряде аккумуляторной батареи</t>
  </si>
  <si>
    <t>произвела осмотр</t>
  </si>
  <si>
    <t>труб, проложенных в</t>
  </si>
  <si>
    <t>(материал)</t>
  </si>
  <si>
    <t>(место укладки)</t>
  </si>
  <si>
    <t>При осмотре установлено:</t>
  </si>
  <si>
    <t>Прокладка труб произведена по чертежам №</t>
  </si>
  <si>
    <t>разработанным</t>
  </si>
  <si>
    <t>(наименование проектной организации)</t>
  </si>
  <si>
    <t>При выполнении работ отсутствуют (или допущены) отклонения от проектной документации</t>
  </si>
  <si>
    <t>(при наличии отклонения указывается кем согласованы, № чертежа и дата согласования)</t>
  </si>
  <si>
    <t>Соединения труб выполнены</t>
  </si>
  <si>
    <t xml:space="preserve">,  электрический контакт на стыках металлических </t>
  </si>
  <si>
    <t xml:space="preserve">труб обеспечен </t>
  </si>
  <si>
    <t>(чем)</t>
  </si>
  <si>
    <t>Трубы имеют нормальные радиусы изгиба и не имеют вмятин и повреждений, препятствующих протягиванию проводов и кабелей.</t>
  </si>
  <si>
    <t>Работы выполнены в соответствии с проектной документацией, строительными нормами и правилами.</t>
  </si>
  <si>
    <t>Трубы могут быть залиты бетоном, заштукатурены, засыпаны грунтом.</t>
  </si>
  <si>
    <t>Акт осмотра канализации из труб перед закрытием</t>
  </si>
  <si>
    <t>Протокол испытаний давлением локальных разделительных уплотнений или стальных труб для проводок во взрывоопасных зонах классов В-1 и В-1а.</t>
  </si>
  <si>
    <t>ФОРМЫ ДОКУМЕНТОВ ПО КАБЕЛЬНЫМ ЛИНИЯМ</t>
  </si>
  <si>
    <t>ФОРМЫ ДОКУМЕНТОВ ПО ВОЗДУШНЫМ ЛИНИЯМ ЭЛЕКТРОПЕРЕДАЧИ НАПРЯЖЕНИЕМ ДО 220 кВ ВКЛЮЧИТЕЛЬНО</t>
  </si>
  <si>
    <t>ФОРМЫ ДОКУМЕНТОВ ПО ЗАЗЕМЛЯЮЩИМ УСТРОЙСТВАМ</t>
  </si>
  <si>
    <t>Акт приемки траншей, каналов, туннелей и блоков под монтаж кабелей (форма 14 а);</t>
  </si>
  <si>
    <t>Протокол осмотра и проверки изоляции кабелей, на барабане перед прокладкой (форма 15);</t>
  </si>
  <si>
    <t>Протокол прогрева кабелей на барабане перед прокладкой при низких температурах (форма 16);</t>
  </si>
  <si>
    <t>Акт осмотра кабельной канализации в траншее и каналах перед закрытием (форма 17);</t>
  </si>
  <si>
    <t>Журнал прокладки кабелей (форма 18);</t>
  </si>
  <si>
    <t>Журнал разделки кабельных муфт напряжением выше 1000 В (форма 19).</t>
  </si>
  <si>
    <t>Акт готовности монолитного фундамента под опору ВЛ (форма 20);</t>
  </si>
  <si>
    <t>Акт готовности сборных железобетонных фундаментов под опоры (форма 21);</t>
  </si>
  <si>
    <t>Акт замеров в натуре габаритов от проводов ВЛ до пересекаемого объекта (форма 23).</t>
  </si>
  <si>
    <t>Паспорт воздушной линии электропередачи (форма 22);</t>
  </si>
  <si>
    <t>Паспорт заземляющего устройства (форма 24).</t>
  </si>
  <si>
    <t>произвела осмотр и проверку выполненных</t>
  </si>
  <si>
    <t>(наименование генподрядной организации )</t>
  </si>
  <si>
    <t>сооружений для прокладки кабелей.</t>
  </si>
  <si>
    <t>К сдаче-приемке предъявлены следующие объекты:</t>
  </si>
  <si>
    <t>(траншеи, каналы, туннели, блоки кабельной канализации)</t>
  </si>
  <si>
    <t xml:space="preserve">Сооружения выполнены в соответствии с проектом, разработанным </t>
  </si>
  <si>
    <t>(наименование организации, № чертежей рабочей документации)</t>
  </si>
  <si>
    <t>Отступления от проекта</t>
  </si>
  <si>
    <t>(перечислить)</t>
  </si>
  <si>
    <t xml:space="preserve">согласованы </t>
  </si>
  <si>
    <t>Разбивка трассы траншеи (каналов, туннелей)</t>
  </si>
  <si>
    <t>(выполнена, не выполнена)</t>
  </si>
  <si>
    <t>согласно проекта.</t>
  </si>
  <si>
    <t>выполнена</t>
  </si>
  <si>
    <t>не выполнена</t>
  </si>
  <si>
    <t>Ширина и глубина траншеи соответствует требованиям проекта и ПУЭ, постель выполнена из</t>
  </si>
  <si>
    <t>песка</t>
  </si>
  <si>
    <t>просеянного грунта</t>
  </si>
  <si>
    <t>толщиной слоя</t>
  </si>
  <si>
    <t>мм, пересечение дорог выполнено в трубах</t>
  </si>
  <si>
    <t>на глубине</t>
  </si>
  <si>
    <t>мм, соединение и окраска труб</t>
  </si>
  <si>
    <t>(способ выполнения)</t>
  </si>
  <si>
    <t>металлических</t>
  </si>
  <si>
    <t>полиэтиленивых</t>
  </si>
  <si>
    <t>Двустенных из ПНД</t>
  </si>
  <si>
    <t>асбестоцементных</t>
  </si>
  <si>
    <t>Диаметр отверстий блоков и правильность стыкования блоков проверены, крышки на люках колодцев установлены.</t>
  </si>
  <si>
    <t>Обрамление и перекрытия кабельных каналов выполнены</t>
  </si>
  <si>
    <t>Дренаж выполнен по проекту.</t>
  </si>
  <si>
    <t>9.</t>
  </si>
  <si>
    <t>Особые замечания</t>
  </si>
  <si>
    <t>Объекты, перечисленные в п. 1 настоящего Акта, считать принятыми под монтаж кабелей.</t>
  </si>
  <si>
    <t>Приложение.</t>
  </si>
  <si>
    <t>Номер барабана</t>
  </si>
  <si>
    <t>Марка кабеля, сечение, мм2, напряжение, кВ</t>
  </si>
  <si>
    <t>Длина кабеля, м</t>
  </si>
  <si>
    <t>Завод-изгото-
витель</t>
  </si>
  <si>
    <t>Дата выпуска</t>
  </si>
  <si>
    <t>барабана и обшивки</t>
  </si>
  <si>
    <t>гермети-
зирующих заделок</t>
  </si>
  <si>
    <t>Заклю-
чение</t>
  </si>
  <si>
    <t xml:space="preserve">наружных витков </t>
  </si>
  <si>
    <t>Состояние</t>
  </si>
  <si>
    <t>Марка кабеля, напряжение, кВ, сечние, мм2</t>
  </si>
  <si>
    <t>Прогрев кабелей внутри обогреваемых помещений</t>
  </si>
  <si>
    <t>продолжи-
тельность прогрева, ч</t>
  </si>
  <si>
    <t>температура внешних витков кабеля при температуре наружного воздуха</t>
  </si>
  <si>
    <t>-10°С</t>
  </si>
  <si>
    <t>ниже -10°С</t>
  </si>
  <si>
    <t>температура в помещении, °С</t>
  </si>
  <si>
    <t>Прогрев кабелей электрическим током, А</t>
  </si>
  <si>
    <t xml:space="preserve">произвела осмотр кабельной канализации в </t>
  </si>
  <si>
    <t>перед закрытием.</t>
  </si>
  <si>
    <t>(траншее, канале)</t>
  </si>
  <si>
    <t>траншее</t>
  </si>
  <si>
    <t>канале</t>
  </si>
  <si>
    <t>В результате осмотра установлено:</t>
  </si>
  <si>
    <t>Прокладка кабеля выполнена по проекту</t>
  </si>
  <si>
    <t>(наименование проектной организации, № чертежей и кабельных журналов)</t>
  </si>
  <si>
    <t>Отступления от проекта согласованы и нанесены на чертежи №</t>
  </si>
  <si>
    <t>и схему привязки.</t>
  </si>
  <si>
    <t>На кабелях смонтировано</t>
  </si>
  <si>
    <t xml:space="preserve">соединительных муфт, привязка соединительных муфт (для кабелей в </t>
  </si>
  <si>
    <t>траншее) выполнена на плане кабельных линий.</t>
  </si>
  <si>
    <t>Произведена подсыпка кабельных линий слоем</t>
  </si>
  <si>
    <t>и выполнена защита кабелей от механических</t>
  </si>
  <si>
    <t xml:space="preserve"> повреждений согласно проекту, а также </t>
  </si>
  <si>
    <t>(материал подсылки)</t>
  </si>
  <si>
    <t>(указать дополнительные места защиты кабелей при наличии)</t>
  </si>
  <si>
    <t>В местах пересечений с другими инженерными коммуникациями и сооружениями кабели защищены</t>
  </si>
  <si>
    <t>(указать, чем защищены)</t>
  </si>
  <si>
    <t>Выполнена маркировка соединительных муфт и кабеля.</t>
  </si>
  <si>
    <t>Другие особенности, отмеченные комиссией</t>
  </si>
  <si>
    <t>Траншеи (канал) со смонтированными в них кабельными линиями приняты для закрытия.</t>
  </si>
  <si>
    <t>Дата прокладки</t>
  </si>
  <si>
    <t xml:space="preserve">Наименование и номер кабеля по кабельному журналу или исполнительной схеме
</t>
  </si>
  <si>
    <t>Марка кабеля, напряжение, кВ, сечение, мм2</t>
  </si>
  <si>
    <t>Общая длина линии, м</t>
  </si>
  <si>
    <t>Номер барабана и длина кабеля на каждом, м</t>
  </si>
  <si>
    <t>Количество соединительных муфт на линии</t>
  </si>
  <si>
    <t>Температура окружаюего воздуха при прокладке</t>
  </si>
  <si>
    <t>Способ подогрева кабеля и продолжи-
тельность прокладки, ч</t>
  </si>
  <si>
    <t>Номер по кабельному журналу</t>
  </si>
  <si>
    <t>Марка, сечение, мм2, напряжение, кВ</t>
  </si>
  <si>
    <t>Кабель</t>
  </si>
  <si>
    <t>Тип, размер</t>
  </si>
  <si>
    <t>Дата монтажа</t>
  </si>
  <si>
    <t>Фамилия</t>
  </si>
  <si>
    <t>Исполнитель</t>
  </si>
  <si>
    <t>Подпись</t>
  </si>
  <si>
    <t>Муфта</t>
  </si>
  <si>
    <t>(существо отступления)</t>
  </si>
  <si>
    <t>согласованы с заказчиком в лице</t>
  </si>
  <si>
    <t>(должность, фамилия, и., о.)</t>
  </si>
  <si>
    <t>и проектной организацией в лице</t>
  </si>
  <si>
    <t>Согласованные отступления от проекта нанесены на исполненные чертежи</t>
  </si>
  <si>
    <t>(номера чертежей)</t>
  </si>
  <si>
    <t>произвела проверку выполнения работ и составила акт о нижеследующем:</t>
  </si>
  <si>
    <t xml:space="preserve">Предъявлено под установку опор ВЛ законченные устройством </t>
  </si>
  <si>
    <t>сборных железобетонных фундаментов.</t>
  </si>
  <si>
    <t>(число)</t>
  </si>
  <si>
    <t>Из них под опоры:</t>
  </si>
  <si>
    <t>промежуточные</t>
  </si>
  <si>
    <t>, анкерные</t>
  </si>
  <si>
    <t>угловые</t>
  </si>
  <si>
    <t>, другие</t>
  </si>
  <si>
    <t>фундаменты.</t>
  </si>
  <si>
    <t xml:space="preserve">Фундаменты, выполнены в соответствии с проектом </t>
  </si>
  <si>
    <t xml:space="preserve">по чертежам </t>
  </si>
  <si>
    <t>(наименование и номера чертежей)</t>
  </si>
  <si>
    <t>Отклонение размеров по горизонтали между осями фундаментов, а также разность между их верхними отметками, проверенные шаблонами, не превышают допустимых по чертежам.</t>
  </si>
  <si>
    <t>Сборные железобетонные фундаменты для опор</t>
  </si>
  <si>
    <t>(номера опор)</t>
  </si>
  <si>
    <t>комиссией не приняты по причине</t>
  </si>
  <si>
    <t>(указать причину)</t>
  </si>
  <si>
    <t>и из перечня настоящего Акта исключены.</t>
  </si>
  <si>
    <t>Срок переделки (доработки) отбракованных фундаментов и повторного 
их предъявления</t>
  </si>
  <si>
    <t>Перечень сборных железобетонных фундаментов, разрешенных для установки опор</t>
  </si>
  <si>
    <t>Номер опоры</t>
  </si>
  <si>
    <t>Наименова-
ние и тип опоры</t>
  </si>
  <si>
    <t>Тип фундамента</t>
  </si>
  <si>
    <t>№ 
чертежа фундамента</t>
  </si>
  <si>
    <t>Дата устройства фундамента</t>
  </si>
  <si>
    <t>Завод-изготовитель сборного ЖБ, паспорт, марка</t>
  </si>
  <si>
    <t>Наличие гидро-
изоляций, материал</t>
  </si>
  <si>
    <t>Установка опоры разрешается, подпись производителя работ</t>
  </si>
  <si>
    <t>Заключение комиссии:</t>
  </si>
  <si>
    <t>сборные железобетонные фундаменты согласно перечню 6 пригодны для установки опор ВЛ.</t>
  </si>
  <si>
    <t>Приложение:</t>
  </si>
  <si>
    <t>исполнительные чертежи на фундамент, сертификаты на бетон и метизы.</t>
  </si>
  <si>
    <t>произвела осмотр выполненных работ по монтажу заземляющих устройств.</t>
  </si>
  <si>
    <t>Осмотром установлено:</t>
  </si>
  <si>
    <t xml:space="preserve">Заземляющее устройство выполнено в соответствии с проектом </t>
  </si>
  <si>
    <t>(название)</t>
  </si>
  <si>
    <t>(номер)</t>
  </si>
  <si>
    <t xml:space="preserve">Отступления от проекта </t>
  </si>
  <si>
    <t>согласованы с</t>
  </si>
  <si>
    <t>(организация, должность, фамилия, и , о, дата)</t>
  </si>
  <si>
    <t xml:space="preserve">и внесены в чертежи </t>
  </si>
  <si>
    <t>Параметры элементов заземляющего устройства</t>
  </si>
  <si>
    <t>Характеристика заземляющего устройства.</t>
  </si>
  <si>
    <t>№ п.п.</t>
  </si>
  <si>
    <t>Элемент заземляющих устройств</t>
  </si>
  <si>
    <t>материал</t>
  </si>
  <si>
    <t>профиль</t>
  </si>
  <si>
    <t>глубина заложения, м</t>
  </si>
  <si>
    <t>размеры,               мм</t>
  </si>
  <si>
    <t xml:space="preserve">Характер соединений элементов заземляющего устройства между собой и присоединения их к естественным </t>
  </si>
  <si>
    <t>заземляющим устройствам</t>
  </si>
  <si>
    <t>Выделены дефекты</t>
  </si>
  <si>
    <t>Монтаж опор воздушной линии электропередачи</t>
  </si>
  <si>
    <t>Защитное покрытие дополнительно к заводскому (окраска, антисептик), к-во опор</t>
  </si>
  <si>
    <t>Тип опоры                           (номер чертежа для нетиповых)</t>
  </si>
  <si>
    <t>Установлено                                 на ВЛ,                                         шт.</t>
  </si>
  <si>
    <t>Материал                                    опоры</t>
  </si>
  <si>
    <t>Наименование                                             опоры</t>
  </si>
  <si>
    <t>Промежуточные</t>
  </si>
  <si>
    <t>Анкерные</t>
  </si>
  <si>
    <t>Угловые</t>
  </si>
  <si>
    <t>Другие</t>
  </si>
  <si>
    <t>Всего:</t>
  </si>
  <si>
    <t>Монтаж проводов и тросов.</t>
  </si>
  <si>
    <t>мм2, в общем количестве</t>
  </si>
  <si>
    <t>м,</t>
  </si>
  <si>
    <t>грозозащитный трос марки</t>
  </si>
  <si>
    <t>м.</t>
  </si>
  <si>
    <t>протяженностью</t>
  </si>
  <si>
    <t xml:space="preserve">Монтаж проводов и тросов выполнен в соответствии с проектом ВЛ. Стрелы провеса проводов и тросов соответствуют монтажным кривым (таблицам) проекта. </t>
  </si>
  <si>
    <t>Пересечение ВЛ с другими сетями и инженерными сооружениями выполнены по проекту и оформлены частными актами, прилагаемыми к настоящему.</t>
  </si>
  <si>
    <t>Соединение проводов и тросов.</t>
  </si>
  <si>
    <t>Номер опор и пролетов, на которых смонтированы соединения</t>
  </si>
  <si>
    <t>Тип соединительного напряженного зажима</t>
  </si>
  <si>
    <t>Способ монтажа соединения</t>
  </si>
  <si>
    <t>Фамилия, И.О.</t>
  </si>
  <si>
    <t>Монтаж разрядников и разъединителей.</t>
  </si>
  <si>
    <t>трубчатые разрядники типа</t>
  </si>
  <si>
    <t>, на опорах</t>
  </si>
  <si>
    <t>разъединители типа</t>
  </si>
  <si>
    <t>Монтаж разъединителей выполнен в соответствии с проектом и документацией заводов-изготовителей.</t>
  </si>
  <si>
    <t>Монтаж заземляющих устройств.</t>
  </si>
  <si>
    <t>Протоколы и измерения сопротивления заземляющих устройств, предъявленные комиссии, хранятся у заказчика (в наладочной организации).</t>
  </si>
  <si>
    <t>Заключение:</t>
  </si>
  <si>
    <t xml:space="preserve">выполнен в соответствии с проектом и требованиями </t>
  </si>
  <si>
    <t>раздела ПУЭ-85 «Защита от перенапряжений, заземление».</t>
  </si>
  <si>
    <t>(наименование объекта)</t>
  </si>
  <si>
    <t>не обнаружено</t>
  </si>
  <si>
    <t>сталь</t>
  </si>
  <si>
    <t>кол-во</t>
  </si>
  <si>
    <t>полоса</t>
  </si>
  <si>
    <t>(Электромонтажная организация)</t>
  </si>
  <si>
    <t>ПО СДАЧЕ-ПРИЕМКЕ ЭЛЕКТРОМОНТАЖНЫХ РАБОТ</t>
  </si>
  <si>
    <t>год</t>
  </si>
  <si>
    <t>Помещения (сооружения) выполнены по проекту</t>
  </si>
  <si>
    <t>Сопро-
тивление изоляции, МОм</t>
  </si>
  <si>
    <t>Фамилия ответст-
венного за прокладку</t>
  </si>
  <si>
    <t>---</t>
  </si>
  <si>
    <t xml:space="preserve"> </t>
  </si>
  <si>
    <t>Недоделок нет</t>
  </si>
  <si>
    <t>пересечений нет</t>
  </si>
  <si>
    <t>Представители заказчика</t>
  </si>
  <si>
    <t xml:space="preserve">представителей заказчика </t>
  </si>
  <si>
    <t>Заземлитель вертикальный</t>
  </si>
  <si>
    <t>удовл.</t>
  </si>
  <si>
    <t>&gt;100</t>
  </si>
  <si>
    <t>годен</t>
  </si>
  <si>
    <t xml:space="preserve"> -</t>
  </si>
  <si>
    <t>отсева</t>
  </si>
  <si>
    <t>б/н</t>
  </si>
  <si>
    <t>Заземлитель горизонтальный</t>
  </si>
  <si>
    <t>представителя генподрядной организации</t>
  </si>
  <si>
    <t>Заземляющее устройство может быть засыпано землей.</t>
  </si>
  <si>
    <t>Перечень работ</t>
  </si>
  <si>
    <t>Характеристика, наименование</t>
  </si>
  <si>
    <t xml:space="preserve">выполнены сварными соединениями не менее 100мм и проваром со всех сторон </t>
  </si>
  <si>
    <t>Провод</t>
  </si>
  <si>
    <t>5</t>
  </si>
  <si>
    <t>230м</t>
  </si>
  <si>
    <t>22м</t>
  </si>
  <si>
    <t>278м</t>
  </si>
  <si>
    <t>ИСПОЛНИТЕЛЬНАЯ ДОКУМЕНТАЦИЯ</t>
  </si>
  <si>
    <t>(Заказчик)</t>
  </si>
  <si>
    <t>шифр проекта:</t>
  </si>
  <si>
    <t>(номер договора)</t>
  </si>
  <si>
    <t>­</t>
  </si>
  <si>
    <t>Трансформаторы тока</t>
  </si>
  <si>
    <t xml:space="preserve">Автоматический выключатель </t>
  </si>
  <si>
    <t>Ограничители перенапряжений высоковольтные</t>
  </si>
  <si>
    <t>Муфта концевая термоусаживаемая</t>
  </si>
  <si>
    <t>Муфта соединительная термоусаживаемая</t>
  </si>
  <si>
    <t>Самонесущий изолированный повод</t>
  </si>
  <si>
    <t>Стойка железобетонная</t>
  </si>
  <si>
    <t>Разъединитель трехполюсный</t>
  </si>
  <si>
    <t>Длинно-искровой разрядник</t>
  </si>
  <si>
    <t>отсутствуют</t>
  </si>
  <si>
    <t>траншея</t>
  </si>
  <si>
    <t xml:space="preserve">Использованы существующие </t>
  </si>
  <si>
    <t>адрес</t>
  </si>
  <si>
    <t>КТП-630/10/0,4кВ</t>
  </si>
  <si>
    <t>КТП-400/10/0,4кВ</t>
  </si>
  <si>
    <t>КТП-250/10/0,4кВ</t>
  </si>
  <si>
    <t>КТП-1000/10/0,4кВ</t>
  </si>
  <si>
    <t>КТП-630/6/0,4кВ</t>
  </si>
  <si>
    <t>КТП-400/6/0,4кВ</t>
  </si>
  <si>
    <t>КТП-250/6/0,4кВ</t>
  </si>
  <si>
    <t>МТП-250/10/0,4кВ</t>
  </si>
  <si>
    <t>МТП-160/10/0,4кВ</t>
  </si>
  <si>
    <t>МТП-250/6/0,4кВ</t>
  </si>
  <si>
    <t>МТП-160/6/0,4кВ</t>
  </si>
  <si>
    <t>ВЛ-10кВ</t>
  </si>
  <si>
    <t>ВЛ-6кВ</t>
  </si>
  <si>
    <t>ВЛ-0,4кВ</t>
  </si>
  <si>
    <t>КЛ-10кВ</t>
  </si>
  <si>
    <t>КЛ-6кВ</t>
  </si>
  <si>
    <t>КЛ-0,4кВ</t>
  </si>
  <si>
    <t>ВРЩ-0,4кВ</t>
  </si>
  <si>
    <t>Монтаж ТП</t>
  </si>
  <si>
    <t>Монтаж воздушной линии</t>
  </si>
  <si>
    <t>Монтаж ВРЩ-0,4кВ</t>
  </si>
  <si>
    <t>Устройство ГНБ кабельной линии</t>
  </si>
  <si>
    <t>Прокладка кабельной линии</t>
  </si>
  <si>
    <t>Монтаж ячеек</t>
  </si>
  <si>
    <t>Монтаж ТМГ</t>
  </si>
  <si>
    <t>ТМГ-1000/10/0,4кВ</t>
  </si>
  <si>
    <t>ТМГ-630/10/0,4кВ</t>
  </si>
  <si>
    <t>ТМГ-400/10/0,4кВ</t>
  </si>
  <si>
    <t>ТМГ-250/10/0,4кВ</t>
  </si>
  <si>
    <t>ТМГ-630/6/0,4кВ</t>
  </si>
  <si>
    <t>ТМГ-400/6/0,4кВ</t>
  </si>
  <si>
    <t>ТМГ-250/6/0,4кВ</t>
  </si>
  <si>
    <t>ТМГ-160/10/0,4кВ</t>
  </si>
  <si>
    <t>ТМГ-160/6/0,4кВ</t>
  </si>
  <si>
    <t>м</t>
  </si>
  <si>
    <t>Выключатель нагрузки</t>
  </si>
  <si>
    <t>КРН</t>
  </si>
  <si>
    <t>Вакуумный включатель</t>
  </si>
  <si>
    <t xml:space="preserve">Трансформатор силовой герметичный </t>
  </si>
  <si>
    <t>СВ 95-3</t>
  </si>
  <si>
    <t>СВ 110-5</t>
  </si>
  <si>
    <t>СИП-3 1х50</t>
  </si>
  <si>
    <t>СИП-3 1х70</t>
  </si>
  <si>
    <t>СИП-2 3х50+1х50</t>
  </si>
  <si>
    <t>СИП-2 3х70+1х70</t>
  </si>
  <si>
    <t>СИП-2 3х120+1х120</t>
  </si>
  <si>
    <t>СИП-2 3х95+1х95</t>
  </si>
  <si>
    <t>СИП-2 3х95+1х120</t>
  </si>
  <si>
    <t>СИП-4 4х16</t>
  </si>
  <si>
    <t xml:space="preserve">Счетчик электрической энергии </t>
  </si>
  <si>
    <t>АСБл 3х120</t>
  </si>
  <si>
    <t>АСБл 3х240</t>
  </si>
  <si>
    <t>Прораб</t>
  </si>
  <si>
    <t/>
  </si>
  <si>
    <t>АКТ</t>
  </si>
  <si>
    <t>в том, что сего числа нами произведен осмотр подземной части опоры перед закрытием котлована,
причем установлено нижеследующее:</t>
  </si>
  <si>
    <t>5. Наименование отпайки_____________________________________________________________</t>
  </si>
  <si>
    <t>(железобетонная, металлическая, деревянная)</t>
  </si>
  <si>
    <t>ТЕХНИЧЕСКИЕ ДАННЫЕ</t>
  </si>
  <si>
    <t>(суглинок, супесь, песок)</t>
  </si>
  <si>
    <t>Глубина заложения опоры в грунт</t>
  </si>
  <si>
    <t>3. Приставка опоры:</t>
  </si>
  <si>
    <t>а) количество</t>
  </si>
  <si>
    <t>шт.</t>
  </si>
  <si>
    <t>б) материалы</t>
  </si>
  <si>
    <t>в) диаметр или сечение приставок
г) длина приставок
д) завод-изготовитель</t>
  </si>
  <si>
    <t>4. Подземные ригели приставок:</t>
  </si>
  <si>
    <t>в) диаметр или сечение ригелей
г) длина ригелей</t>
  </si>
  <si>
    <t>5. Крепление ригелей к приставкам выполнено</t>
  </si>
  <si>
    <t>6. Дополнительные замечания</t>
  </si>
  <si>
    <t>7. Обратная засыпка котлованов произведена с послойной трамбовкой грунта.</t>
  </si>
  <si>
    <t>8. ЗАКЛЮЧЕНИЕ: Работы по установке опоры считаются законченными и принятыми.</t>
  </si>
  <si>
    <t>Приложения:</t>
  </si>
  <si>
    <t>Примечание: Сдача опор в эксплуатацию производится организацией, установившей опоры.</t>
  </si>
  <si>
    <t>Опоры, установленные на трассе ВЛ, считаются годными к монтажу проводов и тросов.</t>
  </si>
  <si>
    <t>ЗАКЛЮЧЕНИЕ КОМИССИИ:</t>
  </si>
  <si>
    <t>Согласованы с</t>
  </si>
  <si>
    <t>(наименование исполнителя)</t>
  </si>
  <si>
    <t>произвела осмотр строительной части фундаментов и опор, выполненных</t>
  </si>
  <si>
    <t>4</t>
  </si>
  <si>
    <t>6</t>
  </si>
  <si>
    <t>3</t>
  </si>
  <si>
    <t>2</t>
  </si>
  <si>
    <t>1</t>
  </si>
  <si>
    <t>№
п/п</t>
  </si>
  <si>
    <t>Выполненный контур может быть закрыт.</t>
  </si>
  <si>
    <t>Глубина
заложе-
ния (м)</t>
  </si>
  <si>
    <t>Длина
(м.)</t>
  </si>
  <si>
    <t>Сечение
(мм)</t>
  </si>
  <si>
    <t>Материал</t>
  </si>
  <si>
    <t>Глубина
заложе-
ния</t>
  </si>
  <si>
    <t>Диа-
метр
(мм)</t>
  </si>
  <si>
    <t>Кол-
во
(шт.)</t>
  </si>
  <si>
    <t>Прочие заземления</t>
  </si>
  <si>
    <t>Трубчатые заземления</t>
  </si>
  <si>
    <t>4.  Характеристика заземлителей:</t>
  </si>
  <si>
    <t>(способ соединения и защита стыков сваркой или зажимом ПС 2-1)</t>
  </si>
  <si>
    <t>и внесены в чертежи №</t>
  </si>
  <si>
    <t>осмотра заземлителей перед закрытием</t>
  </si>
  <si>
    <t>+</t>
  </si>
  <si>
    <t>0,5</t>
  </si>
  <si>
    <t>(дата)</t>
  </si>
  <si>
    <t>КТП соответствует паспортным данным и проекту</t>
  </si>
  <si>
    <t>имеются</t>
  </si>
  <si>
    <t>Необходимые надписи</t>
  </si>
  <si>
    <t>нормальная</t>
  </si>
  <si>
    <t>нормальное</t>
  </si>
  <si>
    <t>Контрольное включение разъединителей и выключателей
нагрузки</t>
  </si>
  <si>
    <t>удовлетворительное</t>
  </si>
  <si>
    <t>Качество установки</t>
  </si>
  <si>
    <t>Результаты</t>
  </si>
  <si>
    <t>Программа осмотра и проверки</t>
  </si>
  <si>
    <t>Особые отметки:</t>
  </si>
  <si>
    <t>Представленные комиссии кабели годны для укладки их в траншею по проекту электроснабжения</t>
  </si>
  <si>
    <t>5. Наименование и параметры кабеля:</t>
  </si>
  <si>
    <t>заделка концов кабеля без нарушений.</t>
  </si>
  <si>
    <t>Имеют, наружные витки без видимых деформаций и нарушений изоляции. Заводская</t>
  </si>
  <si>
    <t>4. После вскрытия досок обнаружено, что кабель и заводские капы видимых дефектов не</t>
  </si>
  <si>
    <t>3. Производитель кабеля</t>
  </si>
  <si>
    <t>2. Барабаны зашиты досками по периметру.</t>
  </si>
  <si>
    <t>1. К осмотру представлены барабаны №</t>
  </si>
  <si>
    <t>при осмотре кабеля на барабанах установила следующее:</t>
  </si>
  <si>
    <t>шт</t>
  </si>
  <si>
    <t>№№</t>
  </si>
  <si>
    <t>Конструкция фундаментов пригодна для установки КТП шкафного типа.</t>
  </si>
  <si>
    <t>Особые замечания:</t>
  </si>
  <si>
    <t>Установлено следующее:</t>
  </si>
  <si>
    <t>готов к эксплуатации</t>
  </si>
  <si>
    <t>3.7. Пробивной предохранитель</t>
  </si>
  <si>
    <t>3. Данные осмотра трансформатора:</t>
  </si>
  <si>
    <t>При осмотре и проверке установлено:</t>
  </si>
  <si>
    <t>5.8. Акты приемки траншей, блоков, труб, каналов под монтаж.</t>
  </si>
  <si>
    <t>5. ПРИЛОЖЕНИЯ</t>
  </si>
  <si>
    <t>4. ЗАМЕЧАНИЯ</t>
  </si>
  <si>
    <t>3. ОБЩАЯ ХАРАКТЕРИСТИКА ТРАССЫ</t>
  </si>
  <si>
    <t>2.2. Тип, марка и сечение кабеля</t>
  </si>
  <si>
    <t>2. ТЕХНИЧЕСКАЯ ХАРАКТЕРИСТИКА</t>
  </si>
  <si>
    <t>1. ПРИНЦИПИАЛЬНАЯ СХЕМА ЛИНИИ</t>
  </si>
  <si>
    <t>Питающий центр</t>
  </si>
  <si>
    <t>Наименование линии</t>
  </si>
  <si>
    <t>Инвентарный номер</t>
  </si>
  <si>
    <t>(должность, фамилия, инициалы, подпись)</t>
  </si>
  <si>
    <t>хорошее</t>
  </si>
  <si>
    <t>траверс</t>
  </si>
  <si>
    <t>верхушки опоры</t>
  </si>
  <si>
    <t>арматуры</t>
  </si>
  <si>
    <t>вязки</t>
  </si>
  <si>
    <t>проводов</t>
  </si>
  <si>
    <t>изоляторов</t>
  </si>
  <si>
    <t>(должность, фамилия, инициалы)</t>
  </si>
  <si>
    <t xml:space="preserve">произвела осмотр трансформатора </t>
  </si>
  <si>
    <t xml:space="preserve">1. Тип и мощность трансформатора: </t>
  </si>
  <si>
    <r>
      <rPr>
        <sz val="8"/>
        <rFont val="Times New Roman"/>
        <family val="2"/>
      </rPr>
      <t>Отступления от проекта____</t>
    </r>
    <r>
      <rPr>
        <i/>
        <u/>
        <sz val="8"/>
        <rFont val="Times New Roman"/>
        <family val="2"/>
      </rPr>
      <t>нет</t>
    </r>
  </si>
  <si>
    <t>представители заказчика</t>
  </si>
  <si>
    <t xml:space="preserve">произвела осмотр фундамента под </t>
  </si>
  <si>
    <t xml:space="preserve">Место установки: </t>
  </si>
  <si>
    <t>Смонтирован фундамент:</t>
  </si>
  <si>
    <r>
      <rPr>
        <sz val="8"/>
        <rFont val="Times New Roman"/>
        <family val="2"/>
      </rPr>
      <t>Установлены опоры</t>
    </r>
    <r>
      <rPr>
        <i/>
        <sz val="8"/>
        <rFont val="Times New Roman"/>
        <family val="2"/>
      </rPr>
      <t xml:space="preserve"> </t>
    </r>
  </si>
  <si>
    <t>из песчаного основания</t>
  </si>
  <si>
    <t>м3</t>
  </si>
  <si>
    <t>,</t>
  </si>
  <si>
    <t>щебеночного основания</t>
  </si>
  <si>
    <t>, фунд.блоков</t>
  </si>
  <si>
    <r>
      <rPr>
        <sz val="8"/>
        <rFont val="Times New Roman"/>
        <family val="2"/>
      </rPr>
      <t>Заглубление фундамента составляет</t>
    </r>
    <r>
      <rPr>
        <i/>
        <u/>
        <sz val="8"/>
        <rFont val="Times New Roman"/>
        <family val="2"/>
      </rPr>
      <t xml:space="preserve"> </t>
    </r>
  </si>
  <si>
    <t>Заглубление опор составляет</t>
  </si>
  <si>
    <t>2,25м</t>
  </si>
  <si>
    <t>Работа механических блокировок</t>
  </si>
  <si>
    <t>Работа дверей и замков</t>
  </si>
  <si>
    <t>Общее состояние трансформатора и других элементов КТП по внешнему осмотру</t>
  </si>
  <si>
    <t xml:space="preserve">Трансформатор силовой </t>
  </si>
  <si>
    <t>барабан №</t>
  </si>
  <si>
    <t>марка</t>
  </si>
  <si>
    <t>длина</t>
  </si>
  <si>
    <t xml:space="preserve">2.1. Протяженность трассы </t>
  </si>
  <si>
    <t>(определяется по участку трассы с наихудшими тепловыми условиями, при длине участка не менее 10м)</t>
  </si>
  <si>
    <t xml:space="preserve">5.1. </t>
  </si>
  <si>
    <t>Исполнительный чертеж трассы с указанием мест установки соединительных муфт, выполненный
в масштабах 1:200 или 1:500 в зависимости от развития коммуникаций в данном районе трассы.</t>
  </si>
  <si>
    <t xml:space="preserve">5.2. </t>
  </si>
  <si>
    <t>Чертежи профилей кабельной линии в местах пересечения с дорогами и другими
коммуникациями (для особо сложных трасс кабельных линий на напряжение 6-10кВ).</t>
  </si>
  <si>
    <t xml:space="preserve">5.3. </t>
  </si>
  <si>
    <t>Акты состояния кабелей на барабанах и, в случае необходимости, протоколы разборки и осмотра образцов (для импортных кабелей разборка обязательна).</t>
  </si>
  <si>
    <t xml:space="preserve">5.9. </t>
  </si>
  <si>
    <t>Акты под монтаж устройств по защите кабельных линий от электрохимической коррозии, а также
результаты коррозийных испытаний в соответствии с проектом.</t>
  </si>
  <si>
    <t>АКТ 
осмотра подземной части опоры ВЛ-____ кВ перед закрытием котлована</t>
  </si>
  <si>
    <r>
      <rPr>
        <sz val="8"/>
        <rFont val="Times New Roman"/>
        <family val="2"/>
      </rPr>
      <t>8. Конструкция опоры</t>
    </r>
    <r>
      <rPr>
        <i/>
        <sz val="8"/>
        <rFont val="Times New Roman"/>
        <family val="2"/>
      </rPr>
      <t xml:space="preserve"> железобетонная</t>
    </r>
  </si>
  <si>
    <r>
      <rPr>
        <sz val="8"/>
        <rFont val="Times New Roman"/>
        <family val="2"/>
      </rPr>
      <t xml:space="preserve">1. Характеристика грунта: </t>
    </r>
    <r>
      <rPr>
        <u/>
        <sz val="8"/>
        <rFont val="Times New Roman"/>
        <family val="2"/>
      </rPr>
      <t>суглинок_____________________________________________________</t>
    </r>
  </si>
  <si>
    <t xml:space="preserve">1. Район </t>
  </si>
  <si>
    <r>
      <rPr>
        <sz val="8"/>
        <rFont val="Times New Roman"/>
        <family val="2"/>
      </rPr>
      <t>2. Селение</t>
    </r>
    <r>
      <rPr>
        <i/>
        <sz val="8"/>
        <rFont val="Times New Roman"/>
        <family val="2"/>
      </rPr>
      <t xml:space="preserve"> </t>
    </r>
  </si>
  <si>
    <t>дер пос</t>
  </si>
  <si>
    <t xml:space="preserve">3. Объект </t>
  </si>
  <si>
    <t xml:space="preserve">4. Наименование ВЛ </t>
  </si>
  <si>
    <t xml:space="preserve">7. Тип опоры: </t>
  </si>
  <si>
    <r>
      <rPr>
        <sz val="8"/>
        <rFont val="Times New Roman"/>
        <family val="2"/>
      </rPr>
      <t>6. №№ опоры</t>
    </r>
    <r>
      <rPr>
        <i/>
        <sz val="8"/>
        <rFont val="Times New Roman"/>
        <family val="2"/>
      </rPr>
      <t xml:space="preserve"> </t>
    </r>
  </si>
  <si>
    <t xml:space="preserve">9. Установленную опору 
</t>
  </si>
  <si>
    <r>
      <rPr>
        <sz val="8"/>
        <rFont val="Times New Roman"/>
        <family val="2"/>
      </rPr>
      <t xml:space="preserve">Отступления от проекта, перечисленные ведомости (приложение </t>
    </r>
    <r>
      <rPr>
        <i/>
        <u/>
        <sz val="8"/>
        <rFont val="Times New Roman"/>
        <family val="2"/>
      </rPr>
      <t>нет)</t>
    </r>
  </si>
  <si>
    <r>
      <t xml:space="preserve">Дефекты и недоделки строительных работ, перечисленные ведомости (приложение </t>
    </r>
    <r>
      <rPr>
        <i/>
        <u/>
        <sz val="8"/>
        <rFont val="Times New Roman"/>
        <family val="2"/>
      </rPr>
      <t>нет</t>
    </r>
    <r>
      <rPr>
        <i/>
        <sz val="8"/>
        <rFont val="Times New Roman"/>
        <family val="2"/>
      </rPr>
      <t>), не препятствуют работам по монтажу проводов.</t>
    </r>
  </si>
  <si>
    <t>произвела осмотр заземлителей опор№№</t>
  </si>
  <si>
    <t>2. Отступление от проекта нет</t>
  </si>
  <si>
    <r>
      <rPr>
        <sz val="8"/>
        <rFont val="Times New Roman"/>
        <family val="2"/>
      </rPr>
      <t>1.  Заземление выполнено по чертежам №</t>
    </r>
    <r>
      <rPr>
        <i/>
        <sz val="8"/>
        <rFont val="Times New Roman"/>
        <family val="2"/>
      </rPr>
      <t xml:space="preserve"> </t>
    </r>
    <r>
      <rPr>
        <sz val="8"/>
        <rFont val="Times New Roman"/>
        <family val="2"/>
      </rPr>
      <t xml:space="preserve">
</t>
    </r>
  </si>
  <si>
    <t>проекта электрооборудования</t>
  </si>
  <si>
    <t>Наименование заземления</t>
  </si>
  <si>
    <t xml:space="preserve">вертикальное
</t>
  </si>
  <si>
    <t>горизонтальное</t>
  </si>
  <si>
    <t>50х50х5</t>
  </si>
  <si>
    <t>40х4</t>
  </si>
  <si>
    <t>уголок</t>
  </si>
  <si>
    <t>арматура</t>
  </si>
  <si>
    <t>опуск по опоре</t>
  </si>
  <si>
    <t xml:space="preserve">Верховой осмотр линии </t>
  </si>
  <si>
    <t>до опоры №</t>
  </si>
  <si>
    <t>Объект капитального строительства</t>
  </si>
  <si>
    <t>(наименование, почтовый или строительный адрес объекта капитального строительства)</t>
  </si>
  <si>
    <t>Застройщик или технический заказчик</t>
  </si>
  <si>
    <t xml:space="preserve">(наименование, ОГРН, ИНН, номер и дата выдачи  свидетельства о допуске к видам работ 
</t>
  </si>
  <si>
    <r>
      <t>по строительству, реконструкции, капитальному ремонту объектов капитального строительства, которые оказывают влияние на безопасность объектов капитального строительства, с указанием саморегулируемой организации, его выдавшей</t>
    </r>
    <r>
      <rPr>
        <i/>
        <vertAlign val="superscript"/>
        <sz val="6.5"/>
        <rFont val="Times New Roman"/>
        <family val="1"/>
        <charset val="204"/>
      </rPr>
      <t>1</t>
    </r>
    <r>
      <rPr>
        <i/>
        <sz val="6.5"/>
        <rFont val="Times New Roman"/>
        <family val="1"/>
        <charset val="204"/>
      </rPr>
      <t xml:space="preserve">, почтовые реквизиты, телефон/факс - для юридических лиц и </t>
    </r>
  </si>
  <si>
    <t>индивидуальных предпринимателей; фамилия, имя, отчество, паспортные данные, место проживания, телефон/факс - для физических лиц)</t>
  </si>
  <si>
    <t>Лицо, осуществляющее строительство</t>
  </si>
  <si>
    <t>Лицо, осуществляющее подготовку проектной документации</t>
  </si>
  <si>
    <t xml:space="preserve">(наименование, ОГРН, ИНН, номер и дата выдачи  свидетельства 
</t>
  </si>
  <si>
    <r>
      <t>о допуске к видам работ по строительству, реконструкции, капитальному ремонту объектов капитального строительства, которые оказывают влияние на безопасность объектов капитального строительства, с указанием саморегулируемой организации, его выдавшей</t>
    </r>
    <r>
      <rPr>
        <i/>
        <vertAlign val="superscript"/>
        <sz val="6.5"/>
        <rFont val="Times New Roman"/>
        <family val="1"/>
        <charset val="204"/>
      </rPr>
      <t>1</t>
    </r>
    <r>
      <rPr>
        <i/>
        <sz val="6.5"/>
        <rFont val="Times New Roman"/>
        <family val="1"/>
        <charset val="204"/>
      </rPr>
      <t xml:space="preserve">, почтовые реквизиты, телефон/факс - для </t>
    </r>
  </si>
  <si>
    <t>юридических лиц и индивидуальных предпринимателей; фамилия, имя, отчество, паспортные данные, место проживания, телефон/факс - для физических лиц)</t>
  </si>
  <si>
    <t>Лицо, выполнившее работы по созданию геодезической разбивочной основы</t>
  </si>
  <si>
    <t xml:space="preserve">(наименование, ОГРН, ИНН, номер и дата выдачи  свидетельства о допуске к видам работ по строительству, реконструкции, </t>
  </si>
  <si>
    <t>АКТ
освидетельствования геодезической разбивочной основы 
объекта капитального строительства</t>
  </si>
  <si>
    <t xml:space="preserve">Представитель застройщика или технического  заказчика по вопросам строительного контроля </t>
  </si>
  <si>
    <t>(должность, фамилия, инициалы, реквизиты документа о представительстве)</t>
  </si>
  <si>
    <t>Представитель лица, осуществляющего строительство</t>
  </si>
  <si>
    <r>
      <t xml:space="preserve">Представитель лица, осуществляющего строительство по вопросам строительного контроля </t>
    </r>
    <r>
      <rPr>
        <i/>
        <sz val="11"/>
        <rFont val="Tahoma"/>
        <family val="2"/>
        <charset val="204"/>
      </rPr>
      <t xml:space="preserve"> </t>
    </r>
  </si>
  <si>
    <t>Представитель лица, выполнившего работы по созданию геодезической разбивочной основы</t>
  </si>
  <si>
    <t>Рассмотрели представленную документацию на  геодезическую разбивочную основу для строительства</t>
  </si>
  <si>
    <t>(наименование объекта капитального строительства)</t>
  </si>
  <si>
    <t>и произвели осмотр закрепленных на местности знаков этой основы.</t>
  </si>
  <si>
    <r>
      <t>Предъявленные к освидетельствованию</t>
    </r>
    <r>
      <rPr>
        <sz val="11"/>
        <color indexed="1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 xml:space="preserve">знаки геодезической разбивочной основы для строительства, их координаты, отметки, места установки и способы закрепления соответствуют требованиям проектной документации, а также техническим регламентам (нормам и правилам), иным нормативным правовым актам: </t>
    </r>
  </si>
  <si>
    <t>(номер, другие реквизиты чертежа, наименование проектной документации,</t>
  </si>
  <si>
    <t xml:space="preserve">сведения о лицах, осуществляющих подготовку раздела  проектной документации, </t>
  </si>
  <si>
    <t>наименование, статьи (пункты) технического регламента (норм и правил), иных нормативных правовых актов)</t>
  </si>
  <si>
    <t>и выполнены с соблюдением заданной точности построений и измерений.</t>
  </si>
  <si>
    <t>Дополнительные сведения</t>
  </si>
  <si>
    <t>Акт составлен в</t>
  </si>
  <si>
    <t>экземплярах</t>
  </si>
  <si>
    <t>(чертежи, схемы, ведомости и т.п.)</t>
  </si>
  <si>
    <t>Представитель лица, осуществляющего строительство, по вопросам строительного контроля</t>
  </si>
  <si>
    <t xml:space="preserve">Представитель лица, осуществляющего подготовку проектной документации, в случаях, когда авторский </t>
  </si>
  <si>
    <t xml:space="preserve">надзор осуществляется  </t>
  </si>
  <si>
    <t xml:space="preserve">Представитель лица, выполнившего работы по созданию геодезической разбивочной основы </t>
  </si>
  <si>
    <r>
      <t>(наименование, ОГРН, ИНН, номер и дата выдачи  свидетельства о допуске к видам работ по строительству, реконструкции, капитальному ремонту объектов капитального строительства, которые оказывают влияние на безопасность объектов капитального строительства, с указанием саморегулируемой организации, его выдавшей</t>
    </r>
    <r>
      <rPr>
        <i/>
        <vertAlign val="superscript"/>
        <sz val="6.5"/>
        <rFont val="Times New Roman"/>
        <family val="1"/>
        <charset val="204"/>
      </rPr>
      <t>1</t>
    </r>
    <r>
      <rPr>
        <i/>
        <sz val="6.5"/>
        <rFont val="Times New Roman"/>
        <family val="1"/>
        <charset val="204"/>
      </rPr>
      <t xml:space="preserve">, почтовые реквизиты, телефон/факс - для юридических лиц и </t>
    </r>
  </si>
  <si>
    <r>
      <t>которые оказывают влияние на  безопасность объектов капитального строительства, с указанием саморегулируемой организации, его выдавшей</t>
    </r>
    <r>
      <rPr>
        <i/>
        <vertAlign val="superscript"/>
        <sz val="6.5"/>
        <rFont val="Times New Roman"/>
        <family val="1"/>
        <charset val="204"/>
      </rPr>
      <t>1</t>
    </r>
    <r>
      <rPr>
        <i/>
        <sz val="6.5"/>
        <rFont val="Times New Roman"/>
        <family val="1"/>
        <charset val="204"/>
      </rPr>
      <t>, почтовые реквизиты, телефон/факс - для юридических лиц и индивидуальных предпринимателей; фамилия, имя, отчество, паспортные данные, место проживания, телефон/факс - для физических лиц)</t>
    </r>
  </si>
  <si>
    <t>Исполнительная схема разбивочной основы</t>
  </si>
  <si>
    <t xml:space="preserve">Ограничитель перенапряжения нелинейный </t>
  </si>
  <si>
    <t>ТП</t>
  </si>
  <si>
    <t>3хЗНОЛ-СВЭЛ-10М</t>
  </si>
  <si>
    <t>КРУН-10 К/К</t>
  </si>
  <si>
    <t>КРУН-10 В/К</t>
  </si>
  <si>
    <t>КРУН-6 К/К</t>
  </si>
  <si>
    <t>КРУН-6 В/К</t>
  </si>
  <si>
    <t>РВЗ-10/630</t>
  </si>
  <si>
    <t>ОЛС-СЭЩ-1.25/10</t>
  </si>
  <si>
    <t>ТЗЛК-СЭЩ-0,66</t>
  </si>
  <si>
    <t>ВВТ-10</t>
  </si>
  <si>
    <t>Микропроцессорное устройство защиты</t>
  </si>
  <si>
    <t>Сириус-2-Л-БПТ</t>
  </si>
  <si>
    <t>Копмлектное распределительное устройство наружной установки</t>
  </si>
  <si>
    <t>3СТп-10-70/120-Б</t>
  </si>
  <si>
    <t>РЛК-1-10.IV/400</t>
  </si>
  <si>
    <t>РМК-20</t>
  </si>
  <si>
    <t>Предохранители-разъединители выхлопного типа</t>
  </si>
  <si>
    <t>ПРВТ-10-80А</t>
  </si>
  <si>
    <t>СИП-3 1х95</t>
  </si>
  <si>
    <t xml:space="preserve">Индикатор короткого замыкания </t>
  </si>
  <si>
    <t>ИКЗ-В34Л УЗ</t>
  </si>
  <si>
    <t>яч.КСО-298</t>
  </si>
  <si>
    <t xml:space="preserve">Блок питания </t>
  </si>
  <si>
    <t>Орион-БП-5</t>
  </si>
  <si>
    <t>ВВУ-СЭЩ-ПЗ-10</t>
  </si>
  <si>
    <t xml:space="preserve">Камеры дугогасительные </t>
  </si>
  <si>
    <t>КДВ-СЭЩ-10</t>
  </si>
  <si>
    <t>РВЗФз-10/1000</t>
  </si>
  <si>
    <t>ОЛС-СТ-1,25/6П</t>
  </si>
  <si>
    <t>РВФЗ-10/630</t>
  </si>
  <si>
    <t>ОПН-П-6/7,2/10/550</t>
  </si>
  <si>
    <t>Пугв 1х70</t>
  </si>
  <si>
    <t>ПуГВ 1х16</t>
  </si>
  <si>
    <t>Коммутационный модуль серии ISM</t>
  </si>
  <si>
    <t>Модуль упраления серии СМ</t>
  </si>
  <si>
    <t>ТЗЛЭ-125</t>
  </si>
  <si>
    <t>4СТП-1 16-25</t>
  </si>
  <si>
    <t xml:space="preserve">4КНТП-1 16-25 </t>
  </si>
  <si>
    <t>Предохранитель высоковольтный</t>
  </si>
  <si>
    <t>ПКТ-102-10-40А-31,5У1</t>
  </si>
  <si>
    <t>СИП-4 2х16</t>
  </si>
  <si>
    <t>ВНАП-10/630</t>
  </si>
  <si>
    <t>СИП-2 3х35+1х35</t>
  </si>
  <si>
    <t>ПВС 3х2,5</t>
  </si>
  <si>
    <t>Орион-РТЗ-3</t>
  </si>
  <si>
    <t>ОЛС-П2,5/10</t>
  </si>
  <si>
    <t>АПвВнг(А)-LS 1х95/35</t>
  </si>
  <si>
    <t xml:space="preserve">ПуГВ 1х25 </t>
  </si>
  <si>
    <t>ПуГВ 1х10</t>
  </si>
  <si>
    <t>ОПН 6/7,2/5/250</t>
  </si>
  <si>
    <t>СТЭМ-300.153GSU</t>
  </si>
  <si>
    <t>ОР600/28</t>
  </si>
  <si>
    <t>реквизиты</t>
  </si>
  <si>
    <t xml:space="preserve">№ САП </t>
  </si>
  <si>
    <t>директор</t>
  </si>
  <si>
    <t>директор ФИО</t>
  </si>
  <si>
    <t>Строй.контроль</t>
  </si>
  <si>
    <t>район</t>
  </si>
  <si>
    <t>Приказ стр.контр.</t>
  </si>
  <si>
    <t>ФИО стр.контр.</t>
  </si>
  <si>
    <t>Представитель</t>
  </si>
  <si>
    <t>ФИО предст.</t>
  </si>
  <si>
    <t>Подстанция трансформаторная</t>
  </si>
  <si>
    <t>Приказ прораб</t>
  </si>
  <si>
    <t>ФИО прораб</t>
  </si>
  <si>
    <t>ВРЩ</t>
  </si>
  <si>
    <t>КСО-298</t>
  </si>
  <si>
    <t>КРН-10</t>
  </si>
  <si>
    <t>КРН-6</t>
  </si>
  <si>
    <t>КРУН-10</t>
  </si>
  <si>
    <t>КРУН-6</t>
  </si>
  <si>
    <t>организация</t>
  </si>
  <si>
    <t>ТМГ</t>
  </si>
  <si>
    <t>КЛ</t>
  </si>
  <si>
    <t>ВЛ</t>
  </si>
  <si>
    <t xml:space="preserve">ВРЩ </t>
  </si>
  <si>
    <t xml:space="preserve">КСО </t>
  </si>
  <si>
    <t>р-н</t>
  </si>
  <si>
    <t>Дата разбивки</t>
  </si>
  <si>
    <t>Дата старт</t>
  </si>
  <si>
    <t>Дата финиш</t>
  </si>
  <si>
    <t>Данные объекта</t>
  </si>
  <si>
    <t>Наименование электроустановки</t>
  </si>
  <si>
    <t>Реквизиты</t>
  </si>
  <si>
    <t>ФИО</t>
  </si>
  <si>
    <t>номер свидетельства</t>
  </si>
  <si>
    <t>Приказ</t>
  </si>
  <si>
    <t>работы</t>
  </si>
  <si>
    <t>категория</t>
  </si>
  <si>
    <t>сцепленные организация</t>
  </si>
  <si>
    <t xml:space="preserve">2. Место установки: </t>
  </si>
  <si>
    <r>
      <rPr>
        <sz val="8"/>
        <rFont val="Times New Roman"/>
        <family val="2"/>
      </rPr>
      <t>Высота основания КТП</t>
    </r>
    <r>
      <rPr>
        <i/>
        <sz val="8"/>
        <rFont val="Times New Roman"/>
        <family val="2"/>
      </rPr>
      <t xml:space="preserve"> </t>
    </r>
  </si>
  <si>
    <t>2м</t>
  </si>
  <si>
    <r>
      <rPr>
        <sz val="8"/>
        <rFont val="Times New Roman"/>
        <family val="2"/>
      </rPr>
      <t>Тип, заводской номер</t>
    </r>
    <r>
      <rPr>
        <i/>
        <sz val="8"/>
        <rFont val="Times New Roman"/>
        <family val="2"/>
      </rPr>
      <t xml:space="preserve">  </t>
    </r>
  </si>
  <si>
    <t>зав.№</t>
  </si>
  <si>
    <t xml:space="preserve">Паспорт кабельной линии электропередачи </t>
  </si>
  <si>
    <t>Дата начала строительства</t>
  </si>
  <si>
    <t>Дата окончания строительства</t>
  </si>
  <si>
    <t xml:space="preserve">5.4. </t>
  </si>
  <si>
    <t>Кабельный журнал.</t>
  </si>
  <si>
    <t xml:space="preserve">5.5. </t>
  </si>
  <si>
    <t>Инвентарная опись всех элементов кабельной линии.</t>
  </si>
  <si>
    <t xml:space="preserve">5.6. </t>
  </si>
  <si>
    <t>Акты строительных и скрытых работ с указанием пересечений и сближений кабелей со всеми подземными коммуникациями.</t>
  </si>
  <si>
    <t>5.7.</t>
  </si>
  <si>
    <t>Акты на монтаж кабельных муфт.</t>
  </si>
  <si>
    <t xml:space="preserve">5.10. </t>
  </si>
  <si>
    <t>Протокол испытания изоляции кабельной линии повышенным выпрямленным напряжением после прокладки.</t>
  </si>
  <si>
    <t xml:space="preserve">5.11. </t>
  </si>
  <si>
    <t>Результаты измерения сопротивления изоляции.</t>
  </si>
  <si>
    <t xml:space="preserve">5.12. </t>
  </si>
  <si>
    <t>Акты осмотра кабелей, проложенных в траншеях и каналах, перед закрытием.</t>
  </si>
  <si>
    <t xml:space="preserve">5.13. </t>
  </si>
  <si>
    <t>Протокол прогрева кабелей на барабанах перед прокладкой при низких температурах.</t>
  </si>
  <si>
    <t xml:space="preserve">5.14. </t>
  </si>
  <si>
    <t>Акт проверки и испытания автоматических стационарных установок систем пожаротушения и пожарной сигнализации.</t>
  </si>
  <si>
    <t xml:space="preserve">Дата ввода в эксплуатацию </t>
  </si>
  <si>
    <t xml:space="preserve">2.3. </t>
  </si>
  <si>
    <t>Наибольшая допустимая токовая нагрузка</t>
  </si>
  <si>
    <t xml:space="preserve">рассмотрела техническую документацию на сборные железобетонные фундаменты </t>
  </si>
  <si>
    <t>ж/б</t>
  </si>
  <si>
    <r>
      <rPr>
        <sz val="8"/>
        <rFont val="Times New Roman"/>
        <family val="2"/>
      </rPr>
      <t xml:space="preserve">3.  Все соединения выполнены </t>
    </r>
    <r>
      <rPr>
        <i/>
        <sz val="8"/>
        <rFont val="Times New Roman"/>
        <family val="2"/>
      </rPr>
      <t>зажимом ПС2-1</t>
    </r>
  </si>
  <si>
    <r>
      <rPr>
        <sz val="8"/>
        <rFont val="Times New Roman"/>
        <family val="2"/>
      </rPr>
      <t xml:space="preserve">произвели от опоры </t>
    </r>
    <r>
      <rPr>
        <i/>
        <sz val="8"/>
        <rFont val="Times New Roman"/>
        <family val="1"/>
        <charset val="204"/>
      </rPr>
      <t xml:space="preserve">№ </t>
    </r>
  </si>
  <si>
    <t>Синяя краска ПФ-115</t>
  </si>
  <si>
    <t xml:space="preserve">На </t>
  </si>
  <si>
    <t xml:space="preserve"> смонтирован провод марки</t>
  </si>
  <si>
    <t>смонтированы:</t>
  </si>
  <si>
    <t xml:space="preserve">Монтаж заземляющих устройств опор </t>
  </si>
  <si>
    <t>Если ВЛ-0,4кВ, РМК и РЛК удалить</t>
  </si>
  <si>
    <t>Этот пункт к МТП</t>
  </si>
  <si>
    <t>Этот пункт к КТП</t>
  </si>
  <si>
    <t>При необходимости ненужное скрыть</t>
  </si>
  <si>
    <r>
      <rPr>
        <sz val="8"/>
        <rFont val="Times New Roman"/>
        <family val="2"/>
      </rPr>
      <t xml:space="preserve">3.1Кожух, радиаторы, катки, крышка:  </t>
    </r>
    <r>
      <rPr>
        <i/>
        <u/>
        <sz val="8"/>
        <rFont val="Times New Roman"/>
        <family val="2"/>
      </rPr>
      <t>норма</t>
    </r>
  </si>
  <si>
    <r>
      <rPr>
        <sz val="8"/>
        <rFont val="Times New Roman"/>
        <family val="2"/>
      </rPr>
      <t>3.3. Изоляторы ВН</t>
    </r>
    <r>
      <rPr>
        <i/>
        <u/>
        <sz val="8"/>
        <rFont val="Times New Roman"/>
        <family val="2"/>
      </rPr>
      <t xml:space="preserve"> норма</t>
    </r>
  </si>
  <si>
    <r>
      <rPr>
        <sz val="8"/>
        <rFont val="Times New Roman"/>
        <family val="2"/>
      </rPr>
      <t>3.4. Изоляторы НН</t>
    </r>
    <r>
      <rPr>
        <i/>
        <u/>
        <sz val="8"/>
        <rFont val="Times New Roman"/>
        <family val="2"/>
      </rPr>
      <t xml:space="preserve"> норма</t>
    </r>
  </si>
  <si>
    <r>
      <rPr>
        <sz val="6"/>
        <rFont val="Times New Roman"/>
        <family val="1"/>
      </rPr>
      <t>(место составления)</t>
    </r>
  </si>
  <si>
    <r>
      <rPr>
        <sz val="6"/>
        <rFont val="Times New Roman"/>
        <family val="1"/>
      </rPr>
      <t>(наименование объекта строительства)</t>
    </r>
  </si>
  <si>
    <r>
      <rPr>
        <sz val="10"/>
        <rFont val="Times New Roman"/>
        <family val="1"/>
      </rPr>
      <t>В присутствии:</t>
    </r>
  </si>
  <si>
    <r>
      <rPr>
        <sz val="10"/>
        <rFont val="Times New Roman"/>
        <family val="1"/>
      </rPr>
      <t>полномочного представителя подрядной организации:</t>
    </r>
  </si>
  <si>
    <r>
      <rPr>
        <sz val="6"/>
        <rFont val="Times New Roman"/>
        <family val="1"/>
      </rPr>
      <t>(должность, Ф.И.О.)</t>
    </r>
  </si>
  <si>
    <r>
      <rPr>
        <sz val="10"/>
        <rFont val="Times New Roman"/>
        <family val="1"/>
      </rPr>
      <t>к проведению работ:</t>
    </r>
  </si>
  <si>
    <r>
      <rPr>
        <sz val="6"/>
        <rFont val="Times New Roman"/>
        <family val="1"/>
      </rPr>
      <t>(наименование работ)</t>
    </r>
  </si>
  <si>
    <t>Отметка о соответствии  требованиям и нормативу *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</si>
  <si>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</si>
  <si>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</si>
  <si>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</si>
  <si>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</si>
  <si>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</si>
  <si>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</si>
  <si>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</si>
  <si>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</si>
  <si>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</si>
  <si>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3.1</t>
  </si>
  <si>
    <t>3.2</t>
  </si>
  <si>
    <t>3.3</t>
  </si>
  <si>
    <t>4.1</t>
  </si>
  <si>
    <t>4.2</t>
  </si>
  <si>
    <t>4.3</t>
  </si>
  <si>
    <t>4.4</t>
  </si>
  <si>
    <t>5.3</t>
  </si>
  <si>
    <t>6.1</t>
  </si>
  <si>
    <t>6.2</t>
  </si>
  <si>
    <t>6.3</t>
  </si>
  <si>
    <t>6.4</t>
  </si>
  <si>
    <t>6.5</t>
  </si>
  <si>
    <t>6.6</t>
  </si>
  <si>
    <t>6.7</t>
  </si>
  <si>
    <t>7.1</t>
  </si>
  <si>
    <t>7.2</t>
  </si>
  <si>
    <t>7.3</t>
  </si>
  <si>
    <t>7.4</t>
  </si>
  <si>
    <t>7.5</t>
  </si>
  <si>
    <t>7.6</t>
  </si>
  <si>
    <t xml:space="preserve">8. </t>
  </si>
  <si>
    <t xml:space="preserve">ГОТОВНОСТЬ ОБЕСПЕЧЕНИЯ ТРЕБОВАНИЙ ПО ОХРАНЕ ТРУДА 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</si>
  <si>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</si>
  <si>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</si>
  <si>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</si>
  <si>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</si>
  <si>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</si>
  <si>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</si>
  <si>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</si>
  <si>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</si>
  <si>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</si>
  <si>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</si>
  <si>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</si>
  <si>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</si>
  <si>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</si>
  <si>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</si>
  <si>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</si>
  <si>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</si>
  <si>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</si>
  <si>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</si>
  <si>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</si>
  <si>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 xml:space="preserve">9. </t>
  </si>
  <si>
    <t>ГОТОВНОСТЬ ОБЕСПЕЧЕНИЯ ПОЖАРНОЙ БЕЗОПАСНОСТИ</t>
  </si>
  <si>
    <t>9.1</t>
  </si>
  <si>
    <t>9.2</t>
  </si>
  <si>
    <t>9.3</t>
  </si>
  <si>
    <t>9.4</t>
  </si>
  <si>
    <t xml:space="preserve">10. </t>
  </si>
  <si>
    <t>ГОТОВНОСТЬ ОБЕСПЕЧЕНИЯ ОХРАНЫ ОКРУЖАЮЩЕЙ СРЕДЫ И ЭКОЛОГИЧЕСКОЙ БЕЗОПАСНОСТИ</t>
  </si>
  <si>
    <t>10.1</t>
  </si>
  <si>
    <t>10.2</t>
  </si>
  <si>
    <t>10.3</t>
  </si>
  <si>
    <t>10.4</t>
  </si>
  <si>
    <r>
      <rPr>
        <vertAlign val="superscript"/>
        <sz val="10"/>
        <rFont val="Times New Roman"/>
        <family val="1"/>
      </rPr>
      <t xml:space="preserve"> (наименование объекта)</t>
    </r>
  </si>
  <si>
    <r>
      <rPr>
        <vertAlign val="superscript"/>
        <sz val="10"/>
        <rFont val="Times New Roman"/>
        <family val="1"/>
      </rPr>
      <t>(виды работ, к выполнению которых допускается)</t>
    </r>
  </si>
  <si>
    <r>
      <rPr>
        <b/>
        <sz val="8"/>
        <rFont val="Times New Roman"/>
        <family val="1"/>
      </rPr>
      <t>Приложение 7</t>
    </r>
  </si>
  <si>
    <r>
      <rPr>
        <b/>
        <sz val="8"/>
        <rFont val="Times New Roman"/>
        <family val="1"/>
      </rPr>
      <t>Форма заключения по проверке готовности строительной подрядной организации к выполнению работ по строительству, реконструкции, техперевооружению на объектах электросетевого комплекса</t>
    </r>
  </si>
  <si>
    <r>
      <rPr>
        <sz val="8"/>
        <rFont val="Times New Roman"/>
        <family val="1"/>
      </rPr>
      <t>по строительству, реконструкции, техперевооружению на объектах электросетевого комплекса</t>
    </r>
  </si>
  <si>
    <r>
      <rPr>
        <sz val="8"/>
        <rFont val="Times New Roman"/>
        <family val="1"/>
      </rPr>
      <t>(место составления)</t>
    </r>
  </si>
  <si>
    <r>
      <rPr>
        <sz val="8"/>
        <rFont val="Times New Roman"/>
        <family val="1"/>
      </rPr>
      <t xml:space="preserve">Мною, специалистом строительного контроля </t>
    </r>
  </si>
  <si>
    <r>
      <rPr>
        <sz val="6"/>
        <rFont val="Times New Roman"/>
        <family val="1"/>
      </rPr>
      <t>(Фамилия И.О.)</t>
    </r>
  </si>
  <si>
    <t xml:space="preserve">за осуществление строительного контроля на объекте строительства: </t>
  </si>
  <si>
    <t>назначенным приказом :</t>
  </si>
  <si>
    <r>
      <rPr>
        <sz val="8"/>
        <rFont val="Times New Roman"/>
        <family val="1"/>
      </rPr>
      <t>проведена проверка готовности</t>
    </r>
    <r>
      <rPr>
        <b/>
        <sz val="8"/>
        <rFont val="Times New Roman"/>
        <family val="1"/>
      </rPr>
      <t xml:space="preserve"> </t>
    </r>
  </si>
  <si>
    <r>
      <rPr>
        <sz val="8"/>
        <rFont val="Times New Roman"/>
        <family val="1"/>
      </rPr>
      <t>* Если документ не требуется, указать «не треб.»</t>
    </r>
  </si>
  <si>
    <r>
      <rPr>
        <b/>
        <sz val="8"/>
        <rFont val="Times New Roman"/>
        <family val="1"/>
      </rPr>
      <t>ВЫВОД:</t>
    </r>
  </si>
  <si>
    <r>
      <rPr>
        <b/>
        <sz val="8"/>
        <rFont val="Times New Roman"/>
        <family val="1"/>
      </rPr>
      <t>Подрядчик по строительству к выполнению работ на объекте:</t>
    </r>
  </si>
  <si>
    <t xml:space="preserve">ГОТОВНОСТЬ ПРОИЗВОДСТВЕННО-ТЕХНИЧЕСКИХ ЗДАНИЙ И СООРУЖЕНИЙ </t>
  </si>
  <si>
    <t xml:space="preserve">ГОТОВНОСТЬ ПРОИЗВОДСТВЕННО-ТЕХНИЧЕСКИХ РЕСУРСОВ </t>
  </si>
  <si>
    <t>ГОТОВНОСТЬ ЛАБОРАТОРИЙ</t>
  </si>
  <si>
    <t>ГОТОВНОСТЬ РАСПОРЯДИТЕЛЬНЫХ ДОКУМЕНТОВ</t>
  </si>
  <si>
    <t>ГОТОВНОСТЬ ОРГАНИЗАЦИОННО – ТЕХНОЛОГИЧЕСКОЙ ДОКУМЕНТАЦИИ</t>
  </si>
  <si>
    <t>ПРОЕКТНАЯ ДОКУМЕНТАЦИЯ</t>
  </si>
  <si>
    <t>ГОТОВНОСТЬ РАЗРЕШИТЕЛЬНОЙ ДОКУМЕНТАЦИИ НЕОБХОДИМОЙ ДЛЯ НАЧАЛА СТРОИТЕЛЬСТВА</t>
  </si>
  <si>
    <r>
      <rPr>
        <vertAlign val="superscript"/>
        <sz val="8"/>
        <rFont val="Times New Roman"/>
        <family val="1"/>
      </rPr>
      <t>(ГОТОВ, НЕ ГОТОВ)</t>
    </r>
  </si>
  <si>
    <t>готов</t>
  </si>
  <si>
    <r>
      <rPr>
        <sz val="8"/>
        <rFont val="Times New Roman"/>
        <family val="1"/>
      </rPr>
      <t>Подписи:</t>
    </r>
  </si>
  <si>
    <t xml:space="preserve"> (должность)   </t>
  </si>
  <si>
    <t xml:space="preserve">  (подпись)   </t>
  </si>
  <si>
    <t xml:space="preserve">  (Ф.И.О.)</t>
  </si>
  <si>
    <t>№
 п/п</t>
  </si>
  <si>
    <t>Наименование проверяемого документа и его наличие</t>
  </si>
  <si>
    <t>Параметры несоответствия нормативу, подлежащие к устранению до начала работ (наименование НТД)</t>
  </si>
  <si>
    <t>Договор на выполнение СМР, договор на осуществление авторского надзора в случае разработки проекта подрядчиком (проверка на наличие).</t>
  </si>
  <si>
    <t>Согласование Заказчика, выдаваемое Строительному подрядчику на привлечение субподрядной организации (для проверки готовности субподрядной организации).</t>
  </si>
  <si>
    <t xml:space="preserve">Подтверждение членства в саморегулируемых организациях - актуальная выписка из реестра членов саморегулируемой организации (СРО). </t>
  </si>
  <si>
    <t>Лицензия, выдаваемая МЧС на монтаж средств обеспечения пожарной безопасности зданий и сооружений (при необходимости).</t>
  </si>
  <si>
    <t>Разрешение на вырубку леса (при необходимости).</t>
  </si>
  <si>
    <t>Разрешение на право производства работ в охранной зоне инженерных коммуникаций (при необходимости).</t>
  </si>
  <si>
    <t>Ордер на производство земляных и буровых работ (при необходимости).</t>
  </si>
  <si>
    <t xml:space="preserve">Комплект утвержденной проектной документации. </t>
  </si>
  <si>
    <r>
      <t xml:space="preserve">Комплект рабочей документации со штампом «В производство работ» Заказчика </t>
    </r>
    <r>
      <rPr>
        <i/>
        <sz val="8"/>
        <rFont val="Times New Roman"/>
        <family val="1"/>
        <charset val="204"/>
      </rPr>
      <t>(В случае поэтапной выдачи разделов РД указать конкретные разделы РД)</t>
    </r>
    <r>
      <rPr>
        <sz val="8"/>
        <rFont val="Times New Roman"/>
        <family val="1"/>
        <charset val="204"/>
      </rPr>
      <t>.</t>
    </r>
  </si>
  <si>
    <t xml:space="preserve">ПРОЕКТ ПРОИЗВОДСТВА РАБОТ (ППР) </t>
  </si>
  <si>
    <t>Наличие ППР, утвержденного Главным инженером (техническим руководителем) подрядной строительной организации, согласованного  заказчиком.</t>
  </si>
  <si>
    <t>Производственные инструкции и технологические карты на основные виды работ, предусмотренные проектом, в т.ч. на строительный контроль качества работ, выполняемый лицом, осуществляющим строительство.</t>
  </si>
  <si>
    <t>ПРОЕКТ ПРОИЗВОДСТВА РАБОТ КРАНАМИ (ППРк) (при необходимости).</t>
  </si>
  <si>
    <t>Наличие ППРк, согласованный с владельцем ГПМ, осуществляющим надзор, руководителем организации, разработавшей ППРк и утверждённый руководителем генподрядной строительно-монтажной организации (заказчиком ГПМ).</t>
  </si>
  <si>
    <t>Перечень технологического инвентаря и монтажной оснастки, схемы строповки грузов с приложением разрешительной документации (паспортов, сертификатов).</t>
  </si>
  <si>
    <t>Наличие подтверждения ознакомления персонала, назначенного для производства работ, с ППР, ППРк и ОТК.</t>
  </si>
  <si>
    <t>О назначении ответственного производителя СМР, имеющего соответствующую квалификацию по видам работ.</t>
  </si>
  <si>
    <t>О закреплении за объектом персонала подрядной организации.</t>
  </si>
  <si>
    <t>О назначении ИТР, ответственных за подготовку объекта, безопасность и качество проведения работ со стороны подрядчика.</t>
  </si>
  <si>
    <t>Наличие разрешительных документов на работы в действующих электроустановка (письма, удостоверения, наличие инструктажей).</t>
  </si>
  <si>
    <t>Заключение о проверке готовности лаборатории неразрушающего контроля (Приложение 8 к Регламенту по осуществлению строительного контроля)</t>
  </si>
  <si>
    <t>Заключение о проверке готовности строительной испытательной лаборатории (Приложение 9 к Регламенту по осуществлению строительного контроля)</t>
  </si>
  <si>
    <t>Заключение о проверке готовности электротехнической (испытательной) лаборатории (Приложение 10 к Регламенту по осуществлению строительного контроля)</t>
  </si>
  <si>
    <t>Наличие требуемой численности и квалификации персонала согласно ПОС (ППР), графика движения рабочих кадров:</t>
  </si>
  <si>
    <t>Инженерно-технических работников (в т.ч. ПТО и службы производственного (строительного) контроля).</t>
  </si>
  <si>
    <t>Квалифицированных рабочих по профессиям.</t>
  </si>
  <si>
    <t>Наличие требуемого количества соответствующей  строительной и специальной техники согласно ППР (ПОС), графика движения строительной техники:</t>
  </si>
  <si>
    <t xml:space="preserve">Строительной и специальной техники (технологического инвентаря, монтажной оснастки) </t>
  </si>
  <si>
    <t>Вспомогательного автотранспорта для доставки персонала к месту производства работ.</t>
  </si>
  <si>
    <t>Наличие в полном объеме требуемого проектом на дату начала выполнения работ количества основных материалов, конструкций и оборудования с подтверждающими  документами их качества (сертификатами, паспортами) завода - изготовителя в рамках поставки строительного подрядчика в соответствии с графиком.</t>
  </si>
  <si>
    <t>Готовность и размещение временных титульных  зданий и сооружений, возводимых до начала строительства, в соответствии с ПОС (ППР) (жилые городки, склады, РБУ и другие сооружения подсобно – хозяйственного назначения). Договора аренды соответствующих зданий и сооружений, приспосабливаемых для подсобно-хозяйственного назначения.</t>
  </si>
  <si>
    <t>Готовность в соответствии с графиком поставки оборудования открытых площадок, полузакрытых (закрытых) складов, в соответствии с ПОС (ППР). Договора аренды площадей и помещений (при необходимости).</t>
  </si>
  <si>
    <t>Готовность в соответствии с ПОС (ППР) временных сетей водо- (холодной, горячей воды), газоснабжения, теплоснабжения, а также канализационных бытовых и промышленных стоков. Наличие соответствующих договоров на утилизацию отходов, стоков (при необходимости).</t>
  </si>
  <si>
    <t>Готовность в соответствии с ПОС (ППР) временных устройств системы электроснабжения подрядчика, осуществляемая от внешних электрических сетей (ТСО), либо энергоснабжения строительной площадки от автономных источников электроснабжения с соблюдением всех технических требований с согласия Заказчика.</t>
  </si>
  <si>
    <t>Готовность в соответствии с ПОС (ППР) объектов и сооружений обеспечения безопасности и охраны, пропускного и внутриобъектового режима, антитеррористической защищенности объекта строительства, складов, площадок складирования и хранения оборудования, материалов.</t>
  </si>
  <si>
    <t>Готовность в соответствии с ПОС (ППР) временных подъездных, эвакуационных и внутриплощадочных дорог, создаваемых на период строительства.</t>
  </si>
  <si>
    <t>Утвержденная программа вводного инструктажа и журнал регистрации вводного инструктажа.</t>
  </si>
  <si>
    <t>Утвержденная программа проведения первичного инструктажа на рабочем месте и журнал регистрации первичного инструктажа на рабочем месте.</t>
  </si>
  <si>
    <t>Перечень инструкций по охране труда.</t>
  </si>
  <si>
    <t>Журнал регистрации первичного инструктажа на рабочем месте.</t>
  </si>
  <si>
    <t>Журнал учета и выдачи инструкций по охране труда.</t>
  </si>
  <si>
    <t>Инструкции по охране труда по профессиям и видам работ в соответствии с Перечнем инструкций по охране труда, содержащие достаточные и актуальные требования охраны труда.</t>
  </si>
  <si>
    <t>Приказ о назначении ИТР по надзору за безопасной эксплуатацией грузоподъёмных кранов и подъемников (вышек), съёмных грузозахватных приспособлений, тары.</t>
  </si>
  <si>
    <t>Приказ о назначении ИТР, ответственных за содержание грузоподъемных кранов и подъемников (вышек) в исправном состоянии.</t>
  </si>
  <si>
    <t>Приказ о назначении лица, ответственного за безопасное производство работ грузоподъемными кранами, подъемниками (вышками).</t>
  </si>
  <si>
    <t>Приказ о назначении ответственных за исправное состояние и безопасную эксплуатацию сосудов, работающих под давлением.</t>
  </si>
  <si>
    <t>Приказ о назначении ответственных лиц за безопасное проведение работ в электроустановках.</t>
  </si>
  <si>
    <t>Приказ о назначении лиц ответственных за электрохозяйство.</t>
  </si>
  <si>
    <t>Журнал учета и выдачи средств индивидуальной защиты.</t>
  </si>
  <si>
    <t>Личные карточки выдачи специальной одежды и обуви.</t>
  </si>
  <si>
    <t>Журнал учета несчастных случаев.</t>
  </si>
  <si>
    <t>Наличие договора с медицинским учреждением на проведение предрейсовых медицинских осмотров.</t>
  </si>
  <si>
    <t>Наличие квалификационных удостоверений по профессиям у ИТР и рабочего персонала, в соответствии с приказом.</t>
  </si>
  <si>
    <t>Наличие отметок о допусках к специальным работам в квалификационных удостоверениях по профессиям у ИТР и рабочего персонала, в соответствии с приказом.</t>
  </si>
  <si>
    <t>Наличие удостоверений, копий протоколов аттестации по проверке знаний норм и правил работы в электроустановках.</t>
  </si>
  <si>
    <t>Журнал приемки и осмотра лесов и подмостей.</t>
  </si>
  <si>
    <t>Наличие приказа о назначении лица ответственного за пожарную безопасность.</t>
  </si>
  <si>
    <t>Наличие инструкции по пожарной безопасности при проведении огневых работ.</t>
  </si>
  <si>
    <t>Наличие и готовность к применению первичных средств пожаротушения согласно расчету.</t>
  </si>
  <si>
    <t>Документы, подтверждающие прохождение работниками обучения мерам пожарной безопасности</t>
  </si>
  <si>
    <t>Наличие ОРД о назначении лица ответственного за охрану окружающей среды и обеспечение экологической безопасности на строительной площадке.</t>
  </si>
  <si>
    <t>Готовность пунктов мойки колес к эксплуатации, в зимнее время применение оборудования очистки сжатым воздухом (сертификат соответствия в системе ГОСТ Р, санитарно-эпидемиологическим заключение органов Роспотребнадзора).</t>
  </si>
  <si>
    <t>Наличие мест накопления отходов, образующихся в ходе выполнения работ, в соответствии с требования в области охраны окружающей среды.</t>
  </si>
  <si>
    <t>Наличие мест хранения демонтированного оборудования или его частей, выведенных из эксплуатации в ходе выполнения работ.</t>
  </si>
  <si>
    <t>не требуется</t>
  </si>
  <si>
    <t>3.1.1</t>
  </si>
  <si>
    <t>3.1.2</t>
  </si>
  <si>
    <t>3.2.1</t>
  </si>
  <si>
    <t>3.2.2</t>
  </si>
  <si>
    <r>
      <rPr>
        <sz val="5"/>
        <rFont val="Times New Roman"/>
        <family val="1"/>
      </rPr>
      <t xml:space="preserve"> (полное наименование документации, шифр, реквизиты  приказа об утверждении (при наличии)</t>
    </r>
  </si>
  <si>
    <r>
      <rPr>
        <sz val="10"/>
        <rFont val="Times New Roman"/>
        <family val="1"/>
      </rPr>
      <t xml:space="preserve"> </t>
    </r>
    <r>
      <rPr>
        <sz val="6"/>
        <rFont val="Times New Roman"/>
        <family val="1"/>
      </rPr>
      <t>(наименование объекта строительства)</t>
    </r>
  </si>
  <si>
    <r>
      <rPr>
        <sz val="10"/>
        <rFont val="Times New Roman"/>
        <family val="1"/>
      </rPr>
      <t>№</t>
    </r>
  </si>
  <si>
    <r>
      <rPr>
        <sz val="10"/>
        <rFont val="Times New Roman"/>
        <family val="1"/>
      </rPr>
      <t>Оценка</t>
    </r>
  </si>
  <si>
    <r>
      <rPr>
        <sz val="10"/>
        <rFont val="Times New Roman"/>
        <family val="1"/>
      </rPr>
      <t>Результат</t>
    </r>
  </si>
  <si>
    <r>
      <rPr>
        <sz val="10"/>
        <rFont val="Times New Roman"/>
        <family val="1"/>
      </rPr>
      <t>Комплектность, полнота и качество разработки операционно-технологических карт, схем операционного контроля по видам работ и контроля в соответствии с требованиями утвержденной проектной документации и выданной в производство работ рабочей документации, в том числе входного контроля материалов, изделий и оборудования; операционного и приемочного контроля</t>
    </r>
  </si>
  <si>
    <r>
      <rPr>
        <sz val="10"/>
        <rFont val="Times New Roman"/>
        <family val="1"/>
      </rPr>
      <t>Наличие и соответствие разделов требованиям законодательных и нормативных документов в части организации и обеспечения качества строительства со стороны строительного подрядчика и Заказчика</t>
    </r>
  </si>
  <si>
    <r>
      <rPr>
        <sz val="10"/>
        <rFont val="Times New Roman"/>
        <family val="1"/>
      </rPr>
      <t>Наличие перечня работ и конструкций, показатели качества которых подлежат оценке соответствия в процессе строительства</t>
    </r>
  </si>
  <si>
    <r>
      <rPr>
        <sz val="10"/>
        <rFont val="Times New Roman"/>
        <family val="1"/>
      </rPr>
      <t>Наличие перечня актов, оформляемых на скрытые работы и ответственные конструкции, оказывающие влияние на безопасность объекта или сооружения, подлежащие освидетельствованию</t>
    </r>
  </si>
  <si>
    <r>
      <rPr>
        <sz val="10"/>
        <rFont val="Times New Roman"/>
        <family val="1"/>
      </rPr>
      <t>Наличие предельных значений контролируемых параметров, допускаемых уровней несоответствия по каждому из них</t>
    </r>
  </si>
  <si>
    <r>
      <rPr>
        <sz val="10"/>
        <rFont val="Times New Roman"/>
        <family val="1"/>
      </rPr>
      <t>Наличие указаний о применяемых инструментах, приборах, объемах и методах контроля, в том числе в виде ссылок на соответствующие нормативные документы</t>
    </r>
  </si>
  <si>
    <t xml:space="preserve">назначенным приказом </t>
  </si>
  <si>
    <r>
      <rPr>
        <sz val="6"/>
        <rFont val="Times New Roman"/>
        <family val="1"/>
      </rPr>
      <t xml:space="preserve"> (Фамилия И.О.)</t>
    </r>
  </si>
  <si>
    <t xml:space="preserve">в период с </t>
  </si>
  <si>
    <t>по</t>
  </si>
  <si>
    <r>
      <rPr>
        <b/>
        <sz val="8"/>
        <rFont val="Times New Roman"/>
        <family val="1"/>
      </rPr>
      <t>Выводы:</t>
    </r>
  </si>
  <si>
    <r>
      <rPr>
        <sz val="8"/>
        <rFont val="Times New Roman"/>
        <family val="1"/>
      </rPr>
      <t>На основании выполненного анализа и оценки организационно-технологической документации, Исполнитель СК удостоверяет о возможности/невозможности (</t>
    </r>
    <r>
      <rPr>
        <i/>
        <sz val="8"/>
        <rFont val="Times New Roman"/>
        <family val="1"/>
      </rPr>
      <t>нужное подчеркнуть</t>
    </r>
    <r>
      <rPr>
        <sz val="8"/>
        <rFont val="Times New Roman"/>
        <family val="1"/>
      </rPr>
      <t xml:space="preserve">) осуществления по ней контроля качества строительных процессов и материалов, изделий, оборудования установленным нормативным требованиям.  </t>
    </r>
  </si>
  <si>
    <t xml:space="preserve">  (подпись)/(дата)   </t>
  </si>
  <si>
    <t>/</t>
  </si>
  <si>
    <r>
      <rPr>
        <sz val="16"/>
        <rFont val="Times New Roman"/>
        <family val="1"/>
        <charset val="204"/>
      </rPr>
      <t>ⅴ</t>
    </r>
    <r>
      <rPr>
        <sz val="10"/>
        <rFont val="Times New Roman"/>
        <family val="1"/>
      </rPr>
      <t xml:space="preserve">Да </t>
    </r>
    <r>
      <rPr>
        <sz val="16"/>
        <rFont val="Times New Roman"/>
        <family val="1"/>
      </rPr>
      <t>□</t>
    </r>
    <r>
      <rPr>
        <sz val="10"/>
        <rFont val="Times New Roman"/>
        <family val="1"/>
      </rPr>
      <t>Нет</t>
    </r>
  </si>
  <si>
    <r>
      <t>ⅴ</t>
    </r>
    <r>
      <rPr>
        <sz val="10"/>
        <rFont val="Times New Roman"/>
        <family val="1"/>
      </rPr>
      <t xml:space="preserve">Да </t>
    </r>
    <r>
      <rPr>
        <sz val="16"/>
        <rFont val="Times New Roman"/>
        <family val="1"/>
      </rPr>
      <t>□</t>
    </r>
    <r>
      <rPr>
        <sz val="10"/>
        <rFont val="Times New Roman"/>
        <family val="1"/>
      </rPr>
      <t>Нет</t>
    </r>
  </si>
  <si>
    <r>
      <rPr>
        <sz val="6"/>
        <rFont val="Times New Roman"/>
        <family val="1"/>
      </rPr>
      <t xml:space="preserve"> (Наименование объекта строительства)</t>
    </r>
  </si>
  <si>
    <r>
      <rPr>
        <sz val="6"/>
        <rFont val="Times New Roman"/>
        <family val="1"/>
      </rPr>
      <t xml:space="preserve">                                                                                           (наименование подрядной организации)</t>
    </r>
  </si>
  <si>
    <r>
      <rPr>
        <sz val="6"/>
        <rFont val="Times New Roman"/>
        <family val="1"/>
      </rPr>
      <t xml:space="preserve"> (должность, Ф.И.О.)</t>
    </r>
  </si>
  <si>
    <r>
      <rPr>
        <b/>
        <sz val="9"/>
        <rFont val="Times New Roman"/>
        <family val="1"/>
      </rPr>
      <t>Приложение 10</t>
    </r>
  </si>
  <si>
    <r>
      <rPr>
        <sz val="8"/>
        <rFont val="Times New Roman"/>
        <family val="1"/>
      </rPr>
      <t>полномочного представителя подрядной организации:</t>
    </r>
  </si>
  <si>
    <r>
      <rPr>
        <sz val="8"/>
        <rFont val="Times New Roman"/>
        <family val="1"/>
      </rPr>
      <t>В присутствии:</t>
    </r>
  </si>
  <si>
    <r>
      <rPr>
        <sz val="8"/>
        <rFont val="Times New Roman"/>
        <family val="1"/>
      </rPr>
      <t>к проведению работ:</t>
    </r>
  </si>
  <si>
    <r>
      <rPr>
        <b/>
        <i/>
        <sz val="8"/>
        <rFont val="Times New Roman"/>
        <family val="1"/>
      </rPr>
      <t>Проверки (испытаний) электроустановки</t>
    </r>
  </si>
  <si>
    <t xml:space="preserve">
№ п/п</t>
  </si>
  <si>
    <t xml:space="preserve">
Наименование  документа</t>
  </si>
  <si>
    <t>Параметры несоответствия нормативу, подлежащие к устранению до начала работ (наименование нормативного документа).</t>
  </si>
  <si>
    <t>Свидетельство о регистрации ЭЛ.</t>
  </si>
  <si>
    <t>Аттестованный персонал на IV-V группы электробезопасности с правом испытания оборудования повышенным напряжением.</t>
  </si>
  <si>
    <t>Прохождение персоналом ЭЛ подготовки и проверки знаний по требованиям ПБ.</t>
  </si>
  <si>
    <t>Паспорт ЭЛ.</t>
  </si>
  <si>
    <t>Руководство по качеству ЭЛ.</t>
  </si>
  <si>
    <t>Положение ЭЛ.</t>
  </si>
  <si>
    <t>Должностные инструкции.</t>
  </si>
  <si>
    <t>Приказ о создании ЭЛ.</t>
  </si>
  <si>
    <t>Приказ о назначении ответственных лиц.</t>
  </si>
  <si>
    <t>Методики по электроиспытаниям в соответствии с разрешенными видами испытаний.</t>
  </si>
  <si>
    <t>Инструкции по охране труда.</t>
  </si>
  <si>
    <t>Наличие нормативно-технической документации.</t>
  </si>
  <si>
    <t>Свидетельства о поверке применяемого лабораторией оборудования.</t>
  </si>
  <si>
    <t>Паспорта, руководство по эксплуатации на применяемое оборудование и средства измерения.</t>
  </si>
  <si>
    <t>* Если документ не требуется, указать «не треб.»</t>
  </si>
  <si>
    <t>ЗАКЛЮЧЕНИЕ:</t>
  </si>
  <si>
    <t xml:space="preserve">электротехническая (испытательная) лаборатория  подрядчика (субподрядчика) </t>
  </si>
  <si>
    <t>(заключение о готовности)</t>
  </si>
  <si>
    <t>Подписи:</t>
  </si>
  <si>
    <t xml:space="preserve">
Отметка о соотв. нормативу *</t>
  </si>
  <si>
    <r>
      <rPr>
        <sz val="9"/>
        <rFont val="Times New Roman"/>
        <family val="1"/>
      </rPr>
      <t xml:space="preserve"> </t>
    </r>
    <r>
      <rPr>
        <sz val="7"/>
        <rFont val="Times New Roman"/>
        <family val="1"/>
      </rPr>
      <t>(наименование структурного подразделения Заказчика, проводившего оценку соответствия)</t>
    </r>
  </si>
  <si>
    <r>
      <rPr>
        <sz val="7"/>
        <rFont val="Times New Roman"/>
        <family val="1"/>
      </rPr>
      <t>(наименование организации генерального подрядчика, осуществившего строительство объекта)</t>
    </r>
  </si>
  <si>
    <r>
      <rPr>
        <sz val="7"/>
        <rFont val="Times New Roman"/>
        <family val="1"/>
      </rPr>
      <t>(фамилия, имя, отчество, должность, идентификационный номер в НРС)</t>
    </r>
  </si>
  <si>
    <r>
      <rPr>
        <sz val="10"/>
        <rFont val="Times New Roman"/>
        <family val="1"/>
      </rPr>
      <t>_____________________________________________________________________________________________</t>
    </r>
  </si>
  <si>
    <r>
      <rPr>
        <sz val="9"/>
        <rFont val="Times New Roman"/>
        <family val="1"/>
      </rPr>
      <t>-</t>
    </r>
  </si>
  <si>
    <r>
      <rPr>
        <sz val="7"/>
        <rFont val="Times New Roman"/>
        <family val="1"/>
      </rPr>
      <t xml:space="preserve"> (наименование организации Проектировщика, осуществившего авторский надзор за строительством объекта,  фамилия, имя, отчество, должность, идентификационный номер в НРС)</t>
    </r>
  </si>
  <si>
    <r>
      <rPr>
        <i/>
        <sz val="7"/>
        <rFont val="Times New Roman"/>
        <family val="1"/>
      </rPr>
      <t xml:space="preserve"> (фамилия, имя, отчество, должность)</t>
    </r>
  </si>
  <si>
    <r>
      <rPr>
        <i/>
        <sz val="7"/>
        <rFont val="Times New Roman"/>
        <family val="1"/>
      </rPr>
      <t>(фамилия, имя, отчество, должность)</t>
    </r>
  </si>
  <si>
    <r>
      <rPr>
        <i/>
        <sz val="10"/>
        <rFont val="Times New Roman"/>
        <family val="1"/>
      </rPr>
      <t>-</t>
    </r>
  </si>
  <si>
    <r>
      <rPr>
        <sz val="7"/>
        <rFont val="Times New Roman"/>
        <family val="1"/>
      </rPr>
      <t xml:space="preserve">                                                           (наименование организации)</t>
    </r>
  </si>
  <si>
    <r>
      <rPr>
        <sz val="10"/>
        <rFont val="Times New Roman"/>
        <family val="1"/>
      </rPr>
      <t xml:space="preserve">                                              </t>
    </r>
    <r>
      <rPr>
        <sz val="7"/>
        <rFont val="Times New Roman"/>
        <family val="1"/>
      </rPr>
      <t>(месяц и год)</t>
    </r>
    <r>
      <rPr>
        <sz val="9"/>
        <rFont val="Times New Roman"/>
        <family val="1"/>
      </rPr>
      <t xml:space="preserve">		                 </t>
    </r>
    <r>
      <rPr>
        <sz val="7"/>
        <rFont val="Times New Roman"/>
        <family val="1"/>
      </rPr>
      <t>(месяц и год)</t>
    </r>
  </si>
  <si>
    <r>
      <rPr>
        <sz val="7"/>
        <rFont val="Times New Roman"/>
        <family val="1"/>
      </rPr>
      <t xml:space="preserve"> (наименование органа, утвердившего документацию на объект в целом)</t>
    </r>
  </si>
  <si>
    <r>
      <rPr>
        <sz val="8"/>
        <rFont val="Times New Roman"/>
        <family val="1"/>
      </rPr>
      <t xml:space="preserve">							</t>
    </r>
    <r>
      <rPr>
        <sz val="7"/>
        <rFont val="Times New Roman"/>
        <family val="1"/>
      </rPr>
      <t xml:space="preserve">               (соответствуют / не соответствуют)</t>
    </r>
  </si>
  <si>
    <r>
      <rPr>
        <sz val="8"/>
        <rFont val="Times New Roman"/>
        <family val="1"/>
      </rPr>
      <t xml:space="preserve">              								</t>
    </r>
    <r>
      <rPr>
        <sz val="7"/>
        <rFont val="Times New Roman"/>
        <family val="1"/>
      </rPr>
      <t xml:space="preserve"> (соответствует / не соответствует)</t>
    </r>
  </si>
  <si>
    <r>
      <rPr>
        <sz val="8"/>
        <rFont val="Times New Roman"/>
        <family val="1"/>
      </rPr>
      <t xml:space="preserve">              								</t>
    </r>
    <r>
      <rPr>
        <sz val="7"/>
        <rFont val="Times New Roman"/>
        <family val="1"/>
      </rPr>
      <t xml:space="preserve">       (завершен / не завершен)</t>
    </r>
  </si>
  <si>
    <r>
      <rPr>
        <sz val="9"/>
        <rFont val="Times New Roman"/>
        <family val="1"/>
      </rPr>
      <t>(завершен/ не завершен)</t>
    </r>
  </si>
  <si>
    <r>
      <rPr>
        <sz val="10"/>
        <rFont val="Times New Roman"/>
        <family val="1"/>
      </rPr>
      <t xml:space="preserve">								         </t>
    </r>
    <r>
      <rPr>
        <sz val="9"/>
        <rFont val="Times New Roman"/>
        <family val="1"/>
      </rPr>
      <t>(соответствуют/ не соответствуют)</t>
    </r>
  </si>
  <si>
    <r>
      <rPr>
        <sz val="9"/>
        <rFont val="Times New Roman"/>
        <family val="1"/>
      </rPr>
      <t xml:space="preserve">                                                                                                            (соответствуют / не соответствуют)</t>
    </r>
  </si>
  <si>
    <r>
      <rPr>
        <sz val="9"/>
        <rFont val="Times New Roman"/>
        <family val="1"/>
      </rPr>
      <t xml:space="preserve">                                                                                                                 (соответствует/ не соответствует)</t>
    </r>
  </si>
  <si>
    <r>
      <rPr>
        <sz val="9"/>
        <rFont val="Times New Roman"/>
        <family val="1"/>
      </rPr>
      <t>(устранены / не устранены)</t>
    </r>
  </si>
  <si>
    <r>
      <rPr>
        <sz val="8"/>
        <rFont val="Times New Roman"/>
        <family val="1"/>
      </rPr>
      <t xml:space="preserve"> </t>
    </r>
  </si>
  <si>
    <r>
      <rPr>
        <sz val="7"/>
        <rFont val="Times New Roman"/>
        <family val="1"/>
      </rPr>
      <t>(ненужное зачеркнуть)</t>
    </r>
  </si>
  <si>
    <r>
      <rPr>
        <sz val="7"/>
        <rFont val="Times New Roman"/>
        <family val="1"/>
      </rPr>
      <t>(должность, организация, подпись, Ф.И.О)</t>
    </r>
  </si>
  <si>
    <r>
      <rPr>
        <sz val="7"/>
        <rFont val="Times New Roman"/>
        <family val="1"/>
      </rPr>
      <t>(должность, организация, подпись, Ф.И.О.)</t>
    </r>
  </si>
  <si>
    <t>Приложение 11</t>
  </si>
  <si>
    <r>
      <rPr>
        <sz val="6"/>
        <rFont val="Times New Roman"/>
        <family val="1"/>
      </rPr>
      <t>(наименование объекта (титула)</t>
    </r>
  </si>
  <si>
    <t>(место составления)</t>
  </si>
  <si>
    <r>
      <rPr>
        <sz val="8"/>
        <rFont val="Times New Roman"/>
        <family val="1"/>
      </rPr>
      <t xml:space="preserve">представителя организации Генерального подрядчика: </t>
    </r>
  </si>
  <si>
    <r>
      <rPr>
        <sz val="8"/>
        <rFont val="Times New Roman"/>
        <family val="1"/>
      </rPr>
      <t>в лице:</t>
    </r>
  </si>
  <si>
    <r>
      <rPr>
        <sz val="8"/>
        <rFont val="Times New Roman"/>
        <family val="1"/>
      </rPr>
      <t xml:space="preserve">представителя Исполнителя СК: </t>
    </r>
  </si>
  <si>
    <r>
      <rPr>
        <sz val="8"/>
        <rFont val="Times New Roman"/>
        <family val="1"/>
      </rPr>
      <t>Нами:</t>
    </r>
  </si>
  <si>
    <r>
      <rPr>
        <sz val="8"/>
        <rFont val="Times New Roman"/>
        <family val="1"/>
      </rPr>
      <t>представителя Проектировщика  (авторского надзора):</t>
    </r>
  </si>
  <si>
    <r>
      <rPr>
        <sz val="8"/>
        <rFont val="Times New Roman"/>
        <family val="1"/>
      </rPr>
      <t>в присутствии:</t>
    </r>
  </si>
  <si>
    <r>
      <rPr>
        <sz val="8"/>
        <rFont val="Times New Roman"/>
        <family val="1"/>
      </rPr>
      <t xml:space="preserve">назначенного ответственным лицом в соответствии с приказом </t>
    </r>
  </si>
  <si>
    <r>
      <rPr>
        <sz val="8"/>
        <rFont val="Times New Roman"/>
        <family val="1"/>
      </rPr>
      <t>от «___» _________20___ г. № _____</t>
    </r>
  </si>
  <si>
    <r>
      <rPr>
        <i/>
        <sz val="8"/>
        <rFont val="Times New Roman"/>
        <family val="1"/>
      </rPr>
      <t>-</t>
    </r>
  </si>
  <si>
    <r>
      <rPr>
        <i/>
        <sz val="8"/>
        <rFont val="Times New Roman"/>
        <family val="1"/>
      </rPr>
      <t>представителей субподрядных (монтажных) организации:</t>
    </r>
    <r>
      <rPr>
        <vertAlign val="superscript"/>
        <sz val="8"/>
        <rFont val="Times New Roman"/>
        <family val="1"/>
      </rPr>
      <t xml:space="preserve"> </t>
    </r>
  </si>
  <si>
    <r>
      <rPr>
        <i/>
        <sz val="8"/>
        <rFont val="Times New Roman"/>
        <family val="1"/>
      </rPr>
      <t xml:space="preserve">представителя эксплуатационной организации: </t>
    </r>
  </si>
  <si>
    <r>
      <rPr>
        <i/>
        <sz val="8"/>
        <rFont val="Times New Roman"/>
        <family val="1"/>
      </rPr>
      <t xml:space="preserve">и представителей других заинтересованных организаций: </t>
    </r>
  </si>
  <si>
    <r>
      <rPr>
        <sz val="8"/>
        <rFont val="Times New Roman"/>
        <family val="1"/>
      </rPr>
      <t>УСТАНОВЛЕНО:</t>
    </r>
  </si>
  <si>
    <r>
      <rPr>
        <sz val="8"/>
        <rFont val="Times New Roman"/>
        <family val="1"/>
      </rPr>
      <t xml:space="preserve">1. Генеральным подрядчиком </t>
    </r>
    <r>
      <rPr>
        <u/>
        <sz val="8"/>
        <rFont val="Times New Roman"/>
        <family val="1"/>
      </rPr>
      <t/>
    </r>
  </si>
  <si>
    <t xml:space="preserve">по </t>
  </si>
  <si>
    <t xml:space="preserve">проведена проверка соответствия </t>
  </si>
  <si>
    <r>
      <rPr>
        <sz val="8"/>
        <rFont val="Times New Roman"/>
        <family val="1"/>
      </rPr>
      <t>согласно извещению о готовности объекта для предъявления рабочей комиссии к приемке в эксплуатацию от «___» ___________20___ г. предъявлен для оценки соответствия:</t>
    </r>
  </si>
  <si>
    <r>
      <rPr>
        <sz val="6"/>
        <rFont val="Times New Roman"/>
        <family val="1"/>
      </rPr>
      <t xml:space="preserve"> (наименование здания, сооружения, оборудование или номер приложения к акту)</t>
    </r>
  </si>
  <si>
    <r>
      <rPr>
        <sz val="8"/>
        <rFont val="Times New Roman"/>
        <family val="1"/>
      </rPr>
      <t xml:space="preserve">входящий в состав титула: </t>
    </r>
  </si>
  <si>
    <r>
      <rPr>
        <sz val="8"/>
        <rFont val="Times New Roman"/>
        <family val="1"/>
      </rPr>
      <t xml:space="preserve">2. При строительстве Генеральным подрядчиком выполнялись </t>
    </r>
  </si>
  <si>
    <r>
      <rPr>
        <sz val="6"/>
        <rFont val="Times New Roman"/>
        <family val="1"/>
      </rPr>
      <t xml:space="preserve"> (наименование титула)</t>
    </r>
  </si>
  <si>
    <r>
      <rPr>
        <sz val="6"/>
        <rFont val="Times New Roman"/>
        <family val="1"/>
      </rPr>
      <t xml:space="preserve"> (виды работ)</t>
    </r>
  </si>
  <si>
    <r>
      <rPr>
        <sz val="8"/>
        <rFont val="Times New Roman"/>
        <family val="1"/>
      </rPr>
      <t xml:space="preserve">и его субподрядными организациями </t>
    </r>
  </si>
  <si>
    <r>
      <rPr>
        <sz val="8"/>
        <rFont val="Times New Roman"/>
        <family val="1"/>
      </rPr>
      <t>-</t>
    </r>
  </si>
  <si>
    <r>
      <rPr>
        <sz val="6"/>
        <rFont val="Times New Roman"/>
        <family val="1"/>
      </rPr>
      <t>(наименования организаций)</t>
    </r>
  </si>
  <si>
    <r>
      <rPr>
        <sz val="6"/>
        <rFont val="Times New Roman"/>
        <family val="1"/>
      </rPr>
      <t>(виды работ)</t>
    </r>
  </si>
  <si>
    <t>3. Проектная документация на строительство разработана проектными организациями:</t>
  </si>
  <si>
    <t xml:space="preserve">4. Строительство осуществлялось по проекту: </t>
  </si>
  <si>
    <r>
      <rPr>
        <sz val="6"/>
        <rFont val="Times New Roman"/>
        <family val="1"/>
      </rPr>
      <t xml:space="preserve">                                                                                                  (номер проекта, номер серии (по типовым проектам))</t>
    </r>
  </si>
  <si>
    <t xml:space="preserve">5. Проектная документация утверждена </t>
  </si>
  <si>
    <r>
      <rPr>
        <sz val="6"/>
        <rFont val="Times New Roman"/>
        <family val="1"/>
      </rPr>
      <t>(наименование руководящего органа Заказчика/Застройщика, утвердившего проектную документацию на объект в целом)</t>
    </r>
  </si>
  <si>
    <r>
      <rPr>
        <sz val="8"/>
        <rFont val="Times New Roman"/>
        <family val="1"/>
      </rPr>
      <t>6. Строительно-монтажные работы осуществлены в сроки:</t>
    </r>
  </si>
  <si>
    <r>
      <t xml:space="preserve">начало работ </t>
    </r>
    <r>
      <rPr>
        <i/>
        <u/>
        <sz val="11"/>
        <rFont val="Times New Roman"/>
        <family val="1"/>
      </rPr>
      <t/>
    </r>
  </si>
  <si>
    <t xml:space="preserve">, окончание работ </t>
  </si>
  <si>
    <r>
      <rPr>
        <sz val="8"/>
        <rFont val="Times New Roman"/>
        <family val="1"/>
      </rPr>
      <t>7. Строительный контроль в рамках контрольных мероприятий Заказчика осуществлялся:</t>
    </r>
  </si>
  <si>
    <t xml:space="preserve">начало оказания услуг </t>
  </si>
  <si>
    <t xml:space="preserve">Исполнительная документация по договору </t>
  </si>
  <si>
    <r>
      <rPr>
        <sz val="6"/>
        <rFont val="Times New Roman"/>
        <family val="1"/>
      </rPr>
      <t xml:space="preserve"> (реквизиты документа о передаче на проверку приемо-сдаточной документации, номер приложения к акту)</t>
    </r>
  </si>
  <si>
    <r>
      <rPr>
        <sz val="6"/>
        <rFont val="Times New Roman"/>
        <family val="1"/>
      </rPr>
      <t xml:space="preserve"> (организация или структурное подразделение Заказчика, осуществлявшая строительный контроль)</t>
    </r>
  </si>
  <si>
    <r>
      <rPr>
        <sz val="8"/>
        <rFont val="Times New Roman"/>
        <family val="1"/>
      </rPr>
      <t xml:space="preserve">8. По выполненным работам представлена следующая приемо-сдаточная документация: </t>
    </r>
  </si>
  <si>
    <r>
      <rPr>
        <sz val="8"/>
        <rFont val="Times New Roman"/>
        <family val="1"/>
      </rPr>
      <t>которая проверена в установленном порядке:</t>
    </r>
  </si>
  <si>
    <r>
      <rPr>
        <sz val="6"/>
        <rFont val="Times New Roman"/>
        <family val="1"/>
      </rPr>
      <t xml:space="preserve"> (реквизиты документа о проверке приемо-сдаточной документации, номер приложения к акту)</t>
    </r>
  </si>
  <si>
    <r>
      <rPr>
        <sz val="8"/>
        <rFont val="Times New Roman"/>
        <family val="1"/>
      </rPr>
      <t>9. Перечень представленных титульных зданий и сооружений:</t>
    </r>
  </si>
  <si>
    <r>
      <rPr>
        <sz val="8"/>
        <rFont val="Times New Roman"/>
        <family val="1"/>
      </rPr>
      <t>Перечень законченных строительством зданий и сооружений</t>
    </r>
  </si>
  <si>
    <r>
      <rPr>
        <sz val="8"/>
        <rFont val="Times New Roman"/>
        <family val="1"/>
      </rPr>
      <t>Единица измерения</t>
    </r>
  </si>
  <si>
    <r>
      <rPr>
        <sz val="8"/>
        <rFont val="Times New Roman"/>
        <family val="1"/>
      </rPr>
      <t>По проекту</t>
    </r>
  </si>
  <si>
    <r>
      <rPr>
        <sz val="8"/>
        <rFont val="Times New Roman"/>
        <family val="1"/>
      </rPr>
      <t>Фактически</t>
    </r>
  </si>
  <si>
    <r>
      <rPr>
        <sz val="8"/>
        <rFont val="Times New Roman"/>
        <family val="1"/>
      </rPr>
      <t>общая с учетом ранее принятых</t>
    </r>
  </si>
  <si>
    <r>
      <rPr>
        <sz val="8"/>
        <rFont val="Times New Roman"/>
        <family val="1"/>
      </rPr>
      <t>в том числе пускового этапа или очереди</t>
    </r>
  </si>
  <si>
    <r>
      <rPr>
        <sz val="8"/>
        <rFont val="Times New Roman"/>
        <family val="1"/>
      </rPr>
      <t>10. Оборудование установлено и принято согласно актам о его приемке после индивидуального испытания и комплексного опробования (перечень актов приведен в приложении 15 к акту) в количестве:</t>
    </r>
  </si>
  <si>
    <r>
      <rPr>
        <sz val="8"/>
        <rFont val="Times New Roman"/>
        <family val="1"/>
      </rPr>
      <t>Наименование установленного оборудования</t>
    </r>
  </si>
  <si>
    <r>
      <rPr>
        <sz val="8"/>
        <rFont val="Times New Roman"/>
        <family val="1"/>
      </rPr>
      <t xml:space="preserve">Завод - изготовитель
</t>
    </r>
  </si>
  <si>
    <r>
      <rPr>
        <sz val="8"/>
        <rFont val="Times New Roman"/>
        <family val="1"/>
      </rPr>
      <t>Кол-во</t>
    </r>
  </si>
  <si>
    <r>
      <rPr>
        <sz val="8"/>
        <rFont val="Times New Roman"/>
        <family val="1"/>
      </rPr>
      <t>Показатель технической характеристики оборудования в соотв. ед. изм.</t>
    </r>
  </si>
  <si>
    <r>
      <rPr>
        <sz val="8"/>
        <rFont val="Times New Roman"/>
        <family val="1"/>
      </rPr>
      <t>11. Вывод по оценке соответствия законченного строительством объекта:</t>
    </r>
  </si>
  <si>
    <t xml:space="preserve">По представленному Генеральным подрядчиком </t>
  </si>
  <si>
    <r>
      <rPr>
        <sz val="8"/>
        <rFont val="Times New Roman"/>
        <family val="1"/>
      </rPr>
      <t xml:space="preserve">объект капитального строительства </t>
    </r>
  </si>
  <si>
    <r>
      <rPr>
        <sz val="6"/>
        <rFont val="Times New Roman"/>
        <family val="1"/>
      </rPr>
      <t>(наименование титула строительства)</t>
    </r>
  </si>
  <si>
    <r>
      <rPr>
        <sz val="6"/>
        <rFont val="Times New Roman"/>
        <family val="1"/>
      </rPr>
      <t xml:space="preserve">					         (наименование организации)</t>
    </r>
  </si>
  <si>
    <r>
      <rPr>
        <sz val="8"/>
        <rFont val="Times New Roman"/>
        <family val="1"/>
      </rPr>
      <t xml:space="preserve">выполненный по утвержденной проектной документации </t>
    </r>
  </si>
  <si>
    <r>
      <rPr>
        <sz val="8"/>
        <rFont val="Times New Roman"/>
        <family val="1"/>
      </rPr>
      <t>границам отвода земельного участка под строительство.</t>
    </r>
  </si>
  <si>
    <r>
      <t xml:space="preserve">11.1. Фактические границы объекта, законченного строительством,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</si>
  <si>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 xml:space="preserve">11.2. Положение отдельно стоящих зданий и сооружений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</si>
  <si>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>утвержденному генеральному плану.</t>
    </r>
  </si>
  <si>
    <r>
      <rPr>
        <sz val="8"/>
        <rFont val="Times New Roman"/>
        <family val="1"/>
      </rPr>
      <t xml:space="preserve">11.3. Результаты инженерных изысканий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</si>
  <si>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>реализованным проектным конструктивным и технологическим строительным решениям.</t>
    </r>
  </si>
  <si>
    <r>
      <rPr>
        <sz val="8"/>
        <rFont val="Times New Roman"/>
        <family val="1"/>
      </rPr>
      <t xml:space="preserve">11.4. Законченный строительством объект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</si>
  <si>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>требованиям технических регламентов, проектной и подготовленной на ее основе рабочей документации, а также согласованным отступлениям от проекта.</t>
    </r>
  </si>
  <si>
    <r>
      <t xml:space="preserve">11.5. Комплекс строительно-монтажных работ, предусмотренный утвержденной проектной и переданной «В производство работ» рабочей документацией, а также согласованным по ним изменениям  </t>
    </r>
    <r>
      <rPr>
        <b/>
        <i/>
        <u/>
        <sz val="8"/>
        <rFont val="Times New Roman"/>
        <family val="1"/>
        <charset val="204"/>
      </rPr>
      <t>завершен</t>
    </r>
    <r>
      <rPr>
        <sz val="8"/>
        <rFont val="Times New Roman"/>
        <family val="1"/>
      </rPr>
      <t>.</t>
    </r>
  </si>
  <si>
    <r>
      <rPr>
        <sz val="8"/>
        <rFont val="Times New Roman"/>
        <family val="1"/>
      </rPr>
      <t xml:space="preserve">11.6. Комплекс испытаний и измерений, предусмотренных утвержденной проектной и переданной «В производство работ» рабочей документацией, а также согласованных по ним изменениям  </t>
    </r>
    <r>
      <rPr>
        <b/>
        <i/>
        <u/>
        <sz val="8"/>
        <rFont val="Times New Roman"/>
        <family val="1"/>
        <charset val="204"/>
      </rPr>
      <t>завершен</t>
    </r>
  </si>
  <si>
    <r>
      <rPr>
        <sz val="8"/>
        <rFont val="Times New Roman"/>
        <family val="1"/>
      </rPr>
      <t xml:space="preserve">11.7. Примененные оборудование, материалы, конструкции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</si>
  <si>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>требованиям проектной и рабочей документации, а также согласованным по ним изменениям.</t>
    </r>
  </si>
  <si>
    <r>
      <rPr>
        <sz val="8"/>
        <rFont val="Times New Roman"/>
        <family val="1"/>
      </rPr>
      <t xml:space="preserve">11.8. Показатели оборудования, полученные в ходе подтверждения технических характеристик (испытаний, опробования, измерений),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</si>
  <si>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>указанным по ним в проектной и технической документации.</t>
    </r>
  </si>
  <si>
    <r>
      <rPr>
        <sz val="8"/>
        <rFont val="Times New Roman"/>
        <family val="1"/>
      </rPr>
      <t xml:space="preserve">11.9. Приемо-сдаточная документация по объекту требованиям утвержденного Заказчиком Перечня приемо-сдаточной документации </t>
    </r>
    <r>
      <rPr>
        <b/>
        <i/>
        <u/>
        <sz val="8"/>
        <rFont val="Times New Roman"/>
        <family val="1"/>
        <charset val="204"/>
      </rPr>
      <t>соответствует</t>
    </r>
  </si>
  <si>
    <r>
      <rPr>
        <sz val="8"/>
        <rFont val="Times New Roman"/>
        <family val="1"/>
      </rPr>
      <t xml:space="preserve">11.10. Нарушения и замечания, выявленные строительным контролем в ходе строительства, отраженные в общем и специальных журналах работ, актах-предписаниях строительного контроля, препятствующие вводу объекта в эксплуатацию, влияющие на технические характеристики и безопасную эксплуатацию объекта строительства в соответствии с требованиями нормативных, законодательных документов, государственных надзорных органов Российской Федерации и ОРД Общества, </t>
    </r>
    <r>
      <rPr>
        <b/>
        <i/>
        <u/>
        <sz val="8"/>
        <rFont val="Times New Roman"/>
        <family val="1"/>
        <charset val="204"/>
      </rPr>
      <t>устранены</t>
    </r>
    <r>
      <rPr>
        <sz val="8"/>
        <rFont val="Times New Roman"/>
        <family val="1"/>
      </rPr>
      <t>.</t>
    </r>
  </si>
  <si>
    <r>
      <rPr>
        <sz val="8"/>
        <rFont val="Times New Roman"/>
        <family val="1"/>
      </rPr>
      <t>11.11. При оценке соответствия были выявлены следующие дефекты и недоделки, препятствующие приемке объекта в эксплуатацию, указанные в приложении _____ к акту.</t>
    </r>
  </si>
  <si>
    <r>
      <rPr>
        <sz val="8"/>
        <rFont val="Times New Roman"/>
        <family val="1"/>
      </rPr>
      <t>11.12. При оценке соответствия были выявлены следующие дефекты и недоделки, не препятствующие приемке объекта в эксплуатацию, указанные в приложении _____ к акту.</t>
    </r>
  </si>
  <si>
    <r>
      <rPr>
        <sz val="8"/>
        <rFont val="Times New Roman"/>
        <family val="1"/>
      </rPr>
      <t>ВЫВОД:</t>
    </r>
  </si>
  <si>
    <r>
      <rPr>
        <b/>
        <i/>
        <u/>
        <sz val="8"/>
        <rFont val="Times New Roman"/>
        <family val="1"/>
        <charset val="204"/>
      </rPr>
      <t>СООТВЕТСТВУЕТ</t>
    </r>
    <r>
      <rPr>
        <u/>
        <sz val="8"/>
        <rFont val="Times New Roman"/>
        <family val="1"/>
      </rPr>
      <t xml:space="preserve"> / </t>
    </r>
    <r>
      <rPr>
        <strike/>
        <sz val="8"/>
        <rFont val="Times New Roman"/>
        <family val="1"/>
        <charset val="204"/>
      </rPr>
      <t>НЕ СООТВЕТСТВУЕТ</t>
    </r>
    <r>
      <rPr>
        <sz val="8"/>
        <rFont val="Times New Roman"/>
        <family val="1"/>
      </rPr>
      <t xml:space="preserve"> предъявляемым требованиям и</t>
    </r>
  </si>
  <si>
    <r>
      <rPr>
        <b/>
        <i/>
        <u/>
        <sz val="8"/>
        <rFont val="Times New Roman"/>
        <family val="1"/>
        <charset val="204"/>
      </rPr>
      <t>ГОТОВ</t>
    </r>
    <r>
      <rPr>
        <u/>
        <sz val="8"/>
        <rFont val="Times New Roman"/>
        <family val="1"/>
      </rPr>
      <t xml:space="preserve"> / </t>
    </r>
    <r>
      <rPr>
        <strike/>
        <sz val="8"/>
        <rFont val="Times New Roman"/>
        <family val="1"/>
        <charset val="204"/>
      </rPr>
      <t>НЕ ГОТОВ</t>
    </r>
    <r>
      <rPr>
        <sz val="8"/>
        <rFont val="Times New Roman"/>
        <family val="1"/>
      </rPr>
      <t xml:space="preserve"> для представления рабочей комиссии </t>
    </r>
  </si>
  <si>
    <r>
      <rPr>
        <sz val="8"/>
        <rFont val="Times New Roman"/>
        <family val="1"/>
      </rPr>
      <t>Представитель организации, выполнившей проверку объекта (Исполнитель по строительному контролю):</t>
    </r>
  </si>
  <si>
    <r>
      <rPr>
        <sz val="8"/>
        <rFont val="Times New Roman"/>
        <family val="1"/>
      </rPr>
      <t xml:space="preserve">Представитель Генподрядной организации: </t>
    </r>
  </si>
  <si>
    <r>
      <rPr>
        <sz val="8"/>
        <rFont val="Times New Roman"/>
        <family val="1"/>
      </rPr>
      <t>Представители:</t>
    </r>
  </si>
  <si>
    <r>
      <rPr>
        <sz val="8"/>
        <rFont val="Times New Roman"/>
        <family val="1"/>
      </rPr>
      <t>Другие представители:</t>
    </r>
  </si>
  <si>
    <r>
      <rPr>
        <sz val="6"/>
        <rFont val="Times New Roman"/>
        <family val="1"/>
      </rPr>
      <t xml:space="preserve">           				              (должность, организация, подпись, Ф.И.О.)</t>
    </r>
  </si>
  <si>
    <t xml:space="preserve">Наименование Заказчика: </t>
  </si>
  <si>
    <r>
      <rPr>
        <b/>
        <sz val="9"/>
        <rFont val="Times New Roman"/>
        <family val="1"/>
      </rPr>
      <t xml:space="preserve">Форма </t>
    </r>
  </si>
  <si>
    <r>
      <rPr>
        <b/>
        <sz val="9"/>
        <rFont val="Times New Roman"/>
        <family val="1"/>
      </rPr>
      <t xml:space="preserve">реестра приемо-сдаточной документации </t>
    </r>
  </si>
  <si>
    <t xml:space="preserve">Наименование Подрядчика: </t>
  </si>
  <si>
    <t>№1</t>
  </si>
  <si>
    <t>ВЕДОМОСТЬ ЭЛЕКТРОМОНТАЖНЫХ НЕДОДЕЛОК, НЕ ПРЕПЯТСТВУЮЩИХ КОМПЛЕКСНОМУ ОПРОБОВАНИЮ</t>
  </si>
  <si>
    <t>Заземление на одну опору</t>
  </si>
  <si>
    <t>листах</t>
  </si>
  <si>
    <r>
      <rPr>
        <b/>
        <sz val="8"/>
        <rFont val="Times New Roman"/>
        <family val="1"/>
      </rPr>
      <t>Сдал:</t>
    </r>
  </si>
  <si>
    <r>
      <rPr>
        <b/>
        <sz val="8"/>
        <rFont val="Times New Roman"/>
        <family val="1"/>
      </rPr>
      <t>Принял:</t>
    </r>
  </si>
  <si>
    <t>ВЛ-10</t>
  </si>
  <si>
    <t>ВЛ-0,4</t>
  </si>
  <si>
    <r>
      <rPr>
        <b/>
        <sz val="9"/>
        <rFont val="Times New Roman"/>
        <family val="1"/>
      </rPr>
      <t xml:space="preserve">акта передачи приемо-сдаточной документации </t>
    </r>
  </si>
  <si>
    <t>АКТ 
передачи приемо-сдаточной документации по объекту</t>
  </si>
  <si>
    <r>
      <rPr>
        <i/>
        <sz val="6"/>
        <rFont val="Times New Roman"/>
        <family val="1"/>
      </rPr>
      <t xml:space="preserve"> (наименование объекта строительства по титулу)</t>
    </r>
  </si>
  <si>
    <r>
      <rPr>
        <i/>
        <sz val="6"/>
        <rFont val="Times New Roman"/>
        <family val="1"/>
      </rPr>
      <t xml:space="preserve"> (наименование организации, должность, фамилия, инициалы, реквизиты распорядительного документа о представительстве)</t>
    </r>
  </si>
  <si>
    <t xml:space="preserve">Строительный подрядчик </t>
  </si>
  <si>
    <r>
      <rPr>
        <sz val="8"/>
        <rFont val="Times New Roman"/>
        <family val="1"/>
      </rPr>
      <t>Приложения:</t>
    </r>
  </si>
  <si>
    <r>
      <rPr>
        <sz val="8"/>
        <rFont val="Times New Roman"/>
        <family val="1"/>
      </rPr>
      <t>К Реестру и комплекту приемо - сдаточной документации также прилагаются:</t>
    </r>
  </si>
  <si>
    <r>
      <rPr>
        <i/>
        <sz val="6"/>
        <rFont val="Times New Roman"/>
        <family val="1"/>
      </rPr>
      <t>(Справка от лица, осуществляющего строительный контроль, эксплуатационных служб об отсутствии замечаний или устранении замечаний по результатам проверки приемо-сдаточной документации и другие документы по требованиям Заказчика и усмотрению Строительного подрядчика).</t>
    </r>
  </si>
  <si>
    <t>Представитель 
Строительного подрядчика</t>
  </si>
  <si>
    <t>Исполнитель СК /
Заказчик</t>
  </si>
  <si>
    <t>Щит ЩМП</t>
  </si>
  <si>
    <t xml:space="preserve">произвела осмотр заземлителей </t>
  </si>
  <si>
    <r>
      <t xml:space="preserve">3.  Все соединения выполнены </t>
    </r>
    <r>
      <rPr>
        <i/>
        <sz val="8"/>
        <rFont val="Times New Roman"/>
        <family val="2"/>
      </rPr>
      <t xml:space="preserve">зажимом </t>
    </r>
  </si>
  <si>
    <t>3.  Характеристика заземлителей:</t>
  </si>
  <si>
    <t>опуск по постаменту</t>
  </si>
  <si>
    <t>Заземление на ЩИТ</t>
  </si>
  <si>
    <t>1х10</t>
  </si>
  <si>
    <t>провод</t>
  </si>
  <si>
    <t>ВА 57-35 100 А</t>
  </si>
  <si>
    <t>ВА 57-35 160 А</t>
  </si>
  <si>
    <t>ВА 57-35 200 А</t>
  </si>
  <si>
    <t>ВА 57-35 250 А</t>
  </si>
  <si>
    <t>ВА 57-35 400 А</t>
  </si>
  <si>
    <t>ВА 57-35 600 А</t>
  </si>
  <si>
    <t>ВА 57-35 63 А</t>
  </si>
  <si>
    <t>ВА 57-35 125 А</t>
  </si>
  <si>
    <t>ВА 57-35 80 А</t>
  </si>
  <si>
    <t>ВА 47-60М 25 А</t>
  </si>
  <si>
    <t>СИП-2 3х120+1х95</t>
  </si>
  <si>
    <t>АВБШв 4х120</t>
  </si>
  <si>
    <t>АВБШв 4х150</t>
  </si>
  <si>
    <t>АВБШв 4х185</t>
  </si>
  <si>
    <t>АВБШв 4х240</t>
  </si>
  <si>
    <t>АВБШв 4х95</t>
  </si>
  <si>
    <t>4КВНТп-1 25/50</t>
  </si>
  <si>
    <t>3КВНТп-10-70/120-Б</t>
  </si>
  <si>
    <t>3КВНТп-10-150/240</t>
  </si>
  <si>
    <t>4КВтп-1-150/240</t>
  </si>
  <si>
    <t xml:space="preserve">4КВНТп-1-70/120 </t>
  </si>
  <si>
    <t>3СТп-10-150/240</t>
  </si>
  <si>
    <t>4СТП-1 25/50</t>
  </si>
  <si>
    <t>4СТП-1 70/120</t>
  </si>
  <si>
    <t>4СТП-1 150/240</t>
  </si>
  <si>
    <t>ПуГВ 1х240</t>
  </si>
  <si>
    <t>ПуГВ 1х150</t>
  </si>
  <si>
    <t>ПуГВ 1х120</t>
  </si>
  <si>
    <t>ПуГВ 1х95</t>
  </si>
  <si>
    <t>ПуГВ 1х50</t>
  </si>
  <si>
    <t>ПуГВ 1х35</t>
  </si>
  <si>
    <t xml:space="preserve">КВВГнг 10х2,5 </t>
  </si>
  <si>
    <t>АСБл 3х150</t>
  </si>
  <si>
    <t>АСБл 3х185</t>
  </si>
  <si>
    <t>ПуГВ 1х185</t>
  </si>
  <si>
    <t>Выключатель-разъединитель нагрузки</t>
  </si>
  <si>
    <t>CSCS400K3CO 400А</t>
  </si>
  <si>
    <t>CSCS630K3CO 630А</t>
  </si>
  <si>
    <t>CSCS1250K3CO 1000А</t>
  </si>
  <si>
    <t>ПКТ 101-10-20-20 У1</t>
  </si>
  <si>
    <t>ПКТ 102-6-31,5-31,5 У3</t>
  </si>
  <si>
    <t>ЭЛЕКТРОМОНТАЖНАЯ КОМПАНИЯ
ОБЩЕСТВО С ОГРАНИЧЕННОЙ ОТВЕТСТВЕННОСТЬЮ</t>
  </si>
  <si>
    <t xml:space="preserve">ЗАКЛЮЧЕНИЕ </t>
  </si>
  <si>
    <r>
      <rPr>
        <b/>
        <sz val="8"/>
        <rFont val="Times New Roman"/>
        <family val="1"/>
      </rPr>
      <t>ЗАКЛЮЧЕНИЕ</t>
    </r>
    <r>
      <rPr>
        <b/>
        <sz val="8"/>
        <rFont val="Times New Roman"/>
        <family val="1"/>
        <charset val="204"/>
      </rPr>
      <t xml:space="preserve"> </t>
    </r>
  </si>
  <si>
    <r>
      <rPr>
        <sz val="8"/>
        <rFont val="Times New Roman"/>
        <family val="1"/>
      </rPr>
      <t>по проверке готовности строительной подрядной организации к выполнению работ</t>
    </r>
    <r>
      <rPr>
        <sz val="8"/>
        <rFont val="Times New Roman"/>
        <family val="1"/>
        <charset val="204"/>
      </rPr>
      <t xml:space="preserve"> </t>
    </r>
  </si>
  <si>
    <t xml:space="preserve">о проверке готовности электротехнической (испытательной) лаборатории </t>
  </si>
  <si>
    <r>
      <rPr>
        <sz val="9"/>
        <rFont val="Times New Roman"/>
        <family val="1"/>
      </rPr>
      <t xml:space="preserve"> строительной подрядной организации к проведению работ по строительству, реконструкции, техническому перевооружению на объектах электросетевого комплекса</t>
    </r>
    <r>
      <rPr>
        <sz val="9"/>
        <rFont val="Times New Roman"/>
        <family val="1"/>
        <charset val="204"/>
      </rPr>
      <t xml:space="preserve"> </t>
    </r>
  </si>
  <si>
    <t>об оценке соответствия законченного строительством объекта и его готовности к предъявлению рабочей комиссии</t>
  </si>
  <si>
    <t xml:space="preserve">Исполнитель СК: </t>
  </si>
  <si>
    <t xml:space="preserve">выполнялись </t>
  </si>
  <si>
    <t>Достигнутые показатели (мощность,
производственная площадь, протяженность, вместимость и т.п. или номер приложения к акту)</t>
  </si>
  <si>
    <t>Генерального проектировщика (авторского надзора):</t>
  </si>
  <si>
    <t>Субподрядных (монтажных) организаций:</t>
  </si>
  <si>
    <t>Эксплуатационной организации:</t>
  </si>
  <si>
    <t>Иных организаций:</t>
  </si>
  <si>
    <t xml:space="preserve">представители заказчика </t>
  </si>
  <si>
    <t>представитель электромонтажной организации</t>
  </si>
  <si>
    <t>Электромонтажные работы выполнены по проектной документации согласно требованиям СП 76.13330.2016 и ПУЭ.</t>
  </si>
  <si>
    <t>/ГЕО</t>
  </si>
  <si>
    <t>Вертикальный заземлитель</t>
  </si>
  <si>
    <t>Горизонтальный заземлитель</t>
  </si>
  <si>
    <t>Кол-во
(шт.)</t>
  </si>
  <si>
    <t>Сталь угловая</t>
  </si>
  <si>
    <t>Сталь полосовая</t>
  </si>
  <si>
    <t>Комиссия проверила техническую документацию (Приложение 2, форма 1), предъявленную в объеме требований ПУЭ и СП 76.13330.2016</t>
  </si>
  <si>
    <t>Комиссия проверила техническую документацию (Приложение 2, форма 1), предъявленную в объеме требований ПУЭ и СП 76.13330.2016.</t>
  </si>
  <si>
    <t xml:space="preserve">     Помещения (сооружения) выполнены по проекту с учетом строительных норм и соответствуют требованиям СП 76.13330.2016</t>
  </si>
  <si>
    <t>с соблюдением требований ППР и СП 76.13330.2016</t>
  </si>
  <si>
    <t>Приложение 13</t>
  </si>
  <si>
    <t xml:space="preserve">Объект: </t>
  </si>
  <si>
    <t xml:space="preserve">Для представления: </t>
  </si>
  <si>
    <t>Заказчику</t>
  </si>
  <si>
    <t>Представляется по факту:</t>
  </si>
  <si>
    <t>Приемочной комиссии</t>
  </si>
  <si>
    <t>об отсутствии замечаний по проверке приемо-сдаточной документации</t>
  </si>
  <si>
    <t xml:space="preserve">Представленная документация соответствует Перечню приемо-сдаточной документации по объекту, утвержденного </t>
  </si>
  <si>
    <r>
      <t xml:space="preserve">Замечания по Перечню замечаний по результатам проверки приемо-сдаточной документации </t>
    </r>
    <r>
      <rPr>
        <b/>
        <i/>
        <u/>
        <sz val="9"/>
        <rFont val="Times New Roman"/>
        <family val="1"/>
        <charset val="204"/>
      </rPr>
      <t>отсутствуют</t>
    </r>
    <r>
      <rPr>
        <sz val="9"/>
        <rFont val="Times New Roman"/>
        <family val="1"/>
      </rPr>
      <t>.</t>
    </r>
  </si>
  <si>
    <t xml:space="preserve">Приложение:  </t>
  </si>
  <si>
    <t>1. Реестр приемо-сдаточной документации от</t>
  </si>
  <si>
    <t xml:space="preserve"> на </t>
  </si>
  <si>
    <t>листах.</t>
  </si>
  <si>
    <t>Исполнитель по строительному контролю (Исполнитель СК):</t>
  </si>
  <si>
    <t>(должность, наименование организации, фамилия, инициалы, реквизиты распорядительного документа о представительстве)</t>
  </si>
  <si>
    <t>Представитель лица строительного подрядчика, осуществляющего строительство:</t>
  </si>
  <si>
    <t>Приложение 6А</t>
  </si>
  <si>
    <t>Комплектность рабочей документации в объеме необходимом и достаточном для контроля качества работ</t>
  </si>
  <si>
    <t>Взаимная увязка размеров, координат и отметок (высот), соответствующих проектным осевым размерам и геодезической основе</t>
  </si>
  <si>
    <t>Наличие ссылок на нормативные документы на материалы и изделия (технические условия и ГОСТ)</t>
  </si>
  <si>
    <t>Наличие требований к фактической точности контролируемых параметров, оценка возможности ее контроля</t>
  </si>
  <si>
    <t>Условия определения с необходимой точностью предлагаемых допусков на размеры изделий и конструкций, а также обеспечение выполнения контроля указанных в проектной документации параметров при установке изделий и конструкций в проектное положение, наличие указаний о методах и оборудовании для выполнения необходимых испытаний и измерений со ссылкой на нормативные документы</t>
  </si>
  <si>
    <t>Техническая оснащенность и технологические возможности выполнения контроля качества в соответствии с нормативной документацией</t>
  </si>
  <si>
    <t>Достаточность перечня скрытых работ, перечня ответственных конструкций, участков сетей, по которым требуется производить освидетельствование</t>
  </si>
  <si>
    <t>Достаточность перечня работ и конструкций, показатели качества которых подлежат оценке соответствия в процессе строительства</t>
  </si>
  <si>
    <t>Наличие предельных значений контролируемых параметров, допускаемых уровней несоответствия по каждому из них</t>
  </si>
  <si>
    <t>Наличие и соответствие разделов рабочей документации требованиям законодательных и нормативных актов РФ в части организации и обеспечения качества строительства со стороны строительного подрядчика и Заказчика</t>
  </si>
  <si>
    <t>Наличие указаний о применяемых инструментах, приборах, методах контроля и объемах, в том числе в виде ссылок на соответствующие нормативные документы</t>
  </si>
  <si>
    <t>о контролепригодности рабочей документации</t>
  </si>
  <si>
    <t>проведен  анализ и оценка возможности</t>
  </si>
  <si>
    <t xml:space="preserve">проведен  анализ и оценка возможности </t>
  </si>
  <si>
    <r>
      <rPr>
        <sz val="9"/>
        <rFont val="Times New Roman"/>
        <family val="1"/>
      </rPr>
      <t xml:space="preserve">Мною, специалистом строительного контроля </t>
    </r>
  </si>
  <si>
    <r>
      <rPr>
        <sz val="9"/>
        <rFont val="Times New Roman"/>
        <family val="1"/>
      </rPr>
      <t>На основании выполненного анализа и оценки организационно-технологической документации, Исполнитель СК удостоверяет о возможности/невозможности (</t>
    </r>
    <r>
      <rPr>
        <i/>
        <sz val="9"/>
        <rFont val="Times New Roman"/>
        <family val="1"/>
      </rPr>
      <t>нужное подчеркнуть</t>
    </r>
    <r>
      <rPr>
        <sz val="9"/>
        <rFont val="Times New Roman"/>
        <family val="1"/>
      </rPr>
      <t xml:space="preserve">) осуществления по ней контроля качества строительных процессов и материалов, изделий, оборудования установленным нормативным требованиям.  </t>
    </r>
  </si>
  <si>
    <t>о контролепригодности организационно-технологической документации</t>
  </si>
  <si>
    <t xml:space="preserve">СПРАВКА </t>
  </si>
  <si>
    <r>
      <rPr>
        <b/>
        <sz val="8"/>
        <rFont val="Times New Roman"/>
        <family val="1"/>
      </rPr>
      <t>Приложение 16</t>
    </r>
  </si>
  <si>
    <r>
      <rPr>
        <b/>
        <sz val="8"/>
        <rFont val="Times New Roman"/>
        <family val="1"/>
      </rPr>
      <t>Приложение 15</t>
    </r>
  </si>
  <si>
    <t xml:space="preserve">АКТ </t>
  </si>
  <si>
    <t>на скрытые работы по фундаментам под КТП шкафного типа</t>
  </si>
  <si>
    <t xml:space="preserve">ПРОТОКОЛ </t>
  </si>
  <si>
    <t>внешнего осмотра трансформатора силового перед включением</t>
  </si>
  <si>
    <t>ДЛЯ ПРОИЗВОДСТВА ПУСКОНАЛАДОЧНЫХ РАБОТ</t>
  </si>
  <si>
    <t>приемки траншей, каналов, туннелей и блоков под монтаж кабелей</t>
  </si>
  <si>
    <t>осмотра канализации из труб перед закрытием</t>
  </si>
  <si>
    <t>осмотра кабелей на барабанах перед укладкой в траншею</t>
  </si>
  <si>
    <t>осмотра и проверки сопротивления изоляции кабелей на барабане перед прокладкой</t>
  </si>
  <si>
    <t>готовности строительной части помещений (сооружений) к производству электромонтажных работ</t>
  </si>
  <si>
    <t>прогрева ккабелей на барабане перед прокладкой при низких температурах</t>
  </si>
  <si>
    <t>осмотра кабельной канализации в траншеях и каналах перед закрытием</t>
  </si>
  <si>
    <t xml:space="preserve">ЖУРНАЛ </t>
  </si>
  <si>
    <t>прокладки кабелей</t>
  </si>
  <si>
    <t xml:space="preserve">АКТ ПЕРЕДАЧИ СМОНТИРОВАННОГО ОБОРУДОВАНИЯ </t>
  </si>
  <si>
    <t>монтажа кабельных муфт напряжением выше 1000 В</t>
  </si>
  <si>
    <t>готовности сборных железобетонных фундаментов под установку опор ВЛ</t>
  </si>
  <si>
    <t>приемки установленных опор под монтаж проводов и тросов</t>
  </si>
  <si>
    <t xml:space="preserve">ВЕДОМОСТЬ </t>
  </si>
  <si>
    <t>верхового осмотра линий электропередачи перед вводом в эксплуатацию</t>
  </si>
  <si>
    <t xml:space="preserve">ПАСПОРТ </t>
  </si>
  <si>
    <t>воздушной линии электропередачи</t>
  </si>
  <si>
    <t>заземляющего устройства</t>
  </si>
  <si>
    <t>1. Реестр приемо-сдаточной документации на</t>
  </si>
  <si>
    <t>Т-0,66 100/5</t>
  </si>
  <si>
    <t>Т-0,66 150/5</t>
  </si>
  <si>
    <t>Т-0,66 200/5</t>
  </si>
  <si>
    <t>Т-0,66 250/5</t>
  </si>
  <si>
    <t>Т-0,66 300/5</t>
  </si>
  <si>
    <t>Т-0,66 400/5</t>
  </si>
  <si>
    <t>Т-0,66 600/5</t>
  </si>
  <si>
    <t>Т-0,66 1000/5</t>
  </si>
  <si>
    <t>ТОЛ-6 300/5</t>
  </si>
  <si>
    <t>ТОЛ-6 400/5</t>
  </si>
  <si>
    <t>ТОЛ-6 600/5</t>
  </si>
  <si>
    <t>ТОЛ-6 800/5</t>
  </si>
  <si>
    <t>ТОЛ-10 300/5</t>
  </si>
  <si>
    <t>ТОЛ-10 400/5</t>
  </si>
  <si>
    <t>ТОЛ-10 600/5</t>
  </si>
  <si>
    <t>ТОЛ-10 800/5</t>
  </si>
  <si>
    <t>СИП-4 4х25</t>
  </si>
  <si>
    <t xml:space="preserve">принял приемо-сдаточную документацию по завершенному строительством вышеуказанному объекту, в количестве: </t>
  </si>
  <si>
    <t>листах,</t>
  </si>
  <si>
    <t>передал, а Заказчик / Исполнитель/СК</t>
  </si>
  <si>
    <t>в 1 экз. согласно Реестру приемо-сдаточной документации (Приложение15), на</t>
  </si>
  <si>
    <t>книги, на</t>
  </si>
  <si>
    <t>«____» ______________20___г.</t>
  </si>
  <si>
    <t>по титулу:</t>
  </si>
  <si>
    <t>на объекте:</t>
  </si>
  <si>
    <t>ПКТ 102-10-20-31,5У1</t>
  </si>
  <si>
    <t>ПКТ-101-10-31,5-31,5У3</t>
  </si>
  <si>
    <t>ПКТ-102-10-50-31,5У3</t>
  </si>
  <si>
    <t>ПКТ 102-10-80-31,5 УХЛ3</t>
  </si>
  <si>
    <t xml:space="preserve">Работы выполнены согласно проекту: </t>
  </si>
  <si>
    <t>главы 1.7 ПУЭ «Заземление и защитные меры безопасности».</t>
  </si>
  <si>
    <t>выполнены сварными соединениями не менее 100мм и проваром со всех сторон, зажимами ПС-2-1</t>
  </si>
  <si>
    <t>ОПН-П-10/13,7/10/650</t>
  </si>
  <si>
    <t>осмотра и проверки ТП</t>
  </si>
  <si>
    <t>Приложение 6Б</t>
  </si>
  <si>
    <t>В результате анализа и оценки на контролепригодность:</t>
  </si>
  <si>
    <t>организационно-технологической документации по титулу</t>
  </si>
  <si>
    <t>рабочей документации по титулу</t>
  </si>
  <si>
    <t xml:space="preserve">ОБЩЕСТВО С ОГРАНИЧЕННОЙ ОТВЕТСТВЕННОСТЬЮ
</t>
  </si>
  <si>
    <t>приложение №1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</si>
  <si>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</si>
  <si>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</si>
  <si>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</si>
  <si>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 xml:space="preserve"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</t>
  </si>
  <si>
    <t>фамилия, имя, отчество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</si>
  <si>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</si>
  <si>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</si>
  <si>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</si>
  <si>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</si>
  <si>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</si>
  <si>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</si>
  <si>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</si>
  <si>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</si>
  <si>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ГЕО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</si>
  <si>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</si>
  <si>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</si>
  <si>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</si>
  <si>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</si>
  <si>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</si>
  <si>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</si>
  <si>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</si>
  <si>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</si>
  <si>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 xml:space="preserve">Представитель застройщика 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</si>
  <si>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</si>
  <si>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 xml:space="preserve">Представитель  лица,  выполнившего работы по разбивке осей объекта капитального строительства на местности (в случае выполнения работ по  разбивке  осей объекта капитального строительства на местности по договору, заключенному с иными лицами) 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</si>
  <si>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</si>
  <si>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</si>
  <si>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составили  настоящий  акт о том, что произведена в натуре разбивка осей</t>
  </si>
  <si>
    <t>объекта капитального строительства</t>
  </si>
  <si>
    <t>При этом установлено:</t>
  </si>
  <si>
    <t>1. Разбивка произведена по данным</t>
  </si>
  <si>
    <t xml:space="preserve"> (номер, другие реквизиты чертежа, наименование проектной организации)</t>
  </si>
  <si>
    <t>2. Закрепление осей произведено</t>
  </si>
  <si>
    <t>металлическими штырями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</si>
  <si>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</si>
  <si>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регламентам, иным нормативным правовым актам</t>
  </si>
  <si>
    <t>СП126.13330.2017, ГОСТ Р 51872-2019</t>
  </si>
  <si>
    <t>(номер, другие реквизиты чертежа, наименование проектной документации, сведения о лицах, осуществляющих подготовку раздела проектной документации, наименования  и 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</si>
  <si>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</si>
  <si>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r>
      <t xml:space="preserve">Акт составлен в </t>
    </r>
    <r>
      <rPr>
        <b/>
        <sz val="9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</si>
  <si>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</si>
  <si>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Исполнительная схема разбивочной основы - 1 лист</t>
  </si>
  <si>
    <t>(схема закрепления осей)</t>
  </si>
  <si>
    <t>(фамилия, инициалы)</t>
  </si>
  <si>
    <t>Представитель лица, выполнившего работы по созданию геодезической основы (в случае выполнения работ по договорам о строительстве, реконструкции, капитальном ремонте  объектов капитального строительства, заключенным с иными лицами)</t>
  </si>
  <si>
    <t>(дата окончания СМР)</t>
  </si>
  <si>
    <t>3.2. Расширитель, масломерное стекло:</t>
  </si>
  <si>
    <t>норма</t>
  </si>
  <si>
    <t>max</t>
  </si>
  <si>
    <t>3.7. Масло:</t>
  </si>
  <si>
    <r>
      <rPr>
        <sz val="8"/>
        <rFont val="Times New Roman"/>
        <family val="2"/>
      </rPr>
      <t>3.6. Переключатель ответвлений обмотки на</t>
    </r>
    <r>
      <rPr>
        <sz val="8"/>
        <rFont val="Times New Roman"/>
        <family val="1"/>
        <charset val="204"/>
      </rPr>
      <t xml:space="preserve"> </t>
    </r>
    <r>
      <rPr>
        <i/>
        <sz val="8"/>
        <rFont val="Times New Roman"/>
        <family val="1"/>
        <charset val="204"/>
      </rPr>
      <t xml:space="preserve">3 </t>
    </r>
    <r>
      <rPr>
        <sz val="8"/>
        <rFont val="Times New Roman"/>
        <family val="2"/>
      </rPr>
      <t>положении</t>
    </r>
  </si>
  <si>
    <t>3.5. Термометр:</t>
  </si>
  <si>
    <t>в норме</t>
  </si>
  <si>
    <t>Дополнительные работы при осмотре трансформатора:</t>
  </si>
  <si>
    <t>2. Отступление от проекта: нет</t>
  </si>
  <si>
    <t>ВЛ-</t>
  </si>
  <si>
    <t>готова</t>
  </si>
  <si>
    <t>АКТ 
осмотра заземлителей ВРЩ перед закрытием</t>
  </si>
  <si>
    <t>ПАСПОРТ ЗАЗЕМЛЯЮЩЕГО УСТРОЙСТВА ВРЩ</t>
  </si>
  <si>
    <t xml:space="preserve">СПРАВКА об отсутствии замечаний по проверке приемо-сдаточной документации </t>
  </si>
  <si>
    <t>Представитель технического заказчика</t>
  </si>
  <si>
    <t>Представитель застройщика</t>
  </si>
  <si>
    <t>0,3м</t>
  </si>
  <si>
    <t>ПуГВ</t>
  </si>
  <si>
    <t>ВЛ-0,6кВ</t>
  </si>
  <si>
    <t>СИП 3 1х70</t>
  </si>
  <si>
    <t>9м</t>
  </si>
  <si>
    <t>8,3м</t>
  </si>
  <si>
    <t>8м</t>
  </si>
  <si>
    <t>ПНД труба Ø110</t>
  </si>
  <si>
    <t>АВБбШв-1 4х120</t>
  </si>
  <si>
    <t>4Стп1-70/120</t>
  </si>
  <si>
    <t>Общий</t>
  </si>
  <si>
    <t>Монтаж АСП</t>
  </si>
  <si>
    <t>(организация)</t>
  </si>
  <si>
    <t>(наименование подрядной организации)</t>
  </si>
  <si>
    <r>
      <t>Представитель подрядной
организации</t>
    </r>
    <r>
      <rPr>
        <sz val="8"/>
        <rFont val="Times New Roman"/>
        <family val="1"/>
        <charset val="204"/>
      </rPr>
      <t>:</t>
    </r>
  </si>
  <si>
    <r>
      <rPr>
        <sz val="8"/>
        <rFont val="Times New Roman"/>
        <family val="1"/>
      </rPr>
      <t>Представитель подрядной</t>
    </r>
    <r>
      <rPr>
        <sz val="8"/>
        <rFont val="Times New Roman"/>
        <family val="1"/>
        <charset val="204"/>
      </rPr>
      <t xml:space="preserve"> 
организации:</t>
    </r>
  </si>
  <si>
    <t xml:space="preserve"> к реализации проектных решений и проведению работ на объекте:</t>
  </si>
  <si>
    <t>(наименование подрядной организации, лаборатории)</t>
  </si>
  <si>
    <t>назначенного ответственным лицом в соответствии с приказом:</t>
  </si>
  <si>
    <t>в лице:</t>
  </si>
  <si>
    <t>Геодезист</t>
  </si>
  <si>
    <t>АСП</t>
  </si>
  <si>
    <t>Конструкция фундаментов пригодна для установки АСП шкафного типа.</t>
  </si>
  <si>
    <r>
      <rPr>
        <sz val="8"/>
        <rFont val="Times New Roman"/>
        <family val="2"/>
      </rPr>
      <t>Высота основания АСП</t>
    </r>
    <r>
      <rPr>
        <i/>
        <sz val="8"/>
        <rFont val="Times New Roman"/>
        <family val="2"/>
      </rPr>
      <t xml:space="preserve"> </t>
    </r>
  </si>
  <si>
    <t>АСП соответствует паспортным данным и проекту</t>
  </si>
  <si>
    <t>осмотра и проверки АСП</t>
  </si>
  <si>
    <t>Общее состояние элементов АСП по внешнему осмотру</t>
  </si>
  <si>
    <t>на скрытые работы по фундаментам под АСП шкафного типа</t>
  </si>
  <si>
    <t>ВЕДОМОСТЬ НЕДОДЕЛОК</t>
  </si>
  <si>
    <t>Наименование недоделок  (номер чертежа, альбом, лист)</t>
  </si>
  <si>
    <t xml:space="preserve">Количество (ПК, км физ. объём,  ед. измер). </t>
  </si>
  <si>
    <t>Срок исполнения</t>
  </si>
  <si>
    <t>Отметка о выполнении (подтверждение эксплуатирующей организации и технадзора)</t>
  </si>
  <si>
    <t>Причины не выполнения</t>
  </si>
  <si>
    <t>Председатель комиссии</t>
  </si>
  <si>
    <t>Приложение 1.</t>
  </si>
  <si>
    <t>на</t>
  </si>
  <si>
    <t>Объект:</t>
  </si>
  <si>
    <t>Строительство/Реконструкция</t>
  </si>
  <si>
    <t>ненужное удалить</t>
  </si>
  <si>
    <t>в составе:</t>
  </si>
  <si>
    <t>(фамилия, имя, отчество, должность)</t>
  </si>
  <si>
    <t>УСТАНОВИЛА:</t>
  </si>
  <si>
    <t>(наименование организации и ее ведомственная подчиненность)</t>
  </si>
  <si>
    <t>(подписи)</t>
  </si>
  <si>
    <t>субподрядных (монтажных) организаций</t>
  </si>
  <si>
    <t>6. Строительно-монтажные работы осуществлены в сроки:</t>
  </si>
  <si>
    <t>всего _________________ тыс. руб., в том числе строительно-монтажных работ:</t>
  </si>
  <si>
    <t>____________тыс. руб., оборудования, инструмента и инвентаря ___________ тыс. руб.</t>
  </si>
  <si>
    <t>АКТ №</t>
  </si>
  <si>
    <t xml:space="preserve">генерального подрядчика </t>
  </si>
  <si>
    <t>(наименование здания, сооружения, оборудование или номер приложения к акту)</t>
  </si>
  <si>
    <t>(номер проекта, номер серии (по типовым проектам))</t>
  </si>
  <si>
    <t>начало работ</t>
  </si>
  <si>
    <t>рабочей комиссии о приёмке оборудования после комплексного опробования</t>
  </si>
  <si>
    <t>г.</t>
  </si>
  <si>
    <t>"</t>
  </si>
  <si>
    <t>Комиссия, назначенная</t>
  </si>
  <si>
    <t>{наименование организации-Заказчика (застройщика), назначившей комиссию}</t>
  </si>
  <si>
    <t>приказом ЗЭС</t>
  </si>
  <si>
    <t>от</t>
  </si>
  <si>
    <t>председателя-представителя Заказчика (застройщика)</t>
  </si>
  <si>
    <t>членов комиссии — представителей:</t>
  </si>
  <si>
    <t xml:space="preserve">пусконаладочной организации </t>
  </si>
  <si>
    <t>эксплуатационной организации</t>
  </si>
  <si>
    <t>генерального проектировщика</t>
  </si>
  <si>
    <t xml:space="preserve">органов технического надзора </t>
  </si>
  <si>
    <t xml:space="preserve">других заинтересованных органов надзора и организаций (при необходимости) </t>
  </si>
  <si>
    <t>1. Оборудование:</t>
  </si>
  <si>
    <t xml:space="preserve">(наименование оборудования, технологических линий и т.д.) </t>
  </si>
  <si>
    <t>смонтированное в</t>
  </si>
  <si>
    <t>(наименование предприятия, его очереди, пускового этапа)</t>
  </si>
  <si>
    <t>входящего в состав титула:</t>
  </si>
  <si>
    <t>прошло (не прошло) комплексное опробование, включая необходимые</t>
  </si>
  <si>
    <t xml:space="preserve">пусконаладочные работы, совместно с коммуникациями с </t>
  </si>
  <si>
    <t>В течение</t>
  </si>
  <si>
    <t>часов, дней в соответствии с</t>
  </si>
  <si>
    <t>утверждённой Заказчиком Программой.</t>
  </si>
  <si>
    <r>
      <t xml:space="preserve">2. Комплексное опробование, включая необъодимые пусконаладочные работы, </t>
    </r>
    <r>
      <rPr>
        <u/>
        <sz val="12"/>
        <rFont val="Times New Roman"/>
        <family val="1"/>
        <charset val="204"/>
      </rPr>
      <t xml:space="preserve">выполнены </t>
    </r>
    <r>
      <rPr>
        <sz val="12"/>
        <rFont val="Times New Roman"/>
        <family val="1"/>
        <charset val="204"/>
      </rPr>
      <t>(не выполнено)</t>
    </r>
  </si>
  <si>
    <t>(наименование организации - заказчика пусконаладочной организации)</t>
  </si>
  <si>
    <t xml:space="preserve">3. Дефекты проектирования, изготовления и монтажа оборудования, выявленные в процессе комплексного </t>
  </si>
  <si>
    <t>опробования, а также недоделки:</t>
  </si>
  <si>
    <t>устранены.</t>
  </si>
  <si>
    <t>4. В процессе комплексного опробования выполнены дополнительные работы</t>
  </si>
  <si>
    <t xml:space="preserve">5. Наличие разрешения надзорного органа на проведение комплексного опробования включая </t>
  </si>
  <si>
    <t>пуско-наладочные работы</t>
  </si>
  <si>
    <t>( Разрешение Ростехнадзора или иного</t>
  </si>
  <si>
    <t>надзорного органа, для энергоустановки разрешение Ростехнадзора на допуск энергоустановки в эксплуатацию).</t>
  </si>
  <si>
    <t>РЕШЕНИЕ РАБОЧЕЙ КОМИССИИ:</t>
  </si>
  <si>
    <r>
      <t xml:space="preserve">Оборудование, </t>
    </r>
    <r>
      <rPr>
        <u/>
        <sz val="12"/>
        <rFont val="Times New Roman"/>
        <family val="1"/>
        <charset val="204"/>
      </rPr>
      <t>прошедшее</t>
    </r>
    <r>
      <rPr>
        <sz val="12"/>
        <rFont val="Times New Roman"/>
        <family val="1"/>
        <charset val="204"/>
      </rPr>
      <t xml:space="preserve"> (не прошедшее) комплексное опробование в соответсвие с требованиями</t>
    </r>
  </si>
  <si>
    <t>регламентов Общества, считать готовым (не готовым) к эксплуатации и выпуску продукции (оказанию услуг),</t>
  </si>
  <si>
    <t>предусмотренной проектом в объёме, соответсвующем нормам освоения проектных мощностей в начальный</t>
  </si>
  <si>
    <r>
      <t xml:space="preserve">период и </t>
    </r>
    <r>
      <rPr>
        <u/>
        <sz val="12"/>
        <rFont val="Times New Roman"/>
        <family val="1"/>
        <charset val="204"/>
      </rPr>
      <t>принятым</t>
    </r>
    <r>
      <rPr>
        <sz val="12"/>
        <rFont val="Times New Roman"/>
        <family val="1"/>
        <charset val="204"/>
      </rPr>
      <t xml:space="preserve"> (не принятым) с</t>
    </r>
  </si>
  <si>
    <t>для предъявления</t>
  </si>
  <si>
    <t>приёмочной комиссии к приёмке в эксплуатацию</t>
  </si>
  <si>
    <t>Председатель комиссии:</t>
  </si>
  <si>
    <t>Заместитель директора - главный инженер</t>
  </si>
  <si>
    <t>Члены рабочей комиссии:</t>
  </si>
  <si>
    <t>рабочей комиссии о приемке оборудования после индивидуального испытания для комплексного опробования</t>
  </si>
  <si>
    <t>приказом СЭС</t>
  </si>
  <si>
    <t>1. Генеральным подядчиком</t>
  </si>
  <si>
    <t>предъявлено к приемке следующее оборудование:</t>
  </si>
  <si>
    <t>СИП-2 3х70+1х95, протяженностью 0,028 км</t>
  </si>
  <si>
    <t>(перечень оборудования и его краткая техническая характеристика)</t>
  </si>
  <si>
    <t>(при необходимости перечень указывается в приложении)</t>
  </si>
  <si>
    <t xml:space="preserve">смонтированное в </t>
  </si>
  <si>
    <t>(наименование здания, сооружения, цеха)</t>
  </si>
  <si>
    <t>входящего в состав</t>
  </si>
  <si>
    <t>2. Монтажные работы выполнены</t>
  </si>
  <si>
    <t>3. Проектная документация разработана</t>
  </si>
  <si>
    <t>(наименование монтажных организация, их ведомственная подчиненность, номера чертежей и даты их составления)</t>
  </si>
  <si>
    <t>4. Дата начала монтажных работ</t>
  </si>
  <si>
    <t>(месяц и год)</t>
  </si>
  <si>
    <t>Дата окончания монтажных работ</t>
  </si>
  <si>
    <t>РЕШЕНИЕ КОМИССИИ:</t>
  </si>
  <si>
    <t>Предъявленое к приёмке оборудование, прошедшее индивидуальные испытания считать принятым с</t>
  </si>
  <si>
    <t>для комплексного опробования</t>
  </si>
  <si>
    <t>И.о. заметителя директора - главного инженера</t>
  </si>
  <si>
    <t>Члены комиссии:</t>
  </si>
  <si>
    <t>Сдали:</t>
  </si>
  <si>
    <t>Приняли:</t>
  </si>
  <si>
    <t>представители генерального подрядчика и субподрядных организаций:</t>
  </si>
  <si>
    <t>представители заказчика:</t>
  </si>
  <si>
    <t>РАБОЧЕЙ КОМИССИИ О ГОТОВНОСТИ ОБОРУДОВАНИЯ ДЛЯ ПРЕДЪЯВЛЕНИЯ ПРИЕМОЧНОЙ КОМИССИИ</t>
  </si>
  <si>
    <t>предъявлено к приемке в эксплуотацию законченное(ые) строительством</t>
  </si>
  <si>
    <t>МО, Наро-Фоминский р-н, с.о.Симбуховский, д.Субботино</t>
  </si>
  <si>
    <t>(наименование объекта (титула))</t>
  </si>
  <si>
    <t>2. Строительство осуществлялось генеральным подрядчиком, выполнившим</t>
  </si>
  <si>
    <t>СМР, ПНР, ПИР</t>
  </si>
  <si>
    <t>(ввиды работ)</t>
  </si>
  <si>
    <t>и его субподрядными организациями</t>
  </si>
  <si>
    <t>(наименование монтажных организация, их ведомственная подчиненность)</t>
  </si>
  <si>
    <t>выполнившими</t>
  </si>
  <si>
    <t>(виды работ)</t>
  </si>
  <si>
    <t>3. Проектная документация на строительство разработана проектными организациями</t>
  </si>
  <si>
    <t>4. Строительство осуществлялось по проекту</t>
  </si>
  <si>
    <t>5. Проектная документация утверждена</t>
  </si>
  <si>
    <t>(наименование органа, утвердившего документацию на объект в целом)</t>
  </si>
  <si>
    <t>окончания работ</t>
  </si>
  <si>
    <t>7. Рабочей комиссии представлена следующая документация:</t>
  </si>
  <si>
    <t>Указаннын документы являются обязательным приложением к настоящему акту.</t>
  </si>
  <si>
    <t>8. Здания, сооружения и оборудование имеет следующие показатели:</t>
  </si>
  <si>
    <t>(мощность, производительность, производственная площадь, протяженность, вместимость и т.п. или номер приложения к акту)</t>
  </si>
  <si>
    <t>9. Технологические и архитектурно-строительные решения по зданию, сооружению характеризуются следующими данными:</t>
  </si>
  <si>
    <t>(краткие технические характеристики по планировке, этажности, основным материалам и конструкциям,</t>
  </si>
  <si>
    <t>инженерному и технологическому оборудованию или номер приложения к акту)</t>
  </si>
  <si>
    <t>10. Оборудование установлено согласно актам о его приемке после индивидуального испытания и комплексного опробования рабочими комиссиями (перечень актов приведен в приложении _____ к настоящему акту) в количестве:</t>
  </si>
  <si>
    <t>по проекту:</t>
  </si>
  <si>
    <t>единиц;</t>
  </si>
  <si>
    <t>фактически:</t>
  </si>
  <si>
    <t xml:space="preserve">11. Мероприятия по охране труда, обеспечению взрывобезопасности, пожаробезопасности, охране окружающей природной среды и антисейсмические мероприятия, предусмотренные проектом </t>
  </si>
  <si>
    <t>(сведения о выполнении)</t>
  </si>
  <si>
    <t>Характеристика мероприятий приведена в приложении ______ к акту.</t>
  </si>
  <si>
    <t>12. Выявленные дефекты и недоделки должны быть устранены в сроки, указанные в приложении _____к акту.</t>
  </si>
  <si>
    <t xml:space="preserve">13. Сметная стоимость по утвержденной проектной документации: </t>
  </si>
  <si>
    <t>(наименование здания, сооружения)</t>
  </si>
  <si>
    <t>СЧИТАТЬ ПРИНЯТЫМ от генеравльного подрядчика и готовым для предъявления приемочной комиссии.</t>
  </si>
  <si>
    <t>ДЛЯ АРК (актов раб.комиссии)</t>
  </si>
  <si>
    <t>Начальник СРЭС</t>
  </si>
  <si>
    <t>января</t>
  </si>
  <si>
    <t>Поверка СИ - 1 лист</t>
  </si>
  <si>
    <t>Гл.специалист ССК УКС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</si>
</sst>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&quot;р.&quot;_-;\-* #,##0.00&quot;р.&quot;_-;_-* &quot;-&quot;??&quot;р.&quot;_-;_-@_-"/>
    <numFmt numFmtId="165" formatCode="[$-F800]dddd\,\ mmmm\ dd\,\ yyyy"/>
    <numFmt numFmtId="166" formatCode="dd/mm/yy;@"/>
    <numFmt numFmtId="167" formatCode="yyyy"/>
    <numFmt numFmtId="168" formatCode="0.0"/>
    <numFmt numFmtId="169" formatCode="[$-419]mmmm\ yyyy;@"/>
  </numFmts>
  <fonts count="170" x14ac:knownFonts="1"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u/>
      <sz val="11"/>
      <color theme="10"/>
      <name val="Calibri"/>
      <family val="2"/>
      <charset val="204"/>
    </font>
    <font>
      <i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sz val="6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i/>
      <u/>
      <sz val="10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7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i/>
      <u/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  <font>
      <u/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</font>
    <font>
      <b/>
      <i/>
      <sz val="8"/>
      <color rgb="FF00000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i/>
      <u/>
      <sz val="11"/>
      <color theme="1"/>
      <name val="Times New Roman"/>
      <family val="2"/>
    </font>
    <font>
      <sz val="11"/>
      <color theme="1"/>
      <name val="Times New Roman"/>
      <family val="2"/>
    </font>
    <font>
      <i/>
      <sz val="11"/>
      <color theme="1"/>
      <name val="Times New Roman"/>
      <family val="2"/>
    </font>
    <font>
      <sz val="7"/>
      <color theme="1"/>
      <name val="Times New Roman"/>
      <family val="2"/>
    </font>
    <font>
      <sz val="10"/>
      <name val="Times New Roman"/>
      <family val="2"/>
    </font>
    <font>
      <i/>
      <sz val="10"/>
      <color theme="1"/>
      <name val="Times New Roman"/>
      <family val="2"/>
    </font>
    <font>
      <sz val="10"/>
      <color theme="1"/>
      <name val="Times New Roman"/>
      <family val="2"/>
    </font>
    <font>
      <sz val="8"/>
      <color theme="1"/>
      <name val="Times New Roman"/>
      <family val="2"/>
    </font>
    <font>
      <sz val="8"/>
      <color theme="1"/>
      <name val="Times New Roman"/>
      <family val="2"/>
      <charset val="204"/>
    </font>
    <font>
      <sz val="8"/>
      <name val="Times New Roman"/>
      <family val="2"/>
    </font>
    <font>
      <i/>
      <sz val="8"/>
      <name val="Times New Roman"/>
      <family val="2"/>
    </font>
    <font>
      <i/>
      <u/>
      <sz val="8"/>
      <name val="Times New Roman"/>
      <family val="2"/>
    </font>
    <font>
      <sz val="8"/>
      <color theme="1"/>
      <name val="Arial"/>
      <family val="2"/>
      <charset val="204"/>
    </font>
    <font>
      <i/>
      <u/>
      <sz val="8"/>
      <color theme="1"/>
      <name val="Times New Roman"/>
      <family val="2"/>
      <charset val="204"/>
    </font>
    <font>
      <i/>
      <sz val="8"/>
      <color theme="1"/>
      <name val="Times New Roman"/>
      <family val="2"/>
      <charset val="204"/>
    </font>
    <font>
      <sz val="8"/>
      <name val="Times New Roman"/>
      <family val="2"/>
      <charset val="204"/>
    </font>
    <font>
      <i/>
      <sz val="8"/>
      <color theme="1"/>
      <name val="Times New Roman"/>
      <family val="2"/>
    </font>
    <font>
      <b/>
      <sz val="8"/>
      <color theme="1"/>
      <name val="Times New Roman"/>
      <family val="2"/>
      <charset val="204"/>
    </font>
    <font>
      <u/>
      <sz val="8"/>
      <name val="Times New Roman"/>
      <family val="2"/>
    </font>
    <font>
      <u/>
      <sz val="8"/>
      <color theme="1"/>
      <name val="Times New Roman"/>
      <family val="2"/>
      <charset val="204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9"/>
      <color theme="1"/>
      <name val="Times New Roman"/>
      <family val="2"/>
      <charset val="204"/>
    </font>
    <font>
      <i/>
      <u/>
      <sz val="8"/>
      <color theme="1"/>
      <name val="Times New Roman"/>
      <family val="2"/>
    </font>
    <font>
      <u/>
      <sz val="8"/>
      <color theme="1"/>
      <name val="Times New Roman"/>
      <family val="2"/>
    </font>
    <font>
      <b/>
      <sz val="9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i/>
      <sz val="6"/>
      <name val="Times New Roman"/>
      <family val="1"/>
      <charset val="204"/>
    </font>
    <font>
      <i/>
      <vertAlign val="superscript"/>
      <sz val="6.5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ahoma"/>
      <family val="2"/>
      <charset val="204"/>
    </font>
    <font>
      <b/>
      <i/>
      <sz val="9"/>
      <color indexed="8"/>
      <name val="Tahoma"/>
      <family val="2"/>
      <charset val="204"/>
    </font>
    <font>
      <sz val="11"/>
      <color indexed="8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0"/>
      <color indexed="8"/>
      <name val="Tahoma"/>
      <family val="2"/>
      <charset val="204"/>
    </font>
    <font>
      <i/>
      <sz val="11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u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i/>
      <sz val="10"/>
      <name val="Times New Roman"/>
      <family val="1"/>
    </font>
    <font>
      <i/>
      <sz val="7"/>
      <name val="Times New Roman"/>
      <family val="1"/>
    </font>
    <font>
      <sz val="9"/>
      <name val="Times New Roman"/>
      <family val="1"/>
    </font>
    <font>
      <vertAlign val="superscript"/>
      <sz val="10"/>
      <name val="Times New Roman"/>
      <family val="1"/>
    </font>
    <font>
      <b/>
      <sz val="8"/>
      <name val="Times New Roman"/>
      <family val="1"/>
    </font>
    <font>
      <sz val="8"/>
      <name val="Calibri"/>
      <family val="2"/>
      <charset val="204"/>
    </font>
    <font>
      <b/>
      <i/>
      <u/>
      <sz val="8"/>
      <name val="Times New Roman"/>
      <family val="1"/>
      <charset val="204"/>
    </font>
    <font>
      <sz val="6"/>
      <name val="Calibri"/>
      <family val="2"/>
      <charset val="204"/>
    </font>
    <font>
      <b/>
      <i/>
      <u/>
      <sz val="8"/>
      <name val="Times New Roman"/>
      <family val="1"/>
    </font>
    <font>
      <i/>
      <sz val="8"/>
      <name val="Times New Roman"/>
      <family val="1"/>
    </font>
    <font>
      <vertAlign val="superscript"/>
      <sz val="8"/>
      <name val="Times New Roman"/>
      <family val="1"/>
      <charset val="204"/>
    </font>
    <font>
      <vertAlign val="superscript"/>
      <sz val="8"/>
      <name val="Times New Roman"/>
      <family val="1"/>
    </font>
    <font>
      <b/>
      <i/>
      <sz val="8"/>
      <name val="Times New Roman"/>
      <family val="1"/>
    </font>
    <font>
      <sz val="9"/>
      <name val="Times New Roman"/>
      <family val="1"/>
      <charset val="204"/>
    </font>
    <font>
      <sz val="9"/>
      <name val="Calibri"/>
      <family val="2"/>
      <charset val="204"/>
    </font>
    <font>
      <b/>
      <i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</font>
    <font>
      <sz val="5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6"/>
      <name val="Times New Roman"/>
      <family val="1"/>
      <charset val="204"/>
    </font>
    <font>
      <b/>
      <sz val="9"/>
      <name val="Times New Roman"/>
      <family val="1"/>
    </font>
    <font>
      <sz val="7"/>
      <name val="Times New Roman"/>
      <family val="1"/>
    </font>
    <font>
      <i/>
      <u/>
      <sz val="11"/>
      <name val="Times New Roman"/>
      <family val="1"/>
    </font>
    <font>
      <sz val="10"/>
      <name val="Calibri"/>
      <family val="2"/>
      <charset val="204"/>
    </font>
    <font>
      <b/>
      <sz val="8"/>
      <name val="Calibri"/>
      <family val="2"/>
      <charset val="204"/>
    </font>
    <font>
      <b/>
      <i/>
      <sz val="8"/>
      <name val="Calibri"/>
      <family val="2"/>
      <charset val="204"/>
    </font>
    <font>
      <u/>
      <sz val="8"/>
      <name val="Times New Roman"/>
      <family val="1"/>
    </font>
    <font>
      <u/>
      <sz val="8"/>
      <name val="Times New Roman"/>
      <family val="1"/>
      <charset val="204"/>
    </font>
    <font>
      <strike/>
      <sz val="8"/>
      <name val="Times New Roman"/>
      <family val="1"/>
      <charset val="204"/>
    </font>
    <font>
      <i/>
      <sz val="9"/>
      <name val="Times New Roman"/>
      <family val="1"/>
    </font>
    <font>
      <i/>
      <sz val="6"/>
      <name val="Times New Roman"/>
      <family val="1"/>
    </font>
    <font>
      <i/>
      <sz val="8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b/>
      <i/>
      <sz val="8"/>
      <color theme="1"/>
      <name val="Times New Roman"/>
      <family val="2"/>
      <charset val="204"/>
    </font>
    <font>
      <b/>
      <i/>
      <u/>
      <sz val="9"/>
      <name val="Times New Roman"/>
      <family val="1"/>
      <charset val="204"/>
    </font>
    <font>
      <i/>
      <sz val="7"/>
      <name val="Calibri"/>
      <family val="2"/>
      <charset val="204"/>
    </font>
    <font>
      <sz val="11"/>
      <name val="Calibri"/>
      <family val="2"/>
      <charset val="204"/>
      <scheme val="minor"/>
    </font>
    <font>
      <b/>
      <i/>
      <sz val="1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48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sz val="11.5"/>
      <name val="Times New Roman"/>
      <family val="1"/>
      <charset val="204"/>
    </font>
    <font>
      <b/>
      <i/>
      <sz val="9"/>
      <name val="Tahoma"/>
      <family val="2"/>
    </font>
    <font>
      <sz val="7"/>
      <name val="Times New Roman"/>
      <family val="1"/>
      <charset val="204"/>
    </font>
    <font>
      <i/>
      <u/>
      <sz val="8"/>
      <color theme="1"/>
      <name val="Times New Roman"/>
      <family val="1"/>
      <charset val="204"/>
    </font>
    <font>
      <i/>
      <sz val="9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8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Bookman Old Style"/>
      <family val="1"/>
      <charset val="204"/>
    </font>
    <font>
      <sz val="9"/>
      <name val="Bookman Old Style"/>
      <family val="1"/>
      <charset val="204"/>
    </font>
    <font>
      <u/>
      <sz val="12"/>
      <name val="Times New Roman"/>
      <family val="1"/>
      <charset val="204"/>
    </font>
    <font>
      <sz val="12"/>
      <name val="Arial Cyr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17" fillId="0" borderId="0" applyFont="0" applyFill="0" applyBorder="0" applyAlignment="0" applyProtection="0"/>
    <xf numFmtId="0" fontId="53" fillId="0" borderId="0"/>
    <xf numFmtId="0" fontId="82" fillId="0" borderId="0"/>
    <xf numFmtId="0" fontId="102" fillId="0" borderId="0"/>
    <xf numFmtId="0" fontId="27" fillId="0" borderId="0"/>
    <xf numFmtId="0" fontId="82" fillId="0" borderId="0"/>
    <xf numFmtId="0" fontId="163" fillId="0" borderId="0"/>
  </cellStyleXfs>
  <cellXfs count="118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20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5" fillId="0" borderId="0" xfId="0" applyFont="1"/>
    <xf numFmtId="0" fontId="14" fillId="0" borderId="0" xfId="0" applyFont="1"/>
    <xf numFmtId="0" fontId="21" fillId="0" borderId="0" xfId="0" applyFont="1"/>
    <xf numFmtId="0" fontId="23" fillId="0" borderId="0" xfId="0" applyFont="1"/>
    <xf numFmtId="0" fontId="27" fillId="0" borderId="0" xfId="0" applyFont="1"/>
    <xf numFmtId="0" fontId="7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1" fillId="0" borderId="0" xfId="1" applyAlignment="1" applyProtection="1">
      <alignment vertical="center"/>
    </xf>
    <xf numFmtId="0" fontId="30" fillId="0" borderId="0" xfId="1" applyFont="1" applyAlignment="1" applyProtection="1">
      <alignment vertical="center"/>
    </xf>
    <xf numFmtId="0" fontId="30" fillId="0" borderId="0" xfId="1" applyFont="1" applyAlignment="1" applyProtection="1">
      <alignment horizontal="left"/>
    </xf>
    <xf numFmtId="0" fontId="2" fillId="0" borderId="0" xfId="0" applyFont="1" applyAlignment="1">
      <alignment horizontal="center" vertical="center"/>
    </xf>
    <xf numFmtId="0" fontId="30" fillId="0" borderId="0" xfId="1" applyFont="1" applyAlignment="1" applyProtection="1"/>
    <xf numFmtId="0" fontId="30" fillId="0" borderId="0" xfId="1" applyFont="1" applyAlignment="1" applyProtection="1">
      <alignment horizontal="left" vertical="center"/>
    </xf>
    <xf numFmtId="0" fontId="30" fillId="0" borderId="0" xfId="1" applyFont="1" applyAlignment="1" applyProtection="1">
      <alignment wrapText="1"/>
    </xf>
    <xf numFmtId="0" fontId="3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top"/>
    </xf>
    <xf numFmtId="0" fontId="14" fillId="0" borderId="0" xfId="0" applyFont="1" applyAlignment="1">
      <alignment wrapText="1"/>
    </xf>
    <xf numFmtId="0" fontId="11" fillId="0" borderId="0" xfId="1" applyAlignment="1" applyProtection="1"/>
    <xf numFmtId="0" fontId="32" fillId="0" borderId="0" xfId="0" applyFont="1"/>
    <xf numFmtId="0" fontId="33" fillId="0" borderId="0" xfId="0" applyFont="1"/>
    <xf numFmtId="0" fontId="0" fillId="0" borderId="0" xfId="0" applyAlignment="1">
      <alignment horizontal="center" vertical="center"/>
    </xf>
    <xf numFmtId="0" fontId="34" fillId="0" borderId="0" xfId="0" applyFont="1"/>
    <xf numFmtId="0" fontId="2" fillId="0" borderId="0" xfId="0" applyFont="1" applyAlignment="1">
      <alignment horizontal="center"/>
    </xf>
    <xf numFmtId="0" fontId="24" fillId="0" borderId="0" xfId="0" applyFont="1"/>
    <xf numFmtId="0" fontId="35" fillId="0" borderId="0" xfId="0" applyFont="1"/>
    <xf numFmtId="0" fontId="36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0" xfId="0" quotePrefix="1" applyFont="1" applyAlignment="1">
      <alignment wrapText="1"/>
    </xf>
    <xf numFmtId="0" fontId="24" fillId="0" borderId="0" xfId="0" applyFont="1" applyAlignment="1">
      <alignment horizontal="center"/>
    </xf>
    <xf numFmtId="0" fontId="15" fillId="0" borderId="0" xfId="0" applyFont="1" applyAlignment="1">
      <alignment vertical="top" wrapText="1"/>
    </xf>
    <xf numFmtId="0" fontId="13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46" fillId="0" borderId="0" xfId="0" applyFont="1"/>
    <xf numFmtId="0" fontId="18" fillId="0" borderId="0" xfId="0" applyFont="1"/>
    <xf numFmtId="0" fontId="47" fillId="0" borderId="0" xfId="0" applyFont="1" applyAlignment="1">
      <alignment vertical="center"/>
    </xf>
    <xf numFmtId="0" fontId="24" fillId="0" borderId="0" xfId="0" applyFont="1" applyAlignment="1">
      <alignment wrapText="1"/>
    </xf>
    <xf numFmtId="0" fontId="48" fillId="0" borderId="0" xfId="0" applyFont="1"/>
    <xf numFmtId="0" fontId="12" fillId="0" borderId="0" xfId="0" applyFont="1"/>
    <xf numFmtId="165" fontId="40" fillId="0" borderId="0" xfId="0" applyNumberFormat="1" applyFont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165" fontId="15" fillId="0" borderId="0" xfId="0" applyNumberFormat="1" applyFont="1"/>
    <xf numFmtId="0" fontId="37" fillId="0" borderId="0" xfId="0" applyFont="1" applyAlignment="1">
      <alignment wrapText="1"/>
    </xf>
    <xf numFmtId="0" fontId="20" fillId="0" borderId="3" xfId="0" applyFont="1" applyBorder="1"/>
    <xf numFmtId="0" fontId="51" fillId="0" borderId="0" xfId="0" applyFont="1"/>
    <xf numFmtId="0" fontId="20" fillId="0" borderId="0" xfId="0" applyFont="1" applyAlignment="1">
      <alignment horizontal="center" vertical="center"/>
    </xf>
    <xf numFmtId="0" fontId="46" fillId="0" borderId="0" xfId="0" applyFont="1" applyAlignment="1">
      <alignment wrapText="1"/>
    </xf>
    <xf numFmtId="0" fontId="52" fillId="0" borderId="0" xfId="0" applyFont="1"/>
    <xf numFmtId="0" fontId="37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165" fontId="8" fillId="0" borderId="0" xfId="0" applyNumberFormat="1" applyFont="1" applyAlignment="1">
      <alignment horizontal="left" wrapText="1"/>
    </xf>
    <xf numFmtId="167" fontId="8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16" fontId="8" fillId="0" borderId="0" xfId="0" applyNumberFormat="1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4" fillId="0" borderId="0" xfId="3" applyFont="1"/>
    <xf numFmtId="0" fontId="53" fillId="0" borderId="0" xfId="3"/>
    <xf numFmtId="0" fontId="55" fillId="0" borderId="0" xfId="3" applyFont="1"/>
    <xf numFmtId="0" fontId="54" fillId="0" borderId="3" xfId="3" applyFont="1" applyBorder="1"/>
    <xf numFmtId="0" fontId="56" fillId="0" borderId="0" xfId="3" applyFont="1"/>
    <xf numFmtId="0" fontId="56" fillId="0" borderId="0" xfId="3" applyFont="1" applyAlignment="1">
      <alignment wrapText="1"/>
    </xf>
    <xf numFmtId="0" fontId="62" fillId="0" borderId="0" xfId="3" applyFont="1"/>
    <xf numFmtId="0" fontId="66" fillId="0" borderId="0" xfId="3" applyFont="1"/>
    <xf numFmtId="0" fontId="67" fillId="0" borderId="0" xfId="3" applyFont="1"/>
    <xf numFmtId="0" fontId="63" fillId="0" borderId="0" xfId="3" applyFont="1"/>
    <xf numFmtId="0" fontId="68" fillId="0" borderId="0" xfId="3" applyFont="1"/>
    <xf numFmtId="0" fontId="65" fillId="0" borderId="0" xfId="3" applyFont="1"/>
    <xf numFmtId="0" fontId="62" fillId="0" borderId="0" xfId="3" applyFont="1" applyAlignment="1">
      <alignment horizontal="center"/>
    </xf>
    <xf numFmtId="0" fontId="39" fillId="0" borderId="0" xfId="0" applyFont="1"/>
    <xf numFmtId="0" fontId="71" fillId="0" borderId="0" xfId="3" applyFont="1"/>
    <xf numFmtId="0" fontId="62" fillId="0" borderId="0" xfId="3" applyFont="1" applyAlignment="1">
      <alignment wrapText="1"/>
    </xf>
    <xf numFmtId="165" fontId="20" fillId="0" borderId="0" xfId="0" applyNumberFormat="1" applyFont="1"/>
    <xf numFmtId="0" fontId="20" fillId="0" borderId="0" xfId="0" applyFont="1" applyAlignment="1">
      <alignment vertical="center" textRotation="90" wrapText="1"/>
    </xf>
    <xf numFmtId="0" fontId="20" fillId="0" borderId="0" xfId="0" applyFont="1" applyAlignment="1">
      <alignment vertical="center" wrapText="1"/>
    </xf>
    <xf numFmtId="0" fontId="73" fillId="0" borderId="0" xfId="3" applyFont="1"/>
    <xf numFmtId="0" fontId="63" fillId="0" borderId="0" xfId="3" applyFont="1" applyAlignment="1">
      <alignment wrapText="1"/>
    </xf>
    <xf numFmtId="0" fontId="63" fillId="0" borderId="0" xfId="3" applyFont="1" applyAlignment="1">
      <alignment horizontal="left" wrapText="1"/>
    </xf>
    <xf numFmtId="0" fontId="38" fillId="0" borderId="0" xfId="3" applyFont="1"/>
    <xf numFmtId="0" fontId="26" fillId="0" borderId="0" xfId="0" applyFont="1" applyAlignment="1">
      <alignment vertical="top"/>
    </xf>
    <xf numFmtId="0" fontId="50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57" fillId="0" borderId="0" xfId="3" applyFont="1"/>
    <xf numFmtId="0" fontId="61" fillId="0" borderId="0" xfId="3" applyFont="1"/>
    <xf numFmtId="0" fontId="75" fillId="0" borderId="0" xfId="3" applyFont="1"/>
    <xf numFmtId="0" fontId="76" fillId="0" borderId="0" xfId="3" applyFont="1"/>
    <xf numFmtId="0" fontId="77" fillId="0" borderId="0" xfId="3" applyFont="1"/>
    <xf numFmtId="0" fontId="79" fillId="0" borderId="0" xfId="3" applyFont="1"/>
    <xf numFmtId="0" fontId="72" fillId="0" borderId="0" xfId="3" applyFont="1" applyAlignment="1">
      <alignment horizontal="center"/>
    </xf>
    <xf numFmtId="0" fontId="80" fillId="0" borderId="0" xfId="3" applyFont="1" applyAlignment="1">
      <alignment horizontal="center"/>
    </xf>
    <xf numFmtId="0" fontId="83" fillId="0" borderId="0" xfId="4" applyFont="1"/>
    <xf numFmtId="0" fontId="83" fillId="0" borderId="0" xfId="4" applyFont="1" applyAlignment="1">
      <alignment vertical="center"/>
    </xf>
    <xf numFmtId="0" fontId="86" fillId="0" borderId="0" xfId="4" applyFont="1" applyAlignment="1">
      <alignment vertical="center"/>
    </xf>
    <xf numFmtId="0" fontId="85" fillId="0" borderId="0" xfId="4" applyFont="1" applyAlignment="1">
      <alignment vertical="center"/>
    </xf>
    <xf numFmtId="0" fontId="87" fillId="0" borderId="0" xfId="4" applyFont="1" applyAlignment="1">
      <alignment vertical="center"/>
    </xf>
    <xf numFmtId="0" fontId="84" fillId="0" borderId="0" xfId="4" applyFont="1" applyAlignment="1">
      <alignment vertical="center"/>
    </xf>
    <xf numFmtId="0" fontId="85" fillId="0" borderId="0" xfId="4" applyFont="1" applyAlignment="1">
      <alignment vertical="center" wrapText="1"/>
    </xf>
    <xf numFmtId="0" fontId="83" fillId="0" borderId="0" xfId="4" applyFont="1" applyAlignment="1">
      <alignment horizontal="left" vertical="center"/>
    </xf>
    <xf numFmtId="0" fontId="87" fillId="0" borderId="0" xfId="4" applyFont="1" applyAlignment="1">
      <alignment horizontal="center" vertical="center"/>
    </xf>
    <xf numFmtId="0" fontId="87" fillId="0" borderId="0" xfId="4" applyFont="1" applyAlignment="1">
      <alignment horizontal="center"/>
    </xf>
    <xf numFmtId="0" fontId="87" fillId="0" borderId="0" xfId="4" applyFont="1"/>
    <xf numFmtId="0" fontId="90" fillId="0" borderId="0" xfId="4" applyFont="1" applyAlignment="1">
      <alignment horizontal="right"/>
    </xf>
    <xf numFmtId="0" fontId="84" fillId="0" borderId="1" xfId="4" applyFont="1" applyBorder="1" applyAlignment="1">
      <alignment horizontal="center"/>
    </xf>
    <xf numFmtId="0" fontId="27" fillId="0" borderId="0" xfId="4" applyFont="1" applyAlignment="1">
      <alignment vertical="center"/>
    </xf>
    <xf numFmtId="0" fontId="85" fillId="0" borderId="3" xfId="4" applyFont="1" applyBorder="1" applyAlignment="1">
      <alignment vertical="center"/>
    </xf>
    <xf numFmtId="0" fontId="83" fillId="0" borderId="0" xfId="0" applyFont="1"/>
    <xf numFmtId="0" fontId="83" fillId="0" borderId="0" xfId="0" applyFont="1" applyAlignment="1">
      <alignment horizontal="justify"/>
    </xf>
    <xf numFmtId="0" fontId="95" fillId="0" borderId="0" xfId="0" applyFont="1"/>
    <xf numFmtId="0" fontId="83" fillId="0" borderId="0" xfId="0" applyFont="1" applyAlignment="1">
      <alignment horizontal="center"/>
    </xf>
    <xf numFmtId="0" fontId="86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0" fontId="86" fillId="0" borderId="0" xfId="4" applyFont="1"/>
    <xf numFmtId="0" fontId="84" fillId="0" borderId="1" xfId="4" applyFont="1" applyBorder="1" applyAlignment="1">
      <alignment vertical="center"/>
    </xf>
    <xf numFmtId="0" fontId="98" fillId="0" borderId="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0" fontId="9" fillId="0" borderId="0" xfId="0" applyFont="1" applyAlignment="1">
      <alignment wrapText="1"/>
    </xf>
    <xf numFmtId="0" fontId="9" fillId="0" borderId="0" xfId="0" applyFont="1"/>
    <xf numFmtId="0" fontId="20" fillId="0" borderId="0" xfId="0" applyFont="1" applyAlignment="1">
      <alignment horizontal="center" vertical="top"/>
    </xf>
    <xf numFmtId="165" fontId="24" fillId="0" borderId="0" xfId="0" applyNumberFormat="1" applyFont="1"/>
    <xf numFmtId="0" fontId="0" fillId="0" borderId="0" xfId="0" applyAlignment="1">
      <alignment horizontal="center"/>
    </xf>
    <xf numFmtId="0" fontId="0" fillId="5" borderId="0" xfId="0" applyFill="1"/>
    <xf numFmtId="0" fontId="34" fillId="0" borderId="17" xfId="0" applyFont="1" applyBorder="1"/>
    <xf numFmtId="0" fontId="0" fillId="6" borderId="2" xfId="0" applyFill="1" applyBorder="1"/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4" fillId="0" borderId="17" xfId="0" applyFont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/>
    </xf>
    <xf numFmtId="0" fontId="0" fillId="7" borderId="0" xfId="0" applyFill="1"/>
    <xf numFmtId="0" fontId="99" fillId="0" borderId="2" xfId="0" applyFont="1" applyBorder="1" applyAlignment="1">
      <alignment horizontal="center" wrapText="1"/>
    </xf>
    <xf numFmtId="0" fontId="99" fillId="0" borderId="7" xfId="0" applyFont="1" applyBorder="1" applyAlignment="1">
      <alignment horizontal="center" wrapText="1"/>
    </xf>
    <xf numFmtId="0" fontId="99" fillId="0" borderId="12" xfId="0" applyFont="1" applyBorder="1" applyAlignment="1">
      <alignment horizontal="center" wrapText="1"/>
    </xf>
    <xf numFmtId="0" fontId="99" fillId="11" borderId="2" xfId="0" applyFont="1" applyFill="1" applyBorder="1" applyAlignment="1">
      <alignment horizontal="center" wrapText="1"/>
    </xf>
    <xf numFmtId="0" fontId="99" fillId="11" borderId="15" xfId="0" applyFont="1" applyFill="1" applyBorder="1" applyAlignment="1">
      <alignment horizontal="center" wrapText="1"/>
    </xf>
    <xf numFmtId="0" fontId="3" fillId="7" borderId="0" xfId="0" applyFont="1" applyFill="1"/>
    <xf numFmtId="0" fontId="99" fillId="1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99" fillId="8" borderId="2" xfId="0" applyFont="1" applyFill="1" applyBorder="1" applyAlignment="1">
      <alignment horizontal="center" vertical="center" wrapText="1"/>
    </xf>
    <xf numFmtId="0" fontId="99" fillId="8" borderId="2" xfId="0" applyFont="1" applyFill="1" applyBorder="1" applyAlignment="1">
      <alignment horizontal="center" wrapText="1"/>
    </xf>
    <xf numFmtId="0" fontId="99" fillId="10" borderId="2" xfId="0" applyFont="1" applyFill="1" applyBorder="1" applyAlignment="1">
      <alignment horizontal="center" wrapText="1"/>
    </xf>
    <xf numFmtId="0" fontId="99" fillId="11" borderId="2" xfId="0" applyFont="1" applyFill="1" applyBorder="1" applyAlignment="1">
      <alignment horizontal="center"/>
    </xf>
    <xf numFmtId="0" fontId="99" fillId="13" borderId="2" xfId="0" applyFont="1" applyFill="1" applyBorder="1" applyAlignment="1">
      <alignment horizontal="center" wrapText="1"/>
    </xf>
    <xf numFmtId="0" fontId="2" fillId="13" borderId="2" xfId="0" applyFont="1" applyFill="1" applyBorder="1" applyAlignment="1">
      <alignment horizontal="center"/>
    </xf>
    <xf numFmtId="0" fontId="0" fillId="3" borderId="0" xfId="0" applyFill="1"/>
    <xf numFmtId="0" fontId="0" fillId="12" borderId="0" xfId="0" applyFill="1" applyAlignment="1">
      <alignment wrapText="1"/>
    </xf>
    <xf numFmtId="0" fontId="0" fillId="13" borderId="2" xfId="0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0" fillId="12" borderId="2" xfId="0" applyFill="1" applyBorder="1"/>
    <xf numFmtId="0" fontId="0" fillId="11" borderId="0" xfId="0" applyFill="1" applyAlignment="1">
      <alignment wrapText="1"/>
    </xf>
    <xf numFmtId="0" fontId="24" fillId="0" borderId="0" xfId="3" applyFont="1"/>
    <xf numFmtId="0" fontId="102" fillId="0" borderId="0" xfId="5"/>
    <xf numFmtId="0" fontId="104" fillId="0" borderId="0" xfId="5" applyFont="1" applyAlignment="1">
      <alignment horizontal="justify" vertical="top" wrapText="1"/>
    </xf>
    <xf numFmtId="0" fontId="104" fillId="0" borderId="0" xfId="5" applyFont="1" applyAlignment="1">
      <alignment vertical="top"/>
    </xf>
    <xf numFmtId="0" fontId="114" fillId="0" borderId="0" xfId="5" applyFont="1"/>
    <xf numFmtId="0" fontId="39" fillId="0" borderId="0" xfId="5" applyFont="1" applyAlignment="1">
      <alignment horizontal="justify" vertical="top" wrapText="1"/>
    </xf>
    <xf numFmtId="0" fontId="39" fillId="0" borderId="0" xfId="5" applyFont="1" applyAlignment="1">
      <alignment horizontal="left" vertical="top" wrapText="1"/>
    </xf>
    <xf numFmtId="0" fontId="39" fillId="0" borderId="3" xfId="5" applyFont="1" applyBorder="1" applyAlignment="1">
      <alignment horizontal="center" vertical="top" wrapText="1"/>
    </xf>
    <xf numFmtId="0" fontId="38" fillId="0" borderId="0" xfId="5" applyFont="1"/>
    <xf numFmtId="0" fontId="108" fillId="0" borderId="0" xfId="5" applyFont="1" applyAlignment="1">
      <alignment vertical="top" wrapText="1"/>
    </xf>
    <xf numFmtId="0" fontId="114" fillId="0" borderId="1" xfId="5" applyFont="1" applyBorder="1"/>
    <xf numFmtId="49" fontId="39" fillId="0" borderId="2" xfId="5" applyNumberFormat="1" applyFont="1" applyBorder="1" applyAlignment="1">
      <alignment horizontal="center" vertical="center" wrapText="1"/>
    </xf>
    <xf numFmtId="0" fontId="39" fillId="0" borderId="2" xfId="5" applyFont="1" applyBorder="1" applyAlignment="1">
      <alignment horizontal="center" vertical="center" wrapText="1"/>
    </xf>
    <xf numFmtId="49" fontId="39" fillId="0" borderId="2" xfId="5" applyNumberFormat="1" applyFont="1" applyBorder="1" applyAlignment="1">
      <alignment horizontal="left" vertical="center" wrapText="1"/>
    </xf>
    <xf numFmtId="49" fontId="39" fillId="0" borderId="2" xfId="5" applyNumberFormat="1" applyFont="1" applyBorder="1" applyAlignment="1">
      <alignment horizontal="justify" vertical="center" wrapText="1"/>
    </xf>
    <xf numFmtId="0" fontId="101" fillId="0" borderId="2" xfId="5" applyFont="1" applyBorder="1" applyAlignment="1">
      <alignment vertical="center" wrapText="1"/>
    </xf>
    <xf numFmtId="0" fontId="101" fillId="0" borderId="2" xfId="5" applyFont="1" applyBorder="1" applyAlignment="1">
      <alignment horizontal="left" vertical="center" wrapText="1"/>
    </xf>
    <xf numFmtId="49" fontId="101" fillId="0" borderId="2" xfId="5" applyNumberFormat="1" applyFont="1" applyBorder="1" applyAlignment="1">
      <alignment horizontal="left" vertical="center" wrapText="1"/>
    </xf>
    <xf numFmtId="0" fontId="112" fillId="0" borderId="0" xfId="5" applyFont="1" applyAlignment="1">
      <alignment vertical="top" wrapText="1"/>
    </xf>
    <xf numFmtId="0" fontId="39" fillId="0" borderId="2" xfId="5" applyFont="1" applyBorder="1"/>
    <xf numFmtId="0" fontId="39" fillId="0" borderId="2" xfId="5" applyFont="1" applyBorder="1" applyAlignment="1">
      <alignment horizontal="center" vertical="top" wrapText="1"/>
    </xf>
    <xf numFmtId="0" fontId="39" fillId="0" borderId="6" xfId="5" applyFont="1" applyBorder="1" applyAlignment="1">
      <alignment vertical="center" wrapText="1"/>
    </xf>
    <xf numFmtId="0" fontId="104" fillId="0" borderId="0" xfId="5" applyFont="1" applyAlignment="1">
      <alignment horizontal="justify" wrapText="1"/>
    </xf>
    <xf numFmtId="0" fontId="104" fillId="0" borderId="2" xfId="5" applyFont="1" applyBorder="1" applyAlignment="1">
      <alignment horizontal="center" vertical="center" wrapText="1"/>
    </xf>
    <xf numFmtId="0" fontId="126" fillId="0" borderId="0" xfId="5" applyFont="1" applyAlignment="1">
      <alignment horizontal="center" wrapText="1"/>
    </xf>
    <xf numFmtId="0" fontId="38" fillId="0" borderId="1" xfId="5" applyFont="1" applyBorder="1" applyAlignment="1">
      <alignment horizontal="center" vertical="top" wrapText="1"/>
    </xf>
    <xf numFmtId="0" fontId="39" fillId="0" borderId="0" xfId="5" applyFont="1" applyAlignment="1">
      <alignment horizontal="right" vertical="top" wrapText="1"/>
    </xf>
    <xf numFmtId="0" fontId="39" fillId="0" borderId="0" xfId="5" applyFont="1" applyAlignment="1">
      <alignment horizontal="center" vertical="top" wrapText="1"/>
    </xf>
    <xf numFmtId="0" fontId="123" fillId="0" borderId="0" xfId="5" applyFont="1"/>
    <xf numFmtId="0" fontId="39" fillId="0" borderId="0" xfId="5" applyFont="1"/>
    <xf numFmtId="0" fontId="29" fillId="0" borderId="0" xfId="5" applyFont="1" applyAlignment="1">
      <alignment vertical="top"/>
    </xf>
    <xf numFmtId="0" fontId="108" fillId="0" borderId="2" xfId="5" applyFont="1" applyBorder="1" applyAlignment="1">
      <alignment horizontal="center" vertical="top" wrapText="1"/>
    </xf>
    <xf numFmtId="0" fontId="104" fillId="0" borderId="0" xfId="5" applyFont="1" applyAlignment="1">
      <alignment horizontal="right" vertical="top" wrapText="1"/>
    </xf>
    <xf numFmtId="0" fontId="108" fillId="0" borderId="0" xfId="5" applyFont="1"/>
    <xf numFmtId="0" fontId="39" fillId="0" borderId="0" xfId="5" applyFont="1" applyAlignment="1">
      <alignment vertical="top"/>
    </xf>
    <xf numFmtId="0" fontId="39" fillId="0" borderId="2" xfId="5" applyFont="1" applyBorder="1" applyAlignment="1">
      <alignment horizontal="justify" vertical="top" wrapText="1"/>
    </xf>
    <xf numFmtId="0" fontId="122" fillId="0" borderId="0" xfId="5" applyFont="1"/>
    <xf numFmtId="0" fontId="126" fillId="0" borderId="0" xfId="5" applyFont="1" applyAlignment="1">
      <alignment horizontal="left" vertical="top" wrapText="1"/>
    </xf>
    <xf numFmtId="0" fontId="108" fillId="0" borderId="1" xfId="5" applyFont="1" applyBorder="1"/>
    <xf numFmtId="0" fontId="39" fillId="0" borderId="1" xfId="5" applyFont="1" applyBorder="1"/>
    <xf numFmtId="0" fontId="108" fillId="0" borderId="0" xfId="5" applyFont="1" applyAlignment="1">
      <alignment wrapText="1"/>
    </xf>
    <xf numFmtId="0" fontId="141" fillId="0" borderId="0" xfId="5" applyFont="1" applyAlignment="1">
      <alignment horizontal="left" vertical="top" wrapText="1"/>
    </xf>
    <xf numFmtId="0" fontId="108" fillId="0" borderId="2" xfId="5" applyFont="1" applyBorder="1" applyAlignment="1">
      <alignment horizontal="left" vertical="top" wrapText="1"/>
    </xf>
    <xf numFmtId="0" fontId="108" fillId="8" borderId="2" xfId="5" applyFont="1" applyFill="1" applyBorder="1" applyAlignment="1">
      <alignment horizontal="left" vertical="top" wrapText="1"/>
    </xf>
    <xf numFmtId="0" fontId="108" fillId="5" borderId="2" xfId="5" applyFont="1" applyFill="1" applyBorder="1" applyAlignment="1">
      <alignment horizontal="left" vertical="top" wrapText="1"/>
    </xf>
    <xf numFmtId="0" fontId="108" fillId="14" borderId="2" xfId="5" applyFont="1" applyFill="1" applyBorder="1" applyAlignment="1">
      <alignment horizontal="left" vertical="top" wrapText="1"/>
    </xf>
    <xf numFmtId="0" fontId="108" fillId="9" borderId="2" xfId="5" applyFont="1" applyFill="1" applyBorder="1" applyAlignment="1">
      <alignment horizontal="left" vertical="top" wrapText="1"/>
    </xf>
    <xf numFmtId="0" fontId="38" fillId="0" borderId="0" xfId="5" applyFont="1" applyAlignment="1">
      <alignment horizontal="center" vertical="center"/>
    </xf>
    <xf numFmtId="0" fontId="39" fillId="0" borderId="1" xfId="5" applyFont="1" applyBorder="1" applyAlignment="1">
      <alignment horizontal="center" wrapText="1"/>
    </xf>
    <xf numFmtId="0" fontId="39" fillId="0" borderId="0" xfId="5" applyFont="1" applyAlignment="1">
      <alignment horizontal="center" wrapText="1"/>
    </xf>
    <xf numFmtId="0" fontId="141" fillId="0" borderId="0" xfId="5" applyFont="1" applyAlignment="1">
      <alignment horizontal="center" vertical="top" wrapText="1"/>
    </xf>
    <xf numFmtId="0" fontId="0" fillId="13" borderId="0" xfId="0" applyFill="1" applyAlignment="1">
      <alignment wrapText="1"/>
    </xf>
    <xf numFmtId="0" fontId="0" fillId="10" borderId="0" xfId="0" applyFill="1" applyAlignment="1">
      <alignment wrapText="1"/>
    </xf>
    <xf numFmtId="0" fontId="144" fillId="0" borderId="0" xfId="0" applyFont="1"/>
    <xf numFmtId="0" fontId="144" fillId="7" borderId="0" xfId="0" applyFont="1" applyFill="1"/>
    <xf numFmtId="14" fontId="3" fillId="0" borderId="0" xfId="0" applyNumberFormat="1" applyFont="1"/>
    <xf numFmtId="0" fontId="135" fillId="0" borderId="0" xfId="5" applyFont="1"/>
    <xf numFmtId="0" fontId="145" fillId="0" borderId="0" xfId="5" applyFont="1"/>
    <xf numFmtId="0" fontId="46" fillId="0" borderId="0" xfId="3" applyFont="1"/>
    <xf numFmtId="0" fontId="22" fillId="0" borderId="0" xfId="0" applyFont="1"/>
    <xf numFmtId="167" fontId="99" fillId="15" borderId="2" xfId="0" applyNumberFormat="1" applyFont="1" applyFill="1" applyBorder="1" applyAlignment="1">
      <alignment horizontal="center" wrapText="1"/>
    </xf>
    <xf numFmtId="0" fontId="111" fillId="0" borderId="0" xfId="5" applyFont="1" applyAlignment="1">
      <alignment horizontal="left" vertical="top"/>
    </xf>
    <xf numFmtId="0" fontId="3" fillId="10" borderId="2" xfId="0" applyFont="1" applyFill="1" applyBorder="1"/>
    <xf numFmtId="165" fontId="130" fillId="0" borderId="0" xfId="5" applyNumberFormat="1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39" fillId="0" borderId="5" xfId="5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42" fillId="0" borderId="2" xfId="5" applyFont="1" applyBorder="1" applyAlignment="1">
      <alignment horizontal="center" vertical="top" wrapText="1"/>
    </xf>
    <xf numFmtId="0" fontId="148" fillId="0" borderId="0" xfId="5" applyFont="1"/>
    <xf numFmtId="0" fontId="87" fillId="0" borderId="2" xfId="5" applyFont="1" applyBorder="1" applyAlignment="1">
      <alignment horizontal="center" vertical="top" wrapText="1"/>
    </xf>
    <xf numFmtId="0" fontId="87" fillId="0" borderId="5" xfId="5" applyFont="1" applyBorder="1" applyAlignment="1">
      <alignment horizontal="center" vertical="top" wrapText="1"/>
    </xf>
    <xf numFmtId="0" fontId="111" fillId="0" borderId="0" xfId="5" applyFont="1"/>
    <xf numFmtId="0" fontId="149" fillId="0" borderId="0" xfId="0" applyFont="1"/>
    <xf numFmtId="0" fontId="39" fillId="0" borderId="0" xfId="5" applyFont="1" applyAlignment="1">
      <alignment vertical="center"/>
    </xf>
    <xf numFmtId="0" fontId="83" fillId="0" borderId="0" xfId="5" applyFont="1" applyAlignment="1">
      <alignment vertical="center"/>
    </xf>
    <xf numFmtId="0" fontId="39" fillId="0" borderId="1" xfId="5" applyFont="1" applyBorder="1" applyAlignment="1">
      <alignment horizontal="left" vertical="center" wrapText="1"/>
    </xf>
    <xf numFmtId="0" fontId="141" fillId="0" borderId="0" xfId="5" applyFont="1" applyAlignment="1">
      <alignment vertical="top" wrapText="1"/>
    </xf>
    <xf numFmtId="0" fontId="142" fillId="0" borderId="0" xfId="5" applyFont="1" applyAlignment="1">
      <alignment vertical="top" wrapText="1"/>
    </xf>
    <xf numFmtId="0" fontId="101" fillId="0" borderId="0" xfId="5" applyFont="1" applyAlignment="1">
      <alignment vertical="top" wrapText="1"/>
    </xf>
    <xf numFmtId="0" fontId="126" fillId="0" borderId="0" xfId="5" applyFont="1" applyAlignment="1">
      <alignment wrapText="1"/>
    </xf>
    <xf numFmtId="0" fontId="2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" fillId="0" borderId="0" xfId="3" applyFont="1"/>
    <xf numFmtId="0" fontId="122" fillId="0" borderId="0" xfId="4" applyFont="1" applyAlignment="1">
      <alignment horizontal="right"/>
    </xf>
    <xf numFmtId="0" fontId="122" fillId="0" borderId="0" xfId="4" applyFont="1"/>
    <xf numFmtId="0" fontId="122" fillId="0" borderId="0" xfId="4" applyFont="1" applyAlignment="1">
      <alignment wrapText="1"/>
    </xf>
    <xf numFmtId="0" fontId="129" fillId="0" borderId="0" xfId="4" applyFont="1" applyAlignment="1">
      <alignment horizontal="right"/>
    </xf>
    <xf numFmtId="0" fontId="150" fillId="0" borderId="1" xfId="4" applyFont="1" applyBorder="1"/>
    <xf numFmtId="0" fontId="153" fillId="0" borderId="1" xfId="4" applyFont="1" applyBorder="1"/>
    <xf numFmtId="0" fontId="86" fillId="0" borderId="0" xfId="4" applyFont="1" applyAlignment="1">
      <alignment horizontal="center"/>
    </xf>
    <xf numFmtId="0" fontId="27" fillId="0" borderId="0" xfId="4" applyFont="1"/>
    <xf numFmtId="0" fontId="27" fillId="0" borderId="0" xfId="4" applyFont="1" applyAlignment="1">
      <alignment horizontal="right"/>
    </xf>
    <xf numFmtId="0" fontId="150" fillId="0" borderId="0" xfId="4" applyFont="1"/>
    <xf numFmtId="0" fontId="27" fillId="0" borderId="0" xfId="4" applyFont="1" applyAlignment="1">
      <alignment horizontal="left"/>
    </xf>
    <xf numFmtId="0" fontId="39" fillId="0" borderId="0" xfId="4" applyFont="1" applyAlignment="1">
      <alignment vertical="top"/>
    </xf>
    <xf numFmtId="0" fontId="122" fillId="0" borderId="0" xfId="6" applyFont="1" applyAlignment="1">
      <alignment horizontal="left" vertical="center"/>
    </xf>
    <xf numFmtId="0" fontId="154" fillId="0" borderId="0" xfId="6" applyFont="1" applyAlignment="1">
      <alignment vertical="center" wrapText="1"/>
    </xf>
    <xf numFmtId="0" fontId="27" fillId="0" borderId="0" xfId="6" applyAlignment="1">
      <alignment vertical="center" wrapText="1"/>
    </xf>
    <xf numFmtId="0" fontId="122" fillId="0" borderId="0" xfId="6" applyFont="1" applyAlignment="1">
      <alignment vertical="center"/>
    </xf>
    <xf numFmtId="0" fontId="122" fillId="0" borderId="0" xfId="4" applyFont="1" applyAlignment="1">
      <alignment vertical="center"/>
    </xf>
    <xf numFmtId="0" fontId="155" fillId="0" borderId="0" xfId="4" applyFont="1" applyAlignment="1">
      <alignment vertical="center"/>
    </xf>
    <xf numFmtId="0" fontId="83" fillId="0" borderId="0" xfId="4" applyFont="1" applyAlignment="1">
      <alignment horizontal="center"/>
    </xf>
    <xf numFmtId="0" fontId="41" fillId="0" borderId="0" xfId="6" applyFont="1" applyAlignment="1">
      <alignment horizontal="center" vertical="center"/>
    </xf>
    <xf numFmtId="0" fontId="124" fillId="0" borderId="0" xfId="4" applyFont="1"/>
    <xf numFmtId="0" fontId="156" fillId="0" borderId="0" xfId="4" applyFont="1" applyAlignment="1">
      <alignment vertical="center" wrapText="1"/>
    </xf>
    <xf numFmtId="0" fontId="156" fillId="0" borderId="0" xfId="4" applyFont="1" applyAlignment="1">
      <alignment vertical="center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center" vertical="center"/>
    </xf>
    <xf numFmtId="0" fontId="1" fillId="0" borderId="0" xfId="3" applyFont="1" applyAlignment="1"/>
    <xf numFmtId="0" fontId="66" fillId="0" borderId="0" xfId="3" applyFont="1" applyAlignment="1"/>
    <xf numFmtId="0" fontId="53" fillId="4" borderId="0" xfId="3" applyFill="1"/>
    <xf numFmtId="0" fontId="1" fillId="0" borderId="0" xfId="3" applyFont="1" applyAlignment="1">
      <alignment wrapText="1"/>
    </xf>
    <xf numFmtId="49" fontId="108" fillId="0" borderId="2" xfId="5" applyNumberFormat="1" applyFont="1" applyBorder="1" applyAlignment="1">
      <alignment horizontal="center" vertical="top" wrapText="1"/>
    </xf>
    <xf numFmtId="0" fontId="108" fillId="11" borderId="2" xfId="5" applyFont="1" applyFill="1" applyBorder="1" applyAlignment="1">
      <alignment horizontal="left" vertical="top" wrapText="1"/>
    </xf>
    <xf numFmtId="0" fontId="39" fillId="0" borderId="6" xfId="5" applyFont="1" applyBorder="1" applyAlignment="1">
      <alignment vertical="top"/>
    </xf>
    <xf numFmtId="0" fontId="39" fillId="12" borderId="1" xfId="5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0" fontId="102" fillId="0" borderId="0" xfId="5"/>
    <xf numFmtId="0" fontId="122" fillId="0" borderId="0" xfId="5" applyFont="1"/>
    <xf numFmtId="0" fontId="7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63" fillId="0" borderId="0" xfId="3" applyFont="1" applyAlignment="1">
      <alignment horizontal="left" wrapText="1"/>
    </xf>
    <xf numFmtId="0" fontId="54" fillId="0" borderId="0" xfId="3" applyFont="1"/>
    <xf numFmtId="0" fontId="53" fillId="0" borderId="0" xfId="3"/>
    <xf numFmtId="0" fontId="55" fillId="0" borderId="0" xfId="3" applyFont="1"/>
    <xf numFmtId="0" fontId="56" fillId="0" borderId="0" xfId="3" applyFont="1"/>
    <xf numFmtId="0" fontId="56" fillId="0" borderId="0" xfId="3" applyFont="1" applyAlignment="1">
      <alignment wrapText="1"/>
    </xf>
    <xf numFmtId="0" fontId="14" fillId="0" borderId="0" xfId="0" applyFont="1" applyAlignment="1">
      <alignment horizontal="center" vertical="center"/>
    </xf>
    <xf numFmtId="0" fontId="62" fillId="0" borderId="0" xfId="3" applyFont="1"/>
    <xf numFmtId="0" fontId="66" fillId="0" borderId="0" xfId="3" applyFont="1"/>
    <xf numFmtId="0" fontId="7" fillId="0" borderId="0" xfId="0" applyFont="1" applyBorder="1" applyAlignment="1">
      <alignment horizontal="center"/>
    </xf>
    <xf numFmtId="0" fontId="159" fillId="0" borderId="0" xfId="0" applyFont="1"/>
    <xf numFmtId="0" fontId="160" fillId="0" borderId="0" xfId="0" applyFont="1"/>
    <xf numFmtId="0" fontId="42" fillId="0" borderId="0" xfId="0" applyFont="1" applyBorder="1" applyAlignment="1">
      <alignment horizontal="center"/>
    </xf>
    <xf numFmtId="49" fontId="99" fillId="8" borderId="2" xfId="0" applyNumberFormat="1" applyFont="1" applyFill="1" applyBorder="1" applyAlignment="1">
      <alignment horizontal="center" wrapText="1"/>
    </xf>
    <xf numFmtId="14" fontId="3" fillId="10" borderId="2" xfId="0" applyNumberFormat="1" applyFont="1" applyFill="1" applyBorder="1" applyAlignment="1">
      <alignment horizontal="left"/>
    </xf>
    <xf numFmtId="0" fontId="39" fillId="0" borderId="0" xfId="5" applyFont="1" applyFill="1" applyAlignment="1">
      <alignment wrapText="1"/>
    </xf>
    <xf numFmtId="0" fontId="39" fillId="0" borderId="0" xfId="5" applyFont="1" applyFill="1"/>
    <xf numFmtId="0" fontId="122" fillId="0" borderId="0" xfId="5" applyFont="1" applyFill="1" applyAlignment="1">
      <alignment wrapText="1"/>
    </xf>
    <xf numFmtId="0" fontId="122" fillId="0" borderId="0" xfId="5" applyFont="1" applyFill="1"/>
    <xf numFmtId="0" fontId="63" fillId="0" borderId="0" xfId="3" applyFont="1" applyFill="1"/>
    <xf numFmtId="0" fontId="66" fillId="0" borderId="0" xfId="3" applyFont="1" applyFill="1"/>
    <xf numFmtId="0" fontId="53" fillId="0" borderId="0" xfId="3" applyFill="1"/>
    <xf numFmtId="0" fontId="62" fillId="0" borderId="0" xfId="3" applyFont="1" applyFill="1"/>
    <xf numFmtId="0" fontId="64" fillId="0" borderId="0" xfId="3" applyFont="1" applyFill="1"/>
    <xf numFmtId="0" fontId="67" fillId="0" borderId="0" xfId="3" applyFont="1" applyFill="1"/>
    <xf numFmtId="0" fontId="68" fillId="0" borderId="0" xfId="3" applyFont="1" applyFill="1"/>
    <xf numFmtId="0" fontId="65" fillId="0" borderId="0" xfId="3" applyFont="1" applyFill="1"/>
    <xf numFmtId="0" fontId="61" fillId="0" borderId="0" xfId="3" applyFont="1" applyFill="1"/>
    <xf numFmtId="0" fontId="69" fillId="0" borderId="0" xfId="3" applyFont="1" applyFill="1"/>
    <xf numFmtId="0" fontId="20" fillId="0" borderId="0" xfId="3" applyFont="1" applyFill="1"/>
    <xf numFmtId="0" fontId="1" fillId="0" borderId="0" xfId="3" applyFont="1" applyFill="1"/>
    <xf numFmtId="0" fontId="157" fillId="0" borderId="0" xfId="3" applyFont="1" applyFill="1" applyBorder="1"/>
    <xf numFmtId="0" fontId="157" fillId="0" borderId="0" xfId="3" applyFont="1" applyFill="1"/>
    <xf numFmtId="0" fontId="66" fillId="0" borderId="1" xfId="3" applyFont="1" applyFill="1" applyBorder="1"/>
    <xf numFmtId="0" fontId="58" fillId="0" borderId="0" xfId="3" applyFont="1" applyFill="1"/>
    <xf numFmtId="0" fontId="60" fillId="0" borderId="0" xfId="3" applyFont="1" applyFill="1"/>
    <xf numFmtId="0" fontId="20" fillId="0" borderId="0" xfId="3" applyFont="1" applyFill="1" applyAlignment="1">
      <alignment horizontal="center"/>
    </xf>
    <xf numFmtId="0" fontId="59" fillId="0" borderId="0" xfId="3" applyFont="1" applyFill="1"/>
    <xf numFmtId="0" fontId="53" fillId="0" borderId="0" xfId="3" applyFill="1" applyAlignment="1">
      <alignment horizontal="left"/>
    </xf>
    <xf numFmtId="0" fontId="20" fillId="0" borderId="0" xfId="0" applyFont="1" applyFill="1"/>
    <xf numFmtId="0" fontId="7" fillId="0" borderId="0" xfId="0" applyFont="1" applyFill="1" applyAlignment="1">
      <alignment horizontal="center" vertical="center"/>
    </xf>
    <xf numFmtId="0" fontId="3" fillId="0" borderId="0" xfId="0" applyFont="1" applyFill="1"/>
    <xf numFmtId="0" fontId="7" fillId="0" borderId="0" xfId="0" applyFont="1" applyFill="1"/>
    <xf numFmtId="0" fontId="56" fillId="0" borderId="0" xfId="3" applyFont="1" applyFill="1" applyAlignment="1">
      <alignment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130" fillId="0" borderId="1" xfId="5" applyFont="1" applyFill="1" applyBorder="1" applyAlignment="1">
      <alignment horizontal="center"/>
    </xf>
    <xf numFmtId="0" fontId="46" fillId="0" borderId="0" xfId="0" applyFont="1" applyFill="1"/>
    <xf numFmtId="0" fontId="20" fillId="0" borderId="0" xfId="0" applyFont="1" applyFill="1" applyAlignment="1">
      <alignment vertical="center" wrapText="1"/>
    </xf>
    <xf numFmtId="0" fontId="46" fillId="0" borderId="0" xfId="0" applyFont="1" applyFill="1" applyAlignment="1">
      <alignment wrapText="1"/>
    </xf>
    <xf numFmtId="0" fontId="39" fillId="0" borderId="0" xfId="3" applyFont="1" applyFill="1"/>
    <xf numFmtId="0" fontId="20" fillId="0" borderId="0" xfId="3" applyFont="1" applyFill="1" applyAlignment="1">
      <alignment wrapText="1"/>
    </xf>
    <xf numFmtId="0" fontId="70" fillId="0" borderId="0" xfId="3" applyFont="1" applyFill="1"/>
    <xf numFmtId="0" fontId="114" fillId="0" borderId="0" xfId="5" applyFont="1"/>
    <xf numFmtId="0" fontId="39" fillId="0" borderId="0" xfId="5" applyFont="1" applyAlignment="1">
      <alignment horizontal="left" vertical="top" wrapText="1"/>
    </xf>
    <xf numFmtId="0" fontId="101" fillId="0" borderId="0" xfId="5" applyFont="1" applyAlignment="1">
      <alignment horizontal="left" vertical="top" wrapText="1"/>
    </xf>
    <xf numFmtId="0" fontId="102" fillId="0" borderId="0" xfId="5"/>
    <xf numFmtId="0" fontId="104" fillId="0" borderId="0" xfId="5" applyFont="1" applyAlignment="1">
      <alignment horizontal="left" vertical="top" wrapText="1"/>
    </xf>
    <xf numFmtId="0" fontId="39" fillId="0" borderId="0" xfId="5" applyFont="1"/>
    <xf numFmtId="0" fontId="102" fillId="0" borderId="0" xfId="5" applyAlignment="1">
      <alignment horizontal="center"/>
    </xf>
    <xf numFmtId="0" fontId="38" fillId="0" borderId="0" xfId="5" applyFont="1" applyAlignment="1">
      <alignment horizontal="center" vertical="center" wrapText="1"/>
    </xf>
    <xf numFmtId="0" fontId="142" fillId="0" borderId="3" xfId="5" applyFont="1" applyBorder="1" applyAlignment="1">
      <alignment horizontal="center" vertical="top" wrapText="1"/>
    </xf>
    <xf numFmtId="0" fontId="98" fillId="0" borderId="1" xfId="4" applyFont="1" applyBorder="1" applyAlignment="1">
      <alignment horizontal="left" vertical="center"/>
    </xf>
    <xf numFmtId="0" fontId="3" fillId="0" borderId="6" xfId="0" applyFont="1" applyBorder="1"/>
    <xf numFmtId="0" fontId="99" fillId="15" borderId="2" xfId="0" applyFont="1" applyFill="1" applyBorder="1" applyAlignment="1">
      <alignment horizontal="center" wrapText="1"/>
    </xf>
    <xf numFmtId="0" fontId="108" fillId="13" borderId="2" xfId="5" applyFont="1" applyFill="1" applyBorder="1" applyAlignment="1">
      <alignment horizontal="left" vertical="top" wrapText="1"/>
    </xf>
    <xf numFmtId="0" fontId="39" fillId="0" borderId="1" xfId="5" applyFont="1" applyFill="1" applyBorder="1"/>
    <xf numFmtId="0" fontId="39" fillId="0" borderId="1" xfId="5" applyFont="1" applyFill="1" applyBorder="1" applyAlignment="1">
      <alignment vertical="center"/>
    </xf>
    <xf numFmtId="0" fontId="39" fillId="0" borderId="1" xfId="5" applyFont="1" applyFill="1" applyBorder="1" applyAlignment="1">
      <alignment wrapText="1"/>
    </xf>
    <xf numFmtId="0" fontId="108" fillId="0" borderId="1" xfId="5" applyFont="1" applyFill="1" applyBorder="1" applyAlignment="1">
      <alignment wrapText="1"/>
    </xf>
    <xf numFmtId="49" fontId="38" fillId="0" borderId="0" xfId="5" applyNumberFormat="1" applyFont="1" applyAlignment="1">
      <alignment horizontal="center" vertical="center"/>
    </xf>
    <xf numFmtId="165" fontId="83" fillId="0" borderId="0" xfId="4" applyNumberFormat="1" applyFont="1" applyAlignment="1"/>
    <xf numFmtId="0" fontId="27" fillId="0" borderId="0" xfId="0" applyFont="1" applyBorder="1"/>
    <xf numFmtId="0" fontId="27" fillId="0" borderId="6" xfId="0" applyFont="1" applyBorder="1"/>
    <xf numFmtId="0" fontId="3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02" fillId="0" borderId="0" xfId="5"/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3" fillId="0" borderId="0" xfId="3"/>
    <xf numFmtId="0" fontId="66" fillId="0" borderId="0" xfId="3" applyFont="1"/>
    <xf numFmtId="0" fontId="102" fillId="3" borderId="0" xfId="5" applyFill="1"/>
    <xf numFmtId="0" fontId="108" fillId="0" borderId="2" xfId="5" applyFont="1" applyBorder="1" applyAlignment="1">
      <alignment horizontal="center" vertical="center" wrapText="1"/>
    </xf>
    <xf numFmtId="0" fontId="108" fillId="16" borderId="2" xfId="5" applyFont="1" applyFill="1" applyBorder="1" applyAlignment="1">
      <alignment horizontal="left" vertical="top" wrapText="1"/>
    </xf>
    <xf numFmtId="0" fontId="102" fillId="0" borderId="0" xfId="5"/>
    <xf numFmtId="0" fontId="24" fillId="0" borderId="0" xfId="0" applyFont="1" applyAlignment="1">
      <alignment horizontal="left"/>
    </xf>
    <xf numFmtId="0" fontId="102" fillId="0" borderId="0" xfId="5"/>
    <xf numFmtId="0" fontId="53" fillId="0" borderId="2" xfId="3" applyBorder="1" applyAlignment="1">
      <alignment horizontal="center" vertical="center" wrapText="1"/>
    </xf>
    <xf numFmtId="0" fontId="53" fillId="0" borderId="5" xfId="3" applyBorder="1" applyAlignment="1">
      <alignment horizontal="center" vertical="center" wrapText="1"/>
    </xf>
    <xf numFmtId="0" fontId="53" fillId="6" borderId="2" xfId="3" applyFill="1" applyBorder="1" applyAlignment="1">
      <alignment horizontal="center" vertical="center" wrapText="1"/>
    </xf>
    <xf numFmtId="0" fontId="53" fillId="6" borderId="5" xfId="3" applyFill="1" applyBorder="1" applyAlignment="1">
      <alignment horizontal="center" vertical="center" wrapText="1"/>
    </xf>
    <xf numFmtId="0" fontId="3" fillId="0" borderId="1" xfId="0" applyFont="1" applyBorder="1" applyAlignment="1"/>
    <xf numFmtId="0" fontId="161" fillId="0" borderId="0" xfId="0" applyFont="1"/>
    <xf numFmtId="0" fontId="24" fillId="0" borderId="0" xfId="0" applyFont="1" applyBorder="1" applyAlignment="1">
      <alignment wrapText="1"/>
    </xf>
    <xf numFmtId="0" fontId="7" fillId="0" borderId="0" xfId="0" applyFont="1" applyBorder="1" applyAlignment="1"/>
    <xf numFmtId="0" fontId="101" fillId="0" borderId="0" xfId="5" applyFont="1" applyAlignment="1">
      <alignment horizontal="left" vertical="top" wrapText="1"/>
    </xf>
    <xf numFmtId="0" fontId="114" fillId="0" borderId="0" xfId="5" applyFont="1"/>
    <xf numFmtId="0" fontId="39" fillId="0" borderId="0" xfId="5" applyFont="1" applyAlignment="1">
      <alignment horizontal="left" vertical="top" wrapText="1"/>
    </xf>
    <xf numFmtId="0" fontId="102" fillId="0" borderId="0" xfId="5"/>
    <xf numFmtId="0" fontId="104" fillId="0" borderId="0" xfId="5" applyFont="1" applyAlignment="1">
      <alignment horizontal="left" vertical="top" wrapText="1"/>
    </xf>
    <xf numFmtId="0" fontId="38" fillId="0" borderId="0" xfId="5" applyFont="1" applyAlignment="1">
      <alignment horizontal="center" vertical="center" wrapText="1"/>
    </xf>
    <xf numFmtId="0" fontId="142" fillId="0" borderId="3" xfId="5" applyFont="1" applyBorder="1" applyAlignment="1">
      <alignment horizontal="center" vertical="top" wrapText="1"/>
    </xf>
    <xf numFmtId="0" fontId="102" fillId="0" borderId="0" xfId="5"/>
    <xf numFmtId="0" fontId="27" fillId="0" borderId="0" xfId="8" applyFont="1" applyProtection="1">
      <protection hidden="1"/>
    </xf>
    <xf numFmtId="0" fontId="122" fillId="0" borderId="0" xfId="8" applyFont="1" applyProtection="1">
      <protection hidden="1"/>
    </xf>
    <xf numFmtId="0" fontId="163" fillId="0" borderId="0" xfId="8" applyProtection="1">
      <protection hidden="1"/>
    </xf>
    <xf numFmtId="0" fontId="164" fillId="0" borderId="0" xfId="8" applyFont="1" applyAlignment="1" applyProtection="1">
      <alignment vertical="center"/>
      <protection hidden="1"/>
    </xf>
    <xf numFmtId="0" fontId="125" fillId="0" borderId="0" xfId="8" applyFont="1" applyAlignment="1" applyProtection="1">
      <alignment horizontal="left"/>
      <protection hidden="1"/>
    </xf>
    <xf numFmtId="0" fontId="125" fillId="0" borderId="0" xfId="8" applyFont="1" applyAlignment="1" applyProtection="1">
      <alignment vertical="center"/>
      <protection hidden="1"/>
    </xf>
    <xf numFmtId="0" fontId="129" fillId="0" borderId="0" xfId="8" applyFont="1" applyProtection="1">
      <protection hidden="1"/>
    </xf>
    <xf numFmtId="49" fontId="27" fillId="0" borderId="0" xfId="8" applyNumberFormat="1" applyFont="1" applyProtection="1">
      <protection hidden="1"/>
    </xf>
    <xf numFmtId="0" fontId="162" fillId="0" borderId="0" xfId="8" applyFont="1" applyProtection="1">
      <protection hidden="1"/>
    </xf>
    <xf numFmtId="0" fontId="129" fillId="0" borderId="0" xfId="8" applyFont="1" applyAlignment="1" applyProtection="1">
      <alignment horizontal="right"/>
      <protection hidden="1"/>
    </xf>
    <xf numFmtId="0" fontId="162" fillId="0" borderId="1" xfId="8" applyFont="1" applyBorder="1" applyAlignment="1" applyProtection="1">
      <alignment horizontal="left"/>
      <protection hidden="1"/>
    </xf>
    <xf numFmtId="0" fontId="122" fillId="0" borderId="0" xfId="8" applyFont="1" applyAlignment="1" applyProtection="1">
      <alignment vertical="top" wrapText="1"/>
      <protection hidden="1"/>
    </xf>
    <xf numFmtId="0" fontId="27" fillId="0" borderId="0" xfId="8" applyFont="1" applyAlignment="1" applyProtection="1">
      <alignment vertical="top"/>
      <protection hidden="1"/>
    </xf>
    <xf numFmtId="0" fontId="39" fillId="0" borderId="0" xfId="8" applyFont="1" applyAlignment="1" applyProtection="1">
      <alignment vertical="top"/>
      <protection hidden="1"/>
    </xf>
    <xf numFmtId="0" fontId="27" fillId="0" borderId="0" xfId="8" applyFont="1" applyAlignment="1" applyProtection="1">
      <alignment vertical="top" wrapText="1"/>
      <protection hidden="1"/>
    </xf>
    <xf numFmtId="0" fontId="162" fillId="0" borderId="0" xfId="8" applyFont="1" applyAlignment="1" applyProtection="1">
      <alignment wrapText="1"/>
      <protection hidden="1"/>
    </xf>
    <xf numFmtId="0" fontId="129" fillId="0" borderId="0" xfId="8" applyFont="1" applyAlignment="1" applyProtection="1">
      <alignment wrapText="1"/>
      <protection hidden="1"/>
    </xf>
    <xf numFmtId="0" fontId="162" fillId="0" borderId="0" xfId="8" applyFont="1" applyAlignment="1" applyProtection="1">
      <alignment vertical="top"/>
      <protection hidden="1"/>
    </xf>
    <xf numFmtId="0" fontId="162" fillId="0" borderId="0" xfId="8" applyFont="1"/>
    <xf numFmtId="0" fontId="27" fillId="0" borderId="0" xfId="8" applyFont="1" applyAlignment="1" applyProtection="1">
      <alignment horizontal="left" vertical="top"/>
      <protection hidden="1"/>
    </xf>
    <xf numFmtId="0" fontId="150" fillId="0" borderId="0" xfId="8" applyFont="1" applyAlignment="1" applyProtection="1">
      <alignment vertical="top"/>
      <protection hidden="1"/>
    </xf>
    <xf numFmtId="0" fontId="27" fillId="0" borderId="0" xfId="8" applyFont="1" applyAlignment="1" applyProtection="1">
      <alignment vertical="center" wrapText="1"/>
      <protection hidden="1"/>
    </xf>
    <xf numFmtId="0" fontId="89" fillId="0" borderId="0" xfId="8" applyFont="1"/>
    <xf numFmtId="0" fontId="27" fillId="0" borderId="0" xfId="8" applyFont="1" applyAlignment="1" applyProtection="1">
      <alignment vertical="center"/>
      <protection hidden="1"/>
    </xf>
    <xf numFmtId="0" fontId="39" fillId="0" borderId="0" xfId="8" applyFont="1" applyProtection="1">
      <protection hidden="1"/>
    </xf>
    <xf numFmtId="0" fontId="166" fillId="0" borderId="0" xfId="8" applyFont="1"/>
    <xf numFmtId="0" fontId="167" fillId="0" borderId="0" xfId="8" applyFont="1" applyAlignment="1">
      <alignment wrapText="1"/>
    </xf>
    <xf numFmtId="0" fontId="150" fillId="0" borderId="0" xfId="8" applyFont="1" applyAlignment="1" applyProtection="1">
      <alignment vertical="top" wrapText="1"/>
      <protection hidden="1"/>
    </xf>
    <xf numFmtId="0" fontId="162" fillId="0" borderId="0" xfId="8" applyFont="1" applyAlignment="1" applyProtection="1">
      <alignment horizontal="right" vertical="top" wrapText="1"/>
      <protection hidden="1"/>
    </xf>
    <xf numFmtId="0" fontId="27" fillId="0" borderId="0" xfId="8" applyFont="1" applyAlignment="1" applyProtection="1">
      <alignment horizontal="left" vertical="center" wrapText="1"/>
      <protection hidden="1"/>
    </xf>
    <xf numFmtId="0" fontId="27" fillId="0" borderId="0" xfId="8" applyFont="1" applyAlignment="1" applyProtection="1">
      <alignment horizontal="center" vertical="top"/>
      <protection hidden="1"/>
    </xf>
    <xf numFmtId="0" fontId="129" fillId="0" borderId="0" xfId="8" applyFont="1" applyAlignment="1" applyProtection="1">
      <alignment horizontal="center" vertical="top"/>
      <protection hidden="1"/>
    </xf>
    <xf numFmtId="0" fontId="27" fillId="0" borderId="0" xfId="8" applyFont="1" applyAlignment="1" applyProtection="1">
      <alignment wrapText="1"/>
      <protection hidden="1"/>
    </xf>
    <xf numFmtId="0" fontId="83" fillId="0" borderId="1" xfId="8" applyFont="1" applyBorder="1" applyProtection="1">
      <protection hidden="1"/>
    </xf>
    <xf numFmtId="0" fontId="27" fillId="0" borderId="1" xfId="8" applyFont="1" applyBorder="1" applyAlignment="1" applyProtection="1">
      <alignment vertical="top" wrapText="1"/>
      <protection hidden="1"/>
    </xf>
    <xf numFmtId="3" fontId="27" fillId="0" borderId="0" xfId="8" applyNumberFormat="1" applyFont="1" applyProtection="1">
      <protection hidden="1"/>
    </xf>
    <xf numFmtId="1" fontId="27" fillId="0" borderId="0" xfId="8" applyNumberFormat="1" applyFont="1" applyProtection="1">
      <protection hidden="1"/>
    </xf>
    <xf numFmtId="0" fontId="27" fillId="0" borderId="0" xfId="8" applyFont="1" applyAlignment="1" applyProtection="1">
      <alignment horizontal="left" vertical="top" wrapText="1"/>
      <protection hidden="1"/>
    </xf>
    <xf numFmtId="0" fontId="39" fillId="0" borderId="0" xfId="8" applyFont="1" applyAlignment="1" applyProtection="1">
      <alignment horizontal="center" vertical="top"/>
      <protection hidden="1"/>
    </xf>
    <xf numFmtId="0" fontId="129" fillId="0" borderId="0" xfId="8" applyFont="1" applyAlignment="1" applyProtection="1">
      <alignment horizontal="left"/>
      <protection hidden="1"/>
    </xf>
    <xf numFmtId="0" fontId="27" fillId="0" borderId="0" xfId="8" applyFont="1" applyAlignment="1" applyProtection="1">
      <alignment horizontal="left"/>
      <protection hidden="1"/>
    </xf>
    <xf numFmtId="0" fontId="169" fillId="0" borderId="0" xfId="8" applyFont="1" applyProtection="1">
      <protection hidden="1"/>
    </xf>
    <xf numFmtId="0" fontId="162" fillId="0" borderId="0" xfId="8" applyFont="1" applyAlignment="1" applyProtection="1">
      <alignment vertical="center"/>
      <protection hidden="1"/>
    </xf>
    <xf numFmtId="0" fontId="89" fillId="0" borderId="0" xfId="8" applyFont="1" applyProtection="1">
      <protection hidden="1"/>
    </xf>
    <xf numFmtId="0" fontId="162" fillId="0" borderId="0" xfId="8" applyFont="1" applyAlignment="1" applyProtection="1">
      <alignment horizontal="right" wrapText="1"/>
      <protection hidden="1"/>
    </xf>
    <xf numFmtId="0" fontId="162" fillId="0" borderId="0" xfId="8" applyFont="1" applyAlignment="1" applyProtection="1">
      <alignment horizontal="right" vertical="center"/>
      <protection hidden="1"/>
    </xf>
    <xf numFmtId="0" fontId="162" fillId="0" borderId="0" xfId="8" applyFont="1" applyAlignment="1" applyProtection="1">
      <alignment horizontal="left"/>
      <protection hidden="1"/>
    </xf>
    <xf numFmtId="0" fontId="162" fillId="0" borderId="0" xfId="8" applyFont="1" applyAlignment="1" applyProtection="1">
      <alignment horizontal="right"/>
      <protection hidden="1"/>
    </xf>
    <xf numFmtId="0" fontId="0" fillId="0" borderId="0" xfId="0" applyFont="1" applyAlignment="1">
      <alignment wrapText="1"/>
    </xf>
    <xf numFmtId="0" fontId="0" fillId="0" borderId="0" xfId="0" applyFont="1"/>
    <xf numFmtId="0" fontId="129" fillId="0" borderId="0" xfId="8" applyFont="1" applyFill="1" applyAlignment="1" applyProtection="1">
      <alignment horizontal="right"/>
      <protection hidden="1"/>
    </xf>
    <xf numFmtId="0" fontId="162" fillId="0" borderId="0" xfId="8" applyFont="1" applyFill="1" applyBorder="1" applyAlignment="1" applyProtection="1">
      <alignment horizontal="center" vertical="center"/>
      <protection hidden="1"/>
    </xf>
    <xf numFmtId="0" fontId="162" fillId="0" borderId="0" xfId="8" applyFont="1" applyFill="1" applyBorder="1" applyProtection="1">
      <protection hidden="1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0" fillId="0" borderId="5" xfId="0" applyFont="1" applyBorder="1" applyAlignment="1">
      <alignment horizontal="center" wrapText="1"/>
    </xf>
    <xf numFmtId="0" fontId="100" fillId="0" borderId="13" xfId="0" applyFont="1" applyBorder="1" applyAlignment="1">
      <alignment horizontal="center" wrapText="1"/>
    </xf>
    <xf numFmtId="0" fontId="102" fillId="0" borderId="0" xfId="5"/>
    <xf numFmtId="0" fontId="114" fillId="0" borderId="0" xfId="5" applyFont="1"/>
    <xf numFmtId="0" fontId="39" fillId="0" borderId="0" xfId="5" applyFont="1" applyAlignment="1">
      <alignment horizontal="left" vertical="top" wrapText="1"/>
    </xf>
    <xf numFmtId="0" fontId="101" fillId="0" borderId="0" xfId="5" applyFont="1" applyAlignment="1">
      <alignment horizontal="left" vertical="top" wrapText="1"/>
    </xf>
    <xf numFmtId="0" fontId="104" fillId="0" borderId="0" xfId="5" applyFont="1" applyAlignment="1">
      <alignment horizontal="left" vertical="top" wrapText="1"/>
    </xf>
    <xf numFmtId="0" fontId="142" fillId="0" borderId="3" xfId="5" applyFont="1" applyBorder="1" applyAlignment="1">
      <alignment horizontal="center" vertical="top" wrapText="1"/>
    </xf>
    <xf numFmtId="0" fontId="30" fillId="0" borderId="0" xfId="1" applyFont="1" applyAlignment="1" applyProtection="1"/>
    <xf numFmtId="0" fontId="30" fillId="0" borderId="0" xfId="1" applyFont="1" applyAlignment="1" applyProtection="1">
      <alignment horizontal="left"/>
    </xf>
    <xf numFmtId="0" fontId="34" fillId="0" borderId="17" xfId="0" applyFont="1" applyBorder="1" applyAlignment="1">
      <alignment horizontal="center"/>
    </xf>
    <xf numFmtId="0" fontId="0" fillId="6" borderId="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0" fillId="0" borderId="5" xfId="0" applyFont="1" applyBorder="1" applyAlignment="1">
      <alignment horizontal="center" wrapText="1"/>
    </xf>
    <xf numFmtId="0" fontId="100" fillId="0" borderId="15" xfId="0" applyFont="1" applyBorder="1" applyAlignment="1">
      <alignment horizontal="center" wrapText="1"/>
    </xf>
    <xf numFmtId="0" fontId="100" fillId="0" borderId="5" xfId="0" applyFont="1" applyBorder="1" applyAlignment="1">
      <alignment horizontal="center"/>
    </xf>
    <xf numFmtId="0" fontId="100" fillId="0" borderId="15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167" fontId="31" fillId="0" borderId="0" xfId="0" applyNumberFormat="1" applyFont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0" borderId="0" xfId="0" applyFont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151" fillId="0" borderId="0" xfId="0" applyFont="1" applyBorder="1" applyAlignment="1">
      <alignment horizontal="center" vertical="top" wrapText="1"/>
    </xf>
    <xf numFmtId="0" fontId="151" fillId="0" borderId="0" xfId="0" applyFont="1" applyBorder="1" applyAlignment="1">
      <alignment horizontal="center" vertical="top"/>
    </xf>
    <xf numFmtId="0" fontId="152" fillId="0" borderId="0" xfId="0" applyFont="1" applyBorder="1" applyAlignment="1">
      <alignment horizontal="center" vertical="center" wrapText="1"/>
    </xf>
    <xf numFmtId="0" fontId="162" fillId="0" borderId="0" xfId="8" applyFont="1" applyAlignment="1" applyProtection="1">
      <alignment horizontal="right"/>
      <protection hidden="1"/>
    </xf>
    <xf numFmtId="0" fontId="125" fillId="0" borderId="1" xfId="8" applyFont="1" applyBorder="1" applyAlignment="1" applyProtection="1">
      <alignment horizontal="center"/>
      <protection hidden="1"/>
    </xf>
    <xf numFmtId="0" fontId="165" fillId="0" borderId="0" xfId="8" applyFont="1" applyAlignment="1" applyProtection="1">
      <alignment horizontal="center"/>
      <protection hidden="1"/>
    </xf>
    <xf numFmtId="0" fontId="162" fillId="3" borderId="1" xfId="8" applyFont="1" applyFill="1" applyBorder="1" applyAlignment="1" applyProtection="1">
      <alignment horizontal="center"/>
      <protection hidden="1"/>
    </xf>
    <xf numFmtId="0" fontId="162" fillId="0" borderId="1" xfId="8" applyFont="1" applyBorder="1" applyAlignment="1" applyProtection="1">
      <alignment horizontal="center"/>
      <protection hidden="1"/>
    </xf>
    <xf numFmtId="0" fontId="162" fillId="0" borderId="0" xfId="8" applyNumberFormat="1" applyFont="1" applyFill="1" applyBorder="1" applyAlignment="1" applyProtection="1">
      <alignment horizontal="center"/>
      <protection hidden="1"/>
    </xf>
    <xf numFmtId="0" fontId="27" fillId="0" borderId="3" xfId="8" applyFont="1" applyBorder="1" applyAlignment="1" applyProtection="1">
      <alignment horizontal="center" vertical="top"/>
      <protection hidden="1"/>
    </xf>
    <xf numFmtId="0" fontId="27" fillId="0" borderId="15" xfId="8" applyFont="1" applyBorder="1" applyAlignment="1" applyProtection="1">
      <alignment horizontal="center"/>
      <protection hidden="1"/>
    </xf>
    <xf numFmtId="0" fontId="27" fillId="0" borderId="3" xfId="8" applyFont="1" applyBorder="1" applyAlignment="1" applyProtection="1">
      <alignment horizontal="center"/>
      <protection hidden="1"/>
    </xf>
    <xf numFmtId="0" fontId="162" fillId="0" borderId="0" xfId="8" applyFont="1" applyAlignment="1" applyProtection="1">
      <alignment horizontal="center"/>
      <protection hidden="1"/>
    </xf>
    <xf numFmtId="0" fontId="83" fillId="0" borderId="1" xfId="8" applyFont="1" applyBorder="1" applyAlignment="1" applyProtection="1">
      <alignment horizontal="center"/>
      <protection hidden="1"/>
    </xf>
    <xf numFmtId="0" fontId="162" fillId="0" borderId="1" xfId="8" applyFont="1" applyBorder="1" applyAlignment="1" applyProtection="1">
      <alignment horizontal="center" wrapText="1"/>
      <protection hidden="1"/>
    </xf>
    <xf numFmtId="0" fontId="27" fillId="0" borderId="1" xfId="8" applyFont="1" applyBorder="1" applyAlignment="1" applyProtection="1">
      <alignment horizontal="center"/>
      <protection hidden="1"/>
    </xf>
    <xf numFmtId="0" fontId="27" fillId="0" borderId="3" xfId="8" applyFont="1" applyBorder="1" applyAlignment="1" applyProtection="1">
      <alignment horizontal="center" vertical="top" wrapText="1"/>
      <protection hidden="1"/>
    </xf>
    <xf numFmtId="0" fontId="89" fillId="0" borderId="1" xfId="8" applyFont="1" applyBorder="1" applyAlignment="1" applyProtection="1">
      <alignment horizontal="center"/>
      <protection hidden="1"/>
    </xf>
    <xf numFmtId="0" fontId="162" fillId="3" borderId="0" xfId="8" applyFont="1" applyFill="1" applyAlignment="1" applyProtection="1">
      <alignment horizontal="left" vertical="top" wrapText="1"/>
      <protection hidden="1"/>
    </xf>
    <xf numFmtId="0" fontId="162" fillId="3" borderId="1" xfId="8" applyFont="1" applyFill="1" applyBorder="1" applyAlignment="1" applyProtection="1">
      <alignment horizontal="left" vertical="top" wrapText="1"/>
      <protection hidden="1"/>
    </xf>
    <xf numFmtId="0" fontId="162" fillId="0" borderId="1" xfId="8" applyFont="1" applyBorder="1" applyAlignment="1" applyProtection="1">
      <alignment horizontal="center" vertical="top"/>
      <protection hidden="1"/>
    </xf>
    <xf numFmtId="0" fontId="89" fillId="0" borderId="1" xfId="8" applyFont="1" applyBorder="1" applyAlignment="1" applyProtection="1">
      <alignment horizontal="left" vertical="center" wrapText="1"/>
      <protection hidden="1"/>
    </xf>
    <xf numFmtId="0" fontId="162" fillId="0" borderId="1" xfId="8" applyFont="1" applyBorder="1" applyAlignment="1" applyProtection="1">
      <alignment horizontal="center" vertical="top" wrapText="1"/>
      <protection hidden="1"/>
    </xf>
    <xf numFmtId="14" fontId="162" fillId="0" borderId="0" xfId="8" applyNumberFormat="1" applyFont="1" applyFill="1" applyBorder="1" applyAlignment="1" applyProtection="1">
      <alignment horizontal="center" vertical="center"/>
      <protection hidden="1"/>
    </xf>
    <xf numFmtId="0" fontId="27" fillId="0" borderId="15" xfId="8" applyFont="1" applyBorder="1" applyAlignment="1" applyProtection="1">
      <alignment horizontal="center" vertical="top" wrapText="1"/>
      <protection hidden="1"/>
    </xf>
    <xf numFmtId="0" fontId="162" fillId="0" borderId="3" xfId="8" applyFont="1" applyBorder="1" applyAlignment="1" applyProtection="1">
      <alignment horizontal="center" wrapText="1"/>
      <protection hidden="1"/>
    </xf>
    <xf numFmtId="0" fontId="162" fillId="0" borderId="0" xfId="8" applyFont="1" applyAlignment="1" applyProtection="1">
      <alignment horizontal="left" wrapText="1"/>
      <protection hidden="1"/>
    </xf>
    <xf numFmtId="0" fontId="162" fillId="0" borderId="0" xfId="8" applyFont="1" applyAlignment="1" applyProtection="1">
      <alignment horizontal="center" wrapText="1"/>
      <protection hidden="1"/>
    </xf>
    <xf numFmtId="0" fontId="83" fillId="0" borderId="1" xfId="8" applyFont="1" applyBorder="1" applyAlignment="1" applyProtection="1">
      <alignment horizontal="center" wrapText="1"/>
      <protection hidden="1"/>
    </xf>
    <xf numFmtId="0" fontId="27" fillId="0" borderId="3" xfId="8" applyFont="1" applyBorder="1" applyAlignment="1" applyProtection="1">
      <alignment horizontal="center" wrapText="1"/>
      <protection hidden="1"/>
    </xf>
    <xf numFmtId="0" fontId="162" fillId="0" borderId="0" xfId="8" applyNumberFormat="1" applyFont="1" applyFill="1" applyAlignment="1" applyProtection="1">
      <alignment horizontal="center"/>
      <protection hidden="1"/>
    </xf>
    <xf numFmtId="0" fontId="83" fillId="0" borderId="0" xfId="8" applyFont="1" applyAlignment="1" applyProtection="1">
      <alignment horizontal="left" wrapText="1"/>
      <protection hidden="1"/>
    </xf>
    <xf numFmtId="0" fontId="83" fillId="0" borderId="1" xfId="8" applyFont="1" applyBorder="1" applyAlignment="1" applyProtection="1">
      <alignment horizontal="left" wrapText="1"/>
      <protection hidden="1"/>
    </xf>
    <xf numFmtId="0" fontId="83" fillId="0" borderId="1" xfId="8" applyFont="1" applyBorder="1" applyAlignment="1" applyProtection="1">
      <alignment horizontal="left"/>
      <protection hidden="1"/>
    </xf>
    <xf numFmtId="0" fontId="27" fillId="0" borderId="3" xfId="8" applyFont="1" applyBorder="1" applyAlignment="1" applyProtection="1">
      <alignment horizontal="left" wrapText="1"/>
      <protection hidden="1"/>
    </xf>
    <xf numFmtId="0" fontId="165" fillId="0" borderId="0" xfId="8" applyFont="1" applyAlignment="1" applyProtection="1">
      <alignment horizontal="center" wrapText="1"/>
      <protection hidden="1"/>
    </xf>
    <xf numFmtId="0" fontId="164" fillId="0" borderId="0" xfId="8" applyFont="1" applyAlignment="1" applyProtection="1">
      <alignment horizontal="right" vertical="center"/>
      <protection hidden="1"/>
    </xf>
    <xf numFmtId="0" fontId="164" fillId="0" borderId="0" xfId="8" applyFont="1" applyAlignment="1" applyProtection="1">
      <alignment horizontal="left" vertical="center"/>
      <protection hidden="1"/>
    </xf>
    <xf numFmtId="0" fontId="162" fillId="0" borderId="1" xfId="8" applyFont="1" applyBorder="1" applyAlignment="1" applyProtection="1">
      <alignment horizontal="left"/>
      <protection hidden="1"/>
    </xf>
    <xf numFmtId="0" fontId="27" fillId="0" borderId="3" xfId="8" applyFont="1" applyBorder="1" applyAlignment="1" applyProtection="1">
      <alignment horizontal="center" vertical="center"/>
      <protection hidden="1"/>
    </xf>
    <xf numFmtId="0" fontId="162" fillId="0" borderId="0" xfId="8" applyFont="1" applyAlignment="1" applyProtection="1">
      <alignment horizontal="left" vertical="center"/>
      <protection hidden="1"/>
    </xf>
    <xf numFmtId="0" fontId="162" fillId="0" borderId="1" xfId="8" applyFont="1" applyBorder="1" applyAlignment="1" applyProtection="1">
      <alignment horizontal="left" vertical="center"/>
      <protection hidden="1"/>
    </xf>
    <xf numFmtId="0" fontId="162" fillId="0" borderId="3" xfId="8" applyFont="1" applyBorder="1" applyAlignment="1" applyProtection="1">
      <alignment horizontal="center" vertical="center"/>
      <protection hidden="1"/>
    </xf>
    <xf numFmtId="0" fontId="162" fillId="0" borderId="1" xfId="8" applyFont="1" applyBorder="1" applyAlignment="1" applyProtection="1">
      <alignment horizontal="center" vertical="center"/>
      <protection hidden="1"/>
    </xf>
    <xf numFmtId="0" fontId="162" fillId="0" borderId="0" xfId="8" applyFont="1" applyAlignment="1" applyProtection="1">
      <alignment horizontal="left" vertical="top" wrapText="1"/>
      <protection hidden="1"/>
    </xf>
    <xf numFmtId="0" fontId="162" fillId="0" borderId="1" xfId="8" applyFont="1" applyBorder="1" applyAlignment="1" applyProtection="1">
      <alignment horizontal="left" vertical="top" wrapText="1"/>
      <protection hidden="1"/>
    </xf>
    <xf numFmtId="169" fontId="162" fillId="3" borderId="1" xfId="8" applyNumberFormat="1" applyFont="1" applyFill="1" applyBorder="1" applyAlignment="1" applyProtection="1">
      <alignment horizontal="center" vertical="center"/>
      <protection hidden="1"/>
    </xf>
    <xf numFmtId="0" fontId="162" fillId="0" borderId="0" xfId="8" applyFont="1" applyAlignment="1">
      <alignment horizontal="left" wrapText="1"/>
    </xf>
    <xf numFmtId="0" fontId="162" fillId="0" borderId="1" xfId="8" applyFont="1" applyBorder="1" applyAlignment="1">
      <alignment horizontal="left" wrapText="1"/>
    </xf>
    <xf numFmtId="0" fontId="162" fillId="0" borderId="0" xfId="8" applyNumberFormat="1" applyFont="1" applyFill="1" applyAlignment="1">
      <alignment horizontal="center"/>
    </xf>
    <xf numFmtId="0" fontId="122" fillId="0" borderId="3" xfId="8" applyFont="1" applyBorder="1" applyAlignment="1" applyProtection="1">
      <alignment horizontal="center" vertical="top" wrapText="1"/>
      <protection hidden="1"/>
    </xf>
    <xf numFmtId="0" fontId="162" fillId="0" borderId="15" xfId="8" applyFont="1" applyBorder="1" applyAlignment="1" applyProtection="1">
      <alignment horizontal="center"/>
      <protection hidden="1"/>
    </xf>
    <xf numFmtId="0" fontId="129" fillId="0" borderId="15" xfId="8" applyFont="1" applyBorder="1" applyAlignment="1" applyProtection="1">
      <alignment horizontal="center"/>
      <protection hidden="1"/>
    </xf>
    <xf numFmtId="0" fontId="89" fillId="0" borderId="0" xfId="8" applyFont="1" applyAlignment="1" applyProtection="1">
      <alignment horizontal="center" wrapText="1"/>
      <protection hidden="1"/>
    </xf>
    <xf numFmtId="0" fontId="162" fillId="0" borderId="0" xfId="8" applyFont="1" applyAlignment="1" applyProtection="1">
      <alignment horizontal="center" vertical="center"/>
      <protection hidden="1"/>
    </xf>
    <xf numFmtId="0" fontId="162" fillId="0" borderId="0" xfId="8" applyFont="1" applyAlignment="1" applyProtection="1">
      <alignment horizontal="center" vertical="center" wrapText="1"/>
      <protection hidden="1"/>
    </xf>
    <xf numFmtId="0" fontId="162" fillId="0" borderId="1" xfId="8" applyFont="1" applyBorder="1" applyAlignment="1" applyProtection="1">
      <alignment horizontal="center" vertical="center" wrapText="1"/>
      <protection hidden="1"/>
    </xf>
    <xf numFmtId="0" fontId="162" fillId="3" borderId="0" xfId="8" applyFont="1" applyFill="1" applyAlignment="1" applyProtection="1">
      <alignment horizontal="center"/>
      <protection hidden="1"/>
    </xf>
    <xf numFmtId="0" fontId="162" fillId="4" borderId="1" xfId="8" applyFont="1" applyFill="1" applyBorder="1" applyAlignment="1" applyProtection="1">
      <alignment horizontal="left"/>
      <protection hidden="1"/>
    </xf>
    <xf numFmtId="0" fontId="162" fillId="0" borderId="0" xfId="8" applyFont="1" applyAlignment="1" applyProtection="1">
      <alignment horizontal="left"/>
      <protection hidden="1"/>
    </xf>
    <xf numFmtId="0" fontId="162" fillId="0" borderId="0" xfId="8" applyFont="1" applyFill="1" applyAlignment="1" applyProtection="1">
      <alignment horizontal="left" vertical="top" wrapText="1"/>
      <protection hidden="1"/>
    </xf>
    <xf numFmtId="169" fontId="162" fillId="3" borderId="1" xfId="8" applyNumberFormat="1" applyFont="1" applyFill="1" applyBorder="1" applyAlignment="1" applyProtection="1">
      <alignment horizontal="center"/>
      <protection hidden="1"/>
    </xf>
    <xf numFmtId="0" fontId="162" fillId="0" borderId="0" xfId="8" applyFont="1" applyAlignment="1" applyProtection="1">
      <alignment horizontal="left" vertical="center" wrapText="1"/>
      <protection hidden="1"/>
    </xf>
    <xf numFmtId="0" fontId="162" fillId="4" borderId="1" xfId="8" applyFont="1" applyFill="1" applyBorder="1" applyAlignment="1" applyProtection="1">
      <alignment horizontal="center"/>
      <protection hidden="1"/>
    </xf>
    <xf numFmtId="0" fontId="162" fillId="0" borderId="1" xfId="8" applyFont="1" applyBorder="1" applyAlignment="1" applyProtection="1">
      <alignment horizontal="left" wrapText="1"/>
      <protection hidden="1"/>
    </xf>
    <xf numFmtId="4" fontId="164" fillId="0" borderId="0" xfId="8" applyNumberFormat="1" applyFont="1" applyAlignment="1" applyProtection="1">
      <alignment horizontal="right" vertical="center"/>
      <protection hidden="1"/>
    </xf>
    <xf numFmtId="0" fontId="38" fillId="0" borderId="1" xfId="5" applyFont="1" applyBorder="1" applyAlignment="1">
      <alignment horizontal="center"/>
    </xf>
    <xf numFmtId="0" fontId="104" fillId="0" borderId="2" xfId="5" applyFont="1" applyBorder="1" applyAlignment="1">
      <alignment horizontal="left" vertical="top" wrapText="1"/>
    </xf>
    <xf numFmtId="0" fontId="128" fillId="0" borderId="2" xfId="5" applyFont="1" applyBorder="1" applyAlignment="1">
      <alignment horizontal="center" vertical="top" wrapText="1"/>
    </xf>
    <xf numFmtId="0" fontId="108" fillId="0" borderId="0" xfId="5" applyFont="1" applyAlignment="1">
      <alignment horizontal="left" vertical="top" wrapText="1"/>
    </xf>
    <xf numFmtId="0" fontId="114" fillId="0" borderId="0" xfId="5" applyFont="1"/>
    <xf numFmtId="0" fontId="39" fillId="0" borderId="0" xfId="5" applyFont="1" applyAlignment="1">
      <alignment horizontal="left" vertical="top" wrapText="1"/>
    </xf>
    <xf numFmtId="0" fontId="38" fillId="0" borderId="1" xfId="5" applyFont="1" applyBorder="1" applyAlignment="1">
      <alignment horizontal="center" vertical="center" wrapText="1"/>
    </xf>
    <xf numFmtId="0" fontId="137" fillId="0" borderId="1" xfId="5" applyFont="1" applyBorder="1" applyAlignment="1">
      <alignment horizontal="center" vertical="center"/>
    </xf>
    <xf numFmtId="0" fontId="29" fillId="0" borderId="0" xfId="5" applyFont="1" applyAlignment="1">
      <alignment horizontal="center" vertical="top"/>
    </xf>
    <xf numFmtId="0" fontId="29" fillId="0" borderId="3" xfId="5" applyFont="1" applyBorder="1" applyAlignment="1">
      <alignment horizontal="center" vertical="top"/>
    </xf>
    <xf numFmtId="0" fontId="114" fillId="0" borderId="1" xfId="5" applyFont="1" applyBorder="1" applyAlignment="1">
      <alignment horizontal="center"/>
    </xf>
    <xf numFmtId="0" fontId="114" fillId="0" borderId="15" xfId="5" applyFont="1" applyBorder="1" applyAlignment="1">
      <alignment horizontal="center"/>
    </xf>
    <xf numFmtId="0" fontId="101" fillId="0" borderId="0" xfId="5" applyFont="1" applyAlignment="1">
      <alignment horizontal="left" vertical="top" wrapText="1"/>
    </xf>
    <xf numFmtId="0" fontId="108" fillId="0" borderId="0" xfId="5" applyFont="1" applyAlignment="1">
      <alignment horizontal="left" wrapText="1"/>
    </xf>
    <xf numFmtId="0" fontId="38" fillId="0" borderId="0" xfId="5" applyFont="1" applyAlignment="1">
      <alignment horizontal="center"/>
    </xf>
    <xf numFmtId="0" fontId="104" fillId="0" borderId="5" xfId="5" applyFont="1" applyBorder="1" applyAlignment="1">
      <alignment horizontal="left" vertical="top" wrapText="1"/>
    </xf>
    <xf numFmtId="0" fontId="104" fillId="0" borderId="15" xfId="5" applyFont="1" applyBorder="1" applyAlignment="1">
      <alignment horizontal="left" vertical="top" wrapText="1"/>
    </xf>
    <xf numFmtId="0" fontId="104" fillId="0" borderId="6" xfId="5" applyFont="1" applyBorder="1" applyAlignment="1">
      <alignment horizontal="left" vertical="top" wrapText="1"/>
    </xf>
    <xf numFmtId="0" fontId="111" fillId="0" borderId="0" xfId="5" applyFont="1" applyAlignment="1">
      <alignment horizontal="left" wrapText="1"/>
    </xf>
    <xf numFmtId="0" fontId="38" fillId="0" borderId="1" xfId="5" applyFont="1" applyBorder="1" applyAlignment="1">
      <alignment horizontal="left"/>
    </xf>
    <xf numFmtId="0" fontId="38" fillId="0" borderId="1" xfId="5" applyFont="1" applyFill="1" applyBorder="1" applyAlignment="1">
      <alignment horizontal="center" vertical="center" wrapText="1"/>
    </xf>
    <xf numFmtId="0" fontId="114" fillId="0" borderId="1" xfId="5" applyFont="1" applyFill="1" applyBorder="1" applyAlignment="1">
      <alignment vertical="center"/>
    </xf>
    <xf numFmtId="0" fontId="104" fillId="0" borderId="0" xfId="5" applyFont="1" applyFill="1" applyAlignment="1">
      <alignment horizontal="center" vertical="top" wrapText="1"/>
    </xf>
    <xf numFmtId="0" fontId="102" fillId="0" borderId="0" xfId="5" applyFill="1"/>
    <xf numFmtId="165" fontId="39" fillId="0" borderId="1" xfId="5" applyNumberFormat="1" applyFont="1" applyFill="1" applyBorder="1" applyAlignment="1">
      <alignment horizontal="center"/>
    </xf>
    <xf numFmtId="0" fontId="39" fillId="0" borderId="1" xfId="5" applyFont="1" applyFill="1" applyBorder="1" applyAlignment="1">
      <alignment horizontal="center"/>
    </xf>
    <xf numFmtId="0" fontId="108" fillId="0" borderId="0" xfId="5" applyFont="1" applyFill="1" applyAlignment="1">
      <alignment horizontal="left" wrapText="1"/>
    </xf>
    <xf numFmtId="0" fontId="108" fillId="0" borderId="1" xfId="5" applyFont="1" applyBorder="1" applyAlignment="1">
      <alignment horizontal="left" wrapText="1"/>
    </xf>
    <xf numFmtId="0" fontId="104" fillId="0" borderId="5" xfId="5" applyFont="1" applyBorder="1" applyAlignment="1">
      <alignment horizontal="center" vertical="top" wrapText="1"/>
    </xf>
    <xf numFmtId="0" fontId="104" fillId="0" borderId="15" xfId="5" applyFont="1" applyBorder="1" applyAlignment="1">
      <alignment horizontal="center" vertical="top" wrapText="1"/>
    </xf>
    <xf numFmtId="0" fontId="104" fillId="0" borderId="6" xfId="5" applyFont="1" applyBorder="1" applyAlignment="1">
      <alignment horizontal="center" vertical="top" wrapText="1"/>
    </xf>
    <xf numFmtId="0" fontId="104" fillId="0" borderId="2" xfId="5" applyFont="1" applyBorder="1" applyAlignment="1">
      <alignment horizontal="center" vertical="top" wrapText="1"/>
    </xf>
    <xf numFmtId="0" fontId="131" fillId="0" borderId="2" xfId="5" applyFont="1" applyBorder="1" applyAlignment="1">
      <alignment horizontal="center" vertical="top" wrapText="1"/>
    </xf>
    <xf numFmtId="0" fontId="29" fillId="0" borderId="0" xfId="5" applyFont="1" applyAlignment="1">
      <alignment horizontal="center" vertical="top" wrapText="1"/>
    </xf>
    <xf numFmtId="0" fontId="116" fillId="0" borderId="0" xfId="5" applyFont="1"/>
    <xf numFmtId="0" fontId="103" fillId="0" borderId="0" xfId="5" applyFont="1" applyAlignment="1">
      <alignment horizontal="center" vertical="top" wrapText="1"/>
    </xf>
    <xf numFmtId="0" fontId="102" fillId="0" borderId="0" xfId="5"/>
    <xf numFmtId="0" fontId="104" fillId="0" borderId="0" xfId="5" applyFont="1" applyAlignment="1">
      <alignment horizontal="center" vertical="top" wrapText="1"/>
    </xf>
    <xf numFmtId="0" fontId="130" fillId="0" borderId="1" xfId="5" applyFont="1" applyBorder="1" applyAlignment="1">
      <alignment horizontal="center" wrapText="1"/>
    </xf>
    <xf numFmtId="165" fontId="130" fillId="0" borderId="1" xfId="5" applyNumberFormat="1" applyFont="1" applyBorder="1" applyAlignment="1">
      <alignment horizontal="center" wrapText="1"/>
    </xf>
    <xf numFmtId="0" fontId="130" fillId="0" borderId="1" xfId="5" applyFont="1" applyBorder="1" applyAlignment="1">
      <alignment horizontal="center" vertical="top" wrapText="1"/>
    </xf>
    <xf numFmtId="0" fontId="38" fillId="0" borderId="15" xfId="5" applyFont="1" applyBorder="1" applyAlignment="1">
      <alignment horizontal="center" vertical="center" wrapText="1"/>
    </xf>
    <xf numFmtId="0" fontId="127" fillId="0" borderId="0" xfId="5" applyFont="1" applyAlignment="1">
      <alignment horizontal="center" vertical="top" wrapText="1"/>
    </xf>
    <xf numFmtId="0" fontId="130" fillId="0" borderId="1" xfId="5" applyFont="1" applyBorder="1" applyAlignment="1">
      <alignment horizontal="center" vertical="center" wrapText="1"/>
    </xf>
    <xf numFmtId="0" fontId="123" fillId="0" borderId="1" xfId="5" applyFont="1" applyBorder="1" applyAlignment="1">
      <alignment horizontal="center" vertical="center"/>
    </xf>
    <xf numFmtId="0" fontId="105" fillId="0" borderId="0" xfId="5" applyFont="1" applyAlignment="1">
      <alignment horizontal="center" vertical="center" wrapText="1"/>
    </xf>
    <xf numFmtId="0" fontId="102" fillId="0" borderId="0" xfId="5" applyAlignment="1">
      <alignment horizontal="center" vertical="center"/>
    </xf>
    <xf numFmtId="0" fontId="150" fillId="0" borderId="0" xfId="5" applyFont="1" applyAlignment="1">
      <alignment horizontal="center" vertical="center" wrapText="1"/>
    </xf>
    <xf numFmtId="0" fontId="101" fillId="0" borderId="0" xfId="5" applyFont="1" applyAlignment="1">
      <alignment horizontal="left" wrapText="1"/>
    </xf>
    <xf numFmtId="0" fontId="122" fillId="0" borderId="0" xfId="5" applyFont="1" applyAlignment="1">
      <alignment horizontal="left" vertical="top" wrapText="1"/>
    </xf>
    <xf numFmtId="0" fontId="123" fillId="0" borderId="0" xfId="5" applyFont="1"/>
    <xf numFmtId="0" fontId="122" fillId="0" borderId="1" xfId="5" applyFont="1" applyFill="1" applyBorder="1" applyAlignment="1">
      <alignment horizontal="left" wrapText="1"/>
    </xf>
    <xf numFmtId="0" fontId="38" fillId="0" borderId="15" xfId="5" applyFont="1" applyBorder="1" applyAlignment="1">
      <alignment horizontal="center" vertical="top" wrapText="1"/>
    </xf>
    <xf numFmtId="165" fontId="122" fillId="0" borderId="1" xfId="5" applyNumberFormat="1" applyFont="1" applyFill="1" applyBorder="1" applyAlignment="1">
      <alignment horizontal="center"/>
    </xf>
    <xf numFmtId="0" fontId="122" fillId="0" borderId="1" xfId="5" applyFont="1" applyFill="1" applyBorder="1" applyAlignment="1">
      <alignment horizontal="center"/>
    </xf>
    <xf numFmtId="0" fontId="114" fillId="0" borderId="1" xfId="5" applyFont="1" applyBorder="1" applyAlignment="1">
      <alignment vertical="center"/>
    </xf>
    <xf numFmtId="0" fontId="122" fillId="0" borderId="0" xfId="5" applyFont="1" applyAlignment="1">
      <alignment horizontal="left" wrapText="1"/>
    </xf>
    <xf numFmtId="0" fontId="122" fillId="0" borderId="0" xfId="5" applyFont="1" applyFill="1" applyAlignment="1">
      <alignment horizontal="left" wrapText="1"/>
    </xf>
    <xf numFmtId="0" fontId="121" fillId="0" borderId="1" xfId="5" applyFont="1" applyBorder="1" applyAlignment="1">
      <alignment horizontal="left" vertical="top" wrapText="1"/>
    </xf>
    <xf numFmtId="165" fontId="38" fillId="0" borderId="1" xfId="5" applyNumberFormat="1" applyFont="1" applyBorder="1" applyAlignment="1">
      <alignment horizontal="center" wrapText="1"/>
    </xf>
    <xf numFmtId="0" fontId="102" fillId="0" borderId="1" xfId="5" applyBorder="1" applyAlignment="1">
      <alignment horizontal="center"/>
    </xf>
    <xf numFmtId="0" fontId="38" fillId="0" borderId="1" xfId="5" applyFont="1" applyBorder="1" applyAlignment="1">
      <alignment horizontal="center" wrapText="1"/>
    </xf>
    <xf numFmtId="0" fontId="108" fillId="0" borderId="0" xfId="5" applyFont="1" applyAlignment="1">
      <alignment horizontal="left"/>
    </xf>
    <xf numFmtId="0" fontId="108" fillId="0" borderId="1" xfId="5" applyFont="1" applyBorder="1" applyAlignment="1">
      <alignment horizontal="left" vertical="top"/>
    </xf>
    <xf numFmtId="0" fontId="112" fillId="0" borderId="0" xfId="5" applyFont="1" applyAlignment="1">
      <alignment horizontal="center" vertical="top" wrapText="1"/>
    </xf>
    <xf numFmtId="0" fontId="38" fillId="0" borderId="1" xfId="5" applyFont="1" applyBorder="1" applyAlignment="1">
      <alignment horizontal="center" vertical="top" wrapText="1"/>
    </xf>
    <xf numFmtId="0" fontId="143" fillId="0" borderId="1" xfId="5" applyFont="1" applyBorder="1"/>
    <xf numFmtId="0" fontId="119" fillId="0" borderId="3" xfId="5" applyFont="1" applyBorder="1" applyAlignment="1">
      <alignment horizontal="center" vertical="top" wrapText="1"/>
    </xf>
    <xf numFmtId="0" fontId="39" fillId="0" borderId="0" xfId="5" applyFont="1" applyAlignment="1">
      <alignment horizontal="justify" vertical="top" wrapText="1"/>
    </xf>
    <xf numFmtId="0" fontId="108" fillId="0" borderId="0" xfId="5" applyFont="1" applyAlignment="1">
      <alignment horizontal="justify" vertical="top" wrapText="1"/>
    </xf>
    <xf numFmtId="0" fontId="39" fillId="0" borderId="2" xfId="5" applyFont="1" applyBorder="1" applyAlignment="1">
      <alignment horizontal="center" vertical="center" wrapText="1"/>
    </xf>
    <xf numFmtId="0" fontId="125" fillId="0" borderId="5" xfId="5" applyFont="1" applyBorder="1" applyAlignment="1">
      <alignment horizontal="center" vertical="center"/>
    </xf>
    <xf numFmtId="0" fontId="125" fillId="0" borderId="6" xfId="5" applyFont="1" applyBorder="1" applyAlignment="1">
      <alignment horizontal="center" vertical="center"/>
    </xf>
    <xf numFmtId="0" fontId="101" fillId="0" borderId="2" xfId="5" applyFont="1" applyBorder="1" applyAlignment="1">
      <alignment horizontal="center" vertical="center" wrapText="1"/>
    </xf>
    <xf numFmtId="0" fontId="39" fillId="0" borderId="2" xfId="5" applyFont="1" applyBorder="1" applyAlignment="1">
      <alignment horizontal="center" vertical="top" wrapText="1"/>
    </xf>
    <xf numFmtId="0" fontId="101" fillId="0" borderId="1" xfId="5" applyFont="1" applyBorder="1" applyAlignment="1">
      <alignment horizontal="center" vertical="top" wrapText="1"/>
    </xf>
    <xf numFmtId="0" fontId="114" fillId="0" borderId="1" xfId="5" applyFont="1" applyBorder="1"/>
    <xf numFmtId="0" fontId="39" fillId="0" borderId="2" xfId="5" applyFont="1" applyBorder="1" applyAlignment="1">
      <alignment horizontal="center"/>
    </xf>
    <xf numFmtId="0" fontId="27" fillId="0" borderId="2" xfId="5" applyFont="1" applyBorder="1" applyAlignment="1">
      <alignment horizontal="center" vertical="center"/>
    </xf>
    <xf numFmtId="0" fontId="101" fillId="0" borderId="2" xfId="5" applyFont="1" applyBorder="1" applyAlignment="1">
      <alignment horizontal="center" vertical="top" wrapText="1"/>
    </xf>
    <xf numFmtId="0" fontId="39" fillId="0" borderId="5" xfId="5" applyFont="1" applyBorder="1" applyAlignment="1">
      <alignment horizontal="center" vertical="center" wrapText="1"/>
    </xf>
    <xf numFmtId="0" fontId="39" fillId="0" borderId="15" xfId="5" applyFont="1" applyBorder="1" applyAlignment="1">
      <alignment horizontal="center" vertical="center" wrapText="1"/>
    </xf>
    <xf numFmtId="0" fontId="125" fillId="0" borderId="2" xfId="5" applyFont="1" applyBorder="1" applyAlignment="1">
      <alignment horizontal="center" vertical="center"/>
    </xf>
    <xf numFmtId="0" fontId="107" fillId="0" borderId="1" xfId="5" applyFont="1" applyBorder="1" applyAlignment="1">
      <alignment horizontal="left" vertical="top" wrapText="1"/>
    </xf>
    <xf numFmtId="0" fontId="102" fillId="0" borderId="1" xfId="5" applyBorder="1"/>
    <xf numFmtId="0" fontId="105" fillId="0" borderId="0" xfId="5" applyFont="1" applyAlignment="1">
      <alignment horizontal="center" vertical="top" wrapText="1"/>
    </xf>
    <xf numFmtId="0" fontId="101" fillId="0" borderId="0" xfId="5" applyFont="1" applyAlignment="1">
      <alignment horizontal="right" vertical="top" wrapText="1"/>
    </xf>
    <xf numFmtId="0" fontId="114" fillId="0" borderId="0" xfId="5" applyFont="1" applyAlignment="1">
      <alignment horizontal="right"/>
    </xf>
    <xf numFmtId="0" fontId="101" fillId="0" borderId="0" xfId="5" applyFont="1" applyAlignment="1">
      <alignment horizontal="center" vertical="top" wrapText="1"/>
    </xf>
    <xf numFmtId="0" fontId="113" fillId="0" borderId="0" xfId="5" applyFont="1" applyAlignment="1">
      <alignment horizontal="center" vertical="top" wrapText="1"/>
    </xf>
    <xf numFmtId="0" fontId="108" fillId="0" borderId="0" xfId="5" applyFont="1" applyAlignment="1">
      <alignment horizontal="center" vertical="top" wrapText="1"/>
    </xf>
    <xf numFmtId="0" fontId="39" fillId="0" borderId="0" xfId="5" applyFont="1" applyAlignment="1">
      <alignment horizontal="center" vertical="top" wrapText="1"/>
    </xf>
    <xf numFmtId="0" fontId="107" fillId="0" borderId="1" xfId="5" applyFont="1" applyBorder="1" applyAlignment="1">
      <alignment horizontal="center" vertical="center" wrapText="1"/>
    </xf>
    <xf numFmtId="0" fontId="102" fillId="0" borderId="1" xfId="5" applyBorder="1" applyAlignment="1">
      <alignment vertical="center"/>
    </xf>
    <xf numFmtId="0" fontId="104" fillId="0" borderId="0" xfId="5" applyFont="1" applyAlignment="1">
      <alignment horizontal="left" vertical="top" wrapText="1"/>
    </xf>
    <xf numFmtId="0" fontId="29" fillId="0" borderId="0" xfId="5" applyFont="1" applyAlignment="1">
      <alignment horizontal="center" vertical="center" wrapText="1"/>
    </xf>
    <xf numFmtId="0" fontId="116" fillId="0" borderId="0" xfId="5" applyFont="1" applyAlignment="1">
      <alignment horizontal="center" vertical="center"/>
    </xf>
    <xf numFmtId="0" fontId="114" fillId="0" borderId="1" xfId="5" applyFont="1" applyBorder="1" applyAlignment="1">
      <alignment horizontal="center" vertical="center"/>
    </xf>
    <xf numFmtId="0" fontId="102" fillId="0" borderId="1" xfId="5" applyBorder="1" applyAlignment="1">
      <alignment horizontal="center" vertical="center"/>
    </xf>
    <xf numFmtId="0" fontId="39" fillId="0" borderId="2" xfId="5" applyFont="1" applyBorder="1" applyAlignment="1">
      <alignment horizontal="left" vertical="top" wrapText="1"/>
    </xf>
    <xf numFmtId="0" fontId="39" fillId="0" borderId="1" xfId="5" applyFont="1" applyBorder="1" applyAlignment="1">
      <alignment horizontal="center" vertical="top" wrapText="1"/>
    </xf>
    <xf numFmtId="0" fontId="119" fillId="0" borderId="0" xfId="5" applyFont="1" applyAlignment="1">
      <alignment horizontal="center" vertical="top" wrapText="1"/>
    </xf>
    <xf numFmtId="0" fontId="129" fillId="0" borderId="5" xfId="5" applyFont="1" applyBorder="1" applyAlignment="1">
      <alignment horizontal="center" vertical="center"/>
    </xf>
    <xf numFmtId="0" fontId="129" fillId="0" borderId="6" xfId="5" applyFont="1" applyBorder="1" applyAlignment="1">
      <alignment horizontal="center" vertical="center"/>
    </xf>
    <xf numFmtId="0" fontId="39" fillId="0" borderId="0" xfId="5" applyFont="1"/>
    <xf numFmtId="0" fontId="108" fillId="0" borderId="0" xfId="5" applyFont="1" applyAlignment="1">
      <alignment horizontal="center"/>
    </xf>
    <xf numFmtId="0" fontId="108" fillId="0" borderId="0" xfId="5" applyFont="1" applyAlignment="1">
      <alignment horizontal="left" vertical="top"/>
    </xf>
    <xf numFmtId="0" fontId="39" fillId="0" borderId="1" xfId="5" applyFont="1" applyBorder="1"/>
    <xf numFmtId="0" fontId="29" fillId="0" borderId="0" xfId="5" applyFont="1" applyAlignment="1">
      <alignment horizontal="center"/>
    </xf>
    <xf numFmtId="0" fontId="39" fillId="0" borderId="0" xfId="5" applyFont="1" applyBorder="1" applyAlignment="1">
      <alignment horizontal="left" vertical="top" wrapText="1"/>
    </xf>
    <xf numFmtId="0" fontId="39" fillId="0" borderId="0" xfId="5" applyFont="1" applyBorder="1"/>
    <xf numFmtId="0" fontId="38" fillId="0" borderId="1" xfId="5" applyFont="1" applyBorder="1" applyAlignment="1">
      <alignment horizontal="left" vertical="top" wrapText="1"/>
    </xf>
    <xf numFmtId="0" fontId="104" fillId="0" borderId="0" xfId="5" applyFont="1" applyAlignment="1">
      <alignment horizontal="justify" vertical="top" wrapText="1"/>
    </xf>
    <xf numFmtId="0" fontId="105" fillId="0" borderId="3" xfId="5" applyFont="1" applyBorder="1" applyAlignment="1">
      <alignment horizontal="center" vertical="top" wrapText="1"/>
    </xf>
    <xf numFmtId="0" fontId="81" fillId="0" borderId="0" xfId="5" applyFont="1" applyAlignment="1">
      <alignment horizontal="right" vertical="top" wrapText="1"/>
    </xf>
    <xf numFmtId="0" fontId="132" fillId="0" borderId="0" xfId="5" applyFont="1" applyAlignment="1">
      <alignment horizontal="center" vertical="top" wrapText="1"/>
    </xf>
    <xf numFmtId="0" fontId="111" fillId="0" borderId="0" xfId="5" applyFont="1" applyAlignment="1">
      <alignment horizontal="center" vertical="top" wrapText="1"/>
    </xf>
    <xf numFmtId="0" fontId="104" fillId="0" borderId="1" xfId="5" applyFont="1" applyBorder="1" applyAlignment="1">
      <alignment horizontal="center" vertical="top" wrapText="1"/>
    </xf>
    <xf numFmtId="0" fontId="39" fillId="0" borderId="5" xfId="5" applyFont="1" applyBorder="1" applyAlignment="1">
      <alignment horizontal="center" vertical="top" wrapText="1"/>
    </xf>
    <xf numFmtId="0" fontId="39" fillId="0" borderId="15" xfId="5" applyFont="1" applyBorder="1" applyAlignment="1">
      <alignment horizontal="center" vertical="top" wrapText="1"/>
    </xf>
    <xf numFmtId="0" fontId="39" fillId="0" borderId="6" xfId="5" applyFont="1" applyBorder="1" applyAlignment="1">
      <alignment horizontal="center" vertical="top" wrapText="1"/>
    </xf>
    <xf numFmtId="0" fontId="39" fillId="0" borderId="8" xfId="5" applyFont="1" applyBorder="1" applyAlignment="1">
      <alignment horizontal="center" vertical="center" wrapText="1"/>
    </xf>
    <xf numFmtId="0" fontId="39" fillId="0" borderId="3" xfId="5" applyFont="1" applyBorder="1" applyAlignment="1">
      <alignment horizontal="center" vertical="center" wrapText="1"/>
    </xf>
    <xf numFmtId="0" fontId="39" fillId="0" borderId="14" xfId="5" applyFont="1" applyBorder="1" applyAlignment="1">
      <alignment horizontal="center" vertical="center" wrapText="1"/>
    </xf>
    <xf numFmtId="0" fontId="39" fillId="0" borderId="12" xfId="5" applyFont="1" applyBorder="1" applyAlignment="1">
      <alignment horizontal="center" vertical="center" wrapText="1"/>
    </xf>
    <xf numFmtId="0" fontId="39" fillId="0" borderId="1" xfId="5" applyFont="1" applyBorder="1" applyAlignment="1">
      <alignment horizontal="center" vertical="center" wrapText="1"/>
    </xf>
    <xf numFmtId="0" fontId="39" fillId="0" borderId="11" xfId="5" applyFont="1" applyBorder="1" applyAlignment="1">
      <alignment horizontal="center" vertical="center" wrapText="1"/>
    </xf>
    <xf numFmtId="0" fontId="87" fillId="0" borderId="2" xfId="5" applyFont="1" applyBorder="1" applyAlignment="1">
      <alignment horizontal="center" vertical="top" wrapText="1"/>
    </xf>
    <xf numFmtId="0" fontId="133" fillId="0" borderId="0" xfId="5" applyFont="1" applyAlignment="1">
      <alignment horizontal="center" vertical="top" wrapText="1"/>
    </xf>
    <xf numFmtId="0" fontId="39" fillId="0" borderId="6" xfId="5" applyFont="1" applyBorder="1" applyAlignment="1">
      <alignment horizontal="center" vertical="center" wrapText="1"/>
    </xf>
    <xf numFmtId="0" fontId="87" fillId="0" borderId="5" xfId="5" applyFont="1" applyBorder="1" applyAlignment="1">
      <alignment horizontal="center" vertical="top" wrapText="1"/>
    </xf>
    <xf numFmtId="0" fontId="87" fillId="0" borderId="15" xfId="5" applyFont="1" applyBorder="1" applyAlignment="1">
      <alignment horizontal="center" vertical="top" wrapText="1"/>
    </xf>
    <xf numFmtId="0" fontId="87" fillId="0" borderId="6" xfId="5" applyFont="1" applyBorder="1" applyAlignment="1">
      <alignment horizontal="center" vertical="top" wrapText="1"/>
    </xf>
    <xf numFmtId="0" fontId="136" fillId="0" borderId="1" xfId="5" applyFont="1" applyBorder="1" applyAlignment="1">
      <alignment horizontal="center" vertical="center"/>
    </xf>
    <xf numFmtId="0" fontId="39" fillId="0" borderId="0" xfId="5" applyFont="1" applyAlignment="1">
      <alignment horizontal="left" wrapText="1"/>
    </xf>
    <xf numFmtId="0" fontId="39" fillId="0" borderId="0" xfId="5" applyFont="1" applyAlignment="1">
      <alignment horizontal="right" vertical="top" wrapText="1"/>
    </xf>
    <xf numFmtId="0" fontId="108" fillId="0" borderId="1" xfId="5" applyFont="1" applyBorder="1" applyAlignment="1">
      <alignment horizontal="left"/>
    </xf>
    <xf numFmtId="0" fontId="136" fillId="0" borderId="1" xfId="5" applyFont="1" applyBorder="1" applyAlignment="1">
      <alignment horizontal="center"/>
    </xf>
    <xf numFmtId="0" fontId="139" fillId="0" borderId="0" xfId="5" applyFont="1" applyAlignment="1">
      <alignment horizontal="left" vertical="top" wrapText="1"/>
    </xf>
    <xf numFmtId="0" fontId="133" fillId="0" borderId="0" xfId="5" applyFont="1" applyAlignment="1">
      <alignment horizontal="left" vertical="top" wrapText="1"/>
    </xf>
    <xf numFmtId="0" fontId="108" fillId="0" borderId="1" xfId="5" applyFont="1" applyBorder="1" applyAlignment="1">
      <alignment horizontal="center" vertical="center" wrapText="1"/>
    </xf>
    <xf numFmtId="0" fontId="38" fillId="0" borderId="1" xfId="5" applyFont="1" applyBorder="1" applyAlignment="1">
      <alignment horizontal="left" wrapText="1"/>
    </xf>
    <xf numFmtId="165" fontId="38" fillId="0" borderId="1" xfId="5" applyNumberFormat="1" applyFont="1" applyBorder="1" applyAlignment="1">
      <alignment horizontal="center" vertical="top" wrapText="1"/>
    </xf>
    <xf numFmtId="0" fontId="39" fillId="0" borderId="0" xfId="5" applyFont="1" applyAlignment="1">
      <alignment horizontal="justify" wrapText="1"/>
    </xf>
    <xf numFmtId="0" fontId="136" fillId="0" borderId="1" xfId="5" applyFont="1" applyBorder="1"/>
    <xf numFmtId="0" fontId="39" fillId="0" borderId="1" xfId="5" applyFont="1" applyBorder="1" applyAlignment="1">
      <alignment horizontal="center"/>
    </xf>
    <xf numFmtId="165" fontId="38" fillId="0" borderId="1" xfId="5" applyNumberFormat="1" applyFont="1" applyBorder="1" applyAlignment="1">
      <alignment horizontal="center"/>
    </xf>
    <xf numFmtId="0" fontId="118" fillId="0" borderId="0" xfId="5" applyFont="1" applyAlignment="1">
      <alignment horizontal="left"/>
    </xf>
    <xf numFmtId="0" fontId="124" fillId="0" borderId="0" xfId="5" applyFont="1" applyAlignment="1">
      <alignment horizontal="center"/>
    </xf>
    <xf numFmtId="0" fontId="108" fillId="3" borderId="0" xfId="5" applyFont="1" applyFill="1" applyAlignment="1">
      <alignment horizontal="left" vertical="top" wrapText="1"/>
    </xf>
    <xf numFmtId="0" fontId="39" fillId="3" borderId="0" xfId="5" applyFont="1" applyFill="1" applyAlignment="1">
      <alignment horizontal="left" vertical="top" wrapText="1"/>
    </xf>
    <xf numFmtId="0" fontId="114" fillId="3" borderId="0" xfId="5" applyFont="1" applyFill="1"/>
    <xf numFmtId="0" fontId="114" fillId="0" borderId="0" xfId="5" applyFont="1" applyBorder="1"/>
    <xf numFmtId="0" fontId="114" fillId="0" borderId="0" xfId="5" applyFont="1" applyAlignment="1">
      <alignment horizontal="left"/>
    </xf>
    <xf numFmtId="0" fontId="41" fillId="3" borderId="1" xfId="5" applyFont="1" applyFill="1" applyBorder="1" applyAlignment="1">
      <alignment horizontal="left" vertical="top" wrapText="1"/>
    </xf>
    <xf numFmtId="0" fontId="114" fillId="3" borderId="1" xfId="5" applyFont="1" applyFill="1" applyBorder="1"/>
    <xf numFmtId="0" fontId="41" fillId="3" borderId="15" xfId="5" applyFont="1" applyFill="1" applyBorder="1" applyAlignment="1">
      <alignment horizontal="left" vertical="top" wrapText="1"/>
    </xf>
    <xf numFmtId="0" fontId="114" fillId="3" borderId="15" xfId="5" applyFont="1" applyFill="1" applyBorder="1"/>
    <xf numFmtId="0" fontId="41" fillId="0" borderId="0" xfId="5" applyFont="1" applyAlignment="1">
      <alignment horizontal="left" vertical="top" wrapText="1"/>
    </xf>
    <xf numFmtId="0" fontId="109" fillId="0" borderId="1" xfId="5" applyFont="1" applyBorder="1" applyAlignment="1">
      <alignment horizontal="center" vertical="top" wrapText="1"/>
    </xf>
    <xf numFmtId="0" fontId="110" fillId="0" borderId="0" xfId="5" applyFont="1" applyAlignment="1">
      <alignment horizontal="center" vertical="top" wrapText="1"/>
    </xf>
    <xf numFmtId="0" fontId="41" fillId="0" borderId="1" xfId="5" applyFont="1" applyBorder="1" applyAlignment="1">
      <alignment horizontal="center" vertical="top" wrapText="1"/>
    </xf>
    <xf numFmtId="0" fontId="101" fillId="0" borderId="1" xfId="5" applyFont="1" applyBorder="1" applyAlignment="1">
      <alignment horizontal="center"/>
    </xf>
    <xf numFmtId="0" fontId="111" fillId="0" borderId="1" xfId="5" applyFont="1" applyBorder="1" applyAlignment="1">
      <alignment horizontal="center" vertical="top" wrapText="1"/>
    </xf>
    <xf numFmtId="0" fontId="137" fillId="0" borderId="1" xfId="5" applyFont="1" applyBorder="1"/>
    <xf numFmtId="0" fontId="122" fillId="0" borderId="0" xfId="5" applyFont="1" applyAlignment="1">
      <alignment horizontal="right"/>
    </xf>
    <xf numFmtId="0" fontId="81" fillId="0" borderId="0" xfId="5" applyFont="1" applyAlignment="1">
      <alignment horizontal="center" vertical="top" wrapText="1"/>
    </xf>
    <xf numFmtId="0" fontId="122" fillId="0" borderId="0" xfId="5" applyFont="1"/>
    <xf numFmtId="0" fontId="122" fillId="0" borderId="1" xfId="5" applyFont="1" applyBorder="1" applyAlignment="1">
      <alignment vertical="center"/>
    </xf>
    <xf numFmtId="0" fontId="123" fillId="0" borderId="1" xfId="5" applyFont="1" applyBorder="1"/>
    <xf numFmtId="0" fontId="122" fillId="0" borderId="0" xfId="5" applyFont="1" applyAlignment="1">
      <alignment horizontal="center"/>
    </xf>
    <xf numFmtId="0" fontId="130" fillId="0" borderId="15" xfId="5" applyFont="1" applyBorder="1" applyAlignment="1">
      <alignment horizontal="left" wrapText="1"/>
    </xf>
    <xf numFmtId="0" fontId="110" fillId="0" borderId="3" xfId="5" applyFont="1" applyBorder="1" applyAlignment="1">
      <alignment horizontal="center" vertical="top" wrapText="1"/>
    </xf>
    <xf numFmtId="0" fontId="111" fillId="0" borderId="0" xfId="5" applyFont="1" applyAlignment="1">
      <alignment horizontal="left" vertical="top" wrapText="1"/>
    </xf>
    <xf numFmtId="0" fontId="130" fillId="0" borderId="1" xfId="5" applyFont="1" applyBorder="1" applyAlignment="1">
      <alignment horizontal="left"/>
    </xf>
    <xf numFmtId="0" fontId="130" fillId="0" borderId="0" xfId="5" applyFont="1" applyAlignment="1">
      <alignment horizontal="left" vertical="top"/>
    </xf>
    <xf numFmtId="14" fontId="130" fillId="0" borderId="1" xfId="5" applyNumberFormat="1" applyFont="1" applyBorder="1" applyAlignment="1">
      <alignment horizontal="center"/>
    </xf>
    <xf numFmtId="0" fontId="42" fillId="0" borderId="3" xfId="5" applyFont="1" applyBorder="1" applyAlignment="1">
      <alignment horizontal="center" vertical="top"/>
    </xf>
    <xf numFmtId="0" fontId="111" fillId="0" borderId="0" xfId="5" applyFont="1" applyAlignment="1">
      <alignment horizontal="left" vertical="top"/>
    </xf>
    <xf numFmtId="14" fontId="130" fillId="0" borderId="0" xfId="5" applyNumberFormat="1" applyFont="1" applyAlignment="1">
      <alignment horizontal="center" vertical="top"/>
    </xf>
    <xf numFmtId="0" fontId="130" fillId="0" borderId="15" xfId="5" applyFont="1" applyBorder="1" applyAlignment="1">
      <alignment horizontal="left" vertical="top"/>
    </xf>
    <xf numFmtId="14" fontId="130" fillId="0" borderId="1" xfId="5" applyNumberFormat="1" applyFont="1" applyBorder="1" applyAlignment="1">
      <alignment horizontal="left" vertical="top"/>
    </xf>
    <xf numFmtId="0" fontId="103" fillId="0" borderId="0" xfId="5" applyFont="1" applyAlignment="1">
      <alignment horizontal="right" vertical="top" wrapText="1"/>
    </xf>
    <xf numFmtId="0" fontId="130" fillId="0" borderId="1" xfId="5" applyFont="1" applyBorder="1" applyAlignment="1">
      <alignment horizontal="left" vertical="top"/>
    </xf>
    <xf numFmtId="0" fontId="130" fillId="0" borderId="1" xfId="5" applyFont="1" applyBorder="1" applyAlignment="1">
      <alignment horizontal="left" vertical="top" wrapText="1"/>
    </xf>
    <xf numFmtId="0" fontId="38" fillId="0" borderId="0" xfId="5" applyFont="1" applyAlignment="1">
      <alignment horizontal="center" vertical="center" wrapText="1"/>
    </xf>
    <xf numFmtId="0" fontId="39" fillId="0" borderId="0" xfId="5" applyFont="1" applyAlignment="1">
      <alignment horizontal="left"/>
    </xf>
    <xf numFmtId="0" fontId="38" fillId="0" borderId="15" xfId="5" applyFont="1" applyBorder="1" applyAlignment="1">
      <alignment horizontal="center"/>
    </xf>
    <xf numFmtId="0" fontId="126" fillId="0" borderId="1" xfId="5" applyFont="1" applyBorder="1" applyAlignment="1">
      <alignment horizontal="center" wrapText="1"/>
    </xf>
    <xf numFmtId="0" fontId="142" fillId="0" borderId="3" xfId="5" applyFont="1" applyBorder="1" applyAlignment="1">
      <alignment horizontal="center" vertical="top" wrapText="1"/>
    </xf>
    <xf numFmtId="0" fontId="142" fillId="0" borderId="0" xfId="5" applyFont="1" applyAlignment="1">
      <alignment horizontal="center" vertical="top" wrapText="1"/>
    </xf>
    <xf numFmtId="0" fontId="108" fillId="0" borderId="1" xfId="5" applyFont="1" applyBorder="1" applyAlignment="1">
      <alignment horizontal="center" wrapText="1"/>
    </xf>
    <xf numFmtId="0" fontId="98" fillId="0" borderId="1" xfId="5" applyFont="1" applyBorder="1" applyAlignment="1">
      <alignment horizontal="justify" wrapText="1"/>
    </xf>
    <xf numFmtId="0" fontId="158" fillId="0" borderId="1" xfId="5" applyFont="1" applyBorder="1"/>
    <xf numFmtId="0" fontId="87" fillId="0" borderId="0" xfId="5" applyFont="1" applyAlignment="1">
      <alignment horizontal="center" vertical="top" wrapText="1"/>
    </xf>
    <xf numFmtId="0" fontId="116" fillId="0" borderId="0" xfId="5" applyFont="1" applyAlignment="1">
      <alignment horizontal="center"/>
    </xf>
    <xf numFmtId="0" fontId="81" fillId="0" borderId="0" xfId="5" applyFont="1" applyAlignment="1">
      <alignment horizontal="center" wrapText="1"/>
    </xf>
    <xf numFmtId="0" fontId="87" fillId="0" borderId="0" xfId="5" applyFont="1" applyFill="1" applyAlignment="1">
      <alignment horizontal="center" vertical="top" wrapText="1"/>
    </xf>
    <xf numFmtId="0" fontId="116" fillId="0" borderId="0" xfId="5" applyFont="1" applyFill="1"/>
    <xf numFmtId="0" fontId="39" fillId="0" borderId="0" xfId="5" applyFont="1" applyFill="1" applyAlignment="1">
      <alignment horizontal="left" wrapText="1"/>
    </xf>
    <xf numFmtId="0" fontId="114" fillId="0" borderId="0" xfId="5" applyFont="1" applyFill="1"/>
    <xf numFmtId="0" fontId="114" fillId="0" borderId="1" xfId="5" applyFont="1" applyFill="1" applyBorder="1" applyAlignment="1">
      <alignment horizontal="left"/>
    </xf>
    <xf numFmtId="0" fontId="126" fillId="0" borderId="0" xfId="5" applyFont="1" applyAlignment="1">
      <alignment horizontal="right" vertical="top" wrapText="1"/>
    </xf>
    <xf numFmtId="0" fontId="102" fillId="0" borderId="0" xfId="5" applyAlignment="1">
      <alignment horizontal="right"/>
    </xf>
    <xf numFmtId="0" fontId="85" fillId="0" borderId="3" xfId="4" applyFont="1" applyBorder="1" applyAlignment="1">
      <alignment horizontal="center" vertical="center" wrapText="1"/>
    </xf>
    <xf numFmtId="0" fontId="97" fillId="0" borderId="0" xfId="4" applyFont="1" applyAlignment="1">
      <alignment horizontal="center"/>
    </xf>
    <xf numFmtId="0" fontId="85" fillId="0" borderId="0" xfId="4" applyFont="1" applyAlignment="1">
      <alignment horizontal="center" vertical="center"/>
    </xf>
    <xf numFmtId="0" fontId="97" fillId="0" borderId="1" xfId="4" applyFont="1" applyBorder="1" applyAlignment="1">
      <alignment horizontal="center" vertical="top" wrapText="1"/>
    </xf>
    <xf numFmtId="0" fontId="84" fillId="0" borderId="0" xfId="4" applyFont="1" applyAlignment="1">
      <alignment horizontal="center"/>
    </xf>
    <xf numFmtId="0" fontId="97" fillId="0" borderId="1" xfId="4" applyFont="1" applyBorder="1" applyAlignment="1">
      <alignment horizontal="center" wrapText="1"/>
    </xf>
    <xf numFmtId="0" fontId="85" fillId="0" borderId="3" xfId="4" applyFont="1" applyBorder="1" applyAlignment="1">
      <alignment horizontal="center" vertical="center"/>
    </xf>
    <xf numFmtId="0" fontId="97" fillId="0" borderId="1" xfId="4" applyFont="1" applyBorder="1" applyAlignment="1">
      <alignment horizontal="center"/>
    </xf>
    <xf numFmtId="0" fontId="85" fillId="0" borderId="0" xfId="4" applyFont="1" applyAlignment="1">
      <alignment horizontal="center" vertical="center" wrapText="1"/>
    </xf>
    <xf numFmtId="0" fontId="89" fillId="0" borderId="0" xfId="4" applyFont="1" applyAlignment="1">
      <alignment horizontal="center" wrapText="1"/>
    </xf>
    <xf numFmtId="0" fontId="89" fillId="0" borderId="0" xfId="4" applyFont="1" applyAlignment="1">
      <alignment horizontal="center"/>
    </xf>
    <xf numFmtId="0" fontId="83" fillId="0" borderId="0" xfId="4" applyFont="1" applyAlignment="1">
      <alignment horizontal="left" vertical="center"/>
    </xf>
    <xf numFmtId="0" fontId="83" fillId="0" borderId="0" xfId="4" applyFont="1" applyAlignment="1">
      <alignment horizontal="center"/>
    </xf>
    <xf numFmtId="165" fontId="83" fillId="0" borderId="1" xfId="4" applyNumberFormat="1" applyFont="1" applyBorder="1" applyAlignment="1">
      <alignment horizontal="center"/>
    </xf>
    <xf numFmtId="0" fontId="83" fillId="0" borderId="0" xfId="0" applyFont="1" applyAlignment="1">
      <alignment horizontal="left" wrapText="1"/>
    </xf>
    <xf numFmtId="0" fontId="93" fillId="0" borderId="0" xfId="4" applyFont="1" applyAlignment="1">
      <alignment horizontal="left" vertical="center"/>
    </xf>
    <xf numFmtId="0" fontId="97" fillId="0" borderId="15" xfId="4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92" fillId="0" borderId="1" xfId="4" applyFont="1" applyBorder="1" applyAlignment="1">
      <alignment horizontal="center" vertical="center"/>
    </xf>
    <xf numFmtId="0" fontId="92" fillId="0" borderId="1" xfId="4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86" fillId="0" borderId="1" xfId="0" applyFont="1" applyBorder="1" applyAlignment="1">
      <alignment horizontal="center"/>
    </xf>
    <xf numFmtId="0" fontId="96" fillId="0" borderId="1" xfId="4" applyFont="1" applyBorder="1" applyAlignment="1">
      <alignment horizontal="center" vertical="center" wrapText="1"/>
    </xf>
    <xf numFmtId="0" fontId="96" fillId="0" borderId="1" xfId="4" applyFont="1" applyBorder="1" applyAlignment="1">
      <alignment horizontal="center" vertical="center"/>
    </xf>
    <xf numFmtId="0" fontId="83" fillId="0" borderId="0" xfId="0" applyFont="1" applyAlignment="1">
      <alignment horizontal="right"/>
    </xf>
    <xf numFmtId="0" fontId="86" fillId="0" borderId="1" xfId="4" applyFont="1" applyBorder="1" applyAlignment="1">
      <alignment horizontal="center"/>
    </xf>
    <xf numFmtId="0" fontId="98" fillId="0" borderId="1" xfId="4" applyFont="1" applyBorder="1" applyAlignment="1">
      <alignment horizontal="left" vertical="center"/>
    </xf>
    <xf numFmtId="0" fontId="98" fillId="0" borderId="1" xfId="4" applyFont="1" applyBorder="1" applyAlignment="1">
      <alignment horizontal="right" vertical="center"/>
    </xf>
    <xf numFmtId="0" fontId="84" fillId="0" borderId="1" xfId="4" applyFont="1" applyBorder="1" applyAlignment="1">
      <alignment horizontal="center"/>
    </xf>
    <xf numFmtId="0" fontId="84" fillId="0" borderId="0" xfId="4" applyFont="1" applyAlignment="1">
      <alignment horizontal="center" vertical="center"/>
    </xf>
    <xf numFmtId="0" fontId="130" fillId="0" borderId="1" xfId="4" applyFont="1" applyBorder="1" applyAlignment="1">
      <alignment horizontal="center"/>
    </xf>
    <xf numFmtId="0" fontId="150" fillId="0" borderId="1" xfId="4" applyFont="1" applyBorder="1" applyAlignment="1">
      <alignment horizontal="center"/>
    </xf>
    <xf numFmtId="0" fontId="29" fillId="0" borderId="3" xfId="4" applyFont="1" applyBorder="1" applyAlignment="1">
      <alignment horizontal="center" vertical="center" wrapText="1"/>
    </xf>
    <xf numFmtId="0" fontId="29" fillId="0" borderId="3" xfId="4" applyFont="1" applyBorder="1" applyAlignment="1">
      <alignment horizontal="center" vertical="center"/>
    </xf>
    <xf numFmtId="0" fontId="122" fillId="0" borderId="0" xfId="4" applyFont="1" applyAlignment="1">
      <alignment horizontal="left" vertical="center" wrapText="1"/>
    </xf>
    <xf numFmtId="0" fontId="122" fillId="0" borderId="0" xfId="4" applyFont="1" applyAlignment="1">
      <alignment horizontal="left" wrapText="1"/>
    </xf>
    <xf numFmtId="0" fontId="130" fillId="0" borderId="1" xfId="4" applyFont="1" applyBorder="1" applyAlignment="1">
      <alignment horizontal="center" vertical="center"/>
    </xf>
    <xf numFmtId="0" fontId="29" fillId="0" borderId="3" xfId="6" applyFont="1" applyBorder="1" applyAlignment="1">
      <alignment horizontal="center" vertical="center" wrapText="1"/>
    </xf>
    <xf numFmtId="0" fontId="130" fillId="0" borderId="1" xfId="6" applyFont="1" applyBorder="1" applyAlignment="1">
      <alignment horizontal="center" vertical="center" wrapText="1"/>
    </xf>
    <xf numFmtId="0" fontId="130" fillId="0" borderId="1" xfId="4" applyFont="1" applyBorder="1" applyAlignment="1">
      <alignment horizontal="left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center" vertical="center"/>
    </xf>
    <xf numFmtId="0" fontId="130" fillId="0" borderId="1" xfId="4" applyFont="1" applyBorder="1" applyAlignment="1">
      <alignment horizontal="center" wrapText="1"/>
    </xf>
    <xf numFmtId="0" fontId="130" fillId="0" borderId="1" xfId="4" applyFont="1" applyBorder="1" applyAlignment="1">
      <alignment horizontal="center" vertical="center" wrapText="1"/>
    </xf>
    <xf numFmtId="0" fontId="122" fillId="0" borderId="0" xfId="6" applyFont="1" applyAlignment="1">
      <alignment horizontal="left" vertical="center" wrapText="1"/>
    </xf>
    <xf numFmtId="0" fontId="124" fillId="4" borderId="0" xfId="4" applyFont="1" applyFill="1" applyAlignment="1">
      <alignment horizontal="center"/>
    </xf>
    <xf numFmtId="0" fontId="90" fillId="0" borderId="0" xfId="4" applyFont="1" applyAlignment="1">
      <alignment horizontal="center"/>
    </xf>
    <xf numFmtId="14" fontId="150" fillId="0" borderId="1" xfId="4" applyNumberFormat="1" applyFont="1" applyBorder="1" applyAlignment="1">
      <alignment horizontal="center"/>
    </xf>
    <xf numFmtId="0" fontId="39" fillId="0" borderId="0" xfId="4" applyFont="1" applyAlignment="1">
      <alignment horizontal="center" vertical="top"/>
    </xf>
    <xf numFmtId="0" fontId="150" fillId="0" borderId="1" xfId="4" applyFont="1" applyBorder="1" applyAlignment="1">
      <alignment horizontal="center" vertical="center"/>
    </xf>
    <xf numFmtId="0" fontId="29" fillId="0" borderId="3" xfId="4" applyFont="1" applyBorder="1" applyAlignment="1">
      <alignment horizontal="center" vertical="top" wrapText="1"/>
    </xf>
    <xf numFmtId="0" fontId="90" fillId="0" borderId="0" xfId="4" applyFont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left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4" fillId="0" borderId="5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7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24" fillId="0" borderId="0" xfId="0" applyFont="1" applyBorder="1" applyAlignment="1">
      <alignment horizontal="center" wrapText="1"/>
    </xf>
    <xf numFmtId="0" fontId="4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7" fillId="0" borderId="3" xfId="0" applyFont="1" applyBorder="1" applyAlignment="1">
      <alignment horizontal="center"/>
    </xf>
    <xf numFmtId="0" fontId="20" fillId="0" borderId="0" xfId="0" applyFont="1" applyAlignment="1">
      <alignment horizontal="left" wrapText="1"/>
    </xf>
    <xf numFmtId="49" fontId="20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0" fillId="2" borderId="2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wrapText="1"/>
    </xf>
    <xf numFmtId="0" fontId="3" fillId="0" borderId="2" xfId="0" applyFont="1" applyBorder="1"/>
    <xf numFmtId="0" fontId="3" fillId="0" borderId="5" xfId="0" applyFont="1" applyBorder="1"/>
    <xf numFmtId="0" fontId="3" fillId="0" borderId="15" xfId="0" applyFont="1" applyBorder="1"/>
    <xf numFmtId="0" fontId="3" fillId="0" borderId="6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0" fillId="0" borderId="1" xfId="0" applyFont="1" applyBorder="1"/>
    <xf numFmtId="0" fontId="3" fillId="0" borderId="1" xfId="0" applyFont="1" applyBorder="1"/>
    <xf numFmtId="0" fontId="4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0" fillId="0" borderId="2" xfId="0" applyFont="1" applyBorder="1"/>
    <xf numFmtId="0" fontId="20" fillId="0" borderId="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top"/>
    </xf>
    <xf numFmtId="0" fontId="38" fillId="4" borderId="5" xfId="0" applyFont="1" applyFill="1" applyBorder="1" applyAlignment="1">
      <alignment vertical="center" wrapText="1"/>
    </xf>
    <xf numFmtId="0" fontId="38" fillId="4" borderId="15" xfId="0" applyFont="1" applyFill="1" applyBorder="1" applyAlignment="1">
      <alignment vertical="center" wrapText="1"/>
    </xf>
    <xf numFmtId="0" fontId="38" fillId="4" borderId="5" xfId="0" applyFont="1" applyFill="1" applyBorder="1" applyAlignment="1">
      <alignment horizontal="center" vertical="center"/>
    </xf>
    <xf numFmtId="0" fontId="38" fillId="4" borderId="15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24" fillId="0" borderId="5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4" fillId="0" borderId="1" xfId="0" applyFont="1" applyBorder="1"/>
    <xf numFmtId="0" fontId="24" fillId="4" borderId="1" xfId="0" applyFont="1" applyFill="1" applyBorder="1"/>
    <xf numFmtId="0" fontId="24" fillId="0" borderId="1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2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64" fillId="0" borderId="0" xfId="3" applyFont="1" applyFill="1" applyAlignment="1">
      <alignment horizontal="left"/>
    </xf>
    <xf numFmtId="0" fontId="24" fillId="0" borderId="1" xfId="3" applyFont="1" applyFill="1" applyBorder="1" applyAlignment="1">
      <alignment horizontal="center"/>
    </xf>
    <xf numFmtId="0" fontId="68" fillId="0" borderId="0" xfId="3" applyFont="1" applyFill="1" applyAlignment="1">
      <alignment horizontal="center"/>
    </xf>
    <xf numFmtId="168" fontId="24" fillId="0" borderId="1" xfId="3" applyNumberFormat="1" applyFont="1" applyFill="1" applyBorder="1" applyAlignment="1">
      <alignment horizontal="center"/>
    </xf>
    <xf numFmtId="0" fontId="22" fillId="0" borderId="0" xfId="3" applyFont="1" applyFill="1" applyAlignment="1">
      <alignment horizontal="left"/>
    </xf>
    <xf numFmtId="0" fontId="24" fillId="0" borderId="1" xfId="3" applyFont="1" applyFill="1" applyBorder="1" applyAlignment="1">
      <alignment horizontal="left"/>
    </xf>
    <xf numFmtId="0" fontId="22" fillId="0" borderId="0" xfId="3" applyFont="1" applyFill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62" fillId="0" borderId="2" xfId="3" applyFont="1" applyBorder="1" applyAlignment="1">
      <alignment horizontal="center" wrapText="1"/>
    </xf>
    <xf numFmtId="0" fontId="22" fillId="0" borderId="0" xfId="0" applyFont="1" applyAlignment="1">
      <alignment horizontal="left" wrapText="1"/>
    </xf>
    <xf numFmtId="0" fontId="62" fillId="0" borderId="2" xfId="3" applyFont="1" applyBorder="1" applyAlignment="1">
      <alignment horizontal="center"/>
    </xf>
    <xf numFmtId="0" fontId="62" fillId="0" borderId="2" xfId="3" applyFont="1" applyBorder="1" applyAlignment="1">
      <alignment horizontal="left" wrapText="1"/>
    </xf>
    <xf numFmtId="0" fontId="74" fillId="0" borderId="2" xfId="3" applyFont="1" applyBorder="1" applyAlignment="1">
      <alignment horizontal="center" wrapText="1"/>
    </xf>
    <xf numFmtId="0" fontId="64" fillId="0" borderId="0" xfId="3" applyFont="1" applyAlignment="1">
      <alignment horizontal="left"/>
    </xf>
    <xf numFmtId="0" fontId="70" fillId="0" borderId="0" xfId="3" applyFont="1" applyAlignment="1">
      <alignment horizontal="left"/>
    </xf>
    <xf numFmtId="0" fontId="38" fillId="0" borderId="0" xfId="3" applyFont="1" applyFill="1" applyAlignment="1">
      <alignment horizontal="center"/>
    </xf>
    <xf numFmtId="0" fontId="74" fillId="0" borderId="2" xfId="3" applyFont="1" applyBorder="1" applyAlignment="1">
      <alignment horizontal="center"/>
    </xf>
    <xf numFmtId="0" fontId="71" fillId="0" borderId="0" xfId="3" applyFont="1" applyAlignment="1">
      <alignment horizontal="center"/>
    </xf>
    <xf numFmtId="0" fontId="20" fillId="0" borderId="0" xfId="3" applyFont="1" applyAlignment="1">
      <alignment horizontal="left"/>
    </xf>
    <xf numFmtId="0" fontId="69" fillId="0" borderId="0" xfId="3" applyFont="1" applyFill="1" applyAlignment="1">
      <alignment horizontal="center"/>
    </xf>
    <xf numFmtId="0" fontId="24" fillId="0" borderId="0" xfId="3" applyFont="1" applyFill="1" applyAlignment="1">
      <alignment horizontal="left"/>
    </xf>
    <xf numFmtId="0" fontId="75" fillId="0" borderId="0" xfId="3" applyFont="1" applyFill="1" applyAlignment="1">
      <alignment horizontal="center"/>
    </xf>
    <xf numFmtId="0" fontId="13" fillId="0" borderId="1" xfId="3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62" fillId="0" borderId="2" xfId="3" applyFont="1" applyBorder="1" applyAlignment="1">
      <alignment horizontal="center" vertical="center"/>
    </xf>
    <xf numFmtId="0" fontId="62" fillId="0" borderId="2" xfId="3" applyFont="1" applyBorder="1" applyAlignment="1">
      <alignment horizontal="left" vertical="center" wrapText="1"/>
    </xf>
    <xf numFmtId="0" fontId="62" fillId="0" borderId="2" xfId="3" applyFont="1" applyBorder="1" applyAlignment="1">
      <alignment horizontal="center" vertical="center" wrapText="1"/>
    </xf>
    <xf numFmtId="0" fontId="74" fillId="0" borderId="2" xfId="3" applyFont="1" applyBorder="1" applyAlignment="1">
      <alignment horizontal="center" vertical="center" wrapText="1"/>
    </xf>
    <xf numFmtId="0" fontId="74" fillId="0" borderId="2" xfId="3" applyFont="1" applyBorder="1" applyAlignment="1">
      <alignment horizontal="center" vertical="center"/>
    </xf>
    <xf numFmtId="0" fontId="1" fillId="0" borderId="2" xfId="3" applyFont="1" applyBorder="1" applyAlignment="1">
      <alignment horizontal="left" vertical="center" wrapText="1"/>
    </xf>
    <xf numFmtId="0" fontId="24" fillId="3" borderId="1" xfId="3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24" fillId="0" borderId="1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53" fillId="0" borderId="1" xfId="3" applyFill="1" applyBorder="1" applyAlignment="1">
      <alignment horizontal="center"/>
    </xf>
    <xf numFmtId="0" fontId="61" fillId="0" borderId="0" xfId="3" applyFont="1" applyAlignment="1">
      <alignment horizontal="left"/>
    </xf>
    <xf numFmtId="0" fontId="24" fillId="0" borderId="1" xfId="3" applyFont="1" applyFill="1" applyBorder="1" applyAlignment="1">
      <alignment horizontal="center" wrapText="1"/>
    </xf>
    <xf numFmtId="0" fontId="62" fillId="0" borderId="0" xfId="3" applyFont="1" applyAlignment="1">
      <alignment horizontal="center"/>
    </xf>
    <xf numFmtId="164" fontId="20" fillId="0" borderId="2" xfId="2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4" fontId="24" fillId="3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50" fillId="0" borderId="1" xfId="0" applyFont="1" applyBorder="1" applyAlignment="1">
      <alignment horizontal="center" vertical="top"/>
    </xf>
    <xf numFmtId="0" fontId="24" fillId="0" borderId="0" xfId="0" applyFont="1" applyBorder="1" applyAlignment="1">
      <alignment horizontal="left" wrapText="1"/>
    </xf>
    <xf numFmtId="0" fontId="24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24" fillId="0" borderId="2" xfId="0" quotePrefix="1" applyFont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49" fontId="20" fillId="0" borderId="2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20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center" textRotation="90" wrapText="1"/>
    </xf>
    <xf numFmtId="0" fontId="50" fillId="0" borderId="1" xfId="0" applyFont="1" applyBorder="1" applyAlignment="1">
      <alignment horizontal="left" vertical="top"/>
    </xf>
    <xf numFmtId="0" fontId="24" fillId="0" borderId="2" xfId="0" quotePrefix="1" applyFont="1" applyFill="1" applyBorder="1" applyAlignment="1">
      <alignment horizontal="center" vertical="center"/>
    </xf>
    <xf numFmtId="166" fontId="24" fillId="0" borderId="5" xfId="0" applyNumberFormat="1" applyFont="1" applyFill="1" applyBorder="1" applyAlignment="1">
      <alignment horizontal="center" vertical="center" wrapText="1"/>
    </xf>
    <xf numFmtId="166" fontId="24" fillId="0" borderId="15" xfId="0" applyNumberFormat="1" applyFont="1" applyFill="1" applyBorder="1" applyAlignment="1">
      <alignment horizontal="center" vertical="center" wrapText="1"/>
    </xf>
    <xf numFmtId="166" fontId="24" fillId="0" borderId="6" xfId="0" applyNumberFormat="1" applyFont="1" applyFill="1" applyBorder="1" applyAlignment="1">
      <alignment horizontal="center" vertical="center" wrapText="1"/>
    </xf>
    <xf numFmtId="14" fontId="24" fillId="0" borderId="2" xfId="0" applyNumberFormat="1" applyFont="1" applyBorder="1" applyAlignment="1">
      <alignment horizontal="center" vertical="center"/>
    </xf>
    <xf numFmtId="0" fontId="62" fillId="0" borderId="0" xfId="3" applyFont="1" applyAlignment="1">
      <alignment horizontal="left" wrapText="1"/>
    </xf>
    <xf numFmtId="165" fontId="24" fillId="0" borderId="1" xfId="3" applyNumberFormat="1" applyFont="1" applyFill="1" applyBorder="1" applyAlignment="1">
      <alignment horizontal="center"/>
    </xf>
    <xf numFmtId="0" fontId="62" fillId="0" borderId="0" xfId="3" applyFont="1" applyFill="1" applyAlignment="1">
      <alignment horizontal="left"/>
    </xf>
    <xf numFmtId="0" fontId="62" fillId="0" borderId="0" xfId="3" applyFont="1" applyAlignment="1">
      <alignment horizontal="left"/>
    </xf>
    <xf numFmtId="0" fontId="62" fillId="0" borderId="0" xfId="3" applyFont="1" applyAlignment="1">
      <alignment horizontal="center" vertical="center"/>
    </xf>
    <xf numFmtId="0" fontId="71" fillId="0" borderId="0" xfId="3" applyFont="1" applyFill="1" applyAlignment="1">
      <alignment horizontal="left"/>
    </xf>
    <xf numFmtId="0" fontId="62" fillId="0" borderId="0" xfId="3" applyFont="1" applyAlignment="1">
      <alignment horizontal="left" vertical="center" wrapText="1"/>
    </xf>
    <xf numFmtId="0" fontId="24" fillId="0" borderId="0" xfId="3" applyFont="1" applyFill="1" applyAlignment="1">
      <alignment horizontal="center"/>
    </xf>
    <xf numFmtId="0" fontId="60" fillId="0" borderId="0" xfId="3" applyFont="1"/>
    <xf numFmtId="0" fontId="53" fillId="0" borderId="0" xfId="3"/>
    <xf numFmtId="0" fontId="5" fillId="3" borderId="0" xfId="0" applyFont="1" applyFill="1" applyAlignment="1">
      <alignment horizontal="center" vertical="center"/>
    </xf>
    <xf numFmtId="0" fontId="24" fillId="0" borderId="1" xfId="3" applyFont="1" applyBorder="1" applyAlignment="1">
      <alignment horizontal="center"/>
    </xf>
    <xf numFmtId="0" fontId="63" fillId="0" borderId="0" xfId="3" applyFont="1" applyAlignment="1">
      <alignment horizontal="left" wrapText="1"/>
    </xf>
    <xf numFmtId="0" fontId="63" fillId="0" borderId="0" xfId="3" applyFont="1" applyAlignment="1">
      <alignment horizontal="left"/>
    </xf>
    <xf numFmtId="0" fontId="78" fillId="0" borderId="2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wrapText="1"/>
    </xf>
    <xf numFmtId="0" fontId="55" fillId="0" borderId="3" xfId="3" applyFont="1" applyBorder="1"/>
    <xf numFmtId="0" fontId="54" fillId="0" borderId="0" xfId="3" applyFont="1"/>
    <xf numFmtId="0" fontId="61" fillId="0" borderId="0" xfId="3" applyFont="1" applyAlignment="1">
      <alignment horizontal="center"/>
    </xf>
    <xf numFmtId="0" fontId="78" fillId="0" borderId="8" xfId="3" applyFont="1" applyBorder="1" applyAlignment="1">
      <alignment horizontal="center" vertical="center" wrapText="1"/>
    </xf>
    <xf numFmtId="0" fontId="78" fillId="0" borderId="3" xfId="3" applyFont="1" applyBorder="1" applyAlignment="1">
      <alignment horizontal="center" vertical="center" wrapText="1"/>
    </xf>
    <xf numFmtId="0" fontId="78" fillId="0" borderId="14" xfId="3" applyFont="1" applyBorder="1" applyAlignment="1">
      <alignment horizontal="center" vertical="center" wrapText="1"/>
    </xf>
    <xf numFmtId="0" fontId="78" fillId="0" borderId="12" xfId="3" applyFont="1" applyBorder="1" applyAlignment="1">
      <alignment horizontal="center" vertical="center" wrapText="1"/>
    </xf>
    <xf numFmtId="0" fontId="78" fillId="0" borderId="1" xfId="3" applyFont="1" applyBorder="1" applyAlignment="1">
      <alignment horizontal="center" vertical="center" wrapText="1"/>
    </xf>
    <xf numFmtId="0" fontId="78" fillId="0" borderId="11" xfId="3" applyFont="1" applyBorder="1" applyAlignment="1">
      <alignment horizontal="center" vertical="center" wrapText="1"/>
    </xf>
    <xf numFmtId="0" fontId="64" fillId="0" borderId="0" xfId="3" applyFont="1" applyAlignment="1">
      <alignment horizontal="center"/>
    </xf>
    <xf numFmtId="0" fontId="22" fillId="0" borderId="2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/>
    </xf>
    <xf numFmtId="0" fontId="22" fillId="0" borderId="5" xfId="3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22" fillId="0" borderId="6" xfId="3" applyFont="1" applyBorder="1" applyAlignment="1">
      <alignment horizontal="center" vertical="center"/>
    </xf>
    <xf numFmtId="0" fontId="24" fillId="0" borderId="8" xfId="3" applyFont="1" applyBorder="1" applyAlignment="1">
      <alignment horizontal="center" vertical="center"/>
    </xf>
    <xf numFmtId="0" fontId="24" fillId="0" borderId="3" xfId="3" applyFont="1" applyBorder="1" applyAlignment="1">
      <alignment horizontal="center" vertical="center"/>
    </xf>
    <xf numFmtId="0" fontId="24" fillId="0" borderId="14" xfId="3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4" fillId="0" borderId="4" xfId="3" applyFont="1" applyBorder="1" applyAlignment="1">
      <alignment horizontal="center" vertical="center"/>
    </xf>
    <xf numFmtId="0" fontId="24" fillId="0" borderId="12" xfId="3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11" xfId="3" applyFont="1" applyBorder="1" applyAlignment="1">
      <alignment horizontal="center" vertical="center"/>
    </xf>
    <xf numFmtId="0" fontId="38" fillId="0" borderId="1" xfId="3" applyFont="1" applyFill="1" applyBorder="1" applyAlignment="1">
      <alignment horizontal="center" wrapText="1"/>
    </xf>
    <xf numFmtId="0" fontId="78" fillId="0" borderId="5" xfId="3" applyFont="1" applyBorder="1" applyAlignment="1">
      <alignment horizontal="center"/>
    </xf>
    <xf numFmtId="0" fontId="78" fillId="0" borderId="15" xfId="3" applyFont="1" applyBorder="1" applyAlignment="1">
      <alignment horizontal="center"/>
    </xf>
    <xf numFmtId="0" fontId="78" fillId="0" borderId="6" xfId="3" applyFont="1" applyBorder="1" applyAlignment="1">
      <alignment horizontal="center"/>
    </xf>
    <xf numFmtId="0" fontId="22" fillId="0" borderId="2" xfId="3" applyFont="1" applyBorder="1" applyAlignment="1">
      <alignment horizontal="center" vertical="center" wrapText="1"/>
    </xf>
    <xf numFmtId="0" fontId="63" fillId="0" borderId="0" xfId="3" applyFont="1" applyAlignment="1">
      <alignment horizontal="center"/>
    </xf>
    <xf numFmtId="0" fontId="72" fillId="0" borderId="0" xfId="3" applyFont="1" applyAlignment="1">
      <alignment horizontal="left"/>
    </xf>
    <xf numFmtId="0" fontId="38" fillId="3" borderId="15" xfId="3" applyFont="1" applyFill="1" applyBorder="1" applyAlignment="1">
      <alignment horizontal="center"/>
    </xf>
    <xf numFmtId="0" fontId="46" fillId="0" borderId="2" xfId="3" applyFont="1" applyBorder="1" applyAlignment="1">
      <alignment horizontal="center"/>
    </xf>
    <xf numFmtId="0" fontId="46" fillId="0" borderId="6" xfId="3" applyFont="1" applyBorder="1" applyAlignment="1">
      <alignment horizontal="center"/>
    </xf>
    <xf numFmtId="0" fontId="22" fillId="0" borderId="6" xfId="3" applyFont="1" applyBorder="1" applyAlignment="1">
      <alignment horizontal="center"/>
    </xf>
    <xf numFmtId="0" fontId="22" fillId="0" borderId="2" xfId="3" applyFont="1" applyBorder="1" applyAlignment="1">
      <alignment horizontal="center"/>
    </xf>
    <xf numFmtId="0" fontId="22" fillId="0" borderId="5" xfId="3" applyFont="1" applyBorder="1" applyAlignment="1">
      <alignment horizontal="center"/>
    </xf>
    <xf numFmtId="0" fontId="22" fillId="0" borderId="15" xfId="3" applyFont="1" applyBorder="1" applyAlignment="1">
      <alignment horizontal="center"/>
    </xf>
    <xf numFmtId="0" fontId="101" fillId="0" borderId="8" xfId="3" applyFont="1" applyBorder="1" applyAlignment="1">
      <alignment horizontal="center"/>
    </xf>
    <xf numFmtId="0" fontId="101" fillId="0" borderId="3" xfId="3" applyFont="1" applyBorder="1" applyAlignment="1">
      <alignment horizontal="center"/>
    </xf>
    <xf numFmtId="0" fontId="101" fillId="0" borderId="14" xfId="3" applyFont="1" applyBorder="1" applyAlignment="1">
      <alignment horizontal="center"/>
    </xf>
    <xf numFmtId="0" fontId="101" fillId="0" borderId="12" xfId="3" applyFont="1" applyBorder="1" applyAlignment="1">
      <alignment horizontal="center"/>
    </xf>
    <xf numFmtId="0" fontId="101" fillId="0" borderId="1" xfId="3" applyFont="1" applyBorder="1" applyAlignment="1">
      <alignment horizontal="center"/>
    </xf>
    <xf numFmtId="0" fontId="101" fillId="0" borderId="11" xfId="3" applyFont="1" applyBorder="1" applyAlignment="1">
      <alignment horizontal="center"/>
    </xf>
    <xf numFmtId="0" fontId="101" fillId="0" borderId="6" xfId="3" applyFont="1" applyBorder="1" applyAlignment="1">
      <alignment horizontal="center"/>
    </xf>
    <xf numFmtId="0" fontId="101" fillId="0" borderId="2" xfId="3" applyFont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4" fillId="0" borderId="15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5" xfId="0" applyFont="1" applyFill="1" applyBorder="1"/>
    <xf numFmtId="0" fontId="20" fillId="0" borderId="15" xfId="0" applyFont="1" applyFill="1" applyBorder="1"/>
    <xf numFmtId="0" fontId="20" fillId="0" borderId="6" xfId="0" applyFont="1" applyFill="1" applyBorder="1"/>
    <xf numFmtId="0" fontId="20" fillId="0" borderId="2" xfId="0" applyFont="1" applyFill="1" applyBorder="1"/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24" fillId="3" borderId="1" xfId="0" applyFont="1" applyFill="1" applyBorder="1" applyAlignment="1">
      <alignment horizontal="center"/>
    </xf>
    <xf numFmtId="0" fontId="20" fillId="0" borderId="0" xfId="0" applyFont="1" applyFill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/>
    </xf>
    <xf numFmtId="0" fontId="24" fillId="0" borderId="2" xfId="0" applyFont="1" applyFill="1" applyBorder="1"/>
    <xf numFmtId="0" fontId="24" fillId="0" borderId="12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0" fontId="20" fillId="0" borderId="12" xfId="0" applyFont="1" applyFill="1" applyBorder="1"/>
    <xf numFmtId="0" fontId="20" fillId="0" borderId="1" xfId="0" applyFont="1" applyFill="1" applyBorder="1"/>
    <xf numFmtId="0" fontId="20" fillId="0" borderId="11" xfId="0" applyFont="1" applyFill="1" applyBorder="1"/>
    <xf numFmtId="0" fontId="5" fillId="0" borderId="0" xfId="0" applyFont="1" applyFill="1" applyAlignment="1">
      <alignment horizontal="center" vertical="center"/>
    </xf>
    <xf numFmtId="49" fontId="24" fillId="0" borderId="2" xfId="0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 wrapText="1"/>
    </xf>
    <xf numFmtId="0" fontId="45" fillId="0" borderId="0" xfId="0" applyFont="1" applyAlignment="1">
      <alignment horizontal="left" vertical="top" wrapText="1"/>
    </xf>
    <xf numFmtId="0" fontId="38" fillId="3" borderId="1" xfId="3" applyFont="1" applyFill="1" applyBorder="1" applyAlignment="1">
      <alignment horizontal="center" wrapText="1"/>
    </xf>
    <xf numFmtId="0" fontId="63" fillId="4" borderId="0" xfId="3" applyFont="1" applyFill="1" applyAlignment="1">
      <alignment horizontal="center"/>
    </xf>
    <xf numFmtId="0" fontId="46" fillId="0" borderId="5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20" fillId="0" borderId="3" xfId="0" applyFont="1" applyBorder="1" applyAlignment="1">
      <alignment horizontal="left" vertical="center" wrapText="1"/>
    </xf>
    <xf numFmtId="0" fontId="20" fillId="0" borderId="5" xfId="0" applyFont="1" applyBorder="1"/>
    <xf numFmtId="0" fontId="20" fillId="0" borderId="15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1" xfId="0" applyFont="1" applyBorder="1"/>
    <xf numFmtId="0" fontId="24" fillId="3" borderId="12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0" borderId="2" xfId="0" applyFont="1" applyBorder="1"/>
    <xf numFmtId="49" fontId="24" fillId="4" borderId="2" xfId="0" applyNumberFormat="1" applyFont="1" applyFill="1" applyBorder="1" applyAlignment="1">
      <alignment horizontal="center"/>
    </xf>
    <xf numFmtId="0" fontId="24" fillId="0" borderId="2" xfId="0" applyFont="1" applyBorder="1" applyAlignment="1">
      <alignment wrapText="1"/>
    </xf>
    <xf numFmtId="49" fontId="24" fillId="0" borderId="2" xfId="0" applyNumberFormat="1" applyFont="1" applyBorder="1" applyAlignment="1">
      <alignment horizontal="center"/>
    </xf>
    <xf numFmtId="0" fontId="146" fillId="0" borderId="2" xfId="3" applyFont="1" applyBorder="1" applyAlignment="1">
      <alignment horizontal="center" vertical="center"/>
    </xf>
    <xf numFmtId="0" fontId="146" fillId="0" borderId="8" xfId="3" applyFont="1" applyBorder="1" applyAlignment="1">
      <alignment horizontal="center" vertical="center" wrapText="1"/>
    </xf>
    <xf numFmtId="0" fontId="146" fillId="0" borderId="3" xfId="3" applyFont="1" applyBorder="1" applyAlignment="1">
      <alignment horizontal="center" vertical="center" wrapText="1"/>
    </xf>
    <xf numFmtId="0" fontId="146" fillId="0" borderId="14" xfId="3" applyFont="1" applyBorder="1" applyAlignment="1">
      <alignment horizontal="center" vertical="center" wrapText="1"/>
    </xf>
    <xf numFmtId="0" fontId="146" fillId="0" borderId="12" xfId="3" applyFont="1" applyBorder="1" applyAlignment="1">
      <alignment horizontal="center" vertical="center" wrapText="1"/>
    </xf>
    <xf numFmtId="0" fontId="146" fillId="0" borderId="1" xfId="3" applyFont="1" applyBorder="1" applyAlignment="1">
      <alignment horizontal="center" vertical="center" wrapText="1"/>
    </xf>
    <xf numFmtId="0" fontId="146" fillId="0" borderId="11" xfId="3" applyFont="1" applyBorder="1" applyAlignment="1">
      <alignment horizontal="center" vertical="center" wrapText="1"/>
    </xf>
    <xf numFmtId="0" fontId="146" fillId="0" borderId="2" xfId="3" applyFont="1" applyBorder="1" applyAlignment="1">
      <alignment horizontal="center" wrapText="1"/>
    </xf>
    <xf numFmtId="0" fontId="146" fillId="0" borderId="2" xfId="3" applyFont="1" applyBorder="1" applyAlignment="1">
      <alignment horizontal="center"/>
    </xf>
    <xf numFmtId="0" fontId="38" fillId="0" borderId="1" xfId="3" applyFont="1" applyBorder="1" applyAlignment="1">
      <alignment horizontal="center" wrapText="1"/>
    </xf>
    <xf numFmtId="0" fontId="146" fillId="0" borderId="5" xfId="3" applyFont="1" applyBorder="1" applyAlignment="1">
      <alignment horizontal="center"/>
    </xf>
    <xf numFmtId="0" fontId="146" fillId="0" borderId="15" xfId="3" applyFont="1" applyBorder="1" applyAlignment="1">
      <alignment horizontal="center"/>
    </xf>
    <xf numFmtId="0" fontId="146" fillId="0" borderId="6" xfId="3" applyFont="1" applyBorder="1" applyAlignment="1">
      <alignment horizontal="center"/>
    </xf>
    <xf numFmtId="0" fontId="146" fillId="0" borderId="2" xfId="3" applyFont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20" fillId="0" borderId="14" xfId="3" applyFont="1" applyBorder="1" applyAlignment="1">
      <alignment horizontal="center" vertical="center"/>
    </xf>
    <xf numFmtId="0" fontId="20" fillId="0" borderId="16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0" borderId="4" xfId="3" applyFont="1" applyBorder="1" applyAlignment="1">
      <alignment horizontal="center" vertical="center"/>
    </xf>
    <xf numFmtId="0" fontId="20" fillId="0" borderId="12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20" fillId="0" borderId="11" xfId="3" applyFont="1" applyBorder="1" applyAlignment="1">
      <alignment horizontal="center" vertical="center"/>
    </xf>
    <xf numFmtId="0" fontId="22" fillId="0" borderId="2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wrapText="1"/>
    </xf>
    <xf numFmtId="0" fontId="24" fillId="0" borderId="15" xfId="0" applyFont="1" applyFill="1" applyBorder="1" applyAlignment="1">
      <alignment horizontal="center" wrapText="1"/>
    </xf>
    <xf numFmtId="0" fontId="24" fillId="0" borderId="6" xfId="0" applyFont="1" applyFill="1" applyBorder="1" applyAlignment="1">
      <alignment horizontal="center" wrapText="1"/>
    </xf>
    <xf numFmtId="0" fontId="24" fillId="0" borderId="5" xfId="0" applyFont="1" applyFill="1" applyBorder="1" applyAlignment="1">
      <alignment horizontal="center"/>
    </xf>
    <xf numFmtId="0" fontId="24" fillId="0" borderId="6" xfId="0" applyFont="1" applyFill="1" applyBorder="1" applyAlignment="1">
      <alignment horizontal="center"/>
    </xf>
    <xf numFmtId="49" fontId="24" fillId="0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4" fillId="0" borderId="15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165" fontId="20" fillId="0" borderId="1" xfId="0" applyNumberFormat="1" applyFont="1" applyBorder="1" applyAlignment="1">
      <alignment horizontal="center"/>
    </xf>
    <xf numFmtId="0" fontId="20" fillId="3" borderId="2" xfId="0" applyFont="1" applyFill="1" applyBorder="1"/>
    <xf numFmtId="0" fontId="51" fillId="0" borderId="2" xfId="0" applyFont="1" applyBorder="1"/>
    <xf numFmtId="14" fontId="24" fillId="0" borderId="2" xfId="0" applyNumberFormat="1" applyFont="1" applyBorder="1"/>
    <xf numFmtId="0" fontId="51" fillId="0" borderId="2" xfId="0" applyFont="1" applyBorder="1" applyAlignment="1">
      <alignment horizontal="center"/>
    </xf>
    <xf numFmtId="0" fontId="20" fillId="0" borderId="2" xfId="0" applyFont="1" applyBorder="1" applyAlignment="1">
      <alignment wrapText="1"/>
    </xf>
    <xf numFmtId="0" fontId="20" fillId="3" borderId="2" xfId="0" applyFont="1" applyFill="1" applyBorder="1" applyAlignment="1">
      <alignment wrapText="1"/>
    </xf>
    <xf numFmtId="0" fontId="0" fillId="0" borderId="2" xfId="0" applyBorder="1"/>
    <xf numFmtId="0" fontId="53" fillId="0" borderId="0" xfId="3" applyAlignment="1">
      <alignment horizontal="center"/>
    </xf>
    <xf numFmtId="0" fontId="67" fillId="0" borderId="0" xfId="3" applyFont="1" applyAlignment="1">
      <alignment horizontal="left"/>
    </xf>
    <xf numFmtId="0" fontId="38" fillId="0" borderId="0" xfId="3" applyFont="1" applyAlignment="1">
      <alignment horizontal="left"/>
    </xf>
    <xf numFmtId="0" fontId="38" fillId="0" borderId="1" xfId="3" applyFont="1" applyBorder="1" applyAlignment="1">
      <alignment horizontal="left"/>
    </xf>
    <xf numFmtId="0" fontId="67" fillId="0" borderId="0" xfId="3" applyFont="1" applyAlignment="1">
      <alignment horizontal="center"/>
    </xf>
    <xf numFmtId="0" fontId="38" fillId="0" borderId="0" xfId="3" applyFont="1" applyAlignment="1">
      <alignment horizontal="center"/>
    </xf>
    <xf numFmtId="165" fontId="45" fillId="0" borderId="0" xfId="0" applyNumberFormat="1" applyFont="1" applyAlignment="1">
      <alignment horizontal="center"/>
    </xf>
    <xf numFmtId="0" fontId="12" fillId="0" borderId="2" xfId="3" applyFont="1" applyBorder="1" applyAlignment="1">
      <alignment horizontal="center"/>
    </xf>
    <xf numFmtId="0" fontId="22" fillId="0" borderId="2" xfId="3" applyFont="1" applyBorder="1" applyAlignment="1">
      <alignment horizontal="center" wrapText="1"/>
    </xf>
    <xf numFmtId="0" fontId="24" fillId="0" borderId="8" xfId="3" applyFont="1" applyBorder="1" applyAlignment="1">
      <alignment horizontal="center"/>
    </xf>
    <xf numFmtId="0" fontId="24" fillId="0" borderId="3" xfId="3" applyFont="1" applyBorder="1" applyAlignment="1">
      <alignment horizontal="center"/>
    </xf>
    <xf numFmtId="0" fontId="24" fillId="0" borderId="14" xfId="3" applyFont="1" applyBorder="1" applyAlignment="1">
      <alignment horizontal="center"/>
    </xf>
    <xf numFmtId="0" fontId="24" fillId="0" borderId="16" xfId="3" applyFont="1" applyBorder="1" applyAlignment="1">
      <alignment horizontal="center"/>
    </xf>
    <xf numFmtId="0" fontId="24" fillId="0" borderId="0" xfId="3" applyFont="1" applyAlignment="1">
      <alignment horizontal="center"/>
    </xf>
    <xf numFmtId="0" fontId="24" fillId="0" borderId="4" xfId="3" applyFont="1" applyBorder="1" applyAlignment="1">
      <alignment horizontal="center"/>
    </xf>
    <xf numFmtId="0" fontId="24" fillId="0" borderId="12" xfId="3" applyFont="1" applyBorder="1" applyAlignment="1">
      <alignment horizontal="center"/>
    </xf>
    <xf numFmtId="0" fontId="24" fillId="0" borderId="11" xfId="3" applyFont="1" applyBorder="1" applyAlignment="1">
      <alignment horizontal="center"/>
    </xf>
    <xf numFmtId="0" fontId="62" fillId="0" borderId="0" xfId="3" applyFont="1"/>
    <xf numFmtId="0" fontId="66" fillId="0" borderId="0" xfId="3" applyFont="1"/>
    <xf numFmtId="0" fontId="3" fillId="0" borderId="1" xfId="0" applyFont="1" applyBorder="1" applyAlignment="1">
      <alignment horizontal="left"/>
    </xf>
    <xf numFmtId="0" fontId="24" fillId="0" borderId="0" xfId="0" applyFont="1" applyAlignment="1">
      <alignment horizontal="center"/>
    </xf>
  </cellXfs>
  <cellStyles count="9">
    <cellStyle name="Гиперссылка" xfId="1" builtinId="8"/>
    <cellStyle name="Денежный" xfId="2" builtinId="4"/>
    <cellStyle name="Обычный" xfId="0" builtinId="0"/>
    <cellStyle name="Обычный 2" xfId="3" xr:uid="{8B99AF4D-5D0D-4EF4-B4F2-2AF808FBC514}"/>
    <cellStyle name="Обычный 3" xfId="5" xr:uid="{F4E1C585-F0FC-47A3-B947-2B539151723B}"/>
    <cellStyle name="Обычный 4" xfId="6" xr:uid="{68E9078B-7740-44BB-94B6-6B0C40D838A6}"/>
    <cellStyle name="Обычный 5" xfId="7" xr:uid="{002985E5-E249-4734-9D7B-3661F7FCD9BB}"/>
    <cellStyle name="Обычный 6" xfId="8" xr:uid="{19959404-713D-49D7-A9EC-EB745176FA62}"/>
    <cellStyle name="Обычный_Пример акта" xfId="4" xr:uid="{AB6F4D0A-9FC8-424A-BCE6-5238363881B3}"/>
  </cellStyles>
  <dxfs count="0"/>
  <tableStyles count="0" defaultTableStyle="TableStyleMedium9" defaultPivotStyle="PivotStyleLight16"/>
  <colors>
    <mruColors>
      <color rgb="FFFFFF99"/>
      <color rgb="FFCC99FF"/>
      <color rgb="FFCCCC00"/>
      <color rgb="FFCCFFFF"/>
      <color rgb="FFFF9966"/>
      <color rgb="FFCC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302418</xdr:colOff>
      <xdr:row>0</xdr:row>
      <xdr:rowOff>392907</xdr:rowOff>
    </xdr:from>
    <xdr:to>
      <xdr:col>9</xdr:col>
      <xdr:colOff>302418</xdr:colOff>
      <xdr:row>1</xdr:row>
      <xdr:rowOff>1014889</xdr:rowOff>
    </xdr:to>
    <xdr:pic>
      <xdr:nvPicPr>
        <xdr:cNvPr id="2" name="officeArt objec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" y="392907"/>
          <a:ext cx="4857750" cy="1038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37"/>
  <sheetViews>
    <sheetView zoomScaleNormal="100" workbookViewId="0">
      <selection activeCell="B28" sqref="B28"/>
    </sheetView>
  </sheetViews>
  <sheetFormatPr defaultColWidth="14.7109375" defaultRowHeight="15" x14ac:dyDescent="0.25"/>
  <cols>
    <col min="1" max="1" width="6" style="4" customWidth="1"/>
    <col min="2" max="2" width="104.7109375" style="1" customWidth="1"/>
    <col min="3" max="16384" width="14.7109375" style="1"/>
  </cols>
  <sheetData>
    <row r="4" spans="1:13" x14ac:dyDescent="0.25">
      <c r="B4" s="476" t="s">
        <v>15</v>
      </c>
      <c r="C4" s="476"/>
    </row>
    <row r="5" spans="1:13" x14ac:dyDescent="0.25">
      <c r="A5" s="28" t="s">
        <v>103</v>
      </c>
      <c r="B5" s="29"/>
      <c r="C5" s="29"/>
    </row>
    <row r="6" spans="1:13" x14ac:dyDescent="0.25">
      <c r="A6" s="30">
        <v>1</v>
      </c>
      <c r="B6" s="476" t="s">
        <v>16</v>
      </c>
      <c r="C6" s="476"/>
      <c r="D6" s="476"/>
      <c r="E6" s="476"/>
      <c r="F6" s="476"/>
      <c r="G6" s="476"/>
    </row>
    <row r="7" spans="1:13" x14ac:dyDescent="0.25">
      <c r="A7" s="30">
        <v>2</v>
      </c>
      <c r="B7" s="475" t="s">
        <v>17</v>
      </c>
      <c r="C7" s="475"/>
      <c r="D7" s="475"/>
      <c r="E7" s="475"/>
      <c r="F7" s="475"/>
      <c r="G7" s="475"/>
      <c r="H7" s="475"/>
    </row>
    <row r="8" spans="1:13" x14ac:dyDescent="0.25">
      <c r="A8" s="30">
        <v>3</v>
      </c>
      <c r="B8" s="475" t="s">
        <v>18</v>
      </c>
      <c r="C8" s="475"/>
      <c r="D8" s="475"/>
      <c r="E8" s="475"/>
      <c r="F8" s="475"/>
      <c r="G8" s="475"/>
      <c r="H8" s="475"/>
    </row>
    <row r="9" spans="1:13" x14ac:dyDescent="0.25">
      <c r="A9" s="30">
        <v>4</v>
      </c>
      <c r="B9" s="475" t="s">
        <v>19</v>
      </c>
      <c r="C9" s="475"/>
      <c r="D9" s="475"/>
      <c r="E9" s="475"/>
      <c r="F9" s="475"/>
      <c r="G9" s="475"/>
      <c r="H9" s="475"/>
      <c r="I9" s="475"/>
      <c r="J9" s="475"/>
      <c r="K9" s="475"/>
      <c r="L9" s="475"/>
    </row>
    <row r="10" spans="1:13" x14ac:dyDescent="0.25">
      <c r="A10" s="30">
        <v>5</v>
      </c>
      <c r="B10" s="475" t="s">
        <v>75</v>
      </c>
      <c r="C10" s="475"/>
      <c r="D10" s="475"/>
      <c r="E10" s="475"/>
      <c r="F10" s="475"/>
      <c r="G10" s="475"/>
      <c r="H10" s="475"/>
    </row>
    <row r="11" spans="1:13" x14ac:dyDescent="0.25">
      <c r="A11" s="30">
        <v>6</v>
      </c>
      <c r="B11" s="475" t="s">
        <v>76</v>
      </c>
      <c r="C11" s="475"/>
      <c r="D11" s="475"/>
      <c r="E11" s="475"/>
      <c r="F11" s="475"/>
      <c r="G11" s="475"/>
      <c r="H11" s="475"/>
    </row>
    <row r="12" spans="1:13" x14ac:dyDescent="0.25">
      <c r="A12" s="30">
        <v>7</v>
      </c>
      <c r="B12" s="475" t="s">
        <v>20</v>
      </c>
      <c r="C12" s="475"/>
      <c r="D12" s="475"/>
      <c r="E12" s="475"/>
      <c r="F12" s="475"/>
      <c r="G12" s="475"/>
      <c r="H12" s="475"/>
    </row>
    <row r="13" spans="1:13" x14ac:dyDescent="0.25">
      <c r="A13" s="30">
        <v>8</v>
      </c>
      <c r="B13" s="475" t="s">
        <v>21</v>
      </c>
      <c r="C13" s="475"/>
      <c r="D13" s="475"/>
      <c r="E13" s="475"/>
      <c r="F13" s="475"/>
      <c r="G13" s="475"/>
      <c r="H13" s="475"/>
      <c r="I13" s="475"/>
      <c r="J13" s="475"/>
      <c r="K13" s="475"/>
      <c r="L13" s="475"/>
      <c r="M13" s="475"/>
    </row>
    <row r="14" spans="1:13" x14ac:dyDescent="0.25">
      <c r="A14" s="30">
        <v>9</v>
      </c>
      <c r="B14" s="475" t="s">
        <v>99</v>
      </c>
      <c r="C14" s="475"/>
      <c r="D14" s="475"/>
      <c r="E14" s="475"/>
      <c r="F14" s="475"/>
    </row>
    <row r="15" spans="1:13" x14ac:dyDescent="0.25">
      <c r="A15" s="30">
        <v>10</v>
      </c>
      <c r="B15" s="31" t="s">
        <v>98</v>
      </c>
    </row>
    <row r="16" spans="1:13" x14ac:dyDescent="0.25">
      <c r="A16" s="32" t="s">
        <v>104</v>
      </c>
      <c r="B16" s="31"/>
    </row>
    <row r="17" spans="1:2" x14ac:dyDescent="0.25">
      <c r="A17" s="30">
        <v>11</v>
      </c>
      <c r="B17" s="31" t="s">
        <v>102</v>
      </c>
    </row>
    <row r="18" spans="1:2" x14ac:dyDescent="0.25">
      <c r="A18" s="28" t="s">
        <v>105</v>
      </c>
    </row>
    <row r="19" spans="1:2" x14ac:dyDescent="0.25">
      <c r="A19" s="30">
        <v>12</v>
      </c>
      <c r="B19" s="31" t="s">
        <v>109</v>
      </c>
    </row>
    <row r="20" spans="1:2" x14ac:dyDescent="0.25">
      <c r="A20" s="30">
        <v>13</v>
      </c>
      <c r="B20" s="31" t="s">
        <v>110</v>
      </c>
    </row>
    <row r="21" spans="1:2" x14ac:dyDescent="0.25">
      <c r="A21" s="28" t="s">
        <v>108</v>
      </c>
    </row>
    <row r="22" spans="1:2" x14ac:dyDescent="0.25">
      <c r="A22" s="30">
        <v>14</v>
      </c>
      <c r="B22" s="31" t="s">
        <v>128</v>
      </c>
    </row>
    <row r="23" spans="1:2" ht="30" x14ac:dyDescent="0.25">
      <c r="A23" s="30">
        <v>15</v>
      </c>
      <c r="B23" s="33" t="s">
        <v>129</v>
      </c>
    </row>
    <row r="24" spans="1:2" x14ac:dyDescent="0.25">
      <c r="A24" s="28" t="s">
        <v>130</v>
      </c>
    </row>
    <row r="25" spans="1:2" x14ac:dyDescent="0.25">
      <c r="A25" s="30">
        <v>16</v>
      </c>
      <c r="B25" s="39" t="s">
        <v>133</v>
      </c>
    </row>
    <row r="26" spans="1:2" x14ac:dyDescent="0.25">
      <c r="A26" s="30">
        <v>17</v>
      </c>
      <c r="B26" s="39" t="s">
        <v>134</v>
      </c>
    </row>
    <row r="27" spans="1:2" x14ac:dyDescent="0.25">
      <c r="A27" s="30">
        <v>18</v>
      </c>
      <c r="B27" s="39" t="s">
        <v>135</v>
      </c>
    </row>
    <row r="28" spans="1:2" x14ac:dyDescent="0.25">
      <c r="A28" s="30">
        <v>19</v>
      </c>
      <c r="B28" s="39" t="s">
        <v>136</v>
      </c>
    </row>
    <row r="29" spans="1:2" x14ac:dyDescent="0.25">
      <c r="A29" s="30">
        <v>20</v>
      </c>
      <c r="B29" s="39" t="s">
        <v>137</v>
      </c>
    </row>
    <row r="30" spans="1:2" x14ac:dyDescent="0.25">
      <c r="A30" s="30">
        <v>21</v>
      </c>
      <c r="B30" s="39" t="s">
        <v>138</v>
      </c>
    </row>
    <row r="31" spans="1:2" x14ac:dyDescent="0.25">
      <c r="A31" s="27" t="s">
        <v>131</v>
      </c>
    </row>
    <row r="32" spans="1:2" x14ac:dyDescent="0.25">
      <c r="A32" s="30">
        <v>22</v>
      </c>
      <c r="B32" s="39" t="s">
        <v>139</v>
      </c>
    </row>
    <row r="33" spans="1:2" x14ac:dyDescent="0.25">
      <c r="A33" s="30">
        <v>23</v>
      </c>
      <c r="B33" s="39" t="s">
        <v>140</v>
      </c>
    </row>
    <row r="34" spans="1:2" x14ac:dyDescent="0.25">
      <c r="A34" s="30">
        <v>24</v>
      </c>
      <c r="B34" s="39" t="s">
        <v>142</v>
      </c>
    </row>
    <row r="35" spans="1:2" x14ac:dyDescent="0.25">
      <c r="A35" s="30">
        <v>25</v>
      </c>
      <c r="B35" s="39" t="s">
        <v>141</v>
      </c>
    </row>
    <row r="36" spans="1:2" x14ac:dyDescent="0.25">
      <c r="A36" s="27" t="s">
        <v>132</v>
      </c>
    </row>
    <row r="37" spans="1:2" x14ac:dyDescent="0.25">
      <c r="A37" s="30">
        <v>26</v>
      </c>
      <c r="B37" s="39" t="s">
        <v>143</v>
      </c>
    </row>
  </sheetData>
  <mergeCells count="10">
    <mergeCell ref="B11:H11"/>
    <mergeCell ref="B12:H12"/>
    <mergeCell ref="B13:M13"/>
    <mergeCell ref="B14:F14"/>
    <mergeCell ref="B4:C4"/>
    <mergeCell ref="B6:G6"/>
    <mergeCell ref="B7:H7"/>
    <mergeCell ref="B8:H8"/>
    <mergeCell ref="B9:L9"/>
    <mergeCell ref="B10:H10"/>
  </mergeCells>
  <hyperlinks>
    <hyperlink ref="B4" location="'титульный лист'!A1" display="Титульный лист" xr:uid="{00000000-0004-0000-0000-000000000000}"/>
    <hyperlink ref="B6" location="'ведомость тех документации'!A1" display="Ведомость технической документации (форма 1)" xr:uid="{00000000-0004-0000-0000-000001000000}"/>
    <hyperlink ref="B4:C4" location="Титульный!A1" display="Титульный лист" xr:uid="{00000000-0004-0000-0000-000002000000}"/>
    <hyperlink ref="B6:G6" location="'1'!A1" display="Ведомость технической документации (форма 1)" xr:uid="{00000000-0004-0000-0000-000003000000}"/>
    <hyperlink ref="B7:H7" location="'2'!A1" display="Акт технической готовности электромонтажных работ (форма 2)" xr:uid="{00000000-0004-0000-0000-000004000000}"/>
    <hyperlink ref="B8:H8" location="'3'!A1" display="Ведомость изменений и отступлений от проекта (форма 3)" xr:uid="{00000000-0004-0000-0000-000005000000}"/>
    <hyperlink ref="B9:L9" location="'4'!A1" display="Ведомость электромонтажных недоделок, не препятствующих комплексному опробованию (форма 4)" xr:uid="{00000000-0004-0000-0000-000006000000}"/>
    <hyperlink ref="B10:H10" location="'5'!A1" display="Акт приемки-передачи оборудования в монтаж (форма ОС-15)" xr:uid="{00000000-0004-0000-0000-000007000000}"/>
    <hyperlink ref="B11:H11" location="'6'!A1" display="Акт о выявленных дефектах оборудования (форма ОС-16)" xr:uid="{00000000-0004-0000-0000-000008000000}"/>
    <hyperlink ref="B12:H12" location="'7'!A1" display="Ведомость смонтированного электрооборудования (форма 5)" xr:uid="{00000000-0004-0000-0000-000009000000}"/>
    <hyperlink ref="B15" location="'10'!A1" display="Акт передачи смонтированного оборудования для производства пусконаладочных работ(форма 6б)" xr:uid="{00000000-0004-0000-0000-00000A000000}"/>
    <hyperlink ref="B14:F14" location="'9'!A1" display="Справка о ликвидации недоделок (форма 6а)" xr:uid="{00000000-0004-0000-0000-00000B000000}"/>
    <hyperlink ref="B13:M13" location="'8'!A1" display="Акт готовности строительной части помещений (сооружений) к производству электромонтажных работ (форма 6)" xr:uid="{00000000-0004-0000-0000-00000C000000}"/>
    <hyperlink ref="B17" location="'11'!A1" display="Акт о приемке и монтаже силового трансформатора" xr:uid="{00000000-0004-0000-0000-00000D000000}"/>
    <hyperlink ref="A5" location="Тех.часть!A43" display="ОБЩИЕ ФОРМЫ ПРИЕМОСДАТОЧНОЙ ДОКУМЕНТАЦИИ" xr:uid="{00000000-0004-0000-0000-00000E000000}"/>
    <hyperlink ref="A16" location="Тех.часть!A68" display="ФОРМЫ ДОКУМЕНТОВ ПО ЭЛЕКТРООБОРУДОВАНИЮ РАСПРЕДЕЛИТЕЛЬНЫХ УСТРОЙСТВ И ЭЛЕКТРИЧЕСКИХ ПОДСТАНЦИЙ НАПРЯЖЕНИЕМ ДО 220 кВ ВКЛЮЧИТЕЛЬНО" xr:uid="{00000000-0004-0000-0000-00000F000000}"/>
    <hyperlink ref="A18" location="Тех.часть!A76" display="ФОРМЫ ДОКУМЕНТОВ ПО АККУМУЛЯТОРНЫМ БАТАРЕЯМ" xr:uid="{00000000-0004-0000-0000-000010000000}"/>
    <hyperlink ref="A21" location="Тех.часть!A84" display="ФОРМА ДОКУМЕНТОВ ПО ЭЛЕКТРОПРОВОДКАМ" xr:uid="{00000000-0004-0000-0000-000011000000}"/>
    <hyperlink ref="B19" location="'12'!A1" display="Протокол осмотра и проверки технической готовности электромонтажных работ по аккумуляторной батарее" xr:uid="{00000000-0004-0000-0000-000012000000}"/>
    <hyperlink ref="B20" location="'13'!A1" display="Ведомость замеров при контрольном разряде аккумуляторной батареи" xr:uid="{00000000-0004-0000-0000-000013000000}"/>
    <hyperlink ref="B22" location="'14'!A1" display="Акт осмотра канализации из труб перед закрытием" xr:uid="{00000000-0004-0000-0000-000014000000}"/>
    <hyperlink ref="B23" location="'15'!A1" display="Протокол испытаний давлением локальных разделительных уплотнений или стальных труб для проводок во взрывоопасных зонах классов В-1 и В-1а." xr:uid="{00000000-0004-0000-0000-000015000000}"/>
    <hyperlink ref="A24" location="Тех.часть!A90" display="ФОРМЫ ДОКУМЕНТОВ ПО КАБЕЛЬНЫМ ЛИНИЯМ" xr:uid="{00000000-0004-0000-0000-000016000000}"/>
    <hyperlink ref="A31" location="Тех.часть!A101" display="ФОРМЫ ДОКУМЕНТОВ ПО ВОЗДУШНЫМ ЛИНИЯМ ЭЛЕКТРОПЕРЕДАЧИ НАПРЯЖЕНИЕМ ДО 220 кВ ВКЛЮЧИТЕЛЬНО" xr:uid="{00000000-0004-0000-0000-000017000000}"/>
    <hyperlink ref="A36" location="Тех.часть!A111" display="ФОРМЫ ДОКУМЕНТОВ ПО ЗАЗЕМЛЯЮЩИМ УСТРОЙСТВАМ" xr:uid="{00000000-0004-0000-0000-000018000000}"/>
    <hyperlink ref="B25" location="'16'!A1" display="Акт приемки траншей, каналов, туннелей и блоков под монтаж кабелей (форма 14 а);" xr:uid="{00000000-0004-0000-0000-000019000000}"/>
    <hyperlink ref="B26" location="'17'!A1" display="Протокол осмотра и проверки изоляции кабелей, на барабане перед прокладкой (форма 15);" xr:uid="{00000000-0004-0000-0000-00001A000000}"/>
    <hyperlink ref="B27" location="'18'!A1" display="Протокол прогрева кабелей на барабане перед прокладкой при низких температурах (форма 16);" xr:uid="{00000000-0004-0000-0000-00001B000000}"/>
    <hyperlink ref="B28" location="'19'!A1" display="Акт осмотра кабельной канализации в траншее и каналах перед закрытием (форма 17);" xr:uid="{00000000-0004-0000-0000-00001C000000}"/>
    <hyperlink ref="B29" location="'20'!A1" display="Журнал прокладки кабелей (форма 18);" xr:uid="{00000000-0004-0000-0000-00001D000000}"/>
    <hyperlink ref="B30" location="'21'!A1" display="Журнал разделки кабельных муфт напряжением выше 1000 В (форма 19)." xr:uid="{00000000-0004-0000-0000-00001E000000}"/>
    <hyperlink ref="B37" location="'26'!A1" display="Паспорт заземляющего устройства (форма 24)." xr:uid="{00000000-0004-0000-0000-00001F000000}"/>
    <hyperlink ref="B32" location="'22'!A1" display="Акт готовности монолитного фундамента под опору ВЛ (форма 20);" xr:uid="{00000000-0004-0000-0000-000020000000}"/>
    <hyperlink ref="B33" location="'23'!A1" display="Акт готовности сборных железобетонных фундаментов под опоры (форма 21);" xr:uid="{00000000-0004-0000-0000-000021000000}"/>
    <hyperlink ref="B34" location="'24'!A1" display="Паспорт воздушной линии электропередачи (форма 22);" xr:uid="{00000000-0004-0000-0000-000022000000}"/>
    <hyperlink ref="B35" location="'25'!A1" display="Акт замеров в натуре габаритов от проводов ВЛ до пересекаемого объекта (форма 23)." xr:uid="{00000000-0004-0000-0000-00002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F2C3-4FD3-4D0E-9C84-75A693AAF68B}">
  <dimension ref="A1:AJ89"/>
  <sheetViews>
    <sheetView showFormulas="1" zoomScale="80" zoomScaleNormal="80" workbookViewId="0">
      <selection activeCell="H3" sqref="H3"/>
    </sheetView>
  </sheetViews>
  <sheetFormatPr defaultColWidth="8.85546875" defaultRowHeight="15" x14ac:dyDescent="0.25"/>
  <cols>
    <col min="1" max="1" width="20.140625" customWidth="1"/>
    <col min="2" max="2" width="19.7109375" customWidth="1"/>
    <col min="3" max="3" width="20.140625" customWidth="1"/>
    <col min="4" max="4" width="24.28515625" customWidth="1"/>
    <col min="5" max="5" width="23.7109375" customWidth="1"/>
    <col min="6" max="6" width="18.42578125" customWidth="1"/>
    <col min="7" max="7" width="20.7109375" customWidth="1"/>
    <col min="8" max="8" width="16.140625" customWidth="1"/>
    <col min="9" max="9" width="16.5703125" customWidth="1"/>
    <col min="10" max="10" width="17.5703125" customWidth="1"/>
    <col min="11" max="11" width="40" customWidth="1"/>
    <col min="12" max="13" width="20" customWidth="1"/>
    <col min="14" max="14" width="13.28515625" customWidth="1"/>
    <col min="15" max="15" width="26.7109375" customWidth="1"/>
    <col min="20" max="20" width="13.28515625" customWidth="1"/>
    <col min="21" max="21" width="12.28515625" customWidth="1"/>
    <col min="22" max="22" width="11.5703125" customWidth="1"/>
    <col min="23" max="23" width="12.5703125" customWidth="1"/>
    <col min="24" max="24" width="18.85546875" customWidth="1"/>
  </cols>
  <sheetData>
    <row r="1" spans="1:24" x14ac:dyDescent="0.25">
      <c r="A1" s="150" t="s">
        <v>631</v>
      </c>
      <c r="B1" s="150" t="s">
        <v>703</v>
      </c>
      <c r="C1" s="150" t="s">
        <v>704</v>
      </c>
      <c r="D1" s="150" t="s">
        <v>704</v>
      </c>
      <c r="E1" s="150" t="s">
        <v>705</v>
      </c>
      <c r="F1" s="150" t="s">
        <v>706</v>
      </c>
      <c r="G1" s="150" t="s">
        <v>707</v>
      </c>
      <c r="H1" s="150" t="s">
        <v>418</v>
      </c>
    </row>
    <row r="2" spans="1:24" x14ac:dyDescent="0.25">
      <c r="A2" s="161" t="s">
        <v>400</v>
      </c>
      <c r="B2" s="161" t="s">
        <v>406</v>
      </c>
      <c r="C2" s="161" t="s">
        <v>404</v>
      </c>
      <c r="D2" s="161" t="s">
        <v>403</v>
      </c>
      <c r="E2" s="161" t="s">
        <v>401</v>
      </c>
      <c r="F2" s="161" t="s">
        <v>402</v>
      </c>
      <c r="G2" s="161" t="s">
        <v>405</v>
      </c>
      <c r="H2" s="161" t="s">
        <v>1373</v>
      </c>
      <c r="X2" s="2"/>
    </row>
    <row r="3" spans="1:24" x14ac:dyDescent="0.25">
      <c r="A3" t="s">
        <v>385</v>
      </c>
      <c r="B3" t="s">
        <v>407</v>
      </c>
      <c r="C3" t="s">
        <v>396</v>
      </c>
      <c r="D3" t="s">
        <v>396</v>
      </c>
      <c r="E3" t="s">
        <v>393</v>
      </c>
      <c r="F3" t="s">
        <v>399</v>
      </c>
      <c r="G3" t="s">
        <v>697</v>
      </c>
      <c r="H3" t="s">
        <v>698</v>
      </c>
    </row>
    <row r="4" spans="1:24" x14ac:dyDescent="0.25">
      <c r="A4" t="s">
        <v>382</v>
      </c>
      <c r="B4" t="s">
        <v>408</v>
      </c>
      <c r="C4" t="s">
        <v>397</v>
      </c>
      <c r="D4" t="s">
        <v>397</v>
      </c>
      <c r="E4" t="s">
        <v>394</v>
      </c>
      <c r="H4" t="s">
        <v>699</v>
      </c>
    </row>
    <row r="5" spans="1:24" x14ac:dyDescent="0.25">
      <c r="A5" t="s">
        <v>383</v>
      </c>
      <c r="B5" t="s">
        <v>409</v>
      </c>
      <c r="C5" t="s">
        <v>398</v>
      </c>
      <c r="D5" t="s">
        <v>398</v>
      </c>
      <c r="E5" t="s">
        <v>395</v>
      </c>
      <c r="H5" t="s">
        <v>700</v>
      </c>
    </row>
    <row r="6" spans="1:24" x14ac:dyDescent="0.25">
      <c r="A6" t="s">
        <v>384</v>
      </c>
      <c r="B6" t="s">
        <v>410</v>
      </c>
      <c r="H6" t="s">
        <v>701</v>
      </c>
      <c r="K6" t="s">
        <v>718</v>
      </c>
      <c r="L6" s="161"/>
      <c r="M6" s="161"/>
      <c r="N6" t="s">
        <v>719</v>
      </c>
      <c r="O6" s="177"/>
    </row>
    <row r="7" spans="1:24" x14ac:dyDescent="0.25">
      <c r="A7" t="s">
        <v>386</v>
      </c>
      <c r="B7" t="s">
        <v>414</v>
      </c>
      <c r="K7" t="s">
        <v>400</v>
      </c>
      <c r="L7" t="s">
        <v>385</v>
      </c>
    </row>
    <row r="8" spans="1:24" x14ac:dyDescent="0.25">
      <c r="A8" t="s">
        <v>387</v>
      </c>
      <c r="B8" t="s">
        <v>411</v>
      </c>
      <c r="K8" t="s">
        <v>403</v>
      </c>
      <c r="L8" t="s">
        <v>398</v>
      </c>
    </row>
    <row r="9" spans="1:24" x14ac:dyDescent="0.25">
      <c r="A9" t="s">
        <v>388</v>
      </c>
      <c r="B9" t="s">
        <v>412</v>
      </c>
      <c r="K9" t="s">
        <v>402</v>
      </c>
    </row>
    <row r="10" spans="1:24" x14ac:dyDescent="0.25">
      <c r="A10" t="s">
        <v>389</v>
      </c>
      <c r="B10" t="s">
        <v>413</v>
      </c>
      <c r="K10" t="s">
        <v>404</v>
      </c>
      <c r="L10" t="s">
        <v>397</v>
      </c>
    </row>
    <row r="11" spans="1:24" x14ac:dyDescent="0.25">
      <c r="A11" t="s">
        <v>390</v>
      </c>
      <c r="B11" t="s">
        <v>415</v>
      </c>
      <c r="K11" t="s">
        <v>402</v>
      </c>
      <c r="L11" t="s">
        <v>399</v>
      </c>
    </row>
    <row r="12" spans="1:24" x14ac:dyDescent="0.25">
      <c r="A12" t="s">
        <v>391</v>
      </c>
      <c r="B12" s="79"/>
      <c r="K12" t="s">
        <v>403</v>
      </c>
      <c r="L12" t="s">
        <v>396</v>
      </c>
    </row>
    <row r="13" spans="1:24" x14ac:dyDescent="0.25">
      <c r="A13" t="s">
        <v>392</v>
      </c>
      <c r="B13" s="80"/>
    </row>
    <row r="14" spans="1:24" x14ac:dyDescent="0.25">
      <c r="A14" s="145"/>
      <c r="B14" s="145"/>
      <c r="K14" t="s">
        <v>400</v>
      </c>
      <c r="L14" t="s">
        <v>382</v>
      </c>
    </row>
    <row r="15" spans="1:24" x14ac:dyDescent="0.25">
      <c r="A15" s="77"/>
      <c r="B15" s="78"/>
    </row>
    <row r="16" spans="1:24" x14ac:dyDescent="0.25">
      <c r="A16" s="77"/>
      <c r="B16" s="81"/>
    </row>
    <row r="17" spans="1:12" x14ac:dyDescent="0.25">
      <c r="A17" s="77"/>
      <c r="B17" s="78"/>
    </row>
    <row r="18" spans="1:12" x14ac:dyDescent="0.25">
      <c r="A18" s="77"/>
      <c r="B18" s="78"/>
    </row>
    <row r="19" spans="1:12" x14ac:dyDescent="0.25">
      <c r="A19" s="77"/>
      <c r="B19" s="78"/>
      <c r="K19" t="s">
        <v>404</v>
      </c>
      <c r="L19" t="e">
        <f ca="1">OFFSET($A$2,1,MATCH(K19,$A$2:$H$2,0)-1,10,1)</f>
      </c>
    </row>
    <row r="20" spans="1:12" x14ac:dyDescent="0.25">
      <c r="A20" s="77"/>
      <c r="B20" s="78"/>
    </row>
    <row r="21" spans="1:12" x14ac:dyDescent="0.25">
      <c r="A21" s="77"/>
      <c r="B21" s="78"/>
    </row>
    <row r="22" spans="1:12" x14ac:dyDescent="0.25">
      <c r="A22" s="146"/>
      <c r="B22" s="146"/>
    </row>
    <row r="23" spans="1:12" x14ac:dyDescent="0.25">
      <c r="A23" s="77"/>
      <c r="B23" s="78"/>
    </row>
    <row r="24" spans="1:12" x14ac:dyDescent="0.25">
      <c r="A24" s="77"/>
      <c r="B24" s="82"/>
    </row>
    <row r="25" spans="1:12" x14ac:dyDescent="0.25">
      <c r="A25" s="77"/>
      <c r="B25" s="78"/>
    </row>
    <row r="26" spans="1:12" x14ac:dyDescent="0.25">
      <c r="A26" s="77"/>
      <c r="B26" s="78"/>
    </row>
    <row r="27" spans="1:12" x14ac:dyDescent="0.25">
      <c r="A27" s="77"/>
      <c r="B27" s="78"/>
    </row>
    <row r="28" spans="1:12" x14ac:dyDescent="0.25">
      <c r="A28" s="146"/>
      <c r="B28" s="146"/>
    </row>
    <row r="29" spans="1:12" x14ac:dyDescent="0.25">
      <c r="A29" s="77"/>
      <c r="B29" s="78"/>
    </row>
    <row r="30" spans="1:12" x14ac:dyDescent="0.25">
      <c r="A30" s="77"/>
      <c r="B30" s="81"/>
    </row>
    <row r="31" spans="1:12" x14ac:dyDescent="0.25">
      <c r="A31" s="77"/>
      <c r="B31" s="78"/>
    </row>
    <row r="32" spans="1:12" x14ac:dyDescent="0.25">
      <c r="A32" s="77"/>
      <c r="B32" s="78"/>
    </row>
    <row r="33" spans="1:2" x14ac:dyDescent="0.25">
      <c r="A33" s="77"/>
      <c r="B33" s="78"/>
    </row>
    <row r="34" spans="1:2" x14ac:dyDescent="0.25">
      <c r="A34" s="77"/>
      <c r="B34" s="78"/>
    </row>
    <row r="35" spans="1:2" x14ac:dyDescent="0.25">
      <c r="A35" s="77"/>
      <c r="B35" s="78"/>
    </row>
    <row r="36" spans="1:2" x14ac:dyDescent="0.25">
      <c r="A36" s="145"/>
      <c r="B36" s="145"/>
    </row>
    <row r="37" spans="1:2" x14ac:dyDescent="0.25">
      <c r="A37" s="77"/>
      <c r="B37" s="78"/>
    </row>
    <row r="38" spans="1:2" x14ac:dyDescent="0.25">
      <c r="A38" s="77"/>
      <c r="B38" s="78"/>
    </row>
    <row r="39" spans="1:2" x14ac:dyDescent="0.25">
      <c r="A39" s="77"/>
      <c r="B39" s="78"/>
    </row>
    <row r="40" spans="1:2" x14ac:dyDescent="0.25">
      <c r="A40" s="77"/>
      <c r="B40" s="83"/>
    </row>
    <row r="41" spans="1:2" x14ac:dyDescent="0.25">
      <c r="A41" s="77"/>
      <c r="B41" s="78"/>
    </row>
    <row r="42" spans="1:2" x14ac:dyDescent="0.25">
      <c r="A42" s="43"/>
      <c r="B42" s="43"/>
    </row>
    <row r="43" spans="1:2" x14ac:dyDescent="0.25">
      <c r="A43" s="43"/>
      <c r="B43" s="43"/>
    </row>
    <row r="44" spans="1:2" x14ac:dyDescent="0.25">
      <c r="A44" s="77"/>
      <c r="B44" s="78"/>
    </row>
    <row r="45" spans="1:2" x14ac:dyDescent="0.25">
      <c r="A45" s="77"/>
    </row>
    <row r="46" spans="1:2" x14ac:dyDescent="0.25">
      <c r="A46" s="77"/>
      <c r="B46" s="78"/>
    </row>
    <row r="47" spans="1:2" x14ac:dyDescent="0.25">
      <c r="A47" s="77"/>
      <c r="B47" s="78"/>
    </row>
    <row r="48" spans="1:2" x14ac:dyDescent="0.25">
      <c r="A48" s="145"/>
      <c r="B48" s="145"/>
    </row>
    <row r="49" spans="1:30" x14ac:dyDescent="0.25">
      <c r="A49" s="77"/>
      <c r="B49" s="51"/>
    </row>
    <row r="50" spans="1:30" x14ac:dyDescent="0.25">
      <c r="A50" s="77"/>
      <c r="B50" s="84"/>
    </row>
    <row r="51" spans="1:30" x14ac:dyDescent="0.25">
      <c r="A51" s="43"/>
      <c r="B51" s="43"/>
    </row>
    <row r="52" spans="1:30" x14ac:dyDescent="0.25">
      <c r="A52" s="77"/>
      <c r="B52" s="78"/>
    </row>
    <row r="53" spans="1:30" x14ac:dyDescent="0.25">
      <c r="A53" s="77"/>
    </row>
    <row r="59" spans="1:30" x14ac:dyDescent="0.25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1:30" x14ac:dyDescent="0.25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1:30" x14ac:dyDescent="0.25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spans="1:30" x14ac:dyDescent="0.25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spans="1:30" x14ac:dyDescent="0.25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1:30" x14ac:dyDescent="0.25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3:36" x14ac:dyDescent="0.25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spans="3:36" x14ac:dyDescent="0.25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70" spans="3:36" ht="14.45" customHeight="1" x14ac:dyDescent="0.25"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</row>
    <row r="71" spans="3:36" ht="14.45" customHeight="1" x14ac:dyDescent="0.25"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</row>
    <row r="72" spans="3:36" x14ac:dyDescent="0.25"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</row>
    <row r="73" spans="3:36" x14ac:dyDescent="0.25"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</row>
    <row r="74" spans="3:36" x14ac:dyDescent="0.25"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</row>
    <row r="75" spans="3:36" x14ac:dyDescent="0.25"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</row>
    <row r="76" spans="3:36" x14ac:dyDescent="0.25"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</row>
    <row r="77" spans="3:36" x14ac:dyDescent="0.25"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</row>
    <row r="78" spans="3:36" x14ac:dyDescent="0.25"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</row>
    <row r="79" spans="3:36" x14ac:dyDescent="0.25"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</row>
    <row r="80" spans="3:36" x14ac:dyDescent="0.25"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</row>
    <row r="81" spans="2:36" x14ac:dyDescent="0.25"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</row>
    <row r="82" spans="2:36" x14ac:dyDescent="0.25"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</row>
    <row r="83" spans="2:36" x14ac:dyDescent="0.25"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</row>
    <row r="84" spans="2:36" ht="14.45" customHeight="1" x14ac:dyDescent="0.25"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</row>
    <row r="89" spans="2:36" ht="16.149999999999999" customHeight="1" x14ac:dyDescent="0.25">
      <c r="B89" s="85"/>
    </row>
  </sheetData>
  <dataValidations count="4">
    <dataValidation type="list" allowBlank="1" showInputMessage="1" showErrorMessage="1" sqref="C58" xr:uid="{53CEF3AA-C2C6-49D4-B4D0-FE94AECF07D9}">
      <formula1>ТП</formula1>
    </dataValidation>
    <dataValidation type="list" allowBlank="1" showInputMessage="1" showErrorMessage="1" sqref="K7:K16 K19:K21" xr:uid="{B27F96A7-61FF-4727-9999-F4DC20E09255}">
      <formula1>$A$2:$H$2</formula1>
    </dataValidation>
    <dataValidation type="list" allowBlank="1" showInputMessage="1" showErrorMessage="1" sqref="O6" xr:uid="{9B4213A0-1F74-4F3B-9F18-185FEA150B05}">
      <formula1>INDIRECT($L$6)</formula1>
    </dataValidation>
    <dataValidation type="list" allowBlank="1" showInputMessage="1" showErrorMessage="1" sqref="L8:L18 L7" xr:uid="{98FA6236-2A06-4017-BBEE-831EEBFA5400}">
      <formula1>OFFSET($A$2,1,MATCH(K7,$A$2:$H$2,0)-1,10,1)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72F2-4EF1-4FAB-BD58-636824EC735D}">
  <dimension ref="A2:AI89"/>
  <sheetViews>
    <sheetView zoomScale="70" zoomScaleNormal="70" workbookViewId="0">
      <selection activeCell="H3" sqref="H3"/>
    </sheetView>
  </sheetViews>
  <sheetFormatPr defaultColWidth="8.85546875" defaultRowHeight="15" x14ac:dyDescent="0.25"/>
  <cols>
    <col min="1" max="1" width="20.5703125" customWidth="1"/>
    <col min="2" max="2" width="19.7109375" customWidth="1"/>
    <col min="3" max="3" width="11.85546875" customWidth="1"/>
    <col min="4" max="4" width="19.5703125" customWidth="1"/>
    <col min="5" max="5" width="14.28515625" customWidth="1"/>
    <col min="6" max="6" width="13.5703125" customWidth="1"/>
    <col min="7" max="7" width="20.7109375" customWidth="1"/>
    <col min="8" max="8" width="18.85546875" customWidth="1"/>
    <col min="9" max="9" width="16.140625" customWidth="1"/>
    <col min="10" max="10" width="14.140625" customWidth="1"/>
    <col min="11" max="11" width="17.5703125" customWidth="1"/>
    <col min="12" max="12" width="20" customWidth="1"/>
    <col min="13" max="13" width="27" customWidth="1"/>
    <col min="19" max="19" width="13.28515625" customWidth="1"/>
    <col min="20" max="20" width="12.28515625" customWidth="1"/>
    <col min="21" max="21" width="11.5703125" customWidth="1"/>
    <col min="22" max="22" width="12.5703125" customWidth="1"/>
    <col min="23" max="23" width="18.85546875" customWidth="1"/>
    <col min="27" max="27" width="19.85546875" customWidth="1"/>
  </cols>
  <sheetData>
    <row r="2" spans="1:27" s="161" customFormat="1" x14ac:dyDescent="0.25">
      <c r="A2" s="161" t="s">
        <v>693</v>
      </c>
      <c r="B2" s="161" t="s">
        <v>420</v>
      </c>
      <c r="C2" s="161" t="s">
        <v>375</v>
      </c>
      <c r="D2" s="161" t="s">
        <v>374</v>
      </c>
      <c r="E2" s="161" t="s">
        <v>229</v>
      </c>
      <c r="F2" s="161" t="s">
        <v>369</v>
      </c>
      <c r="G2" s="161" t="s">
        <v>431</v>
      </c>
      <c r="H2" s="161" t="s">
        <v>370</v>
      </c>
      <c r="I2" s="161" t="s">
        <v>417</v>
      </c>
      <c r="J2" s="161" t="s">
        <v>669</v>
      </c>
      <c r="K2" s="161" t="s">
        <v>371</v>
      </c>
      <c r="L2" s="161" t="s">
        <v>372</v>
      </c>
      <c r="M2" s="161" t="s">
        <v>373</v>
      </c>
      <c r="N2" s="161" t="s">
        <v>376</v>
      </c>
      <c r="O2" s="161" t="s">
        <v>377</v>
      </c>
      <c r="P2" s="161" t="s">
        <v>630</v>
      </c>
      <c r="Q2" s="161" t="s">
        <v>359</v>
      </c>
      <c r="R2" s="161" t="s">
        <v>696</v>
      </c>
      <c r="S2" s="161" t="s">
        <v>418</v>
      </c>
      <c r="T2" s="161" t="s">
        <v>419</v>
      </c>
      <c r="U2" s="161" t="s">
        <v>641</v>
      </c>
      <c r="V2" s="161" t="s">
        <v>643</v>
      </c>
      <c r="W2" s="167" t="s">
        <v>647</v>
      </c>
      <c r="X2" s="161" t="s">
        <v>650</v>
      </c>
      <c r="Y2" s="161" t="s">
        <v>653</v>
      </c>
      <c r="Z2" s="161" t="s">
        <v>656</v>
      </c>
      <c r="AA2" s="238" t="s">
        <v>1166</v>
      </c>
    </row>
    <row r="3" spans="1:27" x14ac:dyDescent="0.25">
      <c r="A3" t="s">
        <v>385</v>
      </c>
      <c r="B3" t="s">
        <v>407</v>
      </c>
      <c r="C3" t="s">
        <v>421</v>
      </c>
      <c r="D3" t="s">
        <v>423</v>
      </c>
      <c r="E3" t="s">
        <v>432</v>
      </c>
      <c r="F3" s="256" t="s">
        <v>1260</v>
      </c>
      <c r="G3" t="s">
        <v>681</v>
      </c>
      <c r="H3" t="s">
        <v>1131</v>
      </c>
      <c r="I3" t="s">
        <v>672</v>
      </c>
      <c r="J3" s="256"/>
      <c r="K3" t="s">
        <v>1292</v>
      </c>
      <c r="L3" t="s">
        <v>1148</v>
      </c>
      <c r="M3" t="s">
        <v>644</v>
      </c>
      <c r="N3" t="s">
        <v>645</v>
      </c>
      <c r="O3" t="s">
        <v>646</v>
      </c>
      <c r="P3" t="s">
        <v>682</v>
      </c>
      <c r="Q3" s="237" t="s">
        <v>1156</v>
      </c>
      <c r="R3" t="s">
        <v>1123</v>
      </c>
      <c r="S3" t="s">
        <v>633</v>
      </c>
      <c r="T3" t="s">
        <v>640</v>
      </c>
      <c r="U3" t="s">
        <v>642</v>
      </c>
      <c r="V3" t="s">
        <v>652</v>
      </c>
      <c r="W3" t="s">
        <v>648</v>
      </c>
      <c r="X3" t="s">
        <v>651</v>
      </c>
      <c r="Y3" t="s">
        <v>654</v>
      </c>
      <c r="Z3" t="s">
        <v>657</v>
      </c>
      <c r="AA3" s="237" t="s">
        <v>1167</v>
      </c>
    </row>
    <row r="4" spans="1:27" x14ac:dyDescent="0.25">
      <c r="A4" t="s">
        <v>382</v>
      </c>
      <c r="B4" t="s">
        <v>408</v>
      </c>
      <c r="C4" t="s">
        <v>422</v>
      </c>
      <c r="D4" t="s">
        <v>424</v>
      </c>
      <c r="E4" t="s">
        <v>433</v>
      </c>
      <c r="F4" s="256" t="s">
        <v>1261</v>
      </c>
      <c r="H4" t="s">
        <v>1132</v>
      </c>
      <c r="J4" s="256" t="s">
        <v>1170</v>
      </c>
      <c r="K4"/>
      <c r="L4" t="s">
        <v>1149</v>
      </c>
      <c r="M4" s="237" t="s">
        <v>1152</v>
      </c>
      <c r="N4" t="s">
        <v>637</v>
      </c>
      <c r="P4"/>
      <c r="Q4" s="237" t="s">
        <v>1165</v>
      </c>
      <c r="S4" t="s">
        <v>634</v>
      </c>
      <c r="T4" t="s">
        <v>655</v>
      </c>
      <c r="U4" t="s">
        <v>675</v>
      </c>
      <c r="AA4" s="237" t="s">
        <v>1168</v>
      </c>
    </row>
    <row r="5" spans="1:27" x14ac:dyDescent="0.25">
      <c r="A5" t="s">
        <v>383</v>
      </c>
      <c r="B5" t="s">
        <v>409</v>
      </c>
      <c r="D5" t="s">
        <v>649</v>
      </c>
      <c r="E5" t="s">
        <v>1142</v>
      </c>
      <c r="F5" s="256" t="s">
        <v>1262</v>
      </c>
      <c r="H5" t="s">
        <v>1133</v>
      </c>
      <c r="J5" s="256" t="s">
        <v>1285</v>
      </c>
      <c r="K5"/>
      <c r="L5" t="s">
        <v>1150</v>
      </c>
      <c r="M5" t="s">
        <v>667</v>
      </c>
      <c r="N5" t="s">
        <v>658</v>
      </c>
      <c r="Q5" s="237" t="s">
        <v>1157</v>
      </c>
      <c r="S5" t="s">
        <v>635</v>
      </c>
      <c r="T5" t="s">
        <v>664</v>
      </c>
      <c r="AA5" s="237" t="s">
        <v>1169</v>
      </c>
    </row>
    <row r="6" spans="1:27" x14ac:dyDescent="0.25">
      <c r="A6" t="s">
        <v>384</v>
      </c>
      <c r="B6" t="s">
        <v>410</v>
      </c>
      <c r="D6" t="s">
        <v>673</v>
      </c>
      <c r="E6" t="s">
        <v>1143</v>
      </c>
      <c r="F6" t="s">
        <v>1263</v>
      </c>
      <c r="H6" t="s">
        <v>1134</v>
      </c>
      <c r="J6" s="256" t="s">
        <v>1286</v>
      </c>
      <c r="K6" t="s">
        <v>661</v>
      </c>
      <c r="L6" t="s">
        <v>1151</v>
      </c>
      <c r="M6" s="237" t="s">
        <v>1153</v>
      </c>
      <c r="N6" t="s">
        <v>660</v>
      </c>
      <c r="Q6" s="237" t="s">
        <v>1158</v>
      </c>
      <c r="S6" t="s">
        <v>636</v>
      </c>
      <c r="T6" t="s">
        <v>665</v>
      </c>
    </row>
    <row r="7" spans="1:27" x14ac:dyDescent="0.25">
      <c r="A7" t="s">
        <v>386</v>
      </c>
      <c r="B7" t="s">
        <v>414</v>
      </c>
      <c r="D7" t="s">
        <v>425</v>
      </c>
      <c r="E7" t="s">
        <v>1144</v>
      </c>
      <c r="F7" t="s">
        <v>1264</v>
      </c>
      <c r="H7" t="s">
        <v>1135</v>
      </c>
      <c r="J7" s="256" t="s">
        <v>670</v>
      </c>
      <c r="K7" t="s">
        <v>680</v>
      </c>
      <c r="L7" t="s">
        <v>668</v>
      </c>
      <c r="M7" s="237" t="s">
        <v>1154</v>
      </c>
      <c r="Q7" s="237" t="s">
        <v>1159</v>
      </c>
    </row>
    <row r="8" spans="1:27" x14ac:dyDescent="0.25">
      <c r="A8" t="s">
        <v>387</v>
      </c>
      <c r="B8" t="s">
        <v>411</v>
      </c>
      <c r="D8" t="s">
        <v>426</v>
      </c>
      <c r="E8" t="s">
        <v>1145</v>
      </c>
      <c r="F8" t="s">
        <v>1265</v>
      </c>
      <c r="H8" t="s">
        <v>1136</v>
      </c>
      <c r="J8" s="256" t="s">
        <v>1287</v>
      </c>
      <c r="L8" s="237" t="s">
        <v>1147</v>
      </c>
      <c r="M8" s="237" t="s">
        <v>1155</v>
      </c>
      <c r="Q8" t="s">
        <v>662</v>
      </c>
    </row>
    <row r="9" spans="1:27" x14ac:dyDescent="0.25">
      <c r="A9" t="s">
        <v>388</v>
      </c>
      <c r="B9" t="s">
        <v>412</v>
      </c>
      <c r="D9" t="s">
        <v>428</v>
      </c>
      <c r="E9" t="s">
        <v>1146</v>
      </c>
      <c r="F9" t="s">
        <v>1266</v>
      </c>
      <c r="H9" t="s">
        <v>1137</v>
      </c>
      <c r="J9" s="256" t="s">
        <v>1288</v>
      </c>
      <c r="L9" s="237"/>
      <c r="M9" s="237"/>
      <c r="Q9" s="237" t="s">
        <v>1160</v>
      </c>
    </row>
    <row r="10" spans="1:27" x14ac:dyDescent="0.25">
      <c r="A10" t="s">
        <v>389</v>
      </c>
      <c r="B10" t="s">
        <v>413</v>
      </c>
      <c r="D10" s="256" t="s">
        <v>1141</v>
      </c>
      <c r="E10" t="s">
        <v>677</v>
      </c>
      <c r="F10" t="s">
        <v>1267</v>
      </c>
      <c r="H10" t="s">
        <v>1138</v>
      </c>
      <c r="J10" s="256" t="s">
        <v>1171</v>
      </c>
      <c r="Q10" s="237" t="s">
        <v>1161</v>
      </c>
    </row>
    <row r="11" spans="1:27" x14ac:dyDescent="0.25">
      <c r="A11" t="s">
        <v>390</v>
      </c>
      <c r="B11" t="s">
        <v>415</v>
      </c>
      <c r="D11" t="s">
        <v>429</v>
      </c>
      <c r="E11" s="237" t="s">
        <v>1163</v>
      </c>
      <c r="F11" t="s">
        <v>1268</v>
      </c>
      <c r="H11" t="s">
        <v>1139</v>
      </c>
      <c r="J11" s="237"/>
      <c r="Q11" t="s">
        <v>678</v>
      </c>
    </row>
    <row r="12" spans="1:27" x14ac:dyDescent="0.25">
      <c r="A12" t="s">
        <v>391</v>
      </c>
      <c r="B12" s="79" t="s">
        <v>638</v>
      </c>
      <c r="D12" t="s">
        <v>427</v>
      </c>
      <c r="E12" s="237" t="s">
        <v>1164</v>
      </c>
      <c r="F12" t="s">
        <v>1269</v>
      </c>
      <c r="H12" t="s">
        <v>1140</v>
      </c>
      <c r="Q12" t="s">
        <v>663</v>
      </c>
    </row>
    <row r="13" spans="1:27" x14ac:dyDescent="0.25">
      <c r="A13" t="s">
        <v>392</v>
      </c>
      <c r="B13" s="80" t="s">
        <v>659</v>
      </c>
      <c r="D13" t="s">
        <v>671</v>
      </c>
      <c r="F13" t="s">
        <v>1270</v>
      </c>
      <c r="Q13" t="s">
        <v>679</v>
      </c>
    </row>
    <row r="14" spans="1:27" x14ac:dyDescent="0.25">
      <c r="A14" s="145"/>
      <c r="B14" s="145"/>
      <c r="D14" t="s">
        <v>430</v>
      </c>
      <c r="F14" t="s">
        <v>1271</v>
      </c>
      <c r="Q14" t="s">
        <v>674</v>
      </c>
    </row>
    <row r="15" spans="1:27" x14ac:dyDescent="0.25">
      <c r="A15" s="77"/>
      <c r="B15" s="78"/>
      <c r="D15" t="s">
        <v>1276</v>
      </c>
      <c r="F15" t="s">
        <v>1272</v>
      </c>
      <c r="Q15" t="s">
        <v>1162</v>
      </c>
    </row>
    <row r="16" spans="1:27" x14ac:dyDescent="0.25">
      <c r="A16" s="77"/>
      <c r="B16" s="81"/>
      <c r="F16" t="s">
        <v>1273</v>
      </c>
    </row>
    <row r="17" spans="1:6" x14ac:dyDescent="0.25">
      <c r="A17" s="77"/>
      <c r="B17" s="78"/>
      <c r="F17" t="s">
        <v>1274</v>
      </c>
    </row>
    <row r="18" spans="1:6" x14ac:dyDescent="0.25">
      <c r="A18" s="77"/>
      <c r="B18" s="78"/>
      <c r="F18" t="s">
        <v>1275</v>
      </c>
    </row>
    <row r="19" spans="1:6" x14ac:dyDescent="0.25">
      <c r="A19" s="77"/>
      <c r="B19" s="78"/>
      <c r="F19" s="237"/>
    </row>
    <row r="20" spans="1:6" x14ac:dyDescent="0.25">
      <c r="A20" s="77"/>
      <c r="B20" s="78"/>
      <c r="F20" t="s">
        <v>632</v>
      </c>
    </row>
    <row r="21" spans="1:6" x14ac:dyDescent="0.25">
      <c r="A21" s="77"/>
      <c r="B21" s="78"/>
      <c r="F21" t="s">
        <v>639</v>
      </c>
    </row>
    <row r="22" spans="1:6" x14ac:dyDescent="0.25">
      <c r="A22" s="146"/>
      <c r="B22" s="146"/>
      <c r="F22" t="s">
        <v>666</v>
      </c>
    </row>
    <row r="23" spans="1:6" x14ac:dyDescent="0.25">
      <c r="A23" s="77"/>
      <c r="B23" s="78"/>
      <c r="F23" t="s">
        <v>676</v>
      </c>
    </row>
    <row r="24" spans="1:6" x14ac:dyDescent="0.25">
      <c r="A24" s="77"/>
      <c r="B24" s="82"/>
    </row>
    <row r="25" spans="1:6" x14ac:dyDescent="0.25">
      <c r="A25" s="77"/>
      <c r="B25" s="78"/>
    </row>
    <row r="26" spans="1:6" x14ac:dyDescent="0.25">
      <c r="A26" s="77"/>
      <c r="B26" s="78"/>
    </row>
    <row r="27" spans="1:6" x14ac:dyDescent="0.25">
      <c r="A27" s="77"/>
      <c r="B27" s="78"/>
    </row>
    <row r="28" spans="1:6" x14ac:dyDescent="0.25">
      <c r="A28" s="146"/>
      <c r="B28" s="146"/>
    </row>
    <row r="29" spans="1:6" x14ac:dyDescent="0.25">
      <c r="A29" s="77"/>
      <c r="B29" s="78"/>
    </row>
    <row r="30" spans="1:6" x14ac:dyDescent="0.25">
      <c r="A30" s="77"/>
      <c r="B30" s="81"/>
    </row>
    <row r="31" spans="1:6" x14ac:dyDescent="0.25">
      <c r="A31" s="77"/>
      <c r="B31" s="78"/>
    </row>
    <row r="32" spans="1:6" x14ac:dyDescent="0.25">
      <c r="A32" s="77"/>
      <c r="B32" s="78"/>
    </row>
    <row r="33" spans="1:2" x14ac:dyDescent="0.25">
      <c r="A33" s="77"/>
      <c r="B33" s="78"/>
    </row>
    <row r="34" spans="1:2" x14ac:dyDescent="0.25">
      <c r="A34" s="77"/>
      <c r="B34" s="78"/>
    </row>
    <row r="35" spans="1:2" x14ac:dyDescent="0.25">
      <c r="A35" s="77"/>
      <c r="B35" s="78"/>
    </row>
    <row r="36" spans="1:2" x14ac:dyDescent="0.25">
      <c r="A36" s="145"/>
      <c r="B36" s="145"/>
    </row>
    <row r="37" spans="1:2" x14ac:dyDescent="0.25">
      <c r="A37" s="77"/>
      <c r="B37" s="78"/>
    </row>
    <row r="38" spans="1:2" x14ac:dyDescent="0.25">
      <c r="A38" s="77"/>
      <c r="B38" s="78"/>
    </row>
    <row r="39" spans="1:2" x14ac:dyDescent="0.25">
      <c r="A39" s="77"/>
      <c r="B39" s="78"/>
    </row>
    <row r="40" spans="1:2" x14ac:dyDescent="0.25">
      <c r="A40" s="77"/>
      <c r="B40" s="83"/>
    </row>
    <row r="41" spans="1:2" x14ac:dyDescent="0.25">
      <c r="A41" s="77"/>
      <c r="B41" s="78"/>
    </row>
    <row r="42" spans="1:2" x14ac:dyDescent="0.25">
      <c r="A42" s="43"/>
      <c r="B42" s="43"/>
    </row>
    <row r="43" spans="1:2" x14ac:dyDescent="0.25">
      <c r="A43" s="43"/>
      <c r="B43" s="43"/>
    </row>
    <row r="44" spans="1:2" x14ac:dyDescent="0.25">
      <c r="A44" s="77"/>
      <c r="B44" s="78"/>
    </row>
    <row r="45" spans="1:2" x14ac:dyDescent="0.25">
      <c r="A45" s="77"/>
    </row>
    <row r="46" spans="1:2" x14ac:dyDescent="0.25">
      <c r="A46" s="77"/>
      <c r="B46" s="78"/>
    </row>
    <row r="47" spans="1:2" x14ac:dyDescent="0.25">
      <c r="A47" s="77"/>
      <c r="B47" s="78"/>
    </row>
    <row r="48" spans="1:2" x14ac:dyDescent="0.25">
      <c r="A48" s="145"/>
      <c r="B48" s="145"/>
    </row>
    <row r="49" spans="1:29" x14ac:dyDescent="0.25">
      <c r="A49" s="77"/>
      <c r="B49" s="51"/>
    </row>
    <row r="50" spans="1:29" x14ac:dyDescent="0.25">
      <c r="A50" s="77"/>
      <c r="B50" s="84"/>
    </row>
    <row r="51" spans="1:29" x14ac:dyDescent="0.25">
      <c r="A51" s="43"/>
      <c r="B51" s="43"/>
    </row>
    <row r="52" spans="1:29" x14ac:dyDescent="0.25">
      <c r="A52" s="77"/>
      <c r="B52" s="78"/>
    </row>
    <row r="53" spans="1:29" x14ac:dyDescent="0.25">
      <c r="A53" s="77"/>
    </row>
    <row r="59" spans="1:29" x14ac:dyDescent="0.25">
      <c r="C59" s="66"/>
      <c r="D59" s="66"/>
      <c r="E59" s="66"/>
      <c r="F59" s="66"/>
      <c r="G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 spans="1:29" x14ac:dyDescent="0.25">
      <c r="C60" s="66"/>
      <c r="D60" s="66"/>
      <c r="E60" s="66"/>
      <c r="F60" s="66"/>
      <c r="G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 spans="1:29" x14ac:dyDescent="0.25">
      <c r="C61" s="66"/>
      <c r="D61" s="66"/>
      <c r="E61" s="66"/>
      <c r="F61" s="66"/>
      <c r="G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 spans="1:29" x14ac:dyDescent="0.25">
      <c r="C62" s="66"/>
      <c r="D62" s="66"/>
      <c r="E62" s="66"/>
      <c r="F62" s="66"/>
      <c r="G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 spans="1:29" x14ac:dyDescent="0.25">
      <c r="C63" s="66"/>
      <c r="D63" s="66"/>
      <c r="E63" s="66"/>
      <c r="F63" s="66"/>
      <c r="G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 spans="1:29" x14ac:dyDescent="0.25">
      <c r="C64" s="66"/>
      <c r="D64" s="66"/>
      <c r="E64" s="66"/>
      <c r="F64" s="66"/>
      <c r="G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 spans="3:35" x14ac:dyDescent="0.25">
      <c r="C65" s="66"/>
      <c r="D65" s="66"/>
      <c r="E65" s="66"/>
      <c r="F65" s="66"/>
      <c r="G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 spans="3:35" x14ac:dyDescent="0.25">
      <c r="C66" s="66"/>
      <c r="D66" s="66"/>
      <c r="E66" s="66"/>
      <c r="F66" s="66"/>
      <c r="G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70" spans="3:35" ht="14.45" customHeight="1" x14ac:dyDescent="0.25"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</row>
    <row r="71" spans="3:35" ht="14.45" customHeight="1" x14ac:dyDescent="0.25"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</row>
    <row r="72" spans="3:35" x14ac:dyDescent="0.25"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</row>
    <row r="73" spans="3:35" x14ac:dyDescent="0.25"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</row>
    <row r="74" spans="3:35" x14ac:dyDescent="0.25"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</row>
    <row r="75" spans="3:35" x14ac:dyDescent="0.25"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</row>
    <row r="76" spans="3:35" x14ac:dyDescent="0.25"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</row>
    <row r="77" spans="3:35" x14ac:dyDescent="0.25"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</row>
    <row r="78" spans="3:35" x14ac:dyDescent="0.25"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</row>
    <row r="79" spans="3:35" x14ac:dyDescent="0.25"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</row>
    <row r="80" spans="3:35" x14ac:dyDescent="0.25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</row>
    <row r="81" spans="2:35" x14ac:dyDescent="0.25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</row>
    <row r="82" spans="2:35" x14ac:dyDescent="0.25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</row>
    <row r="83" spans="2:35" x14ac:dyDescent="0.25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</row>
    <row r="84" spans="2:35" ht="14.45" customHeight="1" x14ac:dyDescent="0.25"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</row>
    <row r="89" spans="2:35" ht="16.149999999999999" customHeight="1" x14ac:dyDescent="0.25">
      <c r="B89" s="85"/>
    </row>
  </sheetData>
  <phoneticPr fontId="44" type="noConversion"/>
  <dataValidations disablePrompts="1" count="1">
    <dataValidation type="list" allowBlank="1" showInputMessage="1" showErrorMessage="1" sqref="C58" xr:uid="{4B7FE558-A9D2-4949-839E-B1E4CE0295F3}">
      <formula1>ТП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D40E-7ABF-4919-B492-B5AB8B7532BE}">
  <dimension ref="A1:I51"/>
  <sheetViews>
    <sheetView topLeftCell="D1" zoomScale="115" zoomScaleNormal="115" workbookViewId="0">
      <selection activeCell="G18" sqref="G18"/>
    </sheetView>
  </sheetViews>
  <sheetFormatPr defaultRowHeight="15" x14ac:dyDescent="0.25"/>
  <cols>
    <col min="1" max="1" width="31.42578125" customWidth="1"/>
    <col min="2" max="2" width="31.28515625" customWidth="1"/>
    <col min="3" max="3" width="36.5703125" customWidth="1"/>
    <col min="4" max="6" width="34.85546875" customWidth="1"/>
    <col min="7" max="8" width="36.7109375" customWidth="1"/>
    <col min="9" max="9" width="36.140625" customWidth="1"/>
  </cols>
  <sheetData>
    <row r="1" spans="1:9" x14ac:dyDescent="0.25">
      <c r="A1" s="155" t="s">
        <v>702</v>
      </c>
      <c r="B1" s="155"/>
      <c r="C1" s="160"/>
      <c r="D1" s="160"/>
      <c r="E1" s="160"/>
      <c r="F1" s="151"/>
      <c r="G1" s="477"/>
      <c r="H1" s="477"/>
      <c r="I1" s="477"/>
    </row>
    <row r="2" spans="1:9" ht="30" x14ac:dyDescent="0.25">
      <c r="A2" s="156" t="s">
        <v>683</v>
      </c>
      <c r="B2" s="156"/>
      <c r="C2" s="153"/>
      <c r="D2" s="153"/>
      <c r="E2" s="158"/>
      <c r="F2" s="158"/>
      <c r="G2" s="478"/>
      <c r="H2" s="479"/>
      <c r="I2" s="480"/>
    </row>
    <row r="3" spans="1:9" ht="63" customHeight="1" x14ac:dyDescent="0.25">
      <c r="A3" s="157" t="s">
        <v>381</v>
      </c>
      <c r="B3" s="157"/>
      <c r="C3" s="154"/>
      <c r="D3" s="154"/>
      <c r="E3" s="159"/>
      <c r="F3" s="159"/>
      <c r="G3" s="481"/>
      <c r="H3" s="482"/>
      <c r="I3" s="483"/>
    </row>
    <row r="4" spans="1:9" x14ac:dyDescent="0.25">
      <c r="A4" s="156" t="s">
        <v>688</v>
      </c>
      <c r="B4" s="156"/>
      <c r="C4" s="153"/>
      <c r="D4" s="153"/>
      <c r="E4" s="153"/>
      <c r="F4" s="153"/>
      <c r="G4" s="153"/>
      <c r="H4" s="153"/>
      <c r="I4" s="153"/>
    </row>
    <row r="5" spans="1:9" x14ac:dyDescent="0.25">
      <c r="A5" s="157"/>
      <c r="B5" s="157"/>
      <c r="C5" s="154"/>
      <c r="D5" s="154"/>
      <c r="E5" s="154"/>
      <c r="F5" s="154"/>
      <c r="G5" s="154"/>
      <c r="H5" s="154"/>
      <c r="I5" s="154"/>
    </row>
    <row r="6" spans="1:9" x14ac:dyDescent="0.25">
      <c r="A6" s="156" t="s">
        <v>685</v>
      </c>
      <c r="B6" s="156"/>
      <c r="C6" s="153"/>
      <c r="D6" s="153"/>
      <c r="E6" s="153"/>
      <c r="F6" s="153"/>
      <c r="G6" s="153"/>
      <c r="H6" s="153"/>
      <c r="I6" s="153"/>
    </row>
    <row r="7" spans="1:9" x14ac:dyDescent="0.25">
      <c r="A7" s="157" t="s">
        <v>686</v>
      </c>
      <c r="B7" s="157"/>
      <c r="C7" s="154"/>
      <c r="D7" s="154"/>
      <c r="E7" s="154"/>
      <c r="F7" s="154"/>
      <c r="G7" s="154"/>
      <c r="H7" s="154"/>
      <c r="I7" s="154"/>
    </row>
    <row r="8" spans="1:9" ht="30" x14ac:dyDescent="0.25">
      <c r="A8" s="156" t="s">
        <v>687</v>
      </c>
      <c r="B8" s="153"/>
      <c r="C8" s="153"/>
      <c r="D8" s="153"/>
      <c r="E8" s="153"/>
      <c r="F8" s="153"/>
      <c r="G8" s="154"/>
      <c r="H8" s="154"/>
      <c r="I8" s="154"/>
    </row>
    <row r="9" spans="1:9" ht="30" x14ac:dyDescent="0.25">
      <c r="A9" s="157" t="s">
        <v>689</v>
      </c>
      <c r="B9" s="154"/>
      <c r="C9" s="154"/>
      <c r="D9" s="154"/>
      <c r="E9" s="154"/>
      <c r="F9" s="154"/>
      <c r="G9" s="153"/>
      <c r="H9" s="153"/>
      <c r="I9" s="153"/>
    </row>
    <row r="10" spans="1:9" ht="25.5" x14ac:dyDescent="0.25">
      <c r="A10" s="156" t="s">
        <v>690</v>
      </c>
      <c r="B10" s="153"/>
      <c r="C10" s="153"/>
      <c r="D10" s="153"/>
      <c r="E10" s="153"/>
      <c r="F10" s="153"/>
      <c r="G10" s="396"/>
      <c r="H10" s="397"/>
      <c r="I10" s="396"/>
    </row>
    <row r="11" spans="1:9" x14ac:dyDescent="0.25">
      <c r="A11" s="157" t="s">
        <v>691</v>
      </c>
      <c r="B11" s="157"/>
      <c r="C11" s="154"/>
      <c r="D11" s="154"/>
      <c r="E11" s="154"/>
      <c r="F11" s="154"/>
      <c r="G11" s="398"/>
      <c r="H11" s="399"/>
      <c r="I11" s="398"/>
    </row>
    <row r="12" spans="1:9" x14ac:dyDescent="0.25">
      <c r="A12" s="156" t="s">
        <v>692</v>
      </c>
      <c r="B12" s="156"/>
      <c r="C12" s="153"/>
      <c r="D12" s="153"/>
      <c r="E12" s="153"/>
      <c r="F12" s="153"/>
      <c r="G12" s="154"/>
      <c r="H12" s="154"/>
      <c r="I12" s="154"/>
    </row>
    <row r="13" spans="1:9" x14ac:dyDescent="0.25">
      <c r="A13" s="156" t="s">
        <v>1382</v>
      </c>
      <c r="B13" s="156"/>
      <c r="C13" s="153"/>
      <c r="D13" s="153"/>
      <c r="E13" s="153"/>
      <c r="F13" s="153"/>
      <c r="G13" s="153"/>
      <c r="H13" s="153"/>
      <c r="I13" s="153"/>
    </row>
    <row r="14" spans="1:9" x14ac:dyDescent="0.25">
      <c r="A14" s="157" t="s">
        <v>715</v>
      </c>
      <c r="B14" s="157"/>
      <c r="C14" s="154"/>
      <c r="D14" s="154"/>
      <c r="E14" s="154"/>
      <c r="F14" s="154"/>
      <c r="G14" s="153"/>
      <c r="H14" s="153"/>
      <c r="I14" s="153"/>
    </row>
    <row r="15" spans="1:9" x14ac:dyDescent="0.25">
      <c r="A15" s="156"/>
      <c r="B15" s="156"/>
      <c r="C15" s="153"/>
      <c r="D15" s="153"/>
      <c r="E15" s="153"/>
      <c r="F15" s="153"/>
      <c r="G15" s="154"/>
      <c r="H15" s="154"/>
      <c r="I15" s="154"/>
    </row>
    <row r="16" spans="1:9" x14ac:dyDescent="0.25">
      <c r="A16" s="157"/>
      <c r="B16" s="157"/>
      <c r="C16" s="154"/>
      <c r="D16" s="154"/>
      <c r="E16" s="154"/>
      <c r="F16" s="154"/>
      <c r="G16" s="153"/>
      <c r="H16" s="153"/>
      <c r="I16" s="153"/>
    </row>
    <row r="17" spans="1:9" x14ac:dyDescent="0.25">
      <c r="A17" s="156"/>
      <c r="B17" s="156"/>
      <c r="C17" s="153"/>
      <c r="D17" s="153"/>
      <c r="E17" s="153"/>
      <c r="F17" s="153"/>
      <c r="G17" s="154"/>
      <c r="H17" s="154"/>
      <c r="I17" s="154"/>
    </row>
    <row r="18" spans="1:9" x14ac:dyDescent="0.25">
      <c r="A18" s="157" t="s">
        <v>434</v>
      </c>
      <c r="B18" s="157"/>
      <c r="C18" s="154"/>
      <c r="D18" s="154"/>
      <c r="E18" s="154"/>
      <c r="F18" s="154"/>
      <c r="G18" s="153"/>
      <c r="H18" s="153"/>
      <c r="I18" s="153"/>
    </row>
    <row r="19" spans="1:9" x14ac:dyDescent="0.25">
      <c r="A19" s="156" t="s">
        <v>694</v>
      </c>
      <c r="B19" s="156"/>
      <c r="C19" s="153"/>
      <c r="D19" s="153"/>
      <c r="E19" s="153"/>
      <c r="F19" s="153"/>
      <c r="G19" s="154"/>
      <c r="H19" s="154"/>
      <c r="I19" s="154"/>
    </row>
    <row r="20" spans="1:9" x14ac:dyDescent="0.25">
      <c r="A20" s="157" t="s">
        <v>695</v>
      </c>
      <c r="B20" s="157"/>
      <c r="C20" s="154"/>
      <c r="D20" s="154"/>
      <c r="E20" s="154"/>
      <c r="F20" s="154"/>
      <c r="G20" s="153"/>
      <c r="H20" s="153"/>
      <c r="I20" s="153"/>
    </row>
    <row r="21" spans="1:9" x14ac:dyDescent="0.25">
      <c r="A21" s="152"/>
      <c r="B21" s="152"/>
      <c r="C21" s="153"/>
      <c r="D21" s="153"/>
      <c r="E21" s="153"/>
      <c r="F21" s="153"/>
      <c r="G21" s="154"/>
      <c r="H21" s="154"/>
      <c r="I21" s="154"/>
    </row>
    <row r="22" spans="1:9" x14ac:dyDescent="0.25">
      <c r="G22" s="153"/>
      <c r="H22" s="153"/>
      <c r="I22" s="153"/>
    </row>
    <row r="23" spans="1:9" ht="79.5" customHeight="1" x14ac:dyDescent="0.25">
      <c r="A23" s="85" t="s">
        <v>720</v>
      </c>
      <c r="B23" s="85"/>
      <c r="C23" s="179" t="str">
        <f>IF(AND(C2="",C3=""),"",CONCATENATE(IF(C2="","",C2),",",IF(C3="","",C3)))</f>
      </c>
      <c r="D23" s="179" t="str">
        <f>IF(AND(D2="",D3=""),"",CONCATENATE(IF(D2="","",D2),",",IF(D3="","",D3)))</f>
      </c>
      <c r="E23" s="235"/>
    </row>
    <row r="24" spans="1:9" ht="90" x14ac:dyDescent="0.25">
      <c r="A24" s="85" t="s">
        <v>720</v>
      </c>
      <c r="B24" s="85"/>
      <c r="C24" s="179" t="str">
        <f>IF(AND(C1="",C2="",C3=""),"",CONCATENATE(IF(C1="","",C1),",",IF(C2="","",C2),",",IF(C3="","",C3)))</f>
      </c>
      <c r="D24" s="179" t="str">
        <f>IF(AND(D1="",D2="",D3=""),"",CONCATENATE(IF(D1="","",D1),",",IF(D2="","",D2),",",IF(D3="","",D3)))</f>
      </c>
      <c r="E24" s="235"/>
      <c r="G24" s="178" t="str">
        <f>IF(AND(G9="",G1="",G11="",G10=""),"",CONCATENATE(IF(G9="","",G9)," ",IF(G1="","",G1),"-",IF(G11="","",G11)," .",IF(G10="","",G10)))</f>
      </c>
      <c r="H24" s="178" t="str">
        <f>IF(AND(H9="",G1="",H10="",H11=""),"",CONCATENATE(IF(H9="","",H9)," ",IF(G1="","",G1),"-",IF(H10="","",H10),".",IF(H11="","",H11)))</f>
      </c>
      <c r="I24" s="178" t="str">
        <f>IF(AND(I9="",G1="",I11="",I10=""),"",CONCATENATE(IF(I9="","",I9)," ",IF(G1="","",G1),"-",IF(I11="","",I11)," .",IF(I10="","",I10)))</f>
      </c>
    </row>
    <row r="25" spans="1:9" ht="60" x14ac:dyDescent="0.25">
      <c r="C25" s="180" t="str">
        <f>IF(AND(C8="",C1="",C10="",C9=""),"",CONCATENATE(IF(C8="","",C8)," ",IF(C1="","",C1),"-",IF(C10="","",C10),".",IF(C9="","",C9)))</f>
      </c>
      <c r="D25" s="180" t="str">
        <f>IF(AND(D8="",D1="",D10="",D9=""),"",CONCATENATE(IF(D8="","",D8)," ",IF(D1="","",D1),"-",IF(D10="","",D10),".",IF(D9="","",D9)))</f>
      </c>
      <c r="E25" s="236"/>
      <c r="G25" s="178" t="str">
        <f>IF(AND(G9="",G1="",G11=""),"",CONCATENATE(IF(G9="","",G9)," ",IF(G1="","",G1)," ",IF(G11="","",G11)))</f>
      </c>
      <c r="H25" s="178" t="str">
        <f>IF(AND(H9="",G1="",H11=""),"",CONCATENATE(IF(H9="","",H9)," ",IF(G1="","",G1)," ",IF(H11="","",H11)))</f>
      </c>
      <c r="I25" s="178" t="str">
        <f>IF(AND(I9="",G1="",I11=""),"",CONCATENATE(IF(I9="","",I9)," ",IF(G1="","",G1),"-",IF(I11="","",I11)))</f>
      </c>
    </row>
    <row r="26" spans="1:9" ht="30" x14ac:dyDescent="0.25">
      <c r="C26" s="180" t="str">
        <f>IF(AND(C8="",C1=""),"",CONCATENATE(IF(C8="","",C8)," ",IF(C1="","",C1)))</f>
      </c>
      <c r="D26" s="180" t="str">
        <f>IF(AND(D8="",D1=""),"",CONCATENATE(IF(D8="","",D8)," ",IF(D1="","",D1)))</f>
      </c>
      <c r="E26" s="236"/>
      <c r="G26" s="178" t="str">
        <f>IF(AND(G9="",G1=""),"",CONCATENATE(IF(G9="","",G9)," ",IF(G1="","",G1)))</f>
      </c>
      <c r="H26" s="178" t="str">
        <f>IF(AND(H9="",G1=""),"",CONCATENATE(IF(H9="","",H9)," ",IF(G1="","",G1)))</f>
      </c>
      <c r="I26" s="178" t="str">
        <f>IF(AND(I9="",G1=""),"",CONCATENATE(IF(I9="","",I9)," ",IF(G1="","",G1)))</f>
      </c>
    </row>
    <row r="27" spans="1:9" ht="60" x14ac:dyDescent="0.25">
      <c r="C27" s="181" t="str">
        <f>IF(AND(C18="",C1="",C20="",C19=""),"",CONCATENATE(IF(C18="","",C18)," ",IF(C1="","",C1),"-",IF(C20="","",C20),".",IF(C19="","",C19)))</f>
      </c>
      <c r="D27" s="181" t="str">
        <f>IF(AND(D18="",D1="",D20="",D19=""),"",CONCATENATE(IF(D18="","",D18)," ",IF(D1="","",D1),"-",IF(D20="","",D20),".",IF(D19="","",D19)))</f>
      </c>
      <c r="E27" s="178"/>
      <c r="G27" s="85" t="str">
        <f>IF(AND(G6="",G1="",G7=""),"",CONCATENATE(IF(G6="","",G6)," ",IF(G1="","",G1)," ",IF(G7="","",G7)))</f>
      </c>
      <c r="H27" s="85"/>
      <c r="I27" s="85" t="str">
        <f>IF(AND(I6="",G1="",I7=""),"",CONCATENATE(IF(I6="","",I6)," ",IF(G1="","",G1)," ",IF(I7="","",I7)))</f>
      </c>
    </row>
    <row r="28" spans="1:9" ht="45" x14ac:dyDescent="0.25">
      <c r="C28" s="181" t="str">
        <f>IF(AND(C18="",C1="",C20=""),"",CONCATENATE(IF(C18="","",C18)," ",IF(C1="","",C1)," ",IF(C20="","",C20)))</f>
      </c>
      <c r="D28" s="181" t="str">
        <f>IF(AND(D18="",D1="",D20=""),"",CONCATENATE(IF(D18="","",D18)," ",IF(D1="","",D1),"-",IF(D20="","",D20)))</f>
      </c>
      <c r="E28" s="178"/>
      <c r="G28" s="183" t="str">
        <f>IF(AND(G15="",G1="",G16=""),"",CONCATENATE(IF(G15="","",G15)," ",IF(G1="","",G1)," ",IF(G16="","",G16)))</f>
      </c>
      <c r="H28" s="183"/>
      <c r="I28" s="183" t="str">
        <f>IF(AND(I15="",G1="",I16=""),"",CONCATENATE(IF(I15="","",I15)," ",IF(G1="","",G1)," ",IF(I16="","",I16)))</f>
      </c>
    </row>
    <row r="29" spans="1:9" ht="30" x14ac:dyDescent="0.25">
      <c r="C29" s="182" t="str">
        <f>IF(AND(C18="",C1=""),"",CONCATENATE(IF(C18="","",C18)," ",IF(C1="","",C1)))</f>
      </c>
      <c r="D29" s="181" t="str">
        <f>IF(AND(D18="",D1=""),"",CONCATENATE(IF(D18="","",D18)," ",IF(D1="","",D1)))</f>
      </c>
      <c r="E29" s="178"/>
      <c r="G29" s="85" t="str">
        <f>IF(AND(G17="",G1="",G18=""),"",CONCATENATE(IF(G17="","",G17)," ",IF(G1="","",G1)," ",IF(G18="","",G18)))</f>
      </c>
      <c r="H29" s="85"/>
    </row>
    <row r="31" spans="1:9" x14ac:dyDescent="0.25">
      <c r="A31" s="43" t="s">
        <v>1519</v>
      </c>
    </row>
    <row r="32" spans="1:9" ht="30" x14ac:dyDescent="0.25">
      <c r="A32" s="460"/>
      <c r="B32" s="85"/>
    </row>
    <row r="33" spans="1:2" x14ac:dyDescent="0.25">
      <c r="A33" s="461"/>
      <c r="B33"/>
    </row>
    <row r="34" spans="1:2" ht="45" x14ac:dyDescent="0.25">
      <c r="A34" s="85"/>
      <c r="B34" s="85"/>
    </row>
    <row r="35" spans="1:2" x14ac:dyDescent="0.25">
      <c r="A35" s="85"/>
      <c r="B35" s="85"/>
    </row>
    <row r="36" spans="1:2" x14ac:dyDescent="0.25">
      <c r="A36" t="s">
        <v>1520</v>
      </c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 s="85"/>
    </row>
    <row r="40" spans="1:2" ht="30" x14ac:dyDescent="0.25">
      <c r="A40" s="85"/>
    </row>
    <row r="41" spans="1:2" x14ac:dyDescent="0.25">
      <c r="A41" s="85"/>
    </row>
    <row r="42" spans="1:2" ht="30" x14ac:dyDescent="0.25">
      <c r="A42" s="85"/>
      <c r="B42" s="85"/>
    </row>
    <row r="43" spans="1:2" x14ac:dyDescent="0.25">
      <c r="A43" s="85"/>
      <c r="B43"/>
    </row>
    <row r="44" spans="1:2" ht="30" x14ac:dyDescent="0.25">
      <c r="A44" s="85"/>
      <c r="B44" s="85"/>
    </row>
    <row r="45" spans="1:2" x14ac:dyDescent="0.25">
      <c r="A45" s="85"/>
    </row>
    <row r="46" spans="1:2" ht="30" x14ac:dyDescent="0.25">
      <c r="A46" s="85"/>
      <c r="B46" s="85"/>
    </row>
    <row r="47" spans="1:2" x14ac:dyDescent="0.25">
      <c r="A47" s="85"/>
      <c r="B47"/>
    </row>
    <row r="48" spans="1:2" x14ac:dyDescent="0.25">
      <c r="A48" s="85" t="s">
        <v>1523</v>
      </c>
      <c r="B48" s="85"/>
    </row>
    <row r="49" spans="1:1" x14ac:dyDescent="0.25">
      <c r="A49" s="85"/>
    </row>
    <row r="50" spans="1:1" x14ac:dyDescent="0.25">
      <c r="A50" s="85"/>
    </row>
    <row r="51" spans="1:1" x14ac:dyDescent="0.25">
      <c r="A51" s="85"/>
    </row>
  </sheetData>
  <mergeCells count="3">
    <mergeCell ref="G1:I1"/>
    <mergeCell ref="G2:I2"/>
    <mergeCell ref="G3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98"/>
  <sheetViews>
    <sheetView tabSelected="1" topLeftCell="A13" zoomScaleNormal="100" workbookViewId="0">
      <selection activeCell="B56" sqref="B56"/>
    </sheetView>
  </sheetViews>
  <sheetFormatPr defaultRowHeight="15" x14ac:dyDescent="0.25"/>
  <cols>
    <col min="1" max="1" width="30" style="149" customWidth="1"/>
    <col min="2" max="2" width="116.7109375" customWidth="1"/>
    <col min="3" max="3" width="46.7109375" style="2" customWidth="1"/>
    <col min="5" max="5" width="10.28515625" customWidth="1"/>
    <col min="6" max="6" width="5.85546875" customWidth="1"/>
    <col min="8" max="8" width="33.28515625" customWidth="1"/>
    <col min="9" max="9" width="22.7109375" customWidth="1"/>
    <col min="10" max="10" width="4.7109375" customWidth="1"/>
    <col min="13" max="13" width="57.140625" customWidth="1"/>
  </cols>
  <sheetData>
    <row r="1" spans="1:3" x14ac:dyDescent="0.25">
      <c r="A1" s="484" t="s">
        <v>712</v>
      </c>
      <c r="B1" s="485"/>
    </row>
    <row r="2" spans="1:3" x14ac:dyDescent="0.25">
      <c r="A2" s="169" t="s">
        <v>684</v>
      </c>
      <c r="B2" s="170"/>
      <c r="C2" s="246"/>
    </row>
    <row r="3" spans="1:3" ht="30" x14ac:dyDescent="0.25">
      <c r="A3" s="162" t="s">
        <v>4</v>
      </c>
      <c r="B3" s="171"/>
      <c r="C3" s="322"/>
    </row>
    <row r="4" spans="1:3" x14ac:dyDescent="0.25">
      <c r="A4" s="163" t="s">
        <v>708</v>
      </c>
      <c r="B4" s="172"/>
    </row>
    <row r="5" spans="1:3" x14ac:dyDescent="0.25">
      <c r="A5" s="163" t="s">
        <v>6</v>
      </c>
      <c r="B5" s="172"/>
    </row>
    <row r="6" spans="1:3" x14ac:dyDescent="0.25">
      <c r="A6" s="163" t="s">
        <v>709</v>
      </c>
      <c r="B6" s="321"/>
    </row>
    <row r="7" spans="1:3" x14ac:dyDescent="0.25">
      <c r="A7" s="163" t="s">
        <v>710</v>
      </c>
      <c r="B7" s="321"/>
    </row>
    <row r="8" spans="1:3" x14ac:dyDescent="0.25">
      <c r="A8" s="163" t="s">
        <v>711</v>
      </c>
      <c r="B8" s="321"/>
      <c r="C8" s="239"/>
    </row>
    <row r="9" spans="1:3" x14ac:dyDescent="0.25">
      <c r="A9" s="162" t="s">
        <v>336</v>
      </c>
      <c r="B9" s="321"/>
    </row>
    <row r="10" spans="1:3" x14ac:dyDescent="0.25">
      <c r="A10" s="484" t="s">
        <v>713</v>
      </c>
      <c r="B10" s="485"/>
    </row>
    <row r="11" spans="1:3" x14ac:dyDescent="0.25">
      <c r="A11" s="162" t="s">
        <v>1372</v>
      </c>
      <c r="B11" s="372" t="str">
        <f>_xlfn.CONCAT(B12, ", ",B13, ", ", B14, ", ",B15, ", ",B16, ", ", B17)</f>
      </c>
    </row>
    <row r="12" spans="1:3" x14ac:dyDescent="0.25">
      <c r="A12" s="162" t="s">
        <v>631</v>
      </c>
      <c r="B12" s="244"/>
    </row>
    <row r="13" spans="1:3" x14ac:dyDescent="0.25">
      <c r="A13" s="162" t="s">
        <v>1383</v>
      </c>
      <c r="B13" s="244"/>
    </row>
    <row r="14" spans="1:3" x14ac:dyDescent="0.25">
      <c r="A14" s="162" t="s">
        <v>1111</v>
      </c>
      <c r="B14" s="244"/>
    </row>
    <row r="15" spans="1:3" x14ac:dyDescent="0.25">
      <c r="A15" s="162" t="s">
        <v>1112</v>
      </c>
      <c r="B15" s="244"/>
    </row>
    <row r="16" spans="1:3" x14ac:dyDescent="0.25">
      <c r="A16" s="162" t="s">
        <v>704</v>
      </c>
      <c r="B16" s="244"/>
    </row>
    <row r="17" spans="1:3" x14ac:dyDescent="0.25">
      <c r="A17" s="162" t="s">
        <v>696</v>
      </c>
      <c r="B17" s="244"/>
    </row>
    <row r="18" spans="1:3" x14ac:dyDescent="0.25">
      <c r="A18" s="484" t="s">
        <v>7</v>
      </c>
      <c r="B18" s="485"/>
    </row>
    <row r="19" spans="1:3" x14ac:dyDescent="0.25">
      <c r="A19" s="163" t="s">
        <v>8</v>
      </c>
      <c r="B19" s="173"/>
      <c r="C19" s="371" t="str">
        <f>IF(AND(B19="",B20="",B21=""),"",CONCATENATE(IF(B19="","",B19)," ",IF(B20="","",B20)," ",IF(B21="","",B21)))</f>
      </c>
    </row>
    <row r="20" spans="1:3" x14ac:dyDescent="0.25">
      <c r="A20" s="163" t="s">
        <v>714</v>
      </c>
      <c r="B20" s="173"/>
      <c r="C20" s="371"/>
    </row>
    <row r="21" spans="1:3" x14ac:dyDescent="0.25">
      <c r="A21" s="163" t="s">
        <v>381</v>
      </c>
      <c r="B21" s="173"/>
      <c r="C21" s="371"/>
    </row>
    <row r="22" spans="1:3" x14ac:dyDescent="0.25">
      <c r="A22" s="163" t="s">
        <v>9</v>
      </c>
      <c r="B22" s="173"/>
      <c r="C22" s="371"/>
    </row>
    <row r="23" spans="1:3" x14ac:dyDescent="0.25">
      <c r="A23" s="163" t="s">
        <v>715</v>
      </c>
      <c r="B23" s="173"/>
      <c r="C23" s="371" t="str">
        <f>IF(AND(B22="",B19="",B23=""),"",CONCATENATE(IF(B22="","",B22)," ",IF(B19="","",B19)," ",IF(B23="","",B23)))</f>
      </c>
    </row>
    <row r="24" spans="1:3" x14ac:dyDescent="0.25">
      <c r="A24" s="163" t="s">
        <v>9</v>
      </c>
      <c r="B24" s="173"/>
      <c r="C24" s="371" t="str">
        <f>IF(AND(B24="",B19=""),"",CONCATENATE(IF(B24="","",B24)," ",IF(B19="","",B19)))</f>
      </c>
    </row>
    <row r="25" spans="1:3" x14ac:dyDescent="0.25">
      <c r="A25" s="163" t="s">
        <v>10</v>
      </c>
      <c r="B25" s="173"/>
      <c r="C25" s="381" t="str">
        <f>IF(AND(B24="",B19="",B25=""),"",CONCATENATE(IF(B24="","",B24)," ",IF(B19="","",B19)," ",IF(B25="","",B25)))</f>
      </c>
    </row>
    <row r="26" spans="1:3" x14ac:dyDescent="0.25">
      <c r="A26" s="163" t="s">
        <v>717</v>
      </c>
      <c r="B26" s="173"/>
      <c r="C26" s="381" t="str">
        <f>IF(AND(B24="",B19="",B25="",B26=""),"",CONCATENATE(IF(B24="","",B24)," ",IF(B19="","",B19)," ",IF(B25="","",B25),", ",IF(B26="","",B26)))</f>
      </c>
    </row>
    <row r="27" spans="1:3" x14ac:dyDescent="0.25">
      <c r="A27" s="163" t="s">
        <v>9</v>
      </c>
      <c r="B27" s="173"/>
      <c r="C27" s="371" t="str">
        <f>IF(AND(B27="",B19=""),"",CONCATENATE(IF(B27="","",B27)," ",IF(B19="","",B19)))</f>
      </c>
    </row>
    <row r="28" spans="1:3" x14ac:dyDescent="0.25">
      <c r="A28" s="163" t="s">
        <v>10</v>
      </c>
      <c r="B28" s="173"/>
      <c r="C28" s="381" t="str">
        <f>IF(AND(B27="",B19="",B28=""),"",CONCATENATE(IF(B27="","",B27)," ",IF(B19="","",B19)," ",IF(B28="","",B28)))</f>
      </c>
    </row>
    <row r="29" spans="1:3" x14ac:dyDescent="0.25">
      <c r="A29" s="164" t="s">
        <v>717</v>
      </c>
      <c r="B29" s="173"/>
      <c r="C29" s="381" t="str">
        <f>IF(AND(B27="",B19="",B28="",B29=""),"",CONCATENATE(IF(B27="","",B27)," ",IF(B19="","",B19)," ",IF(B28="","",B28),", ",IF(B29="","",B29)))</f>
      </c>
    </row>
    <row r="30" spans="1:3" x14ac:dyDescent="0.25">
      <c r="A30" s="163" t="s">
        <v>9</v>
      </c>
      <c r="B30" s="173"/>
      <c r="C30" s="380" t="str">
        <f>IF(AND(B30="",B19=""),"",CONCATENATE(IF(B30="","",B30)," ",IF(B19="","",B19)))</f>
      </c>
    </row>
    <row r="31" spans="1:3" x14ac:dyDescent="0.25">
      <c r="A31" s="163" t="s">
        <v>10</v>
      </c>
      <c r="B31" s="173"/>
      <c r="C31" s="381" t="str">
        <f>IF(AND(B30="",B19="",B31=""),"",CONCATENATE(IF(B30="","",B30)," ",IF(B19="","",B19)," ",IF(B31="","",B31)))</f>
      </c>
    </row>
    <row r="32" spans="1:3" x14ac:dyDescent="0.25">
      <c r="A32" s="486" t="s">
        <v>11</v>
      </c>
      <c r="B32" s="487"/>
    </row>
    <row r="33" spans="1:3" x14ac:dyDescent="0.25">
      <c r="A33" s="164" t="s">
        <v>8</v>
      </c>
      <c r="B33" s="165"/>
    </row>
    <row r="34" spans="1:3" x14ac:dyDescent="0.25">
      <c r="A34" s="164" t="s">
        <v>714</v>
      </c>
      <c r="B34" s="165" t="str">
        <f>IF('Данные организации'!G2="","",'Данные организации'!G2)</f>
      </c>
    </row>
    <row r="35" spans="1:3" x14ac:dyDescent="0.25">
      <c r="A35" s="164" t="s">
        <v>381</v>
      </c>
      <c r="B35" s="165" t="str">
        <f>IF('Данные организации'!G3="","",'Данные организации'!G3)</f>
      </c>
    </row>
    <row r="36" spans="1:3" x14ac:dyDescent="0.25">
      <c r="A36" s="164" t="s">
        <v>9</v>
      </c>
      <c r="B36" s="174"/>
      <c r="C36" s="2" t="str">
        <f>IF(AND(B36="",B33=""),"",CONCATENATE(IF(B36="","",B36)," ",IF(B33="","",B33)))</f>
      </c>
    </row>
    <row r="37" spans="1:3" x14ac:dyDescent="0.25">
      <c r="A37" s="164" t="s">
        <v>10</v>
      </c>
      <c r="B37" s="165"/>
      <c r="C37" s="2" t="str">
        <f>IF(AND(B36="",B33="",B37=""),"",CONCATENATE(IF(B36="","",B36)," ",IF(B33="","",B33)," ",IF(B37="","",B37)))</f>
      </c>
    </row>
    <row r="38" spans="1:3" x14ac:dyDescent="0.25">
      <c r="A38" s="164" t="s">
        <v>9</v>
      </c>
      <c r="B38" s="165"/>
    </row>
    <row r="39" spans="1:3" x14ac:dyDescent="0.25">
      <c r="A39" s="164" t="s">
        <v>10</v>
      </c>
      <c r="B39" s="165"/>
      <c r="C39" s="2" t="str">
        <f>IF(AND(B39="",B33=""),"",CONCATENATE(IF(B39="","",B39)," ",IF(B33="","",B33)))</f>
      </c>
    </row>
    <row r="40" spans="1:3" hidden="1" x14ac:dyDescent="0.25">
      <c r="A40" s="164" t="s">
        <v>9</v>
      </c>
      <c r="B40" s="165"/>
    </row>
    <row r="41" spans="1:3" hidden="1" x14ac:dyDescent="0.25">
      <c r="A41" s="164" t="s">
        <v>10</v>
      </c>
      <c r="B41" s="165"/>
    </row>
    <row r="42" spans="1:3" x14ac:dyDescent="0.25">
      <c r="A42" s="164" t="s">
        <v>9</v>
      </c>
      <c r="B42" s="165"/>
      <c r="C42" s="2" t="str">
        <f>IF(AND(B39="",B33="",B42=""),"",CONCATENATE(IF(B39="","",B39)," ",IF(B33="","",B33)," ",IF(B42="","",B42)))</f>
      </c>
    </row>
    <row r="43" spans="1:3" x14ac:dyDescent="0.25">
      <c r="A43" s="164" t="s">
        <v>10</v>
      </c>
      <c r="B43" s="165"/>
      <c r="C43" s="22" t="str">
        <f>IF(AND(B39="",B33="",B42="",B43=""),"",CONCATENATE(IF(B39="","",B39)," ",IF(B33="","",B33)," ",IF(B42="","",B42)," ",IF(B43="","",B43)))</f>
      </c>
    </row>
    <row r="44" spans="1:3" x14ac:dyDescent="0.25">
      <c r="A44" s="164" t="s">
        <v>717</v>
      </c>
      <c r="B44" s="165"/>
      <c r="C44" s="2" t="str">
        <f>IF(AND(B44="",B33=""),"",CONCATENATE(IF(B44="","",B44)," ",IF(B33="","",B33)))</f>
      </c>
    </row>
    <row r="45" spans="1:3" x14ac:dyDescent="0.25">
      <c r="A45" s="164" t="s">
        <v>9</v>
      </c>
      <c r="B45" s="165"/>
      <c r="C45" s="2" t="str">
        <f>IF(AND(B44="",B33="",B45=""),"",CONCATENATE(IF(B44="","",B44)," ",IF(B33="","",B33)," ",IF(B45="","",B45)))</f>
      </c>
    </row>
    <row r="46" spans="1:3" x14ac:dyDescent="0.25">
      <c r="A46" s="164" t="s">
        <v>10</v>
      </c>
      <c r="B46" s="166"/>
    </row>
    <row r="47" spans="1:3" x14ac:dyDescent="0.25">
      <c r="A47" s="164" t="s">
        <v>717</v>
      </c>
      <c r="B47" s="166"/>
    </row>
    <row r="48" spans="1:3" x14ac:dyDescent="0.25">
      <c r="A48" s="164" t="s">
        <v>9</v>
      </c>
      <c r="B48" s="166"/>
    </row>
    <row r="49" spans="1:16" x14ac:dyDescent="0.25">
      <c r="A49" s="164" t="s">
        <v>10</v>
      </c>
      <c r="B49" s="166"/>
    </row>
    <row r="50" spans="1:16" x14ac:dyDescent="0.25">
      <c r="A50" s="467" t="s">
        <v>12</v>
      </c>
      <c r="B50" s="166"/>
      <c r="P50" s="318"/>
    </row>
    <row r="51" spans="1:16" x14ac:dyDescent="0.25">
      <c r="A51" s="162" t="s">
        <v>8</v>
      </c>
      <c r="B51" s="468"/>
      <c r="P51" s="319"/>
    </row>
    <row r="52" spans="1:16" x14ac:dyDescent="0.25">
      <c r="A52" s="163" t="s">
        <v>714</v>
      </c>
      <c r="B52" s="168"/>
      <c r="P52" s="319"/>
    </row>
    <row r="53" spans="1:16" x14ac:dyDescent="0.25">
      <c r="A53" s="163" t="s">
        <v>381</v>
      </c>
      <c r="B53" s="168"/>
      <c r="P53" s="319"/>
    </row>
    <row r="54" spans="1:16" x14ac:dyDescent="0.25">
      <c r="A54" s="162" t="s">
        <v>5</v>
      </c>
      <c r="B54" s="168"/>
      <c r="P54" s="319"/>
    </row>
    <row r="55" spans="1:16" x14ac:dyDescent="0.25">
      <c r="A55" s="162" t="s">
        <v>13</v>
      </c>
      <c r="B55" s="168"/>
    </row>
    <row r="56" spans="1:16" x14ac:dyDescent="0.25">
      <c r="A56" s="162" t="s">
        <v>14</v>
      </c>
      <c r="B56" s="168"/>
      <c r="P56" s="319"/>
    </row>
    <row r="57" spans="1:16" ht="30" x14ac:dyDescent="0.25">
      <c r="A57" s="465" t="s">
        <v>88</v>
      </c>
      <c r="B57" s="168" t="str">
        <f>IF(B3="","",B3)</f>
      </c>
      <c r="P57" s="319"/>
    </row>
    <row r="58" spans="1:16" x14ac:dyDescent="0.25">
      <c r="A58" s="466"/>
      <c r="B58" s="465"/>
    </row>
    <row r="59" spans="1:16" x14ac:dyDescent="0.25">
      <c r="A59" s="162" t="s">
        <v>8</v>
      </c>
      <c r="B59" s="466"/>
      <c r="C59" s="2" t="str">
        <f>IF(AND(B64="",B60="",B65=""),"",CONCATENATE(IF(B64="","",B64)," ",IF(B60="","",B60)," ",IF(B65="","",B65)))</f>
      </c>
    </row>
    <row r="60" spans="1:16" x14ac:dyDescent="0.25">
      <c r="A60" s="164" t="s">
        <v>714</v>
      </c>
      <c r="B60" s="175"/>
    </row>
    <row r="61" spans="1:16" x14ac:dyDescent="0.25">
      <c r="A61" s="164" t="s">
        <v>381</v>
      </c>
      <c r="B61" s="176"/>
    </row>
    <row r="62" spans="1:16" x14ac:dyDescent="0.25">
      <c r="A62" s="164" t="s">
        <v>716</v>
      </c>
      <c r="B62" s="176"/>
    </row>
    <row r="63" spans="1:16" x14ac:dyDescent="0.25">
      <c r="A63" s="162" t="s">
        <v>9</v>
      </c>
      <c r="B63" s="176"/>
    </row>
    <row r="64" spans="1:16" x14ac:dyDescent="0.25">
      <c r="A64" s="162" t="s">
        <v>10</v>
      </c>
      <c r="B64" s="175"/>
    </row>
    <row r="65" spans="2:37" x14ac:dyDescent="0.25">
      <c r="B65" s="175"/>
    </row>
    <row r="67" spans="2:37" x14ac:dyDescent="0.25">
      <c r="C67" s="65"/>
      <c r="D67" s="66"/>
      <c r="E67" s="66"/>
      <c r="F67" s="66"/>
      <c r="G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</row>
    <row r="68" spans="2:37" x14ac:dyDescent="0.25">
      <c r="C68" s="65"/>
      <c r="D68" s="66"/>
      <c r="E68" s="66"/>
      <c r="F68" s="66"/>
      <c r="G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 spans="2:37" x14ac:dyDescent="0.25">
      <c r="C69" s="65"/>
      <c r="D69" s="66"/>
      <c r="E69" s="66"/>
      <c r="F69" s="66"/>
      <c r="G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</row>
    <row r="70" spans="2:37" x14ac:dyDescent="0.25">
      <c r="C70" s="65"/>
      <c r="D70" s="66"/>
      <c r="E70" s="66"/>
      <c r="F70" s="66"/>
      <c r="G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</row>
    <row r="71" spans="2:37" x14ac:dyDescent="0.25">
      <c r="C71" s="65"/>
      <c r="D71" s="66"/>
      <c r="E71" s="66"/>
      <c r="F71" s="66"/>
      <c r="G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</row>
    <row r="72" spans="2:37" x14ac:dyDescent="0.25">
      <c r="C72" s="65"/>
      <c r="D72" s="66"/>
      <c r="E72" s="66"/>
      <c r="F72" s="66"/>
      <c r="G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</row>
    <row r="73" spans="2:37" x14ac:dyDescent="0.25">
      <c r="C73" s="65"/>
      <c r="D73" s="66"/>
      <c r="E73" s="66"/>
      <c r="F73" s="66"/>
      <c r="G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</row>
    <row r="74" spans="2:37" x14ac:dyDescent="0.25">
      <c r="C74" s="65"/>
      <c r="D74" s="66"/>
      <c r="E74" s="66"/>
      <c r="F74" s="66"/>
      <c r="G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</row>
    <row r="78" spans="2:37" ht="14.45" customHeight="1" x14ac:dyDescent="0.25"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</row>
    <row r="79" spans="2:37" ht="14.45" customHeight="1" x14ac:dyDescent="0.25"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</row>
    <row r="80" spans="2:37" x14ac:dyDescent="0.25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spans="9:37" x14ac:dyDescent="0.25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spans="9:37" x14ac:dyDescent="0.25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spans="9:37" x14ac:dyDescent="0.25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spans="9:37" x14ac:dyDescent="0.25"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spans="9:37" x14ac:dyDescent="0.25"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spans="9:37" x14ac:dyDescent="0.25"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spans="9:37" x14ac:dyDescent="0.25"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spans="9:37" x14ac:dyDescent="0.25"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spans="9:37" x14ac:dyDescent="0.25"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spans="9:37" x14ac:dyDescent="0.25"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9:37" x14ac:dyDescent="0.25"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</row>
    <row r="92" spans="9:37" ht="14.45" customHeight="1" x14ac:dyDescent="0.25"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</row>
    <row r="97" spans="2:2" ht="16.149999999999999" customHeight="1" x14ac:dyDescent="0.25"/>
    <row r="98" spans="2:2" x14ac:dyDescent="0.25">
      <c r="B98" s="85"/>
    </row>
  </sheetData>
  <mergeCells count="4">
    <mergeCell ref="A1:B1"/>
    <mergeCell ref="A10:B10"/>
    <mergeCell ref="A18:B18"/>
    <mergeCell ref="A32:B32"/>
  </mergeCells>
  <phoneticPr fontId="44" type="noConversion"/>
  <dataValidations count="1">
    <dataValidation type="list" allowBlank="1" showInputMessage="1" showErrorMessage="1" sqref="C66" xr:uid="{B135FEDD-4E65-4DB3-BB6A-38975DC27099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4F45A2A6-803C-4298-A303-0A02CD7F0110}">
          <x14:formula1>
            <xm:f>'Данные организации'!$C$1:$E$1</xm:f>
          </x14:formula1>
          <xm:sqref>B52 B19</xm:sqref>
        </x14:dataValidation>
        <x14:dataValidation type="list" allowBlank="1" showInputMessage="1" showErrorMessage="1" xr:uid="{7B545B0B-FDE8-429E-9157-89A0DBCE63FB}">
          <x14:formula1>
            <xm:f>'Данные организации'!$C$2:$E$2</xm:f>
          </x14:formula1>
          <xm:sqref>B20 B53</xm:sqref>
        </x14:dataValidation>
        <x14:dataValidation type="list" allowBlank="1" showInputMessage="1" showErrorMessage="1" xr:uid="{06A430D6-52FF-4FA0-9EC6-E3C3778B1927}">
          <x14:formula1>
            <xm:f>'Данные организации'!$C$3:$E$3</xm:f>
          </x14:formula1>
          <xm:sqref>B54 B21</xm:sqref>
        </x14:dataValidation>
        <x14:dataValidation type="list" allowBlank="1" showInputMessage="1" showErrorMessage="1" xr:uid="{FECC3D86-545B-4A3D-9CC9-C3F9CE5F2064}">
          <x14:formula1>
            <xm:f>'Данные организации'!$C$6:$E$6</xm:f>
          </x14:formula1>
          <xm:sqref>B22</xm:sqref>
        </x14:dataValidation>
        <x14:dataValidation type="list" allowBlank="1" showInputMessage="1" showErrorMessage="1" xr:uid="{770807D7-04A8-408C-8610-E9C0E5896535}">
          <x14:formula1>
            <xm:f>'Данные организации'!$C$7:$E$7</xm:f>
          </x14:formula1>
          <xm:sqref>B23</xm:sqref>
        </x14:dataValidation>
        <x14:dataValidation type="list" allowBlank="1" showInputMessage="1" showErrorMessage="1" xr:uid="{28AD6420-DFC0-437E-BCB5-2C40628E7BDD}">
          <x14:formula1>
            <xm:f>'Данные организации'!$C$8:$E$8</xm:f>
          </x14:formula1>
          <xm:sqref>B24</xm:sqref>
        </x14:dataValidation>
        <x14:dataValidation type="list" allowBlank="1" showInputMessage="1" showErrorMessage="1" xr:uid="{D2E5C6BB-E977-4890-A7A7-7692C855B687}">
          <x14:formula1>
            <xm:f>'Данные организации'!$B$10:$E$10</xm:f>
          </x14:formula1>
          <xm:sqref>B25</xm:sqref>
        </x14:dataValidation>
        <x14:dataValidation type="list" allowBlank="1" showInputMessage="1" showErrorMessage="1" xr:uid="{74259951-26C3-4F28-AF1E-CC6B46119FF7}">
          <x14:formula1>
            <xm:f>'Данные организации'!$B$9:$E$9</xm:f>
          </x14:formula1>
          <xm:sqref>B26</xm:sqref>
        </x14:dataValidation>
        <x14:dataValidation type="list" allowBlank="1" showInputMessage="1" showErrorMessage="1" xr:uid="{AA5BF577-EAFB-43A2-8518-990D22467523}">
          <x14:formula1>
            <xm:f>'Данные организации'!$C$18:$E$18</xm:f>
          </x14:formula1>
          <xm:sqref>B27</xm:sqref>
        </x14:dataValidation>
        <x14:dataValidation type="list" allowBlank="1" showInputMessage="1" showErrorMessage="1" xr:uid="{2D0DBDBF-5D42-4607-A26E-0E48F2AD5EF9}">
          <x14:formula1>
            <xm:f>'Данные организации'!$C$20:$E$20</xm:f>
          </x14:formula1>
          <xm:sqref>B28</xm:sqref>
        </x14:dataValidation>
        <x14:dataValidation type="list" allowBlank="1" showInputMessage="1" showErrorMessage="1" xr:uid="{6D5329F5-22B2-44BD-8A40-0FE6D9644308}">
          <x14:formula1>
            <xm:f>'Данные организации'!$C$19:$E$19</xm:f>
          </x14:formula1>
          <xm:sqref>B29</xm:sqref>
        </x14:dataValidation>
        <x14:dataValidation type="list" allowBlank="1" showInputMessage="1" showErrorMessage="1" xr:uid="{D5D1E034-9A59-41EC-A3B2-B6122D2DAEC3}">
          <x14:formula1>
            <xm:f>'Данные организации'!$D$13:$E$13</xm:f>
          </x14:formula1>
          <xm:sqref>B30</xm:sqref>
        </x14:dataValidation>
        <x14:dataValidation type="list" allowBlank="1" showInputMessage="1" showErrorMessage="1" xr:uid="{ABB6546C-A5A8-4628-928C-29DB6BA733BA}">
          <x14:formula1>
            <xm:f>'Данные организации'!$D$14:$E$14</xm:f>
          </x14:formula1>
          <xm:sqref>B31</xm:sqref>
        </x14:dataValidation>
        <x14:dataValidation type="list" allowBlank="1" showInputMessage="1" showErrorMessage="1" xr:uid="{F8DEA182-70AB-4E87-95E3-78A77DC6B353}">
          <x14:formula1>
            <xm:f>'Данные организации'!$G$6:$I$6</xm:f>
          </x14:formula1>
          <xm:sqref>B36</xm:sqref>
        </x14:dataValidation>
        <x14:dataValidation type="list" allowBlank="1" showInputMessage="1" showErrorMessage="1" xr:uid="{9DD78FDE-7DCE-4C8E-B9A4-9C97CD16FCB8}">
          <x14:formula1>
            <xm:f>'Данные организации'!$G$7:$I$7</xm:f>
          </x14:formula1>
          <xm:sqref>B37</xm:sqref>
        </x14:dataValidation>
        <x14:dataValidation type="list" allowBlank="1" showInputMessage="1" showErrorMessage="1" xr:uid="{D0014F90-EAF1-4136-ADE1-08FE85201A61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10FA5452-1992-4D10-B92A-185DA98779E9}">
          <x14:formula1>
            <xm:f>'Данные организации'!$G$11:$I$11</xm:f>
          </x14:formula1>
          <xm:sqref>B42</xm:sqref>
        </x14:dataValidation>
        <x14:dataValidation type="list" allowBlank="1" showInputMessage="1" showErrorMessage="1" xr:uid="{76F62934-CB30-4936-BE67-2A59EE53359E}">
          <x14:formula1>
            <xm:f>'Данные организации'!$I$8</xm:f>
          </x14:formula1>
          <xm:sqref>B38</xm:sqref>
        </x14:dataValidation>
        <x14:dataValidation type="list" allowBlank="1" showInputMessage="1" showErrorMessage="1" xr:uid="{44623584-F239-4DAE-BDB5-B137446A2469}">
          <x14:formula1>
            <xm:f>'Данные организации'!$G$9:$I$9</xm:f>
          </x14:formula1>
          <xm:sqref>B39</xm:sqref>
        </x14:dataValidation>
        <x14:dataValidation type="list" allowBlank="1" showInputMessage="1" showErrorMessage="1" xr:uid="{CEA5823C-982A-41BE-B4FD-768C828F5BFE}">
          <x14:formula1>
            <xm:f>'Данные организации'!$G$15:$I$15</xm:f>
          </x14:formula1>
          <xm:sqref>B40</xm:sqref>
        </x14:dataValidation>
        <x14:dataValidation type="list" allowBlank="1" showInputMessage="1" showErrorMessage="1" xr:uid="{26637F53-8C0C-4C4D-B39D-B46B6A3B6E9E}">
          <x14:formula1>
            <xm:f>'Данные организации'!$G$16:$I$16</xm:f>
          </x14:formula1>
          <xm:sqref>B41</xm:sqref>
        </x14:dataValidation>
        <x14:dataValidation type="list" allowBlank="1" showInputMessage="1" showErrorMessage="1" xr:uid="{8925D69D-4150-4F39-9DB0-52FC2B44D2B0}">
          <x14:formula1>
            <xm:f>'Данные организации'!$G$10:$I$10</xm:f>
          </x14:formula1>
          <xm:sqref>B43</xm:sqref>
        </x14:dataValidation>
        <x14:dataValidation type="list" allowBlank="1" showInputMessage="1" showErrorMessage="1" xr:uid="{11974783-78A7-412C-AE13-BE843294B049}">
          <x14:formula1>
            <xm:f>'Данные организации'!$G$12:$I$12</xm:f>
          </x14:formula1>
          <xm:sqref>B44 B46 B49</xm:sqref>
        </x14:dataValidation>
        <x14:dataValidation type="list" allowBlank="1" showInputMessage="1" showErrorMessage="1" xr:uid="{407AF3F0-DAA0-4F45-B2A1-DC4011B11680}">
          <x14:formula1>
            <xm:f>'Данные организации'!$G$13:$I$13</xm:f>
          </x14:formula1>
          <xm:sqref>B50 B45 B47:B48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K49"/>
  <sheetViews>
    <sheetView view="pageBreakPreview" topLeftCell="A7" zoomScaleNormal="100" zoomScaleSheetLayoutView="100" zoomScalePageLayoutView="80" workbookViewId="0">
      <selection activeCell="A17" sqref="A17:K17"/>
    </sheetView>
  </sheetViews>
  <sheetFormatPr defaultColWidth="9.140625" defaultRowHeight="15" x14ac:dyDescent="0.25"/>
  <cols>
    <col min="1" max="16384" width="9.140625" style="1"/>
  </cols>
  <sheetData>
    <row r="1" spans="1:11" ht="33" customHeight="1" x14ac:dyDescent="0.25">
      <c r="A1" s="491" t="s">
        <v>1172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</row>
    <row r="2" spans="1:11" ht="82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</row>
    <row r="3" spans="1:11" ht="83.2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</row>
    <row r="4" spans="1:11" s="11" customFormat="1" ht="9" customHeight="1" x14ac:dyDescent="0.2">
      <c r="A4" s="494" t="s">
        <v>334</v>
      </c>
      <c r="B4" s="494"/>
      <c r="C4" s="494"/>
      <c r="D4" s="494"/>
      <c r="E4" s="494"/>
      <c r="F4" s="494"/>
      <c r="G4" s="494"/>
      <c r="H4" s="494"/>
      <c r="I4" s="494"/>
      <c r="J4" s="494"/>
      <c r="K4" s="494"/>
    </row>
    <row r="6" spans="1:11" ht="15.75" x14ac:dyDescent="0.25">
      <c r="A6" s="495" t="str">
        <f>IF('Данные организации'!G1="","",'Данные организации'!G1)</f>
      </c>
      <c r="B6" s="495"/>
      <c r="C6" s="495"/>
      <c r="D6" s="495"/>
      <c r="E6" s="495"/>
      <c r="F6" s="495"/>
      <c r="G6" s="495"/>
      <c r="H6" s="495"/>
      <c r="I6" s="495"/>
      <c r="J6" s="495"/>
      <c r="K6" s="495"/>
    </row>
    <row r="7" spans="1:11" ht="12" customHeight="1" x14ac:dyDescent="0.25">
      <c r="A7" s="490" t="s">
        <v>365</v>
      </c>
      <c r="B7" s="490"/>
      <c r="C7" s="490"/>
      <c r="D7" s="490"/>
      <c r="E7" s="490"/>
      <c r="F7" s="490"/>
      <c r="G7" s="490"/>
      <c r="H7" s="490"/>
      <c r="I7" s="490"/>
      <c r="J7" s="490"/>
      <c r="K7" s="490"/>
    </row>
    <row r="10" spans="1:11" s="47" customFormat="1" ht="20.25" x14ac:dyDescent="0.3">
      <c r="A10" s="488" t="s">
        <v>364</v>
      </c>
      <c r="B10" s="488"/>
      <c r="C10" s="488"/>
      <c r="D10" s="488"/>
      <c r="E10" s="488"/>
      <c r="F10" s="488"/>
      <c r="G10" s="488"/>
      <c r="H10" s="488"/>
      <c r="I10" s="488"/>
      <c r="J10" s="488"/>
      <c r="K10" s="488"/>
    </row>
    <row r="11" spans="1:11" s="47" customFormat="1" ht="20.25" x14ac:dyDescent="0.3">
      <c r="A11" s="488" t="s">
        <v>335</v>
      </c>
      <c r="B11" s="488"/>
      <c r="C11" s="488"/>
      <c r="D11" s="488"/>
      <c r="E11" s="488"/>
      <c r="F11" s="488"/>
      <c r="G11" s="488"/>
      <c r="H11" s="488"/>
      <c r="I11" s="488"/>
      <c r="J11" s="488"/>
      <c r="K11" s="488"/>
    </row>
    <row r="12" spans="1:11" s="47" customFormat="1" ht="13.9" customHeight="1" x14ac:dyDescent="0.3"/>
    <row r="13" spans="1:11" s="47" customFormat="1" ht="20.25" x14ac:dyDescent="0.3">
      <c r="A13" s="488" t="s">
        <v>1284</v>
      </c>
      <c r="B13" s="488"/>
      <c r="C13" s="488"/>
      <c r="D13" s="488"/>
      <c r="E13" s="488"/>
      <c r="F13" s="488"/>
      <c r="G13" s="488"/>
      <c r="H13" s="488"/>
      <c r="I13" s="488"/>
      <c r="J13" s="488"/>
      <c r="K13" s="488"/>
    </row>
    <row r="14" spans="1:11" s="300" customFormat="1" ht="20.25" x14ac:dyDescent="0.3">
      <c r="A14" s="488" t="str">
        <f>IF('Данные объект'!B12="","",'Данные объект'!B12)</f>
      </c>
      <c r="B14" s="488"/>
      <c r="C14" s="488"/>
      <c r="D14" s="488"/>
      <c r="E14" s="488"/>
      <c r="F14" s="488"/>
      <c r="G14" s="488"/>
      <c r="H14" s="488"/>
      <c r="I14" s="488"/>
      <c r="J14" s="488"/>
      <c r="K14" s="488"/>
    </row>
    <row r="15" spans="1:11" s="382" customFormat="1" ht="20.25" x14ac:dyDescent="0.3">
      <c r="A15" s="488" t="str">
        <f>IF('Данные объект'!B13="","",'Данные объект'!B13)</f>
      </c>
      <c r="B15" s="488"/>
      <c r="C15" s="488"/>
      <c r="D15" s="488"/>
      <c r="E15" s="488"/>
      <c r="F15" s="488"/>
      <c r="G15" s="488"/>
      <c r="H15" s="488"/>
      <c r="I15" s="488"/>
      <c r="J15" s="488"/>
      <c r="K15" s="488"/>
    </row>
    <row r="16" spans="1:11" s="300" customFormat="1" ht="20.25" x14ac:dyDescent="0.3">
      <c r="A16" s="488" t="str">
        <f>IF('Данные объект'!B14="","",'Данные объект'!B14)</f>
      </c>
      <c r="B16" s="488"/>
      <c r="C16" s="488"/>
      <c r="D16" s="488"/>
      <c r="E16" s="488"/>
      <c r="F16" s="488"/>
      <c r="G16" s="488"/>
      <c r="H16" s="488"/>
      <c r="I16" s="488"/>
      <c r="J16" s="488"/>
      <c r="K16" s="488"/>
    </row>
    <row r="17" spans="1:11" s="300" customFormat="1" ht="20.25" x14ac:dyDescent="0.3">
      <c r="A17" s="488" t="str">
        <f>IF('Данные объект'!B15="","",'Данные объект'!B15)</f>
      </c>
      <c r="B17" s="488"/>
      <c r="C17" s="488"/>
      <c r="D17" s="488"/>
      <c r="E17" s="488"/>
      <c r="F17" s="488"/>
      <c r="G17" s="488"/>
      <c r="H17" s="488"/>
      <c r="I17" s="488"/>
      <c r="J17" s="488"/>
      <c r="K17" s="488"/>
    </row>
    <row r="18" spans="1:11" s="47" customFormat="1" ht="20.25" x14ac:dyDescent="0.3">
      <c r="A18" s="498" t="str">
        <f>IF('Данные объект'!B16="","",'Данные объект'!B16)</f>
      </c>
      <c r="B18" s="498"/>
      <c r="C18" s="498"/>
      <c r="D18" s="498"/>
      <c r="E18" s="498"/>
      <c r="F18" s="498"/>
      <c r="G18" s="498"/>
      <c r="H18" s="498"/>
      <c r="I18" s="498"/>
      <c r="J18" s="498"/>
      <c r="K18" s="498"/>
    </row>
    <row r="20" spans="1:11" ht="18.75" x14ac:dyDescent="0.3">
      <c r="A20" s="489" t="s">
        <v>1283</v>
      </c>
      <c r="B20" s="489"/>
      <c r="C20" s="489"/>
      <c r="D20" s="489"/>
      <c r="E20" s="489"/>
      <c r="F20" s="489"/>
      <c r="G20" s="489"/>
      <c r="H20" s="489"/>
      <c r="I20" s="489"/>
      <c r="J20" s="489"/>
      <c r="K20" s="489"/>
    </row>
    <row r="21" spans="1:11" ht="18.75" x14ac:dyDescent="0.3">
      <c r="A21" s="489" t="str">
        <f>IF('Данные объект'!B2="","",'Данные объект'!B2)</f>
      </c>
      <c r="B21" s="489"/>
      <c r="C21" s="489"/>
      <c r="D21" s="489"/>
      <c r="E21" s="489"/>
      <c r="F21" s="489"/>
      <c r="G21" s="489"/>
      <c r="H21" s="489"/>
      <c r="I21" s="489"/>
      <c r="J21" s="489"/>
      <c r="K21" s="489"/>
    </row>
    <row r="23" spans="1:11" s="46" customFormat="1" ht="18.75" customHeight="1" x14ac:dyDescent="0.3">
      <c r="A23" s="499" t="str">
        <f>IF('Данные объект'!B3="","",'Данные объект'!B3)</f>
      </c>
      <c r="B23" s="499"/>
      <c r="C23" s="499"/>
      <c r="D23" s="499"/>
      <c r="E23" s="499"/>
      <c r="F23" s="499"/>
      <c r="G23" s="499"/>
      <c r="H23" s="499"/>
      <c r="I23" s="499"/>
      <c r="J23" s="499"/>
      <c r="K23" s="499"/>
    </row>
    <row r="24" spans="1:11" s="48" customFormat="1" ht="66" customHeight="1" x14ac:dyDescent="0.3">
      <c r="A24" s="500"/>
      <c r="B24" s="500"/>
      <c r="C24" s="500"/>
      <c r="D24" s="500"/>
      <c r="E24" s="500"/>
      <c r="F24" s="500"/>
      <c r="G24" s="500"/>
      <c r="H24" s="500"/>
      <c r="I24" s="500"/>
      <c r="J24" s="500"/>
      <c r="K24" s="500"/>
    </row>
    <row r="25" spans="1:11" s="15" customFormat="1" ht="11.25" x14ac:dyDescent="0.2">
      <c r="A25" s="494" t="s">
        <v>24</v>
      </c>
      <c r="B25" s="494"/>
      <c r="C25" s="494"/>
      <c r="D25" s="494"/>
      <c r="E25" s="494"/>
      <c r="F25" s="494"/>
      <c r="G25" s="494"/>
      <c r="H25" s="494"/>
      <c r="I25" s="494"/>
      <c r="J25" s="494"/>
      <c r="K25" s="494"/>
    </row>
    <row r="26" spans="1:11" s="44" customFormat="1" ht="15" customHeight="1" x14ac:dyDescent="0.25"/>
    <row r="27" spans="1:11" s="44" customFormat="1" ht="15" customHeight="1" x14ac:dyDescent="0.25"/>
    <row r="28" spans="1:11" s="44" customFormat="1" ht="18.75" x14ac:dyDescent="0.3">
      <c r="A28" s="489" t="s">
        <v>366</v>
      </c>
      <c r="B28" s="489"/>
      <c r="C28" s="489"/>
      <c r="D28" s="489"/>
      <c r="E28" s="489"/>
      <c r="F28" s="489"/>
      <c r="G28" s="489"/>
      <c r="H28" s="489"/>
      <c r="I28" s="489"/>
      <c r="J28" s="489"/>
      <c r="K28" s="489"/>
    </row>
    <row r="29" spans="1:11" s="48" customFormat="1" ht="20.25" x14ac:dyDescent="0.3">
      <c r="A29" s="496" t="str">
        <f>IF('Данные объект'!B56="","",'Данные объект'!B56)</f>
      </c>
      <c r="B29" s="496"/>
      <c r="C29" s="496"/>
      <c r="D29" s="496"/>
      <c r="E29" s="496"/>
      <c r="F29" s="496"/>
      <c r="G29" s="496"/>
      <c r="H29" s="496"/>
      <c r="I29" s="496"/>
      <c r="J29" s="496"/>
      <c r="K29" s="496"/>
    </row>
    <row r="30" spans="1:11" s="15" customFormat="1" ht="11.25" x14ac:dyDescent="0.2">
      <c r="A30" s="494"/>
      <c r="B30" s="494"/>
      <c r="C30" s="494"/>
      <c r="D30" s="494"/>
      <c r="E30" s="494"/>
      <c r="F30" s="494"/>
      <c r="G30" s="494"/>
      <c r="H30" s="494"/>
      <c r="I30" s="494"/>
      <c r="J30" s="494"/>
    </row>
    <row r="31" spans="1:11" s="44" customFormat="1" hidden="1" x14ac:dyDescent="0.25"/>
    <row r="32" spans="1:11" hidden="1" x14ac:dyDescent="0.25"/>
    <row r="33" spans="1:11" hidden="1" x14ac:dyDescent="0.25"/>
    <row r="34" spans="1:11" hidden="1" x14ac:dyDescent="0.25"/>
    <row r="35" spans="1:11" hidden="1" x14ac:dyDescent="0.25"/>
    <row r="36" spans="1:11" hidden="1" x14ac:dyDescent="0.25"/>
    <row r="37" spans="1:11" ht="10.5" customHeight="1" x14ac:dyDescent="0.25"/>
    <row r="38" spans="1:11" ht="10.5" customHeight="1" x14ac:dyDescent="0.25"/>
    <row r="39" spans="1:11" ht="10.5" customHeight="1" x14ac:dyDescent="0.25"/>
    <row r="40" spans="1:11" ht="10.5" customHeight="1" x14ac:dyDescent="0.25"/>
    <row r="41" spans="1:11" ht="10.5" customHeight="1" x14ac:dyDescent="0.25"/>
    <row r="42" spans="1:11" ht="10.5" customHeight="1" x14ac:dyDescent="0.25"/>
    <row r="43" spans="1:11" ht="10.5" customHeight="1" x14ac:dyDescent="0.25"/>
    <row r="44" spans="1:11" ht="10.5" customHeight="1" x14ac:dyDescent="0.25"/>
    <row r="45" spans="1:11" ht="10.5" customHeight="1" x14ac:dyDescent="0.25"/>
    <row r="46" spans="1:11" ht="10.5" customHeight="1" x14ac:dyDescent="0.25"/>
    <row r="47" spans="1:11" ht="10.5" customHeight="1" x14ac:dyDescent="0.25"/>
    <row r="48" spans="1:11" ht="16.5" customHeight="1" x14ac:dyDescent="0.25">
      <c r="A48" s="501" t="str">
        <f>IF('Данные объект'!B4="","",'Данные объект'!B4)</f>
      </c>
      <c r="B48" s="501"/>
      <c r="C48" s="501"/>
      <c r="D48" s="501"/>
      <c r="E48" s="501"/>
      <c r="F48" s="501"/>
      <c r="G48" s="501"/>
      <c r="H48" s="501"/>
      <c r="I48" s="501"/>
      <c r="J48" s="501"/>
      <c r="K48" s="501"/>
    </row>
    <row r="49" spans="1:11" ht="23.25" customHeight="1" x14ac:dyDescent="0.25">
      <c r="A49" s="497" t="str">
        <f>IF('Данные объект'!B9="","",'Данные объект'!B9)</f>
      </c>
      <c r="B49" s="497"/>
      <c r="C49" s="497"/>
      <c r="D49" s="497"/>
      <c r="E49" s="497"/>
      <c r="F49" s="497"/>
      <c r="G49" s="497"/>
      <c r="H49" s="497"/>
      <c r="I49" s="497"/>
      <c r="J49" s="497"/>
      <c r="K49" s="497"/>
    </row>
  </sheetData>
  <mergeCells count="23">
    <mergeCell ref="A28:K28"/>
    <mergeCell ref="A29:K29"/>
    <mergeCell ref="A49:K49"/>
    <mergeCell ref="A30:J30"/>
    <mergeCell ref="A11:K11"/>
    <mergeCell ref="A13:K13"/>
    <mergeCell ref="A18:K18"/>
    <mergeCell ref="A20:K20"/>
    <mergeCell ref="A23:K24"/>
    <mergeCell ref="A25:K25"/>
    <mergeCell ref="A48:K48"/>
    <mergeCell ref="A14:K14"/>
    <mergeCell ref="A1:K1"/>
    <mergeCell ref="A2:K2"/>
    <mergeCell ref="A3:K3"/>
    <mergeCell ref="A4:K4"/>
    <mergeCell ref="A6:K6"/>
    <mergeCell ref="A10:K10"/>
    <mergeCell ref="A21:K21"/>
    <mergeCell ref="A16:K16"/>
    <mergeCell ref="A17:K17"/>
    <mergeCell ref="A7:K7"/>
    <mergeCell ref="A15:K15"/>
  </mergeCells>
  <pageMargins left="0.39370078740157483" right="0.39370078740157483" top="0.39370078740157483" bottom="0.39370078740157483" header="0" footer="0"/>
  <pageSetup paperSize="9" scale="9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1106-436B-4D9F-907E-FE36DC57D1A7}">
  <sheetPr>
    <tabColor rgb="FF92D050"/>
  </sheetPr>
  <dimension ref="A1:K56"/>
  <sheetViews>
    <sheetView view="pageBreakPreview" topLeftCell="A7" zoomScale="80" zoomScaleNormal="100" zoomScaleSheetLayoutView="80" zoomScalePageLayoutView="80" workbookViewId="0">
      <selection activeCell="A23" sqref="A23:K23"/>
    </sheetView>
  </sheetViews>
  <sheetFormatPr defaultColWidth="9.140625" defaultRowHeight="15" x14ac:dyDescent="0.25"/>
  <cols>
    <col min="1" max="16384" width="9.140625" style="1"/>
  </cols>
  <sheetData>
    <row r="1" spans="1:11" ht="33" customHeight="1" x14ac:dyDescent="0.25">
      <c r="A1" s="502" t="s">
        <v>1298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</row>
    <row r="2" spans="1:11" ht="43.15" customHeight="1" x14ac:dyDescent="0.25">
      <c r="A2" s="504"/>
      <c r="B2" s="504"/>
      <c r="C2" s="504"/>
      <c r="D2" s="504"/>
      <c r="E2" s="504"/>
      <c r="F2" s="504"/>
      <c r="G2" s="504"/>
      <c r="H2" s="504"/>
      <c r="I2" s="504"/>
      <c r="J2" s="504"/>
      <c r="K2" s="504"/>
    </row>
    <row r="3" spans="1:11" ht="72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</row>
    <row r="4" spans="1:11" s="11" customFormat="1" ht="9" customHeight="1" x14ac:dyDescent="0.2">
      <c r="A4" s="494" t="s">
        <v>334</v>
      </c>
      <c r="B4" s="494"/>
      <c r="C4" s="494"/>
      <c r="D4" s="494"/>
      <c r="E4" s="494"/>
      <c r="F4" s="494"/>
      <c r="G4" s="494"/>
      <c r="H4" s="494"/>
      <c r="I4" s="494"/>
      <c r="J4" s="494"/>
      <c r="K4" s="494"/>
    </row>
    <row r="6" spans="1:11" ht="15.75" x14ac:dyDescent="0.25">
      <c r="A6" s="495" t="str">
        <f>IF('Данные объект'!B30="","",'Данные объект'!B30)</f>
      </c>
      <c r="B6" s="495"/>
      <c r="C6" s="495"/>
      <c r="D6" s="495"/>
      <c r="E6" s="495"/>
      <c r="F6" s="495"/>
      <c r="G6" s="495"/>
      <c r="H6" s="495"/>
      <c r="I6" s="495"/>
      <c r="J6" s="495"/>
      <c r="K6" s="495"/>
    </row>
    <row r="7" spans="1:11" ht="12" customHeight="1" x14ac:dyDescent="0.25">
      <c r="A7" s="490" t="s">
        <v>365</v>
      </c>
      <c r="B7" s="490"/>
      <c r="C7" s="490"/>
      <c r="D7" s="490"/>
      <c r="E7" s="490"/>
      <c r="F7" s="490"/>
      <c r="G7" s="490"/>
      <c r="H7" s="490"/>
      <c r="I7" s="490"/>
      <c r="J7" s="490"/>
      <c r="K7" s="490"/>
    </row>
    <row r="10" spans="1:11" s="265" customFormat="1" ht="20.25" x14ac:dyDescent="0.3">
      <c r="A10" s="488" t="s">
        <v>364</v>
      </c>
      <c r="B10" s="488"/>
      <c r="C10" s="488"/>
      <c r="D10" s="488"/>
      <c r="E10" s="488"/>
      <c r="F10" s="488"/>
      <c r="G10" s="488"/>
      <c r="H10" s="488"/>
      <c r="I10" s="488"/>
      <c r="J10" s="488"/>
      <c r="K10" s="488"/>
    </row>
    <row r="11" spans="1:11" s="265" customFormat="1" ht="20.25" x14ac:dyDescent="0.3">
      <c r="A11" s="488" t="s">
        <v>335</v>
      </c>
      <c r="B11" s="488"/>
      <c r="C11" s="488"/>
      <c r="D11" s="488"/>
      <c r="E11" s="488"/>
      <c r="F11" s="488"/>
      <c r="G11" s="488"/>
      <c r="H11" s="488"/>
      <c r="I11" s="488"/>
      <c r="J11" s="488"/>
      <c r="K11" s="488"/>
    </row>
    <row r="12" spans="1:11" s="265" customFormat="1" ht="20.25" x14ac:dyDescent="0.3"/>
    <row r="13" spans="1:11" s="265" customFormat="1" ht="20.25" x14ac:dyDescent="0.3"/>
    <row r="14" spans="1:11" s="265" customFormat="1" ht="20.25" x14ac:dyDescent="0.3"/>
    <row r="15" spans="1:11" s="265" customFormat="1" ht="13.9" customHeight="1" x14ac:dyDescent="0.3"/>
    <row r="16" spans="1:11" s="265" customFormat="1" ht="20.25" x14ac:dyDescent="0.3">
      <c r="A16" s="488" t="s">
        <v>1284</v>
      </c>
      <c r="B16" s="488"/>
      <c r="C16" s="488"/>
      <c r="D16" s="488"/>
      <c r="E16" s="488"/>
      <c r="F16" s="488"/>
      <c r="G16" s="488"/>
      <c r="H16" s="488"/>
      <c r="I16" s="488"/>
      <c r="J16" s="488"/>
      <c r="K16" s="488"/>
    </row>
    <row r="17" spans="1:11" s="300" customFormat="1" ht="20.25" x14ac:dyDescent="0.3">
      <c r="A17" s="488" t="str">
        <f>IF('Данные объект'!B12="","",'Данные объект'!B12)</f>
      </c>
      <c r="B17" s="488"/>
      <c r="C17" s="488"/>
      <c r="D17" s="488"/>
      <c r="E17" s="488"/>
      <c r="F17" s="488"/>
      <c r="G17" s="488"/>
      <c r="H17" s="488"/>
      <c r="I17" s="488"/>
      <c r="J17" s="488"/>
      <c r="K17" s="488"/>
    </row>
    <row r="18" spans="1:11" s="382" customFormat="1" ht="20.25" x14ac:dyDescent="0.3">
      <c r="A18" s="488" t="str">
        <f>IF('Данные объект'!B13="","",'Данные объект'!B13)</f>
      </c>
      <c r="B18" s="488"/>
      <c r="C18" s="488"/>
      <c r="D18" s="488"/>
      <c r="E18" s="488"/>
      <c r="F18" s="488"/>
      <c r="G18" s="488"/>
      <c r="H18" s="488"/>
      <c r="I18" s="488"/>
      <c r="J18" s="488"/>
      <c r="K18" s="488"/>
    </row>
    <row r="19" spans="1:11" s="300" customFormat="1" ht="20.25" x14ac:dyDescent="0.3">
      <c r="A19" s="488" t="str">
        <f>IF('Данные объект'!B14="","",'Данные объект'!B14)</f>
      </c>
      <c r="B19" s="488"/>
      <c r="C19" s="488"/>
      <c r="D19" s="488"/>
      <c r="E19" s="488"/>
      <c r="F19" s="488"/>
      <c r="G19" s="488"/>
      <c r="H19" s="488"/>
      <c r="I19" s="488"/>
      <c r="J19" s="488"/>
      <c r="K19" s="488"/>
    </row>
    <row r="20" spans="1:11" s="265" customFormat="1" ht="20.25" x14ac:dyDescent="0.3">
      <c r="A20" s="488" t="str">
        <f>IF('Данные объект'!B15="","",'Данные объект'!B15)</f>
      </c>
      <c r="B20" s="488"/>
      <c r="C20" s="488"/>
      <c r="D20" s="488"/>
      <c r="E20" s="488"/>
      <c r="F20" s="488"/>
      <c r="G20" s="488"/>
      <c r="H20" s="488"/>
      <c r="I20" s="488"/>
      <c r="J20" s="488"/>
      <c r="K20" s="488"/>
    </row>
    <row r="21" spans="1:11" s="265" customFormat="1" ht="20.25" x14ac:dyDescent="0.3">
      <c r="A21" s="496" t="str">
        <f>IF('Данные объект'!B16="","",'Данные объект'!B16)</f>
      </c>
      <c r="B21" s="496"/>
      <c r="C21" s="496"/>
      <c r="D21" s="496"/>
      <c r="E21" s="496"/>
      <c r="F21" s="496"/>
      <c r="G21" s="496"/>
      <c r="H21" s="496"/>
      <c r="I21" s="496"/>
      <c r="J21" s="496"/>
      <c r="K21" s="496"/>
    </row>
    <row r="23" spans="1:11" ht="18.75" x14ac:dyDescent="0.3">
      <c r="A23" s="489" t="s">
        <v>1283</v>
      </c>
      <c r="B23" s="489"/>
      <c r="C23" s="489"/>
      <c r="D23" s="489"/>
      <c r="E23" s="489"/>
      <c r="F23" s="489"/>
      <c r="G23" s="489"/>
      <c r="H23" s="489"/>
      <c r="I23" s="489"/>
      <c r="J23" s="489"/>
      <c r="K23" s="489"/>
    </row>
    <row r="24" spans="1:11" ht="18.75" x14ac:dyDescent="0.3">
      <c r="A24" s="489" t="str">
        <f>IF('Данные объект'!B2="","",'Данные объект'!B2)</f>
      </c>
      <c r="B24" s="489"/>
      <c r="C24" s="489"/>
      <c r="D24" s="489"/>
      <c r="E24" s="489"/>
      <c r="F24" s="489"/>
      <c r="G24" s="489"/>
      <c r="H24" s="489"/>
      <c r="I24" s="489"/>
      <c r="J24" s="489"/>
      <c r="K24" s="489"/>
    </row>
    <row r="26" spans="1:11" s="46" customFormat="1" ht="18.75" customHeight="1" x14ac:dyDescent="0.3">
      <c r="A26" s="499" t="str">
        <f>IF('Данные объект'!B3="","",'Данные объект'!B3)</f>
      </c>
      <c r="B26" s="499"/>
      <c r="C26" s="499"/>
      <c r="D26" s="499"/>
      <c r="E26" s="499"/>
      <c r="F26" s="499"/>
      <c r="G26" s="499"/>
      <c r="H26" s="499"/>
      <c r="I26" s="499"/>
      <c r="J26" s="499"/>
      <c r="K26" s="499"/>
    </row>
    <row r="27" spans="1:11" s="48" customFormat="1" ht="51" customHeight="1" x14ac:dyDescent="0.3">
      <c r="A27" s="500"/>
      <c r="B27" s="500"/>
      <c r="C27" s="500"/>
      <c r="D27" s="500"/>
      <c r="E27" s="500"/>
      <c r="F27" s="500"/>
      <c r="G27" s="500"/>
      <c r="H27" s="500"/>
      <c r="I27" s="500"/>
      <c r="J27" s="500"/>
      <c r="K27" s="500"/>
    </row>
    <row r="28" spans="1:11" s="264" customFormat="1" ht="11.25" x14ac:dyDescent="0.2">
      <c r="A28" s="494" t="s">
        <v>24</v>
      </c>
      <c r="B28" s="494"/>
      <c r="C28" s="494"/>
      <c r="D28" s="494"/>
      <c r="E28" s="494"/>
      <c r="F28" s="494"/>
      <c r="G28" s="494"/>
      <c r="H28" s="494"/>
      <c r="I28" s="494"/>
      <c r="J28" s="494"/>
      <c r="K28" s="494"/>
    </row>
    <row r="29" spans="1:11" s="44" customFormat="1" ht="15" customHeight="1" x14ac:dyDescent="0.25"/>
    <row r="30" spans="1:11" s="44" customFormat="1" ht="15" customHeight="1" x14ac:dyDescent="0.25"/>
    <row r="31" spans="1:11" s="44" customFormat="1" ht="15" customHeight="1" x14ac:dyDescent="0.25"/>
    <row r="32" spans="1:11" s="44" customFormat="1" ht="15" customHeight="1" x14ac:dyDescent="0.25"/>
    <row r="33" spans="1:11" s="44" customFormat="1" ht="15" customHeight="1" x14ac:dyDescent="0.25"/>
    <row r="34" spans="1:11" s="44" customFormat="1" ht="18.75" x14ac:dyDescent="0.3">
      <c r="A34" s="489" t="s">
        <v>366</v>
      </c>
      <c r="B34" s="489"/>
      <c r="C34" s="489"/>
      <c r="D34" s="489"/>
      <c r="E34" s="489"/>
      <c r="F34" s="489"/>
      <c r="G34" s="489"/>
      <c r="H34" s="489"/>
      <c r="I34" s="489"/>
      <c r="J34" s="489"/>
      <c r="K34" s="489"/>
    </row>
    <row r="35" spans="1:11" s="48" customFormat="1" ht="20.25" x14ac:dyDescent="0.3">
      <c r="A35" s="496" t="str">
        <f>IF('Данные объект'!B56="","",'Данные объект'!B56)</f>
      </c>
      <c r="B35" s="496"/>
      <c r="C35" s="496"/>
      <c r="D35" s="496"/>
      <c r="E35" s="496"/>
      <c r="F35" s="496"/>
      <c r="G35" s="496"/>
      <c r="H35" s="496"/>
      <c r="I35" s="496"/>
      <c r="J35" s="496"/>
      <c r="K35" s="496"/>
    </row>
    <row r="36" spans="1:11" s="264" customFormat="1" ht="11.25" x14ac:dyDescent="0.2">
      <c r="A36" s="494"/>
      <c r="B36" s="494"/>
      <c r="C36" s="494"/>
      <c r="D36" s="494"/>
      <c r="E36" s="494"/>
      <c r="F36" s="494"/>
      <c r="G36" s="494"/>
      <c r="H36" s="494"/>
      <c r="I36" s="494"/>
      <c r="J36" s="494"/>
    </row>
    <row r="37" spans="1:11" s="44" customFormat="1" hidden="1" x14ac:dyDescent="0.25"/>
    <row r="38" spans="1:11" hidden="1" x14ac:dyDescent="0.25"/>
    <row r="39" spans="1:11" hidden="1" x14ac:dyDescent="0.25"/>
    <row r="40" spans="1:11" hidden="1" x14ac:dyDescent="0.25"/>
    <row r="41" spans="1:11" hidden="1" x14ac:dyDescent="0.25"/>
    <row r="42" spans="1:11" hidden="1" x14ac:dyDescent="0.25"/>
    <row r="43" spans="1:11" ht="10.5" customHeight="1" x14ac:dyDescent="0.25"/>
    <row r="44" spans="1:11" ht="10.5" customHeight="1" x14ac:dyDescent="0.25"/>
    <row r="45" spans="1:11" ht="10.5" customHeight="1" x14ac:dyDescent="0.25"/>
    <row r="46" spans="1:11" ht="10.5" customHeight="1" x14ac:dyDescent="0.25"/>
    <row r="47" spans="1:11" ht="10.5" hidden="1" customHeight="1" x14ac:dyDescent="0.25"/>
    <row r="48" spans="1:11" ht="10.5" hidden="1" customHeight="1" x14ac:dyDescent="0.25"/>
    <row r="49" spans="1:11" ht="10.5" hidden="1" customHeight="1" x14ac:dyDescent="0.25"/>
    <row r="50" spans="1:11" ht="10.5" customHeight="1" x14ac:dyDescent="0.25"/>
    <row r="51" spans="1:11" ht="10.5" customHeight="1" x14ac:dyDescent="0.25"/>
    <row r="52" spans="1:11" ht="10.5" customHeight="1" x14ac:dyDescent="0.25"/>
    <row r="53" spans="1:11" ht="10.5" customHeight="1" x14ac:dyDescent="0.25"/>
    <row r="54" spans="1:11" ht="10.5" customHeight="1" x14ac:dyDescent="0.25"/>
    <row r="55" spans="1:11" ht="16.5" customHeight="1" x14ac:dyDescent="0.25">
      <c r="A55" s="501" t="str">
        <f>IF('Данные объект'!B4="","",'Данные объект'!B4)</f>
      </c>
      <c r="B55" s="501"/>
      <c r="C55" s="501"/>
      <c r="D55" s="501"/>
      <c r="E55" s="501"/>
      <c r="F55" s="501"/>
      <c r="G55" s="501"/>
      <c r="H55" s="501"/>
      <c r="I55" s="501"/>
      <c r="J55" s="501"/>
      <c r="K55" s="501"/>
    </row>
    <row r="56" spans="1:11" ht="23.25" customHeight="1" x14ac:dyDescent="0.25">
      <c r="A56" s="497" t="str">
        <f>IF('Данные объект'!B9="","",'Данные объект'!B9)</f>
      </c>
      <c r="B56" s="497"/>
      <c r="C56" s="497"/>
      <c r="D56" s="497"/>
      <c r="E56" s="497"/>
      <c r="F56" s="497"/>
      <c r="G56" s="497"/>
      <c r="H56" s="497"/>
      <c r="I56" s="497"/>
      <c r="J56" s="497"/>
      <c r="K56" s="497"/>
    </row>
  </sheetData>
  <mergeCells count="23">
    <mergeCell ref="A1:K1"/>
    <mergeCell ref="A3:K3"/>
    <mergeCell ref="A4:K4"/>
    <mergeCell ref="A6:K6"/>
    <mergeCell ref="A7:K7"/>
    <mergeCell ref="A2:K2"/>
    <mergeCell ref="A26:K27"/>
    <mergeCell ref="A28:K28"/>
    <mergeCell ref="A11:K11"/>
    <mergeCell ref="A16:K16"/>
    <mergeCell ref="A21:K21"/>
    <mergeCell ref="A10:K10"/>
    <mergeCell ref="A24:K24"/>
    <mergeCell ref="A17:K17"/>
    <mergeCell ref="A18:K18"/>
    <mergeCell ref="A19:K19"/>
    <mergeCell ref="A20:K20"/>
    <mergeCell ref="A23:K23"/>
    <mergeCell ref="A36:J36"/>
    <mergeCell ref="A55:K55"/>
    <mergeCell ref="A56:K56"/>
    <mergeCell ref="A34:K34"/>
    <mergeCell ref="A35:K35"/>
  </mergeCells>
  <pageMargins left="0.39370078740157483" right="0.39370078740157483" top="0.39370078740157483" bottom="0.39370078740157483" header="0" footer="0"/>
  <pageSetup paperSize="9" scale="9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549E-B9BC-472F-A913-A04AE2BA0A4F}">
  <dimension ref="A1:AG139"/>
  <sheetViews>
    <sheetView showZeros="0" view="pageBreakPreview" topLeftCell="A106" zoomScale="85" zoomScaleNormal="100" zoomScaleSheetLayoutView="85" workbookViewId="0">
      <selection activeCell="AG175" sqref="AG175"/>
    </sheetView>
  </sheetViews>
  <sheetFormatPr defaultColWidth="9.140625" defaultRowHeight="12.75" x14ac:dyDescent="0.2"/>
  <cols>
    <col min="1" max="1" width="3.42578125" style="414" customWidth="1"/>
    <col min="2" max="2" width="2.7109375" style="414" customWidth="1"/>
    <col min="3" max="3" width="4.140625" style="414" customWidth="1"/>
    <col min="4" max="4" width="2" style="414" customWidth="1"/>
    <col min="5" max="5" width="6.42578125" style="414" customWidth="1"/>
    <col min="6" max="6" width="4.28515625" style="414" customWidth="1"/>
    <col min="7" max="8" width="2.85546875" style="414" customWidth="1"/>
    <col min="9" max="9" width="3.7109375" style="414" customWidth="1"/>
    <col min="10" max="10" width="2.7109375" style="414" customWidth="1"/>
    <col min="11" max="11" width="3.7109375" style="414" customWidth="1"/>
    <col min="12" max="12" width="3.28515625" style="414" customWidth="1"/>
    <col min="13" max="13" width="4.7109375" style="414" customWidth="1"/>
    <col min="14" max="14" width="6.7109375" style="414" customWidth="1"/>
    <col min="15" max="15" width="3.85546875" style="414" customWidth="1"/>
    <col min="16" max="16" width="4.140625" style="414" customWidth="1"/>
    <col min="17" max="17" width="5.140625" style="414" customWidth="1"/>
    <col min="18" max="18" width="3.140625" style="414" customWidth="1"/>
    <col min="19" max="19" width="3" style="414" customWidth="1"/>
    <col min="20" max="20" width="2.7109375" style="414" customWidth="1"/>
    <col min="21" max="21" width="2.28515625" style="414" customWidth="1"/>
    <col min="22" max="23" width="3.7109375" style="414" customWidth="1"/>
    <col min="24" max="24" width="4.5703125" style="414" customWidth="1"/>
    <col min="25" max="25" width="4.28515625" style="414" customWidth="1"/>
    <col min="26" max="26" width="2.7109375" style="414" customWidth="1"/>
    <col min="27" max="27" width="2.28515625" style="414" customWidth="1"/>
    <col min="28" max="28" width="5.140625" style="414" customWidth="1"/>
    <col min="29" max="29" width="3.28515625" style="414" customWidth="1"/>
    <col min="30" max="30" width="3.5703125" style="414" customWidth="1"/>
    <col min="31" max="31" width="3.7109375" style="414" customWidth="1"/>
    <col min="32" max="32" width="9.28515625" style="414" customWidth="1"/>
    <col min="33" max="33" width="42.5703125" style="414" customWidth="1"/>
    <col min="34" max="34" width="16.85546875" style="414" customWidth="1"/>
    <col min="35" max="35" width="9.140625" style="414"/>
    <col min="36" max="36" width="15.28515625" style="414" customWidth="1"/>
    <col min="37" max="16384" width="9.140625" style="414"/>
  </cols>
  <sheetData>
    <row r="1" spans="1:32" x14ac:dyDescent="0.2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</row>
    <row r="2" spans="1:32" ht="15.75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</row>
    <row r="3" spans="1:32" x14ac:dyDescent="0.2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3"/>
      <c r="Q3" s="413"/>
      <c r="R3" s="413"/>
      <c r="S3" s="413"/>
      <c r="T3" s="413"/>
      <c r="U3" s="413"/>
      <c r="V3" s="413"/>
      <c r="W3" s="413"/>
      <c r="X3" s="413"/>
      <c r="Y3" s="413"/>
      <c r="Z3" s="413"/>
      <c r="AA3" s="413"/>
      <c r="AB3" s="413"/>
      <c r="AC3" s="413"/>
      <c r="AD3" s="413"/>
      <c r="AE3" s="413"/>
      <c r="AF3" s="413"/>
    </row>
    <row r="4" spans="1:32" ht="23.25" x14ac:dyDescent="0.3">
      <c r="A4" s="415"/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6" t="s">
        <v>1411</v>
      </c>
      <c r="O4" s="417"/>
      <c r="P4" s="506" t="str">
        <f>IF('Данные объект'!B2="","",'Данные объект'!B2)</f>
      </c>
      <c r="Q4" s="506"/>
      <c r="R4" s="506"/>
      <c r="S4" s="506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  <c r="AF4" s="415"/>
    </row>
    <row r="5" spans="1:32" ht="18.75" x14ac:dyDescent="0.3">
      <c r="A5" s="507" t="s">
        <v>1416</v>
      </c>
      <c r="B5" s="50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7"/>
      <c r="AA5" s="507"/>
      <c r="AB5" s="507"/>
      <c r="AC5" s="507"/>
      <c r="AD5" s="507"/>
      <c r="AE5" s="507"/>
      <c r="AF5" s="507"/>
    </row>
    <row r="6" spans="1:32" x14ac:dyDescent="0.2">
      <c r="A6" s="412"/>
      <c r="B6" s="412"/>
      <c r="C6" s="412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3"/>
      <c r="Z6" s="413"/>
      <c r="AA6" s="413"/>
      <c r="AB6" s="419"/>
      <c r="AC6" s="419"/>
      <c r="AD6" s="419"/>
      <c r="AE6" s="419"/>
      <c r="AF6" s="419"/>
    </row>
    <row r="7" spans="1:32" ht="15.75" x14ac:dyDescent="0.25">
      <c r="A7" s="420" t="s">
        <v>1417</v>
      </c>
      <c r="B7" s="508"/>
      <c r="C7" s="508"/>
      <c r="D7" s="508"/>
      <c r="E7" s="508"/>
      <c r="F7" s="508"/>
      <c r="G7" s="508"/>
      <c r="H7" s="508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62"/>
      <c r="Y7" s="510" t="str">
        <f>IF('Данные объект'!B8="","",'Данные объект'!B8)</f>
      </c>
      <c r="Z7" s="510"/>
      <c r="AA7" s="510"/>
      <c r="AB7" s="510"/>
      <c r="AC7" s="510"/>
      <c r="AD7" s="510"/>
      <c r="AE7" s="510"/>
      <c r="AF7" s="510"/>
    </row>
    <row r="8" spans="1:32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</row>
    <row r="9" spans="1:32" ht="15.75" x14ac:dyDescent="0.25">
      <c r="A9" s="420" t="s">
        <v>1419</v>
      </c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23"/>
      <c r="P9" s="423"/>
      <c r="Q9" s="423"/>
      <c r="R9" s="423"/>
      <c r="S9" s="423"/>
      <c r="T9" s="423"/>
      <c r="U9" s="423"/>
      <c r="V9" s="423"/>
      <c r="W9" s="423"/>
      <c r="X9" s="423"/>
      <c r="Y9" s="423"/>
      <c r="Z9" s="423"/>
      <c r="AA9" s="423"/>
      <c r="AB9" s="423"/>
      <c r="AC9" s="423"/>
      <c r="AD9" s="423"/>
      <c r="AE9" s="423"/>
      <c r="AF9" s="423"/>
    </row>
    <row r="10" spans="1:32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</row>
    <row r="11" spans="1:32" ht="21" customHeight="1" x14ac:dyDescent="0.25">
      <c r="A11" s="509"/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</row>
    <row r="12" spans="1:32" ht="23.25" customHeight="1" x14ac:dyDescent="0.2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</row>
    <row r="13" spans="1:32" x14ac:dyDescent="0.2">
      <c r="A13" s="513" t="s">
        <v>1420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</row>
    <row r="14" spans="1:32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24"/>
      <c r="AB14" s="424"/>
      <c r="AC14" s="424"/>
      <c r="AD14" s="424"/>
      <c r="AE14" s="424"/>
      <c r="AF14" s="424"/>
    </row>
    <row r="15" spans="1:32" ht="18" customHeight="1" x14ac:dyDescent="0.25">
      <c r="A15" s="514" t="s">
        <v>1461</v>
      </c>
      <c r="B15" s="514"/>
      <c r="C15" s="514"/>
      <c r="D15" s="514"/>
      <c r="E15" s="514"/>
      <c r="F15" s="514"/>
      <c r="G15" s="42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420" t="s">
        <v>1422</v>
      </c>
      <c r="T15" s="421" t="s">
        <v>1418</v>
      </c>
      <c r="U15" s="509">
        <v>27</v>
      </c>
      <c r="V15" s="509"/>
      <c r="W15" s="418" t="s">
        <v>1418</v>
      </c>
      <c r="X15" s="509" t="s">
        <v>1521</v>
      </c>
      <c r="Y15" s="509"/>
      <c r="Z15" s="509"/>
      <c r="AA15" s="509"/>
      <c r="AB15" s="509"/>
      <c r="AC15" s="509"/>
      <c r="AD15" s="509"/>
      <c r="AE15" s="420">
        <v>20</v>
      </c>
      <c r="AF15" s="422">
        <v>26</v>
      </c>
    </row>
    <row r="16" spans="1:32" x14ac:dyDescent="0.2">
      <c r="A16" s="426"/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</row>
    <row r="17" spans="1:32" ht="19.5" customHeight="1" x14ac:dyDescent="0.25">
      <c r="A17" s="427" t="s">
        <v>13</v>
      </c>
      <c r="B17" s="516">
        <v>197</v>
      </c>
      <c r="C17" s="516"/>
      <c r="D17" s="516"/>
      <c r="E17" s="516"/>
      <c r="F17" s="51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</row>
    <row r="18" spans="1:32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</row>
    <row r="19" spans="1:32" ht="15.75" x14ac:dyDescent="0.25">
      <c r="A19" s="420" t="s">
        <v>1402</v>
      </c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25"/>
      <c r="R19" s="425"/>
      <c r="S19" s="425"/>
      <c r="T19" s="425"/>
      <c r="U19" s="425"/>
      <c r="V19" s="425"/>
      <c r="W19" s="425"/>
      <c r="X19" s="425"/>
      <c r="Y19" s="425"/>
      <c r="Z19" s="425"/>
      <c r="AA19" s="425"/>
      <c r="AB19" s="425"/>
      <c r="AC19" s="425"/>
      <c r="AD19" s="425"/>
      <c r="AE19" s="425"/>
      <c r="AF19" s="425"/>
    </row>
    <row r="20" spans="1:32" ht="12" customHeight="1" x14ac:dyDescent="0.2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</row>
    <row r="21" spans="1:32" ht="15.75" hidden="1" x14ac:dyDescent="0.2">
      <c r="A21" s="429" t="s">
        <v>1423</v>
      </c>
      <c r="B21" s="425"/>
      <c r="C21" s="425"/>
      <c r="D21" s="425"/>
      <c r="E21" s="425"/>
      <c r="F21" s="425"/>
      <c r="G21" s="425"/>
      <c r="H21" s="425"/>
      <c r="I21" s="425"/>
      <c r="J21" s="425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</row>
    <row r="22" spans="1:32" ht="21.75" hidden="1" customHeight="1" x14ac:dyDescent="0.25">
      <c r="A22" s="509"/>
      <c r="B22" s="509"/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</row>
    <row r="23" spans="1:32" ht="18.75" hidden="1" customHeight="1" x14ac:dyDescent="0.2">
      <c r="A23" s="517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  <c r="T23" s="517"/>
      <c r="U23" s="517"/>
      <c r="V23" s="517"/>
      <c r="W23" s="517"/>
      <c r="X23" s="517"/>
      <c r="Y23" s="517"/>
      <c r="Z23" s="517"/>
      <c r="AA23" s="517"/>
      <c r="AB23" s="517"/>
      <c r="AC23" s="517"/>
      <c r="AD23" s="517"/>
      <c r="AE23" s="517"/>
      <c r="AF23" s="517"/>
    </row>
    <row r="24" spans="1:32" hidden="1" x14ac:dyDescent="0.2">
      <c r="A24" s="511" t="s">
        <v>1403</v>
      </c>
      <c r="B24" s="511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  <c r="AB24" s="511"/>
      <c r="AC24" s="511"/>
      <c r="AD24" s="511"/>
      <c r="AE24" s="511"/>
      <c r="AF24" s="511"/>
    </row>
    <row r="25" spans="1:32" ht="9.75" customHeight="1" x14ac:dyDescent="0.2">
      <c r="A25" s="412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</row>
    <row r="26" spans="1:32" ht="15.75" customHeight="1" x14ac:dyDescent="0.25">
      <c r="A26" s="430" t="s">
        <v>1424</v>
      </c>
      <c r="B26" s="424"/>
      <c r="C26" s="424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</row>
    <row r="27" spans="1:32" ht="14.25" customHeight="1" x14ac:dyDescent="0.25">
      <c r="A27" s="430" t="s">
        <v>1412</v>
      </c>
      <c r="B27" s="418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</row>
    <row r="28" spans="1:32" ht="19.5" customHeight="1" x14ac:dyDescent="0.25">
      <c r="A28" s="509"/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</row>
    <row r="29" spans="1:32" x14ac:dyDescent="0.2">
      <c r="A29" s="511" t="s">
        <v>1403</v>
      </c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</row>
    <row r="30" spans="1:32" ht="15" customHeight="1" x14ac:dyDescent="0.2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517"/>
      <c r="Z30" s="517"/>
      <c r="AA30" s="517"/>
      <c r="AB30" s="517"/>
      <c r="AC30" s="517"/>
      <c r="AD30" s="517"/>
      <c r="AE30" s="517"/>
      <c r="AF30" s="517"/>
    </row>
    <row r="31" spans="1:32" x14ac:dyDescent="0.2">
      <c r="A31" s="511" t="s">
        <v>1403</v>
      </c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</row>
    <row r="32" spans="1:32" ht="6.75" customHeight="1" x14ac:dyDescent="0.2">
      <c r="A32" s="418"/>
      <c r="B32" s="418"/>
      <c r="C32" s="418"/>
      <c r="D32" s="418"/>
      <c r="E32" s="418"/>
      <c r="F32" s="418"/>
      <c r="G32" s="418"/>
      <c r="H32" s="418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</row>
    <row r="33" spans="1:32" ht="15.75" x14ac:dyDescent="0.25">
      <c r="A33" s="430" t="s">
        <v>1425</v>
      </c>
      <c r="B33" s="425"/>
      <c r="C33" s="425"/>
      <c r="D33" s="425"/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</row>
    <row r="34" spans="1:32" ht="19.5" customHeight="1" x14ac:dyDescent="0.25">
      <c r="A34" s="509" t="str">
        <f>IF('Данные организации'!A40="","",'Данные организации'!A40)</f>
      </c>
      <c r="B34" s="509"/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  <c r="Z34" s="509"/>
      <c r="AA34" s="509"/>
      <c r="AB34" s="509"/>
      <c r="AC34" s="509"/>
      <c r="AD34" s="509"/>
      <c r="AE34" s="509"/>
      <c r="AF34" s="509"/>
    </row>
    <row r="35" spans="1:32" x14ac:dyDescent="0.2">
      <c r="A35" s="511" t="s">
        <v>1403</v>
      </c>
      <c r="B35" s="511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  <c r="AC35" s="511"/>
      <c r="AD35" s="511"/>
      <c r="AE35" s="511"/>
      <c r="AF35" s="511"/>
    </row>
    <row r="36" spans="1:32" x14ac:dyDescent="0.2">
      <c r="A36" s="425"/>
      <c r="B36" s="425"/>
      <c r="C36" s="425"/>
      <c r="D36" s="425"/>
      <c r="E36" s="425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  <c r="V36" s="425"/>
      <c r="W36" s="425"/>
      <c r="X36" s="425"/>
      <c r="Y36" s="425"/>
      <c r="Z36" s="425"/>
      <c r="AA36" s="425"/>
      <c r="AB36" s="425"/>
      <c r="AC36" s="425"/>
      <c r="AD36" s="425"/>
      <c r="AE36" s="425"/>
      <c r="AF36" s="425"/>
    </row>
    <row r="37" spans="1:32" ht="15.75" x14ac:dyDescent="0.25">
      <c r="A37" s="430" t="s">
        <v>1407</v>
      </c>
      <c r="B37" s="425"/>
      <c r="C37" s="425"/>
      <c r="D37" s="425"/>
      <c r="E37" s="425"/>
      <c r="F37" s="425"/>
      <c r="G37" s="425"/>
      <c r="H37" s="425"/>
      <c r="I37" s="425"/>
      <c r="J37" s="425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</row>
    <row r="38" spans="1:32" ht="18" customHeight="1" x14ac:dyDescent="0.25">
      <c r="A38" s="509" t="s">
        <v>100</v>
      </c>
      <c r="B38" s="509"/>
      <c r="C38" s="509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</row>
    <row r="39" spans="1:32" ht="20.25" customHeight="1" x14ac:dyDescent="0.2">
      <c r="A39" s="517"/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517"/>
      <c r="V39" s="517"/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</row>
    <row r="40" spans="1:32" x14ac:dyDescent="0.2">
      <c r="A40" s="511" t="s">
        <v>1403</v>
      </c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</row>
    <row r="41" spans="1:32" ht="13.5" x14ac:dyDescent="0.2">
      <c r="A41" s="431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25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</row>
    <row r="42" spans="1:32" ht="15.75" x14ac:dyDescent="0.25">
      <c r="A42" s="430" t="s">
        <v>1426</v>
      </c>
      <c r="B42" s="425"/>
      <c r="C42" s="425"/>
      <c r="D42" s="425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</row>
    <row r="43" spans="1:32" ht="18" customHeight="1" x14ac:dyDescent="0.25">
      <c r="A43" s="509"/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</row>
    <row r="44" spans="1:32" ht="18" customHeight="1" x14ac:dyDescent="0.25">
      <c r="A44" s="509"/>
      <c r="B44" s="509"/>
      <c r="C44" s="509"/>
      <c r="D44" s="509"/>
      <c r="E44" s="509"/>
      <c r="F44" s="509"/>
      <c r="G44" s="509"/>
      <c r="H44" s="509"/>
      <c r="I44" s="509"/>
      <c r="J44" s="509"/>
      <c r="K44" s="509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</row>
    <row r="45" spans="1:32" x14ac:dyDescent="0.2">
      <c r="A45" s="511" t="s">
        <v>1403</v>
      </c>
      <c r="B45" s="511"/>
      <c r="C45" s="511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</row>
    <row r="46" spans="1:32" x14ac:dyDescent="0.2">
      <c r="A46" s="412"/>
      <c r="B46" s="412"/>
      <c r="C46" s="412"/>
      <c r="D46" s="412"/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412"/>
      <c r="AD46" s="412"/>
      <c r="AE46" s="412"/>
      <c r="AF46" s="412"/>
    </row>
    <row r="47" spans="1:32" ht="15.75" x14ac:dyDescent="0.25">
      <c r="A47" s="430" t="s">
        <v>1427</v>
      </c>
      <c r="B47" s="425"/>
      <c r="C47" s="425"/>
      <c r="D47" s="425"/>
      <c r="E47" s="425"/>
      <c r="F47" s="425"/>
      <c r="G47" s="425"/>
      <c r="H47" s="425"/>
      <c r="I47" s="425"/>
      <c r="J47" s="425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</row>
    <row r="48" spans="1:32" ht="16.5" customHeight="1" x14ac:dyDescent="0.25">
      <c r="A48" s="509"/>
      <c r="B48" s="509"/>
      <c r="C48" s="509"/>
      <c r="D48" s="509"/>
      <c r="E48" s="509"/>
      <c r="F48" s="509"/>
      <c r="G48" s="509"/>
      <c r="H48" s="509"/>
      <c r="I48" s="509"/>
      <c r="J48" s="509"/>
      <c r="K48" s="509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</row>
    <row r="49" spans="1:32" ht="14.25" customHeight="1" x14ac:dyDescent="0.2">
      <c r="A49" s="517"/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  <c r="AA49" s="517"/>
      <c r="AB49" s="517"/>
      <c r="AC49" s="517"/>
      <c r="AD49" s="517"/>
      <c r="AE49" s="517"/>
      <c r="AF49" s="517"/>
    </row>
    <row r="50" spans="1:32" x14ac:dyDescent="0.2">
      <c r="A50" s="511" t="s">
        <v>1403</v>
      </c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</row>
    <row r="51" spans="1:32" ht="9.75" customHeight="1" x14ac:dyDescent="0.2">
      <c r="A51" s="412"/>
      <c r="B51" s="412"/>
      <c r="C51" s="412"/>
      <c r="D51" s="412"/>
      <c r="E51" s="425"/>
      <c r="F51" s="425"/>
      <c r="G51" s="425"/>
      <c r="H51" s="425"/>
      <c r="I51" s="425"/>
      <c r="J51" s="425"/>
      <c r="K51" s="425"/>
      <c r="L51" s="425"/>
      <c r="M51" s="425"/>
      <c r="N51" s="425"/>
      <c r="O51" s="425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</row>
    <row r="52" spans="1:32" ht="5.25" customHeight="1" x14ac:dyDescent="0.2">
      <c r="A52" s="412"/>
      <c r="B52" s="412"/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412"/>
      <c r="AD52" s="412"/>
      <c r="AE52" s="412"/>
      <c r="AF52" s="412"/>
    </row>
    <row r="53" spans="1:32" ht="16.5" customHeight="1" x14ac:dyDescent="0.25">
      <c r="A53" s="430" t="s">
        <v>1428</v>
      </c>
      <c r="B53" s="425"/>
      <c r="C53" s="425"/>
      <c r="D53" s="425"/>
      <c r="E53" s="425"/>
      <c r="F53" s="425"/>
      <c r="G53" s="425"/>
      <c r="H53" s="425"/>
      <c r="I53" s="425"/>
      <c r="J53" s="425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</row>
    <row r="54" spans="1:32" ht="14.25" customHeight="1" x14ac:dyDescent="0.25">
      <c r="A54" s="519" t="s">
        <v>101</v>
      </c>
      <c r="B54" s="519"/>
      <c r="C54" s="519"/>
      <c r="D54" s="519"/>
      <c r="E54" s="519"/>
      <c r="F54" s="519"/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</row>
    <row r="55" spans="1:32" ht="12.75" customHeight="1" x14ac:dyDescent="0.25">
      <c r="A55" s="519" t="s">
        <v>101</v>
      </c>
      <c r="B55" s="519"/>
      <c r="C55" s="519"/>
      <c r="D55" s="519"/>
      <c r="E55" s="519"/>
      <c r="F55" s="519"/>
      <c r="G55" s="519"/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</row>
    <row r="56" spans="1:32" x14ac:dyDescent="0.2">
      <c r="A56" s="511" t="s">
        <v>1403</v>
      </c>
      <c r="B56" s="511"/>
      <c r="C56" s="511"/>
      <c r="D56" s="511"/>
      <c r="E56" s="511"/>
      <c r="F56" s="511"/>
      <c r="G56" s="511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  <c r="AB56" s="511"/>
      <c r="AC56" s="511"/>
      <c r="AD56" s="511"/>
      <c r="AE56" s="511"/>
      <c r="AF56" s="511"/>
    </row>
    <row r="57" spans="1:32" ht="8.25" customHeight="1" x14ac:dyDescent="0.2">
      <c r="A57" s="433"/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</row>
    <row r="58" spans="1:32" ht="17.25" customHeight="1" x14ac:dyDescent="0.25">
      <c r="A58" s="430" t="s">
        <v>1429</v>
      </c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25"/>
    </row>
    <row r="59" spans="1:32" ht="13.5" customHeight="1" x14ac:dyDescent="0.25">
      <c r="A59" s="519" t="s">
        <v>101</v>
      </c>
      <c r="B59" s="519"/>
      <c r="C59" s="519"/>
      <c r="D59" s="519"/>
      <c r="E59" s="519"/>
      <c r="F59" s="519"/>
      <c r="G59" s="519"/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19"/>
      <c r="AB59" s="519"/>
      <c r="AC59" s="519"/>
      <c r="AD59" s="519"/>
      <c r="AE59" s="519"/>
      <c r="AF59" s="519"/>
    </row>
    <row r="60" spans="1:32" x14ac:dyDescent="0.2">
      <c r="A60" s="511" t="s">
        <v>1403</v>
      </c>
      <c r="B60" s="511"/>
      <c r="C60" s="511"/>
      <c r="D60" s="511"/>
      <c r="E60" s="511"/>
      <c r="F60" s="511"/>
      <c r="G60" s="511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1"/>
      <c r="AB60" s="511"/>
      <c r="AC60" s="511"/>
      <c r="AD60" s="511"/>
      <c r="AE60" s="511"/>
      <c r="AF60" s="511"/>
    </row>
    <row r="61" spans="1:32" ht="3.75" customHeight="1" x14ac:dyDescent="0.2">
      <c r="A61" s="433"/>
      <c r="B61" s="433"/>
      <c r="C61" s="433"/>
      <c r="D61" s="433"/>
      <c r="E61" s="433"/>
      <c r="F61" s="433"/>
      <c r="G61" s="433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412"/>
      <c r="AD61" s="412"/>
      <c r="AE61" s="412"/>
      <c r="AF61" s="412"/>
    </row>
    <row r="62" spans="1:32" ht="15.75" x14ac:dyDescent="0.25">
      <c r="A62" s="434" t="s">
        <v>1404</v>
      </c>
      <c r="B62" s="433"/>
      <c r="C62" s="433"/>
      <c r="D62" s="433"/>
      <c r="E62" s="433"/>
      <c r="F62" s="433"/>
      <c r="G62" s="433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412"/>
      <c r="AD62" s="412"/>
      <c r="AE62" s="412"/>
      <c r="AF62" s="412"/>
    </row>
    <row r="63" spans="1:32" ht="9" customHeight="1" x14ac:dyDescent="0.2">
      <c r="A63" s="435"/>
      <c r="B63" s="435"/>
      <c r="C63" s="435"/>
      <c r="D63" s="435"/>
      <c r="E63" s="435"/>
      <c r="F63" s="435"/>
      <c r="G63" s="435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</row>
    <row r="64" spans="1:32" ht="14.25" customHeight="1" x14ac:dyDescent="0.25">
      <c r="A64" s="430" t="s">
        <v>1430</v>
      </c>
      <c r="B64" s="436"/>
      <c r="C64" s="425"/>
      <c r="D64" s="425"/>
      <c r="E64" s="425"/>
      <c r="F64" s="425"/>
      <c r="G64" s="425"/>
      <c r="H64" s="425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</row>
    <row r="65" spans="1:33" ht="19.5" customHeight="1" x14ac:dyDescent="0.3">
      <c r="A65" s="520"/>
      <c r="B65" s="520"/>
      <c r="C65" s="520"/>
      <c r="D65" s="520"/>
      <c r="E65" s="520"/>
      <c r="F65" s="520"/>
      <c r="G65" s="520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0"/>
      <c r="AB65" s="520"/>
      <c r="AC65" s="520"/>
      <c r="AD65" s="520"/>
      <c r="AE65" s="520"/>
      <c r="AF65" s="520"/>
      <c r="AG65" s="437"/>
    </row>
    <row r="66" spans="1:33" ht="78" customHeight="1" x14ac:dyDescent="0.3">
      <c r="A66" s="520"/>
      <c r="B66" s="520"/>
      <c r="C66" s="520"/>
      <c r="D66" s="520"/>
      <c r="E66" s="520"/>
      <c r="F66" s="520"/>
      <c r="G66" s="520"/>
      <c r="H66" s="520"/>
      <c r="I66" s="520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0"/>
      <c r="AD66" s="520"/>
      <c r="AE66" s="520"/>
      <c r="AF66" s="520"/>
      <c r="AG66" s="437"/>
    </row>
    <row r="67" spans="1:33" ht="19.5" hidden="1" customHeight="1" x14ac:dyDescent="0.3">
      <c r="A67" s="520"/>
      <c r="B67" s="520"/>
      <c r="C67" s="520"/>
      <c r="D67" s="520"/>
      <c r="E67" s="520"/>
      <c r="F67" s="520"/>
      <c r="G67" s="520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0"/>
      <c r="AB67" s="520"/>
      <c r="AC67" s="520"/>
      <c r="AD67" s="520"/>
      <c r="AE67" s="520"/>
      <c r="AF67" s="520"/>
      <c r="AG67" s="437"/>
    </row>
    <row r="68" spans="1:33" ht="19.5" hidden="1" customHeight="1" x14ac:dyDescent="0.3">
      <c r="A68" s="520"/>
      <c r="B68" s="520"/>
      <c r="C68" s="520"/>
      <c r="D68" s="520"/>
      <c r="E68" s="520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0"/>
      <c r="AB68" s="520"/>
      <c r="AC68" s="520"/>
      <c r="AD68" s="520"/>
      <c r="AE68" s="520"/>
      <c r="AF68" s="520"/>
      <c r="AG68" s="437"/>
    </row>
    <row r="69" spans="1:33" ht="6.75" hidden="1" customHeight="1" x14ac:dyDescent="0.3">
      <c r="A69" s="521"/>
      <c r="B69" s="521"/>
      <c r="C69" s="521"/>
      <c r="D69" s="521"/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1"/>
      <c r="AB69" s="521"/>
      <c r="AC69" s="521"/>
      <c r="AD69" s="521"/>
      <c r="AE69" s="521"/>
      <c r="AF69" s="521"/>
      <c r="AG69" s="437"/>
    </row>
    <row r="70" spans="1:33" ht="15" customHeight="1" x14ac:dyDescent="0.3">
      <c r="A70" s="511" t="s">
        <v>1431</v>
      </c>
      <c r="B70" s="511"/>
      <c r="C70" s="511"/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1"/>
      <c r="AB70" s="511"/>
      <c r="AC70" s="511"/>
      <c r="AD70" s="511"/>
      <c r="AE70" s="511"/>
      <c r="AF70" s="511"/>
      <c r="AG70" s="437"/>
    </row>
    <row r="71" spans="1:33" ht="8.25" customHeight="1" x14ac:dyDescent="0.3">
      <c r="A71" s="435"/>
      <c r="B71" s="435"/>
      <c r="C71" s="435"/>
      <c r="D71" s="435"/>
      <c r="E71" s="435"/>
      <c r="F71" s="435"/>
      <c r="G71" s="435"/>
      <c r="H71" s="412"/>
      <c r="I71" s="412"/>
      <c r="J71" s="412"/>
      <c r="K71" s="412"/>
      <c r="L71" s="412"/>
      <c r="M71" s="412"/>
      <c r="N71" s="412"/>
      <c r="O71" s="412"/>
      <c r="P71" s="412"/>
      <c r="Q71" s="412"/>
      <c r="R71" s="418"/>
      <c r="S71" s="418"/>
      <c r="T71" s="418"/>
      <c r="U71" s="418"/>
      <c r="V71" s="418"/>
      <c r="W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37"/>
    </row>
    <row r="72" spans="1:33" ht="15.75" x14ac:dyDescent="0.25">
      <c r="A72" s="430" t="s">
        <v>1432</v>
      </c>
      <c r="B72" s="425"/>
      <c r="C72" s="425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5"/>
      <c r="Q72" s="425"/>
      <c r="R72" s="425"/>
      <c r="S72" s="425"/>
      <c r="T72" s="425"/>
      <c r="U72" s="425"/>
      <c r="V72" s="425"/>
      <c r="W72" s="425"/>
      <c r="X72" s="425"/>
      <c r="Y72" s="425"/>
      <c r="Z72" s="425"/>
      <c r="AA72" s="425"/>
      <c r="AB72" s="425"/>
      <c r="AC72" s="425"/>
      <c r="AD72" s="425"/>
      <c r="AE72" s="425"/>
      <c r="AF72" s="425"/>
      <c r="AG72" s="438"/>
    </row>
    <row r="73" spans="1:33" ht="14.25" customHeight="1" x14ac:dyDescent="0.25">
      <c r="A73" s="522" t="str">
        <f>IF('Данные объект'!B5="","",'Данные объект'!B5)</f>
      </c>
      <c r="B73" s="522"/>
      <c r="C73" s="522"/>
      <c r="D73" s="522"/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2"/>
      <c r="AB73" s="522"/>
      <c r="AC73" s="522"/>
      <c r="AD73" s="522"/>
      <c r="AE73" s="522"/>
      <c r="AF73" s="522"/>
      <c r="AG73" s="438"/>
    </row>
    <row r="74" spans="1:33" ht="13.5" customHeight="1" x14ac:dyDescent="0.2">
      <c r="A74" s="511" t="s">
        <v>1433</v>
      </c>
      <c r="B74" s="511"/>
      <c r="C74" s="511"/>
      <c r="D74" s="511"/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1"/>
      <c r="AB74" s="511"/>
      <c r="AC74" s="511"/>
      <c r="AD74" s="511"/>
      <c r="AE74" s="511"/>
      <c r="AF74" s="511"/>
    </row>
    <row r="75" spans="1:33" ht="13.5" customHeight="1" x14ac:dyDescent="0.2">
      <c r="A75" s="433"/>
      <c r="B75" s="433"/>
      <c r="C75" s="433"/>
      <c r="D75" s="433"/>
      <c r="E75" s="433"/>
      <c r="F75" s="433"/>
      <c r="G75" s="433"/>
      <c r="H75" s="433"/>
      <c r="I75" s="433"/>
      <c r="J75" s="433"/>
      <c r="K75" s="433"/>
      <c r="L75" s="433"/>
      <c r="M75" s="433"/>
      <c r="N75" s="433"/>
      <c r="O75" s="433"/>
      <c r="P75" s="433"/>
      <c r="Q75" s="433"/>
      <c r="R75" s="433"/>
      <c r="S75" s="433"/>
      <c r="T75" s="433"/>
      <c r="U75" s="433"/>
      <c r="V75" s="433"/>
      <c r="W75" s="433"/>
      <c r="X75" s="433"/>
      <c r="Y75" s="433"/>
      <c r="Z75" s="433"/>
      <c r="AA75" s="433"/>
      <c r="AB75" s="433"/>
      <c r="AC75" s="433"/>
      <c r="AD75" s="433"/>
      <c r="AE75" s="433"/>
      <c r="AF75" s="433"/>
    </row>
    <row r="76" spans="1:33" ht="13.5" customHeight="1" x14ac:dyDescent="0.25">
      <c r="A76" s="430" t="s">
        <v>1434</v>
      </c>
      <c r="B76" s="425"/>
      <c r="C76" s="425"/>
      <c r="D76" s="425"/>
      <c r="E76" s="425"/>
      <c r="F76" s="425"/>
      <c r="G76" s="425"/>
      <c r="H76" s="425"/>
      <c r="I76" s="425"/>
      <c r="J76" s="425"/>
      <c r="K76" s="425"/>
      <c r="L76" s="425"/>
      <c r="M76" s="425"/>
      <c r="N76" s="425"/>
      <c r="O76" s="425"/>
      <c r="P76" s="425"/>
      <c r="Q76" s="425"/>
      <c r="R76" s="425"/>
      <c r="S76" s="425"/>
      <c r="T76" s="425"/>
      <c r="U76" s="425"/>
      <c r="V76" s="425"/>
      <c r="W76" s="425"/>
      <c r="X76" s="425"/>
      <c r="Y76" s="425"/>
      <c r="Z76" s="425"/>
      <c r="AA76" s="425"/>
      <c r="AB76" s="425"/>
      <c r="AC76" s="425"/>
      <c r="AD76" s="425"/>
      <c r="AE76" s="425"/>
      <c r="AF76" s="425"/>
    </row>
    <row r="77" spans="1:33" ht="60" customHeight="1" x14ac:dyDescent="0.2">
      <c r="A77" s="523" t="str">
        <f>IF('Данные объект'!B3="","",'Данные объект'!B3)</f>
      </c>
      <c r="B77" s="523"/>
      <c r="C77" s="523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  <c r="AB77" s="523"/>
      <c r="AC77" s="523"/>
      <c r="AD77" s="523"/>
      <c r="AE77" s="523"/>
      <c r="AF77" s="523"/>
    </row>
    <row r="78" spans="1:33" ht="13.5" customHeight="1" x14ac:dyDescent="0.2">
      <c r="A78" s="518" t="s">
        <v>1433</v>
      </c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</row>
    <row r="79" spans="1:33" ht="26.25" customHeight="1" x14ac:dyDescent="0.2">
      <c r="A79" s="426"/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39"/>
      <c r="T79" s="439"/>
      <c r="U79" s="439"/>
      <c r="V79" s="439"/>
      <c r="W79" s="439"/>
      <c r="X79" s="439"/>
      <c r="Y79" s="439"/>
      <c r="Z79" s="439"/>
      <c r="AA79" s="439"/>
      <c r="AB79" s="439"/>
      <c r="AC79" s="439"/>
      <c r="AD79" s="439"/>
      <c r="AE79" s="439"/>
      <c r="AF79" s="439"/>
    </row>
    <row r="80" spans="1:33" ht="13.5" customHeight="1" x14ac:dyDescent="0.25">
      <c r="A80" s="430" t="s">
        <v>1435</v>
      </c>
      <c r="B80" s="426"/>
      <c r="C80" s="426"/>
      <c r="D80" s="426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39"/>
      <c r="T80" s="439"/>
      <c r="U80" s="439"/>
      <c r="V80" s="439"/>
      <c r="W80" s="439"/>
      <c r="X80" s="439"/>
      <c r="Y80" s="439"/>
      <c r="Z80" s="439"/>
      <c r="AA80" s="439"/>
      <c r="AB80" s="439"/>
      <c r="AC80" s="439"/>
      <c r="AD80" s="439"/>
      <c r="AE80" s="439"/>
      <c r="AF80" s="439"/>
    </row>
    <row r="81" spans="1:32" ht="16.5" customHeight="1" x14ac:dyDescent="0.2">
      <c r="A81" s="426"/>
      <c r="B81" s="426"/>
      <c r="C81" s="426"/>
      <c r="D81" s="426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39"/>
      <c r="T81" s="439"/>
      <c r="U81" s="439"/>
      <c r="V81" s="439"/>
      <c r="W81" s="439"/>
      <c r="X81" s="439"/>
      <c r="Y81" s="439"/>
      <c r="Z81" s="439"/>
      <c r="AA81" s="439"/>
      <c r="AB81" s="439"/>
      <c r="AC81" s="439"/>
      <c r="AD81" s="439"/>
      <c r="AE81" s="439"/>
      <c r="AF81" s="439"/>
    </row>
    <row r="82" spans="1:32" ht="13.5" customHeight="1" x14ac:dyDescent="0.25">
      <c r="A82" s="430" t="s">
        <v>1436</v>
      </c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62"/>
      <c r="W82" s="463"/>
      <c r="X82" s="464"/>
      <c r="Y82" s="510" t="str">
        <f>IF('Данные объект'!B8="","",'Данные объект'!B8)</f>
      </c>
      <c r="Z82" s="510"/>
      <c r="AA82" s="510"/>
      <c r="AB82" s="510"/>
      <c r="AC82" s="510"/>
      <c r="AD82" s="510"/>
      <c r="AE82" s="510"/>
      <c r="AF82" s="510"/>
    </row>
    <row r="83" spans="1:32" ht="13.5" customHeight="1" x14ac:dyDescent="0.2">
      <c r="A83" s="426"/>
      <c r="B83" s="426"/>
      <c r="C83" s="426"/>
      <c r="D83" s="426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39"/>
      <c r="T83" s="439"/>
      <c r="U83" s="439"/>
      <c r="V83" s="439"/>
      <c r="W83" s="439"/>
      <c r="X83" s="439"/>
      <c r="Y83" s="439"/>
      <c r="Z83" s="439"/>
      <c r="AA83" s="439"/>
      <c r="AB83" s="439"/>
      <c r="AC83" s="439"/>
      <c r="AD83" s="439"/>
      <c r="AE83" s="439"/>
      <c r="AF83" s="439"/>
    </row>
    <row r="84" spans="1:32" ht="18" customHeight="1" x14ac:dyDescent="0.25">
      <c r="A84" s="440" t="s">
        <v>950</v>
      </c>
      <c r="B84" s="462"/>
      <c r="C84" s="525">
        <f>IF(Y82="","",Y82+3)</f>
      </c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427"/>
      <c r="O84" s="427"/>
      <c r="P84" s="430" t="s">
        <v>1437</v>
      </c>
      <c r="Q84" s="426"/>
      <c r="R84" s="426"/>
      <c r="S84" s="439"/>
      <c r="T84" s="524">
        <v>72</v>
      </c>
      <c r="U84" s="524"/>
      <c r="V84" s="524"/>
      <c r="W84" s="524"/>
      <c r="X84" s="524"/>
      <c r="Y84" s="430" t="s">
        <v>1438</v>
      </c>
      <c r="Z84" s="439"/>
      <c r="AA84" s="439"/>
      <c r="AB84" s="439"/>
      <c r="AC84" s="439"/>
      <c r="AD84" s="439"/>
      <c r="AE84" s="439"/>
      <c r="AF84" s="439"/>
    </row>
    <row r="85" spans="1:32" ht="13.5" customHeight="1" x14ac:dyDescent="0.2">
      <c r="A85" s="426"/>
      <c r="B85" s="426"/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39"/>
      <c r="T85" s="439"/>
      <c r="U85" s="439"/>
      <c r="V85" s="439"/>
      <c r="W85" s="439"/>
      <c r="X85" s="439"/>
      <c r="Y85" s="439"/>
      <c r="Z85" s="439"/>
      <c r="AA85" s="439"/>
      <c r="AB85" s="439"/>
      <c r="AC85" s="439"/>
      <c r="AD85" s="439"/>
      <c r="AE85" s="439"/>
      <c r="AF85" s="439"/>
    </row>
    <row r="86" spans="1:32" ht="27.75" customHeight="1" x14ac:dyDescent="0.25">
      <c r="A86" s="430" t="s">
        <v>1439</v>
      </c>
      <c r="B86" s="426"/>
      <c r="C86" s="426"/>
      <c r="D86" s="426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39"/>
      <c r="T86" s="439"/>
      <c r="U86" s="439"/>
      <c r="V86" s="439"/>
      <c r="W86" s="439"/>
      <c r="X86" s="439"/>
      <c r="Y86" s="439"/>
      <c r="Z86" s="439"/>
      <c r="AA86" s="439"/>
      <c r="AB86" s="439"/>
      <c r="AC86" s="439"/>
      <c r="AD86" s="439"/>
      <c r="AE86" s="439"/>
      <c r="AF86" s="439"/>
    </row>
    <row r="87" spans="1:32" ht="13.5" customHeight="1" x14ac:dyDescent="0.2">
      <c r="A87" s="426"/>
      <c r="B87" s="426"/>
      <c r="C87" s="426"/>
      <c r="D87" s="426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39"/>
      <c r="T87" s="439"/>
      <c r="U87" s="439"/>
      <c r="V87" s="439"/>
      <c r="W87" s="439"/>
      <c r="X87" s="439"/>
      <c r="Y87" s="439"/>
      <c r="Z87" s="439"/>
      <c r="AA87" s="439"/>
      <c r="AB87" s="439"/>
      <c r="AC87" s="439"/>
      <c r="AD87" s="439"/>
      <c r="AE87" s="439"/>
      <c r="AF87" s="439"/>
    </row>
    <row r="88" spans="1:32" ht="13.5" customHeight="1" x14ac:dyDescent="0.25">
      <c r="A88" s="430" t="s">
        <v>1440</v>
      </c>
      <c r="B88" s="426"/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39"/>
      <c r="T88" s="439"/>
      <c r="U88" s="439"/>
      <c r="V88" s="439"/>
      <c r="W88" s="439"/>
      <c r="X88" s="439"/>
      <c r="Y88" s="439"/>
      <c r="Z88" s="439"/>
      <c r="AA88" s="439"/>
      <c r="AB88" s="439"/>
      <c r="AC88" s="439"/>
      <c r="AD88" s="439"/>
      <c r="AE88" s="439"/>
      <c r="AF88" s="439"/>
    </row>
    <row r="89" spans="1:32" ht="13.5" customHeight="1" x14ac:dyDescent="0.2">
      <c r="A89" s="517"/>
      <c r="B89" s="517"/>
      <c r="C89" s="517"/>
      <c r="D89" s="517"/>
      <c r="E89" s="517"/>
      <c r="F89" s="517"/>
      <c r="G89" s="517"/>
      <c r="H89" s="517"/>
      <c r="I89" s="517"/>
      <c r="J89" s="517"/>
      <c r="K89" s="517"/>
      <c r="L89" s="517"/>
      <c r="M89" s="517"/>
      <c r="N89" s="517"/>
      <c r="O89" s="517"/>
      <c r="P89" s="517"/>
      <c r="Q89" s="517"/>
      <c r="R89" s="517"/>
      <c r="S89" s="517"/>
      <c r="T89" s="517"/>
      <c r="U89" s="517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</row>
    <row r="90" spans="1:32" ht="13.5" customHeight="1" x14ac:dyDescent="0.2">
      <c r="A90" s="511" t="s">
        <v>1441</v>
      </c>
      <c r="B90" s="511"/>
      <c r="C90" s="511"/>
      <c r="D90" s="511"/>
      <c r="E90" s="511"/>
      <c r="F90" s="511"/>
      <c r="G90" s="511"/>
      <c r="H90" s="511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511"/>
      <c r="AA90" s="511"/>
      <c r="AB90" s="511"/>
      <c r="AC90" s="511"/>
      <c r="AD90" s="511"/>
      <c r="AE90" s="511"/>
      <c r="AF90" s="511"/>
    </row>
    <row r="91" spans="1:32" ht="23.25" customHeight="1" x14ac:dyDescent="0.2">
      <c r="A91" s="426"/>
      <c r="B91" s="426"/>
      <c r="C91" s="426"/>
      <c r="D91" s="426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39"/>
      <c r="T91" s="439"/>
      <c r="U91" s="439"/>
      <c r="V91" s="439"/>
      <c r="W91" s="439"/>
      <c r="X91" s="439"/>
      <c r="Y91" s="439"/>
      <c r="Z91" s="439"/>
      <c r="AA91" s="439"/>
      <c r="AB91" s="439"/>
      <c r="AC91" s="439"/>
      <c r="AD91" s="439"/>
      <c r="AE91" s="439"/>
      <c r="AF91" s="439"/>
    </row>
    <row r="92" spans="1:32" ht="19.5" customHeight="1" x14ac:dyDescent="0.25">
      <c r="A92" s="430" t="s">
        <v>1442</v>
      </c>
      <c r="B92" s="426"/>
      <c r="C92" s="426"/>
      <c r="D92" s="426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39"/>
      <c r="T92" s="439"/>
      <c r="U92" s="439"/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</row>
    <row r="93" spans="1:32" ht="19.5" customHeight="1" x14ac:dyDescent="0.25">
      <c r="A93" s="430" t="s">
        <v>1443</v>
      </c>
      <c r="B93" s="426"/>
      <c r="C93" s="426"/>
      <c r="D93" s="426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39"/>
      <c r="T93" s="439"/>
      <c r="U93" s="439"/>
      <c r="V93" s="439"/>
      <c r="W93" s="439"/>
      <c r="X93" s="439"/>
      <c r="Y93" s="439"/>
      <c r="Z93" s="439"/>
      <c r="AA93" s="439"/>
      <c r="AB93" s="439"/>
      <c r="AC93" s="439"/>
      <c r="AD93" s="439"/>
      <c r="AE93" s="439"/>
      <c r="AF93" s="439"/>
    </row>
    <row r="94" spans="1:32" ht="19.5" customHeight="1" x14ac:dyDescent="0.25">
      <c r="A94" s="509" t="s">
        <v>100</v>
      </c>
      <c r="B94" s="509"/>
      <c r="C94" s="509"/>
      <c r="D94" s="509"/>
      <c r="E94" s="509"/>
      <c r="F94" s="509"/>
      <c r="G94" s="509"/>
      <c r="H94" s="509"/>
      <c r="I94" s="509"/>
      <c r="J94" s="509"/>
      <c r="K94" s="509"/>
      <c r="L94" s="509"/>
      <c r="M94" s="509"/>
      <c r="N94" s="509"/>
      <c r="O94" s="509"/>
      <c r="P94" s="509"/>
      <c r="Q94" s="509"/>
      <c r="R94" s="509"/>
      <c r="S94" s="509"/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</row>
    <row r="95" spans="1:32" ht="18" customHeight="1" x14ac:dyDescent="0.25">
      <c r="A95" s="526"/>
      <c r="B95" s="526"/>
      <c r="C95" s="526"/>
      <c r="D95" s="526"/>
      <c r="E95" s="526"/>
      <c r="F95" s="526"/>
      <c r="G95" s="526"/>
      <c r="H95" s="526"/>
      <c r="I95" s="526"/>
      <c r="J95" s="526"/>
      <c r="K95" s="526"/>
      <c r="L95" s="526"/>
      <c r="M95" s="526"/>
      <c r="N95" s="526"/>
      <c r="O95" s="526"/>
      <c r="P95" s="526"/>
      <c r="Q95" s="526"/>
      <c r="R95" s="526"/>
      <c r="S95" s="526"/>
      <c r="T95" s="526"/>
      <c r="U95" s="526"/>
      <c r="V95" s="526"/>
      <c r="W95" s="526"/>
      <c r="X95" s="526"/>
      <c r="Y95" s="526"/>
      <c r="Z95" s="526"/>
      <c r="AA95" s="526"/>
      <c r="AB95" s="526"/>
      <c r="AC95" s="526"/>
      <c r="AD95" s="527" t="s">
        <v>1444</v>
      </c>
      <c r="AE95" s="527"/>
      <c r="AF95" s="527"/>
    </row>
    <row r="96" spans="1:32" ht="15.75" x14ac:dyDescent="0.25">
      <c r="A96" s="430" t="s">
        <v>1445</v>
      </c>
      <c r="B96" s="426"/>
      <c r="C96" s="426"/>
      <c r="D96" s="426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39"/>
      <c r="T96" s="439"/>
      <c r="U96" s="439"/>
      <c r="V96" s="439"/>
      <c r="W96" s="439"/>
      <c r="X96" s="439"/>
      <c r="Y96" s="439"/>
      <c r="Z96" s="439"/>
      <c r="AA96" s="439"/>
      <c r="AB96" s="439"/>
      <c r="AC96" s="439"/>
      <c r="AD96" s="439"/>
      <c r="AE96" s="439"/>
      <c r="AF96" s="439"/>
    </row>
    <row r="97" spans="1:32" ht="15.75" x14ac:dyDescent="0.25">
      <c r="A97" s="509" t="s">
        <v>100</v>
      </c>
      <c r="B97" s="509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  <c r="AA97" s="509"/>
      <c r="AB97" s="509"/>
      <c r="AC97" s="509"/>
      <c r="AD97" s="509"/>
      <c r="AE97" s="509"/>
      <c r="AF97" s="509"/>
    </row>
    <row r="98" spans="1:32" ht="15.75" x14ac:dyDescent="0.25">
      <c r="A98" s="519"/>
      <c r="B98" s="519"/>
      <c r="C98" s="519"/>
      <c r="D98" s="519"/>
      <c r="E98" s="519"/>
      <c r="F98" s="519"/>
      <c r="G98" s="519"/>
      <c r="H98" s="519"/>
      <c r="I98" s="519"/>
      <c r="J98" s="519"/>
      <c r="K98" s="519"/>
      <c r="L98" s="519"/>
      <c r="M98" s="519"/>
      <c r="N98" s="519"/>
      <c r="O98" s="519"/>
      <c r="P98" s="519"/>
      <c r="Q98" s="519"/>
      <c r="R98" s="519"/>
      <c r="S98" s="519"/>
      <c r="T98" s="519"/>
      <c r="U98" s="519"/>
      <c r="V98" s="519"/>
      <c r="W98" s="519"/>
      <c r="X98" s="519"/>
      <c r="Y98" s="519"/>
      <c r="Z98" s="519"/>
      <c r="AA98" s="519"/>
      <c r="AB98" s="519"/>
      <c r="AC98" s="519"/>
      <c r="AD98" s="519"/>
      <c r="AE98" s="519"/>
      <c r="AF98" s="519"/>
    </row>
    <row r="99" spans="1:32" ht="19.5" customHeight="1" x14ac:dyDescent="0.2">
      <c r="A99" s="441"/>
      <c r="B99" s="441"/>
      <c r="C99" s="441"/>
      <c r="D99" s="441"/>
      <c r="E99" s="441"/>
      <c r="F99" s="441"/>
      <c r="G99" s="441"/>
      <c r="H99" s="442"/>
      <c r="I99" s="442"/>
      <c r="J99" s="442"/>
      <c r="K99" s="442"/>
      <c r="L99" s="442"/>
      <c r="M99" s="443"/>
      <c r="N99" s="443"/>
      <c r="O99" s="443"/>
      <c r="P99" s="443"/>
      <c r="Q99" s="443"/>
      <c r="R99" s="443"/>
      <c r="S99" s="443"/>
      <c r="T99" s="443"/>
      <c r="U99" s="443"/>
      <c r="V99" s="443"/>
      <c r="W99" s="443"/>
      <c r="X99" s="443"/>
      <c r="Y99" s="443"/>
      <c r="Z99" s="443"/>
      <c r="AA99" s="443"/>
      <c r="AB99" s="443"/>
      <c r="AC99" s="442"/>
      <c r="AD99" s="442"/>
      <c r="AE99" s="442"/>
      <c r="AF99" s="442"/>
    </row>
    <row r="100" spans="1:32" ht="27" customHeight="1" x14ac:dyDescent="0.2">
      <c r="A100" s="433"/>
      <c r="B100" s="433"/>
      <c r="C100" s="433"/>
      <c r="D100" s="433"/>
      <c r="E100" s="433"/>
      <c r="F100" s="433"/>
      <c r="G100" s="433"/>
      <c r="H100" s="433"/>
      <c r="I100" s="433"/>
      <c r="J100" s="433"/>
      <c r="K100" s="433"/>
      <c r="L100" s="433"/>
      <c r="M100" s="433"/>
      <c r="N100" s="433"/>
      <c r="O100" s="433"/>
      <c r="P100" s="433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3"/>
      <c r="AB100" s="433"/>
      <c r="AC100" s="433"/>
      <c r="AD100" s="433"/>
      <c r="AE100" s="433"/>
      <c r="AF100" s="433"/>
    </row>
    <row r="101" spans="1:32" ht="19.5" customHeight="1" x14ac:dyDescent="0.25">
      <c r="A101" s="430" t="s">
        <v>1446</v>
      </c>
      <c r="B101" s="441"/>
      <c r="C101" s="441"/>
      <c r="D101" s="441"/>
      <c r="E101" s="441"/>
      <c r="F101" s="441"/>
      <c r="G101" s="441"/>
      <c r="H101" s="442"/>
      <c r="I101" s="442"/>
      <c r="J101" s="442"/>
      <c r="K101" s="442"/>
      <c r="L101" s="442"/>
      <c r="M101" s="443"/>
      <c r="N101" s="443"/>
      <c r="O101" s="443"/>
      <c r="P101" s="443"/>
      <c r="Q101" s="443"/>
      <c r="R101" s="443"/>
      <c r="S101" s="443"/>
      <c r="T101" s="443"/>
      <c r="U101" s="443"/>
      <c r="V101" s="443"/>
      <c r="W101" s="443"/>
      <c r="X101" s="443"/>
      <c r="Y101" s="443"/>
      <c r="Z101" s="443"/>
      <c r="AA101" s="443"/>
      <c r="AB101" s="443"/>
      <c r="AC101" s="442"/>
      <c r="AD101" s="442"/>
      <c r="AE101" s="442"/>
      <c r="AF101" s="442"/>
    </row>
    <row r="102" spans="1:32" ht="25.5" customHeight="1" x14ac:dyDescent="0.25">
      <c r="A102" s="430" t="s">
        <v>1447</v>
      </c>
      <c r="B102" s="433"/>
      <c r="C102" s="433"/>
      <c r="D102" s="433"/>
      <c r="E102" s="433"/>
      <c r="F102" s="433"/>
      <c r="G102" s="433"/>
      <c r="H102" s="433"/>
      <c r="I102" s="433"/>
      <c r="J102" s="433"/>
      <c r="K102" s="433"/>
      <c r="L102" s="433"/>
      <c r="M102" s="433"/>
      <c r="N102" s="433"/>
      <c r="O102" s="433"/>
      <c r="P102" s="433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3"/>
      <c r="AB102" s="433"/>
      <c r="AC102" s="433"/>
      <c r="AD102" s="433"/>
      <c r="AE102" s="433"/>
      <c r="AF102" s="433"/>
    </row>
    <row r="103" spans="1:32" ht="28.5" customHeight="1" x14ac:dyDescent="0.25">
      <c r="A103" s="528" t="s">
        <v>1422</v>
      </c>
      <c r="B103" s="528"/>
      <c r="C103" s="516"/>
      <c r="D103" s="516"/>
      <c r="E103" s="516"/>
      <c r="F103" s="516"/>
      <c r="G103" s="516"/>
      <c r="H103" s="516"/>
      <c r="I103" s="516"/>
      <c r="J103" s="516"/>
      <c r="K103" s="516"/>
      <c r="L103" s="529" t="s">
        <v>13</v>
      </c>
      <c r="M103" s="529"/>
      <c r="N103" s="516"/>
      <c r="O103" s="516"/>
      <c r="P103" s="516"/>
      <c r="Q103" s="516"/>
      <c r="R103" s="516"/>
      <c r="S103" s="516"/>
      <c r="T103" s="516"/>
      <c r="U103" s="516"/>
      <c r="V103" s="516"/>
      <c r="W103" s="516"/>
      <c r="X103" s="430" t="s">
        <v>1448</v>
      </c>
      <c r="Y103" s="433"/>
      <c r="Z103" s="433"/>
      <c r="AA103" s="433"/>
      <c r="AB103" s="433"/>
      <c r="AC103" s="433"/>
      <c r="AD103" s="433"/>
      <c r="AE103" s="433"/>
      <c r="AF103" s="433"/>
    </row>
    <row r="104" spans="1:32" ht="23.25" customHeight="1" x14ac:dyDescent="0.25">
      <c r="A104" s="430" t="s">
        <v>1449</v>
      </c>
      <c r="B104" s="444"/>
      <c r="C104" s="444"/>
      <c r="D104" s="444"/>
      <c r="E104" s="444"/>
      <c r="F104" s="444"/>
      <c r="G104" s="444"/>
      <c r="H104" s="444"/>
      <c r="I104" s="444"/>
      <c r="J104" s="444"/>
      <c r="K104" s="444"/>
      <c r="L104" s="444"/>
      <c r="M104" s="444"/>
      <c r="N104" s="444"/>
      <c r="O104" s="444"/>
      <c r="P104" s="444"/>
      <c r="Q104" s="444"/>
      <c r="R104" s="444"/>
      <c r="S104" s="444"/>
      <c r="T104" s="444"/>
      <c r="U104" s="444"/>
      <c r="V104" s="444"/>
      <c r="W104" s="444"/>
      <c r="X104" s="444"/>
      <c r="Y104" s="444"/>
      <c r="Z104" s="444"/>
      <c r="AA104" s="444"/>
      <c r="AB104" s="444"/>
      <c r="AC104" s="444"/>
      <c r="AD104" s="444"/>
      <c r="AE104" s="444"/>
      <c r="AF104" s="444"/>
    </row>
    <row r="105" spans="1:32" ht="23.25" customHeight="1" x14ac:dyDescent="0.25">
      <c r="A105" s="434" t="s">
        <v>1450</v>
      </c>
      <c r="B105" s="444"/>
      <c r="C105" s="444"/>
      <c r="D105" s="444"/>
      <c r="E105" s="444"/>
      <c r="F105" s="444"/>
      <c r="G105" s="444"/>
      <c r="H105" s="444"/>
      <c r="I105" s="444"/>
      <c r="J105" s="444"/>
      <c r="K105" s="444"/>
      <c r="L105" s="444"/>
      <c r="M105" s="444"/>
      <c r="N105" s="444"/>
      <c r="O105" s="444"/>
      <c r="P105" s="444"/>
      <c r="Q105" s="444"/>
      <c r="R105" s="444"/>
      <c r="S105" s="444"/>
      <c r="T105" s="444"/>
      <c r="U105" s="444"/>
      <c r="V105" s="444"/>
      <c r="W105" s="444"/>
      <c r="X105" s="444"/>
      <c r="Y105" s="444"/>
      <c r="Z105" s="444"/>
      <c r="AA105" s="444"/>
      <c r="AB105" s="444"/>
      <c r="AC105" s="444"/>
      <c r="AD105" s="444"/>
      <c r="AE105" s="444"/>
      <c r="AF105" s="444"/>
    </row>
    <row r="106" spans="1:32" ht="24" customHeight="1" x14ac:dyDescent="0.25">
      <c r="A106" s="430" t="s">
        <v>1451</v>
      </c>
      <c r="B106" s="444"/>
      <c r="C106" s="444"/>
      <c r="D106" s="444"/>
      <c r="E106" s="444"/>
      <c r="F106" s="444"/>
      <c r="G106" s="444"/>
      <c r="H106" s="444"/>
      <c r="I106" s="444"/>
      <c r="J106" s="444"/>
      <c r="K106" s="444"/>
      <c r="L106" s="444"/>
      <c r="M106" s="444"/>
      <c r="N106" s="444"/>
      <c r="O106" s="444"/>
      <c r="P106" s="444"/>
      <c r="Q106" s="444"/>
      <c r="R106" s="444"/>
      <c r="S106" s="444"/>
      <c r="T106" s="444"/>
      <c r="U106" s="444"/>
      <c r="V106" s="444"/>
      <c r="W106" s="444"/>
      <c r="X106" s="444"/>
      <c r="Y106" s="444"/>
      <c r="Z106" s="444"/>
      <c r="AA106" s="444"/>
      <c r="AB106" s="444"/>
      <c r="AC106" s="444"/>
      <c r="AD106" s="444"/>
      <c r="AE106" s="444"/>
      <c r="AF106" s="444"/>
    </row>
    <row r="107" spans="1:32" ht="23.25" customHeight="1" x14ac:dyDescent="0.25">
      <c r="A107" s="430" t="s">
        <v>1452</v>
      </c>
      <c r="B107" s="426"/>
      <c r="C107" s="426"/>
      <c r="D107" s="426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Z107" s="426"/>
      <c r="AA107" s="426"/>
      <c r="AB107" s="426"/>
      <c r="AC107" s="426"/>
      <c r="AD107" s="426"/>
      <c r="AE107" s="426"/>
      <c r="AF107" s="426"/>
    </row>
    <row r="108" spans="1:32" ht="24.75" customHeight="1" x14ac:dyDescent="0.25">
      <c r="A108" s="430" t="s">
        <v>1453</v>
      </c>
      <c r="B108" s="426"/>
      <c r="C108" s="426"/>
      <c r="D108" s="426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426"/>
      <c r="AE108" s="426"/>
      <c r="AF108" s="426"/>
    </row>
    <row r="109" spans="1:32" ht="15.75" x14ac:dyDescent="0.25">
      <c r="A109" s="430" t="s">
        <v>1454</v>
      </c>
      <c r="B109" s="426"/>
      <c r="C109" s="426"/>
      <c r="D109" s="426"/>
      <c r="E109" s="426"/>
      <c r="F109" s="426"/>
      <c r="G109" s="426"/>
      <c r="H109" s="426"/>
      <c r="I109" s="426"/>
      <c r="J109" s="426"/>
      <c r="K109" s="426"/>
      <c r="L109" s="426"/>
      <c r="M109" s="532" t="str">
        <f>IF('Данные объект'!B8="","",'Данные объект'!B8)</f>
      </c>
      <c r="N109" s="532"/>
      <c r="O109" s="532"/>
      <c r="P109" s="532"/>
      <c r="Q109" s="532"/>
      <c r="R109" s="532"/>
      <c r="S109" s="532"/>
      <c r="T109" s="532"/>
      <c r="U109" s="532"/>
      <c r="V109" s="532"/>
      <c r="W109" s="532"/>
      <c r="X109" s="532"/>
      <c r="Y109" s="532"/>
      <c r="Z109" s="532"/>
      <c r="AA109" s="532"/>
      <c r="AB109" s="430"/>
      <c r="AC109" s="430" t="s">
        <v>1455</v>
      </c>
      <c r="AD109" s="426"/>
      <c r="AE109" s="426"/>
      <c r="AF109" s="426"/>
    </row>
    <row r="110" spans="1:32" ht="54" customHeight="1" x14ac:dyDescent="0.25">
      <c r="A110" s="430" t="s">
        <v>1456</v>
      </c>
      <c r="B110" s="426"/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Z110" s="426"/>
      <c r="AA110" s="426"/>
      <c r="AB110" s="426"/>
      <c r="AC110" s="426"/>
      <c r="AD110" s="426"/>
      <c r="AE110" s="426"/>
      <c r="AF110" s="426"/>
    </row>
    <row r="111" spans="1:32" ht="24" hidden="1" customHeight="1" x14ac:dyDescent="0.25">
      <c r="A111" s="430" t="s">
        <v>1457</v>
      </c>
      <c r="B111" s="426"/>
      <c r="C111" s="426"/>
      <c r="D111" s="426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</row>
    <row r="112" spans="1:32" hidden="1" x14ac:dyDescent="0.2">
      <c r="A112" s="426"/>
      <c r="B112" s="426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Z112" s="426"/>
      <c r="AA112" s="426"/>
      <c r="AB112" s="426"/>
      <c r="AC112" s="426"/>
      <c r="AD112" s="426"/>
      <c r="AE112" s="426"/>
      <c r="AF112" s="426"/>
    </row>
    <row r="113" spans="1:33" ht="26.25" hidden="1" customHeight="1" x14ac:dyDescent="0.25">
      <c r="A113" s="515" t="s">
        <v>1458</v>
      </c>
      <c r="B113" s="515"/>
      <c r="C113" s="515"/>
      <c r="D113" s="515"/>
      <c r="E113" s="515"/>
      <c r="F113" s="515"/>
      <c r="G113" s="515"/>
      <c r="H113" s="515"/>
      <c r="I113" s="515"/>
      <c r="J113" s="515"/>
      <c r="K113" s="515"/>
      <c r="L113" s="515"/>
      <c r="M113" s="445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530"/>
      <c r="Z113" s="530"/>
      <c r="AA113" s="530"/>
      <c r="AB113" s="530"/>
      <c r="AC113" s="530"/>
      <c r="AD113" s="530"/>
      <c r="AE113" s="530"/>
      <c r="AF113" s="530"/>
    </row>
    <row r="114" spans="1:33" hidden="1" x14ac:dyDescent="0.2">
      <c r="A114" s="531"/>
      <c r="B114" s="531"/>
      <c r="C114" s="531"/>
      <c r="D114" s="531"/>
      <c r="E114" s="531"/>
      <c r="F114" s="531"/>
      <c r="G114" s="531"/>
      <c r="H114" s="531"/>
      <c r="I114" s="531"/>
      <c r="J114" s="531"/>
      <c r="K114" s="426"/>
      <c r="L114" s="426"/>
      <c r="M114" s="426"/>
      <c r="N114" s="426"/>
      <c r="O114" s="426"/>
      <c r="P114" s="426"/>
      <c r="Q114" s="511" t="s">
        <v>2</v>
      </c>
      <c r="R114" s="511"/>
      <c r="S114" s="511"/>
      <c r="T114" s="511"/>
      <c r="U114" s="426"/>
      <c r="V114" s="426"/>
      <c r="W114" s="426"/>
      <c r="X114" s="426"/>
      <c r="Y114" s="426"/>
      <c r="Z114" s="426"/>
      <c r="AA114" s="426"/>
      <c r="AB114" s="426"/>
      <c r="AC114" s="426"/>
      <c r="AD114" s="426"/>
      <c r="AE114" s="426"/>
      <c r="AF114" s="426"/>
    </row>
    <row r="115" spans="1:33" ht="47.25" hidden="1" customHeight="1" x14ac:dyDescent="0.2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412"/>
      <c r="Q115" s="412"/>
      <c r="R115" s="412"/>
      <c r="S115" s="412"/>
      <c r="T115" s="412"/>
      <c r="U115" s="412"/>
      <c r="V115" s="412"/>
      <c r="W115" s="412"/>
      <c r="X115" s="412"/>
      <c r="Y115" s="412"/>
      <c r="Z115" s="412"/>
      <c r="AA115" s="412"/>
      <c r="AB115" s="412"/>
      <c r="AC115" s="412"/>
      <c r="AD115" s="412"/>
      <c r="AE115" s="412"/>
      <c r="AF115" s="412"/>
    </row>
    <row r="116" spans="1:33" ht="15.75" x14ac:dyDescent="0.25">
      <c r="A116" s="430" t="s">
        <v>1459</v>
      </c>
      <c r="B116" s="447"/>
      <c r="C116" s="447"/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12"/>
      <c r="AC116" s="412"/>
      <c r="AD116" s="448"/>
      <c r="AE116" s="448"/>
      <c r="AF116" s="412"/>
    </row>
    <row r="117" spans="1:33" ht="18" customHeight="1" x14ac:dyDescent="0.2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  <c r="K117" s="412"/>
      <c r="L117" s="412"/>
      <c r="M117" s="412"/>
      <c r="N117" s="412"/>
      <c r="O117" s="412"/>
      <c r="P117" s="412"/>
      <c r="Q117" s="412"/>
      <c r="R117" s="412"/>
      <c r="S117" s="412"/>
      <c r="T117" s="412"/>
      <c r="U117" s="412"/>
      <c r="V117" s="412"/>
      <c r="W117" s="412"/>
      <c r="X117" s="412"/>
      <c r="Y117" s="412"/>
      <c r="Z117" s="412"/>
      <c r="AA117" s="412"/>
      <c r="AB117" s="412"/>
      <c r="AC117" s="412"/>
      <c r="AD117" s="412"/>
      <c r="AE117" s="412"/>
      <c r="AF117" s="412"/>
    </row>
    <row r="118" spans="1:33" ht="26.25" customHeight="1" x14ac:dyDescent="0.25">
      <c r="A118" s="535" t="s">
        <v>1520</v>
      </c>
      <c r="B118" s="535"/>
      <c r="C118" s="535"/>
      <c r="D118" s="535"/>
      <c r="E118" s="535"/>
      <c r="F118" s="535"/>
      <c r="G118" s="445"/>
      <c r="H118" s="445"/>
      <c r="I118" s="445"/>
      <c r="J118" s="445"/>
      <c r="K118" s="445"/>
      <c r="L118" s="445"/>
      <c r="M118" s="445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530"/>
      <c r="Z118" s="530"/>
      <c r="AA118" s="530"/>
      <c r="AB118" s="530"/>
      <c r="AC118" s="530"/>
      <c r="AD118" s="530"/>
      <c r="AE118" s="530"/>
      <c r="AF118" s="530"/>
    </row>
    <row r="119" spans="1:33" x14ac:dyDescent="0.2">
      <c r="A119" s="531"/>
      <c r="B119" s="531"/>
      <c r="C119" s="531"/>
      <c r="D119" s="531"/>
      <c r="E119" s="531"/>
      <c r="F119" s="531"/>
      <c r="G119" s="531"/>
      <c r="H119" s="531"/>
      <c r="I119" s="531"/>
      <c r="J119" s="531"/>
      <c r="K119" s="426"/>
      <c r="L119" s="426"/>
      <c r="M119" s="426"/>
      <c r="N119" s="426"/>
      <c r="O119" s="426"/>
      <c r="P119" s="426"/>
      <c r="Q119" s="511" t="s">
        <v>2</v>
      </c>
      <c r="R119" s="511"/>
      <c r="S119" s="511"/>
      <c r="T119" s="511"/>
      <c r="U119" s="426"/>
      <c r="V119" s="426"/>
      <c r="W119" s="426"/>
      <c r="X119" s="426"/>
      <c r="Y119" s="426"/>
      <c r="Z119" s="426"/>
      <c r="AA119" s="426"/>
      <c r="AB119" s="426"/>
      <c r="AC119" s="426"/>
      <c r="AD119" s="426"/>
      <c r="AE119" s="426"/>
      <c r="AF119" s="426"/>
    </row>
    <row r="120" spans="1:33" ht="18.75" customHeight="1" x14ac:dyDescent="0.2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  <c r="K120" s="412"/>
      <c r="L120" s="412"/>
      <c r="M120" s="412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12"/>
      <c r="AC120" s="412"/>
      <c r="AD120" s="412"/>
      <c r="AE120" s="412"/>
      <c r="AF120" s="412"/>
    </row>
    <row r="121" spans="1:33" ht="18.75" customHeight="1" x14ac:dyDescent="0.25">
      <c r="A121" s="515" t="s">
        <v>1523</v>
      </c>
      <c r="B121" s="515"/>
      <c r="C121" s="515"/>
      <c r="D121" s="515"/>
      <c r="E121" s="515"/>
      <c r="F121" s="515"/>
      <c r="G121" s="445"/>
      <c r="H121" s="445"/>
      <c r="I121" s="445"/>
      <c r="J121" s="445"/>
      <c r="K121" s="445"/>
      <c r="L121" s="445"/>
      <c r="M121" s="445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530"/>
      <c r="Z121" s="530"/>
      <c r="AA121" s="530"/>
      <c r="AB121" s="530"/>
      <c r="AC121" s="530"/>
      <c r="AD121" s="530"/>
      <c r="AE121" s="530"/>
      <c r="AF121" s="530"/>
    </row>
    <row r="122" spans="1:33" ht="18.75" customHeight="1" x14ac:dyDescent="0.2">
      <c r="A122" s="531"/>
      <c r="B122" s="531"/>
      <c r="C122" s="531"/>
      <c r="D122" s="531"/>
      <c r="E122" s="531"/>
      <c r="F122" s="531"/>
      <c r="G122" s="531"/>
      <c r="H122" s="531"/>
      <c r="I122" s="531"/>
      <c r="J122" s="531"/>
      <c r="K122" s="426"/>
      <c r="L122" s="426"/>
      <c r="M122" s="426"/>
      <c r="N122" s="426"/>
      <c r="O122" s="426"/>
      <c r="P122" s="426"/>
      <c r="Q122" s="511" t="s">
        <v>2</v>
      </c>
      <c r="R122" s="511"/>
      <c r="S122" s="511"/>
      <c r="T122" s="511"/>
      <c r="U122" s="426"/>
      <c r="V122" s="426"/>
      <c r="W122" s="426"/>
      <c r="X122" s="426"/>
      <c r="Y122" s="426"/>
      <c r="Z122" s="426"/>
      <c r="AA122" s="426"/>
      <c r="AB122" s="426"/>
      <c r="AC122" s="426"/>
      <c r="AD122" s="426"/>
      <c r="AE122" s="426"/>
      <c r="AF122" s="426"/>
    </row>
    <row r="123" spans="1:33" ht="18.75" customHeight="1" x14ac:dyDescent="0.2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  <c r="K123" s="412"/>
      <c r="L123" s="412"/>
      <c r="M123" s="412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12"/>
      <c r="AC123" s="412"/>
      <c r="AD123" s="412"/>
      <c r="AE123" s="412"/>
      <c r="AF123" s="412"/>
    </row>
    <row r="124" spans="1:33" ht="26.25" customHeight="1" x14ac:dyDescent="0.25">
      <c r="A124" s="535"/>
      <c r="B124" s="535"/>
      <c r="C124" s="535"/>
      <c r="D124" s="535"/>
      <c r="E124" s="535"/>
      <c r="F124" s="535"/>
      <c r="G124" s="535"/>
      <c r="H124" s="535"/>
      <c r="I124" s="535"/>
      <c r="J124" s="535"/>
      <c r="K124" s="535"/>
      <c r="L124" s="535"/>
      <c r="M124" s="535"/>
      <c r="N124" s="535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530"/>
      <c r="Z124" s="530"/>
      <c r="AA124" s="530"/>
      <c r="AB124" s="530"/>
      <c r="AC124" s="530"/>
      <c r="AD124" s="530"/>
      <c r="AE124" s="530"/>
      <c r="AF124" s="530"/>
    </row>
    <row r="125" spans="1:33" ht="15" x14ac:dyDescent="0.3">
      <c r="A125" s="536"/>
      <c r="B125" s="536"/>
      <c r="C125" s="536"/>
      <c r="D125" s="536"/>
      <c r="E125" s="536"/>
      <c r="F125" s="536"/>
      <c r="G125" s="536"/>
      <c r="H125" s="536"/>
      <c r="I125" s="536"/>
      <c r="J125" s="536"/>
      <c r="K125" s="449"/>
      <c r="L125" s="449"/>
      <c r="M125" s="449"/>
      <c r="N125" s="449"/>
      <c r="O125" s="426"/>
      <c r="P125" s="426"/>
      <c r="Q125" s="511" t="s">
        <v>2</v>
      </c>
      <c r="R125" s="511"/>
      <c r="S125" s="511"/>
      <c r="T125" s="511"/>
      <c r="U125" s="426"/>
      <c r="V125" s="426"/>
      <c r="W125" s="426"/>
      <c r="X125" s="426"/>
      <c r="Y125" s="426"/>
      <c r="Z125" s="426"/>
      <c r="AA125" s="426"/>
      <c r="AB125" s="426"/>
      <c r="AC125" s="426"/>
      <c r="AD125" s="426"/>
      <c r="AE125" s="426"/>
      <c r="AF125" s="426"/>
      <c r="AG125" s="437"/>
    </row>
    <row r="126" spans="1:33" ht="26.25" customHeight="1" x14ac:dyDescent="0.3">
      <c r="A126" s="533"/>
      <c r="B126" s="533"/>
      <c r="C126" s="533"/>
      <c r="D126" s="533"/>
      <c r="E126" s="533"/>
      <c r="F126" s="533"/>
      <c r="G126" s="533"/>
      <c r="H126" s="533"/>
      <c r="I126" s="533"/>
      <c r="J126" s="533"/>
      <c r="K126" s="533"/>
      <c r="L126" s="533"/>
      <c r="M126" s="533"/>
      <c r="N126" s="533"/>
      <c r="O126" s="412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12"/>
      <c r="AC126" s="412"/>
      <c r="AD126" s="448"/>
      <c r="AE126" s="448"/>
      <c r="AF126" s="412"/>
      <c r="AG126" s="437"/>
    </row>
    <row r="127" spans="1:33" ht="20.25" customHeight="1" x14ac:dyDescent="0.3">
      <c r="A127" s="534"/>
      <c r="B127" s="534"/>
      <c r="C127" s="534"/>
      <c r="D127" s="534"/>
      <c r="E127" s="534"/>
      <c r="F127" s="534"/>
      <c r="G127" s="534"/>
      <c r="H127" s="534"/>
      <c r="I127" s="534"/>
      <c r="J127" s="534"/>
      <c r="K127" s="534"/>
      <c r="L127" s="534"/>
      <c r="M127" s="534"/>
      <c r="N127" s="534"/>
      <c r="O127" s="445"/>
      <c r="P127" s="445"/>
      <c r="Q127" s="446"/>
      <c r="R127" s="446"/>
      <c r="S127" s="446"/>
      <c r="T127" s="446"/>
      <c r="U127" s="446"/>
      <c r="V127" s="446"/>
      <c r="W127" s="446"/>
      <c r="X127" s="446"/>
      <c r="Y127" s="530"/>
      <c r="Z127" s="530"/>
      <c r="AA127" s="530"/>
      <c r="AB127" s="530"/>
      <c r="AC127" s="530"/>
      <c r="AD127" s="530"/>
      <c r="AE127" s="530"/>
      <c r="AF127" s="530"/>
      <c r="AG127" s="437"/>
    </row>
    <row r="128" spans="1:33" ht="29.25" customHeight="1" x14ac:dyDescent="0.3">
      <c r="A128" s="531"/>
      <c r="B128" s="531"/>
      <c r="C128" s="531"/>
      <c r="D128" s="531"/>
      <c r="E128" s="531"/>
      <c r="F128" s="531"/>
      <c r="G128" s="531"/>
      <c r="H128" s="531"/>
      <c r="I128" s="531"/>
      <c r="J128" s="531"/>
      <c r="K128" s="426"/>
      <c r="L128" s="426"/>
      <c r="M128" s="426"/>
      <c r="N128" s="426"/>
      <c r="O128" s="426"/>
      <c r="P128" s="426"/>
      <c r="Q128" s="511" t="s">
        <v>2</v>
      </c>
      <c r="R128" s="511"/>
      <c r="S128" s="511"/>
      <c r="T128" s="511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426"/>
      <c r="AE128" s="426"/>
      <c r="AF128" s="426"/>
      <c r="AG128" s="437"/>
    </row>
    <row r="129" spans="1:33" ht="15" x14ac:dyDescent="0.3">
      <c r="A129" s="444"/>
      <c r="B129" s="444"/>
      <c r="C129" s="444"/>
      <c r="D129" s="444"/>
      <c r="E129" s="444"/>
      <c r="F129" s="444"/>
      <c r="G129" s="444"/>
      <c r="H129" s="444"/>
      <c r="I129" s="444"/>
      <c r="J129" s="444"/>
      <c r="K129" s="444"/>
      <c r="L129" s="444"/>
      <c r="M129" s="444"/>
      <c r="N129" s="444"/>
      <c r="O129" s="444"/>
      <c r="P129" s="444"/>
      <c r="Q129" s="444"/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37"/>
    </row>
    <row r="130" spans="1:33" ht="60" customHeight="1" x14ac:dyDescent="0.25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  <c r="K130" s="412"/>
      <c r="L130" s="412"/>
      <c r="M130" s="412"/>
      <c r="N130" s="412"/>
      <c r="O130" s="412"/>
      <c r="P130" s="412"/>
      <c r="Q130" s="412"/>
      <c r="R130" s="412"/>
      <c r="S130" s="412"/>
      <c r="T130" s="412"/>
      <c r="U130" s="412"/>
      <c r="V130" s="412"/>
      <c r="W130" s="412"/>
      <c r="X130" s="412"/>
      <c r="Y130" s="412"/>
      <c r="Z130" s="412"/>
      <c r="AA130" s="412"/>
      <c r="AB130" s="412"/>
      <c r="AC130" s="412"/>
      <c r="AD130" s="412"/>
      <c r="AE130" s="412"/>
      <c r="AF130" s="412"/>
      <c r="AG130" s="438"/>
    </row>
    <row r="131" spans="1:33" ht="13.5" x14ac:dyDescent="0.25">
      <c r="A131" s="418"/>
      <c r="B131" s="418"/>
      <c r="C131" s="418"/>
      <c r="D131" s="418"/>
      <c r="E131" s="418"/>
      <c r="F131" s="418"/>
      <c r="G131" s="418"/>
      <c r="H131" s="444"/>
      <c r="I131" s="412"/>
      <c r="J131" s="412"/>
      <c r="K131" s="412"/>
      <c r="L131" s="412"/>
      <c r="M131" s="412"/>
      <c r="N131" s="412"/>
      <c r="O131" s="412"/>
      <c r="P131" s="412"/>
      <c r="Q131" s="412"/>
      <c r="R131" s="412"/>
      <c r="S131" s="412"/>
      <c r="T131" s="412"/>
      <c r="U131" s="412"/>
      <c r="V131" s="412"/>
      <c r="W131" s="412"/>
      <c r="X131" s="412"/>
      <c r="Y131" s="412"/>
      <c r="Z131" s="412"/>
      <c r="AA131" s="412"/>
      <c r="AB131" s="412"/>
      <c r="AC131" s="412"/>
      <c r="AD131" s="412"/>
      <c r="AE131" s="412"/>
      <c r="AF131" s="412"/>
      <c r="AG131" s="438"/>
    </row>
    <row r="132" spans="1:33" ht="34.5" customHeight="1" x14ac:dyDescent="0.2">
      <c r="A132" s="412"/>
      <c r="B132" s="412"/>
      <c r="C132" s="412"/>
      <c r="D132" s="412"/>
      <c r="E132" s="412"/>
      <c r="F132" s="412"/>
      <c r="G132" s="412"/>
      <c r="H132" s="425"/>
      <c r="I132" s="425"/>
      <c r="J132" s="425"/>
      <c r="K132" s="425"/>
      <c r="L132" s="425"/>
      <c r="M132" s="425"/>
      <c r="N132" s="425"/>
      <c r="O132" s="425"/>
      <c r="P132" s="425"/>
      <c r="Q132" s="450"/>
      <c r="R132" s="425"/>
      <c r="S132" s="425"/>
      <c r="T132" s="425"/>
      <c r="U132" s="425"/>
      <c r="V132" s="425"/>
      <c r="W132" s="425"/>
      <c r="X132" s="450"/>
      <c r="Y132" s="425"/>
      <c r="Z132" s="425"/>
      <c r="AA132" s="425"/>
      <c r="AB132" s="425"/>
      <c r="AC132" s="425"/>
      <c r="AD132" s="425"/>
      <c r="AE132" s="425"/>
      <c r="AF132" s="425"/>
    </row>
    <row r="133" spans="1:33" x14ac:dyDescent="0.2">
      <c r="A133" s="418"/>
      <c r="B133" s="418"/>
      <c r="C133" s="418"/>
      <c r="D133" s="418"/>
      <c r="E133" s="418"/>
      <c r="F133" s="418"/>
      <c r="G133" s="418"/>
      <c r="H133" s="412"/>
      <c r="I133" s="412"/>
      <c r="J133" s="412"/>
      <c r="K133" s="412"/>
      <c r="L133" s="412"/>
      <c r="M133" s="412"/>
      <c r="N133" s="412"/>
      <c r="O133" s="412"/>
      <c r="P133" s="412"/>
      <c r="Q133" s="412"/>
      <c r="R133" s="412"/>
      <c r="S133" s="412"/>
      <c r="T133" s="412"/>
      <c r="U133" s="412"/>
      <c r="V133" s="412"/>
      <c r="W133" s="412"/>
      <c r="X133" s="412"/>
      <c r="Y133" s="412"/>
      <c r="Z133" s="412"/>
      <c r="AA133" s="412"/>
      <c r="AB133" s="412"/>
      <c r="AC133" s="412"/>
      <c r="AD133" s="412"/>
      <c r="AE133" s="412"/>
      <c r="AF133" s="412"/>
    </row>
    <row r="134" spans="1:33" ht="25.5" customHeight="1" x14ac:dyDescent="0.2">
      <c r="A134" s="423"/>
      <c r="B134" s="423"/>
      <c r="C134" s="423"/>
      <c r="D134" s="423"/>
      <c r="E134" s="423"/>
      <c r="F134" s="423"/>
      <c r="G134" s="423"/>
      <c r="H134" s="425"/>
      <c r="I134" s="425"/>
      <c r="J134" s="425"/>
      <c r="K134" s="425"/>
      <c r="L134" s="425"/>
      <c r="M134" s="425"/>
      <c r="N134" s="425"/>
      <c r="O134" s="425"/>
      <c r="P134" s="425"/>
      <c r="Q134" s="450"/>
      <c r="R134" s="425"/>
      <c r="S134" s="425"/>
      <c r="T134" s="425"/>
      <c r="U134" s="425"/>
      <c r="V134" s="425"/>
      <c r="W134" s="425"/>
      <c r="X134" s="450"/>
      <c r="Y134" s="425"/>
      <c r="Z134" s="425"/>
      <c r="AA134" s="425"/>
      <c r="AB134" s="425"/>
      <c r="AC134" s="425"/>
      <c r="AD134" s="425"/>
      <c r="AE134" s="425"/>
      <c r="AF134" s="425"/>
    </row>
    <row r="135" spans="1:33" ht="36.75" customHeight="1" x14ac:dyDescent="0.2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2"/>
      <c r="S135" s="412"/>
      <c r="T135" s="412"/>
      <c r="U135" s="412"/>
      <c r="V135" s="412"/>
      <c r="W135" s="412"/>
      <c r="X135" s="412"/>
      <c r="Y135" s="412"/>
      <c r="Z135" s="412"/>
      <c r="AA135" s="412"/>
      <c r="AB135" s="412"/>
      <c r="AC135" s="412"/>
      <c r="AD135" s="412"/>
      <c r="AE135" s="412"/>
      <c r="AF135" s="412"/>
    </row>
    <row r="136" spans="1:33" ht="27" customHeight="1" x14ac:dyDescent="0.2">
      <c r="A136" s="451"/>
      <c r="B136" s="451"/>
      <c r="C136" s="451"/>
      <c r="D136" s="451"/>
      <c r="E136" s="452"/>
      <c r="F136" s="452"/>
      <c r="G136" s="452"/>
      <c r="H136" s="426"/>
      <c r="I136" s="426"/>
      <c r="J136" s="426"/>
      <c r="K136" s="426"/>
      <c r="L136" s="426"/>
      <c r="M136" s="426"/>
      <c r="N136" s="426"/>
      <c r="O136" s="426"/>
      <c r="P136" s="418"/>
      <c r="Q136" s="418"/>
      <c r="R136" s="418"/>
      <c r="S136" s="418"/>
      <c r="T136" s="418"/>
      <c r="U136" s="418"/>
      <c r="V136" s="418"/>
      <c r="W136" s="412"/>
      <c r="X136" s="426"/>
      <c r="Y136" s="426"/>
      <c r="Z136" s="426"/>
      <c r="AA136" s="426"/>
      <c r="AB136" s="426"/>
      <c r="AC136" s="426"/>
      <c r="AD136" s="426"/>
      <c r="AE136" s="426"/>
      <c r="AF136" s="426"/>
    </row>
    <row r="137" spans="1:33" x14ac:dyDescent="0.2">
      <c r="A137" s="444"/>
      <c r="B137" s="444"/>
      <c r="C137" s="444"/>
      <c r="D137" s="444"/>
      <c r="E137" s="444"/>
      <c r="F137" s="444"/>
      <c r="G137" s="444"/>
      <c r="H137" s="426"/>
      <c r="I137" s="426"/>
      <c r="J137" s="426"/>
      <c r="K137" s="426"/>
      <c r="L137" s="426"/>
      <c r="M137" s="426"/>
      <c r="N137" s="426"/>
      <c r="O137" s="426"/>
      <c r="P137" s="412"/>
      <c r="Q137" s="412"/>
      <c r="R137" s="412"/>
      <c r="S137" s="412"/>
      <c r="T137" s="412"/>
      <c r="U137" s="412"/>
      <c r="V137" s="412"/>
      <c r="W137" s="412"/>
      <c r="X137" s="426"/>
      <c r="Y137" s="426"/>
      <c r="Z137" s="426"/>
      <c r="AA137" s="426"/>
      <c r="AB137" s="426"/>
      <c r="AC137" s="426"/>
      <c r="AD137" s="426"/>
      <c r="AE137" s="426"/>
      <c r="AF137" s="426"/>
    </row>
    <row r="138" spans="1:33" x14ac:dyDescent="0.2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2"/>
      <c r="Y138" s="412"/>
      <c r="Z138" s="412"/>
      <c r="AA138" s="412"/>
      <c r="AB138" s="412"/>
      <c r="AC138" s="412"/>
      <c r="AD138" s="412"/>
      <c r="AE138" s="412"/>
      <c r="AF138" s="412"/>
    </row>
    <row r="139" spans="1:33" x14ac:dyDescent="0.2">
      <c r="A139" s="426"/>
      <c r="B139" s="426"/>
      <c r="C139" s="426"/>
      <c r="D139" s="426"/>
      <c r="E139" s="426"/>
      <c r="F139" s="426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</row>
  </sheetData>
  <sheetProtection formatCells="0"/>
  <mergeCells count="77">
    <mergeCell ref="A126:N127"/>
    <mergeCell ref="Y127:AF127"/>
    <mergeCell ref="A128:J128"/>
    <mergeCell ref="Q128:T128"/>
    <mergeCell ref="A118:F118"/>
    <mergeCell ref="Y118:AF118"/>
    <mergeCell ref="A119:J119"/>
    <mergeCell ref="Q119:T119"/>
    <mergeCell ref="A124:N124"/>
    <mergeCell ref="Y124:AF124"/>
    <mergeCell ref="A125:J125"/>
    <mergeCell ref="Q125:T125"/>
    <mergeCell ref="A121:F121"/>
    <mergeCell ref="Y121:AF121"/>
    <mergeCell ref="A122:J122"/>
    <mergeCell ref="Q122:T122"/>
    <mergeCell ref="Y113:AF113"/>
    <mergeCell ref="A114:J114"/>
    <mergeCell ref="Q114:T114"/>
    <mergeCell ref="A113:L113"/>
    <mergeCell ref="M109:AA109"/>
    <mergeCell ref="A95:AC95"/>
    <mergeCell ref="AD95:AF95"/>
    <mergeCell ref="A97:AF97"/>
    <mergeCell ref="A98:AF98"/>
    <mergeCell ref="A103:B103"/>
    <mergeCell ref="C103:K103"/>
    <mergeCell ref="L103:M103"/>
    <mergeCell ref="N103:W103"/>
    <mergeCell ref="T84:X84"/>
    <mergeCell ref="A89:AF89"/>
    <mergeCell ref="A90:AF90"/>
    <mergeCell ref="A94:AF94"/>
    <mergeCell ref="Y82:AF82"/>
    <mergeCell ref="C84:M84"/>
    <mergeCell ref="A78:AF78"/>
    <mergeCell ref="A50:AF50"/>
    <mergeCell ref="A54:AF54"/>
    <mergeCell ref="A55:AF55"/>
    <mergeCell ref="A56:AF56"/>
    <mergeCell ref="A59:AF59"/>
    <mergeCell ref="A60:AF60"/>
    <mergeCell ref="A65:AF69"/>
    <mergeCell ref="A70:AF70"/>
    <mergeCell ref="A73:AF73"/>
    <mergeCell ref="A74:AF74"/>
    <mergeCell ref="A77:AF77"/>
    <mergeCell ref="A49:AF49"/>
    <mergeCell ref="A30:AF30"/>
    <mergeCell ref="A31:AF31"/>
    <mergeCell ref="A34:AF34"/>
    <mergeCell ref="A35:AF35"/>
    <mergeCell ref="A38:AF38"/>
    <mergeCell ref="A39:AF39"/>
    <mergeCell ref="A40:AF40"/>
    <mergeCell ref="A43:AF43"/>
    <mergeCell ref="A44:AF44"/>
    <mergeCell ref="A45:AF45"/>
    <mergeCell ref="A48:AF48"/>
    <mergeCell ref="A29:AF29"/>
    <mergeCell ref="A12:AF12"/>
    <mergeCell ref="A13:AF13"/>
    <mergeCell ref="A15:F15"/>
    <mergeCell ref="H15:R15"/>
    <mergeCell ref="U15:V15"/>
    <mergeCell ref="X15:AD15"/>
    <mergeCell ref="B17:F17"/>
    <mergeCell ref="A22:AF22"/>
    <mergeCell ref="A23:AF23"/>
    <mergeCell ref="A24:AF24"/>
    <mergeCell ref="A28:AF28"/>
    <mergeCell ref="P2:AF2"/>
    <mergeCell ref="P4:S4"/>
    <mergeCell ref="A5:AF5"/>
    <mergeCell ref="B7:H7"/>
    <mergeCell ref="A11:AF11"/>
    <mergeCell ref="Y7:AF7"/>
  </mergeCells>
  <pageMargins left="0.70866141732283472" right="0.70866141732283472" top="0.31496062992125984" bottom="0.31496062992125984" header="0.31496062992125984" footer="0.31496062992125984"/>
  <pageSetup paperSize="9" scale="70" fitToWidth="2" fitToHeight="2" orientation="portrait" r:id="rId1"/>
  <rowBreaks count="1" manualBreakCount="1">
    <brk id="74" max="31" man="1"/>
  </rowBreak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0136BE9-F06E-4A08-9364-03203FDE9ABC}">
          <x14:formula1>
            <xm:f>'Данные организации'!$A$34:$B$34</xm:f>
          </x14:formula1>
          <xm:sqref>A28:AF28</xm:sqref>
        </x14:dataValidation>
        <x14:dataValidation type="list" allowBlank="1" showInputMessage="1" showErrorMessage="1" xr:uid="{D75A026B-2817-472A-B665-6632193DCA60}">
          <x14:formula1>
            <xm:f>'Данные организации'!$A$38:$B$38</xm:f>
          </x14:formula1>
          <xm:sqref>A43:AF43</xm:sqref>
        </x14:dataValidation>
        <x14:dataValidation type="list" allowBlank="1" showInputMessage="1" showErrorMessage="1" xr:uid="{F39611C0-0161-4F19-BBBD-4C1E4F4F6742}">
          <x14:formula1>
            <xm:f>'Данные организации'!$A$44:$B$44</xm:f>
          </x14:formula1>
          <xm:sqref>A48:AF48</xm:sqref>
        </x14:dataValidation>
        <x14:dataValidation type="list" allowBlank="1" showInputMessage="1" showErrorMessage="1" xr:uid="{07C16185-6F37-437E-B7B4-50488B3DBA6F}">
          <x14:formula1>
            <xm:f>'Данные организации'!$A$36:$B$36</xm:f>
          </x14:formula1>
          <xm:sqref>A118 G118:L118 G121:L121</xm:sqref>
        </x14:dataValidation>
        <x14:dataValidation type="list" allowBlank="1" showInputMessage="1" showErrorMessage="1" xr:uid="{474A8C27-E176-463C-9CE4-1977352DA52E}">
          <x14:formula1>
            <xm:f>'Данные организации'!$A$37:$B$37</xm:f>
          </x14:formula1>
          <xm:sqref>Y118:AF118</xm:sqref>
        </x14:dataValidation>
        <x14:dataValidation type="list" allowBlank="1" showInputMessage="1" showErrorMessage="1" xr:uid="{18B9C3F7-78D7-42F6-BE97-3009586CA1F2}">
          <x14:formula1>
            <xm:f>'Данные организации'!$A$32:$B$32</xm:f>
          </x14:formula1>
          <xm:sqref>A124</xm:sqref>
        </x14:dataValidation>
        <x14:dataValidation type="list" allowBlank="1" showInputMessage="1" showErrorMessage="1" xr:uid="{2BE07550-B0B9-4BF5-8634-2522393487D0}">
          <x14:formula1>
            <xm:f>'Данные организации'!$A$33:$B$33</xm:f>
          </x14:formula1>
          <xm:sqref>Y124:AF124</xm:sqref>
        </x14:dataValidation>
        <x14:dataValidation type="list" allowBlank="1" showInputMessage="1" showErrorMessage="1" xr:uid="{B75F9DC6-E5F1-4BF1-88C8-82D677324827}">
          <x14:formula1>
            <xm:f>'Данные организации'!$A$42:$B$42</xm:f>
          </x14:formula1>
          <xm:sqref>A126</xm:sqref>
        </x14:dataValidation>
        <x14:dataValidation type="list" allowBlank="1" showInputMessage="1" showErrorMessage="1" xr:uid="{5EA23ADF-375D-4526-AFBA-E422EE331294}">
          <x14:formula1>
            <xm:f>'Данные организации'!$A$43:$B$43</xm:f>
          </x14:formula1>
          <xm:sqref>Y127:AF127</xm:sqref>
        </x14:dataValidation>
        <x14:dataValidation type="list" allowBlank="1" showInputMessage="1" showErrorMessage="1" xr:uid="{C38C78C4-3E85-4796-A9BB-2466693D9C37}">
          <x14:formula1>
            <xm:f>'Данные организации'!$A$46:$B$46</xm:f>
          </x14:formula1>
          <xm:sqref>A44:AF44</xm:sqref>
        </x14:dataValidation>
        <x14:dataValidation type="list" allowBlank="1" showInputMessage="1" showErrorMessage="1" xr:uid="{C9332FD6-A499-44BE-9688-7823BE9630FC}">
          <x14:formula1>
            <xm:f>'Данные организации'!$A$48</xm:f>
          </x14:formula1>
          <xm:sqref>A121:F121</xm:sqref>
        </x14:dataValidation>
        <x14:dataValidation type="list" allowBlank="1" showInputMessage="1" showErrorMessage="1" xr:uid="{F3E3A119-8EE4-48EE-8A7F-6B49DC8D890D}">
          <x14:formula1>
            <xm:f>'Данные организации'!$A$47:$B$47</xm:f>
          </x14:formula1>
          <xm:sqref>Y121:AF121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F9AF-473B-4E77-80B6-444739486970}">
  <sheetPr>
    <tabColor rgb="FF7030A0"/>
  </sheetPr>
  <dimension ref="A1:AG145"/>
  <sheetViews>
    <sheetView showZeros="0" view="pageBreakPreview" topLeftCell="A92" zoomScale="85" zoomScaleNormal="100" zoomScaleSheetLayoutView="85" workbookViewId="0">
      <selection activeCell="AG175" sqref="AG175"/>
    </sheetView>
  </sheetViews>
  <sheetFormatPr defaultColWidth="9.140625" defaultRowHeight="12.75" x14ac:dyDescent="0.2"/>
  <cols>
    <col min="1" max="1" width="3.42578125" style="414" customWidth="1"/>
    <col min="2" max="2" width="2.7109375" style="414" customWidth="1"/>
    <col min="3" max="3" width="4.140625" style="414" customWidth="1"/>
    <col min="4" max="4" width="2" style="414" customWidth="1"/>
    <col min="5" max="5" width="5.5703125" style="414" customWidth="1"/>
    <col min="6" max="6" width="4.28515625" style="414" customWidth="1"/>
    <col min="7" max="8" width="2.85546875" style="414" customWidth="1"/>
    <col min="9" max="9" width="3.7109375" style="414" customWidth="1"/>
    <col min="10" max="10" width="2.7109375" style="414" customWidth="1"/>
    <col min="11" max="11" width="3.7109375" style="414" customWidth="1"/>
    <col min="12" max="12" width="4.28515625" style="414" customWidth="1"/>
    <col min="13" max="13" width="4.7109375" style="414" customWidth="1"/>
    <col min="14" max="14" width="6.28515625" style="414" customWidth="1"/>
    <col min="15" max="15" width="2.7109375" style="414" customWidth="1"/>
    <col min="16" max="16" width="4.140625" style="414" customWidth="1"/>
    <col min="17" max="17" width="5.140625" style="414" customWidth="1"/>
    <col min="18" max="18" width="3.140625" style="414" customWidth="1"/>
    <col min="19" max="19" width="3" style="414" customWidth="1"/>
    <col min="20" max="20" width="2.7109375" style="414" customWidth="1"/>
    <col min="21" max="21" width="2.28515625" style="414" customWidth="1"/>
    <col min="22" max="23" width="3.7109375" style="414" customWidth="1"/>
    <col min="24" max="24" width="4.5703125" style="414" customWidth="1"/>
    <col min="25" max="25" width="4.28515625" style="414" customWidth="1"/>
    <col min="26" max="26" width="2.7109375" style="414" customWidth="1"/>
    <col min="27" max="27" width="2.28515625" style="414" customWidth="1"/>
    <col min="28" max="28" width="5.140625" style="414" customWidth="1"/>
    <col min="29" max="29" width="3.28515625" style="414" customWidth="1"/>
    <col min="30" max="30" width="3.5703125" style="414" customWidth="1"/>
    <col min="31" max="31" width="3.7109375" style="414" customWidth="1"/>
    <col min="32" max="32" width="9.28515625" style="414" customWidth="1"/>
    <col min="33" max="33" width="42.5703125" style="414" customWidth="1"/>
    <col min="34" max="34" width="16.85546875" style="414" customWidth="1"/>
    <col min="35" max="35" width="9.140625" style="414"/>
    <col min="36" max="36" width="15.28515625" style="414" customWidth="1"/>
    <col min="37" max="16384" width="9.140625" style="414"/>
  </cols>
  <sheetData>
    <row r="1" spans="1:32" x14ac:dyDescent="0.2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</row>
    <row r="2" spans="1:32" ht="15.75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</row>
    <row r="3" spans="1:32" x14ac:dyDescent="0.2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3"/>
      <c r="Q3" s="413"/>
      <c r="R3" s="413"/>
      <c r="S3" s="413"/>
      <c r="T3" s="413"/>
      <c r="U3" s="413"/>
      <c r="V3" s="413"/>
      <c r="W3" s="413"/>
      <c r="X3" s="413"/>
      <c r="Y3" s="413"/>
      <c r="Z3" s="413"/>
      <c r="AA3" s="413"/>
      <c r="AB3" s="413"/>
      <c r="AC3" s="413"/>
      <c r="AD3" s="413"/>
      <c r="AE3" s="413"/>
      <c r="AF3" s="413"/>
    </row>
    <row r="4" spans="1:32" ht="23.25" x14ac:dyDescent="0.2">
      <c r="A4" s="538" t="s">
        <v>1411</v>
      </c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  <c r="N4" s="538"/>
      <c r="O4" s="538"/>
      <c r="P4" s="538"/>
      <c r="Q4" s="539" t="str">
        <f>IF('Данные объект'!B2="","",'Данные объект'!B2)</f>
      </c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</row>
    <row r="5" spans="1:32" ht="35.25" customHeight="1" x14ac:dyDescent="0.3">
      <c r="A5" s="537" t="s">
        <v>1460</v>
      </c>
      <c r="B5" s="537"/>
      <c r="C5" s="537"/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</row>
    <row r="6" spans="1:32" x14ac:dyDescent="0.2">
      <c r="A6" s="412"/>
      <c r="B6" s="412"/>
      <c r="C6" s="412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3"/>
      <c r="Z6" s="413"/>
      <c r="AA6" s="413"/>
      <c r="AB6" s="419"/>
      <c r="AC6" s="419"/>
      <c r="AD6" s="419"/>
      <c r="AE6" s="419"/>
      <c r="AF6" s="419"/>
    </row>
    <row r="7" spans="1:32" ht="15.75" x14ac:dyDescent="0.25">
      <c r="A7" s="420" t="s">
        <v>1417</v>
      </c>
      <c r="B7" s="509" t="str">
        <f>'Акт опробования'!B7:H7</f>
      </c>
      <c r="C7" s="509"/>
      <c r="D7" s="509"/>
      <c r="E7" s="509"/>
      <c r="F7" s="509"/>
      <c r="G7" s="509"/>
      <c r="H7" s="509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532" t="str">
        <f>IF('Данные объект'!B8="","",'Данные объект'!B8)</f>
      </c>
      <c r="Y7" s="532"/>
      <c r="Z7" s="532"/>
      <c r="AA7" s="532"/>
      <c r="AB7" s="532"/>
      <c r="AC7" s="532"/>
      <c r="AD7" s="532"/>
      <c r="AE7" s="532"/>
      <c r="AF7" s="532"/>
    </row>
    <row r="8" spans="1:32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</row>
    <row r="9" spans="1:32" ht="15.75" x14ac:dyDescent="0.25">
      <c r="A9" s="420" t="s">
        <v>1419</v>
      </c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23"/>
      <c r="P9" s="423"/>
      <c r="Q9" s="423"/>
      <c r="R9" s="423"/>
      <c r="S9" s="423"/>
      <c r="T9" s="423"/>
      <c r="U9" s="423"/>
      <c r="V9" s="423"/>
      <c r="W9" s="423"/>
      <c r="X9" s="423"/>
      <c r="Y9" s="423"/>
      <c r="Z9" s="423"/>
      <c r="AA9" s="423"/>
      <c r="AB9" s="423"/>
      <c r="AC9" s="423"/>
      <c r="AD9" s="423"/>
      <c r="AE9" s="423"/>
      <c r="AF9" s="423"/>
    </row>
    <row r="10" spans="1:32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</row>
    <row r="11" spans="1:32" ht="21" customHeight="1" x14ac:dyDescent="0.25">
      <c r="A11" s="509"/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</row>
    <row r="12" spans="1:32" ht="23.25" customHeight="1" x14ac:dyDescent="0.2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</row>
    <row r="13" spans="1:32" x14ac:dyDescent="0.2">
      <c r="A13" s="513" t="s">
        <v>1420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</row>
    <row r="14" spans="1:32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24"/>
      <c r="AB14" s="424"/>
      <c r="AC14" s="424"/>
      <c r="AD14" s="424"/>
      <c r="AE14" s="424"/>
      <c r="AF14" s="424"/>
    </row>
    <row r="15" spans="1:32" ht="18" customHeight="1" x14ac:dyDescent="0.25">
      <c r="A15" s="514" t="s">
        <v>1461</v>
      </c>
      <c r="B15" s="514"/>
      <c r="C15" s="514"/>
      <c r="D15" s="514"/>
      <c r="E15" s="514"/>
      <c r="F15" s="514"/>
      <c r="G15" s="42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420" t="s">
        <v>1422</v>
      </c>
      <c r="T15" s="421" t="s">
        <v>1418</v>
      </c>
      <c r="U15" s="509">
        <v>27</v>
      </c>
      <c r="V15" s="509"/>
      <c r="W15" s="418" t="s">
        <v>1418</v>
      </c>
      <c r="X15" s="509" t="s">
        <v>1521</v>
      </c>
      <c r="Y15" s="509"/>
      <c r="Z15" s="509"/>
      <c r="AA15" s="509"/>
      <c r="AB15" s="509"/>
      <c r="AC15" s="509"/>
      <c r="AD15" s="509"/>
      <c r="AE15" s="420">
        <v>20</v>
      </c>
      <c r="AF15" s="422">
        <v>26</v>
      </c>
    </row>
    <row r="16" spans="1:32" x14ac:dyDescent="0.2">
      <c r="A16" s="426"/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</row>
    <row r="17" spans="1:32" ht="19.5" customHeight="1" x14ac:dyDescent="0.25">
      <c r="A17" s="427" t="s">
        <v>13</v>
      </c>
      <c r="B17" s="516">
        <v>197</v>
      </c>
      <c r="C17" s="516"/>
      <c r="D17" s="516"/>
      <c r="E17" s="516"/>
      <c r="F17" s="51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</row>
    <row r="18" spans="1:32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</row>
    <row r="19" spans="1:32" ht="15.75" x14ac:dyDescent="0.25">
      <c r="A19" s="420" t="s">
        <v>1402</v>
      </c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25"/>
      <c r="R19" s="425"/>
      <c r="S19" s="425"/>
      <c r="T19" s="425"/>
      <c r="U19" s="425"/>
      <c r="V19" s="425"/>
      <c r="W19" s="425"/>
      <c r="X19" s="425"/>
      <c r="Y19" s="425"/>
      <c r="Z19" s="425"/>
      <c r="AA19" s="425"/>
      <c r="AB19" s="425"/>
      <c r="AC19" s="425"/>
      <c r="AD19" s="425"/>
      <c r="AE19" s="425"/>
      <c r="AF19" s="425"/>
    </row>
    <row r="20" spans="1:32" ht="12" hidden="1" customHeight="1" x14ac:dyDescent="0.2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</row>
    <row r="21" spans="1:32" ht="15.75" hidden="1" x14ac:dyDescent="0.2">
      <c r="A21" s="429" t="s">
        <v>1423</v>
      </c>
      <c r="B21" s="425"/>
      <c r="C21" s="425"/>
      <c r="D21" s="425"/>
      <c r="E21" s="425"/>
      <c r="F21" s="425"/>
      <c r="G21" s="425"/>
      <c r="H21" s="425"/>
      <c r="I21" s="425"/>
      <c r="J21" s="425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</row>
    <row r="22" spans="1:32" ht="21.75" hidden="1" customHeight="1" x14ac:dyDescent="0.25">
      <c r="A22" s="540"/>
      <c r="B22" s="540"/>
      <c r="C22" s="540"/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540"/>
      <c r="Y22" s="540"/>
      <c r="Z22" s="540"/>
      <c r="AA22" s="540"/>
      <c r="AB22" s="540"/>
      <c r="AC22" s="540"/>
      <c r="AD22" s="540"/>
      <c r="AE22" s="540"/>
      <c r="AF22" s="540"/>
    </row>
    <row r="23" spans="1:32" ht="18.75" hidden="1" customHeight="1" x14ac:dyDescent="0.2">
      <c r="A23" s="517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  <c r="T23" s="517"/>
      <c r="U23" s="517"/>
      <c r="V23" s="517"/>
      <c r="W23" s="517"/>
      <c r="X23" s="517"/>
      <c r="Y23" s="517"/>
      <c r="Z23" s="517"/>
      <c r="AA23" s="517"/>
      <c r="AB23" s="517"/>
      <c r="AC23" s="517"/>
      <c r="AD23" s="517"/>
      <c r="AE23" s="517"/>
      <c r="AF23" s="517"/>
    </row>
    <row r="24" spans="1:32" hidden="1" x14ac:dyDescent="0.2">
      <c r="A24" s="511" t="s">
        <v>1403</v>
      </c>
      <c r="B24" s="511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  <c r="AB24" s="511"/>
      <c r="AC24" s="511"/>
      <c r="AD24" s="511"/>
      <c r="AE24" s="511"/>
      <c r="AF24" s="511"/>
    </row>
    <row r="25" spans="1:32" ht="9.75" hidden="1" customHeight="1" x14ac:dyDescent="0.2">
      <c r="A25" s="412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</row>
    <row r="26" spans="1:32" ht="15.75" customHeight="1" x14ac:dyDescent="0.25">
      <c r="A26" s="430" t="s">
        <v>1424</v>
      </c>
      <c r="B26" s="424"/>
      <c r="C26" s="424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</row>
    <row r="27" spans="1:32" ht="14.25" customHeight="1" x14ac:dyDescent="0.25">
      <c r="A27" s="430" t="s">
        <v>1412</v>
      </c>
      <c r="B27" s="418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</row>
    <row r="28" spans="1:32" ht="19.5" customHeight="1" x14ac:dyDescent="0.25">
      <c r="A28" s="540" t="str">
        <f>'Акт опробования'!A28:AF28</f>
      </c>
      <c r="B28" s="540"/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0"/>
      <c r="V28" s="540"/>
      <c r="W28" s="540"/>
      <c r="X28" s="540"/>
      <c r="Y28" s="540"/>
      <c r="Z28" s="540"/>
      <c r="AA28" s="540"/>
      <c r="AB28" s="540"/>
      <c r="AC28" s="540"/>
      <c r="AD28" s="540"/>
      <c r="AE28" s="540"/>
      <c r="AF28" s="540"/>
    </row>
    <row r="29" spans="1:32" x14ac:dyDescent="0.2">
      <c r="A29" s="511" t="s">
        <v>1403</v>
      </c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</row>
    <row r="30" spans="1:32" ht="15" customHeight="1" x14ac:dyDescent="0.2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517"/>
      <c r="Z30" s="517"/>
      <c r="AA30" s="517"/>
      <c r="AB30" s="517"/>
      <c r="AC30" s="517"/>
      <c r="AD30" s="517"/>
      <c r="AE30" s="517"/>
      <c r="AF30" s="517"/>
    </row>
    <row r="31" spans="1:32" x14ac:dyDescent="0.2">
      <c r="A31" s="511" t="s">
        <v>1403</v>
      </c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</row>
    <row r="32" spans="1:32" ht="6.75" customHeight="1" x14ac:dyDescent="0.2">
      <c r="A32" s="418"/>
      <c r="B32" s="418"/>
      <c r="C32" s="418"/>
      <c r="D32" s="418"/>
      <c r="E32" s="418"/>
      <c r="F32" s="418"/>
      <c r="G32" s="418"/>
      <c r="H32" s="418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</row>
    <row r="33" spans="1:32" ht="15.75" x14ac:dyDescent="0.25">
      <c r="A33" s="430" t="s">
        <v>1425</v>
      </c>
      <c r="B33" s="425"/>
      <c r="C33" s="425"/>
      <c r="D33" s="425"/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</row>
    <row r="34" spans="1:32" ht="19.5" customHeight="1" x14ac:dyDescent="0.25">
      <c r="A34" s="540" t="str">
        <f>'Акт опробования'!A34:AF34</f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  <c r="AA34" s="540"/>
      <c r="AB34" s="540"/>
      <c r="AC34" s="540"/>
      <c r="AD34" s="540"/>
      <c r="AE34" s="540"/>
      <c r="AF34" s="540"/>
    </row>
    <row r="35" spans="1:32" x14ac:dyDescent="0.2">
      <c r="A35" s="511" t="s">
        <v>1403</v>
      </c>
      <c r="B35" s="511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  <c r="AC35" s="511"/>
      <c r="AD35" s="511"/>
      <c r="AE35" s="511"/>
      <c r="AF35" s="511"/>
    </row>
    <row r="36" spans="1:32" x14ac:dyDescent="0.2">
      <c r="A36" s="425"/>
      <c r="B36" s="425"/>
      <c r="C36" s="425"/>
      <c r="D36" s="425"/>
      <c r="E36" s="425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  <c r="V36" s="425"/>
      <c r="W36" s="425"/>
      <c r="X36" s="425"/>
      <c r="Y36" s="425"/>
      <c r="Z36" s="425"/>
      <c r="AA36" s="425"/>
      <c r="AB36" s="425"/>
      <c r="AC36" s="425"/>
      <c r="AD36" s="425"/>
      <c r="AE36" s="425"/>
      <c r="AF36" s="425"/>
    </row>
    <row r="37" spans="1:32" ht="15.75" x14ac:dyDescent="0.25">
      <c r="A37" s="430" t="s">
        <v>1407</v>
      </c>
      <c r="B37" s="425"/>
      <c r="C37" s="425"/>
      <c r="D37" s="425"/>
      <c r="E37" s="425"/>
      <c r="F37" s="425"/>
      <c r="G37" s="425"/>
      <c r="H37" s="425"/>
      <c r="I37" s="425"/>
      <c r="J37" s="425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</row>
    <row r="38" spans="1:32" ht="18" customHeight="1" x14ac:dyDescent="0.25">
      <c r="A38" s="509" t="s">
        <v>100</v>
      </c>
      <c r="B38" s="509"/>
      <c r="C38" s="509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</row>
    <row r="39" spans="1:32" ht="20.25" customHeight="1" x14ac:dyDescent="0.2">
      <c r="A39" s="517"/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517"/>
      <c r="V39" s="517"/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</row>
    <row r="40" spans="1:32" x14ac:dyDescent="0.2">
      <c r="A40" s="511" t="s">
        <v>1403</v>
      </c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</row>
    <row r="41" spans="1:32" ht="13.5" x14ac:dyDescent="0.2">
      <c r="A41" s="431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25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</row>
    <row r="42" spans="1:32" ht="15.75" x14ac:dyDescent="0.25">
      <c r="A42" s="430" t="s">
        <v>1426</v>
      </c>
      <c r="B42" s="425"/>
      <c r="C42" s="425"/>
      <c r="D42" s="425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</row>
    <row r="43" spans="1:32" ht="18" customHeight="1" x14ac:dyDescent="0.25">
      <c r="A43" s="540" t="str">
        <f>'Акт опробования'!A43:AF43</f>
      </c>
      <c r="B43" s="540"/>
      <c r="C43" s="540"/>
      <c r="D43" s="540"/>
      <c r="E43" s="540"/>
      <c r="F43" s="540"/>
      <c r="G43" s="540"/>
      <c r="H43" s="540"/>
      <c r="I43" s="540"/>
      <c r="J43" s="540"/>
      <c r="K43" s="540"/>
      <c r="L43" s="540"/>
      <c r="M43" s="540"/>
      <c r="N43" s="540"/>
      <c r="O43" s="540"/>
      <c r="P43" s="540"/>
      <c r="Q43" s="540"/>
      <c r="R43" s="540"/>
      <c r="S43" s="540"/>
      <c r="T43" s="540"/>
      <c r="U43" s="540"/>
      <c r="V43" s="540"/>
      <c r="W43" s="540"/>
      <c r="X43" s="540"/>
      <c r="Y43" s="540"/>
      <c r="Z43" s="540"/>
      <c r="AA43" s="540"/>
      <c r="AB43" s="540"/>
      <c r="AC43" s="540"/>
      <c r="AD43" s="540"/>
      <c r="AE43" s="540"/>
      <c r="AF43" s="540"/>
    </row>
    <row r="44" spans="1:32" ht="18" customHeight="1" x14ac:dyDescent="0.25">
      <c r="A44" s="540"/>
      <c r="B44" s="540"/>
      <c r="C44" s="540"/>
      <c r="D44" s="540"/>
      <c r="E44" s="540"/>
      <c r="F44" s="540"/>
      <c r="G44" s="540"/>
      <c r="H44" s="540"/>
      <c r="I44" s="540"/>
      <c r="J44" s="540"/>
      <c r="K44" s="540"/>
      <c r="L44" s="540"/>
      <c r="M44" s="540"/>
      <c r="N44" s="540"/>
      <c r="O44" s="540"/>
      <c r="P44" s="540"/>
      <c r="Q44" s="540"/>
      <c r="R44" s="540"/>
      <c r="S44" s="540"/>
      <c r="T44" s="540"/>
      <c r="U44" s="540"/>
      <c r="V44" s="540"/>
      <c r="W44" s="540"/>
      <c r="X44" s="540"/>
      <c r="Y44" s="540"/>
      <c r="Z44" s="540"/>
      <c r="AA44" s="540"/>
      <c r="AB44" s="540"/>
      <c r="AC44" s="540"/>
      <c r="AD44" s="540"/>
      <c r="AE44" s="540"/>
      <c r="AF44" s="540"/>
    </row>
    <row r="45" spans="1:32" x14ac:dyDescent="0.2">
      <c r="A45" s="511" t="s">
        <v>1403</v>
      </c>
      <c r="B45" s="511"/>
      <c r="C45" s="511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</row>
    <row r="46" spans="1:32" x14ac:dyDescent="0.2">
      <c r="A46" s="412"/>
      <c r="B46" s="412"/>
      <c r="C46" s="412"/>
      <c r="D46" s="412"/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412"/>
      <c r="AD46" s="412"/>
      <c r="AE46" s="412"/>
      <c r="AF46" s="412"/>
    </row>
    <row r="47" spans="1:32" ht="15.75" x14ac:dyDescent="0.25">
      <c r="A47" s="430" t="s">
        <v>1427</v>
      </c>
      <c r="B47" s="425"/>
      <c r="C47" s="425"/>
      <c r="D47" s="425"/>
      <c r="E47" s="425"/>
      <c r="F47" s="425"/>
      <c r="G47" s="425"/>
      <c r="H47" s="425"/>
      <c r="I47" s="425"/>
      <c r="J47" s="425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</row>
    <row r="48" spans="1:32" ht="16.5" customHeight="1" x14ac:dyDescent="0.25">
      <c r="A48" s="540" t="str">
        <f>'Акт опробования'!A48:AF48</f>
      </c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40"/>
      <c r="Y48" s="540"/>
      <c r="Z48" s="540"/>
      <c r="AA48" s="540"/>
      <c r="AB48" s="540"/>
      <c r="AC48" s="540"/>
      <c r="AD48" s="540"/>
      <c r="AE48" s="540"/>
      <c r="AF48" s="540"/>
    </row>
    <row r="49" spans="1:32" ht="14.25" customHeight="1" x14ac:dyDescent="0.2">
      <c r="A49" s="517"/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  <c r="AA49" s="517"/>
      <c r="AB49" s="517"/>
      <c r="AC49" s="517"/>
      <c r="AD49" s="517"/>
      <c r="AE49" s="517"/>
      <c r="AF49" s="517"/>
    </row>
    <row r="50" spans="1:32" x14ac:dyDescent="0.2">
      <c r="A50" s="511" t="s">
        <v>1403</v>
      </c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</row>
    <row r="51" spans="1:32" ht="9.75" customHeight="1" x14ac:dyDescent="0.2">
      <c r="A51" s="412"/>
      <c r="B51" s="412"/>
      <c r="C51" s="412"/>
      <c r="D51" s="412"/>
      <c r="E51" s="425"/>
      <c r="F51" s="425"/>
      <c r="G51" s="425"/>
      <c r="H51" s="425"/>
      <c r="I51" s="425"/>
      <c r="J51" s="425"/>
      <c r="K51" s="425"/>
      <c r="L51" s="425"/>
      <c r="M51" s="425"/>
      <c r="N51" s="425"/>
      <c r="O51" s="425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</row>
    <row r="52" spans="1:32" ht="5.25" customHeight="1" x14ac:dyDescent="0.2">
      <c r="A52" s="412"/>
      <c r="B52" s="412"/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412"/>
      <c r="AD52" s="412"/>
      <c r="AE52" s="412"/>
      <c r="AF52" s="412"/>
    </row>
    <row r="53" spans="1:32" ht="16.5" hidden="1" customHeight="1" x14ac:dyDescent="0.25">
      <c r="A53" s="430" t="s">
        <v>1428</v>
      </c>
      <c r="B53" s="425"/>
      <c r="C53" s="425"/>
      <c r="D53" s="425"/>
      <c r="E53" s="425"/>
      <c r="F53" s="425"/>
      <c r="G53" s="425"/>
      <c r="H53" s="425"/>
      <c r="I53" s="425"/>
      <c r="J53" s="425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</row>
    <row r="54" spans="1:32" ht="14.25" hidden="1" customHeight="1" x14ac:dyDescent="0.25">
      <c r="A54" s="519" t="s">
        <v>101</v>
      </c>
      <c r="B54" s="519"/>
      <c r="C54" s="519"/>
      <c r="D54" s="519"/>
      <c r="E54" s="519"/>
      <c r="F54" s="519"/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</row>
    <row r="55" spans="1:32" ht="12.75" hidden="1" customHeight="1" x14ac:dyDescent="0.25">
      <c r="A55" s="519" t="s">
        <v>101</v>
      </c>
      <c r="B55" s="519"/>
      <c r="C55" s="519"/>
      <c r="D55" s="519"/>
      <c r="E55" s="519"/>
      <c r="F55" s="519"/>
      <c r="G55" s="519"/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</row>
    <row r="56" spans="1:32" hidden="1" x14ac:dyDescent="0.2">
      <c r="A56" s="511" t="s">
        <v>1403</v>
      </c>
      <c r="B56" s="511"/>
      <c r="C56" s="511"/>
      <c r="D56" s="511"/>
      <c r="E56" s="511"/>
      <c r="F56" s="511"/>
      <c r="G56" s="511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  <c r="AB56" s="511"/>
      <c r="AC56" s="511"/>
      <c r="AD56" s="511"/>
      <c r="AE56" s="511"/>
      <c r="AF56" s="511"/>
    </row>
    <row r="57" spans="1:32" ht="1.5" customHeight="1" x14ac:dyDescent="0.2">
      <c r="A57" s="433"/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</row>
    <row r="58" spans="1:32" ht="17.25" customHeight="1" x14ac:dyDescent="0.25">
      <c r="A58" s="430" t="s">
        <v>1429</v>
      </c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25"/>
    </row>
    <row r="59" spans="1:32" ht="13.5" customHeight="1" x14ac:dyDescent="0.25">
      <c r="A59" s="519" t="s">
        <v>101</v>
      </c>
      <c r="B59" s="519"/>
      <c r="C59" s="519"/>
      <c r="D59" s="519"/>
      <c r="E59" s="519"/>
      <c r="F59" s="519"/>
      <c r="G59" s="519"/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19"/>
      <c r="AB59" s="519"/>
      <c r="AC59" s="519"/>
      <c r="AD59" s="519"/>
      <c r="AE59" s="519"/>
      <c r="AF59" s="519"/>
    </row>
    <row r="60" spans="1:32" x14ac:dyDescent="0.2">
      <c r="A60" s="511" t="s">
        <v>1403</v>
      </c>
      <c r="B60" s="511"/>
      <c r="C60" s="511"/>
      <c r="D60" s="511"/>
      <c r="E60" s="511"/>
      <c r="F60" s="511"/>
      <c r="G60" s="511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1"/>
      <c r="AB60" s="511"/>
      <c r="AC60" s="511"/>
      <c r="AD60" s="511"/>
      <c r="AE60" s="511"/>
      <c r="AF60" s="511"/>
    </row>
    <row r="61" spans="1:32" ht="3.75" customHeight="1" x14ac:dyDescent="0.2">
      <c r="A61" s="433"/>
      <c r="B61" s="433"/>
      <c r="C61" s="433"/>
      <c r="D61" s="433"/>
      <c r="E61" s="433"/>
      <c r="F61" s="433"/>
      <c r="G61" s="433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412"/>
      <c r="AD61" s="412"/>
      <c r="AE61" s="412"/>
      <c r="AF61" s="412"/>
    </row>
    <row r="62" spans="1:32" ht="18" customHeight="1" x14ac:dyDescent="0.25">
      <c r="A62" s="434" t="s">
        <v>1404</v>
      </c>
      <c r="B62" s="433"/>
      <c r="C62" s="433"/>
      <c r="D62" s="433"/>
      <c r="E62" s="433"/>
      <c r="F62" s="433"/>
      <c r="G62" s="433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412"/>
      <c r="AD62" s="412"/>
      <c r="AE62" s="412"/>
      <c r="AF62" s="412"/>
    </row>
    <row r="63" spans="1:32" ht="9" customHeight="1" x14ac:dyDescent="0.2">
      <c r="A63" s="435"/>
      <c r="B63" s="435"/>
      <c r="C63" s="435"/>
      <c r="D63" s="435"/>
      <c r="E63" s="435"/>
      <c r="F63" s="435"/>
      <c r="G63" s="435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</row>
    <row r="64" spans="1:32" s="453" customFormat="1" ht="14.25" customHeight="1" x14ac:dyDescent="0.2">
      <c r="A64" s="542" t="s">
        <v>1462</v>
      </c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2"/>
      <c r="Q64" s="542"/>
      <c r="R64" s="542"/>
      <c r="S64" s="542"/>
      <c r="T64" s="542"/>
      <c r="U64" s="542"/>
      <c r="V64" s="542"/>
      <c r="W64" s="542"/>
      <c r="X64" s="542"/>
      <c r="Y64" s="542"/>
      <c r="Z64" s="542"/>
      <c r="AA64" s="542"/>
      <c r="AB64" s="542"/>
      <c r="AC64" s="542"/>
      <c r="AD64" s="542"/>
      <c r="AE64" s="542"/>
      <c r="AF64" s="542"/>
    </row>
    <row r="65" spans="1:32" s="453" customFormat="1" ht="9" customHeight="1" x14ac:dyDescent="0.2">
      <c r="A65" s="542" t="str">
        <f>'Акт опробования'!A28:AF28</f>
      </c>
      <c r="B65" s="542"/>
      <c r="C65" s="542"/>
      <c r="D65" s="542"/>
      <c r="E65" s="542"/>
      <c r="F65" s="542"/>
      <c r="G65" s="542"/>
      <c r="H65" s="542"/>
      <c r="I65" s="542"/>
      <c r="J65" s="542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2"/>
      <c r="AB65" s="542"/>
      <c r="AC65" s="542"/>
      <c r="AD65" s="542"/>
      <c r="AE65" s="542"/>
      <c r="AF65" s="542"/>
    </row>
    <row r="66" spans="1:32" s="453" customFormat="1" ht="9" customHeight="1" x14ac:dyDescent="0.2">
      <c r="A66" s="543"/>
      <c r="B66" s="543"/>
      <c r="C66" s="543"/>
      <c r="D66" s="543"/>
      <c r="E66" s="543"/>
      <c r="F66" s="543"/>
      <c r="G66" s="543"/>
      <c r="H66" s="543"/>
      <c r="I66" s="543"/>
      <c r="J66" s="543"/>
      <c r="K66" s="543"/>
      <c r="L66" s="543"/>
      <c r="M66" s="543"/>
      <c r="N66" s="543"/>
      <c r="O66" s="543"/>
      <c r="P66" s="543"/>
      <c r="Q66" s="543"/>
      <c r="R66" s="543"/>
      <c r="S66" s="543"/>
      <c r="T66" s="543"/>
      <c r="U66" s="543"/>
      <c r="V66" s="543"/>
      <c r="W66" s="543"/>
      <c r="X66" s="543"/>
      <c r="Y66" s="543"/>
      <c r="Z66" s="543"/>
      <c r="AA66" s="543"/>
      <c r="AB66" s="543"/>
      <c r="AC66" s="543"/>
      <c r="AD66" s="543"/>
      <c r="AE66" s="543"/>
      <c r="AF66" s="543"/>
    </row>
    <row r="67" spans="1:32" s="453" customFormat="1" ht="9" customHeight="1" x14ac:dyDescent="0.2">
      <c r="A67" s="544"/>
      <c r="B67" s="544"/>
      <c r="C67" s="544"/>
      <c r="D67" s="544"/>
      <c r="E67" s="54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  <c r="AD67" s="544"/>
      <c r="AE67" s="544"/>
      <c r="AF67" s="544"/>
    </row>
    <row r="68" spans="1:32" s="453" customFormat="1" ht="9" customHeight="1" x14ac:dyDescent="0.2">
      <c r="A68" s="545"/>
      <c r="B68" s="545"/>
      <c r="C68" s="545"/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Y68" s="545"/>
      <c r="Z68" s="545"/>
      <c r="AA68" s="545"/>
      <c r="AB68" s="545"/>
      <c r="AC68" s="545"/>
      <c r="AD68" s="545"/>
      <c r="AE68" s="545"/>
      <c r="AF68" s="545"/>
    </row>
    <row r="69" spans="1:32" s="453" customFormat="1" ht="9" customHeight="1" x14ac:dyDescent="0.2">
      <c r="A69" s="541" t="s">
        <v>1403</v>
      </c>
      <c r="B69" s="541"/>
      <c r="C69" s="541"/>
      <c r="D69" s="541"/>
      <c r="E69" s="541"/>
      <c r="F69" s="541"/>
      <c r="G69" s="541"/>
      <c r="H69" s="541"/>
      <c r="I69" s="541"/>
      <c r="J69" s="541"/>
      <c r="K69" s="541"/>
      <c r="L69" s="541"/>
      <c r="M69" s="541"/>
      <c r="N69" s="541"/>
      <c r="O69" s="541"/>
      <c r="P69" s="541"/>
      <c r="Q69" s="541"/>
      <c r="R69" s="541"/>
      <c r="S69" s="541"/>
      <c r="T69" s="541"/>
      <c r="U69" s="541"/>
      <c r="V69" s="541"/>
      <c r="W69" s="541"/>
      <c r="X69" s="541"/>
      <c r="Y69" s="541"/>
      <c r="Z69" s="541"/>
      <c r="AA69" s="541"/>
      <c r="AB69" s="541"/>
      <c r="AC69" s="541"/>
      <c r="AD69" s="541"/>
      <c r="AE69" s="541"/>
      <c r="AF69" s="541"/>
    </row>
    <row r="70" spans="1:32" s="453" customFormat="1" ht="9" customHeight="1" x14ac:dyDescent="0.25">
      <c r="A70" s="454"/>
      <c r="B70" s="454"/>
      <c r="C70" s="454"/>
      <c r="D70" s="454"/>
      <c r="E70" s="454"/>
      <c r="F70" s="454"/>
      <c r="G70" s="454"/>
      <c r="H70" s="420"/>
      <c r="I70" s="420"/>
      <c r="J70" s="420"/>
      <c r="K70" s="420"/>
      <c r="L70" s="420"/>
      <c r="M70" s="420"/>
      <c r="N70" s="420"/>
      <c r="O70" s="420"/>
      <c r="P70" s="420"/>
      <c r="Q70" s="420"/>
      <c r="R70" s="455"/>
      <c r="S70" s="455"/>
      <c r="T70" s="455"/>
      <c r="U70" s="455"/>
      <c r="V70" s="455"/>
      <c r="W70" s="455"/>
      <c r="X70" s="455"/>
      <c r="Y70" s="455"/>
      <c r="Z70" s="455"/>
      <c r="AA70" s="455"/>
      <c r="AB70" s="455"/>
      <c r="AC70" s="455"/>
      <c r="AD70" s="455"/>
      <c r="AE70" s="455"/>
      <c r="AF70" s="455"/>
    </row>
    <row r="71" spans="1:32" s="453" customFormat="1" ht="11.25" customHeight="1" x14ac:dyDescent="0.2">
      <c r="A71" s="542" t="s">
        <v>1463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542"/>
      <c r="AE71" s="542"/>
      <c r="AF71" s="542"/>
    </row>
    <row r="72" spans="1:32" s="453" customFormat="1" ht="21.75" customHeight="1" x14ac:dyDescent="0.2">
      <c r="A72" s="520" t="s">
        <v>1464</v>
      </c>
      <c r="B72" s="520"/>
      <c r="C72" s="520"/>
      <c r="D72" s="520"/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</row>
    <row r="73" spans="1:32" s="453" customFormat="1" ht="409.5" hidden="1" customHeight="1" x14ac:dyDescent="0.2">
      <c r="A73" s="521"/>
      <c r="B73" s="521"/>
      <c r="C73" s="521"/>
      <c r="D73" s="521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1"/>
      <c r="AB73" s="521"/>
      <c r="AC73" s="521"/>
      <c r="AD73" s="521"/>
      <c r="AE73" s="521"/>
      <c r="AF73" s="521"/>
    </row>
    <row r="74" spans="1:32" s="453" customFormat="1" ht="15.75" customHeight="1" x14ac:dyDescent="0.2">
      <c r="A74" s="541" t="s">
        <v>1465</v>
      </c>
      <c r="B74" s="541"/>
      <c r="C74" s="541"/>
      <c r="D74" s="541"/>
      <c r="E74" s="541"/>
      <c r="F74" s="541"/>
      <c r="G74" s="541"/>
      <c r="H74" s="541"/>
      <c r="I74" s="541"/>
      <c r="J74" s="541"/>
      <c r="K74" s="541"/>
      <c r="L74" s="541"/>
      <c r="M74" s="541"/>
      <c r="N74" s="541"/>
      <c r="O74" s="541"/>
      <c r="P74" s="541"/>
      <c r="Q74" s="541"/>
      <c r="R74" s="541"/>
      <c r="S74" s="541"/>
      <c r="T74" s="541"/>
      <c r="U74" s="541"/>
      <c r="V74" s="541"/>
      <c r="W74" s="541"/>
      <c r="X74" s="541"/>
      <c r="Y74" s="541"/>
      <c r="Z74" s="541"/>
      <c r="AA74" s="541"/>
      <c r="AB74" s="541"/>
      <c r="AC74" s="541"/>
      <c r="AD74" s="541"/>
      <c r="AE74" s="541"/>
      <c r="AF74" s="541"/>
    </row>
    <row r="75" spans="1:32" s="453" customFormat="1" ht="14.25" customHeight="1" x14ac:dyDescent="0.2">
      <c r="A75" s="545"/>
      <c r="B75" s="545"/>
      <c r="C75" s="545"/>
      <c r="D75" s="545"/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5"/>
      <c r="AB75" s="545"/>
      <c r="AC75" s="545"/>
      <c r="AD75" s="545"/>
      <c r="AE75" s="545"/>
      <c r="AF75" s="545"/>
    </row>
    <row r="76" spans="1:32" s="453" customFormat="1" ht="13.5" customHeight="1" x14ac:dyDescent="0.2">
      <c r="A76" s="541" t="s">
        <v>1466</v>
      </c>
      <c r="B76" s="541"/>
      <c r="C76" s="541"/>
      <c r="D76" s="541"/>
      <c r="E76" s="541"/>
      <c r="F76" s="541"/>
      <c r="G76" s="541"/>
      <c r="H76" s="541"/>
      <c r="I76" s="541"/>
      <c r="J76" s="541"/>
      <c r="K76" s="541"/>
      <c r="L76" s="541"/>
      <c r="M76" s="541"/>
      <c r="N76" s="541"/>
      <c r="O76" s="541"/>
      <c r="P76" s="541"/>
      <c r="Q76" s="541"/>
      <c r="R76" s="541"/>
      <c r="S76" s="541"/>
      <c r="T76" s="541"/>
      <c r="U76" s="541"/>
      <c r="V76" s="541"/>
      <c r="W76" s="541"/>
      <c r="X76" s="541"/>
      <c r="Y76" s="541"/>
      <c r="Z76" s="541"/>
      <c r="AA76" s="541"/>
      <c r="AB76" s="541"/>
      <c r="AC76" s="541"/>
      <c r="AD76" s="541"/>
      <c r="AE76" s="541"/>
      <c r="AF76" s="541"/>
    </row>
    <row r="77" spans="1:32" s="453" customFormat="1" ht="9" customHeight="1" x14ac:dyDescent="0.25">
      <c r="A77" s="454"/>
      <c r="B77" s="454"/>
      <c r="C77" s="454"/>
      <c r="D77" s="454"/>
      <c r="E77" s="454"/>
      <c r="F77" s="454"/>
      <c r="G77" s="454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55"/>
      <c r="S77" s="455"/>
      <c r="T77" s="455"/>
      <c r="U77" s="455"/>
      <c r="V77" s="455"/>
      <c r="W77" s="455"/>
      <c r="X77" s="455"/>
      <c r="Y77" s="455"/>
      <c r="Z77" s="455"/>
      <c r="AA77" s="455"/>
      <c r="AB77" s="455"/>
      <c r="AC77" s="455"/>
      <c r="AD77" s="455"/>
      <c r="AE77" s="455"/>
      <c r="AF77" s="455"/>
    </row>
    <row r="78" spans="1:32" s="453" customFormat="1" ht="10.5" customHeight="1" x14ac:dyDescent="0.2">
      <c r="A78" s="542" t="s">
        <v>1467</v>
      </c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  <c r="AC78" s="542"/>
      <c r="AD78" s="542"/>
      <c r="AE78" s="542"/>
      <c r="AF78" s="542"/>
    </row>
    <row r="79" spans="1:32" s="453" customFormat="1" ht="28.5" customHeight="1" x14ac:dyDescent="0.2">
      <c r="A79" s="529" t="str">
        <f>IF('Данные объект'!B5="","",'Данные объект'!B5)</f>
      </c>
      <c r="B79" s="529"/>
      <c r="C79" s="529"/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529"/>
    </row>
    <row r="80" spans="1:32" s="453" customFormat="1" ht="3.75" customHeight="1" x14ac:dyDescent="0.2">
      <c r="A80" s="516"/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6"/>
      <c r="X80" s="516"/>
      <c r="Y80" s="516"/>
      <c r="Z80" s="516"/>
      <c r="AA80" s="516"/>
      <c r="AB80" s="516"/>
      <c r="AC80" s="516"/>
      <c r="AD80" s="516"/>
      <c r="AE80" s="516"/>
      <c r="AF80" s="516"/>
    </row>
    <row r="81" spans="1:32" s="453" customFormat="1" ht="12.75" customHeight="1" x14ac:dyDescent="0.2">
      <c r="A81" s="541" t="s">
        <v>1468</v>
      </c>
      <c r="B81" s="541"/>
      <c r="C81" s="541"/>
      <c r="D81" s="541"/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1"/>
      <c r="AB81" s="541"/>
      <c r="AC81" s="541"/>
      <c r="AD81" s="541"/>
      <c r="AE81" s="541"/>
      <c r="AF81" s="541"/>
    </row>
    <row r="82" spans="1:32" s="453" customFormat="1" ht="9" customHeight="1" x14ac:dyDescent="0.25">
      <c r="A82" s="454"/>
      <c r="B82" s="454"/>
      <c r="C82" s="454"/>
      <c r="D82" s="454"/>
      <c r="E82" s="454"/>
      <c r="F82" s="454"/>
      <c r="G82" s="454"/>
      <c r="H82" s="420"/>
      <c r="I82" s="420"/>
      <c r="J82" s="420"/>
      <c r="K82" s="420"/>
      <c r="L82" s="420"/>
      <c r="M82" s="420"/>
      <c r="N82" s="420"/>
      <c r="O82" s="420"/>
      <c r="P82" s="420"/>
      <c r="Q82" s="420"/>
      <c r="R82" s="455"/>
      <c r="S82" s="455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  <c r="AD82" s="455"/>
      <c r="AE82" s="455"/>
      <c r="AF82" s="455"/>
    </row>
    <row r="83" spans="1:32" s="453" customFormat="1" ht="9" customHeight="1" x14ac:dyDescent="0.2">
      <c r="A83" s="542" t="s">
        <v>1469</v>
      </c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</row>
    <row r="84" spans="1:32" s="453" customFormat="1" ht="13.5" customHeight="1" x14ac:dyDescent="0.2">
      <c r="A84" s="546" t="str">
        <f>IF('Данные объект'!B3="","",'Данные объект'!B3)</f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46"/>
      <c r="AB84" s="546"/>
      <c r="AC84" s="546"/>
      <c r="AD84" s="546"/>
      <c r="AE84" s="546"/>
      <c r="AF84" s="546"/>
    </row>
    <row r="85" spans="1:32" s="453" customFormat="1" ht="36.75" customHeight="1" x14ac:dyDescent="0.2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  <c r="AA85" s="547"/>
      <c r="AB85" s="547"/>
      <c r="AC85" s="547"/>
      <c r="AD85" s="547"/>
      <c r="AE85" s="547"/>
      <c r="AF85" s="547"/>
    </row>
    <row r="86" spans="1:32" s="453" customFormat="1" ht="9" customHeight="1" x14ac:dyDescent="0.2">
      <c r="A86" s="541" t="s">
        <v>1433</v>
      </c>
      <c r="B86" s="541"/>
      <c r="C86" s="541"/>
      <c r="D86" s="541"/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1"/>
      <c r="V86" s="541"/>
      <c r="W86" s="541"/>
      <c r="X86" s="541"/>
      <c r="Y86" s="541"/>
      <c r="Z86" s="541"/>
      <c r="AA86" s="541"/>
      <c r="AB86" s="541"/>
      <c r="AC86" s="541"/>
      <c r="AD86" s="541"/>
      <c r="AE86" s="541"/>
      <c r="AF86" s="541"/>
    </row>
    <row r="87" spans="1:32" s="453" customFormat="1" ht="9" customHeight="1" x14ac:dyDescent="0.25">
      <c r="A87" s="454"/>
      <c r="B87" s="454"/>
      <c r="C87" s="454"/>
      <c r="D87" s="454"/>
      <c r="E87" s="454"/>
      <c r="F87" s="454"/>
      <c r="G87" s="454"/>
      <c r="H87" s="420"/>
      <c r="I87" s="420"/>
      <c r="J87" s="420"/>
      <c r="K87" s="420"/>
      <c r="L87" s="420"/>
      <c r="M87" s="420"/>
      <c r="N87" s="420"/>
      <c r="O87" s="420"/>
      <c r="P87" s="420"/>
      <c r="Q87" s="420"/>
      <c r="R87" s="455"/>
      <c r="S87" s="455"/>
      <c r="T87" s="455"/>
      <c r="U87" s="455"/>
      <c r="V87" s="455"/>
      <c r="W87" s="455"/>
      <c r="X87" s="455"/>
      <c r="Y87" s="455"/>
      <c r="Z87" s="455"/>
      <c r="AA87" s="455"/>
      <c r="AB87" s="455"/>
      <c r="AC87" s="455"/>
      <c r="AD87" s="455"/>
      <c r="AE87" s="455"/>
      <c r="AF87" s="455"/>
    </row>
    <row r="88" spans="1:32" s="453" customFormat="1" ht="13.5" customHeight="1" x14ac:dyDescent="0.2">
      <c r="A88" s="542" t="s">
        <v>1470</v>
      </c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</row>
    <row r="89" spans="1:32" s="453" customFormat="1" ht="19.5" customHeight="1" x14ac:dyDescent="0.2">
      <c r="A89" s="514" t="str">
        <f>IF('Данные объект'!B19="","",'Данные объект'!B19)</f>
      </c>
      <c r="B89" s="514"/>
      <c r="C89" s="514"/>
      <c r="D89" s="514"/>
      <c r="E89" s="514"/>
      <c r="F89" s="514"/>
      <c r="G89" s="514"/>
      <c r="H89" s="514"/>
      <c r="I89" s="514"/>
      <c r="J89" s="514"/>
      <c r="K89" s="514"/>
      <c r="L89" s="514"/>
      <c r="M89" s="514"/>
      <c r="N89" s="514"/>
      <c r="O89" s="514"/>
      <c r="P89" s="514"/>
      <c r="Q89" s="514"/>
      <c r="R89" s="514"/>
      <c r="S89" s="514"/>
      <c r="T89" s="514"/>
      <c r="U89" s="514"/>
      <c r="V89" s="514"/>
      <c r="W89" s="514"/>
      <c r="X89" s="514"/>
      <c r="Y89" s="514"/>
      <c r="Z89" s="514"/>
      <c r="AA89" s="514"/>
      <c r="AB89" s="514"/>
      <c r="AC89" s="514"/>
      <c r="AD89" s="514"/>
      <c r="AE89" s="514"/>
      <c r="AF89" s="514"/>
    </row>
    <row r="90" spans="1:32" s="453" customFormat="1" ht="0.75" customHeight="1" x14ac:dyDescent="0.2">
      <c r="A90" s="509"/>
      <c r="B90" s="509"/>
      <c r="C90" s="509"/>
      <c r="D90" s="509"/>
      <c r="E90" s="509"/>
      <c r="F90" s="509"/>
      <c r="G90" s="509"/>
      <c r="H90" s="509"/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  <c r="Z90" s="509"/>
      <c r="AA90" s="509"/>
      <c r="AB90" s="509"/>
      <c r="AC90" s="509"/>
      <c r="AD90" s="509"/>
      <c r="AE90" s="509"/>
      <c r="AF90" s="509"/>
    </row>
    <row r="91" spans="1:32" s="453" customFormat="1" ht="13.5" customHeight="1" x14ac:dyDescent="0.2">
      <c r="A91" s="541" t="s">
        <v>1433</v>
      </c>
      <c r="B91" s="541"/>
      <c r="C91" s="541"/>
      <c r="D91" s="541"/>
      <c r="E91" s="541"/>
      <c r="F91" s="541"/>
      <c r="G91" s="541"/>
      <c r="H91" s="541"/>
      <c r="I91" s="541"/>
      <c r="J91" s="541"/>
      <c r="K91" s="541"/>
      <c r="L91" s="541"/>
      <c r="M91" s="541"/>
      <c r="N91" s="541"/>
      <c r="O91" s="541"/>
      <c r="P91" s="541"/>
      <c r="Q91" s="541"/>
      <c r="R91" s="541"/>
      <c r="S91" s="541"/>
      <c r="T91" s="541"/>
      <c r="U91" s="541"/>
      <c r="V91" s="541"/>
      <c r="W91" s="541"/>
      <c r="X91" s="541"/>
      <c r="Y91" s="541"/>
      <c r="Z91" s="541"/>
      <c r="AA91" s="541"/>
      <c r="AB91" s="541"/>
      <c r="AC91" s="541"/>
      <c r="AD91" s="541"/>
      <c r="AE91" s="541"/>
      <c r="AF91" s="541"/>
    </row>
    <row r="92" spans="1:32" s="453" customFormat="1" ht="9" customHeight="1" x14ac:dyDescent="0.25">
      <c r="A92" s="454"/>
      <c r="B92" s="454"/>
      <c r="C92" s="454"/>
      <c r="D92" s="454"/>
      <c r="E92" s="454"/>
      <c r="F92" s="454"/>
      <c r="G92" s="454"/>
      <c r="H92" s="420"/>
      <c r="I92" s="420"/>
      <c r="J92" s="420"/>
      <c r="K92" s="420"/>
      <c r="L92" s="420"/>
      <c r="M92" s="420"/>
      <c r="N92" s="420"/>
      <c r="O92" s="420"/>
      <c r="P92" s="420"/>
      <c r="Q92" s="420"/>
      <c r="R92" s="455"/>
      <c r="S92" s="455"/>
      <c r="T92" s="455"/>
      <c r="U92" s="455"/>
      <c r="V92" s="455"/>
      <c r="W92" s="455"/>
      <c r="X92" s="455"/>
      <c r="Y92" s="455"/>
      <c r="Z92" s="455"/>
      <c r="AA92" s="455"/>
      <c r="AB92" s="455"/>
      <c r="AC92" s="455"/>
      <c r="AD92" s="455"/>
      <c r="AE92" s="455"/>
      <c r="AF92" s="455"/>
    </row>
    <row r="93" spans="1:32" s="453" customFormat="1" ht="13.5" customHeight="1" x14ac:dyDescent="0.2">
      <c r="A93" s="542" t="s">
        <v>1471</v>
      </c>
      <c r="B93" s="542"/>
      <c r="C93" s="542"/>
      <c r="D93" s="542"/>
      <c r="E93" s="542"/>
      <c r="F93" s="542"/>
      <c r="G93" s="542"/>
      <c r="H93" s="542"/>
      <c r="I93" s="542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</row>
    <row r="94" spans="1:32" s="453" customFormat="1" ht="15.75" customHeight="1" x14ac:dyDescent="0.2">
      <c r="A94" s="514" t="str">
        <f>IF(A89="","",A89)</f>
      </c>
      <c r="B94" s="514"/>
      <c r="C94" s="514"/>
      <c r="D94" s="514"/>
      <c r="E94" s="514"/>
      <c r="F94" s="514"/>
      <c r="G94" s="514"/>
      <c r="H94" s="514"/>
      <c r="I94" s="514"/>
      <c r="J94" s="514"/>
      <c r="K94" s="514"/>
      <c r="L94" s="514"/>
      <c r="M94" s="514"/>
      <c r="N94" s="514"/>
      <c r="O94" s="514"/>
      <c r="P94" s="514"/>
      <c r="Q94" s="514"/>
      <c r="R94" s="514"/>
      <c r="S94" s="514"/>
      <c r="T94" s="514"/>
      <c r="U94" s="514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</row>
    <row r="95" spans="1:32" s="453" customFormat="1" ht="13.5" customHeight="1" x14ac:dyDescent="0.2">
      <c r="A95" s="514"/>
      <c r="B95" s="514"/>
      <c r="C95" s="514"/>
      <c r="D95" s="514"/>
      <c r="E95" s="514"/>
      <c r="F95" s="514"/>
      <c r="G95" s="514"/>
      <c r="H95" s="514"/>
      <c r="I95" s="514"/>
      <c r="J95" s="514"/>
      <c r="K95" s="514"/>
      <c r="L95" s="514"/>
      <c r="M95" s="514"/>
      <c r="N95" s="514"/>
      <c r="O95" s="514"/>
      <c r="P95" s="514"/>
      <c r="Q95" s="514"/>
      <c r="R95" s="514"/>
      <c r="S95" s="514"/>
      <c r="T95" s="514"/>
      <c r="U95" s="514"/>
      <c r="V95" s="514"/>
      <c r="W95" s="514"/>
      <c r="X95" s="514"/>
      <c r="Y95" s="514"/>
      <c r="Z95" s="514"/>
      <c r="AA95" s="514"/>
      <c r="AB95" s="514"/>
      <c r="AC95" s="514"/>
      <c r="AD95" s="514"/>
      <c r="AE95" s="514"/>
      <c r="AF95" s="514"/>
    </row>
    <row r="96" spans="1:32" s="453" customFormat="1" ht="9" hidden="1" customHeight="1" x14ac:dyDescent="0.2">
      <c r="A96" s="514"/>
      <c r="B96" s="514"/>
      <c r="C96" s="514"/>
      <c r="D96" s="514"/>
      <c r="E96" s="514"/>
      <c r="F96" s="514"/>
      <c r="G96" s="514"/>
      <c r="H96" s="514"/>
      <c r="I96" s="514"/>
      <c r="J96" s="514"/>
      <c r="K96" s="514"/>
      <c r="L96" s="514"/>
      <c r="M96" s="514"/>
      <c r="N96" s="514"/>
      <c r="O96" s="514"/>
      <c r="P96" s="514"/>
      <c r="Q96" s="514"/>
      <c r="R96" s="514"/>
      <c r="S96" s="514"/>
      <c r="T96" s="514"/>
      <c r="U96" s="514"/>
      <c r="V96" s="514"/>
      <c r="W96" s="514"/>
      <c r="X96" s="514"/>
      <c r="Y96" s="514"/>
      <c r="Z96" s="514"/>
      <c r="AA96" s="514"/>
      <c r="AB96" s="514"/>
      <c r="AC96" s="514"/>
      <c r="AD96" s="514"/>
      <c r="AE96" s="514"/>
      <c r="AF96" s="514"/>
    </row>
    <row r="97" spans="1:32" s="453" customFormat="1" ht="12" hidden="1" customHeight="1" x14ac:dyDescent="0.2">
      <c r="A97" s="509"/>
      <c r="B97" s="509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  <c r="AA97" s="509"/>
      <c r="AB97" s="509"/>
      <c r="AC97" s="509"/>
      <c r="AD97" s="509"/>
      <c r="AE97" s="509"/>
      <c r="AF97" s="509"/>
    </row>
    <row r="98" spans="1:32" s="453" customFormat="1" ht="9" customHeight="1" x14ac:dyDescent="0.2">
      <c r="A98" s="541" t="s">
        <v>1472</v>
      </c>
      <c r="B98" s="541"/>
      <c r="C98" s="541"/>
      <c r="D98" s="541"/>
      <c r="E98" s="541"/>
      <c r="F98" s="541"/>
      <c r="G98" s="541"/>
      <c r="H98" s="541"/>
      <c r="I98" s="541"/>
      <c r="J98" s="541"/>
      <c r="K98" s="541"/>
      <c r="L98" s="541"/>
      <c r="M98" s="541"/>
      <c r="N98" s="541"/>
      <c r="O98" s="541"/>
      <c r="P98" s="541"/>
      <c r="Q98" s="541"/>
      <c r="R98" s="541"/>
      <c r="S98" s="541"/>
      <c r="T98" s="541"/>
      <c r="U98" s="541"/>
      <c r="V98" s="541"/>
      <c r="W98" s="541"/>
      <c r="X98" s="541"/>
      <c r="Y98" s="541"/>
      <c r="Z98" s="541"/>
      <c r="AA98" s="541"/>
      <c r="AB98" s="541"/>
      <c r="AC98" s="541"/>
      <c r="AD98" s="541"/>
      <c r="AE98" s="541"/>
      <c r="AF98" s="541"/>
    </row>
    <row r="99" spans="1:32" s="453" customFormat="1" ht="9" customHeight="1" x14ac:dyDescent="0.25">
      <c r="A99" s="454"/>
      <c r="B99" s="454"/>
      <c r="C99" s="454"/>
      <c r="D99" s="454"/>
      <c r="E99" s="454"/>
      <c r="F99" s="454"/>
      <c r="G99" s="454"/>
      <c r="H99" s="420"/>
      <c r="I99" s="420"/>
      <c r="J99" s="420"/>
      <c r="K99" s="420"/>
      <c r="L99" s="420"/>
      <c r="M99" s="420"/>
      <c r="N99" s="420"/>
      <c r="O99" s="420"/>
      <c r="P99" s="420"/>
      <c r="Q99" s="420"/>
      <c r="R99" s="455"/>
      <c r="S99" s="455"/>
      <c r="T99" s="455"/>
      <c r="U99" s="455"/>
      <c r="V99" s="455"/>
      <c r="W99" s="455"/>
      <c r="X99" s="455"/>
      <c r="Y99" s="455"/>
      <c r="Z99" s="455"/>
      <c r="AA99" s="455"/>
      <c r="AB99" s="455"/>
      <c r="AC99" s="455"/>
      <c r="AD99" s="455"/>
      <c r="AE99" s="455"/>
      <c r="AF99" s="455"/>
    </row>
    <row r="100" spans="1:32" s="453" customFormat="1" ht="21" customHeight="1" x14ac:dyDescent="0.2">
      <c r="A100" s="542" t="s">
        <v>1473</v>
      </c>
      <c r="B100" s="542"/>
      <c r="C100" s="542"/>
      <c r="D100" s="542"/>
      <c r="E100" s="542"/>
      <c r="F100" s="542"/>
      <c r="G100" s="542"/>
      <c r="H100" s="542"/>
      <c r="I100" s="542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</row>
    <row r="101" spans="1:32" s="453" customFormat="1" ht="16.5" customHeight="1" x14ac:dyDescent="0.2">
      <c r="A101" s="548"/>
      <c r="B101" s="548"/>
      <c r="C101" s="548"/>
      <c r="D101" s="548"/>
      <c r="E101" s="548"/>
      <c r="F101" s="548"/>
      <c r="G101" s="548"/>
      <c r="H101" s="548"/>
      <c r="I101" s="548"/>
      <c r="J101" s="548"/>
      <c r="K101" s="548"/>
      <c r="L101" s="548"/>
      <c r="M101" s="548"/>
      <c r="N101" s="548"/>
      <c r="O101" s="548"/>
      <c r="P101" s="548"/>
      <c r="Q101" s="548"/>
      <c r="R101" s="548"/>
      <c r="S101" s="548"/>
      <c r="T101" s="548"/>
      <c r="U101" s="548"/>
      <c r="V101" s="548"/>
      <c r="W101" s="548"/>
      <c r="X101" s="548"/>
      <c r="Y101" s="548"/>
      <c r="Z101" s="548"/>
      <c r="AA101" s="548"/>
      <c r="AB101" s="548"/>
      <c r="AC101" s="548"/>
      <c r="AD101" s="548"/>
      <c r="AE101" s="548"/>
      <c r="AF101" s="548"/>
    </row>
    <row r="102" spans="1:32" s="453" customFormat="1" ht="12" customHeight="1" x14ac:dyDescent="0.2">
      <c r="A102" s="544" t="s">
        <v>1474</v>
      </c>
      <c r="B102" s="544"/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  <c r="AA102" s="544"/>
      <c r="AB102" s="544"/>
      <c r="AC102" s="544"/>
      <c r="AD102" s="544"/>
      <c r="AE102" s="544"/>
      <c r="AF102" s="544"/>
    </row>
    <row r="103" spans="1:32" s="453" customFormat="1" ht="9" customHeight="1" x14ac:dyDescent="0.25">
      <c r="A103" s="454"/>
      <c r="B103" s="454"/>
      <c r="C103" s="454"/>
      <c r="D103" s="454"/>
      <c r="E103" s="454"/>
      <c r="F103" s="454"/>
      <c r="G103" s="454"/>
      <c r="H103" s="420"/>
      <c r="I103" s="420"/>
      <c r="J103" s="420"/>
      <c r="K103" s="420"/>
      <c r="L103" s="420"/>
      <c r="M103" s="420"/>
      <c r="N103" s="420"/>
      <c r="O103" s="420"/>
      <c r="P103" s="420"/>
      <c r="Q103" s="420"/>
      <c r="R103" s="455"/>
      <c r="S103" s="455"/>
      <c r="T103" s="455"/>
      <c r="U103" s="455"/>
      <c r="V103" s="455"/>
      <c r="W103" s="455"/>
      <c r="X103" s="455"/>
      <c r="Y103" s="455"/>
      <c r="Z103" s="455"/>
      <c r="AA103" s="455"/>
      <c r="AB103" s="455"/>
      <c r="AC103" s="455"/>
      <c r="AD103" s="455"/>
      <c r="AE103" s="455"/>
      <c r="AF103" s="455"/>
    </row>
    <row r="104" spans="1:32" s="453" customFormat="1" ht="15.75" customHeight="1" x14ac:dyDescent="0.2">
      <c r="A104" s="542" t="s">
        <v>1475</v>
      </c>
      <c r="B104" s="542"/>
      <c r="C104" s="542"/>
      <c r="D104" s="542"/>
      <c r="E104" s="542"/>
      <c r="F104" s="542"/>
      <c r="G104" s="542"/>
      <c r="H104" s="542"/>
      <c r="I104" s="542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</row>
    <row r="105" spans="1:32" s="453" customFormat="1" ht="17.25" customHeight="1" x14ac:dyDescent="0.2">
      <c r="A105" s="548"/>
      <c r="B105" s="548"/>
      <c r="C105" s="548"/>
      <c r="D105" s="548"/>
      <c r="E105" s="548"/>
      <c r="F105" s="548"/>
      <c r="G105" s="548"/>
      <c r="H105" s="548"/>
      <c r="I105" s="548"/>
      <c r="J105" s="548"/>
      <c r="K105" s="548"/>
      <c r="L105" s="548"/>
      <c r="M105" s="548"/>
      <c r="N105" s="548"/>
      <c r="O105" s="548"/>
      <c r="P105" s="548"/>
      <c r="Q105" s="548"/>
      <c r="R105" s="548"/>
      <c r="S105" s="548"/>
      <c r="T105" s="548"/>
      <c r="U105" s="548"/>
      <c r="V105" s="548"/>
      <c r="W105" s="548"/>
      <c r="X105" s="548"/>
      <c r="Y105" s="548"/>
      <c r="Z105" s="548"/>
      <c r="AA105" s="548"/>
      <c r="AB105" s="548"/>
      <c r="AC105" s="548"/>
      <c r="AD105" s="548"/>
      <c r="AE105" s="548"/>
      <c r="AF105" s="548"/>
    </row>
    <row r="106" spans="1:32" s="453" customFormat="1" ht="12" customHeight="1" x14ac:dyDescent="0.2">
      <c r="A106" s="544" t="s">
        <v>1474</v>
      </c>
      <c r="B106" s="544"/>
      <c r="C106" s="544"/>
      <c r="D106" s="544"/>
      <c r="E106" s="544"/>
      <c r="F106" s="544"/>
      <c r="G106" s="544"/>
      <c r="H106" s="544"/>
      <c r="I106" s="544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  <c r="AA106" s="544"/>
      <c r="AB106" s="544"/>
      <c r="AC106" s="544"/>
      <c r="AD106" s="544"/>
      <c r="AE106" s="544"/>
      <c r="AF106" s="544"/>
    </row>
    <row r="107" spans="1:32" s="453" customFormat="1" ht="9" customHeight="1" x14ac:dyDescent="0.25">
      <c r="A107" s="454"/>
      <c r="B107" s="454"/>
      <c r="C107" s="454"/>
      <c r="D107" s="454"/>
      <c r="E107" s="454"/>
      <c r="F107" s="454"/>
      <c r="G107" s="454"/>
      <c r="H107" s="420"/>
      <c r="I107" s="420"/>
      <c r="J107" s="420"/>
      <c r="K107" s="420"/>
      <c r="L107" s="420"/>
      <c r="M107" s="420"/>
      <c r="N107" s="420"/>
      <c r="O107" s="420"/>
      <c r="P107" s="420"/>
      <c r="Q107" s="420"/>
      <c r="R107" s="455"/>
      <c r="S107" s="455"/>
      <c r="T107" s="455"/>
      <c r="U107" s="455"/>
      <c r="V107" s="455"/>
      <c r="W107" s="455"/>
      <c r="X107" s="455"/>
      <c r="Y107" s="455"/>
      <c r="Z107" s="455"/>
      <c r="AA107" s="455"/>
      <c r="AB107" s="455"/>
      <c r="AC107" s="455"/>
      <c r="AD107" s="455"/>
      <c r="AE107" s="455"/>
      <c r="AF107" s="455"/>
    </row>
    <row r="108" spans="1:32" ht="23.25" customHeight="1" x14ac:dyDescent="0.25">
      <c r="A108" s="434" t="s">
        <v>1476</v>
      </c>
      <c r="B108" s="444"/>
      <c r="C108" s="444"/>
      <c r="D108" s="444"/>
      <c r="E108" s="444"/>
      <c r="F108" s="444"/>
      <c r="G108" s="444"/>
      <c r="H108" s="444"/>
      <c r="I108" s="444"/>
      <c r="J108" s="444"/>
      <c r="K108" s="444"/>
      <c r="L108" s="444"/>
      <c r="M108" s="444"/>
      <c r="N108" s="444"/>
      <c r="O108" s="444"/>
      <c r="P108" s="444"/>
      <c r="Q108" s="444"/>
      <c r="R108" s="444"/>
      <c r="S108" s="444"/>
      <c r="T108" s="444"/>
      <c r="U108" s="444"/>
      <c r="V108" s="444"/>
      <c r="W108" s="444"/>
      <c r="X108" s="444"/>
      <c r="Y108" s="444"/>
      <c r="Z108" s="444"/>
      <c r="AA108" s="444"/>
      <c r="AB108" s="444"/>
      <c r="AC108" s="444"/>
      <c r="AD108" s="444"/>
      <c r="AE108" s="444"/>
      <c r="AF108" s="444"/>
    </row>
    <row r="109" spans="1:32" ht="24" customHeight="1" x14ac:dyDescent="0.25">
      <c r="A109" s="430" t="s">
        <v>1477</v>
      </c>
      <c r="B109" s="430"/>
      <c r="C109" s="430"/>
      <c r="D109" s="430"/>
      <c r="E109" s="430"/>
      <c r="F109" s="430"/>
      <c r="G109" s="430"/>
      <c r="H109" s="430"/>
      <c r="I109" s="430"/>
      <c r="J109" s="430"/>
      <c r="K109" s="430"/>
      <c r="L109" s="430"/>
      <c r="M109" s="430"/>
      <c r="N109" s="430"/>
      <c r="O109" s="430"/>
      <c r="P109" s="430"/>
      <c r="Q109" s="430"/>
      <c r="R109" s="430"/>
      <c r="S109" s="430"/>
      <c r="T109" s="430"/>
      <c r="U109" s="430"/>
      <c r="V109" s="430"/>
      <c r="W109" s="430"/>
      <c r="X109" s="430"/>
      <c r="Y109" s="430"/>
      <c r="Z109" s="430"/>
      <c r="AA109" s="430"/>
      <c r="AB109" s="430"/>
      <c r="AC109" s="430"/>
      <c r="AD109" s="430"/>
      <c r="AE109" s="430"/>
      <c r="AF109" s="430"/>
    </row>
    <row r="110" spans="1:32" ht="23.25" customHeight="1" x14ac:dyDescent="0.25">
      <c r="A110" s="551" t="str">
        <f>IF('Данные объект'!B8="","",'Данные объект'!B8)</f>
      </c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456" t="s">
        <v>1417</v>
      </c>
      <c r="N110" s="528" t="s">
        <v>1478</v>
      </c>
      <c r="O110" s="528"/>
      <c r="P110" s="528"/>
      <c r="Q110" s="528"/>
      <c r="R110" s="528"/>
      <c r="S110" s="528"/>
      <c r="T110" s="528"/>
      <c r="U110" s="528"/>
      <c r="V110" s="528"/>
      <c r="W110" s="528"/>
      <c r="X110" s="528"/>
      <c r="Y110" s="528"/>
      <c r="Z110" s="528"/>
      <c r="AA110" s="528"/>
      <c r="AB110" s="528"/>
      <c r="AC110" s="528"/>
      <c r="AD110" s="528"/>
      <c r="AE110" s="528"/>
      <c r="AF110" s="528"/>
    </row>
    <row r="111" spans="1:32" ht="17.25" customHeight="1" x14ac:dyDescent="0.2">
      <c r="A111" s="549" t="str">
        <f>IF(A84="","",A84)</f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49"/>
      <c r="AB111" s="549"/>
      <c r="AC111" s="549"/>
      <c r="AD111" s="549"/>
      <c r="AE111" s="549"/>
      <c r="AF111" s="549"/>
    </row>
    <row r="112" spans="1:32" ht="53.25" customHeight="1" x14ac:dyDescent="0.2">
      <c r="A112" s="550"/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50"/>
      <c r="AB112" s="550"/>
      <c r="AC112" s="550"/>
      <c r="AD112" s="550"/>
      <c r="AE112" s="550"/>
      <c r="AF112" s="550"/>
    </row>
    <row r="113" spans="1:32" ht="15.75" hidden="1" x14ac:dyDescent="0.25">
      <c r="A113" s="430"/>
      <c r="B113" s="426"/>
      <c r="C113" s="426"/>
      <c r="D113" s="426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Z113" s="426"/>
      <c r="AA113" s="426"/>
      <c r="AB113" s="426"/>
      <c r="AC113" s="426"/>
      <c r="AD113" s="426"/>
      <c r="AE113" s="426"/>
      <c r="AF113" s="426"/>
    </row>
    <row r="114" spans="1:32" ht="15.75" hidden="1" x14ac:dyDescent="0.25">
      <c r="A114" s="430"/>
      <c r="B114" s="426"/>
      <c r="C114" s="426"/>
      <c r="D114" s="426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Z114" s="426"/>
      <c r="AA114" s="426"/>
      <c r="AB114" s="426"/>
      <c r="AC114" s="426"/>
      <c r="AD114" s="426"/>
      <c r="AE114" s="426"/>
      <c r="AF114" s="426"/>
    </row>
    <row r="115" spans="1:32" ht="15.75" hidden="1" x14ac:dyDescent="0.25">
      <c r="A115" s="430"/>
      <c r="B115" s="426"/>
      <c r="C115" s="426"/>
      <c r="D115" s="426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Z115" s="426"/>
      <c r="AA115" s="426"/>
      <c r="AB115" s="426"/>
      <c r="AC115" s="426"/>
      <c r="AD115" s="426"/>
      <c r="AE115" s="426"/>
      <c r="AF115" s="426"/>
    </row>
    <row r="116" spans="1:32" ht="15.75" hidden="1" x14ac:dyDescent="0.25">
      <c r="A116" s="430"/>
      <c r="B116" s="426"/>
      <c r="C116" s="426"/>
      <c r="D116" s="426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Z116" s="426"/>
      <c r="AA116" s="426"/>
      <c r="AB116" s="426"/>
      <c r="AC116" s="426"/>
      <c r="AD116" s="426"/>
      <c r="AE116" s="426"/>
      <c r="AF116" s="426"/>
    </row>
    <row r="117" spans="1:32" ht="24" hidden="1" customHeight="1" x14ac:dyDescent="0.25">
      <c r="A117" s="430" t="s">
        <v>1457</v>
      </c>
      <c r="B117" s="426"/>
      <c r="C117" s="426"/>
      <c r="D117" s="426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Z117" s="426"/>
      <c r="AA117" s="426"/>
      <c r="AB117" s="426"/>
      <c r="AC117" s="426"/>
      <c r="AD117" s="426"/>
      <c r="AE117" s="426"/>
      <c r="AF117" s="426"/>
    </row>
    <row r="118" spans="1:32" hidden="1" x14ac:dyDescent="0.2">
      <c r="A118" s="426"/>
      <c r="B118" s="426"/>
      <c r="C118" s="426"/>
      <c r="D118" s="426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Z118" s="426"/>
      <c r="AA118" s="426"/>
      <c r="AB118" s="426"/>
      <c r="AC118" s="426"/>
      <c r="AD118" s="426"/>
      <c r="AE118" s="426"/>
      <c r="AF118" s="426"/>
    </row>
    <row r="119" spans="1:32" ht="26.25" hidden="1" customHeight="1" x14ac:dyDescent="0.25">
      <c r="A119" s="445" t="s">
        <v>1479</v>
      </c>
      <c r="B119" s="445"/>
      <c r="C119" s="445"/>
      <c r="D119" s="445"/>
      <c r="E119" s="445"/>
      <c r="F119" s="445"/>
      <c r="G119" s="445"/>
      <c r="H119" s="445"/>
      <c r="I119" s="445"/>
      <c r="J119" s="445"/>
      <c r="K119" s="445"/>
      <c r="L119" s="445"/>
      <c r="M119" s="445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530"/>
      <c r="Z119" s="530"/>
      <c r="AA119" s="530"/>
      <c r="AB119" s="530"/>
      <c r="AC119" s="530"/>
      <c r="AD119" s="530"/>
      <c r="AE119" s="530"/>
      <c r="AF119" s="530"/>
    </row>
    <row r="120" spans="1:32" hidden="1" x14ac:dyDescent="0.2">
      <c r="A120" s="531"/>
      <c r="B120" s="531"/>
      <c r="C120" s="531"/>
      <c r="D120" s="531"/>
      <c r="E120" s="531"/>
      <c r="F120" s="531"/>
      <c r="G120" s="531"/>
      <c r="H120" s="531"/>
      <c r="I120" s="531"/>
      <c r="J120" s="531"/>
      <c r="K120" s="426"/>
      <c r="L120" s="426"/>
      <c r="M120" s="426"/>
      <c r="N120" s="426"/>
      <c r="O120" s="426"/>
      <c r="P120" s="426"/>
      <c r="Q120" s="511" t="s">
        <v>2</v>
      </c>
      <c r="R120" s="511"/>
      <c r="S120" s="511"/>
      <c r="T120" s="511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426"/>
      <c r="AE120" s="426"/>
      <c r="AF120" s="426"/>
    </row>
    <row r="121" spans="1:32" ht="47.25" hidden="1" customHeight="1" x14ac:dyDescent="0.2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  <c r="K121" s="412"/>
      <c r="L121" s="412"/>
      <c r="M121" s="412"/>
      <c r="N121" s="412"/>
      <c r="O121" s="412"/>
      <c r="P121" s="412"/>
      <c r="Q121" s="412"/>
      <c r="R121" s="412"/>
      <c r="S121" s="412"/>
      <c r="T121" s="412"/>
      <c r="U121" s="412"/>
      <c r="V121" s="412"/>
      <c r="W121" s="412"/>
      <c r="X121" s="412"/>
      <c r="Y121" s="412"/>
      <c r="Z121" s="412"/>
      <c r="AA121" s="412"/>
      <c r="AB121" s="412"/>
      <c r="AC121" s="412"/>
      <c r="AD121" s="412"/>
      <c r="AE121" s="412"/>
      <c r="AF121" s="412"/>
    </row>
    <row r="122" spans="1:32" ht="15.75" x14ac:dyDescent="0.25">
      <c r="A122" s="430" t="s">
        <v>1480</v>
      </c>
      <c r="B122" s="447"/>
      <c r="C122" s="447"/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12"/>
      <c r="AC122" s="412"/>
      <c r="AD122" s="448"/>
      <c r="AE122" s="448"/>
      <c r="AF122" s="412"/>
    </row>
    <row r="123" spans="1:32" ht="18" customHeight="1" x14ac:dyDescent="0.2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  <c r="K123" s="412"/>
      <c r="L123" s="412"/>
      <c r="M123" s="412"/>
      <c r="N123" s="412"/>
      <c r="O123" s="412"/>
      <c r="P123" s="412"/>
      <c r="Q123" s="412"/>
      <c r="R123" s="412"/>
      <c r="S123" s="412"/>
      <c r="T123" s="412"/>
      <c r="U123" s="412"/>
      <c r="V123" s="412"/>
      <c r="W123" s="412"/>
      <c r="X123" s="412"/>
      <c r="Y123" s="412"/>
      <c r="Z123" s="412"/>
      <c r="AA123" s="412"/>
      <c r="AB123" s="412"/>
      <c r="AC123" s="412"/>
      <c r="AD123" s="412"/>
      <c r="AE123" s="412"/>
      <c r="AF123" s="412"/>
    </row>
    <row r="124" spans="1:32" ht="42.75" customHeight="1" x14ac:dyDescent="0.25">
      <c r="A124" s="445" t="str">
        <f>'Акт опробования'!A118:F118</f>
      </c>
      <c r="B124" s="445"/>
      <c r="C124" s="445"/>
      <c r="D124" s="445"/>
      <c r="E124" s="445"/>
      <c r="F124" s="445"/>
      <c r="G124" s="445"/>
      <c r="H124" s="445"/>
      <c r="I124" s="445"/>
      <c r="J124" s="445"/>
      <c r="K124" s="445"/>
      <c r="L124" s="445"/>
      <c r="M124" s="445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530" t="str">
        <f>'Акт опробования'!Y118:AF118</f>
      </c>
      <c r="Z124" s="530"/>
      <c r="AA124" s="530"/>
      <c r="AB124" s="530"/>
      <c r="AC124" s="530"/>
      <c r="AD124" s="530"/>
      <c r="AE124" s="530"/>
      <c r="AF124" s="530"/>
    </row>
    <row r="125" spans="1:32" x14ac:dyDescent="0.2">
      <c r="A125" s="531"/>
      <c r="B125" s="531"/>
      <c r="C125" s="531"/>
      <c r="D125" s="531"/>
      <c r="E125" s="531"/>
      <c r="F125" s="531"/>
      <c r="G125" s="531"/>
      <c r="H125" s="531"/>
      <c r="I125" s="531"/>
      <c r="J125" s="531"/>
      <c r="K125" s="426"/>
      <c r="L125" s="426"/>
      <c r="M125" s="426"/>
      <c r="N125" s="426"/>
      <c r="O125" s="426"/>
      <c r="P125" s="426"/>
      <c r="Q125" s="511" t="s">
        <v>2</v>
      </c>
      <c r="R125" s="511"/>
      <c r="S125" s="511"/>
      <c r="T125" s="511"/>
      <c r="U125" s="426"/>
      <c r="V125" s="426"/>
      <c r="W125" s="426"/>
      <c r="X125" s="426"/>
      <c r="Y125" s="426"/>
      <c r="Z125" s="426"/>
      <c r="AA125" s="426"/>
      <c r="AB125" s="426"/>
      <c r="AC125" s="426"/>
      <c r="AD125" s="426"/>
      <c r="AE125" s="426"/>
      <c r="AF125" s="426"/>
    </row>
    <row r="126" spans="1:32" ht="18.75" customHeight="1" x14ac:dyDescent="0.2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  <c r="K126" s="412"/>
      <c r="L126" s="412"/>
      <c r="M126" s="412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12"/>
      <c r="AC126" s="412"/>
      <c r="AD126" s="412"/>
      <c r="AE126" s="412"/>
      <c r="AF126" s="412"/>
    </row>
    <row r="127" spans="1:32" ht="18.75" customHeight="1" x14ac:dyDescent="0.25">
      <c r="A127" s="515" t="s">
        <v>1523</v>
      </c>
      <c r="B127" s="515"/>
      <c r="C127" s="515"/>
      <c r="D127" s="515"/>
      <c r="E127" s="515"/>
      <c r="F127" s="515"/>
      <c r="G127" s="445"/>
      <c r="H127" s="445"/>
      <c r="I127" s="445"/>
      <c r="J127" s="445"/>
      <c r="K127" s="445"/>
      <c r="L127" s="445"/>
      <c r="M127" s="445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530"/>
      <c r="Z127" s="530"/>
      <c r="AA127" s="530"/>
      <c r="AB127" s="530"/>
      <c r="AC127" s="530"/>
      <c r="AD127" s="530"/>
      <c r="AE127" s="530"/>
      <c r="AF127" s="530"/>
    </row>
    <row r="128" spans="1:32" ht="18.75" customHeight="1" x14ac:dyDescent="0.2">
      <c r="A128" s="531"/>
      <c r="B128" s="531"/>
      <c r="C128" s="531"/>
      <c r="D128" s="531"/>
      <c r="E128" s="531"/>
      <c r="F128" s="531"/>
      <c r="G128" s="531"/>
      <c r="H128" s="531"/>
      <c r="I128" s="531"/>
      <c r="J128" s="531"/>
      <c r="K128" s="426"/>
      <c r="L128" s="426"/>
      <c r="M128" s="426"/>
      <c r="N128" s="426"/>
      <c r="O128" s="426"/>
      <c r="P128" s="426"/>
      <c r="Q128" s="511" t="s">
        <v>2</v>
      </c>
      <c r="R128" s="511"/>
      <c r="S128" s="511"/>
      <c r="T128" s="511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426"/>
      <c r="AE128" s="426"/>
      <c r="AF128" s="426"/>
    </row>
    <row r="129" spans="1:33" ht="18.75" customHeight="1" x14ac:dyDescent="0.2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  <c r="K129" s="412"/>
      <c r="L129" s="412"/>
      <c r="M129" s="412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12"/>
      <c r="AC129" s="412"/>
      <c r="AD129" s="412"/>
      <c r="AE129" s="412"/>
      <c r="AF129" s="412"/>
    </row>
    <row r="130" spans="1:33" ht="25.5" customHeight="1" x14ac:dyDescent="0.3">
      <c r="A130" s="534" t="str">
        <f>'Акт опробования'!A124:N124</f>
      </c>
      <c r="B130" s="534"/>
      <c r="C130" s="534"/>
      <c r="D130" s="534"/>
      <c r="E130" s="534"/>
      <c r="F130" s="534"/>
      <c r="G130" s="534"/>
      <c r="H130" s="534"/>
      <c r="I130" s="534"/>
      <c r="J130" s="534"/>
      <c r="K130" s="534"/>
      <c r="L130" s="534"/>
      <c r="M130" s="534"/>
      <c r="N130" s="534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530" t="str">
        <f>'Акт опробования'!Y124:AF124</f>
      </c>
      <c r="Z130" s="530"/>
      <c r="AA130" s="530"/>
      <c r="AB130" s="530"/>
      <c r="AC130" s="530"/>
      <c r="AD130" s="530"/>
      <c r="AE130" s="530"/>
      <c r="AF130" s="530"/>
      <c r="AG130" s="437"/>
    </row>
    <row r="131" spans="1:33" ht="15" x14ac:dyDescent="0.3">
      <c r="A131" s="531"/>
      <c r="B131" s="531"/>
      <c r="C131" s="531"/>
      <c r="D131" s="531"/>
      <c r="E131" s="531"/>
      <c r="F131" s="531"/>
      <c r="G131" s="531"/>
      <c r="H131" s="531"/>
      <c r="I131" s="531"/>
      <c r="J131" s="531"/>
      <c r="K131" s="426"/>
      <c r="L131" s="426"/>
      <c r="M131" s="426"/>
      <c r="N131" s="426"/>
      <c r="O131" s="426"/>
      <c r="P131" s="426"/>
      <c r="Q131" s="511" t="s">
        <v>2</v>
      </c>
      <c r="R131" s="511"/>
      <c r="S131" s="511"/>
      <c r="T131" s="511"/>
      <c r="U131" s="426"/>
      <c r="V131" s="426"/>
      <c r="W131" s="426"/>
      <c r="X131" s="426"/>
      <c r="Y131" s="426"/>
      <c r="Z131" s="426"/>
      <c r="AA131" s="426"/>
      <c r="AB131" s="426"/>
      <c r="AC131" s="426"/>
      <c r="AD131" s="426"/>
      <c r="AE131" s="426"/>
      <c r="AF131" s="426"/>
      <c r="AG131" s="437"/>
    </row>
    <row r="132" spans="1:33" ht="32.25" customHeight="1" x14ac:dyDescent="0.3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  <c r="K132" s="412"/>
      <c r="L132" s="412"/>
      <c r="M132" s="412"/>
      <c r="N132" s="412"/>
      <c r="O132" s="412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12"/>
      <c r="AC132" s="412"/>
      <c r="AD132" s="448"/>
      <c r="AE132" s="448"/>
      <c r="AF132" s="412"/>
      <c r="AG132" s="437"/>
    </row>
    <row r="133" spans="1:33" ht="24.75" customHeight="1" x14ac:dyDescent="0.3">
      <c r="A133" s="534" t="str">
        <f>IF('Акт опробования'!A126="","",'Акт опробования'!A126)</f>
      </c>
      <c r="B133" s="534"/>
      <c r="C133" s="534"/>
      <c r="D133" s="534"/>
      <c r="E133" s="534"/>
      <c r="F133" s="534"/>
      <c r="G133" s="534"/>
      <c r="H133" s="534"/>
      <c r="I133" s="534"/>
      <c r="J133" s="534"/>
      <c r="K133" s="534"/>
      <c r="L133" s="534"/>
      <c r="M133" s="534"/>
      <c r="N133" s="534"/>
      <c r="O133" s="445"/>
      <c r="P133" s="445"/>
      <c r="Q133" s="446"/>
      <c r="R133" s="446"/>
      <c r="S133" s="446"/>
      <c r="T133" s="446"/>
      <c r="U133" s="446"/>
      <c r="V133" s="446"/>
      <c r="W133" s="446"/>
      <c r="X133" s="446"/>
      <c r="Y133" s="530" t="str">
        <f>'Акт опробования'!Y127:AF127</f>
      </c>
      <c r="Z133" s="530"/>
      <c r="AA133" s="530"/>
      <c r="AB133" s="530"/>
      <c r="AC133" s="530"/>
      <c r="AD133" s="530"/>
      <c r="AE133" s="530"/>
      <c r="AF133" s="530"/>
      <c r="AG133" s="437"/>
    </row>
    <row r="134" spans="1:33" ht="29.25" customHeight="1" x14ac:dyDescent="0.3">
      <c r="A134" s="531"/>
      <c r="B134" s="531"/>
      <c r="C134" s="531"/>
      <c r="D134" s="531"/>
      <c r="E134" s="531"/>
      <c r="F134" s="531"/>
      <c r="G134" s="531"/>
      <c r="H134" s="531"/>
      <c r="I134" s="531"/>
      <c r="J134" s="531"/>
      <c r="K134" s="426"/>
      <c r="L134" s="426"/>
      <c r="M134" s="426"/>
      <c r="N134" s="426"/>
      <c r="O134" s="426"/>
      <c r="P134" s="426"/>
      <c r="Q134" s="511" t="s">
        <v>2</v>
      </c>
      <c r="R134" s="511"/>
      <c r="S134" s="511"/>
      <c r="T134" s="511"/>
      <c r="U134" s="426"/>
      <c r="V134" s="426"/>
      <c r="W134" s="426"/>
      <c r="X134" s="426"/>
      <c r="Y134" s="426"/>
      <c r="Z134" s="426"/>
      <c r="AA134" s="426"/>
      <c r="AB134" s="426"/>
      <c r="AC134" s="426"/>
      <c r="AD134" s="426"/>
      <c r="AE134" s="426"/>
      <c r="AF134" s="426"/>
      <c r="AG134" s="437"/>
    </row>
    <row r="135" spans="1:33" ht="16.5" x14ac:dyDescent="0.3">
      <c r="A135" s="555" t="s">
        <v>1481</v>
      </c>
      <c r="B135" s="555"/>
      <c r="C135" s="555"/>
      <c r="D135" s="555"/>
      <c r="E135" s="555"/>
      <c r="F135" s="555"/>
      <c r="G135" s="555"/>
      <c r="H135" s="555"/>
      <c r="I135" s="555"/>
      <c r="J135" s="444"/>
      <c r="K135" s="444"/>
      <c r="L135" s="444"/>
      <c r="M135" s="444"/>
      <c r="N135" s="444"/>
      <c r="O135" s="444"/>
      <c r="P135" s="444"/>
      <c r="Q135" s="444"/>
      <c r="R135" s="444"/>
      <c r="S135" s="444"/>
      <c r="T135" s="444"/>
      <c r="U135" s="444"/>
      <c r="V135" s="444"/>
      <c r="W135" s="444"/>
      <c r="X135" s="555" t="s">
        <v>1482</v>
      </c>
      <c r="Y135" s="555"/>
      <c r="Z135" s="555"/>
      <c r="AA135" s="555"/>
      <c r="AB135" s="555"/>
      <c r="AC135" s="555"/>
      <c r="AD135" s="555"/>
      <c r="AE135" s="555"/>
      <c r="AF135" s="555"/>
      <c r="AG135" s="437"/>
    </row>
    <row r="136" spans="1:33" ht="50.25" customHeight="1" x14ac:dyDescent="0.25">
      <c r="A136" s="546" t="s">
        <v>1483</v>
      </c>
      <c r="B136" s="546"/>
      <c r="C136" s="546"/>
      <c r="D136" s="546"/>
      <c r="E136" s="546"/>
      <c r="F136" s="546"/>
      <c r="G136" s="546"/>
      <c r="H136" s="546"/>
      <c r="I136" s="546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12"/>
      <c r="U136" s="412"/>
      <c r="V136" s="412"/>
      <c r="W136" s="412"/>
      <c r="X136" s="546" t="s">
        <v>1484</v>
      </c>
      <c r="Y136" s="546"/>
      <c r="Z136" s="546"/>
      <c r="AA136" s="546"/>
      <c r="AB136" s="546"/>
      <c r="AC136" s="546"/>
      <c r="AD136" s="546"/>
      <c r="AE136" s="546"/>
      <c r="AF136" s="546"/>
      <c r="AG136" s="438"/>
    </row>
    <row r="137" spans="1:33" ht="64.5" customHeight="1" x14ac:dyDescent="0.25">
      <c r="A137" s="516" t="str">
        <f>IF(A130="","",A130)</f>
      </c>
      <c r="B137" s="516"/>
      <c r="C137" s="516"/>
      <c r="D137" s="516"/>
      <c r="E137" s="516"/>
      <c r="F137" s="516"/>
      <c r="G137" s="516"/>
      <c r="H137" s="516"/>
      <c r="I137" s="516"/>
      <c r="J137" s="412"/>
      <c r="K137" s="412"/>
      <c r="L137" s="412"/>
      <c r="M137" s="412"/>
      <c r="N137" s="412"/>
      <c r="O137" s="412"/>
      <c r="P137" s="412"/>
      <c r="Q137" s="412"/>
      <c r="R137" s="412"/>
      <c r="S137" s="412"/>
      <c r="T137" s="412"/>
      <c r="U137" s="412"/>
      <c r="V137" s="412"/>
      <c r="W137" s="412"/>
      <c r="X137" s="509" t="str">
        <f>IF(A124="","",A124)</f>
      </c>
      <c r="Y137" s="509"/>
      <c r="Z137" s="509"/>
      <c r="AA137" s="509"/>
      <c r="AB137" s="509"/>
      <c r="AC137" s="509"/>
      <c r="AD137" s="509"/>
      <c r="AE137" s="509"/>
      <c r="AF137" s="509"/>
      <c r="AG137" s="438"/>
    </row>
    <row r="138" spans="1:33" ht="22.5" customHeight="1" x14ac:dyDescent="0.25">
      <c r="A138" s="553" t="str">
        <f>IF(Y130="","",Y130)</f>
      </c>
      <c r="B138" s="553"/>
      <c r="C138" s="553"/>
      <c r="D138" s="553"/>
      <c r="E138" s="553"/>
      <c r="F138" s="553"/>
      <c r="G138" s="553"/>
      <c r="H138" s="553"/>
      <c r="I138" s="553"/>
      <c r="J138" s="425"/>
      <c r="K138" s="425"/>
      <c r="L138" s="425"/>
      <c r="M138" s="425"/>
      <c r="N138" s="425"/>
      <c r="O138" s="425"/>
      <c r="P138" s="425"/>
      <c r="Q138" s="450"/>
      <c r="R138" s="425"/>
      <c r="S138" s="425"/>
      <c r="T138" s="425"/>
      <c r="U138" s="425"/>
      <c r="V138" s="425"/>
      <c r="W138" s="425"/>
      <c r="X138" s="553" t="str">
        <f>IF(Y124="","",Y124)</f>
      </c>
      <c r="Y138" s="553"/>
      <c r="Z138" s="553"/>
      <c r="AA138" s="553"/>
      <c r="AB138" s="553"/>
      <c r="AC138" s="553"/>
      <c r="AD138" s="553"/>
      <c r="AE138" s="553"/>
      <c r="AF138" s="553"/>
    </row>
    <row r="139" spans="1:33" ht="23.25" customHeight="1" x14ac:dyDescent="0.2">
      <c r="A139" s="554"/>
      <c r="B139" s="554"/>
      <c r="C139" s="554"/>
      <c r="D139" s="554"/>
      <c r="E139" s="554"/>
      <c r="F139" s="554"/>
      <c r="G139" s="554"/>
      <c r="H139" s="554"/>
      <c r="I139" s="554"/>
      <c r="J139" s="412"/>
      <c r="K139" s="412"/>
      <c r="L139" s="412"/>
      <c r="M139" s="412"/>
      <c r="N139" s="412"/>
      <c r="O139" s="412"/>
      <c r="P139" s="412"/>
      <c r="Q139" s="412"/>
      <c r="R139" s="412"/>
      <c r="S139" s="412"/>
      <c r="T139" s="412"/>
      <c r="U139" s="412"/>
      <c r="V139" s="412"/>
      <c r="W139" s="412"/>
      <c r="X139" s="554"/>
      <c r="Y139" s="554"/>
      <c r="Z139" s="554"/>
      <c r="AA139" s="554"/>
      <c r="AB139" s="554"/>
      <c r="AC139" s="554"/>
      <c r="AD139" s="554"/>
      <c r="AE139" s="554"/>
      <c r="AF139" s="554"/>
    </row>
    <row r="140" spans="1:33" ht="25.5" customHeight="1" x14ac:dyDescent="0.2">
      <c r="A140" s="552" t="s">
        <v>1406</v>
      </c>
      <c r="B140" s="552"/>
      <c r="C140" s="552"/>
      <c r="D140" s="552"/>
      <c r="E140" s="552"/>
      <c r="F140" s="552"/>
      <c r="G140" s="552"/>
      <c r="H140" s="552"/>
      <c r="I140" s="552"/>
      <c r="J140" s="425"/>
      <c r="K140" s="425"/>
      <c r="L140" s="425"/>
      <c r="M140" s="425"/>
      <c r="N140" s="425"/>
      <c r="O140" s="425"/>
      <c r="P140" s="425"/>
      <c r="Q140" s="450"/>
      <c r="R140" s="425"/>
      <c r="S140" s="425"/>
      <c r="T140" s="425"/>
      <c r="U140" s="425"/>
      <c r="V140" s="425"/>
      <c r="W140" s="425"/>
      <c r="X140" s="552" t="s">
        <v>1406</v>
      </c>
      <c r="Y140" s="552"/>
      <c r="Z140" s="552"/>
      <c r="AA140" s="552"/>
      <c r="AB140" s="552"/>
      <c r="AC140" s="552"/>
      <c r="AD140" s="552"/>
      <c r="AE140" s="552"/>
      <c r="AF140" s="552"/>
    </row>
    <row r="141" spans="1:33" ht="36.75" customHeight="1" x14ac:dyDescent="0.2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2"/>
      <c r="Y141" s="412"/>
      <c r="Z141" s="412"/>
      <c r="AA141" s="412"/>
      <c r="AB141" s="412"/>
      <c r="AC141" s="412"/>
      <c r="AD141" s="412"/>
      <c r="AE141" s="412"/>
      <c r="AF141" s="412"/>
    </row>
    <row r="142" spans="1:33" ht="27" customHeight="1" x14ac:dyDescent="0.2">
      <c r="A142" s="451"/>
      <c r="B142" s="451"/>
      <c r="C142" s="451"/>
      <c r="D142" s="451"/>
      <c r="E142" s="452"/>
      <c r="F142" s="452"/>
      <c r="G142" s="452"/>
      <c r="H142" s="426"/>
      <c r="I142" s="426"/>
      <c r="J142" s="426"/>
      <c r="K142" s="426"/>
      <c r="L142" s="426"/>
      <c r="M142" s="426"/>
      <c r="N142" s="426"/>
      <c r="O142" s="426"/>
      <c r="P142" s="418"/>
      <c r="Q142" s="418"/>
      <c r="R142" s="418"/>
      <c r="S142" s="418"/>
      <c r="T142" s="418"/>
      <c r="U142" s="418"/>
      <c r="V142" s="418"/>
      <c r="W142" s="412"/>
      <c r="X142" s="426"/>
      <c r="Y142" s="426"/>
      <c r="Z142" s="426"/>
      <c r="AA142" s="426"/>
      <c r="AB142" s="426"/>
      <c r="AC142" s="426"/>
      <c r="AD142" s="426"/>
      <c r="AE142" s="426"/>
      <c r="AF142" s="426"/>
    </row>
    <row r="143" spans="1:33" x14ac:dyDescent="0.2">
      <c r="A143" s="444"/>
      <c r="B143" s="444"/>
      <c r="C143" s="444"/>
      <c r="D143" s="444"/>
      <c r="E143" s="444"/>
      <c r="F143" s="444"/>
      <c r="G143" s="444"/>
      <c r="H143" s="426"/>
      <c r="I143" s="426"/>
      <c r="J143" s="426"/>
      <c r="K143" s="426"/>
      <c r="L143" s="426"/>
      <c r="M143" s="426"/>
      <c r="N143" s="426"/>
      <c r="O143" s="426"/>
      <c r="P143" s="412"/>
      <c r="Q143" s="412"/>
      <c r="R143" s="412"/>
      <c r="S143" s="412"/>
      <c r="T143" s="412"/>
      <c r="U143" s="412"/>
      <c r="V143" s="412"/>
      <c r="W143" s="412"/>
      <c r="X143" s="426"/>
      <c r="Y143" s="426"/>
      <c r="Z143" s="426"/>
      <c r="AA143" s="426"/>
      <c r="AB143" s="426"/>
      <c r="AC143" s="426"/>
      <c r="AD143" s="426"/>
      <c r="AE143" s="426"/>
      <c r="AF143" s="426"/>
    </row>
    <row r="144" spans="1:33" x14ac:dyDescent="0.2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2"/>
      <c r="S144" s="412"/>
      <c r="T144" s="412"/>
      <c r="U144" s="412"/>
      <c r="V144" s="412"/>
      <c r="W144" s="412"/>
      <c r="X144" s="412"/>
      <c r="Y144" s="412"/>
      <c r="Z144" s="412"/>
      <c r="AA144" s="412"/>
      <c r="AB144" s="412"/>
      <c r="AC144" s="412"/>
      <c r="AD144" s="412"/>
      <c r="AE144" s="412"/>
      <c r="AF144" s="412"/>
    </row>
    <row r="145" spans="1:32" x14ac:dyDescent="0.2">
      <c r="A145" s="426"/>
      <c r="B145" s="426"/>
      <c r="C145" s="426"/>
      <c r="D145" s="426"/>
      <c r="E145" s="426"/>
      <c r="F145" s="426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  <c r="Z145" s="426"/>
      <c r="AA145" s="426"/>
      <c r="AB145" s="426"/>
      <c r="AC145" s="426"/>
      <c r="AD145" s="426"/>
      <c r="AE145" s="426"/>
      <c r="AF145" s="426"/>
    </row>
  </sheetData>
  <sheetProtection formatCells="0"/>
  <mergeCells count="97">
    <mergeCell ref="A133:N133"/>
    <mergeCell ref="Y133:AF133"/>
    <mergeCell ref="A140:I140"/>
    <mergeCell ref="X140:AF140"/>
    <mergeCell ref="A138:I138"/>
    <mergeCell ref="X138:AF138"/>
    <mergeCell ref="A139:I139"/>
    <mergeCell ref="X139:AF139"/>
    <mergeCell ref="A137:I137"/>
    <mergeCell ref="X137:AF137"/>
    <mergeCell ref="A134:J134"/>
    <mergeCell ref="Q134:T134"/>
    <mergeCell ref="A135:I135"/>
    <mergeCell ref="X135:AF135"/>
    <mergeCell ref="A136:I136"/>
    <mergeCell ref="X136:AF136"/>
    <mergeCell ref="A130:N130"/>
    <mergeCell ref="Y130:AF130"/>
    <mergeCell ref="A131:J131"/>
    <mergeCell ref="Q131:T131"/>
    <mergeCell ref="A127:F127"/>
    <mergeCell ref="Y127:AF127"/>
    <mergeCell ref="A128:J128"/>
    <mergeCell ref="Q128:T128"/>
    <mergeCell ref="A125:J125"/>
    <mergeCell ref="Q125:T125"/>
    <mergeCell ref="A104:AF104"/>
    <mergeCell ref="A105:AF105"/>
    <mergeCell ref="A106:AF106"/>
    <mergeCell ref="N110:AF110"/>
    <mergeCell ref="A111:AF112"/>
    <mergeCell ref="Y119:AF119"/>
    <mergeCell ref="A120:J120"/>
    <mergeCell ref="Q120:T120"/>
    <mergeCell ref="Y124:AF124"/>
    <mergeCell ref="A110:L110"/>
    <mergeCell ref="A102:AF102"/>
    <mergeCell ref="A83:AF83"/>
    <mergeCell ref="A84:AF85"/>
    <mergeCell ref="A86:AF86"/>
    <mergeCell ref="A88:AF88"/>
    <mergeCell ref="A89:AF90"/>
    <mergeCell ref="A91:AF91"/>
    <mergeCell ref="A93:AF93"/>
    <mergeCell ref="A94:AF97"/>
    <mergeCell ref="A98:AF98"/>
    <mergeCell ref="A100:AF100"/>
    <mergeCell ref="A101:AF101"/>
    <mergeCell ref="A81:AF81"/>
    <mergeCell ref="A64:AF64"/>
    <mergeCell ref="A65:AF66"/>
    <mergeCell ref="A67:AF68"/>
    <mergeCell ref="A69:AF69"/>
    <mergeCell ref="A71:AF71"/>
    <mergeCell ref="A72:AF73"/>
    <mergeCell ref="A74:AF74"/>
    <mergeCell ref="A75:AF75"/>
    <mergeCell ref="A76:AF76"/>
    <mergeCell ref="A78:AF78"/>
    <mergeCell ref="A79:AF80"/>
    <mergeCell ref="A60:AF60"/>
    <mergeCell ref="A40:AF40"/>
    <mergeCell ref="A43:AF43"/>
    <mergeCell ref="A44:AF44"/>
    <mergeCell ref="A45:AF45"/>
    <mergeCell ref="A48:AF48"/>
    <mergeCell ref="A49:AF49"/>
    <mergeCell ref="A50:AF50"/>
    <mergeCell ref="A54:AF54"/>
    <mergeCell ref="A55:AF55"/>
    <mergeCell ref="A56:AF56"/>
    <mergeCell ref="A59:AF59"/>
    <mergeCell ref="A39:AF39"/>
    <mergeCell ref="B17:F17"/>
    <mergeCell ref="A22:AF22"/>
    <mergeCell ref="A23:AF23"/>
    <mergeCell ref="A24:AF24"/>
    <mergeCell ref="A28:AF28"/>
    <mergeCell ref="A29:AF29"/>
    <mergeCell ref="A30:AF30"/>
    <mergeCell ref="A31:AF31"/>
    <mergeCell ref="A34:AF34"/>
    <mergeCell ref="A35:AF35"/>
    <mergeCell ref="A38:AF38"/>
    <mergeCell ref="A13:AF13"/>
    <mergeCell ref="A15:F15"/>
    <mergeCell ref="H15:R15"/>
    <mergeCell ref="U15:V15"/>
    <mergeCell ref="X15:AD15"/>
    <mergeCell ref="P2:AF2"/>
    <mergeCell ref="A5:AF5"/>
    <mergeCell ref="B7:H7"/>
    <mergeCell ref="A11:AF11"/>
    <mergeCell ref="A12:AF12"/>
    <mergeCell ref="A4:P4"/>
    <mergeCell ref="Q4:AF4"/>
    <mergeCell ref="X7:AF7"/>
  </mergeCells>
  <pageMargins left="0.70866141732283472" right="0.70866141732283472" top="0.31496062992125984" bottom="0.31496062992125984" header="0.31496062992125984" footer="0.31496062992125984"/>
  <pageSetup paperSize="9" scale="59" fitToWidth="2" fitToHeight="2" orientation="portrait" r:id="rId1"/>
  <rowBreaks count="1" manualBreakCount="1">
    <brk id="107" max="31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039F55-BCFF-4638-AE4D-4B53084AB9FE}">
          <x14:formula1>
            <xm:f>'Данные организации'!$A$46:$B$46</xm:f>
          </x14:formula1>
          <xm:sqref>A44:AF44</xm:sqref>
        </x14:dataValidation>
        <x14:dataValidation type="list" allowBlank="1" showInputMessage="1" showErrorMessage="1" xr:uid="{A65347FD-1026-409F-AC6C-244FF1F33796}">
          <x14:formula1>
            <xm:f>'Данные организации'!$A$47:$B$47</xm:f>
          </x14:formula1>
          <xm:sqref>Y127:AF127</xm:sqref>
        </x14:dataValidation>
        <x14:dataValidation type="list" allowBlank="1" showInputMessage="1" showErrorMessage="1" xr:uid="{0D8B9767-831D-4449-BD5A-8E05731D1F8F}">
          <x14:formula1>
            <xm:f>'Данные организации'!$A$48</xm:f>
          </x14:formula1>
          <xm:sqref>A127:F127</xm:sqref>
        </x14:dataValidation>
        <x14:dataValidation type="list" allowBlank="1" showInputMessage="1" showErrorMessage="1" xr:uid="{234C6733-8EE3-4B2F-83D1-6CBA332F11BF}">
          <x14:formula1>
            <xm:f>'Данные организации'!$A$36:$B$36</xm:f>
          </x14:formula1>
          <xm:sqref>G127:L127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F015-EDB5-4198-8488-338F8888B14D}">
  <sheetPr>
    <tabColor theme="7" tint="0.39997558519241921"/>
  </sheetPr>
  <dimension ref="A1:AG190"/>
  <sheetViews>
    <sheetView showZeros="0" view="pageBreakPreview" topLeftCell="A155" zoomScale="85" zoomScaleNormal="100" zoomScaleSheetLayoutView="85" workbookViewId="0">
      <selection activeCell="AG175" sqref="AG175"/>
    </sheetView>
  </sheetViews>
  <sheetFormatPr defaultColWidth="9.140625" defaultRowHeight="12.75" x14ac:dyDescent="0.2"/>
  <cols>
    <col min="1" max="1" width="3.42578125" style="414" customWidth="1"/>
    <col min="2" max="2" width="2.7109375" style="414" customWidth="1"/>
    <col min="3" max="3" width="4.140625" style="414" customWidth="1"/>
    <col min="4" max="4" width="2" style="414" customWidth="1"/>
    <col min="5" max="5" width="6.7109375" style="414" customWidth="1"/>
    <col min="6" max="6" width="4.28515625" style="414" customWidth="1"/>
    <col min="7" max="8" width="2.85546875" style="414" customWidth="1"/>
    <col min="9" max="9" width="3.7109375" style="414" customWidth="1"/>
    <col min="10" max="10" width="2.7109375" style="414" customWidth="1"/>
    <col min="11" max="11" width="3.7109375" style="414" customWidth="1"/>
    <col min="12" max="12" width="3.28515625" style="414" customWidth="1"/>
    <col min="13" max="13" width="4.7109375" style="414" customWidth="1"/>
    <col min="14" max="14" width="6.28515625" style="414" customWidth="1"/>
    <col min="15" max="15" width="2.7109375" style="414" customWidth="1"/>
    <col min="16" max="16" width="4.140625" style="414" customWidth="1"/>
    <col min="17" max="17" width="5.140625" style="414" customWidth="1"/>
    <col min="18" max="18" width="3.140625" style="414" customWidth="1"/>
    <col min="19" max="19" width="3" style="414" customWidth="1"/>
    <col min="20" max="20" width="2.7109375" style="414" customWidth="1"/>
    <col min="21" max="21" width="2.28515625" style="414" customWidth="1"/>
    <col min="22" max="23" width="3.7109375" style="414" customWidth="1"/>
    <col min="24" max="24" width="4.5703125" style="414" customWidth="1"/>
    <col min="25" max="25" width="4.28515625" style="414" customWidth="1"/>
    <col min="26" max="26" width="2.7109375" style="414" customWidth="1"/>
    <col min="27" max="27" width="2.28515625" style="414" customWidth="1"/>
    <col min="28" max="28" width="5.140625" style="414" customWidth="1"/>
    <col min="29" max="29" width="3.28515625" style="414" customWidth="1"/>
    <col min="30" max="30" width="3.5703125" style="414" customWidth="1"/>
    <col min="31" max="31" width="3.7109375" style="414" customWidth="1"/>
    <col min="32" max="32" width="9.28515625" style="414" customWidth="1"/>
    <col min="33" max="33" width="42.5703125" style="414" customWidth="1"/>
    <col min="34" max="34" width="16.85546875" style="414" customWidth="1"/>
    <col min="35" max="35" width="9.140625" style="414"/>
    <col min="36" max="36" width="15.28515625" style="414" customWidth="1"/>
    <col min="37" max="16384" width="9.140625" style="414"/>
  </cols>
  <sheetData>
    <row r="1" spans="1:32" x14ac:dyDescent="0.2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</row>
    <row r="2" spans="1:32" ht="15.75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</row>
    <row r="3" spans="1:32" x14ac:dyDescent="0.2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3"/>
      <c r="Q3" s="413"/>
      <c r="R3" s="413"/>
      <c r="S3" s="413"/>
      <c r="T3" s="413"/>
      <c r="U3" s="413"/>
      <c r="V3" s="413"/>
      <c r="W3" s="413"/>
      <c r="X3" s="413"/>
      <c r="Y3" s="413"/>
      <c r="Z3" s="413"/>
      <c r="AA3" s="413"/>
      <c r="AB3" s="413"/>
      <c r="AC3" s="413"/>
      <c r="AD3" s="413"/>
      <c r="AE3" s="413"/>
      <c r="AF3" s="413"/>
    </row>
    <row r="4" spans="1:32" ht="23.25" x14ac:dyDescent="0.2">
      <c r="A4" s="567" t="str">
        <f>IF(Приложение_№_2!A4="","",Приложение_№_2!A4)</f>
      </c>
      <c r="B4" s="567"/>
      <c r="C4" s="567"/>
      <c r="D4" s="567"/>
      <c r="E4" s="567"/>
      <c r="F4" s="567"/>
      <c r="G4" s="567"/>
      <c r="H4" s="567"/>
      <c r="I4" s="567"/>
      <c r="J4" s="567"/>
      <c r="K4" s="567"/>
      <c r="L4" s="567"/>
      <c r="M4" s="567"/>
      <c r="N4" s="567"/>
      <c r="O4" s="567"/>
      <c r="P4" s="567"/>
      <c r="Q4" s="567"/>
      <c r="R4" s="539" t="str">
        <f>IF('Акт опробования'!P4="","",'Акт опробования'!P4)</f>
      </c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</row>
    <row r="5" spans="1:32" ht="35.25" customHeight="1" x14ac:dyDescent="0.3">
      <c r="A5" s="537" t="s">
        <v>1485</v>
      </c>
      <c r="B5" s="537"/>
      <c r="C5" s="537"/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</row>
    <row r="6" spans="1:32" x14ac:dyDescent="0.2">
      <c r="A6" s="412"/>
      <c r="B6" s="412"/>
      <c r="C6" s="412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3"/>
      <c r="Z6" s="413"/>
      <c r="AA6" s="413"/>
      <c r="AB6" s="419"/>
      <c r="AC6" s="419"/>
      <c r="AD6" s="419"/>
      <c r="AE6" s="419"/>
      <c r="AF6" s="419"/>
    </row>
    <row r="7" spans="1:32" ht="15.75" x14ac:dyDescent="0.25">
      <c r="A7" s="420" t="s">
        <v>1417</v>
      </c>
      <c r="B7" s="509" t="str">
        <f>'Акт опробования'!B7:H7</f>
      </c>
      <c r="C7" s="509"/>
      <c r="D7" s="509"/>
      <c r="E7" s="509"/>
      <c r="F7" s="509"/>
      <c r="G7" s="509"/>
      <c r="H7" s="509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532" t="str">
        <f>IF('Данные объект'!B8="","",'Данные объект'!B8)</f>
      </c>
      <c r="Y7" s="532"/>
      <c r="Z7" s="532"/>
      <c r="AA7" s="532"/>
      <c r="AB7" s="532"/>
      <c r="AC7" s="532"/>
      <c r="AD7" s="532"/>
      <c r="AE7" s="532"/>
      <c r="AF7" s="532"/>
    </row>
    <row r="8" spans="1:32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  <c r="AC8" s="423"/>
      <c r="AD8" s="423"/>
      <c r="AE8" s="423"/>
      <c r="AF8" s="423"/>
    </row>
    <row r="9" spans="1:32" ht="15.75" x14ac:dyDescent="0.25">
      <c r="A9" s="420" t="s">
        <v>1419</v>
      </c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23"/>
      <c r="P9" s="423"/>
      <c r="Q9" s="423"/>
      <c r="R9" s="423"/>
      <c r="S9" s="423"/>
      <c r="T9" s="423"/>
      <c r="U9" s="423"/>
      <c r="V9" s="423"/>
      <c r="W9" s="423"/>
      <c r="X9" s="423"/>
      <c r="Y9" s="423"/>
      <c r="Z9" s="423"/>
      <c r="AA9" s="423"/>
      <c r="AB9" s="423"/>
      <c r="AC9" s="423"/>
      <c r="AD9" s="423"/>
      <c r="AE9" s="423"/>
      <c r="AF9" s="423"/>
    </row>
    <row r="10" spans="1:32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</row>
    <row r="11" spans="1:32" ht="21" customHeight="1" x14ac:dyDescent="0.25">
      <c r="A11" s="509" t="str">
        <f>IF(Приложение_№_2!A11="","",Приложение_№_2!A11)</f>
      </c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</row>
    <row r="12" spans="1:32" ht="23.25" customHeight="1" x14ac:dyDescent="0.2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2"/>
      <c r="AA12" s="512"/>
      <c r="AB12" s="512"/>
      <c r="AC12" s="512"/>
      <c r="AD12" s="512"/>
      <c r="AE12" s="512"/>
      <c r="AF12" s="512"/>
    </row>
    <row r="13" spans="1:32" x14ac:dyDescent="0.2">
      <c r="A13" s="513" t="s">
        <v>1420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  <c r="AF13" s="513"/>
    </row>
    <row r="14" spans="1:32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24"/>
      <c r="AB14" s="424"/>
      <c r="AC14" s="424"/>
      <c r="AD14" s="424"/>
      <c r="AE14" s="424"/>
      <c r="AF14" s="424"/>
    </row>
    <row r="15" spans="1:32" ht="18" customHeight="1" x14ac:dyDescent="0.25">
      <c r="A15" s="514" t="s">
        <v>1421</v>
      </c>
      <c r="B15" s="514"/>
      <c r="C15" s="514"/>
      <c r="D15" s="514"/>
      <c r="E15" s="514"/>
      <c r="F15" s="514"/>
      <c r="G15" s="42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420" t="s">
        <v>1422</v>
      </c>
      <c r="T15" s="421" t="s">
        <v>1418</v>
      </c>
      <c r="U15" s="509">
        <f>IF(Приложение_№_2!U15="","",Приложение_№_2!U15)</f>
      </c>
      <c r="V15" s="509"/>
      <c r="W15" s="418" t="s">
        <v>1418</v>
      </c>
      <c r="X15" s="509" t="str">
        <f>IF(Приложение_№_2!X15="","",Приложение_№_2!X15)</f>
      </c>
      <c r="Y15" s="509"/>
      <c r="Z15" s="509"/>
      <c r="AA15" s="509"/>
      <c r="AB15" s="509"/>
      <c r="AC15" s="509"/>
      <c r="AD15" s="509"/>
      <c r="AE15" s="420">
        <v>20</v>
      </c>
      <c r="AF15" s="422">
        <f>IF(Приложение_№_2!AF15="","",Приложение_№_2!AF15)</f>
      </c>
    </row>
    <row r="16" spans="1:32" x14ac:dyDescent="0.2">
      <c r="A16" s="426"/>
      <c r="B16" s="426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</row>
    <row r="17" spans="1:32" ht="19.5" customHeight="1" x14ac:dyDescent="0.25">
      <c r="A17" s="427" t="s">
        <v>13</v>
      </c>
      <c r="B17" s="516">
        <f>IF(Приложение_№_2!B17="","",Приложение_№_2!B17)</f>
      </c>
      <c r="C17" s="516"/>
      <c r="D17" s="516"/>
      <c r="E17" s="516"/>
      <c r="F17" s="516"/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</row>
    <row r="18" spans="1:32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</row>
    <row r="19" spans="1:32" ht="15.75" x14ac:dyDescent="0.25">
      <c r="A19" s="420" t="s">
        <v>1402</v>
      </c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25"/>
      <c r="R19" s="425"/>
      <c r="S19" s="425"/>
      <c r="T19" s="425"/>
      <c r="U19" s="425"/>
      <c r="V19" s="425"/>
      <c r="W19" s="425"/>
      <c r="X19" s="425"/>
      <c r="Y19" s="425"/>
      <c r="Z19" s="425"/>
      <c r="AA19" s="425"/>
      <c r="AB19" s="425"/>
      <c r="AC19" s="425"/>
      <c r="AD19" s="425"/>
      <c r="AE19" s="425"/>
      <c r="AF19" s="425"/>
    </row>
    <row r="20" spans="1:32" ht="12" customHeight="1" x14ac:dyDescent="0.2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</row>
    <row r="21" spans="1:32" ht="15.75" hidden="1" x14ac:dyDescent="0.2">
      <c r="A21" s="429" t="s">
        <v>1423</v>
      </c>
      <c r="B21" s="425"/>
      <c r="C21" s="425"/>
      <c r="D21" s="425"/>
      <c r="E21" s="425"/>
      <c r="F21" s="425"/>
      <c r="G21" s="425"/>
      <c r="H21" s="425"/>
      <c r="I21" s="425"/>
      <c r="J21" s="425"/>
      <c r="K21" s="425"/>
      <c r="L21" s="425"/>
      <c r="M21" s="425"/>
      <c r="N21" s="425"/>
      <c r="O21" s="425"/>
      <c r="P21" s="425"/>
      <c r="Q21" s="425"/>
      <c r="R21" s="425"/>
      <c r="S21" s="425"/>
      <c r="T21" s="425"/>
      <c r="U21" s="425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</row>
    <row r="22" spans="1:32" ht="21.75" hidden="1" customHeight="1" x14ac:dyDescent="0.25">
      <c r="A22" s="509" t="str">
        <f>IF(Приложение_№_2!A22="","",Приложение_№_2!A22)</f>
      </c>
      <c r="B22" s="509"/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</row>
    <row r="23" spans="1:32" ht="18.75" hidden="1" customHeight="1" x14ac:dyDescent="0.2">
      <c r="A23" s="517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  <c r="P23" s="517"/>
      <c r="Q23" s="517"/>
      <c r="R23" s="517"/>
      <c r="S23" s="517"/>
      <c r="T23" s="517"/>
      <c r="U23" s="517"/>
      <c r="V23" s="517"/>
      <c r="W23" s="517"/>
      <c r="X23" s="517"/>
      <c r="Y23" s="517"/>
      <c r="Z23" s="517"/>
      <c r="AA23" s="517"/>
      <c r="AB23" s="517"/>
      <c r="AC23" s="517"/>
      <c r="AD23" s="517"/>
      <c r="AE23" s="517"/>
      <c r="AF23" s="517"/>
    </row>
    <row r="24" spans="1:32" hidden="1" x14ac:dyDescent="0.2">
      <c r="A24" s="511" t="s">
        <v>1403</v>
      </c>
      <c r="B24" s="511"/>
      <c r="C24" s="511"/>
      <c r="D24" s="511"/>
      <c r="E24" s="511"/>
      <c r="F24" s="511"/>
      <c r="G24" s="511"/>
      <c r="H24" s="511"/>
      <c r="I24" s="511"/>
      <c r="J24" s="511"/>
      <c r="K24" s="511"/>
      <c r="L24" s="511"/>
      <c r="M24" s="511"/>
      <c r="N24" s="511"/>
      <c r="O24" s="511"/>
      <c r="P24" s="511"/>
      <c r="Q24" s="511"/>
      <c r="R24" s="511"/>
      <c r="S24" s="511"/>
      <c r="T24" s="511"/>
      <c r="U24" s="511"/>
      <c r="V24" s="511"/>
      <c r="W24" s="511"/>
      <c r="X24" s="511"/>
      <c r="Y24" s="511"/>
      <c r="Z24" s="511"/>
      <c r="AA24" s="511"/>
      <c r="AB24" s="511"/>
      <c r="AC24" s="511"/>
      <c r="AD24" s="511"/>
      <c r="AE24" s="511"/>
      <c r="AF24" s="511"/>
    </row>
    <row r="25" spans="1:32" ht="9.75" customHeight="1" x14ac:dyDescent="0.2">
      <c r="A25" s="412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</row>
    <row r="26" spans="1:32" ht="15.75" customHeight="1" x14ac:dyDescent="0.25">
      <c r="A26" s="430" t="s">
        <v>1424</v>
      </c>
      <c r="B26" s="424"/>
      <c r="C26" s="424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</row>
    <row r="27" spans="1:32" ht="14.25" customHeight="1" x14ac:dyDescent="0.25">
      <c r="A27" s="430" t="s">
        <v>1412</v>
      </c>
      <c r="B27" s="418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</row>
    <row r="28" spans="1:32" ht="19.5" customHeight="1" x14ac:dyDescent="0.25">
      <c r="A28" s="509" t="str">
        <f>IF(Приложение_№_2!A28="","",Приложение_№_2!A28)</f>
      </c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</row>
    <row r="29" spans="1:32" x14ac:dyDescent="0.2">
      <c r="A29" s="511" t="s">
        <v>1403</v>
      </c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</row>
    <row r="30" spans="1:32" ht="15" customHeight="1" x14ac:dyDescent="0.2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  <c r="M30" s="517"/>
      <c r="N30" s="517"/>
      <c r="O30" s="517"/>
      <c r="P30" s="517"/>
      <c r="Q30" s="517"/>
      <c r="R30" s="517"/>
      <c r="S30" s="517"/>
      <c r="T30" s="517"/>
      <c r="U30" s="517"/>
      <c r="V30" s="517"/>
      <c r="W30" s="517"/>
      <c r="X30" s="517"/>
      <c r="Y30" s="517"/>
      <c r="Z30" s="517"/>
      <c r="AA30" s="517"/>
      <c r="AB30" s="517"/>
      <c r="AC30" s="517"/>
      <c r="AD30" s="517"/>
      <c r="AE30" s="517"/>
      <c r="AF30" s="517"/>
    </row>
    <row r="31" spans="1:32" x14ac:dyDescent="0.2">
      <c r="A31" s="511" t="s">
        <v>1403</v>
      </c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</row>
    <row r="32" spans="1:32" ht="6.75" customHeight="1" x14ac:dyDescent="0.2">
      <c r="A32" s="418"/>
      <c r="B32" s="418"/>
      <c r="C32" s="418"/>
      <c r="D32" s="418"/>
      <c r="E32" s="418"/>
      <c r="F32" s="418"/>
      <c r="G32" s="418"/>
      <c r="H32" s="418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</row>
    <row r="33" spans="1:32" ht="15.75" x14ac:dyDescent="0.25">
      <c r="A33" s="430" t="s">
        <v>1425</v>
      </c>
      <c r="B33" s="425"/>
      <c r="C33" s="425"/>
      <c r="D33" s="425"/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</row>
    <row r="34" spans="1:32" ht="19.5" customHeight="1" x14ac:dyDescent="0.25">
      <c r="A34" s="509" t="str">
        <f>IF(Приложение_№_2!A34="","",Приложение_№_2!A34)</f>
      </c>
      <c r="B34" s="509"/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  <c r="Z34" s="509"/>
      <c r="AA34" s="509"/>
      <c r="AB34" s="509"/>
      <c r="AC34" s="509"/>
      <c r="AD34" s="509"/>
      <c r="AE34" s="509"/>
      <c r="AF34" s="509"/>
    </row>
    <row r="35" spans="1:32" x14ac:dyDescent="0.2">
      <c r="A35" s="511" t="s">
        <v>1403</v>
      </c>
      <c r="B35" s="511"/>
      <c r="C35" s="511"/>
      <c r="D35" s="511"/>
      <c r="E35" s="511"/>
      <c r="F35" s="511"/>
      <c r="G35" s="511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  <c r="AC35" s="511"/>
      <c r="AD35" s="511"/>
      <c r="AE35" s="511"/>
      <c r="AF35" s="511"/>
    </row>
    <row r="36" spans="1:32" x14ac:dyDescent="0.2">
      <c r="A36" s="425"/>
      <c r="B36" s="425"/>
      <c r="C36" s="425"/>
      <c r="D36" s="425"/>
      <c r="E36" s="425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  <c r="V36" s="425"/>
      <c r="W36" s="425"/>
      <c r="X36" s="425"/>
      <c r="Y36" s="425"/>
      <c r="Z36" s="425"/>
      <c r="AA36" s="425"/>
      <c r="AB36" s="425"/>
      <c r="AC36" s="425"/>
      <c r="AD36" s="425"/>
      <c r="AE36" s="425"/>
      <c r="AF36" s="425"/>
    </row>
    <row r="37" spans="1:32" ht="15.75" x14ac:dyDescent="0.25">
      <c r="A37" s="430" t="s">
        <v>1407</v>
      </c>
      <c r="B37" s="425"/>
      <c r="C37" s="425"/>
      <c r="D37" s="425"/>
      <c r="E37" s="425"/>
      <c r="F37" s="425"/>
      <c r="G37" s="425"/>
      <c r="H37" s="425"/>
      <c r="I37" s="425"/>
      <c r="J37" s="425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</row>
    <row r="38" spans="1:32" ht="18" customHeight="1" x14ac:dyDescent="0.25">
      <c r="A38" s="509" t="s">
        <v>100</v>
      </c>
      <c r="B38" s="509"/>
      <c r="C38" s="509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</row>
    <row r="39" spans="1:32" ht="20.25" customHeight="1" x14ac:dyDescent="0.2">
      <c r="A39" s="517"/>
      <c r="B39" s="517"/>
      <c r="C39" s="517"/>
      <c r="D39" s="517"/>
      <c r="E39" s="517"/>
      <c r="F39" s="517"/>
      <c r="G39" s="517"/>
      <c r="H39" s="517"/>
      <c r="I39" s="517"/>
      <c r="J39" s="517"/>
      <c r="K39" s="517"/>
      <c r="L39" s="517"/>
      <c r="M39" s="517"/>
      <c r="N39" s="517"/>
      <c r="O39" s="517"/>
      <c r="P39" s="517"/>
      <c r="Q39" s="517"/>
      <c r="R39" s="517"/>
      <c r="S39" s="517"/>
      <c r="T39" s="517"/>
      <c r="U39" s="517"/>
      <c r="V39" s="517"/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</row>
    <row r="40" spans="1:32" x14ac:dyDescent="0.2">
      <c r="A40" s="511" t="s">
        <v>1403</v>
      </c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</row>
    <row r="41" spans="1:32" ht="13.5" x14ac:dyDescent="0.2">
      <c r="A41" s="431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25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</row>
    <row r="42" spans="1:32" ht="15.75" x14ac:dyDescent="0.25">
      <c r="A42" s="430" t="s">
        <v>1426</v>
      </c>
      <c r="B42" s="425"/>
      <c r="C42" s="425"/>
      <c r="D42" s="425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</row>
    <row r="43" spans="1:32" ht="18" customHeight="1" x14ac:dyDescent="0.25">
      <c r="A43" s="509" t="str">
        <f>IF(Приложение_№_2!A43="","",Приложение_№_2!A43)</f>
      </c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</row>
    <row r="44" spans="1:32" ht="18" customHeight="1" x14ac:dyDescent="0.25">
      <c r="A44" s="509"/>
      <c r="B44" s="509"/>
      <c r="C44" s="509"/>
      <c r="D44" s="509"/>
      <c r="E44" s="509"/>
      <c r="F44" s="509"/>
      <c r="G44" s="509"/>
      <c r="H44" s="509"/>
      <c r="I44" s="509"/>
      <c r="J44" s="509"/>
      <c r="K44" s="509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</row>
    <row r="45" spans="1:32" x14ac:dyDescent="0.2">
      <c r="A45" s="511" t="s">
        <v>1403</v>
      </c>
      <c r="B45" s="511"/>
      <c r="C45" s="511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</row>
    <row r="46" spans="1:32" x14ac:dyDescent="0.2">
      <c r="A46" s="412"/>
      <c r="B46" s="412"/>
      <c r="C46" s="412"/>
      <c r="D46" s="412"/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412"/>
      <c r="AD46" s="412"/>
      <c r="AE46" s="412"/>
      <c r="AF46" s="412"/>
    </row>
    <row r="47" spans="1:32" ht="15.75" x14ac:dyDescent="0.25">
      <c r="A47" s="430" t="s">
        <v>1427</v>
      </c>
      <c r="B47" s="425"/>
      <c r="C47" s="425"/>
      <c r="D47" s="425"/>
      <c r="E47" s="425"/>
      <c r="F47" s="425"/>
      <c r="G47" s="425"/>
      <c r="H47" s="425"/>
      <c r="I47" s="425"/>
      <c r="J47" s="425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</row>
    <row r="48" spans="1:32" ht="16.5" customHeight="1" x14ac:dyDescent="0.25">
      <c r="A48" s="509" t="str">
        <f>IF(Приложение_№_2!A48="","",Приложение_№_2!A48)</f>
      </c>
      <c r="B48" s="509"/>
      <c r="C48" s="509"/>
      <c r="D48" s="509"/>
      <c r="E48" s="509"/>
      <c r="F48" s="509"/>
      <c r="G48" s="509"/>
      <c r="H48" s="509"/>
      <c r="I48" s="509"/>
      <c r="J48" s="509"/>
      <c r="K48" s="509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</row>
    <row r="49" spans="1:32" ht="14.25" customHeight="1" x14ac:dyDescent="0.2">
      <c r="A49" s="517"/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  <c r="AA49" s="517"/>
      <c r="AB49" s="517"/>
      <c r="AC49" s="517"/>
      <c r="AD49" s="517"/>
      <c r="AE49" s="517"/>
      <c r="AF49" s="517"/>
    </row>
    <row r="50" spans="1:32" x14ac:dyDescent="0.2">
      <c r="A50" s="511" t="s">
        <v>1403</v>
      </c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</row>
    <row r="51" spans="1:32" ht="9.75" customHeight="1" x14ac:dyDescent="0.2">
      <c r="A51" s="412"/>
      <c r="B51" s="412"/>
      <c r="C51" s="412"/>
      <c r="D51" s="412"/>
      <c r="E51" s="425"/>
      <c r="F51" s="425"/>
      <c r="G51" s="425"/>
      <c r="H51" s="425"/>
      <c r="I51" s="425"/>
      <c r="J51" s="425"/>
      <c r="K51" s="425"/>
      <c r="L51" s="425"/>
      <c r="M51" s="425"/>
      <c r="N51" s="425"/>
      <c r="O51" s="425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</row>
    <row r="52" spans="1:32" ht="5.25" customHeight="1" x14ac:dyDescent="0.2">
      <c r="A52" s="412"/>
      <c r="B52" s="412"/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412"/>
      <c r="AD52" s="412"/>
      <c r="AE52" s="412"/>
      <c r="AF52" s="412"/>
    </row>
    <row r="53" spans="1:32" ht="16.5" customHeight="1" x14ac:dyDescent="0.25">
      <c r="A53" s="430" t="s">
        <v>1428</v>
      </c>
      <c r="B53" s="425"/>
      <c r="C53" s="425"/>
      <c r="D53" s="425"/>
      <c r="E53" s="425"/>
      <c r="F53" s="425"/>
      <c r="G53" s="425"/>
      <c r="H53" s="425"/>
      <c r="I53" s="425"/>
      <c r="J53" s="425"/>
      <c r="K53" s="425"/>
      <c r="L53" s="425"/>
      <c r="M53" s="425"/>
      <c r="N53" s="425"/>
      <c r="O53" s="425"/>
      <c r="P53" s="425"/>
      <c r="Q53" s="425"/>
      <c r="R53" s="425"/>
      <c r="S53" s="425"/>
      <c r="T53" s="425"/>
      <c r="U53" s="425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</row>
    <row r="54" spans="1:32" ht="14.25" customHeight="1" x14ac:dyDescent="0.25">
      <c r="A54" s="519" t="s">
        <v>101</v>
      </c>
      <c r="B54" s="519"/>
      <c r="C54" s="519"/>
      <c r="D54" s="519"/>
      <c r="E54" s="519"/>
      <c r="F54" s="519"/>
      <c r="G54" s="519"/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19"/>
      <c r="AB54" s="519"/>
      <c r="AC54" s="519"/>
      <c r="AD54" s="519"/>
      <c r="AE54" s="519"/>
      <c r="AF54" s="519"/>
    </row>
    <row r="55" spans="1:32" ht="12.75" customHeight="1" x14ac:dyDescent="0.25">
      <c r="A55" s="519" t="s">
        <v>101</v>
      </c>
      <c r="B55" s="519"/>
      <c r="C55" s="519"/>
      <c r="D55" s="519"/>
      <c r="E55" s="519"/>
      <c r="F55" s="519"/>
      <c r="G55" s="519"/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</row>
    <row r="56" spans="1:32" x14ac:dyDescent="0.2">
      <c r="A56" s="511" t="s">
        <v>1403</v>
      </c>
      <c r="B56" s="511"/>
      <c r="C56" s="511"/>
      <c r="D56" s="511"/>
      <c r="E56" s="511"/>
      <c r="F56" s="511"/>
      <c r="G56" s="511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  <c r="AB56" s="511"/>
      <c r="AC56" s="511"/>
      <c r="AD56" s="511"/>
      <c r="AE56" s="511"/>
      <c r="AF56" s="511"/>
    </row>
    <row r="57" spans="1:32" ht="1.5" customHeight="1" x14ac:dyDescent="0.2">
      <c r="A57" s="433"/>
      <c r="B57" s="433"/>
      <c r="C57" s="433"/>
      <c r="D57" s="433"/>
      <c r="E57" s="433"/>
      <c r="F57" s="433"/>
      <c r="G57" s="433"/>
      <c r="H57" s="433"/>
      <c r="I57" s="433"/>
      <c r="J57" s="433"/>
      <c r="K57" s="433"/>
      <c r="L57" s="433"/>
      <c r="M57" s="433"/>
      <c r="N57" s="433"/>
      <c r="O57" s="433"/>
      <c r="P57" s="433"/>
      <c r="Q57" s="433"/>
      <c r="R57" s="433"/>
      <c r="S57" s="433"/>
      <c r="T57" s="433"/>
      <c r="U57" s="433"/>
      <c r="V57" s="433"/>
      <c r="W57" s="433"/>
      <c r="X57" s="433"/>
      <c r="Y57" s="433"/>
      <c r="Z57" s="433"/>
      <c r="AA57" s="433"/>
      <c r="AB57" s="433"/>
      <c r="AC57" s="433"/>
      <c r="AD57" s="433"/>
      <c r="AE57" s="433"/>
      <c r="AF57" s="433"/>
    </row>
    <row r="58" spans="1:32" ht="17.25" customHeight="1" x14ac:dyDescent="0.25">
      <c r="A58" s="430" t="s">
        <v>1429</v>
      </c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25"/>
    </row>
    <row r="59" spans="1:32" ht="13.5" customHeight="1" x14ac:dyDescent="0.25">
      <c r="A59" s="519" t="s">
        <v>101</v>
      </c>
      <c r="B59" s="519"/>
      <c r="C59" s="519"/>
      <c r="D59" s="519"/>
      <c r="E59" s="519"/>
      <c r="F59" s="519"/>
      <c r="G59" s="519"/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19"/>
      <c r="AB59" s="519"/>
      <c r="AC59" s="519"/>
      <c r="AD59" s="519"/>
      <c r="AE59" s="519"/>
      <c r="AF59" s="519"/>
    </row>
    <row r="60" spans="1:32" x14ac:dyDescent="0.2">
      <c r="A60" s="511" t="s">
        <v>1403</v>
      </c>
      <c r="B60" s="511"/>
      <c r="C60" s="511"/>
      <c r="D60" s="511"/>
      <c r="E60" s="511"/>
      <c r="F60" s="511"/>
      <c r="G60" s="511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1"/>
      <c r="AB60" s="511"/>
      <c r="AC60" s="511"/>
      <c r="AD60" s="511"/>
      <c r="AE60" s="511"/>
      <c r="AF60" s="511"/>
    </row>
    <row r="61" spans="1:32" ht="3.75" customHeight="1" x14ac:dyDescent="0.2">
      <c r="A61" s="433"/>
      <c r="B61" s="433"/>
      <c r="C61" s="433"/>
      <c r="D61" s="433"/>
      <c r="E61" s="433"/>
      <c r="F61" s="433"/>
      <c r="G61" s="433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  <c r="AA61" s="412"/>
      <c r="AB61" s="412"/>
      <c r="AC61" s="412"/>
      <c r="AD61" s="412"/>
      <c r="AE61" s="412"/>
      <c r="AF61" s="412"/>
    </row>
    <row r="62" spans="1:32" ht="18" customHeight="1" x14ac:dyDescent="0.25">
      <c r="A62" s="434" t="s">
        <v>1404</v>
      </c>
      <c r="B62" s="433"/>
      <c r="C62" s="433"/>
      <c r="D62" s="433"/>
      <c r="E62" s="433"/>
      <c r="F62" s="433"/>
      <c r="G62" s="433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  <c r="AA62" s="412"/>
      <c r="AB62" s="412"/>
      <c r="AC62" s="412"/>
      <c r="AD62" s="412"/>
      <c r="AE62" s="412"/>
      <c r="AF62" s="412"/>
    </row>
    <row r="63" spans="1:32" ht="9" customHeight="1" x14ac:dyDescent="0.2">
      <c r="A63" s="435"/>
      <c r="B63" s="435"/>
      <c r="C63" s="435"/>
      <c r="D63" s="435"/>
      <c r="E63" s="435"/>
      <c r="F63" s="435"/>
      <c r="G63" s="435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</row>
    <row r="64" spans="1:32" s="453" customFormat="1" ht="14.25" customHeight="1" x14ac:dyDescent="0.2">
      <c r="A64" s="542" t="s">
        <v>1462</v>
      </c>
      <c r="B64" s="542"/>
      <c r="C64" s="542"/>
      <c r="D64" s="542"/>
      <c r="E64" s="542"/>
      <c r="F64" s="542"/>
      <c r="G64" s="542"/>
      <c r="H64" s="542"/>
      <c r="I64" s="542"/>
      <c r="J64" s="542"/>
      <c r="K64" s="542"/>
      <c r="L64" s="542"/>
      <c r="M64" s="542"/>
      <c r="N64" s="542"/>
      <c r="O64" s="542"/>
      <c r="P64" s="542"/>
      <c r="Q64" s="542"/>
      <c r="R64" s="542"/>
      <c r="S64" s="542"/>
      <c r="T64" s="542"/>
      <c r="U64" s="542"/>
      <c r="V64" s="542"/>
      <c r="W64" s="542"/>
      <c r="X64" s="542"/>
      <c r="Y64" s="542"/>
      <c r="Z64" s="542"/>
      <c r="AA64" s="542"/>
      <c r="AB64" s="542"/>
      <c r="AC64" s="542"/>
      <c r="AD64" s="542"/>
      <c r="AE64" s="542"/>
      <c r="AF64" s="542"/>
    </row>
    <row r="65" spans="1:32" s="453" customFormat="1" ht="9" customHeight="1" x14ac:dyDescent="0.2">
      <c r="A65" s="556" t="str">
        <f>IF(Приложение_№_2!A65="","",Приложение_№_2!A65)</f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56"/>
      <c r="AB65" s="556"/>
      <c r="AC65" s="556"/>
      <c r="AD65" s="556"/>
      <c r="AE65" s="556"/>
      <c r="AF65" s="556"/>
    </row>
    <row r="66" spans="1:32" s="453" customFormat="1" ht="9" customHeight="1" x14ac:dyDescent="0.2">
      <c r="A66" s="545"/>
      <c r="B66" s="545"/>
      <c r="C66" s="545"/>
      <c r="D66" s="545"/>
      <c r="E66" s="545"/>
      <c r="F66" s="545"/>
      <c r="G66" s="545"/>
      <c r="H66" s="545"/>
      <c r="I66" s="545"/>
      <c r="J66" s="545"/>
      <c r="K66" s="545"/>
      <c r="L66" s="545"/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Y66" s="545"/>
      <c r="Z66" s="545"/>
      <c r="AA66" s="545"/>
      <c r="AB66" s="545"/>
      <c r="AC66" s="545"/>
      <c r="AD66" s="545"/>
      <c r="AE66" s="545"/>
      <c r="AF66" s="545"/>
    </row>
    <row r="67" spans="1:32" s="453" customFormat="1" ht="9" customHeight="1" x14ac:dyDescent="0.2">
      <c r="A67" s="544"/>
      <c r="B67" s="544"/>
      <c r="C67" s="544"/>
      <c r="D67" s="544"/>
      <c r="E67" s="54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  <c r="AA67" s="544"/>
      <c r="AB67" s="544"/>
      <c r="AC67" s="544"/>
      <c r="AD67" s="544"/>
      <c r="AE67" s="544"/>
      <c r="AF67" s="544"/>
    </row>
    <row r="68" spans="1:32" s="453" customFormat="1" ht="9" customHeight="1" x14ac:dyDescent="0.2">
      <c r="A68" s="545"/>
      <c r="B68" s="545"/>
      <c r="C68" s="545"/>
      <c r="D68" s="545"/>
      <c r="E68" s="545"/>
      <c r="F68" s="545"/>
      <c r="G68" s="545"/>
      <c r="H68" s="545"/>
      <c r="I68" s="545"/>
      <c r="J68" s="545"/>
      <c r="K68" s="545"/>
      <c r="L68" s="545"/>
      <c r="M68" s="545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Y68" s="545"/>
      <c r="Z68" s="545"/>
      <c r="AA68" s="545"/>
      <c r="AB68" s="545"/>
      <c r="AC68" s="545"/>
      <c r="AD68" s="545"/>
      <c r="AE68" s="545"/>
      <c r="AF68" s="545"/>
    </row>
    <row r="69" spans="1:32" s="453" customFormat="1" ht="9" customHeight="1" x14ac:dyDescent="0.2">
      <c r="A69" s="541" t="s">
        <v>1405</v>
      </c>
      <c r="B69" s="541"/>
      <c r="C69" s="541"/>
      <c r="D69" s="541"/>
      <c r="E69" s="541"/>
      <c r="F69" s="541"/>
      <c r="G69" s="541"/>
      <c r="H69" s="541"/>
      <c r="I69" s="541"/>
      <c r="J69" s="541"/>
      <c r="K69" s="541"/>
      <c r="L69" s="541"/>
      <c r="M69" s="541"/>
      <c r="N69" s="541"/>
      <c r="O69" s="541"/>
      <c r="P69" s="541"/>
      <c r="Q69" s="541"/>
      <c r="R69" s="541"/>
      <c r="S69" s="541"/>
      <c r="T69" s="541"/>
      <c r="U69" s="541"/>
      <c r="V69" s="541"/>
      <c r="W69" s="541"/>
      <c r="X69" s="541"/>
      <c r="Y69" s="541"/>
      <c r="Z69" s="541"/>
      <c r="AA69" s="541"/>
      <c r="AB69" s="541"/>
      <c r="AC69" s="541"/>
      <c r="AD69" s="541"/>
      <c r="AE69" s="541"/>
      <c r="AF69" s="541"/>
    </row>
    <row r="70" spans="1:32" s="453" customFormat="1" ht="9" customHeight="1" x14ac:dyDescent="0.25">
      <c r="A70" s="454"/>
      <c r="B70" s="454"/>
      <c r="C70" s="454"/>
      <c r="D70" s="454"/>
      <c r="E70" s="454"/>
      <c r="F70" s="454"/>
      <c r="G70" s="454"/>
      <c r="H70" s="420"/>
      <c r="I70" s="420"/>
      <c r="J70" s="420"/>
      <c r="K70" s="420"/>
      <c r="L70" s="420"/>
      <c r="M70" s="420"/>
      <c r="N70" s="420"/>
      <c r="O70" s="420"/>
      <c r="P70" s="420"/>
      <c r="Q70" s="420"/>
      <c r="R70" s="455"/>
      <c r="S70" s="455"/>
      <c r="T70" s="455"/>
      <c r="U70" s="455"/>
      <c r="V70" s="455"/>
      <c r="W70" s="455"/>
      <c r="X70" s="455"/>
      <c r="Y70" s="455"/>
      <c r="Z70" s="455"/>
      <c r="AA70" s="455"/>
      <c r="AB70" s="455"/>
      <c r="AC70" s="455"/>
      <c r="AD70" s="455"/>
      <c r="AE70" s="455"/>
      <c r="AF70" s="455"/>
    </row>
    <row r="71" spans="1:32" s="453" customFormat="1" ht="13.5" customHeight="1" x14ac:dyDescent="0.2">
      <c r="A71" s="542" t="s">
        <v>1486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542"/>
      <c r="AE71" s="542"/>
      <c r="AF71" s="542"/>
    </row>
    <row r="72" spans="1:32" s="453" customFormat="1" ht="111.75" customHeight="1" x14ac:dyDescent="0.2">
      <c r="A72" s="520" t="str">
        <f>IF(Приложение_№_2!A72="","",Приложение_№_2!A72)</f>
      </c>
      <c r="B72" s="520"/>
      <c r="C72" s="520"/>
      <c r="D72" s="520"/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</row>
    <row r="73" spans="1:32" s="453" customFormat="1" ht="409.5" hidden="1" customHeight="1" x14ac:dyDescent="0.2">
      <c r="A73" s="521"/>
      <c r="B73" s="521"/>
      <c r="C73" s="521"/>
      <c r="D73" s="521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1"/>
      <c r="AB73" s="521"/>
      <c r="AC73" s="521"/>
      <c r="AD73" s="521"/>
      <c r="AE73" s="521"/>
      <c r="AF73" s="521"/>
    </row>
    <row r="74" spans="1:32" s="453" customFormat="1" ht="15.75" customHeight="1" x14ac:dyDescent="0.2">
      <c r="A74" s="541" t="s">
        <v>1413</v>
      </c>
      <c r="B74" s="541"/>
      <c r="C74" s="541"/>
      <c r="D74" s="541"/>
      <c r="E74" s="541"/>
      <c r="F74" s="541"/>
      <c r="G74" s="541"/>
      <c r="H74" s="541"/>
      <c r="I74" s="541"/>
      <c r="J74" s="541"/>
      <c r="K74" s="541"/>
      <c r="L74" s="541"/>
      <c r="M74" s="541"/>
      <c r="N74" s="541"/>
      <c r="O74" s="541"/>
      <c r="P74" s="541"/>
      <c r="Q74" s="541"/>
      <c r="R74" s="541"/>
      <c r="S74" s="541"/>
      <c r="T74" s="541"/>
      <c r="U74" s="541"/>
      <c r="V74" s="541"/>
      <c r="W74" s="541"/>
      <c r="X74" s="541"/>
      <c r="Y74" s="541"/>
      <c r="Z74" s="541"/>
      <c r="AA74" s="541"/>
      <c r="AB74" s="541"/>
      <c r="AC74" s="541"/>
      <c r="AD74" s="541"/>
      <c r="AE74" s="541"/>
      <c r="AF74" s="541"/>
    </row>
    <row r="75" spans="1:32" s="453" customFormat="1" ht="14.25" customHeight="1" x14ac:dyDescent="0.2">
      <c r="A75" s="545"/>
      <c r="B75" s="545"/>
      <c r="C75" s="545"/>
      <c r="D75" s="545"/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5"/>
      <c r="AB75" s="545"/>
      <c r="AC75" s="545"/>
      <c r="AD75" s="545"/>
      <c r="AE75" s="545"/>
      <c r="AF75" s="545"/>
    </row>
    <row r="76" spans="1:32" s="453" customFormat="1" ht="13.5" customHeight="1" x14ac:dyDescent="0.2">
      <c r="A76" s="541" t="s">
        <v>1466</v>
      </c>
      <c r="B76" s="541"/>
      <c r="C76" s="541"/>
      <c r="D76" s="541"/>
      <c r="E76" s="541"/>
      <c r="F76" s="541"/>
      <c r="G76" s="541"/>
      <c r="H76" s="541"/>
      <c r="I76" s="541"/>
      <c r="J76" s="541"/>
      <c r="K76" s="541"/>
      <c r="L76" s="541"/>
      <c r="M76" s="541"/>
      <c r="N76" s="541"/>
      <c r="O76" s="541"/>
      <c r="P76" s="541"/>
      <c r="Q76" s="541"/>
      <c r="R76" s="541"/>
      <c r="S76" s="541"/>
      <c r="T76" s="541"/>
      <c r="U76" s="541"/>
      <c r="V76" s="541"/>
      <c r="W76" s="541"/>
      <c r="X76" s="541"/>
      <c r="Y76" s="541"/>
      <c r="Z76" s="541"/>
      <c r="AA76" s="541"/>
      <c r="AB76" s="541"/>
      <c r="AC76" s="541"/>
      <c r="AD76" s="541"/>
      <c r="AE76" s="541"/>
      <c r="AF76" s="541"/>
    </row>
    <row r="77" spans="1:32" s="453" customFormat="1" ht="9" hidden="1" customHeight="1" x14ac:dyDescent="0.25">
      <c r="A77" s="454"/>
      <c r="B77" s="454"/>
      <c r="C77" s="454"/>
      <c r="D77" s="454"/>
      <c r="E77" s="454"/>
      <c r="F77" s="454"/>
      <c r="G77" s="454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55"/>
      <c r="S77" s="455"/>
      <c r="T77" s="455"/>
      <c r="U77" s="455"/>
      <c r="V77" s="455"/>
      <c r="W77" s="455"/>
      <c r="X77" s="455"/>
      <c r="Y77" s="455"/>
      <c r="Z77" s="455"/>
      <c r="AA77" s="455"/>
      <c r="AB77" s="455"/>
      <c r="AC77" s="455"/>
      <c r="AD77" s="455"/>
      <c r="AE77" s="455"/>
      <c r="AF77" s="455"/>
    </row>
    <row r="78" spans="1:32" s="453" customFormat="1" ht="10.5" hidden="1" customHeight="1" x14ac:dyDescent="0.2">
      <c r="A78" s="542" t="s">
        <v>1467</v>
      </c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  <c r="AA78" s="542"/>
      <c r="AB78" s="542"/>
      <c r="AC78" s="542"/>
      <c r="AD78" s="542"/>
      <c r="AE78" s="542"/>
      <c r="AF78" s="542"/>
    </row>
    <row r="79" spans="1:32" s="453" customFormat="1" ht="15" hidden="1" customHeight="1" x14ac:dyDescent="0.2">
      <c r="A79" s="514" t="s">
        <v>1487</v>
      </c>
      <c r="B79" s="514"/>
      <c r="C79" s="514"/>
      <c r="D79" s="514"/>
      <c r="E79" s="514"/>
      <c r="F79" s="514"/>
      <c r="G79" s="514"/>
      <c r="H79" s="514"/>
      <c r="I79" s="514"/>
      <c r="J79" s="514"/>
      <c r="K79" s="514"/>
      <c r="L79" s="514"/>
      <c r="M79" s="514"/>
      <c r="N79" s="514"/>
      <c r="O79" s="514"/>
      <c r="P79" s="514"/>
      <c r="Q79" s="514"/>
      <c r="R79" s="514"/>
      <c r="S79" s="514"/>
      <c r="T79" s="514"/>
      <c r="U79" s="514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</row>
    <row r="80" spans="1:32" s="453" customFormat="1" ht="3.75" hidden="1" customHeight="1" x14ac:dyDescent="0.2">
      <c r="A80" s="509"/>
      <c r="B80" s="509"/>
      <c r="C80" s="509"/>
      <c r="D80" s="509"/>
      <c r="E80" s="509"/>
      <c r="F80" s="509"/>
      <c r="G80" s="509"/>
      <c r="H80" s="509"/>
      <c r="I80" s="509"/>
      <c r="J80" s="509"/>
      <c r="K80" s="509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</row>
    <row r="81" spans="1:32" s="453" customFormat="1" ht="12.75" hidden="1" customHeight="1" x14ac:dyDescent="0.2">
      <c r="A81" s="541" t="s">
        <v>1468</v>
      </c>
      <c r="B81" s="541"/>
      <c r="C81" s="541"/>
      <c r="D81" s="541"/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1"/>
      <c r="AB81" s="541"/>
      <c r="AC81" s="541"/>
      <c r="AD81" s="541"/>
      <c r="AE81" s="541"/>
      <c r="AF81" s="541"/>
    </row>
    <row r="82" spans="1:32" s="453" customFormat="1" ht="9" customHeight="1" x14ac:dyDescent="0.25">
      <c r="A82" s="454"/>
      <c r="B82" s="454"/>
      <c r="C82" s="454"/>
      <c r="D82" s="454"/>
      <c r="E82" s="454"/>
      <c r="F82" s="454"/>
      <c r="G82" s="454"/>
      <c r="H82" s="420"/>
      <c r="I82" s="420"/>
      <c r="J82" s="420"/>
      <c r="K82" s="420"/>
      <c r="L82" s="420"/>
      <c r="M82" s="420"/>
      <c r="N82" s="420"/>
      <c r="O82" s="420"/>
      <c r="P82" s="420"/>
      <c r="Q82" s="420"/>
      <c r="R82" s="455"/>
      <c r="S82" s="455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  <c r="AD82" s="455"/>
      <c r="AE82" s="455"/>
      <c r="AF82" s="455"/>
    </row>
    <row r="83" spans="1:32" s="453" customFormat="1" ht="9" customHeight="1" x14ac:dyDescent="0.2">
      <c r="A83" s="542" t="s">
        <v>1434</v>
      </c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</row>
    <row r="84" spans="1:32" s="453" customFormat="1" ht="13.5" customHeight="1" x14ac:dyDescent="0.2">
      <c r="A84" s="557" t="str">
        <f>IF(Приложение_№_2!A84="","",Приложение_№_2!A84)</f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57"/>
      <c r="AB84" s="557"/>
      <c r="AC84" s="557"/>
      <c r="AD84" s="557"/>
      <c r="AE84" s="557"/>
      <c r="AF84" s="557"/>
    </row>
    <row r="85" spans="1:32" s="453" customFormat="1" ht="37.5" customHeight="1" x14ac:dyDescent="0.2">
      <c r="A85" s="558"/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58"/>
      <c r="AB85" s="558"/>
      <c r="AC85" s="558"/>
      <c r="AD85" s="558"/>
      <c r="AE85" s="558"/>
      <c r="AF85" s="558"/>
    </row>
    <row r="86" spans="1:32" s="453" customFormat="1" ht="9" customHeight="1" x14ac:dyDescent="0.2">
      <c r="A86" s="541" t="s">
        <v>1488</v>
      </c>
      <c r="B86" s="541"/>
      <c r="C86" s="541"/>
      <c r="D86" s="541"/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1"/>
      <c r="V86" s="541"/>
      <c r="W86" s="541"/>
      <c r="X86" s="541"/>
      <c r="Y86" s="541"/>
      <c r="Z86" s="541"/>
      <c r="AA86" s="541"/>
      <c r="AB86" s="541"/>
      <c r="AC86" s="541"/>
      <c r="AD86" s="541"/>
      <c r="AE86" s="541"/>
      <c r="AF86" s="541"/>
    </row>
    <row r="87" spans="1:32" s="453" customFormat="1" ht="9" customHeight="1" x14ac:dyDescent="0.25">
      <c r="A87" s="454"/>
      <c r="B87" s="454"/>
      <c r="C87" s="454"/>
      <c r="D87" s="454"/>
      <c r="E87" s="454"/>
      <c r="F87" s="454"/>
      <c r="G87" s="454"/>
      <c r="H87" s="420"/>
      <c r="I87" s="420"/>
      <c r="J87" s="420"/>
      <c r="K87" s="420"/>
      <c r="L87" s="420"/>
      <c r="M87" s="420"/>
      <c r="N87" s="420"/>
      <c r="O87" s="420"/>
      <c r="P87" s="420"/>
      <c r="Q87" s="420"/>
      <c r="R87" s="455"/>
      <c r="S87" s="455"/>
      <c r="T87" s="455"/>
      <c r="U87" s="455"/>
      <c r="V87" s="455"/>
      <c r="W87" s="455"/>
      <c r="X87" s="455"/>
      <c r="Y87" s="455"/>
      <c r="Z87" s="455"/>
      <c r="AA87" s="455"/>
      <c r="AB87" s="455"/>
      <c r="AC87" s="455"/>
      <c r="AD87" s="455"/>
      <c r="AE87" s="455"/>
      <c r="AF87" s="455"/>
    </row>
    <row r="88" spans="1:32" s="453" customFormat="1" ht="13.5" customHeight="1" x14ac:dyDescent="0.2">
      <c r="A88" s="542" t="s">
        <v>1489</v>
      </c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</row>
    <row r="89" spans="1:32" s="453" customFormat="1" ht="19.5" customHeight="1" x14ac:dyDescent="0.2">
      <c r="A89" s="559" t="s">
        <v>1490</v>
      </c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59"/>
      <c r="P89" s="559"/>
      <c r="Q89" s="559"/>
      <c r="R89" s="559"/>
      <c r="S89" s="559"/>
      <c r="T89" s="559"/>
      <c r="U89" s="559"/>
      <c r="V89" s="559"/>
      <c r="W89" s="559"/>
      <c r="X89" s="559"/>
      <c r="Y89" s="559"/>
      <c r="Z89" s="559"/>
      <c r="AA89" s="559"/>
      <c r="AB89" s="559"/>
      <c r="AC89" s="559"/>
      <c r="AD89" s="559"/>
      <c r="AE89" s="559"/>
      <c r="AF89" s="559"/>
    </row>
    <row r="90" spans="1:32" s="453" customFormat="1" ht="0.75" customHeight="1" x14ac:dyDescent="0.2">
      <c r="A90" s="508"/>
      <c r="B90" s="508"/>
      <c r="C90" s="508"/>
      <c r="D90" s="508"/>
      <c r="E90" s="508"/>
      <c r="F90" s="508"/>
      <c r="G90" s="508"/>
      <c r="H90" s="508"/>
      <c r="I90" s="508"/>
      <c r="J90" s="508"/>
      <c r="K90" s="508"/>
      <c r="L90" s="508"/>
      <c r="M90" s="508"/>
      <c r="N90" s="508"/>
      <c r="O90" s="508"/>
      <c r="P90" s="508"/>
      <c r="Q90" s="508"/>
      <c r="R90" s="508"/>
      <c r="S90" s="508"/>
      <c r="T90" s="508"/>
      <c r="U90" s="508"/>
      <c r="V90" s="508"/>
      <c r="W90" s="508"/>
      <c r="X90" s="508"/>
      <c r="Y90" s="508"/>
      <c r="Z90" s="508"/>
      <c r="AA90" s="508"/>
      <c r="AB90" s="508"/>
      <c r="AC90" s="508"/>
      <c r="AD90" s="508"/>
      <c r="AE90" s="508"/>
      <c r="AF90" s="508"/>
    </row>
    <row r="91" spans="1:32" s="453" customFormat="1" ht="13.5" customHeight="1" x14ac:dyDescent="0.2">
      <c r="A91" s="541" t="s">
        <v>1491</v>
      </c>
      <c r="B91" s="541"/>
      <c r="C91" s="541"/>
      <c r="D91" s="541"/>
      <c r="E91" s="541"/>
      <c r="F91" s="541"/>
      <c r="G91" s="541"/>
      <c r="H91" s="541"/>
      <c r="I91" s="541"/>
      <c r="J91" s="541"/>
      <c r="K91" s="541"/>
      <c r="L91" s="541"/>
      <c r="M91" s="541"/>
      <c r="N91" s="541"/>
      <c r="O91" s="541"/>
      <c r="P91" s="541"/>
      <c r="Q91" s="541"/>
      <c r="R91" s="541"/>
      <c r="S91" s="541"/>
      <c r="T91" s="541"/>
      <c r="U91" s="541"/>
      <c r="V91" s="541"/>
      <c r="W91" s="541"/>
      <c r="X91" s="541"/>
      <c r="Y91" s="541"/>
      <c r="Z91" s="541"/>
      <c r="AA91" s="541"/>
      <c r="AB91" s="541"/>
      <c r="AC91" s="541"/>
      <c r="AD91" s="541"/>
      <c r="AE91" s="541"/>
      <c r="AF91" s="541"/>
    </row>
    <row r="92" spans="1:32" s="453" customFormat="1" ht="9" customHeight="1" x14ac:dyDescent="0.25">
      <c r="A92" s="454"/>
      <c r="B92" s="454"/>
      <c r="C92" s="454"/>
      <c r="D92" s="454"/>
      <c r="E92" s="454"/>
      <c r="F92" s="454"/>
      <c r="G92" s="454"/>
      <c r="H92" s="420"/>
      <c r="I92" s="420"/>
      <c r="J92" s="420"/>
      <c r="K92" s="420"/>
      <c r="L92" s="420"/>
      <c r="M92" s="420"/>
      <c r="N92" s="420"/>
      <c r="O92" s="420"/>
      <c r="P92" s="420"/>
      <c r="Q92" s="420"/>
      <c r="R92" s="455"/>
      <c r="S92" s="455"/>
      <c r="T92" s="455"/>
      <c r="U92" s="455"/>
      <c r="V92" s="455"/>
      <c r="W92" s="455"/>
      <c r="X92" s="455"/>
      <c r="Y92" s="455"/>
      <c r="Z92" s="455"/>
      <c r="AA92" s="455"/>
      <c r="AB92" s="455"/>
      <c r="AC92" s="455"/>
      <c r="AD92" s="455"/>
      <c r="AE92" s="455"/>
      <c r="AF92" s="455"/>
    </row>
    <row r="93" spans="1:32" s="453" customFormat="1" ht="13.5" customHeight="1" x14ac:dyDescent="0.2">
      <c r="A93" s="542" t="s">
        <v>1492</v>
      </c>
      <c r="B93" s="542"/>
      <c r="C93" s="542"/>
      <c r="D93" s="542"/>
      <c r="E93" s="542"/>
      <c r="F93" s="542"/>
      <c r="G93" s="542"/>
      <c r="H93" s="542"/>
      <c r="I93" s="542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</row>
    <row r="94" spans="1:32" s="453" customFormat="1" ht="15.75" customHeight="1" x14ac:dyDescent="0.2">
      <c r="A94" s="514" t="s">
        <v>101</v>
      </c>
      <c r="B94" s="514"/>
      <c r="C94" s="514"/>
      <c r="D94" s="514"/>
      <c r="E94" s="514"/>
      <c r="F94" s="514"/>
      <c r="G94" s="514"/>
      <c r="H94" s="514"/>
      <c r="I94" s="514"/>
      <c r="J94" s="514"/>
      <c r="K94" s="514"/>
      <c r="L94" s="514"/>
      <c r="M94" s="514"/>
      <c r="N94" s="514"/>
      <c r="O94" s="514"/>
      <c r="P94" s="514"/>
      <c r="Q94" s="514"/>
      <c r="R94" s="514"/>
      <c r="S94" s="514"/>
      <c r="T94" s="514"/>
      <c r="U94" s="514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</row>
    <row r="95" spans="1:32" s="453" customFormat="1" ht="13.5" customHeight="1" x14ac:dyDescent="0.2">
      <c r="A95" s="514"/>
      <c r="B95" s="514"/>
      <c r="C95" s="514"/>
      <c r="D95" s="514"/>
      <c r="E95" s="514"/>
      <c r="F95" s="514"/>
      <c r="G95" s="514"/>
      <c r="H95" s="514"/>
      <c r="I95" s="514"/>
      <c r="J95" s="514"/>
      <c r="K95" s="514"/>
      <c r="L95" s="514"/>
      <c r="M95" s="514"/>
      <c r="N95" s="514"/>
      <c r="O95" s="514"/>
      <c r="P95" s="514"/>
      <c r="Q95" s="514"/>
      <c r="R95" s="514"/>
      <c r="S95" s="514"/>
      <c r="T95" s="514"/>
      <c r="U95" s="514"/>
      <c r="V95" s="514"/>
      <c r="W95" s="514"/>
      <c r="X95" s="514"/>
      <c r="Y95" s="514"/>
      <c r="Z95" s="514"/>
      <c r="AA95" s="514"/>
      <c r="AB95" s="514"/>
      <c r="AC95" s="514"/>
      <c r="AD95" s="514"/>
      <c r="AE95" s="514"/>
      <c r="AF95" s="514"/>
    </row>
    <row r="96" spans="1:32" s="453" customFormat="1" ht="9" hidden="1" customHeight="1" x14ac:dyDescent="0.2">
      <c r="A96" s="514"/>
      <c r="B96" s="514"/>
      <c r="C96" s="514"/>
      <c r="D96" s="514"/>
      <c r="E96" s="514"/>
      <c r="F96" s="514"/>
      <c r="G96" s="514"/>
      <c r="H96" s="514"/>
      <c r="I96" s="514"/>
      <c r="J96" s="514"/>
      <c r="K96" s="514"/>
      <c r="L96" s="514"/>
      <c r="M96" s="514"/>
      <c r="N96" s="514"/>
      <c r="O96" s="514"/>
      <c r="P96" s="514"/>
      <c r="Q96" s="514"/>
      <c r="R96" s="514"/>
      <c r="S96" s="514"/>
      <c r="T96" s="514"/>
      <c r="U96" s="514"/>
      <c r="V96" s="514"/>
      <c r="W96" s="514"/>
      <c r="X96" s="514"/>
      <c r="Y96" s="514"/>
      <c r="Z96" s="514"/>
      <c r="AA96" s="514"/>
      <c r="AB96" s="514"/>
      <c r="AC96" s="514"/>
      <c r="AD96" s="514"/>
      <c r="AE96" s="514"/>
      <c r="AF96" s="514"/>
    </row>
    <row r="97" spans="1:32" s="453" customFormat="1" ht="12" hidden="1" customHeight="1" x14ac:dyDescent="0.2">
      <c r="A97" s="509"/>
      <c r="B97" s="509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  <c r="AA97" s="509"/>
      <c r="AB97" s="509"/>
      <c r="AC97" s="509"/>
      <c r="AD97" s="509"/>
      <c r="AE97" s="509"/>
      <c r="AF97" s="509"/>
    </row>
    <row r="98" spans="1:32" s="453" customFormat="1" ht="9" customHeight="1" x14ac:dyDescent="0.2">
      <c r="A98" s="541" t="s">
        <v>1493</v>
      </c>
      <c r="B98" s="541"/>
      <c r="C98" s="541"/>
      <c r="D98" s="541"/>
      <c r="E98" s="541"/>
      <c r="F98" s="541"/>
      <c r="G98" s="541"/>
      <c r="H98" s="541"/>
      <c r="I98" s="541"/>
      <c r="J98" s="541"/>
      <c r="K98" s="541"/>
      <c r="L98" s="541"/>
      <c r="M98" s="541"/>
      <c r="N98" s="541"/>
      <c r="O98" s="541"/>
      <c r="P98" s="541"/>
      <c r="Q98" s="541"/>
      <c r="R98" s="541"/>
      <c r="S98" s="541"/>
      <c r="T98" s="541"/>
      <c r="U98" s="541"/>
      <c r="V98" s="541"/>
      <c r="W98" s="541"/>
      <c r="X98" s="541"/>
      <c r="Y98" s="541"/>
      <c r="Z98" s="541"/>
      <c r="AA98" s="541"/>
      <c r="AB98" s="541"/>
      <c r="AC98" s="541"/>
      <c r="AD98" s="541"/>
      <c r="AE98" s="541"/>
      <c r="AF98" s="541"/>
    </row>
    <row r="99" spans="1:32" s="453" customFormat="1" ht="9" customHeight="1" x14ac:dyDescent="0.25">
      <c r="A99" s="454"/>
      <c r="B99" s="454"/>
      <c r="C99" s="454"/>
      <c r="D99" s="454"/>
      <c r="E99" s="454"/>
      <c r="F99" s="454"/>
      <c r="G99" s="454"/>
      <c r="H99" s="420"/>
      <c r="I99" s="420"/>
      <c r="J99" s="420"/>
      <c r="K99" s="420"/>
      <c r="L99" s="420"/>
      <c r="M99" s="420"/>
      <c r="N99" s="420"/>
      <c r="O99" s="420"/>
      <c r="P99" s="420"/>
      <c r="Q99" s="420"/>
      <c r="R99" s="455"/>
      <c r="S99" s="455"/>
      <c r="T99" s="455"/>
      <c r="U99" s="455"/>
      <c r="V99" s="455"/>
      <c r="W99" s="455"/>
      <c r="X99" s="455"/>
      <c r="Y99" s="455"/>
      <c r="Z99" s="455"/>
      <c r="AA99" s="455"/>
      <c r="AB99" s="455"/>
      <c r="AC99" s="455"/>
      <c r="AD99" s="455"/>
      <c r="AE99" s="455"/>
      <c r="AF99" s="455"/>
    </row>
    <row r="100" spans="1:32" s="453" customFormat="1" ht="14.25" customHeight="1" x14ac:dyDescent="0.2">
      <c r="A100" s="542" t="s">
        <v>1494</v>
      </c>
      <c r="B100" s="542"/>
      <c r="C100" s="542"/>
      <c r="D100" s="542"/>
      <c r="E100" s="542"/>
      <c r="F100" s="542"/>
      <c r="G100" s="542"/>
      <c r="H100" s="542"/>
      <c r="I100" s="542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</row>
    <row r="101" spans="1:32" s="453" customFormat="1" ht="16.5" customHeight="1" x14ac:dyDescent="0.2">
      <c r="A101" s="545" t="s">
        <v>101</v>
      </c>
      <c r="B101" s="545"/>
      <c r="C101" s="545"/>
      <c r="D101" s="545"/>
      <c r="E101" s="545"/>
      <c r="F101" s="545"/>
      <c r="G101" s="545"/>
      <c r="H101" s="545"/>
      <c r="I101" s="545"/>
      <c r="J101" s="545"/>
      <c r="K101" s="545"/>
      <c r="L101" s="545"/>
      <c r="M101" s="545"/>
      <c r="N101" s="545"/>
      <c r="O101" s="545"/>
      <c r="P101" s="545"/>
      <c r="Q101" s="545"/>
      <c r="R101" s="545"/>
      <c r="S101" s="545"/>
      <c r="T101" s="545"/>
      <c r="U101" s="545"/>
      <c r="V101" s="545"/>
      <c r="W101" s="545"/>
      <c r="X101" s="545"/>
      <c r="Y101" s="545"/>
      <c r="Z101" s="545"/>
      <c r="AA101" s="545"/>
      <c r="AB101" s="545"/>
      <c r="AC101" s="545"/>
      <c r="AD101" s="545"/>
      <c r="AE101" s="545"/>
      <c r="AF101" s="545"/>
    </row>
    <row r="102" spans="1:32" s="453" customFormat="1" ht="9" customHeight="1" x14ac:dyDescent="0.2">
      <c r="A102" s="541" t="s">
        <v>1495</v>
      </c>
      <c r="B102" s="541"/>
      <c r="C102" s="541"/>
      <c r="D102" s="541"/>
      <c r="E102" s="541"/>
      <c r="F102" s="541"/>
      <c r="G102" s="541"/>
      <c r="H102" s="541"/>
      <c r="I102" s="541"/>
      <c r="J102" s="541"/>
      <c r="K102" s="541"/>
      <c r="L102" s="541"/>
      <c r="M102" s="541"/>
      <c r="N102" s="541"/>
      <c r="O102" s="541"/>
      <c r="P102" s="541"/>
      <c r="Q102" s="541"/>
      <c r="R102" s="541"/>
      <c r="S102" s="541"/>
      <c r="T102" s="541"/>
      <c r="U102" s="541"/>
      <c r="V102" s="541"/>
      <c r="W102" s="541"/>
      <c r="X102" s="541"/>
      <c r="Y102" s="541"/>
      <c r="Z102" s="541"/>
      <c r="AA102" s="541"/>
      <c r="AB102" s="541"/>
      <c r="AC102" s="541"/>
      <c r="AD102" s="541"/>
      <c r="AE102" s="541"/>
      <c r="AF102" s="541"/>
    </row>
    <row r="103" spans="1:32" s="453" customFormat="1" ht="9" customHeight="1" x14ac:dyDescent="0.25">
      <c r="A103" s="454"/>
      <c r="B103" s="454"/>
      <c r="C103" s="454"/>
      <c r="D103" s="454"/>
      <c r="E103" s="454"/>
      <c r="F103" s="454"/>
      <c r="G103" s="454"/>
      <c r="H103" s="420"/>
      <c r="I103" s="420"/>
      <c r="J103" s="420"/>
      <c r="K103" s="420"/>
      <c r="L103" s="420"/>
      <c r="M103" s="420"/>
      <c r="N103" s="420"/>
      <c r="O103" s="420"/>
      <c r="P103" s="420"/>
      <c r="Q103" s="420"/>
      <c r="R103" s="455"/>
      <c r="S103" s="455"/>
      <c r="T103" s="455"/>
      <c r="U103" s="455"/>
      <c r="V103" s="455"/>
      <c r="W103" s="455"/>
      <c r="X103" s="455"/>
      <c r="Y103" s="455"/>
      <c r="Z103" s="455"/>
      <c r="AA103" s="455"/>
      <c r="AB103" s="455"/>
      <c r="AC103" s="455"/>
      <c r="AD103" s="455"/>
      <c r="AE103" s="455"/>
      <c r="AF103" s="455"/>
    </row>
    <row r="104" spans="1:32" s="453" customFormat="1" ht="14.25" customHeight="1" x14ac:dyDescent="0.2">
      <c r="A104" s="542" t="s">
        <v>1496</v>
      </c>
      <c r="B104" s="542"/>
      <c r="C104" s="542"/>
      <c r="D104" s="542"/>
      <c r="E104" s="542"/>
      <c r="F104" s="542"/>
      <c r="G104" s="542"/>
      <c r="H104" s="542"/>
      <c r="I104" s="542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</row>
    <row r="105" spans="1:32" s="453" customFormat="1" ht="17.25" customHeight="1" x14ac:dyDescent="0.2">
      <c r="A105" s="545" t="str">
        <f>IF(Приложение_№_2!A94="","",Приложение_№_2!A94)</f>
      </c>
      <c r="B105" s="545"/>
      <c r="C105" s="545"/>
      <c r="D105" s="545"/>
      <c r="E105" s="545"/>
      <c r="F105" s="545"/>
      <c r="G105" s="545"/>
      <c r="H105" s="545"/>
      <c r="I105" s="545"/>
      <c r="J105" s="545"/>
      <c r="K105" s="545"/>
      <c r="L105" s="545"/>
      <c r="M105" s="545"/>
      <c r="N105" s="545"/>
      <c r="O105" s="545"/>
      <c r="P105" s="545"/>
      <c r="Q105" s="545"/>
      <c r="R105" s="545"/>
      <c r="S105" s="545"/>
      <c r="T105" s="545"/>
      <c r="U105" s="545"/>
      <c r="V105" s="545"/>
      <c r="W105" s="545"/>
      <c r="X105" s="545"/>
      <c r="Y105" s="545"/>
      <c r="Z105" s="545"/>
      <c r="AA105" s="545"/>
      <c r="AB105" s="545"/>
      <c r="AC105" s="545"/>
      <c r="AD105" s="545"/>
      <c r="AE105" s="545"/>
      <c r="AF105" s="545"/>
    </row>
    <row r="106" spans="1:32" s="453" customFormat="1" ht="12.75" customHeight="1" x14ac:dyDescent="0.2">
      <c r="A106" s="541" t="s">
        <v>1493</v>
      </c>
      <c r="B106" s="541"/>
      <c r="C106" s="541"/>
      <c r="D106" s="541"/>
      <c r="E106" s="541"/>
      <c r="F106" s="541"/>
      <c r="G106" s="541"/>
      <c r="H106" s="541"/>
      <c r="I106" s="541"/>
      <c r="J106" s="541"/>
      <c r="K106" s="541"/>
      <c r="L106" s="541"/>
      <c r="M106" s="541"/>
      <c r="N106" s="541"/>
      <c r="O106" s="541"/>
      <c r="P106" s="541"/>
      <c r="Q106" s="541"/>
      <c r="R106" s="541"/>
      <c r="S106" s="541"/>
      <c r="T106" s="541"/>
      <c r="U106" s="541"/>
      <c r="V106" s="541"/>
      <c r="W106" s="541"/>
      <c r="X106" s="541"/>
      <c r="Y106" s="541"/>
      <c r="Z106" s="541"/>
      <c r="AA106" s="541"/>
      <c r="AB106" s="541"/>
      <c r="AC106" s="541"/>
      <c r="AD106" s="541"/>
      <c r="AE106" s="541"/>
      <c r="AF106" s="541"/>
    </row>
    <row r="107" spans="1:32" s="453" customFormat="1" ht="9" customHeight="1" x14ac:dyDescent="0.25">
      <c r="A107" s="454"/>
      <c r="B107" s="454"/>
      <c r="C107" s="454"/>
      <c r="D107" s="454"/>
      <c r="E107" s="454"/>
      <c r="F107" s="454"/>
      <c r="G107" s="454"/>
      <c r="H107" s="420"/>
      <c r="I107" s="420"/>
      <c r="J107" s="420"/>
      <c r="K107" s="420"/>
      <c r="L107" s="420"/>
      <c r="M107" s="420"/>
      <c r="N107" s="420"/>
      <c r="O107" s="420"/>
      <c r="P107" s="420"/>
      <c r="Q107" s="420"/>
      <c r="R107" s="455"/>
      <c r="S107" s="455"/>
      <c r="T107" s="455"/>
      <c r="U107" s="455"/>
      <c r="V107" s="455"/>
      <c r="W107" s="455"/>
      <c r="X107" s="455"/>
      <c r="Y107" s="455"/>
      <c r="Z107" s="455"/>
      <c r="AA107" s="455"/>
      <c r="AB107" s="455"/>
      <c r="AC107" s="455"/>
      <c r="AD107" s="455"/>
      <c r="AE107" s="455"/>
      <c r="AF107" s="455"/>
    </row>
    <row r="108" spans="1:32" s="453" customFormat="1" ht="9" customHeight="1" x14ac:dyDescent="0.2">
      <c r="A108" s="542" t="s">
        <v>1497</v>
      </c>
      <c r="B108" s="542"/>
      <c r="C108" s="542"/>
      <c r="D108" s="542"/>
      <c r="E108" s="542"/>
      <c r="F108" s="542"/>
      <c r="G108" s="542"/>
      <c r="H108" s="542"/>
      <c r="I108" s="542"/>
      <c r="J108" s="542"/>
      <c r="K108" s="542"/>
      <c r="L108" s="542"/>
      <c r="M108" s="542"/>
      <c r="N108" s="542"/>
      <c r="O108" s="542"/>
      <c r="P108" s="542"/>
      <c r="Q108" s="542"/>
      <c r="R108" s="542"/>
      <c r="S108" s="542"/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  <c r="AE108" s="542"/>
      <c r="AF108" s="542"/>
    </row>
    <row r="109" spans="1:32" s="453" customFormat="1" ht="20.25" customHeight="1" x14ac:dyDescent="0.25">
      <c r="A109" s="505" t="s">
        <v>13</v>
      </c>
      <c r="B109" s="505"/>
      <c r="C109" s="560"/>
      <c r="D109" s="560"/>
      <c r="E109" s="560"/>
      <c r="F109" s="560"/>
      <c r="G109" s="560"/>
      <c r="H109" s="560"/>
      <c r="I109" s="560"/>
      <c r="J109" s="560"/>
      <c r="K109" s="560"/>
      <c r="L109" s="560"/>
      <c r="M109" s="560"/>
      <c r="N109" s="560"/>
      <c r="O109" s="560"/>
      <c r="P109" s="560"/>
      <c r="Q109" s="560"/>
      <c r="R109" s="560"/>
      <c r="S109" s="560"/>
      <c r="T109" s="560"/>
      <c r="U109" s="560"/>
      <c r="V109" s="560"/>
      <c r="W109" s="560"/>
      <c r="X109" s="560"/>
      <c r="Y109" s="560"/>
      <c r="Z109" s="560"/>
      <c r="AA109" s="560"/>
      <c r="AB109" s="560"/>
      <c r="AC109" s="560"/>
      <c r="AD109" s="560"/>
      <c r="AE109" s="560"/>
      <c r="AF109" s="560"/>
    </row>
    <row r="110" spans="1:32" s="453" customFormat="1" ht="24.75" customHeight="1" x14ac:dyDescent="0.2">
      <c r="A110" s="545"/>
      <c r="B110" s="545"/>
      <c r="C110" s="545"/>
      <c r="D110" s="545"/>
      <c r="E110" s="545"/>
      <c r="F110" s="545"/>
      <c r="G110" s="545"/>
      <c r="H110" s="545"/>
      <c r="I110" s="545"/>
      <c r="J110" s="545"/>
      <c r="K110" s="545"/>
      <c r="L110" s="545"/>
      <c r="M110" s="545"/>
      <c r="N110" s="545"/>
      <c r="O110" s="545"/>
      <c r="P110" s="545"/>
      <c r="Q110" s="545"/>
      <c r="R110" s="545"/>
      <c r="S110" s="545"/>
      <c r="T110" s="545"/>
      <c r="U110" s="545"/>
      <c r="V110" s="545"/>
      <c r="W110" s="545"/>
      <c r="X110" s="545"/>
      <c r="Y110" s="545"/>
      <c r="Z110" s="545"/>
      <c r="AA110" s="545"/>
      <c r="AB110" s="545"/>
      <c r="AC110" s="545"/>
      <c r="AD110" s="545"/>
      <c r="AE110" s="545"/>
      <c r="AF110" s="545"/>
    </row>
    <row r="111" spans="1:32" s="453" customFormat="1" ht="12.75" customHeight="1" x14ac:dyDescent="0.2">
      <c r="A111" s="541" t="s">
        <v>1414</v>
      </c>
      <c r="B111" s="541"/>
      <c r="C111" s="541"/>
      <c r="D111" s="541"/>
      <c r="E111" s="541"/>
      <c r="F111" s="541"/>
      <c r="G111" s="541"/>
      <c r="H111" s="541"/>
      <c r="I111" s="541"/>
      <c r="J111" s="541"/>
      <c r="K111" s="541"/>
      <c r="L111" s="541"/>
      <c r="M111" s="541"/>
      <c r="N111" s="541"/>
      <c r="O111" s="541"/>
      <c r="P111" s="541"/>
      <c r="Q111" s="541"/>
      <c r="R111" s="541"/>
      <c r="S111" s="541"/>
      <c r="T111" s="541"/>
      <c r="U111" s="541"/>
      <c r="V111" s="541"/>
      <c r="W111" s="541"/>
      <c r="X111" s="541"/>
      <c r="Y111" s="541"/>
      <c r="Z111" s="541"/>
      <c r="AA111" s="541"/>
      <c r="AB111" s="541"/>
      <c r="AC111" s="541"/>
      <c r="AD111" s="541"/>
      <c r="AE111" s="541"/>
      <c r="AF111" s="541"/>
    </row>
    <row r="112" spans="1:32" s="453" customFormat="1" ht="9" customHeight="1" x14ac:dyDescent="0.25">
      <c r="A112" s="454"/>
      <c r="B112" s="454"/>
      <c r="C112" s="454"/>
      <c r="D112" s="454"/>
      <c r="E112" s="454"/>
      <c r="F112" s="454"/>
      <c r="G112" s="454"/>
      <c r="H112" s="420"/>
      <c r="I112" s="420"/>
      <c r="J112" s="420"/>
      <c r="K112" s="420"/>
      <c r="L112" s="420"/>
      <c r="M112" s="420"/>
      <c r="N112" s="420"/>
      <c r="O112" s="420"/>
      <c r="P112" s="420"/>
      <c r="Q112" s="420"/>
      <c r="R112" s="455"/>
      <c r="S112" s="455"/>
      <c r="T112" s="455"/>
      <c r="U112" s="455"/>
      <c r="V112" s="455"/>
      <c r="W112" s="455"/>
      <c r="X112" s="455"/>
      <c r="Y112" s="455"/>
      <c r="Z112" s="455"/>
      <c r="AA112" s="455"/>
      <c r="AB112" s="455"/>
      <c r="AC112" s="455"/>
      <c r="AD112" s="455"/>
      <c r="AE112" s="455"/>
      <c r="AF112" s="455"/>
    </row>
    <row r="113" spans="1:32" s="453" customFormat="1" ht="15.75" customHeight="1" x14ac:dyDescent="0.2">
      <c r="A113" s="542" t="s">
        <v>1498</v>
      </c>
      <c r="B113" s="542"/>
      <c r="C113" s="542"/>
      <c r="D113" s="542"/>
      <c r="E113" s="542"/>
      <c r="F113" s="542"/>
      <c r="G113" s="542"/>
      <c r="H113" s="542"/>
      <c r="I113" s="542"/>
      <c r="J113" s="542"/>
      <c r="K113" s="542"/>
      <c r="L113" s="542"/>
      <c r="M113" s="542"/>
      <c r="N113" s="542"/>
      <c r="O113" s="542"/>
      <c r="P113" s="542"/>
      <c r="Q113" s="542"/>
      <c r="R113" s="542"/>
      <c r="S113" s="542"/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  <c r="AE113" s="542"/>
      <c r="AF113" s="542"/>
    </row>
    <row r="114" spans="1:32" s="453" customFormat="1" ht="25.5" customHeight="1" x14ac:dyDescent="0.25">
      <c r="A114" s="509"/>
      <c r="B114" s="509"/>
      <c r="C114" s="509"/>
      <c r="D114" s="509"/>
      <c r="E114" s="509"/>
      <c r="F114" s="509"/>
      <c r="G114" s="509"/>
      <c r="H114" s="509"/>
      <c r="I114" s="509"/>
      <c r="J114" s="509"/>
      <c r="K114" s="509"/>
      <c r="L114" s="509"/>
      <c r="M114" s="509"/>
      <c r="N114" s="509"/>
      <c r="O114" s="509"/>
      <c r="P114" s="509"/>
      <c r="Q114" s="509"/>
      <c r="R114" s="509"/>
      <c r="S114" s="509"/>
      <c r="T114" s="509"/>
      <c r="U114" s="509"/>
      <c r="V114" s="509"/>
      <c r="W114" s="509"/>
      <c r="X114" s="509"/>
      <c r="Y114" s="509"/>
      <c r="Z114" s="509"/>
      <c r="AA114" s="509"/>
      <c r="AB114" s="509"/>
      <c r="AC114" s="509"/>
      <c r="AD114" s="509"/>
      <c r="AE114" s="509"/>
      <c r="AF114" s="509"/>
    </row>
    <row r="115" spans="1:32" s="453" customFormat="1" ht="16.5" customHeight="1" x14ac:dyDescent="0.2">
      <c r="A115" s="511" t="s">
        <v>1499</v>
      </c>
      <c r="B115" s="511"/>
      <c r="C115" s="511"/>
      <c r="D115" s="511"/>
      <c r="E115" s="511"/>
      <c r="F115" s="511"/>
      <c r="G115" s="511"/>
      <c r="H115" s="511"/>
      <c r="I115" s="511"/>
      <c r="J115" s="511"/>
      <c r="K115" s="511"/>
      <c r="L115" s="511"/>
      <c r="M115" s="511"/>
      <c r="N115" s="511"/>
      <c r="O115" s="511"/>
      <c r="P115" s="511"/>
      <c r="Q115" s="511"/>
      <c r="R115" s="511"/>
      <c r="S115" s="511"/>
      <c r="T115" s="511"/>
      <c r="U115" s="511"/>
      <c r="V115" s="511"/>
      <c r="W115" s="511"/>
      <c r="X115" s="511"/>
      <c r="Y115" s="511"/>
      <c r="Z115" s="511"/>
      <c r="AA115" s="511"/>
      <c r="AB115" s="511"/>
      <c r="AC115" s="511"/>
      <c r="AD115" s="511"/>
      <c r="AE115" s="511"/>
      <c r="AF115" s="511"/>
    </row>
    <row r="116" spans="1:32" s="453" customFormat="1" ht="25.5" customHeight="1" x14ac:dyDescent="0.25">
      <c r="A116" s="457" t="s">
        <v>1418</v>
      </c>
      <c r="B116" s="509"/>
      <c r="C116" s="509"/>
      <c r="D116" s="509"/>
      <c r="E116" s="454" t="s">
        <v>1418</v>
      </c>
      <c r="F116" s="509"/>
      <c r="G116" s="509"/>
      <c r="H116" s="509"/>
      <c r="I116" s="509"/>
      <c r="J116" s="509"/>
      <c r="K116" s="514">
        <v>20</v>
      </c>
      <c r="L116" s="514"/>
      <c r="M116" s="509"/>
      <c r="N116" s="509"/>
      <c r="O116" s="458" t="s">
        <v>1417</v>
      </c>
      <c r="P116" s="459" t="s">
        <v>13</v>
      </c>
      <c r="Q116" s="509"/>
      <c r="R116" s="509"/>
      <c r="S116" s="509"/>
      <c r="T116" s="509"/>
      <c r="U116" s="509"/>
      <c r="V116" s="509"/>
      <c r="W116" s="509"/>
      <c r="X116" s="455"/>
      <c r="Y116" s="455"/>
      <c r="Z116" s="455"/>
      <c r="AA116" s="455"/>
      <c r="AB116" s="455"/>
      <c r="AC116" s="455"/>
      <c r="AD116" s="455"/>
      <c r="AE116" s="455"/>
      <c r="AF116" s="455"/>
    </row>
    <row r="117" spans="1:32" s="453" customFormat="1" ht="9" customHeight="1" x14ac:dyDescent="0.25">
      <c r="A117" s="454"/>
      <c r="B117" s="454"/>
      <c r="C117" s="454"/>
      <c r="D117" s="454"/>
      <c r="E117" s="454"/>
      <c r="F117" s="454"/>
      <c r="G117" s="454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55"/>
      <c r="S117" s="455"/>
      <c r="T117" s="455"/>
      <c r="U117" s="455"/>
      <c r="V117" s="455"/>
      <c r="W117" s="455"/>
      <c r="X117" s="455"/>
      <c r="Y117" s="455"/>
      <c r="Z117" s="455"/>
      <c r="AA117" s="455"/>
      <c r="AB117" s="455"/>
      <c r="AC117" s="455"/>
      <c r="AD117" s="455"/>
      <c r="AE117" s="455"/>
      <c r="AF117" s="455"/>
    </row>
    <row r="118" spans="1:32" s="453" customFormat="1" ht="15" customHeight="1" x14ac:dyDescent="0.2">
      <c r="A118" s="542" t="s">
        <v>1408</v>
      </c>
      <c r="B118" s="542"/>
      <c r="C118" s="542"/>
      <c r="D118" s="542"/>
      <c r="E118" s="542"/>
      <c r="F118" s="542"/>
      <c r="G118" s="542"/>
      <c r="H118" s="542"/>
      <c r="I118" s="542"/>
      <c r="J118" s="542"/>
      <c r="K118" s="542"/>
      <c r="L118" s="542"/>
      <c r="M118" s="542"/>
      <c r="N118" s="542"/>
      <c r="O118" s="542"/>
      <c r="P118" s="542"/>
      <c r="Q118" s="542"/>
      <c r="R118" s="542"/>
      <c r="S118" s="542"/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  <c r="AE118" s="542"/>
      <c r="AF118" s="542"/>
    </row>
    <row r="119" spans="1:32" s="453" customFormat="1" ht="22.5" customHeight="1" x14ac:dyDescent="0.25">
      <c r="A119" s="561" t="s">
        <v>1415</v>
      </c>
      <c r="B119" s="561"/>
      <c r="C119" s="561"/>
      <c r="D119" s="561"/>
      <c r="E119" s="561"/>
      <c r="F119" s="563">
        <f>IF(Приложение_№_2!A101="","",Приложение_№_2!A101)</f>
      </c>
      <c r="G119" s="563"/>
      <c r="H119" s="563"/>
      <c r="I119" s="563"/>
      <c r="J119" s="563"/>
      <c r="K119" s="563"/>
      <c r="L119" s="563"/>
      <c r="M119" s="563"/>
      <c r="N119" s="563"/>
      <c r="O119" s="563"/>
      <c r="P119" s="514" t="s">
        <v>1500</v>
      </c>
      <c r="Q119" s="514"/>
      <c r="R119" s="514"/>
      <c r="S119" s="514"/>
      <c r="T119" s="514"/>
      <c r="U119" s="563">
        <f>IF(Приложение_№_2!A105="","",Приложение_№_2!A105)</f>
      </c>
      <c r="V119" s="563"/>
      <c r="W119" s="563"/>
      <c r="X119" s="563"/>
      <c r="Y119" s="563"/>
      <c r="Z119" s="455"/>
      <c r="AA119" s="455"/>
      <c r="AB119" s="455"/>
      <c r="AC119" s="455"/>
      <c r="AD119" s="455"/>
      <c r="AE119" s="455"/>
      <c r="AF119" s="455"/>
    </row>
    <row r="120" spans="1:32" s="453" customFormat="1" ht="13.5" customHeight="1" x14ac:dyDescent="0.25">
      <c r="A120" s="454"/>
      <c r="B120" s="454"/>
      <c r="C120" s="454"/>
      <c r="D120" s="454"/>
      <c r="E120" s="454"/>
      <c r="F120" s="541" t="s">
        <v>1474</v>
      </c>
      <c r="G120" s="541"/>
      <c r="H120" s="541"/>
      <c r="I120" s="541"/>
      <c r="J120" s="541"/>
      <c r="K120" s="541"/>
      <c r="L120" s="541"/>
      <c r="M120" s="541"/>
      <c r="N120" s="541"/>
      <c r="O120" s="541"/>
      <c r="P120" s="420"/>
      <c r="Q120" s="420"/>
      <c r="R120" s="455"/>
      <c r="S120" s="455"/>
      <c r="T120" s="455"/>
      <c r="U120" s="513" t="s">
        <v>1474</v>
      </c>
      <c r="V120" s="513"/>
      <c r="W120" s="513"/>
      <c r="X120" s="513"/>
      <c r="Y120" s="513"/>
      <c r="Z120" s="455"/>
      <c r="AA120" s="455"/>
      <c r="AB120" s="455"/>
      <c r="AC120" s="455"/>
      <c r="AD120" s="455"/>
      <c r="AE120" s="455"/>
      <c r="AF120" s="455"/>
    </row>
    <row r="121" spans="1:32" s="453" customFormat="1" ht="9" customHeight="1" x14ac:dyDescent="0.25">
      <c r="A121" s="454"/>
      <c r="B121" s="454"/>
      <c r="C121" s="454"/>
      <c r="D121" s="454"/>
      <c r="E121" s="454"/>
      <c r="F121" s="454"/>
      <c r="G121" s="454"/>
      <c r="H121" s="420"/>
      <c r="I121" s="420"/>
      <c r="J121" s="420"/>
      <c r="K121" s="420"/>
      <c r="L121" s="420"/>
      <c r="M121" s="420"/>
      <c r="N121" s="420"/>
      <c r="O121" s="420"/>
      <c r="P121" s="420"/>
      <c r="Q121" s="420"/>
      <c r="R121" s="455"/>
      <c r="S121" s="455"/>
      <c r="T121" s="455"/>
      <c r="U121" s="455"/>
      <c r="V121" s="455"/>
      <c r="W121" s="455"/>
      <c r="X121" s="455"/>
      <c r="Y121" s="455"/>
      <c r="Z121" s="455"/>
      <c r="AA121" s="455"/>
      <c r="AB121" s="455"/>
      <c r="AC121" s="455"/>
      <c r="AD121" s="455"/>
      <c r="AE121" s="455"/>
      <c r="AF121" s="455"/>
    </row>
    <row r="122" spans="1:32" s="453" customFormat="1" ht="9" customHeight="1" x14ac:dyDescent="0.2">
      <c r="A122" s="542" t="s">
        <v>1501</v>
      </c>
      <c r="B122" s="542"/>
      <c r="C122" s="542"/>
      <c r="D122" s="542"/>
      <c r="E122" s="542"/>
      <c r="F122" s="542"/>
      <c r="G122" s="542"/>
      <c r="H122" s="542"/>
      <c r="I122" s="542"/>
      <c r="J122" s="542"/>
      <c r="K122" s="542"/>
      <c r="L122" s="542"/>
      <c r="M122" s="542"/>
      <c r="N122" s="542"/>
      <c r="O122" s="542"/>
      <c r="P122" s="542"/>
      <c r="Q122" s="542"/>
      <c r="R122" s="542"/>
      <c r="S122" s="542"/>
      <c r="T122" s="542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  <c r="AE122" s="542"/>
      <c r="AF122" s="542"/>
    </row>
    <row r="123" spans="1:32" s="453" customFormat="1" ht="24" customHeight="1" x14ac:dyDescent="0.2">
      <c r="A123" s="545"/>
      <c r="B123" s="545"/>
      <c r="C123" s="545"/>
      <c r="D123" s="545"/>
      <c r="E123" s="545"/>
      <c r="F123" s="545"/>
      <c r="G123" s="545"/>
      <c r="H123" s="545"/>
      <c r="I123" s="545"/>
      <c r="J123" s="545"/>
      <c r="K123" s="545"/>
      <c r="L123" s="545"/>
      <c r="M123" s="545"/>
      <c r="N123" s="545"/>
      <c r="O123" s="545"/>
      <c r="P123" s="545"/>
      <c r="Q123" s="545"/>
      <c r="R123" s="545"/>
      <c r="S123" s="545"/>
      <c r="T123" s="545"/>
      <c r="U123" s="545"/>
      <c r="V123" s="545"/>
      <c r="W123" s="545"/>
      <c r="X123" s="545"/>
      <c r="Y123" s="545"/>
      <c r="Z123" s="545"/>
      <c r="AA123" s="545"/>
      <c r="AB123" s="545"/>
      <c r="AC123" s="545"/>
      <c r="AD123" s="545"/>
      <c r="AE123" s="545"/>
      <c r="AF123" s="545"/>
    </row>
    <row r="124" spans="1:32" s="453" customFormat="1" ht="10.5" customHeight="1" x14ac:dyDescent="0.2">
      <c r="A124" s="541"/>
      <c r="B124" s="541"/>
      <c r="C124" s="541"/>
      <c r="D124" s="541"/>
      <c r="E124" s="541"/>
      <c r="F124" s="541"/>
      <c r="G124" s="541"/>
      <c r="H124" s="541"/>
      <c r="I124" s="541"/>
      <c r="J124" s="541"/>
      <c r="K124" s="541"/>
      <c r="L124" s="541"/>
      <c r="M124" s="541"/>
      <c r="N124" s="541"/>
      <c r="O124" s="541"/>
      <c r="P124" s="541"/>
      <c r="Q124" s="541"/>
      <c r="R124" s="541"/>
      <c r="S124" s="541"/>
      <c r="T124" s="541"/>
      <c r="U124" s="541"/>
      <c r="V124" s="541"/>
      <c r="W124" s="541"/>
      <c r="X124" s="541"/>
      <c r="Y124" s="541"/>
      <c r="Z124" s="541"/>
      <c r="AA124" s="541"/>
      <c r="AB124" s="541"/>
      <c r="AC124" s="541"/>
      <c r="AD124" s="541"/>
      <c r="AE124" s="541"/>
      <c r="AF124" s="541"/>
    </row>
    <row r="125" spans="1:32" s="453" customFormat="1" ht="31.5" customHeight="1" x14ac:dyDescent="0.25">
      <c r="A125" s="561" t="s">
        <v>1502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61"/>
      <c r="AB125" s="561"/>
      <c r="AC125" s="561"/>
      <c r="AD125" s="561"/>
      <c r="AE125" s="561"/>
      <c r="AF125" s="561"/>
    </row>
    <row r="126" spans="1:32" s="453" customFormat="1" ht="9" customHeight="1" x14ac:dyDescent="0.25">
      <c r="A126" s="454"/>
      <c r="B126" s="454"/>
      <c r="C126" s="454"/>
      <c r="D126" s="454"/>
      <c r="E126" s="454"/>
      <c r="F126" s="454"/>
      <c r="G126" s="454"/>
      <c r="H126" s="420"/>
      <c r="I126" s="420"/>
      <c r="J126" s="420"/>
      <c r="K126" s="420"/>
      <c r="L126" s="420"/>
      <c r="M126" s="420"/>
      <c r="N126" s="420"/>
      <c r="O126" s="420"/>
      <c r="P126" s="420"/>
      <c r="Q126" s="420"/>
      <c r="R126" s="455"/>
      <c r="S126" s="455"/>
      <c r="T126" s="455"/>
      <c r="U126" s="455"/>
      <c r="V126" s="455"/>
      <c r="W126" s="455"/>
      <c r="X126" s="455"/>
      <c r="Y126" s="455"/>
      <c r="Z126" s="455"/>
      <c r="AA126" s="455"/>
      <c r="AB126" s="455"/>
      <c r="AC126" s="455"/>
      <c r="AD126" s="455"/>
      <c r="AE126" s="455"/>
      <c r="AF126" s="455"/>
    </row>
    <row r="127" spans="1:32" s="453" customFormat="1" ht="15" customHeight="1" x14ac:dyDescent="0.2">
      <c r="A127" s="542" t="s">
        <v>1503</v>
      </c>
      <c r="B127" s="542"/>
      <c r="C127" s="542"/>
      <c r="D127" s="542"/>
      <c r="E127" s="542"/>
      <c r="F127" s="542"/>
      <c r="G127" s="542"/>
      <c r="H127" s="542"/>
      <c r="I127" s="542"/>
      <c r="J127" s="542"/>
      <c r="K127" s="542"/>
      <c r="L127" s="542"/>
      <c r="M127" s="542"/>
      <c r="N127" s="542"/>
      <c r="O127" s="542"/>
      <c r="P127" s="542"/>
      <c r="Q127" s="542"/>
      <c r="R127" s="542"/>
      <c r="S127" s="542"/>
      <c r="T127" s="542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  <c r="AE127" s="542"/>
      <c r="AF127" s="542"/>
    </row>
    <row r="128" spans="1:32" s="453" customFormat="1" ht="101.25" customHeight="1" x14ac:dyDescent="0.2">
      <c r="A128" s="562" t="str">
        <f>IF(A72="","",A72)</f>
      </c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2"/>
      <c r="P128" s="562"/>
      <c r="Q128" s="562"/>
      <c r="R128" s="562"/>
      <c r="S128" s="562"/>
      <c r="T128" s="562"/>
      <c r="U128" s="562"/>
      <c r="V128" s="562"/>
      <c r="W128" s="562"/>
      <c r="X128" s="562"/>
      <c r="Y128" s="562"/>
      <c r="Z128" s="562"/>
      <c r="AA128" s="562"/>
      <c r="AB128" s="562"/>
      <c r="AC128" s="562"/>
      <c r="AD128" s="562"/>
      <c r="AE128" s="562"/>
      <c r="AF128" s="562"/>
    </row>
    <row r="129" spans="1:32" s="453" customFormat="1" ht="309.75" hidden="1" customHeight="1" x14ac:dyDescent="0.25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66"/>
      <c r="P129" s="566"/>
      <c r="Q129" s="566"/>
      <c r="R129" s="566"/>
      <c r="S129" s="566"/>
      <c r="T129" s="566"/>
      <c r="U129" s="566"/>
      <c r="V129" s="566"/>
      <c r="W129" s="566"/>
      <c r="X129" s="566"/>
      <c r="Y129" s="566"/>
      <c r="Z129" s="566"/>
      <c r="AA129" s="566"/>
      <c r="AB129" s="566"/>
      <c r="AC129" s="566"/>
      <c r="AD129" s="566"/>
      <c r="AE129" s="566"/>
      <c r="AF129" s="566"/>
    </row>
    <row r="130" spans="1:32" s="453" customFormat="1" ht="12" customHeight="1" x14ac:dyDescent="0.2">
      <c r="A130" s="541" t="s">
        <v>1504</v>
      </c>
      <c r="B130" s="541"/>
      <c r="C130" s="541"/>
      <c r="D130" s="541"/>
      <c r="E130" s="541"/>
      <c r="F130" s="541"/>
      <c r="G130" s="541"/>
      <c r="H130" s="541"/>
      <c r="I130" s="541"/>
      <c r="J130" s="541"/>
      <c r="K130" s="541"/>
      <c r="L130" s="541"/>
      <c r="M130" s="541"/>
      <c r="N130" s="541"/>
      <c r="O130" s="541"/>
      <c r="P130" s="541"/>
      <c r="Q130" s="541"/>
      <c r="R130" s="541"/>
      <c r="S130" s="541"/>
      <c r="T130" s="541"/>
      <c r="U130" s="541"/>
      <c r="V130" s="541"/>
      <c r="W130" s="541"/>
      <c r="X130" s="541"/>
      <c r="Y130" s="541"/>
      <c r="Z130" s="541"/>
      <c r="AA130" s="541"/>
      <c r="AB130" s="541"/>
      <c r="AC130" s="541"/>
      <c r="AD130" s="541"/>
      <c r="AE130" s="541"/>
      <c r="AF130" s="541"/>
    </row>
    <row r="131" spans="1:32" s="453" customFormat="1" ht="9" customHeight="1" x14ac:dyDescent="0.2">
      <c r="A131" s="454"/>
      <c r="B131" s="454"/>
      <c r="C131" s="454"/>
      <c r="D131" s="454"/>
      <c r="E131" s="454"/>
      <c r="F131" s="454"/>
      <c r="G131" s="454"/>
      <c r="H131" s="454"/>
      <c r="I131" s="454"/>
      <c r="J131" s="454"/>
      <c r="K131" s="454"/>
      <c r="L131" s="454"/>
      <c r="M131" s="454"/>
      <c r="N131" s="454"/>
      <c r="O131" s="454"/>
      <c r="P131" s="454"/>
      <c r="Q131" s="454"/>
      <c r="R131" s="454"/>
      <c r="S131" s="454"/>
      <c r="T131" s="454"/>
      <c r="U131" s="454"/>
      <c r="V131" s="454"/>
      <c r="W131" s="454"/>
      <c r="X131" s="454"/>
      <c r="Y131" s="454"/>
      <c r="Z131" s="454"/>
      <c r="AA131" s="454"/>
      <c r="AB131" s="454"/>
      <c r="AC131" s="454"/>
      <c r="AD131" s="454"/>
      <c r="AE131" s="454"/>
      <c r="AF131" s="454"/>
    </row>
    <row r="132" spans="1:32" s="453" customFormat="1" ht="27" customHeight="1" x14ac:dyDescent="0.2">
      <c r="A132" s="564" t="s">
        <v>1505</v>
      </c>
      <c r="B132" s="564"/>
      <c r="C132" s="564"/>
      <c r="D132" s="564"/>
      <c r="E132" s="564"/>
      <c r="F132" s="564"/>
      <c r="G132" s="564"/>
      <c r="H132" s="564"/>
      <c r="I132" s="564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  <c r="AA132" s="564"/>
      <c r="AB132" s="564"/>
      <c r="AC132" s="564"/>
      <c r="AD132" s="564"/>
      <c r="AE132" s="564"/>
      <c r="AF132" s="564"/>
    </row>
    <row r="133" spans="1:32" s="453" customFormat="1" ht="30" customHeight="1" x14ac:dyDescent="0.25">
      <c r="A133" s="516" t="s">
        <v>101</v>
      </c>
      <c r="B133" s="516"/>
      <c r="C133" s="516"/>
      <c r="D133" s="516"/>
      <c r="E133" s="516"/>
      <c r="F133" s="516"/>
      <c r="G133" s="516"/>
      <c r="H133" s="516"/>
      <c r="I133" s="516"/>
      <c r="J133" s="516"/>
      <c r="K133" s="516"/>
      <c r="L133" s="516"/>
      <c r="M133" s="516"/>
      <c r="N133" s="516"/>
      <c r="O133" s="516"/>
      <c r="P133" s="516"/>
      <c r="Q133" s="516"/>
      <c r="R133" s="516"/>
      <c r="S133" s="516"/>
      <c r="T133" s="516"/>
      <c r="U133" s="516"/>
      <c r="V133" s="516"/>
      <c r="W133" s="516"/>
      <c r="X133" s="516"/>
      <c r="Y133" s="516"/>
      <c r="Z133" s="516"/>
      <c r="AA133" s="516"/>
      <c r="AB133" s="516"/>
      <c r="AC133" s="516"/>
      <c r="AD133" s="516"/>
      <c r="AE133" s="516"/>
      <c r="AF133" s="516"/>
    </row>
    <row r="134" spans="1:32" s="453" customFormat="1" ht="9" customHeight="1" x14ac:dyDescent="0.2">
      <c r="A134" s="541" t="s">
        <v>1506</v>
      </c>
      <c r="B134" s="541"/>
      <c r="C134" s="541"/>
      <c r="D134" s="541"/>
      <c r="E134" s="541"/>
      <c r="F134" s="541"/>
      <c r="G134" s="541"/>
      <c r="H134" s="541"/>
      <c r="I134" s="541"/>
      <c r="J134" s="541"/>
      <c r="K134" s="541"/>
      <c r="L134" s="541"/>
      <c r="M134" s="541"/>
      <c r="N134" s="541"/>
      <c r="O134" s="541"/>
      <c r="P134" s="541"/>
      <c r="Q134" s="541"/>
      <c r="R134" s="541"/>
      <c r="S134" s="541"/>
      <c r="T134" s="541"/>
      <c r="U134" s="541"/>
      <c r="V134" s="541"/>
      <c r="W134" s="541"/>
      <c r="X134" s="541"/>
      <c r="Y134" s="541"/>
      <c r="Z134" s="541"/>
      <c r="AA134" s="541"/>
      <c r="AB134" s="541"/>
      <c r="AC134" s="541"/>
      <c r="AD134" s="541"/>
      <c r="AE134" s="541"/>
      <c r="AF134" s="541"/>
    </row>
    <row r="135" spans="1:32" s="453" customFormat="1" ht="18.75" customHeight="1" x14ac:dyDescent="0.25">
      <c r="A135" s="509" t="s">
        <v>101</v>
      </c>
      <c r="B135" s="509"/>
      <c r="C135" s="509"/>
      <c r="D135" s="509"/>
      <c r="E135" s="509"/>
      <c r="F135" s="509"/>
      <c r="G135" s="509"/>
      <c r="H135" s="509"/>
      <c r="I135" s="509"/>
      <c r="J135" s="509"/>
      <c r="K135" s="509"/>
      <c r="L135" s="509"/>
      <c r="M135" s="509"/>
      <c r="N135" s="509"/>
      <c r="O135" s="509"/>
      <c r="P135" s="509"/>
      <c r="Q135" s="509"/>
      <c r="R135" s="509"/>
      <c r="S135" s="509"/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</row>
    <row r="136" spans="1:32" s="453" customFormat="1" ht="9" customHeight="1" x14ac:dyDescent="0.2">
      <c r="A136" s="541" t="s">
        <v>1507</v>
      </c>
      <c r="B136" s="541"/>
      <c r="C136" s="541"/>
      <c r="D136" s="541"/>
      <c r="E136" s="541"/>
      <c r="F136" s="541"/>
      <c r="G136" s="541"/>
      <c r="H136" s="541"/>
      <c r="I136" s="541"/>
      <c r="J136" s="541"/>
      <c r="K136" s="541"/>
      <c r="L136" s="541"/>
      <c r="M136" s="541"/>
      <c r="N136" s="541"/>
      <c r="O136" s="541"/>
      <c r="P136" s="541"/>
      <c r="Q136" s="541"/>
      <c r="R136" s="541"/>
      <c r="S136" s="541"/>
      <c r="T136" s="541"/>
      <c r="U136" s="541"/>
      <c r="V136" s="541"/>
      <c r="W136" s="541"/>
      <c r="X136" s="541"/>
      <c r="Y136" s="541"/>
      <c r="Z136" s="541"/>
      <c r="AA136" s="541"/>
      <c r="AB136" s="541"/>
      <c r="AC136" s="541"/>
      <c r="AD136" s="541"/>
      <c r="AE136" s="541"/>
      <c r="AF136" s="541"/>
    </row>
    <row r="137" spans="1:32" s="453" customFormat="1" ht="9" customHeight="1" x14ac:dyDescent="0.25">
      <c r="A137" s="454"/>
      <c r="B137" s="454"/>
      <c r="C137" s="454"/>
      <c r="D137" s="454"/>
      <c r="E137" s="454"/>
      <c r="F137" s="454"/>
      <c r="G137" s="454"/>
      <c r="H137" s="420"/>
      <c r="I137" s="420"/>
      <c r="J137" s="420"/>
      <c r="K137" s="420"/>
      <c r="L137" s="420"/>
      <c r="M137" s="420"/>
      <c r="N137" s="420"/>
      <c r="O137" s="420"/>
      <c r="P137" s="420"/>
      <c r="Q137" s="420"/>
      <c r="R137" s="455"/>
      <c r="S137" s="455"/>
      <c r="T137" s="455"/>
      <c r="U137" s="455"/>
      <c r="V137" s="455"/>
      <c r="W137" s="455"/>
      <c r="X137" s="455"/>
      <c r="Y137" s="455"/>
      <c r="Z137" s="455"/>
      <c r="AA137" s="455"/>
      <c r="AB137" s="455"/>
      <c r="AC137" s="455"/>
      <c r="AD137" s="455"/>
      <c r="AE137" s="455"/>
      <c r="AF137" s="455"/>
    </row>
    <row r="138" spans="1:32" s="453" customFormat="1" ht="34.5" customHeight="1" x14ac:dyDescent="0.2">
      <c r="A138" s="564" t="s">
        <v>1508</v>
      </c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  <c r="V138" s="564"/>
      <c r="W138" s="564"/>
      <c r="X138" s="564"/>
      <c r="Y138" s="564"/>
      <c r="Z138" s="564"/>
      <c r="AA138" s="564"/>
      <c r="AB138" s="564"/>
      <c r="AC138" s="564"/>
      <c r="AD138" s="564"/>
      <c r="AE138" s="564"/>
      <c r="AF138" s="564"/>
    </row>
    <row r="139" spans="1:32" s="453" customFormat="1" ht="24" customHeight="1" x14ac:dyDescent="0.25">
      <c r="A139" s="514" t="s">
        <v>1509</v>
      </c>
      <c r="B139" s="514"/>
      <c r="C139" s="514"/>
      <c r="D139" s="514"/>
      <c r="E139" s="565"/>
      <c r="F139" s="565"/>
      <c r="G139" s="565"/>
      <c r="H139" s="565"/>
      <c r="I139" s="565"/>
      <c r="J139" s="565"/>
      <c r="K139" s="565"/>
      <c r="L139" s="565"/>
      <c r="M139" s="565"/>
      <c r="N139" s="514" t="s">
        <v>1510</v>
      </c>
      <c r="O139" s="514"/>
      <c r="P139" s="514"/>
      <c r="Q139" s="420"/>
      <c r="R139" s="455"/>
      <c r="S139" s="455"/>
      <c r="T139" s="455"/>
      <c r="U139" s="455"/>
      <c r="V139" s="455"/>
      <c r="W139" s="455"/>
      <c r="X139" s="455"/>
      <c r="Y139" s="455"/>
      <c r="Z139" s="455"/>
      <c r="AA139" s="455"/>
      <c r="AB139" s="455"/>
      <c r="AC139" s="455"/>
      <c r="AD139" s="455"/>
      <c r="AE139" s="455"/>
      <c r="AF139" s="455"/>
    </row>
    <row r="140" spans="1:32" s="453" customFormat="1" ht="28.5" customHeight="1" x14ac:dyDescent="0.25">
      <c r="A140" s="514" t="s">
        <v>1511</v>
      </c>
      <c r="B140" s="514"/>
      <c r="C140" s="514"/>
      <c r="D140" s="514"/>
      <c r="E140" s="565"/>
      <c r="F140" s="565"/>
      <c r="G140" s="565"/>
      <c r="H140" s="565"/>
      <c r="I140" s="565"/>
      <c r="J140" s="565"/>
      <c r="K140" s="565"/>
      <c r="L140" s="565"/>
      <c r="M140" s="565"/>
      <c r="N140" s="514" t="s">
        <v>1510</v>
      </c>
      <c r="O140" s="514"/>
      <c r="P140" s="514"/>
      <c r="Q140" s="420"/>
      <c r="R140" s="455"/>
      <c r="S140" s="455"/>
      <c r="T140" s="455"/>
      <c r="U140" s="455"/>
      <c r="V140" s="455"/>
      <c r="W140" s="455"/>
      <c r="X140" s="455"/>
      <c r="Y140" s="455"/>
      <c r="Z140" s="455"/>
      <c r="AA140" s="455"/>
      <c r="AB140" s="455"/>
      <c r="AC140" s="455"/>
      <c r="AD140" s="455"/>
      <c r="AE140" s="455"/>
      <c r="AF140" s="455"/>
    </row>
    <row r="141" spans="1:32" s="453" customFormat="1" ht="9" customHeight="1" x14ac:dyDescent="0.25">
      <c r="A141" s="454"/>
      <c r="B141" s="454"/>
      <c r="C141" s="454"/>
      <c r="D141" s="454"/>
      <c r="E141" s="454"/>
      <c r="F141" s="454"/>
      <c r="G141" s="454"/>
      <c r="H141" s="420"/>
      <c r="I141" s="420"/>
      <c r="J141" s="420"/>
      <c r="K141" s="420"/>
      <c r="L141" s="420"/>
      <c r="M141" s="420"/>
      <c r="N141" s="420"/>
      <c r="O141" s="420"/>
      <c r="P141" s="420"/>
      <c r="Q141" s="420"/>
      <c r="R141" s="455"/>
      <c r="S141" s="455"/>
      <c r="T141" s="455"/>
      <c r="U141" s="455"/>
      <c r="V141" s="455"/>
      <c r="W141" s="455"/>
      <c r="X141" s="455"/>
      <c r="Y141" s="455"/>
      <c r="Z141" s="455"/>
      <c r="AA141" s="455"/>
      <c r="AB141" s="455"/>
      <c r="AC141" s="455"/>
      <c r="AD141" s="455"/>
      <c r="AE141" s="455"/>
      <c r="AF141" s="455"/>
    </row>
    <row r="142" spans="1:32" s="453" customFormat="1" ht="34.5" customHeight="1" x14ac:dyDescent="0.2">
      <c r="A142" s="564" t="s">
        <v>1512</v>
      </c>
      <c r="B142" s="564"/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  <c r="AA142" s="564"/>
      <c r="AB142" s="564"/>
      <c r="AC142" s="564"/>
      <c r="AD142" s="564"/>
      <c r="AE142" s="564"/>
      <c r="AF142" s="564"/>
    </row>
    <row r="143" spans="1:32" s="453" customFormat="1" ht="18" customHeight="1" x14ac:dyDescent="0.2">
      <c r="A143" s="545" t="s">
        <v>101</v>
      </c>
      <c r="B143" s="545"/>
      <c r="C143" s="545"/>
      <c r="D143" s="545"/>
      <c r="E143" s="545"/>
      <c r="F143" s="545"/>
      <c r="G143" s="545"/>
      <c r="H143" s="545"/>
      <c r="I143" s="545"/>
      <c r="J143" s="545"/>
      <c r="K143" s="545"/>
      <c r="L143" s="545"/>
      <c r="M143" s="545"/>
      <c r="N143" s="545"/>
      <c r="O143" s="545"/>
      <c r="P143" s="545"/>
      <c r="Q143" s="545"/>
      <c r="R143" s="545"/>
      <c r="S143" s="545"/>
      <c r="T143" s="545"/>
      <c r="U143" s="545"/>
      <c r="V143" s="545"/>
      <c r="W143" s="545"/>
      <c r="X143" s="545"/>
      <c r="Y143" s="545"/>
      <c r="Z143" s="545"/>
      <c r="AA143" s="545"/>
      <c r="AB143" s="545"/>
      <c r="AC143" s="545"/>
      <c r="AD143" s="545"/>
      <c r="AE143" s="545"/>
      <c r="AF143" s="545"/>
    </row>
    <row r="144" spans="1:32" s="453" customFormat="1" ht="9" customHeight="1" x14ac:dyDescent="0.2">
      <c r="A144" s="541" t="s">
        <v>1513</v>
      </c>
      <c r="B144" s="541"/>
      <c r="C144" s="541"/>
      <c r="D144" s="541"/>
      <c r="E144" s="541"/>
      <c r="F144" s="541"/>
      <c r="G144" s="541"/>
      <c r="H144" s="541"/>
      <c r="I144" s="541"/>
      <c r="J144" s="541"/>
      <c r="K144" s="541"/>
      <c r="L144" s="541"/>
      <c r="M144" s="541"/>
      <c r="N144" s="541"/>
      <c r="O144" s="541"/>
      <c r="P144" s="541"/>
      <c r="Q144" s="541"/>
      <c r="R144" s="541"/>
      <c r="S144" s="541"/>
      <c r="T144" s="541"/>
      <c r="U144" s="541"/>
      <c r="V144" s="541"/>
      <c r="W144" s="541"/>
      <c r="X144" s="541"/>
      <c r="Y144" s="541"/>
      <c r="Z144" s="541"/>
      <c r="AA144" s="541"/>
      <c r="AB144" s="541"/>
      <c r="AC144" s="541"/>
      <c r="AD144" s="541"/>
      <c r="AE144" s="541"/>
      <c r="AF144" s="541"/>
    </row>
    <row r="145" spans="1:32" s="453" customFormat="1" ht="23.25" customHeight="1" x14ac:dyDescent="0.2">
      <c r="A145" s="542" t="s">
        <v>1514</v>
      </c>
      <c r="B145" s="542"/>
      <c r="C145" s="542"/>
      <c r="D145" s="542"/>
      <c r="E145" s="542"/>
      <c r="F145" s="542"/>
      <c r="G145" s="542"/>
      <c r="H145" s="542"/>
      <c r="I145" s="542"/>
      <c r="J145" s="542"/>
      <c r="K145" s="542"/>
      <c r="L145" s="542"/>
      <c r="M145" s="542"/>
      <c r="N145" s="542"/>
      <c r="O145" s="542"/>
      <c r="P145" s="542"/>
      <c r="Q145" s="542"/>
      <c r="R145" s="542"/>
      <c r="S145" s="542"/>
      <c r="T145" s="542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  <c r="AE145" s="542"/>
      <c r="AF145" s="542"/>
    </row>
    <row r="146" spans="1:32" s="453" customFormat="1" ht="9" customHeight="1" x14ac:dyDescent="0.25">
      <c r="A146" s="454"/>
      <c r="B146" s="454"/>
      <c r="C146" s="454"/>
      <c r="D146" s="454"/>
      <c r="E146" s="454"/>
      <c r="F146" s="454"/>
      <c r="G146" s="454"/>
      <c r="H146" s="420"/>
      <c r="I146" s="420"/>
      <c r="J146" s="420"/>
      <c r="K146" s="420"/>
      <c r="L146" s="420"/>
      <c r="M146" s="420"/>
      <c r="N146" s="420"/>
      <c r="O146" s="420"/>
      <c r="P146" s="420"/>
      <c r="Q146" s="420"/>
      <c r="R146" s="455"/>
      <c r="S146" s="455"/>
      <c r="T146" s="455"/>
      <c r="U146" s="455"/>
      <c r="V146" s="455"/>
      <c r="W146" s="455"/>
      <c r="X146" s="455"/>
      <c r="Y146" s="455"/>
      <c r="Z146" s="455"/>
      <c r="AA146" s="455"/>
      <c r="AB146" s="455"/>
      <c r="AC146" s="455"/>
      <c r="AD146" s="455"/>
      <c r="AE146" s="455"/>
      <c r="AF146" s="455"/>
    </row>
    <row r="147" spans="1:32" s="453" customFormat="1" ht="18.75" customHeight="1" x14ac:dyDescent="0.2">
      <c r="A147" s="542" t="s">
        <v>1515</v>
      </c>
      <c r="B147" s="542"/>
      <c r="C147" s="542"/>
      <c r="D147" s="542"/>
      <c r="E147" s="542"/>
      <c r="F147" s="542"/>
      <c r="G147" s="542"/>
      <c r="H147" s="542"/>
      <c r="I147" s="542"/>
      <c r="J147" s="542"/>
      <c r="K147" s="542"/>
      <c r="L147" s="542"/>
      <c r="M147" s="542"/>
      <c r="N147" s="542"/>
      <c r="O147" s="542"/>
      <c r="P147" s="542"/>
      <c r="Q147" s="542"/>
      <c r="R147" s="542"/>
      <c r="S147" s="542"/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</row>
    <row r="148" spans="1:32" s="453" customFormat="1" ht="9" customHeight="1" x14ac:dyDescent="0.25">
      <c r="A148" s="454"/>
      <c r="B148" s="454"/>
      <c r="C148" s="454"/>
      <c r="D148" s="454"/>
      <c r="E148" s="454"/>
      <c r="F148" s="454"/>
      <c r="G148" s="454"/>
      <c r="H148" s="420"/>
      <c r="I148" s="420"/>
      <c r="J148" s="420"/>
      <c r="K148" s="420"/>
      <c r="L148" s="420"/>
      <c r="M148" s="420"/>
      <c r="N148" s="420"/>
      <c r="O148" s="420"/>
      <c r="P148" s="420"/>
      <c r="Q148" s="420"/>
      <c r="R148" s="455"/>
      <c r="S148" s="455"/>
      <c r="T148" s="455"/>
      <c r="U148" s="455"/>
      <c r="V148" s="455"/>
      <c r="W148" s="455"/>
      <c r="X148" s="455"/>
      <c r="Y148" s="455"/>
      <c r="Z148" s="455"/>
      <c r="AA148" s="455"/>
      <c r="AB148" s="455"/>
      <c r="AC148" s="455"/>
      <c r="AD148" s="455"/>
      <c r="AE148" s="455"/>
      <c r="AF148" s="455"/>
    </row>
    <row r="149" spans="1:32" s="453" customFormat="1" ht="16.5" customHeight="1" x14ac:dyDescent="0.2">
      <c r="A149" s="542" t="s">
        <v>1516</v>
      </c>
      <c r="B149" s="542"/>
      <c r="C149" s="542"/>
      <c r="D149" s="542"/>
      <c r="E149" s="542"/>
      <c r="F149" s="542"/>
      <c r="G149" s="542"/>
      <c r="H149" s="542"/>
      <c r="I149" s="542"/>
      <c r="J149" s="542"/>
      <c r="K149" s="542"/>
      <c r="L149" s="542"/>
      <c r="M149" s="542"/>
      <c r="N149" s="542"/>
      <c r="O149" s="542"/>
      <c r="P149" s="542"/>
      <c r="Q149" s="542"/>
      <c r="R149" s="542"/>
      <c r="S149" s="542"/>
      <c r="T149" s="542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  <c r="AE149" s="542"/>
      <c r="AF149" s="542"/>
    </row>
    <row r="150" spans="1:32" s="453" customFormat="1" ht="19.5" customHeight="1" x14ac:dyDescent="0.2">
      <c r="A150" s="542" t="s">
        <v>1409</v>
      </c>
      <c r="B150" s="542"/>
      <c r="C150" s="542"/>
      <c r="D150" s="542"/>
      <c r="E150" s="542"/>
      <c r="F150" s="542"/>
      <c r="G150" s="542"/>
      <c r="H150" s="542"/>
      <c r="I150" s="542"/>
      <c r="J150" s="542"/>
      <c r="K150" s="542"/>
      <c r="L150" s="542"/>
      <c r="M150" s="542"/>
      <c r="N150" s="542"/>
      <c r="O150" s="542"/>
      <c r="P150" s="542"/>
      <c r="Q150" s="542"/>
      <c r="R150" s="542"/>
      <c r="S150" s="542"/>
      <c r="T150" s="542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  <c r="AE150" s="542"/>
      <c r="AF150" s="542"/>
    </row>
    <row r="151" spans="1:32" s="453" customFormat="1" ht="21" customHeight="1" x14ac:dyDescent="0.2">
      <c r="A151" s="542" t="s">
        <v>1410</v>
      </c>
      <c r="B151" s="542"/>
      <c r="C151" s="542"/>
      <c r="D151" s="542"/>
      <c r="E151" s="542"/>
      <c r="F151" s="542"/>
      <c r="G151" s="542"/>
      <c r="H151" s="542"/>
      <c r="I151" s="542"/>
      <c r="J151" s="542"/>
      <c r="K151" s="542"/>
      <c r="L151" s="542"/>
      <c r="M151" s="542"/>
      <c r="N151" s="542"/>
      <c r="O151" s="542"/>
      <c r="P151" s="542"/>
      <c r="Q151" s="542"/>
      <c r="R151" s="542"/>
      <c r="S151" s="542"/>
      <c r="T151" s="542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  <c r="AE151" s="542"/>
      <c r="AF151" s="542"/>
    </row>
    <row r="152" spans="1:32" ht="23.25" customHeight="1" x14ac:dyDescent="0.25">
      <c r="A152" s="434" t="s">
        <v>1476</v>
      </c>
      <c r="B152" s="444"/>
      <c r="C152" s="444"/>
      <c r="D152" s="444"/>
      <c r="E152" s="444"/>
      <c r="F152" s="444"/>
      <c r="G152" s="444"/>
      <c r="H152" s="444"/>
      <c r="I152" s="444"/>
      <c r="J152" s="444"/>
      <c r="K152" s="444"/>
      <c r="L152" s="444"/>
      <c r="M152" s="444"/>
      <c r="N152" s="444"/>
      <c r="O152" s="444"/>
      <c r="P152" s="444"/>
      <c r="Q152" s="444"/>
      <c r="R152" s="444"/>
      <c r="S152" s="444"/>
      <c r="T152" s="444"/>
      <c r="U152" s="444"/>
      <c r="V152" s="444"/>
      <c r="W152" s="444"/>
      <c r="X152" s="444"/>
      <c r="Y152" s="444"/>
      <c r="Z152" s="444"/>
      <c r="AA152" s="444"/>
      <c r="AB152" s="444"/>
      <c r="AC152" s="444"/>
      <c r="AD152" s="444"/>
      <c r="AE152" s="444"/>
      <c r="AF152" s="444"/>
    </row>
    <row r="153" spans="1:32" ht="54.75" customHeight="1" x14ac:dyDescent="0.25">
      <c r="A153" s="550" t="str">
        <f>IF(A84="","",A84)</f>
      </c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550"/>
      <c r="O153" s="550"/>
      <c r="P153" s="550"/>
      <c r="Q153" s="550"/>
      <c r="R153" s="550"/>
      <c r="S153" s="550"/>
      <c r="T153" s="550"/>
      <c r="U153" s="550"/>
      <c r="V153" s="550"/>
      <c r="W153" s="550"/>
      <c r="X153" s="550"/>
      <c r="Y153" s="550"/>
      <c r="Z153" s="550"/>
      <c r="AA153" s="550"/>
      <c r="AB153" s="550"/>
      <c r="AC153" s="550"/>
      <c r="AD153" s="550"/>
      <c r="AE153" s="550"/>
      <c r="AF153" s="550"/>
    </row>
    <row r="154" spans="1:32" x14ac:dyDescent="0.2">
      <c r="A154" s="511" t="s">
        <v>1517</v>
      </c>
      <c r="B154" s="511"/>
      <c r="C154" s="511"/>
      <c r="D154" s="511"/>
      <c r="E154" s="511"/>
      <c r="F154" s="511"/>
      <c r="G154" s="511"/>
      <c r="H154" s="511"/>
      <c r="I154" s="511"/>
      <c r="J154" s="511"/>
      <c r="K154" s="511"/>
      <c r="L154" s="511"/>
      <c r="M154" s="511"/>
      <c r="N154" s="511"/>
      <c r="O154" s="511"/>
      <c r="P154" s="511"/>
      <c r="Q154" s="511"/>
      <c r="R154" s="511"/>
      <c r="S154" s="511"/>
      <c r="T154" s="511"/>
      <c r="U154" s="511"/>
      <c r="V154" s="511"/>
      <c r="W154" s="511"/>
      <c r="X154" s="511"/>
      <c r="Y154" s="511"/>
      <c r="Z154" s="511"/>
      <c r="AA154" s="511"/>
      <c r="AB154" s="511"/>
      <c r="AC154" s="511"/>
      <c r="AD154" s="511"/>
      <c r="AE154" s="511"/>
      <c r="AF154" s="511"/>
    </row>
    <row r="155" spans="1:32" ht="23.25" customHeight="1" x14ac:dyDescent="0.25">
      <c r="A155" s="434"/>
      <c r="B155" s="444"/>
      <c r="C155" s="444"/>
      <c r="D155" s="444"/>
      <c r="E155" s="444"/>
      <c r="F155" s="444"/>
      <c r="G155" s="444"/>
      <c r="H155" s="444"/>
      <c r="I155" s="444"/>
      <c r="J155" s="444"/>
      <c r="K155" s="444"/>
      <c r="L155" s="444"/>
      <c r="M155" s="444"/>
      <c r="N155" s="444"/>
      <c r="O155" s="444"/>
      <c r="P155" s="444"/>
      <c r="Q155" s="444"/>
      <c r="R155" s="444"/>
      <c r="S155" s="444"/>
      <c r="T155" s="444"/>
      <c r="U155" s="444"/>
      <c r="V155" s="444"/>
      <c r="W155" s="444"/>
      <c r="X155" s="444"/>
      <c r="Y155" s="444"/>
      <c r="Z155" s="444"/>
      <c r="AA155" s="444"/>
      <c r="AB155" s="444"/>
      <c r="AC155" s="444"/>
      <c r="AD155" s="444"/>
      <c r="AE155" s="444"/>
      <c r="AF155" s="444"/>
    </row>
    <row r="156" spans="1:32" ht="23.25" customHeight="1" x14ac:dyDescent="0.25">
      <c r="A156" s="434"/>
      <c r="B156" s="444"/>
      <c r="C156" s="444"/>
      <c r="D156" s="444"/>
      <c r="E156" s="444"/>
      <c r="F156" s="444"/>
      <c r="G156" s="444"/>
      <c r="H156" s="444"/>
      <c r="I156" s="444"/>
      <c r="J156" s="444"/>
      <c r="K156" s="444"/>
      <c r="L156" s="444"/>
      <c r="M156" s="444"/>
      <c r="N156" s="444"/>
      <c r="O156" s="444"/>
      <c r="P156" s="444"/>
      <c r="Q156" s="444"/>
      <c r="R156" s="444"/>
      <c r="S156" s="444"/>
      <c r="T156" s="444"/>
      <c r="U156" s="444"/>
      <c r="V156" s="444"/>
      <c r="W156" s="444"/>
      <c r="X156" s="444"/>
      <c r="Y156" s="444"/>
      <c r="Z156" s="444"/>
      <c r="AA156" s="444"/>
      <c r="AB156" s="444"/>
      <c r="AC156" s="444"/>
      <c r="AD156" s="444"/>
      <c r="AE156" s="444"/>
      <c r="AF156" s="444"/>
    </row>
    <row r="157" spans="1:32" ht="24" customHeight="1" x14ac:dyDescent="0.25">
      <c r="A157" s="430" t="s">
        <v>1518</v>
      </c>
      <c r="B157" s="430"/>
      <c r="C157" s="430"/>
      <c r="D157" s="430"/>
      <c r="E157" s="430"/>
      <c r="F157" s="430"/>
      <c r="G157" s="430"/>
      <c r="H157" s="430"/>
      <c r="I157" s="430"/>
      <c r="J157" s="430"/>
      <c r="K157" s="430"/>
      <c r="L157" s="430"/>
      <c r="M157" s="430"/>
      <c r="N157" s="430"/>
      <c r="O157" s="430"/>
      <c r="P157" s="430"/>
      <c r="Q157" s="430"/>
      <c r="R157" s="430"/>
      <c r="S157" s="430"/>
      <c r="T157" s="430"/>
      <c r="U157" s="430"/>
      <c r="V157" s="430"/>
      <c r="W157" s="430"/>
      <c r="X157" s="430"/>
      <c r="Y157" s="430"/>
      <c r="Z157" s="430"/>
      <c r="AA157" s="430"/>
      <c r="AB157" s="430"/>
      <c r="AC157" s="430"/>
      <c r="AD157" s="430"/>
      <c r="AE157" s="430"/>
      <c r="AF157" s="430"/>
    </row>
    <row r="158" spans="1:32" ht="15.75" hidden="1" x14ac:dyDescent="0.25">
      <c r="A158" s="430"/>
      <c r="B158" s="426"/>
      <c r="C158" s="426"/>
      <c r="D158" s="426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Z158" s="426"/>
      <c r="AA158" s="426"/>
      <c r="AB158" s="426"/>
      <c r="AC158" s="426"/>
      <c r="AD158" s="426"/>
      <c r="AE158" s="426"/>
      <c r="AF158" s="426"/>
    </row>
    <row r="159" spans="1:32" ht="15.75" hidden="1" x14ac:dyDescent="0.25">
      <c r="A159" s="430"/>
      <c r="B159" s="426"/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  <c r="Z159" s="426"/>
      <c r="AA159" s="426"/>
      <c r="AB159" s="426"/>
      <c r="AC159" s="426"/>
      <c r="AD159" s="426"/>
      <c r="AE159" s="426"/>
      <c r="AF159" s="426"/>
    </row>
    <row r="160" spans="1:32" ht="15.75" hidden="1" x14ac:dyDescent="0.25">
      <c r="A160" s="430"/>
      <c r="B160" s="426"/>
      <c r="C160" s="426"/>
      <c r="D160" s="426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Z160" s="426"/>
      <c r="AA160" s="426"/>
      <c r="AB160" s="426"/>
      <c r="AC160" s="426"/>
      <c r="AD160" s="426"/>
      <c r="AE160" s="426"/>
      <c r="AF160" s="426"/>
    </row>
    <row r="161" spans="1:33" ht="15.75" hidden="1" x14ac:dyDescent="0.25">
      <c r="A161" s="430"/>
      <c r="B161" s="426"/>
      <c r="C161" s="426"/>
      <c r="D161" s="426"/>
      <c r="E161" s="426"/>
      <c r="F161" s="426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  <c r="Z161" s="426"/>
      <c r="AA161" s="426"/>
      <c r="AB161" s="426"/>
      <c r="AC161" s="426"/>
      <c r="AD161" s="426"/>
      <c r="AE161" s="426"/>
      <c r="AF161" s="426"/>
    </row>
    <row r="162" spans="1:33" ht="24" hidden="1" customHeight="1" x14ac:dyDescent="0.25">
      <c r="A162" s="430" t="s">
        <v>1457</v>
      </c>
      <c r="B162" s="426"/>
      <c r="C162" s="426"/>
      <c r="D162" s="426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Z162" s="426"/>
      <c r="AA162" s="426"/>
      <c r="AB162" s="426"/>
      <c r="AC162" s="426"/>
      <c r="AD162" s="426"/>
      <c r="AE162" s="426"/>
      <c r="AF162" s="426"/>
    </row>
    <row r="163" spans="1:33" hidden="1" x14ac:dyDescent="0.2">
      <c r="A163" s="426"/>
      <c r="B163" s="426"/>
      <c r="C163" s="426"/>
      <c r="D163" s="426"/>
      <c r="E163" s="426"/>
      <c r="F163" s="426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  <c r="Z163" s="426"/>
      <c r="AA163" s="426"/>
      <c r="AB163" s="426"/>
      <c r="AC163" s="426"/>
      <c r="AD163" s="426"/>
      <c r="AE163" s="426"/>
      <c r="AF163" s="426"/>
    </row>
    <row r="164" spans="1:33" ht="26.25" hidden="1" customHeight="1" x14ac:dyDescent="0.25">
      <c r="A164" s="445" t="str">
        <f>IF(Приложение_№_2!A119="","",Приложение_№_2!A119)</f>
      </c>
      <c r="B164" s="445"/>
      <c r="C164" s="445"/>
      <c r="D164" s="445"/>
      <c r="E164" s="445"/>
      <c r="F164" s="445"/>
      <c r="G164" s="445"/>
      <c r="H164" s="445"/>
      <c r="I164" s="445"/>
      <c r="J164" s="445"/>
      <c r="K164" s="445"/>
      <c r="L164" s="445"/>
      <c r="M164" s="445"/>
      <c r="N164" s="446"/>
      <c r="O164" s="446"/>
      <c r="P164" s="446"/>
      <c r="Q164" s="446"/>
      <c r="R164" s="446"/>
      <c r="S164" s="446"/>
      <c r="T164" s="446"/>
      <c r="U164" s="446"/>
      <c r="V164" s="446"/>
      <c r="W164" s="446"/>
      <c r="X164" s="446"/>
      <c r="Y164" s="530" t="str">
        <f>IF(Приложение_№_2!Y119="","",Приложение_№_2!Y119)</f>
      </c>
      <c r="Z164" s="530"/>
      <c r="AA164" s="530"/>
      <c r="AB164" s="530"/>
      <c r="AC164" s="530"/>
      <c r="AD164" s="530"/>
      <c r="AE164" s="530"/>
      <c r="AF164" s="530"/>
    </row>
    <row r="165" spans="1:33" hidden="1" x14ac:dyDescent="0.2">
      <c r="A165" s="531"/>
      <c r="B165" s="531"/>
      <c r="C165" s="531"/>
      <c r="D165" s="531"/>
      <c r="E165" s="531"/>
      <c r="F165" s="531"/>
      <c r="G165" s="531"/>
      <c r="H165" s="531"/>
      <c r="I165" s="531"/>
      <c r="J165" s="531"/>
      <c r="K165" s="426"/>
      <c r="L165" s="426"/>
      <c r="M165" s="426"/>
      <c r="N165" s="426"/>
      <c r="O165" s="426"/>
      <c r="P165" s="426"/>
      <c r="Q165" s="511" t="s">
        <v>2</v>
      </c>
      <c r="R165" s="511"/>
      <c r="S165" s="511"/>
      <c r="T165" s="511"/>
      <c r="U165" s="426"/>
      <c r="V165" s="426"/>
      <c r="W165" s="426"/>
      <c r="X165" s="426"/>
      <c r="Y165" s="426"/>
      <c r="Z165" s="426"/>
      <c r="AA165" s="426"/>
      <c r="AB165" s="426"/>
      <c r="AC165" s="426"/>
      <c r="AD165" s="426"/>
      <c r="AE165" s="426"/>
      <c r="AF165" s="426"/>
    </row>
    <row r="166" spans="1:33" hidden="1" x14ac:dyDescent="0.2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  <c r="K166" s="412"/>
      <c r="L166" s="412"/>
      <c r="M166" s="412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2"/>
      <c r="Y166" s="412"/>
      <c r="Z166" s="412"/>
      <c r="AA166" s="412"/>
      <c r="AB166" s="412"/>
      <c r="AC166" s="412"/>
      <c r="AD166" s="412"/>
      <c r="AE166" s="412"/>
      <c r="AF166" s="412"/>
    </row>
    <row r="167" spans="1:33" ht="15" customHeight="1" x14ac:dyDescent="0.25">
      <c r="A167" s="430" t="s">
        <v>1480</v>
      </c>
      <c r="B167" s="447"/>
      <c r="C167" s="447"/>
      <c r="D167" s="447"/>
      <c r="E167" s="447"/>
      <c r="F167" s="447"/>
      <c r="G167" s="447"/>
      <c r="H167" s="447"/>
      <c r="I167" s="447"/>
      <c r="J167" s="447"/>
      <c r="K167" s="447"/>
      <c r="L167" s="447"/>
      <c r="M167" s="447"/>
      <c r="N167" s="447"/>
      <c r="O167" s="447"/>
      <c r="P167" s="447"/>
      <c r="Q167" s="447"/>
      <c r="R167" s="447"/>
      <c r="S167" s="447"/>
      <c r="T167" s="447"/>
      <c r="U167" s="447"/>
      <c r="V167" s="447"/>
      <c r="W167" s="447"/>
      <c r="X167" s="447"/>
      <c r="Y167" s="447"/>
      <c r="Z167" s="447"/>
      <c r="AA167" s="447"/>
      <c r="AB167" s="412"/>
      <c r="AC167" s="412"/>
      <c r="AD167" s="448"/>
      <c r="AE167" s="448"/>
      <c r="AF167" s="412"/>
    </row>
    <row r="168" spans="1:33" ht="18" hidden="1" customHeight="1" x14ac:dyDescent="0.2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  <c r="K168" s="412"/>
      <c r="L168" s="412"/>
      <c r="M168" s="412"/>
      <c r="N168" s="412"/>
      <c r="O168" s="412"/>
      <c r="P168" s="412"/>
      <c r="Q168" s="412"/>
      <c r="R168" s="412"/>
      <c r="S168" s="412"/>
      <c r="T168" s="412"/>
      <c r="U168" s="412"/>
      <c r="V168" s="412"/>
      <c r="W168" s="412"/>
      <c r="X168" s="412"/>
      <c r="Y168" s="412"/>
      <c r="Z168" s="412"/>
      <c r="AA168" s="412"/>
      <c r="AB168" s="412"/>
      <c r="AC168" s="412"/>
      <c r="AD168" s="412"/>
      <c r="AE168" s="412"/>
      <c r="AF168" s="412"/>
    </row>
    <row r="169" spans="1:33" ht="42.75" customHeight="1" x14ac:dyDescent="0.25">
      <c r="A169" s="445" t="str">
        <f>IF(Приложение_№_2!A124="","",Приложение_№_2!A124)</f>
      </c>
      <c r="B169" s="445"/>
      <c r="C169" s="445"/>
      <c r="D169" s="445"/>
      <c r="E169" s="445"/>
      <c r="F169" s="445"/>
      <c r="G169" s="445"/>
      <c r="H169" s="445"/>
      <c r="I169" s="445"/>
      <c r="J169" s="445"/>
      <c r="K169" s="445"/>
      <c r="L169" s="445"/>
      <c r="M169" s="445"/>
      <c r="N169" s="446"/>
      <c r="O169" s="446"/>
      <c r="P169" s="446"/>
      <c r="Q169" s="446"/>
      <c r="R169" s="446"/>
      <c r="S169" s="446"/>
      <c r="T169" s="446"/>
      <c r="U169" s="446"/>
      <c r="V169" s="446"/>
      <c r="W169" s="446"/>
      <c r="X169" s="446"/>
      <c r="Y169" s="530" t="str">
        <f>IF(Приложение_№_2!Y124="","",Приложение_№_2!Y124)</f>
      </c>
      <c r="Z169" s="530"/>
      <c r="AA169" s="530"/>
      <c r="AB169" s="530"/>
      <c r="AC169" s="530"/>
      <c r="AD169" s="530"/>
      <c r="AE169" s="530"/>
      <c r="AF169" s="530"/>
    </row>
    <row r="170" spans="1:33" x14ac:dyDescent="0.2">
      <c r="A170" s="531"/>
      <c r="B170" s="531"/>
      <c r="C170" s="531"/>
      <c r="D170" s="531"/>
      <c r="E170" s="531"/>
      <c r="F170" s="531"/>
      <c r="G170" s="531"/>
      <c r="H170" s="531"/>
      <c r="I170" s="531"/>
      <c r="J170" s="531"/>
      <c r="K170" s="426"/>
      <c r="L170" s="426"/>
      <c r="M170" s="426"/>
      <c r="N170" s="426"/>
      <c r="O170" s="426"/>
      <c r="P170" s="426"/>
      <c r="Q170" s="511" t="s">
        <v>2</v>
      </c>
      <c r="R170" s="511"/>
      <c r="S170" s="511"/>
      <c r="T170" s="511"/>
      <c r="U170" s="426"/>
      <c r="V170" s="426"/>
      <c r="W170" s="426"/>
      <c r="X170" s="426"/>
      <c r="Y170" s="426"/>
      <c r="Z170" s="426"/>
      <c r="AA170" s="426"/>
      <c r="AB170" s="426"/>
      <c r="AC170" s="426"/>
      <c r="AD170" s="426"/>
      <c r="AE170" s="426"/>
      <c r="AF170" s="426"/>
    </row>
    <row r="171" spans="1:33" ht="18.75" customHeight="1" x14ac:dyDescent="0.2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  <c r="K171" s="412"/>
      <c r="L171" s="412"/>
      <c r="M171" s="412"/>
      <c r="N171" s="447"/>
      <c r="O171" s="447"/>
      <c r="P171" s="447"/>
      <c r="Q171" s="447"/>
      <c r="R171" s="447"/>
      <c r="S171" s="447"/>
      <c r="T171" s="447"/>
      <c r="U171" s="447"/>
      <c r="V171" s="447"/>
      <c r="W171" s="447"/>
      <c r="X171" s="447"/>
      <c r="Y171" s="447"/>
      <c r="Z171" s="447"/>
      <c r="AA171" s="447"/>
      <c r="AB171" s="412"/>
      <c r="AC171" s="412"/>
      <c r="AD171" s="412"/>
      <c r="AE171" s="412"/>
      <c r="AF171" s="412"/>
    </row>
    <row r="172" spans="1:33" ht="18.75" customHeight="1" x14ac:dyDescent="0.25">
      <c r="A172" s="515" t="s">
        <v>1523</v>
      </c>
      <c r="B172" s="515"/>
      <c r="C172" s="515"/>
      <c r="D172" s="515"/>
      <c r="E172" s="515"/>
      <c r="F172" s="515"/>
      <c r="G172" s="445"/>
      <c r="H172" s="445"/>
      <c r="I172" s="445"/>
      <c r="J172" s="445"/>
      <c r="K172" s="445"/>
      <c r="L172" s="445"/>
      <c r="M172" s="445"/>
      <c r="N172" s="446"/>
      <c r="O172" s="446"/>
      <c r="P172" s="446"/>
      <c r="Q172" s="446"/>
      <c r="R172" s="446"/>
      <c r="S172" s="446"/>
      <c r="T172" s="446"/>
      <c r="U172" s="446"/>
      <c r="V172" s="446"/>
      <c r="W172" s="446"/>
      <c r="X172" s="446"/>
      <c r="Y172" s="530"/>
      <c r="Z172" s="530"/>
      <c r="AA172" s="530"/>
      <c r="AB172" s="530"/>
      <c r="AC172" s="530"/>
      <c r="AD172" s="530"/>
      <c r="AE172" s="530"/>
      <c r="AF172" s="530"/>
    </row>
    <row r="173" spans="1:33" ht="18.75" customHeight="1" x14ac:dyDescent="0.2">
      <c r="A173" s="531"/>
      <c r="B173" s="531"/>
      <c r="C173" s="531"/>
      <c r="D173" s="531"/>
      <c r="E173" s="531"/>
      <c r="F173" s="531"/>
      <c r="G173" s="531"/>
      <c r="H173" s="531"/>
      <c r="I173" s="531"/>
      <c r="J173" s="531"/>
      <c r="K173" s="426"/>
      <c r="L173" s="426"/>
      <c r="M173" s="426"/>
      <c r="N173" s="426"/>
      <c r="O173" s="426"/>
      <c r="P173" s="426"/>
      <c r="Q173" s="511" t="s">
        <v>2</v>
      </c>
      <c r="R173" s="511"/>
      <c r="S173" s="511"/>
      <c r="T173" s="511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</row>
    <row r="174" spans="1:33" ht="18.75" customHeight="1" x14ac:dyDescent="0.2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  <c r="K174" s="412"/>
      <c r="L174" s="412"/>
      <c r="M174" s="412"/>
      <c r="N174" s="447"/>
      <c r="O174" s="447"/>
      <c r="P174" s="447"/>
      <c r="Q174" s="447"/>
      <c r="R174" s="447"/>
      <c r="S174" s="447"/>
      <c r="T174" s="447"/>
      <c r="U174" s="447"/>
      <c r="V174" s="447"/>
      <c r="W174" s="447"/>
      <c r="X174" s="447"/>
      <c r="Y174" s="447"/>
      <c r="Z174" s="447"/>
      <c r="AA174" s="447"/>
      <c r="AB174" s="412"/>
      <c r="AC174" s="412"/>
      <c r="AD174" s="412"/>
      <c r="AE174" s="412"/>
      <c r="AF174" s="412"/>
    </row>
    <row r="175" spans="1:33" ht="24.75" customHeight="1" x14ac:dyDescent="0.3">
      <c r="A175" s="534" t="str">
        <f>IF(Приложение_№_2!A130="","",Приложение_№_2!A130)</f>
      </c>
      <c r="B175" s="534"/>
      <c r="C175" s="534"/>
      <c r="D175" s="534"/>
      <c r="E175" s="534"/>
      <c r="F175" s="534"/>
      <c r="G175" s="534"/>
      <c r="H175" s="534"/>
      <c r="I175" s="534"/>
      <c r="J175" s="534"/>
      <c r="K175" s="534"/>
      <c r="L175" s="534"/>
      <c r="M175" s="534"/>
      <c r="N175" s="534"/>
      <c r="O175" s="534"/>
      <c r="P175" s="534"/>
      <c r="Q175" s="446"/>
      <c r="R175" s="446"/>
      <c r="S175" s="446"/>
      <c r="T175" s="446"/>
      <c r="U175" s="446"/>
      <c r="V175" s="446"/>
      <c r="W175" s="446"/>
      <c r="X175" s="446"/>
      <c r="Y175" s="530" t="str">
        <f>IF(Приложение_№_2!Y130="","",Приложение_№_2!Y130)</f>
      </c>
      <c r="Z175" s="530"/>
      <c r="AA175" s="530"/>
      <c r="AB175" s="530"/>
      <c r="AC175" s="530"/>
      <c r="AD175" s="530"/>
      <c r="AE175" s="530"/>
      <c r="AF175" s="530"/>
      <c r="AG175" s="437"/>
    </row>
    <row r="176" spans="1:33" ht="15" x14ac:dyDescent="0.3">
      <c r="A176" s="531"/>
      <c r="B176" s="531"/>
      <c r="C176" s="531"/>
      <c r="D176" s="531"/>
      <c r="E176" s="531"/>
      <c r="F176" s="531"/>
      <c r="G176" s="531"/>
      <c r="H176" s="531"/>
      <c r="I176" s="531"/>
      <c r="J176" s="531"/>
      <c r="K176" s="426"/>
      <c r="L176" s="426"/>
      <c r="M176" s="426"/>
      <c r="N176" s="426"/>
      <c r="O176" s="426"/>
      <c r="P176" s="426"/>
      <c r="Q176" s="511" t="s">
        <v>2</v>
      </c>
      <c r="R176" s="511"/>
      <c r="S176" s="511"/>
      <c r="T176" s="511"/>
      <c r="U176" s="426"/>
      <c r="V176" s="426"/>
      <c r="W176" s="426"/>
      <c r="X176" s="426"/>
      <c r="Y176" s="426"/>
      <c r="Z176" s="426"/>
      <c r="AA176" s="426"/>
      <c r="AB176" s="426"/>
      <c r="AC176" s="426"/>
      <c r="AD176" s="426"/>
      <c r="AE176" s="426"/>
      <c r="AF176" s="426"/>
      <c r="AG176" s="437"/>
    </row>
    <row r="177" spans="1:33" ht="32.25" customHeight="1" x14ac:dyDescent="0.3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  <c r="Z177" s="447"/>
      <c r="AA177" s="447"/>
      <c r="AB177" s="412"/>
      <c r="AC177" s="412"/>
      <c r="AD177" s="448"/>
      <c r="AE177" s="448"/>
      <c r="AF177" s="412"/>
      <c r="AG177" s="437"/>
    </row>
    <row r="178" spans="1:33" ht="15.75" x14ac:dyDescent="0.3">
      <c r="A178" s="445" t="str">
        <f>IF(Приложение_№_2!A133="","",Приложение_№_2!A133)</f>
      </c>
      <c r="B178" s="445"/>
      <c r="C178" s="445"/>
      <c r="D178" s="445"/>
      <c r="E178" s="445"/>
      <c r="F178" s="445"/>
      <c r="G178" s="445"/>
      <c r="H178" s="445"/>
      <c r="I178" s="445"/>
      <c r="J178" s="445"/>
      <c r="K178" s="445"/>
      <c r="L178" s="445"/>
      <c r="M178" s="445"/>
      <c r="N178" s="445"/>
      <c r="O178" s="445"/>
      <c r="P178" s="445"/>
      <c r="Q178" s="446"/>
      <c r="R178" s="446"/>
      <c r="S178" s="446"/>
      <c r="T178" s="446"/>
      <c r="U178" s="446"/>
      <c r="V178" s="446"/>
      <c r="W178" s="446"/>
      <c r="X178" s="446"/>
      <c r="Y178" s="530" t="str">
        <f>IF(Приложение_№_2!Y133="","",Приложение_№_2!Y133)</f>
      </c>
      <c r="Z178" s="530"/>
      <c r="AA178" s="530"/>
      <c r="AB178" s="530"/>
      <c r="AC178" s="530"/>
      <c r="AD178" s="530"/>
      <c r="AE178" s="530"/>
      <c r="AF178" s="530"/>
      <c r="AG178" s="437"/>
    </row>
    <row r="179" spans="1:33" ht="29.25" customHeight="1" x14ac:dyDescent="0.3">
      <c r="A179" s="531"/>
      <c r="B179" s="531"/>
      <c r="C179" s="531"/>
      <c r="D179" s="531"/>
      <c r="E179" s="531"/>
      <c r="F179" s="531"/>
      <c r="G179" s="531"/>
      <c r="H179" s="531"/>
      <c r="I179" s="531"/>
      <c r="J179" s="531"/>
      <c r="K179" s="426"/>
      <c r="L179" s="426"/>
      <c r="M179" s="426"/>
      <c r="N179" s="426"/>
      <c r="O179" s="426"/>
      <c r="P179" s="426"/>
      <c r="Q179" s="511" t="s">
        <v>2</v>
      </c>
      <c r="R179" s="511"/>
      <c r="S179" s="511"/>
      <c r="T179" s="511"/>
      <c r="U179" s="426"/>
      <c r="V179" s="426"/>
      <c r="W179" s="426"/>
      <c r="X179" s="426"/>
      <c r="Y179" s="426"/>
      <c r="Z179" s="426"/>
      <c r="AA179" s="426"/>
      <c r="AB179" s="426"/>
      <c r="AC179" s="426"/>
      <c r="AD179" s="426"/>
      <c r="AE179" s="426"/>
      <c r="AF179" s="426"/>
      <c r="AG179" s="437"/>
    </row>
    <row r="180" spans="1:33" ht="16.5" x14ac:dyDescent="0.3">
      <c r="A180" s="555" t="s">
        <v>1481</v>
      </c>
      <c r="B180" s="555"/>
      <c r="C180" s="555"/>
      <c r="D180" s="555"/>
      <c r="E180" s="555"/>
      <c r="F180" s="555"/>
      <c r="G180" s="555"/>
      <c r="H180" s="555"/>
      <c r="I180" s="555"/>
      <c r="J180" s="444"/>
      <c r="K180" s="444"/>
      <c r="L180" s="444"/>
      <c r="M180" s="444"/>
      <c r="N180" s="444"/>
      <c r="O180" s="444"/>
      <c r="P180" s="444"/>
      <c r="Q180" s="444"/>
      <c r="S180" s="444"/>
      <c r="T180" s="444"/>
      <c r="U180" s="444"/>
      <c r="V180" s="444"/>
      <c r="W180" s="444"/>
      <c r="X180" s="555" t="s">
        <v>1482</v>
      </c>
      <c r="Y180" s="555"/>
      <c r="Z180" s="555"/>
      <c r="AA180" s="555"/>
      <c r="AB180" s="555"/>
      <c r="AC180" s="555"/>
      <c r="AD180" s="555"/>
      <c r="AE180" s="555"/>
      <c r="AF180" s="555"/>
      <c r="AG180" s="437"/>
    </row>
    <row r="181" spans="1:33" ht="50.25" customHeight="1" x14ac:dyDescent="0.25">
      <c r="A181" s="546" t="s">
        <v>1483</v>
      </c>
      <c r="B181" s="546"/>
      <c r="C181" s="546"/>
      <c r="D181" s="546"/>
      <c r="E181" s="546"/>
      <c r="F181" s="546"/>
      <c r="G181" s="546"/>
      <c r="H181" s="546"/>
      <c r="I181" s="546"/>
      <c r="J181" s="412"/>
      <c r="K181" s="412"/>
      <c r="L181" s="412"/>
      <c r="M181" s="412"/>
      <c r="N181" s="412"/>
      <c r="O181" s="412"/>
      <c r="P181" s="412"/>
      <c r="Q181" s="444"/>
      <c r="S181" s="412"/>
      <c r="T181" s="412"/>
      <c r="U181" s="412"/>
      <c r="V181" s="412"/>
      <c r="W181" s="412"/>
      <c r="X181" s="546" t="s">
        <v>1484</v>
      </c>
      <c r="Y181" s="546"/>
      <c r="Z181" s="546"/>
      <c r="AA181" s="546"/>
      <c r="AB181" s="546"/>
      <c r="AC181" s="546"/>
      <c r="AD181" s="546"/>
      <c r="AE181" s="546"/>
      <c r="AF181" s="546"/>
      <c r="AG181" s="438"/>
    </row>
    <row r="182" spans="1:33" ht="84.75" customHeight="1" x14ac:dyDescent="0.25">
      <c r="A182" s="516" t="str">
        <f>IF(Приложение_№_2!A137="","",Приложение_№_2!A137)</f>
      </c>
      <c r="B182" s="516"/>
      <c r="C182" s="516"/>
      <c r="D182" s="516"/>
      <c r="E182" s="516"/>
      <c r="F182" s="516"/>
      <c r="G182" s="516"/>
      <c r="H182" s="516"/>
      <c r="I182" s="516"/>
      <c r="J182" s="412"/>
      <c r="K182" s="412"/>
      <c r="L182" s="412"/>
      <c r="M182" s="412"/>
      <c r="N182" s="412"/>
      <c r="O182" s="412"/>
      <c r="P182" s="412"/>
      <c r="Q182" s="412"/>
      <c r="R182" s="412"/>
      <c r="S182" s="412"/>
      <c r="T182" s="412"/>
      <c r="U182" s="412"/>
      <c r="V182" s="412"/>
      <c r="W182" s="412"/>
      <c r="X182" s="509" t="str">
        <f>IF(Приложение_№_2!X137="","",Приложение_№_2!X137)</f>
      </c>
      <c r="Y182" s="509"/>
      <c r="Z182" s="509"/>
      <c r="AA182" s="509"/>
      <c r="AB182" s="509"/>
      <c r="AC182" s="509"/>
      <c r="AD182" s="509"/>
      <c r="AE182" s="509"/>
      <c r="AF182" s="509"/>
      <c r="AG182" s="438"/>
    </row>
    <row r="183" spans="1:33" ht="22.5" customHeight="1" x14ac:dyDescent="0.25">
      <c r="A183" s="553" t="str">
        <f>IF(Приложение_№_2!A138="","",Приложение_№_2!A138)</f>
      </c>
      <c r="B183" s="553"/>
      <c r="C183" s="553"/>
      <c r="D183" s="553"/>
      <c r="E183" s="553"/>
      <c r="F183" s="553"/>
      <c r="G183" s="553"/>
      <c r="H183" s="553"/>
      <c r="I183" s="553"/>
      <c r="J183" s="425"/>
      <c r="K183" s="425"/>
      <c r="L183" s="425"/>
      <c r="M183" s="425"/>
      <c r="N183" s="425"/>
      <c r="O183" s="425"/>
      <c r="P183" s="425"/>
      <c r="Q183" s="450"/>
      <c r="R183" s="425"/>
      <c r="S183" s="425"/>
      <c r="T183" s="425"/>
      <c r="U183" s="425"/>
      <c r="V183" s="425"/>
      <c r="W183" s="425"/>
      <c r="X183" s="553" t="str">
        <f>IF(Приложение_№_2!X138="","",Приложение_№_2!X138)</f>
      </c>
      <c r="Y183" s="553"/>
      <c r="Z183" s="553"/>
      <c r="AA183" s="553"/>
      <c r="AB183" s="553"/>
      <c r="AC183" s="553"/>
      <c r="AD183" s="553"/>
      <c r="AE183" s="553"/>
      <c r="AF183" s="553"/>
    </row>
    <row r="184" spans="1:33" ht="23.25" customHeight="1" x14ac:dyDescent="0.2">
      <c r="A184" s="554"/>
      <c r="B184" s="554"/>
      <c r="C184" s="554"/>
      <c r="D184" s="554"/>
      <c r="E184" s="554"/>
      <c r="F184" s="554"/>
      <c r="G184" s="554"/>
      <c r="H184" s="554"/>
      <c r="I184" s="554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554"/>
      <c r="Y184" s="554"/>
      <c r="Z184" s="554"/>
      <c r="AA184" s="554"/>
      <c r="AB184" s="554"/>
      <c r="AC184" s="554"/>
      <c r="AD184" s="554"/>
      <c r="AE184" s="554"/>
      <c r="AF184" s="554"/>
    </row>
    <row r="185" spans="1:33" ht="25.5" customHeight="1" x14ac:dyDescent="0.2">
      <c r="A185" s="552" t="s">
        <v>1406</v>
      </c>
      <c r="B185" s="552"/>
      <c r="C185" s="552"/>
      <c r="D185" s="552"/>
      <c r="E185" s="552"/>
      <c r="F185" s="552"/>
      <c r="G185" s="552"/>
      <c r="H185" s="552"/>
      <c r="I185" s="552"/>
      <c r="J185" s="425"/>
      <c r="K185" s="425"/>
      <c r="L185" s="425"/>
      <c r="M185" s="425"/>
      <c r="N185" s="425"/>
      <c r="O185" s="425"/>
      <c r="P185" s="425"/>
      <c r="Q185" s="450"/>
      <c r="R185" s="425"/>
      <c r="S185" s="425"/>
      <c r="T185" s="425"/>
      <c r="U185" s="425"/>
      <c r="V185" s="425"/>
      <c r="W185" s="425"/>
      <c r="X185" s="552" t="s">
        <v>1406</v>
      </c>
      <c r="Y185" s="552"/>
      <c r="Z185" s="552"/>
      <c r="AA185" s="552"/>
      <c r="AB185" s="552"/>
      <c r="AC185" s="552"/>
      <c r="AD185" s="552"/>
      <c r="AE185" s="552"/>
      <c r="AF185" s="552"/>
    </row>
    <row r="186" spans="1:33" ht="36.75" customHeight="1" x14ac:dyDescent="0.2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2"/>
      <c r="Y186" s="412"/>
      <c r="Z186" s="412"/>
      <c r="AA186" s="412"/>
      <c r="AB186" s="412"/>
      <c r="AC186" s="412"/>
      <c r="AD186" s="412"/>
      <c r="AE186" s="412"/>
      <c r="AF186" s="412"/>
    </row>
    <row r="187" spans="1:33" ht="27" customHeight="1" x14ac:dyDescent="0.2">
      <c r="A187" s="451"/>
      <c r="B187" s="451"/>
      <c r="C187" s="451"/>
      <c r="D187" s="451"/>
      <c r="E187" s="452"/>
      <c r="F187" s="452"/>
      <c r="G187" s="452"/>
      <c r="H187" s="426"/>
      <c r="I187" s="426"/>
      <c r="J187" s="426"/>
      <c r="K187" s="426"/>
      <c r="L187" s="426"/>
      <c r="M187" s="426"/>
      <c r="N187" s="426"/>
      <c r="O187" s="426"/>
      <c r="P187" s="418"/>
      <c r="Q187" s="418"/>
      <c r="R187" s="418"/>
      <c r="S187" s="418"/>
      <c r="T187" s="418"/>
      <c r="U187" s="418"/>
      <c r="V187" s="418"/>
      <c r="W187" s="412"/>
      <c r="X187" s="426"/>
      <c r="Y187" s="426"/>
      <c r="Z187" s="426"/>
      <c r="AA187" s="426"/>
      <c r="AB187" s="426"/>
      <c r="AC187" s="426"/>
      <c r="AD187" s="426"/>
      <c r="AE187" s="426"/>
      <c r="AF187" s="426"/>
    </row>
    <row r="188" spans="1:33" x14ac:dyDescent="0.2">
      <c r="A188" s="444"/>
      <c r="B188" s="444"/>
      <c r="C188" s="444"/>
      <c r="D188" s="444"/>
      <c r="E188" s="444"/>
      <c r="F188" s="444"/>
      <c r="G188" s="444"/>
      <c r="H188" s="426"/>
      <c r="I188" s="426"/>
      <c r="J188" s="426"/>
      <c r="K188" s="426"/>
      <c r="L188" s="426"/>
      <c r="M188" s="426"/>
      <c r="N188" s="426"/>
      <c r="O188" s="426"/>
      <c r="P188" s="412"/>
      <c r="Q188" s="412"/>
      <c r="R188" s="412"/>
      <c r="S188" s="412"/>
      <c r="T188" s="412"/>
      <c r="U188" s="412"/>
      <c r="V188" s="412"/>
      <c r="W188" s="412"/>
      <c r="X188" s="426"/>
      <c r="Y188" s="426"/>
      <c r="Z188" s="426"/>
      <c r="AA188" s="426"/>
      <c r="AB188" s="426"/>
      <c r="AC188" s="426"/>
      <c r="AD188" s="426"/>
      <c r="AE188" s="426"/>
      <c r="AF188" s="426"/>
    </row>
    <row r="189" spans="1:33" x14ac:dyDescent="0.2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2"/>
      <c r="Y189" s="412"/>
      <c r="Z189" s="412"/>
      <c r="AA189" s="412"/>
      <c r="AB189" s="412"/>
      <c r="AC189" s="412"/>
      <c r="AD189" s="412"/>
      <c r="AE189" s="412"/>
      <c r="AF189" s="412"/>
    </row>
    <row r="190" spans="1:33" x14ac:dyDescent="0.2">
      <c r="A190" s="426"/>
      <c r="B190" s="426"/>
      <c r="C190" s="426"/>
      <c r="D190" s="426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Z190" s="426"/>
      <c r="AA190" s="426"/>
      <c r="AB190" s="426"/>
      <c r="AC190" s="426"/>
      <c r="AD190" s="426"/>
      <c r="AE190" s="426"/>
      <c r="AF190" s="426"/>
    </row>
  </sheetData>
  <sheetProtection formatCells="0"/>
  <mergeCells count="143">
    <mergeCell ref="A185:I185"/>
    <mergeCell ref="X185:AF185"/>
    <mergeCell ref="A4:Q4"/>
    <mergeCell ref="R4:AF4"/>
    <mergeCell ref="X7:AF7"/>
    <mergeCell ref="A182:I182"/>
    <mergeCell ref="X182:AF182"/>
    <mergeCell ref="A183:I183"/>
    <mergeCell ref="X183:AF183"/>
    <mergeCell ref="A184:I184"/>
    <mergeCell ref="X184:AF184"/>
    <mergeCell ref="Y178:AF178"/>
    <mergeCell ref="A179:J179"/>
    <mergeCell ref="Q179:T179"/>
    <mergeCell ref="A180:I180"/>
    <mergeCell ref="X180:AF180"/>
    <mergeCell ref="A181:I181"/>
    <mergeCell ref="X181:AF181"/>
    <mergeCell ref="Y169:AF169"/>
    <mergeCell ref="A170:J170"/>
    <mergeCell ref="Q170:T170"/>
    <mergeCell ref="A175:P175"/>
    <mergeCell ref="Y175:AF175"/>
    <mergeCell ref="A176:J176"/>
    <mergeCell ref="Q176:T176"/>
    <mergeCell ref="A150:AF150"/>
    <mergeCell ref="A151:AF151"/>
    <mergeCell ref="A153:AF153"/>
    <mergeCell ref="A154:AF154"/>
    <mergeCell ref="Y164:AF164"/>
    <mergeCell ref="A165:J165"/>
    <mergeCell ref="Q165:T165"/>
    <mergeCell ref="A142:AF142"/>
    <mergeCell ref="A143:AF143"/>
    <mergeCell ref="A144:AF144"/>
    <mergeCell ref="A145:AF145"/>
    <mergeCell ref="A147:AF147"/>
    <mergeCell ref="A149:AF149"/>
    <mergeCell ref="A172:F172"/>
    <mergeCell ref="Y172:AF172"/>
    <mergeCell ref="A173:J173"/>
    <mergeCell ref="Q173:T173"/>
    <mergeCell ref="A136:AF136"/>
    <mergeCell ref="A138:AF138"/>
    <mergeCell ref="A139:D139"/>
    <mergeCell ref="E139:M139"/>
    <mergeCell ref="N139:P139"/>
    <mergeCell ref="A140:D140"/>
    <mergeCell ref="E140:M140"/>
    <mergeCell ref="N140:P140"/>
    <mergeCell ref="A129:AF129"/>
    <mergeCell ref="A130:AF130"/>
    <mergeCell ref="A132:AF132"/>
    <mergeCell ref="A133:AF133"/>
    <mergeCell ref="A134:AF134"/>
    <mergeCell ref="A135:AF135"/>
    <mergeCell ref="A122:AF122"/>
    <mergeCell ref="A123:AF123"/>
    <mergeCell ref="A124:AF124"/>
    <mergeCell ref="A125:AF125"/>
    <mergeCell ref="A127:AF127"/>
    <mergeCell ref="A128:AF128"/>
    <mergeCell ref="A118:AF118"/>
    <mergeCell ref="A119:E119"/>
    <mergeCell ref="F119:O119"/>
    <mergeCell ref="P119:T119"/>
    <mergeCell ref="U119:Y119"/>
    <mergeCell ref="F120:O120"/>
    <mergeCell ref="U120:Y120"/>
    <mergeCell ref="A110:AF110"/>
    <mergeCell ref="A111:AF111"/>
    <mergeCell ref="A113:AF113"/>
    <mergeCell ref="A114:AF114"/>
    <mergeCell ref="A115:AF115"/>
    <mergeCell ref="B116:D116"/>
    <mergeCell ref="F116:J116"/>
    <mergeCell ref="K116:L116"/>
    <mergeCell ref="M116:N116"/>
    <mergeCell ref="Q116:W116"/>
    <mergeCell ref="A104:AF104"/>
    <mergeCell ref="A105:AF105"/>
    <mergeCell ref="A106:AF106"/>
    <mergeCell ref="A108:AF108"/>
    <mergeCell ref="A109:B109"/>
    <mergeCell ref="C109:AF109"/>
    <mergeCell ref="A93:AF93"/>
    <mergeCell ref="A94:AF97"/>
    <mergeCell ref="A98:AF98"/>
    <mergeCell ref="A100:AF100"/>
    <mergeCell ref="A101:AF101"/>
    <mergeCell ref="A102:AF102"/>
    <mergeCell ref="A83:AF83"/>
    <mergeCell ref="A84:AF85"/>
    <mergeCell ref="A86:AF86"/>
    <mergeCell ref="A88:AF88"/>
    <mergeCell ref="A89:AF90"/>
    <mergeCell ref="A91:AF91"/>
    <mergeCell ref="A74:AF74"/>
    <mergeCell ref="A75:AF75"/>
    <mergeCell ref="A76:AF76"/>
    <mergeCell ref="A78:AF78"/>
    <mergeCell ref="A79:AF80"/>
    <mergeCell ref="A81:AF81"/>
    <mergeCell ref="A64:AF64"/>
    <mergeCell ref="A65:AF66"/>
    <mergeCell ref="A67:AF68"/>
    <mergeCell ref="A69:AF69"/>
    <mergeCell ref="A71:AF71"/>
    <mergeCell ref="A72:AF73"/>
    <mergeCell ref="A50:AF50"/>
    <mergeCell ref="A54:AF54"/>
    <mergeCell ref="A55:AF55"/>
    <mergeCell ref="A56:AF56"/>
    <mergeCell ref="A59:AF59"/>
    <mergeCell ref="A60:AF60"/>
    <mergeCell ref="A44:AF44"/>
    <mergeCell ref="A45:AF45"/>
    <mergeCell ref="A48:AF48"/>
    <mergeCell ref="A49:AF49"/>
    <mergeCell ref="A30:AF30"/>
    <mergeCell ref="A31:AF31"/>
    <mergeCell ref="A34:AF34"/>
    <mergeCell ref="A35:AF35"/>
    <mergeCell ref="A38:AF38"/>
    <mergeCell ref="A39:AF39"/>
    <mergeCell ref="A29:AF29"/>
    <mergeCell ref="A12:AF12"/>
    <mergeCell ref="A13:AF13"/>
    <mergeCell ref="A15:F15"/>
    <mergeCell ref="H15:R15"/>
    <mergeCell ref="U15:V15"/>
    <mergeCell ref="X15:AD15"/>
    <mergeCell ref="A40:AF40"/>
    <mergeCell ref="A43:AF43"/>
    <mergeCell ref="P2:AF2"/>
    <mergeCell ref="A5:AF5"/>
    <mergeCell ref="B7:H7"/>
    <mergeCell ref="A11:AF11"/>
    <mergeCell ref="B17:F17"/>
    <mergeCell ref="A22:AF22"/>
    <mergeCell ref="A23:AF23"/>
    <mergeCell ref="A24:AF24"/>
    <mergeCell ref="A28:AF28"/>
  </mergeCells>
  <pageMargins left="0.70866141732283472" right="0.70866141732283472" top="0.31496062992125984" bottom="0.31496062992125984" header="0.31496062992125984" footer="0.31496062992125984"/>
  <pageSetup paperSize="9" scale="62" fitToWidth="2" fitToHeight="2" orientation="portrait" r:id="rId1"/>
  <rowBreaks count="3" manualBreakCount="3">
    <brk id="72" max="31" man="1"/>
    <brk id="127" max="31" man="1"/>
    <brk id="161" max="31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E2BC4D-9ACF-4543-9831-480BF87B81C3}">
          <x14:formula1>
            <xm:f>'Данные организации'!$A$46:$B$46</xm:f>
          </x14:formula1>
          <xm:sqref>A44:AF44</xm:sqref>
        </x14:dataValidation>
        <x14:dataValidation type="list" allowBlank="1" showInputMessage="1" showErrorMessage="1" xr:uid="{45C99665-EEDC-4E6D-8B4B-EF5897074BF9}">
          <x14:formula1>
            <xm:f>'Данные организации'!$A$36:$B$36</xm:f>
          </x14:formula1>
          <xm:sqref>G172:L172</xm:sqref>
        </x14:dataValidation>
        <x14:dataValidation type="list" allowBlank="1" showInputMessage="1" showErrorMessage="1" xr:uid="{F3D3AB01-3359-40BA-90E1-B38ED47F0756}">
          <x14:formula1>
            <xm:f>'Данные организации'!$A$48</xm:f>
          </x14:formula1>
          <xm:sqref>A172:F172</xm:sqref>
        </x14:dataValidation>
        <x14:dataValidation type="list" allowBlank="1" showInputMessage="1" showErrorMessage="1" xr:uid="{D8505DF3-1318-454A-A126-0B565F0BAACE}">
          <x14:formula1>
            <xm:f>'Данные организации'!$A$47:$B$47</xm:f>
          </x14:formula1>
          <xm:sqref>Y172:AF172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1AD6-9B6A-4309-A57A-4FA4A558A83F}">
  <sheetPr>
    <tabColor rgb="FFFFFF99"/>
  </sheetPr>
  <dimension ref="A1:K42"/>
  <sheetViews>
    <sheetView view="pageBreakPreview" zoomScaleNormal="100" zoomScaleSheetLayoutView="100" workbookViewId="0">
      <selection activeCell="M18" sqref="M18"/>
    </sheetView>
  </sheetViews>
  <sheetFormatPr defaultColWidth="9.140625" defaultRowHeight="15" x14ac:dyDescent="0.25"/>
  <cols>
    <col min="1" max="1" width="9.140625" style="185"/>
    <col min="2" max="2" width="11.28515625" style="185" customWidth="1"/>
    <col min="3" max="10" width="9.140625" style="185"/>
    <col min="11" max="11" width="9.140625" style="185" customWidth="1"/>
    <col min="12" max="16384" width="9.140625" style="185"/>
  </cols>
  <sheetData>
    <row r="1" spans="1:11" x14ac:dyDescent="0.25">
      <c r="J1" s="1" t="s">
        <v>1215</v>
      </c>
    </row>
    <row r="2" spans="1:11" ht="12.95" customHeight="1" x14ac:dyDescent="0.25">
      <c r="A2" s="603" t="s">
        <v>1173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</row>
    <row r="3" spans="1:11" ht="12.95" customHeight="1" x14ac:dyDescent="0.25">
      <c r="A3" s="605" t="s">
        <v>1227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</row>
    <row r="4" spans="1:11" ht="18.75" customHeight="1" x14ac:dyDescent="0.25">
      <c r="A4" s="615" t="str">
        <f>IF('Данные объект'!B2="","",'Данные объект'!B2)</f>
      </c>
      <c r="B4" s="615"/>
      <c r="C4" s="615"/>
      <c r="D4" s="615"/>
      <c r="E4" s="615"/>
      <c r="F4" s="615"/>
      <c r="G4" s="615"/>
      <c r="H4" s="615"/>
      <c r="I4" s="615"/>
      <c r="J4" s="615"/>
      <c r="K4" s="615"/>
    </row>
    <row r="5" spans="1:11" ht="24.75" customHeight="1" x14ac:dyDescent="0.25">
      <c r="A5" s="606" t="str">
        <f>IF('Данные объект'!B4="","",'Данные объект'!B4)</f>
      </c>
      <c r="B5" s="606"/>
      <c r="C5" s="606"/>
      <c r="D5" s="206"/>
      <c r="E5" s="206"/>
      <c r="F5" s="206"/>
      <c r="G5" s="206"/>
      <c r="H5" s="206"/>
      <c r="I5" s="607">
        <f>'Данные объект'!B6-3</f>
      </c>
      <c r="J5" s="607"/>
      <c r="K5" s="607"/>
    </row>
    <row r="6" spans="1:11" ht="12.75" customHeight="1" x14ac:dyDescent="0.25">
      <c r="A6" s="208"/>
      <c r="B6" s="208"/>
      <c r="C6" s="208"/>
      <c r="D6" s="206"/>
      <c r="E6" s="206"/>
      <c r="F6" s="206"/>
      <c r="G6" s="206"/>
      <c r="H6" s="206"/>
      <c r="I6" s="206"/>
    </row>
    <row r="7" spans="1:11" ht="24" customHeight="1" x14ac:dyDescent="0.25">
      <c r="A7" s="608" t="str">
        <f>IF('Данные объект'!B3="","",'Данные объект'!B3)</f>
      </c>
      <c r="B7" s="608"/>
      <c r="C7" s="608"/>
      <c r="D7" s="608"/>
      <c r="E7" s="608"/>
      <c r="F7" s="608"/>
      <c r="G7" s="608"/>
      <c r="H7" s="608"/>
      <c r="I7" s="608"/>
      <c r="J7" s="608"/>
      <c r="K7" s="608"/>
    </row>
    <row r="8" spans="1:11" x14ac:dyDescent="0.25">
      <c r="A8" s="609" t="str">
        <f>IF('Данные объект'!B56="","",'Данные объект'!B56)</f>
      </c>
      <c r="B8" s="609"/>
      <c r="C8" s="609"/>
      <c r="D8" s="609"/>
      <c r="E8" s="609"/>
      <c r="F8" s="609"/>
      <c r="G8" s="609"/>
      <c r="H8" s="609"/>
      <c r="I8" s="609"/>
      <c r="J8" s="609"/>
      <c r="K8" s="609"/>
    </row>
    <row r="9" spans="1:11" ht="6.95" customHeight="1" x14ac:dyDescent="0.25">
      <c r="A9" s="610" t="s">
        <v>936</v>
      </c>
      <c r="B9" s="604"/>
      <c r="C9" s="604"/>
      <c r="D9" s="604"/>
      <c r="E9" s="604"/>
      <c r="F9" s="604"/>
      <c r="G9" s="604"/>
      <c r="H9" s="604"/>
      <c r="I9" s="604"/>
      <c r="J9" s="604"/>
      <c r="K9" s="604"/>
    </row>
    <row r="10" spans="1:11" ht="12" customHeight="1" x14ac:dyDescent="0.25">
      <c r="A10" s="573" t="s">
        <v>843</v>
      </c>
      <c r="B10" s="572"/>
      <c r="C10" s="572"/>
      <c r="D10" s="572"/>
      <c r="E10" s="572"/>
      <c r="F10" s="572"/>
      <c r="G10" s="572"/>
      <c r="H10" s="572"/>
      <c r="I10" s="572"/>
      <c r="J10" s="572"/>
      <c r="K10" s="572"/>
    </row>
    <row r="11" spans="1:11" ht="12.95" customHeight="1" x14ac:dyDescent="0.25">
      <c r="A11" s="611" t="str">
        <f>IF('Данные объект'!B33="","",'Данные объект'!B33)</f>
      </c>
      <c r="B11" s="612"/>
      <c r="C11" s="612"/>
      <c r="D11" s="612"/>
      <c r="E11" s="612"/>
      <c r="F11" s="612"/>
      <c r="G11" s="612"/>
      <c r="H11" s="612"/>
      <c r="I11" s="612"/>
      <c r="J11" s="612"/>
      <c r="K11" s="612"/>
    </row>
    <row r="12" spans="1:11" ht="8.1" customHeight="1" x14ac:dyDescent="0.25">
      <c r="A12" s="613" t="s">
        <v>1374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</row>
    <row r="13" spans="1:11" ht="12.95" customHeight="1" x14ac:dyDescent="0.25">
      <c r="A13" s="611" t="str">
        <f>IF(AND('Данные объект'!B39="",'Данные объект'!B42=""),"",CONCATENATE(IF('Данные объект'!B39="","",'Данные объект'!B39)," ",IF('Данные объект'!B42="","",'Данные объект'!B42)))</f>
      </c>
      <c r="B13" s="612"/>
      <c r="C13" s="612"/>
      <c r="D13" s="612"/>
      <c r="E13" s="612"/>
      <c r="F13" s="612"/>
      <c r="G13" s="612"/>
      <c r="H13" s="612"/>
      <c r="I13" s="612"/>
      <c r="J13" s="612"/>
      <c r="K13" s="612"/>
    </row>
    <row r="14" spans="1:11" ht="11.1" customHeight="1" x14ac:dyDescent="0.25">
      <c r="A14" s="601" t="s">
        <v>948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</row>
    <row r="15" spans="1:11" ht="26.1" customHeight="1" x14ac:dyDescent="0.25">
      <c r="A15" s="586" t="s">
        <v>947</v>
      </c>
      <c r="B15" s="586"/>
      <c r="C15" s="587" t="str">
        <f>IF('Данные объект'!B43="","",'Данные объект'!B43)</f>
      </c>
      <c r="D15" s="587"/>
      <c r="E15" s="587"/>
      <c r="F15" s="587"/>
      <c r="G15" s="587"/>
      <c r="H15" s="587"/>
      <c r="I15" s="587"/>
      <c r="J15" s="587"/>
      <c r="K15" s="587"/>
    </row>
    <row r="16" spans="1:11" ht="15" customHeight="1" x14ac:dyDescent="0.25">
      <c r="A16" s="581" t="s">
        <v>845</v>
      </c>
      <c r="B16" s="581"/>
      <c r="C16" s="581"/>
      <c r="D16" s="581"/>
      <c r="E16" s="581"/>
      <c r="F16" s="581"/>
      <c r="G16" s="581"/>
      <c r="H16" s="581"/>
      <c r="I16" s="581"/>
      <c r="J16" s="581"/>
      <c r="K16" s="581"/>
    </row>
    <row r="17" spans="1:11" ht="39" customHeight="1" x14ac:dyDescent="0.25">
      <c r="A17" s="588" t="str">
        <f>IF('Данные объект'!B3="","",'Данные объект'!B3)</f>
      </c>
      <c r="B17" s="589"/>
      <c r="C17" s="589"/>
      <c r="D17" s="589"/>
      <c r="E17" s="589"/>
      <c r="F17" s="589"/>
      <c r="G17" s="589"/>
      <c r="H17" s="589"/>
      <c r="I17" s="589"/>
      <c r="J17" s="589"/>
      <c r="K17" s="589"/>
    </row>
    <row r="18" spans="1:11" ht="12.95" customHeight="1" x14ac:dyDescent="0.25">
      <c r="A18" s="590" t="s">
        <v>937</v>
      </c>
      <c r="B18" s="591"/>
      <c r="C18" s="591"/>
      <c r="D18" s="591"/>
      <c r="E18" s="591"/>
      <c r="F18" s="591"/>
      <c r="G18" s="591"/>
      <c r="H18" s="591"/>
      <c r="I18" s="591"/>
      <c r="J18" s="591"/>
      <c r="K18" s="591"/>
    </row>
    <row r="19" spans="1:11" ht="16.5" customHeight="1" x14ac:dyDescent="0.25">
      <c r="A19" s="323" t="s">
        <v>949</v>
      </c>
      <c r="B19" s="592">
        <f>I5-3</f>
      </c>
      <c r="C19" s="593"/>
      <c r="D19" s="324" t="s">
        <v>950</v>
      </c>
      <c r="E19" s="592">
        <f>IF(I5="","",I5)</f>
      </c>
      <c r="F19" s="593"/>
      <c r="G19" s="594" t="s">
        <v>1228</v>
      </c>
      <c r="H19" s="594"/>
      <c r="I19" s="594"/>
      <c r="J19" s="594"/>
      <c r="K19" s="594"/>
    </row>
    <row r="20" spans="1:11" ht="24.75" customHeight="1" x14ac:dyDescent="0.25">
      <c r="A20" s="595"/>
      <c r="B20" s="595"/>
      <c r="C20" s="595"/>
      <c r="D20" s="595"/>
      <c r="E20" s="595"/>
      <c r="F20" s="595"/>
      <c r="G20" s="595"/>
      <c r="H20" s="595"/>
      <c r="I20" s="595"/>
      <c r="J20" s="595"/>
      <c r="K20" s="595"/>
    </row>
    <row r="21" spans="1:11" x14ac:dyDescent="0.25">
      <c r="A21" s="207" t="s">
        <v>938</v>
      </c>
      <c r="B21" s="596" t="s">
        <v>939</v>
      </c>
      <c r="C21" s="597"/>
      <c r="D21" s="597"/>
      <c r="E21" s="597"/>
      <c r="F21" s="597"/>
      <c r="G21" s="597"/>
      <c r="H21" s="597"/>
      <c r="I21" s="598"/>
      <c r="J21" s="599" t="s">
        <v>940</v>
      </c>
      <c r="K21" s="599"/>
    </row>
    <row r="22" spans="1:11" ht="31.15" customHeight="1" x14ac:dyDescent="0.25">
      <c r="A22" s="207">
        <v>1</v>
      </c>
      <c r="B22" s="583" t="s">
        <v>1216</v>
      </c>
      <c r="C22" s="584"/>
      <c r="D22" s="584"/>
      <c r="E22" s="584"/>
      <c r="F22" s="584"/>
      <c r="G22" s="584"/>
      <c r="H22" s="584"/>
      <c r="I22" s="585"/>
      <c r="J22" s="600" t="s">
        <v>955</v>
      </c>
      <c r="K22" s="570"/>
    </row>
    <row r="23" spans="1:11" ht="30.6" customHeight="1" x14ac:dyDescent="0.25">
      <c r="A23" s="207">
        <v>2</v>
      </c>
      <c r="B23" s="583" t="s">
        <v>1217</v>
      </c>
      <c r="C23" s="584"/>
      <c r="D23" s="584"/>
      <c r="E23" s="584"/>
      <c r="F23" s="584"/>
      <c r="G23" s="584"/>
      <c r="H23" s="584"/>
      <c r="I23" s="585"/>
      <c r="J23" s="570" t="s">
        <v>956</v>
      </c>
      <c r="K23" s="570"/>
    </row>
    <row r="24" spans="1:11" ht="30.75" customHeight="1" x14ac:dyDescent="0.25">
      <c r="A24" s="207">
        <v>3</v>
      </c>
      <c r="B24" s="583" t="s">
        <v>1218</v>
      </c>
      <c r="C24" s="584"/>
      <c r="D24" s="584"/>
      <c r="E24" s="584"/>
      <c r="F24" s="584"/>
      <c r="G24" s="584"/>
      <c r="H24" s="584"/>
      <c r="I24" s="585"/>
      <c r="J24" s="570" t="s">
        <v>956</v>
      </c>
      <c r="K24" s="570"/>
    </row>
    <row r="25" spans="1:11" ht="30" customHeight="1" x14ac:dyDescent="0.25">
      <c r="A25" s="207">
        <v>4</v>
      </c>
      <c r="B25" s="569" t="s">
        <v>1219</v>
      </c>
      <c r="C25" s="569"/>
      <c r="D25" s="569"/>
      <c r="E25" s="569"/>
      <c r="F25" s="569"/>
      <c r="G25" s="569"/>
      <c r="H25" s="569"/>
      <c r="I25" s="569"/>
      <c r="J25" s="570" t="s">
        <v>956</v>
      </c>
      <c r="K25" s="570"/>
    </row>
    <row r="26" spans="1:11" ht="71.45" customHeight="1" x14ac:dyDescent="0.25">
      <c r="A26" s="207">
        <v>5</v>
      </c>
      <c r="B26" s="569" t="s">
        <v>1220</v>
      </c>
      <c r="C26" s="569"/>
      <c r="D26" s="569"/>
      <c r="E26" s="569"/>
      <c r="F26" s="569"/>
      <c r="G26" s="569"/>
      <c r="H26" s="569"/>
      <c r="I26" s="569"/>
      <c r="J26" s="570" t="s">
        <v>956</v>
      </c>
      <c r="K26" s="570"/>
    </row>
    <row r="27" spans="1:11" ht="33" customHeight="1" x14ac:dyDescent="0.25">
      <c r="A27" s="207">
        <v>6</v>
      </c>
      <c r="B27" s="569" t="s">
        <v>1221</v>
      </c>
      <c r="C27" s="569"/>
      <c r="D27" s="569"/>
      <c r="E27" s="569"/>
      <c r="F27" s="569"/>
      <c r="G27" s="569"/>
      <c r="H27" s="569"/>
      <c r="I27" s="569"/>
      <c r="J27" s="570" t="s">
        <v>956</v>
      </c>
      <c r="K27" s="570"/>
    </row>
    <row r="28" spans="1:11" ht="33" customHeight="1" x14ac:dyDescent="0.25">
      <c r="A28" s="207">
        <v>7</v>
      </c>
      <c r="B28" s="569" t="s">
        <v>1222</v>
      </c>
      <c r="C28" s="569"/>
      <c r="D28" s="569"/>
      <c r="E28" s="569"/>
      <c r="F28" s="569"/>
      <c r="G28" s="569"/>
      <c r="H28" s="569"/>
      <c r="I28" s="569"/>
      <c r="J28" s="570" t="s">
        <v>956</v>
      </c>
      <c r="K28" s="570"/>
    </row>
    <row r="29" spans="1:11" ht="33" customHeight="1" x14ac:dyDescent="0.25">
      <c r="A29" s="207">
        <v>8</v>
      </c>
      <c r="B29" s="569" t="s">
        <v>1223</v>
      </c>
      <c r="C29" s="569"/>
      <c r="D29" s="569"/>
      <c r="E29" s="569"/>
      <c r="F29" s="569"/>
      <c r="G29" s="569"/>
      <c r="H29" s="569"/>
      <c r="I29" s="569"/>
      <c r="J29" s="570" t="s">
        <v>956</v>
      </c>
      <c r="K29" s="570"/>
    </row>
    <row r="30" spans="1:11" ht="33" customHeight="1" x14ac:dyDescent="0.25">
      <c r="A30" s="207">
        <v>9</v>
      </c>
      <c r="B30" s="569" t="s">
        <v>1224</v>
      </c>
      <c r="C30" s="569"/>
      <c r="D30" s="569"/>
      <c r="E30" s="569"/>
      <c r="F30" s="569"/>
      <c r="G30" s="569"/>
      <c r="H30" s="569"/>
      <c r="I30" s="569"/>
      <c r="J30" s="570" t="s">
        <v>956</v>
      </c>
      <c r="K30" s="570"/>
    </row>
    <row r="31" spans="1:11" ht="46.9" customHeight="1" x14ac:dyDescent="0.25">
      <c r="A31" s="207">
        <v>10</v>
      </c>
      <c r="B31" s="569" t="s">
        <v>1225</v>
      </c>
      <c r="C31" s="569"/>
      <c r="D31" s="569"/>
      <c r="E31" s="569"/>
      <c r="F31" s="569"/>
      <c r="G31" s="569"/>
      <c r="H31" s="569"/>
      <c r="I31" s="569"/>
      <c r="J31" s="570" t="s">
        <v>956</v>
      </c>
      <c r="K31" s="570"/>
    </row>
    <row r="32" spans="1:11" ht="33" customHeight="1" x14ac:dyDescent="0.25">
      <c r="A32" s="207">
        <v>11</v>
      </c>
      <c r="B32" s="569" t="s">
        <v>1226</v>
      </c>
      <c r="C32" s="569"/>
      <c r="D32" s="569"/>
      <c r="E32" s="569"/>
      <c r="F32" s="569"/>
      <c r="G32" s="569"/>
      <c r="H32" s="569"/>
      <c r="I32" s="569"/>
      <c r="J32" s="570" t="s">
        <v>956</v>
      </c>
      <c r="K32" s="570"/>
    </row>
    <row r="33" spans="1:11" x14ac:dyDescent="0.25">
      <c r="A33" s="571" t="s">
        <v>1295</v>
      </c>
      <c r="B33" s="572"/>
      <c r="C33" s="572"/>
      <c r="D33" s="572"/>
      <c r="E33" s="572"/>
      <c r="F33" s="572"/>
      <c r="G33" s="572"/>
      <c r="H33" s="572"/>
      <c r="I33" s="572"/>
      <c r="J33" s="572"/>
      <c r="K33" s="572"/>
    </row>
    <row r="34" spans="1:11" x14ac:dyDescent="0.25">
      <c r="A34" s="573" t="s">
        <v>1297</v>
      </c>
      <c r="B34" s="572"/>
      <c r="C34" s="572"/>
      <c r="D34" s="572"/>
      <c r="E34" s="572"/>
      <c r="F34" s="572"/>
      <c r="G34" s="572"/>
      <c r="H34" s="572"/>
      <c r="I34" s="572"/>
      <c r="J34" s="572"/>
      <c r="K34" s="572"/>
    </row>
    <row r="35" spans="1:11" ht="33" customHeight="1" x14ac:dyDescent="0.25">
      <c r="A35" s="574" t="str">
        <f>IF('Данные объект'!B3="","",'Данные объект'!B3)</f>
      </c>
      <c r="B35" s="575"/>
      <c r="C35" s="575"/>
      <c r="D35" s="575"/>
      <c r="E35" s="575"/>
      <c r="F35" s="575"/>
      <c r="G35" s="575"/>
      <c r="H35" s="575"/>
      <c r="I35" s="575"/>
      <c r="J35" s="575"/>
      <c r="K35" s="575"/>
    </row>
    <row r="36" spans="1:11" x14ac:dyDescent="0.25">
      <c r="A36" s="193" t="s">
        <v>33</v>
      </c>
      <c r="B36" s="578" t="s">
        <v>101</v>
      </c>
      <c r="C36" s="578"/>
      <c r="D36" s="578"/>
      <c r="E36" s="578"/>
      <c r="F36" s="578"/>
      <c r="G36" s="578"/>
      <c r="H36" s="578"/>
      <c r="I36" s="578"/>
      <c r="J36" s="578"/>
      <c r="K36" s="578"/>
    </row>
    <row r="37" spans="1:11" x14ac:dyDescent="0.25">
      <c r="A37" s="193" t="s">
        <v>36</v>
      </c>
      <c r="B37" s="579" t="s">
        <v>101</v>
      </c>
      <c r="C37" s="579"/>
      <c r="D37" s="579"/>
      <c r="E37" s="579"/>
      <c r="F37" s="579"/>
      <c r="G37" s="579"/>
      <c r="H37" s="579"/>
      <c r="I37" s="579"/>
      <c r="J37" s="579"/>
      <c r="K37" s="579"/>
    </row>
    <row r="38" spans="1:11" ht="19.5" customHeight="1" x14ac:dyDescent="0.25">
      <c r="A38" s="580" t="s">
        <v>951</v>
      </c>
      <c r="B38" s="572"/>
      <c r="C38" s="572"/>
      <c r="D38" s="572"/>
      <c r="E38" s="572"/>
      <c r="F38" s="572"/>
      <c r="G38" s="572"/>
      <c r="H38" s="572"/>
      <c r="I38" s="572"/>
      <c r="J38" s="572"/>
      <c r="K38" s="572"/>
    </row>
    <row r="39" spans="1:11" ht="12.95" customHeight="1" x14ac:dyDescent="0.25">
      <c r="A39" s="573" t="s">
        <v>952</v>
      </c>
      <c r="B39" s="572"/>
      <c r="C39" s="572"/>
      <c r="D39" s="572"/>
      <c r="E39" s="572"/>
      <c r="F39" s="572"/>
      <c r="G39" s="572"/>
      <c r="H39" s="572"/>
      <c r="I39" s="572"/>
      <c r="J39" s="572"/>
      <c r="K39" s="572"/>
    </row>
    <row r="40" spans="1:11" ht="26.25" customHeight="1" x14ac:dyDescent="0.25">
      <c r="A40" s="581" t="s">
        <v>1179</v>
      </c>
      <c r="B40" s="581"/>
      <c r="C40" s="582"/>
      <c r="D40" s="582"/>
      <c r="E40" s="582"/>
      <c r="F40" s="568" t="s">
        <v>954</v>
      </c>
      <c r="G40" s="568"/>
      <c r="H40" s="568"/>
      <c r="J40" s="568" t="str">
        <f>IF('Данные объект'!B42="","",'Данные объект'!B42)</f>
      </c>
      <c r="K40" s="568"/>
    </row>
    <row r="41" spans="1:11" ht="12.95" customHeight="1" x14ac:dyDescent="0.25">
      <c r="A41" s="202"/>
      <c r="C41" s="576"/>
      <c r="D41" s="576"/>
      <c r="E41" s="576"/>
      <c r="F41" s="576" t="s">
        <v>953</v>
      </c>
      <c r="G41" s="576"/>
      <c r="H41" s="576"/>
      <c r="I41" s="214"/>
      <c r="J41" s="577" t="s">
        <v>863</v>
      </c>
      <c r="K41" s="577"/>
    </row>
    <row r="42" spans="1:11" ht="15" customHeight="1" x14ac:dyDescent="0.25"/>
  </sheetData>
  <mergeCells count="60">
    <mergeCell ref="A14:K14"/>
    <mergeCell ref="A2:K2"/>
    <mergeCell ref="A3:K3"/>
    <mergeCell ref="A5:C5"/>
    <mergeCell ref="I5:K5"/>
    <mergeCell ref="A7:K7"/>
    <mergeCell ref="A8:K8"/>
    <mergeCell ref="A9:K9"/>
    <mergeCell ref="A10:K10"/>
    <mergeCell ref="A11:K11"/>
    <mergeCell ref="A12:K12"/>
    <mergeCell ref="A13:K13"/>
    <mergeCell ref="A4:K4"/>
    <mergeCell ref="B23:I23"/>
    <mergeCell ref="J23:K23"/>
    <mergeCell ref="A15:B15"/>
    <mergeCell ref="C15:K15"/>
    <mergeCell ref="A16:K16"/>
    <mergeCell ref="A17:K17"/>
    <mergeCell ref="A18:K18"/>
    <mergeCell ref="B19:C19"/>
    <mergeCell ref="E19:F19"/>
    <mergeCell ref="G19:K19"/>
    <mergeCell ref="A20:K20"/>
    <mergeCell ref="B21:I21"/>
    <mergeCell ref="J21:K21"/>
    <mergeCell ref="B22:I22"/>
    <mergeCell ref="J22:K22"/>
    <mergeCell ref="B24:I24"/>
    <mergeCell ref="J24:K24"/>
    <mergeCell ref="B25:I25"/>
    <mergeCell ref="J25:K25"/>
    <mergeCell ref="B26:I26"/>
    <mergeCell ref="J26:K26"/>
    <mergeCell ref="C41:E41"/>
    <mergeCell ref="F41:H41"/>
    <mergeCell ref="J41:K41"/>
    <mergeCell ref="B27:I27"/>
    <mergeCell ref="J27:K27"/>
    <mergeCell ref="B36:K36"/>
    <mergeCell ref="B37:K37"/>
    <mergeCell ref="A38:K38"/>
    <mergeCell ref="B28:I28"/>
    <mergeCell ref="J28:K28"/>
    <mergeCell ref="B29:I29"/>
    <mergeCell ref="J29:K29"/>
    <mergeCell ref="A39:K39"/>
    <mergeCell ref="A40:B40"/>
    <mergeCell ref="C40:E40"/>
    <mergeCell ref="F40:H40"/>
    <mergeCell ref="J40:K40"/>
    <mergeCell ref="B30:I30"/>
    <mergeCell ref="J30:K30"/>
    <mergeCell ref="B31:I31"/>
    <mergeCell ref="J31:K31"/>
    <mergeCell ref="B32:I32"/>
    <mergeCell ref="J32:K32"/>
    <mergeCell ref="A33:K33"/>
    <mergeCell ref="A34:K34"/>
    <mergeCell ref="A35:K35"/>
  </mergeCells>
  <pageMargins left="1.1811023622047245" right="0.59055118110236227" top="0.31496062992125984" bottom="0.19685039370078741" header="0" footer="0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7654-125D-4947-BDE6-6E2817AEC81E}">
  <sheetPr>
    <tabColor rgb="FFFFFF99"/>
  </sheetPr>
  <dimension ref="A1:K36"/>
  <sheetViews>
    <sheetView view="pageBreakPreview" topLeftCell="A22" zoomScaleNormal="100" zoomScaleSheetLayoutView="100" workbookViewId="0">
      <selection activeCell="S28" sqref="S28"/>
    </sheetView>
  </sheetViews>
  <sheetFormatPr defaultColWidth="9.140625" defaultRowHeight="15" x14ac:dyDescent="0.25"/>
  <cols>
    <col min="1" max="1" width="9.140625" style="185"/>
    <col min="2" max="2" width="11.28515625" style="185" customWidth="1"/>
    <col min="3" max="10" width="9.140625" style="185"/>
    <col min="11" max="11" width="9.140625" style="185" customWidth="1"/>
    <col min="12" max="16384" width="9.140625" style="185"/>
  </cols>
  <sheetData>
    <row r="1" spans="1:11" x14ac:dyDescent="0.25">
      <c r="J1" s="1" t="s">
        <v>1294</v>
      </c>
    </row>
    <row r="2" spans="1:11" ht="12.95" customHeight="1" x14ac:dyDescent="0.25">
      <c r="A2" s="603" t="s">
        <v>1173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</row>
    <row r="3" spans="1:11" ht="12.95" customHeight="1" x14ac:dyDescent="0.25">
      <c r="A3" s="605" t="s">
        <v>1232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</row>
    <row r="4" spans="1:11" ht="12.95" customHeight="1" x14ac:dyDescent="0.25">
      <c r="A4" s="615" t="str">
        <f>IF('Данные объект'!B2="","",'Данные объект'!B2)</f>
      </c>
      <c r="B4" s="615"/>
      <c r="C4" s="615"/>
      <c r="D4" s="615"/>
      <c r="E4" s="615"/>
      <c r="F4" s="615"/>
      <c r="G4" s="615"/>
      <c r="H4" s="615"/>
      <c r="I4" s="615"/>
      <c r="J4" s="615"/>
      <c r="K4" s="615"/>
    </row>
    <row r="5" spans="1:11" ht="24.75" customHeight="1" x14ac:dyDescent="0.25">
      <c r="A5" s="606" t="str">
        <f>IF('Данные объект'!B4="","",'Данные объект'!B4)</f>
      </c>
      <c r="B5" s="606"/>
      <c r="C5" s="606"/>
      <c r="D5" s="206"/>
      <c r="E5" s="206"/>
      <c r="F5" s="206"/>
      <c r="G5" s="206"/>
      <c r="H5" s="206"/>
      <c r="I5" s="607">
        <f>'Данные объект'!B6-3</f>
      </c>
      <c r="J5" s="607"/>
      <c r="K5" s="607"/>
    </row>
    <row r="6" spans="1:11" ht="12.75" customHeight="1" x14ac:dyDescent="0.25">
      <c r="A6" s="208"/>
      <c r="B6" s="208"/>
      <c r="C6" s="208"/>
      <c r="D6" s="206"/>
      <c r="E6" s="206"/>
      <c r="F6" s="206"/>
      <c r="G6" s="206"/>
      <c r="H6" s="206"/>
      <c r="I6" s="206"/>
    </row>
    <row r="7" spans="1:11" ht="25.5" customHeight="1" x14ac:dyDescent="0.25">
      <c r="A7" s="608" t="str">
        <f>IF('Данные объект'!B3="","",'Данные объект'!B3)</f>
      </c>
      <c r="B7" s="608"/>
      <c r="C7" s="608"/>
      <c r="D7" s="608"/>
      <c r="E7" s="608"/>
      <c r="F7" s="608"/>
      <c r="G7" s="608"/>
      <c r="H7" s="608"/>
      <c r="I7" s="608"/>
      <c r="J7" s="608"/>
      <c r="K7" s="608"/>
    </row>
    <row r="8" spans="1:11" x14ac:dyDescent="0.25">
      <c r="A8" s="620" t="str">
        <f>IF('Данные объект'!B56="","",'Данные объект'!B56)</f>
      </c>
      <c r="B8" s="620"/>
      <c r="C8" s="620"/>
      <c r="D8" s="620"/>
      <c r="E8" s="620"/>
      <c r="F8" s="620"/>
      <c r="G8" s="620"/>
      <c r="H8" s="620"/>
      <c r="I8" s="620"/>
      <c r="J8" s="620"/>
      <c r="K8" s="620"/>
    </row>
    <row r="9" spans="1:11" ht="6.95" customHeight="1" x14ac:dyDescent="0.25">
      <c r="A9" s="610" t="s">
        <v>936</v>
      </c>
      <c r="B9" s="604"/>
      <c r="C9" s="604"/>
      <c r="D9" s="604"/>
      <c r="E9" s="604"/>
      <c r="F9" s="604"/>
      <c r="G9" s="604"/>
      <c r="H9" s="604"/>
      <c r="I9" s="604"/>
      <c r="J9" s="604"/>
      <c r="K9" s="604"/>
    </row>
    <row r="10" spans="1:11" s="212" customFormat="1" ht="12" customHeight="1" x14ac:dyDescent="0.2">
      <c r="A10" s="617" t="s">
        <v>1230</v>
      </c>
      <c r="B10" s="618"/>
      <c r="C10" s="618"/>
      <c r="D10" s="618"/>
      <c r="E10" s="618"/>
      <c r="F10" s="618"/>
      <c r="G10" s="618"/>
      <c r="H10" s="618"/>
      <c r="I10" s="618"/>
      <c r="J10" s="618"/>
      <c r="K10" s="618"/>
    </row>
    <row r="11" spans="1:11" ht="12.95" customHeight="1" x14ac:dyDescent="0.25">
      <c r="A11" s="611" t="str">
        <f>IF('Данные объект'!B33="","",'Данные объект'!B33)</f>
      </c>
      <c r="B11" s="612"/>
      <c r="C11" s="612"/>
      <c r="D11" s="612"/>
      <c r="E11" s="612"/>
      <c r="F11" s="612"/>
      <c r="G11" s="612"/>
      <c r="H11" s="612"/>
      <c r="I11" s="612"/>
      <c r="J11" s="612"/>
      <c r="K11" s="612"/>
    </row>
    <row r="12" spans="1:11" ht="8.1" customHeight="1" x14ac:dyDescent="0.25">
      <c r="A12" s="613" t="s">
        <v>1374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</row>
    <row r="13" spans="1:11" ht="12.95" customHeight="1" x14ac:dyDescent="0.25">
      <c r="A13" s="611" t="str">
        <f>IF(AND('Данные объект'!B39="",'Данные объект'!B42=""),"",CONCATENATE(IF('Данные объект'!B39="","",'Данные объект'!B39)," ",IF('Данные объект'!B42="","",'Данные объект'!B42)))</f>
      </c>
      <c r="B13" s="612"/>
      <c r="C13" s="612"/>
      <c r="D13" s="612"/>
      <c r="E13" s="612"/>
      <c r="F13" s="612"/>
      <c r="G13" s="612"/>
      <c r="H13" s="612"/>
      <c r="I13" s="612"/>
      <c r="J13" s="612"/>
      <c r="K13" s="612"/>
    </row>
    <row r="14" spans="1:11" ht="11.1" customHeight="1" x14ac:dyDescent="0.25">
      <c r="A14" s="601" t="s">
        <v>948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</row>
    <row r="15" spans="1:11" ht="26.1" customHeight="1" x14ac:dyDescent="0.25">
      <c r="A15" s="586" t="s">
        <v>947</v>
      </c>
      <c r="B15" s="586"/>
      <c r="C15" s="587" t="str">
        <f>IF('Данные объект'!B43="","",'Данные объект'!B43)</f>
      </c>
      <c r="D15" s="587"/>
      <c r="E15" s="587"/>
      <c r="F15" s="587"/>
      <c r="G15" s="587"/>
      <c r="H15" s="587"/>
      <c r="I15" s="587"/>
      <c r="J15" s="587"/>
      <c r="K15" s="587"/>
    </row>
    <row r="16" spans="1:11" s="212" customFormat="1" ht="15" customHeight="1" x14ac:dyDescent="0.2">
      <c r="A16" s="624" t="s">
        <v>845</v>
      </c>
      <c r="B16" s="624"/>
      <c r="C16" s="624"/>
      <c r="D16" s="624"/>
      <c r="E16" s="624"/>
      <c r="F16" s="624"/>
      <c r="G16" s="624"/>
      <c r="H16" s="624"/>
      <c r="I16" s="624"/>
      <c r="J16" s="624"/>
      <c r="K16" s="624"/>
    </row>
    <row r="17" spans="1:11" ht="39" customHeight="1" x14ac:dyDescent="0.25">
      <c r="A17" s="574" t="str">
        <f>IF('Данные объект'!B3="","",'Данные объект'!B3)</f>
      </c>
      <c r="B17" s="623"/>
      <c r="C17" s="623"/>
      <c r="D17" s="623"/>
      <c r="E17" s="623"/>
      <c r="F17" s="623"/>
      <c r="G17" s="623"/>
      <c r="H17" s="623"/>
      <c r="I17" s="623"/>
      <c r="J17" s="623"/>
      <c r="K17" s="623"/>
    </row>
    <row r="18" spans="1:11" ht="12.95" customHeight="1" x14ac:dyDescent="0.25">
      <c r="A18" s="590" t="s">
        <v>937</v>
      </c>
      <c r="B18" s="591"/>
      <c r="C18" s="591"/>
      <c r="D18" s="591"/>
      <c r="E18" s="591"/>
      <c r="F18" s="591"/>
      <c r="G18" s="591"/>
      <c r="H18" s="591"/>
      <c r="I18" s="591"/>
      <c r="J18" s="591"/>
      <c r="K18" s="591"/>
    </row>
    <row r="19" spans="1:11" s="212" customFormat="1" ht="16.5" customHeight="1" x14ac:dyDescent="0.2">
      <c r="A19" s="325" t="s">
        <v>949</v>
      </c>
      <c r="B19" s="621">
        <f>I5-3</f>
      </c>
      <c r="C19" s="622"/>
      <c r="D19" s="326" t="s">
        <v>950</v>
      </c>
      <c r="E19" s="621">
        <f>IF(I5="","",I5)</f>
      </c>
      <c r="F19" s="622"/>
      <c r="G19" s="625" t="s">
        <v>1229</v>
      </c>
      <c r="H19" s="625"/>
      <c r="I19" s="625"/>
      <c r="J19" s="625"/>
      <c r="K19" s="625"/>
    </row>
    <row r="20" spans="1:11" s="212" customFormat="1" ht="24.75" customHeight="1" x14ac:dyDescent="0.2">
      <c r="A20" s="619"/>
      <c r="B20" s="619"/>
      <c r="C20" s="619"/>
      <c r="D20" s="619"/>
      <c r="E20" s="619"/>
      <c r="F20" s="619"/>
      <c r="G20" s="619"/>
      <c r="H20" s="619"/>
      <c r="I20" s="619"/>
      <c r="J20" s="619"/>
      <c r="K20" s="619"/>
    </row>
    <row r="21" spans="1:11" x14ac:dyDescent="0.25">
      <c r="A21" s="207" t="s">
        <v>938</v>
      </c>
      <c r="B21" s="596" t="s">
        <v>939</v>
      </c>
      <c r="C21" s="597"/>
      <c r="D21" s="597"/>
      <c r="E21" s="597"/>
      <c r="F21" s="597"/>
      <c r="G21" s="597"/>
      <c r="H21" s="597"/>
      <c r="I21" s="598"/>
      <c r="J21" s="599" t="s">
        <v>940</v>
      </c>
      <c r="K21" s="599"/>
    </row>
    <row r="22" spans="1:11" ht="67.5" customHeight="1" x14ac:dyDescent="0.25">
      <c r="A22" s="207">
        <v>1</v>
      </c>
      <c r="B22" s="596" t="s">
        <v>941</v>
      </c>
      <c r="C22" s="597"/>
      <c r="D22" s="597"/>
      <c r="E22" s="597"/>
      <c r="F22" s="597"/>
      <c r="G22" s="597"/>
      <c r="H22" s="597"/>
      <c r="I22" s="598"/>
      <c r="J22" s="600" t="s">
        <v>955</v>
      </c>
      <c r="K22" s="570"/>
    </row>
    <row r="23" spans="1:11" ht="46.5" customHeight="1" x14ac:dyDescent="0.25">
      <c r="A23" s="207">
        <v>2</v>
      </c>
      <c r="B23" s="596" t="s">
        <v>942</v>
      </c>
      <c r="C23" s="597"/>
      <c r="D23" s="597"/>
      <c r="E23" s="597"/>
      <c r="F23" s="597"/>
      <c r="G23" s="597"/>
      <c r="H23" s="597"/>
      <c r="I23" s="598"/>
      <c r="J23" s="570" t="s">
        <v>956</v>
      </c>
      <c r="K23" s="570"/>
    </row>
    <row r="24" spans="1:11" ht="30.75" customHeight="1" x14ac:dyDescent="0.25">
      <c r="A24" s="207">
        <v>3</v>
      </c>
      <c r="B24" s="596" t="s">
        <v>943</v>
      </c>
      <c r="C24" s="597"/>
      <c r="D24" s="597"/>
      <c r="E24" s="597"/>
      <c r="F24" s="597"/>
      <c r="G24" s="597"/>
      <c r="H24" s="597"/>
      <c r="I24" s="598"/>
      <c r="J24" s="570" t="s">
        <v>956</v>
      </c>
      <c r="K24" s="570"/>
    </row>
    <row r="25" spans="1:11" ht="42" customHeight="1" x14ac:dyDescent="0.25">
      <c r="A25" s="207">
        <v>4</v>
      </c>
      <c r="B25" s="599" t="s">
        <v>944</v>
      </c>
      <c r="C25" s="599"/>
      <c r="D25" s="599"/>
      <c r="E25" s="599"/>
      <c r="F25" s="599"/>
      <c r="G25" s="599"/>
      <c r="H25" s="599"/>
      <c r="I25" s="599"/>
      <c r="J25" s="570" t="s">
        <v>956</v>
      </c>
      <c r="K25" s="570"/>
    </row>
    <row r="26" spans="1:11" ht="32.25" customHeight="1" x14ac:dyDescent="0.25">
      <c r="A26" s="207">
        <v>5</v>
      </c>
      <c r="B26" s="599" t="s">
        <v>945</v>
      </c>
      <c r="C26" s="599"/>
      <c r="D26" s="599"/>
      <c r="E26" s="599"/>
      <c r="F26" s="599"/>
      <c r="G26" s="599"/>
      <c r="H26" s="599"/>
      <c r="I26" s="599"/>
      <c r="J26" s="570" t="s">
        <v>956</v>
      </c>
      <c r="K26" s="570"/>
    </row>
    <row r="27" spans="1:11" ht="33" customHeight="1" x14ac:dyDescent="0.25">
      <c r="A27" s="207">
        <v>6</v>
      </c>
      <c r="B27" s="599" t="s">
        <v>946</v>
      </c>
      <c r="C27" s="599"/>
      <c r="D27" s="599"/>
      <c r="E27" s="599"/>
      <c r="F27" s="599"/>
      <c r="G27" s="599"/>
      <c r="H27" s="599"/>
      <c r="I27" s="599"/>
      <c r="J27" s="570" t="s">
        <v>956</v>
      </c>
      <c r="K27" s="570"/>
    </row>
    <row r="28" spans="1:11" ht="25.5" customHeight="1" x14ac:dyDescent="0.25">
      <c r="A28" s="581" t="s">
        <v>1295</v>
      </c>
      <c r="B28" s="572"/>
      <c r="C28" s="572"/>
      <c r="D28" s="572"/>
      <c r="E28" s="572"/>
      <c r="F28" s="572"/>
      <c r="G28" s="572"/>
      <c r="H28" s="572"/>
      <c r="I28" s="572"/>
      <c r="J28" s="572"/>
      <c r="K28" s="572"/>
    </row>
    <row r="29" spans="1:11" x14ac:dyDescent="0.25">
      <c r="A29" s="573" t="s">
        <v>1296</v>
      </c>
      <c r="B29" s="572"/>
      <c r="C29" s="572"/>
      <c r="D29" s="572"/>
      <c r="E29" s="572"/>
      <c r="F29" s="572"/>
      <c r="G29" s="572"/>
      <c r="H29" s="572"/>
      <c r="I29" s="572"/>
      <c r="J29" s="572"/>
      <c r="K29" s="572"/>
    </row>
    <row r="30" spans="1:11" ht="33.75" customHeight="1" x14ac:dyDescent="0.25">
      <c r="A30" s="574" t="str">
        <f>IF('Данные объект'!B3="","",'Данные объект'!B3)</f>
      </c>
      <c r="B30" s="575"/>
      <c r="C30" s="575"/>
      <c r="D30" s="575"/>
      <c r="E30" s="575"/>
      <c r="F30" s="575"/>
      <c r="G30" s="575"/>
      <c r="H30" s="575"/>
      <c r="I30" s="575"/>
      <c r="J30" s="575"/>
      <c r="K30" s="575"/>
    </row>
    <row r="31" spans="1:11" x14ac:dyDescent="0.25">
      <c r="A31" s="193" t="s">
        <v>33</v>
      </c>
      <c r="B31" s="578" t="s">
        <v>101</v>
      </c>
      <c r="C31" s="578"/>
      <c r="D31" s="578"/>
      <c r="E31" s="578"/>
      <c r="F31" s="578"/>
      <c r="G31" s="578"/>
      <c r="H31" s="578"/>
      <c r="I31" s="578"/>
      <c r="J31" s="578"/>
      <c r="K31" s="578"/>
    </row>
    <row r="32" spans="1:11" x14ac:dyDescent="0.25">
      <c r="A32" s="193" t="s">
        <v>36</v>
      </c>
      <c r="B32" s="579" t="s">
        <v>101</v>
      </c>
      <c r="C32" s="579"/>
      <c r="D32" s="579"/>
      <c r="E32" s="579"/>
      <c r="F32" s="579"/>
      <c r="G32" s="579"/>
      <c r="H32" s="579"/>
      <c r="I32" s="579"/>
      <c r="J32" s="579"/>
      <c r="K32" s="579"/>
    </row>
    <row r="33" spans="1:11" ht="12.95" customHeight="1" x14ac:dyDescent="0.25">
      <c r="A33" s="580" t="s">
        <v>951</v>
      </c>
      <c r="B33" s="572"/>
      <c r="C33" s="572"/>
      <c r="D33" s="572"/>
      <c r="E33" s="572"/>
      <c r="F33" s="572"/>
      <c r="G33" s="572"/>
      <c r="H33" s="572"/>
      <c r="I33" s="572"/>
      <c r="J33" s="572"/>
      <c r="K33" s="572"/>
    </row>
    <row r="34" spans="1:11" s="212" customFormat="1" ht="40.5" customHeight="1" x14ac:dyDescent="0.2">
      <c r="A34" s="617" t="s">
        <v>1231</v>
      </c>
      <c r="B34" s="618"/>
      <c r="C34" s="618"/>
      <c r="D34" s="618"/>
      <c r="E34" s="618"/>
      <c r="F34" s="618"/>
      <c r="G34" s="618"/>
      <c r="H34" s="618"/>
      <c r="I34" s="618"/>
      <c r="J34" s="618"/>
      <c r="K34" s="618"/>
    </row>
    <row r="35" spans="1:11" ht="19.5" customHeight="1" x14ac:dyDescent="0.25">
      <c r="A35" s="616" t="s">
        <v>1179</v>
      </c>
      <c r="B35" s="616"/>
      <c r="C35" s="582"/>
      <c r="D35" s="582"/>
      <c r="E35" s="582"/>
      <c r="F35" s="568" t="s">
        <v>954</v>
      </c>
      <c r="G35" s="568"/>
      <c r="H35" s="568"/>
      <c r="J35" s="568" t="str">
        <f>IF('Данные объект'!B42="","",'Данные объект'!B42)</f>
      </c>
      <c r="K35" s="568"/>
    </row>
    <row r="36" spans="1:11" ht="15" customHeight="1" x14ac:dyDescent="0.25">
      <c r="A36" s="202"/>
      <c r="C36" s="576"/>
      <c r="D36" s="576"/>
      <c r="E36" s="576"/>
      <c r="F36" s="576" t="s">
        <v>953</v>
      </c>
      <c r="G36" s="576"/>
      <c r="H36" s="576"/>
      <c r="I36" s="214"/>
      <c r="J36" s="577" t="s">
        <v>863</v>
      </c>
      <c r="K36" s="577"/>
    </row>
  </sheetData>
  <mergeCells count="50">
    <mergeCell ref="A18:K18"/>
    <mergeCell ref="B19:C19"/>
    <mergeCell ref="E19:F19"/>
    <mergeCell ref="A17:K17"/>
    <mergeCell ref="A10:K10"/>
    <mergeCell ref="A15:B15"/>
    <mergeCell ref="C15:K15"/>
    <mergeCell ref="A16:K16"/>
    <mergeCell ref="A11:K11"/>
    <mergeCell ref="A12:K12"/>
    <mergeCell ref="A13:K13"/>
    <mergeCell ref="A14:K14"/>
    <mergeCell ref="G19:K19"/>
    <mergeCell ref="A2:K2"/>
    <mergeCell ref="A3:K3"/>
    <mergeCell ref="A7:K7"/>
    <mergeCell ref="A8:K8"/>
    <mergeCell ref="A9:K9"/>
    <mergeCell ref="A5:C5"/>
    <mergeCell ref="I5:K5"/>
    <mergeCell ref="A4:K4"/>
    <mergeCell ref="B26:I26"/>
    <mergeCell ref="J26:K26"/>
    <mergeCell ref="B27:I27"/>
    <mergeCell ref="B31:K31"/>
    <mergeCell ref="B32:K32"/>
    <mergeCell ref="A28:K28"/>
    <mergeCell ref="A29:K29"/>
    <mergeCell ref="A30:K30"/>
    <mergeCell ref="A20:K20"/>
    <mergeCell ref="B24:I24"/>
    <mergeCell ref="J24:K24"/>
    <mergeCell ref="B25:I25"/>
    <mergeCell ref="J21:K21"/>
    <mergeCell ref="J22:K22"/>
    <mergeCell ref="B21:I21"/>
    <mergeCell ref="B22:I22"/>
    <mergeCell ref="B23:I23"/>
    <mergeCell ref="J23:K23"/>
    <mergeCell ref="J25:K25"/>
    <mergeCell ref="A35:B35"/>
    <mergeCell ref="C35:E35"/>
    <mergeCell ref="J27:K27"/>
    <mergeCell ref="C36:E36"/>
    <mergeCell ref="J35:K35"/>
    <mergeCell ref="J36:K36"/>
    <mergeCell ref="F35:H35"/>
    <mergeCell ref="F36:H36"/>
    <mergeCell ref="A34:K34"/>
    <mergeCell ref="A33:K33"/>
  </mergeCells>
  <pageMargins left="1.18" right="0.59" top="0.3" bottom="0.2" header="0.49" footer="0.49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1A53-D361-4E80-834E-E4DEAAF6100C}">
  <sheetPr>
    <tabColor rgb="FFFFFF99"/>
  </sheetPr>
  <dimension ref="A1:L138"/>
  <sheetViews>
    <sheetView view="pageBreakPreview" topLeftCell="A112" zoomScaleNormal="100" zoomScaleSheetLayoutView="100" workbookViewId="0">
      <selection activeCell="K137" sqref="K137:L137"/>
    </sheetView>
  </sheetViews>
  <sheetFormatPr defaultColWidth="9.140625" defaultRowHeight="15" x14ac:dyDescent="0.25"/>
  <cols>
    <col min="1" max="1" width="7.28515625" style="185" customWidth="1"/>
    <col min="2" max="9" width="9.140625" style="185"/>
    <col min="10" max="10" width="10.42578125" style="185" customWidth="1"/>
    <col min="11" max="11" width="9.140625" style="185"/>
    <col min="12" max="12" width="21.140625" style="185" customWidth="1"/>
    <col min="13" max="16384" width="9.140625" style="185"/>
  </cols>
  <sheetData>
    <row r="1" spans="1:12" ht="12.95" customHeight="1" x14ac:dyDescent="0.25">
      <c r="A1" s="654" t="s">
        <v>839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</row>
    <row r="2" spans="1:12" ht="26.1" hidden="1" customHeight="1" x14ac:dyDescent="0.25">
      <c r="A2" s="656" t="s">
        <v>840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2" ht="12.95" customHeight="1" x14ac:dyDescent="0.25">
      <c r="A3" s="657" t="s">
        <v>1174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</row>
    <row r="4" spans="1:12" ht="12.95" customHeight="1" x14ac:dyDescent="0.25">
      <c r="A4" s="656" t="str">
        <f>IF('Данные объект'!B2="","",'Данные объект'!B2)</f>
      </c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2" ht="12.95" customHeight="1" x14ac:dyDescent="0.25">
      <c r="A5" s="658" t="s">
        <v>1175</v>
      </c>
      <c r="B5" s="572"/>
      <c r="C5" s="572"/>
      <c r="D5" s="572"/>
      <c r="E5" s="572"/>
      <c r="F5" s="572"/>
      <c r="G5" s="572"/>
      <c r="H5" s="572"/>
      <c r="I5" s="572"/>
      <c r="J5" s="572"/>
      <c r="K5" s="572"/>
      <c r="L5" s="572"/>
    </row>
    <row r="6" spans="1:12" ht="12.95" customHeight="1" x14ac:dyDescent="0.25">
      <c r="A6" s="659" t="s">
        <v>841</v>
      </c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</row>
    <row r="7" spans="1:12" x14ac:dyDescent="0.25">
      <c r="A7" s="188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</row>
    <row r="8" spans="1:12" x14ac:dyDescent="0.25">
      <c r="A8" s="627">
        <f>'Данные объект'!B6-3</f>
      </c>
      <c r="B8" s="627"/>
      <c r="C8" s="627"/>
      <c r="D8" s="189"/>
      <c r="E8" s="210"/>
      <c r="F8" s="636"/>
      <c r="G8" s="636"/>
      <c r="H8" s="190"/>
      <c r="I8" s="189"/>
      <c r="J8" s="189"/>
      <c r="K8" s="189"/>
      <c r="L8" s="209" t="str">
        <f>IF('Данные объект'!B4="","",'Данные объект'!B4)</f>
      </c>
    </row>
    <row r="9" spans="1:12" x14ac:dyDescent="0.25">
      <c r="A9" s="189"/>
      <c r="B9" s="189"/>
      <c r="C9" s="189"/>
      <c r="D9" s="189"/>
      <c r="E9" s="636"/>
      <c r="F9" s="636"/>
      <c r="G9" s="189"/>
      <c r="H9" s="189"/>
      <c r="I9" s="189"/>
      <c r="J9" s="189"/>
      <c r="K9" s="189"/>
      <c r="L9" s="191" t="s">
        <v>842</v>
      </c>
    </row>
    <row r="10" spans="1:12" ht="12.95" customHeight="1" x14ac:dyDescent="0.25">
      <c r="A10" s="573" t="s">
        <v>843</v>
      </c>
      <c r="B10" s="572"/>
      <c r="C10" s="572"/>
      <c r="D10" s="572"/>
      <c r="E10" s="572"/>
      <c r="F10" s="572"/>
      <c r="G10" s="572"/>
      <c r="H10" s="572"/>
      <c r="I10" s="572"/>
      <c r="J10" s="572"/>
      <c r="K10" s="572"/>
      <c r="L10" s="572"/>
    </row>
    <row r="11" spans="1:12" ht="15.75" customHeight="1" x14ac:dyDescent="0.25">
      <c r="A11" s="629" t="str">
        <f>IF('Данные объект'!B33="","",'Данные объект'!B33)</f>
      </c>
      <c r="B11" s="578"/>
      <c r="C11" s="578"/>
      <c r="D11" s="578"/>
      <c r="E11" s="578"/>
      <c r="F11" s="578"/>
      <c r="G11" s="578"/>
      <c r="H11" s="578"/>
      <c r="I11" s="578"/>
      <c r="J11" s="578"/>
      <c r="K11" s="578"/>
      <c r="L11" s="578"/>
    </row>
    <row r="12" spans="1:12" ht="15" customHeight="1" x14ac:dyDescent="0.25">
      <c r="A12" s="663" t="s">
        <v>1374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</row>
    <row r="13" spans="1:12" ht="12.95" customHeight="1" x14ac:dyDescent="0.25">
      <c r="A13" s="574" t="str">
        <f>IF('Данные объект'!C42="","",'Данные объект'!C42)</f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</row>
    <row r="14" spans="1:12" ht="11.1" customHeight="1" x14ac:dyDescent="0.25">
      <c r="A14" s="601" t="s">
        <v>844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  <c r="L14" s="602"/>
    </row>
    <row r="15" spans="1:12" ht="19.5" customHeight="1" x14ac:dyDescent="0.25">
      <c r="A15" s="630" t="s">
        <v>846</v>
      </c>
      <c r="B15" s="630"/>
      <c r="C15" s="630"/>
      <c r="D15" s="192" t="str">
        <f>IF('Данные объект'!B43="","",'Данные объект'!B43)</f>
      </c>
      <c r="E15" s="192"/>
      <c r="F15" s="192"/>
      <c r="G15" s="192"/>
      <c r="I15" s="217" t="s">
        <v>845</v>
      </c>
      <c r="J15" s="217"/>
      <c r="K15" s="217"/>
    </row>
    <row r="16" spans="1:12" ht="35.25" customHeight="1" x14ac:dyDescent="0.25">
      <c r="A16" s="660" t="str">
        <f>IF('Данные объект'!B3="","",'Данные объект'!B3)</f>
      </c>
      <c r="B16" s="661"/>
      <c r="C16" s="661"/>
      <c r="D16" s="661"/>
      <c r="E16" s="661"/>
      <c r="F16" s="661"/>
      <c r="G16" s="661"/>
      <c r="H16" s="661"/>
      <c r="I16" s="661"/>
      <c r="J16" s="661"/>
      <c r="K16" s="661"/>
      <c r="L16" s="661"/>
    </row>
    <row r="17" spans="1:12" ht="13.5" customHeight="1" x14ac:dyDescent="0.25">
      <c r="A17" s="653" t="s">
        <v>767</v>
      </c>
      <c r="B17" s="604"/>
      <c r="C17" s="604"/>
      <c r="D17" s="604"/>
      <c r="E17" s="604"/>
      <c r="F17" s="604"/>
      <c r="G17" s="604"/>
      <c r="H17" s="604"/>
      <c r="I17" s="604"/>
      <c r="J17" s="604"/>
      <c r="K17" s="604"/>
      <c r="L17" s="604"/>
    </row>
    <row r="19" spans="1:12" ht="12.95" customHeight="1" x14ac:dyDescent="0.25">
      <c r="A19" s="631" t="s">
        <v>847</v>
      </c>
      <c r="B19" s="631"/>
      <c r="C19" s="631"/>
      <c r="D19" s="631"/>
      <c r="E19" s="568" t="str">
        <f>IF('Данные объект'!B19="","",'Данные объект'!B19)</f>
      </c>
      <c r="F19" s="568"/>
      <c r="G19" s="568"/>
      <c r="H19" s="568"/>
      <c r="I19" s="568"/>
      <c r="J19" s="194"/>
      <c r="K19" s="194"/>
      <c r="L19" s="194"/>
    </row>
    <row r="20" spans="1:12" ht="8.1" customHeight="1" x14ac:dyDescent="0.25">
      <c r="A20" s="613" t="s">
        <v>1375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</row>
    <row r="22" spans="1:12" ht="12.95" customHeight="1" x14ac:dyDescent="0.25">
      <c r="A22" s="662" t="s">
        <v>768</v>
      </c>
      <c r="B22" s="604"/>
      <c r="C22" s="604"/>
      <c r="D22" s="604"/>
      <c r="E22" s="604"/>
      <c r="F22" s="604"/>
      <c r="G22" s="604"/>
      <c r="H22" s="604"/>
      <c r="I22" s="604"/>
      <c r="J22" s="604"/>
      <c r="K22" s="604"/>
      <c r="L22" s="604"/>
    </row>
    <row r="24" spans="1:12" ht="12.95" customHeight="1" x14ac:dyDescent="0.25">
      <c r="A24" s="662" t="s">
        <v>769</v>
      </c>
      <c r="B24" s="604"/>
      <c r="C24" s="604"/>
      <c r="D24" s="604"/>
      <c r="E24" s="604"/>
      <c r="F24" s="604"/>
      <c r="G24" s="604"/>
      <c r="H24" s="604"/>
      <c r="I24" s="604"/>
      <c r="J24" s="604"/>
      <c r="K24" s="604"/>
      <c r="L24" s="604"/>
    </row>
    <row r="25" spans="1:12" ht="12.95" customHeight="1" x14ac:dyDescent="0.25">
      <c r="A25" s="660" t="str">
        <f>IF('Данные объект'!C28="","",'Данные объект'!C28)</f>
      </c>
      <c r="B25" s="666"/>
      <c r="C25" s="666"/>
      <c r="D25" s="666"/>
      <c r="E25" s="666"/>
      <c r="F25" s="666"/>
      <c r="G25" s="666"/>
      <c r="H25" s="666"/>
      <c r="I25" s="666"/>
      <c r="J25" s="666"/>
      <c r="K25" s="666"/>
      <c r="L25" s="666"/>
    </row>
    <row r="26" spans="1:12" ht="8.1" customHeight="1" x14ac:dyDescent="0.25">
      <c r="A26" s="653" t="s">
        <v>770</v>
      </c>
      <c r="B26" s="604"/>
      <c r="C26" s="604"/>
      <c r="D26" s="604"/>
      <c r="E26" s="604"/>
      <c r="F26" s="604"/>
      <c r="G26" s="604"/>
      <c r="H26" s="604"/>
      <c r="I26" s="604"/>
      <c r="J26" s="604"/>
      <c r="K26" s="604"/>
      <c r="L26" s="604"/>
    </row>
    <row r="28" spans="1:12" ht="12.95" customHeight="1" x14ac:dyDescent="0.25">
      <c r="A28" s="662" t="s">
        <v>771</v>
      </c>
      <c r="B28" s="604"/>
      <c r="C28" s="604"/>
      <c r="D28" s="604"/>
      <c r="E28" s="604"/>
      <c r="F28" s="604"/>
      <c r="G28" s="604"/>
      <c r="H28" s="604"/>
      <c r="I28" s="604"/>
      <c r="J28" s="604"/>
      <c r="K28" s="604"/>
      <c r="L28" s="604"/>
    </row>
    <row r="29" spans="1:12" ht="12.95" customHeight="1" x14ac:dyDescent="0.25">
      <c r="A29" s="651" t="str">
        <f>IF('1 '!G41="","",'1 '!G41)</f>
      </c>
      <c r="B29" s="652"/>
      <c r="C29" s="652"/>
      <c r="D29" s="652"/>
      <c r="E29" s="652"/>
      <c r="F29" s="652"/>
      <c r="G29" s="652"/>
      <c r="H29" s="652"/>
      <c r="I29" s="652"/>
      <c r="J29" s="652"/>
      <c r="K29" s="652"/>
      <c r="L29" s="652"/>
    </row>
    <row r="30" spans="1:12" ht="12.95" customHeight="1" x14ac:dyDescent="0.25">
      <c r="A30" s="651" t="str">
        <f>IF('1 '!G42="","",'1 '!G42)</f>
      </c>
      <c r="B30" s="652"/>
      <c r="C30" s="652"/>
      <c r="D30" s="652"/>
      <c r="E30" s="652"/>
      <c r="F30" s="652"/>
      <c r="G30" s="652"/>
      <c r="H30" s="652"/>
      <c r="I30" s="652"/>
      <c r="J30" s="652"/>
      <c r="K30" s="652"/>
      <c r="L30" s="652"/>
    </row>
    <row r="31" spans="1:12" ht="12.95" customHeight="1" x14ac:dyDescent="0.25">
      <c r="A31" s="651" t="str">
        <f>IF('1 '!G43="","",'1 '!G43)</f>
      </c>
      <c r="B31" s="652"/>
      <c r="C31" s="652"/>
      <c r="D31" s="652"/>
      <c r="E31" s="652"/>
      <c r="F31" s="652"/>
      <c r="G31" s="652"/>
      <c r="H31" s="652"/>
      <c r="I31" s="652"/>
      <c r="J31" s="652"/>
      <c r="K31" s="652"/>
      <c r="L31" s="652"/>
    </row>
    <row r="32" spans="1:12" ht="12.95" customHeight="1" x14ac:dyDescent="0.25">
      <c r="A32" s="651" t="str">
        <f>IF('1 '!G44="","",'1 '!G44)</f>
      </c>
      <c r="B32" s="652"/>
      <c r="C32" s="652"/>
      <c r="D32" s="652"/>
      <c r="E32" s="652"/>
      <c r="F32" s="652"/>
      <c r="G32" s="652"/>
      <c r="H32" s="652"/>
      <c r="I32" s="652"/>
      <c r="J32" s="652"/>
      <c r="K32" s="652"/>
      <c r="L32" s="652"/>
    </row>
    <row r="33" spans="1:12" ht="12.95" customHeight="1" x14ac:dyDescent="0.25">
      <c r="A33" s="651" t="str">
        <f>IF('1 '!G45="","",'1 '!G45)</f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</row>
    <row r="34" spans="1:12" ht="12.95" customHeight="1" x14ac:dyDescent="0.25">
      <c r="A34" s="651" t="str">
        <f>IF('1 '!G46="","",'1 '!G46)</f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</row>
    <row r="35" spans="1:12" ht="12.95" customHeight="1" x14ac:dyDescent="0.25">
      <c r="A35" s="651" t="str">
        <f>IF('1 '!G47="","",'1 '!G47)</f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</row>
    <row r="36" spans="1:12" s="364" customFormat="1" ht="12.95" customHeight="1" x14ac:dyDescent="0.25">
      <c r="A36" s="651" t="str">
        <f>IF('1 '!G48="","",'1 '!G48)</f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</row>
    <row r="37" spans="1:12" ht="8.1" customHeight="1" x14ac:dyDescent="0.25">
      <c r="A37" s="653" t="s">
        <v>772</v>
      </c>
      <c r="B37" s="604"/>
      <c r="C37" s="604"/>
      <c r="D37" s="604"/>
      <c r="E37" s="604"/>
      <c r="F37" s="604"/>
      <c r="G37" s="604"/>
      <c r="H37" s="604"/>
      <c r="I37" s="604"/>
      <c r="J37" s="604"/>
      <c r="K37" s="604"/>
      <c r="L37" s="604"/>
    </row>
    <row r="39" spans="1:12" ht="45" customHeight="1" x14ac:dyDescent="0.25">
      <c r="A39" s="195" t="s">
        <v>864</v>
      </c>
      <c r="B39" s="638" t="s">
        <v>865</v>
      </c>
      <c r="C39" s="638"/>
      <c r="D39" s="638"/>
      <c r="E39" s="638"/>
      <c r="F39" s="638"/>
      <c r="G39" s="638"/>
      <c r="H39" s="638"/>
      <c r="I39" s="638"/>
      <c r="J39" s="638" t="s">
        <v>773</v>
      </c>
      <c r="K39" s="638"/>
      <c r="L39" s="196" t="s">
        <v>866</v>
      </c>
    </row>
    <row r="40" spans="1:12" ht="15" customHeight="1" x14ac:dyDescent="0.25">
      <c r="A40" s="201">
        <v>1</v>
      </c>
      <c r="B40" s="647" t="s">
        <v>857</v>
      </c>
      <c r="C40" s="647"/>
      <c r="D40" s="647"/>
      <c r="E40" s="647"/>
      <c r="F40" s="647"/>
      <c r="G40" s="647"/>
      <c r="H40" s="647"/>
      <c r="I40" s="647"/>
      <c r="J40" s="647"/>
      <c r="K40" s="647"/>
      <c r="L40" s="647"/>
    </row>
    <row r="41" spans="1:12" ht="27.75" customHeight="1" x14ac:dyDescent="0.25">
      <c r="A41" s="197" t="s">
        <v>774</v>
      </c>
      <c r="B41" s="642" t="s">
        <v>867</v>
      </c>
      <c r="C41" s="642"/>
      <c r="D41" s="642"/>
      <c r="E41" s="642"/>
      <c r="F41" s="642"/>
      <c r="G41" s="642"/>
      <c r="H41" s="642"/>
      <c r="I41" s="642"/>
      <c r="J41" s="650" t="s">
        <v>481</v>
      </c>
      <c r="K41" s="650"/>
      <c r="L41" s="203"/>
    </row>
    <row r="42" spans="1:12" ht="29.25" customHeight="1" x14ac:dyDescent="0.25">
      <c r="A42" s="197" t="s">
        <v>775</v>
      </c>
      <c r="B42" s="642" t="s">
        <v>868</v>
      </c>
      <c r="C42" s="642"/>
      <c r="D42" s="642"/>
      <c r="E42" s="642"/>
      <c r="F42" s="642"/>
      <c r="G42" s="642"/>
      <c r="H42" s="642"/>
      <c r="I42" s="642"/>
      <c r="J42" s="650" t="s">
        <v>481</v>
      </c>
      <c r="K42" s="650"/>
      <c r="L42" s="203"/>
    </row>
    <row r="43" spans="1:12" ht="27" customHeight="1" x14ac:dyDescent="0.25">
      <c r="A43" s="197" t="s">
        <v>776</v>
      </c>
      <c r="B43" s="642" t="s">
        <v>869</v>
      </c>
      <c r="C43" s="642"/>
      <c r="D43" s="642"/>
      <c r="E43" s="642"/>
      <c r="F43" s="642"/>
      <c r="G43" s="642"/>
      <c r="H43" s="642"/>
      <c r="I43" s="642"/>
      <c r="J43" s="650" t="s">
        <v>481</v>
      </c>
      <c r="K43" s="650"/>
      <c r="L43" s="203"/>
    </row>
    <row r="44" spans="1:12" ht="29.25" customHeight="1" x14ac:dyDescent="0.25">
      <c r="A44" s="197" t="s">
        <v>777</v>
      </c>
      <c r="B44" s="642" t="s">
        <v>870</v>
      </c>
      <c r="C44" s="642"/>
      <c r="D44" s="642"/>
      <c r="E44" s="642"/>
      <c r="F44" s="642"/>
      <c r="G44" s="642"/>
      <c r="H44" s="642"/>
      <c r="I44" s="642"/>
      <c r="J44" s="646" t="s">
        <v>931</v>
      </c>
      <c r="K44" s="646"/>
      <c r="L44" s="203"/>
    </row>
    <row r="45" spans="1:12" ht="19.5" customHeight="1" x14ac:dyDescent="0.25">
      <c r="A45" s="197" t="s">
        <v>778</v>
      </c>
      <c r="B45" s="642" t="s">
        <v>871</v>
      </c>
      <c r="C45" s="642"/>
      <c r="D45" s="642"/>
      <c r="E45" s="642"/>
      <c r="F45" s="642"/>
      <c r="G45" s="642"/>
      <c r="H45" s="642"/>
      <c r="I45" s="642"/>
      <c r="J45" s="646" t="s">
        <v>931</v>
      </c>
      <c r="K45" s="646"/>
      <c r="L45" s="203"/>
    </row>
    <row r="46" spans="1:12" ht="24" customHeight="1" x14ac:dyDescent="0.25">
      <c r="A46" s="197" t="s">
        <v>779</v>
      </c>
      <c r="B46" s="642" t="s">
        <v>872</v>
      </c>
      <c r="C46" s="642"/>
      <c r="D46" s="642"/>
      <c r="E46" s="642"/>
      <c r="F46" s="642"/>
      <c r="G46" s="642"/>
      <c r="H46" s="642"/>
      <c r="I46" s="642"/>
      <c r="J46" s="639" t="s">
        <v>481</v>
      </c>
      <c r="K46" s="640"/>
      <c r="L46" s="203"/>
    </row>
    <row r="47" spans="1:12" ht="18" customHeight="1" x14ac:dyDescent="0.25">
      <c r="A47" s="197" t="s">
        <v>780</v>
      </c>
      <c r="B47" s="642" t="s">
        <v>873</v>
      </c>
      <c r="C47" s="642"/>
      <c r="D47" s="642"/>
      <c r="E47" s="642"/>
      <c r="F47" s="642"/>
      <c r="G47" s="642"/>
      <c r="H47" s="642"/>
      <c r="I47" s="642"/>
      <c r="J47" s="646" t="s">
        <v>931</v>
      </c>
      <c r="K47" s="646"/>
      <c r="L47" s="203"/>
    </row>
    <row r="48" spans="1:12" ht="15" customHeight="1" x14ac:dyDescent="0.25">
      <c r="A48" s="201">
        <v>2</v>
      </c>
      <c r="B48" s="641" t="s">
        <v>856</v>
      </c>
      <c r="C48" s="641"/>
      <c r="D48" s="641"/>
      <c r="E48" s="641"/>
      <c r="F48" s="641"/>
      <c r="G48" s="641"/>
      <c r="H48" s="641"/>
      <c r="I48" s="641"/>
      <c r="J48" s="641"/>
      <c r="K48" s="641"/>
      <c r="L48" s="641"/>
    </row>
    <row r="49" spans="1:12" ht="17.25" customHeight="1" x14ac:dyDescent="0.25">
      <c r="A49" s="197" t="s">
        <v>781</v>
      </c>
      <c r="B49" s="642" t="s">
        <v>874</v>
      </c>
      <c r="C49" s="642"/>
      <c r="D49" s="642"/>
      <c r="E49" s="642"/>
      <c r="F49" s="642"/>
      <c r="G49" s="642"/>
      <c r="H49" s="642"/>
      <c r="I49" s="642"/>
      <c r="J49" s="639" t="s">
        <v>481</v>
      </c>
      <c r="K49" s="640"/>
      <c r="L49" s="203"/>
    </row>
    <row r="50" spans="1:12" ht="30.75" customHeight="1" x14ac:dyDescent="0.25">
      <c r="A50" s="197" t="s">
        <v>782</v>
      </c>
      <c r="B50" s="642" t="s">
        <v>875</v>
      </c>
      <c r="C50" s="642"/>
      <c r="D50" s="642"/>
      <c r="E50" s="642"/>
      <c r="F50" s="642"/>
      <c r="G50" s="642"/>
      <c r="H50" s="642"/>
      <c r="I50" s="642"/>
      <c r="J50" s="646" t="s">
        <v>931</v>
      </c>
      <c r="K50" s="646"/>
      <c r="L50" s="203"/>
    </row>
    <row r="51" spans="1:12" ht="15" customHeight="1" x14ac:dyDescent="0.25">
      <c r="A51" s="201">
        <v>3</v>
      </c>
      <c r="B51" s="647" t="s">
        <v>855</v>
      </c>
      <c r="C51" s="647"/>
      <c r="D51" s="647"/>
      <c r="E51" s="647"/>
      <c r="F51" s="647"/>
      <c r="G51" s="647"/>
      <c r="H51" s="647"/>
      <c r="I51" s="647"/>
      <c r="J51" s="647"/>
      <c r="K51" s="647"/>
      <c r="L51" s="647"/>
    </row>
    <row r="52" spans="1:12" ht="24.75" customHeight="1" x14ac:dyDescent="0.25">
      <c r="A52" s="197" t="s">
        <v>783</v>
      </c>
      <c r="B52" s="642" t="s">
        <v>876</v>
      </c>
      <c r="C52" s="642"/>
      <c r="D52" s="642"/>
      <c r="E52" s="642"/>
      <c r="F52" s="642"/>
      <c r="G52" s="642"/>
      <c r="H52" s="642"/>
      <c r="I52" s="642"/>
      <c r="J52" s="639" t="s">
        <v>481</v>
      </c>
      <c r="K52" s="640"/>
      <c r="L52" s="203"/>
    </row>
    <row r="53" spans="1:12" ht="26.25" customHeight="1" x14ac:dyDescent="0.25">
      <c r="A53" s="197" t="s">
        <v>932</v>
      </c>
      <c r="B53" s="642" t="s">
        <v>877</v>
      </c>
      <c r="C53" s="642"/>
      <c r="D53" s="642"/>
      <c r="E53" s="642"/>
      <c r="F53" s="642"/>
      <c r="G53" s="642"/>
      <c r="H53" s="642"/>
      <c r="I53" s="642"/>
      <c r="J53" s="639" t="s">
        <v>481</v>
      </c>
      <c r="K53" s="640"/>
      <c r="L53" s="203"/>
    </row>
    <row r="54" spans="1:12" ht="36" customHeight="1" x14ac:dyDescent="0.25">
      <c r="A54" s="197" t="s">
        <v>933</v>
      </c>
      <c r="B54" s="642" t="s">
        <v>878</v>
      </c>
      <c r="C54" s="642"/>
      <c r="D54" s="642"/>
      <c r="E54" s="642"/>
      <c r="F54" s="642"/>
      <c r="G54" s="642"/>
      <c r="H54" s="642"/>
      <c r="I54" s="642"/>
      <c r="J54" s="639" t="s">
        <v>481</v>
      </c>
      <c r="K54" s="640"/>
      <c r="L54" s="203"/>
    </row>
    <row r="55" spans="1:12" ht="18.75" customHeight="1" x14ac:dyDescent="0.25">
      <c r="A55" s="197" t="s">
        <v>784</v>
      </c>
      <c r="B55" s="648" t="s">
        <v>879</v>
      </c>
      <c r="C55" s="649"/>
      <c r="D55" s="649"/>
      <c r="E55" s="649"/>
      <c r="F55" s="649"/>
      <c r="G55" s="649"/>
      <c r="H55" s="649"/>
      <c r="I55" s="649"/>
      <c r="J55" s="646" t="s">
        <v>931</v>
      </c>
      <c r="K55" s="646"/>
      <c r="L55" s="205"/>
    </row>
    <row r="56" spans="1:12" ht="37.5" customHeight="1" x14ac:dyDescent="0.25">
      <c r="A56" s="197" t="s">
        <v>934</v>
      </c>
      <c r="B56" s="642" t="s">
        <v>880</v>
      </c>
      <c r="C56" s="642"/>
      <c r="D56" s="642"/>
      <c r="E56" s="642"/>
      <c r="F56" s="642"/>
      <c r="G56" s="642"/>
      <c r="H56" s="642"/>
      <c r="I56" s="642"/>
      <c r="J56" s="646" t="s">
        <v>931</v>
      </c>
      <c r="K56" s="646"/>
      <c r="L56" s="203"/>
    </row>
    <row r="57" spans="1:12" ht="27.75" customHeight="1" x14ac:dyDescent="0.25">
      <c r="A57" s="197" t="s">
        <v>935</v>
      </c>
      <c r="B57" s="642" t="s">
        <v>881</v>
      </c>
      <c r="C57" s="642"/>
      <c r="D57" s="642"/>
      <c r="E57" s="642"/>
      <c r="F57" s="642"/>
      <c r="G57" s="642"/>
      <c r="H57" s="642"/>
      <c r="I57" s="642"/>
      <c r="J57" s="646" t="s">
        <v>931</v>
      </c>
      <c r="K57" s="646"/>
      <c r="L57" s="203"/>
    </row>
    <row r="58" spans="1:12" ht="24" customHeight="1" x14ac:dyDescent="0.25">
      <c r="A58" s="197" t="s">
        <v>785</v>
      </c>
      <c r="B58" s="642" t="s">
        <v>882</v>
      </c>
      <c r="C58" s="642"/>
      <c r="D58" s="642"/>
      <c r="E58" s="642"/>
      <c r="F58" s="642"/>
      <c r="G58" s="642"/>
      <c r="H58" s="642"/>
      <c r="I58" s="642"/>
      <c r="J58" s="639" t="s">
        <v>481</v>
      </c>
      <c r="K58" s="640"/>
      <c r="L58" s="203"/>
    </row>
    <row r="59" spans="1:12" ht="15" customHeight="1" x14ac:dyDescent="0.25">
      <c r="A59" s="201">
        <v>4</v>
      </c>
      <c r="B59" s="647" t="s">
        <v>854</v>
      </c>
      <c r="C59" s="647"/>
      <c r="D59" s="647"/>
      <c r="E59" s="647"/>
      <c r="F59" s="647"/>
      <c r="G59" s="647"/>
      <c r="H59" s="647"/>
      <c r="I59" s="647"/>
      <c r="J59" s="647"/>
      <c r="K59" s="647"/>
      <c r="L59" s="647"/>
    </row>
    <row r="60" spans="1:12" ht="28.5" customHeight="1" x14ac:dyDescent="0.25">
      <c r="A60" s="197" t="s">
        <v>786</v>
      </c>
      <c r="B60" s="642" t="s">
        <v>883</v>
      </c>
      <c r="C60" s="642"/>
      <c r="D60" s="642"/>
      <c r="E60" s="642"/>
      <c r="F60" s="642"/>
      <c r="G60" s="642"/>
      <c r="H60" s="642"/>
      <c r="I60" s="642"/>
      <c r="J60" s="639" t="s">
        <v>481</v>
      </c>
      <c r="K60" s="640"/>
      <c r="L60" s="203"/>
    </row>
    <row r="61" spans="1:12" ht="17.25" customHeight="1" x14ac:dyDescent="0.25">
      <c r="A61" s="197" t="s">
        <v>787</v>
      </c>
      <c r="B61" s="642" t="s">
        <v>884</v>
      </c>
      <c r="C61" s="642"/>
      <c r="D61" s="642"/>
      <c r="E61" s="642"/>
      <c r="F61" s="642"/>
      <c r="G61" s="642"/>
      <c r="H61" s="642"/>
      <c r="I61" s="642"/>
      <c r="J61" s="639" t="s">
        <v>481</v>
      </c>
      <c r="K61" s="640"/>
      <c r="L61" s="203"/>
    </row>
    <row r="62" spans="1:12" ht="27.75" customHeight="1" x14ac:dyDescent="0.25">
      <c r="A62" s="197" t="s">
        <v>788</v>
      </c>
      <c r="B62" s="642" t="s">
        <v>885</v>
      </c>
      <c r="C62" s="642"/>
      <c r="D62" s="642"/>
      <c r="E62" s="642"/>
      <c r="F62" s="642"/>
      <c r="G62" s="642"/>
      <c r="H62" s="642"/>
      <c r="I62" s="642"/>
      <c r="J62" s="639" t="s">
        <v>481</v>
      </c>
      <c r="K62" s="640"/>
      <c r="L62" s="203"/>
    </row>
    <row r="63" spans="1:12" ht="27" customHeight="1" x14ac:dyDescent="0.25">
      <c r="A63" s="197" t="s">
        <v>789</v>
      </c>
      <c r="B63" s="642" t="s">
        <v>886</v>
      </c>
      <c r="C63" s="642"/>
      <c r="D63" s="642"/>
      <c r="E63" s="642"/>
      <c r="F63" s="642"/>
      <c r="G63" s="642"/>
      <c r="H63" s="642"/>
      <c r="I63" s="642"/>
      <c r="J63" s="639" t="s">
        <v>481</v>
      </c>
      <c r="K63" s="640"/>
      <c r="L63" s="203"/>
    </row>
    <row r="64" spans="1:12" ht="22.5" customHeight="1" x14ac:dyDescent="0.25">
      <c r="A64" s="201">
        <v>5</v>
      </c>
      <c r="B64" s="641" t="s">
        <v>853</v>
      </c>
      <c r="C64" s="641"/>
      <c r="D64" s="641"/>
      <c r="E64" s="641"/>
      <c r="F64" s="641"/>
      <c r="G64" s="641"/>
      <c r="H64" s="641"/>
      <c r="I64" s="641"/>
      <c r="J64" s="641"/>
      <c r="K64" s="641"/>
      <c r="L64" s="641"/>
    </row>
    <row r="65" spans="1:12" ht="27.75" customHeight="1" x14ac:dyDescent="0.25">
      <c r="A65" s="197" t="s">
        <v>92</v>
      </c>
      <c r="B65" s="642" t="s">
        <v>887</v>
      </c>
      <c r="C65" s="642"/>
      <c r="D65" s="642"/>
      <c r="E65" s="642"/>
      <c r="F65" s="642"/>
      <c r="G65" s="642"/>
      <c r="H65" s="642"/>
      <c r="I65" s="642"/>
      <c r="J65" s="646" t="s">
        <v>931</v>
      </c>
      <c r="K65" s="646"/>
      <c r="L65" s="203"/>
    </row>
    <row r="66" spans="1:12" ht="26.25" customHeight="1" x14ac:dyDescent="0.25">
      <c r="A66" s="197" t="s">
        <v>93</v>
      </c>
      <c r="B66" s="642" t="s">
        <v>888</v>
      </c>
      <c r="C66" s="642"/>
      <c r="D66" s="642"/>
      <c r="E66" s="642"/>
      <c r="F66" s="642"/>
      <c r="G66" s="642"/>
      <c r="H66" s="642"/>
      <c r="I66" s="642"/>
      <c r="J66" s="646" t="s">
        <v>931</v>
      </c>
      <c r="K66" s="646"/>
      <c r="L66" s="203"/>
    </row>
    <row r="67" spans="1:12" ht="28.5" customHeight="1" x14ac:dyDescent="0.25">
      <c r="A67" s="197" t="s">
        <v>790</v>
      </c>
      <c r="B67" s="642" t="s">
        <v>889</v>
      </c>
      <c r="C67" s="642"/>
      <c r="D67" s="642"/>
      <c r="E67" s="642"/>
      <c r="F67" s="642"/>
      <c r="G67" s="642"/>
      <c r="H67" s="642"/>
      <c r="I67" s="642"/>
      <c r="J67" s="639" t="s">
        <v>481</v>
      </c>
      <c r="K67" s="640"/>
      <c r="L67" s="203"/>
    </row>
    <row r="68" spans="1:12" ht="15" customHeight="1" x14ac:dyDescent="0.25">
      <c r="A68" s="201">
        <v>6</v>
      </c>
      <c r="B68" s="641" t="s">
        <v>852</v>
      </c>
      <c r="C68" s="641"/>
      <c r="D68" s="641"/>
      <c r="E68" s="641"/>
      <c r="F68" s="641"/>
      <c r="G68" s="641"/>
      <c r="H68" s="641"/>
      <c r="I68" s="641"/>
      <c r="J68" s="641"/>
      <c r="K68" s="641"/>
      <c r="L68" s="641"/>
    </row>
    <row r="69" spans="1:12" ht="27" customHeight="1" x14ac:dyDescent="0.25">
      <c r="A69" s="197" t="s">
        <v>791</v>
      </c>
      <c r="B69" s="642" t="s">
        <v>890</v>
      </c>
      <c r="C69" s="642"/>
      <c r="D69" s="642"/>
      <c r="E69" s="642"/>
      <c r="F69" s="642"/>
      <c r="G69" s="642"/>
      <c r="H69" s="642"/>
      <c r="I69" s="642"/>
      <c r="J69" s="639" t="s">
        <v>481</v>
      </c>
      <c r="K69" s="640"/>
      <c r="L69" s="203"/>
    </row>
    <row r="70" spans="1:12" ht="29.25" customHeight="1" x14ac:dyDescent="0.25">
      <c r="A70" s="197" t="s">
        <v>792</v>
      </c>
      <c r="B70" s="642" t="s">
        <v>891</v>
      </c>
      <c r="C70" s="642"/>
      <c r="D70" s="642"/>
      <c r="E70" s="642"/>
      <c r="F70" s="642"/>
      <c r="G70" s="642"/>
      <c r="H70" s="642"/>
      <c r="I70" s="642"/>
      <c r="J70" s="639" t="s">
        <v>481</v>
      </c>
      <c r="K70" s="640"/>
      <c r="L70" s="203"/>
    </row>
    <row r="71" spans="1:12" ht="17.25" customHeight="1" x14ac:dyDescent="0.25">
      <c r="A71" s="197" t="s">
        <v>793</v>
      </c>
      <c r="B71" s="642" t="s">
        <v>892</v>
      </c>
      <c r="C71" s="642"/>
      <c r="D71" s="642"/>
      <c r="E71" s="642"/>
      <c r="F71" s="642"/>
      <c r="G71" s="642"/>
      <c r="H71" s="642"/>
      <c r="I71" s="642"/>
      <c r="J71" s="639" t="s">
        <v>481</v>
      </c>
      <c r="K71" s="640"/>
      <c r="L71" s="203"/>
    </row>
    <row r="72" spans="1:12" ht="28.5" customHeight="1" x14ac:dyDescent="0.25">
      <c r="A72" s="197" t="s">
        <v>794</v>
      </c>
      <c r="B72" s="642" t="s">
        <v>893</v>
      </c>
      <c r="C72" s="642"/>
      <c r="D72" s="642"/>
      <c r="E72" s="642"/>
      <c r="F72" s="642"/>
      <c r="G72" s="642"/>
      <c r="H72" s="642"/>
      <c r="I72" s="642"/>
      <c r="J72" s="639" t="s">
        <v>481</v>
      </c>
      <c r="K72" s="640"/>
      <c r="L72" s="203"/>
    </row>
    <row r="73" spans="1:12" ht="18.75" customHeight="1" x14ac:dyDescent="0.25">
      <c r="A73" s="197" t="s">
        <v>795</v>
      </c>
      <c r="B73" s="642" t="s">
        <v>894</v>
      </c>
      <c r="C73" s="642"/>
      <c r="D73" s="642"/>
      <c r="E73" s="642"/>
      <c r="F73" s="642"/>
      <c r="G73" s="642"/>
      <c r="H73" s="642"/>
      <c r="I73" s="642"/>
      <c r="J73" s="639" t="s">
        <v>481</v>
      </c>
      <c r="K73" s="640"/>
      <c r="L73" s="203"/>
    </row>
    <row r="74" spans="1:12" ht="15" customHeight="1" x14ac:dyDescent="0.25">
      <c r="A74" s="197" t="s">
        <v>796</v>
      </c>
      <c r="B74" s="642" t="s">
        <v>895</v>
      </c>
      <c r="C74" s="642"/>
      <c r="D74" s="642"/>
      <c r="E74" s="642"/>
      <c r="F74" s="642"/>
      <c r="G74" s="642"/>
      <c r="H74" s="642"/>
      <c r="I74" s="642"/>
      <c r="J74" s="639" t="s">
        <v>481</v>
      </c>
      <c r="K74" s="640"/>
      <c r="L74" s="203"/>
    </row>
    <row r="75" spans="1:12" ht="49.5" customHeight="1" x14ac:dyDescent="0.25">
      <c r="A75" s="197" t="s">
        <v>797</v>
      </c>
      <c r="B75" s="642" t="s">
        <v>896</v>
      </c>
      <c r="C75" s="642"/>
      <c r="D75" s="642"/>
      <c r="E75" s="642"/>
      <c r="F75" s="642"/>
      <c r="G75" s="642"/>
      <c r="H75" s="642"/>
      <c r="I75" s="642"/>
      <c r="J75" s="639" t="s">
        <v>481</v>
      </c>
      <c r="K75" s="640"/>
      <c r="L75" s="203"/>
    </row>
    <row r="76" spans="1:12" ht="15" customHeight="1" x14ac:dyDescent="0.25">
      <c r="A76" s="200">
        <v>7</v>
      </c>
      <c r="B76" s="647" t="s">
        <v>851</v>
      </c>
      <c r="C76" s="647"/>
      <c r="D76" s="647"/>
      <c r="E76" s="647"/>
      <c r="F76" s="647"/>
      <c r="G76" s="647"/>
      <c r="H76" s="647"/>
      <c r="I76" s="647"/>
      <c r="J76" s="647"/>
      <c r="K76" s="647"/>
      <c r="L76" s="647"/>
    </row>
    <row r="77" spans="1:12" ht="52.5" customHeight="1" x14ac:dyDescent="0.25">
      <c r="A77" s="198" t="s">
        <v>798</v>
      </c>
      <c r="B77" s="642" t="s">
        <v>897</v>
      </c>
      <c r="C77" s="642"/>
      <c r="D77" s="642"/>
      <c r="E77" s="642"/>
      <c r="F77" s="642"/>
      <c r="G77" s="642"/>
      <c r="H77" s="642"/>
      <c r="I77" s="642"/>
      <c r="J77" s="646" t="s">
        <v>931</v>
      </c>
      <c r="K77" s="646"/>
      <c r="L77" s="203"/>
    </row>
    <row r="78" spans="1:12" ht="37.5" customHeight="1" x14ac:dyDescent="0.25">
      <c r="A78" s="198" t="s">
        <v>799</v>
      </c>
      <c r="B78" s="642" t="s">
        <v>898</v>
      </c>
      <c r="C78" s="642"/>
      <c r="D78" s="642"/>
      <c r="E78" s="642"/>
      <c r="F78" s="642"/>
      <c r="G78" s="642"/>
      <c r="H78" s="642"/>
      <c r="I78" s="642"/>
      <c r="J78" s="646" t="s">
        <v>931</v>
      </c>
      <c r="K78" s="646"/>
      <c r="L78" s="203"/>
    </row>
    <row r="79" spans="1:12" ht="40.5" customHeight="1" x14ac:dyDescent="0.25">
      <c r="A79" s="198" t="s">
        <v>800</v>
      </c>
      <c r="B79" s="642" t="s">
        <v>899</v>
      </c>
      <c r="C79" s="642"/>
      <c r="D79" s="642"/>
      <c r="E79" s="642"/>
      <c r="F79" s="642"/>
      <c r="G79" s="642"/>
      <c r="H79" s="642"/>
      <c r="I79" s="642"/>
      <c r="J79" s="646" t="s">
        <v>931</v>
      </c>
      <c r="K79" s="646"/>
      <c r="L79" s="203"/>
    </row>
    <row r="80" spans="1:12" ht="52.5" customHeight="1" x14ac:dyDescent="0.25">
      <c r="A80" s="198" t="s">
        <v>801</v>
      </c>
      <c r="B80" s="642" t="s">
        <v>900</v>
      </c>
      <c r="C80" s="642"/>
      <c r="D80" s="642"/>
      <c r="E80" s="642"/>
      <c r="F80" s="642"/>
      <c r="G80" s="642"/>
      <c r="H80" s="642"/>
      <c r="I80" s="642"/>
      <c r="J80" s="646" t="s">
        <v>931</v>
      </c>
      <c r="K80" s="646"/>
      <c r="L80" s="203"/>
    </row>
    <row r="81" spans="1:12" ht="39" customHeight="1" x14ac:dyDescent="0.25">
      <c r="A81" s="198" t="s">
        <v>802</v>
      </c>
      <c r="B81" s="642" t="s">
        <v>901</v>
      </c>
      <c r="C81" s="642"/>
      <c r="D81" s="642"/>
      <c r="E81" s="642"/>
      <c r="F81" s="642"/>
      <c r="G81" s="642"/>
      <c r="H81" s="642"/>
      <c r="I81" s="642"/>
      <c r="J81" s="646" t="s">
        <v>931</v>
      </c>
      <c r="K81" s="646"/>
      <c r="L81" s="203"/>
    </row>
    <row r="82" spans="1:12" ht="24.75" customHeight="1" x14ac:dyDescent="0.25">
      <c r="A82" s="198" t="s">
        <v>803</v>
      </c>
      <c r="B82" s="642" t="s">
        <v>902</v>
      </c>
      <c r="C82" s="642"/>
      <c r="D82" s="642"/>
      <c r="E82" s="642"/>
      <c r="F82" s="642"/>
      <c r="G82" s="642"/>
      <c r="H82" s="642"/>
      <c r="I82" s="642"/>
      <c r="J82" s="646" t="s">
        <v>931</v>
      </c>
      <c r="K82" s="646"/>
      <c r="L82" s="203"/>
    </row>
    <row r="83" spans="1:12" ht="15" customHeight="1" x14ac:dyDescent="0.25">
      <c r="A83" s="199" t="s">
        <v>804</v>
      </c>
      <c r="B83" s="641" t="s">
        <v>805</v>
      </c>
      <c r="C83" s="641"/>
      <c r="D83" s="641"/>
      <c r="E83" s="641"/>
      <c r="F83" s="641"/>
      <c r="G83" s="641"/>
      <c r="H83" s="641"/>
      <c r="I83" s="641"/>
      <c r="J83" s="641"/>
      <c r="K83" s="641"/>
      <c r="L83" s="641"/>
    </row>
    <row r="84" spans="1:12" ht="19.5" customHeight="1" x14ac:dyDescent="0.25">
      <c r="A84" s="198" t="s">
        <v>52</v>
      </c>
      <c r="B84" s="642" t="s">
        <v>903</v>
      </c>
      <c r="C84" s="642"/>
      <c r="D84" s="642"/>
      <c r="E84" s="642"/>
      <c r="F84" s="642"/>
      <c r="G84" s="642"/>
      <c r="H84" s="642"/>
      <c r="I84" s="642"/>
      <c r="J84" s="639" t="s">
        <v>481</v>
      </c>
      <c r="K84" s="640"/>
      <c r="L84" s="203"/>
    </row>
    <row r="85" spans="1:12" ht="30" customHeight="1" x14ac:dyDescent="0.25">
      <c r="A85" s="198" t="s">
        <v>54</v>
      </c>
      <c r="B85" s="642" t="s">
        <v>904</v>
      </c>
      <c r="C85" s="642"/>
      <c r="D85" s="642"/>
      <c r="E85" s="642"/>
      <c r="F85" s="642"/>
      <c r="G85" s="642"/>
      <c r="H85" s="642"/>
      <c r="I85" s="642"/>
      <c r="J85" s="639" t="s">
        <v>481</v>
      </c>
      <c r="K85" s="640"/>
      <c r="L85" s="203"/>
    </row>
    <row r="86" spans="1:12" ht="22.5" customHeight="1" x14ac:dyDescent="0.25">
      <c r="A86" s="198" t="s">
        <v>806</v>
      </c>
      <c r="B86" s="642" t="s">
        <v>905</v>
      </c>
      <c r="C86" s="642"/>
      <c r="D86" s="642"/>
      <c r="E86" s="642"/>
      <c r="F86" s="642"/>
      <c r="G86" s="642"/>
      <c r="H86" s="642"/>
      <c r="I86" s="642"/>
      <c r="J86" s="639" t="s">
        <v>481</v>
      </c>
      <c r="K86" s="640"/>
      <c r="L86" s="203"/>
    </row>
    <row r="87" spans="1:12" ht="18" customHeight="1" x14ac:dyDescent="0.25">
      <c r="A87" s="198" t="s">
        <v>807</v>
      </c>
      <c r="B87" s="642" t="s">
        <v>906</v>
      </c>
      <c r="C87" s="642"/>
      <c r="D87" s="642"/>
      <c r="E87" s="642"/>
      <c r="F87" s="642"/>
      <c r="G87" s="642"/>
      <c r="H87" s="642"/>
      <c r="I87" s="642"/>
      <c r="J87" s="639" t="s">
        <v>481</v>
      </c>
      <c r="K87" s="640"/>
      <c r="L87" s="203"/>
    </row>
    <row r="88" spans="1:12" ht="27" customHeight="1" x14ac:dyDescent="0.25">
      <c r="A88" s="198" t="s">
        <v>808</v>
      </c>
      <c r="B88" s="642" t="s">
        <v>907</v>
      </c>
      <c r="C88" s="642"/>
      <c r="D88" s="642"/>
      <c r="E88" s="642"/>
      <c r="F88" s="642"/>
      <c r="G88" s="642"/>
      <c r="H88" s="642"/>
      <c r="I88" s="642"/>
      <c r="J88" s="639" t="s">
        <v>481</v>
      </c>
      <c r="K88" s="640"/>
      <c r="L88" s="203"/>
    </row>
    <row r="89" spans="1:12" ht="28.5" customHeight="1" x14ac:dyDescent="0.25">
      <c r="A89" s="198" t="s">
        <v>809</v>
      </c>
      <c r="B89" s="642" t="s">
        <v>908</v>
      </c>
      <c r="C89" s="642"/>
      <c r="D89" s="642"/>
      <c r="E89" s="642"/>
      <c r="F89" s="642"/>
      <c r="G89" s="642"/>
      <c r="H89" s="642"/>
      <c r="I89" s="642"/>
      <c r="J89" s="639" t="s">
        <v>481</v>
      </c>
      <c r="K89" s="640"/>
      <c r="L89" s="203"/>
    </row>
    <row r="90" spans="1:12" ht="27.75" customHeight="1" x14ac:dyDescent="0.25">
      <c r="A90" s="198" t="s">
        <v>810</v>
      </c>
      <c r="B90" s="642" t="s">
        <v>909</v>
      </c>
      <c r="C90" s="642"/>
      <c r="D90" s="642"/>
      <c r="E90" s="642"/>
      <c r="F90" s="642"/>
      <c r="G90" s="642"/>
      <c r="H90" s="642"/>
      <c r="I90" s="642"/>
      <c r="J90" s="646" t="s">
        <v>931</v>
      </c>
      <c r="K90" s="646"/>
      <c r="L90" s="203"/>
    </row>
    <row r="91" spans="1:12" ht="32.25" customHeight="1" x14ac:dyDescent="0.25">
      <c r="A91" s="198" t="s">
        <v>811</v>
      </c>
      <c r="B91" s="642" t="s">
        <v>910</v>
      </c>
      <c r="C91" s="642"/>
      <c r="D91" s="642"/>
      <c r="E91" s="642"/>
      <c r="F91" s="642"/>
      <c r="G91" s="642"/>
      <c r="H91" s="642"/>
      <c r="I91" s="642"/>
      <c r="J91" s="646" t="s">
        <v>931</v>
      </c>
      <c r="K91" s="646"/>
      <c r="L91" s="203"/>
    </row>
    <row r="92" spans="1:12" ht="30.75" customHeight="1" x14ac:dyDescent="0.25">
      <c r="A92" s="198" t="s">
        <v>812</v>
      </c>
      <c r="B92" s="642" t="s">
        <v>911</v>
      </c>
      <c r="C92" s="642"/>
      <c r="D92" s="642"/>
      <c r="E92" s="642"/>
      <c r="F92" s="642"/>
      <c r="G92" s="642"/>
      <c r="H92" s="642"/>
      <c r="I92" s="642"/>
      <c r="J92" s="646" t="s">
        <v>931</v>
      </c>
      <c r="K92" s="646"/>
      <c r="L92" s="203"/>
    </row>
    <row r="93" spans="1:12" ht="27.75" customHeight="1" x14ac:dyDescent="0.25">
      <c r="A93" s="198" t="s">
        <v>813</v>
      </c>
      <c r="B93" s="642" t="s">
        <v>912</v>
      </c>
      <c r="C93" s="642"/>
      <c r="D93" s="642"/>
      <c r="E93" s="642"/>
      <c r="F93" s="642"/>
      <c r="G93" s="642"/>
      <c r="H93" s="642"/>
      <c r="I93" s="642"/>
      <c r="J93" s="645" t="s">
        <v>931</v>
      </c>
      <c r="K93" s="645"/>
      <c r="L93" s="203"/>
    </row>
    <row r="94" spans="1:12" ht="18" customHeight="1" x14ac:dyDescent="0.25">
      <c r="A94" s="198" t="s">
        <v>814</v>
      </c>
      <c r="B94" s="642" t="s">
        <v>913</v>
      </c>
      <c r="C94" s="642"/>
      <c r="D94" s="642"/>
      <c r="E94" s="642"/>
      <c r="F94" s="642"/>
      <c r="G94" s="642"/>
      <c r="H94" s="642"/>
      <c r="I94" s="642"/>
      <c r="J94" s="639" t="s">
        <v>481</v>
      </c>
      <c r="K94" s="640"/>
      <c r="L94" s="203"/>
    </row>
    <row r="95" spans="1:12" ht="18" customHeight="1" x14ac:dyDescent="0.25">
      <c r="A95" s="198" t="s">
        <v>815</v>
      </c>
      <c r="B95" s="642" t="s">
        <v>914</v>
      </c>
      <c r="C95" s="642"/>
      <c r="D95" s="642"/>
      <c r="E95" s="642"/>
      <c r="F95" s="642"/>
      <c r="G95" s="642"/>
      <c r="H95" s="642"/>
      <c r="I95" s="642"/>
      <c r="J95" s="639" t="s">
        <v>481</v>
      </c>
      <c r="K95" s="640"/>
      <c r="L95" s="203"/>
    </row>
    <row r="96" spans="1:12" ht="19.5" customHeight="1" x14ac:dyDescent="0.25">
      <c r="A96" s="198" t="s">
        <v>816</v>
      </c>
      <c r="B96" s="642" t="s">
        <v>915</v>
      </c>
      <c r="C96" s="642"/>
      <c r="D96" s="642"/>
      <c r="E96" s="642"/>
      <c r="F96" s="642"/>
      <c r="G96" s="642"/>
      <c r="H96" s="642"/>
      <c r="I96" s="642"/>
      <c r="J96" s="639" t="s">
        <v>481</v>
      </c>
      <c r="K96" s="640"/>
      <c r="L96" s="203"/>
    </row>
    <row r="97" spans="1:12" ht="18" customHeight="1" x14ac:dyDescent="0.25">
      <c r="A97" s="198" t="s">
        <v>817</v>
      </c>
      <c r="B97" s="642" t="s">
        <v>916</v>
      </c>
      <c r="C97" s="642"/>
      <c r="D97" s="642"/>
      <c r="E97" s="642"/>
      <c r="F97" s="642"/>
      <c r="G97" s="642"/>
      <c r="H97" s="642"/>
      <c r="I97" s="642"/>
      <c r="J97" s="645" t="s">
        <v>931</v>
      </c>
      <c r="K97" s="645"/>
      <c r="L97" s="203"/>
    </row>
    <row r="98" spans="1:12" ht="18" customHeight="1" x14ac:dyDescent="0.25">
      <c r="A98" s="198" t="s">
        <v>818</v>
      </c>
      <c r="B98" s="642" t="s">
        <v>917</v>
      </c>
      <c r="C98" s="642"/>
      <c r="D98" s="642"/>
      <c r="E98" s="642"/>
      <c r="F98" s="642"/>
      <c r="G98" s="642"/>
      <c r="H98" s="642"/>
      <c r="I98" s="642"/>
      <c r="J98" s="639" t="s">
        <v>481</v>
      </c>
      <c r="K98" s="640"/>
      <c r="L98" s="203"/>
    </row>
    <row r="99" spans="1:12" ht="21" customHeight="1" x14ac:dyDescent="0.25">
      <c r="A99" s="198" t="s">
        <v>819</v>
      </c>
      <c r="B99" s="642" t="s">
        <v>918</v>
      </c>
      <c r="C99" s="642"/>
      <c r="D99" s="642"/>
      <c r="E99" s="642"/>
      <c r="F99" s="642"/>
      <c r="G99" s="642"/>
      <c r="H99" s="642"/>
      <c r="I99" s="642"/>
      <c r="J99" s="645" t="s">
        <v>931</v>
      </c>
      <c r="K99" s="645"/>
      <c r="L99" s="203"/>
    </row>
    <row r="100" spans="1:12" ht="27" customHeight="1" x14ac:dyDescent="0.25">
      <c r="A100" s="198" t="s">
        <v>820</v>
      </c>
      <c r="B100" s="642" t="s">
        <v>919</v>
      </c>
      <c r="C100" s="642"/>
      <c r="D100" s="642"/>
      <c r="E100" s="642"/>
      <c r="F100" s="642"/>
      <c r="G100" s="642"/>
      <c r="H100" s="642"/>
      <c r="I100" s="642"/>
      <c r="J100" s="639" t="s">
        <v>481</v>
      </c>
      <c r="K100" s="640"/>
      <c r="L100" s="203"/>
    </row>
    <row r="101" spans="1:12" ht="29.25" customHeight="1" x14ac:dyDescent="0.25">
      <c r="A101" s="198" t="s">
        <v>821</v>
      </c>
      <c r="B101" s="642" t="s">
        <v>920</v>
      </c>
      <c r="C101" s="642"/>
      <c r="D101" s="642"/>
      <c r="E101" s="642"/>
      <c r="F101" s="642"/>
      <c r="G101" s="642"/>
      <c r="H101" s="642"/>
      <c r="I101" s="642"/>
      <c r="J101" s="639" t="s">
        <v>481</v>
      </c>
      <c r="K101" s="640"/>
      <c r="L101" s="203"/>
    </row>
    <row r="102" spans="1:12" ht="41.25" customHeight="1" x14ac:dyDescent="0.25">
      <c r="A102" s="198" t="s">
        <v>822</v>
      </c>
      <c r="B102" s="642"/>
      <c r="C102" s="642"/>
      <c r="D102" s="642"/>
      <c r="E102" s="642"/>
      <c r="F102" s="642"/>
      <c r="G102" s="642"/>
      <c r="H102" s="642"/>
      <c r="I102" s="642"/>
      <c r="J102" s="639" t="s">
        <v>481</v>
      </c>
      <c r="K102" s="640"/>
      <c r="L102" s="203"/>
    </row>
    <row r="103" spans="1:12" ht="29.25" customHeight="1" x14ac:dyDescent="0.25">
      <c r="A103" s="198" t="s">
        <v>823</v>
      </c>
      <c r="B103" s="642" t="s">
        <v>921</v>
      </c>
      <c r="C103" s="642"/>
      <c r="D103" s="642"/>
      <c r="E103" s="642"/>
      <c r="F103" s="642"/>
      <c r="G103" s="642"/>
      <c r="H103" s="642"/>
      <c r="I103" s="642"/>
      <c r="J103" s="639" t="s">
        <v>481</v>
      </c>
      <c r="K103" s="640"/>
      <c r="L103" s="203"/>
    </row>
    <row r="104" spans="1:12" ht="15" customHeight="1" x14ac:dyDescent="0.25">
      <c r="A104" s="198" t="s">
        <v>824</v>
      </c>
      <c r="B104" s="642" t="s">
        <v>922</v>
      </c>
      <c r="C104" s="642"/>
      <c r="D104" s="642"/>
      <c r="E104" s="642"/>
      <c r="F104" s="642"/>
      <c r="G104" s="642"/>
      <c r="H104" s="642"/>
      <c r="I104" s="642"/>
      <c r="J104" s="645" t="s">
        <v>931</v>
      </c>
      <c r="K104" s="645"/>
      <c r="L104" s="203"/>
    </row>
    <row r="105" spans="1:12" x14ac:dyDescent="0.25">
      <c r="A105" s="199" t="s">
        <v>825</v>
      </c>
      <c r="B105" s="641" t="s">
        <v>826</v>
      </c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</row>
    <row r="106" spans="1:12" ht="18.75" customHeight="1" x14ac:dyDescent="0.25">
      <c r="A106" s="198" t="s">
        <v>827</v>
      </c>
      <c r="B106" s="642" t="s">
        <v>923</v>
      </c>
      <c r="C106" s="642"/>
      <c r="D106" s="642"/>
      <c r="E106" s="642"/>
      <c r="F106" s="642"/>
      <c r="G106" s="642"/>
      <c r="H106" s="642"/>
      <c r="I106" s="642"/>
      <c r="J106" s="639" t="s">
        <v>481</v>
      </c>
      <c r="K106" s="640"/>
      <c r="L106" s="203"/>
    </row>
    <row r="107" spans="1:12" ht="19.5" customHeight="1" x14ac:dyDescent="0.25">
      <c r="A107" s="198" t="s">
        <v>828</v>
      </c>
      <c r="B107" s="642" t="s">
        <v>924</v>
      </c>
      <c r="C107" s="642"/>
      <c r="D107" s="642"/>
      <c r="E107" s="642"/>
      <c r="F107" s="642"/>
      <c r="G107" s="642"/>
      <c r="H107" s="642"/>
      <c r="I107" s="642"/>
      <c r="J107" s="639" t="s">
        <v>481</v>
      </c>
      <c r="K107" s="640"/>
      <c r="L107" s="203"/>
    </row>
    <row r="108" spans="1:12" ht="18.75" customHeight="1" x14ac:dyDescent="0.25">
      <c r="A108" s="198" t="s">
        <v>829</v>
      </c>
      <c r="B108" s="638" t="s">
        <v>925</v>
      </c>
      <c r="C108" s="638"/>
      <c r="D108" s="638"/>
      <c r="E108" s="638"/>
      <c r="F108" s="638"/>
      <c r="G108" s="638"/>
      <c r="H108" s="638"/>
      <c r="I108" s="638"/>
      <c r="J108" s="639" t="s">
        <v>481</v>
      </c>
      <c r="K108" s="640"/>
      <c r="L108" s="203"/>
    </row>
    <row r="109" spans="1:12" ht="21.75" customHeight="1" x14ac:dyDescent="0.25">
      <c r="A109" s="198" t="s">
        <v>830</v>
      </c>
      <c r="B109" s="638" t="s">
        <v>926</v>
      </c>
      <c r="C109" s="638"/>
      <c r="D109" s="638"/>
      <c r="E109" s="638"/>
      <c r="F109" s="638"/>
      <c r="G109" s="638"/>
      <c r="H109" s="638"/>
      <c r="I109" s="638"/>
      <c r="J109" s="639" t="s">
        <v>481</v>
      </c>
      <c r="K109" s="640"/>
      <c r="L109" s="203"/>
    </row>
    <row r="110" spans="1:12" x14ac:dyDescent="0.25">
      <c r="A110" s="199" t="s">
        <v>831</v>
      </c>
      <c r="B110" s="641" t="s">
        <v>832</v>
      </c>
      <c r="C110" s="641"/>
      <c r="D110" s="641"/>
      <c r="E110" s="641"/>
      <c r="F110" s="641"/>
      <c r="G110" s="641"/>
      <c r="H110" s="641"/>
      <c r="I110" s="641"/>
      <c r="J110" s="641"/>
      <c r="K110" s="641"/>
      <c r="L110" s="641"/>
    </row>
    <row r="111" spans="1:12" ht="30.75" customHeight="1" x14ac:dyDescent="0.25">
      <c r="A111" s="198" t="s">
        <v>833</v>
      </c>
      <c r="B111" s="642" t="s">
        <v>927</v>
      </c>
      <c r="C111" s="642"/>
      <c r="D111" s="642"/>
      <c r="E111" s="642"/>
      <c r="F111" s="642"/>
      <c r="G111" s="642"/>
      <c r="H111" s="642"/>
      <c r="I111" s="642"/>
      <c r="J111" s="639" t="s">
        <v>481</v>
      </c>
      <c r="K111" s="640"/>
      <c r="L111" s="203"/>
    </row>
    <row r="112" spans="1:12" ht="36.75" customHeight="1" x14ac:dyDescent="0.25">
      <c r="A112" s="198" t="s">
        <v>834</v>
      </c>
      <c r="B112" s="642" t="s">
        <v>928</v>
      </c>
      <c r="C112" s="642"/>
      <c r="D112" s="642"/>
      <c r="E112" s="642"/>
      <c r="F112" s="642"/>
      <c r="G112" s="642"/>
      <c r="H112" s="642"/>
      <c r="I112" s="642"/>
      <c r="J112" s="645" t="s">
        <v>931</v>
      </c>
      <c r="K112" s="645"/>
      <c r="L112" s="203"/>
    </row>
    <row r="113" spans="1:12" ht="28.5" customHeight="1" x14ac:dyDescent="0.25">
      <c r="A113" s="198" t="s">
        <v>835</v>
      </c>
      <c r="B113" s="642" t="s">
        <v>929</v>
      </c>
      <c r="C113" s="642"/>
      <c r="D113" s="642"/>
      <c r="E113" s="642"/>
      <c r="F113" s="642"/>
      <c r="G113" s="642"/>
      <c r="H113" s="642"/>
      <c r="I113" s="642"/>
      <c r="J113" s="645"/>
      <c r="K113" s="645"/>
      <c r="L113" s="203"/>
    </row>
    <row r="114" spans="1:12" ht="27.75" customHeight="1" x14ac:dyDescent="0.25">
      <c r="A114" s="198" t="s">
        <v>836</v>
      </c>
      <c r="B114" s="642" t="s">
        <v>930</v>
      </c>
      <c r="C114" s="642"/>
      <c r="D114" s="642"/>
      <c r="E114" s="642"/>
      <c r="F114" s="642"/>
      <c r="G114" s="642"/>
      <c r="H114" s="642"/>
      <c r="I114" s="642"/>
      <c r="J114" s="645"/>
      <c r="K114" s="645"/>
      <c r="L114" s="203"/>
    </row>
    <row r="115" spans="1:12" ht="12" customHeight="1" x14ac:dyDescent="0.25">
      <c r="A115" s="573" t="s">
        <v>848</v>
      </c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</row>
    <row r="116" spans="1:12" x14ac:dyDescent="0.25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</row>
    <row r="117" spans="1:12" ht="12.95" customHeight="1" x14ac:dyDescent="0.25">
      <c r="A117" s="580" t="s">
        <v>849</v>
      </c>
      <c r="B117" s="572"/>
      <c r="C117" s="572"/>
      <c r="D117" s="572"/>
      <c r="E117" s="572"/>
      <c r="F117" s="572"/>
      <c r="G117" s="572"/>
      <c r="H117" s="572"/>
      <c r="I117" s="572"/>
      <c r="J117" s="572"/>
      <c r="K117" s="572"/>
      <c r="L117" s="572"/>
    </row>
    <row r="118" spans="1:12" ht="12.95" customHeight="1" x14ac:dyDescent="0.25">
      <c r="A118" s="580" t="s">
        <v>850</v>
      </c>
      <c r="B118" s="572"/>
      <c r="C118" s="572"/>
      <c r="D118" s="572"/>
      <c r="E118" s="572"/>
      <c r="F118" s="572"/>
      <c r="G118" s="572"/>
      <c r="H118" s="572"/>
      <c r="I118" s="572"/>
      <c r="J118" s="572"/>
      <c r="K118" s="572"/>
      <c r="L118" s="572"/>
    </row>
    <row r="119" spans="1:12" x14ac:dyDescent="0.25">
      <c r="A119" s="643" t="str">
        <f>IF('Данные объект'!B2="","",'Данные объект'!B2)</f>
      </c>
      <c r="B119" s="644"/>
      <c r="C119" s="644"/>
      <c r="D119" s="644"/>
      <c r="E119" s="644"/>
      <c r="F119" s="644"/>
      <c r="G119" s="644"/>
      <c r="H119" s="644"/>
      <c r="I119" s="644"/>
      <c r="J119" s="644"/>
      <c r="K119" s="644"/>
      <c r="L119" s="644"/>
    </row>
    <row r="120" spans="1:12" ht="14.25" customHeight="1" x14ac:dyDescent="0.25">
      <c r="A120" s="632" t="s">
        <v>837</v>
      </c>
      <c r="B120" s="632"/>
      <c r="C120" s="632"/>
      <c r="D120" s="632"/>
      <c r="E120" s="632"/>
      <c r="F120" s="632"/>
      <c r="G120" s="632"/>
      <c r="H120" s="632"/>
      <c r="I120" s="632"/>
      <c r="J120" s="632"/>
      <c r="K120" s="632"/>
      <c r="L120" s="632"/>
    </row>
    <row r="121" spans="1:12" ht="14.25" customHeight="1" x14ac:dyDescent="0.25">
      <c r="A121" s="633" t="s">
        <v>859</v>
      </c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</row>
    <row r="122" spans="1:12" ht="15.75" customHeight="1" x14ac:dyDescent="0.25">
      <c r="A122" s="635" t="s">
        <v>858</v>
      </c>
      <c r="B122" s="635"/>
      <c r="C122" s="635"/>
      <c r="D122" s="635"/>
      <c r="E122" s="635"/>
      <c r="F122" s="635"/>
      <c r="G122" s="635"/>
      <c r="H122" s="635"/>
      <c r="I122" s="635"/>
      <c r="J122" s="635"/>
      <c r="K122" s="635"/>
      <c r="L122" s="635"/>
    </row>
    <row r="123" spans="1:12" ht="15" customHeight="1" x14ac:dyDescent="0.25">
      <c r="A123" s="626" t="str">
        <f t="shared" ref="A123:A130" si="0">IF(A29="","",A29)</f>
      </c>
      <c r="B123" s="626"/>
      <c r="C123" s="626"/>
      <c r="D123" s="626"/>
      <c r="E123" s="626"/>
      <c r="F123" s="626"/>
      <c r="G123" s="626"/>
      <c r="H123" s="626"/>
      <c r="I123" s="626"/>
      <c r="J123" s="626"/>
      <c r="K123" s="626"/>
      <c r="L123" s="626"/>
    </row>
    <row r="124" spans="1:12" ht="15" customHeight="1" x14ac:dyDescent="0.25">
      <c r="A124" s="626" t="str">
        <f t="shared" si="0"/>
      </c>
      <c r="B124" s="626"/>
      <c r="C124" s="626"/>
      <c r="D124" s="626"/>
      <c r="E124" s="626"/>
      <c r="F124" s="626"/>
      <c r="G124" s="626"/>
      <c r="H124" s="626"/>
      <c r="I124" s="626"/>
      <c r="J124" s="626"/>
      <c r="K124" s="626"/>
      <c r="L124" s="626"/>
    </row>
    <row r="125" spans="1:12" ht="15" customHeight="1" x14ac:dyDescent="0.25">
      <c r="A125" s="626" t="str">
        <f t="shared" si="0"/>
      </c>
      <c r="B125" s="626"/>
      <c r="C125" s="626"/>
      <c r="D125" s="626"/>
      <c r="E125" s="626"/>
      <c r="F125" s="626"/>
      <c r="G125" s="626"/>
      <c r="H125" s="626"/>
      <c r="I125" s="626"/>
      <c r="J125" s="626"/>
      <c r="K125" s="626"/>
      <c r="L125" s="626"/>
    </row>
    <row r="126" spans="1:12" ht="15" customHeight="1" x14ac:dyDescent="0.25">
      <c r="A126" s="626" t="str">
        <f t="shared" si="0"/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</row>
    <row r="127" spans="1:12" ht="15" customHeight="1" x14ac:dyDescent="0.25">
      <c r="A127" s="626" t="str">
        <f t="shared" si="0"/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</row>
    <row r="128" spans="1:12" ht="15" customHeight="1" x14ac:dyDescent="0.25">
      <c r="A128" s="626" t="str">
        <f t="shared" si="0"/>
      </c>
      <c r="B128" s="626"/>
      <c r="C128" s="626"/>
      <c r="D128" s="626"/>
      <c r="E128" s="626"/>
      <c r="F128" s="626"/>
      <c r="G128" s="626"/>
      <c r="H128" s="626"/>
      <c r="I128" s="626"/>
      <c r="J128" s="626"/>
      <c r="K128" s="626"/>
      <c r="L128" s="626"/>
    </row>
    <row r="129" spans="1:12" ht="15" customHeight="1" x14ac:dyDescent="0.25">
      <c r="A129" s="626" t="str">
        <f t="shared" si="0"/>
      </c>
      <c r="B129" s="626"/>
      <c r="C129" s="626"/>
      <c r="D129" s="626"/>
      <c r="E129" s="626"/>
      <c r="F129" s="626"/>
      <c r="G129" s="626"/>
      <c r="H129" s="626"/>
      <c r="I129" s="626"/>
      <c r="J129" s="626"/>
      <c r="K129" s="626"/>
      <c r="L129" s="626"/>
    </row>
    <row r="130" spans="1:12" s="364" customFormat="1" ht="15" customHeight="1" x14ac:dyDescent="0.25">
      <c r="A130" s="626" t="str">
        <f t="shared" si="0"/>
      </c>
      <c r="B130" s="626"/>
      <c r="C130" s="626"/>
      <c r="D130" s="626"/>
      <c r="E130" s="626"/>
      <c r="F130" s="626"/>
      <c r="G130" s="626"/>
      <c r="H130" s="626"/>
      <c r="I130" s="626"/>
      <c r="J130" s="626"/>
      <c r="K130" s="626"/>
      <c r="L130" s="626"/>
    </row>
    <row r="131" spans="1:12" ht="15.75" customHeight="1" x14ac:dyDescent="0.25">
      <c r="A131" s="632" t="s">
        <v>838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</row>
    <row r="132" spans="1:12" ht="12.95" customHeight="1" x14ac:dyDescent="0.25">
      <c r="A132" s="636" t="s">
        <v>860</v>
      </c>
      <c r="B132" s="572"/>
      <c r="C132" s="572"/>
      <c r="D132" s="572"/>
      <c r="E132" s="572"/>
      <c r="F132" s="572"/>
      <c r="G132" s="572"/>
      <c r="H132" s="572"/>
      <c r="I132" s="572"/>
      <c r="J132" s="572"/>
      <c r="K132" s="572"/>
      <c r="L132" s="572"/>
    </row>
    <row r="133" spans="1:12" ht="12.95" customHeight="1" x14ac:dyDescent="0.25">
      <c r="A133" s="571"/>
      <c r="B133" s="571"/>
      <c r="C133" s="568" t="str">
        <f>IF('Данные объект'!B39="","",'Данные объект'!B39)</f>
      </c>
      <c r="D133" s="568"/>
      <c r="E133" s="568"/>
      <c r="F133" s="192"/>
      <c r="G133" s="628"/>
      <c r="H133" s="628"/>
      <c r="I133" s="628"/>
      <c r="K133" s="568" t="str">
        <f>IF('Данные объект'!B42="","",'Данные объект'!B42)</f>
      </c>
      <c r="L133" s="568"/>
    </row>
    <row r="134" spans="1:12" ht="15" customHeight="1" x14ac:dyDescent="0.25">
      <c r="A134" s="202"/>
      <c r="C134" s="576" t="s">
        <v>861</v>
      </c>
      <c r="D134" s="576"/>
      <c r="E134" s="576"/>
      <c r="G134" s="576" t="s">
        <v>862</v>
      </c>
      <c r="H134" s="576"/>
      <c r="I134" s="576"/>
      <c r="K134" s="576" t="s">
        <v>863</v>
      </c>
      <c r="L134" s="576"/>
    </row>
    <row r="136" spans="1:12" ht="24.75" customHeight="1" x14ac:dyDescent="0.25">
      <c r="A136" s="637" t="s">
        <v>1376</v>
      </c>
      <c r="B136" s="572"/>
      <c r="C136" s="572"/>
      <c r="D136" s="572"/>
      <c r="E136" s="572"/>
      <c r="F136" s="572"/>
      <c r="G136" s="572"/>
      <c r="H136" s="572"/>
      <c r="I136" s="572"/>
      <c r="J136" s="572"/>
      <c r="K136" s="572"/>
      <c r="L136" s="572"/>
    </row>
    <row r="137" spans="1:12" ht="26.1" customHeight="1" x14ac:dyDescent="0.25">
      <c r="A137" s="187"/>
      <c r="C137" s="629" t="str">
        <f>IF('Данные объект'!C27="","",'Данные объект'!C27)</f>
      </c>
      <c r="D137" s="629"/>
      <c r="E137" s="629"/>
      <c r="F137" s="192"/>
      <c r="G137" s="628"/>
      <c r="H137" s="628"/>
      <c r="I137" s="628"/>
      <c r="K137" s="568" t="str">
        <f>IF('Данные объект'!B28="","",'Данные объект'!B28)</f>
      </c>
      <c r="L137" s="568"/>
    </row>
    <row r="138" spans="1:12" ht="12.75" customHeight="1" x14ac:dyDescent="0.25">
      <c r="A138" s="202"/>
      <c r="C138" s="576" t="s">
        <v>861</v>
      </c>
      <c r="D138" s="576"/>
      <c r="E138" s="576"/>
      <c r="G138" s="576" t="s">
        <v>862</v>
      </c>
      <c r="H138" s="576"/>
      <c r="I138" s="576"/>
      <c r="K138" s="576" t="s">
        <v>863</v>
      </c>
      <c r="L138" s="576"/>
    </row>
  </sheetData>
  <mergeCells count="207">
    <mergeCell ref="A1:L1"/>
    <mergeCell ref="A2:L2"/>
    <mergeCell ref="A3:L3"/>
    <mergeCell ref="A5:L5"/>
    <mergeCell ref="A6:L6"/>
    <mergeCell ref="F8:G8"/>
    <mergeCell ref="A4:L4"/>
    <mergeCell ref="A30:L30"/>
    <mergeCell ref="A35:L35"/>
    <mergeCell ref="A31:L31"/>
    <mergeCell ref="A16:L16"/>
    <mergeCell ref="A17:L17"/>
    <mergeCell ref="A20:L20"/>
    <mergeCell ref="A22:L22"/>
    <mergeCell ref="E9:F9"/>
    <mergeCell ref="A10:L10"/>
    <mergeCell ref="A11:L11"/>
    <mergeCell ref="A12:L12"/>
    <mergeCell ref="A13:L13"/>
    <mergeCell ref="A14:L14"/>
    <mergeCell ref="A24:L24"/>
    <mergeCell ref="A25:L25"/>
    <mergeCell ref="A26:L26"/>
    <mergeCell ref="A28:L28"/>
    <mergeCell ref="A29:L29"/>
    <mergeCell ref="A37:L37"/>
    <mergeCell ref="A34:L34"/>
    <mergeCell ref="A33:L33"/>
    <mergeCell ref="A32:L32"/>
    <mergeCell ref="B43:I43"/>
    <mergeCell ref="J43:K43"/>
    <mergeCell ref="B44:I44"/>
    <mergeCell ref="J44:K44"/>
    <mergeCell ref="A36:L36"/>
    <mergeCell ref="B45:I45"/>
    <mergeCell ref="J45:K45"/>
    <mergeCell ref="J39:K39"/>
    <mergeCell ref="B40:L40"/>
    <mergeCell ref="B41:I41"/>
    <mergeCell ref="J41:K41"/>
    <mergeCell ref="B42:I42"/>
    <mergeCell ref="J42:K42"/>
    <mergeCell ref="B39:I39"/>
    <mergeCell ref="B50:I50"/>
    <mergeCell ref="J50:K50"/>
    <mergeCell ref="B51:L51"/>
    <mergeCell ref="B52:I52"/>
    <mergeCell ref="J52:K52"/>
    <mergeCell ref="B53:I53"/>
    <mergeCell ref="J53:K53"/>
    <mergeCell ref="B46:I46"/>
    <mergeCell ref="J46:K46"/>
    <mergeCell ref="B47:I47"/>
    <mergeCell ref="J47:K47"/>
    <mergeCell ref="B48:L48"/>
    <mergeCell ref="B49:I49"/>
    <mergeCell ref="J49:K49"/>
    <mergeCell ref="B57:I57"/>
    <mergeCell ref="J57:K57"/>
    <mergeCell ref="B58:I58"/>
    <mergeCell ref="J58:K58"/>
    <mergeCell ref="B59:L59"/>
    <mergeCell ref="B60:I60"/>
    <mergeCell ref="J60:K60"/>
    <mergeCell ref="B54:I54"/>
    <mergeCell ref="J54:K54"/>
    <mergeCell ref="B55:I55"/>
    <mergeCell ref="J55:K55"/>
    <mergeCell ref="B56:I56"/>
    <mergeCell ref="J56:K56"/>
    <mergeCell ref="B64:L64"/>
    <mergeCell ref="B65:I65"/>
    <mergeCell ref="J65:K65"/>
    <mergeCell ref="B66:I66"/>
    <mergeCell ref="J66:K66"/>
    <mergeCell ref="B67:I67"/>
    <mergeCell ref="J67:K67"/>
    <mergeCell ref="B61:I61"/>
    <mergeCell ref="J61:K61"/>
    <mergeCell ref="B62:I62"/>
    <mergeCell ref="J62:K62"/>
    <mergeCell ref="B63:I63"/>
    <mergeCell ref="J63:K63"/>
    <mergeCell ref="B72:I72"/>
    <mergeCell ref="J72:K72"/>
    <mergeCell ref="B73:I73"/>
    <mergeCell ref="J73:K73"/>
    <mergeCell ref="B74:I74"/>
    <mergeCell ref="J74:K74"/>
    <mergeCell ref="B68:L68"/>
    <mergeCell ref="B69:I69"/>
    <mergeCell ref="J69:K69"/>
    <mergeCell ref="B70:I70"/>
    <mergeCell ref="J70:K70"/>
    <mergeCell ref="B71:I71"/>
    <mergeCell ref="J71:K71"/>
    <mergeCell ref="B79:I79"/>
    <mergeCell ref="J79:K79"/>
    <mergeCell ref="B80:I80"/>
    <mergeCell ref="J80:K80"/>
    <mergeCell ref="B81:I81"/>
    <mergeCell ref="J81:K81"/>
    <mergeCell ref="B75:I75"/>
    <mergeCell ref="J75:K75"/>
    <mergeCell ref="B76:L76"/>
    <mergeCell ref="B77:I77"/>
    <mergeCell ref="J77:K77"/>
    <mergeCell ref="B78:I78"/>
    <mergeCell ref="J78:K78"/>
    <mergeCell ref="B86:I86"/>
    <mergeCell ref="J86:K86"/>
    <mergeCell ref="B87:I87"/>
    <mergeCell ref="J87:K87"/>
    <mergeCell ref="B88:I88"/>
    <mergeCell ref="J88:K88"/>
    <mergeCell ref="B82:I82"/>
    <mergeCell ref="J82:K82"/>
    <mergeCell ref="B83:L83"/>
    <mergeCell ref="B84:I84"/>
    <mergeCell ref="J84:K84"/>
    <mergeCell ref="B85:I85"/>
    <mergeCell ref="J85:K85"/>
    <mergeCell ref="B92:I92"/>
    <mergeCell ref="J92:K92"/>
    <mergeCell ref="B93:I93"/>
    <mergeCell ref="J93:K93"/>
    <mergeCell ref="B94:I94"/>
    <mergeCell ref="J94:K94"/>
    <mergeCell ref="B89:I89"/>
    <mergeCell ref="J89:K89"/>
    <mergeCell ref="B90:I90"/>
    <mergeCell ref="J90:K90"/>
    <mergeCell ref="B91:I91"/>
    <mergeCell ref="J91:K91"/>
    <mergeCell ref="B98:I98"/>
    <mergeCell ref="J98:K98"/>
    <mergeCell ref="B99:I99"/>
    <mergeCell ref="J99:K99"/>
    <mergeCell ref="B100:I100"/>
    <mergeCell ref="J100:K100"/>
    <mergeCell ref="B95:I95"/>
    <mergeCell ref="J95:K95"/>
    <mergeCell ref="B96:I96"/>
    <mergeCell ref="J96:K96"/>
    <mergeCell ref="B97:I97"/>
    <mergeCell ref="J97:K97"/>
    <mergeCell ref="B104:I104"/>
    <mergeCell ref="J104:K104"/>
    <mergeCell ref="B105:L105"/>
    <mergeCell ref="B106:I106"/>
    <mergeCell ref="J106:K106"/>
    <mergeCell ref="B107:I107"/>
    <mergeCell ref="J107:K107"/>
    <mergeCell ref="B101:I101"/>
    <mergeCell ref="J101:K101"/>
    <mergeCell ref="B102:I102"/>
    <mergeCell ref="J102:K102"/>
    <mergeCell ref="B103:I103"/>
    <mergeCell ref="J103:K103"/>
    <mergeCell ref="C133:E133"/>
    <mergeCell ref="A124:L124"/>
    <mergeCell ref="A125:L125"/>
    <mergeCell ref="A129:L129"/>
    <mergeCell ref="A128:L128"/>
    <mergeCell ref="A127:L127"/>
    <mergeCell ref="A126:L126"/>
    <mergeCell ref="B108:I108"/>
    <mergeCell ref="J108:K108"/>
    <mergeCell ref="B109:I109"/>
    <mergeCell ref="J109:K109"/>
    <mergeCell ref="B110:L110"/>
    <mergeCell ref="B111:I111"/>
    <mergeCell ref="J111:K111"/>
    <mergeCell ref="A115:L115"/>
    <mergeCell ref="A117:L117"/>
    <mergeCell ref="A118:L118"/>
    <mergeCell ref="A119:L119"/>
    <mergeCell ref="B112:I112"/>
    <mergeCell ref="J112:K112"/>
    <mergeCell ref="B113:I113"/>
    <mergeCell ref="J113:K113"/>
    <mergeCell ref="B114:I114"/>
    <mergeCell ref="J114:K114"/>
    <mergeCell ref="A130:L130"/>
    <mergeCell ref="E19:I19"/>
    <mergeCell ref="C138:E138"/>
    <mergeCell ref="G138:I138"/>
    <mergeCell ref="K138:L138"/>
    <mergeCell ref="A8:C8"/>
    <mergeCell ref="G133:I133"/>
    <mergeCell ref="C134:E134"/>
    <mergeCell ref="G134:I134"/>
    <mergeCell ref="K133:L133"/>
    <mergeCell ref="K134:L134"/>
    <mergeCell ref="C137:E137"/>
    <mergeCell ref="G137:I137"/>
    <mergeCell ref="K137:L137"/>
    <mergeCell ref="A15:C15"/>
    <mergeCell ref="A19:D19"/>
    <mergeCell ref="A120:L120"/>
    <mergeCell ref="A121:L121"/>
    <mergeCell ref="A122:L122"/>
    <mergeCell ref="A123:L123"/>
    <mergeCell ref="A132:L132"/>
    <mergeCell ref="A136:L136"/>
    <mergeCell ref="A131:L131"/>
    <mergeCell ref="A133:B133"/>
  </mergeCells>
  <phoneticPr fontId="44" type="noConversion"/>
  <pageMargins left="1.18" right="0.59" top="0.59" bottom="0.79" header="0.49" footer="0.49"/>
  <pageSetup paperSize="9" scale="6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9173-C575-4728-98C0-3D85B81B87EA}">
  <sheetPr>
    <tabColor rgb="FFFFFF99"/>
    <pageSetUpPr fitToPage="1"/>
  </sheetPr>
  <dimension ref="A1:N62"/>
  <sheetViews>
    <sheetView view="pageBreakPreview" topLeftCell="A28" zoomScale="90" zoomScaleNormal="100" zoomScaleSheetLayoutView="90" workbookViewId="0">
      <selection activeCell="Q60" sqref="Q60"/>
    </sheetView>
  </sheetViews>
  <sheetFormatPr defaultColWidth="9.140625" defaultRowHeight="15" x14ac:dyDescent="0.25"/>
  <cols>
    <col min="1" max="6" width="9.140625" style="185"/>
    <col min="7" max="8" width="6.28515625" style="185" customWidth="1"/>
    <col min="9" max="9" width="5.42578125" style="185" customWidth="1"/>
    <col min="10" max="10" width="9.140625" style="185"/>
    <col min="11" max="11" width="8.140625" style="185" customWidth="1"/>
    <col min="12" max="16384" width="9.140625" style="185"/>
  </cols>
  <sheetData>
    <row r="1" spans="1:14" ht="12.95" customHeight="1" x14ac:dyDescent="0.25">
      <c r="A1" s="682" t="s">
        <v>960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</row>
    <row r="2" spans="1:14" ht="12.95" customHeight="1" x14ac:dyDescent="0.25">
      <c r="A2" s="683" t="s">
        <v>1173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</row>
    <row r="3" spans="1:14" ht="12.95" customHeight="1" x14ac:dyDescent="0.25">
      <c r="A3" s="683" t="str">
        <f>IF('Данные объект'!B2="","",'Данные объект'!B2)</f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14" ht="12.95" customHeight="1" x14ac:dyDescent="0.25">
      <c r="A4" s="684" t="s">
        <v>1176</v>
      </c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</row>
    <row r="5" spans="1:14" ht="26.1" customHeight="1" x14ac:dyDescent="0.25">
      <c r="A5" s="684" t="s">
        <v>1177</v>
      </c>
      <c r="B5" s="618"/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</row>
    <row r="6" spans="1:14" ht="7.5" customHeight="1" x14ac:dyDescent="0.25"/>
    <row r="7" spans="1:14" x14ac:dyDescent="0.25">
      <c r="A7" s="186"/>
      <c r="B7" s="186"/>
      <c r="C7" s="186"/>
      <c r="D7" s="186"/>
      <c r="E7" s="186"/>
      <c r="F7" s="186"/>
      <c r="G7" s="186"/>
      <c r="H7" s="216"/>
      <c r="I7" s="680"/>
      <c r="J7" s="680"/>
      <c r="K7" s="685" t="str">
        <f>IF('Данные объект'!B4="","",'Данные объект'!B4)</f>
      </c>
      <c r="L7" s="685"/>
      <c r="M7" s="685"/>
    </row>
    <row r="8" spans="1:14" x14ac:dyDescent="0.25">
      <c r="A8" s="186"/>
      <c r="B8" s="186"/>
      <c r="C8" s="186"/>
      <c r="D8" s="186"/>
      <c r="E8" s="186"/>
      <c r="F8" s="186"/>
      <c r="G8" s="186"/>
      <c r="H8" s="680"/>
      <c r="I8" s="680"/>
      <c r="J8" s="186"/>
      <c r="K8" s="681" t="s">
        <v>766</v>
      </c>
      <c r="L8" s="681"/>
      <c r="M8" s="681"/>
    </row>
    <row r="9" spans="1:14" ht="12.95" customHeight="1" x14ac:dyDescent="0.25">
      <c r="A9" s="573" t="s">
        <v>843</v>
      </c>
      <c r="B9" s="572"/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</row>
    <row r="10" spans="1:14" ht="12.95" customHeight="1" x14ac:dyDescent="0.25">
      <c r="A10" s="574" t="str">
        <f>IF('Данные объект'!B33="","",'Данные объект'!B33)</f>
      </c>
      <c r="B10" s="665"/>
      <c r="C10" s="665"/>
      <c r="D10" s="665"/>
      <c r="E10" s="665"/>
      <c r="F10" s="665"/>
      <c r="G10" s="665"/>
      <c r="H10" s="665"/>
      <c r="I10" s="665"/>
      <c r="J10" s="665"/>
      <c r="K10" s="665"/>
      <c r="L10" s="665"/>
      <c r="M10" s="665"/>
    </row>
    <row r="11" spans="1:14" ht="8.1" customHeight="1" x14ac:dyDescent="0.25">
      <c r="A11" s="613" t="s">
        <v>1374</v>
      </c>
      <c r="B11" s="614"/>
      <c r="C11" s="614"/>
      <c r="D11" s="614"/>
      <c r="E11" s="614"/>
      <c r="F11" s="614"/>
      <c r="G11" s="614"/>
      <c r="H11" s="614"/>
      <c r="I11" s="614"/>
      <c r="J11" s="614"/>
      <c r="K11" s="614"/>
      <c r="L11" s="614"/>
      <c r="M11" s="614"/>
    </row>
    <row r="12" spans="1:14" ht="12.95" customHeight="1" x14ac:dyDescent="0.25">
      <c r="A12" s="574" t="str">
        <f>IF('Данные объект'!C42="","",'Данные объект'!C42)</f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</row>
    <row r="13" spans="1:14" ht="8.1" customHeight="1" x14ac:dyDescent="0.25">
      <c r="A13" s="613" t="s">
        <v>948</v>
      </c>
      <c r="B13" s="614"/>
      <c r="C13" s="614"/>
      <c r="D13" s="614"/>
      <c r="E13" s="614"/>
      <c r="F13" s="614"/>
      <c r="G13" s="614"/>
      <c r="H13" s="614"/>
      <c r="I13" s="614"/>
      <c r="J13" s="614"/>
      <c r="K13" s="614"/>
      <c r="L13" s="614"/>
      <c r="M13" s="614"/>
    </row>
    <row r="14" spans="1:14" ht="19.5" customHeight="1" x14ac:dyDescent="0.25">
      <c r="A14" s="673" t="s">
        <v>846</v>
      </c>
      <c r="B14" s="673"/>
      <c r="C14" s="568" t="str">
        <f>IF('Данные объект'!B43="","",'Данные объект'!B43)</f>
      </c>
      <c r="D14" s="568"/>
      <c r="E14" s="568"/>
      <c r="F14" s="568"/>
      <c r="G14" s="568"/>
      <c r="H14" s="673" t="s">
        <v>845</v>
      </c>
      <c r="I14" s="673"/>
      <c r="J14" s="673"/>
      <c r="K14" s="673"/>
      <c r="L14" s="673"/>
      <c r="M14" s="673"/>
      <c r="N14" s="217"/>
    </row>
    <row r="15" spans="1:14" ht="39" customHeight="1" x14ac:dyDescent="0.25">
      <c r="A15" s="574" t="str">
        <f>IF('Данные объект'!B3="","",'Данные объект'!B3)</f>
      </c>
      <c r="B15" s="623"/>
      <c r="C15" s="623"/>
      <c r="D15" s="623"/>
      <c r="E15" s="623"/>
      <c r="F15" s="623"/>
      <c r="G15" s="623"/>
      <c r="H15" s="623"/>
      <c r="I15" s="623"/>
      <c r="J15" s="623"/>
      <c r="K15" s="623"/>
      <c r="L15" s="623"/>
      <c r="M15" s="623"/>
    </row>
    <row r="16" spans="1:14" ht="8.1" customHeight="1" x14ac:dyDescent="0.25">
      <c r="A16" s="653" t="s">
        <v>957</v>
      </c>
      <c r="B16" s="604"/>
      <c r="C16" s="604"/>
      <c r="D16" s="604"/>
      <c r="E16" s="604"/>
      <c r="F16" s="604"/>
      <c r="G16" s="604"/>
      <c r="H16" s="604"/>
      <c r="I16" s="604"/>
      <c r="J16" s="604"/>
      <c r="K16" s="604"/>
      <c r="L16" s="604"/>
      <c r="M16" s="604"/>
    </row>
    <row r="18" spans="1:13" ht="19.5" customHeight="1" x14ac:dyDescent="0.25">
      <c r="A18" s="674" t="s">
        <v>847</v>
      </c>
      <c r="B18" s="674"/>
      <c r="C18" s="674"/>
      <c r="D18" s="568" t="str">
        <f>IF('Данные объект'!B19="","",'Данные объект'!B19)</f>
      </c>
      <c r="E18" s="568"/>
      <c r="F18" s="568"/>
      <c r="G18" s="568"/>
      <c r="H18" s="568"/>
      <c r="I18" s="568"/>
      <c r="J18" s="568"/>
      <c r="K18" s="568"/>
      <c r="L18" s="568"/>
      <c r="M18" s="568"/>
    </row>
    <row r="19" spans="1:13" ht="8.1" customHeight="1" x14ac:dyDescent="0.25">
      <c r="A19" s="613" t="s">
        <v>958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</row>
    <row r="20" spans="1:13" ht="12.95" customHeight="1" x14ac:dyDescent="0.25">
      <c r="A20" s="573" t="s">
        <v>962</v>
      </c>
      <c r="B20" s="572"/>
      <c r="C20" s="572"/>
      <c r="D20" s="572"/>
      <c r="E20" s="572"/>
      <c r="F20" s="572"/>
      <c r="G20" s="572"/>
      <c r="H20" s="572"/>
      <c r="I20" s="572"/>
      <c r="J20" s="572"/>
      <c r="K20" s="572"/>
      <c r="L20" s="572"/>
      <c r="M20" s="572"/>
    </row>
    <row r="21" spans="1:13" ht="12.95" customHeight="1" x14ac:dyDescent="0.25">
      <c r="A21" s="573" t="s">
        <v>961</v>
      </c>
      <c r="B21" s="572"/>
      <c r="C21" s="572"/>
      <c r="D21" s="572"/>
      <c r="E21" s="572"/>
      <c r="F21" s="572"/>
      <c r="G21" s="572"/>
      <c r="H21" s="572"/>
      <c r="I21" s="572"/>
      <c r="J21" s="572"/>
      <c r="K21" s="572"/>
      <c r="L21" s="572"/>
      <c r="M21" s="572"/>
    </row>
    <row r="22" spans="1:13" ht="12.95" customHeight="1" x14ac:dyDescent="0.25">
      <c r="A22" s="574" t="str">
        <f>IF('Данные объект'!C28="","",'Данные объект'!C28)</f>
      </c>
      <c r="B22" s="665"/>
      <c r="C22" s="665"/>
      <c r="D22" s="665"/>
      <c r="E22" s="665"/>
      <c r="F22" s="665"/>
      <c r="G22" s="665"/>
      <c r="H22" s="665"/>
      <c r="I22" s="665"/>
      <c r="J22" s="665"/>
      <c r="K22" s="665"/>
      <c r="L22" s="665"/>
      <c r="M22" s="665"/>
    </row>
    <row r="23" spans="1:13" ht="8.1" customHeight="1" x14ac:dyDescent="0.25">
      <c r="A23" s="613" t="s">
        <v>959</v>
      </c>
      <c r="B23" s="614"/>
      <c r="C23" s="614"/>
      <c r="D23" s="614"/>
      <c r="E23" s="614"/>
      <c r="F23" s="614"/>
      <c r="G23" s="614"/>
      <c r="H23" s="614"/>
      <c r="I23" s="614"/>
      <c r="J23" s="614"/>
      <c r="K23" s="614"/>
      <c r="L23" s="614"/>
      <c r="M23" s="614"/>
    </row>
    <row r="24" spans="1:13" ht="12.95" customHeight="1" x14ac:dyDescent="0.25">
      <c r="A24" s="573" t="s">
        <v>963</v>
      </c>
      <c r="B24" s="572"/>
      <c r="C24" s="572"/>
      <c r="D24" s="572"/>
      <c r="E24" s="572"/>
      <c r="F24" s="572"/>
      <c r="G24" s="572"/>
      <c r="H24" s="572"/>
      <c r="I24" s="572"/>
      <c r="J24" s="572"/>
      <c r="K24" s="572"/>
      <c r="L24" s="572"/>
      <c r="M24" s="572"/>
    </row>
    <row r="25" spans="1:13" ht="12.95" customHeight="1" x14ac:dyDescent="0.25">
      <c r="A25" s="679" t="s">
        <v>964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</row>
    <row r="26" spans="1:13" ht="8.1" customHeight="1" x14ac:dyDescent="0.25">
      <c r="A26" s="653" t="s">
        <v>772</v>
      </c>
      <c r="B26" s="604"/>
      <c r="C26" s="604"/>
      <c r="D26" s="604"/>
      <c r="E26" s="604"/>
      <c r="F26" s="604"/>
      <c r="G26" s="604"/>
      <c r="H26" s="604"/>
      <c r="I26" s="604"/>
      <c r="J26" s="604"/>
      <c r="K26" s="604"/>
      <c r="L26" s="604"/>
      <c r="M26" s="604"/>
    </row>
    <row r="28" spans="1:13" ht="75.75" customHeight="1" x14ac:dyDescent="0.25">
      <c r="A28" s="219" t="s">
        <v>965</v>
      </c>
      <c r="B28" s="642" t="s">
        <v>966</v>
      </c>
      <c r="C28" s="642"/>
      <c r="D28" s="642"/>
      <c r="E28" s="642"/>
      <c r="F28" s="642"/>
      <c r="G28" s="642"/>
      <c r="H28" s="642"/>
      <c r="I28" s="642"/>
      <c r="J28" s="642" t="s">
        <v>987</v>
      </c>
      <c r="K28" s="642"/>
      <c r="L28" s="642" t="s">
        <v>967</v>
      </c>
      <c r="M28" s="642"/>
    </row>
    <row r="29" spans="1:13" x14ac:dyDescent="0.25">
      <c r="A29" s="204">
        <v>1</v>
      </c>
      <c r="B29" s="642">
        <v>2</v>
      </c>
      <c r="C29" s="642"/>
      <c r="D29" s="642"/>
      <c r="E29" s="642"/>
      <c r="F29" s="642"/>
      <c r="G29" s="642"/>
      <c r="H29" s="642"/>
      <c r="I29" s="642"/>
      <c r="J29" s="645">
        <v>3</v>
      </c>
      <c r="K29" s="645"/>
      <c r="L29" s="642">
        <v>4</v>
      </c>
      <c r="M29" s="642"/>
    </row>
    <row r="30" spans="1:13" x14ac:dyDescent="0.25">
      <c r="A30" s="204">
        <v>1</v>
      </c>
      <c r="B30" s="667" t="s">
        <v>968</v>
      </c>
      <c r="C30" s="667"/>
      <c r="D30" s="667"/>
      <c r="E30" s="667"/>
      <c r="F30" s="667"/>
      <c r="G30" s="667"/>
      <c r="H30" s="667"/>
      <c r="I30" s="667"/>
      <c r="J30" s="670" t="s">
        <v>481</v>
      </c>
      <c r="K30" s="671"/>
      <c r="L30" s="645"/>
      <c r="M30" s="645"/>
    </row>
    <row r="31" spans="1:13" x14ac:dyDescent="0.25">
      <c r="A31" s="204">
        <v>2</v>
      </c>
      <c r="B31" s="667" t="s">
        <v>969</v>
      </c>
      <c r="C31" s="667"/>
      <c r="D31" s="667"/>
      <c r="E31" s="667"/>
      <c r="F31" s="667"/>
      <c r="G31" s="667"/>
      <c r="H31" s="667"/>
      <c r="I31" s="667"/>
      <c r="J31" s="670" t="s">
        <v>481</v>
      </c>
      <c r="K31" s="671"/>
      <c r="L31" s="645"/>
      <c r="M31" s="645"/>
    </row>
    <row r="32" spans="1:13" x14ac:dyDescent="0.25">
      <c r="A32" s="204">
        <v>3</v>
      </c>
      <c r="B32" s="667" t="s">
        <v>970</v>
      </c>
      <c r="C32" s="667"/>
      <c r="D32" s="667"/>
      <c r="E32" s="667"/>
      <c r="F32" s="667"/>
      <c r="G32" s="667"/>
      <c r="H32" s="667"/>
      <c r="I32" s="667"/>
      <c r="J32" s="670" t="s">
        <v>481</v>
      </c>
      <c r="K32" s="671"/>
      <c r="L32" s="645"/>
      <c r="M32" s="645"/>
    </row>
    <row r="33" spans="1:13" x14ac:dyDescent="0.25">
      <c r="A33" s="204">
        <v>4</v>
      </c>
      <c r="B33" s="667" t="s">
        <v>971</v>
      </c>
      <c r="C33" s="667"/>
      <c r="D33" s="667"/>
      <c r="E33" s="667"/>
      <c r="F33" s="667"/>
      <c r="G33" s="667"/>
      <c r="H33" s="667"/>
      <c r="I33" s="667"/>
      <c r="J33" s="670" t="s">
        <v>481</v>
      </c>
      <c r="K33" s="671"/>
      <c r="L33" s="645"/>
      <c r="M33" s="645"/>
    </row>
    <row r="34" spans="1:13" x14ac:dyDescent="0.25">
      <c r="A34" s="204">
        <v>5</v>
      </c>
      <c r="B34" s="667" t="s">
        <v>972</v>
      </c>
      <c r="C34" s="667"/>
      <c r="D34" s="667"/>
      <c r="E34" s="667"/>
      <c r="F34" s="667"/>
      <c r="G34" s="667"/>
      <c r="H34" s="667"/>
      <c r="I34" s="667"/>
      <c r="J34" s="670" t="s">
        <v>481</v>
      </c>
      <c r="K34" s="671"/>
      <c r="L34" s="645"/>
      <c r="M34" s="645"/>
    </row>
    <row r="35" spans="1:13" x14ac:dyDescent="0.25">
      <c r="A35" s="204">
        <v>6</v>
      </c>
      <c r="B35" s="667" t="s">
        <v>973</v>
      </c>
      <c r="C35" s="667"/>
      <c r="D35" s="667"/>
      <c r="E35" s="667"/>
      <c r="F35" s="667"/>
      <c r="G35" s="667"/>
      <c r="H35" s="667"/>
      <c r="I35" s="667"/>
      <c r="J35" s="670" t="s">
        <v>481</v>
      </c>
      <c r="K35" s="671"/>
      <c r="L35" s="645"/>
      <c r="M35" s="645"/>
    </row>
    <row r="36" spans="1:13" x14ac:dyDescent="0.25">
      <c r="A36" s="204">
        <v>7</v>
      </c>
      <c r="B36" s="667" t="s">
        <v>974</v>
      </c>
      <c r="C36" s="667"/>
      <c r="D36" s="667"/>
      <c r="E36" s="667"/>
      <c r="F36" s="667"/>
      <c r="G36" s="667"/>
      <c r="H36" s="667"/>
      <c r="I36" s="667"/>
      <c r="J36" s="670" t="s">
        <v>481</v>
      </c>
      <c r="K36" s="671"/>
      <c r="L36" s="645"/>
      <c r="M36" s="645"/>
    </row>
    <row r="37" spans="1:13" x14ac:dyDescent="0.25">
      <c r="A37" s="204">
        <v>8</v>
      </c>
      <c r="B37" s="667" t="s">
        <v>975</v>
      </c>
      <c r="C37" s="667"/>
      <c r="D37" s="667"/>
      <c r="E37" s="667"/>
      <c r="F37" s="667"/>
      <c r="G37" s="667"/>
      <c r="H37" s="667"/>
      <c r="I37" s="667"/>
      <c r="J37" s="670" t="s">
        <v>481</v>
      </c>
      <c r="K37" s="671"/>
      <c r="L37" s="645"/>
      <c r="M37" s="645"/>
    </row>
    <row r="38" spans="1:13" x14ac:dyDescent="0.25">
      <c r="A38" s="204">
        <v>9</v>
      </c>
      <c r="B38" s="667" t="s">
        <v>976</v>
      </c>
      <c r="C38" s="667"/>
      <c r="D38" s="667"/>
      <c r="E38" s="667"/>
      <c r="F38" s="667"/>
      <c r="G38" s="667"/>
      <c r="H38" s="667"/>
      <c r="I38" s="667"/>
      <c r="J38" s="670" t="s">
        <v>481</v>
      </c>
      <c r="K38" s="671"/>
      <c r="L38" s="645"/>
      <c r="M38" s="645"/>
    </row>
    <row r="39" spans="1:13" x14ac:dyDescent="0.25">
      <c r="A39" s="204">
        <v>10</v>
      </c>
      <c r="B39" s="667" t="s">
        <v>977</v>
      </c>
      <c r="C39" s="667"/>
      <c r="D39" s="667"/>
      <c r="E39" s="667"/>
      <c r="F39" s="667"/>
      <c r="G39" s="667"/>
      <c r="H39" s="667"/>
      <c r="I39" s="667"/>
      <c r="J39" s="670" t="s">
        <v>481</v>
      </c>
      <c r="K39" s="671"/>
      <c r="L39" s="645"/>
      <c r="M39" s="645"/>
    </row>
    <row r="40" spans="1:13" x14ac:dyDescent="0.25">
      <c r="A40" s="204">
        <v>11</v>
      </c>
      <c r="B40" s="667" t="s">
        <v>978</v>
      </c>
      <c r="C40" s="667"/>
      <c r="D40" s="667"/>
      <c r="E40" s="667"/>
      <c r="F40" s="667"/>
      <c r="G40" s="667"/>
      <c r="H40" s="667"/>
      <c r="I40" s="667"/>
      <c r="J40" s="670" t="s">
        <v>481</v>
      </c>
      <c r="K40" s="671"/>
      <c r="L40" s="645"/>
      <c r="M40" s="645"/>
    </row>
    <row r="41" spans="1:13" x14ac:dyDescent="0.25">
      <c r="A41" s="204">
        <v>12</v>
      </c>
      <c r="B41" s="667" t="s">
        <v>979</v>
      </c>
      <c r="C41" s="667"/>
      <c r="D41" s="667"/>
      <c r="E41" s="667"/>
      <c r="F41" s="667"/>
      <c r="G41" s="667"/>
      <c r="H41" s="667"/>
      <c r="I41" s="667"/>
      <c r="J41" s="670" t="s">
        <v>481</v>
      </c>
      <c r="K41" s="671"/>
      <c r="L41" s="645"/>
      <c r="M41" s="645"/>
    </row>
    <row r="42" spans="1:13" x14ac:dyDescent="0.25">
      <c r="A42" s="204">
        <v>13</v>
      </c>
      <c r="B42" s="667" t="s">
        <v>980</v>
      </c>
      <c r="C42" s="667"/>
      <c r="D42" s="667"/>
      <c r="E42" s="667"/>
      <c r="F42" s="667"/>
      <c r="G42" s="667"/>
      <c r="H42" s="667"/>
      <c r="I42" s="667"/>
      <c r="J42" s="670" t="s">
        <v>481</v>
      </c>
      <c r="K42" s="671"/>
      <c r="L42" s="645"/>
      <c r="M42" s="645"/>
    </row>
    <row r="43" spans="1:13" x14ac:dyDescent="0.25">
      <c r="A43" s="204">
        <v>14</v>
      </c>
      <c r="B43" s="667" t="s">
        <v>981</v>
      </c>
      <c r="C43" s="667"/>
      <c r="D43" s="667"/>
      <c r="E43" s="667"/>
      <c r="F43" s="667"/>
      <c r="G43" s="667"/>
      <c r="H43" s="667"/>
      <c r="I43" s="667"/>
      <c r="J43" s="670" t="s">
        <v>481</v>
      </c>
      <c r="K43" s="671"/>
      <c r="L43" s="645"/>
      <c r="M43" s="645"/>
    </row>
    <row r="44" spans="1:13" x14ac:dyDescent="0.2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</row>
    <row r="45" spans="1:13" ht="12" customHeight="1" x14ac:dyDescent="0.25">
      <c r="A45" s="573" t="s">
        <v>982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</row>
    <row r="46" spans="1:13" x14ac:dyDescent="0.25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</row>
    <row r="47" spans="1:13" ht="12.95" customHeight="1" x14ac:dyDescent="0.25">
      <c r="A47" s="580" t="s">
        <v>983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</row>
    <row r="48" spans="1:13" ht="12.95" customHeight="1" x14ac:dyDescent="0.25">
      <c r="A48" s="573" t="s">
        <v>984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</row>
    <row r="49" spans="1:13" ht="12.95" customHeight="1" x14ac:dyDescent="0.25">
      <c r="A49" s="633" t="str">
        <f>IF('Данные объект'!B19="","",'Данные объект'!B19)</f>
      </c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</row>
    <row r="50" spans="1:13" ht="14.25" customHeight="1" x14ac:dyDescent="0.25">
      <c r="A50" s="601" t="s">
        <v>1379</v>
      </c>
      <c r="B50" s="676"/>
      <c r="C50" s="676"/>
      <c r="D50" s="676"/>
      <c r="E50" s="676"/>
      <c r="F50" s="676"/>
      <c r="G50" s="676"/>
      <c r="H50" s="676"/>
      <c r="I50" s="676"/>
      <c r="J50" s="676"/>
      <c r="K50" s="676"/>
      <c r="L50" s="676"/>
      <c r="M50" s="676"/>
    </row>
    <row r="51" spans="1:13" ht="12.95" customHeight="1" x14ac:dyDescent="0.25">
      <c r="A51" s="677" t="s">
        <v>1378</v>
      </c>
      <c r="B51" s="678"/>
      <c r="C51" s="678"/>
      <c r="D51" s="678"/>
      <c r="E51" s="678"/>
      <c r="F51" s="678"/>
      <c r="G51" s="678"/>
      <c r="H51" s="678"/>
      <c r="I51" s="678"/>
      <c r="J51" s="678"/>
      <c r="K51" s="678"/>
      <c r="L51" s="678"/>
      <c r="M51" s="678"/>
    </row>
    <row r="52" spans="1:13" s="364" customFormat="1" ht="12.95" customHeight="1" x14ac:dyDescent="0.25">
      <c r="A52" s="643" t="str">
        <f>IF('Данные объект'!B2="","",'Данные объект'!B2)</f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</row>
    <row r="53" spans="1:13" ht="14.25" customHeight="1" x14ac:dyDescent="0.25">
      <c r="A53" s="635" t="s">
        <v>329</v>
      </c>
      <c r="B53" s="635"/>
      <c r="C53" s="635"/>
      <c r="D53" s="635"/>
      <c r="E53" s="635"/>
      <c r="F53" s="635"/>
      <c r="G53" s="635"/>
      <c r="H53" s="635"/>
      <c r="I53" s="635"/>
      <c r="J53" s="635"/>
      <c r="K53" s="635"/>
      <c r="L53" s="635"/>
      <c r="M53" s="635"/>
    </row>
    <row r="54" spans="1:13" x14ac:dyDescent="0.25">
      <c r="A54" s="668" t="s">
        <v>1356</v>
      </c>
      <c r="B54" s="668"/>
      <c r="C54" s="668"/>
      <c r="D54" s="668"/>
      <c r="E54" s="668"/>
      <c r="F54" s="668"/>
      <c r="G54" s="668"/>
      <c r="H54" s="668"/>
      <c r="I54" s="668"/>
      <c r="J54" s="668"/>
      <c r="K54" s="668"/>
      <c r="L54" s="668"/>
      <c r="M54" s="668"/>
    </row>
    <row r="55" spans="1:13" ht="10.5" customHeight="1" x14ac:dyDescent="0.25">
      <c r="A55" s="669" t="s">
        <v>985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669"/>
    </row>
    <row r="56" spans="1:13" ht="12.95" customHeight="1" x14ac:dyDescent="0.25">
      <c r="A56" s="636" t="s">
        <v>986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</row>
    <row r="57" spans="1:13" ht="23.25" customHeight="1" x14ac:dyDescent="0.25">
      <c r="A57" s="571" t="s">
        <v>1179</v>
      </c>
      <c r="B57" s="571"/>
      <c r="C57" s="568" t="str">
        <f>IF('Данные объект'!B39="","",'Данные объект'!B39)</f>
      </c>
      <c r="D57" s="568"/>
      <c r="E57" s="568"/>
      <c r="F57" s="192"/>
      <c r="G57" s="628"/>
      <c r="H57" s="628"/>
      <c r="I57" s="628"/>
      <c r="K57" s="568" t="str">
        <f>IF('Данные объект'!B42="","",'Данные объект'!B42)</f>
      </c>
      <c r="L57" s="568"/>
    </row>
    <row r="58" spans="1:13" ht="15" customHeight="1" x14ac:dyDescent="0.25">
      <c r="A58" s="202"/>
      <c r="C58" s="576" t="s">
        <v>861</v>
      </c>
      <c r="D58" s="576"/>
      <c r="E58" s="576"/>
      <c r="G58" s="576" t="s">
        <v>862</v>
      </c>
      <c r="H58" s="576"/>
      <c r="I58" s="576"/>
      <c r="K58" s="576" t="s">
        <v>863</v>
      </c>
      <c r="L58" s="576"/>
    </row>
    <row r="60" spans="1:13" ht="26.25" customHeight="1" x14ac:dyDescent="0.25">
      <c r="A60" s="637" t="s">
        <v>1377</v>
      </c>
      <c r="B60" s="572"/>
      <c r="C60" s="572"/>
      <c r="D60" s="572"/>
      <c r="E60" s="572"/>
      <c r="F60" s="572"/>
      <c r="G60" s="572"/>
      <c r="H60" s="572"/>
      <c r="I60" s="572"/>
      <c r="J60" s="572"/>
      <c r="K60" s="572"/>
      <c r="L60" s="572"/>
    </row>
    <row r="61" spans="1:13" ht="26.1" customHeight="1" x14ac:dyDescent="0.25">
      <c r="A61" s="187"/>
      <c r="C61" s="629" t="str">
        <f>IF('Данные объект'!C27="","",'Данные объект'!C27)</f>
      </c>
      <c r="D61" s="629"/>
      <c r="E61" s="629"/>
      <c r="F61" s="192"/>
      <c r="G61" s="628"/>
      <c r="H61" s="628"/>
      <c r="I61" s="628"/>
      <c r="K61" s="568" t="str">
        <f>IF('Данные объект'!B28="","",'Данные объект'!B28)</f>
      </c>
      <c r="L61" s="568"/>
    </row>
    <row r="62" spans="1:13" ht="12.75" customHeight="1" x14ac:dyDescent="0.25">
      <c r="A62" s="202"/>
      <c r="C62" s="576" t="s">
        <v>861</v>
      </c>
      <c r="D62" s="576"/>
      <c r="E62" s="576"/>
      <c r="G62" s="576" t="s">
        <v>862</v>
      </c>
      <c r="H62" s="576"/>
      <c r="I62" s="576"/>
      <c r="K62" s="576" t="s">
        <v>863</v>
      </c>
      <c r="L62" s="576"/>
    </row>
  </sheetData>
  <mergeCells count="102">
    <mergeCell ref="H8:I8"/>
    <mergeCell ref="A9:M9"/>
    <mergeCell ref="A10:M10"/>
    <mergeCell ref="A11:M11"/>
    <mergeCell ref="A12:M12"/>
    <mergeCell ref="A13:M13"/>
    <mergeCell ref="K8:M8"/>
    <mergeCell ref="A1:M1"/>
    <mergeCell ref="A2:M2"/>
    <mergeCell ref="A4:M4"/>
    <mergeCell ref="A5:M5"/>
    <mergeCell ref="I7:J7"/>
    <mergeCell ref="K7:M7"/>
    <mergeCell ref="A3:M3"/>
    <mergeCell ref="A48:M48"/>
    <mergeCell ref="A49:M49"/>
    <mergeCell ref="A50:M50"/>
    <mergeCell ref="A51:M51"/>
    <mergeCell ref="A21:M21"/>
    <mergeCell ref="A22:M22"/>
    <mergeCell ref="A23:M23"/>
    <mergeCell ref="A24:M24"/>
    <mergeCell ref="A25:M25"/>
    <mergeCell ref="A26:M26"/>
    <mergeCell ref="B30:I30"/>
    <mergeCell ref="J30:K30"/>
    <mergeCell ref="L30:M30"/>
    <mergeCell ref="B31:I31"/>
    <mergeCell ref="J31:K31"/>
    <mergeCell ref="L31:M31"/>
    <mergeCell ref="L34:M34"/>
    <mergeCell ref="J35:K35"/>
    <mergeCell ref="L35:M35"/>
    <mergeCell ref="J36:K36"/>
    <mergeCell ref="L36:M36"/>
    <mergeCell ref="B32:I32"/>
    <mergeCell ref="J32:K32"/>
    <mergeCell ref="L32:M32"/>
    <mergeCell ref="J34:K34"/>
    <mergeCell ref="H14:M14"/>
    <mergeCell ref="L28:M28"/>
    <mergeCell ref="L29:M29"/>
    <mergeCell ref="J28:K28"/>
    <mergeCell ref="J29:K29"/>
    <mergeCell ref="A18:C18"/>
    <mergeCell ref="D18:M18"/>
    <mergeCell ref="B28:I28"/>
    <mergeCell ref="B29:I29"/>
    <mergeCell ref="A15:M15"/>
    <mergeCell ref="A16:M16"/>
    <mergeCell ref="A19:M19"/>
    <mergeCell ref="A20:M20"/>
    <mergeCell ref="A14:B14"/>
    <mergeCell ref="C14:G14"/>
    <mergeCell ref="A47:M47"/>
    <mergeCell ref="B33:I33"/>
    <mergeCell ref="J33:K33"/>
    <mergeCell ref="L33:M33"/>
    <mergeCell ref="L40:M40"/>
    <mergeCell ref="J41:K41"/>
    <mergeCell ref="L41:M41"/>
    <mergeCell ref="J42:K42"/>
    <mergeCell ref="L42:M42"/>
    <mergeCell ref="J37:K37"/>
    <mergeCell ref="L37:M37"/>
    <mergeCell ref="J38:K38"/>
    <mergeCell ref="L38:M38"/>
    <mergeCell ref="J39:K39"/>
    <mergeCell ref="L39:M39"/>
    <mergeCell ref="B34:I34"/>
    <mergeCell ref="B35:I35"/>
    <mergeCell ref="B36:I36"/>
    <mergeCell ref="B37:I37"/>
    <mergeCell ref="B38:I38"/>
    <mergeCell ref="B39:I39"/>
    <mergeCell ref="B40:I40"/>
    <mergeCell ref="B41:I41"/>
    <mergeCell ref="J40:K40"/>
    <mergeCell ref="A52:M52"/>
    <mergeCell ref="C61:E61"/>
    <mergeCell ref="G61:I61"/>
    <mergeCell ref="K61:L61"/>
    <mergeCell ref="C62:E62"/>
    <mergeCell ref="G62:I62"/>
    <mergeCell ref="K62:L62"/>
    <mergeCell ref="B42:I42"/>
    <mergeCell ref="B43:I43"/>
    <mergeCell ref="A53:M53"/>
    <mergeCell ref="A54:M54"/>
    <mergeCell ref="A55:M55"/>
    <mergeCell ref="A57:B57"/>
    <mergeCell ref="C57:E57"/>
    <mergeCell ref="G57:I57"/>
    <mergeCell ref="K57:L57"/>
    <mergeCell ref="J43:K43"/>
    <mergeCell ref="L43:M43"/>
    <mergeCell ref="A56:M56"/>
    <mergeCell ref="C58:E58"/>
    <mergeCell ref="G58:I58"/>
    <mergeCell ref="K58:L58"/>
    <mergeCell ref="A60:L60"/>
    <mergeCell ref="A45:M45"/>
  </mergeCells>
  <pageMargins left="0.78740157480314965" right="0.59055118110236227" top="0.31496062992125984" bottom="0.78740157480314965" header="0.47244094488188981" footer="0.47244094488188981"/>
  <pageSetup paperSize="9" scale="8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FA19-339E-4E78-B5DD-1F7492438272}">
  <sheetPr>
    <tabColor rgb="FFFFFF99"/>
  </sheetPr>
  <dimension ref="A1:M197"/>
  <sheetViews>
    <sheetView view="pageBreakPreview" topLeftCell="A170" zoomScaleNormal="100" zoomScaleSheetLayoutView="100" workbookViewId="0">
      <selection activeCell="Q190" sqref="Q190"/>
    </sheetView>
  </sheetViews>
  <sheetFormatPr defaultColWidth="9.140625" defaultRowHeight="15" x14ac:dyDescent="0.25"/>
  <cols>
    <col min="1" max="4" width="9.140625" style="185"/>
    <col min="5" max="5" width="10.5703125" style="185" customWidth="1"/>
    <col min="6" max="10" width="9.140625" style="185"/>
    <col min="11" max="11" width="7.7109375" style="185" customWidth="1"/>
    <col min="12" max="12" width="10.5703125" style="185" customWidth="1"/>
    <col min="13" max="16384" width="9.140625" style="185"/>
  </cols>
  <sheetData>
    <row r="1" spans="1:13" x14ac:dyDescent="0.25">
      <c r="A1" s="682" t="s">
        <v>1012</v>
      </c>
      <c r="B1" s="682"/>
      <c r="C1" s="682"/>
      <c r="D1" s="682"/>
      <c r="E1" s="733"/>
      <c r="F1" s="733"/>
      <c r="G1" s="733"/>
      <c r="H1" s="733"/>
      <c r="I1" s="733"/>
      <c r="J1" s="733"/>
      <c r="K1" s="733"/>
      <c r="L1" s="733"/>
      <c r="M1" s="733"/>
    </row>
    <row r="2" spans="1:13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</row>
    <row r="3" spans="1:13" ht="15" customHeight="1" x14ac:dyDescent="0.25">
      <c r="A3" s="734" t="s">
        <v>1173</v>
      </c>
      <c r="B3" s="734"/>
      <c r="C3" s="734"/>
      <c r="D3" s="734"/>
      <c r="E3" s="735"/>
      <c r="F3" s="735"/>
      <c r="G3" s="735"/>
      <c r="H3" s="735"/>
      <c r="I3" s="735"/>
      <c r="J3" s="735"/>
      <c r="K3" s="735"/>
      <c r="L3" s="735"/>
      <c r="M3" s="735"/>
    </row>
    <row r="4" spans="1:13" x14ac:dyDescent="0.25">
      <c r="A4" s="738" t="s">
        <v>1178</v>
      </c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738"/>
    </row>
    <row r="5" spans="1:13" ht="39" customHeight="1" x14ac:dyDescent="0.25">
      <c r="A5" s="611" t="str">
        <f>IF('Данные объект'!B3="","",'Данные объект'!B3)</f>
      </c>
      <c r="B5" s="611"/>
      <c r="C5" s="611"/>
      <c r="D5" s="611"/>
      <c r="E5" s="736"/>
      <c r="F5" s="736"/>
      <c r="G5" s="736"/>
      <c r="H5" s="736"/>
      <c r="I5" s="736"/>
      <c r="J5" s="736"/>
      <c r="K5" s="736"/>
      <c r="L5" s="736"/>
      <c r="M5" s="736"/>
    </row>
    <row r="6" spans="1:13" x14ac:dyDescent="0.25">
      <c r="A6" s="212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</row>
    <row r="7" spans="1:13" ht="12" customHeight="1" x14ac:dyDescent="0.25">
      <c r="A7" s="608" t="str">
        <f>IF('Данные объект'!B2="","",'Данные объект'!B2)</f>
      </c>
      <c r="B7" s="608"/>
      <c r="C7" s="608"/>
      <c r="D7" s="608"/>
      <c r="E7" s="737"/>
      <c r="F7" s="737"/>
      <c r="G7" s="737"/>
      <c r="H7" s="737"/>
      <c r="I7" s="737"/>
      <c r="J7" s="737"/>
      <c r="K7" s="737"/>
      <c r="L7" s="737"/>
      <c r="M7" s="737"/>
    </row>
    <row r="8" spans="1:13" ht="12" customHeight="1" x14ac:dyDescent="0.25">
      <c r="A8" s="601" t="s">
        <v>1013</v>
      </c>
      <c r="B8" s="601"/>
      <c r="C8" s="601"/>
      <c r="D8" s="601"/>
      <c r="E8" s="602"/>
      <c r="F8" s="602"/>
      <c r="G8" s="602"/>
      <c r="H8" s="602"/>
      <c r="I8" s="602"/>
      <c r="J8" s="602"/>
      <c r="K8" s="602"/>
      <c r="L8" s="602"/>
      <c r="M8" s="602"/>
    </row>
    <row r="9" spans="1:13" x14ac:dyDescent="0.25">
      <c r="A9" s="627" t="str">
        <f>IF('Данные объект'!B4="","",'Данные объект'!B4)</f>
      </c>
      <c r="B9" s="627"/>
      <c r="C9" s="627"/>
      <c r="D9" s="189"/>
      <c r="E9" s="210"/>
      <c r="F9" s="636"/>
      <c r="G9" s="636"/>
      <c r="H9" s="190"/>
      <c r="I9" s="189"/>
      <c r="J9" s="189"/>
      <c r="K9" s="710" t="str">
        <f>IF('Данные объект'!B8="","",'Данные объект'!B8)</f>
      </c>
      <c r="L9" s="710"/>
      <c r="M9" s="710"/>
    </row>
    <row r="10" spans="1:13" x14ac:dyDescent="0.25">
      <c r="A10" s="653" t="s">
        <v>1014</v>
      </c>
      <c r="B10" s="653"/>
      <c r="C10" s="653"/>
      <c r="D10" s="189"/>
      <c r="E10" s="636"/>
      <c r="F10" s="636"/>
      <c r="G10" s="189"/>
      <c r="H10" s="189"/>
      <c r="I10" s="189"/>
      <c r="J10" s="189"/>
      <c r="K10" s="659"/>
      <c r="L10" s="659"/>
      <c r="M10" s="659"/>
    </row>
    <row r="11" spans="1:13" x14ac:dyDescent="0.25">
      <c r="A11" s="211"/>
      <c r="B11" s="211"/>
      <c r="C11" s="211"/>
      <c r="D11" s="189"/>
      <c r="E11" s="189"/>
      <c r="F11" s="189"/>
      <c r="G11" s="189"/>
      <c r="H11" s="189"/>
      <c r="I11" s="189"/>
      <c r="J11" s="189"/>
      <c r="K11" s="211"/>
      <c r="L11" s="211"/>
      <c r="M11" s="211"/>
    </row>
    <row r="12" spans="1:13" x14ac:dyDescent="0.25">
      <c r="A12" s="573" t="s">
        <v>1018</v>
      </c>
      <c r="B12" s="573"/>
      <c r="C12" s="573"/>
      <c r="D12" s="573"/>
      <c r="E12" s="572"/>
      <c r="F12" s="572"/>
      <c r="G12" s="572"/>
      <c r="H12" s="572"/>
      <c r="I12" s="572"/>
      <c r="J12" s="572"/>
      <c r="K12" s="572"/>
      <c r="L12" s="572"/>
      <c r="M12" s="572"/>
    </row>
    <row r="13" spans="1:13" x14ac:dyDescent="0.25">
      <c r="A13" s="629" t="str">
        <f>IF('Данные объект'!B33="","",'Данные объект'!B33)</f>
      </c>
      <c r="B13" s="629"/>
      <c r="C13" s="629"/>
      <c r="D13" s="629"/>
      <c r="E13" s="730"/>
      <c r="F13" s="730"/>
      <c r="G13" s="730"/>
      <c r="H13" s="730"/>
      <c r="I13" s="730"/>
      <c r="J13" s="730"/>
      <c r="K13" s="730"/>
      <c r="L13" s="730"/>
      <c r="M13" s="730"/>
    </row>
    <row r="14" spans="1:13" ht="12" customHeight="1" x14ac:dyDescent="0.25">
      <c r="A14" s="684" t="s">
        <v>988</v>
      </c>
      <c r="B14" s="684"/>
      <c r="C14" s="684"/>
      <c r="D14" s="684"/>
      <c r="E14" s="604"/>
      <c r="F14" s="604"/>
      <c r="G14" s="604"/>
      <c r="H14" s="604"/>
      <c r="I14" s="604"/>
      <c r="J14" s="604"/>
      <c r="K14" s="604"/>
      <c r="L14" s="604"/>
      <c r="M14" s="604"/>
    </row>
    <row r="15" spans="1:13" x14ac:dyDescent="0.25">
      <c r="A15" s="629" t="str">
        <f>IF('Данные объект'!B19="","",'Данные объект'!B19)</f>
      </c>
      <c r="B15" s="629"/>
      <c r="C15" s="629"/>
      <c r="D15" s="629"/>
      <c r="E15" s="705"/>
      <c r="F15" s="705"/>
      <c r="G15" s="705"/>
      <c r="H15" s="705"/>
      <c r="I15" s="705"/>
      <c r="J15" s="705"/>
      <c r="K15" s="705"/>
      <c r="L15" s="705"/>
      <c r="M15" s="705"/>
    </row>
    <row r="16" spans="1:13" ht="9.9499999999999993" customHeight="1" x14ac:dyDescent="0.25">
      <c r="A16" s="696" t="s">
        <v>989</v>
      </c>
      <c r="B16" s="696"/>
      <c r="C16" s="696"/>
      <c r="D16" s="696"/>
      <c r="E16" s="604"/>
      <c r="F16" s="604"/>
      <c r="G16" s="604"/>
      <c r="H16" s="604"/>
      <c r="I16" s="604"/>
      <c r="J16" s="604"/>
      <c r="K16" s="604"/>
      <c r="L16" s="604"/>
      <c r="M16" s="604"/>
    </row>
    <row r="17" spans="1:13" x14ac:dyDescent="0.25">
      <c r="A17" s="573" t="s">
        <v>1016</v>
      </c>
      <c r="B17" s="573"/>
      <c r="C17" s="573"/>
      <c r="D17" s="573"/>
      <c r="E17" s="572"/>
      <c r="F17" s="572"/>
      <c r="G17" s="572"/>
      <c r="H17" s="572"/>
      <c r="I17" s="572"/>
      <c r="J17" s="572"/>
      <c r="K17" s="572"/>
      <c r="L17" s="572"/>
      <c r="M17" s="572"/>
    </row>
    <row r="18" spans="1:13" x14ac:dyDescent="0.25">
      <c r="A18" s="573" t="s">
        <v>1017</v>
      </c>
      <c r="B18" s="573"/>
      <c r="C18" s="573"/>
      <c r="D18" s="573"/>
      <c r="E18" s="572"/>
      <c r="F18" s="572"/>
      <c r="G18" s="572"/>
      <c r="H18" s="572"/>
      <c r="I18" s="572"/>
      <c r="J18" s="572"/>
      <c r="K18" s="572"/>
      <c r="L18" s="572"/>
      <c r="M18" s="572"/>
    </row>
    <row r="19" spans="1:13" ht="17.100000000000001" customHeight="1" x14ac:dyDescent="0.25">
      <c r="A19" s="629" t="str">
        <f>IF('Данные объект'!C42="","",'Данные объект'!C42)</f>
      </c>
      <c r="B19" s="629"/>
      <c r="C19" s="629"/>
      <c r="D19" s="629"/>
      <c r="E19" s="705"/>
      <c r="F19" s="705"/>
      <c r="G19" s="705"/>
      <c r="H19" s="705"/>
      <c r="I19" s="705"/>
      <c r="J19" s="705"/>
      <c r="K19" s="705"/>
      <c r="L19" s="705"/>
      <c r="M19" s="705"/>
    </row>
    <row r="20" spans="1:13" ht="9.9499999999999993" customHeight="1" x14ac:dyDescent="0.25">
      <c r="A20" s="696" t="s">
        <v>990</v>
      </c>
      <c r="B20" s="696"/>
      <c r="C20" s="696"/>
      <c r="D20" s="696"/>
      <c r="E20" s="604"/>
      <c r="F20" s="604"/>
      <c r="G20" s="604"/>
      <c r="H20" s="604"/>
      <c r="I20" s="604"/>
      <c r="J20" s="604"/>
      <c r="K20" s="604"/>
      <c r="L20" s="604"/>
      <c r="M20" s="604"/>
    </row>
    <row r="21" spans="1:13" ht="26.1" customHeight="1" x14ac:dyDescent="0.25">
      <c r="A21" s="662" t="s">
        <v>991</v>
      </c>
      <c r="B21" s="662"/>
      <c r="C21" s="662"/>
      <c r="D21" s="662"/>
      <c r="E21" s="604"/>
      <c r="F21" s="604"/>
      <c r="G21" s="604"/>
      <c r="H21" s="604"/>
      <c r="I21" s="604"/>
      <c r="J21" s="604"/>
      <c r="K21" s="604"/>
      <c r="L21" s="604"/>
      <c r="M21" s="604"/>
    </row>
    <row r="22" spans="1:13" ht="30" customHeight="1" x14ac:dyDescent="0.25">
      <c r="A22" s="673" t="s">
        <v>846</v>
      </c>
      <c r="B22" s="673"/>
      <c r="C22" s="568" t="str">
        <f>IF('Данные объект'!B43="","",'Данные объект'!B43)</f>
      </c>
      <c r="D22" s="568"/>
      <c r="E22" s="568"/>
      <c r="F22" s="568"/>
      <c r="G22" s="568"/>
      <c r="H22" s="673" t="s">
        <v>845</v>
      </c>
      <c r="I22" s="673"/>
      <c r="J22" s="673"/>
      <c r="K22" s="673"/>
      <c r="L22" s="673"/>
      <c r="M22" s="673"/>
    </row>
    <row r="24" spans="1:13" x14ac:dyDescent="0.25">
      <c r="A24" s="573" t="s">
        <v>1015</v>
      </c>
      <c r="B24" s="573"/>
      <c r="C24" s="573"/>
      <c r="D24" s="573"/>
      <c r="E24" s="572"/>
      <c r="F24" s="572"/>
      <c r="G24" s="572"/>
      <c r="H24" s="572"/>
      <c r="I24" s="572"/>
      <c r="J24" s="572"/>
      <c r="K24" s="572"/>
      <c r="L24" s="572"/>
      <c r="M24" s="572"/>
    </row>
    <row r="25" spans="1:13" x14ac:dyDescent="0.25">
      <c r="A25" s="629" t="str">
        <f>IF('Данные объект'!C28="","",'Данные объект'!C28)</f>
      </c>
      <c r="B25" s="629"/>
      <c r="C25" s="629"/>
      <c r="D25" s="629"/>
      <c r="E25" s="730"/>
      <c r="F25" s="730"/>
      <c r="G25" s="730"/>
      <c r="H25" s="730"/>
      <c r="I25" s="730"/>
      <c r="J25" s="730"/>
      <c r="K25" s="730"/>
      <c r="L25" s="730"/>
      <c r="M25" s="730"/>
    </row>
    <row r="26" spans="1:13" ht="9.9499999999999993" customHeight="1" x14ac:dyDescent="0.25">
      <c r="A26" s="696" t="s">
        <v>990</v>
      </c>
      <c r="B26" s="696"/>
      <c r="C26" s="696"/>
      <c r="D26" s="696"/>
      <c r="E26" s="604"/>
      <c r="F26" s="604"/>
      <c r="G26" s="604"/>
      <c r="H26" s="604"/>
      <c r="I26" s="604"/>
      <c r="J26" s="604"/>
      <c r="K26" s="604"/>
      <c r="L26" s="604"/>
      <c r="M26" s="604"/>
    </row>
    <row r="27" spans="1:13" ht="26.1" customHeight="1" x14ac:dyDescent="0.25">
      <c r="A27" s="662" t="s">
        <v>991</v>
      </c>
      <c r="B27" s="662"/>
      <c r="C27" s="662"/>
      <c r="D27" s="662"/>
      <c r="E27" s="604"/>
      <c r="F27" s="604"/>
      <c r="G27" s="604"/>
      <c r="H27" s="604"/>
      <c r="I27" s="604"/>
      <c r="J27" s="604"/>
      <c r="K27" s="604"/>
      <c r="L27" s="604"/>
      <c r="M27" s="604"/>
    </row>
    <row r="28" spans="1:13" x14ac:dyDescent="0.25">
      <c r="A28" s="571" t="s">
        <v>1380</v>
      </c>
      <c r="B28" s="573"/>
      <c r="C28" s="573"/>
      <c r="D28" s="573"/>
      <c r="E28" s="572"/>
      <c r="F28" s="572"/>
      <c r="G28" s="572"/>
      <c r="H28" s="572"/>
      <c r="I28" s="572"/>
      <c r="J28" s="572"/>
      <c r="K28" s="572"/>
      <c r="L28" s="572"/>
      <c r="M28" s="572"/>
    </row>
    <row r="29" spans="1:13" x14ac:dyDescent="0.25">
      <c r="A29" s="709" t="str">
        <f>IF('Данные объект'!B29="","",'Данные объект'!B29)</f>
      </c>
      <c r="B29" s="709"/>
      <c r="C29" s="709"/>
      <c r="D29" s="709"/>
      <c r="E29" s="732"/>
      <c r="F29" s="732"/>
      <c r="G29" s="732"/>
      <c r="H29" s="732"/>
      <c r="I29" s="732"/>
      <c r="J29" s="732"/>
      <c r="K29" s="732"/>
      <c r="L29" s="732"/>
      <c r="M29" s="732"/>
    </row>
    <row r="31" spans="1:13" x14ac:dyDescent="0.25">
      <c r="A31" s="573" t="s">
        <v>1020</v>
      </c>
      <c r="B31" s="573"/>
      <c r="C31" s="573"/>
      <c r="D31" s="573"/>
      <c r="E31" s="572"/>
      <c r="F31" s="572"/>
      <c r="G31" s="572"/>
      <c r="H31" s="572"/>
      <c r="I31" s="572"/>
      <c r="J31" s="572"/>
      <c r="K31" s="572"/>
      <c r="L31" s="572"/>
      <c r="M31" s="572"/>
    </row>
    <row r="32" spans="1:13" x14ac:dyDescent="0.25">
      <c r="A32" s="573" t="s">
        <v>1019</v>
      </c>
      <c r="B32" s="573"/>
      <c r="C32" s="573"/>
      <c r="D32" s="573"/>
      <c r="E32" s="572"/>
      <c r="F32" s="572"/>
      <c r="G32" s="572"/>
      <c r="H32" s="572"/>
      <c r="I32" s="572"/>
      <c r="J32" s="572"/>
      <c r="K32" s="572"/>
      <c r="L32" s="572"/>
      <c r="M32" s="572"/>
    </row>
    <row r="33" spans="1:13" ht="12" customHeight="1" x14ac:dyDescent="0.25">
      <c r="A33" s="731" t="s">
        <v>992</v>
      </c>
      <c r="B33" s="731"/>
      <c r="C33" s="731"/>
      <c r="D33" s="731"/>
      <c r="E33" s="652"/>
      <c r="F33" s="652"/>
      <c r="G33" s="652"/>
      <c r="H33" s="652"/>
      <c r="I33" s="652"/>
      <c r="J33" s="652"/>
      <c r="K33" s="652"/>
      <c r="L33" s="652"/>
      <c r="M33" s="652"/>
    </row>
    <row r="34" spans="1:13" ht="20.100000000000001" customHeight="1" x14ac:dyDescent="0.25">
      <c r="A34" s="696" t="s">
        <v>993</v>
      </c>
      <c r="B34" s="696"/>
      <c r="C34" s="696"/>
      <c r="D34" s="696"/>
      <c r="E34" s="604"/>
      <c r="F34" s="604"/>
      <c r="G34" s="604"/>
      <c r="H34" s="604"/>
      <c r="I34" s="604"/>
      <c r="J34" s="604"/>
      <c r="K34" s="604"/>
      <c r="L34" s="604"/>
      <c r="M34" s="604"/>
    </row>
    <row r="35" spans="1:13" x14ac:dyDescent="0.25">
      <c r="A35" s="573" t="s">
        <v>1021</v>
      </c>
      <c r="B35" s="573"/>
      <c r="C35" s="573"/>
      <c r="D35" s="573"/>
      <c r="E35" s="572"/>
      <c r="F35" s="572"/>
      <c r="G35" s="572"/>
      <c r="H35" s="572"/>
      <c r="I35" s="572"/>
      <c r="J35" s="572"/>
      <c r="K35" s="572"/>
      <c r="L35" s="572"/>
      <c r="M35" s="572"/>
    </row>
    <row r="36" spans="1:13" x14ac:dyDescent="0.25">
      <c r="A36" s="573" t="s">
        <v>1022</v>
      </c>
      <c r="B36" s="573"/>
      <c r="C36" s="573"/>
      <c r="D36" s="573"/>
      <c r="E36" s="572"/>
      <c r="F36" s="572"/>
      <c r="G36" s="572"/>
      <c r="H36" s="572"/>
      <c r="I36" s="572"/>
      <c r="J36" s="572"/>
      <c r="K36" s="572"/>
      <c r="L36" s="572"/>
      <c r="M36" s="572"/>
    </row>
    <row r="37" spans="1:13" x14ac:dyDescent="0.25">
      <c r="A37" s="726" t="s">
        <v>1024</v>
      </c>
      <c r="B37" s="726"/>
      <c r="C37" s="726"/>
      <c r="D37" s="726"/>
      <c r="E37" s="572"/>
      <c r="F37" s="572"/>
      <c r="G37" s="572"/>
      <c r="H37" s="572"/>
      <c r="I37" s="572"/>
      <c r="J37" s="572"/>
      <c r="K37" s="572"/>
      <c r="L37" s="572"/>
      <c r="M37" s="572"/>
    </row>
    <row r="38" spans="1:13" ht="15.95" customHeight="1" x14ac:dyDescent="0.25">
      <c r="A38" s="729" t="s">
        <v>1023</v>
      </c>
      <c r="B38" s="729"/>
      <c r="C38" s="729"/>
      <c r="D38" s="729"/>
      <c r="E38" s="644"/>
      <c r="F38" s="644"/>
      <c r="G38" s="644"/>
      <c r="H38" s="644"/>
      <c r="I38" s="644"/>
      <c r="J38" s="644"/>
      <c r="K38" s="644"/>
      <c r="L38" s="644"/>
      <c r="M38" s="644"/>
    </row>
    <row r="39" spans="1:13" ht="9.9499999999999993" customHeight="1" x14ac:dyDescent="0.25">
      <c r="A39" s="728" t="s">
        <v>994</v>
      </c>
      <c r="B39" s="728"/>
      <c r="C39" s="728"/>
      <c r="D39" s="728"/>
      <c r="E39" s="604"/>
      <c r="F39" s="604"/>
      <c r="G39" s="604"/>
      <c r="H39" s="604"/>
      <c r="I39" s="604"/>
      <c r="J39" s="604"/>
      <c r="K39" s="604"/>
      <c r="L39" s="604"/>
      <c r="M39" s="604"/>
    </row>
    <row r="40" spans="1:13" x14ac:dyDescent="0.25">
      <c r="A40" s="726" t="s">
        <v>1025</v>
      </c>
      <c r="B40" s="726"/>
      <c r="C40" s="726"/>
      <c r="D40" s="726"/>
      <c r="E40" s="572"/>
      <c r="F40" s="572"/>
      <c r="G40" s="572"/>
      <c r="H40" s="572"/>
      <c r="I40" s="572"/>
      <c r="J40" s="572"/>
      <c r="K40" s="572"/>
      <c r="L40" s="572"/>
      <c r="M40" s="572"/>
    </row>
    <row r="41" spans="1:13" ht="15" customHeight="1" x14ac:dyDescent="0.25">
      <c r="A41" s="629" t="str">
        <f>IF('Данные объект'!C37="","",'Данные объект'!C37)</f>
      </c>
      <c r="B41" s="629"/>
      <c r="C41" s="629"/>
      <c r="D41" s="629"/>
      <c r="E41" s="730"/>
      <c r="F41" s="730"/>
      <c r="G41" s="730"/>
      <c r="H41" s="730"/>
      <c r="I41" s="730"/>
      <c r="J41" s="730"/>
      <c r="K41" s="730"/>
      <c r="L41" s="730"/>
      <c r="M41" s="730"/>
    </row>
    <row r="42" spans="1:13" ht="9.9499999999999993" customHeight="1" x14ac:dyDescent="0.25">
      <c r="A42" s="728" t="s">
        <v>995</v>
      </c>
      <c r="B42" s="728"/>
      <c r="C42" s="728"/>
      <c r="D42" s="728"/>
      <c r="E42" s="604"/>
      <c r="F42" s="604"/>
      <c r="G42" s="604"/>
      <c r="H42" s="604"/>
      <c r="I42" s="604"/>
      <c r="J42" s="604"/>
      <c r="K42" s="604"/>
      <c r="L42" s="604"/>
      <c r="M42" s="604"/>
    </row>
    <row r="43" spans="1:13" x14ac:dyDescent="0.25">
      <c r="A43" s="726" t="s">
        <v>1026</v>
      </c>
      <c r="B43" s="726"/>
      <c r="C43" s="726"/>
      <c r="D43" s="726"/>
      <c r="E43" s="572"/>
      <c r="F43" s="572"/>
      <c r="G43" s="572"/>
      <c r="H43" s="572"/>
      <c r="I43" s="572"/>
      <c r="J43" s="572"/>
      <c r="K43" s="572"/>
      <c r="L43" s="572"/>
      <c r="M43" s="572"/>
    </row>
    <row r="44" spans="1:13" ht="12.95" customHeight="1" x14ac:dyDescent="0.25">
      <c r="A44" s="727" t="s">
        <v>996</v>
      </c>
      <c r="B44" s="727"/>
      <c r="C44" s="727"/>
      <c r="D44" s="727"/>
      <c r="E44" s="652"/>
      <c r="F44" s="652"/>
      <c r="G44" s="652"/>
      <c r="H44" s="652"/>
      <c r="I44" s="652"/>
      <c r="J44" s="652"/>
      <c r="K44" s="652"/>
      <c r="L44" s="652"/>
      <c r="M44" s="652"/>
    </row>
    <row r="45" spans="1:13" ht="9.9499999999999993" customHeight="1" x14ac:dyDescent="0.25">
      <c r="A45" s="728" t="s">
        <v>995</v>
      </c>
      <c r="B45" s="728"/>
      <c r="C45" s="728"/>
      <c r="D45" s="728"/>
      <c r="E45" s="604"/>
      <c r="F45" s="604"/>
      <c r="G45" s="604"/>
      <c r="H45" s="604"/>
      <c r="I45" s="604"/>
      <c r="J45" s="604"/>
      <c r="K45" s="604"/>
      <c r="L45" s="604"/>
      <c r="M45" s="604"/>
    </row>
    <row r="47" spans="1:13" ht="25.5" customHeight="1" x14ac:dyDescent="0.25">
      <c r="A47" s="636"/>
      <c r="B47" s="636"/>
      <c r="C47" s="636"/>
      <c r="D47" s="636"/>
      <c r="E47" s="572"/>
      <c r="F47" s="572"/>
      <c r="G47" s="572"/>
      <c r="H47" s="572"/>
      <c r="I47" s="572"/>
      <c r="J47" s="572"/>
      <c r="K47" s="572"/>
      <c r="L47" s="572"/>
      <c r="M47" s="572"/>
    </row>
    <row r="49" spans="1:13" ht="17.25" customHeight="1" x14ac:dyDescent="0.25">
      <c r="A49" s="224" t="s">
        <v>949</v>
      </c>
      <c r="B49" s="627" t="str">
        <f>IF('Данные объект'!B6="","",'Данные объект'!B6)</f>
      </c>
      <c r="C49" s="627"/>
      <c r="D49" s="213" t="s">
        <v>1029</v>
      </c>
      <c r="E49" s="627" t="str">
        <f>IF('Данные объект'!B8="","",'Данные объект'!B8)</f>
      </c>
      <c r="F49" s="627"/>
      <c r="G49" s="213" t="s">
        <v>1030</v>
      </c>
      <c r="H49" s="188"/>
      <c r="I49" s="188"/>
      <c r="J49" s="188"/>
      <c r="K49" s="188"/>
      <c r="L49" s="188"/>
      <c r="M49" s="188"/>
    </row>
    <row r="51" spans="1:13" x14ac:dyDescent="0.25">
      <c r="A51" s="636" t="s">
        <v>1027</v>
      </c>
      <c r="B51" s="636"/>
      <c r="C51" s="636"/>
      <c r="D51" s="636"/>
      <c r="E51" s="572"/>
      <c r="F51" s="572"/>
      <c r="G51" s="572"/>
      <c r="H51" s="572"/>
      <c r="I51" s="572"/>
      <c r="J51" s="572"/>
      <c r="K51" s="572"/>
      <c r="L51" s="572"/>
      <c r="M51" s="572"/>
    </row>
    <row r="52" spans="1:13" ht="15.75" customHeight="1" x14ac:dyDescent="0.25">
      <c r="A52" s="222" t="s">
        <v>1028</v>
      </c>
      <c r="B52" s="223"/>
      <c r="C52" s="223"/>
      <c r="D52" s="568" t="str">
        <f>IF('Данные объект'!B19="","",'Данные объект'!B19)</f>
      </c>
      <c r="E52" s="568"/>
      <c r="F52" s="568"/>
      <c r="G52" s="568"/>
      <c r="H52" s="568"/>
      <c r="I52" s="568"/>
      <c r="J52" s="568"/>
      <c r="K52" s="568"/>
      <c r="L52" s="568"/>
      <c r="M52" s="568"/>
    </row>
    <row r="53" spans="1:13" ht="9.9499999999999993" customHeight="1" x14ac:dyDescent="0.25">
      <c r="A53" s="696" t="s">
        <v>997</v>
      </c>
      <c r="B53" s="696"/>
      <c r="C53" s="696"/>
      <c r="D53" s="696"/>
      <c r="E53" s="604"/>
      <c r="F53" s="604"/>
      <c r="G53" s="604"/>
      <c r="H53" s="604"/>
      <c r="I53" s="604"/>
      <c r="J53" s="604"/>
      <c r="K53" s="604"/>
      <c r="L53" s="604"/>
      <c r="M53" s="604"/>
    </row>
    <row r="54" spans="1:13" ht="24.75" customHeight="1" x14ac:dyDescent="0.25">
      <c r="A54" s="636" t="s">
        <v>1031</v>
      </c>
      <c r="B54" s="636"/>
      <c r="C54" s="636"/>
      <c r="D54" s="636"/>
      <c r="E54" s="572"/>
      <c r="F54" s="572"/>
      <c r="G54" s="572"/>
      <c r="H54" s="572"/>
      <c r="I54" s="572"/>
      <c r="J54" s="572"/>
      <c r="K54" s="572"/>
      <c r="L54" s="572"/>
      <c r="M54" s="572"/>
    </row>
    <row r="55" spans="1:13" x14ac:dyDescent="0.25">
      <c r="A55" s="633" t="str">
        <f>IF('Данные объект'!B11="","",'Данные объект'!B11)</f>
      </c>
      <c r="B55" s="633"/>
      <c r="C55" s="633"/>
      <c r="D55" s="633"/>
      <c r="E55" s="712"/>
      <c r="F55" s="712"/>
      <c r="G55" s="712"/>
      <c r="H55" s="712"/>
      <c r="I55" s="712"/>
      <c r="J55" s="712"/>
      <c r="K55" s="712"/>
      <c r="L55" s="712"/>
      <c r="M55" s="712"/>
    </row>
    <row r="56" spans="1:13" ht="9.9499999999999993" customHeight="1" x14ac:dyDescent="0.25">
      <c r="A56" s="601" t="s">
        <v>1032</v>
      </c>
      <c r="B56" s="601"/>
      <c r="C56" s="601"/>
      <c r="D56" s="601"/>
      <c r="E56" s="602"/>
      <c r="F56" s="602"/>
      <c r="G56" s="602"/>
      <c r="H56" s="602"/>
      <c r="I56" s="602"/>
      <c r="J56" s="602"/>
      <c r="K56" s="602"/>
      <c r="L56" s="602"/>
      <c r="M56" s="602"/>
    </row>
    <row r="57" spans="1:13" x14ac:dyDescent="0.25">
      <c r="A57" s="573" t="s">
        <v>1033</v>
      </c>
      <c r="B57" s="573"/>
      <c r="C57" s="573"/>
      <c r="D57" s="573"/>
      <c r="E57" s="572"/>
      <c r="F57" s="572"/>
      <c r="G57" s="572"/>
      <c r="H57" s="572"/>
      <c r="I57" s="572"/>
      <c r="J57" s="572"/>
      <c r="K57" s="572"/>
      <c r="L57" s="572"/>
      <c r="M57" s="572"/>
    </row>
    <row r="58" spans="1:13" ht="39" customHeight="1" x14ac:dyDescent="0.25">
      <c r="A58" s="574" t="str">
        <f>IF('Данные объект'!B3="","",'Данные объект'!B3)</f>
      </c>
      <c r="B58" s="574"/>
      <c r="C58" s="574"/>
      <c r="D58" s="574"/>
      <c r="E58" s="623"/>
      <c r="F58" s="623"/>
      <c r="G58" s="623"/>
      <c r="H58" s="623"/>
      <c r="I58" s="623"/>
      <c r="J58" s="623"/>
      <c r="K58" s="623"/>
      <c r="L58" s="623"/>
      <c r="M58" s="623"/>
    </row>
    <row r="59" spans="1:13" ht="9.9499999999999993" customHeight="1" x14ac:dyDescent="0.25">
      <c r="A59" s="601" t="s">
        <v>1035</v>
      </c>
      <c r="B59" s="601"/>
      <c r="C59" s="601"/>
      <c r="D59" s="601"/>
      <c r="E59" s="602"/>
      <c r="F59" s="602"/>
      <c r="G59" s="602"/>
      <c r="H59" s="602"/>
      <c r="I59" s="602"/>
      <c r="J59" s="602"/>
      <c r="K59" s="602"/>
      <c r="L59" s="602"/>
      <c r="M59" s="602"/>
    </row>
    <row r="60" spans="1:13" x14ac:dyDescent="0.25">
      <c r="A60" s="573" t="s">
        <v>1034</v>
      </c>
      <c r="B60" s="573"/>
      <c r="C60" s="573"/>
      <c r="D60" s="573"/>
      <c r="E60" s="572"/>
      <c r="F60" s="572"/>
      <c r="G60" s="572"/>
      <c r="H60" s="572"/>
      <c r="I60" s="572"/>
      <c r="J60" s="572"/>
      <c r="K60" s="572"/>
      <c r="L60" s="572"/>
      <c r="M60" s="572"/>
    </row>
    <row r="61" spans="1:13" x14ac:dyDescent="0.25">
      <c r="A61" s="722" t="str">
        <f>IF('1 '!G41="","",'1 '!G41)</f>
      </c>
      <c r="B61" s="722"/>
      <c r="C61" s="722"/>
      <c r="D61" s="722"/>
      <c r="E61" s="723"/>
      <c r="F61" s="723"/>
      <c r="G61" s="723"/>
      <c r="H61" s="723"/>
      <c r="I61" s="723"/>
      <c r="J61" s="723"/>
      <c r="K61" s="723"/>
      <c r="L61" s="723"/>
      <c r="M61" s="723"/>
    </row>
    <row r="62" spans="1:13" s="395" customFormat="1" ht="15" customHeight="1" x14ac:dyDescent="0.25">
      <c r="A62" s="724" t="str">
        <f>IF('1 '!G42="","",'1 '!G42)</f>
      </c>
      <c r="B62" s="724"/>
      <c r="C62" s="724"/>
      <c r="D62" s="724"/>
      <c r="E62" s="725"/>
      <c r="F62" s="725"/>
      <c r="G62" s="725"/>
      <c r="H62" s="725"/>
      <c r="I62" s="725"/>
      <c r="J62" s="725"/>
      <c r="K62" s="725"/>
      <c r="L62" s="725"/>
      <c r="M62" s="725"/>
    </row>
    <row r="63" spans="1:13" s="395" customFormat="1" ht="15" customHeight="1" x14ac:dyDescent="0.25">
      <c r="A63" s="724" t="str">
        <f>IF('1 '!G43="","",'1 '!G43)</f>
      </c>
      <c r="B63" s="724"/>
      <c r="C63" s="724"/>
      <c r="D63" s="724"/>
      <c r="E63" s="725"/>
      <c r="F63" s="725"/>
      <c r="G63" s="725"/>
      <c r="H63" s="725"/>
      <c r="I63" s="725"/>
      <c r="J63" s="725"/>
      <c r="K63" s="725"/>
      <c r="L63" s="725"/>
      <c r="M63" s="725"/>
    </row>
    <row r="64" spans="1:13" s="395" customFormat="1" ht="15" customHeight="1" x14ac:dyDescent="0.25">
      <c r="A64" s="724" t="str">
        <f>IF('1 '!G44="","",'1 '!G44)</f>
      </c>
      <c r="B64" s="724"/>
      <c r="C64" s="724"/>
      <c r="D64" s="724"/>
      <c r="E64" s="725"/>
      <c r="F64" s="725"/>
      <c r="G64" s="725"/>
      <c r="H64" s="725"/>
      <c r="I64" s="725"/>
      <c r="J64" s="725"/>
      <c r="K64" s="725"/>
      <c r="L64" s="725"/>
      <c r="M64" s="725"/>
    </row>
    <row r="65" spans="1:13" s="395" customFormat="1" ht="15" customHeight="1" x14ac:dyDescent="0.25">
      <c r="A65" s="724" t="str">
        <f>IF('1 '!G45="","",'1 '!G45)</f>
      </c>
      <c r="B65" s="724"/>
      <c r="C65" s="724"/>
      <c r="D65" s="724"/>
      <c r="E65" s="725"/>
      <c r="F65" s="725"/>
      <c r="G65" s="725"/>
      <c r="H65" s="725"/>
      <c r="I65" s="725"/>
      <c r="J65" s="725"/>
      <c r="K65" s="725"/>
      <c r="L65" s="725"/>
      <c r="M65" s="725"/>
    </row>
    <row r="66" spans="1:13" s="395" customFormat="1" ht="15" customHeight="1" x14ac:dyDescent="0.25">
      <c r="A66" s="724" t="str">
        <f>IF('1 '!G46="","",'1 '!G46)</f>
      </c>
      <c r="B66" s="724"/>
      <c r="C66" s="724"/>
      <c r="D66" s="724"/>
      <c r="E66" s="725"/>
      <c r="F66" s="725"/>
      <c r="G66" s="725"/>
      <c r="H66" s="725"/>
      <c r="I66" s="725"/>
      <c r="J66" s="725"/>
      <c r="K66" s="725"/>
      <c r="L66" s="725"/>
      <c r="M66" s="725"/>
    </row>
    <row r="67" spans="1:13" ht="15" customHeight="1" x14ac:dyDescent="0.25">
      <c r="A67" s="724" t="str">
        <f>IF('1 '!G47="","",'1 '!G47)</f>
      </c>
      <c r="B67" s="724"/>
      <c r="C67" s="724"/>
      <c r="D67" s="724"/>
      <c r="E67" s="725"/>
      <c r="F67" s="725"/>
      <c r="G67" s="725"/>
      <c r="H67" s="725"/>
      <c r="I67" s="725"/>
      <c r="J67" s="725"/>
      <c r="K67" s="725"/>
      <c r="L67" s="725"/>
      <c r="M67" s="725"/>
    </row>
    <row r="68" spans="1:13" ht="15" customHeight="1" x14ac:dyDescent="0.25">
      <c r="A68" s="722" t="str">
        <f>IF('1 '!G48="","",'1 '!G48)</f>
      </c>
      <c r="B68" s="722"/>
      <c r="C68" s="722"/>
      <c r="D68" s="722"/>
      <c r="E68" s="723"/>
      <c r="F68" s="723"/>
      <c r="G68" s="723"/>
      <c r="H68" s="723"/>
      <c r="I68" s="723"/>
      <c r="J68" s="723"/>
      <c r="K68" s="723"/>
      <c r="L68" s="723"/>
      <c r="M68" s="723"/>
    </row>
    <row r="69" spans="1:13" ht="9.9499999999999993" customHeight="1" x14ac:dyDescent="0.25">
      <c r="A69" s="601" t="s">
        <v>1036</v>
      </c>
      <c r="B69" s="601"/>
      <c r="C69" s="601"/>
      <c r="D69" s="601"/>
      <c r="E69" s="602"/>
      <c r="F69" s="602"/>
      <c r="G69" s="602"/>
      <c r="H69" s="602"/>
      <c r="I69" s="602"/>
      <c r="J69" s="602"/>
      <c r="K69" s="602"/>
      <c r="L69" s="602"/>
      <c r="M69" s="602"/>
    </row>
    <row r="70" spans="1:13" x14ac:dyDescent="0.25">
      <c r="A70" s="573" t="s">
        <v>1037</v>
      </c>
      <c r="B70" s="573"/>
      <c r="C70" s="573"/>
      <c r="D70" s="573"/>
      <c r="E70" s="572"/>
      <c r="F70" s="572"/>
      <c r="G70" s="572"/>
      <c r="H70" s="572"/>
      <c r="I70" s="572"/>
      <c r="J70" s="572"/>
      <c r="K70" s="572"/>
      <c r="L70" s="572"/>
      <c r="M70" s="572"/>
    </row>
    <row r="71" spans="1:13" ht="12.95" customHeight="1" x14ac:dyDescent="0.25">
      <c r="A71" s="668" t="s">
        <v>1038</v>
      </c>
      <c r="B71" s="668"/>
      <c r="C71" s="668"/>
      <c r="D71" s="668"/>
      <c r="E71" s="644"/>
      <c r="F71" s="644"/>
      <c r="G71" s="644"/>
      <c r="H71" s="644"/>
      <c r="I71" s="644"/>
      <c r="J71" s="644"/>
      <c r="K71" s="644"/>
      <c r="L71" s="644"/>
      <c r="M71" s="644"/>
    </row>
    <row r="72" spans="1:13" ht="9.9499999999999993" customHeight="1" x14ac:dyDescent="0.25">
      <c r="A72" s="601" t="s">
        <v>1039</v>
      </c>
      <c r="B72" s="601"/>
      <c r="C72" s="601"/>
      <c r="D72" s="601"/>
      <c r="E72" s="602"/>
      <c r="F72" s="602"/>
      <c r="G72" s="602"/>
      <c r="H72" s="602"/>
      <c r="I72" s="602"/>
      <c r="J72" s="602"/>
      <c r="K72" s="602"/>
      <c r="L72" s="602"/>
      <c r="M72" s="602"/>
    </row>
    <row r="73" spans="1:13" s="240" customFormat="1" ht="12.75" x14ac:dyDescent="0.2">
      <c r="A73" s="677" t="s">
        <v>1180</v>
      </c>
      <c r="B73" s="677"/>
      <c r="C73" s="677"/>
      <c r="D73" s="677"/>
      <c r="E73" s="720"/>
      <c r="F73" s="720"/>
      <c r="G73" s="720"/>
      <c r="H73" s="720"/>
      <c r="I73" s="720"/>
      <c r="J73" s="720"/>
      <c r="K73" s="720"/>
      <c r="L73" s="720"/>
      <c r="M73" s="720"/>
    </row>
    <row r="74" spans="1:13" s="240" customFormat="1" ht="12.75" x14ac:dyDescent="0.2">
      <c r="A74" s="668" t="s">
        <v>1038</v>
      </c>
      <c r="B74" s="668"/>
      <c r="C74" s="668"/>
      <c r="D74" s="668"/>
      <c r="E74" s="644"/>
      <c r="F74" s="644"/>
      <c r="G74" s="644"/>
      <c r="H74" s="644"/>
      <c r="I74" s="644"/>
      <c r="J74" s="644"/>
      <c r="K74" s="644"/>
      <c r="L74" s="644"/>
      <c r="M74" s="644"/>
    </row>
    <row r="75" spans="1:13" ht="12" customHeight="1" x14ac:dyDescent="0.25">
      <c r="A75" s="601" t="s">
        <v>1040</v>
      </c>
      <c r="B75" s="601"/>
      <c r="C75" s="601"/>
      <c r="D75" s="601"/>
      <c r="E75" s="602"/>
      <c r="F75" s="602"/>
      <c r="G75" s="602"/>
      <c r="H75" s="602"/>
      <c r="I75" s="602"/>
      <c r="J75" s="602"/>
      <c r="K75" s="602"/>
      <c r="L75" s="602"/>
      <c r="M75" s="602"/>
    </row>
    <row r="76" spans="1:13" ht="16.5" customHeight="1" x14ac:dyDescent="0.25">
      <c r="A76" s="571" t="s">
        <v>1041</v>
      </c>
      <c r="B76" s="573"/>
      <c r="C76" s="573"/>
      <c r="D76" s="573"/>
      <c r="E76" s="721"/>
      <c r="F76" s="721"/>
      <c r="G76" s="721"/>
      <c r="H76" s="721"/>
      <c r="I76" s="721"/>
      <c r="J76" s="721"/>
      <c r="K76" s="721"/>
      <c r="L76" s="721"/>
      <c r="M76" s="721"/>
    </row>
    <row r="77" spans="1:13" ht="16.5" customHeight="1" x14ac:dyDescent="0.25">
      <c r="A77" s="633" t="str">
        <f>IF('Данные объект'!B52="","",'Данные объект'!B52)</f>
      </c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</row>
    <row r="78" spans="1:13" ht="9.9499999999999993" customHeight="1" x14ac:dyDescent="0.25">
      <c r="A78" s="601" t="s">
        <v>1039</v>
      </c>
      <c r="B78" s="601"/>
      <c r="C78" s="601"/>
      <c r="D78" s="601"/>
      <c r="E78" s="602"/>
      <c r="F78" s="602"/>
      <c r="G78" s="602"/>
      <c r="H78" s="602"/>
      <c r="I78" s="602"/>
      <c r="J78" s="602"/>
      <c r="K78" s="602"/>
      <c r="L78" s="602"/>
      <c r="M78" s="602"/>
    </row>
    <row r="80" spans="1:13" ht="15" customHeight="1" x14ac:dyDescent="0.25">
      <c r="A80" s="218" t="s">
        <v>1042</v>
      </c>
      <c r="B80" s="218"/>
      <c r="C80" s="218"/>
      <c r="D80" s="218"/>
      <c r="E80" s="568" t="str">
        <f>IF('Данные объект'!B56="","",'Данные объект'!B56)</f>
      </c>
      <c r="F80" s="568"/>
      <c r="G80" s="568"/>
      <c r="H80" s="568"/>
      <c r="I80" s="568"/>
      <c r="J80" s="568"/>
      <c r="K80" s="568"/>
      <c r="L80" s="568"/>
      <c r="M80" s="568"/>
    </row>
    <row r="81" spans="1:13" ht="13.5" customHeight="1" x14ac:dyDescent="0.25">
      <c r="A81" s="601" t="s">
        <v>1043</v>
      </c>
      <c r="B81" s="601"/>
      <c r="C81" s="601"/>
      <c r="D81" s="601"/>
      <c r="E81" s="602"/>
      <c r="F81" s="602"/>
      <c r="G81" s="602"/>
      <c r="H81" s="602"/>
      <c r="I81" s="602"/>
      <c r="J81" s="602"/>
      <c r="K81" s="602"/>
      <c r="L81" s="602"/>
      <c r="M81" s="602"/>
    </row>
    <row r="83" spans="1:13" ht="15" customHeight="1" x14ac:dyDescent="0.25">
      <c r="A83" s="218" t="s">
        <v>1044</v>
      </c>
      <c r="B83" s="218"/>
      <c r="C83" s="218"/>
      <c r="D83" s="218"/>
      <c r="E83" s="568" t="str">
        <f>IF('Данные объект'!B33="","",'Данные объект'!B33)</f>
      </c>
      <c r="F83" s="568"/>
      <c r="G83" s="568"/>
      <c r="H83" s="568"/>
      <c r="I83" s="568"/>
      <c r="J83" s="568"/>
      <c r="K83" s="568"/>
      <c r="L83" s="568"/>
      <c r="M83" s="568"/>
    </row>
    <row r="84" spans="1:13" ht="24" customHeight="1" x14ac:dyDescent="0.25">
      <c r="A84" s="601" t="s">
        <v>1045</v>
      </c>
      <c r="B84" s="601"/>
      <c r="C84" s="601"/>
      <c r="D84" s="601"/>
      <c r="E84" s="602"/>
      <c r="F84" s="602"/>
      <c r="G84" s="602"/>
      <c r="H84" s="602"/>
      <c r="I84" s="602"/>
      <c r="J84" s="602"/>
      <c r="K84" s="602"/>
      <c r="L84" s="602"/>
      <c r="M84" s="602"/>
    </row>
    <row r="85" spans="1:13" s="390" customFormat="1" x14ac:dyDescent="0.25">
      <c r="A85" s="717"/>
      <c r="B85" s="718"/>
      <c r="C85" s="718"/>
      <c r="D85" s="718"/>
      <c r="E85" s="719"/>
      <c r="F85" s="719"/>
      <c r="G85" s="719"/>
      <c r="H85" s="719"/>
      <c r="I85" s="719"/>
      <c r="J85" s="719"/>
      <c r="K85" s="719"/>
      <c r="L85" s="719"/>
      <c r="M85" s="719"/>
    </row>
    <row r="87" spans="1:13" x14ac:dyDescent="0.25">
      <c r="A87" s="573" t="s">
        <v>1046</v>
      </c>
      <c r="B87" s="573"/>
      <c r="C87" s="573"/>
      <c r="D87" s="573"/>
      <c r="E87" s="572"/>
      <c r="F87" s="572"/>
      <c r="G87" s="572"/>
      <c r="H87" s="572"/>
      <c r="I87" s="572"/>
      <c r="J87" s="572"/>
      <c r="K87" s="572"/>
      <c r="L87" s="572"/>
      <c r="M87" s="572"/>
    </row>
    <row r="88" spans="1:13" ht="17.100000000000001" customHeight="1" x14ac:dyDescent="0.25">
      <c r="A88" s="630" t="s">
        <v>1047</v>
      </c>
      <c r="B88" s="630"/>
      <c r="C88" s="627" t="str">
        <f>IF('Данные объект'!B7="","",'Данные объект'!B7)</f>
      </c>
      <c r="D88" s="627"/>
      <c r="E88" s="630" t="s">
        <v>1048</v>
      </c>
      <c r="F88" s="630"/>
      <c r="G88" s="627" t="str">
        <f>IF('Данные объект'!B8="","",'Данные объект'!B8)</f>
      </c>
      <c r="H88" s="627"/>
    </row>
    <row r="89" spans="1:13" ht="12.95" customHeight="1" x14ac:dyDescent="0.25">
      <c r="A89" s="662"/>
      <c r="B89" s="662"/>
      <c r="C89" s="662"/>
      <c r="D89" s="662"/>
      <c r="E89" s="604"/>
      <c r="F89" s="604"/>
      <c r="G89" s="604"/>
      <c r="H89" s="604"/>
      <c r="I89" s="604"/>
      <c r="J89" s="604"/>
      <c r="K89" s="604"/>
      <c r="L89" s="604"/>
      <c r="M89" s="604"/>
    </row>
    <row r="91" spans="1:13" x14ac:dyDescent="0.25">
      <c r="A91" s="711" t="s">
        <v>1049</v>
      </c>
      <c r="B91" s="711"/>
      <c r="C91" s="711"/>
      <c r="D91" s="711"/>
      <c r="E91" s="572"/>
      <c r="F91" s="572"/>
      <c r="G91" s="572"/>
      <c r="H91" s="572"/>
      <c r="I91" s="572"/>
      <c r="J91" s="572"/>
      <c r="K91" s="572"/>
      <c r="L91" s="572"/>
      <c r="M91" s="572"/>
    </row>
    <row r="92" spans="1:13" x14ac:dyDescent="0.25">
      <c r="A92" s="629" t="str">
        <f>IF('Данные объект'!C42="","",'Данные объект'!C42)</f>
      </c>
      <c r="B92" s="629"/>
      <c r="C92" s="629"/>
      <c r="D92" s="629"/>
      <c r="E92" s="712"/>
      <c r="F92" s="712"/>
      <c r="G92" s="712"/>
      <c r="H92" s="712"/>
      <c r="I92" s="712"/>
      <c r="J92" s="712"/>
      <c r="K92" s="712"/>
      <c r="L92" s="712"/>
      <c r="M92" s="712"/>
    </row>
    <row r="93" spans="1:13" ht="12" customHeight="1" x14ac:dyDescent="0.25">
      <c r="A93" s="601" t="s">
        <v>1053</v>
      </c>
      <c r="B93" s="601"/>
      <c r="C93" s="601"/>
      <c r="D93" s="601"/>
      <c r="E93" s="602"/>
      <c r="F93" s="602"/>
      <c r="G93" s="602"/>
      <c r="H93" s="602"/>
      <c r="I93" s="602"/>
      <c r="J93" s="602"/>
      <c r="K93" s="602"/>
      <c r="L93" s="602"/>
      <c r="M93" s="602"/>
    </row>
    <row r="94" spans="1:13" ht="17.100000000000001" customHeight="1" x14ac:dyDescent="0.25">
      <c r="A94" s="673" t="s">
        <v>1050</v>
      </c>
      <c r="B94" s="673"/>
      <c r="C94" s="714" t="str">
        <f>IF('Данные объект'!B7="","",'Данные объект'!B7)</f>
      </c>
      <c r="D94" s="714"/>
      <c r="E94" s="213" t="s">
        <v>1048</v>
      </c>
      <c r="G94" s="714" t="str">
        <f>IF('Данные объект'!B8="","",'Данные объект'!B8)</f>
      </c>
      <c r="H94" s="714"/>
    </row>
    <row r="95" spans="1:13" ht="12.95" hidden="1" customHeight="1" x14ac:dyDescent="0.25">
      <c r="A95" s="662" t="s">
        <v>998</v>
      </c>
      <c r="B95" s="662"/>
      <c r="C95" s="662"/>
      <c r="D95" s="662"/>
      <c r="E95" s="604"/>
      <c r="F95" s="604"/>
      <c r="G95" s="604"/>
      <c r="H95" s="604"/>
      <c r="I95" s="604"/>
      <c r="J95" s="604"/>
      <c r="K95" s="604"/>
      <c r="L95" s="604"/>
      <c r="M95" s="604"/>
    </row>
    <row r="97" spans="1:13" x14ac:dyDescent="0.25">
      <c r="A97" s="573" t="s">
        <v>1054</v>
      </c>
      <c r="B97" s="573"/>
      <c r="C97" s="573"/>
      <c r="D97" s="573"/>
      <c r="E97" s="572"/>
      <c r="F97" s="572"/>
      <c r="G97" s="572"/>
      <c r="H97" s="572"/>
      <c r="I97" s="572"/>
      <c r="J97" s="572"/>
      <c r="K97" s="572"/>
      <c r="L97" s="572"/>
      <c r="M97" s="572"/>
    </row>
    <row r="98" spans="1:13" ht="15" customHeight="1" x14ac:dyDescent="0.25">
      <c r="A98" s="715" t="s">
        <v>1051</v>
      </c>
      <c r="B98" s="715"/>
      <c r="C98" s="715"/>
      <c r="D98" s="715"/>
      <c r="E98" s="716" t="str">
        <f>IF('Данные объект'!B2="","",'Данные объект'!B2)</f>
      </c>
      <c r="F98" s="716"/>
      <c r="G98" s="716"/>
    </row>
    <row r="99" spans="1:13" ht="9.9499999999999993" customHeight="1" x14ac:dyDescent="0.25">
      <c r="A99" s="601" t="s">
        <v>1052</v>
      </c>
      <c r="B99" s="601"/>
      <c r="C99" s="601"/>
      <c r="D99" s="601"/>
      <c r="E99" s="602"/>
      <c r="F99" s="602"/>
      <c r="G99" s="602"/>
      <c r="H99" s="602"/>
      <c r="I99" s="602"/>
      <c r="J99" s="602"/>
      <c r="K99" s="602"/>
      <c r="L99" s="602"/>
      <c r="M99" s="602"/>
    </row>
    <row r="100" spans="1:13" x14ac:dyDescent="0.25">
      <c r="A100" s="573" t="s">
        <v>1055</v>
      </c>
      <c r="B100" s="573"/>
      <c r="C100" s="573"/>
      <c r="D100" s="573"/>
      <c r="E100" s="572"/>
      <c r="F100" s="572"/>
      <c r="G100" s="572"/>
      <c r="H100" s="572"/>
      <c r="I100" s="572"/>
      <c r="J100" s="572"/>
      <c r="K100" s="572"/>
      <c r="L100" s="572"/>
      <c r="M100" s="572"/>
    </row>
    <row r="101" spans="1:13" x14ac:dyDescent="0.25">
      <c r="A101" s="713"/>
      <c r="B101" s="713"/>
      <c r="C101" s="713"/>
      <c r="D101" s="713"/>
      <c r="E101" s="713"/>
      <c r="F101" s="713"/>
      <c r="G101" s="713"/>
      <c r="H101" s="713"/>
      <c r="I101" s="713"/>
      <c r="J101" s="713"/>
      <c r="K101" s="713"/>
      <c r="L101" s="713"/>
      <c r="M101" s="713"/>
    </row>
    <row r="102" spans="1:13" ht="9.9499999999999993" customHeight="1" x14ac:dyDescent="0.25">
      <c r="A102" s="601" t="s">
        <v>1056</v>
      </c>
      <c r="B102" s="601"/>
      <c r="C102" s="601"/>
      <c r="D102" s="601"/>
      <c r="E102" s="602"/>
      <c r="F102" s="602"/>
      <c r="G102" s="602"/>
      <c r="H102" s="602"/>
      <c r="I102" s="602"/>
      <c r="J102" s="602"/>
      <c r="K102" s="602"/>
      <c r="L102" s="602"/>
      <c r="M102" s="602"/>
    </row>
    <row r="104" spans="1:13" x14ac:dyDescent="0.25">
      <c r="A104" s="573" t="s">
        <v>1057</v>
      </c>
      <c r="B104" s="573"/>
      <c r="C104" s="573"/>
      <c r="D104" s="573"/>
      <c r="E104" s="572"/>
      <c r="F104" s="572"/>
      <c r="G104" s="572"/>
      <c r="H104" s="572"/>
      <c r="I104" s="572"/>
      <c r="J104" s="572"/>
      <c r="K104" s="572"/>
      <c r="L104" s="572"/>
      <c r="M104" s="572"/>
    </row>
    <row r="105" spans="1:13" ht="21.75" customHeight="1" x14ac:dyDescent="0.25">
      <c r="A105" s="689" t="s">
        <v>1058</v>
      </c>
      <c r="B105" s="690"/>
      <c r="C105" s="691"/>
      <c r="D105" s="689" t="s">
        <v>1181</v>
      </c>
      <c r="E105" s="690"/>
      <c r="F105" s="691"/>
      <c r="G105" s="638" t="s">
        <v>1059</v>
      </c>
      <c r="H105" s="648" t="s">
        <v>1060</v>
      </c>
      <c r="I105" s="649"/>
      <c r="J105" s="649"/>
      <c r="K105" s="697"/>
      <c r="L105" s="638" t="s">
        <v>1061</v>
      </c>
      <c r="M105" s="638"/>
    </row>
    <row r="106" spans="1:13" ht="45" x14ac:dyDescent="0.25">
      <c r="A106" s="692"/>
      <c r="B106" s="693"/>
      <c r="C106" s="694"/>
      <c r="D106" s="692"/>
      <c r="E106" s="693"/>
      <c r="F106" s="694"/>
      <c r="G106" s="638"/>
      <c r="H106" s="648" t="s">
        <v>1062</v>
      </c>
      <c r="I106" s="697"/>
      <c r="J106" s="648" t="s">
        <v>1063</v>
      </c>
      <c r="K106" s="697"/>
      <c r="L106" s="196" t="s">
        <v>1062</v>
      </c>
      <c r="M106" s="196" t="s">
        <v>1063</v>
      </c>
    </row>
    <row r="107" spans="1:13" s="241" customFormat="1" ht="9" customHeight="1" x14ac:dyDescent="0.25">
      <c r="A107" s="698">
        <v>1</v>
      </c>
      <c r="B107" s="699"/>
      <c r="C107" s="700"/>
      <c r="D107" s="698">
        <v>2</v>
      </c>
      <c r="E107" s="699"/>
      <c r="F107" s="700"/>
      <c r="G107" s="253">
        <v>3</v>
      </c>
      <c r="H107" s="698">
        <v>4</v>
      </c>
      <c r="I107" s="700"/>
      <c r="J107" s="698">
        <v>5</v>
      </c>
      <c r="K107" s="700"/>
      <c r="L107" s="253">
        <v>6</v>
      </c>
      <c r="M107" s="253">
        <v>7</v>
      </c>
    </row>
    <row r="108" spans="1:13" x14ac:dyDescent="0.25">
      <c r="A108" s="686"/>
      <c r="B108" s="687"/>
      <c r="C108" s="688"/>
      <c r="D108" s="686"/>
      <c r="E108" s="687"/>
      <c r="F108" s="688"/>
      <c r="G108" s="204"/>
      <c r="H108" s="686"/>
      <c r="I108" s="688"/>
      <c r="J108" s="686"/>
      <c r="K108" s="688"/>
      <c r="L108" s="204"/>
      <c r="M108" s="204"/>
    </row>
    <row r="109" spans="1:13" x14ac:dyDescent="0.25">
      <c r="A109" s="686"/>
      <c r="B109" s="687"/>
      <c r="C109" s="688"/>
      <c r="D109" s="686"/>
      <c r="E109" s="687"/>
      <c r="F109" s="688"/>
      <c r="G109" s="204"/>
      <c r="H109" s="686"/>
      <c r="I109" s="688"/>
      <c r="J109" s="686"/>
      <c r="K109" s="688"/>
      <c r="L109" s="204"/>
      <c r="M109" s="204"/>
    </row>
    <row r="110" spans="1:13" x14ac:dyDescent="0.25">
      <c r="A110" s="686"/>
      <c r="B110" s="687"/>
      <c r="C110" s="688"/>
      <c r="D110" s="686"/>
      <c r="E110" s="687"/>
      <c r="F110" s="688"/>
      <c r="G110" s="204"/>
      <c r="H110" s="686"/>
      <c r="I110" s="688"/>
      <c r="J110" s="686"/>
      <c r="K110" s="688"/>
      <c r="L110" s="204"/>
      <c r="M110" s="204"/>
    </row>
    <row r="111" spans="1:13" ht="23.25" customHeight="1" x14ac:dyDescent="0.25">
      <c r="A111" s="636" t="s">
        <v>1064</v>
      </c>
      <c r="B111" s="636"/>
      <c r="C111" s="636"/>
      <c r="D111" s="636"/>
      <c r="E111" s="572"/>
      <c r="F111" s="572"/>
      <c r="G111" s="572"/>
      <c r="H111" s="572"/>
      <c r="I111" s="572"/>
      <c r="J111" s="572"/>
      <c r="K111" s="572"/>
      <c r="L111" s="572"/>
      <c r="M111" s="572"/>
    </row>
    <row r="112" spans="1:13" ht="15" customHeight="1" x14ac:dyDescent="0.25">
      <c r="A112" s="689" t="s">
        <v>1065</v>
      </c>
      <c r="B112" s="690"/>
      <c r="C112" s="691"/>
      <c r="D112" s="689" t="s">
        <v>1066</v>
      </c>
      <c r="E112" s="690"/>
      <c r="F112" s="691"/>
      <c r="G112" s="648" t="s">
        <v>1060</v>
      </c>
      <c r="H112" s="649"/>
      <c r="I112" s="697"/>
      <c r="J112" s="638" t="s">
        <v>1061</v>
      </c>
      <c r="K112" s="638"/>
      <c r="L112" s="638"/>
      <c r="M112" s="638"/>
    </row>
    <row r="113" spans="1:13" ht="90" customHeight="1" x14ac:dyDescent="0.25">
      <c r="A113" s="692"/>
      <c r="B113" s="693"/>
      <c r="C113" s="694"/>
      <c r="D113" s="692"/>
      <c r="E113" s="693"/>
      <c r="F113" s="694"/>
      <c r="G113" s="196" t="s">
        <v>1067</v>
      </c>
      <c r="H113" s="638" t="s">
        <v>1068</v>
      </c>
      <c r="I113" s="638"/>
      <c r="J113" s="638" t="s">
        <v>1067</v>
      </c>
      <c r="K113" s="638"/>
      <c r="L113" s="638" t="s">
        <v>1068</v>
      </c>
      <c r="M113" s="638"/>
    </row>
    <row r="114" spans="1:13" ht="8.25" customHeight="1" x14ac:dyDescent="0.25">
      <c r="A114" s="695">
        <v>1</v>
      </c>
      <c r="B114" s="695"/>
      <c r="C114" s="695"/>
      <c r="D114" s="698">
        <v>2</v>
      </c>
      <c r="E114" s="699"/>
      <c r="F114" s="700"/>
      <c r="G114" s="254">
        <v>3</v>
      </c>
      <c r="H114" s="698">
        <v>4</v>
      </c>
      <c r="I114" s="700"/>
      <c r="J114" s="695">
        <v>5</v>
      </c>
      <c r="K114" s="695"/>
      <c r="L114" s="695">
        <v>6</v>
      </c>
      <c r="M114" s="695"/>
    </row>
    <row r="115" spans="1:13" x14ac:dyDescent="0.25">
      <c r="A115" s="686"/>
      <c r="B115" s="687"/>
      <c r="C115" s="688"/>
      <c r="D115" s="686"/>
      <c r="E115" s="687"/>
      <c r="F115" s="688"/>
      <c r="G115" s="249"/>
      <c r="H115" s="686"/>
      <c r="I115" s="688"/>
      <c r="J115" s="642"/>
      <c r="K115" s="642"/>
      <c r="L115" s="686"/>
      <c r="M115" s="688"/>
    </row>
    <row r="116" spans="1:13" x14ac:dyDescent="0.25">
      <c r="A116" s="686"/>
      <c r="B116" s="687"/>
      <c r="C116" s="688"/>
      <c r="D116" s="686"/>
      <c r="E116" s="687"/>
      <c r="F116" s="688"/>
      <c r="G116" s="249"/>
      <c r="H116" s="686"/>
      <c r="I116" s="688"/>
      <c r="J116" s="642"/>
      <c r="K116" s="642"/>
      <c r="L116" s="686"/>
      <c r="M116" s="688"/>
    </row>
    <row r="117" spans="1:13" x14ac:dyDescent="0.25">
      <c r="A117" s="642"/>
      <c r="B117" s="642"/>
      <c r="C117" s="642"/>
      <c r="D117" s="686"/>
      <c r="E117" s="687"/>
      <c r="F117" s="688"/>
      <c r="G117" s="249"/>
      <c r="H117" s="686"/>
      <c r="I117" s="688"/>
      <c r="J117" s="642"/>
      <c r="K117" s="642"/>
      <c r="L117" s="642"/>
      <c r="M117" s="642"/>
    </row>
    <row r="118" spans="1:13" x14ac:dyDescent="0.25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</row>
    <row r="119" spans="1:13" x14ac:dyDescent="0.25">
      <c r="A119" s="573" t="s">
        <v>1069</v>
      </c>
      <c r="B119" s="573"/>
      <c r="C119" s="573"/>
      <c r="D119" s="573"/>
      <c r="E119" s="572"/>
      <c r="F119" s="572"/>
      <c r="G119" s="572"/>
      <c r="H119" s="572"/>
      <c r="I119" s="572"/>
      <c r="J119" s="572"/>
      <c r="K119" s="572"/>
      <c r="L119" s="572"/>
      <c r="M119" s="572"/>
    </row>
    <row r="120" spans="1:13" ht="15.95" customHeight="1" x14ac:dyDescent="0.25">
      <c r="A120" s="704" t="s">
        <v>1070</v>
      </c>
      <c r="B120" s="704"/>
      <c r="C120" s="704"/>
      <c r="D120" s="704"/>
      <c r="E120" s="568" t="str">
        <f>IF('Данные объект'!B19="","",'Данные объект'!B19)</f>
      </c>
      <c r="F120" s="568"/>
      <c r="G120" s="568"/>
      <c r="H120" s="568"/>
      <c r="I120" s="568"/>
      <c r="J120" s="568"/>
      <c r="K120" s="568"/>
      <c r="L120" s="568"/>
      <c r="M120" s="568"/>
    </row>
    <row r="121" spans="1:13" ht="11.1" customHeight="1" x14ac:dyDescent="0.25">
      <c r="A121" s="601" t="s">
        <v>1073</v>
      </c>
      <c r="B121" s="601"/>
      <c r="C121" s="601"/>
      <c r="D121" s="601"/>
      <c r="E121" s="602"/>
      <c r="F121" s="602"/>
      <c r="G121" s="602"/>
      <c r="H121" s="602"/>
      <c r="I121" s="602"/>
      <c r="J121" s="602"/>
      <c r="K121" s="602"/>
      <c r="L121" s="602"/>
      <c r="M121" s="602"/>
    </row>
    <row r="122" spans="1:13" x14ac:dyDescent="0.25">
      <c r="A122" s="573" t="s">
        <v>1071</v>
      </c>
      <c r="B122" s="573"/>
      <c r="C122" s="573"/>
      <c r="D122" s="573"/>
      <c r="E122" s="572"/>
      <c r="F122" s="572"/>
      <c r="G122" s="572"/>
      <c r="H122" s="572"/>
      <c r="I122" s="572"/>
      <c r="J122" s="572"/>
      <c r="K122" s="572"/>
      <c r="L122" s="572"/>
      <c r="M122" s="572"/>
    </row>
    <row r="123" spans="1:13" ht="45" customHeight="1" x14ac:dyDescent="0.25">
      <c r="A123" s="574" t="str">
        <f>IF('Данные объект'!B3="","",'Данные объект'!B3)</f>
      </c>
      <c r="B123" s="574"/>
      <c r="C123" s="574"/>
      <c r="D123" s="574"/>
      <c r="E123" s="701"/>
      <c r="F123" s="701"/>
      <c r="G123" s="701"/>
      <c r="H123" s="701"/>
      <c r="I123" s="701"/>
      <c r="J123" s="701"/>
      <c r="K123" s="701"/>
      <c r="L123" s="701"/>
      <c r="M123" s="701"/>
    </row>
    <row r="124" spans="1:13" ht="9.9499999999999993" customHeight="1" x14ac:dyDescent="0.25">
      <c r="A124" s="601" t="s">
        <v>1072</v>
      </c>
      <c r="B124" s="601"/>
      <c r="C124" s="601"/>
      <c r="D124" s="601"/>
      <c r="E124" s="602"/>
      <c r="F124" s="602"/>
      <c r="G124" s="602"/>
      <c r="H124" s="602"/>
      <c r="I124" s="602"/>
      <c r="J124" s="602"/>
      <c r="K124" s="602"/>
      <c r="L124" s="602"/>
      <c r="M124" s="602"/>
    </row>
    <row r="126" spans="1:13" x14ac:dyDescent="0.25">
      <c r="A126" s="573" t="s">
        <v>1074</v>
      </c>
      <c r="B126" s="573"/>
      <c r="C126" s="573"/>
      <c r="D126" s="573"/>
      <c r="E126" s="572"/>
      <c r="F126" s="572"/>
      <c r="G126" s="572"/>
      <c r="H126" s="572"/>
      <c r="I126" s="572"/>
      <c r="J126" s="572"/>
      <c r="K126" s="572"/>
      <c r="L126" s="572"/>
      <c r="M126" s="572"/>
    </row>
    <row r="127" spans="1:13" x14ac:dyDescent="0.25">
      <c r="A127" s="629" t="str">
        <f>IF('Данные объект'!B33="","",'Данные объект'!B33)</f>
      </c>
      <c r="B127" s="629"/>
      <c r="C127" s="629"/>
      <c r="D127" s="629"/>
      <c r="E127" s="705"/>
      <c r="F127" s="705"/>
      <c r="G127" s="705"/>
      <c r="H127" s="705"/>
      <c r="I127" s="705"/>
      <c r="J127" s="705"/>
      <c r="K127" s="705"/>
      <c r="L127" s="705"/>
      <c r="M127" s="705"/>
    </row>
    <row r="128" spans="1:13" ht="9.9499999999999993" customHeight="1" x14ac:dyDescent="0.25">
      <c r="A128" s="696" t="s">
        <v>999</v>
      </c>
      <c r="B128" s="696"/>
      <c r="C128" s="696"/>
      <c r="D128" s="696"/>
      <c r="E128" s="604"/>
      <c r="F128" s="604"/>
      <c r="G128" s="604"/>
      <c r="H128" s="604"/>
      <c r="I128" s="604"/>
      <c r="J128" s="604"/>
      <c r="K128" s="604"/>
      <c r="L128" s="604"/>
      <c r="M128" s="604"/>
    </row>
    <row r="130" spans="1:13" ht="30" customHeight="1" x14ac:dyDescent="0.25">
      <c r="A130" s="702" t="s">
        <v>1076</v>
      </c>
      <c r="B130" s="702"/>
      <c r="C130" s="702"/>
      <c r="D130" s="702"/>
      <c r="E130" s="572"/>
      <c r="F130" s="572"/>
      <c r="G130" s="572"/>
      <c r="H130" s="572"/>
      <c r="I130" s="572"/>
      <c r="J130" s="572"/>
      <c r="K130" s="572"/>
      <c r="L130" s="572"/>
      <c r="M130" s="572"/>
    </row>
    <row r="131" spans="1:13" ht="9.9499999999999993" hidden="1" customHeight="1" x14ac:dyDescent="0.25">
      <c r="A131" s="703"/>
      <c r="B131" s="703"/>
      <c r="C131" s="703"/>
      <c r="D131" s="703"/>
      <c r="E131" s="572"/>
      <c r="F131" s="572"/>
      <c r="G131" s="572"/>
      <c r="H131" s="572"/>
      <c r="I131" s="572"/>
      <c r="J131" s="572"/>
      <c r="K131" s="572"/>
      <c r="L131" s="572"/>
      <c r="M131" s="572"/>
    </row>
    <row r="132" spans="1:13" x14ac:dyDescent="0.25">
      <c r="A132" s="573" t="s">
        <v>1075</v>
      </c>
      <c r="B132" s="573"/>
      <c r="C132" s="573"/>
      <c r="D132" s="573"/>
      <c r="E132" s="572"/>
      <c r="F132" s="572"/>
      <c r="G132" s="572"/>
      <c r="H132" s="572"/>
      <c r="I132" s="572"/>
      <c r="J132" s="572"/>
      <c r="K132" s="572"/>
      <c r="L132" s="572"/>
      <c r="M132" s="572"/>
    </row>
    <row r="133" spans="1:13" ht="14.25" hidden="1" customHeight="1" x14ac:dyDescent="0.25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</row>
    <row r="134" spans="1:13" ht="18" customHeight="1" x14ac:dyDescent="0.25">
      <c r="A134" s="571" t="s">
        <v>1077</v>
      </c>
      <c r="B134" s="573"/>
      <c r="C134" s="573"/>
      <c r="D134" s="573"/>
      <c r="E134" s="572"/>
      <c r="F134" s="572"/>
      <c r="G134" s="572"/>
      <c r="H134" s="572"/>
      <c r="I134" s="572"/>
      <c r="J134" s="572"/>
      <c r="K134" s="572"/>
      <c r="L134" s="572"/>
      <c r="M134" s="572"/>
    </row>
    <row r="135" spans="1:13" ht="11.1" hidden="1" customHeight="1" x14ac:dyDescent="0.25">
      <c r="A135" s="637"/>
      <c r="B135" s="637"/>
      <c r="C135" s="637"/>
      <c r="D135" s="637"/>
      <c r="E135" s="604"/>
      <c r="F135" s="604"/>
      <c r="G135" s="604"/>
      <c r="H135" s="604"/>
      <c r="I135" s="604"/>
      <c r="J135" s="604"/>
      <c r="K135" s="604"/>
      <c r="L135" s="604"/>
      <c r="M135" s="604"/>
    </row>
    <row r="136" spans="1:13" x14ac:dyDescent="0.25">
      <c r="A136" s="636" t="s">
        <v>1078</v>
      </c>
      <c r="B136" s="636"/>
      <c r="C136" s="636"/>
      <c r="D136" s="636"/>
      <c r="E136" s="572"/>
      <c r="F136" s="572"/>
      <c r="G136" s="572"/>
      <c r="H136" s="572"/>
      <c r="I136" s="572"/>
      <c r="J136" s="572"/>
      <c r="K136" s="572"/>
      <c r="L136" s="572"/>
      <c r="M136" s="572"/>
    </row>
    <row r="137" spans="1:13" hidden="1" x14ac:dyDescent="0.25"/>
    <row r="138" spans="1:13" s="188" customFormat="1" ht="15.75" customHeight="1" x14ac:dyDescent="0.2">
      <c r="A138" s="637" t="s">
        <v>1079</v>
      </c>
      <c r="B138" s="636"/>
      <c r="C138" s="636"/>
      <c r="D138" s="636"/>
      <c r="E138" s="572"/>
      <c r="F138" s="572"/>
      <c r="G138" s="572"/>
      <c r="H138" s="572"/>
      <c r="I138" s="572"/>
      <c r="J138" s="572"/>
      <c r="K138" s="572"/>
      <c r="L138" s="572"/>
      <c r="M138" s="572"/>
    </row>
    <row r="139" spans="1:13" ht="11.1" hidden="1" customHeight="1" x14ac:dyDescent="0.25">
      <c r="A139" s="637" t="s">
        <v>1000</v>
      </c>
      <c r="B139" s="637"/>
      <c r="C139" s="637"/>
      <c r="D139" s="637"/>
      <c r="E139" s="604"/>
      <c r="F139" s="604"/>
      <c r="G139" s="604"/>
      <c r="H139" s="604"/>
      <c r="I139" s="604"/>
      <c r="J139" s="604"/>
      <c r="K139" s="604"/>
      <c r="L139" s="604"/>
      <c r="M139" s="604"/>
    </row>
    <row r="140" spans="1:13" ht="12.75" customHeight="1" x14ac:dyDescent="0.25">
      <c r="A140" s="636" t="s">
        <v>1080</v>
      </c>
      <c r="B140" s="636"/>
      <c r="C140" s="636"/>
      <c r="D140" s="636"/>
      <c r="E140" s="572"/>
      <c r="F140" s="572"/>
      <c r="G140" s="572"/>
      <c r="H140" s="572"/>
      <c r="I140" s="572"/>
      <c r="J140" s="572"/>
      <c r="K140" s="572"/>
      <c r="L140" s="572"/>
      <c r="M140" s="572"/>
    </row>
    <row r="141" spans="1:13" hidden="1" x14ac:dyDescent="0.25"/>
    <row r="142" spans="1:13" ht="15" customHeight="1" x14ac:dyDescent="0.25">
      <c r="A142" s="637" t="s">
        <v>1081</v>
      </c>
      <c r="B142" s="636"/>
      <c r="C142" s="636"/>
      <c r="D142" s="636"/>
      <c r="E142" s="572"/>
      <c r="F142" s="572"/>
      <c r="G142" s="572"/>
      <c r="H142" s="572"/>
      <c r="I142" s="572"/>
      <c r="J142" s="572"/>
      <c r="K142" s="572"/>
      <c r="L142" s="572"/>
      <c r="M142" s="572"/>
    </row>
    <row r="143" spans="1:13" ht="11.1" hidden="1" customHeight="1" x14ac:dyDescent="0.25">
      <c r="A143" s="637" t="s">
        <v>1001</v>
      </c>
      <c r="B143" s="637"/>
      <c r="C143" s="637"/>
      <c r="D143" s="637"/>
      <c r="E143" s="604"/>
      <c r="F143" s="604"/>
      <c r="G143" s="604"/>
      <c r="H143" s="604"/>
      <c r="I143" s="604"/>
      <c r="J143" s="604"/>
      <c r="K143" s="604"/>
      <c r="L143" s="604"/>
      <c r="M143" s="604"/>
    </row>
    <row r="144" spans="1:13" ht="15.75" customHeight="1" x14ac:dyDescent="0.25">
      <c r="A144" s="636" t="s">
        <v>1082</v>
      </c>
      <c r="B144" s="636"/>
      <c r="C144" s="636"/>
      <c r="D144" s="636"/>
      <c r="E144" s="572"/>
      <c r="F144" s="572"/>
      <c r="G144" s="572"/>
      <c r="H144" s="572"/>
      <c r="I144" s="572"/>
      <c r="J144" s="572"/>
      <c r="K144" s="572"/>
      <c r="L144" s="572"/>
      <c r="M144" s="572"/>
    </row>
    <row r="145" spans="1:13" hidden="1" x14ac:dyDescent="0.25"/>
    <row r="146" spans="1:13" ht="27" customHeight="1" x14ac:dyDescent="0.25">
      <c r="A146" s="637" t="s">
        <v>1083</v>
      </c>
      <c r="B146" s="636"/>
      <c r="C146" s="636"/>
      <c r="D146" s="636"/>
      <c r="E146" s="572"/>
      <c r="F146" s="572"/>
      <c r="G146" s="572"/>
      <c r="H146" s="572"/>
      <c r="I146" s="572"/>
      <c r="J146" s="572"/>
      <c r="K146" s="572"/>
      <c r="L146" s="572"/>
      <c r="M146" s="572"/>
    </row>
    <row r="147" spans="1:13" ht="11.1" hidden="1" customHeight="1" x14ac:dyDescent="0.25">
      <c r="A147" s="637" t="s">
        <v>1002</v>
      </c>
      <c r="B147" s="637"/>
      <c r="C147" s="637"/>
      <c r="D147" s="637"/>
      <c r="E147" s="604"/>
      <c r="F147" s="604"/>
      <c r="G147" s="604"/>
      <c r="H147" s="604"/>
      <c r="I147" s="604"/>
      <c r="J147" s="604"/>
      <c r="K147" s="604"/>
      <c r="L147" s="604"/>
      <c r="M147" s="604"/>
    </row>
    <row r="148" spans="1:13" hidden="1" x14ac:dyDescent="0.25"/>
    <row r="149" spans="1:13" ht="25.5" customHeight="1" x14ac:dyDescent="0.25">
      <c r="A149" s="637" t="s">
        <v>1084</v>
      </c>
      <c r="B149" s="636"/>
      <c r="C149" s="636"/>
      <c r="D149" s="636"/>
      <c r="E149" s="572"/>
      <c r="F149" s="572"/>
      <c r="G149" s="572"/>
      <c r="H149" s="572"/>
      <c r="I149" s="572"/>
      <c r="J149" s="572"/>
      <c r="K149" s="572"/>
      <c r="L149" s="572"/>
      <c r="M149" s="572"/>
    </row>
    <row r="150" spans="1:13" hidden="1" x14ac:dyDescent="0.25"/>
    <row r="151" spans="1:13" ht="12" hidden="1" customHeight="1" x14ac:dyDescent="0.25">
      <c r="A151" s="684" t="s">
        <v>1003</v>
      </c>
      <c r="B151" s="684"/>
      <c r="C151" s="684"/>
      <c r="D151" s="684"/>
      <c r="E151" s="604"/>
      <c r="F151" s="604"/>
      <c r="G151" s="604"/>
      <c r="H151" s="604"/>
      <c r="I151" s="604"/>
      <c r="J151" s="604"/>
      <c r="K151" s="604"/>
      <c r="L151" s="604"/>
      <c r="M151" s="604"/>
    </row>
    <row r="152" spans="1:13" hidden="1" x14ac:dyDescent="0.25"/>
    <row r="153" spans="1:13" ht="15.75" customHeight="1" x14ac:dyDescent="0.25">
      <c r="A153" s="637" t="s">
        <v>1085</v>
      </c>
      <c r="B153" s="636"/>
      <c r="C153" s="636"/>
      <c r="D153" s="636"/>
      <c r="E153" s="572"/>
      <c r="F153" s="572"/>
      <c r="G153" s="572"/>
      <c r="H153" s="572"/>
      <c r="I153" s="572"/>
      <c r="J153" s="572"/>
      <c r="K153" s="572"/>
      <c r="L153" s="572"/>
      <c r="M153" s="572"/>
    </row>
    <row r="154" spans="1:13" ht="12.95" hidden="1" customHeight="1" x14ac:dyDescent="0.25">
      <c r="A154" s="605" t="s">
        <v>1004</v>
      </c>
      <c r="B154" s="605"/>
      <c r="C154" s="605"/>
      <c r="D154" s="605"/>
      <c r="E154" s="604"/>
      <c r="F154" s="604"/>
      <c r="G154" s="604"/>
      <c r="H154" s="604"/>
      <c r="I154" s="604"/>
      <c r="J154" s="604"/>
      <c r="K154" s="604"/>
      <c r="L154" s="604"/>
      <c r="M154" s="604"/>
    </row>
    <row r="155" spans="1:13" ht="14.25" customHeight="1" x14ac:dyDescent="0.25">
      <c r="A155" s="636" t="s">
        <v>1086</v>
      </c>
      <c r="B155" s="636"/>
      <c r="C155" s="636"/>
      <c r="D155" s="636"/>
      <c r="E155" s="572"/>
      <c r="F155" s="572"/>
      <c r="G155" s="572"/>
      <c r="H155" s="572"/>
      <c r="I155" s="572"/>
      <c r="J155" s="572"/>
      <c r="K155" s="572"/>
      <c r="L155" s="572"/>
      <c r="M155" s="572"/>
    </row>
    <row r="156" spans="1:13" hidden="1" x14ac:dyDescent="0.25"/>
    <row r="157" spans="1:13" ht="15" customHeight="1" x14ac:dyDescent="0.25">
      <c r="A157" s="637" t="s">
        <v>1087</v>
      </c>
      <c r="B157" s="636"/>
      <c r="C157" s="636"/>
      <c r="D157" s="636"/>
      <c r="E157" s="572"/>
      <c r="F157" s="572"/>
      <c r="G157" s="572"/>
      <c r="H157" s="572"/>
      <c r="I157" s="572"/>
      <c r="J157" s="572"/>
      <c r="K157" s="572"/>
      <c r="L157" s="572"/>
      <c r="M157" s="572"/>
    </row>
    <row r="158" spans="1:13" ht="24" hidden="1" customHeight="1" x14ac:dyDescent="0.25">
      <c r="A158" s="684" t="s">
        <v>1005</v>
      </c>
      <c r="B158" s="684"/>
      <c r="C158" s="684"/>
      <c r="D158" s="684"/>
      <c r="E158" s="604"/>
      <c r="F158" s="604"/>
      <c r="G158" s="604"/>
      <c r="H158" s="604"/>
      <c r="I158" s="604"/>
      <c r="J158" s="604"/>
      <c r="K158" s="604"/>
      <c r="L158" s="604"/>
      <c r="M158" s="604"/>
    </row>
    <row r="159" spans="1:13" x14ac:dyDescent="0.25">
      <c r="A159" s="636" t="s">
        <v>1088</v>
      </c>
      <c r="B159" s="636"/>
      <c r="C159" s="636"/>
      <c r="D159" s="636"/>
      <c r="E159" s="572"/>
      <c r="F159" s="572"/>
      <c r="G159" s="572"/>
      <c r="H159" s="572"/>
      <c r="I159" s="572"/>
      <c r="J159" s="572"/>
      <c r="K159" s="572"/>
      <c r="L159" s="572"/>
      <c r="M159" s="572"/>
    </row>
    <row r="160" spans="1:13" hidden="1" x14ac:dyDescent="0.25"/>
    <row r="161" spans="1:13" ht="15" customHeight="1" x14ac:dyDescent="0.25">
      <c r="A161" s="637" t="s">
        <v>1089</v>
      </c>
      <c r="B161" s="636"/>
      <c r="C161" s="636"/>
      <c r="D161" s="636"/>
      <c r="E161" s="572"/>
      <c r="F161" s="572"/>
      <c r="G161" s="572"/>
      <c r="H161" s="572"/>
      <c r="I161" s="572"/>
      <c r="J161" s="572"/>
      <c r="K161" s="572"/>
      <c r="L161" s="572"/>
      <c r="M161" s="572"/>
    </row>
    <row r="162" spans="1:13" ht="24" hidden="1" customHeight="1" x14ac:dyDescent="0.25">
      <c r="A162" s="684" t="s">
        <v>1006</v>
      </c>
      <c r="B162" s="684"/>
      <c r="C162" s="684"/>
      <c r="D162" s="684"/>
      <c r="E162" s="604"/>
      <c r="F162" s="604"/>
      <c r="G162" s="604"/>
      <c r="H162" s="604"/>
      <c r="I162" s="604"/>
      <c r="J162" s="604"/>
      <c r="K162" s="604"/>
      <c r="L162" s="604"/>
      <c r="M162" s="604"/>
    </row>
    <row r="163" spans="1:13" hidden="1" x14ac:dyDescent="0.25"/>
    <row r="164" spans="1:13" ht="37.5" customHeight="1" x14ac:dyDescent="0.25">
      <c r="A164" s="637" t="s">
        <v>1090</v>
      </c>
      <c r="B164" s="636"/>
      <c r="C164" s="636"/>
      <c r="D164" s="636"/>
      <c r="E164" s="572"/>
      <c r="F164" s="572"/>
      <c r="G164" s="572"/>
      <c r="H164" s="572"/>
      <c r="I164" s="572"/>
      <c r="J164" s="572"/>
      <c r="K164" s="572"/>
      <c r="L164" s="572"/>
      <c r="M164" s="572"/>
    </row>
    <row r="165" spans="1:13" ht="12" hidden="1" customHeight="1" x14ac:dyDescent="0.25">
      <c r="A165" s="684" t="s">
        <v>1007</v>
      </c>
      <c r="B165" s="684"/>
      <c r="C165" s="684"/>
      <c r="D165" s="684"/>
      <c r="E165" s="604"/>
      <c r="F165" s="604"/>
      <c r="G165" s="604"/>
      <c r="H165" s="604"/>
      <c r="I165" s="604"/>
      <c r="J165" s="604"/>
      <c r="K165" s="604"/>
      <c r="L165" s="604"/>
      <c r="M165" s="604"/>
    </row>
    <row r="166" spans="1:13" hidden="1" x14ac:dyDescent="0.25"/>
    <row r="167" spans="1:13" ht="15.75" customHeight="1" x14ac:dyDescent="0.25">
      <c r="A167" s="636" t="s">
        <v>1091</v>
      </c>
      <c r="B167" s="636"/>
      <c r="C167" s="636"/>
      <c r="D167" s="636"/>
      <c r="E167" s="572"/>
      <c r="F167" s="572"/>
      <c r="G167" s="572"/>
      <c r="H167" s="572"/>
      <c r="I167" s="572"/>
      <c r="J167" s="572"/>
      <c r="K167" s="572"/>
      <c r="L167" s="572"/>
      <c r="M167" s="572"/>
    </row>
    <row r="168" spans="1:13" hidden="1" x14ac:dyDescent="0.25"/>
    <row r="169" spans="1:13" ht="24.75" customHeight="1" x14ac:dyDescent="0.25">
      <c r="A169" s="636" t="s">
        <v>1092</v>
      </c>
      <c r="B169" s="636"/>
      <c r="C169" s="636"/>
      <c r="D169" s="636"/>
      <c r="E169" s="572"/>
      <c r="F169" s="572"/>
      <c r="G169" s="572"/>
      <c r="H169" s="572"/>
      <c r="I169" s="572"/>
      <c r="J169" s="572"/>
      <c r="K169" s="572"/>
      <c r="L169" s="572"/>
      <c r="M169" s="572"/>
    </row>
    <row r="171" spans="1:13" x14ac:dyDescent="0.25">
      <c r="A171" s="573" t="s">
        <v>1093</v>
      </c>
      <c r="B171" s="573"/>
      <c r="C171" s="573"/>
      <c r="D171" s="573"/>
      <c r="E171" s="572"/>
      <c r="F171" s="572"/>
      <c r="G171" s="572"/>
      <c r="H171" s="572"/>
      <c r="I171" s="572"/>
      <c r="J171" s="572"/>
      <c r="K171" s="572"/>
      <c r="L171" s="572"/>
      <c r="M171" s="572"/>
    </row>
    <row r="172" spans="1:13" ht="11.1" customHeight="1" x14ac:dyDescent="0.25">
      <c r="A172" s="571" t="s">
        <v>1008</v>
      </c>
      <c r="B172" s="571"/>
      <c r="C172" s="571"/>
      <c r="D172" s="571"/>
      <c r="E172" s="604"/>
      <c r="F172" s="604"/>
      <c r="G172" s="604"/>
      <c r="H172" s="604"/>
      <c r="I172" s="604"/>
      <c r="J172" s="604"/>
      <c r="K172" s="604"/>
      <c r="L172" s="604"/>
      <c r="M172" s="604"/>
    </row>
    <row r="173" spans="1:13" x14ac:dyDescent="0.25">
      <c r="A173" s="706" t="s">
        <v>1094</v>
      </c>
      <c r="B173" s="706"/>
      <c r="C173" s="706"/>
      <c r="D173" s="706"/>
      <c r="E173" s="572"/>
      <c r="F173" s="572"/>
      <c r="G173" s="572"/>
      <c r="H173" s="572"/>
      <c r="I173" s="572"/>
      <c r="J173" s="572"/>
      <c r="K173" s="572"/>
      <c r="L173" s="572"/>
      <c r="M173" s="572"/>
    </row>
    <row r="174" spans="1:13" ht="9.9499999999999993" hidden="1" customHeight="1" x14ac:dyDescent="0.25">
      <c r="A174" s="707" t="s">
        <v>1009</v>
      </c>
      <c r="B174" s="707"/>
      <c r="C174" s="707"/>
      <c r="D174" s="707"/>
      <c r="E174" s="604"/>
      <c r="F174" s="604"/>
      <c r="G174" s="604"/>
      <c r="H174" s="604"/>
      <c r="I174" s="604"/>
      <c r="J174" s="604"/>
      <c r="K174" s="604"/>
      <c r="L174" s="604"/>
      <c r="M174" s="604"/>
    </row>
    <row r="175" spans="1:13" x14ac:dyDescent="0.25">
      <c r="A175" s="706" t="s">
        <v>1095</v>
      </c>
      <c r="B175" s="706"/>
      <c r="C175" s="706"/>
      <c r="D175" s="706"/>
      <c r="E175" s="572"/>
      <c r="F175" s="572"/>
      <c r="G175" s="572"/>
      <c r="H175" s="572"/>
      <c r="I175" s="572"/>
      <c r="J175" s="572"/>
      <c r="K175" s="572"/>
      <c r="L175" s="572"/>
      <c r="M175" s="572"/>
    </row>
    <row r="176" spans="1:13" ht="9.9499999999999993" hidden="1" customHeight="1" x14ac:dyDescent="0.25">
      <c r="A176" s="707" t="s">
        <v>1009</v>
      </c>
      <c r="B176" s="707"/>
      <c r="C176" s="707"/>
      <c r="D176" s="707"/>
      <c r="E176" s="604"/>
      <c r="F176" s="604"/>
      <c r="G176" s="604"/>
      <c r="H176" s="604"/>
      <c r="I176" s="604"/>
      <c r="J176" s="604"/>
      <c r="K176" s="604"/>
      <c r="L176" s="604"/>
      <c r="M176" s="604"/>
    </row>
    <row r="178" spans="1:13" ht="30" customHeight="1" x14ac:dyDescent="0.25">
      <c r="A178" s="636" t="s">
        <v>1096</v>
      </c>
      <c r="B178" s="636"/>
      <c r="C178" s="636"/>
      <c r="D178" s="636"/>
      <c r="E178" s="572"/>
      <c r="F178" s="572"/>
      <c r="G178" s="572"/>
      <c r="H178" s="572"/>
      <c r="I178" s="572"/>
      <c r="J178" s="572"/>
      <c r="K178" s="572"/>
      <c r="L178" s="572"/>
      <c r="M178" s="572"/>
    </row>
    <row r="179" spans="1:13" ht="15.75" customHeight="1" x14ac:dyDescent="0.25">
      <c r="A179" s="587" t="str">
        <f>IF('Данные объект'!B39="","",'Данные объект'!B39)</f>
      </c>
      <c r="B179" s="587"/>
      <c r="C179" s="587"/>
      <c r="D179" s="587"/>
      <c r="E179" s="587"/>
      <c r="F179" s="628"/>
      <c r="G179" s="628"/>
      <c r="H179" s="628"/>
      <c r="I179" s="628"/>
      <c r="J179" s="568" t="str">
        <f>IF('Данные объект'!B42="","",'Данные объект'!B42)</f>
      </c>
      <c r="K179" s="568"/>
      <c r="L179" s="568"/>
      <c r="M179" s="568"/>
    </row>
    <row r="180" spans="1:13" ht="21" customHeight="1" x14ac:dyDescent="0.25">
      <c r="A180" s="696" t="s">
        <v>1010</v>
      </c>
      <c r="B180" s="696"/>
      <c r="C180" s="696"/>
      <c r="D180" s="696"/>
      <c r="E180" s="604"/>
      <c r="F180" s="604"/>
      <c r="G180" s="604"/>
      <c r="H180" s="604"/>
      <c r="I180" s="604"/>
      <c r="J180" s="604"/>
      <c r="K180" s="604"/>
      <c r="L180" s="604"/>
      <c r="M180" s="604"/>
    </row>
    <row r="181" spans="1:13" ht="17.100000000000001" customHeight="1" x14ac:dyDescent="0.25">
      <c r="A181" s="573" t="s">
        <v>1097</v>
      </c>
      <c r="B181" s="573"/>
      <c r="C181" s="573"/>
      <c r="D181" s="573"/>
      <c r="E181" s="572"/>
      <c r="F181" s="572"/>
      <c r="G181" s="572"/>
      <c r="H181" s="572"/>
      <c r="I181" s="572"/>
      <c r="J181" s="572"/>
      <c r="K181" s="572"/>
      <c r="L181" s="572"/>
      <c r="M181" s="572"/>
    </row>
    <row r="182" spans="1:13" x14ac:dyDescent="0.25">
      <c r="A182" s="709" t="str">
        <f>IF('Данные объект'!C27="","",'Данные объект'!C27)</f>
      </c>
      <c r="B182" s="709"/>
      <c r="C182" s="709"/>
      <c r="D182" s="709"/>
      <c r="E182" s="709"/>
      <c r="F182" s="628"/>
      <c r="G182" s="628"/>
      <c r="H182" s="628"/>
      <c r="I182" s="628"/>
      <c r="J182" s="568" t="str">
        <f>IF('Данные объект'!B28="","",'Данные объект'!B28)</f>
      </c>
      <c r="K182" s="568"/>
      <c r="L182" s="568"/>
      <c r="M182" s="568"/>
    </row>
    <row r="183" spans="1:13" ht="9.9499999999999993" customHeight="1" x14ac:dyDescent="0.25">
      <c r="A183" s="696" t="s">
        <v>1011</v>
      </c>
      <c r="B183" s="696"/>
      <c r="C183" s="696"/>
      <c r="D183" s="696"/>
      <c r="E183" s="604"/>
      <c r="F183" s="604"/>
      <c r="G183" s="604"/>
      <c r="H183" s="604"/>
      <c r="I183" s="604"/>
      <c r="J183" s="604"/>
      <c r="K183" s="604"/>
      <c r="L183" s="604"/>
      <c r="M183" s="604"/>
    </row>
    <row r="185" spans="1:13" x14ac:dyDescent="0.25">
      <c r="A185" s="573" t="s">
        <v>1098</v>
      </c>
      <c r="B185" s="573"/>
      <c r="C185" s="573"/>
      <c r="D185" s="573"/>
      <c r="E185" s="572"/>
      <c r="F185" s="572"/>
      <c r="G185" s="572"/>
      <c r="H185" s="572"/>
      <c r="I185" s="572"/>
      <c r="J185" s="572"/>
      <c r="K185" s="572"/>
      <c r="L185" s="572"/>
      <c r="M185" s="572"/>
    </row>
    <row r="186" spans="1:13" x14ac:dyDescent="0.25">
      <c r="A186" s="581" t="s">
        <v>1182</v>
      </c>
      <c r="B186" s="702"/>
      <c r="C186" s="702"/>
      <c r="D186" s="702"/>
      <c r="E186" s="572"/>
      <c r="F186" s="572"/>
      <c r="G186" s="572"/>
      <c r="H186" s="572"/>
      <c r="I186" s="572"/>
      <c r="J186" s="572"/>
      <c r="K186" s="572"/>
      <c r="L186" s="572"/>
      <c r="M186" s="572"/>
    </row>
    <row r="187" spans="1:13" ht="20.100000000000001" customHeight="1" x14ac:dyDescent="0.25">
      <c r="A187" s="693" t="s">
        <v>101</v>
      </c>
      <c r="B187" s="693"/>
      <c r="C187" s="693"/>
      <c r="D187" s="693"/>
      <c r="E187" s="665"/>
      <c r="F187" s="665"/>
      <c r="G187" s="665"/>
      <c r="H187" s="665"/>
      <c r="I187" s="665"/>
      <c r="J187" s="665"/>
      <c r="K187" s="665"/>
      <c r="L187" s="665"/>
      <c r="M187" s="665"/>
    </row>
    <row r="188" spans="1:13" x14ac:dyDescent="0.25">
      <c r="A188" s="573" t="s">
        <v>1099</v>
      </c>
      <c r="B188" s="573"/>
      <c r="C188" s="573"/>
      <c r="D188" s="573"/>
      <c r="E188" s="572"/>
      <c r="F188" s="572"/>
      <c r="G188" s="572"/>
      <c r="H188" s="572"/>
      <c r="I188" s="572"/>
      <c r="J188" s="572"/>
      <c r="K188" s="572"/>
      <c r="L188" s="572"/>
      <c r="M188" s="572"/>
    </row>
    <row r="189" spans="1:13" x14ac:dyDescent="0.25">
      <c r="A189" s="581" t="s">
        <v>1183</v>
      </c>
      <c r="B189" s="702"/>
      <c r="C189" s="702"/>
      <c r="D189" s="702"/>
      <c r="E189" s="572"/>
      <c r="F189" s="572"/>
      <c r="G189" s="572"/>
      <c r="H189" s="572"/>
      <c r="I189" s="572"/>
      <c r="J189" s="572"/>
      <c r="K189" s="572"/>
      <c r="L189" s="572"/>
      <c r="M189" s="572"/>
    </row>
    <row r="190" spans="1:13" x14ac:dyDescent="0.25">
      <c r="A190" s="708" t="s">
        <v>101</v>
      </c>
      <c r="B190" s="693"/>
      <c r="C190" s="693"/>
      <c r="D190" s="693"/>
      <c r="E190" s="665"/>
      <c r="F190" s="665"/>
      <c r="G190" s="665"/>
      <c r="H190" s="665"/>
      <c r="I190" s="665"/>
      <c r="J190" s="665"/>
      <c r="K190" s="665"/>
      <c r="L190" s="665"/>
      <c r="M190" s="665"/>
    </row>
    <row r="191" spans="1:13" ht="11.1" customHeight="1" x14ac:dyDescent="0.25">
      <c r="A191" s="601" t="s">
        <v>1100</v>
      </c>
      <c r="B191" s="601"/>
      <c r="C191" s="601"/>
      <c r="D191" s="601"/>
      <c r="E191" s="602"/>
      <c r="F191" s="602"/>
      <c r="G191" s="602"/>
      <c r="H191" s="602"/>
      <c r="I191" s="602"/>
      <c r="J191" s="602"/>
      <c r="K191" s="602"/>
      <c r="L191" s="602"/>
      <c r="M191" s="602"/>
    </row>
    <row r="192" spans="1:13" x14ac:dyDescent="0.25">
      <c r="A192" s="581" t="s">
        <v>1184</v>
      </c>
      <c r="B192" s="702"/>
      <c r="C192" s="702"/>
      <c r="D192" s="702"/>
      <c r="E192" s="572"/>
      <c r="F192" s="572"/>
      <c r="G192" s="572"/>
      <c r="H192" s="572"/>
      <c r="I192" s="572"/>
      <c r="J192" s="572"/>
      <c r="K192" s="572"/>
      <c r="L192" s="572"/>
      <c r="M192" s="572"/>
    </row>
    <row r="193" spans="1:13" ht="25.5" customHeight="1" x14ac:dyDescent="0.25">
      <c r="A193" s="709" t="str">
        <f>IF('Данные объект'!C36="","",'Данные объект'!C36)</f>
      </c>
      <c r="B193" s="709"/>
      <c r="C193" s="709"/>
      <c r="D193" s="709"/>
      <c r="E193" s="709"/>
      <c r="F193" s="665"/>
      <c r="G193" s="665"/>
      <c r="H193" s="665"/>
      <c r="I193" s="665"/>
      <c r="J193" s="568" t="str">
        <f>IF('Данные объект'!B37="","",'Данные объект'!B37)</f>
      </c>
      <c r="K193" s="568"/>
      <c r="L193" s="568"/>
      <c r="M193" s="568"/>
    </row>
    <row r="194" spans="1:13" ht="11.25" customHeight="1" x14ac:dyDescent="0.25">
      <c r="A194" s="696" t="s">
        <v>1011</v>
      </c>
      <c r="B194" s="696"/>
      <c r="C194" s="696"/>
      <c r="D194" s="696"/>
      <c r="E194" s="604"/>
      <c r="F194" s="604"/>
      <c r="G194" s="604"/>
      <c r="H194" s="604"/>
      <c r="I194" s="604"/>
      <c r="J194" s="604"/>
      <c r="K194" s="604"/>
      <c r="L194" s="604"/>
      <c r="M194" s="604"/>
    </row>
    <row r="195" spans="1:13" x14ac:dyDescent="0.25">
      <c r="A195" s="581" t="s">
        <v>1185</v>
      </c>
      <c r="B195" s="702"/>
      <c r="C195" s="702"/>
      <c r="D195" s="702"/>
      <c r="E195" s="572"/>
      <c r="F195" s="572"/>
      <c r="G195" s="572"/>
      <c r="H195" s="572"/>
      <c r="I195" s="572"/>
      <c r="J195" s="572"/>
      <c r="K195" s="572"/>
      <c r="L195" s="572"/>
      <c r="M195" s="572"/>
    </row>
    <row r="196" spans="1:13" x14ac:dyDescent="0.25">
      <c r="A196" s="708" t="s">
        <v>101</v>
      </c>
      <c r="B196" s="693"/>
      <c r="C196" s="693"/>
      <c r="D196" s="693"/>
      <c r="E196" s="665"/>
      <c r="F196" s="665"/>
      <c r="G196" s="665"/>
      <c r="H196" s="665"/>
      <c r="I196" s="665"/>
      <c r="J196" s="665"/>
      <c r="K196" s="665"/>
      <c r="L196" s="665"/>
      <c r="M196" s="665"/>
    </row>
    <row r="197" spans="1:13" ht="11.1" customHeight="1" x14ac:dyDescent="0.25">
      <c r="A197" s="601" t="s">
        <v>1100</v>
      </c>
      <c r="B197" s="601"/>
      <c r="C197" s="601"/>
      <c r="D197" s="601"/>
      <c r="E197" s="602"/>
      <c r="F197" s="602"/>
      <c r="G197" s="602"/>
      <c r="H197" s="602"/>
      <c r="I197" s="602"/>
      <c r="J197" s="602"/>
      <c r="K197" s="602"/>
      <c r="L197" s="602"/>
      <c r="M197" s="602"/>
    </row>
  </sheetData>
  <mergeCells count="223">
    <mergeCell ref="A12:M12"/>
    <mergeCell ref="A13:M13"/>
    <mergeCell ref="A14:M14"/>
    <mergeCell ref="A15:M15"/>
    <mergeCell ref="A16:M16"/>
    <mergeCell ref="A1:M1"/>
    <mergeCell ref="A3:M3"/>
    <mergeCell ref="A5:M5"/>
    <mergeCell ref="A7:M7"/>
    <mergeCell ref="A8:M8"/>
    <mergeCell ref="A4:M4"/>
    <mergeCell ref="A24:M24"/>
    <mergeCell ref="A25:M25"/>
    <mergeCell ref="A26:M26"/>
    <mergeCell ref="A27:M27"/>
    <mergeCell ref="A28:M28"/>
    <mergeCell ref="A29:M29"/>
    <mergeCell ref="A17:M17"/>
    <mergeCell ref="A18:M18"/>
    <mergeCell ref="A19:M19"/>
    <mergeCell ref="A20:M20"/>
    <mergeCell ref="A21:M21"/>
    <mergeCell ref="C22:G22"/>
    <mergeCell ref="H22:M22"/>
    <mergeCell ref="A37:M37"/>
    <mergeCell ref="A38:M38"/>
    <mergeCell ref="A39:M39"/>
    <mergeCell ref="A40:M40"/>
    <mergeCell ref="A41:M41"/>
    <mergeCell ref="A42:M42"/>
    <mergeCell ref="A31:M31"/>
    <mergeCell ref="A32:M32"/>
    <mergeCell ref="A33:M33"/>
    <mergeCell ref="A34:M34"/>
    <mergeCell ref="A35:M35"/>
    <mergeCell ref="A36:M36"/>
    <mergeCell ref="A53:M53"/>
    <mergeCell ref="A54:M54"/>
    <mergeCell ref="A55:M55"/>
    <mergeCell ref="A56:M56"/>
    <mergeCell ref="A57:M57"/>
    <mergeCell ref="D52:M52"/>
    <mergeCell ref="A43:M43"/>
    <mergeCell ref="A44:M44"/>
    <mergeCell ref="A45:M45"/>
    <mergeCell ref="A47:M47"/>
    <mergeCell ref="A51:M51"/>
    <mergeCell ref="B49:C49"/>
    <mergeCell ref="E49:F49"/>
    <mergeCell ref="A69:M69"/>
    <mergeCell ref="A70:M70"/>
    <mergeCell ref="A71:M71"/>
    <mergeCell ref="A58:M58"/>
    <mergeCell ref="A59:M59"/>
    <mergeCell ref="A60:M60"/>
    <mergeCell ref="A61:M61"/>
    <mergeCell ref="A67:M67"/>
    <mergeCell ref="A68:M68"/>
    <mergeCell ref="A62:M62"/>
    <mergeCell ref="A63:M63"/>
    <mergeCell ref="A64:M64"/>
    <mergeCell ref="A65:M65"/>
    <mergeCell ref="A66:M66"/>
    <mergeCell ref="A81:M81"/>
    <mergeCell ref="A84:M84"/>
    <mergeCell ref="A85:M85"/>
    <mergeCell ref="A87:M87"/>
    <mergeCell ref="E83:M83"/>
    <mergeCell ref="C88:D88"/>
    <mergeCell ref="A88:B88"/>
    <mergeCell ref="E88:F88"/>
    <mergeCell ref="A72:M72"/>
    <mergeCell ref="A73:M73"/>
    <mergeCell ref="A75:M75"/>
    <mergeCell ref="A76:M76"/>
    <mergeCell ref="A78:M78"/>
    <mergeCell ref="A77:M77"/>
    <mergeCell ref="E80:M80"/>
    <mergeCell ref="G88:H88"/>
    <mergeCell ref="A74:M74"/>
    <mergeCell ref="A89:M89"/>
    <mergeCell ref="A91:M91"/>
    <mergeCell ref="A92:M92"/>
    <mergeCell ref="A93:M93"/>
    <mergeCell ref="A95:M95"/>
    <mergeCell ref="A101:M101"/>
    <mergeCell ref="A94:B94"/>
    <mergeCell ref="C94:D94"/>
    <mergeCell ref="G94:H94"/>
    <mergeCell ref="A98:D98"/>
    <mergeCell ref="E98:G98"/>
    <mergeCell ref="A97:M97"/>
    <mergeCell ref="A99:M99"/>
    <mergeCell ref="A100:M100"/>
    <mergeCell ref="A102:M102"/>
    <mergeCell ref="A104:M104"/>
    <mergeCell ref="G105:G106"/>
    <mergeCell ref="L105:M105"/>
    <mergeCell ref="A111:M111"/>
    <mergeCell ref="H109:I109"/>
    <mergeCell ref="H110:I110"/>
    <mergeCell ref="J108:K108"/>
    <mergeCell ref="J109:K109"/>
    <mergeCell ref="J110:K110"/>
    <mergeCell ref="H105:K105"/>
    <mergeCell ref="H106:I106"/>
    <mergeCell ref="J106:K106"/>
    <mergeCell ref="H107:I107"/>
    <mergeCell ref="J107:K107"/>
    <mergeCell ref="H108:I108"/>
    <mergeCell ref="D105:F106"/>
    <mergeCell ref="A105:C106"/>
    <mergeCell ref="D107:F107"/>
    <mergeCell ref="D108:F108"/>
    <mergeCell ref="D109:F109"/>
    <mergeCell ref="D110:F110"/>
    <mergeCell ref="A107:C107"/>
    <mergeCell ref="A108:C108"/>
    <mergeCell ref="A196:M196"/>
    <mergeCell ref="A197:M197"/>
    <mergeCell ref="A9:C9"/>
    <mergeCell ref="F9:G9"/>
    <mergeCell ref="E10:F10"/>
    <mergeCell ref="K9:M9"/>
    <mergeCell ref="K10:M10"/>
    <mergeCell ref="A10:C10"/>
    <mergeCell ref="A22:B22"/>
    <mergeCell ref="A186:M186"/>
    <mergeCell ref="A187:M187"/>
    <mergeCell ref="A188:M188"/>
    <mergeCell ref="A189:M189"/>
    <mergeCell ref="A191:M191"/>
    <mergeCell ref="A195:M195"/>
    <mergeCell ref="A180:M180"/>
    <mergeCell ref="A181:M181"/>
    <mergeCell ref="A183:M183"/>
    <mergeCell ref="A185:M185"/>
    <mergeCell ref="A182:E182"/>
    <mergeCell ref="F182:I182"/>
    <mergeCell ref="J182:M182"/>
    <mergeCell ref="A172:M172"/>
    <mergeCell ref="A173:M173"/>
    <mergeCell ref="A194:M194"/>
    <mergeCell ref="A175:M175"/>
    <mergeCell ref="A176:M176"/>
    <mergeCell ref="A178:M178"/>
    <mergeCell ref="A162:M162"/>
    <mergeCell ref="A164:M164"/>
    <mergeCell ref="A165:M165"/>
    <mergeCell ref="A167:M167"/>
    <mergeCell ref="A169:M169"/>
    <mergeCell ref="A171:M171"/>
    <mergeCell ref="A179:E179"/>
    <mergeCell ref="F179:I179"/>
    <mergeCell ref="J179:M179"/>
    <mergeCell ref="A190:M190"/>
    <mergeCell ref="A192:M192"/>
    <mergeCell ref="A174:M174"/>
    <mergeCell ref="A193:E193"/>
    <mergeCell ref="F193:I193"/>
    <mergeCell ref="J193:M193"/>
    <mergeCell ref="A154:M154"/>
    <mergeCell ref="A155:M155"/>
    <mergeCell ref="A157:M157"/>
    <mergeCell ref="A158:M158"/>
    <mergeCell ref="A159:M159"/>
    <mergeCell ref="A161:M161"/>
    <mergeCell ref="J113:K113"/>
    <mergeCell ref="J112:M112"/>
    <mergeCell ref="H113:I113"/>
    <mergeCell ref="H114:I114"/>
    <mergeCell ref="A120:D120"/>
    <mergeCell ref="E120:M120"/>
    <mergeCell ref="H115:I115"/>
    <mergeCell ref="H116:I116"/>
    <mergeCell ref="H117:I117"/>
    <mergeCell ref="J116:K116"/>
    <mergeCell ref="A126:M126"/>
    <mergeCell ref="A127:M127"/>
    <mergeCell ref="A149:M149"/>
    <mergeCell ref="A151:M151"/>
    <mergeCell ref="A153:M153"/>
    <mergeCell ref="A136:M136"/>
    <mergeCell ref="A138:M138"/>
    <mergeCell ref="A139:M139"/>
    <mergeCell ref="A122:M122"/>
    <mergeCell ref="A123:M123"/>
    <mergeCell ref="A140:M140"/>
    <mergeCell ref="A142:M142"/>
    <mergeCell ref="A143:M143"/>
    <mergeCell ref="A144:M144"/>
    <mergeCell ref="A146:M146"/>
    <mergeCell ref="A147:M147"/>
    <mergeCell ref="A130:M130"/>
    <mergeCell ref="A131:M131"/>
    <mergeCell ref="A132:M132"/>
    <mergeCell ref="A134:M134"/>
    <mergeCell ref="A135:M135"/>
    <mergeCell ref="A124:M124"/>
    <mergeCell ref="A119:M119"/>
    <mergeCell ref="J115:K115"/>
    <mergeCell ref="A109:C109"/>
    <mergeCell ref="A110:C110"/>
    <mergeCell ref="A112:C113"/>
    <mergeCell ref="A114:C114"/>
    <mergeCell ref="A115:C115"/>
    <mergeCell ref="A128:M128"/>
    <mergeCell ref="L113:M113"/>
    <mergeCell ref="L114:M114"/>
    <mergeCell ref="J114:K114"/>
    <mergeCell ref="D112:F113"/>
    <mergeCell ref="G112:I112"/>
    <mergeCell ref="D114:F114"/>
    <mergeCell ref="D115:F115"/>
    <mergeCell ref="D116:F116"/>
    <mergeCell ref="D117:F117"/>
    <mergeCell ref="J117:K117"/>
    <mergeCell ref="L115:M115"/>
    <mergeCell ref="L116:M116"/>
    <mergeCell ref="L117:M117"/>
    <mergeCell ref="A116:C116"/>
    <mergeCell ref="A117:C117"/>
    <mergeCell ref="A121:M121"/>
  </mergeCells>
  <pageMargins left="1.18" right="0.59" top="0.39" bottom="0.79" header="0.49" footer="0.49"/>
  <pageSetup paperSize="9" scale="67" orientation="portrait" r:id="rId1"/>
  <rowBreaks count="1" manualBreakCount="1">
    <brk id="7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584D-8C5C-4618-8E62-3147558B3E7B}">
  <sheetPr>
    <tabColor rgb="FFFFFF99"/>
  </sheetPr>
  <dimension ref="A1:M34"/>
  <sheetViews>
    <sheetView view="pageBreakPreview" topLeftCell="A10" zoomScaleNormal="100" zoomScaleSheetLayoutView="100" workbookViewId="0">
      <selection activeCell="R26" sqref="R26"/>
    </sheetView>
  </sheetViews>
  <sheetFormatPr defaultColWidth="9.140625" defaultRowHeight="15" x14ac:dyDescent="0.25"/>
  <cols>
    <col min="1" max="2" width="9.140625" style="185"/>
    <col min="3" max="3" width="3.5703125" style="185" customWidth="1"/>
    <col min="4" max="6" width="9.140625" style="185"/>
    <col min="7" max="7" width="4.140625" style="185" customWidth="1"/>
    <col min="8" max="8" width="6" style="185" customWidth="1"/>
    <col min="9" max="9" width="4.5703125" style="185" customWidth="1"/>
    <col min="10" max="10" width="5.28515625" style="185" customWidth="1"/>
    <col min="11" max="11" width="4.28515625" style="185" customWidth="1"/>
    <col min="12" max="12" width="4.7109375" style="185" customWidth="1"/>
    <col min="13" max="13" width="7.28515625" style="185" customWidth="1"/>
    <col min="14" max="16384" width="9.140625" style="185"/>
  </cols>
  <sheetData>
    <row r="1" spans="1:13" ht="25.5" customHeight="1" x14ac:dyDescent="0.25">
      <c r="A1" s="750" t="s">
        <v>1199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</row>
    <row r="3" spans="1:13" ht="18.75" customHeight="1" x14ac:dyDescent="0.25">
      <c r="A3" s="741" t="s">
        <v>1101</v>
      </c>
      <c r="B3" s="741"/>
      <c r="C3" s="741"/>
      <c r="D3" s="751" t="str">
        <f>IF('Данные объект'!B33="","",'Данные объект'!B33)</f>
      </c>
      <c r="E3" s="751"/>
      <c r="F3" s="751"/>
      <c r="G3" s="751"/>
      <c r="H3" s="751"/>
      <c r="I3" s="751"/>
      <c r="J3" s="751"/>
      <c r="K3" s="751"/>
      <c r="L3" s="751"/>
      <c r="M3" s="751"/>
    </row>
    <row r="4" spans="1:13" ht="18.75" customHeight="1" x14ac:dyDescent="0.25">
      <c r="A4" s="741" t="s">
        <v>1104</v>
      </c>
      <c r="B4" s="741"/>
      <c r="C4" s="741"/>
      <c r="D4" s="751" t="str">
        <f>IF('Данные объект'!B19="","",'Данные объект'!B19)</f>
      </c>
      <c r="E4" s="751"/>
      <c r="F4" s="751"/>
      <c r="G4" s="751"/>
      <c r="H4" s="751"/>
      <c r="I4" s="751"/>
      <c r="J4" s="751"/>
      <c r="K4" s="751"/>
      <c r="L4" s="751"/>
      <c r="M4" s="751"/>
    </row>
    <row r="5" spans="1:13" ht="48" customHeight="1" x14ac:dyDescent="0.25">
      <c r="A5" s="741" t="s">
        <v>1200</v>
      </c>
      <c r="B5" s="741"/>
      <c r="C5" s="741"/>
      <c r="D5" s="752" t="str">
        <f>IF('Данные объект'!B3="","",'Данные объект'!B3)</f>
      </c>
      <c r="E5" s="752"/>
      <c r="F5" s="752"/>
      <c r="G5" s="752"/>
      <c r="H5" s="752"/>
      <c r="I5" s="752"/>
      <c r="J5" s="752"/>
      <c r="K5" s="752"/>
      <c r="L5" s="752"/>
      <c r="M5" s="752"/>
    </row>
    <row r="6" spans="1:13" x14ac:dyDescent="0.25">
      <c r="A6" s="741" t="s">
        <v>1201</v>
      </c>
      <c r="B6" s="741"/>
      <c r="C6" s="741"/>
      <c r="D6" s="748" t="s">
        <v>1202</v>
      </c>
      <c r="E6" s="748"/>
      <c r="F6" s="748"/>
      <c r="G6" s="748"/>
      <c r="H6" s="748"/>
      <c r="I6" s="748"/>
      <c r="J6" s="748"/>
      <c r="K6" s="748"/>
      <c r="L6" s="748"/>
      <c r="M6" s="748"/>
    </row>
    <row r="7" spans="1:13" ht="15.75" customHeight="1" x14ac:dyDescent="0.25">
      <c r="A7" s="741" t="s">
        <v>1203</v>
      </c>
      <c r="B7" s="741"/>
      <c r="C7" s="741"/>
      <c r="D7" s="748" t="s">
        <v>1204</v>
      </c>
      <c r="E7" s="748"/>
      <c r="F7" s="748"/>
      <c r="G7" s="748"/>
      <c r="H7" s="748"/>
      <c r="I7" s="748"/>
      <c r="J7" s="748"/>
      <c r="K7" s="748"/>
      <c r="L7" s="748"/>
      <c r="M7" s="748"/>
    </row>
    <row r="9" spans="1:13" ht="20.25" customHeight="1" x14ac:dyDescent="0.25">
      <c r="A9" s="603" t="s">
        <v>1233</v>
      </c>
      <c r="B9" s="603"/>
      <c r="C9" s="603"/>
      <c r="D9" s="603"/>
      <c r="E9" s="603"/>
      <c r="F9" s="603"/>
      <c r="G9" s="603"/>
      <c r="H9" s="603"/>
      <c r="I9" s="603"/>
      <c r="J9" s="603"/>
      <c r="K9" s="603"/>
      <c r="L9" s="603"/>
      <c r="M9" s="603"/>
    </row>
    <row r="10" spans="1:13" ht="17.25" customHeight="1" x14ac:dyDescent="0.25">
      <c r="A10" s="603" t="s">
        <v>1205</v>
      </c>
      <c r="B10" s="603"/>
      <c r="C10" s="603"/>
      <c r="D10" s="603"/>
      <c r="E10" s="603"/>
      <c r="F10" s="603"/>
      <c r="G10" s="603"/>
      <c r="H10" s="603"/>
      <c r="I10" s="603"/>
      <c r="J10" s="603"/>
      <c r="K10" s="603"/>
      <c r="L10" s="603"/>
      <c r="M10" s="603"/>
    </row>
    <row r="12" spans="1:13" ht="12.75" customHeight="1" x14ac:dyDescent="0.25">
      <c r="A12" s="571"/>
      <c r="B12" s="571"/>
      <c r="C12" s="571"/>
      <c r="L12" s="749" t="str">
        <f>IF('Данные объект'!B8="","",'Данные объект'!B8)</f>
      </c>
      <c r="M12" s="749"/>
    </row>
    <row r="13" spans="1:13" ht="39.75" customHeight="1" x14ac:dyDescent="0.25">
      <c r="A13" s="741"/>
      <c r="B13" s="741"/>
      <c r="C13" s="741"/>
      <c r="D13" s="741"/>
      <c r="E13" s="741"/>
      <c r="F13" s="741"/>
      <c r="G13" s="741"/>
      <c r="H13" s="741"/>
      <c r="I13" s="741"/>
      <c r="J13" s="741"/>
      <c r="K13" s="741"/>
      <c r="L13" s="741"/>
      <c r="M13" s="741"/>
    </row>
    <row r="14" spans="1:13" ht="18" customHeight="1" x14ac:dyDescent="0.25">
      <c r="A14" s="684" t="s">
        <v>1207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</row>
    <row r="15" spans="1:13" ht="18" customHeight="1" x14ac:dyDescent="0.25">
      <c r="A15" s="741" t="s">
        <v>1206</v>
      </c>
      <c r="B15" s="741"/>
      <c r="C15" s="741"/>
      <c r="D15" s="741"/>
      <c r="E15" s="741"/>
      <c r="F15" s="741"/>
      <c r="G15" s="741"/>
      <c r="H15" s="741"/>
      <c r="I15" s="741"/>
      <c r="J15" s="741"/>
      <c r="K15" s="741"/>
      <c r="L15" s="741"/>
      <c r="M15" s="741"/>
    </row>
    <row r="16" spans="1:13" ht="16.5" customHeight="1" x14ac:dyDescent="0.25">
      <c r="A16" s="746"/>
      <c r="B16" s="746"/>
      <c r="C16" s="746"/>
      <c r="D16" s="746"/>
      <c r="E16" s="746"/>
      <c r="F16" s="746"/>
      <c r="G16" s="746"/>
      <c r="H16" s="746"/>
      <c r="I16" s="746"/>
      <c r="J16" s="746"/>
      <c r="K16" s="746"/>
      <c r="L16" s="747">
        <f>IF('Данные объект'!C3="","",'Данные объект'!C3)</f>
      </c>
      <c r="M16" s="747"/>
    </row>
    <row r="17" spans="1:13" ht="16.5" customHeight="1" x14ac:dyDescent="0.25">
      <c r="A17" s="743" t="str">
        <f>IF('Данные объект'!C2="","",'Данные объект'!C2)</f>
      </c>
      <c r="B17" s="743"/>
      <c r="C17" s="743"/>
      <c r="D17" s="245"/>
      <c r="E17" s="245"/>
      <c r="F17" s="245"/>
      <c r="G17" s="245"/>
      <c r="H17" s="245"/>
      <c r="I17" s="245"/>
      <c r="J17" s="245"/>
      <c r="K17" s="245"/>
      <c r="L17" s="247"/>
      <c r="M17" s="247"/>
    </row>
    <row r="18" spans="1:13" ht="50.25" customHeight="1" x14ac:dyDescent="0.25">
      <c r="A18" s="741"/>
      <c r="B18" s="741"/>
      <c r="C18" s="741"/>
      <c r="D18" s="741"/>
      <c r="E18" s="741"/>
      <c r="F18" s="741"/>
      <c r="G18" s="741"/>
      <c r="H18" s="741"/>
      <c r="I18" s="741"/>
      <c r="J18" s="741"/>
      <c r="K18" s="741"/>
      <c r="L18" s="741"/>
      <c r="M18" s="741"/>
    </row>
    <row r="20" spans="1:13" ht="17.25" customHeight="1" x14ac:dyDescent="0.25">
      <c r="A20" s="741" t="s">
        <v>1208</v>
      </c>
      <c r="B20" s="741"/>
    </row>
    <row r="21" spans="1:13" ht="17.25" customHeight="1" x14ac:dyDescent="0.25">
      <c r="A21" s="255" t="s">
        <v>1209</v>
      </c>
      <c r="B21" s="255"/>
      <c r="C21" s="255"/>
      <c r="D21" s="255"/>
      <c r="E21" s="255"/>
      <c r="F21" s="744" t="str">
        <f>IF(L12="","",L12)</f>
      </c>
      <c r="G21" s="744"/>
      <c r="H21" s="255" t="s">
        <v>1210</v>
      </c>
      <c r="I21" s="354"/>
      <c r="J21" s="255" t="s">
        <v>1211</v>
      </c>
      <c r="K21" s="255"/>
      <c r="L21" s="255"/>
    </row>
    <row r="23" spans="1:13" s="301" customFormat="1" x14ac:dyDescent="0.25">
      <c r="A23" s="302" t="s">
        <v>1360</v>
      </c>
    </row>
    <row r="24" spans="1:13" s="301" customFormat="1" x14ac:dyDescent="0.25">
      <c r="A24" s="742" t="str">
        <f>IF('Данные объект'!C37="","",'Данные объект'!C37)</f>
      </c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</row>
    <row r="25" spans="1:13" s="469" customFormat="1" x14ac:dyDescent="0.25">
      <c r="A25" s="739" t="str">
        <f>IF('Данные объект'!B38="","",'Данные объект'!B38)</f>
      </c>
      <c r="B25" s="739"/>
      <c r="C25" s="739"/>
      <c r="D25" s="739"/>
      <c r="E25" s="739"/>
      <c r="F25" s="739"/>
      <c r="G25" s="739"/>
      <c r="H25" s="739"/>
      <c r="I25" s="739"/>
      <c r="J25" s="739"/>
      <c r="K25" s="739"/>
      <c r="L25" s="739"/>
      <c r="M25" s="739"/>
    </row>
    <row r="26" spans="1:13" s="301" customFormat="1" x14ac:dyDescent="0.25">
      <c r="A26" s="745" t="str">
        <f>IF(A30="","",A30)</f>
      </c>
      <c r="B26" s="745"/>
      <c r="C26" s="745"/>
      <c r="D26" s="745"/>
      <c r="E26" s="745"/>
      <c r="F26" s="745"/>
      <c r="G26" s="745"/>
      <c r="H26" s="745"/>
      <c r="I26" s="745"/>
      <c r="J26" s="745"/>
      <c r="K26" s="745"/>
      <c r="L26" s="745"/>
      <c r="M26" s="745"/>
    </row>
    <row r="27" spans="1:13" ht="16.5" customHeight="1" x14ac:dyDescent="0.25">
      <c r="A27" s="741" t="s">
        <v>1212</v>
      </c>
      <c r="B27" s="741"/>
      <c r="C27" s="741"/>
      <c r="D27" s="741"/>
      <c r="E27" s="741"/>
      <c r="F27" s="741"/>
      <c r="G27" s="741"/>
      <c r="H27" s="741"/>
      <c r="I27" s="741"/>
      <c r="J27" s="741"/>
      <c r="K27" s="741"/>
      <c r="L27" s="741"/>
      <c r="M27" s="741"/>
    </row>
    <row r="28" spans="1:13" ht="14.25" customHeight="1" x14ac:dyDescent="0.25">
      <c r="A28" s="742" t="str">
        <f>IF('Данные объект'!C42="","",'Данные объект'!C42)</f>
      </c>
      <c r="B28" s="742"/>
      <c r="C28" s="742"/>
      <c r="D28" s="742"/>
      <c r="E28" s="742"/>
      <c r="F28" s="742"/>
      <c r="G28" s="742"/>
      <c r="H28" s="742"/>
      <c r="I28" s="742"/>
      <c r="J28" s="742"/>
      <c r="K28" s="742"/>
      <c r="L28" s="742"/>
      <c r="M28" s="742"/>
    </row>
    <row r="29" spans="1:13" ht="16.5" customHeight="1" x14ac:dyDescent="0.25">
      <c r="A29" s="739" t="str">
        <f>IF('Данные объект'!B43="","",'Данные объект'!B43)</f>
      </c>
      <c r="B29" s="739"/>
      <c r="C29" s="739"/>
      <c r="D29" s="739"/>
      <c r="E29" s="739"/>
      <c r="F29" s="739"/>
      <c r="G29" s="739"/>
      <c r="H29" s="739"/>
      <c r="I29" s="739"/>
      <c r="J29" s="739"/>
      <c r="K29" s="739"/>
      <c r="L29" s="739"/>
      <c r="M29" s="739"/>
    </row>
    <row r="30" spans="1:13" ht="14.25" customHeight="1" x14ac:dyDescent="0.25">
      <c r="A30" s="740" t="s">
        <v>1213</v>
      </c>
      <c r="B30" s="740"/>
      <c r="C30" s="740"/>
      <c r="D30" s="740"/>
      <c r="E30" s="740"/>
      <c r="F30" s="740"/>
      <c r="G30" s="740"/>
      <c r="H30" s="740"/>
      <c r="I30" s="740"/>
      <c r="J30" s="740"/>
      <c r="K30" s="740"/>
      <c r="L30" s="740"/>
      <c r="M30" s="740"/>
    </row>
    <row r="31" spans="1:13" ht="15.75" customHeight="1" x14ac:dyDescent="0.25">
      <c r="A31" s="741" t="s">
        <v>1214</v>
      </c>
      <c r="B31" s="741"/>
      <c r="C31" s="741"/>
      <c r="D31" s="741"/>
      <c r="E31" s="741"/>
      <c r="F31" s="741"/>
      <c r="G31" s="741"/>
      <c r="H31" s="741"/>
      <c r="I31" s="741"/>
      <c r="J31" s="741"/>
      <c r="K31" s="741"/>
      <c r="L31" s="741"/>
      <c r="M31" s="741"/>
    </row>
    <row r="32" spans="1:13" ht="15" customHeight="1" x14ac:dyDescent="0.25">
      <c r="A32" s="742" t="str">
        <f>IF('Данные объект'!C28="","",'Данные объект'!C28)</f>
      </c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</row>
    <row r="33" spans="1:13" ht="15" customHeight="1" x14ac:dyDescent="0.25">
      <c r="A33" s="742" t="str">
        <f>IF('Данные объект'!B29="","",'Данные объект'!B29)</f>
      </c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</row>
    <row r="34" spans="1:13" ht="13.5" customHeight="1" x14ac:dyDescent="0.25">
      <c r="A34" s="740" t="s">
        <v>1213</v>
      </c>
      <c r="B34" s="740"/>
      <c r="C34" s="740"/>
      <c r="D34" s="740"/>
      <c r="E34" s="740"/>
      <c r="F34" s="740"/>
      <c r="G34" s="740"/>
      <c r="H34" s="740"/>
      <c r="I34" s="740"/>
      <c r="J34" s="740"/>
      <c r="K34" s="740"/>
      <c r="L34" s="740"/>
      <c r="M34" s="740"/>
    </row>
  </sheetData>
  <mergeCells count="35">
    <mergeCell ref="A1:M1"/>
    <mergeCell ref="A3:C3"/>
    <mergeCell ref="A4:C4"/>
    <mergeCell ref="A5:C5"/>
    <mergeCell ref="D3:M3"/>
    <mergeCell ref="D4:M4"/>
    <mergeCell ref="D5:M5"/>
    <mergeCell ref="A16:K16"/>
    <mergeCell ref="L16:M16"/>
    <mergeCell ref="A6:C6"/>
    <mergeCell ref="D6:M6"/>
    <mergeCell ref="A7:C7"/>
    <mergeCell ref="D7:M7"/>
    <mergeCell ref="A9:M9"/>
    <mergeCell ref="A10:M10"/>
    <mergeCell ref="A12:C12"/>
    <mergeCell ref="L12:M12"/>
    <mergeCell ref="A13:M13"/>
    <mergeCell ref="A14:M14"/>
    <mergeCell ref="A15:M15"/>
    <mergeCell ref="A28:M28"/>
    <mergeCell ref="A17:C17"/>
    <mergeCell ref="A18:M18"/>
    <mergeCell ref="A20:B20"/>
    <mergeCell ref="F21:G21"/>
    <mergeCell ref="A27:M27"/>
    <mergeCell ref="A24:M24"/>
    <mergeCell ref="A26:M26"/>
    <mergeCell ref="A25:M25"/>
    <mergeCell ref="A29:M29"/>
    <mergeCell ref="A30:M30"/>
    <mergeCell ref="A31:M31"/>
    <mergeCell ref="A33:M33"/>
    <mergeCell ref="A34:M34"/>
    <mergeCell ref="A32:M32"/>
  </mergeCells>
  <pageMargins left="1.18" right="0.59" top="0.79" bottom="0.79" header="0.49" footer="0.49"/>
  <pageSetup paperSize="9" scale="9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558C-839D-4A96-A306-6A9C932A535D}">
  <sheetPr>
    <tabColor rgb="FFFFFF99"/>
  </sheetPr>
  <dimension ref="A1:F260"/>
  <sheetViews>
    <sheetView showZeros="0" view="pageBreakPreview" topLeftCell="A235" zoomScaleNormal="100" zoomScaleSheetLayoutView="100" workbookViewId="0">
      <selection activeCell="K255" sqref="K255"/>
    </sheetView>
  </sheetViews>
  <sheetFormatPr defaultColWidth="9.140625" defaultRowHeight="15" x14ac:dyDescent="0.25"/>
  <cols>
    <col min="1" max="1" width="9.140625" style="364"/>
    <col min="2" max="2" width="36.28515625" style="364" customWidth="1"/>
    <col min="3" max="3" width="13.28515625" style="364" customWidth="1"/>
    <col min="4" max="4" width="20.42578125" style="367" customWidth="1"/>
    <col min="5" max="16384" width="9.140625" style="364"/>
  </cols>
  <sheetData>
    <row r="1" spans="1:6" ht="15.95" customHeight="1" x14ac:dyDescent="0.25">
      <c r="A1" s="654" t="s">
        <v>1235</v>
      </c>
      <c r="B1" s="655"/>
      <c r="C1" s="655"/>
      <c r="D1" s="655"/>
      <c r="E1" s="655"/>
      <c r="F1" s="655"/>
    </row>
    <row r="2" spans="1:6" ht="15.95" hidden="1" customHeight="1" x14ac:dyDescent="0.25">
      <c r="A2" s="734" t="s">
        <v>1102</v>
      </c>
      <c r="B2" s="618"/>
      <c r="C2" s="618"/>
      <c r="D2" s="618"/>
      <c r="E2" s="618"/>
      <c r="F2" s="618"/>
    </row>
    <row r="3" spans="1:6" ht="15.95" hidden="1" customHeight="1" x14ac:dyDescent="0.25">
      <c r="A3" s="734" t="s">
        <v>1103</v>
      </c>
      <c r="B3" s="618"/>
      <c r="C3" s="618"/>
      <c r="D3" s="618"/>
      <c r="E3" s="618"/>
      <c r="F3" s="618"/>
    </row>
    <row r="4" spans="1:6" x14ac:dyDescent="0.25">
      <c r="C4" s="568" t="str">
        <f>IF('Данные объект'!B2="","",'Данные объект'!B2)</f>
      </c>
      <c r="D4" s="568"/>
      <c r="E4" s="568"/>
      <c r="F4" s="568"/>
    </row>
    <row r="5" spans="1:6" ht="22.5" customHeight="1" x14ac:dyDescent="0.25">
      <c r="A5" s="754"/>
      <c r="B5" s="754"/>
      <c r="C5" s="568" t="str">
        <f>IF('Данные объект'!B33="","",'Данные объект'!B33)</f>
      </c>
      <c r="D5" s="568"/>
      <c r="E5" s="568"/>
      <c r="F5" s="568"/>
    </row>
    <row r="6" spans="1:6" ht="22.5" customHeight="1" x14ac:dyDescent="0.25">
      <c r="A6" s="581"/>
      <c r="B6" s="581"/>
      <c r="C6" s="755" t="str">
        <f>IF('Данные объект'!B19="","",'Данные объект'!B19)</f>
      </c>
      <c r="D6" s="755"/>
      <c r="E6" s="755"/>
      <c r="F6" s="755"/>
    </row>
    <row r="8" spans="1:6" ht="39" customHeight="1" x14ac:dyDescent="0.25">
      <c r="A8" s="574" t="str">
        <f>IF('Данные объект'!B3="","",'Данные объект'!B3)</f>
      </c>
      <c r="B8" s="575"/>
      <c r="C8" s="575"/>
      <c r="D8" s="575"/>
      <c r="E8" s="575"/>
      <c r="F8" s="575"/>
    </row>
    <row r="10" spans="1:6" x14ac:dyDescent="0.25">
      <c r="A10" s="734"/>
      <c r="B10" s="618"/>
      <c r="C10" s="618"/>
      <c r="D10" s="618"/>
      <c r="E10" s="618"/>
      <c r="F10" s="618"/>
    </row>
    <row r="11" spans="1:6" x14ac:dyDescent="0.25">
      <c r="A11" s="734" t="str">
        <f>IF(C4="","",C4)</f>
      </c>
      <c r="B11" s="734"/>
      <c r="C11" s="734"/>
      <c r="D11" s="734"/>
      <c r="E11" s="734"/>
      <c r="F11" s="734"/>
    </row>
    <row r="12" spans="1:6" ht="13.9" customHeight="1" x14ac:dyDescent="0.25">
      <c r="A12" s="734"/>
      <c r="B12" s="618"/>
      <c r="C12" s="618"/>
      <c r="D12" s="618"/>
      <c r="E12" s="618"/>
      <c r="F12" s="618"/>
    </row>
    <row r="13" spans="1:6" ht="33.75" x14ac:dyDescent="0.25">
      <c r="A13" s="391"/>
      <c r="B13" s="391"/>
      <c r="C13" s="391"/>
      <c r="D13" s="391"/>
      <c r="E13" s="391"/>
      <c r="F13" s="391"/>
    </row>
    <row r="14" spans="1:6" s="252" customFormat="1" ht="9" x14ac:dyDescent="0.15">
      <c r="A14" s="251">
        <v>1</v>
      </c>
      <c r="B14" s="251"/>
      <c r="C14" s="251"/>
      <c r="D14" s="251"/>
      <c r="E14" s="251"/>
      <c r="F14" s="251"/>
    </row>
    <row r="15" spans="1:6" ht="22.5" x14ac:dyDescent="0.25">
      <c r="A15" s="215">
        <v>1</v>
      </c>
      <c r="B15" s="226"/>
      <c r="C15" s="215"/>
      <c r="D15" s="215"/>
      <c r="E15" s="215"/>
      <c r="F15" s="296"/>
    </row>
    <row r="16" spans="1:6" ht="33.75" x14ac:dyDescent="0.25">
      <c r="A16" s="215">
        <f>A15+1</f>
      </c>
      <c r="B16" s="226"/>
      <c r="C16" s="215"/>
      <c r="D16" s="391"/>
      <c r="E16" s="215"/>
      <c r="F16" s="296"/>
    </row>
    <row r="17" spans="1:6" x14ac:dyDescent="0.25">
      <c r="A17" s="215">
        <f t="shared" ref="A17:A83" si="0">A16+1</f>
      </c>
      <c r="B17" s="226"/>
      <c r="C17" s="215"/>
      <c r="D17" s="391"/>
      <c r="E17" s="215"/>
      <c r="F17" s="296"/>
    </row>
    <row r="18" spans="1:6" ht="22.5" x14ac:dyDescent="0.25">
      <c r="A18" s="215">
        <f t="shared" si="0"/>
      </c>
      <c r="B18" s="226"/>
      <c r="C18" s="215"/>
      <c r="D18" s="391"/>
      <c r="E18" s="215"/>
      <c r="F18" s="296"/>
    </row>
    <row r="19" spans="1:6" s="411" customFormat="1" ht="33.75" x14ac:dyDescent="0.25">
      <c r="A19" s="215"/>
      <c r="B19" s="226"/>
      <c r="C19" s="215"/>
      <c r="D19" s="391"/>
      <c r="E19" s="215"/>
      <c r="F19" s="296"/>
    </row>
    <row r="20" spans="1:6" s="411" customFormat="1" ht="33.75" x14ac:dyDescent="0.25">
      <c r="A20" s="215"/>
      <c r="B20" s="226"/>
      <c r="C20" s="215"/>
      <c r="D20" s="391"/>
      <c r="E20" s="215"/>
      <c r="F20" s="296"/>
    </row>
    <row r="21" spans="1:6" ht="22.5" x14ac:dyDescent="0.25">
      <c r="A21" s="215">
        <f>A18+1</f>
      </c>
      <c r="B21" s="226" t="str">
        <f>IF(AND(Пр.6А!A2="",Пр.6А!A3=""),"",CONCATENATE(IF(Пр.6А!A2="","",Пр.6А!A2),IF(Пр.6А!A3="","",Пр.6А!A3)," (Прил.6А)"))</f>
      </c>
      <c r="C21" s="215"/>
      <c r="D21" s="391" t="str">
        <f>IF(C6="","",C6)</f>
      </c>
      <c r="E21" s="215"/>
      <c r="F21" s="296"/>
    </row>
    <row r="22" spans="1:6" ht="35.25" hidden="1" customHeight="1" x14ac:dyDescent="0.25">
      <c r="A22" s="215">
        <f t="shared" si="0"/>
      </c>
      <c r="B22" s="226" t="str">
        <f>IF(AND(Пр.6Б!A2="",Пр.6Б!A3=""),"",CONCATENATE(IF(Пр.6Б!A2="","",Пр.6Б!A2),IF(Пр.6Б!A3="","",Пр.6Б!A3)," (Прил.6Б)"))</f>
      </c>
      <c r="C22" s="215"/>
      <c r="D22" s="391" t="str">
        <f>IF(C6="","",C6)</f>
      </c>
      <c r="E22" s="215"/>
      <c r="F22" s="296"/>
    </row>
    <row r="23" spans="1:6" ht="59.25" customHeight="1" x14ac:dyDescent="0.25">
      <c r="A23" s="215">
        <f t="shared" si="0"/>
      </c>
      <c r="B23" s="226" t="str">
        <f>IF(AND(Пр.7!A3="",Пр.7!A5="",Пр.7!A6=""),"",CONCATENATE(IF(Пр.7!A3="","",Пр.7!A3),IF(Пр.7!A5="","",Пр.7!A5),IF(Пр.7!A6="","",Пр.7!A6)," (Прил.7)"))</f>
      </c>
      <c r="C23" s="215"/>
      <c r="D23" s="391" t="str">
        <f>IF(C6="","",C6)</f>
      </c>
      <c r="E23" s="215"/>
      <c r="F23" s="296"/>
    </row>
    <row r="24" spans="1:6" ht="72" customHeight="1" x14ac:dyDescent="0.25">
      <c r="A24" s="215">
        <f t="shared" si="0"/>
      </c>
      <c r="B24" s="226" t="str">
        <f>IF(AND(Пр.10!A2="",Пр.10!A4="",Пр.10!A5=""),"",CONCATENATE(IF(Пр.10!A2="","",Пр.10!A2),IF(Пр.10!A4="","",Пр.10!A4),IF(Пр.10!A5="","",Пр.10!A5)," (Прил.10)"))</f>
      </c>
      <c r="C24" s="215"/>
      <c r="D24" s="391" t="str">
        <f>IF(C6="","",C6)</f>
      </c>
      <c r="E24" s="215"/>
      <c r="F24" s="296"/>
    </row>
    <row r="25" spans="1:6" ht="45" customHeight="1" x14ac:dyDescent="0.25">
      <c r="A25" s="215">
        <f t="shared" si="0"/>
      </c>
      <c r="B25" s="226" t="str">
        <f>IF(AND(Пр.11!A3="",Пр.11!A4=""),"",CONCATENATE(IF(Пр.11!A3="","",Пр.11!A3),IF(Пр.11!A4="","",Пр.11!A4)," (Прил.11)"))</f>
      </c>
      <c r="C25" s="215"/>
      <c r="D25" s="391" t="str">
        <f>IF(C6="","",C6)</f>
      </c>
      <c r="E25" s="215"/>
      <c r="F25" s="296"/>
    </row>
    <row r="26" spans="1:6" ht="45" customHeight="1" x14ac:dyDescent="0.25">
      <c r="A26" s="215">
        <f t="shared" si="0"/>
      </c>
      <c r="B26" s="226" t="str">
        <f>IF(AND('Пр.13 Справка ИД'!A9="",'Пр.13 Справка ИД'!A10=""),"",CONCATENATE(IF('Пр.13 Справка ИД'!A9="","",'Пр.13 Справка ИД'!A9),IF('Пр.13 Справка ИД'!A10="","",'Пр.13 Справка ИД'!A10)," (Прил.13)"))</f>
      </c>
      <c r="C26" s="215"/>
      <c r="D26" s="391" t="str">
        <f>IF(C6="","",C6)</f>
      </c>
      <c r="E26" s="215"/>
      <c r="F26" s="296"/>
    </row>
    <row r="27" spans="1:6" x14ac:dyDescent="0.25">
      <c r="A27" s="215">
        <f t="shared" si="0"/>
      </c>
      <c r="B27" s="226"/>
      <c r="C27" s="215"/>
      <c r="D27" s="391"/>
      <c r="E27" s="215"/>
      <c r="F27" s="296"/>
    </row>
    <row r="28" spans="1:6" x14ac:dyDescent="0.25">
      <c r="A28" s="215">
        <f t="shared" si="0"/>
      </c>
      <c r="B28" s="226"/>
      <c r="C28" s="215"/>
      <c r="D28" s="391">
        <f>IF(C9="","",C9)</f>
      </c>
      <c r="E28" s="215"/>
      <c r="F28" s="296"/>
    </row>
    <row r="29" spans="1:6" ht="22.5" hidden="1" x14ac:dyDescent="0.25">
      <c r="A29" s="215">
        <f t="shared" si="0"/>
      </c>
      <c r="B29" s="373"/>
      <c r="C29" s="215"/>
      <c r="D29" s="391" t="str">
        <f>IF(C6="","",C6)</f>
      </c>
      <c r="E29" s="215"/>
      <c r="F29" s="296"/>
    </row>
    <row r="30" spans="1:6" hidden="1" x14ac:dyDescent="0.25">
      <c r="A30" s="215">
        <f t="shared" si="0"/>
      </c>
      <c r="B30" s="373"/>
      <c r="C30" s="215"/>
      <c r="D30" s="391" t="str">
        <f>IF(C6="","",C6)</f>
      </c>
      <c r="E30" s="215"/>
      <c r="F30" s="296"/>
    </row>
    <row r="31" spans="1:6" x14ac:dyDescent="0.25">
      <c r="A31" s="215">
        <f>A30+1</f>
      </c>
      <c r="B31" s="373"/>
      <c r="C31" s="215"/>
      <c r="D31" s="391" t="str">
        <f>IF(C6="","",C6)</f>
      </c>
      <c r="E31" s="215"/>
      <c r="F31" s="296"/>
    </row>
    <row r="32" spans="1:6" x14ac:dyDescent="0.25">
      <c r="A32" s="215">
        <f t="shared" si="0"/>
      </c>
      <c r="B32" s="373"/>
      <c r="C32" s="215"/>
      <c r="D32" s="391" t="str">
        <f>IF(C6="","",C6)</f>
      </c>
      <c r="E32" s="215"/>
      <c r="F32" s="296"/>
    </row>
    <row r="33" spans="1:6" s="411" customFormat="1" ht="28.5" customHeight="1" x14ac:dyDescent="0.25">
      <c r="A33" s="215"/>
      <c r="B33" s="373"/>
      <c r="C33" s="215"/>
      <c r="D33" s="391"/>
      <c r="E33" s="215"/>
      <c r="F33" s="296"/>
    </row>
    <row r="34" spans="1:6" ht="22.5" x14ac:dyDescent="0.25">
      <c r="A34" s="215">
        <f>A32+1</f>
      </c>
      <c r="B34" s="227" t="str">
        <f>IF('1 '!A15="","",'1 '!A15)</f>
      </c>
      <c r="C34" s="215"/>
      <c r="D34" s="391" t="str">
        <f>IF(C6="","",C6)</f>
      </c>
      <c r="E34" s="215"/>
      <c r="F34" s="296"/>
    </row>
    <row r="35" spans="1:6" x14ac:dyDescent="0.25">
      <c r="A35" s="215">
        <f t="shared" si="0"/>
      </c>
      <c r="B35" s="227" t="str">
        <f>IF('2'!A14="","",'2'!A14)</f>
      </c>
      <c r="C35" s="215"/>
      <c r="D35" s="391" t="str">
        <f>IF(C6="","",C6)</f>
      </c>
      <c r="E35" s="215"/>
      <c r="F35" s="296"/>
    </row>
    <row r="36" spans="1:6" ht="36" customHeight="1" x14ac:dyDescent="0.25">
      <c r="A36" s="215">
        <f t="shared" si="0"/>
      </c>
      <c r="B36" s="227" t="str">
        <f>IF('3'!A14="","",'3'!A14)</f>
      </c>
      <c r="C36" s="215"/>
      <c r="D36" s="391" t="str">
        <f>IF(C6="","",C6)</f>
      </c>
      <c r="E36" s="215"/>
      <c r="F36" s="296"/>
    </row>
    <row r="37" spans="1:6" ht="22.5" x14ac:dyDescent="0.25">
      <c r="A37" s="215">
        <f t="shared" si="0"/>
      </c>
      <c r="B37" s="227" t="str">
        <f>IF('Ведомость общ'!A14="","",'Ведомость общ'!A14)</f>
      </c>
      <c r="C37" s="215"/>
      <c r="D37" s="391" t="str">
        <f>IF(C6="","",C6)</f>
      </c>
      <c r="E37" s="215"/>
      <c r="F37" s="296"/>
    </row>
    <row r="38" spans="1:6" ht="35.25" customHeight="1" x14ac:dyDescent="0.25">
      <c r="A38" s="215">
        <f t="shared" si="0"/>
      </c>
      <c r="B38" s="227" t="str">
        <f>IF(AND('ТП-1'!$A$16="",'ТП-1'!$A$17=""),"",CONCATENATE(IF('ТП-1'!$A$16="","",'ТП-1'!$A$16),IF('ТП-1'!$A$17="","",'ТП-1'!$A$17)))</f>
      </c>
      <c r="C38" s="215"/>
      <c r="D38" s="391" t="str">
        <f>IF(C6="","",C6)</f>
      </c>
      <c r="E38" s="215"/>
      <c r="F38" s="296"/>
    </row>
    <row r="39" spans="1:6" ht="22.5" x14ac:dyDescent="0.25">
      <c r="A39" s="215">
        <f t="shared" si="0"/>
      </c>
      <c r="B39" s="227" t="str">
        <f>IF(AND('ТП-2'!$A$13="",'ТП-2'!$A$14=""),"",CONCATENATE(IF('ТП-2'!$A$13="","",'ТП-2'!$A$13),IF('ТП-2'!$A$14="","",'ТП-2'!$A$14)))</f>
      </c>
      <c r="C39" s="215"/>
      <c r="D39" s="391" t="str">
        <f>IF(C6="","",C6)</f>
      </c>
      <c r="E39" s="215"/>
      <c r="F39" s="296"/>
    </row>
    <row r="40" spans="1:6" x14ac:dyDescent="0.25">
      <c r="A40" s="215">
        <f t="shared" si="0"/>
      </c>
      <c r="B40" s="227" t="str">
        <f>IF(AND('ТП-3'!$A$13="",'ТП-3'!$A$14=""),"",CONCATENATE(IF('ТП-3'!$A$13="","",'ТП-3'!$A$13),IF('ТП-3'!$A$14="","",'ТП-3'!$A$14)))</f>
      </c>
      <c r="C40" s="215"/>
      <c r="D40" s="391" t="str">
        <f>IF(C6="","",C6)</f>
      </c>
      <c r="E40" s="215"/>
      <c r="F40" s="296"/>
    </row>
    <row r="41" spans="1:6" ht="22.5" x14ac:dyDescent="0.25">
      <c r="A41" s="215">
        <f t="shared" si="0"/>
      </c>
      <c r="B41" s="227" t="str">
        <f>IF(AND('ТП-4'!A13="",'ТП-4'!A14=""),"",CONCATENATE(IF('ТП-4'!A13="","",'ТП-4'!A13),IF('ТП-4'!A14="","",'ТП-4'!A14)))</f>
      </c>
      <c r="C41" s="215"/>
      <c r="D41" s="391" t="str">
        <f>IF(C6="","",C6)</f>
      </c>
      <c r="E41" s="215"/>
      <c r="F41" s="296"/>
    </row>
    <row r="42" spans="1:6" ht="22.5" x14ac:dyDescent="0.25">
      <c r="A42" s="215">
        <f t="shared" si="0"/>
      </c>
      <c r="B42" s="227"/>
      <c r="C42" s="215"/>
      <c r="D42" s="391" t="str">
        <f>IF(C6="","",C6)</f>
      </c>
      <c r="E42" s="215"/>
      <c r="F42" s="296"/>
    </row>
    <row r="43" spans="1:6" x14ac:dyDescent="0.25">
      <c r="A43" s="215">
        <f t="shared" si="0"/>
      </c>
      <c r="B43" s="227"/>
      <c r="C43" s="215"/>
      <c r="D43" s="391" t="str">
        <f>IF(C6="","",C6)</f>
      </c>
      <c r="E43" s="215"/>
      <c r="F43" s="296"/>
    </row>
    <row r="44" spans="1:6" ht="22.5" x14ac:dyDescent="0.25">
      <c r="A44" s="215">
        <f t="shared" si="0"/>
      </c>
      <c r="B44" s="227"/>
      <c r="C44" s="215"/>
      <c r="D44" s="391" t="str">
        <f>IF(C6="","",C6)</f>
      </c>
      <c r="E44" s="215"/>
      <c r="F44" s="296"/>
    </row>
    <row r="45" spans="1:6" x14ac:dyDescent="0.25">
      <c r="A45" s="215">
        <f t="shared" si="0"/>
      </c>
      <c r="B45" s="227"/>
      <c r="C45" s="215"/>
      <c r="D45" s="391" t="str">
        <f>IF(C6="","",C6)</f>
      </c>
      <c r="E45" s="215"/>
      <c r="F45" s="296"/>
    </row>
    <row r="46" spans="1:6" x14ac:dyDescent="0.25">
      <c r="A46" s="215">
        <f t="shared" si="0"/>
      </c>
      <c r="B46" s="227"/>
      <c r="C46" s="215"/>
      <c r="D46" s="391"/>
      <c r="E46" s="215"/>
      <c r="F46" s="296"/>
    </row>
    <row r="47" spans="1:6" ht="22.5" x14ac:dyDescent="0.25">
      <c r="A47" s="215">
        <f t="shared" si="0"/>
      </c>
      <c r="B47" s="227"/>
      <c r="C47" s="215"/>
      <c r="D47" s="391" t="str">
        <f>IF(C6="","",C6)</f>
      </c>
      <c r="E47" s="215"/>
      <c r="F47" s="296"/>
    </row>
    <row r="48" spans="1:6" x14ac:dyDescent="0.25">
      <c r="A48" s="215">
        <f t="shared" si="0"/>
      </c>
      <c r="B48" s="227"/>
      <c r="C48" s="215"/>
      <c r="D48" s="391" t="str">
        <f>IF(C6="","",C6)</f>
      </c>
      <c r="E48" s="215"/>
      <c r="F48" s="296"/>
    </row>
    <row r="49" spans="1:6" x14ac:dyDescent="0.25">
      <c r="A49" s="215">
        <f t="shared" si="0"/>
      </c>
      <c r="B49" s="227"/>
      <c r="C49" s="215"/>
      <c r="D49" s="391"/>
      <c r="E49" s="215"/>
      <c r="F49" s="296"/>
    </row>
    <row r="50" spans="1:6" x14ac:dyDescent="0.25">
      <c r="A50" s="215">
        <f t="shared" si="0"/>
      </c>
      <c r="B50" s="227"/>
      <c r="C50" s="215"/>
      <c r="D50" s="391" t="str">
        <f>IF(C6="","",C6)</f>
      </c>
      <c r="E50" s="215"/>
      <c r="F50" s="296"/>
    </row>
    <row r="51" spans="1:6" x14ac:dyDescent="0.25">
      <c r="A51" s="215">
        <f t="shared" si="0"/>
      </c>
      <c r="B51" s="227"/>
      <c r="C51" s="215"/>
      <c r="D51" s="391" t="str">
        <f>IF(C6="","",C6)</f>
      </c>
      <c r="E51" s="215"/>
      <c r="F51" s="296"/>
    </row>
    <row r="52" spans="1:6" x14ac:dyDescent="0.25">
      <c r="A52" s="215">
        <f t="shared" si="0"/>
      </c>
      <c r="B52" s="227"/>
      <c r="C52" s="215"/>
      <c r="D52" s="391"/>
      <c r="E52" s="215"/>
      <c r="F52" s="296"/>
    </row>
    <row r="53" spans="1:6" x14ac:dyDescent="0.25">
      <c r="A53" s="215">
        <f t="shared" si="0"/>
      </c>
      <c r="B53" s="227"/>
      <c r="C53" s="215"/>
      <c r="D53" s="391"/>
      <c r="E53" s="215"/>
      <c r="F53" s="296"/>
    </row>
    <row r="54" spans="1:6" x14ac:dyDescent="0.25">
      <c r="A54" s="215">
        <f t="shared" si="0"/>
      </c>
      <c r="B54" s="227"/>
      <c r="C54" s="215"/>
      <c r="D54" s="391"/>
      <c r="E54" s="215"/>
      <c r="F54" s="296"/>
    </row>
    <row r="55" spans="1:6" x14ac:dyDescent="0.25">
      <c r="A55" s="215">
        <f t="shared" si="0"/>
      </c>
      <c r="B55" s="227"/>
      <c r="C55" s="215"/>
      <c r="D55" s="391"/>
      <c r="E55" s="215"/>
      <c r="F55" s="296"/>
    </row>
    <row r="56" spans="1:6" x14ac:dyDescent="0.25">
      <c r="A56" s="215">
        <f t="shared" si="0"/>
      </c>
      <c r="B56" s="227"/>
      <c r="C56" s="215"/>
      <c r="D56" s="391" t="str">
        <f>IF(C6="","",C6)</f>
      </c>
      <c r="E56" s="215"/>
      <c r="F56" s="296"/>
    </row>
    <row r="57" spans="1:6" x14ac:dyDescent="0.25">
      <c r="A57" s="215">
        <f t="shared" si="0"/>
      </c>
      <c r="B57" s="227"/>
      <c r="C57" s="215"/>
      <c r="D57" s="391" t="str">
        <f>IF(C6="","",C6)</f>
      </c>
      <c r="E57" s="215"/>
      <c r="F57" s="296"/>
    </row>
    <row r="58" spans="1:6" x14ac:dyDescent="0.25">
      <c r="A58" s="215">
        <f t="shared" si="0"/>
      </c>
      <c r="B58" s="227"/>
      <c r="C58" s="215"/>
      <c r="D58" s="391" t="str">
        <f>IF(C6="","",C6)</f>
      </c>
      <c r="E58" s="215"/>
      <c r="F58" s="296"/>
    </row>
    <row r="59" spans="1:6" x14ac:dyDescent="0.25">
      <c r="A59" s="215">
        <f t="shared" si="0"/>
      </c>
      <c r="B59" s="227"/>
      <c r="C59" s="215"/>
      <c r="D59" s="391"/>
      <c r="E59" s="215"/>
      <c r="F59" s="296"/>
    </row>
    <row r="60" spans="1:6" x14ac:dyDescent="0.25">
      <c r="A60" s="215">
        <f t="shared" si="0"/>
      </c>
      <c r="B60" s="227"/>
      <c r="C60" s="215"/>
      <c r="D60" s="391"/>
      <c r="E60" s="215"/>
      <c r="F60" s="296"/>
    </row>
    <row r="61" spans="1:6" x14ac:dyDescent="0.25">
      <c r="A61" s="215">
        <f t="shared" si="0"/>
      </c>
      <c r="B61" s="227"/>
      <c r="C61" s="215"/>
      <c r="D61" s="391"/>
      <c r="E61" s="215"/>
      <c r="F61" s="296"/>
    </row>
    <row r="62" spans="1:6" x14ac:dyDescent="0.25">
      <c r="A62" s="215">
        <f t="shared" si="0"/>
      </c>
      <c r="B62" s="227"/>
      <c r="C62" s="215"/>
      <c r="D62" s="391"/>
      <c r="E62" s="215"/>
      <c r="F62" s="296"/>
    </row>
    <row r="63" spans="1:6" x14ac:dyDescent="0.25">
      <c r="A63" s="215">
        <f t="shared" si="0"/>
      </c>
      <c r="B63" s="227"/>
      <c r="C63" s="215"/>
      <c r="D63" s="391" t="str">
        <f>IF(C6="","",C6)</f>
      </c>
      <c r="E63" s="215"/>
      <c r="F63" s="296"/>
    </row>
    <row r="64" spans="1:6" x14ac:dyDescent="0.25">
      <c r="A64" s="215">
        <f t="shared" si="0"/>
      </c>
      <c r="B64" s="227"/>
      <c r="C64" s="215"/>
      <c r="D64" s="391" t="str">
        <f>IF(C6="","",C6)</f>
      </c>
      <c r="E64" s="215"/>
      <c r="F64" s="296"/>
    </row>
    <row r="65" spans="1:6" x14ac:dyDescent="0.25">
      <c r="A65" s="215">
        <f t="shared" si="0"/>
      </c>
      <c r="B65" s="227"/>
      <c r="C65" s="215"/>
      <c r="D65" s="391" t="str">
        <f>IF(C6="","",C6)</f>
      </c>
      <c r="E65" s="215"/>
      <c r="F65" s="296"/>
    </row>
    <row r="66" spans="1:6" x14ac:dyDescent="0.25">
      <c r="A66" s="215">
        <f t="shared" si="0"/>
      </c>
      <c r="B66" s="227"/>
      <c r="C66" s="215"/>
      <c r="D66" s="391" t="str">
        <f>IF(C6="","",C6)</f>
      </c>
      <c r="E66" s="215"/>
      <c r="F66" s="296"/>
    </row>
    <row r="67" spans="1:6" x14ac:dyDescent="0.25">
      <c r="A67" s="215">
        <f t="shared" si="0"/>
      </c>
      <c r="B67" s="227"/>
      <c r="C67" s="215"/>
      <c r="D67" s="391"/>
      <c r="E67" s="215"/>
      <c r="F67" s="296"/>
    </row>
    <row r="68" spans="1:6" x14ac:dyDescent="0.25">
      <c r="A68" s="215">
        <f t="shared" si="0"/>
      </c>
      <c r="B68" s="227"/>
      <c r="C68" s="215"/>
      <c r="D68" s="391"/>
      <c r="E68" s="215"/>
      <c r="F68" s="296"/>
    </row>
    <row r="69" spans="1:6" x14ac:dyDescent="0.25">
      <c r="A69" s="215">
        <f t="shared" si="0"/>
      </c>
      <c r="B69" s="227"/>
      <c r="C69" s="215"/>
      <c r="D69" s="391"/>
      <c r="E69" s="215"/>
      <c r="F69" s="296"/>
    </row>
    <row r="70" spans="1:6" s="393" customFormat="1" x14ac:dyDescent="0.25">
      <c r="A70" s="215">
        <f t="shared" si="0"/>
      </c>
      <c r="B70" s="227"/>
      <c r="C70" s="215"/>
      <c r="D70" s="391" t="str">
        <f>IF(C6="","",C6)</f>
      </c>
      <c r="E70" s="215"/>
      <c r="F70" s="296"/>
    </row>
    <row r="71" spans="1:6" s="393" customFormat="1" x14ac:dyDescent="0.25">
      <c r="A71" s="215">
        <f t="shared" si="0"/>
      </c>
      <c r="B71" s="227"/>
      <c r="C71" s="215"/>
      <c r="D71" s="391" t="str">
        <f>IF(C6="","",C6)</f>
      </c>
      <c r="E71" s="215"/>
      <c r="F71" s="296"/>
    </row>
    <row r="72" spans="1:6" s="393" customFormat="1" x14ac:dyDescent="0.25">
      <c r="A72" s="215">
        <f t="shared" si="0"/>
      </c>
      <c r="B72" s="227"/>
      <c r="C72" s="215"/>
      <c r="D72" s="391"/>
      <c r="E72" s="215"/>
      <c r="F72" s="296"/>
    </row>
    <row r="73" spans="1:6" s="393" customFormat="1" x14ac:dyDescent="0.25">
      <c r="A73" s="215">
        <f t="shared" si="0"/>
      </c>
      <c r="B73" s="227"/>
      <c r="C73" s="215"/>
      <c r="D73" s="391"/>
      <c r="E73" s="215"/>
      <c r="F73" s="296"/>
    </row>
    <row r="74" spans="1:6" s="384" customFormat="1" ht="33.75" x14ac:dyDescent="0.25">
      <c r="A74" s="215">
        <f t="shared" si="0"/>
      </c>
      <c r="B74" s="392" t="str">
        <f>IF(AND('АСП-1'!$A$16="",'АСП-1'!$A$17=""),"",CONCATENATE(IF('АСП-1'!$A$16="","",'АСП-1'!$A$16),IF('АСП-1'!$A$17="","",'АСП-1'!$A$17)))</f>
      </c>
      <c r="C74" s="215"/>
      <c r="D74" s="391" t="str">
        <f>IF(C6="","",C6)</f>
      </c>
      <c r="E74" s="215"/>
      <c r="F74" s="296"/>
    </row>
    <row r="75" spans="1:6" s="384" customFormat="1" ht="22.5" x14ac:dyDescent="0.25">
      <c r="A75" s="215">
        <f t="shared" si="0"/>
      </c>
      <c r="B75" s="392" t="str">
        <f>IF(AND('АСП-2'!$A$13="",'АСП-2'!$A$14=""),"",CONCATENATE(IF('АСП-2'!$A$13="","",'АСП-2'!$A$13),IF('АСП-2'!$A$14="","",'АСП-2'!$A$14)))</f>
      </c>
      <c r="C75" s="215"/>
      <c r="D75" s="391" t="str">
        <f>IF(C6="","",C6)</f>
      </c>
      <c r="E75" s="215"/>
      <c r="F75" s="296"/>
    </row>
    <row r="76" spans="1:6" s="384" customFormat="1" x14ac:dyDescent="0.25">
      <c r="A76" s="215">
        <f t="shared" si="0"/>
      </c>
      <c r="B76" s="392" t="str">
        <f>IF(AND('АСП-3'!$A$13="",'АСП-3'!$A$14=""),"",CONCATENATE(IF('АСП-3'!$A$13="","",'АСП-3'!$A$13),IF('АСП-3'!$A$14="","",'АСП-3'!$A$14)))</f>
      </c>
      <c r="C76" s="215"/>
      <c r="D76" s="391" t="str">
        <f>IF(C6="","",C6)</f>
      </c>
      <c r="E76" s="215"/>
      <c r="F76" s="296"/>
    </row>
    <row r="77" spans="1:6" s="384" customFormat="1" ht="22.5" x14ac:dyDescent="0.25">
      <c r="A77" s="215">
        <f t="shared" si="0"/>
      </c>
      <c r="B77" s="392"/>
      <c r="C77" s="215"/>
      <c r="D77" s="391" t="str">
        <f>IF(C6="","",C6)</f>
      </c>
      <c r="E77" s="215"/>
      <c r="F77" s="296"/>
    </row>
    <row r="78" spans="1:6" s="384" customFormat="1" x14ac:dyDescent="0.25">
      <c r="A78" s="215">
        <f t="shared" si="0"/>
      </c>
      <c r="B78" s="392"/>
      <c r="C78" s="215"/>
      <c r="D78" s="391" t="str">
        <f>IF(C6="","",C6)</f>
      </c>
      <c r="E78" s="215"/>
      <c r="F78" s="296"/>
    </row>
    <row r="79" spans="1:6" s="384" customFormat="1" ht="22.5" x14ac:dyDescent="0.25">
      <c r="A79" s="215">
        <f t="shared" si="0"/>
      </c>
      <c r="B79" s="392"/>
      <c r="C79" s="215"/>
      <c r="D79" s="391" t="str">
        <f>IF(C6="","",C6)</f>
      </c>
      <c r="E79" s="215"/>
      <c r="F79" s="296"/>
    </row>
    <row r="80" spans="1:6" s="384" customFormat="1" x14ac:dyDescent="0.25">
      <c r="A80" s="215">
        <f t="shared" si="0"/>
      </c>
      <c r="B80" s="392"/>
      <c r="C80" s="215"/>
      <c r="D80" s="391" t="str">
        <f>IF(C6="","",C6)</f>
      </c>
      <c r="E80" s="215"/>
      <c r="F80" s="296"/>
    </row>
    <row r="81" spans="1:6" s="384" customFormat="1" x14ac:dyDescent="0.25">
      <c r="A81" s="215">
        <f t="shared" si="0"/>
      </c>
      <c r="B81" s="392"/>
      <c r="C81" s="215"/>
      <c r="D81" s="391"/>
      <c r="E81" s="215"/>
      <c r="F81" s="296"/>
    </row>
    <row r="82" spans="1:6" s="384" customFormat="1" ht="22.5" x14ac:dyDescent="0.25">
      <c r="A82" s="215">
        <f t="shared" si="0"/>
      </c>
      <c r="B82" s="392"/>
      <c r="C82" s="215"/>
      <c r="D82" s="391" t="str">
        <f>IF(C6="","",C6)</f>
      </c>
      <c r="E82" s="215"/>
      <c r="F82" s="296"/>
    </row>
    <row r="83" spans="1:6" s="384" customFormat="1" x14ac:dyDescent="0.25">
      <c r="A83" s="215">
        <f t="shared" si="0"/>
      </c>
      <c r="B83" s="392"/>
      <c r="C83" s="215"/>
      <c r="D83" s="391" t="str">
        <f>IF(C6="","",C6)</f>
      </c>
      <c r="E83" s="215"/>
      <c r="F83" s="296"/>
    </row>
    <row r="84" spans="1:6" s="384" customFormat="1" x14ac:dyDescent="0.25">
      <c r="A84" s="215">
        <f t="shared" ref="A84:A147" si="1">A83+1</f>
      </c>
      <c r="B84" s="392"/>
      <c r="C84" s="215"/>
      <c r="D84" s="391"/>
      <c r="E84" s="215"/>
      <c r="F84" s="296"/>
    </row>
    <row r="85" spans="1:6" s="384" customFormat="1" x14ac:dyDescent="0.25">
      <c r="A85" s="215">
        <f t="shared" si="1"/>
      </c>
      <c r="B85" s="392"/>
      <c r="C85" s="215"/>
      <c r="D85" s="391" t="str">
        <f>IF(C6="","",C6)</f>
      </c>
      <c r="E85" s="215"/>
      <c r="F85" s="296"/>
    </row>
    <row r="86" spans="1:6" s="384" customFormat="1" x14ac:dyDescent="0.25">
      <c r="A86" s="215">
        <f t="shared" si="1"/>
      </c>
      <c r="B86" s="392"/>
      <c r="C86" s="215"/>
      <c r="D86" s="391" t="str">
        <f>IF(C6="","",C6)</f>
      </c>
      <c r="E86" s="215"/>
      <c r="F86" s="296"/>
    </row>
    <row r="87" spans="1:6" s="384" customFormat="1" x14ac:dyDescent="0.25">
      <c r="A87" s="215">
        <f t="shared" si="1"/>
      </c>
      <c r="B87" s="392"/>
      <c r="C87" s="215"/>
      <c r="D87" s="391"/>
      <c r="E87" s="215"/>
      <c r="F87" s="296"/>
    </row>
    <row r="88" spans="1:6" s="384" customFormat="1" x14ac:dyDescent="0.25">
      <c r="A88" s="215">
        <f t="shared" si="1"/>
      </c>
      <c r="B88" s="392"/>
      <c r="C88" s="215"/>
      <c r="D88" s="391"/>
      <c r="E88" s="215"/>
      <c r="F88" s="296"/>
    </row>
    <row r="89" spans="1:6" s="384" customFormat="1" x14ac:dyDescent="0.25">
      <c r="A89" s="215">
        <f t="shared" si="1"/>
      </c>
      <c r="B89" s="392"/>
      <c r="C89" s="215"/>
      <c r="D89" s="391"/>
      <c r="E89" s="215"/>
      <c r="F89" s="296"/>
    </row>
    <row r="90" spans="1:6" s="384" customFormat="1" x14ac:dyDescent="0.25">
      <c r="A90" s="215">
        <f t="shared" si="1"/>
      </c>
      <c r="B90" s="392"/>
      <c r="C90" s="215"/>
      <c r="D90" s="391"/>
      <c r="E90" s="215"/>
      <c r="F90" s="296"/>
    </row>
    <row r="91" spans="1:6" s="384" customFormat="1" x14ac:dyDescent="0.25">
      <c r="A91" s="215">
        <f t="shared" si="1"/>
      </c>
      <c r="B91" s="392"/>
      <c r="C91" s="215"/>
      <c r="D91" s="391" t="str">
        <f>IF(C6="","",C6)</f>
      </c>
      <c r="E91" s="215"/>
      <c r="F91" s="296"/>
    </row>
    <row r="92" spans="1:6" s="384" customFormat="1" x14ac:dyDescent="0.25">
      <c r="A92" s="215">
        <f t="shared" si="1"/>
      </c>
      <c r="B92" s="392"/>
      <c r="C92" s="215"/>
      <c r="D92" s="391" t="str">
        <f>IF(C6="","",C6)</f>
      </c>
      <c r="E92" s="215"/>
      <c r="F92" s="296"/>
    </row>
    <row r="93" spans="1:6" s="384" customFormat="1" x14ac:dyDescent="0.25">
      <c r="A93" s="215">
        <f t="shared" si="1"/>
      </c>
      <c r="B93" s="392"/>
      <c r="C93" s="215"/>
      <c r="D93" s="391" t="str">
        <f>IF(C6="","",C6)</f>
      </c>
      <c r="E93" s="215"/>
      <c r="F93" s="296"/>
    </row>
    <row r="94" spans="1:6" s="384" customFormat="1" x14ac:dyDescent="0.25">
      <c r="A94" s="215">
        <f t="shared" si="1"/>
      </c>
      <c r="B94" s="392"/>
      <c r="C94" s="215"/>
      <c r="D94" s="391" t="str">
        <f>IF(C6="","",C6)</f>
      </c>
      <c r="E94" s="215"/>
      <c r="F94" s="296"/>
    </row>
    <row r="95" spans="1:6" s="384" customFormat="1" x14ac:dyDescent="0.25">
      <c r="A95" s="215">
        <f t="shared" si="1"/>
      </c>
      <c r="B95" s="392"/>
      <c r="C95" s="215"/>
      <c r="D95" s="391"/>
      <c r="E95" s="215"/>
      <c r="F95" s="296"/>
    </row>
    <row r="96" spans="1:6" s="384" customFormat="1" x14ac:dyDescent="0.25">
      <c r="A96" s="215">
        <f t="shared" si="1"/>
      </c>
      <c r="B96" s="392"/>
      <c r="C96" s="215"/>
      <c r="D96" s="391"/>
      <c r="E96" s="215"/>
      <c r="F96" s="296"/>
    </row>
    <row r="97" spans="1:6" s="384" customFormat="1" x14ac:dyDescent="0.25">
      <c r="A97" s="215">
        <f t="shared" si="1"/>
      </c>
      <c r="B97" s="392"/>
      <c r="C97" s="215"/>
      <c r="D97" s="391"/>
      <c r="E97" s="215"/>
      <c r="F97" s="296"/>
    </row>
    <row r="98" spans="1:6" s="384" customFormat="1" x14ac:dyDescent="0.25">
      <c r="A98" s="215">
        <f t="shared" si="1"/>
      </c>
      <c r="B98" s="392"/>
      <c r="C98" s="215"/>
      <c r="D98" s="391" t="str">
        <f>IF(C6="","",C6)</f>
      </c>
      <c r="E98" s="215"/>
      <c r="F98" s="296"/>
    </row>
    <row r="99" spans="1:6" s="384" customFormat="1" x14ac:dyDescent="0.25">
      <c r="A99" s="215">
        <f t="shared" si="1"/>
      </c>
      <c r="B99" s="392"/>
      <c r="C99" s="215"/>
      <c r="D99" s="391" t="str">
        <f>IF(C6="","",C6)</f>
      </c>
      <c r="E99" s="215"/>
      <c r="F99" s="296"/>
    </row>
    <row r="100" spans="1:6" s="384" customFormat="1" x14ac:dyDescent="0.25">
      <c r="A100" s="215">
        <f t="shared" si="1"/>
      </c>
      <c r="B100" s="392"/>
      <c r="C100" s="215"/>
      <c r="D100" s="391" t="str">
        <f>IF(C6="","",C6)</f>
      </c>
      <c r="E100" s="215"/>
      <c r="F100" s="296"/>
    </row>
    <row r="101" spans="1:6" s="384" customFormat="1" x14ac:dyDescent="0.25">
      <c r="A101" s="215">
        <f t="shared" si="1"/>
      </c>
      <c r="B101" s="392"/>
      <c r="C101" s="215"/>
      <c r="D101" s="391" t="str">
        <f>IF(C6="","",C6)</f>
      </c>
      <c r="E101" s="215"/>
      <c r="F101" s="296"/>
    </row>
    <row r="102" spans="1:6" s="384" customFormat="1" x14ac:dyDescent="0.25">
      <c r="A102" s="215">
        <f t="shared" si="1"/>
      </c>
      <c r="B102" s="392"/>
      <c r="C102" s="215"/>
      <c r="D102" s="391"/>
      <c r="E102" s="215"/>
      <c r="F102" s="296"/>
    </row>
    <row r="103" spans="1:6" s="384" customFormat="1" x14ac:dyDescent="0.25">
      <c r="A103" s="215">
        <f t="shared" si="1"/>
      </c>
      <c r="B103" s="392"/>
      <c r="C103" s="215"/>
      <c r="D103" s="391"/>
      <c r="E103" s="215"/>
      <c r="F103" s="296"/>
    </row>
    <row r="104" spans="1:6" s="384" customFormat="1" x14ac:dyDescent="0.25">
      <c r="A104" s="215">
        <f t="shared" si="1"/>
      </c>
      <c r="B104" s="392"/>
      <c r="C104" s="215"/>
      <c r="D104" s="391"/>
      <c r="E104" s="215"/>
      <c r="F104" s="296"/>
    </row>
    <row r="105" spans="1:6" s="393" customFormat="1" x14ac:dyDescent="0.25">
      <c r="A105" s="215">
        <f t="shared" si="1"/>
      </c>
      <c r="B105" s="392"/>
      <c r="C105" s="215"/>
      <c r="D105" s="391" t="str">
        <f>IF(C6="","",C6)</f>
      </c>
      <c r="E105" s="215"/>
      <c r="F105" s="296"/>
    </row>
    <row r="106" spans="1:6" s="393" customFormat="1" x14ac:dyDescent="0.25">
      <c r="A106" s="215">
        <f t="shared" si="1"/>
      </c>
      <c r="B106" s="392"/>
      <c r="C106" s="215"/>
      <c r="D106" s="391" t="str">
        <f>IF(C6="","",C6)</f>
      </c>
      <c r="E106" s="215"/>
      <c r="F106" s="296"/>
    </row>
    <row r="107" spans="1:6" s="393" customFormat="1" x14ac:dyDescent="0.25">
      <c r="A107" s="215">
        <f t="shared" si="1"/>
      </c>
      <c r="B107" s="392"/>
      <c r="C107" s="215"/>
      <c r="D107" s="391"/>
      <c r="E107" s="215"/>
      <c r="F107" s="296"/>
    </row>
    <row r="108" spans="1:6" s="393" customFormat="1" x14ac:dyDescent="0.25">
      <c r="A108" s="215">
        <f t="shared" si="1"/>
      </c>
      <c r="B108" s="392"/>
      <c r="C108" s="215"/>
      <c r="D108" s="391"/>
      <c r="E108" s="215"/>
      <c r="F108" s="296"/>
    </row>
    <row r="109" spans="1:6" ht="22.5" x14ac:dyDescent="0.25">
      <c r="A109" s="215">
        <f t="shared" si="1"/>
      </c>
      <c r="B109" s="228" t="str">
        <f>IF(AND('КЛ-1'!A14="",'КЛ-1'!A15=""),"",CONCATENATE(IF('КЛ-1'!A14="","",'КЛ-1'!A14),IF('КЛ-1'!A15="","",'КЛ-1'!A15)))</f>
      </c>
      <c r="C109" s="215"/>
      <c r="D109" s="391" t="str">
        <f>IF(C6="","",C6)</f>
      </c>
      <c r="E109" s="215"/>
      <c r="F109" s="296"/>
    </row>
    <row r="110" spans="1:6" ht="22.5" x14ac:dyDescent="0.25">
      <c r="A110" s="215">
        <f t="shared" si="1"/>
      </c>
      <c r="B110" s="228" t="str">
        <f>IF(AND('КЛ-2'!A14="",'КЛ-2'!A15=""),"",CONCATENATE(IF('КЛ-2'!A14="","",'КЛ-2'!A14),IF('КЛ-2'!A15="","",'КЛ-2'!A15)))</f>
      </c>
      <c r="C110" s="215"/>
      <c r="D110" s="391" t="str">
        <f>IF(C6="","",C6)</f>
      </c>
      <c r="E110" s="215"/>
      <c r="F110" s="296"/>
    </row>
    <row r="111" spans="1:6" ht="22.5" x14ac:dyDescent="0.25">
      <c r="A111" s="215">
        <f t="shared" si="1"/>
      </c>
      <c r="B111" s="228" t="str">
        <f>IF(AND('КЛ-3'!A14="",'КЛ-3'!A15=""),"",CONCATENATE(IF('КЛ-3'!A14="","",'КЛ-3'!A14),IF('КЛ-3'!A15="","",'КЛ-3'!A15)))</f>
      </c>
      <c r="C111" s="215"/>
      <c r="D111" s="391" t="str">
        <f>IF(C6="","",C6)</f>
      </c>
      <c r="E111" s="215"/>
      <c r="F111" s="296"/>
    </row>
    <row r="112" spans="1:6" ht="22.5" x14ac:dyDescent="0.25">
      <c r="A112" s="215">
        <f t="shared" si="1"/>
      </c>
      <c r="B112" s="228" t="str">
        <f>IF(AND('КЛ-4'!A15="",'КЛ-4'!A16=""),"",CONCATENATE(IF('КЛ-4'!A15="","",'КЛ-4'!A15),IF('КЛ-4'!A16="","",'КЛ-4'!A16)))</f>
      </c>
      <c r="C112" s="215"/>
      <c r="D112" s="391" t="str">
        <f>IF(C6="","",C6)</f>
      </c>
      <c r="E112" s="215"/>
      <c r="F112" s="296"/>
    </row>
    <row r="113" spans="1:6" ht="22.5" x14ac:dyDescent="0.25">
      <c r="A113" s="215">
        <f t="shared" si="1"/>
      </c>
      <c r="B113" s="228" t="str">
        <f>IF(AND('КЛ-5'!A13="",'КЛ-5'!A14=""),"",CONCATENATE(IF('КЛ-5'!A13="","",'КЛ-5'!A13),IF('КЛ-5'!A14="","",'КЛ-5'!A14)))</f>
      </c>
      <c r="C113" s="215"/>
      <c r="D113" s="391" t="str">
        <f>IF(C6="","",C6)</f>
      </c>
      <c r="E113" s="215"/>
      <c r="F113" s="296"/>
    </row>
    <row r="114" spans="1:6" ht="22.5" x14ac:dyDescent="0.25">
      <c r="A114" s="215">
        <f t="shared" si="1"/>
      </c>
      <c r="B114" s="228" t="str">
        <f>IF(AND('КЛ-6'!A15="",'КЛ-6'!A16=""),"",CONCATENATE(IF('КЛ-6'!A15="","",'КЛ-6'!A15),IF('КЛ-6'!A16="","",'КЛ-6'!A16)))</f>
      </c>
      <c r="C114" s="215"/>
      <c r="D114" s="391" t="str">
        <f>IF(C6="","",C6)</f>
      </c>
      <c r="E114" s="215"/>
      <c r="F114" s="296"/>
    </row>
    <row r="115" spans="1:6" x14ac:dyDescent="0.25">
      <c r="A115" s="215">
        <f t="shared" si="1"/>
      </c>
      <c r="B115" s="228" t="str">
        <f>IF(AND('КЛ-7'!A16="",'КЛ-7'!A17=""),"",CONCATENATE(IF('КЛ-7'!A16="","",'КЛ-7'!A16),IF('КЛ-7'!A17="","",'КЛ-7'!A17)))</f>
      </c>
      <c r="C115" s="215"/>
      <c r="D115" s="391" t="str">
        <f>IF(C6="","",C6)</f>
      </c>
      <c r="E115" s="215"/>
      <c r="F115" s="296"/>
    </row>
    <row r="116" spans="1:6" ht="22.5" x14ac:dyDescent="0.25">
      <c r="A116" s="215">
        <f t="shared" si="1"/>
      </c>
      <c r="B116" s="228" t="str">
        <f>IF(AND('КЛ-8'!A13="",'КЛ-8'!A14=""),"",CONCATENATE(IF('КЛ-8'!A13="","",'КЛ-8'!A13),IF('КЛ-8'!A14="","",'КЛ-8'!A14)))</f>
      </c>
      <c r="C116" s="215"/>
      <c r="D116" s="391" t="str">
        <f>IF(C6="","",C6)</f>
      </c>
      <c r="E116" s="215"/>
      <c r="F116" s="296"/>
    </row>
    <row r="117" spans="1:6" x14ac:dyDescent="0.25">
      <c r="A117" s="215">
        <f t="shared" si="1"/>
      </c>
      <c r="B117" s="228" t="str">
        <f>IF('КЛ-9'!T14="","",'КЛ-9'!T14)</f>
      </c>
      <c r="C117" s="215"/>
      <c r="D117" s="391" t="str">
        <f>IF(C6="","",C6)</f>
      </c>
      <c r="E117" s="215"/>
      <c r="F117" s="296"/>
    </row>
    <row r="118" spans="1:6" x14ac:dyDescent="0.25">
      <c r="A118" s="215">
        <f t="shared" si="1"/>
      </c>
      <c r="B118" s="228"/>
      <c r="C118" s="215"/>
      <c r="D118" s="391" t="str">
        <f>IF(C6="","",C6)</f>
      </c>
      <c r="E118" s="215"/>
      <c r="F118" s="296"/>
    </row>
    <row r="119" spans="1:6" x14ac:dyDescent="0.25">
      <c r="A119" s="215">
        <f t="shared" si="1"/>
      </c>
      <c r="B119" s="228"/>
      <c r="C119" s="215"/>
      <c r="D119" s="391" t="str">
        <f>IF(C6="","",C6)</f>
      </c>
      <c r="E119" s="215"/>
      <c r="F119" s="296"/>
    </row>
    <row r="120" spans="1:6" ht="22.5" x14ac:dyDescent="0.25">
      <c r="A120" s="215">
        <f t="shared" si="1"/>
      </c>
      <c r="B120" s="228"/>
      <c r="C120" s="215"/>
      <c r="D120" s="391" t="str">
        <f>IF(C6="","",C6)</f>
      </c>
      <c r="E120" s="215"/>
      <c r="F120" s="296"/>
    </row>
    <row r="121" spans="1:6" x14ac:dyDescent="0.25">
      <c r="A121" s="215">
        <f t="shared" si="1"/>
      </c>
      <c r="B121" s="228"/>
      <c r="C121" s="215"/>
      <c r="D121" s="391" t="str">
        <f>IF(C6="","",C6)</f>
      </c>
      <c r="E121" s="215"/>
      <c r="F121" s="296"/>
    </row>
    <row r="122" spans="1:6" x14ac:dyDescent="0.25">
      <c r="A122" s="215">
        <f t="shared" si="1"/>
      </c>
      <c r="B122" s="228"/>
      <c r="C122" s="215"/>
      <c r="D122" s="391"/>
      <c r="E122" s="215"/>
      <c r="F122" s="296"/>
    </row>
    <row r="123" spans="1:6" ht="22.5" x14ac:dyDescent="0.25">
      <c r="A123" s="215">
        <f t="shared" si="1"/>
      </c>
      <c r="B123" s="228"/>
      <c r="C123" s="215"/>
      <c r="D123" s="391" t="str">
        <f>IF(C6="","",C6)</f>
      </c>
      <c r="E123" s="215"/>
      <c r="F123" s="296"/>
    </row>
    <row r="124" spans="1:6" x14ac:dyDescent="0.25">
      <c r="A124" s="215">
        <f t="shared" si="1"/>
      </c>
      <c r="B124" s="228"/>
      <c r="C124" s="215"/>
      <c r="D124" s="391" t="str">
        <f>IF(C6="","",C6)</f>
      </c>
      <c r="E124" s="215"/>
      <c r="F124" s="296"/>
    </row>
    <row r="125" spans="1:6" x14ac:dyDescent="0.25">
      <c r="A125" s="215">
        <f t="shared" si="1"/>
      </c>
      <c r="B125" s="228"/>
      <c r="C125" s="215"/>
      <c r="D125" s="391"/>
      <c r="E125" s="215"/>
      <c r="F125" s="296"/>
    </row>
    <row r="126" spans="1:6" x14ac:dyDescent="0.25">
      <c r="A126" s="215">
        <f t="shared" si="1"/>
      </c>
      <c r="B126" s="228"/>
      <c r="C126" s="215"/>
      <c r="D126" s="391" t="str">
        <f>IF(C6="","",C6)</f>
      </c>
      <c r="E126" s="215"/>
      <c r="F126" s="296"/>
    </row>
    <row r="127" spans="1:6" x14ac:dyDescent="0.25">
      <c r="A127" s="215">
        <f t="shared" si="1"/>
      </c>
      <c r="B127" s="228"/>
      <c r="C127" s="215"/>
      <c r="D127" s="391" t="str">
        <f>IF(C6="","",C6)</f>
      </c>
      <c r="E127" s="215"/>
      <c r="F127" s="296"/>
    </row>
    <row r="128" spans="1:6" x14ac:dyDescent="0.25">
      <c r="A128" s="215">
        <f t="shared" si="1"/>
      </c>
      <c r="B128" s="228"/>
      <c r="C128" s="215"/>
      <c r="D128" s="391"/>
      <c r="E128" s="215"/>
      <c r="F128" s="296"/>
    </row>
    <row r="129" spans="1:6" x14ac:dyDescent="0.25">
      <c r="A129" s="215">
        <f t="shared" si="1"/>
      </c>
      <c r="B129" s="228"/>
      <c r="C129" s="215"/>
      <c r="D129" s="391" t="str">
        <f>IF(C6="","",C6)</f>
      </c>
      <c r="E129" s="215"/>
      <c r="F129" s="296"/>
    </row>
    <row r="130" spans="1:6" x14ac:dyDescent="0.25">
      <c r="A130" s="215">
        <f t="shared" si="1"/>
      </c>
      <c r="B130" s="228"/>
      <c r="C130" s="215"/>
      <c r="D130" s="391" t="str">
        <f>IF(C6="","",C6)</f>
      </c>
      <c r="E130" s="215"/>
      <c r="F130" s="296"/>
    </row>
    <row r="131" spans="1:6" x14ac:dyDescent="0.25">
      <c r="A131" s="215">
        <f t="shared" si="1"/>
      </c>
      <c r="B131" s="228"/>
      <c r="C131" s="215"/>
      <c r="D131" s="391"/>
      <c r="E131" s="215"/>
      <c r="F131" s="296"/>
    </row>
    <row r="132" spans="1:6" ht="22.5" x14ac:dyDescent="0.25">
      <c r="A132" s="215">
        <f t="shared" si="1"/>
      </c>
      <c r="B132" s="228"/>
      <c r="C132" s="215"/>
      <c r="D132" s="391" t="str">
        <f>IF(C6="","",C6)</f>
      </c>
      <c r="E132" s="215"/>
      <c r="F132" s="296"/>
    </row>
    <row r="133" spans="1:6" x14ac:dyDescent="0.25">
      <c r="A133" s="215">
        <f t="shared" si="1"/>
      </c>
      <c r="B133" s="228"/>
      <c r="C133" s="215"/>
      <c r="D133" s="391" t="str">
        <f>IF(C6="","",C6)</f>
      </c>
      <c r="E133" s="215"/>
      <c r="F133" s="296"/>
    </row>
    <row r="134" spans="1:6" x14ac:dyDescent="0.25">
      <c r="A134" s="215">
        <f t="shared" si="1"/>
      </c>
      <c r="B134" s="228"/>
      <c r="C134" s="215"/>
      <c r="D134" s="391"/>
      <c r="E134" s="215"/>
      <c r="F134" s="296"/>
    </row>
    <row r="135" spans="1:6" ht="22.5" x14ac:dyDescent="0.25">
      <c r="A135" s="215">
        <f t="shared" si="1"/>
      </c>
      <c r="B135" s="230" t="str">
        <f>IF(AND('ВЛЗ-3'!A13="",'ВЛЗ-3'!A14=""),"",CONCATENATE(IF('ВЛЗ-3'!A13="","",'ВЛЗ-3'!A13),IF('ВЛЗ-3'!A14="","",'ВЛЗ-3'!A14)))</f>
      </c>
      <c r="C135" s="215"/>
      <c r="D135" s="391" t="str">
        <f>IF(C6="","",C6)</f>
      </c>
      <c r="E135" s="215"/>
      <c r="F135" s="296"/>
    </row>
    <row r="136" spans="1:6" x14ac:dyDescent="0.25">
      <c r="A136" s="215">
        <f t="shared" si="1"/>
      </c>
      <c r="B136" s="230" t="str">
        <f>IF(AND('ВЛЗ-6'!A13="",'ВЛЗ-6'!A14=""),"",CONCATENATE(IF('ВЛЗ-6'!A13="","",'ВЛЗ-6'!A13),IF('ВЛЗ-6'!A14="","",'ВЛЗ-6'!A14)))</f>
      </c>
      <c r="C136" s="215"/>
      <c r="D136" s="391" t="str">
        <f>IF(C6="","",C6)</f>
      </c>
      <c r="E136" s="215"/>
      <c r="F136" s="296"/>
    </row>
    <row r="137" spans="1:6" ht="22.5" x14ac:dyDescent="0.25">
      <c r="A137" s="215">
        <f t="shared" si="1"/>
      </c>
      <c r="B137" s="230" t="str">
        <f>IF(AND('ВЛЗ-8'!A13="",'ВЛЗ-8'!A14=""),"",CONCATENATE(IF('ВЛЗ-8'!A13="","",'ВЛЗ-8'!A13),IF('ВЛЗ-8'!A14="","",'ВЛЗ-8'!A14)))</f>
      </c>
      <c r="C137" s="215"/>
      <c r="D137" s="391" t="str">
        <f>IF(C6="","",C6)</f>
      </c>
      <c r="E137" s="215"/>
      <c r="F137" s="296"/>
    </row>
    <row r="138" spans="1:6" x14ac:dyDescent="0.25">
      <c r="A138" s="215">
        <f t="shared" si="1"/>
      </c>
      <c r="B138" s="230" t="str">
        <f>IF(AND('24 ВЛЗ'!A13="",'24 ВЛЗ'!A14=""),"",CONCATENATE(IF('24 ВЛЗ'!A13="","",'24 ВЛЗ'!A13),IF('24 ВЛЗ'!A14="","",'24 ВЛЗ'!A14)))</f>
      </c>
      <c r="C138" s="215"/>
      <c r="D138" s="391" t="str">
        <f>IF(C6="","",C6)</f>
      </c>
      <c r="E138" s="215"/>
      <c r="F138" s="296"/>
    </row>
    <row r="139" spans="1:6" x14ac:dyDescent="0.25">
      <c r="A139" s="215">
        <f t="shared" si="1"/>
      </c>
      <c r="B139" s="230" t="str">
        <f>IF(AND('26 ВЛЗ'!A13="",'26 ВЛЗ'!A14=""),"",CONCATENATE(IF('26 ВЛЗ'!A13="","",'26 ВЛЗ'!A13),IF('26 ВЛЗ'!A14="","",'26 ВЛЗ'!A14)))</f>
      </c>
      <c r="C139" s="215"/>
      <c r="D139" s="391" t="str">
        <f>IF(C6="","",C6)</f>
      </c>
      <c r="E139" s="215"/>
      <c r="F139" s="296"/>
    </row>
    <row r="140" spans="1:6" x14ac:dyDescent="0.25">
      <c r="A140" s="215">
        <f t="shared" si="1"/>
      </c>
      <c r="B140" s="230"/>
      <c r="C140" s="215"/>
      <c r="D140" s="391" t="str">
        <f>IF(C6="","",C6)</f>
      </c>
      <c r="E140" s="215"/>
      <c r="F140" s="296"/>
    </row>
    <row r="141" spans="1:6" x14ac:dyDescent="0.25">
      <c r="A141" s="215">
        <f t="shared" si="1"/>
      </c>
      <c r="B141" s="230"/>
      <c r="C141" s="215"/>
      <c r="D141" s="391" t="str">
        <f>IF(C6="","",C6)</f>
      </c>
      <c r="E141" s="215"/>
      <c r="F141" s="296"/>
    </row>
    <row r="142" spans="1:6" x14ac:dyDescent="0.25">
      <c r="A142" s="215">
        <f t="shared" si="1"/>
      </c>
      <c r="B142" s="230"/>
      <c r="C142" s="215"/>
      <c r="D142" s="391" t="str">
        <f>IF(C6="","",C6)</f>
      </c>
      <c r="E142" s="215"/>
      <c r="F142" s="296"/>
    </row>
    <row r="143" spans="1:6" x14ac:dyDescent="0.25">
      <c r="A143" s="215">
        <f t="shared" si="1"/>
      </c>
      <c r="B143" s="230"/>
      <c r="C143" s="215"/>
      <c r="D143" s="391" t="str">
        <f>IF(C6="","",C6)</f>
      </c>
      <c r="E143" s="215"/>
      <c r="F143" s="296"/>
    </row>
    <row r="144" spans="1:6" x14ac:dyDescent="0.25">
      <c r="A144" s="215">
        <f t="shared" si="1"/>
      </c>
      <c r="B144" s="230"/>
      <c r="C144" s="215"/>
      <c r="D144" s="391"/>
      <c r="E144" s="215"/>
      <c r="F144" s="296"/>
    </row>
    <row r="145" spans="1:6" x14ac:dyDescent="0.25">
      <c r="A145" s="215">
        <f t="shared" si="1"/>
      </c>
      <c r="B145" s="230"/>
      <c r="C145" s="215"/>
      <c r="D145" s="391" t="str">
        <f>IF(C6="","",C6)</f>
      </c>
      <c r="E145" s="215"/>
      <c r="F145" s="296"/>
    </row>
    <row r="146" spans="1:6" x14ac:dyDescent="0.25">
      <c r="A146" s="215">
        <f t="shared" si="1"/>
      </c>
      <c r="B146" s="230"/>
      <c r="C146" s="215"/>
      <c r="D146" s="391" t="str">
        <f>IF(C6="","",C6)</f>
      </c>
      <c r="E146" s="215"/>
      <c r="F146" s="296"/>
    </row>
    <row r="147" spans="1:6" x14ac:dyDescent="0.25">
      <c r="A147" s="215">
        <f t="shared" si="1"/>
      </c>
      <c r="B147" s="230"/>
      <c r="C147" s="215"/>
      <c r="D147" s="391" t="str">
        <f>IF(C6="","",C6)</f>
      </c>
      <c r="E147" s="215"/>
      <c r="F147" s="296"/>
    </row>
    <row r="148" spans="1:6" x14ac:dyDescent="0.25">
      <c r="A148" s="215">
        <f t="shared" ref="A148:A218" si="2">A147+1</f>
      </c>
      <c r="B148" s="230"/>
      <c r="C148" s="215"/>
      <c r="D148" s="391" t="str">
        <f>IF(C6="","",C6)</f>
      </c>
      <c r="E148" s="215"/>
      <c r="F148" s="296"/>
    </row>
    <row r="149" spans="1:6" x14ac:dyDescent="0.25">
      <c r="A149" s="215">
        <f t="shared" si="2"/>
      </c>
      <c r="B149" s="230"/>
      <c r="C149" s="215"/>
      <c r="D149" s="391"/>
      <c r="E149" s="215"/>
      <c r="F149" s="296"/>
    </row>
    <row r="150" spans="1:6" x14ac:dyDescent="0.25">
      <c r="A150" s="215">
        <f t="shared" si="2"/>
      </c>
      <c r="B150" s="230"/>
      <c r="C150" s="215"/>
      <c r="D150" s="391"/>
      <c r="E150" s="215"/>
      <c r="F150" s="296"/>
    </row>
    <row r="151" spans="1:6" x14ac:dyDescent="0.25">
      <c r="A151" s="215">
        <f t="shared" si="2"/>
      </c>
      <c r="B151" s="230"/>
      <c r="C151" s="215"/>
      <c r="D151" s="391"/>
      <c r="E151" s="215"/>
      <c r="F151" s="296"/>
    </row>
    <row r="152" spans="1:6" ht="22.5" x14ac:dyDescent="0.25">
      <c r="A152" s="215">
        <f t="shared" si="2"/>
      </c>
      <c r="B152" s="230"/>
      <c r="C152" s="215"/>
      <c r="D152" s="391" t="str">
        <f>IF(C6="","",C6)</f>
      </c>
      <c r="E152" s="215"/>
      <c r="F152" s="296"/>
    </row>
    <row r="153" spans="1:6" x14ac:dyDescent="0.25">
      <c r="A153" s="215">
        <f t="shared" si="2"/>
      </c>
      <c r="B153" s="230"/>
      <c r="C153" s="215"/>
      <c r="D153" s="391" t="str">
        <f>IF(C6="","",C6)</f>
      </c>
      <c r="E153" s="215"/>
      <c r="F153" s="296"/>
    </row>
    <row r="154" spans="1:6" s="411" customFormat="1" x14ac:dyDescent="0.25">
      <c r="A154" s="215">
        <v>137</v>
      </c>
      <c r="B154" s="230"/>
      <c r="C154" s="215"/>
      <c r="D154" s="391"/>
      <c r="E154" s="215"/>
      <c r="F154" s="296"/>
    </row>
    <row r="155" spans="1:6" s="411" customFormat="1" x14ac:dyDescent="0.25">
      <c r="A155" s="215"/>
      <c r="B155" s="230"/>
      <c r="C155" s="215"/>
      <c r="D155" s="391"/>
      <c r="E155" s="215"/>
      <c r="F155" s="296"/>
    </row>
    <row r="156" spans="1:6" s="411" customFormat="1" x14ac:dyDescent="0.25">
      <c r="A156" s="215">
        <v>138</v>
      </c>
      <c r="B156" s="230"/>
      <c r="C156" s="215"/>
      <c r="D156" s="391"/>
      <c r="E156" s="215"/>
      <c r="F156" s="296"/>
    </row>
    <row r="157" spans="1:6" s="411" customFormat="1" x14ac:dyDescent="0.25">
      <c r="A157" s="215">
        <v>139</v>
      </c>
      <c r="B157" s="230"/>
      <c r="C157" s="215"/>
      <c r="D157" s="391"/>
      <c r="E157" s="215"/>
      <c r="F157" s="296"/>
    </row>
    <row r="158" spans="1:6" s="411" customFormat="1" x14ac:dyDescent="0.25">
      <c r="A158" s="215"/>
      <c r="B158" s="230"/>
      <c r="C158" s="215"/>
      <c r="D158" s="391"/>
      <c r="E158" s="215"/>
      <c r="F158" s="296"/>
    </row>
    <row r="159" spans="1:6" s="411" customFormat="1" x14ac:dyDescent="0.25">
      <c r="A159" s="215"/>
      <c r="B159" s="230"/>
      <c r="C159" s="215"/>
      <c r="D159" s="391"/>
      <c r="E159" s="215"/>
      <c r="F159" s="296"/>
    </row>
    <row r="160" spans="1:6" s="411" customFormat="1" x14ac:dyDescent="0.25">
      <c r="A160" s="215"/>
      <c r="B160" s="230"/>
      <c r="C160" s="215"/>
      <c r="D160" s="391"/>
      <c r="E160" s="215"/>
      <c r="F160" s="296"/>
    </row>
    <row r="161" spans="1:6" x14ac:dyDescent="0.25">
      <c r="A161" s="215">
        <v>140</v>
      </c>
      <c r="B161" s="297"/>
      <c r="C161" s="215"/>
      <c r="D161" s="391" t="str">
        <f>IF(C6="","",C6)</f>
      </c>
      <c r="E161" s="215"/>
      <c r="F161" s="296"/>
    </row>
    <row r="162" spans="1:6" ht="22.5" x14ac:dyDescent="0.25">
      <c r="A162" s="215">
        <f t="shared" si="2"/>
      </c>
      <c r="B162" s="297"/>
      <c r="C162" s="215"/>
      <c r="D162" s="391" t="str">
        <f>IF(C6="","",C6)</f>
      </c>
      <c r="E162" s="215"/>
      <c r="F162" s="296"/>
    </row>
    <row r="163" spans="1:6" ht="22.5" x14ac:dyDescent="0.25">
      <c r="A163" s="215">
        <f t="shared" si="2"/>
      </c>
      <c r="B163" s="297"/>
      <c r="C163" s="215"/>
      <c r="D163" s="391" t="str">
        <f>IF(C6="","",C6)</f>
      </c>
      <c r="E163" s="215"/>
      <c r="F163" s="296"/>
    </row>
    <row r="164" spans="1:6" x14ac:dyDescent="0.25">
      <c r="A164" s="215">
        <f t="shared" si="2"/>
      </c>
      <c r="B164" s="297"/>
      <c r="C164" s="215"/>
      <c r="D164" s="391" t="str">
        <f>IF(C6="","",C6)</f>
      </c>
      <c r="E164" s="215"/>
      <c r="F164" s="296"/>
    </row>
    <row r="165" spans="1:6" x14ac:dyDescent="0.25">
      <c r="A165" s="215">
        <f t="shared" si="2"/>
      </c>
      <c r="B165" s="297"/>
      <c r="C165" s="215"/>
      <c r="D165" s="391" t="str">
        <f>IF(C6="","",C6)</f>
      </c>
      <c r="E165" s="215"/>
      <c r="F165" s="296"/>
    </row>
    <row r="166" spans="1:6" x14ac:dyDescent="0.25">
      <c r="A166" s="215">
        <f t="shared" si="2"/>
      </c>
      <c r="B166" s="297"/>
      <c r="C166" s="215"/>
      <c r="D166" s="391" t="str">
        <f>IF(C6="","",C6)</f>
      </c>
      <c r="E166" s="215"/>
      <c r="F166" s="296"/>
    </row>
    <row r="167" spans="1:6" x14ac:dyDescent="0.25">
      <c r="A167" s="215">
        <f t="shared" si="2"/>
      </c>
      <c r="B167" s="297"/>
      <c r="C167" s="215"/>
      <c r="D167" s="391"/>
      <c r="E167" s="215"/>
      <c r="F167" s="296"/>
    </row>
    <row r="168" spans="1:6" x14ac:dyDescent="0.25">
      <c r="A168" s="215">
        <f t="shared" si="2"/>
      </c>
      <c r="B168" s="297"/>
      <c r="C168" s="215"/>
      <c r="D168" s="391"/>
      <c r="E168" s="215"/>
      <c r="F168" s="296"/>
    </row>
    <row r="169" spans="1:6" x14ac:dyDescent="0.25">
      <c r="A169" s="215">
        <f t="shared" si="2"/>
      </c>
      <c r="B169" s="297"/>
      <c r="C169" s="215"/>
      <c r="D169" s="391"/>
      <c r="E169" s="215"/>
      <c r="F169" s="296"/>
    </row>
    <row r="170" spans="1:6" x14ac:dyDescent="0.25">
      <c r="A170" s="215">
        <f t="shared" si="2"/>
      </c>
      <c r="B170" s="297"/>
      <c r="C170" s="215"/>
      <c r="D170" s="391" t="str">
        <f>IF(C6="","",C6)</f>
      </c>
      <c r="E170" s="215"/>
      <c r="F170" s="296"/>
    </row>
    <row r="171" spans="1:6" x14ac:dyDescent="0.25">
      <c r="A171" s="215">
        <f t="shared" si="2"/>
      </c>
      <c r="B171" s="297"/>
      <c r="C171" s="215"/>
      <c r="D171" s="391" t="str">
        <f>IF(C6="","",C6)</f>
      </c>
      <c r="E171" s="215"/>
      <c r="F171" s="296"/>
    </row>
    <row r="172" spans="1:6" x14ac:dyDescent="0.25">
      <c r="A172" s="215">
        <f t="shared" si="2"/>
      </c>
      <c r="B172" s="297"/>
      <c r="C172" s="215"/>
      <c r="D172" s="391"/>
      <c r="E172" s="215"/>
      <c r="F172" s="296"/>
    </row>
    <row r="173" spans="1:6" x14ac:dyDescent="0.25">
      <c r="A173" s="215">
        <f t="shared" si="2"/>
      </c>
      <c r="B173" s="297"/>
      <c r="C173" s="215"/>
      <c r="D173" s="391" t="str">
        <f>IF(C6="","",C6)</f>
      </c>
      <c r="E173" s="215"/>
      <c r="F173" s="296"/>
    </row>
    <row r="174" spans="1:6" x14ac:dyDescent="0.25">
      <c r="A174" s="215">
        <f t="shared" si="2"/>
      </c>
      <c r="B174" s="297"/>
      <c r="C174" s="215"/>
      <c r="D174" s="391" t="str">
        <f>IF(C6="","",C6)</f>
      </c>
      <c r="E174" s="215"/>
      <c r="F174" s="296"/>
    </row>
    <row r="175" spans="1:6" x14ac:dyDescent="0.25">
      <c r="A175" s="215">
        <f t="shared" si="2"/>
      </c>
      <c r="B175" s="297"/>
      <c r="C175" s="215"/>
      <c r="D175" s="391" t="str">
        <f>IF(C6="","",C6)</f>
      </c>
      <c r="E175" s="215"/>
      <c r="F175" s="296"/>
    </row>
    <row r="176" spans="1:6" x14ac:dyDescent="0.25">
      <c r="A176" s="215">
        <f t="shared" si="2"/>
      </c>
      <c r="B176" s="297"/>
      <c r="C176" s="215"/>
      <c r="D176" s="391" t="str">
        <f>IF(C6="","",C6)</f>
      </c>
      <c r="E176" s="215"/>
      <c r="F176" s="296"/>
    </row>
    <row r="177" spans="1:6" x14ac:dyDescent="0.25">
      <c r="A177" s="215">
        <f t="shared" si="2"/>
      </c>
      <c r="B177" s="297"/>
      <c r="C177" s="215"/>
      <c r="D177" s="391"/>
      <c r="E177" s="215"/>
      <c r="F177" s="296"/>
    </row>
    <row r="178" spans="1:6" x14ac:dyDescent="0.25">
      <c r="A178" s="215">
        <f t="shared" si="2"/>
      </c>
      <c r="B178" s="297"/>
      <c r="C178" s="215"/>
      <c r="D178" s="391"/>
      <c r="E178" s="215"/>
      <c r="F178" s="296"/>
    </row>
    <row r="179" spans="1:6" x14ac:dyDescent="0.25">
      <c r="A179" s="215">
        <f t="shared" si="2"/>
      </c>
      <c r="B179" s="297"/>
      <c r="C179" s="215"/>
      <c r="D179" s="391"/>
      <c r="E179" s="215"/>
      <c r="F179" s="296"/>
    </row>
    <row r="180" spans="1:6" x14ac:dyDescent="0.25">
      <c r="A180" s="215">
        <f t="shared" si="2"/>
      </c>
      <c r="B180" s="297"/>
      <c r="C180" s="215"/>
      <c r="D180" s="391" t="str">
        <f>IF(C6="","",C6)</f>
      </c>
      <c r="E180" s="215"/>
      <c r="F180" s="296"/>
    </row>
    <row r="181" spans="1:6" x14ac:dyDescent="0.25">
      <c r="A181" s="215">
        <f t="shared" si="2"/>
      </c>
      <c r="B181" s="297"/>
      <c r="C181" s="215"/>
      <c r="D181" s="391" t="str">
        <f>IF(C6="","",C6)</f>
      </c>
      <c r="E181" s="215"/>
      <c r="F181" s="296"/>
    </row>
    <row r="182" spans="1:6" x14ac:dyDescent="0.25">
      <c r="A182" s="215">
        <f t="shared" si="2"/>
      </c>
      <c r="B182" s="229"/>
      <c r="C182" s="215"/>
      <c r="D182" s="391"/>
      <c r="E182" s="215"/>
      <c r="F182" s="296"/>
    </row>
    <row r="183" spans="1:6" ht="22.5" x14ac:dyDescent="0.25">
      <c r="A183" s="215">
        <f t="shared" si="2"/>
      </c>
      <c r="B183" s="229"/>
      <c r="C183" s="215"/>
      <c r="D183" s="391"/>
      <c r="E183" s="215"/>
      <c r="F183" s="296"/>
    </row>
    <row r="184" spans="1:6" ht="33.75" x14ac:dyDescent="0.25">
      <c r="A184" s="215">
        <f t="shared" si="2"/>
      </c>
      <c r="B184" s="229"/>
      <c r="C184" s="215"/>
      <c r="D184" s="391"/>
      <c r="E184" s="215"/>
      <c r="F184" s="296"/>
    </row>
    <row r="185" spans="1:6" ht="45" x14ac:dyDescent="0.25">
      <c r="A185" s="215">
        <f t="shared" si="2"/>
      </c>
      <c r="B185" s="229"/>
      <c r="C185" s="215"/>
      <c r="D185" s="391"/>
      <c r="E185" s="215"/>
      <c r="F185" s="296"/>
    </row>
    <row r="186" spans="1:6" ht="22.5" x14ac:dyDescent="0.25">
      <c r="A186" s="215">
        <f t="shared" si="2"/>
      </c>
      <c r="B186" s="229"/>
      <c r="C186" s="215"/>
      <c r="D186" s="391"/>
      <c r="E186" s="215"/>
      <c r="F186" s="296"/>
    </row>
    <row r="187" spans="1:6" x14ac:dyDescent="0.25">
      <c r="A187" s="215">
        <f t="shared" si="2"/>
      </c>
      <c r="B187" s="229"/>
      <c r="C187" s="215"/>
      <c r="D187" s="391"/>
      <c r="E187" s="215"/>
      <c r="F187" s="296"/>
    </row>
    <row r="188" spans="1:6" x14ac:dyDescent="0.25">
      <c r="A188" s="215">
        <f t="shared" si="2"/>
      </c>
      <c r="B188" s="229"/>
      <c r="C188" s="215"/>
      <c r="D188" s="391"/>
      <c r="E188" s="215"/>
      <c r="F188" s="296"/>
    </row>
    <row r="189" spans="1:6" x14ac:dyDescent="0.25">
      <c r="A189" s="215">
        <f t="shared" si="2"/>
      </c>
      <c r="B189" s="229"/>
      <c r="C189" s="215"/>
      <c r="D189" s="391"/>
      <c r="E189" s="215"/>
      <c r="F189" s="296"/>
    </row>
    <row r="190" spans="1:6" x14ac:dyDescent="0.25">
      <c r="A190" s="215">
        <f t="shared" si="2"/>
      </c>
      <c r="B190" s="229"/>
      <c r="C190" s="215"/>
      <c r="D190" s="391"/>
      <c r="E190" s="215"/>
      <c r="F190" s="296"/>
    </row>
    <row r="191" spans="1:6" x14ac:dyDescent="0.25">
      <c r="A191" s="215">
        <f t="shared" si="2"/>
      </c>
      <c r="B191" s="229"/>
      <c r="C191" s="215"/>
      <c r="D191" s="391"/>
      <c r="E191" s="215"/>
      <c r="F191" s="296"/>
    </row>
    <row r="192" spans="1:6" x14ac:dyDescent="0.25">
      <c r="A192" s="215">
        <f t="shared" si="2"/>
      </c>
      <c r="B192" s="229"/>
      <c r="C192" s="215"/>
      <c r="D192" s="391"/>
      <c r="E192" s="215"/>
      <c r="F192" s="296"/>
    </row>
    <row r="193" spans="1:6" x14ac:dyDescent="0.25">
      <c r="A193" s="215">
        <f t="shared" si="2"/>
      </c>
      <c r="B193" s="229"/>
      <c r="C193" s="215"/>
      <c r="D193" s="391"/>
      <c r="E193" s="215"/>
      <c r="F193" s="296"/>
    </row>
    <row r="194" spans="1:6" x14ac:dyDescent="0.25">
      <c r="A194" s="215">
        <f t="shared" si="2"/>
      </c>
      <c r="B194" s="229"/>
      <c r="C194" s="215"/>
      <c r="D194" s="391"/>
      <c r="E194" s="215"/>
      <c r="F194" s="296"/>
    </row>
    <row r="195" spans="1:6" x14ac:dyDescent="0.25">
      <c r="A195" s="215">
        <f t="shared" si="2"/>
      </c>
      <c r="B195" s="229"/>
      <c r="C195" s="215"/>
      <c r="D195" s="391"/>
      <c r="E195" s="215"/>
      <c r="F195" s="296"/>
    </row>
    <row r="196" spans="1:6" x14ac:dyDescent="0.25">
      <c r="A196" s="215">
        <f t="shared" si="2"/>
      </c>
      <c r="B196" s="229"/>
      <c r="C196" s="215"/>
      <c r="D196" s="391"/>
      <c r="E196" s="215"/>
      <c r="F196" s="296"/>
    </row>
    <row r="197" spans="1:6" x14ac:dyDescent="0.25">
      <c r="A197" s="215">
        <f t="shared" si="2"/>
      </c>
      <c r="B197" s="229"/>
      <c r="C197" s="215"/>
      <c r="D197" s="391"/>
      <c r="E197" s="215"/>
      <c r="F197" s="296"/>
    </row>
    <row r="198" spans="1:6" ht="36.75" customHeight="1" x14ac:dyDescent="0.25">
      <c r="A198" s="215">
        <f t="shared" si="2"/>
      </c>
      <c r="B198" s="227" t="str">
        <f>IF(AND('ПНР ТП'!A13="",'ПНР ТП'!A14=""),"",CONCATENATE(IF('ПНР ТП'!A13="","",'ПНР ТП'!A13),IF('ПНР ТП'!A14="","",'ПНР ТП'!A14)))</f>
      </c>
      <c r="C198" s="215"/>
      <c r="D198" s="391" t="str">
        <f>IF(C6="","",C6)</f>
      </c>
      <c r="E198" s="215"/>
      <c r="F198" s="296"/>
    </row>
    <row r="199" spans="1:6" x14ac:dyDescent="0.25">
      <c r="A199" s="215">
        <f t="shared" si="2"/>
      </c>
      <c r="B199" s="227"/>
      <c r="C199" s="215"/>
      <c r="D199" s="391"/>
      <c r="E199" s="215"/>
      <c r="F199" s="296"/>
    </row>
    <row r="200" spans="1:6" x14ac:dyDescent="0.25">
      <c r="A200" s="215">
        <f t="shared" si="2"/>
      </c>
      <c r="B200" s="226"/>
      <c r="C200" s="215"/>
      <c r="D200" s="391" t="str">
        <f>IF(C6="","",C6)</f>
      </c>
      <c r="E200" s="215"/>
      <c r="F200" s="296"/>
    </row>
    <row r="201" spans="1:6" x14ac:dyDescent="0.25">
      <c r="A201" s="215">
        <f t="shared" si="2"/>
      </c>
      <c r="B201" s="226"/>
      <c r="C201" s="215"/>
      <c r="D201" s="391" t="str">
        <f>IF(C6="","",C6)</f>
      </c>
      <c r="E201" s="215"/>
      <c r="F201" s="296"/>
    </row>
    <row r="202" spans="1:6" x14ac:dyDescent="0.25">
      <c r="A202" s="215">
        <f t="shared" si="2"/>
      </c>
      <c r="B202" s="226"/>
      <c r="C202" s="215"/>
      <c r="D202" s="391"/>
      <c r="E202" s="215"/>
      <c r="F202" s="296"/>
    </row>
    <row r="203" spans="1:6" x14ac:dyDescent="0.25">
      <c r="A203" s="215">
        <f t="shared" si="2"/>
      </c>
      <c r="B203" s="226"/>
      <c r="C203" s="215"/>
      <c r="D203" s="391" t="str">
        <f>IF(C6="","",C6)</f>
      </c>
      <c r="E203" s="215"/>
      <c r="F203" s="296"/>
    </row>
    <row r="204" spans="1:6" x14ac:dyDescent="0.25">
      <c r="A204" s="215">
        <f t="shared" si="2"/>
      </c>
      <c r="B204" s="226"/>
      <c r="C204" s="215"/>
      <c r="D204" s="391"/>
      <c r="E204" s="215"/>
      <c r="F204" s="296"/>
    </row>
    <row r="205" spans="1:6" x14ac:dyDescent="0.25">
      <c r="A205" s="215">
        <f t="shared" si="2"/>
      </c>
      <c r="B205" s="226"/>
      <c r="C205" s="215"/>
      <c r="D205" s="391" t="str">
        <f>IF(C6="","",C6)</f>
      </c>
      <c r="E205" s="215"/>
      <c r="F205" s="296"/>
    </row>
    <row r="206" spans="1:6" x14ac:dyDescent="0.25">
      <c r="A206" s="215">
        <f t="shared" si="2"/>
      </c>
      <c r="B206" s="226"/>
      <c r="C206" s="215"/>
      <c r="D206" s="391"/>
      <c r="E206" s="215"/>
      <c r="F206" s="296"/>
    </row>
    <row r="207" spans="1:6" x14ac:dyDescent="0.25">
      <c r="A207" s="215">
        <f t="shared" si="2"/>
      </c>
      <c r="B207" s="226"/>
      <c r="C207" s="215"/>
      <c r="D207" s="391" t="str">
        <f>IF(C6="","",C6)</f>
      </c>
      <c r="E207" s="215"/>
      <c r="F207" s="296"/>
    </row>
    <row r="208" spans="1:6" x14ac:dyDescent="0.25">
      <c r="A208" s="215">
        <f t="shared" si="2"/>
      </c>
      <c r="B208" s="226"/>
      <c r="C208" s="215"/>
      <c r="D208" s="391"/>
      <c r="E208" s="215"/>
      <c r="F208" s="296"/>
    </row>
    <row r="209" spans="1:6" x14ac:dyDescent="0.25">
      <c r="A209" s="215">
        <f t="shared" si="2"/>
      </c>
      <c r="B209" s="226"/>
      <c r="C209" s="215"/>
      <c r="D209" s="391" t="str">
        <f>IF(C6="","",C6)</f>
      </c>
      <c r="E209" s="215"/>
      <c r="F209" s="296"/>
    </row>
    <row r="210" spans="1:6" x14ac:dyDescent="0.25">
      <c r="A210" s="215">
        <f t="shared" si="2"/>
      </c>
      <c r="B210" s="226"/>
      <c r="C210" s="215"/>
      <c r="D210" s="391"/>
      <c r="E210" s="215"/>
      <c r="F210" s="296"/>
    </row>
    <row r="211" spans="1:6" x14ac:dyDescent="0.25">
      <c r="A211" s="215">
        <f t="shared" si="2"/>
      </c>
      <c r="B211" s="226"/>
      <c r="C211" s="215"/>
      <c r="D211" s="391" t="str">
        <f>IF(C6="","",C6)</f>
      </c>
      <c r="E211" s="215"/>
      <c r="F211" s="296"/>
    </row>
    <row r="212" spans="1:6" x14ac:dyDescent="0.25">
      <c r="A212" s="215">
        <f t="shared" si="2"/>
      </c>
      <c r="B212" s="226"/>
      <c r="C212" s="215"/>
      <c r="D212" s="391"/>
      <c r="E212" s="215"/>
      <c r="F212" s="296"/>
    </row>
    <row r="213" spans="1:6" x14ac:dyDescent="0.25">
      <c r="A213" s="215">
        <f t="shared" si="2"/>
      </c>
      <c r="B213" s="226"/>
      <c r="C213" s="215"/>
      <c r="D213" s="391" t="str">
        <f>IF(C6="","",C6)</f>
      </c>
      <c r="E213" s="215"/>
      <c r="F213" s="296"/>
    </row>
    <row r="214" spans="1:6" x14ac:dyDescent="0.25">
      <c r="A214" s="215">
        <f t="shared" si="2"/>
      </c>
      <c r="B214" s="226"/>
      <c r="C214" s="215"/>
      <c r="D214" s="391"/>
      <c r="E214" s="215"/>
      <c r="F214" s="296"/>
    </row>
    <row r="215" spans="1:6" x14ac:dyDescent="0.25">
      <c r="A215" s="215">
        <f t="shared" si="2"/>
      </c>
      <c r="B215" s="226"/>
      <c r="C215" s="215"/>
      <c r="D215" s="391" t="str">
        <f>IF(C6="","",C6)</f>
      </c>
      <c r="E215" s="215"/>
      <c r="F215" s="296"/>
    </row>
    <row r="216" spans="1:6" x14ac:dyDescent="0.25">
      <c r="A216" s="215">
        <f t="shared" si="2"/>
      </c>
      <c r="B216" s="226"/>
      <c r="C216" s="215"/>
      <c r="D216" s="391"/>
      <c r="E216" s="215"/>
      <c r="F216" s="296"/>
    </row>
    <row r="217" spans="1:6" x14ac:dyDescent="0.25">
      <c r="A217" s="215">
        <f t="shared" si="2"/>
      </c>
      <c r="B217" s="226"/>
      <c r="C217" s="215"/>
      <c r="D217" s="391" t="str">
        <f>IF(C6="","",C6)</f>
      </c>
      <c r="E217" s="215"/>
      <c r="F217" s="296"/>
    </row>
    <row r="218" spans="1:6" x14ac:dyDescent="0.25">
      <c r="A218" s="215">
        <f t="shared" si="2"/>
      </c>
      <c r="B218" s="226"/>
      <c r="C218" s="215"/>
      <c r="D218" s="391"/>
      <c r="E218" s="215"/>
      <c r="F218" s="296"/>
    </row>
    <row r="219" spans="1:6" x14ac:dyDescent="0.25">
      <c r="A219" s="215">
        <f t="shared" ref="A219:A244" si="3">A218+1</f>
      </c>
      <c r="B219" s="226"/>
      <c r="C219" s="215"/>
      <c r="D219" s="391" t="str">
        <f>IF(C6="","",C6)</f>
      </c>
      <c r="E219" s="215"/>
      <c r="F219" s="296"/>
    </row>
    <row r="220" spans="1:6" x14ac:dyDescent="0.25">
      <c r="A220" s="215">
        <f t="shared" si="3"/>
      </c>
      <c r="B220" s="226"/>
      <c r="C220" s="215"/>
      <c r="D220" s="391"/>
      <c r="E220" s="215"/>
      <c r="F220" s="296"/>
    </row>
    <row r="221" spans="1:6" x14ac:dyDescent="0.25">
      <c r="A221" s="215">
        <f t="shared" si="3"/>
      </c>
      <c r="B221" s="226"/>
      <c r="C221" s="215"/>
      <c r="D221" s="391" t="str">
        <f>IF(C6="","",C6)</f>
      </c>
      <c r="E221" s="215"/>
      <c r="F221" s="296"/>
    </row>
    <row r="222" spans="1:6" x14ac:dyDescent="0.25">
      <c r="A222" s="215">
        <f t="shared" si="3"/>
      </c>
      <c r="B222" s="226"/>
      <c r="C222" s="215"/>
      <c r="D222" s="391"/>
      <c r="E222" s="215"/>
      <c r="F222" s="296"/>
    </row>
    <row r="223" spans="1:6" x14ac:dyDescent="0.25">
      <c r="A223" s="215">
        <f t="shared" si="3"/>
      </c>
      <c r="B223" s="226"/>
      <c r="C223" s="215"/>
      <c r="D223" s="391" t="str">
        <f>IF(C6="","",C6)</f>
      </c>
      <c r="E223" s="215"/>
      <c r="F223" s="296"/>
    </row>
    <row r="224" spans="1:6" x14ac:dyDescent="0.25">
      <c r="A224" s="215">
        <f t="shared" si="3"/>
      </c>
      <c r="B224" s="226"/>
      <c r="C224" s="215"/>
      <c r="D224" s="391"/>
      <c r="E224" s="215"/>
      <c r="F224" s="296"/>
    </row>
    <row r="225" spans="1:6" x14ac:dyDescent="0.25">
      <c r="A225" s="215">
        <f t="shared" si="3"/>
      </c>
      <c r="B225" s="226"/>
      <c r="C225" s="215"/>
      <c r="D225" s="391" t="str">
        <f>IF(C6="","",C6)</f>
      </c>
      <c r="E225" s="215"/>
      <c r="F225" s="296"/>
    </row>
    <row r="226" spans="1:6" x14ac:dyDescent="0.25">
      <c r="A226" s="215">
        <f t="shared" si="3"/>
      </c>
      <c r="B226" s="226"/>
      <c r="C226" s="215"/>
      <c r="D226" s="391"/>
      <c r="E226" s="215"/>
      <c r="F226" s="296"/>
    </row>
    <row r="227" spans="1:6" x14ac:dyDescent="0.25">
      <c r="A227" s="215">
        <f t="shared" si="3"/>
      </c>
      <c r="B227" s="226"/>
      <c r="C227" s="215"/>
      <c r="D227" s="391" t="str">
        <f>IF(C6="","",C6)</f>
      </c>
      <c r="E227" s="215"/>
      <c r="F227" s="296"/>
    </row>
    <row r="228" spans="1:6" x14ac:dyDescent="0.25">
      <c r="A228" s="215">
        <f t="shared" si="3"/>
      </c>
      <c r="B228" s="226"/>
      <c r="C228" s="215"/>
      <c r="D228" s="391"/>
      <c r="E228" s="215"/>
      <c r="F228" s="296"/>
    </row>
    <row r="229" spans="1:6" x14ac:dyDescent="0.25">
      <c r="A229" s="215">
        <f t="shared" si="3"/>
      </c>
      <c r="B229" s="226"/>
      <c r="C229" s="215"/>
      <c r="D229" s="391" t="str">
        <f>IF(C6="","",C6)</f>
      </c>
      <c r="E229" s="215"/>
      <c r="F229" s="296"/>
    </row>
    <row r="230" spans="1:6" x14ac:dyDescent="0.25">
      <c r="A230" s="215">
        <f t="shared" si="3"/>
      </c>
      <c r="B230" s="226"/>
      <c r="C230" s="215"/>
      <c r="D230" s="391"/>
      <c r="E230" s="215"/>
      <c r="F230" s="296"/>
    </row>
    <row r="231" spans="1:6" x14ac:dyDescent="0.25">
      <c r="A231" s="215">
        <f t="shared" si="3"/>
      </c>
      <c r="B231" s="226"/>
      <c r="C231" s="215"/>
      <c r="D231" s="391" t="str">
        <f>IF(C6="","",C6)</f>
      </c>
      <c r="E231" s="215"/>
      <c r="F231" s="296"/>
    </row>
    <row r="232" spans="1:6" x14ac:dyDescent="0.25">
      <c r="A232" s="215">
        <f t="shared" si="3"/>
      </c>
      <c r="B232" s="226"/>
      <c r="C232" s="215"/>
      <c r="D232" s="391"/>
      <c r="E232" s="215"/>
      <c r="F232" s="296"/>
    </row>
    <row r="233" spans="1:6" x14ac:dyDescent="0.25">
      <c r="A233" s="215">
        <f t="shared" si="3"/>
      </c>
      <c r="B233" s="226"/>
      <c r="C233" s="215"/>
      <c r="D233" s="391" t="str">
        <f>IF(C6="","",C6)</f>
      </c>
      <c r="E233" s="215"/>
      <c r="F233" s="296"/>
    </row>
    <row r="234" spans="1:6" x14ac:dyDescent="0.25">
      <c r="A234" s="215">
        <f t="shared" si="3"/>
      </c>
      <c r="B234" s="226"/>
      <c r="C234" s="215"/>
      <c r="D234" s="391"/>
      <c r="E234" s="215"/>
      <c r="F234" s="296"/>
    </row>
    <row r="235" spans="1:6" x14ac:dyDescent="0.25">
      <c r="A235" s="215">
        <f t="shared" si="3"/>
      </c>
      <c r="B235" s="226"/>
      <c r="C235" s="215"/>
      <c r="D235" s="391" t="str">
        <f>IF(C6="","",C6)</f>
      </c>
      <c r="E235" s="215"/>
      <c r="F235" s="296"/>
    </row>
    <row r="236" spans="1:6" x14ac:dyDescent="0.25">
      <c r="A236" s="215">
        <f t="shared" si="3"/>
      </c>
      <c r="B236" s="226"/>
      <c r="C236" s="215"/>
      <c r="D236" s="391"/>
      <c r="E236" s="215"/>
      <c r="F236" s="296"/>
    </row>
    <row r="237" spans="1:6" x14ac:dyDescent="0.25">
      <c r="A237" s="215">
        <f t="shared" si="3"/>
      </c>
      <c r="B237" s="226"/>
      <c r="C237" s="215"/>
      <c r="D237" s="391" t="str">
        <f>IF(C6="","",C6)</f>
      </c>
      <c r="E237" s="215"/>
      <c r="F237" s="296"/>
    </row>
    <row r="238" spans="1:6" x14ac:dyDescent="0.25">
      <c r="A238" s="215">
        <f t="shared" si="3"/>
      </c>
      <c r="B238" s="226"/>
      <c r="C238" s="215"/>
      <c r="D238" s="391"/>
      <c r="E238" s="215"/>
      <c r="F238" s="296"/>
    </row>
    <row r="239" spans="1:6" x14ac:dyDescent="0.25">
      <c r="A239" s="215">
        <f t="shared" si="3"/>
      </c>
      <c r="B239" s="226"/>
      <c r="C239" s="215"/>
      <c r="D239" s="391" t="str">
        <f>IF(C6="","",C6)</f>
      </c>
      <c r="E239" s="215"/>
      <c r="F239" s="296"/>
    </row>
    <row r="240" spans="1:6" x14ac:dyDescent="0.25">
      <c r="A240" s="215">
        <f t="shared" si="3"/>
      </c>
      <c r="B240" s="226"/>
      <c r="C240" s="215"/>
      <c r="D240" s="391"/>
      <c r="E240" s="215"/>
      <c r="F240" s="296"/>
    </row>
    <row r="241" spans="1:6" x14ac:dyDescent="0.25">
      <c r="A241" s="215">
        <f t="shared" si="3"/>
      </c>
      <c r="B241" s="226"/>
      <c r="C241" s="215"/>
      <c r="D241" s="391" t="str">
        <f>IF(C6="","",C6)</f>
      </c>
      <c r="E241" s="215"/>
      <c r="F241" s="296"/>
    </row>
    <row r="242" spans="1:6" x14ac:dyDescent="0.25">
      <c r="A242" s="215">
        <f t="shared" si="3"/>
      </c>
      <c r="B242" s="298"/>
      <c r="C242" s="215"/>
      <c r="D242" s="391" t="str">
        <f>IF(C6="","",C6)</f>
      </c>
      <c r="E242" s="215"/>
      <c r="F242" s="296"/>
    </row>
    <row r="243" spans="1:6" x14ac:dyDescent="0.25">
      <c r="A243" s="215">
        <f t="shared" si="3"/>
      </c>
      <c r="B243" s="298"/>
      <c r="C243" s="215"/>
      <c r="D243" s="391" t="str">
        <f>IF(C6="","",C6)</f>
      </c>
      <c r="E243" s="215"/>
      <c r="F243" s="296"/>
    </row>
    <row r="244" spans="1:6" x14ac:dyDescent="0.25">
      <c r="A244" s="215">
        <f t="shared" si="3"/>
      </c>
      <c r="B244" s="298"/>
      <c r="C244" s="215"/>
      <c r="D244" s="391" t="str">
        <f>IF(C6="","",C6)</f>
      </c>
      <c r="E244" s="215"/>
      <c r="F244" s="296"/>
    </row>
    <row r="246" spans="1:6" ht="15.95" customHeight="1" x14ac:dyDescent="0.25">
      <c r="A246" s="573"/>
      <c r="B246" s="572"/>
      <c r="C246" s="572"/>
      <c r="D246" s="572"/>
      <c r="E246" s="572"/>
      <c r="F246" s="572"/>
    </row>
    <row r="247" spans="1:6" ht="19.5" customHeight="1" x14ac:dyDescent="0.25">
      <c r="A247" s="573"/>
      <c r="B247" s="573"/>
      <c r="C247" s="573"/>
      <c r="D247" s="573"/>
      <c r="E247" s="573"/>
      <c r="F247" s="573"/>
    </row>
    <row r="248" spans="1:6" ht="42.6" customHeight="1" x14ac:dyDescent="0.25">
      <c r="A248" s="753" t="str">
        <f>IF('Данные объект'!B3="","",'Данные объект'!B3)</f>
      </c>
      <c r="B248" s="753"/>
      <c r="C248" s="753"/>
      <c r="D248" s="753"/>
      <c r="E248" s="753"/>
      <c r="F248" s="753"/>
    </row>
    <row r="249" spans="1:6" ht="17.25" customHeight="1" x14ac:dyDescent="0.25">
      <c r="A249" s="231"/>
      <c r="B249" s="378">
        <f>IF(F242="","",F242)</f>
      </c>
      <c r="C249" s="368"/>
      <c r="D249" s="368"/>
      <c r="E249" s="368"/>
      <c r="F249" s="368"/>
    </row>
    <row r="250" spans="1:6" ht="12.95" customHeight="1" x14ac:dyDescent="0.25">
      <c r="A250" s="580"/>
      <c r="B250" s="572"/>
      <c r="C250" s="572"/>
      <c r="D250" s="572"/>
      <c r="E250" s="572"/>
      <c r="F250" s="572"/>
    </row>
    <row r="251" spans="1:6" ht="12.95" customHeight="1" x14ac:dyDescent="0.25">
      <c r="A251" s="580"/>
      <c r="B251" s="580"/>
      <c r="C251" s="361"/>
      <c r="D251" s="361"/>
      <c r="E251" s="361"/>
      <c r="F251" s="361"/>
    </row>
    <row r="252" spans="1:6" ht="12.95" customHeight="1" x14ac:dyDescent="0.25">
      <c r="A252" s="363"/>
      <c r="B252" s="363"/>
      <c r="C252" s="361"/>
      <c r="D252" s="361"/>
      <c r="E252" s="361"/>
      <c r="F252" s="361"/>
    </row>
    <row r="253" spans="1:6" ht="23.25" x14ac:dyDescent="0.25">
      <c r="A253" s="362"/>
      <c r="B253" s="232" t="str">
        <f>IF('Данные объект'!C25="","",'Данные объект'!C25)</f>
      </c>
      <c r="C253" s="233"/>
      <c r="D253" s="232"/>
      <c r="E253" s="233"/>
      <c r="F253" s="232"/>
    </row>
    <row r="254" spans="1:6" x14ac:dyDescent="0.25">
      <c r="A254" s="365"/>
      <c r="B254" s="369"/>
      <c r="C254" s="225"/>
      <c r="D254" s="369"/>
      <c r="E254" s="225"/>
      <c r="F254" s="369"/>
    </row>
    <row r="255" spans="1:6" s="469" customFormat="1" ht="12.95" customHeight="1" x14ac:dyDescent="0.25">
      <c r="A255" s="580"/>
      <c r="B255" s="572"/>
      <c r="C255" s="572"/>
      <c r="D255" s="572"/>
      <c r="E255" s="572"/>
      <c r="F255" s="572"/>
    </row>
    <row r="256" spans="1:6" s="469" customFormat="1" ht="12.95" customHeight="1" x14ac:dyDescent="0.25">
      <c r="A256" s="580"/>
      <c r="B256" s="580"/>
      <c r="C256" s="470"/>
      <c r="D256" s="470"/>
      <c r="E256" s="470"/>
      <c r="F256" s="470"/>
    </row>
    <row r="257" spans="1:6" s="469" customFormat="1" ht="12.95" customHeight="1" x14ac:dyDescent="0.25">
      <c r="A257" s="472"/>
      <c r="B257" s="472"/>
      <c r="C257" s="470"/>
      <c r="D257" s="470"/>
      <c r="E257" s="470"/>
      <c r="F257" s="470"/>
    </row>
    <row r="258" spans="1:6" s="469" customFormat="1" ht="23.25" x14ac:dyDescent="0.25">
      <c r="A258" s="471"/>
      <c r="B258" s="232" t="str">
        <f>IF('Данные объект'!C45="","",'Данные объект'!C45)</f>
      </c>
      <c r="C258" s="233"/>
      <c r="D258" s="232"/>
      <c r="E258" s="233"/>
      <c r="F258" s="232"/>
    </row>
    <row r="259" spans="1:6" s="469" customFormat="1" x14ac:dyDescent="0.25">
      <c r="A259" s="473"/>
      <c r="B259" s="474"/>
      <c r="C259" s="225"/>
      <c r="D259" s="474"/>
      <c r="E259" s="225"/>
      <c r="F259" s="474"/>
    </row>
    <row r="260" spans="1:6" s="469" customFormat="1" x14ac:dyDescent="0.25">
      <c r="D260" s="367"/>
    </row>
  </sheetData>
  <mergeCells count="19">
    <mergeCell ref="A246:F246"/>
    <mergeCell ref="A12:F12"/>
    <mergeCell ref="A1:F1"/>
    <mergeCell ref="A2:F2"/>
    <mergeCell ref="A3:F3"/>
    <mergeCell ref="C4:F4"/>
    <mergeCell ref="A5:B5"/>
    <mergeCell ref="C5:F5"/>
    <mergeCell ref="A6:B6"/>
    <mergeCell ref="C6:F6"/>
    <mergeCell ref="A8:F8"/>
    <mergeCell ref="A10:F10"/>
    <mergeCell ref="A11:F11"/>
    <mergeCell ref="A247:F247"/>
    <mergeCell ref="A248:F248"/>
    <mergeCell ref="A250:F250"/>
    <mergeCell ref="A255:F255"/>
    <mergeCell ref="A256:B256"/>
    <mergeCell ref="A251:B251"/>
  </mergeCells>
  <pageMargins left="0.89" right="0.49" top="0.49" bottom="0.69" header="0.49" footer="0.49"/>
  <pageSetup paperSize="9" scale="9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1BB7-A993-47C7-B0B3-A6F979B30927}">
  <sheetPr>
    <tabColor rgb="FFFFFF99"/>
  </sheetPr>
  <dimension ref="A1:F249"/>
  <sheetViews>
    <sheetView showZeros="0" view="pageBreakPreview" topLeftCell="A232" zoomScaleNormal="100" zoomScaleSheetLayoutView="100" workbookViewId="0">
      <selection activeCell="A245" sqref="A245:XFD250"/>
    </sheetView>
  </sheetViews>
  <sheetFormatPr defaultColWidth="9.140625" defaultRowHeight="15" x14ac:dyDescent="0.25"/>
  <cols>
    <col min="1" max="1" width="9.140625" style="407"/>
    <col min="2" max="2" width="36.28515625" style="407" customWidth="1"/>
    <col min="3" max="3" width="13.28515625" style="407" customWidth="1"/>
    <col min="4" max="4" width="20.42578125" style="367" customWidth="1"/>
    <col min="5" max="16384" width="9.140625" style="407"/>
  </cols>
  <sheetData>
    <row r="1" spans="1:6" ht="15.95" customHeight="1" x14ac:dyDescent="0.25">
      <c r="A1" s="654" t="s">
        <v>1235</v>
      </c>
      <c r="B1" s="655"/>
      <c r="C1" s="655"/>
      <c r="D1" s="655"/>
      <c r="E1" s="655"/>
      <c r="F1" s="655"/>
    </row>
    <row r="2" spans="1:6" ht="15.95" hidden="1" customHeight="1" x14ac:dyDescent="0.25">
      <c r="A2" s="734" t="s">
        <v>1102</v>
      </c>
      <c r="B2" s="618"/>
      <c r="C2" s="618"/>
      <c r="D2" s="618"/>
      <c r="E2" s="618"/>
      <c r="F2" s="618"/>
    </row>
    <row r="3" spans="1:6" ht="15.95" hidden="1" customHeight="1" x14ac:dyDescent="0.25">
      <c r="A3" s="734" t="s">
        <v>1103</v>
      </c>
      <c r="B3" s="618"/>
      <c r="C3" s="618"/>
      <c r="D3" s="618"/>
      <c r="E3" s="618"/>
      <c r="F3" s="618"/>
    </row>
    <row r="4" spans="1:6" x14ac:dyDescent="0.25">
      <c r="C4" s="568" t="str">
        <f>IF('Данные объект'!B2="","",'Данные объект'!B2)</f>
      </c>
      <c r="D4" s="568"/>
      <c r="E4" s="568"/>
      <c r="F4" s="568"/>
    </row>
    <row r="5" spans="1:6" ht="22.5" customHeight="1" x14ac:dyDescent="0.25">
      <c r="A5" s="754"/>
      <c r="B5" s="754"/>
      <c r="C5" s="568" t="str">
        <f>IF('Данные объект'!B33="","",'Данные объект'!B33)</f>
      </c>
      <c r="D5" s="568"/>
      <c r="E5" s="568"/>
      <c r="F5" s="568"/>
    </row>
    <row r="6" spans="1:6" ht="22.5" customHeight="1" x14ac:dyDescent="0.25">
      <c r="A6" s="581"/>
      <c r="B6" s="581"/>
      <c r="C6" s="755" t="str">
        <f>IF('Данные объект'!B19="","",'Данные объект'!B19)</f>
      </c>
      <c r="D6" s="755"/>
      <c r="E6" s="755"/>
      <c r="F6" s="755"/>
    </row>
    <row r="8" spans="1:6" ht="39" customHeight="1" x14ac:dyDescent="0.25">
      <c r="A8" s="574" t="str">
        <f>IF('Данные объект'!B3="","",'Данные объект'!B3)</f>
      </c>
      <c r="B8" s="575"/>
      <c r="C8" s="575"/>
      <c r="D8" s="575"/>
      <c r="E8" s="575"/>
      <c r="F8" s="575"/>
    </row>
    <row r="10" spans="1:6" x14ac:dyDescent="0.25">
      <c r="A10" s="734"/>
      <c r="B10" s="618"/>
      <c r="C10" s="618"/>
      <c r="D10" s="618"/>
      <c r="E10" s="618"/>
      <c r="F10" s="618"/>
    </row>
    <row r="11" spans="1:6" x14ac:dyDescent="0.25">
      <c r="A11" s="734" t="str">
        <f>IF(C4="","",C4)</f>
      </c>
      <c r="B11" s="734"/>
      <c r="C11" s="734"/>
      <c r="D11" s="734"/>
      <c r="E11" s="734"/>
      <c r="F11" s="734"/>
    </row>
    <row r="12" spans="1:6" ht="13.9" hidden="1" customHeight="1" x14ac:dyDescent="0.25">
      <c r="A12" s="734"/>
      <c r="B12" s="618"/>
      <c r="C12" s="618"/>
      <c r="D12" s="618"/>
      <c r="E12" s="618"/>
      <c r="F12" s="618"/>
    </row>
    <row r="13" spans="1:6" ht="33.75" x14ac:dyDescent="0.25">
      <c r="A13" s="391"/>
      <c r="B13" s="391"/>
      <c r="C13" s="391"/>
      <c r="D13" s="391"/>
      <c r="E13" s="391"/>
      <c r="F13" s="391"/>
    </row>
    <row r="14" spans="1:6" s="252" customFormat="1" ht="9" x14ac:dyDescent="0.15">
      <c r="A14" s="251">
        <v>1</v>
      </c>
      <c r="B14" s="251"/>
      <c r="C14" s="251"/>
      <c r="D14" s="251"/>
      <c r="E14" s="251"/>
      <c r="F14" s="251"/>
    </row>
    <row r="15" spans="1:6" x14ac:dyDescent="0.25">
      <c r="A15" s="215">
        <v>1</v>
      </c>
      <c r="B15" s="226"/>
      <c r="C15" s="215"/>
      <c r="D15" s="215"/>
      <c r="E15" s="215"/>
      <c r="F15" s="296"/>
    </row>
    <row r="16" spans="1:6" ht="33.75" x14ac:dyDescent="0.25">
      <c r="A16" s="215">
        <f>A15+1</f>
      </c>
      <c r="B16" s="226"/>
      <c r="C16" s="215"/>
      <c r="D16" s="391"/>
      <c r="E16" s="215"/>
      <c r="F16" s="296"/>
    </row>
    <row r="17" spans="1:6" x14ac:dyDescent="0.25">
      <c r="A17" s="215">
        <f t="shared" ref="A17:A80" si="0">A16+1</f>
      </c>
      <c r="B17" s="226"/>
      <c r="C17" s="215"/>
      <c r="D17" s="391"/>
      <c r="E17" s="215"/>
      <c r="F17" s="296"/>
    </row>
    <row r="18" spans="1:6" ht="22.5" x14ac:dyDescent="0.25">
      <c r="A18" s="215">
        <f t="shared" si="0"/>
      </c>
      <c r="B18" s="226"/>
      <c r="C18" s="215"/>
      <c r="D18" s="391"/>
      <c r="E18" s="215"/>
      <c r="F18" s="296"/>
    </row>
    <row r="19" spans="1:6" ht="22.5" x14ac:dyDescent="0.25">
      <c r="A19" s="215">
        <f t="shared" si="0"/>
      </c>
      <c r="B19" s="226" t="str">
        <f>IF(AND(Пр.6А!A2="",Пр.6А!A3=""),"",CONCATENATE(IF(Пр.6А!A2="","",Пр.6А!A2),IF(Пр.6А!A3="","",Пр.6А!A3)," (Прил.6А)"))</f>
      </c>
      <c r="C19" s="215"/>
      <c r="D19" s="391" t="str">
        <f>IF(C6="","",C6)</f>
      </c>
      <c r="E19" s="215"/>
      <c r="F19" s="296"/>
    </row>
    <row r="20" spans="1:6" ht="35.25" customHeight="1" x14ac:dyDescent="0.25">
      <c r="A20" s="215">
        <f t="shared" si="0"/>
      </c>
      <c r="B20" s="226" t="str">
        <f>IF(AND(Пр.6Б!A2="",Пр.6Б!A3=""),"",CONCATENATE(IF(Пр.6Б!A2="","",Пр.6Б!A2),IF(Пр.6Б!A3="","",Пр.6Б!A3)," (Прил.6Б)"))</f>
      </c>
      <c r="C20" s="215"/>
      <c r="D20" s="391" t="str">
        <f>IF(C6="","",C6)</f>
      </c>
      <c r="E20" s="215"/>
      <c r="F20" s="296"/>
    </row>
    <row r="21" spans="1:6" ht="59.25" customHeight="1" x14ac:dyDescent="0.25">
      <c r="A21" s="215">
        <f t="shared" si="0"/>
      </c>
      <c r="B21" s="226" t="str">
        <f>IF(AND(Пр.7!A3="",Пр.7!A5="",Пр.7!A6=""),"",CONCATENATE(IF(Пр.7!A3="","",Пр.7!A3),IF(Пр.7!A5="","",Пр.7!A5),IF(Пр.7!A6="","",Пр.7!A6)," (Прил.7)"))</f>
      </c>
      <c r="C21" s="215"/>
      <c r="D21" s="391" t="str">
        <f>IF(C6="","",C6)</f>
      </c>
      <c r="E21" s="215"/>
      <c r="F21" s="296"/>
    </row>
    <row r="22" spans="1:6" ht="72" customHeight="1" x14ac:dyDescent="0.25">
      <c r="A22" s="215">
        <f t="shared" si="0"/>
      </c>
      <c r="B22" s="226" t="str">
        <f>IF(AND(Пр.10!A2="",Пр.10!A4="",Пр.10!A5=""),"",CONCATENATE(IF(Пр.10!A2="","",Пр.10!A2),IF(Пр.10!A4="","",Пр.10!A4),IF(Пр.10!A5="","",Пр.10!A5)," (Прил.10)"))</f>
      </c>
      <c r="C22" s="215"/>
      <c r="D22" s="391" t="str">
        <f>IF(C6="","",C6)</f>
      </c>
      <c r="E22" s="215"/>
      <c r="F22" s="296"/>
    </row>
    <row r="23" spans="1:6" ht="45" customHeight="1" x14ac:dyDescent="0.25">
      <c r="A23" s="215">
        <f t="shared" si="0"/>
      </c>
      <c r="B23" s="226" t="str">
        <f>IF(AND(Пр.11!A3="",Пр.11!A4=""),"",CONCATENATE(IF(Пр.11!A3="","",Пр.11!A3),IF(Пр.11!A4="","",Пр.11!A4)," (Прил.11)"))</f>
      </c>
      <c r="C23" s="215"/>
      <c r="D23" s="391" t="str">
        <f>IF(C6="","",C6)</f>
      </c>
      <c r="E23" s="215"/>
      <c r="F23" s="296"/>
    </row>
    <row r="24" spans="1:6" ht="45" customHeight="1" x14ac:dyDescent="0.25">
      <c r="A24" s="215">
        <f t="shared" si="0"/>
      </c>
      <c r="B24" s="226" t="str">
        <f>IF(AND('Пр.13 Справка ИД'!A9="",'Пр.13 Справка ИД'!A10=""),"",CONCATENATE(IF('Пр.13 Справка ИД'!A9="","",'Пр.13 Справка ИД'!A9),IF('Пр.13 Справка ИД'!A10="","",'Пр.13 Справка ИД'!A10)," (Прил.13)"))</f>
      </c>
      <c r="C24" s="215"/>
      <c r="D24" s="391" t="str">
        <f>IF(C6="","",C6)</f>
      </c>
      <c r="E24" s="215"/>
      <c r="F24" s="296"/>
    </row>
    <row r="25" spans="1:6" x14ac:dyDescent="0.25">
      <c r="A25" s="215">
        <f t="shared" si="0"/>
      </c>
      <c r="B25" s="226"/>
      <c r="C25" s="215"/>
      <c r="D25" s="391"/>
      <c r="E25" s="215"/>
      <c r="F25" s="296"/>
    </row>
    <row r="26" spans="1:6" x14ac:dyDescent="0.25">
      <c r="A26" s="215">
        <f t="shared" si="0"/>
      </c>
      <c r="B26" s="226"/>
      <c r="C26" s="215"/>
      <c r="D26" s="391">
        <f>IF(C9="","",C9)</f>
      </c>
      <c r="E26" s="215"/>
      <c r="F26" s="296"/>
    </row>
    <row r="27" spans="1:6" ht="22.5" x14ac:dyDescent="0.25">
      <c r="A27" s="215">
        <f t="shared" si="0"/>
      </c>
      <c r="B27" s="373"/>
      <c r="C27" s="215"/>
      <c r="D27" s="391" t="str">
        <f>IF(C6="","",C6)</f>
      </c>
      <c r="E27" s="215"/>
      <c r="F27" s="296"/>
    </row>
    <row r="28" spans="1:6" x14ac:dyDescent="0.25">
      <c r="A28" s="215">
        <f t="shared" si="0"/>
      </c>
      <c r="B28" s="373"/>
      <c r="C28" s="215"/>
      <c r="D28" s="391" t="str">
        <f>IF(C6="","",C6)</f>
      </c>
      <c r="E28" s="215"/>
      <c r="F28" s="296"/>
    </row>
    <row r="29" spans="1:6" x14ac:dyDescent="0.25">
      <c r="A29" s="215">
        <f t="shared" si="0"/>
      </c>
      <c r="B29" s="373"/>
      <c r="C29" s="215"/>
      <c r="D29" s="391" t="str">
        <f>IF(C6="","",C6)</f>
      </c>
      <c r="E29" s="215"/>
      <c r="F29" s="296"/>
    </row>
    <row r="30" spans="1:6" x14ac:dyDescent="0.25">
      <c r="A30" s="215">
        <f t="shared" si="0"/>
      </c>
      <c r="B30" s="373"/>
      <c r="C30" s="215"/>
      <c r="D30" s="391" t="str">
        <f>IF(C6="","",C6)</f>
      </c>
      <c r="E30" s="215"/>
      <c r="F30" s="296"/>
    </row>
    <row r="31" spans="1:6" ht="22.5" x14ac:dyDescent="0.25">
      <c r="A31" s="215">
        <f t="shared" si="0"/>
      </c>
      <c r="B31" s="227" t="str">
        <f>IF('1 '!A15="","",'1 '!A15)</f>
      </c>
      <c r="C31" s="215"/>
      <c r="D31" s="391" t="str">
        <f>IF(C6="","",C6)</f>
      </c>
      <c r="E31" s="215"/>
      <c r="F31" s="296"/>
    </row>
    <row r="32" spans="1:6" x14ac:dyDescent="0.25">
      <c r="A32" s="215">
        <f t="shared" si="0"/>
      </c>
      <c r="B32" s="227" t="str">
        <f>IF('2'!A14="","",'2'!A14)</f>
      </c>
      <c r="C32" s="215"/>
      <c r="D32" s="391" t="str">
        <f>IF(C6="","",C6)</f>
      </c>
      <c r="E32" s="215"/>
      <c r="F32" s="296"/>
    </row>
    <row r="33" spans="1:6" ht="36" customHeight="1" x14ac:dyDescent="0.25">
      <c r="A33" s="215">
        <f t="shared" si="0"/>
      </c>
      <c r="B33" s="227" t="str">
        <f>IF('3'!A14="","",'3'!A14)</f>
      </c>
      <c r="C33" s="215"/>
      <c r="D33" s="391" t="str">
        <f>IF(C6="","",C6)</f>
      </c>
      <c r="E33" s="215"/>
      <c r="F33" s="296"/>
    </row>
    <row r="34" spans="1:6" ht="22.5" x14ac:dyDescent="0.25">
      <c r="A34" s="215">
        <f t="shared" si="0"/>
      </c>
      <c r="B34" s="227" t="str">
        <f>IF('Ведомость общ'!A14="","",'Ведомость общ'!A14)</f>
      </c>
      <c r="C34" s="215"/>
      <c r="D34" s="391" t="str">
        <f>IF(C6="","",C6)</f>
      </c>
      <c r="E34" s="215"/>
      <c r="F34" s="296"/>
    </row>
    <row r="35" spans="1:6" ht="35.25" customHeight="1" x14ac:dyDescent="0.25">
      <c r="A35" s="215">
        <f t="shared" si="0"/>
      </c>
      <c r="B35" s="227" t="str">
        <f>IF(AND('ТП-1'!$A$16="",'ТП-1'!$A$17=""),"",CONCATENATE(IF('ТП-1'!$A$16="","",'ТП-1'!$A$16),IF('ТП-1'!$A$17="","",'ТП-1'!$A$17)))</f>
      </c>
      <c r="C35" s="215"/>
      <c r="D35" s="391" t="str">
        <f>IF(C6="","",C6)</f>
      </c>
      <c r="E35" s="215"/>
      <c r="F35" s="296"/>
    </row>
    <row r="36" spans="1:6" ht="22.5" x14ac:dyDescent="0.25">
      <c r="A36" s="215">
        <f t="shared" si="0"/>
      </c>
      <c r="B36" s="227" t="str">
        <f>IF(AND('ТП-2'!$A$13="",'ТП-2'!$A$14=""),"",CONCATENATE(IF('ТП-2'!$A$13="","",'ТП-2'!$A$13),IF('ТП-2'!$A$14="","",'ТП-2'!$A$14)))</f>
      </c>
      <c r="C36" s="215"/>
      <c r="D36" s="391" t="str">
        <f>IF(C6="","",C6)</f>
      </c>
      <c r="E36" s="215"/>
      <c r="F36" s="296"/>
    </row>
    <row r="37" spans="1:6" x14ac:dyDescent="0.25">
      <c r="A37" s="215">
        <f t="shared" si="0"/>
      </c>
      <c r="B37" s="227" t="str">
        <f>IF(AND('ТП-3'!$A$13="",'ТП-3'!$A$14=""),"",CONCATENATE(IF('ТП-3'!$A$13="","",'ТП-3'!$A$13),IF('ТП-3'!$A$14="","",'ТП-3'!$A$14)))</f>
      </c>
      <c r="C37" s="215"/>
      <c r="D37" s="391" t="str">
        <f>IF(C6="","",C6)</f>
      </c>
      <c r="E37" s="215"/>
      <c r="F37" s="296"/>
    </row>
    <row r="38" spans="1:6" ht="22.5" x14ac:dyDescent="0.25">
      <c r="A38" s="215">
        <f t="shared" si="0"/>
      </c>
      <c r="B38" s="227" t="str">
        <f>IF(AND('ТП-4'!A13="",'ТП-4'!A14=""),"",CONCATENATE(IF('ТП-4'!A13="","",'ТП-4'!A13),IF('ТП-4'!A14="","",'ТП-4'!A14)))</f>
      </c>
      <c r="C38" s="215"/>
      <c r="D38" s="391" t="str">
        <f>IF(C6="","",C6)</f>
      </c>
      <c r="E38" s="215"/>
      <c r="F38" s="296"/>
    </row>
    <row r="39" spans="1:6" ht="22.5" x14ac:dyDescent="0.25">
      <c r="A39" s="215">
        <f t="shared" si="0"/>
      </c>
      <c r="B39" s="227"/>
      <c r="C39" s="215"/>
      <c r="D39" s="391" t="str">
        <f>IF(C6="","",C6)</f>
      </c>
      <c r="E39" s="215"/>
      <c r="F39" s="296"/>
    </row>
    <row r="40" spans="1:6" x14ac:dyDescent="0.25">
      <c r="A40" s="215">
        <f t="shared" si="0"/>
      </c>
      <c r="B40" s="227"/>
      <c r="C40" s="215"/>
      <c r="D40" s="391" t="str">
        <f>IF(C6="","",C6)</f>
      </c>
      <c r="E40" s="215"/>
      <c r="F40" s="296"/>
    </row>
    <row r="41" spans="1:6" ht="22.5" x14ac:dyDescent="0.25">
      <c r="A41" s="215">
        <f t="shared" si="0"/>
      </c>
      <c r="B41" s="227"/>
      <c r="C41" s="215"/>
      <c r="D41" s="391" t="str">
        <f>IF(C6="","",C6)</f>
      </c>
      <c r="E41" s="215"/>
      <c r="F41" s="296"/>
    </row>
    <row r="42" spans="1:6" x14ac:dyDescent="0.25">
      <c r="A42" s="215">
        <f t="shared" si="0"/>
      </c>
      <c r="B42" s="227"/>
      <c r="C42" s="215"/>
      <c r="D42" s="391" t="str">
        <f>IF(C6="","",C6)</f>
      </c>
      <c r="E42" s="215"/>
      <c r="F42" s="296"/>
    </row>
    <row r="43" spans="1:6" x14ac:dyDescent="0.25">
      <c r="A43" s="215">
        <f t="shared" si="0"/>
      </c>
      <c r="B43" s="227"/>
      <c r="C43" s="215"/>
      <c r="D43" s="391"/>
      <c r="E43" s="215"/>
      <c r="F43" s="296"/>
    </row>
    <row r="44" spans="1:6" ht="22.5" x14ac:dyDescent="0.25">
      <c r="A44" s="215">
        <f t="shared" si="0"/>
      </c>
      <c r="B44" s="227"/>
      <c r="C44" s="215"/>
      <c r="D44" s="391" t="str">
        <f>IF(C6="","",C6)</f>
      </c>
      <c r="E44" s="215"/>
      <c r="F44" s="296"/>
    </row>
    <row r="45" spans="1:6" x14ac:dyDescent="0.25">
      <c r="A45" s="215">
        <f t="shared" si="0"/>
      </c>
      <c r="B45" s="227"/>
      <c r="C45" s="215"/>
      <c r="D45" s="391" t="str">
        <f>IF(C6="","",C6)</f>
      </c>
      <c r="E45" s="215"/>
      <c r="F45" s="296"/>
    </row>
    <row r="46" spans="1:6" x14ac:dyDescent="0.25">
      <c r="A46" s="215">
        <f t="shared" si="0"/>
      </c>
      <c r="B46" s="227"/>
      <c r="C46" s="215"/>
      <c r="D46" s="391"/>
      <c r="E46" s="215"/>
      <c r="F46" s="296"/>
    </row>
    <row r="47" spans="1:6" x14ac:dyDescent="0.25">
      <c r="A47" s="215">
        <f t="shared" si="0"/>
      </c>
      <c r="B47" s="227"/>
      <c r="C47" s="215"/>
      <c r="D47" s="391" t="str">
        <f>IF(C6="","",C6)</f>
      </c>
      <c r="E47" s="215"/>
      <c r="F47" s="296"/>
    </row>
    <row r="48" spans="1:6" x14ac:dyDescent="0.25">
      <c r="A48" s="215">
        <f t="shared" si="0"/>
      </c>
      <c r="B48" s="227"/>
      <c r="C48" s="215"/>
      <c r="D48" s="391" t="str">
        <f>IF(C6="","",C6)</f>
      </c>
      <c r="E48" s="215"/>
      <c r="F48" s="296"/>
    </row>
    <row r="49" spans="1:6" x14ac:dyDescent="0.25">
      <c r="A49" s="215">
        <f t="shared" si="0"/>
      </c>
      <c r="B49" s="227"/>
      <c r="C49" s="215"/>
      <c r="D49" s="391"/>
      <c r="E49" s="215"/>
      <c r="F49" s="296"/>
    </row>
    <row r="50" spans="1:6" x14ac:dyDescent="0.25">
      <c r="A50" s="215">
        <f t="shared" si="0"/>
      </c>
      <c r="B50" s="227"/>
      <c r="C50" s="215"/>
      <c r="D50" s="391"/>
      <c r="E50" s="215"/>
      <c r="F50" s="296"/>
    </row>
    <row r="51" spans="1:6" x14ac:dyDescent="0.25">
      <c r="A51" s="215">
        <f t="shared" si="0"/>
      </c>
      <c r="B51" s="227"/>
      <c r="C51" s="215"/>
      <c r="D51" s="391"/>
      <c r="E51" s="215"/>
      <c r="F51" s="296"/>
    </row>
    <row r="52" spans="1:6" x14ac:dyDescent="0.25">
      <c r="A52" s="215">
        <f t="shared" si="0"/>
      </c>
      <c r="B52" s="227"/>
      <c r="C52" s="215"/>
      <c r="D52" s="391"/>
      <c r="E52" s="215"/>
      <c r="F52" s="296"/>
    </row>
    <row r="53" spans="1:6" x14ac:dyDescent="0.25">
      <c r="A53" s="215">
        <f t="shared" si="0"/>
      </c>
      <c r="B53" s="227"/>
      <c r="C53" s="215"/>
      <c r="D53" s="391" t="str">
        <f>IF(C6="","",C6)</f>
      </c>
      <c r="E53" s="215"/>
      <c r="F53" s="296"/>
    </row>
    <row r="54" spans="1:6" x14ac:dyDescent="0.25">
      <c r="A54" s="215">
        <f t="shared" si="0"/>
      </c>
      <c r="B54" s="227"/>
      <c r="C54" s="215"/>
      <c r="D54" s="391" t="str">
        <f>IF(C6="","",C6)</f>
      </c>
      <c r="E54" s="215"/>
      <c r="F54" s="296"/>
    </row>
    <row r="55" spans="1:6" x14ac:dyDescent="0.25">
      <c r="A55" s="215">
        <f t="shared" si="0"/>
      </c>
      <c r="B55" s="227"/>
      <c r="C55" s="215"/>
      <c r="D55" s="391" t="str">
        <f>IF(C6="","",C6)</f>
      </c>
      <c r="E55" s="215"/>
      <c r="F55" s="296"/>
    </row>
    <row r="56" spans="1:6" x14ac:dyDescent="0.25">
      <c r="A56" s="215">
        <f t="shared" si="0"/>
      </c>
      <c r="B56" s="227"/>
      <c r="C56" s="215"/>
      <c r="D56" s="391"/>
      <c r="E56" s="215"/>
      <c r="F56" s="296"/>
    </row>
    <row r="57" spans="1:6" x14ac:dyDescent="0.25">
      <c r="A57" s="215">
        <f t="shared" si="0"/>
      </c>
      <c r="B57" s="227"/>
      <c r="C57" s="215"/>
      <c r="D57" s="391"/>
      <c r="E57" s="215"/>
      <c r="F57" s="296"/>
    </row>
    <row r="58" spans="1:6" x14ac:dyDescent="0.25">
      <c r="A58" s="215">
        <f t="shared" si="0"/>
      </c>
      <c r="B58" s="227"/>
      <c r="C58" s="215"/>
      <c r="D58" s="391"/>
      <c r="E58" s="215"/>
      <c r="F58" s="296"/>
    </row>
    <row r="59" spans="1:6" x14ac:dyDescent="0.25">
      <c r="A59" s="215">
        <f t="shared" si="0"/>
      </c>
      <c r="B59" s="227"/>
      <c r="C59" s="215"/>
      <c r="D59" s="391"/>
      <c r="E59" s="215"/>
      <c r="F59" s="296"/>
    </row>
    <row r="60" spans="1:6" x14ac:dyDescent="0.25">
      <c r="A60" s="215">
        <f t="shared" si="0"/>
      </c>
      <c r="B60" s="227"/>
      <c r="C60" s="215"/>
      <c r="D60" s="391" t="str">
        <f>IF(C6="","",C6)</f>
      </c>
      <c r="E60" s="215"/>
      <c r="F60" s="296"/>
    </row>
    <row r="61" spans="1:6" x14ac:dyDescent="0.25">
      <c r="A61" s="215">
        <f t="shared" si="0"/>
      </c>
      <c r="B61" s="227"/>
      <c r="C61" s="215"/>
      <c r="D61" s="391" t="str">
        <f>IF(C6="","",C6)</f>
      </c>
      <c r="E61" s="215"/>
      <c r="F61" s="296"/>
    </row>
    <row r="62" spans="1:6" x14ac:dyDescent="0.25">
      <c r="A62" s="215">
        <f t="shared" si="0"/>
      </c>
      <c r="B62" s="227"/>
      <c r="C62" s="215"/>
      <c r="D62" s="391" t="str">
        <f>IF(C6="","",C6)</f>
      </c>
      <c r="E62" s="215"/>
      <c r="F62" s="296"/>
    </row>
    <row r="63" spans="1:6" x14ac:dyDescent="0.25">
      <c r="A63" s="215">
        <f t="shared" si="0"/>
      </c>
      <c r="B63" s="227"/>
      <c r="C63" s="215"/>
      <c r="D63" s="391" t="str">
        <f>IF(C6="","",C6)</f>
      </c>
      <c r="E63" s="215"/>
      <c r="F63" s="296"/>
    </row>
    <row r="64" spans="1:6" x14ac:dyDescent="0.25">
      <c r="A64" s="215">
        <f t="shared" si="0"/>
      </c>
      <c r="B64" s="227"/>
      <c r="C64" s="215"/>
      <c r="D64" s="391"/>
      <c r="E64" s="215"/>
      <c r="F64" s="296"/>
    </row>
    <row r="65" spans="1:6" x14ac:dyDescent="0.25">
      <c r="A65" s="215">
        <f t="shared" si="0"/>
      </c>
      <c r="B65" s="227"/>
      <c r="C65" s="215"/>
      <c r="D65" s="391"/>
      <c r="E65" s="215"/>
      <c r="F65" s="296"/>
    </row>
    <row r="66" spans="1:6" x14ac:dyDescent="0.25">
      <c r="A66" s="215">
        <f t="shared" si="0"/>
      </c>
      <c r="B66" s="227"/>
      <c r="C66" s="215"/>
      <c r="D66" s="391"/>
      <c r="E66" s="215"/>
      <c r="F66" s="296"/>
    </row>
    <row r="67" spans="1:6" x14ac:dyDescent="0.25">
      <c r="A67" s="215">
        <f t="shared" si="0"/>
      </c>
      <c r="B67" s="227"/>
      <c r="C67" s="215"/>
      <c r="D67" s="391" t="str">
        <f>IF(C6="","",C6)</f>
      </c>
      <c r="E67" s="215"/>
      <c r="F67" s="296"/>
    </row>
    <row r="68" spans="1:6" x14ac:dyDescent="0.25">
      <c r="A68" s="215">
        <f t="shared" si="0"/>
      </c>
      <c r="B68" s="227"/>
      <c r="C68" s="215"/>
      <c r="D68" s="391" t="str">
        <f>IF(C6="","",C6)</f>
      </c>
      <c r="E68" s="215"/>
      <c r="F68" s="296"/>
    </row>
    <row r="69" spans="1:6" x14ac:dyDescent="0.25">
      <c r="A69" s="215">
        <f t="shared" si="0"/>
      </c>
      <c r="B69" s="227"/>
      <c r="C69" s="215"/>
      <c r="D69" s="391"/>
      <c r="E69" s="215"/>
      <c r="F69" s="296"/>
    </row>
    <row r="70" spans="1:6" x14ac:dyDescent="0.25">
      <c r="A70" s="215">
        <f t="shared" si="0"/>
      </c>
      <c r="B70" s="227"/>
      <c r="C70" s="215"/>
      <c r="D70" s="391"/>
      <c r="E70" s="215"/>
      <c r="F70" s="296"/>
    </row>
    <row r="71" spans="1:6" ht="33.75" x14ac:dyDescent="0.25">
      <c r="A71" s="215">
        <f t="shared" si="0"/>
      </c>
      <c r="B71" s="392" t="str">
        <f>IF(AND('АСП-1'!$A$16="",'АСП-1'!$A$17=""),"",CONCATENATE(IF('АСП-1'!$A$16="","",'АСП-1'!$A$16),IF('АСП-1'!$A$17="","",'АСП-1'!$A$17)))</f>
      </c>
      <c r="C71" s="215"/>
      <c r="D71" s="391" t="str">
        <f>IF(C6="","",C6)</f>
      </c>
      <c r="E71" s="215"/>
      <c r="F71" s="296"/>
    </row>
    <row r="72" spans="1:6" ht="22.5" x14ac:dyDescent="0.25">
      <c r="A72" s="215">
        <f t="shared" si="0"/>
      </c>
      <c r="B72" s="392" t="str">
        <f>IF(AND('АСП-2'!$A$13="",'АСП-2'!$A$14=""),"",CONCATENATE(IF('АСП-2'!$A$13="","",'АСП-2'!$A$13),IF('АСП-2'!$A$14="","",'АСП-2'!$A$14)))</f>
      </c>
      <c r="C72" s="215"/>
      <c r="D72" s="391" t="str">
        <f>IF(C6="","",C6)</f>
      </c>
      <c r="E72" s="215"/>
      <c r="F72" s="296"/>
    </row>
    <row r="73" spans="1:6" x14ac:dyDescent="0.25">
      <c r="A73" s="215">
        <f t="shared" si="0"/>
      </c>
      <c r="B73" s="392" t="str">
        <f>IF(AND('АСП-3'!$A$13="",'АСП-3'!$A$14=""),"",CONCATENATE(IF('АСП-3'!$A$13="","",'АСП-3'!$A$13),IF('АСП-3'!$A$14="","",'АСП-3'!$A$14)))</f>
      </c>
      <c r="C73" s="215"/>
      <c r="D73" s="391" t="str">
        <f>IF(C6="","",C6)</f>
      </c>
      <c r="E73" s="215"/>
      <c r="F73" s="296"/>
    </row>
    <row r="74" spans="1:6" ht="22.5" x14ac:dyDescent="0.25">
      <c r="A74" s="215">
        <f t="shared" si="0"/>
      </c>
      <c r="B74" s="392"/>
      <c r="C74" s="215"/>
      <c r="D74" s="391" t="str">
        <f>IF(C6="","",C6)</f>
      </c>
      <c r="E74" s="215"/>
      <c r="F74" s="296"/>
    </row>
    <row r="75" spans="1:6" x14ac:dyDescent="0.25">
      <c r="A75" s="215">
        <f t="shared" si="0"/>
      </c>
      <c r="B75" s="392"/>
      <c r="C75" s="215"/>
      <c r="D75" s="391" t="str">
        <f>IF(C6="","",C6)</f>
      </c>
      <c r="E75" s="215"/>
      <c r="F75" s="296"/>
    </row>
    <row r="76" spans="1:6" ht="22.5" x14ac:dyDescent="0.25">
      <c r="A76" s="215">
        <f t="shared" si="0"/>
      </c>
      <c r="B76" s="392"/>
      <c r="C76" s="215"/>
      <c r="D76" s="391" t="str">
        <f>IF(C6="","",C6)</f>
      </c>
      <c r="E76" s="215"/>
      <c r="F76" s="296"/>
    </row>
    <row r="77" spans="1:6" x14ac:dyDescent="0.25">
      <c r="A77" s="215">
        <f t="shared" si="0"/>
      </c>
      <c r="B77" s="392"/>
      <c r="C77" s="215"/>
      <c r="D77" s="391" t="str">
        <f>IF(C6="","",C6)</f>
      </c>
      <c r="E77" s="215"/>
      <c r="F77" s="296"/>
    </row>
    <row r="78" spans="1:6" x14ac:dyDescent="0.25">
      <c r="A78" s="215">
        <f t="shared" si="0"/>
      </c>
      <c r="B78" s="392"/>
      <c r="C78" s="215"/>
      <c r="D78" s="391"/>
      <c r="E78" s="215"/>
      <c r="F78" s="296"/>
    </row>
    <row r="79" spans="1:6" ht="22.5" x14ac:dyDescent="0.25">
      <c r="A79" s="215">
        <f t="shared" si="0"/>
      </c>
      <c r="B79" s="392"/>
      <c r="C79" s="215"/>
      <c r="D79" s="391" t="str">
        <f>IF(C6="","",C6)</f>
      </c>
      <c r="E79" s="215"/>
      <c r="F79" s="296"/>
    </row>
    <row r="80" spans="1:6" x14ac:dyDescent="0.25">
      <c r="A80" s="215">
        <f t="shared" si="0"/>
      </c>
      <c r="B80" s="392"/>
      <c r="C80" s="215"/>
      <c r="D80" s="391" t="str">
        <f>IF(C6="","",C6)</f>
      </c>
      <c r="E80" s="215"/>
      <c r="F80" s="296"/>
    </row>
    <row r="81" spans="1:6" x14ac:dyDescent="0.25">
      <c r="A81" s="215">
        <f t="shared" ref="A81:A144" si="1">A80+1</f>
      </c>
      <c r="B81" s="392"/>
      <c r="C81" s="215"/>
      <c r="D81" s="391"/>
      <c r="E81" s="215"/>
      <c r="F81" s="296"/>
    </row>
    <row r="82" spans="1:6" x14ac:dyDescent="0.25">
      <c r="A82" s="215">
        <f t="shared" si="1"/>
      </c>
      <c r="B82" s="392"/>
      <c r="C82" s="215"/>
      <c r="D82" s="391" t="str">
        <f>IF(C6="","",C6)</f>
      </c>
      <c r="E82" s="215"/>
      <c r="F82" s="296"/>
    </row>
    <row r="83" spans="1:6" x14ac:dyDescent="0.25">
      <c r="A83" s="215">
        <f t="shared" si="1"/>
      </c>
      <c r="B83" s="392"/>
      <c r="C83" s="215"/>
      <c r="D83" s="391" t="str">
        <f>IF(C6="","",C6)</f>
      </c>
      <c r="E83" s="215"/>
      <c r="F83" s="296"/>
    </row>
    <row r="84" spans="1:6" x14ac:dyDescent="0.25">
      <c r="A84" s="215">
        <f t="shared" si="1"/>
      </c>
      <c r="B84" s="392"/>
      <c r="C84" s="215"/>
      <c r="D84" s="391"/>
      <c r="E84" s="215"/>
      <c r="F84" s="296"/>
    </row>
    <row r="85" spans="1:6" x14ac:dyDescent="0.25">
      <c r="A85" s="215">
        <f t="shared" si="1"/>
      </c>
      <c r="B85" s="392"/>
      <c r="C85" s="215"/>
      <c r="D85" s="391"/>
      <c r="E85" s="215"/>
      <c r="F85" s="296"/>
    </row>
    <row r="86" spans="1:6" x14ac:dyDescent="0.25">
      <c r="A86" s="215">
        <f t="shared" si="1"/>
      </c>
      <c r="B86" s="392"/>
      <c r="C86" s="215"/>
      <c r="D86" s="391"/>
      <c r="E86" s="215"/>
      <c r="F86" s="296"/>
    </row>
    <row r="87" spans="1:6" x14ac:dyDescent="0.25">
      <c r="A87" s="215">
        <f t="shared" si="1"/>
      </c>
      <c r="B87" s="392"/>
      <c r="C87" s="215"/>
      <c r="D87" s="391"/>
      <c r="E87" s="215"/>
      <c r="F87" s="296"/>
    </row>
    <row r="88" spans="1:6" x14ac:dyDescent="0.25">
      <c r="A88" s="215">
        <f t="shared" si="1"/>
      </c>
      <c r="B88" s="392"/>
      <c r="C88" s="215"/>
      <c r="D88" s="391" t="str">
        <f>IF(C6="","",C6)</f>
      </c>
      <c r="E88" s="215"/>
      <c r="F88" s="296"/>
    </row>
    <row r="89" spans="1:6" x14ac:dyDescent="0.25">
      <c r="A89" s="215">
        <f t="shared" si="1"/>
      </c>
      <c r="B89" s="392"/>
      <c r="C89" s="215"/>
      <c r="D89" s="391" t="str">
        <f>IF(C6="","",C6)</f>
      </c>
      <c r="E89" s="215"/>
      <c r="F89" s="296"/>
    </row>
    <row r="90" spans="1:6" x14ac:dyDescent="0.25">
      <c r="A90" s="215">
        <f t="shared" si="1"/>
      </c>
      <c r="B90" s="392"/>
      <c r="C90" s="215"/>
      <c r="D90" s="391" t="str">
        <f>IF(C6="","",C6)</f>
      </c>
      <c r="E90" s="215"/>
      <c r="F90" s="296"/>
    </row>
    <row r="91" spans="1:6" x14ac:dyDescent="0.25">
      <c r="A91" s="215">
        <f t="shared" si="1"/>
      </c>
      <c r="B91" s="392"/>
      <c r="C91" s="215"/>
      <c r="D91" s="391" t="str">
        <f>IF(C6="","",C6)</f>
      </c>
      <c r="E91" s="215"/>
      <c r="F91" s="296"/>
    </row>
    <row r="92" spans="1:6" x14ac:dyDescent="0.25">
      <c r="A92" s="215">
        <f t="shared" si="1"/>
      </c>
      <c r="B92" s="392"/>
      <c r="C92" s="215"/>
      <c r="D92" s="391"/>
      <c r="E92" s="215"/>
      <c r="F92" s="296"/>
    </row>
    <row r="93" spans="1:6" x14ac:dyDescent="0.25">
      <c r="A93" s="215">
        <f t="shared" si="1"/>
      </c>
      <c r="B93" s="392"/>
      <c r="C93" s="215"/>
      <c r="D93" s="391"/>
      <c r="E93" s="215"/>
      <c r="F93" s="296"/>
    </row>
    <row r="94" spans="1:6" x14ac:dyDescent="0.25">
      <c r="A94" s="215">
        <f t="shared" si="1"/>
      </c>
      <c r="B94" s="392"/>
      <c r="C94" s="215"/>
      <c r="D94" s="391"/>
      <c r="E94" s="215"/>
      <c r="F94" s="296"/>
    </row>
    <row r="95" spans="1:6" x14ac:dyDescent="0.25">
      <c r="A95" s="215">
        <f t="shared" si="1"/>
      </c>
      <c r="B95" s="392"/>
      <c r="C95" s="215"/>
      <c r="D95" s="391" t="str">
        <f>IF(C6="","",C6)</f>
      </c>
      <c r="E95" s="215"/>
      <c r="F95" s="296"/>
    </row>
    <row r="96" spans="1:6" x14ac:dyDescent="0.25">
      <c r="A96" s="215">
        <f t="shared" si="1"/>
      </c>
      <c r="B96" s="392"/>
      <c r="C96" s="215"/>
      <c r="D96" s="391" t="str">
        <f>IF(C6="","",C6)</f>
      </c>
      <c r="E96" s="215"/>
      <c r="F96" s="296"/>
    </row>
    <row r="97" spans="1:6" x14ac:dyDescent="0.25">
      <c r="A97" s="215">
        <f t="shared" si="1"/>
      </c>
      <c r="B97" s="392"/>
      <c r="C97" s="215"/>
      <c r="D97" s="391" t="str">
        <f>IF(C6="","",C6)</f>
      </c>
      <c r="E97" s="215"/>
      <c r="F97" s="296"/>
    </row>
    <row r="98" spans="1:6" x14ac:dyDescent="0.25">
      <c r="A98" s="215">
        <f t="shared" si="1"/>
      </c>
      <c r="B98" s="392"/>
      <c r="C98" s="215"/>
      <c r="D98" s="391" t="str">
        <f>IF(C6="","",C6)</f>
      </c>
      <c r="E98" s="215"/>
      <c r="F98" s="296"/>
    </row>
    <row r="99" spans="1:6" x14ac:dyDescent="0.25">
      <c r="A99" s="215">
        <f t="shared" si="1"/>
      </c>
      <c r="B99" s="392"/>
      <c r="C99" s="215"/>
      <c r="D99" s="391"/>
      <c r="E99" s="215"/>
      <c r="F99" s="296"/>
    </row>
    <row r="100" spans="1:6" x14ac:dyDescent="0.25">
      <c r="A100" s="215">
        <f t="shared" si="1"/>
      </c>
      <c r="B100" s="392"/>
      <c r="C100" s="215"/>
      <c r="D100" s="391"/>
      <c r="E100" s="215"/>
      <c r="F100" s="296"/>
    </row>
    <row r="101" spans="1:6" x14ac:dyDescent="0.25">
      <c r="A101" s="215">
        <f t="shared" si="1"/>
      </c>
      <c r="B101" s="392"/>
      <c r="C101" s="215"/>
      <c r="D101" s="391"/>
      <c r="E101" s="215"/>
      <c r="F101" s="296"/>
    </row>
    <row r="102" spans="1:6" x14ac:dyDescent="0.25">
      <c r="A102" s="215">
        <f t="shared" si="1"/>
      </c>
      <c r="B102" s="392"/>
      <c r="C102" s="215"/>
      <c r="D102" s="391" t="str">
        <f>IF(C6="","",C6)</f>
      </c>
      <c r="E102" s="215"/>
      <c r="F102" s="296"/>
    </row>
    <row r="103" spans="1:6" x14ac:dyDescent="0.25">
      <c r="A103" s="215">
        <f t="shared" si="1"/>
      </c>
      <c r="B103" s="392"/>
      <c r="C103" s="215"/>
      <c r="D103" s="391" t="str">
        <f>IF(C6="","",C6)</f>
      </c>
      <c r="E103" s="215"/>
      <c r="F103" s="296"/>
    </row>
    <row r="104" spans="1:6" x14ac:dyDescent="0.25">
      <c r="A104" s="215">
        <f t="shared" si="1"/>
      </c>
      <c r="B104" s="392"/>
      <c r="C104" s="215"/>
      <c r="D104" s="391"/>
      <c r="E104" s="215"/>
      <c r="F104" s="296"/>
    </row>
    <row r="105" spans="1:6" x14ac:dyDescent="0.25">
      <c r="A105" s="215">
        <f t="shared" si="1"/>
      </c>
      <c r="B105" s="392"/>
      <c r="C105" s="215"/>
      <c r="D105" s="391"/>
      <c r="E105" s="215"/>
      <c r="F105" s="296"/>
    </row>
    <row r="106" spans="1:6" ht="22.5" x14ac:dyDescent="0.25">
      <c r="A106" s="215">
        <f t="shared" si="1"/>
      </c>
      <c r="B106" s="228" t="str">
        <f>IF(AND('КЛ-1'!A14="",'КЛ-1'!A15=""),"",CONCATENATE(IF('КЛ-1'!A14="","",'КЛ-1'!A14),IF('КЛ-1'!A15="","",'КЛ-1'!A15)))</f>
      </c>
      <c r="C106" s="215"/>
      <c r="D106" s="391" t="str">
        <f>IF(C6="","",C6)</f>
      </c>
      <c r="E106" s="215"/>
      <c r="F106" s="296"/>
    </row>
    <row r="107" spans="1:6" ht="22.5" x14ac:dyDescent="0.25">
      <c r="A107" s="215">
        <f t="shared" si="1"/>
      </c>
      <c r="B107" s="228" t="str">
        <f>IF(AND('КЛ-2'!A14="",'КЛ-2'!A15=""),"",CONCATENATE(IF('КЛ-2'!A14="","",'КЛ-2'!A14),IF('КЛ-2'!A15="","",'КЛ-2'!A15)))</f>
      </c>
      <c r="C107" s="215"/>
      <c r="D107" s="391" t="str">
        <f>IF(C6="","",C6)</f>
      </c>
      <c r="E107" s="215"/>
      <c r="F107" s="296"/>
    </row>
    <row r="108" spans="1:6" ht="22.5" x14ac:dyDescent="0.25">
      <c r="A108" s="215">
        <f t="shared" si="1"/>
      </c>
      <c r="B108" s="228" t="str">
        <f>IF(AND('КЛ-3'!A14="",'КЛ-3'!A15=""),"",CONCATENATE(IF('КЛ-3'!A14="","",'КЛ-3'!A14),IF('КЛ-3'!A15="","",'КЛ-3'!A15)))</f>
      </c>
      <c r="C108" s="215"/>
      <c r="D108" s="391" t="str">
        <f>IF(C6="","",C6)</f>
      </c>
      <c r="E108" s="215"/>
      <c r="F108" s="296"/>
    </row>
    <row r="109" spans="1:6" ht="22.5" x14ac:dyDescent="0.25">
      <c r="A109" s="215">
        <f t="shared" si="1"/>
      </c>
      <c r="B109" s="228" t="str">
        <f>IF(AND('КЛ-4'!A15="",'КЛ-4'!A16=""),"",CONCATENATE(IF('КЛ-4'!A15="","",'КЛ-4'!A15),IF('КЛ-4'!A16="","",'КЛ-4'!A16)))</f>
      </c>
      <c r="C109" s="215"/>
      <c r="D109" s="391" t="str">
        <f>IF(C6="","",C6)</f>
      </c>
      <c r="E109" s="215"/>
      <c r="F109" s="296"/>
    </row>
    <row r="110" spans="1:6" ht="22.5" x14ac:dyDescent="0.25">
      <c r="A110" s="215">
        <f t="shared" si="1"/>
      </c>
      <c r="B110" s="228" t="str">
        <f>IF(AND('КЛ-5'!A13="",'КЛ-5'!A14=""),"",CONCATENATE(IF('КЛ-5'!A13="","",'КЛ-5'!A13),IF('КЛ-5'!A14="","",'КЛ-5'!A14)))</f>
      </c>
      <c r="C110" s="215"/>
      <c r="D110" s="391" t="str">
        <f>IF(C6="","",C6)</f>
      </c>
      <c r="E110" s="215"/>
      <c r="F110" s="296"/>
    </row>
    <row r="111" spans="1:6" ht="22.5" x14ac:dyDescent="0.25">
      <c r="A111" s="215">
        <f t="shared" si="1"/>
      </c>
      <c r="B111" s="228" t="str">
        <f>IF(AND('КЛ-6'!A15="",'КЛ-6'!A16=""),"",CONCATENATE(IF('КЛ-6'!A15="","",'КЛ-6'!A15),IF('КЛ-6'!A16="","",'КЛ-6'!A16)))</f>
      </c>
      <c r="C111" s="215"/>
      <c r="D111" s="391" t="str">
        <f>IF(C6="","",C6)</f>
      </c>
      <c r="E111" s="215"/>
      <c r="F111" s="296"/>
    </row>
    <row r="112" spans="1:6" x14ac:dyDescent="0.25">
      <c r="A112" s="215">
        <f t="shared" si="1"/>
      </c>
      <c r="B112" s="228" t="str">
        <f>IF(AND('КЛ-7'!A16="",'КЛ-7'!A17=""),"",CONCATENATE(IF('КЛ-7'!A16="","",'КЛ-7'!A16),IF('КЛ-7'!A17="","",'КЛ-7'!A17)))</f>
      </c>
      <c r="C112" s="215"/>
      <c r="D112" s="391" t="str">
        <f>IF(C6="","",C6)</f>
      </c>
      <c r="E112" s="215"/>
      <c r="F112" s="296"/>
    </row>
    <row r="113" spans="1:6" ht="22.5" x14ac:dyDescent="0.25">
      <c r="A113" s="215">
        <f t="shared" si="1"/>
      </c>
      <c r="B113" s="228" t="str">
        <f>IF(AND('КЛ-8'!A13="",'КЛ-8'!A14=""),"",CONCATENATE(IF('КЛ-8'!A13="","",'КЛ-8'!A13),IF('КЛ-8'!A14="","",'КЛ-8'!A14)))</f>
      </c>
      <c r="C113" s="215"/>
      <c r="D113" s="391" t="str">
        <f>IF(C6="","",C6)</f>
      </c>
      <c r="E113" s="215"/>
      <c r="F113" s="296"/>
    </row>
    <row r="114" spans="1:6" x14ac:dyDescent="0.25">
      <c r="A114" s="215">
        <f t="shared" si="1"/>
      </c>
      <c r="B114" s="228" t="str">
        <f>IF('КЛ-9'!T14="","",'КЛ-9'!T14)</f>
      </c>
      <c r="C114" s="215"/>
      <c r="D114" s="391" t="str">
        <f>IF(C6="","",C6)</f>
      </c>
      <c r="E114" s="215"/>
      <c r="F114" s="296"/>
    </row>
    <row r="115" spans="1:6" x14ac:dyDescent="0.25">
      <c r="A115" s="215">
        <f t="shared" si="1"/>
      </c>
      <c r="B115" s="228"/>
      <c r="C115" s="215"/>
      <c r="D115" s="391" t="str">
        <f>IF(C6="","",C6)</f>
      </c>
      <c r="E115" s="215"/>
      <c r="F115" s="296"/>
    </row>
    <row r="116" spans="1:6" x14ac:dyDescent="0.25">
      <c r="A116" s="215">
        <f t="shared" si="1"/>
      </c>
      <c r="B116" s="228"/>
      <c r="C116" s="215"/>
      <c r="D116" s="391" t="str">
        <f>IF(C6="","",C6)</f>
      </c>
      <c r="E116" s="215"/>
      <c r="F116" s="296"/>
    </row>
    <row r="117" spans="1:6" ht="22.5" x14ac:dyDescent="0.25">
      <c r="A117" s="215">
        <f t="shared" si="1"/>
      </c>
      <c r="B117" s="228"/>
      <c r="C117" s="215"/>
      <c r="D117" s="391" t="str">
        <f>IF(C6="","",C6)</f>
      </c>
      <c r="E117" s="215"/>
      <c r="F117" s="296"/>
    </row>
    <row r="118" spans="1:6" x14ac:dyDescent="0.25">
      <c r="A118" s="215">
        <f t="shared" si="1"/>
      </c>
      <c r="B118" s="228"/>
      <c r="C118" s="215"/>
      <c r="D118" s="391" t="str">
        <f>IF(C6="","",C6)</f>
      </c>
      <c r="E118" s="215"/>
      <c r="F118" s="296"/>
    </row>
    <row r="119" spans="1:6" x14ac:dyDescent="0.25">
      <c r="A119" s="215">
        <f t="shared" si="1"/>
      </c>
      <c r="B119" s="228"/>
      <c r="C119" s="215"/>
      <c r="D119" s="391"/>
      <c r="E119" s="215"/>
      <c r="F119" s="296"/>
    </row>
    <row r="120" spans="1:6" ht="22.5" x14ac:dyDescent="0.25">
      <c r="A120" s="215">
        <f t="shared" si="1"/>
      </c>
      <c r="B120" s="228"/>
      <c r="C120" s="215"/>
      <c r="D120" s="391" t="str">
        <f>IF(C6="","",C6)</f>
      </c>
      <c r="E120" s="215"/>
      <c r="F120" s="296"/>
    </row>
    <row r="121" spans="1:6" x14ac:dyDescent="0.25">
      <c r="A121" s="215">
        <f t="shared" si="1"/>
      </c>
      <c r="B121" s="228"/>
      <c r="C121" s="215"/>
      <c r="D121" s="391" t="str">
        <f>IF(C6="","",C6)</f>
      </c>
      <c r="E121" s="215"/>
      <c r="F121" s="296"/>
    </row>
    <row r="122" spans="1:6" x14ac:dyDescent="0.25">
      <c r="A122" s="215">
        <f t="shared" si="1"/>
      </c>
      <c r="B122" s="228"/>
      <c r="C122" s="215"/>
      <c r="D122" s="391"/>
      <c r="E122" s="215"/>
      <c r="F122" s="296"/>
    </row>
    <row r="123" spans="1:6" x14ac:dyDescent="0.25">
      <c r="A123" s="215">
        <f t="shared" si="1"/>
      </c>
      <c r="B123" s="228"/>
      <c r="C123" s="215"/>
      <c r="D123" s="391" t="str">
        <f>IF(C6="","",C6)</f>
      </c>
      <c r="E123" s="215"/>
      <c r="F123" s="296"/>
    </row>
    <row r="124" spans="1:6" x14ac:dyDescent="0.25">
      <c r="A124" s="215">
        <f t="shared" si="1"/>
      </c>
      <c r="B124" s="228"/>
      <c r="C124" s="215"/>
      <c r="D124" s="391" t="str">
        <f>IF(C6="","",C6)</f>
      </c>
      <c r="E124" s="215"/>
      <c r="F124" s="296"/>
    </row>
    <row r="125" spans="1:6" x14ac:dyDescent="0.25">
      <c r="A125" s="215">
        <f t="shared" si="1"/>
      </c>
      <c r="B125" s="228"/>
      <c r="C125" s="215"/>
      <c r="D125" s="391"/>
      <c r="E125" s="215"/>
      <c r="F125" s="296"/>
    </row>
    <row r="126" spans="1:6" x14ac:dyDescent="0.25">
      <c r="A126" s="215">
        <f t="shared" si="1"/>
      </c>
      <c r="B126" s="228"/>
      <c r="C126" s="215"/>
      <c r="D126" s="391" t="str">
        <f>IF(C6="","",C6)</f>
      </c>
      <c r="E126" s="215"/>
      <c r="F126" s="296"/>
    </row>
    <row r="127" spans="1:6" x14ac:dyDescent="0.25">
      <c r="A127" s="215">
        <f t="shared" si="1"/>
      </c>
      <c r="B127" s="228"/>
      <c r="C127" s="215"/>
      <c r="D127" s="391" t="str">
        <f>IF(C6="","",C6)</f>
      </c>
      <c r="E127" s="215"/>
      <c r="F127" s="296"/>
    </row>
    <row r="128" spans="1:6" x14ac:dyDescent="0.25">
      <c r="A128" s="215">
        <f t="shared" si="1"/>
      </c>
      <c r="B128" s="228"/>
      <c r="C128" s="215"/>
      <c r="D128" s="391"/>
      <c r="E128" s="215"/>
      <c r="F128" s="296"/>
    </row>
    <row r="129" spans="1:6" ht="22.5" x14ac:dyDescent="0.25">
      <c r="A129" s="215">
        <f t="shared" si="1"/>
      </c>
      <c r="B129" s="228"/>
      <c r="C129" s="215"/>
      <c r="D129" s="391" t="str">
        <f>IF(C6="","",C6)</f>
      </c>
      <c r="E129" s="215"/>
      <c r="F129" s="296"/>
    </row>
    <row r="130" spans="1:6" x14ac:dyDescent="0.25">
      <c r="A130" s="215">
        <f t="shared" si="1"/>
      </c>
      <c r="B130" s="228"/>
      <c r="C130" s="215"/>
      <c r="D130" s="391" t="str">
        <f>IF(C6="","",C6)</f>
      </c>
      <c r="E130" s="215"/>
      <c r="F130" s="296"/>
    </row>
    <row r="131" spans="1:6" x14ac:dyDescent="0.25">
      <c r="A131" s="215">
        <f t="shared" si="1"/>
      </c>
      <c r="B131" s="228"/>
      <c r="C131" s="215"/>
      <c r="D131" s="391"/>
      <c r="E131" s="215"/>
      <c r="F131" s="296"/>
    </row>
    <row r="132" spans="1:6" ht="22.5" x14ac:dyDescent="0.25">
      <c r="A132" s="215">
        <f t="shared" si="1"/>
      </c>
      <c r="B132" s="230" t="str">
        <f>IF(AND('ВЛЗ-3'!A13="",'ВЛЗ-3'!A14=""),"",CONCATENATE(IF('ВЛЗ-3'!A13="","",'ВЛЗ-3'!A13),IF('ВЛЗ-3'!A14="","",'ВЛЗ-3'!A14)))</f>
      </c>
      <c r="C132" s="215"/>
      <c r="D132" s="391" t="str">
        <f>IF(C6="","",C6)</f>
      </c>
      <c r="E132" s="215"/>
      <c r="F132" s="296"/>
    </row>
    <row r="133" spans="1:6" x14ac:dyDescent="0.25">
      <c r="A133" s="215">
        <f t="shared" si="1"/>
      </c>
      <c r="B133" s="230" t="str">
        <f>IF(AND('ВЛЗ-6'!A13="",'ВЛЗ-6'!A14=""),"",CONCATENATE(IF('ВЛЗ-6'!A13="","",'ВЛЗ-6'!A13),IF('ВЛЗ-6'!A14="","",'ВЛЗ-6'!A14)))</f>
      </c>
      <c r="C133" s="215"/>
      <c r="D133" s="391" t="str">
        <f>IF(C6="","",C6)</f>
      </c>
      <c r="E133" s="215"/>
      <c r="F133" s="296"/>
    </row>
    <row r="134" spans="1:6" ht="22.5" x14ac:dyDescent="0.25">
      <c r="A134" s="215">
        <f t="shared" si="1"/>
      </c>
      <c r="B134" s="230" t="str">
        <f>IF(AND('ВЛЗ-8'!A13="",'ВЛЗ-8'!A14=""),"",CONCATENATE(IF('ВЛЗ-8'!A13="","",'ВЛЗ-8'!A13),IF('ВЛЗ-8'!A14="","",'ВЛЗ-8'!A14)))</f>
      </c>
      <c r="C134" s="215"/>
      <c r="D134" s="391" t="str">
        <f>IF(C6="","",C6)</f>
      </c>
      <c r="E134" s="215"/>
      <c r="F134" s="296"/>
    </row>
    <row r="135" spans="1:6" x14ac:dyDescent="0.25">
      <c r="A135" s="215">
        <f t="shared" si="1"/>
      </c>
      <c r="B135" s="230" t="str">
        <f>IF(AND('24 ВЛЗ'!A13="",'24 ВЛЗ'!A14=""),"",CONCATENATE(IF('24 ВЛЗ'!A13="","",'24 ВЛЗ'!A13),IF('24 ВЛЗ'!A14="","",'24 ВЛЗ'!A14)))</f>
      </c>
      <c r="C135" s="215"/>
      <c r="D135" s="391" t="str">
        <f>IF(C6="","",C6)</f>
      </c>
      <c r="E135" s="215"/>
      <c r="F135" s="296"/>
    </row>
    <row r="136" spans="1:6" x14ac:dyDescent="0.25">
      <c r="A136" s="215">
        <f t="shared" si="1"/>
      </c>
      <c r="B136" s="230" t="str">
        <f>IF(AND('26 ВЛЗ'!A13="",'26 ВЛЗ'!A14=""),"",CONCATENATE(IF('26 ВЛЗ'!A13="","",'26 ВЛЗ'!A13),IF('26 ВЛЗ'!A14="","",'26 ВЛЗ'!A14)))</f>
      </c>
      <c r="C136" s="215"/>
      <c r="D136" s="391" t="str">
        <f>IF(C6="","",C6)</f>
      </c>
      <c r="E136" s="215"/>
      <c r="F136" s="296"/>
    </row>
    <row r="137" spans="1:6" x14ac:dyDescent="0.25">
      <c r="A137" s="215">
        <f t="shared" si="1"/>
      </c>
      <c r="B137" s="230"/>
      <c r="C137" s="215"/>
      <c r="D137" s="391" t="str">
        <f>IF(C6="","",C6)</f>
      </c>
      <c r="E137" s="215"/>
      <c r="F137" s="296"/>
    </row>
    <row r="138" spans="1:6" x14ac:dyDescent="0.25">
      <c r="A138" s="215">
        <f t="shared" si="1"/>
      </c>
      <c r="B138" s="230"/>
      <c r="C138" s="215"/>
      <c r="D138" s="391" t="str">
        <f>IF(C6="","",C6)</f>
      </c>
      <c r="E138" s="215"/>
      <c r="F138" s="296"/>
    </row>
    <row r="139" spans="1:6" x14ac:dyDescent="0.25">
      <c r="A139" s="215">
        <f t="shared" si="1"/>
      </c>
      <c r="B139" s="230"/>
      <c r="C139" s="215"/>
      <c r="D139" s="391" t="str">
        <f>IF(C6="","",C6)</f>
      </c>
      <c r="E139" s="215"/>
      <c r="F139" s="296"/>
    </row>
    <row r="140" spans="1:6" x14ac:dyDescent="0.25">
      <c r="A140" s="215">
        <f t="shared" si="1"/>
      </c>
      <c r="B140" s="230"/>
      <c r="C140" s="215"/>
      <c r="D140" s="391" t="str">
        <f>IF(C6="","",C6)</f>
      </c>
      <c r="E140" s="215"/>
      <c r="F140" s="296"/>
    </row>
    <row r="141" spans="1:6" x14ac:dyDescent="0.25">
      <c r="A141" s="215">
        <f t="shared" si="1"/>
      </c>
      <c r="B141" s="230"/>
      <c r="C141" s="215"/>
      <c r="D141" s="391"/>
      <c r="E141" s="215"/>
      <c r="F141" s="296"/>
    </row>
    <row r="142" spans="1:6" x14ac:dyDescent="0.25">
      <c r="A142" s="215">
        <f t="shared" si="1"/>
      </c>
      <c r="B142" s="230"/>
      <c r="C142" s="215"/>
      <c r="D142" s="391" t="str">
        <f>IF(C6="","",C6)</f>
      </c>
      <c r="E142" s="215"/>
      <c r="F142" s="296"/>
    </row>
    <row r="143" spans="1:6" x14ac:dyDescent="0.25">
      <c r="A143" s="215">
        <f t="shared" si="1"/>
      </c>
      <c r="B143" s="230"/>
      <c r="C143" s="215"/>
      <c r="D143" s="391" t="str">
        <f>IF(C6="","",C6)</f>
      </c>
      <c r="E143" s="215"/>
      <c r="F143" s="296"/>
    </row>
    <row r="144" spans="1:6" x14ac:dyDescent="0.25">
      <c r="A144" s="215">
        <f t="shared" si="1"/>
      </c>
      <c r="B144" s="230"/>
      <c r="C144" s="215"/>
      <c r="D144" s="391" t="str">
        <f>IF(C6="","",C6)</f>
      </c>
      <c r="E144" s="215"/>
      <c r="F144" s="296"/>
    </row>
    <row r="145" spans="1:6" x14ac:dyDescent="0.25">
      <c r="A145" s="215">
        <f t="shared" ref="A145:A208" si="2">A144+1</f>
      </c>
      <c r="B145" s="230"/>
      <c r="C145" s="215"/>
      <c r="D145" s="391" t="str">
        <f>IF(C6="","",C6)</f>
      </c>
      <c r="E145" s="215"/>
      <c r="F145" s="296"/>
    </row>
    <row r="146" spans="1:6" x14ac:dyDescent="0.25">
      <c r="A146" s="215">
        <f t="shared" si="2"/>
      </c>
      <c r="B146" s="230"/>
      <c r="C146" s="215"/>
      <c r="D146" s="391"/>
      <c r="E146" s="215"/>
      <c r="F146" s="296"/>
    </row>
    <row r="147" spans="1:6" x14ac:dyDescent="0.25">
      <c r="A147" s="215">
        <f t="shared" si="2"/>
      </c>
      <c r="B147" s="230"/>
      <c r="C147" s="215"/>
      <c r="D147" s="391"/>
      <c r="E147" s="215"/>
      <c r="F147" s="296"/>
    </row>
    <row r="148" spans="1:6" x14ac:dyDescent="0.25">
      <c r="A148" s="215">
        <f t="shared" si="2"/>
      </c>
      <c r="B148" s="230"/>
      <c r="C148" s="215"/>
      <c r="D148" s="391"/>
      <c r="E148" s="215"/>
      <c r="F148" s="296"/>
    </row>
    <row r="149" spans="1:6" ht="22.5" x14ac:dyDescent="0.25">
      <c r="A149" s="215">
        <f t="shared" si="2"/>
      </c>
      <c r="B149" s="230"/>
      <c r="C149" s="215"/>
      <c r="D149" s="391" t="str">
        <f>IF(C6="","",C6)</f>
      </c>
      <c r="E149" s="215"/>
      <c r="F149" s="296"/>
    </row>
    <row r="150" spans="1:6" x14ac:dyDescent="0.25">
      <c r="A150" s="215">
        <f t="shared" si="2"/>
      </c>
      <c r="B150" s="230"/>
      <c r="C150" s="215"/>
      <c r="D150" s="391" t="str">
        <f>IF(C6="","",C6)</f>
      </c>
      <c r="E150" s="215"/>
      <c r="F150" s="296"/>
    </row>
    <row r="151" spans="1:6" x14ac:dyDescent="0.25">
      <c r="A151" s="215">
        <f t="shared" si="2"/>
      </c>
      <c r="B151" s="297"/>
      <c r="C151" s="215"/>
      <c r="D151" s="391" t="str">
        <f>IF(C6="","",C6)</f>
      </c>
      <c r="E151" s="215"/>
      <c r="F151" s="296"/>
    </row>
    <row r="152" spans="1:6" ht="22.5" x14ac:dyDescent="0.25">
      <c r="A152" s="215">
        <f t="shared" si="2"/>
      </c>
      <c r="B152" s="297"/>
      <c r="C152" s="215"/>
      <c r="D152" s="391" t="str">
        <f>IF(C6="","",C6)</f>
      </c>
      <c r="E152" s="215"/>
      <c r="F152" s="296"/>
    </row>
    <row r="153" spans="1:6" ht="22.5" x14ac:dyDescent="0.25">
      <c r="A153" s="215">
        <f t="shared" si="2"/>
      </c>
      <c r="B153" s="297"/>
      <c r="C153" s="215"/>
      <c r="D153" s="391" t="str">
        <f>IF(C6="","",C6)</f>
      </c>
      <c r="E153" s="215"/>
      <c r="F153" s="296"/>
    </row>
    <row r="154" spans="1:6" x14ac:dyDescent="0.25">
      <c r="A154" s="215">
        <f t="shared" si="2"/>
      </c>
      <c r="B154" s="297"/>
      <c r="C154" s="215"/>
      <c r="D154" s="391" t="str">
        <f>IF(C6="","",C6)</f>
      </c>
      <c r="E154" s="215"/>
      <c r="F154" s="296"/>
    </row>
    <row r="155" spans="1:6" x14ac:dyDescent="0.25">
      <c r="A155" s="215">
        <f t="shared" si="2"/>
      </c>
      <c r="B155" s="297"/>
      <c r="C155" s="215"/>
      <c r="D155" s="391" t="str">
        <f>IF(C6="","",C6)</f>
      </c>
      <c r="E155" s="215"/>
      <c r="F155" s="296"/>
    </row>
    <row r="156" spans="1:6" x14ac:dyDescent="0.25">
      <c r="A156" s="215">
        <f t="shared" si="2"/>
      </c>
      <c r="B156" s="297"/>
      <c r="C156" s="215"/>
      <c r="D156" s="391" t="str">
        <f>IF(C6="","",C6)</f>
      </c>
      <c r="E156" s="215"/>
      <c r="F156" s="296"/>
    </row>
    <row r="157" spans="1:6" x14ac:dyDescent="0.25">
      <c r="A157" s="215">
        <f t="shared" si="2"/>
      </c>
      <c r="B157" s="297"/>
      <c r="C157" s="215"/>
      <c r="D157" s="391"/>
      <c r="E157" s="215"/>
      <c r="F157" s="296"/>
    </row>
    <row r="158" spans="1:6" x14ac:dyDescent="0.25">
      <c r="A158" s="215">
        <f t="shared" si="2"/>
      </c>
      <c r="B158" s="297"/>
      <c r="C158" s="215"/>
      <c r="D158" s="391"/>
      <c r="E158" s="215"/>
      <c r="F158" s="296"/>
    </row>
    <row r="159" spans="1:6" x14ac:dyDescent="0.25">
      <c r="A159" s="215">
        <f t="shared" si="2"/>
      </c>
      <c r="B159" s="297"/>
      <c r="C159" s="215"/>
      <c r="D159" s="391"/>
      <c r="E159" s="215"/>
      <c r="F159" s="296"/>
    </row>
    <row r="160" spans="1:6" x14ac:dyDescent="0.25">
      <c r="A160" s="215">
        <f t="shared" si="2"/>
      </c>
      <c r="B160" s="297"/>
      <c r="C160" s="215"/>
      <c r="D160" s="391" t="str">
        <f>IF(C6="","",C6)</f>
      </c>
      <c r="E160" s="215"/>
      <c r="F160" s="296"/>
    </row>
    <row r="161" spans="1:6" x14ac:dyDescent="0.25">
      <c r="A161" s="215">
        <f t="shared" si="2"/>
      </c>
      <c r="B161" s="297"/>
      <c r="C161" s="215"/>
      <c r="D161" s="391" t="str">
        <f>IF(C6="","",C6)</f>
      </c>
      <c r="E161" s="215"/>
      <c r="F161" s="296"/>
    </row>
    <row r="162" spans="1:6" x14ac:dyDescent="0.25">
      <c r="A162" s="215">
        <f t="shared" si="2"/>
      </c>
      <c r="B162" s="297"/>
      <c r="C162" s="215"/>
      <c r="D162" s="391"/>
      <c r="E162" s="215"/>
      <c r="F162" s="296"/>
    </row>
    <row r="163" spans="1:6" x14ac:dyDescent="0.25">
      <c r="A163" s="215">
        <f t="shared" si="2"/>
      </c>
      <c r="B163" s="297"/>
      <c r="C163" s="215"/>
      <c r="D163" s="391" t="str">
        <f>IF(C6="","",C6)</f>
      </c>
      <c r="E163" s="215"/>
      <c r="F163" s="296"/>
    </row>
    <row r="164" spans="1:6" x14ac:dyDescent="0.25">
      <c r="A164" s="215">
        <f t="shared" si="2"/>
      </c>
      <c r="B164" s="297"/>
      <c r="C164" s="215"/>
      <c r="D164" s="391" t="str">
        <f>IF(C6="","",C6)</f>
      </c>
      <c r="E164" s="215"/>
      <c r="F164" s="296"/>
    </row>
    <row r="165" spans="1:6" x14ac:dyDescent="0.25">
      <c r="A165" s="215">
        <f t="shared" si="2"/>
      </c>
      <c r="B165" s="297"/>
      <c r="C165" s="215"/>
      <c r="D165" s="391" t="str">
        <f>IF(C6="","",C6)</f>
      </c>
      <c r="E165" s="215"/>
      <c r="F165" s="296"/>
    </row>
    <row r="166" spans="1:6" x14ac:dyDescent="0.25">
      <c r="A166" s="215">
        <f t="shared" si="2"/>
      </c>
      <c r="B166" s="297"/>
      <c r="C166" s="215"/>
      <c r="D166" s="391" t="str">
        <f>IF(C6="","",C6)</f>
      </c>
      <c r="E166" s="215"/>
      <c r="F166" s="296"/>
    </row>
    <row r="167" spans="1:6" x14ac:dyDescent="0.25">
      <c r="A167" s="215">
        <f t="shared" si="2"/>
      </c>
      <c r="B167" s="297"/>
      <c r="C167" s="215"/>
      <c r="D167" s="391"/>
      <c r="E167" s="215"/>
      <c r="F167" s="296"/>
    </row>
    <row r="168" spans="1:6" x14ac:dyDescent="0.25">
      <c r="A168" s="215">
        <f t="shared" si="2"/>
      </c>
      <c r="B168" s="297"/>
      <c r="C168" s="215"/>
      <c r="D168" s="391"/>
      <c r="E168" s="215"/>
      <c r="F168" s="296"/>
    </row>
    <row r="169" spans="1:6" x14ac:dyDescent="0.25">
      <c r="A169" s="215">
        <f t="shared" si="2"/>
      </c>
      <c r="B169" s="297"/>
      <c r="C169" s="215"/>
      <c r="D169" s="391"/>
      <c r="E169" s="215"/>
      <c r="F169" s="296"/>
    </row>
    <row r="170" spans="1:6" x14ac:dyDescent="0.25">
      <c r="A170" s="215">
        <f t="shared" si="2"/>
      </c>
      <c r="B170" s="297"/>
      <c r="C170" s="215"/>
      <c r="D170" s="391" t="str">
        <f>IF(C6="","",C6)</f>
      </c>
      <c r="E170" s="215"/>
      <c r="F170" s="296"/>
    </row>
    <row r="171" spans="1:6" x14ac:dyDescent="0.25">
      <c r="A171" s="215">
        <f t="shared" si="2"/>
      </c>
      <c r="B171" s="297"/>
      <c r="C171" s="215"/>
      <c r="D171" s="391" t="str">
        <f>IF(C6="","",C6)</f>
      </c>
      <c r="E171" s="215"/>
      <c r="F171" s="296"/>
    </row>
    <row r="172" spans="1:6" x14ac:dyDescent="0.25">
      <c r="A172" s="215">
        <f t="shared" si="2"/>
      </c>
      <c r="B172" s="229"/>
      <c r="C172" s="215"/>
      <c r="D172" s="391"/>
      <c r="E172" s="215"/>
      <c r="F172" s="296"/>
    </row>
    <row r="173" spans="1:6" ht="22.5" x14ac:dyDescent="0.25">
      <c r="A173" s="215">
        <f t="shared" si="2"/>
      </c>
      <c r="B173" s="229"/>
      <c r="C173" s="215"/>
      <c r="D173" s="391"/>
      <c r="E173" s="215"/>
      <c r="F173" s="296"/>
    </row>
    <row r="174" spans="1:6" ht="33.75" x14ac:dyDescent="0.25">
      <c r="A174" s="215">
        <f t="shared" si="2"/>
      </c>
      <c r="B174" s="229"/>
      <c r="C174" s="215"/>
      <c r="D174" s="391"/>
      <c r="E174" s="215"/>
      <c r="F174" s="296"/>
    </row>
    <row r="175" spans="1:6" ht="45" x14ac:dyDescent="0.25">
      <c r="A175" s="215">
        <f t="shared" si="2"/>
      </c>
      <c r="B175" s="229"/>
      <c r="C175" s="215"/>
      <c r="D175" s="391"/>
      <c r="E175" s="215"/>
      <c r="F175" s="296"/>
    </row>
    <row r="176" spans="1:6" ht="22.5" x14ac:dyDescent="0.25">
      <c r="A176" s="215">
        <f t="shared" si="2"/>
      </c>
      <c r="B176" s="229"/>
      <c r="C176" s="215"/>
      <c r="D176" s="391"/>
      <c r="E176" s="215"/>
      <c r="F176" s="296"/>
    </row>
    <row r="177" spans="1:6" x14ac:dyDescent="0.25">
      <c r="A177" s="215">
        <f t="shared" si="2"/>
      </c>
      <c r="B177" s="229"/>
      <c r="C177" s="215"/>
      <c r="D177" s="391"/>
      <c r="E177" s="215"/>
      <c r="F177" s="296"/>
    </row>
    <row r="178" spans="1:6" x14ac:dyDescent="0.25">
      <c r="A178" s="215">
        <f t="shared" si="2"/>
      </c>
      <c r="B178" s="229"/>
      <c r="C178" s="215"/>
      <c r="D178" s="391"/>
      <c r="E178" s="215"/>
      <c r="F178" s="296"/>
    </row>
    <row r="179" spans="1:6" x14ac:dyDescent="0.25">
      <c r="A179" s="215">
        <f t="shared" si="2"/>
      </c>
      <c r="B179" s="229"/>
      <c r="C179" s="215"/>
      <c r="D179" s="391"/>
      <c r="E179" s="215"/>
      <c r="F179" s="296"/>
    </row>
    <row r="180" spans="1:6" x14ac:dyDescent="0.25">
      <c r="A180" s="215">
        <f t="shared" si="2"/>
      </c>
      <c r="B180" s="229"/>
      <c r="C180" s="215"/>
      <c r="D180" s="391"/>
      <c r="E180" s="215"/>
      <c r="F180" s="296"/>
    </row>
    <row r="181" spans="1:6" x14ac:dyDescent="0.25">
      <c r="A181" s="215">
        <f t="shared" si="2"/>
      </c>
      <c r="B181" s="229"/>
      <c r="C181" s="215"/>
      <c r="D181" s="391"/>
      <c r="E181" s="215"/>
      <c r="F181" s="296"/>
    </row>
    <row r="182" spans="1:6" x14ac:dyDescent="0.25">
      <c r="A182" s="215">
        <f t="shared" si="2"/>
      </c>
      <c r="B182" s="229"/>
      <c r="C182" s="215"/>
      <c r="D182" s="391"/>
      <c r="E182" s="215"/>
      <c r="F182" s="296"/>
    </row>
    <row r="183" spans="1:6" x14ac:dyDescent="0.25">
      <c r="A183" s="215">
        <f t="shared" si="2"/>
      </c>
      <c r="B183" s="229"/>
      <c r="C183" s="215"/>
      <c r="D183" s="391"/>
      <c r="E183" s="215"/>
      <c r="F183" s="296"/>
    </row>
    <row r="184" spans="1:6" x14ac:dyDescent="0.25">
      <c r="A184" s="215">
        <f t="shared" si="2"/>
      </c>
      <c r="B184" s="229"/>
      <c r="C184" s="215"/>
      <c r="D184" s="391"/>
      <c r="E184" s="215"/>
      <c r="F184" s="296"/>
    </row>
    <row r="185" spans="1:6" x14ac:dyDescent="0.25">
      <c r="A185" s="215">
        <f t="shared" si="2"/>
      </c>
      <c r="B185" s="229"/>
      <c r="C185" s="215"/>
      <c r="D185" s="391"/>
      <c r="E185" s="215"/>
      <c r="F185" s="296"/>
    </row>
    <row r="186" spans="1:6" x14ac:dyDescent="0.25">
      <c r="A186" s="215">
        <f t="shared" si="2"/>
      </c>
      <c r="B186" s="229"/>
      <c r="C186" s="215"/>
      <c r="D186" s="391"/>
      <c r="E186" s="215"/>
      <c r="F186" s="296"/>
    </row>
    <row r="187" spans="1:6" x14ac:dyDescent="0.25">
      <c r="A187" s="215">
        <f t="shared" si="2"/>
      </c>
      <c r="B187" s="229"/>
      <c r="C187" s="215"/>
      <c r="D187" s="391"/>
      <c r="E187" s="215"/>
      <c r="F187" s="296"/>
    </row>
    <row r="188" spans="1:6" ht="36.75" customHeight="1" x14ac:dyDescent="0.25">
      <c r="A188" s="215">
        <f t="shared" si="2"/>
      </c>
      <c r="B188" s="227" t="str">
        <f>IF(AND('ПНР ТП'!A13="",'ПНР ТП'!A14=""),"",CONCATENATE(IF('ПНР ТП'!A13="","",'ПНР ТП'!A13),IF('ПНР ТП'!A14="","",'ПНР ТП'!A14)))</f>
      </c>
      <c r="C188" s="215"/>
      <c r="D188" s="391" t="str">
        <f>IF(C6="","",C6)</f>
      </c>
      <c r="E188" s="215"/>
      <c r="F188" s="296"/>
    </row>
    <row r="189" spans="1:6" x14ac:dyDescent="0.25">
      <c r="A189" s="215">
        <f t="shared" si="2"/>
      </c>
      <c r="B189" s="227"/>
      <c r="C189" s="215"/>
      <c r="D189" s="391"/>
      <c r="E189" s="215"/>
      <c r="F189" s="296"/>
    </row>
    <row r="190" spans="1:6" x14ac:dyDescent="0.25">
      <c r="A190" s="215">
        <f t="shared" si="2"/>
      </c>
      <c r="B190" s="226"/>
      <c r="C190" s="215"/>
      <c r="D190" s="391" t="str">
        <f>IF(C6="","",C6)</f>
      </c>
      <c r="E190" s="215"/>
      <c r="F190" s="296"/>
    </row>
    <row r="191" spans="1:6" x14ac:dyDescent="0.25">
      <c r="A191" s="215">
        <f t="shared" si="2"/>
      </c>
      <c r="B191" s="226"/>
      <c r="C191" s="215"/>
      <c r="D191" s="391" t="str">
        <f>IF(C6="","",C6)</f>
      </c>
      <c r="E191" s="215"/>
      <c r="F191" s="296"/>
    </row>
    <row r="192" spans="1:6" x14ac:dyDescent="0.25">
      <c r="A192" s="215">
        <f t="shared" si="2"/>
      </c>
      <c r="B192" s="226"/>
      <c r="C192" s="215"/>
      <c r="D192" s="391"/>
      <c r="E192" s="215"/>
      <c r="F192" s="296"/>
    </row>
    <row r="193" spans="1:6" x14ac:dyDescent="0.25">
      <c r="A193" s="215">
        <f t="shared" si="2"/>
      </c>
      <c r="B193" s="226"/>
      <c r="C193" s="215"/>
      <c r="D193" s="391" t="str">
        <f>IF(C6="","",C6)</f>
      </c>
      <c r="E193" s="215"/>
      <c r="F193" s="296"/>
    </row>
    <row r="194" spans="1:6" x14ac:dyDescent="0.25">
      <c r="A194" s="215">
        <f t="shared" si="2"/>
      </c>
      <c r="B194" s="226"/>
      <c r="C194" s="215"/>
      <c r="D194" s="391"/>
      <c r="E194" s="215"/>
      <c r="F194" s="296"/>
    </row>
    <row r="195" spans="1:6" x14ac:dyDescent="0.25">
      <c r="A195" s="215">
        <f t="shared" si="2"/>
      </c>
      <c r="B195" s="226"/>
      <c r="C195" s="215"/>
      <c r="D195" s="391" t="str">
        <f>IF(C6="","",C6)</f>
      </c>
      <c r="E195" s="215"/>
      <c r="F195" s="296"/>
    </row>
    <row r="196" spans="1:6" x14ac:dyDescent="0.25">
      <c r="A196" s="215">
        <f t="shared" si="2"/>
      </c>
      <c r="B196" s="226"/>
      <c r="C196" s="215"/>
      <c r="D196" s="391"/>
      <c r="E196" s="215"/>
      <c r="F196" s="296"/>
    </row>
    <row r="197" spans="1:6" x14ac:dyDescent="0.25">
      <c r="A197" s="215">
        <f t="shared" si="2"/>
      </c>
      <c r="B197" s="226"/>
      <c r="C197" s="215"/>
      <c r="D197" s="391" t="str">
        <f>IF(C6="","",C6)</f>
      </c>
      <c r="E197" s="215"/>
      <c r="F197" s="296"/>
    </row>
    <row r="198" spans="1:6" x14ac:dyDescent="0.25">
      <c r="A198" s="215">
        <f t="shared" si="2"/>
      </c>
      <c r="B198" s="226"/>
      <c r="C198" s="215"/>
      <c r="D198" s="391"/>
      <c r="E198" s="215"/>
      <c r="F198" s="296"/>
    </row>
    <row r="199" spans="1:6" x14ac:dyDescent="0.25">
      <c r="A199" s="215">
        <f t="shared" si="2"/>
      </c>
      <c r="B199" s="226"/>
      <c r="C199" s="215"/>
      <c r="D199" s="391" t="str">
        <f>IF(C6="","",C6)</f>
      </c>
      <c r="E199" s="215"/>
      <c r="F199" s="296"/>
    </row>
    <row r="200" spans="1:6" x14ac:dyDescent="0.25">
      <c r="A200" s="215">
        <f t="shared" si="2"/>
      </c>
      <c r="B200" s="226"/>
      <c r="C200" s="215"/>
      <c r="D200" s="391"/>
      <c r="E200" s="215"/>
      <c r="F200" s="296"/>
    </row>
    <row r="201" spans="1:6" x14ac:dyDescent="0.25">
      <c r="A201" s="215">
        <f t="shared" si="2"/>
      </c>
      <c r="B201" s="226"/>
      <c r="C201" s="215"/>
      <c r="D201" s="391" t="str">
        <f>IF(C6="","",C6)</f>
      </c>
      <c r="E201" s="215"/>
      <c r="F201" s="296"/>
    </row>
    <row r="202" spans="1:6" x14ac:dyDescent="0.25">
      <c r="A202" s="215">
        <f t="shared" si="2"/>
      </c>
      <c r="B202" s="226"/>
      <c r="C202" s="215"/>
      <c r="D202" s="391"/>
      <c r="E202" s="215"/>
      <c r="F202" s="296"/>
    </row>
    <row r="203" spans="1:6" x14ac:dyDescent="0.25">
      <c r="A203" s="215">
        <f t="shared" si="2"/>
      </c>
      <c r="B203" s="226"/>
      <c r="C203" s="215"/>
      <c r="D203" s="391" t="str">
        <f>IF(C6="","",C6)</f>
      </c>
      <c r="E203" s="215"/>
      <c r="F203" s="296"/>
    </row>
    <row r="204" spans="1:6" x14ac:dyDescent="0.25">
      <c r="A204" s="215">
        <f t="shared" si="2"/>
      </c>
      <c r="B204" s="226"/>
      <c r="C204" s="215"/>
      <c r="D204" s="391"/>
      <c r="E204" s="215"/>
      <c r="F204" s="296"/>
    </row>
    <row r="205" spans="1:6" x14ac:dyDescent="0.25">
      <c r="A205" s="215">
        <f t="shared" si="2"/>
      </c>
      <c r="B205" s="226"/>
      <c r="C205" s="215"/>
      <c r="D205" s="391" t="str">
        <f>IF(C6="","",C6)</f>
      </c>
      <c r="E205" s="215"/>
      <c r="F205" s="296"/>
    </row>
    <row r="206" spans="1:6" x14ac:dyDescent="0.25">
      <c r="A206" s="215">
        <f t="shared" si="2"/>
      </c>
      <c r="B206" s="226"/>
      <c r="C206" s="215"/>
      <c r="D206" s="391"/>
      <c r="E206" s="215"/>
      <c r="F206" s="296"/>
    </row>
    <row r="207" spans="1:6" x14ac:dyDescent="0.25">
      <c r="A207" s="215">
        <f t="shared" si="2"/>
      </c>
      <c r="B207" s="226"/>
      <c r="C207" s="215"/>
      <c r="D207" s="391" t="str">
        <f>IF(C6="","",C6)</f>
      </c>
      <c r="E207" s="215"/>
      <c r="F207" s="296"/>
    </row>
    <row r="208" spans="1:6" x14ac:dyDescent="0.25">
      <c r="A208" s="215">
        <f t="shared" si="2"/>
      </c>
      <c r="B208" s="226"/>
      <c r="C208" s="215"/>
      <c r="D208" s="391"/>
      <c r="E208" s="215"/>
      <c r="F208" s="296"/>
    </row>
    <row r="209" spans="1:6" x14ac:dyDescent="0.25">
      <c r="A209" s="215">
        <f t="shared" ref="A209:A234" si="3">A208+1</f>
      </c>
      <c r="B209" s="226"/>
      <c r="C209" s="215"/>
      <c r="D209" s="391" t="str">
        <f>IF(C6="","",C6)</f>
      </c>
      <c r="E209" s="215"/>
      <c r="F209" s="296"/>
    </row>
    <row r="210" spans="1:6" x14ac:dyDescent="0.25">
      <c r="A210" s="215">
        <f t="shared" si="3"/>
      </c>
      <c r="B210" s="226"/>
      <c r="C210" s="215"/>
      <c r="D210" s="391"/>
      <c r="E210" s="215"/>
      <c r="F210" s="296"/>
    </row>
    <row r="211" spans="1:6" x14ac:dyDescent="0.25">
      <c r="A211" s="215">
        <f t="shared" si="3"/>
      </c>
      <c r="B211" s="226"/>
      <c r="C211" s="215"/>
      <c r="D211" s="391" t="str">
        <f>IF(C6="","",C6)</f>
      </c>
      <c r="E211" s="215"/>
      <c r="F211" s="296"/>
    </row>
    <row r="212" spans="1:6" x14ac:dyDescent="0.25">
      <c r="A212" s="215">
        <f t="shared" si="3"/>
      </c>
      <c r="B212" s="226"/>
      <c r="C212" s="215"/>
      <c r="D212" s="391"/>
      <c r="E212" s="215"/>
      <c r="F212" s="296"/>
    </row>
    <row r="213" spans="1:6" x14ac:dyDescent="0.25">
      <c r="A213" s="215">
        <f t="shared" si="3"/>
      </c>
      <c r="B213" s="226"/>
      <c r="C213" s="215"/>
      <c r="D213" s="391" t="str">
        <f>IF(C6="","",C6)</f>
      </c>
      <c r="E213" s="215"/>
      <c r="F213" s="296"/>
    </row>
    <row r="214" spans="1:6" x14ac:dyDescent="0.25">
      <c r="A214" s="215">
        <f t="shared" si="3"/>
      </c>
      <c r="B214" s="226"/>
      <c r="C214" s="215"/>
      <c r="D214" s="391"/>
      <c r="E214" s="215"/>
      <c r="F214" s="296"/>
    </row>
    <row r="215" spans="1:6" x14ac:dyDescent="0.25">
      <c r="A215" s="215">
        <f t="shared" si="3"/>
      </c>
      <c r="B215" s="226"/>
      <c r="C215" s="215"/>
      <c r="D215" s="391" t="str">
        <f>IF(C6="","",C6)</f>
      </c>
      <c r="E215" s="215"/>
      <c r="F215" s="296"/>
    </row>
    <row r="216" spans="1:6" x14ac:dyDescent="0.25">
      <c r="A216" s="215">
        <f t="shared" si="3"/>
      </c>
      <c r="B216" s="226"/>
      <c r="C216" s="215"/>
      <c r="D216" s="391"/>
      <c r="E216" s="215"/>
      <c r="F216" s="296"/>
    </row>
    <row r="217" spans="1:6" x14ac:dyDescent="0.25">
      <c r="A217" s="215">
        <f t="shared" si="3"/>
      </c>
      <c r="B217" s="226"/>
      <c r="C217" s="215"/>
      <c r="D217" s="391" t="str">
        <f>IF(C6="","",C6)</f>
      </c>
      <c r="E217" s="215"/>
      <c r="F217" s="296"/>
    </row>
    <row r="218" spans="1:6" x14ac:dyDescent="0.25">
      <c r="A218" s="215">
        <f t="shared" si="3"/>
      </c>
      <c r="B218" s="226"/>
      <c r="C218" s="215"/>
      <c r="D218" s="391"/>
      <c r="E218" s="215"/>
      <c r="F218" s="296"/>
    </row>
    <row r="219" spans="1:6" x14ac:dyDescent="0.25">
      <c r="A219" s="215">
        <f t="shared" si="3"/>
      </c>
      <c r="B219" s="226"/>
      <c r="C219" s="215"/>
      <c r="D219" s="391" t="str">
        <f>IF(C6="","",C6)</f>
      </c>
      <c r="E219" s="215"/>
      <c r="F219" s="296"/>
    </row>
    <row r="220" spans="1:6" x14ac:dyDescent="0.25">
      <c r="A220" s="215">
        <f t="shared" si="3"/>
      </c>
      <c r="B220" s="226"/>
      <c r="C220" s="215"/>
      <c r="D220" s="391"/>
      <c r="E220" s="215"/>
      <c r="F220" s="296"/>
    </row>
    <row r="221" spans="1:6" x14ac:dyDescent="0.25">
      <c r="A221" s="215">
        <f t="shared" si="3"/>
      </c>
      <c r="B221" s="226"/>
      <c r="C221" s="215"/>
      <c r="D221" s="391" t="str">
        <f>IF(C6="","",C6)</f>
      </c>
      <c r="E221" s="215"/>
      <c r="F221" s="296"/>
    </row>
    <row r="222" spans="1:6" x14ac:dyDescent="0.25">
      <c r="A222" s="215">
        <f t="shared" si="3"/>
      </c>
      <c r="B222" s="226"/>
      <c r="C222" s="215"/>
      <c r="D222" s="391"/>
      <c r="E222" s="215"/>
      <c r="F222" s="296"/>
    </row>
    <row r="223" spans="1:6" x14ac:dyDescent="0.25">
      <c r="A223" s="215">
        <f t="shared" si="3"/>
      </c>
      <c r="B223" s="226"/>
      <c r="C223" s="215"/>
      <c r="D223" s="391" t="str">
        <f>IF(C6="","",C6)</f>
      </c>
      <c r="E223" s="215"/>
      <c r="F223" s="296"/>
    </row>
    <row r="224" spans="1:6" x14ac:dyDescent="0.25">
      <c r="A224" s="215">
        <f t="shared" si="3"/>
      </c>
      <c r="B224" s="226"/>
      <c r="C224" s="215"/>
      <c r="D224" s="391"/>
      <c r="E224" s="215"/>
      <c r="F224" s="296"/>
    </row>
    <row r="225" spans="1:6" x14ac:dyDescent="0.25">
      <c r="A225" s="215">
        <f t="shared" si="3"/>
      </c>
      <c r="B225" s="226"/>
      <c r="C225" s="215"/>
      <c r="D225" s="391" t="str">
        <f>IF(C6="","",C6)</f>
      </c>
      <c r="E225" s="215"/>
      <c r="F225" s="296"/>
    </row>
    <row r="226" spans="1:6" x14ac:dyDescent="0.25">
      <c r="A226" s="215">
        <f t="shared" si="3"/>
      </c>
      <c r="B226" s="226"/>
      <c r="C226" s="215"/>
      <c r="D226" s="391"/>
      <c r="E226" s="215"/>
      <c r="F226" s="296"/>
    </row>
    <row r="227" spans="1:6" x14ac:dyDescent="0.25">
      <c r="A227" s="215">
        <f t="shared" si="3"/>
      </c>
      <c r="B227" s="226"/>
      <c r="C227" s="215"/>
      <c r="D227" s="391" t="str">
        <f>IF(C6="","",C6)</f>
      </c>
      <c r="E227" s="215"/>
      <c r="F227" s="296"/>
    </row>
    <row r="228" spans="1:6" x14ac:dyDescent="0.25">
      <c r="A228" s="215">
        <f t="shared" si="3"/>
      </c>
      <c r="B228" s="226"/>
      <c r="C228" s="215"/>
      <c r="D228" s="391"/>
      <c r="E228" s="215"/>
      <c r="F228" s="296"/>
    </row>
    <row r="229" spans="1:6" x14ac:dyDescent="0.25">
      <c r="A229" s="215">
        <f t="shared" si="3"/>
      </c>
      <c r="B229" s="226"/>
      <c r="C229" s="215"/>
      <c r="D229" s="391" t="str">
        <f>IF(C6="","",C6)</f>
      </c>
      <c r="E229" s="215"/>
      <c r="F229" s="296"/>
    </row>
    <row r="230" spans="1:6" x14ac:dyDescent="0.25">
      <c r="A230" s="215">
        <f t="shared" si="3"/>
      </c>
      <c r="B230" s="226"/>
      <c r="C230" s="215"/>
      <c r="D230" s="391"/>
      <c r="E230" s="215"/>
      <c r="F230" s="296"/>
    </row>
    <row r="231" spans="1:6" x14ac:dyDescent="0.25">
      <c r="A231" s="215">
        <f t="shared" si="3"/>
      </c>
      <c r="B231" s="226"/>
      <c r="C231" s="215"/>
      <c r="D231" s="391" t="str">
        <f>IF(C6="","",C6)</f>
      </c>
      <c r="E231" s="215"/>
      <c r="F231" s="296"/>
    </row>
    <row r="232" spans="1:6" x14ac:dyDescent="0.25">
      <c r="A232" s="215">
        <f t="shared" si="3"/>
      </c>
      <c r="B232" s="298"/>
      <c r="C232" s="215"/>
      <c r="D232" s="391" t="str">
        <f>IF(C6="","",C6)</f>
      </c>
      <c r="E232" s="215"/>
      <c r="F232" s="296"/>
    </row>
    <row r="233" spans="1:6" x14ac:dyDescent="0.25">
      <c r="A233" s="215">
        <f t="shared" si="3"/>
      </c>
      <c r="B233" s="298"/>
      <c r="C233" s="215"/>
      <c r="D233" s="391" t="str">
        <f>IF(C6="","",C6)</f>
      </c>
      <c r="E233" s="215"/>
      <c r="F233" s="296"/>
    </row>
    <row r="234" spans="1:6" x14ac:dyDescent="0.25">
      <c r="A234" s="215">
        <f t="shared" si="3"/>
      </c>
      <c r="B234" s="298"/>
      <c r="C234" s="215"/>
      <c r="D234" s="391" t="str">
        <f>IF(C6="","",C6)</f>
      </c>
      <c r="E234" s="215"/>
      <c r="F234" s="296"/>
    </row>
    <row r="236" spans="1:6" ht="15.95" customHeight="1" x14ac:dyDescent="0.25">
      <c r="A236" s="573"/>
      <c r="B236" s="572"/>
      <c r="C236" s="572"/>
      <c r="D236" s="572"/>
      <c r="E236" s="572"/>
      <c r="F236" s="572"/>
    </row>
    <row r="237" spans="1:6" ht="19.5" customHeight="1" x14ac:dyDescent="0.25">
      <c r="A237" s="573"/>
      <c r="B237" s="573"/>
      <c r="C237" s="573"/>
      <c r="D237" s="573"/>
      <c r="E237" s="573"/>
      <c r="F237" s="573"/>
    </row>
    <row r="238" spans="1:6" ht="42.6" customHeight="1" x14ac:dyDescent="0.25">
      <c r="A238" s="753" t="str">
        <f>IF('Данные объект'!B3="","",'Данные объект'!B3)</f>
      </c>
      <c r="B238" s="753"/>
      <c r="C238" s="753"/>
      <c r="D238" s="753"/>
      <c r="E238" s="753"/>
      <c r="F238" s="753"/>
    </row>
    <row r="239" spans="1:6" ht="17.25" customHeight="1" x14ac:dyDescent="0.25">
      <c r="A239" s="231"/>
      <c r="B239" s="378">
        <f>IF(F232="","",F232)</f>
      </c>
      <c r="C239" s="409"/>
      <c r="D239" s="409"/>
      <c r="E239" s="409"/>
      <c r="F239" s="409"/>
    </row>
    <row r="240" spans="1:6" ht="12.95" customHeight="1" x14ac:dyDescent="0.25">
      <c r="A240" s="580"/>
      <c r="B240" s="572"/>
      <c r="C240" s="572"/>
      <c r="D240" s="572"/>
      <c r="E240" s="572"/>
      <c r="F240" s="572"/>
    </row>
    <row r="241" spans="1:6" ht="12.95" customHeight="1" x14ac:dyDescent="0.25">
      <c r="A241" s="580"/>
      <c r="B241" s="580"/>
      <c r="C241" s="405"/>
      <c r="D241" s="405"/>
      <c r="E241" s="405"/>
      <c r="F241" s="405"/>
    </row>
    <row r="242" spans="1:6" ht="12.95" customHeight="1" x14ac:dyDescent="0.25">
      <c r="A242" s="404"/>
      <c r="B242" s="404"/>
      <c r="C242" s="405"/>
      <c r="D242" s="405"/>
      <c r="E242" s="405"/>
      <c r="F242" s="405"/>
    </row>
    <row r="243" spans="1:6" ht="23.25" x14ac:dyDescent="0.25">
      <c r="A243" s="406"/>
      <c r="B243" s="232" t="str">
        <f>IF('Данные объект'!C25="","",'Данные объект'!C25)</f>
      </c>
      <c r="C243" s="233"/>
      <c r="D243" s="232"/>
      <c r="E243" s="233"/>
      <c r="F243" s="232"/>
    </row>
    <row r="244" spans="1:6" x14ac:dyDescent="0.25">
      <c r="A244" s="408"/>
      <c r="B244" s="410"/>
      <c r="C244" s="225"/>
      <c r="D244" s="410"/>
      <c r="E244" s="225"/>
      <c r="F244" s="410"/>
    </row>
    <row r="245" spans="1:6" ht="12.95" customHeight="1" x14ac:dyDescent="0.25">
      <c r="A245" s="580"/>
      <c r="B245" s="572"/>
      <c r="C245" s="572"/>
      <c r="D245" s="572"/>
      <c r="E245" s="572"/>
      <c r="F245" s="572"/>
    </row>
    <row r="246" spans="1:6" ht="12.95" customHeight="1" x14ac:dyDescent="0.25">
      <c r="A246" s="580"/>
      <c r="B246" s="580"/>
      <c r="C246" s="405"/>
      <c r="D246" s="405"/>
      <c r="E246" s="405"/>
      <c r="F246" s="405"/>
    </row>
    <row r="247" spans="1:6" ht="12.95" customHeight="1" x14ac:dyDescent="0.25">
      <c r="A247" s="404"/>
      <c r="B247" s="404"/>
      <c r="C247" s="405"/>
      <c r="D247" s="405"/>
      <c r="E247" s="405"/>
      <c r="F247" s="405"/>
    </row>
    <row r="248" spans="1:6" ht="23.25" x14ac:dyDescent="0.25">
      <c r="A248" s="406"/>
      <c r="B248" s="232" t="str">
        <f>IF('Данные объект'!C39="","",'Данные объект'!C39)</f>
      </c>
      <c r="C248" s="233"/>
      <c r="D248" s="232"/>
      <c r="E248" s="233"/>
      <c r="F248" s="232"/>
    </row>
    <row r="249" spans="1:6" x14ac:dyDescent="0.25">
      <c r="A249" s="408"/>
      <c r="B249" s="410"/>
      <c r="C249" s="225"/>
      <c r="D249" s="410"/>
      <c r="E249" s="225"/>
      <c r="F249" s="410"/>
    </row>
  </sheetData>
  <mergeCells count="19">
    <mergeCell ref="A12:F12"/>
    <mergeCell ref="A1:F1"/>
    <mergeCell ref="A2:F2"/>
    <mergeCell ref="A3:F3"/>
    <mergeCell ref="C4:F4"/>
    <mergeCell ref="A5:B5"/>
    <mergeCell ref="C5:F5"/>
    <mergeCell ref="A6:B6"/>
    <mergeCell ref="C6:F6"/>
    <mergeCell ref="A8:F8"/>
    <mergeCell ref="A10:F10"/>
    <mergeCell ref="A11:F11"/>
    <mergeCell ref="A246:B246"/>
    <mergeCell ref="A236:F236"/>
    <mergeCell ref="A237:F237"/>
    <mergeCell ref="A238:F238"/>
    <mergeCell ref="A240:F240"/>
    <mergeCell ref="A241:B241"/>
    <mergeCell ref="A245:F245"/>
  </mergeCells>
  <pageMargins left="0.89" right="0.49" top="0.49" bottom="0.69" header="0.49" footer="0.49"/>
  <pageSetup paperSize="9" scale="9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6B98-804A-4278-A0B1-43F460B45DB6}">
  <sheetPr>
    <tabColor rgb="FFFFFF99"/>
    <pageSetUpPr fitToPage="1"/>
  </sheetPr>
  <dimension ref="A1:K28"/>
  <sheetViews>
    <sheetView view="pageBreakPreview" zoomScaleNormal="100" zoomScaleSheetLayoutView="100" workbookViewId="0">
      <selection activeCell="N22" sqref="N22"/>
    </sheetView>
  </sheetViews>
  <sheetFormatPr defaultColWidth="9.140625" defaultRowHeight="15" x14ac:dyDescent="0.25"/>
  <cols>
    <col min="1" max="1" width="6.42578125" style="185" customWidth="1"/>
    <col min="2" max="2" width="11.85546875" style="185" customWidth="1"/>
    <col min="3" max="3" width="8.42578125" style="185" customWidth="1"/>
    <col min="4" max="8" width="9.140625" style="185"/>
    <col min="9" max="9" width="18.42578125" style="185" customWidth="1"/>
    <col min="10" max="10" width="9.140625" style="185" customWidth="1"/>
    <col min="11" max="16384" width="9.140625" style="185"/>
  </cols>
  <sheetData>
    <row r="1" spans="1:11" ht="15.95" customHeight="1" x14ac:dyDescent="0.25">
      <c r="A1" s="654" t="s">
        <v>1234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11" ht="15.95" hidden="1" customHeight="1" x14ac:dyDescent="0.25">
      <c r="A2" s="734" t="s">
        <v>1102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1" ht="15.95" hidden="1" customHeight="1" x14ac:dyDescent="0.25">
      <c r="A3" s="734" t="s">
        <v>1113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11" ht="30" customHeight="1" x14ac:dyDescent="0.25">
      <c r="A4" s="770" t="s">
        <v>1282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</row>
    <row r="5" spans="1:11" ht="26.25" customHeight="1" x14ac:dyDescent="0.25">
      <c r="A5" s="683" t="s">
        <v>1114</v>
      </c>
      <c r="B5" s="618"/>
      <c r="C5" s="618"/>
      <c r="D5" s="618"/>
      <c r="E5" s="618"/>
      <c r="F5" s="618"/>
      <c r="G5" s="618"/>
      <c r="H5" s="618"/>
      <c r="I5" s="618"/>
      <c r="J5" s="618"/>
      <c r="K5" s="618"/>
    </row>
    <row r="6" spans="1:11" ht="17.100000000000001" customHeight="1" x14ac:dyDescent="0.25">
      <c r="A6" s="764" t="str">
        <f>IF('Данные объект'!B2="","",'Данные объект'!B2)</f>
      </c>
      <c r="B6" s="618"/>
      <c r="C6" s="618"/>
      <c r="D6" s="618"/>
      <c r="E6" s="618"/>
      <c r="F6" s="618"/>
      <c r="G6" s="618"/>
      <c r="H6" s="618"/>
      <c r="I6" s="618"/>
      <c r="J6" s="618"/>
      <c r="K6" s="618"/>
    </row>
    <row r="7" spans="1:11" ht="39" customHeight="1" x14ac:dyDescent="0.25">
      <c r="A7" s="574" t="str">
        <f>IF('Данные объект'!B3="","",'Данные объект'!B3)</f>
      </c>
      <c r="B7" s="623"/>
      <c r="C7" s="623"/>
      <c r="D7" s="623"/>
      <c r="E7" s="623"/>
      <c r="F7" s="623"/>
      <c r="G7" s="623"/>
      <c r="H7" s="623"/>
      <c r="I7" s="623"/>
      <c r="J7" s="623"/>
      <c r="K7" s="623"/>
    </row>
    <row r="8" spans="1:11" ht="12" customHeight="1" x14ac:dyDescent="0.25">
      <c r="A8" s="762" t="s">
        <v>1115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</row>
    <row r="9" spans="1:11" ht="17.100000000000001" customHeight="1" x14ac:dyDescent="0.25">
      <c r="A9" s="217" t="s">
        <v>1117</v>
      </c>
      <c r="C9" s="568" t="str">
        <f>IF('Данные объект'!B19="","",'Данные объект'!B19)</f>
      </c>
      <c r="D9" s="568"/>
      <c r="E9" s="568"/>
      <c r="F9" s="568"/>
      <c r="G9" s="568"/>
      <c r="H9" s="568"/>
      <c r="I9" s="568"/>
      <c r="J9" s="568"/>
      <c r="K9" s="568"/>
    </row>
    <row r="10" spans="1:11" ht="28.5" customHeight="1" x14ac:dyDescent="0.25">
      <c r="A10" s="376" t="s">
        <v>1381</v>
      </c>
      <c r="B10" s="769" t="str">
        <f>IF('Данные объект'!C25="","",'Данные объект'!C25)</f>
      </c>
      <c r="C10" s="769"/>
      <c r="D10" s="769"/>
      <c r="E10" s="769"/>
      <c r="F10" s="769"/>
      <c r="G10" s="769"/>
      <c r="H10" s="769"/>
      <c r="I10" s="769"/>
      <c r="J10" s="769"/>
      <c r="K10" s="769"/>
    </row>
    <row r="11" spans="1:11" ht="15.75" customHeight="1" x14ac:dyDescent="0.25">
      <c r="A11" s="765" t="s">
        <v>1116</v>
      </c>
      <c r="B11" s="766"/>
      <c r="C11" s="766"/>
      <c r="D11" s="766"/>
      <c r="E11" s="766"/>
      <c r="F11" s="766"/>
      <c r="G11" s="766"/>
      <c r="H11" s="766"/>
      <c r="I11" s="766"/>
      <c r="J11" s="766"/>
      <c r="K11" s="766"/>
    </row>
    <row r="12" spans="1:11" ht="18.75" customHeight="1" x14ac:dyDescent="0.25">
      <c r="A12" s="767" t="s">
        <v>1279</v>
      </c>
      <c r="B12" s="768"/>
      <c r="C12" s="768"/>
      <c r="D12" s="768"/>
      <c r="E12" s="768"/>
      <c r="F12" s="768"/>
      <c r="G12" s="768"/>
      <c r="H12" s="768"/>
      <c r="I12" s="768"/>
      <c r="J12" s="768"/>
      <c r="K12" s="768"/>
    </row>
    <row r="13" spans="1:11" ht="33.950000000000003" customHeight="1" x14ac:dyDescent="0.25">
      <c r="A13" s="377" t="s">
        <v>1381</v>
      </c>
      <c r="B13" s="769" t="str">
        <f>IF('Данные объект'!C45="","",'Данные объект'!C45)</f>
      </c>
      <c r="C13" s="769"/>
      <c r="D13" s="769"/>
      <c r="E13" s="769"/>
      <c r="F13" s="769"/>
      <c r="G13" s="769"/>
      <c r="H13" s="769"/>
      <c r="I13" s="769"/>
      <c r="J13" s="769"/>
      <c r="K13" s="769"/>
    </row>
    <row r="14" spans="1:11" ht="15.75" customHeight="1" x14ac:dyDescent="0.25">
      <c r="A14" s="762" t="s">
        <v>1116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</row>
    <row r="15" spans="1:11" x14ac:dyDescent="0.25">
      <c r="A15" s="571" t="s">
        <v>1277</v>
      </c>
      <c r="B15" s="571"/>
      <c r="C15" s="571"/>
      <c r="D15" s="571"/>
      <c r="E15" s="571"/>
      <c r="F15" s="571"/>
      <c r="G15" s="571"/>
      <c r="H15" s="571"/>
      <c r="I15" s="571"/>
      <c r="J15" s="571"/>
      <c r="K15" s="571"/>
    </row>
    <row r="16" spans="1:11" s="258" customFormat="1" ht="13.5" customHeight="1" x14ac:dyDescent="0.25">
      <c r="A16" s="259">
        <v>1</v>
      </c>
      <c r="B16" s="257" t="s">
        <v>1281</v>
      </c>
      <c r="C16" s="375">
        <f>IF('Пр.15 Реестр'!B249="","",'Пр.15 Реестр'!B249)</f>
      </c>
      <c r="D16" s="257" t="s">
        <v>1278</v>
      </c>
      <c r="E16" s="257" t="s">
        <v>1280</v>
      </c>
      <c r="F16" s="257"/>
      <c r="G16" s="257"/>
      <c r="H16" s="257"/>
      <c r="I16" s="257"/>
      <c r="J16" s="299"/>
      <c r="K16" s="257" t="s">
        <v>1108</v>
      </c>
    </row>
    <row r="17" spans="1:11" ht="32.25" customHeight="1" x14ac:dyDescent="0.25">
      <c r="A17" s="637"/>
      <c r="B17" s="572"/>
      <c r="C17" s="572"/>
      <c r="D17" s="572"/>
      <c r="E17" s="572"/>
      <c r="F17" s="572"/>
      <c r="G17" s="572"/>
      <c r="H17" s="572"/>
      <c r="I17" s="572"/>
      <c r="J17" s="572"/>
      <c r="K17" s="572"/>
    </row>
    <row r="18" spans="1:11" ht="15.95" customHeight="1" x14ac:dyDescent="0.25">
      <c r="A18" s="636" t="s">
        <v>1118</v>
      </c>
      <c r="B18" s="572"/>
      <c r="C18" s="572"/>
      <c r="D18" s="572"/>
      <c r="E18" s="572"/>
      <c r="F18" s="572"/>
      <c r="G18" s="572"/>
      <c r="H18" s="572"/>
      <c r="I18" s="572"/>
      <c r="J18" s="572"/>
      <c r="K18" s="572"/>
    </row>
    <row r="19" spans="1:11" ht="15.95" customHeight="1" x14ac:dyDescent="0.25">
      <c r="A19" s="213" t="s">
        <v>1259</v>
      </c>
      <c r="B19" s="213"/>
      <c r="C19" s="213"/>
      <c r="E19" s="374">
        <f>IF(J16="","",J16)</f>
      </c>
      <c r="F19" s="213" t="s">
        <v>1108</v>
      </c>
      <c r="G19" s="213"/>
      <c r="H19" s="213"/>
      <c r="I19" s="213"/>
      <c r="J19" s="213"/>
      <c r="K19" s="213"/>
    </row>
    <row r="20" spans="1:11" ht="15.95" customHeight="1" x14ac:dyDescent="0.25">
      <c r="A20" s="636" t="s">
        <v>1119</v>
      </c>
      <c r="B20" s="572"/>
      <c r="C20" s="572"/>
      <c r="D20" s="572"/>
      <c r="E20" s="572"/>
      <c r="F20" s="572"/>
      <c r="G20" s="572"/>
      <c r="H20" s="572"/>
      <c r="I20" s="572"/>
      <c r="J20" s="572"/>
      <c r="K20" s="572"/>
    </row>
    <row r="21" spans="1:11" ht="16.899999999999999" customHeight="1" x14ac:dyDescent="0.25">
      <c r="A21" s="760" t="s">
        <v>1359</v>
      </c>
      <c r="B21" s="761"/>
      <c r="C21" s="761"/>
      <c r="D21" s="761"/>
      <c r="E21" s="761"/>
      <c r="F21" s="761"/>
      <c r="G21" s="761"/>
      <c r="H21" s="761"/>
      <c r="I21" s="761"/>
      <c r="J21" s="761"/>
      <c r="K21" s="761"/>
    </row>
    <row r="22" spans="1:11" ht="20.25" customHeight="1" x14ac:dyDescent="0.25">
      <c r="A22" s="762" t="s">
        <v>1120</v>
      </c>
      <c r="B22" s="763"/>
      <c r="C22" s="763"/>
      <c r="D22" s="763"/>
      <c r="E22" s="763"/>
      <c r="F22" s="763"/>
      <c r="G22" s="763"/>
      <c r="H22" s="763"/>
      <c r="I22" s="763"/>
      <c r="J22" s="763"/>
      <c r="K22" s="763"/>
    </row>
    <row r="23" spans="1:11" x14ac:dyDescent="0.25">
      <c r="A23" s="262" t="s">
        <v>1109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</row>
    <row r="24" spans="1:11" ht="36.75" customHeight="1" x14ac:dyDescent="0.25">
      <c r="A24" s="658" t="s">
        <v>1121</v>
      </c>
      <c r="B24" s="658"/>
      <c r="C24" s="759" t="str">
        <f>IF('Данные объект'!C25="","",'Данные объект'!C25)</f>
      </c>
      <c r="D24" s="759"/>
      <c r="E24" s="759"/>
      <c r="F24" s="263"/>
      <c r="G24" s="756"/>
      <c r="H24" s="756"/>
      <c r="I24" s="263"/>
      <c r="J24" s="756"/>
      <c r="K24" s="756"/>
    </row>
    <row r="25" spans="1:11" ht="15" customHeight="1" x14ac:dyDescent="0.25">
      <c r="A25" s="221"/>
      <c r="B25" s="234"/>
      <c r="C25" s="758" t="s">
        <v>531</v>
      </c>
      <c r="D25" s="758"/>
      <c r="E25" s="758"/>
      <c r="F25" s="261"/>
      <c r="G25" s="758" t="s">
        <v>2</v>
      </c>
      <c r="H25" s="758"/>
      <c r="I25" s="261"/>
      <c r="J25" s="757" t="s">
        <v>483</v>
      </c>
      <c r="K25" s="757"/>
    </row>
    <row r="26" spans="1:11" ht="15" customHeight="1" x14ac:dyDescent="0.25">
      <c r="A26" s="262" t="s">
        <v>1110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</row>
    <row r="27" spans="1:11" ht="35.25" customHeight="1" x14ac:dyDescent="0.25">
      <c r="A27" s="658" t="s">
        <v>1122</v>
      </c>
      <c r="B27" s="658"/>
      <c r="C27" s="759" t="str">
        <f>IF('Данные объект'!C45="","",'Данные объект'!C45)</f>
      </c>
      <c r="D27" s="759"/>
      <c r="E27" s="759"/>
      <c r="F27" s="263"/>
      <c r="G27" s="756"/>
      <c r="H27" s="756"/>
      <c r="I27" s="263"/>
      <c r="J27" s="756"/>
      <c r="K27" s="756"/>
    </row>
    <row r="28" spans="1:11" ht="16.5" customHeight="1" x14ac:dyDescent="0.25">
      <c r="A28" s="221"/>
      <c r="B28" s="260"/>
      <c r="C28" s="758" t="s">
        <v>531</v>
      </c>
      <c r="D28" s="758"/>
      <c r="E28" s="758"/>
      <c r="F28" s="261"/>
      <c r="G28" s="758" t="s">
        <v>2</v>
      </c>
      <c r="H28" s="758"/>
      <c r="I28" s="261"/>
      <c r="J28" s="757" t="s">
        <v>483</v>
      </c>
      <c r="K28" s="757"/>
    </row>
  </sheetData>
  <mergeCells count="34">
    <mergeCell ref="A1:K1"/>
    <mergeCell ref="A2:K2"/>
    <mergeCell ref="A3:K3"/>
    <mergeCell ref="A4:K4"/>
    <mergeCell ref="A5:K5"/>
    <mergeCell ref="A21:K21"/>
    <mergeCell ref="A22:K22"/>
    <mergeCell ref="A6:K6"/>
    <mergeCell ref="A7:K7"/>
    <mergeCell ref="A8:K8"/>
    <mergeCell ref="A11:K11"/>
    <mergeCell ref="C9:K9"/>
    <mergeCell ref="A17:K17"/>
    <mergeCell ref="A12:K12"/>
    <mergeCell ref="A14:K14"/>
    <mergeCell ref="A15:K15"/>
    <mergeCell ref="A18:K18"/>
    <mergeCell ref="B10:K10"/>
    <mergeCell ref="B13:K13"/>
    <mergeCell ref="A20:K20"/>
    <mergeCell ref="J28:K28"/>
    <mergeCell ref="G28:H28"/>
    <mergeCell ref="C25:E25"/>
    <mergeCell ref="C27:E27"/>
    <mergeCell ref="C28:E28"/>
    <mergeCell ref="A27:B27"/>
    <mergeCell ref="A24:B24"/>
    <mergeCell ref="J24:K24"/>
    <mergeCell ref="J25:K25"/>
    <mergeCell ref="J27:K27"/>
    <mergeCell ref="G24:H24"/>
    <mergeCell ref="G25:H25"/>
    <mergeCell ref="G27:H27"/>
    <mergeCell ref="C24:E24"/>
  </mergeCells>
  <pageMargins left="0.98425196850393704" right="0.59055118110236227" top="0.59055118110236227" bottom="0.59055118110236227" header="0" footer="0"/>
  <pageSetup paperSize="9" scale="7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2F3C-6CEA-47AA-B1CD-F28755F479D8}">
  <sheetPr>
    <tabColor rgb="FFFFFF99"/>
  </sheetPr>
  <dimension ref="A1:F252"/>
  <sheetViews>
    <sheetView showZeros="0" view="pageBreakPreview" topLeftCell="A229" zoomScaleNormal="100" zoomScaleSheetLayoutView="100" workbookViewId="0">
      <selection activeCell="J248" sqref="J248"/>
    </sheetView>
  </sheetViews>
  <sheetFormatPr defaultColWidth="9.140625" defaultRowHeight="15" x14ac:dyDescent="0.25"/>
  <cols>
    <col min="1" max="1" width="9.140625" style="364"/>
    <col min="2" max="2" width="36.28515625" style="364" customWidth="1"/>
    <col min="3" max="3" width="13.28515625" style="364" customWidth="1"/>
    <col min="4" max="4" width="20.42578125" style="367" customWidth="1"/>
    <col min="5" max="16384" width="9.140625" style="364"/>
  </cols>
  <sheetData>
    <row r="1" spans="1:6" ht="15.95" customHeight="1" x14ac:dyDescent="0.25">
      <c r="A1" s="654" t="s">
        <v>1235</v>
      </c>
      <c r="B1" s="655"/>
      <c r="C1" s="655"/>
      <c r="D1" s="655"/>
      <c r="E1" s="655"/>
      <c r="F1" s="655"/>
    </row>
    <row r="2" spans="1:6" ht="15.95" hidden="1" customHeight="1" x14ac:dyDescent="0.25">
      <c r="A2" s="734" t="s">
        <v>1102</v>
      </c>
      <c r="B2" s="618"/>
      <c r="C2" s="618"/>
      <c r="D2" s="618"/>
      <c r="E2" s="618"/>
      <c r="F2" s="618"/>
    </row>
    <row r="3" spans="1:6" ht="15.95" hidden="1" customHeight="1" x14ac:dyDescent="0.25">
      <c r="A3" s="734" t="s">
        <v>1103</v>
      </c>
      <c r="B3" s="618"/>
      <c r="C3" s="618"/>
      <c r="D3" s="618"/>
      <c r="E3" s="618"/>
      <c r="F3" s="618"/>
    </row>
    <row r="4" spans="1:6" x14ac:dyDescent="0.25">
      <c r="C4" s="568" t="str">
        <f>IF('Данные объект'!B2="","",'Данные объект'!B2)</f>
      </c>
      <c r="D4" s="568"/>
      <c r="E4" s="568"/>
      <c r="F4" s="568"/>
    </row>
    <row r="5" spans="1:6" ht="22.5" customHeight="1" x14ac:dyDescent="0.25">
      <c r="A5" s="754"/>
      <c r="B5" s="754"/>
      <c r="C5" s="568" t="str">
        <f>IF('Данные объект'!B33="","",'Данные объект'!B33)</f>
      </c>
      <c r="D5" s="568"/>
      <c r="E5" s="568"/>
      <c r="F5" s="568"/>
    </row>
    <row r="6" spans="1:6" ht="22.5" customHeight="1" x14ac:dyDescent="0.25">
      <c r="A6" s="581"/>
      <c r="B6" s="581"/>
      <c r="C6" s="755" t="str">
        <f>IF('Данные объект'!B19="","",'Данные объект'!B19)</f>
      </c>
      <c r="D6" s="755"/>
      <c r="E6" s="755"/>
      <c r="F6" s="755"/>
    </row>
    <row r="8" spans="1:6" ht="39" customHeight="1" x14ac:dyDescent="0.25">
      <c r="A8" s="574" t="str">
        <f>IF('Данные объект'!B3="","",'Данные объект'!B3)</f>
      </c>
      <c r="B8" s="575"/>
      <c r="C8" s="575"/>
      <c r="D8" s="575"/>
      <c r="E8" s="575"/>
      <c r="F8" s="575"/>
    </row>
    <row r="10" spans="1:6" x14ac:dyDescent="0.25">
      <c r="A10" s="734"/>
      <c r="B10" s="618"/>
      <c r="C10" s="618"/>
      <c r="D10" s="618"/>
      <c r="E10" s="618"/>
      <c r="F10" s="618"/>
    </row>
    <row r="11" spans="1:6" x14ac:dyDescent="0.25">
      <c r="A11" s="734" t="str">
        <f>IF(C4="","",C4)</f>
      </c>
      <c r="B11" s="734"/>
      <c r="C11" s="734"/>
      <c r="D11" s="734"/>
      <c r="E11" s="734"/>
      <c r="F11" s="734"/>
    </row>
    <row r="12" spans="1:6" ht="13.9" customHeight="1" x14ac:dyDescent="0.25">
      <c r="A12" s="734"/>
      <c r="B12" s="618"/>
      <c r="C12" s="618"/>
      <c r="D12" s="618"/>
      <c r="E12" s="618"/>
      <c r="F12" s="618"/>
    </row>
    <row r="13" spans="1:6" ht="33.75" x14ac:dyDescent="0.25">
      <c r="A13" s="391"/>
      <c r="B13" s="391"/>
      <c r="C13" s="391"/>
      <c r="D13" s="391"/>
      <c r="E13" s="391"/>
      <c r="F13" s="391"/>
    </row>
    <row r="14" spans="1:6" s="252" customFormat="1" ht="9" x14ac:dyDescent="0.15">
      <c r="A14" s="251">
        <v>1</v>
      </c>
      <c r="B14" s="251"/>
      <c r="C14" s="251"/>
      <c r="D14" s="251"/>
      <c r="E14" s="251"/>
      <c r="F14" s="251"/>
    </row>
    <row r="15" spans="1:6" x14ac:dyDescent="0.25">
      <c r="A15" s="215">
        <v>1</v>
      </c>
      <c r="B15" s="226"/>
      <c r="C15" s="215"/>
      <c r="D15" s="215"/>
      <c r="E15" s="215"/>
      <c r="F15" s="296"/>
    </row>
    <row r="16" spans="1:6" ht="33.75" x14ac:dyDescent="0.25">
      <c r="A16" s="215">
        <f>A15+1</f>
      </c>
      <c r="B16" s="226"/>
      <c r="C16" s="215"/>
      <c r="D16" s="391"/>
      <c r="E16" s="215"/>
      <c r="F16" s="296"/>
    </row>
    <row r="17" spans="1:6" x14ac:dyDescent="0.25">
      <c r="A17" s="215">
        <f t="shared" ref="A17:A80" si="0">A16+1</f>
      </c>
      <c r="B17" s="226"/>
      <c r="C17" s="215"/>
      <c r="D17" s="391"/>
      <c r="E17" s="215"/>
      <c r="F17" s="296"/>
    </row>
    <row r="18" spans="1:6" ht="22.5" x14ac:dyDescent="0.25">
      <c r="A18" s="215">
        <f t="shared" si="0"/>
      </c>
      <c r="B18" s="226"/>
      <c r="C18" s="215"/>
      <c r="D18" s="391"/>
      <c r="E18" s="215"/>
      <c r="F18" s="296"/>
    </row>
    <row r="19" spans="1:6" ht="22.5" x14ac:dyDescent="0.25">
      <c r="A19" s="215">
        <f t="shared" si="0"/>
      </c>
      <c r="B19" s="226" t="str">
        <f>IF(AND(Пр.6А!A2="",Пр.6А!A3=""),"",CONCATENATE(IF(Пр.6А!A2="","",Пр.6А!A2),IF(Пр.6А!A3="","",Пр.6А!A3)," (Прил.6А)"))</f>
      </c>
      <c r="C19" s="215"/>
      <c r="D19" s="391" t="str">
        <f>IF(C6="","",C6)</f>
      </c>
      <c r="E19" s="215"/>
      <c r="F19" s="296"/>
    </row>
    <row r="20" spans="1:6" ht="35.25" customHeight="1" x14ac:dyDescent="0.25">
      <c r="A20" s="215">
        <f t="shared" si="0"/>
      </c>
      <c r="B20" s="226" t="str">
        <f>IF(AND(Пр.6Б!A2="",Пр.6Б!A3=""),"",CONCATENATE(IF(Пр.6Б!A2="","",Пр.6Б!A2),IF(Пр.6Б!A3="","",Пр.6Б!A3)," (Прил.6Б)"))</f>
      </c>
      <c r="C20" s="215"/>
      <c r="D20" s="391" t="str">
        <f>IF(C6="","",C6)</f>
      </c>
      <c r="E20" s="215"/>
      <c r="F20" s="296"/>
    </row>
    <row r="21" spans="1:6" ht="59.25" customHeight="1" x14ac:dyDescent="0.25">
      <c r="A21" s="215">
        <f t="shared" si="0"/>
      </c>
      <c r="B21" s="226" t="str">
        <f>IF(AND(Пр.7!A3="",Пр.7!A5="",Пр.7!A6=""),"",CONCATENATE(IF(Пр.7!A3="","",Пр.7!A3),IF(Пр.7!A5="","",Пр.7!A5),IF(Пр.7!A6="","",Пр.7!A6)," (Прил.7)"))</f>
      </c>
      <c r="C21" s="215"/>
      <c r="D21" s="391" t="str">
        <f>IF(C6="","",C6)</f>
      </c>
      <c r="E21" s="215"/>
      <c r="F21" s="296"/>
    </row>
    <row r="22" spans="1:6" ht="72" customHeight="1" x14ac:dyDescent="0.25">
      <c r="A22" s="215">
        <f t="shared" si="0"/>
      </c>
      <c r="B22" s="226" t="str">
        <f>IF(AND(Пр.10!A2="",Пр.10!A4="",Пр.10!A5=""),"",CONCATENATE(IF(Пр.10!A2="","",Пр.10!A2),IF(Пр.10!A4="","",Пр.10!A4),IF(Пр.10!A5="","",Пр.10!A5)," (Прил.10)"))</f>
      </c>
      <c r="C22" s="215"/>
      <c r="D22" s="391" t="str">
        <f>IF(C6="","",C6)</f>
      </c>
      <c r="E22" s="215"/>
      <c r="F22" s="296"/>
    </row>
    <row r="23" spans="1:6" ht="45" customHeight="1" x14ac:dyDescent="0.25">
      <c r="A23" s="215">
        <f t="shared" si="0"/>
      </c>
      <c r="B23" s="226" t="str">
        <f>IF(AND(Пр.11!A3="",Пр.11!A4=""),"",CONCATENATE(IF(Пр.11!A3="","",Пр.11!A3),IF(Пр.11!A4="","",Пр.11!A4)," (Прил.11)"))</f>
      </c>
      <c r="C23" s="215"/>
      <c r="D23" s="391" t="str">
        <f>IF(C6="","",C6)</f>
      </c>
      <c r="E23" s="215"/>
      <c r="F23" s="296"/>
    </row>
    <row r="24" spans="1:6" ht="45" customHeight="1" x14ac:dyDescent="0.25">
      <c r="A24" s="215">
        <f t="shared" si="0"/>
      </c>
      <c r="B24" s="226" t="str">
        <f>IF(AND('Пр.13 Справка ИД'!A9="",'Пр.13 Справка ИД'!A10=""),"",CONCATENATE(IF('Пр.13 Справка ИД'!A9="","",'Пр.13 Справка ИД'!A9),IF('Пр.13 Справка ИД'!A10="","",'Пр.13 Справка ИД'!A10)," (Прил.13)"))</f>
      </c>
      <c r="C24" s="215"/>
      <c r="D24" s="391" t="str">
        <f>IF(C6="","",C6)</f>
      </c>
      <c r="E24" s="215"/>
      <c r="F24" s="296"/>
    </row>
    <row r="25" spans="1:6" x14ac:dyDescent="0.25">
      <c r="A25" s="215">
        <f t="shared" si="0"/>
      </c>
      <c r="B25" s="226"/>
      <c r="C25" s="215"/>
      <c r="D25" s="391"/>
      <c r="E25" s="215"/>
      <c r="F25" s="296"/>
    </row>
    <row r="26" spans="1:6" x14ac:dyDescent="0.25">
      <c r="A26" s="215">
        <f t="shared" si="0"/>
      </c>
      <c r="B26" s="226"/>
      <c r="C26" s="215"/>
      <c r="D26" s="391">
        <f>IF(C9="","",C9)</f>
      </c>
      <c r="E26" s="215"/>
      <c r="F26" s="296"/>
    </row>
    <row r="27" spans="1:6" ht="22.5" x14ac:dyDescent="0.25">
      <c r="A27" s="215">
        <f t="shared" si="0"/>
      </c>
      <c r="B27" s="373"/>
      <c r="C27" s="215"/>
      <c r="D27" s="391" t="str">
        <f>IF(C6="","",C6)</f>
      </c>
      <c r="E27" s="215"/>
      <c r="F27" s="296"/>
    </row>
    <row r="28" spans="1:6" x14ac:dyDescent="0.25">
      <c r="A28" s="215">
        <f t="shared" si="0"/>
      </c>
      <c r="B28" s="373"/>
      <c r="C28" s="215"/>
      <c r="D28" s="391" t="str">
        <f>IF(C6="","",C6)</f>
      </c>
      <c r="E28" s="215"/>
      <c r="F28" s="296"/>
    </row>
    <row r="29" spans="1:6" x14ac:dyDescent="0.25">
      <c r="A29" s="215">
        <f t="shared" si="0"/>
      </c>
      <c r="B29" s="373"/>
      <c r="C29" s="215"/>
      <c r="D29" s="391" t="str">
        <f>IF(C6="","",C6)</f>
      </c>
      <c r="E29" s="215"/>
      <c r="F29" s="296"/>
    </row>
    <row r="30" spans="1:6" x14ac:dyDescent="0.25">
      <c r="A30" s="215">
        <f t="shared" si="0"/>
      </c>
      <c r="B30" s="373"/>
      <c r="C30" s="215"/>
      <c r="D30" s="391" t="str">
        <f>IF(C6="","",C6)</f>
      </c>
      <c r="E30" s="215"/>
      <c r="F30" s="296"/>
    </row>
    <row r="31" spans="1:6" ht="22.5" x14ac:dyDescent="0.25">
      <c r="A31" s="215">
        <f t="shared" si="0"/>
      </c>
      <c r="B31" s="227" t="str">
        <f>IF('1 '!A15="","",'1 '!A15)</f>
      </c>
      <c r="C31" s="215"/>
      <c r="D31" s="391" t="str">
        <f>IF(C6="","",C6)</f>
      </c>
      <c r="E31" s="215"/>
      <c r="F31" s="296"/>
    </row>
    <row r="32" spans="1:6" x14ac:dyDescent="0.25">
      <c r="A32" s="215">
        <f t="shared" si="0"/>
      </c>
      <c r="B32" s="227" t="str">
        <f>IF('2'!A14="","",'2'!A14)</f>
      </c>
      <c r="C32" s="215"/>
      <c r="D32" s="391" t="str">
        <f>IF(C6="","",C6)</f>
      </c>
      <c r="E32" s="215"/>
      <c r="F32" s="296"/>
    </row>
    <row r="33" spans="1:6" ht="36" customHeight="1" x14ac:dyDescent="0.25">
      <c r="A33" s="215">
        <f t="shared" si="0"/>
      </c>
      <c r="B33" s="227" t="str">
        <f>IF('3'!A14="","",'3'!A14)</f>
      </c>
      <c r="C33" s="215"/>
      <c r="D33" s="391" t="str">
        <f>IF(C6="","",C6)</f>
      </c>
      <c r="E33" s="215"/>
      <c r="F33" s="296"/>
    </row>
    <row r="34" spans="1:6" ht="22.5" x14ac:dyDescent="0.25">
      <c r="A34" s="215">
        <f t="shared" si="0"/>
      </c>
      <c r="B34" s="227" t="str">
        <f>IF('Ведомость общ'!A14="","",'Ведомость общ'!A14)</f>
      </c>
      <c r="C34" s="215"/>
      <c r="D34" s="391" t="str">
        <f>IF(C6="","",C6)</f>
      </c>
      <c r="E34" s="215"/>
      <c r="F34" s="296"/>
    </row>
    <row r="35" spans="1:6" ht="35.25" customHeight="1" x14ac:dyDescent="0.25">
      <c r="A35" s="215">
        <f t="shared" si="0"/>
      </c>
      <c r="B35" s="227" t="str">
        <f>IF(AND('ТП-1'!$A$16="",'ТП-1'!$A$17=""),"",CONCATENATE(IF('ТП-1'!$A$16="","",'ТП-1'!$A$16),IF('ТП-1'!$A$17="","",'ТП-1'!$A$17)))</f>
      </c>
      <c r="C35" s="215"/>
      <c r="D35" s="391" t="str">
        <f>IF(C6="","",C6)</f>
      </c>
      <c r="E35" s="215"/>
      <c r="F35" s="296"/>
    </row>
    <row r="36" spans="1:6" ht="22.5" x14ac:dyDescent="0.25">
      <c r="A36" s="215">
        <f t="shared" si="0"/>
      </c>
      <c r="B36" s="227" t="str">
        <f>IF(AND('ТП-2'!$A$13="",'ТП-2'!$A$14=""),"",CONCATENATE(IF('ТП-2'!$A$13="","",'ТП-2'!$A$13),IF('ТП-2'!$A$14="","",'ТП-2'!$A$14)))</f>
      </c>
      <c r="C36" s="215"/>
      <c r="D36" s="391" t="str">
        <f>IF(C6="","",C6)</f>
      </c>
      <c r="E36" s="215"/>
      <c r="F36" s="296"/>
    </row>
    <row r="37" spans="1:6" x14ac:dyDescent="0.25">
      <c r="A37" s="215">
        <f t="shared" si="0"/>
      </c>
      <c r="B37" s="227" t="str">
        <f>IF(AND('ТП-3'!$A$13="",'ТП-3'!$A$14=""),"",CONCATENATE(IF('ТП-3'!$A$13="","",'ТП-3'!$A$13),IF('ТП-3'!$A$14="","",'ТП-3'!$A$14)))</f>
      </c>
      <c r="C37" s="215"/>
      <c r="D37" s="391" t="str">
        <f>IF(C6="","",C6)</f>
      </c>
      <c r="E37" s="215"/>
      <c r="F37" s="296"/>
    </row>
    <row r="38" spans="1:6" ht="22.5" x14ac:dyDescent="0.25">
      <c r="A38" s="215">
        <f t="shared" si="0"/>
      </c>
      <c r="B38" s="227" t="str">
        <f>IF(AND('ТП-4'!A13="",'ТП-4'!A14=""),"",CONCATENATE(IF('ТП-4'!A13="","",'ТП-4'!A13),IF('ТП-4'!A14="","",'ТП-4'!A14)))</f>
      </c>
      <c r="C38" s="215"/>
      <c r="D38" s="391" t="str">
        <f>IF(C6="","",C6)</f>
      </c>
      <c r="E38" s="215"/>
      <c r="F38" s="296"/>
    </row>
    <row r="39" spans="1:6" ht="22.5" x14ac:dyDescent="0.25">
      <c r="A39" s="215">
        <f t="shared" si="0"/>
      </c>
      <c r="B39" s="227"/>
      <c r="C39" s="215"/>
      <c r="D39" s="391" t="str">
        <f>IF(C6="","",C6)</f>
      </c>
      <c r="E39" s="215"/>
      <c r="F39" s="296"/>
    </row>
    <row r="40" spans="1:6" x14ac:dyDescent="0.25">
      <c r="A40" s="215">
        <f t="shared" si="0"/>
      </c>
      <c r="B40" s="227"/>
      <c r="C40" s="215"/>
      <c r="D40" s="391" t="str">
        <f>IF(C6="","",C6)</f>
      </c>
      <c r="E40" s="215"/>
      <c r="F40" s="296"/>
    </row>
    <row r="41" spans="1:6" ht="22.5" x14ac:dyDescent="0.25">
      <c r="A41" s="215">
        <f t="shared" si="0"/>
      </c>
      <c r="B41" s="227"/>
      <c r="C41" s="215"/>
      <c r="D41" s="391" t="str">
        <f>IF(C6="","",C6)</f>
      </c>
      <c r="E41" s="215"/>
      <c r="F41" s="296"/>
    </row>
    <row r="42" spans="1:6" x14ac:dyDescent="0.25">
      <c r="A42" s="215">
        <f t="shared" si="0"/>
      </c>
      <c r="B42" s="227"/>
      <c r="C42" s="215"/>
      <c r="D42" s="391" t="str">
        <f>IF(C6="","",C6)</f>
      </c>
      <c r="E42" s="215"/>
      <c r="F42" s="296"/>
    </row>
    <row r="43" spans="1:6" x14ac:dyDescent="0.25">
      <c r="A43" s="215">
        <f t="shared" si="0"/>
      </c>
      <c r="B43" s="227"/>
      <c r="C43" s="215"/>
      <c r="D43" s="391"/>
      <c r="E43" s="215"/>
      <c r="F43" s="296"/>
    </row>
    <row r="44" spans="1:6" ht="22.5" x14ac:dyDescent="0.25">
      <c r="A44" s="215">
        <f t="shared" si="0"/>
      </c>
      <c r="B44" s="227"/>
      <c r="C44" s="215"/>
      <c r="D44" s="391" t="str">
        <f>IF(C6="","",C6)</f>
      </c>
      <c r="E44" s="215"/>
      <c r="F44" s="296"/>
    </row>
    <row r="45" spans="1:6" x14ac:dyDescent="0.25">
      <c r="A45" s="215">
        <f t="shared" si="0"/>
      </c>
      <c r="B45" s="227"/>
      <c r="C45" s="215"/>
      <c r="D45" s="391" t="str">
        <f>IF(C6="","",C6)</f>
      </c>
      <c r="E45" s="215"/>
      <c r="F45" s="296"/>
    </row>
    <row r="46" spans="1:6" x14ac:dyDescent="0.25">
      <c r="A46" s="215">
        <f t="shared" si="0"/>
      </c>
      <c r="B46" s="227"/>
      <c r="C46" s="215"/>
      <c r="D46" s="391"/>
      <c r="E46" s="215"/>
      <c r="F46" s="296"/>
    </row>
    <row r="47" spans="1:6" x14ac:dyDescent="0.25">
      <c r="A47" s="215">
        <f t="shared" si="0"/>
      </c>
      <c r="B47" s="227"/>
      <c r="C47" s="215"/>
      <c r="D47" s="391" t="str">
        <f>IF(C6="","",C6)</f>
      </c>
      <c r="E47" s="215"/>
      <c r="F47" s="296"/>
    </row>
    <row r="48" spans="1:6" x14ac:dyDescent="0.25">
      <c r="A48" s="215">
        <f t="shared" si="0"/>
      </c>
      <c r="B48" s="227"/>
      <c r="C48" s="215"/>
      <c r="D48" s="391" t="str">
        <f>IF(C6="","",C6)</f>
      </c>
      <c r="E48" s="215"/>
      <c r="F48" s="296"/>
    </row>
    <row r="49" spans="1:6" x14ac:dyDescent="0.25">
      <c r="A49" s="215">
        <f t="shared" si="0"/>
      </c>
      <c r="B49" s="227"/>
      <c r="C49" s="215"/>
      <c r="D49" s="391"/>
      <c r="E49" s="215"/>
      <c r="F49" s="296"/>
    </row>
    <row r="50" spans="1:6" x14ac:dyDescent="0.25">
      <c r="A50" s="215">
        <f t="shared" si="0"/>
      </c>
      <c r="B50" s="227"/>
      <c r="C50" s="215"/>
      <c r="D50" s="391"/>
      <c r="E50" s="215"/>
      <c r="F50" s="296"/>
    </row>
    <row r="51" spans="1:6" x14ac:dyDescent="0.25">
      <c r="A51" s="215">
        <f t="shared" si="0"/>
      </c>
      <c r="B51" s="227"/>
      <c r="C51" s="215"/>
      <c r="D51" s="391"/>
      <c r="E51" s="215"/>
      <c r="F51" s="296"/>
    </row>
    <row r="52" spans="1:6" x14ac:dyDescent="0.25">
      <c r="A52" s="215">
        <f t="shared" si="0"/>
      </c>
      <c r="B52" s="227"/>
      <c r="C52" s="215"/>
      <c r="D52" s="391"/>
      <c r="E52" s="215"/>
      <c r="F52" s="296"/>
    </row>
    <row r="53" spans="1:6" x14ac:dyDescent="0.25">
      <c r="A53" s="215">
        <f t="shared" si="0"/>
      </c>
      <c r="B53" s="227"/>
      <c r="C53" s="215"/>
      <c r="D53" s="391" t="str">
        <f>IF(C6="","",C6)</f>
      </c>
      <c r="E53" s="215"/>
      <c r="F53" s="296"/>
    </row>
    <row r="54" spans="1:6" x14ac:dyDescent="0.25">
      <c r="A54" s="215">
        <f t="shared" si="0"/>
      </c>
      <c r="B54" s="227"/>
      <c r="C54" s="215"/>
      <c r="D54" s="391" t="str">
        <f>IF(C6="","",C6)</f>
      </c>
      <c r="E54" s="215"/>
      <c r="F54" s="296"/>
    </row>
    <row r="55" spans="1:6" x14ac:dyDescent="0.25">
      <c r="A55" s="215">
        <f t="shared" si="0"/>
      </c>
      <c r="B55" s="227"/>
      <c r="C55" s="215"/>
      <c r="D55" s="391" t="str">
        <f>IF(C6="","",C6)</f>
      </c>
      <c r="E55" s="215"/>
      <c r="F55" s="296"/>
    </row>
    <row r="56" spans="1:6" x14ac:dyDescent="0.25">
      <c r="A56" s="215">
        <f t="shared" si="0"/>
      </c>
      <c r="B56" s="227"/>
      <c r="C56" s="215"/>
      <c r="D56" s="391"/>
      <c r="E56" s="215"/>
      <c r="F56" s="296"/>
    </row>
    <row r="57" spans="1:6" x14ac:dyDescent="0.25">
      <c r="A57" s="215">
        <f t="shared" si="0"/>
      </c>
      <c r="B57" s="227"/>
      <c r="C57" s="215"/>
      <c r="D57" s="391"/>
      <c r="E57" s="215"/>
      <c r="F57" s="296"/>
    </row>
    <row r="58" spans="1:6" x14ac:dyDescent="0.25">
      <c r="A58" s="215">
        <f t="shared" si="0"/>
      </c>
      <c r="B58" s="227"/>
      <c r="C58" s="215"/>
      <c r="D58" s="391"/>
      <c r="E58" s="215"/>
      <c r="F58" s="296"/>
    </row>
    <row r="59" spans="1:6" x14ac:dyDescent="0.25">
      <c r="A59" s="215">
        <f t="shared" si="0"/>
      </c>
      <c r="B59" s="227"/>
      <c r="C59" s="215"/>
      <c r="D59" s="391"/>
      <c r="E59" s="215"/>
      <c r="F59" s="296"/>
    </row>
    <row r="60" spans="1:6" x14ac:dyDescent="0.25">
      <c r="A60" s="215">
        <f t="shared" si="0"/>
      </c>
      <c r="B60" s="227"/>
      <c r="C60" s="215"/>
      <c r="D60" s="391" t="str">
        <f>IF(C6="","",C6)</f>
      </c>
      <c r="E60" s="215"/>
      <c r="F60" s="296"/>
    </row>
    <row r="61" spans="1:6" x14ac:dyDescent="0.25">
      <c r="A61" s="215">
        <f t="shared" si="0"/>
      </c>
      <c r="B61" s="227"/>
      <c r="C61" s="215"/>
      <c r="D61" s="391" t="str">
        <f>IF(C6="","",C6)</f>
      </c>
      <c r="E61" s="215"/>
      <c r="F61" s="296"/>
    </row>
    <row r="62" spans="1:6" x14ac:dyDescent="0.25">
      <c r="A62" s="215">
        <f t="shared" si="0"/>
      </c>
      <c r="B62" s="227"/>
      <c r="C62" s="215"/>
      <c r="D62" s="391" t="str">
        <f>IF(C6="","",C6)</f>
      </c>
      <c r="E62" s="215"/>
      <c r="F62" s="296"/>
    </row>
    <row r="63" spans="1:6" x14ac:dyDescent="0.25">
      <c r="A63" s="215">
        <f t="shared" si="0"/>
      </c>
      <c r="B63" s="227"/>
      <c r="C63" s="215"/>
      <c r="D63" s="391" t="str">
        <f>IF(C6="","",C6)</f>
      </c>
      <c r="E63" s="215"/>
      <c r="F63" s="296"/>
    </row>
    <row r="64" spans="1:6" x14ac:dyDescent="0.25">
      <c r="A64" s="215">
        <f t="shared" si="0"/>
      </c>
      <c r="B64" s="227"/>
      <c r="C64" s="215"/>
      <c r="D64" s="391"/>
      <c r="E64" s="215"/>
      <c r="F64" s="296"/>
    </row>
    <row r="65" spans="1:6" x14ac:dyDescent="0.25">
      <c r="A65" s="215">
        <f t="shared" si="0"/>
      </c>
      <c r="B65" s="227"/>
      <c r="C65" s="215"/>
      <c r="D65" s="391"/>
      <c r="E65" s="215"/>
      <c r="F65" s="296"/>
    </row>
    <row r="66" spans="1:6" x14ac:dyDescent="0.25">
      <c r="A66" s="215">
        <f t="shared" si="0"/>
      </c>
      <c r="B66" s="227"/>
      <c r="C66" s="215"/>
      <c r="D66" s="391"/>
      <c r="E66" s="215"/>
      <c r="F66" s="296"/>
    </row>
    <row r="67" spans="1:6" s="384" customFormat="1" x14ac:dyDescent="0.25">
      <c r="A67" s="215">
        <f t="shared" si="0"/>
      </c>
      <c r="B67" s="227"/>
      <c r="C67" s="215"/>
      <c r="D67" s="391" t="str">
        <f>IF(C6="","",C6)</f>
      </c>
      <c r="E67" s="215"/>
      <c r="F67" s="296"/>
    </row>
    <row r="68" spans="1:6" s="384" customFormat="1" x14ac:dyDescent="0.25">
      <c r="A68" s="215">
        <f t="shared" si="0"/>
      </c>
      <c r="B68" s="227"/>
      <c r="C68" s="215"/>
      <c r="D68" s="391" t="str">
        <f>IF(C6="","",C6)</f>
      </c>
      <c r="E68" s="215"/>
      <c r="F68" s="296"/>
    </row>
    <row r="69" spans="1:6" s="384" customFormat="1" x14ac:dyDescent="0.25">
      <c r="A69" s="215">
        <f t="shared" si="0"/>
      </c>
      <c r="B69" s="227"/>
      <c r="C69" s="215"/>
      <c r="D69" s="391"/>
      <c r="E69" s="215"/>
      <c r="F69" s="296"/>
    </row>
    <row r="70" spans="1:6" s="384" customFormat="1" x14ac:dyDescent="0.25">
      <c r="A70" s="215">
        <f t="shared" si="0"/>
      </c>
      <c r="B70" s="227"/>
      <c r="C70" s="215"/>
      <c r="D70" s="391"/>
      <c r="E70" s="215"/>
      <c r="F70" s="296"/>
    </row>
    <row r="71" spans="1:6" s="384" customFormat="1" ht="33.75" x14ac:dyDescent="0.25">
      <c r="A71" s="215">
        <f t="shared" si="0"/>
      </c>
      <c r="B71" s="392" t="str">
        <f>IF(AND('АСП-1'!$A$16="",'АСП-1'!$A$17=""),"",CONCATENATE(IF('АСП-1'!$A$16="","",'АСП-1'!$A$16),IF('АСП-1'!$A$17="","",'АСП-1'!$A$17)))</f>
      </c>
      <c r="C71" s="215"/>
      <c r="D71" s="391" t="str">
        <f>IF(C6="","",C6)</f>
      </c>
      <c r="E71" s="215"/>
      <c r="F71" s="296"/>
    </row>
    <row r="72" spans="1:6" s="384" customFormat="1" ht="22.5" x14ac:dyDescent="0.25">
      <c r="A72" s="215">
        <f t="shared" si="0"/>
      </c>
      <c r="B72" s="392" t="str">
        <f>IF(AND('АСП-2'!$A$13="",'АСП-2'!$A$14=""),"",CONCATENATE(IF('АСП-2'!$A$13="","",'АСП-2'!$A$13),IF('АСП-2'!$A$14="","",'АСП-2'!$A$14)))</f>
      </c>
      <c r="C72" s="215"/>
      <c r="D72" s="391" t="str">
        <f>IF(C6="","",C6)</f>
      </c>
      <c r="E72" s="215"/>
      <c r="F72" s="296"/>
    </row>
    <row r="73" spans="1:6" s="384" customFormat="1" x14ac:dyDescent="0.25">
      <c r="A73" s="215">
        <f t="shared" si="0"/>
      </c>
      <c r="B73" s="392" t="str">
        <f>IF(AND('АСП-3'!$A$13="",'АСП-3'!$A$14=""),"",CONCATENATE(IF('АСП-3'!$A$13="","",'АСП-3'!$A$13),IF('АСП-3'!$A$14="","",'АСП-3'!$A$14)))</f>
      </c>
      <c r="C73" s="215"/>
      <c r="D73" s="391" t="str">
        <f>IF(C6="","",C6)</f>
      </c>
      <c r="E73" s="215"/>
      <c r="F73" s="296"/>
    </row>
    <row r="74" spans="1:6" s="384" customFormat="1" ht="22.5" x14ac:dyDescent="0.25">
      <c r="A74" s="215">
        <f t="shared" si="0"/>
      </c>
      <c r="B74" s="392"/>
      <c r="C74" s="215"/>
      <c r="D74" s="391" t="str">
        <f>IF(C6="","",C6)</f>
      </c>
      <c r="E74" s="215"/>
      <c r="F74" s="296"/>
    </row>
    <row r="75" spans="1:6" s="384" customFormat="1" x14ac:dyDescent="0.25">
      <c r="A75" s="215">
        <f t="shared" si="0"/>
      </c>
      <c r="B75" s="392"/>
      <c r="C75" s="215"/>
      <c r="D75" s="391" t="str">
        <f>IF(C6="","",C6)</f>
      </c>
      <c r="E75" s="215"/>
      <c r="F75" s="296"/>
    </row>
    <row r="76" spans="1:6" s="384" customFormat="1" ht="22.5" x14ac:dyDescent="0.25">
      <c r="A76" s="215">
        <f t="shared" si="0"/>
      </c>
      <c r="B76" s="392"/>
      <c r="C76" s="215"/>
      <c r="D76" s="391" t="str">
        <f>IF(C6="","",C6)</f>
      </c>
      <c r="E76" s="215"/>
      <c r="F76" s="296"/>
    </row>
    <row r="77" spans="1:6" s="384" customFormat="1" x14ac:dyDescent="0.25">
      <c r="A77" s="215">
        <f t="shared" si="0"/>
      </c>
      <c r="B77" s="392"/>
      <c r="C77" s="215"/>
      <c r="D77" s="391" t="str">
        <f>IF(C6="","",C6)</f>
      </c>
      <c r="E77" s="215"/>
      <c r="F77" s="296"/>
    </row>
    <row r="78" spans="1:6" s="384" customFormat="1" x14ac:dyDescent="0.25">
      <c r="A78" s="215">
        <f t="shared" si="0"/>
      </c>
      <c r="B78" s="392"/>
      <c r="C78" s="215"/>
      <c r="D78" s="391"/>
      <c r="E78" s="215"/>
      <c r="F78" s="296"/>
    </row>
    <row r="79" spans="1:6" s="384" customFormat="1" ht="22.5" x14ac:dyDescent="0.25">
      <c r="A79" s="215">
        <f t="shared" si="0"/>
      </c>
      <c r="B79" s="392"/>
      <c r="C79" s="215"/>
      <c r="D79" s="391" t="str">
        <f>IF(C6="","",C6)</f>
      </c>
      <c r="E79" s="215"/>
      <c r="F79" s="296"/>
    </row>
    <row r="80" spans="1:6" s="384" customFormat="1" x14ac:dyDescent="0.25">
      <c r="A80" s="215">
        <f t="shared" si="0"/>
      </c>
      <c r="B80" s="392"/>
      <c r="C80" s="215"/>
      <c r="D80" s="391" t="str">
        <f>IF(C6="","",C6)</f>
      </c>
      <c r="E80" s="215"/>
      <c r="F80" s="296"/>
    </row>
    <row r="81" spans="1:6" s="384" customFormat="1" x14ac:dyDescent="0.25">
      <c r="A81" s="215">
        <f t="shared" ref="A81:A144" si="1">A80+1</f>
      </c>
      <c r="B81" s="392"/>
      <c r="C81" s="215"/>
      <c r="D81" s="391"/>
      <c r="E81" s="215"/>
      <c r="F81" s="296"/>
    </row>
    <row r="82" spans="1:6" s="384" customFormat="1" x14ac:dyDescent="0.25">
      <c r="A82" s="215">
        <f t="shared" si="1"/>
      </c>
      <c r="B82" s="392"/>
      <c r="C82" s="215"/>
      <c r="D82" s="391" t="str">
        <f>IF(C6="","",C6)</f>
      </c>
      <c r="E82" s="215"/>
      <c r="F82" s="296"/>
    </row>
    <row r="83" spans="1:6" s="384" customFormat="1" x14ac:dyDescent="0.25">
      <c r="A83" s="215">
        <f t="shared" si="1"/>
      </c>
      <c r="B83" s="392"/>
      <c r="C83" s="215"/>
      <c r="D83" s="391" t="str">
        <f>IF(C6="","",C6)</f>
      </c>
      <c r="E83" s="215"/>
      <c r="F83" s="296"/>
    </row>
    <row r="84" spans="1:6" s="384" customFormat="1" x14ac:dyDescent="0.25">
      <c r="A84" s="215">
        <f t="shared" si="1"/>
      </c>
      <c r="B84" s="392"/>
      <c r="C84" s="215"/>
      <c r="D84" s="391"/>
      <c r="E84" s="215"/>
      <c r="F84" s="296"/>
    </row>
    <row r="85" spans="1:6" s="384" customFormat="1" x14ac:dyDescent="0.25">
      <c r="A85" s="215">
        <f t="shared" si="1"/>
      </c>
      <c r="B85" s="392"/>
      <c r="C85" s="215"/>
      <c r="D85" s="391"/>
      <c r="E85" s="215"/>
      <c r="F85" s="296"/>
    </row>
    <row r="86" spans="1:6" s="384" customFormat="1" x14ac:dyDescent="0.25">
      <c r="A86" s="215">
        <f t="shared" si="1"/>
      </c>
      <c r="B86" s="392"/>
      <c r="C86" s="215"/>
      <c r="D86" s="391"/>
      <c r="E86" s="215"/>
      <c r="F86" s="296"/>
    </row>
    <row r="87" spans="1:6" s="384" customFormat="1" x14ac:dyDescent="0.25">
      <c r="A87" s="215">
        <f t="shared" si="1"/>
      </c>
      <c r="B87" s="392"/>
      <c r="C87" s="215"/>
      <c r="D87" s="391"/>
      <c r="E87" s="215"/>
      <c r="F87" s="296"/>
    </row>
    <row r="88" spans="1:6" s="384" customFormat="1" x14ac:dyDescent="0.25">
      <c r="A88" s="215">
        <f t="shared" si="1"/>
      </c>
      <c r="B88" s="392"/>
      <c r="C88" s="215"/>
      <c r="D88" s="391" t="str">
        <f>IF(C6="","",C6)</f>
      </c>
      <c r="E88" s="215"/>
      <c r="F88" s="296"/>
    </row>
    <row r="89" spans="1:6" s="384" customFormat="1" x14ac:dyDescent="0.25">
      <c r="A89" s="215">
        <f t="shared" si="1"/>
      </c>
      <c r="B89" s="392"/>
      <c r="C89" s="215"/>
      <c r="D89" s="391" t="str">
        <f>IF(C6="","",C6)</f>
      </c>
      <c r="E89" s="215"/>
      <c r="F89" s="296"/>
    </row>
    <row r="90" spans="1:6" s="384" customFormat="1" x14ac:dyDescent="0.25">
      <c r="A90" s="215">
        <f t="shared" si="1"/>
      </c>
      <c r="B90" s="392"/>
      <c r="C90" s="215"/>
      <c r="D90" s="391" t="str">
        <f>IF(C6="","",C6)</f>
      </c>
      <c r="E90" s="215"/>
      <c r="F90" s="296"/>
    </row>
    <row r="91" spans="1:6" s="384" customFormat="1" x14ac:dyDescent="0.25">
      <c r="A91" s="215">
        <f t="shared" si="1"/>
      </c>
      <c r="B91" s="392"/>
      <c r="C91" s="215"/>
      <c r="D91" s="391" t="str">
        <f>IF(C6="","",C6)</f>
      </c>
      <c r="E91" s="215"/>
      <c r="F91" s="296"/>
    </row>
    <row r="92" spans="1:6" s="384" customFormat="1" x14ac:dyDescent="0.25">
      <c r="A92" s="215">
        <f t="shared" si="1"/>
      </c>
      <c r="B92" s="392"/>
      <c r="C92" s="215"/>
      <c r="D92" s="391"/>
      <c r="E92" s="215"/>
      <c r="F92" s="296"/>
    </row>
    <row r="93" spans="1:6" s="384" customFormat="1" x14ac:dyDescent="0.25">
      <c r="A93" s="215">
        <f t="shared" si="1"/>
      </c>
      <c r="B93" s="392"/>
      <c r="C93" s="215"/>
      <c r="D93" s="391"/>
      <c r="E93" s="215"/>
      <c r="F93" s="296"/>
    </row>
    <row r="94" spans="1:6" s="384" customFormat="1" x14ac:dyDescent="0.25">
      <c r="A94" s="215">
        <f t="shared" si="1"/>
      </c>
      <c r="B94" s="392"/>
      <c r="C94" s="215"/>
      <c r="D94" s="391"/>
      <c r="E94" s="215"/>
      <c r="F94" s="296"/>
    </row>
    <row r="95" spans="1:6" s="384" customFormat="1" x14ac:dyDescent="0.25">
      <c r="A95" s="215">
        <f t="shared" si="1"/>
      </c>
      <c r="B95" s="392"/>
      <c r="C95" s="215"/>
      <c r="D95" s="391" t="str">
        <f>IF(C6="","",C6)</f>
      </c>
      <c r="E95" s="215"/>
      <c r="F95" s="296"/>
    </row>
    <row r="96" spans="1:6" s="384" customFormat="1" x14ac:dyDescent="0.25">
      <c r="A96" s="215">
        <f t="shared" si="1"/>
      </c>
      <c r="B96" s="392"/>
      <c r="C96" s="215"/>
      <c r="D96" s="391" t="str">
        <f>IF(C6="","",C6)</f>
      </c>
      <c r="E96" s="215"/>
      <c r="F96" s="296"/>
    </row>
    <row r="97" spans="1:6" s="384" customFormat="1" x14ac:dyDescent="0.25">
      <c r="A97" s="215">
        <f t="shared" si="1"/>
      </c>
      <c r="B97" s="392"/>
      <c r="C97" s="215"/>
      <c r="D97" s="391" t="str">
        <f>IF(C6="","",C6)</f>
      </c>
      <c r="E97" s="215"/>
      <c r="F97" s="296"/>
    </row>
    <row r="98" spans="1:6" x14ac:dyDescent="0.25">
      <c r="A98" s="215">
        <f t="shared" si="1"/>
      </c>
      <c r="B98" s="392"/>
      <c r="C98" s="215"/>
      <c r="D98" s="391" t="str">
        <f>IF(C6="","",C6)</f>
      </c>
      <c r="E98" s="215"/>
      <c r="F98" s="296"/>
    </row>
    <row r="99" spans="1:6" x14ac:dyDescent="0.25">
      <c r="A99" s="215">
        <f t="shared" si="1"/>
      </c>
      <c r="B99" s="392"/>
      <c r="C99" s="215"/>
      <c r="D99" s="391"/>
      <c r="E99" s="215"/>
      <c r="F99" s="296"/>
    </row>
    <row r="100" spans="1:6" x14ac:dyDescent="0.25">
      <c r="A100" s="215">
        <f t="shared" si="1"/>
      </c>
      <c r="B100" s="392"/>
      <c r="C100" s="215"/>
      <c r="D100" s="391"/>
      <c r="E100" s="215"/>
      <c r="F100" s="296"/>
    </row>
    <row r="101" spans="1:6" x14ac:dyDescent="0.25">
      <c r="A101" s="215">
        <f t="shared" si="1"/>
      </c>
      <c r="B101" s="392"/>
      <c r="C101" s="215"/>
      <c r="D101" s="391"/>
      <c r="E101" s="215"/>
      <c r="F101" s="296"/>
    </row>
    <row r="102" spans="1:6" x14ac:dyDescent="0.25">
      <c r="A102" s="215">
        <f t="shared" si="1"/>
      </c>
      <c r="B102" s="392"/>
      <c r="C102" s="215"/>
      <c r="D102" s="391" t="str">
        <f>IF(C6="","",C6)</f>
      </c>
      <c r="E102" s="215"/>
      <c r="F102" s="296"/>
    </row>
    <row r="103" spans="1:6" x14ac:dyDescent="0.25">
      <c r="A103" s="215">
        <f t="shared" si="1"/>
      </c>
      <c r="B103" s="392"/>
      <c r="C103" s="215"/>
      <c r="D103" s="391" t="str">
        <f>IF(C6="","",C6)</f>
      </c>
      <c r="E103" s="215"/>
      <c r="F103" s="296"/>
    </row>
    <row r="104" spans="1:6" x14ac:dyDescent="0.25">
      <c r="A104" s="215">
        <f t="shared" si="1"/>
      </c>
      <c r="B104" s="392"/>
      <c r="C104" s="215"/>
      <c r="D104" s="391"/>
      <c r="E104" s="215"/>
      <c r="F104" s="296"/>
    </row>
    <row r="105" spans="1:6" x14ac:dyDescent="0.25">
      <c r="A105" s="215">
        <f t="shared" si="1"/>
      </c>
      <c r="B105" s="392"/>
      <c r="C105" s="215"/>
      <c r="D105" s="391"/>
      <c r="E105" s="215"/>
      <c r="F105" s="296"/>
    </row>
    <row r="106" spans="1:6" ht="22.5" x14ac:dyDescent="0.25">
      <c r="A106" s="215">
        <f t="shared" si="1"/>
      </c>
      <c r="B106" s="228" t="str">
        <f>IF(AND('КЛ-1'!A14="",'КЛ-1'!A15=""),"",CONCATENATE(IF('КЛ-1'!A14="","",'КЛ-1'!A14),IF('КЛ-1'!A15="","",'КЛ-1'!A15)))</f>
      </c>
      <c r="C106" s="215"/>
      <c r="D106" s="391" t="str">
        <f>IF(C6="","",C6)</f>
      </c>
      <c r="E106" s="215"/>
      <c r="F106" s="296"/>
    </row>
    <row r="107" spans="1:6" ht="22.5" x14ac:dyDescent="0.25">
      <c r="A107" s="215">
        <f t="shared" si="1"/>
      </c>
      <c r="B107" s="228" t="str">
        <f>IF(AND('КЛ-2'!A14="",'КЛ-2'!A15=""),"",CONCATENATE(IF('КЛ-2'!A14="","",'КЛ-2'!A14),IF('КЛ-2'!A15="","",'КЛ-2'!A15)))</f>
      </c>
      <c r="C107" s="215"/>
      <c r="D107" s="391" t="str">
        <f>IF(C6="","",C6)</f>
      </c>
      <c r="E107" s="215"/>
      <c r="F107" s="296"/>
    </row>
    <row r="108" spans="1:6" ht="22.5" x14ac:dyDescent="0.25">
      <c r="A108" s="215">
        <f t="shared" si="1"/>
      </c>
      <c r="B108" s="228" t="str">
        <f>IF(AND('КЛ-3'!A14="",'КЛ-3'!A15=""),"",CONCATENATE(IF('КЛ-3'!A14="","",'КЛ-3'!A14),IF('КЛ-3'!A15="","",'КЛ-3'!A15)))</f>
      </c>
      <c r="C108" s="215"/>
      <c r="D108" s="391" t="str">
        <f>IF(C6="","",C6)</f>
      </c>
      <c r="E108" s="215"/>
      <c r="F108" s="296"/>
    </row>
    <row r="109" spans="1:6" ht="22.5" x14ac:dyDescent="0.25">
      <c r="A109" s="215">
        <f t="shared" si="1"/>
      </c>
      <c r="B109" s="228" t="str">
        <f>IF(AND('КЛ-4'!A15="",'КЛ-4'!A16=""),"",CONCATENATE(IF('КЛ-4'!A15="","",'КЛ-4'!A15),IF('КЛ-4'!A16="","",'КЛ-4'!A16)))</f>
      </c>
      <c r="C109" s="215"/>
      <c r="D109" s="391" t="str">
        <f>IF(C6="","",C6)</f>
      </c>
      <c r="E109" s="215"/>
      <c r="F109" s="296"/>
    </row>
    <row r="110" spans="1:6" ht="22.5" x14ac:dyDescent="0.25">
      <c r="A110" s="215">
        <f t="shared" si="1"/>
      </c>
      <c r="B110" s="228" t="str">
        <f>IF(AND('КЛ-5'!A13="",'КЛ-5'!A14=""),"",CONCATENATE(IF('КЛ-5'!A13="","",'КЛ-5'!A13),IF('КЛ-5'!A14="","",'КЛ-5'!A14)))</f>
      </c>
      <c r="C110" s="215"/>
      <c r="D110" s="391" t="str">
        <f>IF(C6="","",C6)</f>
      </c>
      <c r="E110" s="215"/>
      <c r="F110" s="296"/>
    </row>
    <row r="111" spans="1:6" ht="22.5" x14ac:dyDescent="0.25">
      <c r="A111" s="215">
        <f t="shared" si="1"/>
      </c>
      <c r="B111" s="228" t="str">
        <f>IF(AND('КЛ-6'!A15="",'КЛ-6'!A16=""),"",CONCATENATE(IF('КЛ-6'!A15="","",'КЛ-6'!A15),IF('КЛ-6'!A16="","",'КЛ-6'!A16)))</f>
      </c>
      <c r="C111" s="215"/>
      <c r="D111" s="391" t="str">
        <f>IF(C6="","",C6)</f>
      </c>
      <c r="E111" s="215"/>
      <c r="F111" s="296"/>
    </row>
    <row r="112" spans="1:6" x14ac:dyDescent="0.25">
      <c r="A112" s="215">
        <f t="shared" si="1"/>
      </c>
      <c r="B112" s="228" t="str">
        <f>IF(AND('КЛ-7'!A16="",'КЛ-7'!A17=""),"",CONCATENATE(IF('КЛ-7'!A16="","",'КЛ-7'!A16),IF('КЛ-7'!A17="","",'КЛ-7'!A17)))</f>
      </c>
      <c r="C112" s="215"/>
      <c r="D112" s="391" t="str">
        <f>IF(C6="","",C6)</f>
      </c>
      <c r="E112" s="215"/>
      <c r="F112" s="296"/>
    </row>
    <row r="113" spans="1:6" ht="22.5" x14ac:dyDescent="0.25">
      <c r="A113" s="215">
        <f t="shared" si="1"/>
      </c>
      <c r="B113" s="228" t="str">
        <f>IF(AND('КЛ-8'!A13="",'КЛ-8'!A14=""),"",CONCATENATE(IF('КЛ-8'!A13="","",'КЛ-8'!A13),IF('КЛ-8'!A14="","",'КЛ-8'!A14)))</f>
      </c>
      <c r="C113" s="215"/>
      <c r="D113" s="391" t="str">
        <f>IF(C6="","",C6)</f>
      </c>
      <c r="E113" s="215"/>
      <c r="F113" s="296"/>
    </row>
    <row r="114" spans="1:6" x14ac:dyDescent="0.25">
      <c r="A114" s="215">
        <f t="shared" si="1"/>
      </c>
      <c r="B114" s="228" t="str">
        <f>IF('КЛ-9'!T14="","",'КЛ-9'!T14)</f>
      </c>
      <c r="C114" s="215"/>
      <c r="D114" s="391" t="str">
        <f>IF(C6="","",C6)</f>
      </c>
      <c r="E114" s="215"/>
      <c r="F114" s="296"/>
    </row>
    <row r="115" spans="1:6" x14ac:dyDescent="0.25">
      <c r="A115" s="215">
        <f t="shared" si="1"/>
      </c>
      <c r="B115" s="228"/>
      <c r="C115" s="215"/>
      <c r="D115" s="391" t="str">
        <f>IF(C6="","",C6)</f>
      </c>
      <c r="E115" s="215"/>
      <c r="F115" s="296"/>
    </row>
    <row r="116" spans="1:6" x14ac:dyDescent="0.25">
      <c r="A116" s="215">
        <f t="shared" si="1"/>
      </c>
      <c r="B116" s="228"/>
      <c r="C116" s="215"/>
      <c r="D116" s="391" t="str">
        <f>IF(C6="","",C6)</f>
      </c>
      <c r="E116" s="215"/>
      <c r="F116" s="296"/>
    </row>
    <row r="117" spans="1:6" ht="22.5" x14ac:dyDescent="0.25">
      <c r="A117" s="215">
        <f t="shared" si="1"/>
      </c>
      <c r="B117" s="228"/>
      <c r="C117" s="215"/>
      <c r="D117" s="391" t="str">
        <f>IF(C6="","",C6)</f>
      </c>
      <c r="E117" s="215"/>
      <c r="F117" s="296"/>
    </row>
    <row r="118" spans="1:6" x14ac:dyDescent="0.25">
      <c r="A118" s="215">
        <f t="shared" si="1"/>
      </c>
      <c r="B118" s="228"/>
      <c r="C118" s="215"/>
      <c r="D118" s="391" t="str">
        <f>IF(C6="","",C6)</f>
      </c>
      <c r="E118" s="215"/>
      <c r="F118" s="296"/>
    </row>
    <row r="119" spans="1:6" x14ac:dyDescent="0.25">
      <c r="A119" s="215">
        <f t="shared" si="1"/>
      </c>
      <c r="B119" s="228"/>
      <c r="C119" s="215"/>
      <c r="D119" s="391"/>
      <c r="E119" s="215"/>
      <c r="F119" s="296"/>
    </row>
    <row r="120" spans="1:6" ht="22.5" x14ac:dyDescent="0.25">
      <c r="A120" s="215">
        <f t="shared" si="1"/>
      </c>
      <c r="B120" s="228"/>
      <c r="C120" s="215"/>
      <c r="D120" s="391" t="str">
        <f>IF(C6="","",C6)</f>
      </c>
      <c r="E120" s="215"/>
      <c r="F120" s="296"/>
    </row>
    <row r="121" spans="1:6" x14ac:dyDescent="0.25">
      <c r="A121" s="215">
        <f t="shared" si="1"/>
      </c>
      <c r="B121" s="228"/>
      <c r="C121" s="215"/>
      <c r="D121" s="391" t="str">
        <f>IF(C6="","",C6)</f>
      </c>
      <c r="E121" s="215"/>
      <c r="F121" s="296"/>
    </row>
    <row r="122" spans="1:6" x14ac:dyDescent="0.25">
      <c r="A122" s="215">
        <f t="shared" si="1"/>
      </c>
      <c r="B122" s="228"/>
      <c r="C122" s="215"/>
      <c r="D122" s="391"/>
      <c r="E122" s="215"/>
      <c r="F122" s="296"/>
    </row>
    <row r="123" spans="1:6" x14ac:dyDescent="0.25">
      <c r="A123" s="215">
        <f t="shared" si="1"/>
      </c>
      <c r="B123" s="228"/>
      <c r="C123" s="215"/>
      <c r="D123" s="391" t="str">
        <f>IF(C6="","",C6)</f>
      </c>
      <c r="E123" s="215"/>
      <c r="F123" s="296"/>
    </row>
    <row r="124" spans="1:6" x14ac:dyDescent="0.25">
      <c r="A124" s="215">
        <f t="shared" si="1"/>
      </c>
      <c r="B124" s="228"/>
      <c r="C124" s="215"/>
      <c r="D124" s="391" t="str">
        <f>IF(C6="","",C6)</f>
      </c>
      <c r="E124" s="215"/>
      <c r="F124" s="296"/>
    </row>
    <row r="125" spans="1:6" x14ac:dyDescent="0.25">
      <c r="A125" s="215">
        <f t="shared" si="1"/>
      </c>
      <c r="B125" s="228"/>
      <c r="C125" s="215"/>
      <c r="D125" s="391"/>
      <c r="E125" s="215"/>
      <c r="F125" s="296"/>
    </row>
    <row r="126" spans="1:6" x14ac:dyDescent="0.25">
      <c r="A126" s="215">
        <f t="shared" si="1"/>
      </c>
      <c r="B126" s="228"/>
      <c r="C126" s="215"/>
      <c r="D126" s="391" t="str">
        <f>IF(C6="","",C6)</f>
      </c>
      <c r="E126" s="215"/>
      <c r="F126" s="296"/>
    </row>
    <row r="127" spans="1:6" x14ac:dyDescent="0.25">
      <c r="A127" s="215">
        <f t="shared" si="1"/>
      </c>
      <c r="B127" s="228"/>
      <c r="C127" s="215"/>
      <c r="D127" s="391" t="str">
        <f>IF(C6="","",C6)</f>
      </c>
      <c r="E127" s="215"/>
      <c r="F127" s="296"/>
    </row>
    <row r="128" spans="1:6" x14ac:dyDescent="0.25">
      <c r="A128" s="215">
        <f t="shared" si="1"/>
      </c>
      <c r="B128" s="228"/>
      <c r="C128" s="215"/>
      <c r="D128" s="391"/>
      <c r="E128" s="215"/>
      <c r="F128" s="296"/>
    </row>
    <row r="129" spans="1:6" ht="22.5" x14ac:dyDescent="0.25">
      <c r="A129" s="215">
        <f t="shared" si="1"/>
      </c>
      <c r="B129" s="228"/>
      <c r="C129" s="215"/>
      <c r="D129" s="391" t="str">
        <f>IF(C6="","",C6)</f>
      </c>
      <c r="E129" s="215"/>
      <c r="F129" s="296"/>
    </row>
    <row r="130" spans="1:6" x14ac:dyDescent="0.25">
      <c r="A130" s="215">
        <f t="shared" si="1"/>
      </c>
      <c r="B130" s="228"/>
      <c r="C130" s="215"/>
      <c r="D130" s="391" t="str">
        <f>IF(C6="","",C6)</f>
      </c>
      <c r="E130" s="215"/>
      <c r="F130" s="296"/>
    </row>
    <row r="131" spans="1:6" x14ac:dyDescent="0.25">
      <c r="A131" s="215">
        <f t="shared" si="1"/>
      </c>
      <c r="B131" s="228"/>
      <c r="C131" s="215"/>
      <c r="D131" s="391"/>
      <c r="E131" s="215"/>
      <c r="F131" s="296"/>
    </row>
    <row r="132" spans="1:6" ht="22.5" x14ac:dyDescent="0.25">
      <c r="A132" s="215">
        <f t="shared" si="1"/>
      </c>
      <c r="B132" s="230" t="str">
        <f>IF(AND('ВЛЗ-3'!A13="",'ВЛЗ-3'!A14=""),"",CONCATENATE(IF('ВЛЗ-3'!A13="","",'ВЛЗ-3'!A13),IF('ВЛЗ-3'!A14="","",'ВЛЗ-3'!A14)))</f>
      </c>
      <c r="C132" s="215"/>
      <c r="D132" s="391" t="str">
        <f>IF(C6="","",C6)</f>
      </c>
      <c r="E132" s="215"/>
      <c r="F132" s="296"/>
    </row>
    <row r="133" spans="1:6" x14ac:dyDescent="0.25">
      <c r="A133" s="215">
        <f t="shared" si="1"/>
      </c>
      <c r="B133" s="230" t="str">
        <f>IF(AND('ВЛЗ-6'!A13="",'ВЛЗ-6'!A14=""),"",CONCATENATE(IF('ВЛЗ-6'!A13="","",'ВЛЗ-6'!A13),IF('ВЛЗ-6'!A14="","",'ВЛЗ-6'!A14)))</f>
      </c>
      <c r="C133" s="215"/>
      <c r="D133" s="391" t="str">
        <f>IF(C6="","",C6)</f>
      </c>
      <c r="E133" s="215"/>
      <c r="F133" s="296"/>
    </row>
    <row r="134" spans="1:6" ht="22.5" x14ac:dyDescent="0.25">
      <c r="A134" s="215">
        <f t="shared" si="1"/>
      </c>
      <c r="B134" s="230" t="str">
        <f>IF(AND('ВЛЗ-8'!A13="",'ВЛЗ-8'!A14=""),"",CONCATENATE(IF('ВЛЗ-8'!A13="","",'ВЛЗ-8'!A13),IF('ВЛЗ-8'!A14="","",'ВЛЗ-8'!A14)))</f>
      </c>
      <c r="C134" s="215"/>
      <c r="D134" s="391" t="str">
        <f>IF(C6="","",C6)</f>
      </c>
      <c r="E134" s="215"/>
      <c r="F134" s="296"/>
    </row>
    <row r="135" spans="1:6" x14ac:dyDescent="0.25">
      <c r="A135" s="215">
        <f t="shared" si="1"/>
      </c>
      <c r="B135" s="230" t="str">
        <f>IF(AND('24 ВЛЗ'!A13="",'24 ВЛЗ'!A14=""),"",CONCATENATE(IF('24 ВЛЗ'!A13="","",'24 ВЛЗ'!A13),IF('24 ВЛЗ'!A14="","",'24 ВЛЗ'!A14)))</f>
      </c>
      <c r="C135" s="215"/>
      <c r="D135" s="391" t="str">
        <f>IF(C6="","",C6)</f>
      </c>
      <c r="E135" s="215"/>
      <c r="F135" s="296"/>
    </row>
    <row r="136" spans="1:6" x14ac:dyDescent="0.25">
      <c r="A136" s="215">
        <f t="shared" si="1"/>
      </c>
      <c r="B136" s="230" t="str">
        <f>IF(AND('26 ВЛЗ'!A13="",'26 ВЛЗ'!A14=""),"",CONCATENATE(IF('26 ВЛЗ'!A13="","",'26 ВЛЗ'!A13),IF('26 ВЛЗ'!A14="","",'26 ВЛЗ'!A14)))</f>
      </c>
      <c r="C136" s="215"/>
      <c r="D136" s="391" t="str">
        <f>IF(C6="","",C6)</f>
      </c>
      <c r="E136" s="215"/>
      <c r="F136" s="296"/>
    </row>
    <row r="137" spans="1:6" x14ac:dyDescent="0.25">
      <c r="A137" s="215">
        <f t="shared" si="1"/>
      </c>
      <c r="B137" s="230"/>
      <c r="C137" s="215"/>
      <c r="D137" s="391" t="str">
        <f>IF(C6="","",C6)</f>
      </c>
      <c r="E137" s="215"/>
      <c r="F137" s="296"/>
    </row>
    <row r="138" spans="1:6" x14ac:dyDescent="0.25">
      <c r="A138" s="215">
        <f t="shared" si="1"/>
      </c>
      <c r="B138" s="230"/>
      <c r="C138" s="215"/>
      <c r="D138" s="391" t="str">
        <f>IF(C6="","",C6)</f>
      </c>
      <c r="E138" s="215"/>
      <c r="F138" s="296"/>
    </row>
    <row r="139" spans="1:6" x14ac:dyDescent="0.25">
      <c r="A139" s="215">
        <f t="shared" si="1"/>
      </c>
      <c r="B139" s="230"/>
      <c r="C139" s="215"/>
      <c r="D139" s="391" t="str">
        <f>IF(C6="","",C6)</f>
      </c>
      <c r="E139" s="215"/>
      <c r="F139" s="296"/>
    </row>
    <row r="140" spans="1:6" x14ac:dyDescent="0.25">
      <c r="A140" s="215">
        <f t="shared" si="1"/>
      </c>
      <c r="B140" s="230"/>
      <c r="C140" s="215"/>
      <c r="D140" s="391" t="str">
        <f>IF(C6="","",C6)</f>
      </c>
      <c r="E140" s="215"/>
      <c r="F140" s="296"/>
    </row>
    <row r="141" spans="1:6" x14ac:dyDescent="0.25">
      <c r="A141" s="215">
        <f t="shared" si="1"/>
      </c>
      <c r="B141" s="230"/>
      <c r="C141" s="215"/>
      <c r="D141" s="391"/>
      <c r="E141" s="215"/>
      <c r="F141" s="296"/>
    </row>
    <row r="142" spans="1:6" x14ac:dyDescent="0.25">
      <c r="A142" s="215">
        <f t="shared" si="1"/>
      </c>
      <c r="B142" s="230"/>
      <c r="C142" s="215"/>
      <c r="D142" s="391" t="str">
        <f>IF(C6="","",C6)</f>
      </c>
      <c r="E142" s="215"/>
      <c r="F142" s="296"/>
    </row>
    <row r="143" spans="1:6" x14ac:dyDescent="0.25">
      <c r="A143" s="215">
        <f t="shared" si="1"/>
      </c>
      <c r="B143" s="230"/>
      <c r="C143" s="215"/>
      <c r="D143" s="391" t="str">
        <f>IF(C6="","",C6)</f>
      </c>
      <c r="E143" s="215"/>
      <c r="F143" s="296"/>
    </row>
    <row r="144" spans="1:6" x14ac:dyDescent="0.25">
      <c r="A144" s="215">
        <f t="shared" si="1"/>
      </c>
      <c r="B144" s="230"/>
      <c r="C144" s="215"/>
      <c r="D144" s="391" t="str">
        <f>IF(C6="","",C6)</f>
      </c>
      <c r="E144" s="215"/>
      <c r="F144" s="296"/>
    </row>
    <row r="145" spans="1:6" x14ac:dyDescent="0.25">
      <c r="A145" s="215">
        <f t="shared" ref="A145:A208" si="2">A144+1</f>
      </c>
      <c r="B145" s="230"/>
      <c r="C145" s="215"/>
      <c r="D145" s="391" t="str">
        <f>IF(C6="","",C6)</f>
      </c>
      <c r="E145" s="215"/>
      <c r="F145" s="296"/>
    </row>
    <row r="146" spans="1:6" x14ac:dyDescent="0.25">
      <c r="A146" s="215">
        <f t="shared" si="2"/>
      </c>
      <c r="B146" s="230"/>
      <c r="C146" s="215"/>
      <c r="D146" s="391"/>
      <c r="E146" s="215"/>
      <c r="F146" s="296"/>
    </row>
    <row r="147" spans="1:6" x14ac:dyDescent="0.25">
      <c r="A147" s="215">
        <f t="shared" si="2"/>
      </c>
      <c r="B147" s="230"/>
      <c r="C147" s="215"/>
      <c r="D147" s="391"/>
      <c r="E147" s="215"/>
      <c r="F147" s="296"/>
    </row>
    <row r="148" spans="1:6" x14ac:dyDescent="0.25">
      <c r="A148" s="215">
        <f t="shared" si="2"/>
      </c>
      <c r="B148" s="230"/>
      <c r="C148" s="215"/>
      <c r="D148" s="391"/>
      <c r="E148" s="215"/>
      <c r="F148" s="296"/>
    </row>
    <row r="149" spans="1:6" ht="22.5" x14ac:dyDescent="0.25">
      <c r="A149" s="215">
        <f t="shared" si="2"/>
      </c>
      <c r="B149" s="230"/>
      <c r="C149" s="215"/>
      <c r="D149" s="391" t="str">
        <f>IF(C6="","",C6)</f>
      </c>
      <c r="E149" s="215"/>
      <c r="F149" s="296"/>
    </row>
    <row r="150" spans="1:6" x14ac:dyDescent="0.25">
      <c r="A150" s="215">
        <f t="shared" si="2"/>
      </c>
      <c r="B150" s="230"/>
      <c r="C150" s="215"/>
      <c r="D150" s="391" t="str">
        <f>IF(C6="","",C6)</f>
      </c>
      <c r="E150" s="215"/>
      <c r="F150" s="296"/>
    </row>
    <row r="151" spans="1:6" x14ac:dyDescent="0.25">
      <c r="A151" s="215">
        <f t="shared" si="2"/>
      </c>
      <c r="B151" s="297"/>
      <c r="C151" s="215"/>
      <c r="D151" s="391" t="str">
        <f>IF(C6="","",C6)</f>
      </c>
      <c r="E151" s="215"/>
      <c r="F151" s="296"/>
    </row>
    <row r="152" spans="1:6" ht="22.5" x14ac:dyDescent="0.25">
      <c r="A152" s="215">
        <f t="shared" si="2"/>
      </c>
      <c r="B152" s="297"/>
      <c r="C152" s="215"/>
      <c r="D152" s="391" t="str">
        <f>IF(C6="","",C6)</f>
      </c>
      <c r="E152" s="215"/>
      <c r="F152" s="296"/>
    </row>
    <row r="153" spans="1:6" ht="22.5" x14ac:dyDescent="0.25">
      <c r="A153" s="215">
        <f t="shared" si="2"/>
      </c>
      <c r="B153" s="297"/>
      <c r="C153" s="215"/>
      <c r="D153" s="391" t="str">
        <f>IF(C6="","",C6)</f>
      </c>
      <c r="E153" s="215"/>
      <c r="F153" s="296"/>
    </row>
    <row r="154" spans="1:6" x14ac:dyDescent="0.25">
      <c r="A154" s="215">
        <f t="shared" si="2"/>
      </c>
      <c r="B154" s="297"/>
      <c r="C154" s="215"/>
      <c r="D154" s="391" t="str">
        <f>IF(C6="","",C6)</f>
      </c>
      <c r="E154" s="215"/>
      <c r="F154" s="296"/>
    </row>
    <row r="155" spans="1:6" x14ac:dyDescent="0.25">
      <c r="A155" s="215">
        <f t="shared" si="2"/>
      </c>
      <c r="B155" s="297"/>
      <c r="C155" s="215"/>
      <c r="D155" s="391" t="str">
        <f>IF(C6="","",C6)</f>
      </c>
      <c r="E155" s="215"/>
      <c r="F155" s="296"/>
    </row>
    <row r="156" spans="1:6" x14ac:dyDescent="0.25">
      <c r="A156" s="215">
        <f t="shared" si="2"/>
      </c>
      <c r="B156" s="297"/>
      <c r="C156" s="215"/>
      <c r="D156" s="391" t="str">
        <f>IF(C6="","",C6)</f>
      </c>
      <c r="E156" s="215"/>
      <c r="F156" s="296"/>
    </row>
    <row r="157" spans="1:6" x14ac:dyDescent="0.25">
      <c r="A157" s="215">
        <f t="shared" si="2"/>
      </c>
      <c r="B157" s="297"/>
      <c r="C157" s="215"/>
      <c r="D157" s="391"/>
      <c r="E157" s="215"/>
      <c r="F157" s="296"/>
    </row>
    <row r="158" spans="1:6" x14ac:dyDescent="0.25">
      <c r="A158" s="215">
        <f t="shared" si="2"/>
      </c>
      <c r="B158" s="297"/>
      <c r="C158" s="215"/>
      <c r="D158" s="391"/>
      <c r="E158" s="215"/>
      <c r="F158" s="296"/>
    </row>
    <row r="159" spans="1:6" x14ac:dyDescent="0.25">
      <c r="A159" s="215">
        <f t="shared" si="2"/>
      </c>
      <c r="B159" s="297"/>
      <c r="C159" s="215"/>
      <c r="D159" s="391"/>
      <c r="E159" s="215"/>
      <c r="F159" s="296"/>
    </row>
    <row r="160" spans="1:6" x14ac:dyDescent="0.25">
      <c r="A160" s="215">
        <f t="shared" si="2"/>
      </c>
      <c r="B160" s="297"/>
      <c r="C160" s="215"/>
      <c r="D160" s="391" t="str">
        <f>IF(C6="","",C6)</f>
      </c>
      <c r="E160" s="215"/>
      <c r="F160" s="296"/>
    </row>
    <row r="161" spans="1:6" x14ac:dyDescent="0.25">
      <c r="A161" s="215">
        <f t="shared" si="2"/>
      </c>
      <c r="B161" s="297"/>
      <c r="C161" s="215"/>
      <c r="D161" s="391" t="str">
        <f>IF(C6="","",C6)</f>
      </c>
      <c r="E161" s="215"/>
      <c r="F161" s="296"/>
    </row>
    <row r="162" spans="1:6" x14ac:dyDescent="0.25">
      <c r="A162" s="215">
        <f t="shared" si="2"/>
      </c>
      <c r="B162" s="297"/>
      <c r="C162" s="215"/>
      <c r="D162" s="391"/>
      <c r="E162" s="215"/>
      <c r="F162" s="296"/>
    </row>
    <row r="163" spans="1:6" x14ac:dyDescent="0.25">
      <c r="A163" s="215">
        <f t="shared" si="2"/>
      </c>
      <c r="B163" s="297"/>
      <c r="C163" s="215"/>
      <c r="D163" s="391" t="str">
        <f>IF(C6="","",C6)</f>
      </c>
      <c r="E163" s="215"/>
      <c r="F163" s="296"/>
    </row>
    <row r="164" spans="1:6" x14ac:dyDescent="0.25">
      <c r="A164" s="215">
        <f t="shared" si="2"/>
      </c>
      <c r="B164" s="297"/>
      <c r="C164" s="215"/>
      <c r="D164" s="391" t="str">
        <f>IF(C6="","",C6)</f>
      </c>
      <c r="E164" s="215"/>
      <c r="F164" s="296"/>
    </row>
    <row r="165" spans="1:6" x14ac:dyDescent="0.25">
      <c r="A165" s="215">
        <f t="shared" si="2"/>
      </c>
      <c r="B165" s="297"/>
      <c r="C165" s="215"/>
      <c r="D165" s="391" t="str">
        <f>IF(C6="","",C6)</f>
      </c>
      <c r="E165" s="215"/>
      <c r="F165" s="296"/>
    </row>
    <row r="166" spans="1:6" x14ac:dyDescent="0.25">
      <c r="A166" s="215">
        <f t="shared" si="2"/>
      </c>
      <c r="B166" s="297"/>
      <c r="C166" s="215"/>
      <c r="D166" s="391" t="str">
        <f>IF(C6="","",C6)</f>
      </c>
      <c r="E166" s="215"/>
      <c r="F166" s="296"/>
    </row>
    <row r="167" spans="1:6" x14ac:dyDescent="0.25">
      <c r="A167" s="215">
        <f t="shared" si="2"/>
      </c>
      <c r="B167" s="297"/>
      <c r="C167" s="215"/>
      <c r="D167" s="391"/>
      <c r="E167" s="215"/>
      <c r="F167" s="296"/>
    </row>
    <row r="168" spans="1:6" x14ac:dyDescent="0.25">
      <c r="A168" s="215">
        <f t="shared" si="2"/>
      </c>
      <c r="B168" s="297"/>
      <c r="C168" s="215"/>
      <c r="D168" s="391"/>
      <c r="E168" s="215"/>
      <c r="F168" s="296"/>
    </row>
    <row r="169" spans="1:6" x14ac:dyDescent="0.25">
      <c r="A169" s="215">
        <f t="shared" si="2"/>
      </c>
      <c r="B169" s="297"/>
      <c r="C169" s="215"/>
      <c r="D169" s="391"/>
      <c r="E169" s="215"/>
      <c r="F169" s="296"/>
    </row>
    <row r="170" spans="1:6" x14ac:dyDescent="0.25">
      <c r="A170" s="215">
        <f t="shared" si="2"/>
      </c>
      <c r="B170" s="297"/>
      <c r="C170" s="215"/>
      <c r="D170" s="391" t="str">
        <f>IF(C6="","",C6)</f>
      </c>
      <c r="E170" s="215"/>
      <c r="F170" s="296"/>
    </row>
    <row r="171" spans="1:6" x14ac:dyDescent="0.25">
      <c r="A171" s="215">
        <f t="shared" si="2"/>
      </c>
      <c r="B171" s="297"/>
      <c r="C171" s="215"/>
      <c r="D171" s="391" t="str">
        <f>IF(C6="","",C6)</f>
      </c>
      <c r="E171" s="215"/>
      <c r="F171" s="296"/>
    </row>
    <row r="172" spans="1:6" x14ac:dyDescent="0.25">
      <c r="A172" s="215">
        <f t="shared" si="2"/>
      </c>
      <c r="B172" s="229"/>
      <c r="C172" s="215"/>
      <c r="D172" s="391"/>
      <c r="E172" s="215"/>
      <c r="F172" s="296"/>
    </row>
    <row r="173" spans="1:6" ht="22.5" x14ac:dyDescent="0.25">
      <c r="A173" s="215">
        <f t="shared" si="2"/>
      </c>
      <c r="B173" s="229"/>
      <c r="C173" s="215"/>
      <c r="D173" s="391"/>
      <c r="E173" s="215"/>
      <c r="F173" s="296"/>
    </row>
    <row r="174" spans="1:6" ht="33.75" x14ac:dyDescent="0.25">
      <c r="A174" s="215">
        <f t="shared" si="2"/>
      </c>
      <c r="B174" s="229"/>
      <c r="C174" s="215"/>
      <c r="D174" s="391"/>
      <c r="E174" s="215"/>
      <c r="F174" s="296"/>
    </row>
    <row r="175" spans="1:6" ht="45" x14ac:dyDescent="0.25">
      <c r="A175" s="215">
        <f t="shared" si="2"/>
      </c>
      <c r="B175" s="229"/>
      <c r="C175" s="215"/>
      <c r="D175" s="391"/>
      <c r="E175" s="215"/>
      <c r="F175" s="296"/>
    </row>
    <row r="176" spans="1:6" ht="22.5" x14ac:dyDescent="0.25">
      <c r="A176" s="215">
        <f t="shared" si="2"/>
      </c>
      <c r="B176" s="229"/>
      <c r="C176" s="215"/>
      <c r="D176" s="391"/>
      <c r="E176" s="215"/>
      <c r="F176" s="296"/>
    </row>
    <row r="177" spans="1:6" x14ac:dyDescent="0.25">
      <c r="A177" s="215">
        <f t="shared" si="2"/>
      </c>
      <c r="B177" s="229"/>
      <c r="C177" s="215"/>
      <c r="D177" s="391"/>
      <c r="E177" s="215"/>
      <c r="F177" s="296"/>
    </row>
    <row r="178" spans="1:6" x14ac:dyDescent="0.25">
      <c r="A178" s="215">
        <f t="shared" si="2"/>
      </c>
      <c r="B178" s="229"/>
      <c r="C178" s="215"/>
      <c r="D178" s="391"/>
      <c r="E178" s="215"/>
      <c r="F178" s="296"/>
    </row>
    <row r="179" spans="1:6" x14ac:dyDescent="0.25">
      <c r="A179" s="215">
        <f t="shared" si="2"/>
      </c>
      <c r="B179" s="229"/>
      <c r="C179" s="215"/>
      <c r="D179" s="391"/>
      <c r="E179" s="215"/>
      <c r="F179" s="296"/>
    </row>
    <row r="180" spans="1:6" ht="36.75" customHeight="1" x14ac:dyDescent="0.25">
      <c r="A180" s="215">
        <f t="shared" si="2"/>
      </c>
      <c r="B180" s="229"/>
      <c r="C180" s="215"/>
      <c r="D180" s="391"/>
      <c r="E180" s="215"/>
      <c r="F180" s="296"/>
    </row>
    <row r="181" spans="1:6" x14ac:dyDescent="0.25">
      <c r="A181" s="215">
        <f t="shared" si="2"/>
      </c>
      <c r="B181" s="229"/>
      <c r="C181" s="215"/>
      <c r="D181" s="391"/>
      <c r="E181" s="215"/>
      <c r="F181" s="296"/>
    </row>
    <row r="182" spans="1:6" x14ac:dyDescent="0.25">
      <c r="A182" s="215">
        <f t="shared" si="2"/>
      </c>
      <c r="B182" s="229"/>
      <c r="C182" s="215"/>
      <c r="D182" s="391"/>
      <c r="E182" s="215"/>
      <c r="F182" s="296"/>
    </row>
    <row r="183" spans="1:6" x14ac:dyDescent="0.25">
      <c r="A183" s="215">
        <f t="shared" si="2"/>
      </c>
      <c r="B183" s="229"/>
      <c r="C183" s="215"/>
      <c r="D183" s="391"/>
      <c r="E183" s="215"/>
      <c r="F183" s="296"/>
    </row>
    <row r="184" spans="1:6" x14ac:dyDescent="0.25">
      <c r="A184" s="215">
        <f t="shared" si="2"/>
      </c>
      <c r="B184" s="229"/>
      <c r="C184" s="215"/>
      <c r="D184" s="391"/>
      <c r="E184" s="215"/>
      <c r="F184" s="296"/>
    </row>
    <row r="185" spans="1:6" x14ac:dyDescent="0.25">
      <c r="A185" s="215">
        <f t="shared" si="2"/>
      </c>
      <c r="B185" s="229"/>
      <c r="C185" s="215"/>
      <c r="D185" s="391"/>
      <c r="E185" s="215"/>
      <c r="F185" s="296"/>
    </row>
    <row r="186" spans="1:6" x14ac:dyDescent="0.25">
      <c r="A186" s="215">
        <f t="shared" si="2"/>
      </c>
      <c r="B186" s="229"/>
      <c r="C186" s="215"/>
      <c r="D186" s="391"/>
      <c r="E186" s="215"/>
      <c r="F186" s="296"/>
    </row>
    <row r="187" spans="1:6" x14ac:dyDescent="0.25">
      <c r="A187" s="215">
        <f t="shared" si="2"/>
      </c>
      <c r="B187" s="229"/>
      <c r="C187" s="215"/>
      <c r="D187" s="391"/>
      <c r="E187" s="215"/>
      <c r="F187" s="296"/>
    </row>
    <row r="188" spans="1:6" ht="33.75" x14ac:dyDescent="0.25">
      <c r="A188" s="215">
        <f t="shared" si="2"/>
      </c>
      <c r="B188" s="227" t="str">
        <f>IF(AND('ПНР ТП'!A13="",'ПНР ТП'!A14=""),"",CONCATENATE(IF('ПНР ТП'!A13="","",'ПНР ТП'!A13),IF('ПНР ТП'!A14="","",'ПНР ТП'!A14)))</f>
      </c>
      <c r="C188" s="215"/>
      <c r="D188" s="391" t="str">
        <f>IF(C6="","",C6)</f>
      </c>
      <c r="E188" s="215"/>
      <c r="F188" s="296"/>
    </row>
    <row r="189" spans="1:6" x14ac:dyDescent="0.25">
      <c r="A189" s="215">
        <f t="shared" si="2"/>
      </c>
      <c r="B189" s="227"/>
      <c r="C189" s="215"/>
      <c r="D189" s="391"/>
      <c r="E189" s="215"/>
      <c r="F189" s="296"/>
    </row>
    <row r="190" spans="1:6" x14ac:dyDescent="0.25">
      <c r="A190" s="215">
        <f t="shared" si="2"/>
      </c>
      <c r="B190" s="226"/>
      <c r="C190" s="215"/>
      <c r="D190" s="391" t="str">
        <f>IF(C6="","",C6)</f>
      </c>
      <c r="E190" s="215"/>
      <c r="F190" s="296"/>
    </row>
    <row r="191" spans="1:6" x14ac:dyDescent="0.25">
      <c r="A191" s="215">
        <f t="shared" si="2"/>
      </c>
      <c r="B191" s="226"/>
      <c r="C191" s="215"/>
      <c r="D191" s="391" t="str">
        <f>IF(C6="","",C6)</f>
      </c>
      <c r="E191" s="215"/>
      <c r="F191" s="296"/>
    </row>
    <row r="192" spans="1:6" x14ac:dyDescent="0.25">
      <c r="A192" s="215">
        <f t="shared" si="2"/>
      </c>
      <c r="B192" s="226"/>
      <c r="C192" s="215"/>
      <c r="D192" s="391"/>
      <c r="E192" s="215"/>
      <c r="F192" s="296"/>
    </row>
    <row r="193" spans="1:6" x14ac:dyDescent="0.25">
      <c r="A193" s="215">
        <f t="shared" si="2"/>
      </c>
      <c r="B193" s="226"/>
      <c r="C193" s="215"/>
      <c r="D193" s="391" t="str">
        <f>IF(C6="","",C6)</f>
      </c>
      <c r="E193" s="215"/>
      <c r="F193" s="296"/>
    </row>
    <row r="194" spans="1:6" x14ac:dyDescent="0.25">
      <c r="A194" s="215">
        <f t="shared" si="2"/>
      </c>
      <c r="B194" s="226"/>
      <c r="C194" s="215"/>
      <c r="D194" s="391"/>
      <c r="E194" s="215"/>
      <c r="F194" s="296"/>
    </row>
    <row r="195" spans="1:6" x14ac:dyDescent="0.25">
      <c r="A195" s="215">
        <f t="shared" si="2"/>
      </c>
      <c r="B195" s="226"/>
      <c r="C195" s="215"/>
      <c r="D195" s="391" t="str">
        <f>IF(C6="","",C6)</f>
      </c>
      <c r="E195" s="215"/>
      <c r="F195" s="296"/>
    </row>
    <row r="196" spans="1:6" x14ac:dyDescent="0.25">
      <c r="A196" s="215">
        <f t="shared" si="2"/>
      </c>
      <c r="B196" s="226"/>
      <c r="C196" s="215"/>
      <c r="D196" s="391"/>
      <c r="E196" s="215"/>
      <c r="F196" s="296"/>
    </row>
    <row r="197" spans="1:6" x14ac:dyDescent="0.25">
      <c r="A197" s="215">
        <f t="shared" si="2"/>
      </c>
      <c r="B197" s="226"/>
      <c r="C197" s="215"/>
      <c r="D197" s="391" t="str">
        <f>IF(C6="","",C6)</f>
      </c>
      <c r="E197" s="215"/>
      <c r="F197" s="296"/>
    </row>
    <row r="198" spans="1:6" x14ac:dyDescent="0.25">
      <c r="A198" s="215">
        <f t="shared" si="2"/>
      </c>
      <c r="B198" s="226"/>
      <c r="C198" s="215"/>
      <c r="D198" s="391"/>
      <c r="E198" s="215"/>
      <c r="F198" s="296"/>
    </row>
    <row r="199" spans="1:6" x14ac:dyDescent="0.25">
      <c r="A199" s="215">
        <f t="shared" si="2"/>
      </c>
      <c r="B199" s="226"/>
      <c r="C199" s="215"/>
      <c r="D199" s="391" t="str">
        <f>IF(C6="","",C6)</f>
      </c>
      <c r="E199" s="215"/>
      <c r="F199" s="296"/>
    </row>
    <row r="200" spans="1:6" x14ac:dyDescent="0.25">
      <c r="A200" s="215">
        <f t="shared" si="2"/>
      </c>
      <c r="B200" s="226"/>
      <c r="C200" s="215"/>
      <c r="D200" s="391"/>
      <c r="E200" s="215"/>
      <c r="F200" s="296"/>
    </row>
    <row r="201" spans="1:6" x14ac:dyDescent="0.25">
      <c r="A201" s="215">
        <f t="shared" si="2"/>
      </c>
      <c r="B201" s="226"/>
      <c r="C201" s="215"/>
      <c r="D201" s="391" t="str">
        <f>IF(C6="","",C6)</f>
      </c>
      <c r="E201" s="215"/>
      <c r="F201" s="296"/>
    </row>
    <row r="202" spans="1:6" x14ac:dyDescent="0.25">
      <c r="A202" s="215">
        <f t="shared" si="2"/>
      </c>
      <c r="B202" s="226"/>
      <c r="C202" s="215"/>
      <c r="D202" s="391"/>
      <c r="E202" s="215"/>
      <c r="F202" s="296"/>
    </row>
    <row r="203" spans="1:6" x14ac:dyDescent="0.25">
      <c r="A203" s="215">
        <f t="shared" si="2"/>
      </c>
      <c r="B203" s="226"/>
      <c r="C203" s="215"/>
      <c r="D203" s="391" t="str">
        <f>IF(C6="","",C6)</f>
      </c>
      <c r="E203" s="215"/>
      <c r="F203" s="296"/>
    </row>
    <row r="204" spans="1:6" x14ac:dyDescent="0.25">
      <c r="A204" s="215">
        <f t="shared" si="2"/>
      </c>
      <c r="B204" s="226"/>
      <c r="C204" s="215"/>
      <c r="D204" s="391"/>
      <c r="E204" s="215"/>
      <c r="F204" s="296"/>
    </row>
    <row r="205" spans="1:6" x14ac:dyDescent="0.25">
      <c r="A205" s="215">
        <f t="shared" si="2"/>
      </c>
      <c r="B205" s="226"/>
      <c r="C205" s="215"/>
      <c r="D205" s="391" t="str">
        <f>IF(C6="","",C6)</f>
      </c>
      <c r="E205" s="215"/>
      <c r="F205" s="296"/>
    </row>
    <row r="206" spans="1:6" x14ac:dyDescent="0.25">
      <c r="A206" s="215">
        <f t="shared" si="2"/>
      </c>
      <c r="B206" s="226"/>
      <c r="C206" s="215"/>
      <c r="D206" s="391"/>
      <c r="E206" s="215"/>
      <c r="F206" s="296"/>
    </row>
    <row r="207" spans="1:6" x14ac:dyDescent="0.25">
      <c r="A207" s="215">
        <f t="shared" si="2"/>
      </c>
      <c r="B207" s="226"/>
      <c r="C207" s="215"/>
      <c r="D207" s="391" t="str">
        <f>IF(C6="","",C6)</f>
      </c>
      <c r="E207" s="215"/>
      <c r="F207" s="296"/>
    </row>
    <row r="208" spans="1:6" x14ac:dyDescent="0.25">
      <c r="A208" s="215">
        <f t="shared" si="2"/>
      </c>
      <c r="B208" s="226"/>
      <c r="C208" s="215"/>
      <c r="D208" s="391"/>
      <c r="E208" s="215"/>
      <c r="F208" s="296"/>
    </row>
    <row r="209" spans="1:6" x14ac:dyDescent="0.25">
      <c r="A209" s="215">
        <f t="shared" ref="A209:A234" si="3">A208+1</f>
      </c>
      <c r="B209" s="226"/>
      <c r="C209" s="215"/>
      <c r="D209" s="391" t="str">
        <f>IF(C6="","",C6)</f>
      </c>
      <c r="E209" s="215"/>
      <c r="F209" s="296"/>
    </row>
    <row r="210" spans="1:6" x14ac:dyDescent="0.25">
      <c r="A210" s="215">
        <f t="shared" si="3"/>
      </c>
      <c r="B210" s="226"/>
      <c r="C210" s="215"/>
      <c r="D210" s="391"/>
      <c r="E210" s="215"/>
      <c r="F210" s="296"/>
    </row>
    <row r="211" spans="1:6" x14ac:dyDescent="0.25">
      <c r="A211" s="215">
        <f t="shared" si="3"/>
      </c>
      <c r="B211" s="226"/>
      <c r="C211" s="215"/>
      <c r="D211" s="391" t="str">
        <f>IF(C6="","",C6)</f>
      </c>
      <c r="E211" s="215"/>
      <c r="F211" s="296"/>
    </row>
    <row r="212" spans="1:6" x14ac:dyDescent="0.25">
      <c r="A212" s="215">
        <f t="shared" si="3"/>
      </c>
      <c r="B212" s="226"/>
      <c r="C212" s="215"/>
      <c r="D212" s="391"/>
      <c r="E212" s="215"/>
      <c r="F212" s="296"/>
    </row>
    <row r="213" spans="1:6" x14ac:dyDescent="0.25">
      <c r="A213" s="215">
        <f t="shared" si="3"/>
      </c>
      <c r="B213" s="226"/>
      <c r="C213" s="215"/>
      <c r="D213" s="391" t="str">
        <f>IF(C6="","",C6)</f>
      </c>
      <c r="E213" s="215"/>
      <c r="F213" s="296"/>
    </row>
    <row r="214" spans="1:6" x14ac:dyDescent="0.25">
      <c r="A214" s="215">
        <f t="shared" si="3"/>
      </c>
      <c r="B214" s="226"/>
      <c r="C214" s="215"/>
      <c r="D214" s="391"/>
      <c r="E214" s="215"/>
      <c r="F214" s="296"/>
    </row>
    <row r="215" spans="1:6" x14ac:dyDescent="0.25">
      <c r="A215" s="215">
        <f t="shared" si="3"/>
      </c>
      <c r="B215" s="226"/>
      <c r="C215" s="215"/>
      <c r="D215" s="391" t="str">
        <f>IF(C6="","",C6)</f>
      </c>
      <c r="E215" s="215"/>
      <c r="F215" s="296"/>
    </row>
    <row r="216" spans="1:6" x14ac:dyDescent="0.25">
      <c r="A216" s="215">
        <f t="shared" si="3"/>
      </c>
      <c r="B216" s="226"/>
      <c r="C216" s="215"/>
      <c r="D216" s="391"/>
      <c r="E216" s="215"/>
      <c r="F216" s="296"/>
    </row>
    <row r="217" spans="1:6" x14ac:dyDescent="0.25">
      <c r="A217" s="215">
        <f t="shared" si="3"/>
      </c>
      <c r="B217" s="226"/>
      <c r="C217" s="215"/>
      <c r="D217" s="391" t="str">
        <f>IF(C6="","",C6)</f>
      </c>
      <c r="E217" s="215"/>
      <c r="F217" s="296"/>
    </row>
    <row r="218" spans="1:6" x14ac:dyDescent="0.25">
      <c r="A218" s="215">
        <f t="shared" si="3"/>
      </c>
      <c r="B218" s="226"/>
      <c r="C218" s="215"/>
      <c r="D218" s="391"/>
      <c r="E218" s="215"/>
      <c r="F218" s="296"/>
    </row>
    <row r="219" spans="1:6" x14ac:dyDescent="0.25">
      <c r="A219" s="215">
        <f t="shared" si="3"/>
      </c>
      <c r="B219" s="226"/>
      <c r="C219" s="215"/>
      <c r="D219" s="391" t="str">
        <f>IF(C6="","",C6)</f>
      </c>
      <c r="E219" s="215"/>
      <c r="F219" s="296"/>
    </row>
    <row r="220" spans="1:6" x14ac:dyDescent="0.25">
      <c r="A220" s="215">
        <f t="shared" si="3"/>
      </c>
      <c r="B220" s="226"/>
      <c r="C220" s="215"/>
      <c r="D220" s="391"/>
      <c r="E220" s="215"/>
      <c r="F220" s="296"/>
    </row>
    <row r="221" spans="1:6" x14ac:dyDescent="0.25">
      <c r="A221" s="215">
        <f t="shared" si="3"/>
      </c>
      <c r="B221" s="226"/>
      <c r="C221" s="215"/>
      <c r="D221" s="391" t="str">
        <f>IF(C6="","",C6)</f>
      </c>
      <c r="E221" s="215"/>
      <c r="F221" s="296"/>
    </row>
    <row r="222" spans="1:6" x14ac:dyDescent="0.25">
      <c r="A222" s="215">
        <f t="shared" si="3"/>
      </c>
      <c r="B222" s="226"/>
      <c r="C222" s="215"/>
      <c r="D222" s="391"/>
      <c r="E222" s="215"/>
      <c r="F222" s="296"/>
    </row>
    <row r="223" spans="1:6" x14ac:dyDescent="0.25">
      <c r="A223" s="215">
        <f t="shared" si="3"/>
      </c>
      <c r="B223" s="226"/>
      <c r="C223" s="215"/>
      <c r="D223" s="391" t="str">
        <f>IF(C6="","",C6)</f>
      </c>
      <c r="E223" s="215"/>
      <c r="F223" s="296"/>
    </row>
    <row r="224" spans="1:6" x14ac:dyDescent="0.25">
      <c r="A224" s="215">
        <f t="shared" si="3"/>
      </c>
      <c r="B224" s="226"/>
      <c r="C224" s="215"/>
      <c r="D224" s="391"/>
      <c r="E224" s="215"/>
      <c r="F224" s="296"/>
    </row>
    <row r="225" spans="1:6" x14ac:dyDescent="0.25">
      <c r="A225" s="215">
        <f t="shared" si="3"/>
      </c>
      <c r="B225" s="226"/>
      <c r="C225" s="215"/>
      <c r="D225" s="391" t="str">
        <f>IF(C6="","",C6)</f>
      </c>
      <c r="E225" s="215"/>
      <c r="F225" s="296"/>
    </row>
    <row r="226" spans="1:6" s="393" customFormat="1" x14ac:dyDescent="0.25">
      <c r="A226" s="215">
        <f t="shared" si="3"/>
      </c>
      <c r="B226" s="226"/>
      <c r="C226" s="215"/>
      <c r="D226" s="391"/>
      <c r="E226" s="215"/>
      <c r="F226" s="296"/>
    </row>
    <row r="227" spans="1:6" s="393" customFormat="1" x14ac:dyDescent="0.25">
      <c r="A227" s="215">
        <f t="shared" si="3"/>
      </c>
      <c r="B227" s="226"/>
      <c r="C227" s="215"/>
      <c r="D227" s="391" t="str">
        <f>IF(C6="","",C6)</f>
      </c>
      <c r="E227" s="215"/>
      <c r="F227" s="296"/>
    </row>
    <row r="228" spans="1:6" s="393" customFormat="1" x14ac:dyDescent="0.25">
      <c r="A228" s="215">
        <f t="shared" si="3"/>
      </c>
      <c r="B228" s="226"/>
      <c r="C228" s="215"/>
      <c r="D228" s="391"/>
      <c r="E228" s="215"/>
      <c r="F228" s="296"/>
    </row>
    <row r="229" spans="1:6" s="393" customFormat="1" x14ac:dyDescent="0.25">
      <c r="A229" s="215">
        <f t="shared" si="3"/>
      </c>
      <c r="B229" s="226"/>
      <c r="C229" s="215"/>
      <c r="D229" s="391" t="str">
        <f>IF(C6="","",C6)</f>
      </c>
      <c r="E229" s="215"/>
      <c r="F229" s="296"/>
    </row>
    <row r="230" spans="1:6" s="393" customFormat="1" x14ac:dyDescent="0.25">
      <c r="A230" s="215">
        <f t="shared" si="3"/>
      </c>
      <c r="B230" s="226"/>
      <c r="C230" s="215"/>
      <c r="D230" s="391"/>
      <c r="E230" s="215"/>
      <c r="F230" s="296"/>
    </row>
    <row r="231" spans="1:6" s="393" customFormat="1" x14ac:dyDescent="0.25">
      <c r="A231" s="215">
        <f t="shared" si="3"/>
      </c>
      <c r="B231" s="226"/>
      <c r="C231" s="215"/>
      <c r="D231" s="391" t="str">
        <f>IF(C6="","",C6)</f>
      </c>
      <c r="E231" s="215"/>
      <c r="F231" s="296"/>
    </row>
    <row r="232" spans="1:6" x14ac:dyDescent="0.25">
      <c r="A232" s="215">
        <f t="shared" si="3"/>
      </c>
      <c r="B232" s="298"/>
      <c r="C232" s="215"/>
      <c r="D232" s="391" t="str">
        <f>IF(C6="","",C6)</f>
      </c>
      <c r="E232" s="215"/>
      <c r="F232" s="296"/>
    </row>
    <row r="233" spans="1:6" s="393" customFormat="1" x14ac:dyDescent="0.25">
      <c r="A233" s="215">
        <f t="shared" si="3"/>
      </c>
      <c r="B233" s="298"/>
      <c r="C233" s="215"/>
      <c r="D233" s="391" t="str">
        <f>IF(C6="","",C6)</f>
      </c>
      <c r="E233" s="215"/>
      <c r="F233" s="296"/>
    </row>
    <row r="234" spans="1:6" s="393" customFormat="1" x14ac:dyDescent="0.25">
      <c r="A234" s="215">
        <f t="shared" si="3"/>
      </c>
      <c r="B234" s="298"/>
      <c r="C234" s="215"/>
      <c r="D234" s="391" t="str">
        <f>IF(C6="","",C6)</f>
      </c>
      <c r="E234" s="215"/>
      <c r="F234" s="296"/>
    </row>
    <row r="236" spans="1:6" ht="15.95" customHeight="1" x14ac:dyDescent="0.25">
      <c r="A236" s="573"/>
      <c r="B236" s="572"/>
      <c r="C236" s="572"/>
      <c r="D236" s="572"/>
      <c r="E236" s="572"/>
      <c r="F236" s="572"/>
    </row>
    <row r="237" spans="1:6" ht="19.5" customHeight="1" x14ac:dyDescent="0.25">
      <c r="A237" s="573"/>
      <c r="B237" s="573"/>
      <c r="C237" s="573"/>
      <c r="D237" s="573"/>
      <c r="E237" s="573"/>
      <c r="F237" s="573"/>
    </row>
    <row r="238" spans="1:6" ht="42.6" customHeight="1" x14ac:dyDescent="0.25">
      <c r="A238" s="753" t="str">
        <f>IF('Данные объект'!B3="","",'Данные объект'!B3)</f>
      </c>
      <c r="B238" s="753"/>
      <c r="C238" s="753"/>
      <c r="D238" s="753"/>
      <c r="E238" s="753"/>
      <c r="F238" s="753"/>
    </row>
    <row r="239" spans="1:6" ht="17.25" customHeight="1" x14ac:dyDescent="0.25">
      <c r="A239" s="231"/>
      <c r="B239" s="378">
        <f>IF(F224="","",F224)</f>
      </c>
      <c r="C239" s="368"/>
      <c r="D239" s="368"/>
      <c r="E239" s="368"/>
      <c r="F239" s="368"/>
    </row>
    <row r="240" spans="1:6" ht="12.95" customHeight="1" x14ac:dyDescent="0.25">
      <c r="A240" s="580"/>
      <c r="B240" s="572"/>
      <c r="C240" s="572"/>
      <c r="D240" s="572"/>
      <c r="E240" s="572"/>
      <c r="F240" s="572"/>
    </row>
    <row r="241" spans="1:6" ht="12.95" customHeight="1" x14ac:dyDescent="0.25">
      <c r="A241" s="580"/>
      <c r="B241" s="580"/>
      <c r="C241" s="361"/>
      <c r="D241" s="361"/>
      <c r="E241" s="361"/>
      <c r="F241" s="361"/>
    </row>
    <row r="242" spans="1:6" ht="12.95" customHeight="1" x14ac:dyDescent="0.25">
      <c r="A242" s="363"/>
      <c r="B242" s="363"/>
      <c r="C242" s="361"/>
      <c r="D242" s="361"/>
      <c r="E242" s="361"/>
      <c r="F242" s="361"/>
    </row>
    <row r="243" spans="1:6" ht="23.25" x14ac:dyDescent="0.25">
      <c r="A243" s="362"/>
      <c r="B243" s="232" t="str">
        <f>IF('Данные объект'!C25="","",'Данные объект'!C25)</f>
      </c>
      <c r="C243" s="233"/>
      <c r="D243" s="232"/>
      <c r="E243" s="233"/>
      <c r="F243" s="232"/>
    </row>
    <row r="244" spans="1:6" x14ac:dyDescent="0.25">
      <c r="A244" s="365"/>
      <c r="B244" s="369"/>
      <c r="C244" s="225"/>
      <c r="D244" s="369"/>
      <c r="E244" s="225"/>
      <c r="F244" s="369"/>
    </row>
    <row r="245" spans="1:6" ht="12.95" customHeight="1" x14ac:dyDescent="0.25">
      <c r="A245" s="580"/>
      <c r="B245" s="572"/>
      <c r="C245" s="572"/>
      <c r="D245" s="572"/>
      <c r="E245" s="572"/>
      <c r="F245" s="572"/>
    </row>
    <row r="246" spans="1:6" ht="12.95" customHeight="1" x14ac:dyDescent="0.25">
      <c r="A246" s="580"/>
      <c r="B246" s="580"/>
      <c r="C246" s="361"/>
      <c r="D246" s="361"/>
      <c r="E246" s="361"/>
      <c r="F246" s="361"/>
    </row>
    <row r="247" spans="1:6" ht="12.95" customHeight="1" x14ac:dyDescent="0.25">
      <c r="A247" s="363"/>
      <c r="B247" s="363"/>
      <c r="C247" s="361"/>
      <c r="D247" s="361"/>
      <c r="E247" s="361"/>
      <c r="F247" s="361"/>
    </row>
    <row r="248" spans="1:6" ht="23.25" x14ac:dyDescent="0.25">
      <c r="A248" s="362"/>
      <c r="B248" s="232" t="str">
        <f>IF('Данные объект'!C42="","",'Данные объект'!C42)</f>
      </c>
      <c r="C248" s="233"/>
      <c r="D248" s="232"/>
      <c r="E248" s="233"/>
      <c r="F248" s="232"/>
    </row>
    <row r="249" spans="1:6" x14ac:dyDescent="0.25">
      <c r="A249" s="365"/>
      <c r="B249" s="369"/>
      <c r="C249" s="225"/>
      <c r="D249" s="369"/>
      <c r="E249" s="225"/>
      <c r="F249" s="369"/>
    </row>
    <row r="251" spans="1:6" ht="23.25" x14ac:dyDescent="0.25">
      <c r="B251" s="232" t="str">
        <f>IF('Данные объект'!C37="","",'Данные объект'!C37)</f>
      </c>
    </row>
    <row r="252" spans="1:6" x14ac:dyDescent="0.25">
      <c r="B252" s="369"/>
      <c r="C252" s="225"/>
      <c r="D252" s="369"/>
      <c r="E252" s="225"/>
      <c r="F252" s="369"/>
    </row>
  </sheetData>
  <mergeCells count="19">
    <mergeCell ref="A1:F1"/>
    <mergeCell ref="A2:F2"/>
    <mergeCell ref="A3:F3"/>
    <mergeCell ref="C4:F4"/>
    <mergeCell ref="A5:B5"/>
    <mergeCell ref="C5:F5"/>
    <mergeCell ref="A6:B6"/>
    <mergeCell ref="C6:F6"/>
    <mergeCell ref="A8:F8"/>
    <mergeCell ref="A10:F10"/>
    <mergeCell ref="A12:F12"/>
    <mergeCell ref="A241:B241"/>
    <mergeCell ref="A245:F245"/>
    <mergeCell ref="A246:B246"/>
    <mergeCell ref="A11:F11"/>
    <mergeCell ref="A236:F236"/>
    <mergeCell ref="A237:F237"/>
    <mergeCell ref="A238:F238"/>
    <mergeCell ref="A240:F240"/>
  </mergeCells>
  <pageMargins left="0.89" right="0.49" top="0.49" bottom="0.69" header="0.49" footer="0.49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3478-69E3-4FBB-88D7-F695EC80CAD2}">
  <sheetPr>
    <tabColor rgb="FFFFFF99"/>
    <pageSetUpPr fitToPage="1"/>
  </sheetPr>
  <dimension ref="A1:K31"/>
  <sheetViews>
    <sheetView view="pageBreakPreview" zoomScaleNormal="100" zoomScaleSheetLayoutView="100" workbookViewId="0">
      <selection activeCell="M22" sqref="M22"/>
    </sheetView>
  </sheetViews>
  <sheetFormatPr defaultColWidth="9.140625" defaultRowHeight="15" x14ac:dyDescent="0.25"/>
  <cols>
    <col min="1" max="1" width="6.42578125" style="364" customWidth="1"/>
    <col min="2" max="2" width="11.85546875" style="364" customWidth="1"/>
    <col min="3" max="3" width="8.42578125" style="364" customWidth="1"/>
    <col min="4" max="8" width="9.140625" style="364"/>
    <col min="9" max="9" width="18.42578125" style="364" customWidth="1"/>
    <col min="10" max="10" width="9.140625" style="364" customWidth="1"/>
    <col min="11" max="16384" width="9.140625" style="364"/>
  </cols>
  <sheetData>
    <row r="1" spans="1:11" ht="15.95" customHeight="1" x14ac:dyDescent="0.25">
      <c r="A1" s="654" t="s">
        <v>1234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11" ht="15.95" hidden="1" customHeight="1" x14ac:dyDescent="0.25">
      <c r="A2" s="734" t="s">
        <v>1102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1" ht="15.95" hidden="1" customHeight="1" x14ac:dyDescent="0.25">
      <c r="A3" s="734" t="s">
        <v>1113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</row>
    <row r="4" spans="1:11" ht="30" customHeight="1" x14ac:dyDescent="0.25">
      <c r="A4" s="770" t="s">
        <v>1282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</row>
    <row r="5" spans="1:11" ht="26.25" customHeight="1" x14ac:dyDescent="0.25">
      <c r="A5" s="683" t="s">
        <v>1114</v>
      </c>
      <c r="B5" s="618"/>
      <c r="C5" s="618"/>
      <c r="D5" s="618"/>
      <c r="E5" s="618"/>
      <c r="F5" s="618"/>
      <c r="G5" s="618"/>
      <c r="H5" s="618"/>
      <c r="I5" s="618"/>
      <c r="J5" s="618"/>
      <c r="K5" s="618"/>
    </row>
    <row r="6" spans="1:11" ht="17.100000000000001" customHeight="1" x14ac:dyDescent="0.25">
      <c r="A6" s="764" t="str">
        <f>IF('Данные объект'!B2="","",'Данные объект'!B2)</f>
      </c>
      <c r="B6" s="618"/>
      <c r="C6" s="618"/>
      <c r="D6" s="618"/>
      <c r="E6" s="618"/>
      <c r="F6" s="618"/>
      <c r="G6" s="618"/>
      <c r="H6" s="618"/>
      <c r="I6" s="618"/>
      <c r="J6" s="618"/>
      <c r="K6" s="618"/>
    </row>
    <row r="7" spans="1:11" ht="39" customHeight="1" x14ac:dyDescent="0.25">
      <c r="A7" s="574" t="str">
        <f>IF('Данные объект'!B3="","",'Данные объект'!B3)</f>
      </c>
      <c r="B7" s="623"/>
      <c r="C7" s="623"/>
      <c r="D7" s="623"/>
      <c r="E7" s="623"/>
      <c r="F7" s="623"/>
      <c r="G7" s="623"/>
      <c r="H7" s="623"/>
      <c r="I7" s="623"/>
      <c r="J7" s="623"/>
      <c r="K7" s="623"/>
    </row>
    <row r="8" spans="1:11" ht="12" customHeight="1" x14ac:dyDescent="0.25">
      <c r="A8" s="762" t="s">
        <v>1115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</row>
    <row r="9" spans="1:11" ht="17.100000000000001" customHeight="1" x14ac:dyDescent="0.25">
      <c r="A9" s="217" t="s">
        <v>1117</v>
      </c>
      <c r="C9" s="568" t="str">
        <f>IF('Данные объект'!B19="","",'Данные объект'!B19)</f>
      </c>
      <c r="D9" s="568"/>
      <c r="E9" s="568"/>
      <c r="F9" s="568"/>
      <c r="G9" s="568"/>
      <c r="H9" s="568"/>
      <c r="I9" s="568"/>
      <c r="J9" s="568"/>
      <c r="K9" s="568"/>
    </row>
    <row r="10" spans="1:11" ht="28.5" customHeight="1" x14ac:dyDescent="0.25">
      <c r="A10" s="376" t="s">
        <v>1381</v>
      </c>
      <c r="B10" s="769" t="str">
        <f>IF('Данные объект'!C25="","",'Данные объект'!C25)</f>
      </c>
      <c r="C10" s="769"/>
      <c r="D10" s="769"/>
      <c r="E10" s="769"/>
      <c r="F10" s="769"/>
      <c r="G10" s="769"/>
      <c r="H10" s="769"/>
      <c r="I10" s="769"/>
      <c r="J10" s="769"/>
      <c r="K10" s="769"/>
    </row>
    <row r="11" spans="1:11" ht="15.75" customHeight="1" x14ac:dyDescent="0.25">
      <c r="A11" s="765" t="s">
        <v>1116</v>
      </c>
      <c r="B11" s="766"/>
      <c r="C11" s="766"/>
      <c r="D11" s="766"/>
      <c r="E11" s="766"/>
      <c r="F11" s="766"/>
      <c r="G11" s="766"/>
      <c r="H11" s="766"/>
      <c r="I11" s="766"/>
      <c r="J11" s="766"/>
      <c r="K11" s="766"/>
    </row>
    <row r="12" spans="1:11" ht="18.75" customHeight="1" x14ac:dyDescent="0.25">
      <c r="A12" s="767" t="s">
        <v>1279</v>
      </c>
      <c r="B12" s="768"/>
      <c r="C12" s="768"/>
      <c r="D12" s="768"/>
      <c r="E12" s="768"/>
      <c r="F12" s="768"/>
      <c r="G12" s="768"/>
      <c r="H12" s="768"/>
      <c r="I12" s="768"/>
      <c r="J12" s="768"/>
      <c r="K12" s="768"/>
    </row>
    <row r="13" spans="1:11" ht="33.950000000000003" customHeight="1" x14ac:dyDescent="0.25">
      <c r="A13" s="377" t="s">
        <v>1381</v>
      </c>
      <c r="B13" s="769" t="str">
        <f>IF('Данные объект'!C42="","",'Данные объект'!C42)</f>
      </c>
      <c r="C13" s="769"/>
      <c r="D13" s="769"/>
      <c r="E13" s="769"/>
      <c r="F13" s="769"/>
      <c r="G13" s="769"/>
      <c r="H13" s="769"/>
      <c r="I13" s="769"/>
      <c r="J13" s="769"/>
      <c r="K13" s="769"/>
    </row>
    <row r="14" spans="1:11" ht="15.75" customHeight="1" x14ac:dyDescent="0.25">
      <c r="A14" s="762" t="s">
        <v>1116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</row>
    <row r="15" spans="1:11" x14ac:dyDescent="0.25">
      <c r="A15" s="571" t="s">
        <v>1277</v>
      </c>
      <c r="B15" s="571"/>
      <c r="C15" s="571"/>
      <c r="D15" s="571"/>
      <c r="E15" s="571"/>
      <c r="F15" s="571"/>
      <c r="G15" s="571"/>
      <c r="H15" s="571"/>
      <c r="I15" s="571"/>
      <c r="J15" s="571"/>
      <c r="K15" s="571"/>
    </row>
    <row r="16" spans="1:11" s="258" customFormat="1" ht="13.5" customHeight="1" x14ac:dyDescent="0.25">
      <c r="A16" s="259">
        <v>1</v>
      </c>
      <c r="B16" s="257" t="s">
        <v>1281</v>
      </c>
      <c r="C16" s="375">
        <f>IF('Пр.15 Реестр'!B249="","",'Пр.15 Реестр'!B249)</f>
      </c>
      <c r="D16" s="257" t="s">
        <v>1278</v>
      </c>
      <c r="E16" s="257" t="s">
        <v>1280</v>
      </c>
      <c r="F16" s="257"/>
      <c r="G16" s="257"/>
      <c r="H16" s="257"/>
      <c r="I16" s="257"/>
      <c r="J16" s="299"/>
      <c r="K16" s="257" t="s">
        <v>1108</v>
      </c>
    </row>
    <row r="17" spans="1:11" ht="32.25" customHeight="1" x14ac:dyDescent="0.25">
      <c r="A17" s="637"/>
      <c r="B17" s="572"/>
      <c r="C17" s="572"/>
      <c r="D17" s="572"/>
      <c r="E17" s="572"/>
      <c r="F17" s="572"/>
      <c r="G17" s="572"/>
      <c r="H17" s="572"/>
      <c r="I17" s="572"/>
      <c r="J17" s="572"/>
      <c r="K17" s="572"/>
    </row>
    <row r="18" spans="1:11" ht="15.95" customHeight="1" x14ac:dyDescent="0.25">
      <c r="A18" s="636" t="s">
        <v>1118</v>
      </c>
      <c r="B18" s="572"/>
      <c r="C18" s="572"/>
      <c r="D18" s="572"/>
      <c r="E18" s="572"/>
      <c r="F18" s="572"/>
      <c r="G18" s="572"/>
      <c r="H18" s="572"/>
      <c r="I18" s="572"/>
      <c r="J18" s="572"/>
      <c r="K18" s="572"/>
    </row>
    <row r="19" spans="1:11" ht="15.95" customHeight="1" x14ac:dyDescent="0.25">
      <c r="A19" s="366" t="s">
        <v>1259</v>
      </c>
      <c r="B19" s="366"/>
      <c r="C19" s="366"/>
      <c r="E19" s="374">
        <f>IF(J16="","",J16)</f>
      </c>
      <c r="F19" s="366" t="s">
        <v>1108</v>
      </c>
      <c r="G19" s="366"/>
      <c r="H19" s="366"/>
      <c r="I19" s="366"/>
      <c r="J19" s="366"/>
      <c r="K19" s="366"/>
    </row>
    <row r="20" spans="1:11" ht="15.95" customHeight="1" x14ac:dyDescent="0.25">
      <c r="A20" s="636" t="s">
        <v>1119</v>
      </c>
      <c r="B20" s="572"/>
      <c r="C20" s="572"/>
      <c r="D20" s="572"/>
      <c r="E20" s="572"/>
      <c r="F20" s="572"/>
      <c r="G20" s="572"/>
      <c r="H20" s="572"/>
      <c r="I20" s="572"/>
      <c r="J20" s="572"/>
      <c r="K20" s="572"/>
    </row>
    <row r="21" spans="1:11" ht="16.899999999999999" customHeight="1" x14ac:dyDescent="0.25">
      <c r="A21" s="760" t="s">
        <v>1359</v>
      </c>
      <c r="B21" s="761"/>
      <c r="C21" s="761"/>
      <c r="D21" s="761"/>
      <c r="E21" s="761"/>
      <c r="F21" s="761"/>
      <c r="G21" s="761"/>
      <c r="H21" s="761"/>
      <c r="I21" s="761"/>
      <c r="J21" s="761"/>
      <c r="K21" s="761"/>
    </row>
    <row r="22" spans="1:11" ht="20.25" customHeight="1" x14ac:dyDescent="0.25">
      <c r="A22" s="762" t="s">
        <v>1120</v>
      </c>
      <c r="B22" s="763"/>
      <c r="C22" s="763"/>
      <c r="D22" s="763"/>
      <c r="E22" s="763"/>
      <c r="F22" s="763"/>
      <c r="G22" s="763"/>
      <c r="H22" s="763"/>
      <c r="I22" s="763"/>
      <c r="J22" s="763"/>
      <c r="K22" s="763"/>
    </row>
    <row r="23" spans="1:11" x14ac:dyDescent="0.25">
      <c r="A23" s="262" t="s">
        <v>1109</v>
      </c>
      <c r="B23" s="361"/>
      <c r="C23" s="361"/>
      <c r="D23" s="361"/>
      <c r="E23" s="361"/>
      <c r="F23" s="361"/>
      <c r="G23" s="361"/>
      <c r="H23" s="361"/>
      <c r="I23" s="361"/>
      <c r="J23" s="361"/>
      <c r="K23" s="361"/>
    </row>
    <row r="24" spans="1:11" ht="36.75" customHeight="1" x14ac:dyDescent="0.25">
      <c r="A24" s="658" t="s">
        <v>1121</v>
      </c>
      <c r="B24" s="658"/>
      <c r="C24" s="759" t="str">
        <f>IF('Данные объект'!C25="","",'Данные объект'!C25)</f>
      </c>
      <c r="D24" s="759"/>
      <c r="E24" s="759"/>
      <c r="F24" s="263"/>
      <c r="G24" s="756"/>
      <c r="H24" s="756"/>
      <c r="I24" s="263"/>
      <c r="J24" s="756"/>
      <c r="K24" s="756"/>
    </row>
    <row r="25" spans="1:11" ht="15" customHeight="1" x14ac:dyDescent="0.25">
      <c r="A25" s="221"/>
      <c r="B25" s="234"/>
      <c r="C25" s="758" t="s">
        <v>531</v>
      </c>
      <c r="D25" s="758"/>
      <c r="E25" s="758"/>
      <c r="F25" s="261"/>
      <c r="G25" s="758" t="s">
        <v>2</v>
      </c>
      <c r="H25" s="758"/>
      <c r="I25" s="261"/>
      <c r="J25" s="757" t="s">
        <v>483</v>
      </c>
      <c r="K25" s="757"/>
    </row>
    <row r="26" spans="1:11" ht="15" customHeight="1" x14ac:dyDescent="0.25">
      <c r="A26" s="262" t="s">
        <v>1110</v>
      </c>
      <c r="B26" s="361"/>
      <c r="C26" s="361"/>
      <c r="D26" s="361"/>
      <c r="E26" s="361"/>
      <c r="F26" s="361"/>
      <c r="G26" s="361"/>
      <c r="H26" s="361"/>
      <c r="I26" s="361"/>
      <c r="J26" s="361"/>
      <c r="K26" s="361"/>
    </row>
    <row r="27" spans="1:11" ht="35.25" customHeight="1" x14ac:dyDescent="0.25">
      <c r="A27" s="658" t="s">
        <v>1122</v>
      </c>
      <c r="B27" s="658"/>
      <c r="C27" s="759" t="str">
        <f>IF('Данные объект'!C42="","",'Данные объект'!C42)</f>
      </c>
      <c r="D27" s="759"/>
      <c r="E27" s="759"/>
      <c r="F27" s="263"/>
      <c r="G27" s="756"/>
      <c r="H27" s="756"/>
      <c r="I27" s="263"/>
      <c r="J27" s="756"/>
      <c r="K27" s="756"/>
    </row>
    <row r="28" spans="1:11" ht="16.5" customHeight="1" x14ac:dyDescent="0.25">
      <c r="A28" s="221"/>
      <c r="B28" s="260"/>
      <c r="C28" s="758" t="s">
        <v>531</v>
      </c>
      <c r="D28" s="758"/>
      <c r="E28" s="758"/>
      <c r="F28" s="261"/>
      <c r="G28" s="758" t="s">
        <v>2</v>
      </c>
      <c r="H28" s="758"/>
      <c r="I28" s="261"/>
      <c r="J28" s="757" t="s">
        <v>483</v>
      </c>
      <c r="K28" s="757"/>
    </row>
    <row r="30" spans="1:11" ht="36" customHeight="1" x14ac:dyDescent="0.25">
      <c r="C30" s="759" t="str">
        <f>IF('Данные объект'!C37="","",'Данные объект'!C37)</f>
      </c>
      <c r="D30" s="759"/>
      <c r="E30" s="759"/>
      <c r="G30" s="628"/>
      <c r="H30" s="628"/>
      <c r="J30" s="628"/>
      <c r="K30" s="628"/>
    </row>
    <row r="31" spans="1:11" x14ac:dyDescent="0.25">
      <c r="C31" s="758" t="s">
        <v>531</v>
      </c>
      <c r="D31" s="758"/>
      <c r="E31" s="758"/>
      <c r="F31" s="261"/>
      <c r="G31" s="758" t="s">
        <v>2</v>
      </c>
      <c r="H31" s="758"/>
      <c r="I31" s="261"/>
      <c r="J31" s="757" t="s">
        <v>483</v>
      </c>
      <c r="K31" s="757"/>
    </row>
  </sheetData>
  <mergeCells count="40">
    <mergeCell ref="A6:K6"/>
    <mergeCell ref="A1:K1"/>
    <mergeCell ref="A2:K2"/>
    <mergeCell ref="A3:K3"/>
    <mergeCell ref="A4:K4"/>
    <mergeCell ref="A5:K5"/>
    <mergeCell ref="A20:K20"/>
    <mergeCell ref="A7:K7"/>
    <mergeCell ref="A8:K8"/>
    <mergeCell ref="C9:K9"/>
    <mergeCell ref="B10:K10"/>
    <mergeCell ref="A11:K11"/>
    <mergeCell ref="A12:K12"/>
    <mergeCell ref="B13:K13"/>
    <mergeCell ref="A14:K14"/>
    <mergeCell ref="A15:K15"/>
    <mergeCell ref="A17:K17"/>
    <mergeCell ref="A18:K18"/>
    <mergeCell ref="A21:K21"/>
    <mergeCell ref="A22:K22"/>
    <mergeCell ref="A24:B24"/>
    <mergeCell ref="C24:E24"/>
    <mergeCell ref="G24:H24"/>
    <mergeCell ref="J24:K24"/>
    <mergeCell ref="C25:E25"/>
    <mergeCell ref="G25:H25"/>
    <mergeCell ref="J25:K25"/>
    <mergeCell ref="A27:B27"/>
    <mergeCell ref="C27:E27"/>
    <mergeCell ref="G27:H27"/>
    <mergeCell ref="J27:K27"/>
    <mergeCell ref="C28:E28"/>
    <mergeCell ref="G28:H28"/>
    <mergeCell ref="J28:K28"/>
    <mergeCell ref="C31:E31"/>
    <mergeCell ref="G31:H31"/>
    <mergeCell ref="J31:K31"/>
    <mergeCell ref="C30:E30"/>
    <mergeCell ref="G30:H30"/>
    <mergeCell ref="J30:K30"/>
  </mergeCells>
  <pageMargins left="0.98425196850393704" right="0.59055118110236227" top="0.59055118110236227" bottom="0.59055118110236227" header="0" footer="0"/>
  <pageSetup paperSize="9" scale="7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B105-E8ED-4C81-8281-9B502A990119}">
  <sheetPr>
    <tabColor theme="5" tint="0.39997558519241921"/>
  </sheetPr>
  <dimension ref="A1:L107"/>
  <sheetViews>
    <sheetView view="pageBreakPreview" zoomScaleNormal="125" zoomScaleSheetLayoutView="100" workbookViewId="0">
      <selection activeCell="I77" sqref="I77:J77"/>
    </sheetView>
  </sheetViews>
  <sheetFormatPr defaultColWidth="10.7109375" defaultRowHeight="15" x14ac:dyDescent="0.25"/>
  <cols>
    <col min="1" max="1" width="11.7109375" style="120" customWidth="1"/>
    <col min="2" max="2" width="9.7109375" style="120" customWidth="1"/>
    <col min="3" max="3" width="9.42578125" style="120" customWidth="1"/>
    <col min="4" max="4" width="10.7109375" style="120" customWidth="1"/>
    <col min="5" max="5" width="11.7109375" style="120" customWidth="1"/>
    <col min="6" max="6" width="10.7109375" style="120" customWidth="1"/>
    <col min="7" max="7" width="9" style="120" customWidth="1"/>
    <col min="8" max="8" width="10.7109375" style="120" customWidth="1"/>
    <col min="9" max="9" width="11.7109375" style="120" customWidth="1"/>
    <col min="10" max="10" width="14.7109375" style="120" customWidth="1"/>
    <col min="11" max="16384" width="10.7109375" style="120"/>
  </cols>
  <sheetData>
    <row r="1" spans="1:12" ht="12.6" customHeight="1" x14ac:dyDescent="0.25">
      <c r="A1" s="120" t="s">
        <v>592</v>
      </c>
      <c r="E1" s="776"/>
      <c r="F1" s="776"/>
      <c r="G1" s="776"/>
      <c r="H1" s="776"/>
      <c r="I1" s="776"/>
      <c r="J1" s="776"/>
    </row>
    <row r="2" spans="1:12" ht="30.75" customHeight="1" x14ac:dyDescent="0.25">
      <c r="A2" s="777" t="str">
        <f>IF('Данные объект'!B3="","",'Данные объект'!B3)</f>
      </c>
      <c r="B2" s="777"/>
      <c r="C2" s="777"/>
      <c r="D2" s="777"/>
      <c r="E2" s="777"/>
      <c r="F2" s="777"/>
      <c r="G2" s="777"/>
      <c r="H2" s="777"/>
      <c r="I2" s="777"/>
      <c r="J2" s="777"/>
    </row>
    <row r="3" spans="1:12" ht="7.5" customHeight="1" x14ac:dyDescent="0.25">
      <c r="A3" s="778" t="s">
        <v>593</v>
      </c>
      <c r="B3" s="778"/>
      <c r="C3" s="778"/>
      <c r="D3" s="778"/>
      <c r="E3" s="778"/>
      <c r="F3" s="778"/>
      <c r="G3" s="778"/>
      <c r="H3" s="778"/>
      <c r="I3" s="778"/>
      <c r="J3" s="778"/>
    </row>
    <row r="4" spans="1:12" ht="12.6" customHeight="1" x14ac:dyDescent="0.25">
      <c r="A4" s="121" t="s">
        <v>594</v>
      </c>
      <c r="B4" s="121"/>
      <c r="C4" s="121"/>
      <c r="D4" s="122"/>
      <c r="E4" s="779" t="str">
        <f>IF('Данные объект'!B33="","",'Данные объект'!B33)</f>
      </c>
      <c r="F4" s="779"/>
      <c r="G4" s="779"/>
      <c r="H4" s="779"/>
      <c r="I4" s="779"/>
      <c r="J4" s="779"/>
    </row>
    <row r="5" spans="1:12" ht="9" customHeight="1" x14ac:dyDescent="0.25">
      <c r="A5" s="121"/>
      <c r="B5" s="121"/>
      <c r="C5" s="121"/>
      <c r="D5" s="123"/>
      <c r="E5" s="772" t="s">
        <v>595</v>
      </c>
      <c r="F5" s="772"/>
      <c r="G5" s="772"/>
      <c r="H5" s="772"/>
      <c r="I5" s="772"/>
      <c r="J5" s="772"/>
      <c r="K5" s="124"/>
      <c r="L5" s="124"/>
    </row>
    <row r="6" spans="1:12" ht="12.6" customHeight="1" x14ac:dyDescent="0.25">
      <c r="A6" s="779" t="str">
        <f>IF('Данные объект'!B34="","",'Данные объект'!B34)</f>
      </c>
      <c r="B6" s="779"/>
      <c r="C6" s="779"/>
      <c r="D6" s="779"/>
      <c r="E6" s="779"/>
      <c r="F6" s="779"/>
      <c r="G6" s="779"/>
      <c r="H6" s="779"/>
      <c r="I6" s="779"/>
      <c r="J6" s="779"/>
    </row>
    <row r="7" spans="1:12" ht="18" customHeight="1" x14ac:dyDescent="0.25">
      <c r="A7" s="772" t="s">
        <v>596</v>
      </c>
      <c r="B7" s="772"/>
      <c r="C7" s="772"/>
      <c r="D7" s="772"/>
      <c r="E7" s="772"/>
      <c r="F7" s="772"/>
      <c r="G7" s="772"/>
      <c r="H7" s="772"/>
      <c r="I7" s="772"/>
      <c r="J7" s="772"/>
    </row>
    <row r="8" spans="1:12" ht="15.75" customHeight="1" x14ac:dyDescent="0.25">
      <c r="A8" s="779" t="str">
        <f>IF('Данные объект'!B35="","",'Данные объект'!B35)</f>
      </c>
      <c r="B8" s="779"/>
      <c r="C8" s="779"/>
      <c r="D8" s="779"/>
      <c r="E8" s="779"/>
      <c r="F8" s="779"/>
      <c r="G8" s="779"/>
      <c r="H8" s="779"/>
      <c r="I8" s="779"/>
      <c r="J8" s="779"/>
    </row>
    <row r="9" spans="1:12" ht="7.5" customHeight="1" x14ac:dyDescent="0.25">
      <c r="A9" s="778" t="s">
        <v>597</v>
      </c>
      <c r="B9" s="778"/>
      <c r="C9" s="778"/>
      <c r="D9" s="778"/>
      <c r="E9" s="778"/>
      <c r="F9" s="778"/>
      <c r="G9" s="778"/>
      <c r="H9" s="778"/>
      <c r="I9" s="778"/>
      <c r="J9" s="778"/>
    </row>
    <row r="10" spans="1:12" ht="12.6" customHeight="1" x14ac:dyDescent="0.25">
      <c r="A10" s="120" t="s">
        <v>598</v>
      </c>
      <c r="B10" s="121"/>
      <c r="C10" s="121"/>
      <c r="D10" s="122"/>
      <c r="E10" s="779" t="str">
        <f>IF('Данные объект'!B19="","",'Данные объект'!B19)</f>
      </c>
      <c r="F10" s="779"/>
      <c r="G10" s="779"/>
      <c r="H10" s="779"/>
      <c r="I10" s="779"/>
      <c r="J10" s="779"/>
    </row>
    <row r="11" spans="1:12" ht="9" customHeight="1" x14ac:dyDescent="0.25">
      <c r="B11" s="121"/>
      <c r="C11" s="121"/>
      <c r="D11" s="123"/>
      <c r="E11" s="772" t="s">
        <v>595</v>
      </c>
      <c r="F11" s="772"/>
      <c r="G11" s="772"/>
      <c r="H11" s="772"/>
      <c r="I11" s="772"/>
      <c r="J11" s="772"/>
      <c r="K11" s="124"/>
      <c r="L11" s="124"/>
    </row>
    <row r="12" spans="1:12" ht="18.75" customHeight="1" x14ac:dyDescent="0.25">
      <c r="A12" s="775" t="str">
        <f>IF('Данные объект'!B20="","",'Данные объект'!B20)</f>
      </c>
      <c r="B12" s="775"/>
      <c r="C12" s="775"/>
      <c r="D12" s="775"/>
      <c r="E12" s="775"/>
      <c r="F12" s="775"/>
      <c r="G12" s="775"/>
      <c r="H12" s="775"/>
      <c r="I12" s="775"/>
      <c r="J12" s="775"/>
    </row>
    <row r="13" spans="1:12" ht="18" customHeight="1" x14ac:dyDescent="0.25">
      <c r="A13" s="772" t="s">
        <v>627</v>
      </c>
      <c r="B13" s="772"/>
      <c r="C13" s="772"/>
      <c r="D13" s="772"/>
      <c r="E13" s="772"/>
      <c r="F13" s="772"/>
      <c r="G13" s="772"/>
      <c r="H13" s="772"/>
      <c r="I13" s="772"/>
      <c r="J13" s="772"/>
    </row>
    <row r="14" spans="1:12" ht="18.75" customHeight="1" x14ac:dyDescent="0.25">
      <c r="A14" s="773" t="str">
        <f>IF('Данные объект'!B21="","",'Данные объект'!B21)</f>
      </c>
      <c r="B14" s="773"/>
      <c r="C14" s="773"/>
      <c r="D14" s="773"/>
      <c r="E14" s="773"/>
      <c r="F14" s="773"/>
      <c r="G14" s="773"/>
      <c r="H14" s="773"/>
      <c r="I14" s="773"/>
      <c r="J14" s="773"/>
    </row>
    <row r="15" spans="1:12" ht="7.5" customHeight="1" x14ac:dyDescent="0.25">
      <c r="A15" s="774" t="s">
        <v>597</v>
      </c>
      <c r="B15" s="774"/>
      <c r="C15" s="774"/>
      <c r="D15" s="774"/>
      <c r="E15" s="774"/>
      <c r="F15" s="774"/>
      <c r="G15" s="774"/>
      <c r="H15" s="774"/>
      <c r="I15" s="774"/>
      <c r="J15" s="774"/>
    </row>
    <row r="16" spans="1:12" ht="12.6" customHeight="1" x14ac:dyDescent="0.25">
      <c r="A16" s="121" t="s">
        <v>599</v>
      </c>
      <c r="B16" s="121"/>
      <c r="C16" s="121"/>
      <c r="D16" s="122"/>
      <c r="E16" s="125"/>
      <c r="F16" s="125"/>
      <c r="G16" s="779" t="str">
        <f>IF('Данные объект'!B52="","",'Данные объект'!B52)</f>
      </c>
      <c r="H16" s="779"/>
      <c r="I16" s="779"/>
      <c r="J16" s="779"/>
    </row>
    <row r="17" spans="1:12" ht="9" customHeight="1" x14ac:dyDescent="0.25">
      <c r="A17" s="121"/>
      <c r="B17" s="121"/>
      <c r="C17" s="121"/>
      <c r="D17" s="123"/>
      <c r="E17" s="126"/>
      <c r="F17" s="126"/>
      <c r="G17" s="772" t="s">
        <v>600</v>
      </c>
      <c r="H17" s="772"/>
      <c r="I17" s="772"/>
      <c r="J17" s="772"/>
      <c r="K17" s="124"/>
      <c r="L17" s="124"/>
    </row>
    <row r="18" spans="1:12" ht="19.5" customHeight="1" x14ac:dyDescent="0.25">
      <c r="A18" s="775" t="str">
        <f>IF('Данные объект'!B53="","",'Данные объект'!B53)</f>
      </c>
      <c r="B18" s="775"/>
      <c r="C18" s="775"/>
      <c r="D18" s="775"/>
      <c r="E18" s="775"/>
      <c r="F18" s="775"/>
      <c r="G18" s="775"/>
      <c r="H18" s="775"/>
      <c r="I18" s="775"/>
      <c r="J18" s="775"/>
    </row>
    <row r="19" spans="1:12" ht="19.5" customHeight="1" x14ac:dyDescent="0.25">
      <c r="A19" s="780" t="s">
        <v>601</v>
      </c>
      <c r="B19" s="780"/>
      <c r="C19" s="780"/>
      <c r="D19" s="780"/>
      <c r="E19" s="780"/>
      <c r="F19" s="780"/>
      <c r="G19" s="780"/>
      <c r="H19" s="780"/>
      <c r="I19" s="780"/>
      <c r="J19" s="780"/>
    </row>
    <row r="20" spans="1:12" ht="19.5" customHeight="1" x14ac:dyDescent="0.25">
      <c r="A20" s="775" t="str">
        <f>IF('Данные объект'!B54="","",'Данные объект'!B54)</f>
      </c>
      <c r="B20" s="775"/>
      <c r="C20" s="775"/>
      <c r="D20" s="775"/>
      <c r="E20" s="775"/>
      <c r="F20" s="775"/>
      <c r="G20" s="775"/>
      <c r="H20" s="775"/>
      <c r="I20" s="775"/>
      <c r="J20" s="775"/>
    </row>
    <row r="21" spans="1:12" ht="7.5" customHeight="1" x14ac:dyDescent="0.25">
      <c r="A21" s="774" t="s">
        <v>602</v>
      </c>
      <c r="B21" s="774"/>
      <c r="C21" s="774"/>
      <c r="D21" s="774"/>
      <c r="E21" s="774"/>
      <c r="F21" s="774"/>
      <c r="G21" s="774"/>
      <c r="H21" s="774"/>
      <c r="I21" s="774"/>
      <c r="J21" s="774"/>
    </row>
    <row r="22" spans="1:12" ht="12.6" customHeight="1" x14ac:dyDescent="0.25">
      <c r="A22" s="127" t="s">
        <v>603</v>
      </c>
      <c r="B22" s="128"/>
      <c r="C22" s="128"/>
      <c r="D22" s="128"/>
      <c r="E22" s="128"/>
      <c r="F22" s="128"/>
      <c r="G22" s="128"/>
      <c r="H22" s="128"/>
      <c r="I22" s="128"/>
      <c r="J22" s="128"/>
    </row>
    <row r="23" spans="1:12" ht="30.75" customHeight="1" x14ac:dyDescent="0.25">
      <c r="A23" s="775" t="str">
        <f>IF('Данные объект'!C19="","",'Данные объект'!C19)</f>
      </c>
      <c r="B23" s="775"/>
      <c r="C23" s="775"/>
      <c r="D23" s="775"/>
      <c r="E23" s="775"/>
      <c r="F23" s="775"/>
      <c r="G23" s="775"/>
      <c r="H23" s="775"/>
      <c r="I23" s="775"/>
      <c r="J23" s="775"/>
    </row>
    <row r="24" spans="1:12" ht="7.5" customHeight="1" x14ac:dyDescent="0.25">
      <c r="A24" s="778" t="s">
        <v>604</v>
      </c>
      <c r="B24" s="778"/>
      <c r="C24" s="778"/>
      <c r="D24" s="778"/>
      <c r="E24" s="778"/>
      <c r="F24" s="778"/>
      <c r="G24" s="778"/>
      <c r="H24" s="778"/>
      <c r="I24" s="778"/>
      <c r="J24" s="778"/>
    </row>
    <row r="25" spans="1:12" ht="19.149999999999999" customHeight="1" x14ac:dyDescent="0.25">
      <c r="A25" s="780" t="s">
        <v>628</v>
      </c>
      <c r="B25" s="780"/>
      <c r="C25" s="780"/>
      <c r="D25" s="780"/>
      <c r="E25" s="780"/>
      <c r="F25" s="780"/>
      <c r="G25" s="780"/>
      <c r="H25" s="780"/>
      <c r="I25" s="780"/>
      <c r="J25" s="780"/>
    </row>
    <row r="26" spans="1:12" ht="12.6" customHeight="1" x14ac:dyDescent="0.25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30"/>
    </row>
    <row r="27" spans="1:12" ht="48.75" customHeight="1" x14ac:dyDescent="0.25">
      <c r="A27" s="781" t="s">
        <v>605</v>
      </c>
      <c r="B27" s="782"/>
      <c r="C27" s="782"/>
      <c r="D27" s="782"/>
      <c r="E27" s="782"/>
      <c r="F27" s="782"/>
      <c r="G27" s="782"/>
      <c r="H27" s="782"/>
      <c r="I27" s="782"/>
      <c r="J27" s="782"/>
      <c r="K27" s="130"/>
      <c r="L27" s="130"/>
    </row>
    <row r="28" spans="1:12" ht="12.6" customHeight="1" x14ac:dyDescent="0.25">
      <c r="A28" s="782"/>
      <c r="B28" s="782"/>
      <c r="C28" s="782"/>
      <c r="D28" s="782"/>
      <c r="E28" s="782"/>
      <c r="F28" s="782"/>
      <c r="G28" s="782"/>
      <c r="H28" s="782"/>
      <c r="I28" s="782"/>
      <c r="J28" s="782"/>
    </row>
    <row r="29" spans="1:12" ht="12.6" customHeight="1" x14ac:dyDescent="0.25">
      <c r="A29" s="131" t="s">
        <v>13</v>
      </c>
      <c r="B29" s="132">
        <v>1</v>
      </c>
      <c r="C29" s="120" t="s">
        <v>1189</v>
      </c>
      <c r="G29" s="379"/>
      <c r="H29" s="379"/>
      <c r="I29" s="785" t="str">
        <f>IF('Данные объект'!B6="","",'Данные объект'!B6)</f>
      </c>
      <c r="J29" s="785"/>
    </row>
    <row r="30" spans="1:12" ht="12.6" customHeight="1" x14ac:dyDescent="0.25">
      <c r="I30" s="784" t="s">
        <v>1314</v>
      </c>
      <c r="J30" s="784"/>
    </row>
    <row r="31" spans="1:12" s="121" customFormat="1" ht="12.6" customHeight="1" x14ac:dyDescent="0.25">
      <c r="A31" s="121" t="s">
        <v>606</v>
      </c>
      <c r="F31" s="122"/>
      <c r="G31" s="122"/>
      <c r="H31" s="122"/>
      <c r="I31" s="122"/>
      <c r="J31" s="122"/>
    </row>
    <row r="32" spans="1:12" s="121" customFormat="1" ht="34.5" customHeight="1" x14ac:dyDescent="0.25">
      <c r="A32" s="777" t="str">
        <f>IF('Данные объект'!C44="","",'Данные объект'!C44)</f>
      </c>
      <c r="B32" s="777"/>
      <c r="C32" s="777"/>
      <c r="D32" s="777"/>
      <c r="E32" s="777"/>
      <c r="F32" s="777"/>
      <c r="G32" s="777"/>
      <c r="H32" s="777"/>
      <c r="I32" s="777"/>
      <c r="J32" s="777"/>
    </row>
    <row r="33" spans="1:10" s="121" customFormat="1" ht="7.5" customHeight="1" x14ac:dyDescent="0.25">
      <c r="A33" s="778" t="s">
        <v>607</v>
      </c>
      <c r="B33" s="778"/>
      <c r="C33" s="778"/>
      <c r="D33" s="778"/>
      <c r="E33" s="778"/>
      <c r="F33" s="778"/>
      <c r="G33" s="778"/>
      <c r="H33" s="778"/>
      <c r="I33" s="778"/>
      <c r="J33" s="778"/>
    </row>
    <row r="34" spans="1:10" s="121" customFormat="1" ht="12.6" customHeight="1" x14ac:dyDescent="0.25">
      <c r="A34" s="783" t="s">
        <v>608</v>
      </c>
      <c r="B34" s="783"/>
      <c r="C34" s="783"/>
      <c r="D34" s="783"/>
      <c r="E34" s="783"/>
      <c r="F34" s="783"/>
      <c r="G34" s="773"/>
      <c r="H34" s="773"/>
      <c r="I34" s="773"/>
      <c r="J34" s="773"/>
    </row>
    <row r="35" spans="1:10" s="121" customFormat="1" ht="30.75" customHeight="1" x14ac:dyDescent="0.25">
      <c r="A35" s="777" t="str">
        <f>IF('Данные объект'!C29="","",'Данные объект'!C29)</f>
      </c>
      <c r="B35" s="777"/>
      <c r="C35" s="777"/>
      <c r="D35" s="777"/>
      <c r="E35" s="777"/>
      <c r="F35" s="777"/>
      <c r="G35" s="777"/>
      <c r="H35" s="777"/>
      <c r="I35" s="777"/>
      <c r="J35" s="777"/>
    </row>
    <row r="36" spans="1:10" s="121" customFormat="1" ht="7.5" customHeight="1" x14ac:dyDescent="0.25">
      <c r="A36" s="778" t="s">
        <v>607</v>
      </c>
      <c r="B36" s="778"/>
      <c r="C36" s="778"/>
      <c r="D36" s="778"/>
      <c r="E36" s="778"/>
      <c r="F36" s="778"/>
      <c r="G36" s="778"/>
      <c r="H36" s="778"/>
      <c r="I36" s="778"/>
      <c r="J36" s="778"/>
    </row>
    <row r="37" spans="1:10" s="121" customFormat="1" ht="16.5" customHeight="1" x14ac:dyDescent="0.25">
      <c r="A37" s="121" t="s">
        <v>609</v>
      </c>
      <c r="B37" s="133"/>
      <c r="C37" s="133"/>
      <c r="D37" s="133"/>
      <c r="E37" s="133"/>
      <c r="F37" s="133"/>
      <c r="G37" s="122"/>
      <c r="H37" s="122"/>
      <c r="I37" s="122"/>
      <c r="J37" s="122"/>
    </row>
    <row r="38" spans="1:10" s="121" customFormat="1" ht="30.75" customHeight="1" x14ac:dyDescent="0.25">
      <c r="A38" s="777" t="str">
        <f>IF('Данные объект'!C26="","",'Данные объект'!C26)</f>
      </c>
      <c r="B38" s="777"/>
      <c r="C38" s="777"/>
      <c r="D38" s="777"/>
      <c r="E38" s="777"/>
      <c r="F38" s="777"/>
      <c r="G38" s="777"/>
      <c r="H38" s="777"/>
      <c r="I38" s="777"/>
      <c r="J38" s="777"/>
    </row>
    <row r="39" spans="1:10" s="121" customFormat="1" ht="7.5" customHeight="1" x14ac:dyDescent="0.25">
      <c r="A39" s="778" t="s">
        <v>607</v>
      </c>
      <c r="B39" s="778"/>
      <c r="C39" s="778"/>
      <c r="D39" s="778"/>
      <c r="E39" s="778"/>
      <c r="F39" s="778"/>
      <c r="G39" s="778"/>
      <c r="H39" s="778"/>
      <c r="I39" s="778"/>
      <c r="J39" s="778"/>
    </row>
    <row r="40" spans="1:10" s="121" customFormat="1" ht="12.6" customHeight="1" x14ac:dyDescent="0.25">
      <c r="A40" s="783" t="s">
        <v>1361</v>
      </c>
      <c r="B40" s="783"/>
      <c r="C40" s="783"/>
      <c r="D40" s="783"/>
      <c r="E40" s="783"/>
      <c r="F40" s="783"/>
      <c r="G40" s="783"/>
      <c r="H40" s="783"/>
      <c r="I40" s="783"/>
      <c r="J40" s="783"/>
    </row>
    <row r="41" spans="1:10" s="121" customFormat="1" ht="12.6" customHeight="1" x14ac:dyDescent="0.25">
      <c r="A41" s="777">
        <f>IF('Данные объект'!C46="","",'Данные объект'!C46)</f>
      </c>
      <c r="B41" s="777"/>
      <c r="C41" s="777"/>
      <c r="D41" s="777"/>
      <c r="E41" s="777"/>
      <c r="F41" s="777"/>
      <c r="G41" s="777"/>
      <c r="H41" s="777"/>
      <c r="I41" s="777"/>
      <c r="J41" s="777"/>
    </row>
    <row r="42" spans="1:10" s="121" customFormat="1" ht="7.5" customHeight="1" x14ac:dyDescent="0.25">
      <c r="A42" s="778" t="s">
        <v>607</v>
      </c>
      <c r="B42" s="778"/>
      <c r="C42" s="778"/>
      <c r="D42" s="778"/>
      <c r="E42" s="778"/>
      <c r="F42" s="778"/>
      <c r="G42" s="778"/>
      <c r="H42" s="778"/>
      <c r="I42" s="778"/>
      <c r="J42" s="778"/>
    </row>
    <row r="43" spans="1:10" s="121" customFormat="1" ht="12.6" customHeight="1" x14ac:dyDescent="0.25">
      <c r="A43" s="783" t="s">
        <v>610</v>
      </c>
      <c r="B43" s="783"/>
      <c r="C43" s="783"/>
      <c r="D43" s="783"/>
      <c r="E43" s="783"/>
      <c r="F43" s="783"/>
      <c r="G43" s="783"/>
      <c r="H43" s="783"/>
      <c r="I43" s="783"/>
      <c r="J43" s="783"/>
    </row>
    <row r="44" spans="1:10" s="121" customFormat="1" ht="12.6" customHeight="1" x14ac:dyDescent="0.25">
      <c r="A44" s="779" t="str">
        <f>IF('Данные объект'!C31="","",'Данные объект'!C31)</f>
      </c>
      <c r="B44" s="779"/>
      <c r="C44" s="779"/>
      <c r="D44" s="779"/>
      <c r="E44" s="779"/>
      <c r="F44" s="779"/>
      <c r="G44" s="779"/>
      <c r="H44" s="779"/>
      <c r="I44" s="779"/>
      <c r="J44" s="779"/>
    </row>
    <row r="45" spans="1:10" s="121" customFormat="1" ht="7.5" customHeight="1" x14ac:dyDescent="0.25">
      <c r="A45" s="123"/>
      <c r="B45" s="123"/>
      <c r="C45" s="134" t="s">
        <v>607</v>
      </c>
      <c r="D45" s="134"/>
      <c r="E45" s="134"/>
      <c r="F45" s="134"/>
      <c r="G45" s="134"/>
      <c r="H45" s="134"/>
      <c r="I45" s="134"/>
      <c r="J45" s="134"/>
    </row>
    <row r="46" spans="1:10" s="121" customFormat="1" ht="13.5" customHeight="1" x14ac:dyDescent="0.25">
      <c r="A46" s="787" t="s">
        <v>611</v>
      </c>
      <c r="B46" s="787"/>
      <c r="C46" s="787"/>
      <c r="D46" s="787"/>
      <c r="E46" s="787"/>
      <c r="F46" s="787"/>
      <c r="G46" s="787"/>
      <c r="H46" s="787"/>
      <c r="I46" s="787"/>
      <c r="J46" s="787"/>
    </row>
    <row r="47" spans="1:10" s="121" customFormat="1" ht="30.75" customHeight="1" x14ac:dyDescent="0.25">
      <c r="A47" s="777" t="str">
        <f>IF('Данные объект'!B3="","",'Данные объект'!B3)</f>
      </c>
      <c r="B47" s="777"/>
      <c r="C47" s="777"/>
      <c r="D47" s="777"/>
      <c r="E47" s="777"/>
      <c r="F47" s="777"/>
      <c r="G47" s="777"/>
      <c r="H47" s="777"/>
      <c r="I47" s="777"/>
      <c r="J47" s="777"/>
    </row>
    <row r="48" spans="1:10" s="121" customFormat="1" ht="7.5" hidden="1" customHeight="1" x14ac:dyDescent="0.25">
      <c r="A48" s="788"/>
      <c r="B48" s="788"/>
      <c r="C48" s="788"/>
      <c r="D48" s="788"/>
      <c r="E48" s="788"/>
      <c r="F48" s="788"/>
      <c r="G48" s="788"/>
      <c r="H48" s="788"/>
      <c r="I48" s="788"/>
      <c r="J48" s="788"/>
    </row>
    <row r="49" spans="1:10" s="121" customFormat="1" ht="10.5" customHeight="1" x14ac:dyDescent="0.15">
      <c r="A49" s="789" t="s">
        <v>612</v>
      </c>
      <c r="B49" s="789"/>
      <c r="C49" s="789"/>
      <c r="D49" s="789"/>
      <c r="E49" s="789"/>
      <c r="F49" s="789"/>
      <c r="G49" s="789"/>
      <c r="H49" s="789"/>
      <c r="I49" s="789"/>
      <c r="J49" s="789"/>
    </row>
    <row r="50" spans="1:10" s="121" customFormat="1" ht="15.75" customHeight="1" x14ac:dyDescent="0.25">
      <c r="A50" s="135" t="s">
        <v>613</v>
      </c>
      <c r="B50" s="135"/>
      <c r="C50" s="135"/>
      <c r="D50" s="135"/>
      <c r="E50" s="135"/>
      <c r="F50" s="135"/>
    </row>
    <row r="51" spans="1:10" s="121" customFormat="1" ht="12.6" customHeight="1" x14ac:dyDescent="0.25">
      <c r="A51" s="136"/>
      <c r="B51" s="127"/>
      <c r="C51" s="127"/>
      <c r="D51" s="127"/>
      <c r="E51" s="127"/>
    </row>
    <row r="52" spans="1:10" s="121" customFormat="1" ht="59.25" customHeight="1" x14ac:dyDescent="0.25">
      <c r="A52" s="786" t="s">
        <v>614</v>
      </c>
      <c r="B52" s="786"/>
      <c r="C52" s="786"/>
      <c r="D52" s="786"/>
      <c r="E52" s="786"/>
      <c r="F52" s="786"/>
      <c r="G52" s="786"/>
      <c r="H52" s="786"/>
      <c r="I52" s="786"/>
      <c r="J52" s="786"/>
    </row>
    <row r="53" spans="1:10" s="121" customFormat="1" ht="16.5" customHeight="1" x14ac:dyDescent="0.25">
      <c r="A53" s="779" t="s">
        <v>629</v>
      </c>
      <c r="B53" s="779"/>
      <c r="C53" s="779"/>
      <c r="D53" s="779"/>
      <c r="E53" s="779"/>
      <c r="F53" s="779"/>
      <c r="G53" s="779"/>
      <c r="H53" s="779"/>
      <c r="I53" s="779"/>
      <c r="J53" s="779"/>
    </row>
    <row r="54" spans="1:10" s="121" customFormat="1" ht="10.5" customHeight="1" x14ac:dyDescent="0.15">
      <c r="A54" s="789" t="s">
        <v>615</v>
      </c>
      <c r="B54" s="789"/>
      <c r="C54" s="789"/>
      <c r="D54" s="789"/>
      <c r="E54" s="789"/>
      <c r="F54" s="789"/>
      <c r="G54" s="789"/>
      <c r="H54" s="789"/>
      <c r="I54" s="789"/>
      <c r="J54" s="789"/>
    </row>
    <row r="55" spans="1:10" s="121" customFormat="1" ht="15.75" customHeight="1" x14ac:dyDescent="0.25">
      <c r="A55" s="790"/>
      <c r="B55" s="790"/>
      <c r="C55" s="790"/>
      <c r="D55" s="790"/>
      <c r="E55" s="790"/>
      <c r="F55" s="790"/>
      <c r="G55" s="790"/>
      <c r="H55" s="790"/>
      <c r="I55" s="790"/>
      <c r="J55" s="790"/>
    </row>
    <row r="56" spans="1:10" s="121" customFormat="1" ht="10.5" customHeight="1" x14ac:dyDescent="0.15">
      <c r="A56" s="789" t="s">
        <v>616</v>
      </c>
      <c r="B56" s="789"/>
      <c r="C56" s="789"/>
      <c r="D56" s="789"/>
      <c r="E56" s="789"/>
      <c r="F56" s="789"/>
      <c r="G56" s="789"/>
      <c r="H56" s="789"/>
      <c r="I56" s="789"/>
      <c r="J56" s="789"/>
    </row>
    <row r="57" spans="1:10" s="121" customFormat="1" ht="16.5" customHeight="1" x14ac:dyDescent="0.25">
      <c r="A57" s="791"/>
      <c r="B57" s="790"/>
      <c r="C57" s="790"/>
      <c r="D57" s="790"/>
      <c r="E57" s="790"/>
      <c r="F57" s="790"/>
      <c r="G57" s="790"/>
      <c r="H57" s="790"/>
      <c r="I57" s="790"/>
      <c r="J57" s="790"/>
    </row>
    <row r="58" spans="1:10" s="121" customFormat="1" ht="11.25" customHeight="1" x14ac:dyDescent="0.15">
      <c r="A58" s="792" t="s">
        <v>617</v>
      </c>
      <c r="B58" s="792"/>
      <c r="C58" s="792"/>
      <c r="D58" s="792"/>
      <c r="E58" s="792"/>
      <c r="F58" s="792"/>
      <c r="G58" s="792"/>
      <c r="H58" s="792"/>
      <c r="I58" s="792"/>
      <c r="J58" s="792"/>
    </row>
    <row r="59" spans="1:10" ht="15" customHeight="1" x14ac:dyDescent="0.25">
      <c r="A59" s="135" t="s">
        <v>618</v>
      </c>
      <c r="B59" s="137"/>
      <c r="C59" s="137"/>
      <c r="D59" s="137"/>
      <c r="E59" s="137"/>
      <c r="F59" s="137"/>
      <c r="G59" s="137"/>
    </row>
    <row r="60" spans="1:10" ht="15" customHeight="1" x14ac:dyDescent="0.25">
      <c r="A60" s="135"/>
      <c r="B60" s="137"/>
      <c r="C60" s="137"/>
      <c r="D60" s="137"/>
      <c r="E60" s="137"/>
      <c r="F60" s="137"/>
      <c r="G60" s="137"/>
    </row>
    <row r="61" spans="1:10" ht="15" customHeight="1" x14ac:dyDescent="0.25">
      <c r="A61" s="135" t="s">
        <v>619</v>
      </c>
      <c r="B61" s="137"/>
      <c r="C61" s="137"/>
      <c r="D61" s="793"/>
      <c r="E61" s="793"/>
      <c r="F61" s="793"/>
      <c r="G61" s="793"/>
      <c r="H61" s="793"/>
      <c r="I61" s="793"/>
      <c r="J61" s="793"/>
    </row>
    <row r="62" spans="1:10" ht="16.5" customHeight="1" x14ac:dyDescent="0.25">
      <c r="A62" s="794"/>
      <c r="B62" s="795"/>
      <c r="C62" s="795"/>
      <c r="D62" s="795"/>
      <c r="E62" s="795"/>
      <c r="F62" s="795"/>
      <c r="G62" s="795"/>
      <c r="H62" s="795"/>
      <c r="I62" s="795"/>
      <c r="J62" s="795"/>
    </row>
    <row r="63" spans="1:10" ht="15" customHeight="1" x14ac:dyDescent="0.25">
      <c r="A63" s="138"/>
      <c r="B63" s="138"/>
      <c r="C63" s="138"/>
      <c r="D63" s="138"/>
      <c r="E63" s="138"/>
      <c r="F63" s="138"/>
      <c r="G63" s="138"/>
      <c r="H63" s="138"/>
      <c r="I63" s="138"/>
      <c r="J63" s="138"/>
    </row>
    <row r="64" spans="1:10" ht="15" customHeight="1" x14ac:dyDescent="0.25">
      <c r="A64" s="796" t="s">
        <v>620</v>
      </c>
      <c r="B64" s="796"/>
      <c r="C64" s="139">
        <v>1</v>
      </c>
      <c r="D64" s="140" t="s">
        <v>621</v>
      </c>
      <c r="E64" s="138"/>
      <c r="F64" s="138"/>
      <c r="G64" s="138"/>
      <c r="H64" s="138"/>
      <c r="I64" s="138"/>
      <c r="J64" s="138"/>
    </row>
    <row r="65" spans="1:10" ht="15" customHeight="1" x14ac:dyDescent="0.25">
      <c r="A65" s="135"/>
      <c r="B65" s="137"/>
      <c r="C65" s="137"/>
      <c r="D65" s="137"/>
      <c r="E65" s="137"/>
      <c r="F65" s="137"/>
      <c r="G65" s="137"/>
    </row>
    <row r="66" spans="1:10" ht="15.75" customHeight="1" x14ac:dyDescent="0.25">
      <c r="A66" s="120" t="s">
        <v>454</v>
      </c>
      <c r="C66" s="797" t="s">
        <v>629</v>
      </c>
      <c r="D66" s="797"/>
      <c r="E66" s="797"/>
      <c r="F66" s="797"/>
      <c r="G66" s="797"/>
      <c r="H66" s="797"/>
      <c r="I66" s="797"/>
      <c r="J66" s="797"/>
    </row>
    <row r="67" spans="1:10" s="121" customFormat="1" ht="10.5" customHeight="1" x14ac:dyDescent="0.15">
      <c r="A67" s="789" t="s">
        <v>622</v>
      </c>
      <c r="B67" s="789"/>
      <c r="C67" s="789"/>
      <c r="D67" s="789"/>
      <c r="E67" s="789"/>
      <c r="F67" s="789"/>
      <c r="G67" s="789"/>
      <c r="H67" s="789"/>
      <c r="I67" s="789"/>
      <c r="J67" s="789"/>
    </row>
    <row r="68" spans="1:10" s="121" customFormat="1" ht="10.5" customHeight="1" x14ac:dyDescent="0.15">
      <c r="A68" s="320"/>
      <c r="B68" s="320"/>
      <c r="C68" s="320"/>
      <c r="D68" s="320"/>
      <c r="E68" s="320"/>
      <c r="F68" s="320"/>
      <c r="G68" s="320"/>
      <c r="H68" s="320"/>
      <c r="I68" s="320"/>
      <c r="J68" s="320"/>
    </row>
    <row r="69" spans="1:10" ht="12.6" customHeight="1" x14ac:dyDescent="0.25"/>
    <row r="70" spans="1:10" ht="12.6" customHeight="1" x14ac:dyDescent="0.25">
      <c r="A70" s="121" t="s">
        <v>1322</v>
      </c>
      <c r="B70" s="121"/>
      <c r="C70" s="121"/>
      <c r="D70" s="121"/>
      <c r="E70" s="121"/>
      <c r="F70" s="122"/>
      <c r="G70" s="122"/>
      <c r="H70" s="122"/>
      <c r="I70" s="122"/>
      <c r="J70" s="122"/>
    </row>
    <row r="71" spans="1:10" ht="12.6" customHeight="1" x14ac:dyDescent="0.25">
      <c r="A71" s="798">
        <f>IF('Данные объект'!C38="","",'Данные объект'!C38)</f>
      </c>
      <c r="B71" s="798"/>
      <c r="C71" s="798"/>
      <c r="D71" s="798"/>
      <c r="E71" s="798"/>
      <c r="F71" s="798"/>
      <c r="G71" s="142"/>
      <c r="H71" s="142"/>
      <c r="I71" s="799" t="str">
        <f>IF('Данные объект'!B40="","",'Данные объект'!B40)</f>
      </c>
      <c r="J71" s="799"/>
    </row>
    <row r="72" spans="1:10" ht="12.6" customHeight="1" x14ac:dyDescent="0.25">
      <c r="A72" s="778" t="s">
        <v>523</v>
      </c>
      <c r="B72" s="778"/>
      <c r="C72" s="778"/>
      <c r="D72" s="778"/>
      <c r="E72" s="778"/>
      <c r="F72" s="778"/>
      <c r="G72" s="778"/>
      <c r="H72" s="778"/>
      <c r="I72" s="778"/>
      <c r="J72" s="778"/>
    </row>
    <row r="73" spans="1:10" ht="12.6" customHeight="1" x14ac:dyDescent="0.25">
      <c r="A73" s="121" t="s">
        <v>606</v>
      </c>
      <c r="B73" s="121"/>
      <c r="C73" s="121"/>
      <c r="D73" s="121"/>
      <c r="E73" s="121"/>
      <c r="F73" s="122"/>
      <c r="G73" s="122"/>
      <c r="H73" s="122"/>
      <c r="I73" s="122"/>
      <c r="J73" s="122"/>
    </row>
    <row r="74" spans="1:10" ht="12.6" customHeight="1" x14ac:dyDescent="0.25">
      <c r="A74" s="798" t="str">
        <f>IF('Данные объект'!C42="","",'Данные объект'!C42)</f>
      </c>
      <c r="B74" s="798"/>
      <c r="C74" s="798"/>
      <c r="D74" s="798"/>
      <c r="E74" s="798"/>
      <c r="F74" s="142"/>
      <c r="G74" s="142"/>
      <c r="H74" s="142"/>
      <c r="I74" s="799" t="str">
        <f>IF('Данные объект'!B44="","",'Данные объект'!B44)</f>
      </c>
      <c r="J74" s="799"/>
    </row>
    <row r="75" spans="1:10" ht="7.5" customHeight="1" x14ac:dyDescent="0.25">
      <c r="A75" s="778" t="s">
        <v>523</v>
      </c>
      <c r="B75" s="778"/>
      <c r="C75" s="778"/>
      <c r="D75" s="778"/>
      <c r="E75" s="778"/>
      <c r="F75" s="778"/>
      <c r="G75" s="778"/>
      <c r="H75" s="778"/>
      <c r="I75" s="778"/>
      <c r="J75" s="778"/>
    </row>
    <row r="76" spans="1:10" ht="12.6" customHeight="1" x14ac:dyDescent="0.25">
      <c r="A76" s="783" t="s">
        <v>608</v>
      </c>
      <c r="B76" s="783"/>
      <c r="C76" s="783"/>
      <c r="D76" s="783"/>
      <c r="E76" s="783"/>
      <c r="F76" s="783"/>
      <c r="G76" s="801"/>
      <c r="H76" s="801"/>
      <c r="I76" s="801"/>
      <c r="J76" s="801"/>
    </row>
    <row r="77" spans="1:10" ht="12.6" customHeight="1" x14ac:dyDescent="0.25">
      <c r="A77" s="143" t="str">
        <f>IF('Данные объект'!C27="","",'Данные объект'!C27)</f>
      </c>
      <c r="B77" s="143"/>
      <c r="C77" s="143"/>
      <c r="D77" s="143"/>
      <c r="E77" s="143"/>
      <c r="F77" s="142"/>
      <c r="G77" s="142"/>
      <c r="H77" s="142"/>
      <c r="I77" s="799" t="str">
        <f>IF('Данные объект'!B28="","",'Данные объект'!B28)</f>
      </c>
      <c r="J77" s="799"/>
    </row>
    <row r="78" spans="1:10" ht="7.5" customHeight="1" x14ac:dyDescent="0.25">
      <c r="A78" s="778" t="s">
        <v>523</v>
      </c>
      <c r="B78" s="778"/>
      <c r="C78" s="778"/>
      <c r="D78" s="778"/>
      <c r="E78" s="778"/>
      <c r="F78" s="778"/>
      <c r="G78" s="778"/>
      <c r="H78" s="778"/>
      <c r="I78" s="778"/>
      <c r="J78" s="778"/>
    </row>
    <row r="79" spans="1:10" ht="12.6" customHeight="1" x14ac:dyDescent="0.25">
      <c r="A79" s="120" t="s">
        <v>623</v>
      </c>
    </row>
    <row r="80" spans="1:10" ht="12.6" customHeight="1" x14ac:dyDescent="0.25">
      <c r="A80" s="143" t="str">
        <f>IF('Данные объект'!C24="","",'Данные объект'!C24)</f>
      </c>
      <c r="B80" s="143"/>
      <c r="C80" s="143"/>
      <c r="D80" s="142"/>
      <c r="E80" s="142"/>
      <c r="F80" s="142"/>
      <c r="G80" s="142"/>
      <c r="H80" s="142"/>
      <c r="I80" s="799" t="str">
        <f>IF('Данные объект'!B25="","",'Данные объект'!B25)</f>
      </c>
      <c r="J80" s="799"/>
    </row>
    <row r="81" spans="1:10" ht="7.5" customHeight="1" x14ac:dyDescent="0.25">
      <c r="A81" s="778" t="s">
        <v>523</v>
      </c>
      <c r="B81" s="778"/>
      <c r="C81" s="778"/>
      <c r="D81" s="778"/>
      <c r="E81" s="778"/>
      <c r="F81" s="778"/>
      <c r="G81" s="778"/>
      <c r="H81" s="778"/>
      <c r="I81" s="778"/>
      <c r="J81" s="778"/>
    </row>
    <row r="82" spans="1:10" ht="12.6" customHeight="1" x14ac:dyDescent="0.25">
      <c r="A82" s="120" t="s">
        <v>624</v>
      </c>
      <c r="I82" s="141"/>
      <c r="J82" s="141"/>
    </row>
    <row r="83" spans="1:10" ht="12.6" customHeight="1" x14ac:dyDescent="0.25">
      <c r="A83" s="120" t="s">
        <v>625</v>
      </c>
      <c r="D83" s="800" t="s">
        <v>101</v>
      </c>
      <c r="E83" s="800"/>
      <c r="F83" s="800"/>
      <c r="G83" s="800"/>
      <c r="H83" s="800"/>
      <c r="I83" s="800"/>
      <c r="J83" s="800"/>
    </row>
    <row r="84" spans="1:10" ht="7.5" customHeight="1" x14ac:dyDescent="0.25">
      <c r="A84" s="774" t="s">
        <v>523</v>
      </c>
      <c r="B84" s="774"/>
      <c r="C84" s="774"/>
      <c r="D84" s="778"/>
      <c r="E84" s="778"/>
      <c r="F84" s="778"/>
      <c r="G84" s="778"/>
      <c r="H84" s="778"/>
      <c r="I84" s="778"/>
      <c r="J84" s="778"/>
    </row>
    <row r="85" spans="1:10" ht="12.6" customHeight="1" x14ac:dyDescent="0.25">
      <c r="A85" s="783" t="s">
        <v>626</v>
      </c>
      <c r="B85" s="783"/>
      <c r="C85" s="783"/>
      <c r="D85" s="783"/>
      <c r="E85" s="783"/>
      <c r="F85" s="783"/>
      <c r="G85" s="783"/>
      <c r="H85" s="783"/>
      <c r="I85" s="783"/>
      <c r="J85" s="783"/>
    </row>
    <row r="86" spans="1:10" ht="15" customHeight="1" x14ac:dyDescent="0.25">
      <c r="A86" s="143" t="s">
        <v>1382</v>
      </c>
      <c r="B86" s="370" t="str">
        <f>IF('Данные объект'!B19="","",'Данные объект'!B19)</f>
      </c>
      <c r="C86" s="143"/>
      <c r="D86" s="144"/>
      <c r="E86" s="144"/>
      <c r="F86" s="144"/>
      <c r="G86" s="144"/>
      <c r="H86" s="144"/>
      <c r="I86" s="799" t="str">
        <f>IF('Данные объект'!B31="","",'Данные объект'!B31)</f>
      </c>
      <c r="J86" s="799"/>
    </row>
    <row r="87" spans="1:10" ht="7.5" customHeight="1" x14ac:dyDescent="0.25">
      <c r="A87" s="774" t="s">
        <v>523</v>
      </c>
      <c r="B87" s="774"/>
      <c r="C87" s="774"/>
      <c r="D87" s="774"/>
      <c r="E87" s="774"/>
      <c r="F87" s="774"/>
      <c r="G87" s="774"/>
      <c r="H87" s="774"/>
      <c r="I87" s="774"/>
      <c r="J87" s="774"/>
    </row>
    <row r="88" spans="1:10" ht="12" customHeight="1" x14ac:dyDescent="0.25"/>
    <row r="89" spans="1:10" ht="12" customHeight="1" x14ac:dyDescent="0.25"/>
    <row r="90" spans="1:10" ht="12" customHeight="1" x14ac:dyDescent="0.25"/>
    <row r="91" spans="1:10" ht="12" customHeight="1" x14ac:dyDescent="0.25"/>
    <row r="92" spans="1:10" ht="12" customHeight="1" x14ac:dyDescent="0.25"/>
    <row r="93" spans="1:10" ht="12" customHeight="1" x14ac:dyDescent="0.25"/>
    <row r="94" spans="1:10" ht="12" customHeight="1" x14ac:dyDescent="0.25"/>
    <row r="95" spans="1:10" ht="12" customHeight="1" x14ac:dyDescent="0.25"/>
    <row r="96" spans="1:10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</sheetData>
  <mergeCells count="74">
    <mergeCell ref="A87:J87"/>
    <mergeCell ref="I74:J74"/>
    <mergeCell ref="I77:J77"/>
    <mergeCell ref="A81:J81"/>
    <mergeCell ref="D83:J83"/>
    <mergeCell ref="A84:J84"/>
    <mergeCell ref="A85:J85"/>
    <mergeCell ref="I80:J80"/>
    <mergeCell ref="I86:J86"/>
    <mergeCell ref="A75:J75"/>
    <mergeCell ref="A76:F76"/>
    <mergeCell ref="G76:J76"/>
    <mergeCell ref="A78:J78"/>
    <mergeCell ref="A74:E74"/>
    <mergeCell ref="A62:J62"/>
    <mergeCell ref="A64:B64"/>
    <mergeCell ref="C66:J66"/>
    <mergeCell ref="A71:F71"/>
    <mergeCell ref="I71:J71"/>
    <mergeCell ref="A55:J55"/>
    <mergeCell ref="A56:J56"/>
    <mergeCell ref="A57:J57"/>
    <mergeCell ref="A58:J58"/>
    <mergeCell ref="D61:J61"/>
    <mergeCell ref="A72:J72"/>
    <mergeCell ref="A52:J52"/>
    <mergeCell ref="A38:J38"/>
    <mergeCell ref="A39:J39"/>
    <mergeCell ref="A40:J40"/>
    <mergeCell ref="A41:J41"/>
    <mergeCell ref="A42:J42"/>
    <mergeCell ref="A43:J43"/>
    <mergeCell ref="A44:J44"/>
    <mergeCell ref="A46:J46"/>
    <mergeCell ref="A47:J47"/>
    <mergeCell ref="A48:J48"/>
    <mergeCell ref="A49:J49"/>
    <mergeCell ref="A67:J67"/>
    <mergeCell ref="A53:J53"/>
    <mergeCell ref="A54:J54"/>
    <mergeCell ref="A21:J21"/>
    <mergeCell ref="A23:J23"/>
    <mergeCell ref="A24:J24"/>
    <mergeCell ref="A36:J36"/>
    <mergeCell ref="A25:J25"/>
    <mergeCell ref="A27:J27"/>
    <mergeCell ref="A28:J28"/>
    <mergeCell ref="A32:J32"/>
    <mergeCell ref="A33:J33"/>
    <mergeCell ref="A34:F34"/>
    <mergeCell ref="G34:J34"/>
    <mergeCell ref="A35:J35"/>
    <mergeCell ref="I30:J30"/>
    <mergeCell ref="I29:J29"/>
    <mergeCell ref="G16:J16"/>
    <mergeCell ref="G17:J17"/>
    <mergeCell ref="A18:J18"/>
    <mergeCell ref="A19:J19"/>
    <mergeCell ref="A20:J20"/>
    <mergeCell ref="A13:J13"/>
    <mergeCell ref="A14:J14"/>
    <mergeCell ref="A15:J15"/>
    <mergeCell ref="A12:J12"/>
    <mergeCell ref="E1:J1"/>
    <mergeCell ref="A2:J2"/>
    <mergeCell ref="A3:J3"/>
    <mergeCell ref="E4:J4"/>
    <mergeCell ref="E5:J5"/>
    <mergeCell ref="A6:J6"/>
    <mergeCell ref="A7:J7"/>
    <mergeCell ref="A8:J8"/>
    <mergeCell ref="A9:J9"/>
    <mergeCell ref="E10:J10"/>
    <mergeCell ref="E11:J11"/>
  </mergeCells>
  <pageMargins left="0.70866141732283472" right="0.19685039370078741" top="0.62992125984251968" bottom="0.6692913385826772" header="0" footer="0"/>
  <pageSetup paperSize="9" scale="84" fitToHeight="2" orientation="portrait" r:id="rId1"/>
  <headerFooter alignWithMargins="0"/>
  <rowBreaks count="1" manualBreakCount="1">
    <brk id="5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D904-B336-43F7-A973-3DD85655EF3C}">
  <sheetPr>
    <tabColor theme="5" tint="0.39997558519241921"/>
  </sheetPr>
  <dimension ref="A1:AQ95"/>
  <sheetViews>
    <sheetView view="pageBreakPreview" topLeftCell="A10" zoomScale="115" zoomScaleNormal="125" zoomScaleSheetLayoutView="115" workbookViewId="0">
      <selection activeCell="A94" sqref="A94:O94"/>
    </sheetView>
  </sheetViews>
  <sheetFormatPr defaultColWidth="9.140625" defaultRowHeight="15" x14ac:dyDescent="0.25"/>
  <cols>
    <col min="1" max="36" width="2.7109375" style="120" customWidth="1"/>
    <col min="37" max="51" width="2.42578125" style="120" customWidth="1"/>
    <col min="52" max="256" width="9.140625" style="120"/>
    <col min="257" max="292" width="2.7109375" style="120" customWidth="1"/>
    <col min="293" max="307" width="2.42578125" style="120" customWidth="1"/>
    <col min="308" max="512" width="9.140625" style="120"/>
    <col min="513" max="548" width="2.7109375" style="120" customWidth="1"/>
    <col min="549" max="563" width="2.42578125" style="120" customWidth="1"/>
    <col min="564" max="768" width="9.140625" style="120"/>
    <col min="769" max="804" width="2.7109375" style="120" customWidth="1"/>
    <col min="805" max="819" width="2.42578125" style="120" customWidth="1"/>
    <col min="820" max="1024" width="9.140625" style="120"/>
    <col min="1025" max="1060" width="2.7109375" style="120" customWidth="1"/>
    <col min="1061" max="1075" width="2.42578125" style="120" customWidth="1"/>
    <col min="1076" max="1280" width="9.140625" style="120"/>
    <col min="1281" max="1316" width="2.7109375" style="120" customWidth="1"/>
    <col min="1317" max="1331" width="2.42578125" style="120" customWidth="1"/>
    <col min="1332" max="1536" width="9.140625" style="120"/>
    <col min="1537" max="1572" width="2.7109375" style="120" customWidth="1"/>
    <col min="1573" max="1587" width="2.42578125" style="120" customWidth="1"/>
    <col min="1588" max="1792" width="9.140625" style="120"/>
    <col min="1793" max="1828" width="2.7109375" style="120" customWidth="1"/>
    <col min="1829" max="1843" width="2.42578125" style="120" customWidth="1"/>
    <col min="1844" max="2048" width="9.140625" style="120"/>
    <col min="2049" max="2084" width="2.7109375" style="120" customWidth="1"/>
    <col min="2085" max="2099" width="2.42578125" style="120" customWidth="1"/>
    <col min="2100" max="2304" width="9.140625" style="120"/>
    <col min="2305" max="2340" width="2.7109375" style="120" customWidth="1"/>
    <col min="2341" max="2355" width="2.42578125" style="120" customWidth="1"/>
    <col min="2356" max="2560" width="9.140625" style="120"/>
    <col min="2561" max="2596" width="2.7109375" style="120" customWidth="1"/>
    <col min="2597" max="2611" width="2.42578125" style="120" customWidth="1"/>
    <col min="2612" max="2816" width="9.140625" style="120"/>
    <col min="2817" max="2852" width="2.7109375" style="120" customWidth="1"/>
    <col min="2853" max="2867" width="2.42578125" style="120" customWidth="1"/>
    <col min="2868" max="3072" width="9.140625" style="120"/>
    <col min="3073" max="3108" width="2.7109375" style="120" customWidth="1"/>
    <col min="3109" max="3123" width="2.42578125" style="120" customWidth="1"/>
    <col min="3124" max="3328" width="9.140625" style="120"/>
    <col min="3329" max="3364" width="2.7109375" style="120" customWidth="1"/>
    <col min="3365" max="3379" width="2.42578125" style="120" customWidth="1"/>
    <col min="3380" max="3584" width="9.140625" style="120"/>
    <col min="3585" max="3620" width="2.7109375" style="120" customWidth="1"/>
    <col min="3621" max="3635" width="2.42578125" style="120" customWidth="1"/>
    <col min="3636" max="3840" width="9.140625" style="120"/>
    <col min="3841" max="3876" width="2.7109375" style="120" customWidth="1"/>
    <col min="3877" max="3891" width="2.42578125" style="120" customWidth="1"/>
    <col min="3892" max="4096" width="9.140625" style="120"/>
    <col min="4097" max="4132" width="2.7109375" style="120" customWidth="1"/>
    <col min="4133" max="4147" width="2.42578125" style="120" customWidth="1"/>
    <col min="4148" max="4352" width="9.140625" style="120"/>
    <col min="4353" max="4388" width="2.7109375" style="120" customWidth="1"/>
    <col min="4389" max="4403" width="2.42578125" style="120" customWidth="1"/>
    <col min="4404" max="4608" width="9.140625" style="120"/>
    <col min="4609" max="4644" width="2.7109375" style="120" customWidth="1"/>
    <col min="4645" max="4659" width="2.42578125" style="120" customWidth="1"/>
    <col min="4660" max="4864" width="9.140625" style="120"/>
    <col min="4865" max="4900" width="2.7109375" style="120" customWidth="1"/>
    <col min="4901" max="4915" width="2.42578125" style="120" customWidth="1"/>
    <col min="4916" max="5120" width="9.140625" style="120"/>
    <col min="5121" max="5156" width="2.7109375" style="120" customWidth="1"/>
    <col min="5157" max="5171" width="2.42578125" style="120" customWidth="1"/>
    <col min="5172" max="5376" width="9.140625" style="120"/>
    <col min="5377" max="5412" width="2.7109375" style="120" customWidth="1"/>
    <col min="5413" max="5427" width="2.42578125" style="120" customWidth="1"/>
    <col min="5428" max="5632" width="9.140625" style="120"/>
    <col min="5633" max="5668" width="2.7109375" style="120" customWidth="1"/>
    <col min="5669" max="5683" width="2.42578125" style="120" customWidth="1"/>
    <col min="5684" max="5888" width="9.140625" style="120"/>
    <col min="5889" max="5924" width="2.7109375" style="120" customWidth="1"/>
    <col min="5925" max="5939" width="2.42578125" style="120" customWidth="1"/>
    <col min="5940" max="6144" width="9.140625" style="120"/>
    <col min="6145" max="6180" width="2.7109375" style="120" customWidth="1"/>
    <col min="6181" max="6195" width="2.42578125" style="120" customWidth="1"/>
    <col min="6196" max="6400" width="9.140625" style="120"/>
    <col min="6401" max="6436" width="2.7109375" style="120" customWidth="1"/>
    <col min="6437" max="6451" width="2.42578125" style="120" customWidth="1"/>
    <col min="6452" max="6656" width="9.140625" style="120"/>
    <col min="6657" max="6692" width="2.7109375" style="120" customWidth="1"/>
    <col min="6693" max="6707" width="2.42578125" style="120" customWidth="1"/>
    <col min="6708" max="6912" width="9.140625" style="120"/>
    <col min="6913" max="6948" width="2.7109375" style="120" customWidth="1"/>
    <col min="6949" max="6963" width="2.42578125" style="120" customWidth="1"/>
    <col min="6964" max="7168" width="9.140625" style="120"/>
    <col min="7169" max="7204" width="2.7109375" style="120" customWidth="1"/>
    <col min="7205" max="7219" width="2.42578125" style="120" customWidth="1"/>
    <col min="7220" max="7424" width="9.140625" style="120"/>
    <col min="7425" max="7460" width="2.7109375" style="120" customWidth="1"/>
    <col min="7461" max="7475" width="2.42578125" style="120" customWidth="1"/>
    <col min="7476" max="7680" width="9.140625" style="120"/>
    <col min="7681" max="7716" width="2.7109375" style="120" customWidth="1"/>
    <col min="7717" max="7731" width="2.42578125" style="120" customWidth="1"/>
    <col min="7732" max="7936" width="9.140625" style="120"/>
    <col min="7937" max="7972" width="2.7109375" style="120" customWidth="1"/>
    <col min="7973" max="7987" width="2.42578125" style="120" customWidth="1"/>
    <col min="7988" max="8192" width="9.140625" style="120"/>
    <col min="8193" max="8228" width="2.7109375" style="120" customWidth="1"/>
    <col min="8229" max="8243" width="2.42578125" style="120" customWidth="1"/>
    <col min="8244" max="8448" width="9.140625" style="120"/>
    <col min="8449" max="8484" width="2.7109375" style="120" customWidth="1"/>
    <col min="8485" max="8499" width="2.42578125" style="120" customWidth="1"/>
    <col min="8500" max="8704" width="9.140625" style="120"/>
    <col min="8705" max="8740" width="2.7109375" style="120" customWidth="1"/>
    <col min="8741" max="8755" width="2.42578125" style="120" customWidth="1"/>
    <col min="8756" max="8960" width="9.140625" style="120"/>
    <col min="8961" max="8996" width="2.7109375" style="120" customWidth="1"/>
    <col min="8997" max="9011" width="2.42578125" style="120" customWidth="1"/>
    <col min="9012" max="9216" width="9.140625" style="120"/>
    <col min="9217" max="9252" width="2.7109375" style="120" customWidth="1"/>
    <col min="9253" max="9267" width="2.42578125" style="120" customWidth="1"/>
    <col min="9268" max="9472" width="9.140625" style="120"/>
    <col min="9473" max="9508" width="2.7109375" style="120" customWidth="1"/>
    <col min="9509" max="9523" width="2.42578125" style="120" customWidth="1"/>
    <col min="9524" max="9728" width="9.140625" style="120"/>
    <col min="9729" max="9764" width="2.7109375" style="120" customWidth="1"/>
    <col min="9765" max="9779" width="2.42578125" style="120" customWidth="1"/>
    <col min="9780" max="9984" width="9.140625" style="120"/>
    <col min="9985" max="10020" width="2.7109375" style="120" customWidth="1"/>
    <col min="10021" max="10035" width="2.42578125" style="120" customWidth="1"/>
    <col min="10036" max="10240" width="9.140625" style="120"/>
    <col min="10241" max="10276" width="2.7109375" style="120" customWidth="1"/>
    <col min="10277" max="10291" width="2.42578125" style="120" customWidth="1"/>
    <col min="10292" max="10496" width="9.140625" style="120"/>
    <col min="10497" max="10532" width="2.7109375" style="120" customWidth="1"/>
    <col min="10533" max="10547" width="2.42578125" style="120" customWidth="1"/>
    <col min="10548" max="10752" width="9.140625" style="120"/>
    <col min="10753" max="10788" width="2.7109375" style="120" customWidth="1"/>
    <col min="10789" max="10803" width="2.42578125" style="120" customWidth="1"/>
    <col min="10804" max="11008" width="9.140625" style="120"/>
    <col min="11009" max="11044" width="2.7109375" style="120" customWidth="1"/>
    <col min="11045" max="11059" width="2.42578125" style="120" customWidth="1"/>
    <col min="11060" max="11264" width="9.140625" style="120"/>
    <col min="11265" max="11300" width="2.7109375" style="120" customWidth="1"/>
    <col min="11301" max="11315" width="2.42578125" style="120" customWidth="1"/>
    <col min="11316" max="11520" width="9.140625" style="120"/>
    <col min="11521" max="11556" width="2.7109375" style="120" customWidth="1"/>
    <col min="11557" max="11571" width="2.42578125" style="120" customWidth="1"/>
    <col min="11572" max="11776" width="9.140625" style="120"/>
    <col min="11777" max="11812" width="2.7109375" style="120" customWidth="1"/>
    <col min="11813" max="11827" width="2.42578125" style="120" customWidth="1"/>
    <col min="11828" max="12032" width="9.140625" style="120"/>
    <col min="12033" max="12068" width="2.7109375" style="120" customWidth="1"/>
    <col min="12069" max="12083" width="2.42578125" style="120" customWidth="1"/>
    <col min="12084" max="12288" width="9.140625" style="120"/>
    <col min="12289" max="12324" width="2.7109375" style="120" customWidth="1"/>
    <col min="12325" max="12339" width="2.42578125" style="120" customWidth="1"/>
    <col min="12340" max="12544" width="9.140625" style="120"/>
    <col min="12545" max="12580" width="2.7109375" style="120" customWidth="1"/>
    <col min="12581" max="12595" width="2.42578125" style="120" customWidth="1"/>
    <col min="12596" max="12800" width="9.140625" style="120"/>
    <col min="12801" max="12836" width="2.7109375" style="120" customWidth="1"/>
    <col min="12837" max="12851" width="2.42578125" style="120" customWidth="1"/>
    <col min="12852" max="13056" width="9.140625" style="120"/>
    <col min="13057" max="13092" width="2.7109375" style="120" customWidth="1"/>
    <col min="13093" max="13107" width="2.42578125" style="120" customWidth="1"/>
    <col min="13108" max="13312" width="9.140625" style="120"/>
    <col min="13313" max="13348" width="2.7109375" style="120" customWidth="1"/>
    <col min="13349" max="13363" width="2.42578125" style="120" customWidth="1"/>
    <col min="13364" max="13568" width="9.140625" style="120"/>
    <col min="13569" max="13604" width="2.7109375" style="120" customWidth="1"/>
    <col min="13605" max="13619" width="2.42578125" style="120" customWidth="1"/>
    <col min="13620" max="13824" width="9.140625" style="120"/>
    <col min="13825" max="13860" width="2.7109375" style="120" customWidth="1"/>
    <col min="13861" max="13875" width="2.42578125" style="120" customWidth="1"/>
    <col min="13876" max="14080" width="9.140625" style="120"/>
    <col min="14081" max="14116" width="2.7109375" style="120" customWidth="1"/>
    <col min="14117" max="14131" width="2.42578125" style="120" customWidth="1"/>
    <col min="14132" max="14336" width="9.140625" style="120"/>
    <col min="14337" max="14372" width="2.7109375" style="120" customWidth="1"/>
    <col min="14373" max="14387" width="2.42578125" style="120" customWidth="1"/>
    <col min="14388" max="14592" width="9.140625" style="120"/>
    <col min="14593" max="14628" width="2.7109375" style="120" customWidth="1"/>
    <col min="14629" max="14643" width="2.42578125" style="120" customWidth="1"/>
    <col min="14644" max="14848" width="9.140625" style="120"/>
    <col min="14849" max="14884" width="2.7109375" style="120" customWidth="1"/>
    <col min="14885" max="14899" width="2.42578125" style="120" customWidth="1"/>
    <col min="14900" max="15104" width="9.140625" style="120"/>
    <col min="15105" max="15140" width="2.7109375" style="120" customWidth="1"/>
    <col min="15141" max="15155" width="2.42578125" style="120" customWidth="1"/>
    <col min="15156" max="15360" width="9.140625" style="120"/>
    <col min="15361" max="15396" width="2.7109375" style="120" customWidth="1"/>
    <col min="15397" max="15411" width="2.42578125" style="120" customWidth="1"/>
    <col min="15412" max="15616" width="9.140625" style="120"/>
    <col min="15617" max="15652" width="2.7109375" style="120" customWidth="1"/>
    <col min="15653" max="15667" width="2.42578125" style="120" customWidth="1"/>
    <col min="15668" max="15872" width="9.140625" style="120"/>
    <col min="15873" max="15908" width="2.7109375" style="120" customWidth="1"/>
    <col min="15909" max="15923" width="2.42578125" style="120" customWidth="1"/>
    <col min="15924" max="16128" width="9.140625" style="120"/>
    <col min="16129" max="16164" width="2.7109375" style="120" customWidth="1"/>
    <col min="16165" max="16179" width="2.42578125" style="120" customWidth="1"/>
    <col min="16180" max="16384" width="9.140625" style="120"/>
  </cols>
  <sheetData>
    <row r="1" spans="1:43" ht="12.75" customHeight="1" x14ac:dyDescent="0.25">
      <c r="AJ1" s="267"/>
    </row>
    <row r="2" spans="1:43" ht="11.25" customHeight="1" x14ac:dyDescent="0.25">
      <c r="AJ2" s="267" t="s">
        <v>1299</v>
      </c>
    </row>
    <row r="3" spans="1:43" s="268" customFormat="1" ht="14.25" customHeight="1" x14ac:dyDescent="0.2">
      <c r="A3" s="268" t="s">
        <v>592</v>
      </c>
      <c r="AJ3" s="269"/>
      <c r="AK3" s="269"/>
      <c r="AL3" s="269"/>
      <c r="AM3" s="269"/>
      <c r="AN3" s="269"/>
      <c r="AO3" s="269"/>
      <c r="AP3" s="269"/>
      <c r="AQ3" s="269"/>
    </row>
    <row r="4" spans="1:43" ht="33.6" customHeight="1" x14ac:dyDescent="0.25">
      <c r="A4" s="815" t="str">
        <f>IF('Данные объект'!B3="","",'Данные объект'!B3)</f>
      </c>
      <c r="B4" s="815"/>
      <c r="C4" s="815"/>
      <c r="D4" s="815"/>
      <c r="E4" s="815"/>
      <c r="F4" s="815"/>
      <c r="G4" s="815"/>
      <c r="H4" s="815"/>
      <c r="I4" s="815"/>
      <c r="J4" s="815"/>
      <c r="K4" s="815"/>
      <c r="L4" s="815"/>
      <c r="M4" s="815"/>
      <c r="N4" s="815"/>
      <c r="O4" s="815"/>
      <c r="P4" s="815"/>
      <c r="Q4" s="815"/>
      <c r="R4" s="815"/>
      <c r="S4" s="815"/>
      <c r="T4" s="815"/>
      <c r="U4" s="815"/>
      <c r="V4" s="815"/>
      <c r="W4" s="815"/>
      <c r="X4" s="815"/>
      <c r="Y4" s="815"/>
      <c r="Z4" s="815"/>
      <c r="AA4" s="815"/>
      <c r="AB4" s="815"/>
      <c r="AC4" s="815"/>
      <c r="AD4" s="815"/>
      <c r="AE4" s="815"/>
      <c r="AF4" s="815"/>
      <c r="AG4" s="815"/>
      <c r="AH4" s="815"/>
      <c r="AI4" s="815"/>
      <c r="AJ4" s="815"/>
    </row>
    <row r="5" spans="1:43" ht="9" customHeight="1" x14ac:dyDescent="0.25">
      <c r="A5" s="812" t="s">
        <v>1300</v>
      </c>
      <c r="B5" s="813"/>
      <c r="C5" s="813"/>
      <c r="D5" s="813"/>
      <c r="E5" s="813"/>
      <c r="F5" s="813"/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  <c r="S5" s="813"/>
      <c r="T5" s="813"/>
      <c r="U5" s="813"/>
      <c r="V5" s="813"/>
      <c r="W5" s="813"/>
      <c r="X5" s="813"/>
      <c r="Y5" s="813"/>
      <c r="Z5" s="813"/>
      <c r="AA5" s="813"/>
      <c r="AB5" s="813"/>
      <c r="AC5" s="813"/>
      <c r="AD5" s="813"/>
      <c r="AE5" s="813"/>
      <c r="AF5" s="813"/>
      <c r="AG5" s="813"/>
      <c r="AH5" s="813"/>
      <c r="AI5" s="813"/>
      <c r="AJ5" s="813"/>
    </row>
    <row r="6" spans="1:43" s="268" customFormat="1" ht="19.5" customHeight="1" x14ac:dyDescent="0.2">
      <c r="A6" s="807" t="s">
        <v>1301</v>
      </c>
      <c r="B6" s="807"/>
      <c r="C6" s="807"/>
      <c r="D6" s="807"/>
      <c r="E6" s="807"/>
      <c r="F6" s="807"/>
      <c r="G6" s="807"/>
      <c r="H6" s="807"/>
      <c r="I6" s="807"/>
      <c r="J6" s="807"/>
      <c r="K6" s="807"/>
      <c r="L6" s="807"/>
      <c r="M6" s="807"/>
      <c r="N6" s="807"/>
      <c r="O6" s="807"/>
      <c r="P6" s="807"/>
      <c r="Q6" s="807"/>
      <c r="R6" s="807"/>
      <c r="S6" s="807"/>
      <c r="T6" s="807"/>
      <c r="U6" s="807"/>
      <c r="V6" s="807"/>
      <c r="W6" s="807"/>
      <c r="X6" s="807"/>
      <c r="Y6" s="807"/>
      <c r="Z6" s="807"/>
      <c r="AA6" s="807"/>
      <c r="AB6" s="807"/>
      <c r="AC6" s="807"/>
      <c r="AD6" s="807"/>
      <c r="AE6" s="807"/>
      <c r="AF6" s="807"/>
      <c r="AG6" s="807"/>
      <c r="AH6" s="807"/>
      <c r="AI6" s="807"/>
      <c r="AJ6" s="807"/>
    </row>
    <row r="7" spans="1:43" x14ac:dyDescent="0.25">
      <c r="A7" s="808" t="str">
        <f>IF('Данные объект'!C31="","",'Данные объект'!C31)</f>
      </c>
      <c r="B7" s="808"/>
      <c r="C7" s="808"/>
      <c r="D7" s="808"/>
      <c r="E7" s="808"/>
      <c r="F7" s="808"/>
      <c r="G7" s="808"/>
      <c r="H7" s="808"/>
      <c r="I7" s="808"/>
      <c r="J7" s="808"/>
      <c r="K7" s="808"/>
      <c r="L7" s="808"/>
      <c r="M7" s="808"/>
      <c r="N7" s="808"/>
      <c r="O7" s="808"/>
      <c r="P7" s="808"/>
      <c r="Q7" s="808"/>
      <c r="R7" s="808"/>
      <c r="S7" s="808"/>
      <c r="T7" s="808"/>
      <c r="U7" s="808"/>
      <c r="V7" s="808"/>
      <c r="W7" s="808"/>
      <c r="X7" s="808"/>
      <c r="Y7" s="808"/>
      <c r="Z7" s="808"/>
      <c r="AA7" s="808"/>
      <c r="AB7" s="808"/>
      <c r="AC7" s="808"/>
      <c r="AD7" s="808"/>
      <c r="AE7" s="808"/>
      <c r="AF7" s="808"/>
      <c r="AG7" s="808"/>
      <c r="AH7" s="808"/>
      <c r="AI7" s="808"/>
      <c r="AJ7" s="808"/>
    </row>
    <row r="8" spans="1:43" x14ac:dyDescent="0.25">
      <c r="A8" s="808" t="str">
        <f>IF('Данные объект'!B32="","",'Данные объект'!B32)</f>
      </c>
      <c r="B8" s="808"/>
      <c r="C8" s="808"/>
      <c r="D8" s="808"/>
      <c r="E8" s="808"/>
      <c r="F8" s="808"/>
      <c r="G8" s="808"/>
      <c r="H8" s="808"/>
      <c r="I8" s="808"/>
      <c r="J8" s="808"/>
      <c r="K8" s="808"/>
      <c r="L8" s="808"/>
      <c r="M8" s="808"/>
      <c r="N8" s="808"/>
      <c r="O8" s="808"/>
      <c r="P8" s="808"/>
      <c r="Q8" s="808"/>
      <c r="R8" s="808"/>
      <c r="S8" s="808"/>
      <c r="T8" s="808"/>
      <c r="U8" s="808"/>
      <c r="V8" s="808"/>
      <c r="W8" s="808"/>
      <c r="X8" s="808"/>
      <c r="Y8" s="808"/>
      <c r="Z8" s="808"/>
      <c r="AA8" s="808"/>
      <c r="AB8" s="808"/>
      <c r="AC8" s="808"/>
      <c r="AD8" s="808"/>
      <c r="AE8" s="808"/>
      <c r="AF8" s="808"/>
      <c r="AG8" s="808"/>
      <c r="AH8" s="808"/>
      <c r="AI8" s="808"/>
      <c r="AJ8" s="808"/>
    </row>
    <row r="9" spans="1:43" ht="16.5" customHeight="1" x14ac:dyDescent="0.25">
      <c r="A9" s="812" t="s">
        <v>1302</v>
      </c>
      <c r="B9" s="813"/>
      <c r="C9" s="813"/>
      <c r="D9" s="813"/>
      <c r="E9" s="813"/>
      <c r="F9" s="813"/>
      <c r="G9" s="813"/>
      <c r="H9" s="813"/>
      <c r="I9" s="813"/>
      <c r="J9" s="813"/>
      <c r="K9" s="813"/>
      <c r="L9" s="813"/>
      <c r="M9" s="813"/>
      <c r="N9" s="813"/>
      <c r="O9" s="813"/>
      <c r="P9" s="813"/>
      <c r="Q9" s="813"/>
      <c r="R9" s="813"/>
      <c r="S9" s="813"/>
      <c r="T9" s="813"/>
      <c r="U9" s="813"/>
      <c r="V9" s="813"/>
      <c r="W9" s="813"/>
      <c r="X9" s="813"/>
      <c r="Y9" s="813"/>
      <c r="Z9" s="813"/>
      <c r="AA9" s="813"/>
      <c r="AB9" s="813"/>
      <c r="AC9" s="813"/>
      <c r="AD9" s="813"/>
      <c r="AE9" s="813"/>
      <c r="AF9" s="813"/>
      <c r="AG9" s="813"/>
      <c r="AH9" s="813"/>
      <c r="AI9" s="813"/>
      <c r="AJ9" s="813"/>
    </row>
    <row r="10" spans="1:43" x14ac:dyDescent="0.25">
      <c r="A10" s="808"/>
      <c r="B10" s="808"/>
      <c r="C10" s="808"/>
      <c r="D10" s="808"/>
      <c r="E10" s="808"/>
      <c r="F10" s="808"/>
      <c r="G10" s="808"/>
      <c r="H10" s="808"/>
      <c r="I10" s="808"/>
      <c r="J10" s="808"/>
      <c r="K10" s="808"/>
      <c r="L10" s="808"/>
      <c r="M10" s="808"/>
      <c r="N10" s="808"/>
      <c r="O10" s="808"/>
      <c r="P10" s="808"/>
      <c r="Q10" s="808"/>
      <c r="R10" s="808"/>
      <c r="S10" s="808"/>
      <c r="T10" s="808"/>
      <c r="U10" s="808"/>
      <c r="V10" s="808"/>
      <c r="W10" s="808"/>
      <c r="X10" s="808"/>
      <c r="Y10" s="808"/>
      <c r="Z10" s="808"/>
      <c r="AA10" s="808"/>
      <c r="AB10" s="808"/>
      <c r="AC10" s="808"/>
      <c r="AD10" s="808"/>
      <c r="AE10" s="808"/>
      <c r="AF10" s="808"/>
      <c r="AG10" s="808"/>
      <c r="AH10" s="808"/>
      <c r="AI10" s="808"/>
      <c r="AJ10" s="808"/>
    </row>
    <row r="11" spans="1:43" ht="18" customHeight="1" x14ac:dyDescent="0.25">
      <c r="A11" s="812" t="s">
        <v>1303</v>
      </c>
      <c r="B11" s="813"/>
      <c r="C11" s="813"/>
      <c r="D11" s="813"/>
      <c r="E11" s="813"/>
      <c r="F11" s="813"/>
      <c r="G11" s="813"/>
      <c r="H11" s="813"/>
      <c r="I11" s="813"/>
      <c r="J11" s="813"/>
      <c r="K11" s="813"/>
      <c r="L11" s="813"/>
      <c r="M11" s="813"/>
      <c r="N11" s="813"/>
      <c r="O11" s="813"/>
      <c r="P11" s="813"/>
      <c r="Q11" s="813"/>
      <c r="R11" s="813"/>
      <c r="S11" s="813"/>
      <c r="T11" s="813"/>
      <c r="U11" s="813"/>
      <c r="V11" s="813"/>
      <c r="W11" s="813"/>
      <c r="X11" s="813"/>
      <c r="Y11" s="813"/>
      <c r="Z11" s="813"/>
      <c r="AA11" s="813"/>
      <c r="AB11" s="813"/>
      <c r="AC11" s="813"/>
      <c r="AD11" s="813"/>
      <c r="AE11" s="813"/>
      <c r="AF11" s="813"/>
      <c r="AG11" s="813"/>
      <c r="AH11" s="813"/>
      <c r="AI11" s="813"/>
      <c r="AJ11" s="813"/>
    </row>
    <row r="12" spans="1:43" x14ac:dyDescent="0.25">
      <c r="A12" s="808" t="s">
        <v>101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</row>
    <row r="13" spans="1:43" s="268" customFormat="1" ht="10.5" customHeight="1" x14ac:dyDescent="0.2">
      <c r="A13" s="812" t="s">
        <v>1304</v>
      </c>
      <c r="B13" s="813"/>
      <c r="C13" s="813"/>
      <c r="D13" s="813"/>
      <c r="E13" s="813"/>
      <c r="F13" s="813"/>
      <c r="G13" s="813"/>
      <c r="H13" s="813"/>
      <c r="I13" s="813"/>
      <c r="J13" s="813"/>
      <c r="K13" s="813"/>
      <c r="L13" s="813"/>
      <c r="M13" s="813"/>
      <c r="N13" s="813"/>
      <c r="O13" s="813"/>
      <c r="P13" s="813"/>
      <c r="Q13" s="813"/>
      <c r="R13" s="813"/>
      <c r="S13" s="813"/>
      <c r="T13" s="813"/>
      <c r="U13" s="813"/>
      <c r="V13" s="813"/>
      <c r="W13" s="813"/>
      <c r="X13" s="813"/>
      <c r="Y13" s="813"/>
      <c r="Z13" s="813"/>
      <c r="AA13" s="813"/>
      <c r="AB13" s="813"/>
      <c r="AC13" s="813"/>
      <c r="AD13" s="813"/>
      <c r="AE13" s="813"/>
      <c r="AF13" s="813"/>
      <c r="AG13" s="813"/>
      <c r="AH13" s="813"/>
      <c r="AI13" s="813"/>
      <c r="AJ13" s="813"/>
    </row>
    <row r="14" spans="1:43" x14ac:dyDescent="0.25">
      <c r="A14" s="268" t="s">
        <v>1305</v>
      </c>
      <c r="B14" s="268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</row>
    <row r="15" spans="1:43" x14ac:dyDescent="0.25">
      <c r="A15" s="808" t="str">
        <f>IF(AND('Данные объект'!B19="",'Данные объект'!B20=""),"",CONCATENATE(IF('Данные объект'!B19="","",'Данные объект'!B19)," ",IF('Данные объект'!B20="","",'Данные объект'!B20)))</f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8"/>
      <c r="N15" s="808"/>
      <c r="O15" s="808"/>
      <c r="P15" s="808"/>
      <c r="Q15" s="808"/>
      <c r="R15" s="808"/>
      <c r="S15" s="808"/>
      <c r="T15" s="808"/>
      <c r="U15" s="808"/>
      <c r="V15" s="808"/>
      <c r="W15" s="808"/>
      <c r="X15" s="808"/>
      <c r="Y15" s="808"/>
      <c r="Z15" s="808"/>
      <c r="AA15" s="808"/>
      <c r="AB15" s="808"/>
      <c r="AC15" s="808"/>
      <c r="AD15" s="808"/>
      <c r="AE15" s="808"/>
      <c r="AF15" s="808"/>
      <c r="AG15" s="808"/>
      <c r="AH15" s="808"/>
      <c r="AI15" s="808"/>
      <c r="AJ15" s="808"/>
    </row>
    <row r="16" spans="1:43" ht="10.5" customHeight="1" x14ac:dyDescent="0.25">
      <c r="A16" s="812" t="s">
        <v>1306</v>
      </c>
      <c r="B16" s="813"/>
      <c r="C16" s="813"/>
      <c r="D16" s="813"/>
      <c r="E16" s="813"/>
      <c r="F16" s="813"/>
      <c r="G16" s="813"/>
      <c r="H16" s="813"/>
      <c r="I16" s="813"/>
      <c r="J16" s="813"/>
      <c r="K16" s="813"/>
      <c r="L16" s="813"/>
      <c r="M16" s="813"/>
      <c r="N16" s="813"/>
      <c r="O16" s="813"/>
      <c r="P16" s="813"/>
      <c r="Q16" s="813"/>
      <c r="R16" s="813"/>
      <c r="S16" s="813"/>
      <c r="T16" s="813"/>
      <c r="U16" s="813"/>
      <c r="V16" s="813"/>
      <c r="W16" s="813"/>
      <c r="X16" s="813"/>
      <c r="Y16" s="813"/>
      <c r="Z16" s="813"/>
      <c r="AA16" s="813"/>
      <c r="AB16" s="813"/>
      <c r="AC16" s="813"/>
      <c r="AD16" s="813"/>
      <c r="AE16" s="813"/>
      <c r="AF16" s="813"/>
      <c r="AG16" s="813"/>
      <c r="AH16" s="813"/>
      <c r="AI16" s="813"/>
      <c r="AJ16" s="813"/>
    </row>
    <row r="17" spans="1:36" x14ac:dyDescent="0.25">
      <c r="A17" s="808" t="str">
        <f>IF('Данные объект'!B21="","",'Данные объект'!B21)</f>
      </c>
      <c r="B17" s="808"/>
      <c r="C17" s="808"/>
      <c r="D17" s="808"/>
      <c r="E17" s="808"/>
      <c r="F17" s="808"/>
      <c r="G17" s="808"/>
      <c r="H17" s="808"/>
      <c r="I17" s="808"/>
      <c r="J17" s="808"/>
      <c r="K17" s="808"/>
      <c r="L17" s="808"/>
      <c r="M17" s="808"/>
      <c r="N17" s="808"/>
      <c r="O17" s="808"/>
      <c r="P17" s="808"/>
      <c r="Q17" s="808"/>
      <c r="R17" s="808"/>
      <c r="S17" s="808"/>
      <c r="T17" s="808"/>
      <c r="U17" s="808"/>
      <c r="V17" s="808"/>
      <c r="W17" s="808"/>
      <c r="X17" s="808"/>
      <c r="Y17" s="808"/>
      <c r="Z17" s="808"/>
      <c r="AA17" s="808"/>
      <c r="AB17" s="808"/>
      <c r="AC17" s="808"/>
      <c r="AD17" s="808"/>
      <c r="AE17" s="808"/>
      <c r="AF17" s="808"/>
      <c r="AG17" s="808"/>
      <c r="AH17" s="808"/>
      <c r="AI17" s="808"/>
      <c r="AJ17" s="808"/>
    </row>
    <row r="18" spans="1:36" ht="9" customHeight="1" x14ac:dyDescent="0.25">
      <c r="A18" s="812" t="s">
        <v>1307</v>
      </c>
      <c r="B18" s="813"/>
      <c r="C18" s="813"/>
      <c r="D18" s="813"/>
      <c r="E18" s="813"/>
      <c r="F18" s="813"/>
      <c r="G18" s="813"/>
      <c r="H18" s="813"/>
      <c r="I18" s="813"/>
      <c r="J18" s="813"/>
      <c r="K18" s="813"/>
      <c r="L18" s="813"/>
      <c r="M18" s="813"/>
      <c r="N18" s="813"/>
      <c r="O18" s="813"/>
      <c r="P18" s="813"/>
      <c r="Q18" s="813"/>
      <c r="R18" s="813"/>
      <c r="S18" s="813"/>
      <c r="T18" s="813"/>
      <c r="U18" s="813"/>
      <c r="V18" s="813"/>
      <c r="W18" s="813"/>
      <c r="X18" s="813"/>
      <c r="Y18" s="813"/>
      <c r="Z18" s="813"/>
      <c r="AA18" s="813"/>
      <c r="AB18" s="813"/>
      <c r="AC18" s="813"/>
      <c r="AD18" s="813"/>
      <c r="AE18" s="813"/>
      <c r="AF18" s="813"/>
      <c r="AG18" s="813"/>
      <c r="AH18" s="813"/>
      <c r="AI18" s="813"/>
      <c r="AJ18" s="813"/>
    </row>
    <row r="19" spans="1:36" hidden="1" x14ac:dyDescent="0.25">
      <c r="A19" s="808" t="str">
        <f>IF('Данные объект'!C65="","",'Данные объект'!C65)</f>
      </c>
      <c r="B19" s="808"/>
      <c r="C19" s="808"/>
      <c r="D19" s="808"/>
      <c r="E19" s="808"/>
      <c r="F19" s="808"/>
      <c r="G19" s="808"/>
      <c r="H19" s="808"/>
      <c r="I19" s="808"/>
      <c r="J19" s="808"/>
      <c r="K19" s="808"/>
      <c r="L19" s="808"/>
      <c r="M19" s="808"/>
      <c r="N19" s="808"/>
      <c r="O19" s="808"/>
      <c r="P19" s="808"/>
      <c r="Q19" s="808"/>
      <c r="R19" s="808"/>
      <c r="S19" s="808"/>
      <c r="T19" s="808"/>
      <c r="U19" s="808"/>
      <c r="V19" s="808"/>
      <c r="W19" s="808"/>
      <c r="X19" s="808"/>
      <c r="Y19" s="808"/>
      <c r="Z19" s="808"/>
      <c r="AA19" s="808"/>
      <c r="AB19" s="808"/>
      <c r="AC19" s="808"/>
      <c r="AD19" s="808"/>
      <c r="AE19" s="808"/>
      <c r="AF19" s="808"/>
      <c r="AG19" s="808"/>
      <c r="AH19" s="808"/>
      <c r="AI19" s="808"/>
      <c r="AJ19" s="808"/>
    </row>
    <row r="20" spans="1:36" s="268" customFormat="1" ht="16.5" customHeight="1" x14ac:dyDescent="0.2">
      <c r="A20" s="812" t="s">
        <v>1308</v>
      </c>
      <c r="B20" s="813"/>
      <c r="C20" s="813"/>
      <c r="D20" s="813"/>
      <c r="E20" s="813"/>
      <c r="F20" s="813"/>
      <c r="G20" s="813"/>
      <c r="H20" s="813"/>
      <c r="I20" s="813"/>
      <c r="J20" s="813"/>
      <c r="K20" s="813"/>
      <c r="L20" s="813"/>
      <c r="M20" s="813"/>
      <c r="N20" s="813"/>
      <c r="O20" s="813"/>
      <c r="P20" s="813"/>
      <c r="Q20" s="813"/>
      <c r="R20" s="813"/>
      <c r="S20" s="813"/>
      <c r="T20" s="813"/>
      <c r="U20" s="813"/>
      <c r="V20" s="813"/>
      <c r="W20" s="813"/>
      <c r="X20" s="813"/>
      <c r="Y20" s="813"/>
      <c r="Z20" s="813"/>
      <c r="AA20" s="813"/>
      <c r="AB20" s="813"/>
      <c r="AC20" s="813"/>
      <c r="AD20" s="813"/>
      <c r="AE20" s="813"/>
      <c r="AF20" s="813"/>
      <c r="AG20" s="813"/>
      <c r="AH20" s="813"/>
      <c r="AI20" s="813"/>
      <c r="AJ20" s="813"/>
    </row>
    <row r="21" spans="1:36" x14ac:dyDescent="0.25">
      <c r="A21" s="268" t="s">
        <v>599</v>
      </c>
      <c r="B21" s="268"/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</row>
    <row r="22" spans="1:36" x14ac:dyDescent="0.25">
      <c r="A22" s="808" t="str">
        <f>IF(A15="","",A15)</f>
      </c>
      <c r="B22" s="808"/>
      <c r="C22" s="808"/>
      <c r="D22" s="808"/>
      <c r="E22" s="808"/>
      <c r="F22" s="808"/>
      <c r="G22" s="808"/>
      <c r="H22" s="808"/>
      <c r="I22" s="808"/>
      <c r="J22" s="808"/>
      <c r="K22" s="808"/>
      <c r="L22" s="808"/>
      <c r="M22" s="808"/>
      <c r="N22" s="808"/>
      <c r="O22" s="808"/>
      <c r="P22" s="808"/>
      <c r="Q22" s="808"/>
      <c r="R22" s="808"/>
      <c r="S22" s="808"/>
      <c r="T22" s="808"/>
      <c r="U22" s="808"/>
      <c r="V22" s="808"/>
      <c r="W22" s="808"/>
      <c r="X22" s="808"/>
      <c r="Y22" s="808"/>
      <c r="Z22" s="808"/>
      <c r="AA22" s="808"/>
      <c r="AB22" s="808"/>
      <c r="AC22" s="808"/>
      <c r="AD22" s="808"/>
      <c r="AE22" s="808"/>
      <c r="AF22" s="808"/>
      <c r="AG22" s="808"/>
      <c r="AH22" s="808"/>
      <c r="AI22" s="808"/>
      <c r="AJ22" s="808"/>
    </row>
    <row r="23" spans="1:36" ht="9.75" customHeight="1" x14ac:dyDescent="0.25">
      <c r="A23" s="812" t="s">
        <v>1309</v>
      </c>
      <c r="B23" s="813"/>
      <c r="C23" s="813"/>
      <c r="D23" s="813"/>
      <c r="E23" s="813"/>
      <c r="F23" s="813"/>
      <c r="G23" s="813"/>
      <c r="H23" s="813"/>
      <c r="I23" s="813"/>
      <c r="J23" s="813"/>
      <c r="K23" s="813"/>
      <c r="L23" s="813"/>
      <c r="M23" s="813"/>
      <c r="N23" s="813"/>
      <c r="O23" s="813"/>
      <c r="P23" s="813"/>
      <c r="Q23" s="813"/>
      <c r="R23" s="813"/>
      <c r="S23" s="813"/>
      <c r="T23" s="813"/>
      <c r="U23" s="813"/>
      <c r="V23" s="813"/>
      <c r="W23" s="813"/>
      <c r="X23" s="813"/>
      <c r="Y23" s="813"/>
      <c r="Z23" s="813"/>
      <c r="AA23" s="813"/>
      <c r="AB23" s="813"/>
      <c r="AC23" s="813"/>
      <c r="AD23" s="813"/>
      <c r="AE23" s="813"/>
      <c r="AF23" s="813"/>
      <c r="AG23" s="813"/>
      <c r="AH23" s="813"/>
      <c r="AI23" s="813"/>
      <c r="AJ23" s="813"/>
    </row>
    <row r="24" spans="1:36" x14ac:dyDescent="0.25">
      <c r="A24" s="808" t="str">
        <f>IF(A17="","",A17)</f>
      </c>
      <c r="B24" s="808"/>
      <c r="C24" s="808"/>
      <c r="D24" s="808"/>
      <c r="E24" s="808"/>
      <c r="F24" s="808"/>
      <c r="G24" s="808"/>
      <c r="H24" s="808"/>
      <c r="I24" s="808"/>
      <c r="J24" s="808"/>
      <c r="K24" s="808"/>
      <c r="L24" s="808"/>
      <c r="M24" s="808"/>
      <c r="N24" s="808"/>
      <c r="O24" s="808"/>
      <c r="P24" s="808"/>
      <c r="Q24" s="808"/>
      <c r="R24" s="808"/>
      <c r="S24" s="808"/>
      <c r="T24" s="808"/>
      <c r="U24" s="808"/>
      <c r="V24" s="808"/>
      <c r="W24" s="808"/>
      <c r="X24" s="808"/>
      <c r="Y24" s="808"/>
      <c r="Z24" s="808"/>
      <c r="AA24" s="808"/>
      <c r="AB24" s="808"/>
      <c r="AC24" s="808"/>
      <c r="AD24" s="808"/>
      <c r="AE24" s="808"/>
      <c r="AF24" s="808"/>
      <c r="AG24" s="808"/>
      <c r="AH24" s="808"/>
      <c r="AI24" s="808"/>
      <c r="AJ24" s="808"/>
    </row>
    <row r="25" spans="1:36" ht="12" customHeight="1" x14ac:dyDescent="0.25">
      <c r="A25" s="812" t="s">
        <v>1310</v>
      </c>
      <c r="B25" s="813"/>
      <c r="C25" s="813"/>
      <c r="D25" s="813"/>
      <c r="E25" s="813"/>
      <c r="F25" s="813"/>
      <c r="G25" s="813"/>
      <c r="H25" s="813"/>
      <c r="I25" s="813"/>
      <c r="J25" s="813"/>
      <c r="K25" s="813"/>
      <c r="L25" s="813"/>
      <c r="M25" s="813"/>
      <c r="N25" s="813"/>
      <c r="O25" s="813"/>
      <c r="P25" s="813"/>
      <c r="Q25" s="813"/>
      <c r="R25" s="813"/>
      <c r="S25" s="813"/>
      <c r="T25" s="813"/>
      <c r="U25" s="813"/>
      <c r="V25" s="813"/>
      <c r="W25" s="813"/>
      <c r="X25" s="813"/>
      <c r="Y25" s="813"/>
      <c r="Z25" s="813"/>
      <c r="AA25" s="813"/>
      <c r="AB25" s="813"/>
      <c r="AC25" s="813"/>
      <c r="AD25" s="813"/>
      <c r="AE25" s="813"/>
      <c r="AF25" s="813"/>
      <c r="AG25" s="813"/>
      <c r="AH25" s="813"/>
      <c r="AI25" s="813"/>
      <c r="AJ25" s="813"/>
    </row>
    <row r="26" spans="1:36" hidden="1" x14ac:dyDescent="0.25">
      <c r="A26" s="808" t="str">
        <f>IF('Данные объект'!C63="","",'Данные объект'!C63)</f>
      </c>
      <c r="B26" s="808"/>
      <c r="C26" s="808"/>
      <c r="D26" s="808"/>
      <c r="E26" s="808"/>
      <c r="F26" s="808"/>
      <c r="G26" s="808"/>
      <c r="H26" s="808"/>
      <c r="I26" s="808"/>
      <c r="J26" s="808"/>
      <c r="K26" s="808"/>
      <c r="L26" s="808"/>
      <c r="M26" s="808"/>
      <c r="N26" s="808"/>
      <c r="O26" s="808"/>
      <c r="P26" s="808"/>
      <c r="Q26" s="808"/>
      <c r="R26" s="808"/>
      <c r="S26" s="808"/>
      <c r="T26" s="808"/>
      <c r="U26" s="808"/>
      <c r="V26" s="808"/>
      <c r="W26" s="808"/>
      <c r="X26" s="808"/>
      <c r="Y26" s="808"/>
      <c r="Z26" s="808"/>
      <c r="AA26" s="808"/>
      <c r="AB26" s="808"/>
      <c r="AC26" s="808"/>
      <c r="AD26" s="808"/>
      <c r="AE26" s="808"/>
      <c r="AF26" s="808"/>
      <c r="AG26" s="808"/>
      <c r="AH26" s="808"/>
      <c r="AI26" s="808"/>
      <c r="AJ26" s="808"/>
    </row>
    <row r="27" spans="1:36" ht="18.75" customHeight="1" x14ac:dyDescent="0.25">
      <c r="A27" s="812" t="s">
        <v>1311</v>
      </c>
      <c r="B27" s="813"/>
      <c r="C27" s="813"/>
      <c r="D27" s="813"/>
      <c r="E27" s="813"/>
      <c r="F27" s="813"/>
      <c r="G27" s="813"/>
      <c r="H27" s="813"/>
      <c r="I27" s="813"/>
      <c r="J27" s="813"/>
      <c r="K27" s="813"/>
      <c r="L27" s="813"/>
      <c r="M27" s="813"/>
      <c r="N27" s="813"/>
      <c r="O27" s="813"/>
      <c r="P27" s="813"/>
      <c r="Q27" s="813"/>
      <c r="R27" s="813"/>
      <c r="S27" s="813"/>
      <c r="T27" s="813"/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  <c r="AF27" s="813"/>
      <c r="AG27" s="813"/>
      <c r="AH27" s="813"/>
      <c r="AI27" s="813"/>
      <c r="AJ27" s="813"/>
    </row>
    <row r="28" spans="1:36" ht="12.95" customHeight="1" x14ac:dyDescent="0.25">
      <c r="A28" s="121"/>
      <c r="B28" s="121"/>
      <c r="C28" s="121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</row>
    <row r="29" spans="1:36" ht="12.95" customHeight="1" x14ac:dyDescent="0.25">
      <c r="A29" s="823" t="s">
        <v>436</v>
      </c>
      <c r="B29" s="823"/>
      <c r="C29" s="823"/>
      <c r="D29" s="823"/>
      <c r="E29" s="823"/>
      <c r="F29" s="823"/>
      <c r="G29" s="823"/>
      <c r="H29" s="823"/>
      <c r="I29" s="823"/>
      <c r="J29" s="823"/>
      <c r="K29" s="823"/>
      <c r="L29" s="823"/>
      <c r="M29" s="823"/>
      <c r="N29" s="823"/>
      <c r="O29" s="823"/>
      <c r="P29" s="823"/>
      <c r="Q29" s="823"/>
      <c r="R29" s="823"/>
      <c r="S29" s="823"/>
      <c r="T29" s="823"/>
      <c r="U29" s="823"/>
      <c r="V29" s="823"/>
      <c r="W29" s="823"/>
      <c r="X29" s="823"/>
      <c r="Y29" s="823"/>
      <c r="Z29" s="823"/>
      <c r="AA29" s="823"/>
      <c r="AB29" s="823"/>
      <c r="AC29" s="823"/>
      <c r="AD29" s="823"/>
      <c r="AE29" s="823"/>
      <c r="AF29" s="823"/>
      <c r="AG29" s="823"/>
      <c r="AH29" s="823"/>
      <c r="AI29" s="823"/>
      <c r="AJ29" s="823"/>
    </row>
    <row r="30" spans="1:36" ht="12.95" customHeight="1" x14ac:dyDescent="0.25">
      <c r="A30" s="818" t="s">
        <v>1312</v>
      </c>
      <c r="B30" s="818"/>
      <c r="C30" s="818"/>
      <c r="D30" s="818"/>
      <c r="E30" s="818"/>
      <c r="F30" s="818"/>
      <c r="G30" s="818"/>
      <c r="H30" s="818"/>
      <c r="I30" s="818"/>
      <c r="J30" s="818"/>
      <c r="K30" s="818"/>
      <c r="L30" s="818"/>
      <c r="M30" s="818"/>
      <c r="N30" s="818"/>
      <c r="O30" s="818"/>
      <c r="P30" s="818"/>
      <c r="Q30" s="818"/>
      <c r="R30" s="818"/>
      <c r="S30" s="818"/>
      <c r="T30" s="818"/>
      <c r="U30" s="818"/>
      <c r="V30" s="818"/>
      <c r="W30" s="818"/>
      <c r="X30" s="818"/>
      <c r="Y30" s="818"/>
      <c r="Z30" s="818"/>
      <c r="AA30" s="818"/>
      <c r="AB30" s="818"/>
      <c r="AC30" s="818"/>
      <c r="AD30" s="818"/>
      <c r="AE30" s="818"/>
      <c r="AF30" s="818"/>
      <c r="AG30" s="818"/>
      <c r="AH30" s="818"/>
      <c r="AI30" s="818"/>
      <c r="AJ30" s="818"/>
    </row>
    <row r="31" spans="1:36" ht="12.95" customHeight="1" x14ac:dyDescent="0.25">
      <c r="A31" s="818"/>
      <c r="B31" s="818"/>
      <c r="C31" s="818"/>
      <c r="D31" s="818"/>
      <c r="E31" s="818"/>
      <c r="F31" s="818"/>
      <c r="G31" s="818"/>
      <c r="H31" s="818"/>
      <c r="I31" s="818"/>
      <c r="J31" s="818"/>
      <c r="K31" s="818"/>
      <c r="L31" s="818"/>
      <c r="M31" s="818"/>
      <c r="N31" s="818"/>
      <c r="O31" s="818"/>
      <c r="P31" s="818"/>
      <c r="Q31" s="818"/>
      <c r="R31" s="818"/>
      <c r="S31" s="818"/>
      <c r="T31" s="818"/>
      <c r="U31" s="818"/>
      <c r="V31" s="818"/>
      <c r="W31" s="818"/>
      <c r="X31" s="818"/>
      <c r="Y31" s="818"/>
      <c r="Z31" s="818"/>
      <c r="AA31" s="818"/>
      <c r="AB31" s="818"/>
      <c r="AC31" s="818"/>
      <c r="AD31" s="818"/>
      <c r="AE31" s="818"/>
      <c r="AF31" s="818"/>
      <c r="AG31" s="818"/>
      <c r="AH31" s="818"/>
      <c r="AI31" s="818"/>
      <c r="AJ31" s="818"/>
    </row>
    <row r="32" spans="1:36" x14ac:dyDescent="0.25">
      <c r="A32" s="270"/>
      <c r="B32" s="270" t="s">
        <v>13</v>
      </c>
      <c r="C32" s="803">
        <v>1</v>
      </c>
      <c r="D32" s="803"/>
      <c r="E32" s="271" t="s">
        <v>954</v>
      </c>
      <c r="F32" s="272" t="s">
        <v>1313</v>
      </c>
      <c r="G32" s="271"/>
      <c r="H32" s="273"/>
      <c r="I32" s="273"/>
      <c r="J32" s="273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5"/>
      <c r="Y32" s="276"/>
      <c r="Z32" s="276"/>
      <c r="AA32" s="274"/>
      <c r="AB32" s="819" t="str">
        <f>IF('Данные объект'!B6="","",'Данные объект'!B6)</f>
      </c>
      <c r="AC32" s="803"/>
      <c r="AD32" s="803"/>
      <c r="AE32" s="803"/>
      <c r="AF32" s="803"/>
      <c r="AG32" s="803"/>
      <c r="AH32" s="803"/>
      <c r="AI32" s="803"/>
      <c r="AJ32" s="274"/>
    </row>
    <row r="33" spans="1:36" ht="11.25" customHeight="1" x14ac:dyDescent="0.25">
      <c r="Y33" s="277"/>
      <c r="AA33" s="278"/>
      <c r="AB33" s="820" t="s">
        <v>1314</v>
      </c>
      <c r="AC33" s="820"/>
      <c r="AD33" s="820"/>
      <c r="AE33" s="820"/>
      <c r="AF33" s="820"/>
      <c r="AG33" s="820"/>
      <c r="AH33" s="820"/>
      <c r="AI33" s="820"/>
    </row>
    <row r="34" spans="1:36" s="268" customFormat="1" ht="9" customHeight="1" x14ac:dyDescent="0.25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120"/>
      <c r="AJ34" s="120"/>
    </row>
    <row r="35" spans="1:36" ht="24.75" customHeight="1" x14ac:dyDescent="0.25">
      <c r="A35" s="807" t="s">
        <v>1315</v>
      </c>
      <c r="B35" s="807"/>
      <c r="C35" s="807"/>
      <c r="D35" s="807"/>
      <c r="E35" s="807"/>
      <c r="F35" s="807"/>
      <c r="G35" s="807"/>
      <c r="H35" s="807"/>
      <c r="I35" s="807"/>
      <c r="J35" s="807"/>
      <c r="K35" s="807"/>
      <c r="L35" s="807"/>
      <c r="M35" s="807"/>
      <c r="N35" s="807"/>
      <c r="O35" s="807"/>
      <c r="P35" s="807"/>
      <c r="Q35" s="807"/>
      <c r="R35" s="807"/>
      <c r="S35" s="807"/>
      <c r="T35" s="807"/>
      <c r="U35" s="807"/>
      <c r="V35" s="807"/>
      <c r="W35" s="807"/>
      <c r="X35" s="807"/>
      <c r="Y35" s="807"/>
      <c r="Z35" s="807"/>
      <c r="AA35" s="807"/>
      <c r="AB35" s="807"/>
      <c r="AC35" s="807"/>
      <c r="AD35" s="807"/>
      <c r="AE35" s="807"/>
      <c r="AF35" s="807"/>
      <c r="AG35" s="807"/>
      <c r="AH35" s="807"/>
      <c r="AI35" s="807"/>
      <c r="AJ35" s="807"/>
    </row>
    <row r="36" spans="1:36" ht="22.5" customHeight="1" x14ac:dyDescent="0.25">
      <c r="A36" s="815" t="str">
        <f>IF('Данные объект'!C43="","",'Данные объект'!C43)</f>
      </c>
      <c r="B36" s="815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</row>
    <row r="37" spans="1:36" ht="25.5" customHeight="1" x14ac:dyDescent="0.25">
      <c r="A37" s="812" t="s">
        <v>1316</v>
      </c>
      <c r="B37" s="813"/>
      <c r="C37" s="813"/>
      <c r="D37" s="813"/>
      <c r="E37" s="813"/>
      <c r="F37" s="813"/>
      <c r="G37" s="813"/>
      <c r="H37" s="813"/>
      <c r="I37" s="813"/>
      <c r="J37" s="813"/>
      <c r="K37" s="813"/>
      <c r="L37" s="813"/>
      <c r="M37" s="813"/>
      <c r="N37" s="813"/>
      <c r="O37" s="813"/>
      <c r="P37" s="813"/>
      <c r="Q37" s="813"/>
      <c r="R37" s="813"/>
      <c r="S37" s="813"/>
      <c r="T37" s="813"/>
      <c r="U37" s="813"/>
      <c r="V37" s="813"/>
      <c r="W37" s="813"/>
      <c r="X37" s="813"/>
      <c r="Y37" s="813"/>
      <c r="Z37" s="813"/>
      <c r="AA37" s="813"/>
      <c r="AB37" s="813"/>
      <c r="AC37" s="813"/>
      <c r="AD37" s="813"/>
      <c r="AE37" s="813"/>
      <c r="AF37" s="813"/>
      <c r="AG37" s="813"/>
      <c r="AH37" s="813"/>
      <c r="AI37" s="813"/>
      <c r="AJ37" s="813"/>
    </row>
    <row r="38" spans="1:36" ht="9" customHeight="1" x14ac:dyDescent="0.25">
      <c r="A38" s="821" t="s">
        <v>101</v>
      </c>
      <c r="B38" s="821"/>
      <c r="C38" s="821"/>
      <c r="D38" s="821"/>
      <c r="E38" s="821"/>
      <c r="F38" s="821"/>
      <c r="G38" s="821"/>
      <c r="H38" s="821"/>
      <c r="I38" s="821"/>
      <c r="J38" s="821"/>
      <c r="K38" s="821"/>
      <c r="L38" s="821"/>
      <c r="M38" s="821"/>
      <c r="N38" s="821"/>
      <c r="O38" s="821"/>
      <c r="P38" s="821"/>
      <c r="Q38" s="821"/>
      <c r="R38" s="821"/>
      <c r="S38" s="821"/>
      <c r="T38" s="821"/>
      <c r="U38" s="821"/>
      <c r="V38" s="821"/>
      <c r="W38" s="821"/>
      <c r="X38" s="821"/>
      <c r="Y38" s="821"/>
      <c r="Z38" s="821"/>
      <c r="AA38" s="821"/>
      <c r="AB38" s="821"/>
      <c r="AC38" s="821"/>
      <c r="AD38" s="821"/>
      <c r="AE38" s="821"/>
      <c r="AF38" s="821"/>
      <c r="AG38" s="821"/>
      <c r="AH38" s="821"/>
      <c r="AI38" s="821"/>
      <c r="AJ38" s="821"/>
    </row>
    <row r="39" spans="1:36" s="268" customFormat="1" ht="26.25" customHeight="1" x14ac:dyDescent="0.2">
      <c r="A39" s="822" t="s">
        <v>1317</v>
      </c>
      <c r="B39" s="822"/>
      <c r="C39" s="822"/>
      <c r="D39" s="822"/>
      <c r="E39" s="822"/>
      <c r="F39" s="822"/>
      <c r="G39" s="822"/>
      <c r="H39" s="822"/>
      <c r="I39" s="822"/>
      <c r="J39" s="822"/>
      <c r="K39" s="822"/>
      <c r="L39" s="822"/>
      <c r="M39" s="822"/>
      <c r="N39" s="822"/>
      <c r="O39" s="822"/>
      <c r="P39" s="822"/>
      <c r="Q39" s="822"/>
      <c r="R39" s="822"/>
      <c r="S39" s="822"/>
      <c r="T39" s="822"/>
      <c r="U39" s="822"/>
      <c r="V39" s="822"/>
      <c r="W39" s="822"/>
      <c r="X39" s="822"/>
      <c r="Y39" s="822"/>
      <c r="Z39" s="822"/>
      <c r="AA39" s="822"/>
      <c r="AB39" s="822"/>
      <c r="AC39" s="822"/>
      <c r="AD39" s="822"/>
      <c r="AE39" s="822"/>
      <c r="AF39" s="822"/>
      <c r="AG39" s="822"/>
      <c r="AH39" s="822"/>
      <c r="AI39" s="822"/>
      <c r="AJ39" s="822"/>
    </row>
    <row r="40" spans="1:36" x14ac:dyDescent="0.25">
      <c r="A40" s="268" t="s">
        <v>1318</v>
      </c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</row>
    <row r="41" spans="1:36" x14ac:dyDescent="0.25">
      <c r="A41" s="808" t="str">
        <f>IF('Данные объект'!C29="","",'Данные объект'!C29)</f>
      </c>
      <c r="B41" s="808"/>
      <c r="C41" s="808"/>
      <c r="D41" s="808"/>
      <c r="E41" s="808"/>
      <c r="F41" s="808"/>
      <c r="G41" s="808"/>
      <c r="H41" s="808"/>
      <c r="I41" s="808"/>
      <c r="J41" s="808"/>
      <c r="K41" s="808"/>
      <c r="L41" s="808"/>
      <c r="M41" s="808"/>
      <c r="N41" s="808"/>
      <c r="O41" s="808"/>
      <c r="P41" s="808"/>
      <c r="Q41" s="808"/>
      <c r="R41" s="808"/>
      <c r="S41" s="808"/>
      <c r="T41" s="808"/>
      <c r="U41" s="808"/>
      <c r="V41" s="808"/>
      <c r="W41" s="808"/>
      <c r="X41" s="808"/>
      <c r="Y41" s="808"/>
      <c r="Z41" s="808"/>
      <c r="AA41" s="808"/>
      <c r="AB41" s="808"/>
      <c r="AC41" s="808"/>
      <c r="AD41" s="808"/>
      <c r="AE41" s="808"/>
      <c r="AF41" s="808"/>
      <c r="AG41" s="808"/>
      <c r="AH41" s="808"/>
      <c r="AI41" s="808"/>
      <c r="AJ41" s="808"/>
    </row>
    <row r="42" spans="1:36" s="268" customFormat="1" ht="12" customHeight="1" x14ac:dyDescent="0.2">
      <c r="A42" s="812" t="s">
        <v>1319</v>
      </c>
      <c r="B42" s="813"/>
      <c r="C42" s="813"/>
      <c r="D42" s="813"/>
      <c r="E42" s="813"/>
      <c r="F42" s="813"/>
      <c r="G42" s="813"/>
      <c r="H42" s="813"/>
      <c r="I42" s="813"/>
      <c r="J42" s="813"/>
      <c r="K42" s="813"/>
      <c r="L42" s="813"/>
      <c r="M42" s="813"/>
      <c r="N42" s="813"/>
      <c r="O42" s="813"/>
      <c r="P42" s="813"/>
      <c r="Q42" s="813"/>
      <c r="R42" s="813"/>
      <c r="S42" s="813"/>
      <c r="T42" s="813"/>
      <c r="U42" s="813"/>
      <c r="V42" s="813"/>
      <c r="W42" s="813"/>
      <c r="X42" s="813"/>
      <c r="Y42" s="813"/>
      <c r="Z42" s="813"/>
      <c r="AA42" s="813"/>
      <c r="AB42" s="813"/>
      <c r="AC42" s="813"/>
      <c r="AD42" s="813"/>
      <c r="AE42" s="813"/>
      <c r="AF42" s="813"/>
      <c r="AG42" s="813"/>
      <c r="AH42" s="813"/>
      <c r="AI42" s="813"/>
      <c r="AJ42" s="813"/>
    </row>
    <row r="43" spans="1:36" s="121" customFormat="1" x14ac:dyDescent="0.2">
      <c r="A43" s="807" t="s">
        <v>1320</v>
      </c>
      <c r="B43" s="807"/>
      <c r="C43" s="807"/>
      <c r="D43" s="807"/>
      <c r="E43" s="807"/>
      <c r="F43" s="807"/>
      <c r="G43" s="807"/>
      <c r="H43" s="807"/>
      <c r="I43" s="807"/>
      <c r="J43" s="807"/>
      <c r="K43" s="807"/>
      <c r="L43" s="807"/>
      <c r="M43" s="807"/>
      <c r="N43" s="807"/>
      <c r="O43" s="807"/>
      <c r="P43" s="807"/>
      <c r="Q43" s="807"/>
      <c r="R43" s="807"/>
      <c r="S43" s="807"/>
      <c r="T43" s="807"/>
      <c r="U43" s="807"/>
      <c r="V43" s="807"/>
      <c r="W43" s="807"/>
      <c r="X43" s="807"/>
      <c r="Y43" s="807"/>
      <c r="Z43" s="807"/>
      <c r="AA43" s="807"/>
      <c r="AB43" s="807"/>
      <c r="AC43" s="807"/>
      <c r="AD43" s="807"/>
      <c r="AE43" s="807"/>
      <c r="AF43" s="807"/>
      <c r="AG43" s="807"/>
      <c r="AH43" s="807"/>
      <c r="AI43" s="807"/>
      <c r="AJ43" s="807"/>
    </row>
    <row r="44" spans="1:36" ht="23.25" customHeight="1" x14ac:dyDescent="0.25">
      <c r="A44" s="815" t="str">
        <f>IF('Данные объект'!C26="","",'Данные объект'!C26)</f>
      </c>
      <c r="B44" s="815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</row>
    <row r="45" spans="1:36" s="268" customFormat="1" ht="26.25" customHeight="1" x14ac:dyDescent="0.2">
      <c r="A45" s="812" t="s">
        <v>1321</v>
      </c>
      <c r="B45" s="813"/>
      <c r="C45" s="813"/>
      <c r="D45" s="813"/>
      <c r="E45" s="813"/>
      <c r="F45" s="813"/>
      <c r="G45" s="813"/>
      <c r="H45" s="813"/>
      <c r="I45" s="813"/>
      <c r="J45" s="813"/>
      <c r="K45" s="813"/>
      <c r="L45" s="813"/>
      <c r="M45" s="813"/>
      <c r="N45" s="813"/>
      <c r="O45" s="813"/>
      <c r="P45" s="813"/>
      <c r="Q45" s="813"/>
      <c r="R45" s="813"/>
      <c r="S45" s="813"/>
      <c r="T45" s="813"/>
      <c r="U45" s="813"/>
      <c r="V45" s="813"/>
      <c r="W45" s="813"/>
      <c r="X45" s="813"/>
      <c r="Y45" s="813"/>
      <c r="Z45" s="813"/>
      <c r="AA45" s="813"/>
      <c r="AB45" s="813"/>
      <c r="AC45" s="813"/>
      <c r="AD45" s="813"/>
      <c r="AE45" s="813"/>
      <c r="AF45" s="813"/>
      <c r="AG45" s="813"/>
      <c r="AH45" s="813"/>
      <c r="AI45" s="813"/>
      <c r="AJ45" s="813"/>
    </row>
    <row r="46" spans="1:36" s="121" customFormat="1" ht="16.899999999999999" customHeight="1" x14ac:dyDescent="0.25">
      <c r="A46" s="806" t="s">
        <v>1322</v>
      </c>
      <c r="B46" s="806"/>
      <c r="C46" s="806"/>
      <c r="D46" s="806"/>
      <c r="E46" s="806"/>
      <c r="F46" s="806"/>
      <c r="G46" s="806"/>
      <c r="H46" s="806"/>
      <c r="I46" s="806"/>
      <c r="J46" s="806"/>
      <c r="K46" s="806"/>
      <c r="L46" s="806"/>
      <c r="M46" s="806"/>
      <c r="N46" s="806"/>
      <c r="O46" s="806"/>
      <c r="P46" s="806"/>
      <c r="Q46" s="806"/>
      <c r="R46" s="806"/>
      <c r="S46" s="806"/>
      <c r="T46" s="806"/>
      <c r="U46" s="806"/>
      <c r="V46" s="806"/>
      <c r="W46" s="806"/>
      <c r="X46" s="806"/>
      <c r="Y46" s="806"/>
      <c r="Z46" s="806"/>
      <c r="AA46" s="806"/>
      <c r="AB46" s="806"/>
      <c r="AC46" s="806"/>
      <c r="AD46" s="806"/>
      <c r="AE46" s="806"/>
      <c r="AF46" s="806"/>
      <c r="AG46" s="806"/>
      <c r="AH46" s="806"/>
      <c r="AI46" s="806"/>
      <c r="AJ46" s="806"/>
    </row>
    <row r="47" spans="1:36" ht="10.5" customHeight="1" x14ac:dyDescent="0.25">
      <c r="A47" s="808" t="str">
        <f>IF(A41="","",A41)</f>
      </c>
      <c r="B47" s="808"/>
      <c r="C47" s="808"/>
      <c r="D47" s="808"/>
      <c r="E47" s="808"/>
      <c r="F47" s="808"/>
      <c r="G47" s="808"/>
      <c r="H47" s="808"/>
      <c r="I47" s="808"/>
      <c r="J47" s="808"/>
      <c r="K47" s="808"/>
      <c r="L47" s="808"/>
      <c r="M47" s="808"/>
      <c r="N47" s="808"/>
      <c r="O47" s="808"/>
      <c r="P47" s="808"/>
      <c r="Q47" s="808"/>
      <c r="R47" s="808"/>
      <c r="S47" s="808"/>
      <c r="T47" s="808"/>
      <c r="U47" s="808"/>
      <c r="V47" s="808"/>
      <c r="W47" s="808"/>
      <c r="X47" s="808"/>
      <c r="Y47" s="808"/>
      <c r="Z47" s="808"/>
      <c r="AA47" s="808"/>
      <c r="AB47" s="808"/>
      <c r="AC47" s="808"/>
      <c r="AD47" s="808"/>
      <c r="AE47" s="808"/>
      <c r="AF47" s="808"/>
      <c r="AG47" s="808"/>
      <c r="AH47" s="808"/>
      <c r="AI47" s="808"/>
      <c r="AJ47" s="808"/>
    </row>
    <row r="48" spans="1:36" s="268" customFormat="1" ht="21" customHeight="1" x14ac:dyDescent="0.2">
      <c r="A48" s="812" t="s">
        <v>1323</v>
      </c>
      <c r="B48" s="813"/>
      <c r="C48" s="813"/>
      <c r="D48" s="813"/>
      <c r="E48" s="813"/>
      <c r="F48" s="813"/>
      <c r="G48" s="813"/>
      <c r="H48" s="813"/>
      <c r="I48" s="813"/>
      <c r="J48" s="813"/>
      <c r="K48" s="813"/>
      <c r="L48" s="813"/>
      <c r="M48" s="813"/>
      <c r="N48" s="813"/>
      <c r="O48" s="813"/>
      <c r="P48" s="813"/>
      <c r="Q48" s="813"/>
      <c r="R48" s="813"/>
      <c r="S48" s="813"/>
      <c r="T48" s="813"/>
      <c r="U48" s="813"/>
      <c r="V48" s="813"/>
      <c r="W48" s="813"/>
      <c r="X48" s="813"/>
      <c r="Y48" s="813"/>
      <c r="Z48" s="813"/>
      <c r="AA48" s="813"/>
      <c r="AB48" s="813"/>
      <c r="AC48" s="813"/>
      <c r="AD48" s="813"/>
      <c r="AE48" s="813"/>
      <c r="AF48" s="813"/>
      <c r="AG48" s="813"/>
      <c r="AH48" s="813"/>
      <c r="AI48" s="813"/>
      <c r="AJ48" s="813"/>
    </row>
    <row r="49" spans="1:37" ht="33.75" customHeight="1" x14ac:dyDescent="0.25">
      <c r="A49" s="816" t="s">
        <v>1324</v>
      </c>
      <c r="B49" s="816"/>
      <c r="C49" s="816"/>
      <c r="D49" s="816"/>
      <c r="E49" s="816"/>
      <c r="F49" s="816"/>
      <c r="G49" s="816"/>
      <c r="H49" s="816"/>
      <c r="I49" s="816"/>
      <c r="J49" s="816"/>
      <c r="K49" s="816"/>
      <c r="L49" s="816"/>
      <c r="M49" s="816"/>
      <c r="N49" s="816"/>
      <c r="O49" s="816"/>
      <c r="P49" s="816"/>
      <c r="Q49" s="816"/>
      <c r="R49" s="816"/>
      <c r="S49" s="816"/>
      <c r="T49" s="816"/>
      <c r="U49" s="816"/>
      <c r="V49" s="816"/>
      <c r="W49" s="816"/>
      <c r="X49" s="816"/>
      <c r="Y49" s="816"/>
      <c r="Z49" s="816"/>
      <c r="AA49" s="816"/>
      <c r="AB49" s="816"/>
      <c r="AC49" s="816"/>
      <c r="AD49" s="816"/>
      <c r="AE49" s="816"/>
      <c r="AF49" s="816"/>
      <c r="AG49" s="816"/>
      <c r="AH49" s="816"/>
      <c r="AI49" s="816"/>
      <c r="AJ49" s="816"/>
    </row>
    <row r="50" spans="1:37" ht="12" customHeight="1" x14ac:dyDescent="0.25">
      <c r="A50" s="815" t="str">
        <f>IF('Данные объект'!C31="","",'Данные объект'!C31)</f>
      </c>
      <c r="B50" s="815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</row>
    <row r="51" spans="1:37" ht="11.25" customHeight="1" x14ac:dyDescent="0.25">
      <c r="A51" s="812" t="s">
        <v>1325</v>
      </c>
      <c r="B51" s="813"/>
      <c r="C51" s="813"/>
      <c r="D51" s="813"/>
      <c r="E51" s="813"/>
      <c r="F51" s="813"/>
      <c r="G51" s="813"/>
      <c r="H51" s="813"/>
      <c r="I51" s="813"/>
      <c r="J51" s="813"/>
      <c r="K51" s="813"/>
      <c r="L51" s="813"/>
      <c r="M51" s="813"/>
      <c r="N51" s="813"/>
      <c r="O51" s="813"/>
      <c r="P51" s="813"/>
      <c r="Q51" s="813"/>
      <c r="R51" s="813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  <c r="AF51" s="813"/>
      <c r="AG51" s="813"/>
      <c r="AH51" s="813"/>
      <c r="AI51" s="813"/>
      <c r="AJ51" s="813"/>
    </row>
    <row r="52" spans="1:37" ht="12" customHeight="1" x14ac:dyDescent="0.25">
      <c r="A52" s="815" t="s">
        <v>101</v>
      </c>
      <c r="B52" s="815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</row>
    <row r="53" spans="1:37" ht="17.25" customHeight="1" x14ac:dyDescent="0.25">
      <c r="A53" s="812" t="s">
        <v>1326</v>
      </c>
      <c r="B53" s="812"/>
      <c r="C53" s="812"/>
      <c r="D53" s="812"/>
      <c r="E53" s="812"/>
      <c r="F53" s="812"/>
      <c r="G53" s="812"/>
      <c r="H53" s="812"/>
      <c r="I53" s="812"/>
      <c r="J53" s="812"/>
      <c r="K53" s="812"/>
      <c r="L53" s="812"/>
      <c r="M53" s="812"/>
      <c r="N53" s="812"/>
      <c r="O53" s="812"/>
      <c r="P53" s="812"/>
      <c r="Q53" s="812"/>
      <c r="R53" s="812"/>
      <c r="S53" s="812"/>
      <c r="T53" s="812"/>
      <c r="U53" s="812"/>
      <c r="V53" s="812"/>
      <c r="W53" s="812"/>
      <c r="X53" s="812"/>
      <c r="Y53" s="812"/>
      <c r="Z53" s="812"/>
      <c r="AA53" s="812"/>
      <c r="AB53" s="812"/>
      <c r="AC53" s="812"/>
      <c r="AD53" s="812"/>
      <c r="AE53" s="812"/>
      <c r="AF53" s="812"/>
      <c r="AG53" s="812"/>
      <c r="AH53" s="812"/>
      <c r="AI53" s="812"/>
      <c r="AJ53" s="812"/>
    </row>
    <row r="54" spans="1:37" ht="11.45" customHeight="1" x14ac:dyDescent="0.25">
      <c r="A54" s="268" t="s">
        <v>1327</v>
      </c>
      <c r="W54" s="817"/>
      <c r="X54" s="817"/>
      <c r="Y54" s="817"/>
      <c r="Z54" s="817"/>
      <c r="AA54" s="817"/>
      <c r="AB54" s="817"/>
      <c r="AC54" s="817"/>
      <c r="AD54" s="817"/>
      <c r="AE54" s="817"/>
      <c r="AF54" s="817"/>
      <c r="AG54" s="817"/>
      <c r="AH54" s="817"/>
      <c r="AI54" s="817"/>
      <c r="AJ54" s="817"/>
    </row>
    <row r="55" spans="1:37" x14ac:dyDescent="0.25">
      <c r="A55" s="268" t="s">
        <v>1328</v>
      </c>
    </row>
    <row r="56" spans="1:37" ht="25.5" customHeight="1" x14ac:dyDescent="0.25">
      <c r="A56" s="814" t="str">
        <f>IF('Данные объект'!B3="","",'Данные объект'!B3)</f>
      </c>
      <c r="B56" s="814"/>
      <c r="C56" s="814"/>
      <c r="D56" s="814"/>
      <c r="E56" s="814"/>
      <c r="F56" s="814"/>
      <c r="G56" s="814"/>
      <c r="H56" s="814"/>
      <c r="I56" s="814"/>
      <c r="J56" s="814"/>
      <c r="K56" s="814"/>
      <c r="L56" s="814"/>
      <c r="M56" s="814"/>
      <c r="N56" s="814"/>
      <c r="O56" s="814"/>
      <c r="P56" s="814"/>
      <c r="Q56" s="814"/>
      <c r="R56" s="814"/>
      <c r="S56" s="814"/>
      <c r="T56" s="814"/>
      <c r="U56" s="814"/>
      <c r="V56" s="814"/>
      <c r="W56" s="814"/>
      <c r="X56" s="814"/>
      <c r="Y56" s="814"/>
      <c r="Z56" s="814"/>
      <c r="AA56" s="814"/>
      <c r="AB56" s="814"/>
      <c r="AC56" s="814"/>
      <c r="AD56" s="814"/>
      <c r="AE56" s="814"/>
      <c r="AF56" s="814"/>
      <c r="AG56" s="814"/>
      <c r="AH56" s="814"/>
      <c r="AI56" s="814"/>
      <c r="AJ56" s="814"/>
    </row>
    <row r="57" spans="1:37" s="121" customFormat="1" ht="14.1" customHeight="1" x14ac:dyDescent="0.25">
      <c r="A57" s="804" t="s">
        <v>612</v>
      </c>
      <c r="B57" s="804"/>
      <c r="C57" s="804"/>
      <c r="D57" s="804"/>
      <c r="E57" s="804"/>
      <c r="F57" s="804"/>
      <c r="G57" s="804"/>
      <c r="H57" s="804"/>
      <c r="I57" s="804"/>
      <c r="J57" s="804"/>
      <c r="K57" s="804"/>
      <c r="L57" s="804"/>
      <c r="M57" s="804"/>
      <c r="N57" s="804"/>
      <c r="O57" s="804"/>
      <c r="P57" s="804"/>
      <c r="Q57" s="804"/>
      <c r="R57" s="804"/>
      <c r="S57" s="804"/>
      <c r="T57" s="804"/>
      <c r="U57" s="804"/>
      <c r="V57" s="804"/>
      <c r="W57" s="804"/>
      <c r="X57" s="804"/>
      <c r="Y57" s="804"/>
      <c r="Z57" s="804"/>
      <c r="AA57" s="804"/>
      <c r="AB57" s="804"/>
      <c r="AC57" s="804"/>
      <c r="AD57" s="804"/>
      <c r="AE57" s="804"/>
      <c r="AF57" s="804"/>
      <c r="AG57" s="804"/>
      <c r="AH57" s="804"/>
      <c r="AI57" s="804"/>
      <c r="AJ57" s="804"/>
    </row>
    <row r="58" spans="1:37" s="121" customFormat="1" ht="13.5" customHeight="1" x14ac:dyDescent="0.25">
      <c r="A58" s="279" t="s">
        <v>1329</v>
      </c>
    </row>
    <row r="59" spans="1:37" s="121" customFormat="1" x14ac:dyDescent="0.25">
      <c r="A59" s="279" t="s">
        <v>1330</v>
      </c>
      <c r="L59" s="808" t="str">
        <f>IF('Данные объект'!B56="","",'Данные объект'!B56)</f>
      </c>
      <c r="M59" s="808"/>
      <c r="N59" s="808"/>
      <c r="O59" s="808"/>
      <c r="P59" s="808"/>
      <c r="Q59" s="808"/>
      <c r="R59" s="808"/>
      <c r="S59" s="808"/>
      <c r="T59" s="808"/>
      <c r="U59" s="808"/>
      <c r="V59" s="808"/>
      <c r="W59" s="808"/>
      <c r="X59" s="808"/>
      <c r="Y59" s="808"/>
      <c r="Z59" s="808"/>
      <c r="AA59" s="808"/>
      <c r="AB59" s="808"/>
      <c r="AC59" s="808"/>
      <c r="AD59" s="808"/>
      <c r="AE59" s="808"/>
      <c r="AF59" s="808"/>
      <c r="AG59" s="808"/>
      <c r="AH59" s="808"/>
      <c r="AI59" s="808"/>
      <c r="AJ59" s="808"/>
      <c r="AK59" s="280"/>
    </row>
    <row r="60" spans="1:37" s="121" customFormat="1" x14ac:dyDescent="0.25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809" t="s">
        <v>1331</v>
      </c>
      <c r="M60" s="809"/>
      <c r="N60" s="809"/>
      <c r="O60" s="809"/>
      <c r="P60" s="809"/>
      <c r="Q60" s="809"/>
      <c r="R60" s="809"/>
      <c r="S60" s="809"/>
      <c r="T60" s="809"/>
      <c r="U60" s="809"/>
      <c r="V60" s="809"/>
      <c r="W60" s="809"/>
      <c r="X60" s="809"/>
      <c r="Y60" s="809"/>
      <c r="Z60" s="809"/>
      <c r="AA60" s="809"/>
      <c r="AB60" s="809"/>
      <c r="AC60" s="809"/>
      <c r="AD60" s="809"/>
      <c r="AE60" s="809"/>
      <c r="AF60" s="809"/>
      <c r="AG60" s="809"/>
      <c r="AH60" s="809"/>
      <c r="AI60" s="809"/>
      <c r="AJ60" s="809"/>
      <c r="AK60" s="280"/>
    </row>
    <row r="61" spans="1:37" s="121" customFormat="1" x14ac:dyDescent="0.25">
      <c r="A61" s="282" t="s">
        <v>1332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810" t="s">
        <v>1333</v>
      </c>
      <c r="M61" s="810"/>
      <c r="N61" s="810"/>
      <c r="O61" s="810"/>
      <c r="P61" s="810"/>
      <c r="Q61" s="810"/>
      <c r="R61" s="810"/>
      <c r="S61" s="810"/>
      <c r="T61" s="810"/>
      <c r="U61" s="810"/>
      <c r="V61" s="810"/>
      <c r="W61" s="810"/>
      <c r="X61" s="810"/>
      <c r="Y61" s="810"/>
      <c r="Z61" s="810"/>
      <c r="AA61" s="810"/>
      <c r="AB61" s="810"/>
      <c r="AC61" s="810"/>
      <c r="AD61" s="810"/>
      <c r="AE61" s="810"/>
      <c r="AF61" s="810"/>
      <c r="AG61" s="810"/>
      <c r="AH61" s="810"/>
      <c r="AI61" s="810"/>
      <c r="AJ61" s="810"/>
    </row>
    <row r="62" spans="1:37" s="121" customFormat="1" x14ac:dyDescent="0.25">
      <c r="A62" s="283" t="s">
        <v>1334</v>
      </c>
      <c r="F62" s="284"/>
      <c r="G62" s="284"/>
      <c r="H62" s="284"/>
      <c r="I62" s="284"/>
      <c r="J62" s="284"/>
    </row>
    <row r="63" spans="1:37" s="121" customFormat="1" ht="25.5" customHeight="1" x14ac:dyDescent="0.25">
      <c r="A63" s="806" t="s">
        <v>1335</v>
      </c>
      <c r="B63" s="806"/>
      <c r="C63" s="806"/>
      <c r="D63" s="806"/>
      <c r="E63" s="806"/>
      <c r="F63" s="806"/>
      <c r="G63" s="806"/>
      <c r="H63" s="806"/>
      <c r="I63" s="806"/>
      <c r="J63" s="806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V63" s="806"/>
      <c r="W63" s="806"/>
      <c r="X63" s="806"/>
      <c r="Y63" s="806"/>
      <c r="Z63" s="806"/>
      <c r="AA63" s="806"/>
      <c r="AB63" s="806"/>
      <c r="AC63" s="806"/>
      <c r="AD63" s="806"/>
      <c r="AE63" s="806"/>
      <c r="AF63" s="806"/>
      <c r="AG63" s="806"/>
      <c r="AH63" s="806"/>
      <c r="AI63" s="806"/>
      <c r="AJ63" s="806"/>
    </row>
    <row r="64" spans="1:37" s="121" customFormat="1" ht="16.5" customHeight="1" x14ac:dyDescent="0.25">
      <c r="A64" s="808" t="s">
        <v>1336</v>
      </c>
      <c r="B64" s="808"/>
      <c r="C64" s="808"/>
      <c r="D64" s="808"/>
      <c r="E64" s="808"/>
      <c r="F64" s="808"/>
      <c r="G64" s="808"/>
      <c r="H64" s="808"/>
      <c r="I64" s="808"/>
      <c r="J64" s="808"/>
      <c r="K64" s="808"/>
      <c r="L64" s="808"/>
      <c r="M64" s="808"/>
      <c r="N64" s="808"/>
      <c r="O64" s="808"/>
      <c r="P64" s="808"/>
      <c r="Q64" s="808"/>
      <c r="R64" s="808"/>
      <c r="S64" s="808"/>
      <c r="T64" s="808"/>
      <c r="U64" s="808"/>
      <c r="V64" s="808"/>
      <c r="W64" s="808"/>
      <c r="X64" s="808"/>
      <c r="Y64" s="808"/>
      <c r="Z64" s="808"/>
      <c r="AA64" s="808"/>
      <c r="AB64" s="808"/>
      <c r="AC64" s="808"/>
      <c r="AD64" s="808"/>
      <c r="AE64" s="808"/>
      <c r="AF64" s="808"/>
      <c r="AG64" s="808"/>
      <c r="AH64" s="808"/>
      <c r="AI64" s="808"/>
      <c r="AJ64" s="808"/>
    </row>
    <row r="65" spans="1:36" s="121" customFormat="1" ht="15" customHeight="1" x14ac:dyDescent="0.25">
      <c r="A65" s="804" t="s">
        <v>1337</v>
      </c>
      <c r="B65" s="804"/>
      <c r="C65" s="804"/>
      <c r="D65" s="804"/>
      <c r="E65" s="804"/>
      <c r="F65" s="804"/>
      <c r="G65" s="804"/>
      <c r="H65" s="804"/>
      <c r="I65" s="804"/>
      <c r="J65" s="804"/>
      <c r="K65" s="804"/>
      <c r="L65" s="804"/>
      <c r="M65" s="804"/>
      <c r="N65" s="804"/>
      <c r="O65" s="804"/>
      <c r="P65" s="804"/>
      <c r="Q65" s="804"/>
      <c r="R65" s="804"/>
      <c r="S65" s="804"/>
      <c r="T65" s="804"/>
      <c r="U65" s="804"/>
      <c r="V65" s="804"/>
      <c r="W65" s="804"/>
      <c r="X65" s="804"/>
      <c r="Y65" s="804"/>
      <c r="Z65" s="804"/>
      <c r="AA65" s="804"/>
      <c r="AB65" s="804"/>
      <c r="AC65" s="804"/>
      <c r="AD65" s="804"/>
      <c r="AE65" s="804"/>
      <c r="AF65" s="804"/>
      <c r="AG65" s="804"/>
      <c r="AH65" s="804"/>
      <c r="AI65" s="804"/>
      <c r="AJ65" s="804"/>
    </row>
    <row r="66" spans="1:36" s="274" customFormat="1" ht="20.25" customHeight="1" x14ac:dyDescent="0.2">
      <c r="A66" s="283" t="s">
        <v>1338</v>
      </c>
      <c r="B66" s="121"/>
      <c r="C66" s="121"/>
      <c r="D66" s="121"/>
      <c r="E66" s="121"/>
      <c r="F66" s="284"/>
      <c r="G66" s="284"/>
      <c r="H66" s="284"/>
      <c r="I66" s="284"/>
      <c r="J66" s="284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</row>
    <row r="67" spans="1:36" x14ac:dyDescent="0.25">
      <c r="A67" s="268" t="s">
        <v>619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802" t="s">
        <v>101</v>
      </c>
      <c r="M67" s="802"/>
      <c r="N67" s="802"/>
      <c r="O67" s="802"/>
      <c r="P67" s="802"/>
      <c r="Q67" s="802"/>
      <c r="R67" s="802"/>
      <c r="S67" s="802"/>
      <c r="T67" s="802"/>
      <c r="U67" s="802"/>
      <c r="V67" s="802"/>
      <c r="W67" s="802"/>
      <c r="X67" s="802"/>
      <c r="Y67" s="802"/>
      <c r="Z67" s="802"/>
      <c r="AA67" s="802"/>
      <c r="AB67" s="802"/>
      <c r="AC67" s="802"/>
      <c r="AD67" s="802"/>
      <c r="AE67" s="802"/>
      <c r="AF67" s="802"/>
      <c r="AG67" s="802"/>
      <c r="AH67" s="802"/>
      <c r="AI67" s="802"/>
      <c r="AJ67" s="802"/>
    </row>
    <row r="68" spans="1:36" s="268" customFormat="1" ht="12" customHeight="1" x14ac:dyDescent="0.25">
      <c r="A68" s="120"/>
      <c r="B68" s="120"/>
      <c r="C68" s="120"/>
      <c r="D68" s="285"/>
      <c r="E68" s="285"/>
      <c r="F68" s="285"/>
      <c r="G68" s="285"/>
      <c r="H68" s="285"/>
      <c r="I68" s="285"/>
      <c r="J68" s="285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</row>
    <row r="69" spans="1:36" x14ac:dyDescent="0.25">
      <c r="A69" s="268" t="s">
        <v>1339</v>
      </c>
      <c r="B69" s="268"/>
      <c r="C69" s="268"/>
      <c r="D69" s="268"/>
      <c r="E69" s="268"/>
      <c r="F69" s="268"/>
      <c r="G69" s="268"/>
      <c r="H69" s="803">
        <v>1</v>
      </c>
      <c r="I69" s="803"/>
      <c r="J69" s="268" t="s">
        <v>1340</v>
      </c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</row>
    <row r="70" spans="1:36" s="268" customFormat="1" ht="12" customHeight="1" x14ac:dyDescent="0.2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</row>
    <row r="71" spans="1:36" ht="12" customHeight="1" x14ac:dyDescent="0.25">
      <c r="A71" s="268" t="s">
        <v>454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</row>
    <row r="72" spans="1:36" x14ac:dyDescent="0.25">
      <c r="A72" s="811" t="s">
        <v>1341</v>
      </c>
      <c r="B72" s="811"/>
      <c r="C72" s="811"/>
      <c r="D72" s="811"/>
      <c r="E72" s="811"/>
      <c r="F72" s="811"/>
      <c r="G72" s="811"/>
      <c r="H72" s="811"/>
      <c r="I72" s="811"/>
      <c r="J72" s="811"/>
      <c r="K72" s="811"/>
      <c r="L72" s="811"/>
      <c r="M72" s="811"/>
      <c r="N72" s="811"/>
      <c r="O72" s="811"/>
      <c r="P72" s="811"/>
      <c r="Q72" s="811"/>
      <c r="R72" s="811"/>
      <c r="S72" s="811"/>
      <c r="T72" s="811"/>
      <c r="U72" s="811"/>
      <c r="V72" s="811"/>
      <c r="W72" s="811"/>
      <c r="X72" s="811"/>
      <c r="Y72" s="811"/>
      <c r="Z72" s="811"/>
      <c r="AA72" s="811"/>
      <c r="AB72" s="811"/>
      <c r="AC72" s="811"/>
      <c r="AD72" s="811"/>
      <c r="AE72" s="811"/>
      <c r="AF72" s="811"/>
      <c r="AG72" s="811"/>
      <c r="AH72" s="811"/>
      <c r="AI72" s="811"/>
      <c r="AJ72" s="811"/>
    </row>
    <row r="73" spans="1:36" ht="12" customHeight="1" x14ac:dyDescent="0.25">
      <c r="A73" s="811" t="s">
        <v>1522</v>
      </c>
      <c r="B73" s="811"/>
      <c r="C73" s="811"/>
      <c r="D73" s="811"/>
      <c r="E73" s="811"/>
      <c r="F73" s="811"/>
      <c r="G73" s="811"/>
      <c r="H73" s="811"/>
      <c r="I73" s="811"/>
      <c r="J73" s="811"/>
      <c r="K73" s="811"/>
      <c r="L73" s="811"/>
      <c r="M73" s="811"/>
      <c r="N73" s="811"/>
      <c r="O73" s="811"/>
      <c r="P73" s="811"/>
      <c r="Q73" s="811"/>
      <c r="R73" s="811"/>
      <c r="S73" s="811"/>
      <c r="T73" s="811"/>
      <c r="U73" s="811"/>
      <c r="V73" s="811"/>
      <c r="W73" s="811"/>
      <c r="X73" s="811"/>
      <c r="Y73" s="811"/>
      <c r="Z73" s="811"/>
      <c r="AA73" s="811"/>
      <c r="AB73" s="811"/>
      <c r="AC73" s="811"/>
      <c r="AD73" s="811"/>
      <c r="AE73" s="811"/>
      <c r="AF73" s="811"/>
      <c r="AG73" s="811"/>
      <c r="AH73" s="811"/>
      <c r="AI73" s="811"/>
      <c r="AJ73" s="811"/>
    </row>
    <row r="74" spans="1:36" s="268" customFormat="1" ht="12" x14ac:dyDescent="0.2">
      <c r="A74" s="812" t="s">
        <v>1342</v>
      </c>
      <c r="B74" s="813"/>
      <c r="C74" s="813"/>
      <c r="D74" s="813"/>
      <c r="E74" s="813"/>
      <c r="F74" s="813"/>
      <c r="G74" s="813"/>
      <c r="H74" s="813"/>
      <c r="I74" s="813"/>
      <c r="J74" s="813"/>
      <c r="K74" s="813"/>
      <c r="L74" s="813"/>
      <c r="M74" s="813"/>
      <c r="N74" s="813"/>
      <c r="O74" s="813"/>
      <c r="P74" s="813"/>
      <c r="Q74" s="813"/>
      <c r="R74" s="813"/>
      <c r="S74" s="813"/>
      <c r="T74" s="813"/>
      <c r="U74" s="813"/>
      <c r="V74" s="813"/>
      <c r="W74" s="813"/>
      <c r="X74" s="813"/>
      <c r="Y74" s="813"/>
      <c r="Z74" s="813"/>
      <c r="AA74" s="813"/>
      <c r="AB74" s="813"/>
      <c r="AC74" s="813"/>
      <c r="AD74" s="813"/>
      <c r="AE74" s="813"/>
      <c r="AF74" s="813"/>
      <c r="AG74" s="813"/>
      <c r="AH74" s="813"/>
      <c r="AI74" s="813"/>
      <c r="AJ74" s="813"/>
    </row>
    <row r="75" spans="1:36" ht="24" customHeight="1" x14ac:dyDescent="0.25">
      <c r="A75" s="286"/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</row>
    <row r="76" spans="1:36" ht="25.5" customHeight="1" x14ac:dyDescent="0.25">
      <c r="A76" s="807" t="s">
        <v>1315</v>
      </c>
      <c r="B76" s="807"/>
      <c r="C76" s="807"/>
      <c r="D76" s="807"/>
      <c r="E76" s="807"/>
      <c r="F76" s="807"/>
      <c r="G76" s="807"/>
      <c r="H76" s="807"/>
      <c r="I76" s="807"/>
      <c r="J76" s="807"/>
      <c r="K76" s="807"/>
      <c r="L76" s="807"/>
      <c r="M76" s="807"/>
      <c r="N76" s="807"/>
      <c r="O76" s="807"/>
      <c r="P76" s="807"/>
      <c r="Q76" s="807"/>
      <c r="R76" s="807"/>
      <c r="S76" s="807"/>
      <c r="T76" s="807"/>
      <c r="U76" s="807"/>
      <c r="V76" s="807"/>
      <c r="W76" s="807"/>
      <c r="X76" s="807"/>
      <c r="Y76" s="807"/>
      <c r="Z76" s="807"/>
      <c r="AA76" s="807"/>
      <c r="AB76" s="807"/>
      <c r="AC76" s="807"/>
      <c r="AD76" s="807"/>
      <c r="AE76" s="807"/>
      <c r="AF76" s="807"/>
      <c r="AG76" s="807"/>
      <c r="AH76" s="807"/>
      <c r="AI76" s="807"/>
      <c r="AJ76" s="807"/>
    </row>
    <row r="77" spans="1:36" ht="17.25" customHeight="1" x14ac:dyDescent="0.25">
      <c r="A77" s="802" t="str">
        <f>IF('Данные объект'!B42="","",'Данные объект'!B42)</f>
      </c>
      <c r="B77" s="802"/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803"/>
      <c r="AC77" s="803"/>
      <c r="AD77" s="803"/>
      <c r="AE77" s="803"/>
      <c r="AF77" s="803"/>
      <c r="AG77" s="803"/>
      <c r="AH77" s="803"/>
      <c r="AI77" s="803"/>
      <c r="AJ77" s="803"/>
    </row>
    <row r="78" spans="1:36" x14ac:dyDescent="0.25">
      <c r="A78" s="804" t="s">
        <v>1343</v>
      </c>
      <c r="B78" s="804"/>
      <c r="C78" s="804"/>
      <c r="D78" s="804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288"/>
      <c r="Q78" s="288"/>
      <c r="R78" s="288"/>
      <c r="S78" s="288"/>
      <c r="T78" s="288"/>
      <c r="U78" s="289"/>
      <c r="V78" s="289"/>
      <c r="W78" s="289"/>
      <c r="X78" s="289"/>
      <c r="Y78" s="289"/>
      <c r="Z78" s="289"/>
      <c r="AA78" s="289"/>
      <c r="AB78" s="805" t="s">
        <v>2</v>
      </c>
      <c r="AC78" s="805"/>
      <c r="AD78" s="805"/>
      <c r="AE78" s="805"/>
      <c r="AF78" s="805"/>
      <c r="AG78" s="805"/>
      <c r="AH78" s="805"/>
      <c r="AI78" s="805"/>
      <c r="AJ78" s="805"/>
    </row>
    <row r="79" spans="1:36" x14ac:dyDescent="0.25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88"/>
      <c r="Q79" s="288"/>
      <c r="R79" s="288"/>
      <c r="S79" s="288"/>
      <c r="T79" s="288"/>
      <c r="U79" s="289"/>
      <c r="V79" s="289"/>
      <c r="W79" s="289"/>
      <c r="X79" s="289"/>
      <c r="Y79" s="289"/>
      <c r="Z79" s="289"/>
      <c r="AA79" s="289"/>
      <c r="AB79" s="291"/>
      <c r="AC79" s="291"/>
      <c r="AD79" s="291"/>
      <c r="AE79" s="291"/>
      <c r="AF79" s="291"/>
      <c r="AG79" s="291"/>
      <c r="AH79" s="291"/>
      <c r="AI79" s="291"/>
      <c r="AJ79" s="291"/>
    </row>
    <row r="80" spans="1:36" x14ac:dyDescent="0.25">
      <c r="A80" s="807" t="s">
        <v>1318</v>
      </c>
      <c r="B80" s="807"/>
      <c r="C80" s="807"/>
      <c r="D80" s="807"/>
      <c r="E80" s="807"/>
      <c r="F80" s="807"/>
      <c r="G80" s="807"/>
      <c r="H80" s="807"/>
      <c r="I80" s="807"/>
      <c r="J80" s="807"/>
      <c r="K80" s="807"/>
      <c r="L80" s="807"/>
      <c r="M80" s="807"/>
      <c r="N80" s="807"/>
      <c r="O80" s="807"/>
      <c r="P80" s="807"/>
      <c r="Q80" s="807"/>
      <c r="R80" s="807"/>
      <c r="S80" s="807"/>
      <c r="T80" s="807"/>
      <c r="U80" s="807"/>
      <c r="V80" s="807"/>
      <c r="W80" s="807"/>
      <c r="X80" s="807"/>
      <c r="Y80" s="807"/>
      <c r="Z80" s="807"/>
      <c r="AA80" s="807"/>
      <c r="AB80" s="807"/>
      <c r="AC80" s="807"/>
      <c r="AD80" s="807"/>
      <c r="AE80" s="807"/>
      <c r="AF80" s="807"/>
      <c r="AG80" s="807"/>
      <c r="AH80" s="807"/>
      <c r="AI80" s="807"/>
      <c r="AJ80" s="807"/>
    </row>
    <row r="81" spans="1:36" ht="17.25" customHeight="1" x14ac:dyDescent="0.25">
      <c r="A81" s="802" t="str">
        <f>IF('Данные объект'!B28="","",'Данные объект'!B28)</f>
      </c>
      <c r="B81" s="802"/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803"/>
      <c r="AC81" s="803"/>
      <c r="AD81" s="803"/>
      <c r="AE81" s="803"/>
      <c r="AF81" s="803"/>
      <c r="AG81" s="803"/>
      <c r="AH81" s="803"/>
      <c r="AI81" s="803"/>
      <c r="AJ81" s="803"/>
    </row>
    <row r="82" spans="1:36" ht="12.75" customHeight="1" x14ac:dyDescent="0.25">
      <c r="A82" s="804" t="s">
        <v>1343</v>
      </c>
      <c r="B82" s="804"/>
      <c r="C82" s="804"/>
      <c r="D82" s="804"/>
      <c r="E82" s="804"/>
      <c r="F82" s="804"/>
      <c r="G82" s="804"/>
      <c r="H82" s="804"/>
      <c r="I82" s="804"/>
      <c r="J82" s="804"/>
      <c r="K82" s="804"/>
      <c r="L82" s="804"/>
      <c r="M82" s="804"/>
      <c r="N82" s="804"/>
      <c r="O82" s="804"/>
      <c r="P82" s="288"/>
      <c r="Q82" s="288"/>
      <c r="R82" s="288"/>
      <c r="S82" s="288"/>
      <c r="T82" s="288"/>
      <c r="U82" s="289"/>
      <c r="V82" s="289"/>
      <c r="W82" s="289"/>
      <c r="X82" s="289"/>
      <c r="Y82" s="289"/>
      <c r="Z82" s="289"/>
      <c r="AA82" s="289"/>
      <c r="AB82" s="805" t="s">
        <v>2</v>
      </c>
      <c r="AC82" s="805"/>
      <c r="AD82" s="805"/>
      <c r="AE82" s="805"/>
      <c r="AF82" s="805"/>
      <c r="AG82" s="805"/>
      <c r="AH82" s="805"/>
      <c r="AI82" s="805"/>
      <c r="AJ82" s="805"/>
    </row>
    <row r="83" spans="1:36" x14ac:dyDescent="0.25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88"/>
      <c r="Q83" s="288"/>
      <c r="R83" s="288"/>
      <c r="S83" s="288"/>
      <c r="T83" s="288"/>
      <c r="U83" s="289"/>
      <c r="V83" s="289"/>
      <c r="W83" s="289"/>
      <c r="X83" s="289"/>
      <c r="Y83" s="289"/>
      <c r="Z83" s="289"/>
      <c r="AA83" s="289"/>
      <c r="AB83" s="291"/>
      <c r="AC83" s="291"/>
      <c r="AD83" s="291"/>
      <c r="AE83" s="291"/>
      <c r="AF83" s="291"/>
      <c r="AG83" s="291"/>
      <c r="AH83" s="291"/>
      <c r="AI83" s="291"/>
      <c r="AJ83" s="291"/>
    </row>
    <row r="84" spans="1:36" ht="12.75" customHeight="1" x14ac:dyDescent="0.25">
      <c r="A84" s="807" t="s">
        <v>1320</v>
      </c>
      <c r="B84" s="807"/>
      <c r="C84" s="807"/>
      <c r="D84" s="807"/>
      <c r="E84" s="807"/>
      <c r="F84" s="807"/>
      <c r="G84" s="807"/>
      <c r="H84" s="807"/>
      <c r="I84" s="807"/>
      <c r="J84" s="807"/>
      <c r="K84" s="807"/>
      <c r="L84" s="807"/>
      <c r="M84" s="807"/>
      <c r="N84" s="807"/>
      <c r="O84" s="807"/>
      <c r="P84" s="807"/>
      <c r="Q84" s="807"/>
      <c r="R84" s="807"/>
      <c r="S84" s="807"/>
      <c r="T84" s="807"/>
      <c r="U84" s="807"/>
      <c r="V84" s="807"/>
      <c r="W84" s="807"/>
      <c r="X84" s="807"/>
      <c r="Y84" s="807"/>
      <c r="Z84" s="807"/>
      <c r="AA84" s="807"/>
      <c r="AB84" s="807"/>
      <c r="AC84" s="807"/>
      <c r="AD84" s="807"/>
      <c r="AE84" s="807"/>
      <c r="AF84" s="807"/>
      <c r="AG84" s="807"/>
      <c r="AH84" s="807"/>
      <c r="AI84" s="807"/>
      <c r="AJ84" s="807"/>
    </row>
    <row r="85" spans="1:36" x14ac:dyDescent="0.25">
      <c r="A85" s="274"/>
    </row>
    <row r="86" spans="1:36" ht="17.25" customHeight="1" x14ac:dyDescent="0.25">
      <c r="A86" s="802" t="str">
        <f>IF('Данные объект'!B25="","",'Данные объект'!B25)</f>
      </c>
      <c r="B86" s="802"/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803"/>
      <c r="AC86" s="803"/>
      <c r="AD86" s="803"/>
      <c r="AE86" s="803"/>
      <c r="AF86" s="803"/>
      <c r="AG86" s="803"/>
      <c r="AH86" s="803"/>
      <c r="AI86" s="803"/>
      <c r="AJ86" s="803"/>
    </row>
    <row r="87" spans="1:36" ht="12.75" customHeight="1" x14ac:dyDescent="0.25">
      <c r="A87" s="804" t="s">
        <v>1343</v>
      </c>
      <c r="B87" s="804"/>
      <c r="C87" s="804"/>
      <c r="D87" s="804"/>
      <c r="E87" s="804"/>
      <c r="F87" s="804"/>
      <c r="G87" s="804"/>
      <c r="H87" s="804"/>
      <c r="I87" s="804"/>
      <c r="J87" s="804"/>
      <c r="K87" s="804"/>
      <c r="L87" s="804"/>
      <c r="M87" s="804"/>
      <c r="N87" s="804"/>
      <c r="O87" s="804"/>
      <c r="P87" s="288"/>
      <c r="Q87" s="288"/>
      <c r="R87" s="288"/>
      <c r="S87" s="288"/>
      <c r="T87" s="288"/>
      <c r="U87" s="289"/>
      <c r="V87" s="289"/>
      <c r="W87" s="289"/>
      <c r="X87" s="289"/>
      <c r="Y87" s="289"/>
      <c r="Z87" s="289"/>
      <c r="AA87" s="289"/>
      <c r="AB87" s="805" t="s">
        <v>2</v>
      </c>
      <c r="AC87" s="805"/>
      <c r="AD87" s="805"/>
      <c r="AE87" s="805"/>
      <c r="AF87" s="805"/>
      <c r="AG87" s="805"/>
      <c r="AH87" s="805"/>
      <c r="AI87" s="805"/>
      <c r="AJ87" s="805"/>
    </row>
    <row r="88" spans="1:36" ht="13.9" customHeight="1" x14ac:dyDescent="0.25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88"/>
      <c r="Q88" s="288"/>
      <c r="R88" s="288"/>
      <c r="S88" s="288"/>
      <c r="T88" s="288"/>
      <c r="U88" s="289"/>
      <c r="V88" s="289"/>
      <c r="W88" s="289"/>
      <c r="X88" s="289"/>
      <c r="Y88" s="289"/>
      <c r="Z88" s="289"/>
      <c r="AA88" s="289"/>
      <c r="AB88" s="291"/>
      <c r="AC88" s="291"/>
      <c r="AD88" s="291"/>
      <c r="AE88" s="291"/>
      <c r="AF88" s="291"/>
      <c r="AG88" s="291"/>
      <c r="AH88" s="291"/>
      <c r="AI88" s="291"/>
      <c r="AJ88" s="291"/>
    </row>
    <row r="89" spans="1:36" x14ac:dyDescent="0.25">
      <c r="A89" s="806" t="s">
        <v>1322</v>
      </c>
      <c r="B89" s="806"/>
      <c r="C89" s="806"/>
      <c r="D89" s="806"/>
      <c r="E89" s="806"/>
      <c r="F89" s="806"/>
      <c r="G89" s="806"/>
      <c r="H89" s="806"/>
      <c r="I89" s="806"/>
      <c r="J89" s="806"/>
      <c r="K89" s="806"/>
      <c r="L89" s="806"/>
      <c r="M89" s="806"/>
      <c r="N89" s="806"/>
      <c r="O89" s="806"/>
      <c r="P89" s="806"/>
      <c r="Q89" s="806"/>
      <c r="R89" s="806"/>
      <c r="S89" s="806"/>
      <c r="T89" s="806"/>
      <c r="U89" s="806"/>
      <c r="V89" s="806"/>
      <c r="W89" s="806"/>
      <c r="X89" s="806"/>
      <c r="Y89" s="806"/>
      <c r="Z89" s="806"/>
      <c r="AA89" s="806"/>
      <c r="AB89" s="806"/>
      <c r="AC89" s="806"/>
      <c r="AD89" s="806"/>
      <c r="AE89" s="806"/>
      <c r="AF89" s="806"/>
      <c r="AG89" s="806"/>
      <c r="AH89" s="806"/>
      <c r="AI89" s="806"/>
      <c r="AJ89" s="806"/>
    </row>
    <row r="90" spans="1:36" ht="17.25" customHeight="1" x14ac:dyDescent="0.25">
      <c r="A90" s="802" t="str">
        <f>IF('Данные объект'!B47="","",'Данные объект'!B47)</f>
      </c>
      <c r="B90" s="802"/>
      <c r="C90" s="802"/>
      <c r="D90" s="802"/>
      <c r="E90" s="802"/>
      <c r="F90" s="802"/>
      <c r="G90" s="802"/>
      <c r="H90" s="802"/>
      <c r="I90" s="802"/>
      <c r="J90" s="802"/>
      <c r="K90" s="802"/>
      <c r="L90" s="802"/>
      <c r="M90" s="802"/>
      <c r="N90" s="802"/>
      <c r="O90" s="802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803"/>
      <c r="AC90" s="803"/>
      <c r="AD90" s="803"/>
      <c r="AE90" s="803"/>
      <c r="AF90" s="803"/>
      <c r="AG90" s="803"/>
      <c r="AH90" s="803"/>
      <c r="AI90" s="803"/>
      <c r="AJ90" s="803"/>
    </row>
    <row r="91" spans="1:36" x14ac:dyDescent="0.25">
      <c r="A91" s="804" t="s">
        <v>1343</v>
      </c>
      <c r="B91" s="804"/>
      <c r="C91" s="804"/>
      <c r="D91" s="804"/>
      <c r="E91" s="804"/>
      <c r="F91" s="804"/>
      <c r="G91" s="804"/>
      <c r="H91" s="804"/>
      <c r="I91" s="804"/>
      <c r="J91" s="804"/>
      <c r="K91" s="804"/>
      <c r="L91" s="804"/>
      <c r="M91" s="804"/>
      <c r="N91" s="804"/>
      <c r="O91" s="804"/>
      <c r="P91" s="288"/>
      <c r="Q91" s="288"/>
      <c r="R91" s="288"/>
      <c r="S91" s="288"/>
      <c r="T91" s="288"/>
      <c r="U91" s="289"/>
      <c r="V91" s="289"/>
      <c r="W91" s="289"/>
      <c r="X91" s="289"/>
      <c r="Y91" s="289"/>
      <c r="Z91" s="289"/>
      <c r="AA91" s="289"/>
      <c r="AB91" s="805" t="s">
        <v>2</v>
      </c>
      <c r="AC91" s="805"/>
      <c r="AD91" s="805"/>
      <c r="AE91" s="805"/>
      <c r="AF91" s="805"/>
      <c r="AG91" s="805"/>
      <c r="AH91" s="805"/>
      <c r="AI91" s="805"/>
      <c r="AJ91" s="805"/>
    </row>
    <row r="92" spans="1:36" ht="22.5" customHeight="1" x14ac:dyDescent="0.25">
      <c r="A92" s="290"/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88"/>
      <c r="Q92" s="288"/>
      <c r="R92" s="288"/>
      <c r="S92" s="288"/>
      <c r="T92" s="288"/>
      <c r="U92" s="289"/>
      <c r="V92" s="289"/>
      <c r="W92" s="289"/>
      <c r="X92" s="289"/>
      <c r="Y92" s="289"/>
      <c r="Z92" s="289"/>
      <c r="AA92" s="289"/>
      <c r="AB92" s="291"/>
      <c r="AC92" s="291"/>
      <c r="AD92" s="291"/>
      <c r="AE92" s="291"/>
      <c r="AF92" s="291"/>
      <c r="AG92" s="291"/>
      <c r="AH92" s="291"/>
      <c r="AI92" s="291"/>
      <c r="AJ92" s="291"/>
    </row>
    <row r="93" spans="1:36" ht="30" customHeight="1" x14ac:dyDescent="0.25">
      <c r="A93" s="807" t="s">
        <v>1344</v>
      </c>
      <c r="B93" s="807"/>
      <c r="C93" s="807"/>
      <c r="D93" s="807"/>
      <c r="E93" s="807"/>
      <c r="F93" s="807"/>
      <c r="G93" s="807"/>
      <c r="H93" s="807"/>
      <c r="I93" s="807"/>
      <c r="J93" s="807"/>
      <c r="K93" s="807"/>
      <c r="L93" s="807"/>
      <c r="M93" s="807"/>
      <c r="N93" s="807"/>
      <c r="O93" s="807"/>
      <c r="P93" s="807"/>
      <c r="Q93" s="807"/>
      <c r="R93" s="807"/>
      <c r="S93" s="807"/>
      <c r="T93" s="807"/>
      <c r="U93" s="807"/>
      <c r="V93" s="807"/>
      <c r="W93" s="807"/>
      <c r="X93" s="807"/>
      <c r="Y93" s="807"/>
      <c r="Z93" s="807"/>
      <c r="AA93" s="807"/>
      <c r="AB93" s="807"/>
      <c r="AC93" s="807"/>
      <c r="AD93" s="807"/>
      <c r="AE93" s="807"/>
      <c r="AF93" s="807"/>
      <c r="AG93" s="807"/>
      <c r="AH93" s="807"/>
      <c r="AI93" s="807"/>
      <c r="AJ93" s="807"/>
    </row>
    <row r="94" spans="1:36" ht="17.25" customHeight="1" x14ac:dyDescent="0.25">
      <c r="A94" s="802" t="str">
        <f>IF('Данные объект'!B31="","",'Данные объект'!B31)</f>
      </c>
      <c r="B94" s="802"/>
      <c r="C94" s="802"/>
      <c r="D94" s="802"/>
      <c r="E94" s="802"/>
      <c r="F94" s="802"/>
      <c r="G94" s="802"/>
      <c r="H94" s="802"/>
      <c r="I94" s="802"/>
      <c r="J94" s="802"/>
      <c r="K94" s="802"/>
      <c r="L94" s="802"/>
      <c r="M94" s="802"/>
      <c r="N94" s="802"/>
      <c r="O94" s="802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803"/>
      <c r="AC94" s="803"/>
      <c r="AD94" s="803"/>
      <c r="AE94" s="803"/>
      <c r="AF94" s="803"/>
      <c r="AG94" s="803"/>
      <c r="AH94" s="803"/>
      <c r="AI94" s="803"/>
      <c r="AJ94" s="803"/>
    </row>
    <row r="95" spans="1:36" x14ac:dyDescent="0.25">
      <c r="A95" s="804" t="s">
        <v>1343</v>
      </c>
      <c r="B95" s="804"/>
      <c r="C95" s="804"/>
      <c r="D95" s="804"/>
      <c r="E95" s="804"/>
      <c r="F95" s="804"/>
      <c r="G95" s="804"/>
      <c r="H95" s="804"/>
      <c r="I95" s="804"/>
      <c r="J95" s="804"/>
      <c r="K95" s="804"/>
      <c r="L95" s="804"/>
      <c r="M95" s="804"/>
      <c r="N95" s="804"/>
      <c r="O95" s="804"/>
      <c r="P95" s="288"/>
      <c r="Q95" s="288"/>
      <c r="R95" s="288"/>
      <c r="S95" s="288"/>
      <c r="T95" s="288"/>
      <c r="U95" s="289"/>
      <c r="V95" s="289"/>
      <c r="W95" s="289"/>
      <c r="X95" s="289"/>
      <c r="Y95" s="289"/>
      <c r="Z95" s="289"/>
      <c r="AA95" s="289"/>
      <c r="AB95" s="805" t="s">
        <v>2</v>
      </c>
      <c r="AC95" s="805"/>
      <c r="AD95" s="805"/>
      <c r="AE95" s="805"/>
      <c r="AF95" s="805"/>
      <c r="AG95" s="805"/>
      <c r="AH95" s="805"/>
      <c r="AI95" s="805"/>
      <c r="AJ95" s="805"/>
    </row>
  </sheetData>
  <mergeCells count="85">
    <mergeCell ref="A16:AJ16"/>
    <mergeCell ref="A4:AJ4"/>
    <mergeCell ref="A5:AJ5"/>
    <mergeCell ref="A6:AJ6"/>
    <mergeCell ref="A7:AJ7"/>
    <mergeCell ref="A8:AJ8"/>
    <mergeCell ref="A9:AJ9"/>
    <mergeCell ref="A10:AJ10"/>
    <mergeCell ref="A11:AJ11"/>
    <mergeCell ref="A12:AJ12"/>
    <mergeCell ref="A13:AJ13"/>
    <mergeCell ref="A15:AJ15"/>
    <mergeCell ref="A30:AJ30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43:AJ43"/>
    <mergeCell ref="A31:AJ31"/>
    <mergeCell ref="C32:D32"/>
    <mergeCell ref="AB32:AI32"/>
    <mergeCell ref="AB33:AI33"/>
    <mergeCell ref="A35:AJ35"/>
    <mergeCell ref="A36:AJ36"/>
    <mergeCell ref="A37:AJ37"/>
    <mergeCell ref="A38:AJ38"/>
    <mergeCell ref="A39:AJ39"/>
    <mergeCell ref="A41:AJ41"/>
    <mergeCell ref="A42:AJ42"/>
    <mergeCell ref="A56:AJ56"/>
    <mergeCell ref="A44:AJ44"/>
    <mergeCell ref="A45:AJ45"/>
    <mergeCell ref="A46:AJ46"/>
    <mergeCell ref="A47:AJ47"/>
    <mergeCell ref="A48:AJ48"/>
    <mergeCell ref="A49:AJ49"/>
    <mergeCell ref="A50:AJ50"/>
    <mergeCell ref="A51:AJ51"/>
    <mergeCell ref="A52:AJ52"/>
    <mergeCell ref="A53:AJ53"/>
    <mergeCell ref="W54:AJ54"/>
    <mergeCell ref="A76:AJ76"/>
    <mergeCell ref="A57:AJ57"/>
    <mergeCell ref="L59:AJ59"/>
    <mergeCell ref="L60:AJ60"/>
    <mergeCell ref="L61:AJ61"/>
    <mergeCell ref="A63:AJ63"/>
    <mergeCell ref="A64:AJ64"/>
    <mergeCell ref="A65:AJ65"/>
    <mergeCell ref="L67:AJ67"/>
    <mergeCell ref="H69:I69"/>
    <mergeCell ref="A72:AJ72"/>
    <mergeCell ref="A74:AJ74"/>
    <mergeCell ref="A73:AJ73"/>
    <mergeCell ref="A87:O87"/>
    <mergeCell ref="AB87:AJ87"/>
    <mergeCell ref="A77:O77"/>
    <mergeCell ref="AB77:AJ77"/>
    <mergeCell ref="A78:O78"/>
    <mergeCell ref="AB78:AJ78"/>
    <mergeCell ref="A80:AJ80"/>
    <mergeCell ref="A81:O81"/>
    <mergeCell ref="AB81:AJ81"/>
    <mergeCell ref="A82:O82"/>
    <mergeCell ref="AB82:AJ82"/>
    <mergeCell ref="A84:AJ84"/>
    <mergeCell ref="A86:O86"/>
    <mergeCell ref="AB86:AJ86"/>
    <mergeCell ref="A94:O94"/>
    <mergeCell ref="AB94:AJ94"/>
    <mergeCell ref="A95:O95"/>
    <mergeCell ref="AB95:AJ95"/>
    <mergeCell ref="A89:AJ89"/>
    <mergeCell ref="A90:O90"/>
    <mergeCell ref="AB90:AJ90"/>
    <mergeCell ref="A91:O91"/>
    <mergeCell ref="AB91:AJ91"/>
    <mergeCell ref="A93:AJ93"/>
  </mergeCells>
  <pageMargins left="0.78740157480314965" right="0.27559055118110237" top="0.39370078740157483" bottom="0.39370078740157483" header="0" footer="0"/>
  <pageSetup paperSize="9" scale="92" fitToHeight="3" orientation="portrait" r:id="rId1"/>
  <headerFooter alignWithMargins="0"/>
  <rowBreaks count="1" manualBreakCount="1">
    <brk id="57" max="3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FFFF"/>
  </sheetPr>
  <dimension ref="A1:BZ147"/>
  <sheetViews>
    <sheetView view="pageBreakPreview" topLeftCell="A46" zoomScale="120" zoomScaleNormal="100" zoomScaleSheetLayoutView="120" zoomScalePageLayoutView="115" workbookViewId="0">
      <selection activeCell="BC97" sqref="BC97:BQ97"/>
    </sheetView>
  </sheetViews>
  <sheetFormatPr defaultColWidth="9.140625" defaultRowHeight="15" outlineLevelRow="1" x14ac:dyDescent="0.25"/>
  <cols>
    <col min="1" max="34" width="1.140625" style="1" customWidth="1"/>
    <col min="35" max="35" width="4.140625" style="1" customWidth="1"/>
    <col min="36" max="78" width="1.140625" style="1" customWidth="1"/>
    <col min="79" max="80" width="9.140625" style="1" customWidth="1"/>
    <col min="81" max="16384" width="9.140625" style="1"/>
  </cols>
  <sheetData>
    <row r="1" spans="1:78" s="2" customFormat="1" ht="5.2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78" s="2" customFormat="1" ht="12.75" x14ac:dyDescent="0.2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</row>
    <row r="3" spans="1:78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78" s="2" customFormat="1" ht="6.75" customHeight="1" x14ac:dyDescent="0.2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</row>
    <row r="5" spans="1:78" s="2" customFormat="1" ht="7.9" customHeight="1" x14ac:dyDescent="0.2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</row>
    <row r="6" spans="1:78" s="5" customFormat="1" ht="8.25" x14ac:dyDescent="0.1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</row>
    <row r="7" spans="1:78" s="2" customFormat="1" ht="8.2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 t="str">
        <f>IF('Данные объект'!B3="","",'Данные объект'!B3)</f>
      </c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</row>
    <row r="8" spans="1:78" s="2" customFormat="1" ht="8.2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</row>
    <row r="9" spans="1:78" s="2" customFormat="1" ht="10.5" customHeight="1" x14ac:dyDescent="0.2">
      <c r="A9" s="844" t="str">
        <f>IF('Данные объект'!B11="","",'Данные объект'!B11)</f>
      </c>
      <c r="B9" s="844"/>
      <c r="C9" s="844"/>
      <c r="D9" s="844"/>
      <c r="E9" s="844"/>
      <c r="F9" s="844"/>
      <c r="G9" s="844"/>
      <c r="H9" s="844"/>
      <c r="I9" s="844"/>
      <c r="J9" s="844"/>
      <c r="K9" s="844"/>
      <c r="L9" s="844"/>
      <c r="M9" s="844"/>
      <c r="N9" s="844"/>
      <c r="O9" s="844"/>
      <c r="P9" s="844"/>
      <c r="Q9" s="844"/>
      <c r="R9" s="844"/>
      <c r="S9" s="844"/>
      <c r="T9" s="844"/>
      <c r="U9" s="844"/>
      <c r="V9" s="844"/>
      <c r="W9" s="844"/>
      <c r="X9" s="844"/>
      <c r="Y9" s="844"/>
      <c r="Z9" s="844"/>
      <c r="AA9" s="844"/>
      <c r="AB9" s="844"/>
      <c r="AC9" s="844"/>
      <c r="AD9" s="844"/>
      <c r="AE9" s="844"/>
      <c r="AF9" s="844"/>
      <c r="AG9" s="844"/>
      <c r="AH9" s="844"/>
      <c r="AI9" s="844"/>
      <c r="AR9" s="836"/>
      <c r="AS9" s="836"/>
      <c r="AT9" s="836"/>
      <c r="AU9" s="836"/>
      <c r="AV9" s="836"/>
      <c r="AW9" s="836"/>
      <c r="AX9" s="836"/>
      <c r="AY9" s="836"/>
      <c r="AZ9" s="836"/>
      <c r="BA9" s="836"/>
      <c r="BB9" s="836"/>
      <c r="BC9" s="836"/>
      <c r="BD9" s="836"/>
      <c r="BE9" s="836"/>
      <c r="BF9" s="836"/>
      <c r="BG9" s="836"/>
      <c r="BH9" s="836"/>
      <c r="BI9" s="836"/>
      <c r="BJ9" s="836"/>
      <c r="BK9" s="836"/>
      <c r="BL9" s="836"/>
      <c r="BM9" s="836"/>
      <c r="BN9" s="836"/>
      <c r="BO9" s="836"/>
      <c r="BP9" s="836"/>
      <c r="BQ9" s="836"/>
      <c r="BR9" s="836"/>
      <c r="BS9" s="836"/>
      <c r="BT9" s="836"/>
      <c r="BU9" s="836"/>
      <c r="BV9" s="836"/>
      <c r="BW9" s="836"/>
      <c r="BX9" s="836"/>
      <c r="BY9" s="836"/>
      <c r="BZ9" s="836"/>
    </row>
    <row r="10" spans="1:78" s="2" customFormat="1" ht="22.5" customHeight="1" x14ac:dyDescent="0.2">
      <c r="A10" s="837"/>
      <c r="B10" s="837"/>
      <c r="C10" s="837"/>
      <c r="D10" s="837"/>
      <c r="E10" s="837"/>
      <c r="F10" s="837"/>
      <c r="G10" s="837"/>
      <c r="H10" s="837"/>
      <c r="I10" s="837"/>
      <c r="J10" s="837"/>
      <c r="K10" s="837"/>
      <c r="L10" s="837"/>
      <c r="M10" s="837"/>
      <c r="N10" s="837"/>
      <c r="O10" s="837"/>
      <c r="P10" s="837"/>
      <c r="Q10" s="837"/>
      <c r="R10" s="837"/>
      <c r="S10" s="837"/>
      <c r="T10" s="837"/>
      <c r="U10" s="837"/>
      <c r="V10" s="837"/>
      <c r="W10" s="837"/>
      <c r="X10" s="837"/>
      <c r="Y10" s="837"/>
      <c r="Z10" s="837"/>
      <c r="AA10" s="837"/>
      <c r="AB10" s="837"/>
      <c r="AC10" s="837"/>
      <c r="AD10" s="837"/>
      <c r="AE10" s="837"/>
      <c r="AF10" s="837"/>
      <c r="AG10" s="837"/>
      <c r="AH10" s="837"/>
      <c r="AI10" s="837"/>
      <c r="AR10" s="837"/>
      <c r="AS10" s="837"/>
      <c r="AT10" s="837"/>
      <c r="AU10" s="837"/>
      <c r="AV10" s="837"/>
      <c r="AW10" s="837"/>
      <c r="AX10" s="837"/>
      <c r="AY10" s="837"/>
      <c r="AZ10" s="837"/>
      <c r="BA10" s="837"/>
      <c r="BB10" s="837"/>
      <c r="BC10" s="837"/>
      <c r="BD10" s="837"/>
      <c r="BE10" s="837"/>
      <c r="BF10" s="837"/>
      <c r="BG10" s="837"/>
      <c r="BH10" s="837"/>
      <c r="BI10" s="837"/>
      <c r="BJ10" s="837"/>
      <c r="BK10" s="837"/>
      <c r="BL10" s="837"/>
      <c r="BM10" s="837"/>
      <c r="BN10" s="837"/>
      <c r="BO10" s="837"/>
      <c r="BP10" s="837"/>
      <c r="BQ10" s="837"/>
      <c r="BR10" s="837"/>
      <c r="BS10" s="837"/>
      <c r="BT10" s="837"/>
      <c r="BU10" s="837"/>
      <c r="BV10" s="837"/>
      <c r="BW10" s="837"/>
      <c r="BX10" s="837"/>
      <c r="BY10" s="837"/>
      <c r="BZ10" s="837"/>
    </row>
    <row r="11" spans="1:78" s="5" customFormat="1" ht="8.25" x14ac:dyDescent="0.15">
      <c r="A11" s="838" t="s">
        <v>24</v>
      </c>
      <c r="B11" s="838"/>
      <c r="C11" s="838"/>
      <c r="D11" s="838"/>
      <c r="E11" s="838"/>
      <c r="F11" s="838"/>
      <c r="G11" s="838"/>
      <c r="H11" s="838"/>
      <c r="I11" s="838"/>
      <c r="J11" s="838"/>
      <c r="K11" s="838"/>
      <c r="L11" s="838"/>
      <c r="M11" s="838"/>
      <c r="N11" s="838"/>
      <c r="O11" s="838"/>
      <c r="P11" s="838"/>
      <c r="Q11" s="838"/>
      <c r="R11" s="838"/>
      <c r="S11" s="838"/>
      <c r="T11" s="838"/>
      <c r="U11" s="838"/>
      <c r="V11" s="838"/>
      <c r="W11" s="838"/>
      <c r="X11" s="838"/>
      <c r="Y11" s="838"/>
      <c r="Z11" s="838"/>
      <c r="AA11" s="838"/>
      <c r="AB11" s="838"/>
      <c r="AC11" s="838"/>
      <c r="AD11" s="838"/>
      <c r="AE11" s="838"/>
      <c r="AF11" s="838"/>
      <c r="AG11" s="838"/>
      <c r="AH11" s="838"/>
      <c r="AI11" s="838"/>
      <c r="AR11" s="838" t="s">
        <v>24</v>
      </c>
      <c r="AS11" s="838"/>
      <c r="AT11" s="838"/>
      <c r="AU11" s="838"/>
      <c r="AV11" s="838"/>
      <c r="AW11" s="838"/>
      <c r="AX11" s="838"/>
      <c r="AY11" s="838"/>
      <c r="AZ11" s="838"/>
      <c r="BA11" s="838"/>
      <c r="BB11" s="838"/>
      <c r="BC11" s="838"/>
      <c r="BD11" s="838"/>
      <c r="BE11" s="838"/>
      <c r="BF11" s="838"/>
      <c r="BG11" s="838"/>
      <c r="BH11" s="838"/>
      <c r="BI11" s="838"/>
      <c r="BJ11" s="838"/>
      <c r="BK11" s="838"/>
      <c r="BL11" s="838"/>
      <c r="BM11" s="838"/>
      <c r="BN11" s="838"/>
      <c r="BO11" s="838"/>
      <c r="BP11" s="838"/>
      <c r="BQ11" s="838"/>
      <c r="BR11" s="838"/>
      <c r="BS11" s="838"/>
      <c r="BT11" s="838"/>
      <c r="BU11" s="838"/>
      <c r="BV11" s="838"/>
      <c r="BW11" s="838"/>
      <c r="BX11" s="838"/>
      <c r="BY11" s="838"/>
      <c r="BZ11" s="838"/>
    </row>
    <row r="12" spans="1:78" s="2" customFormat="1" ht="17.45" customHeight="1" x14ac:dyDescent="0.2">
      <c r="A12" s="839"/>
      <c r="B12" s="839"/>
      <c r="C12" s="839"/>
      <c r="D12" s="839"/>
      <c r="E12" s="839"/>
      <c r="F12" s="839"/>
      <c r="G12" s="839"/>
      <c r="H12" s="839"/>
      <c r="I12" s="839"/>
      <c r="J12" s="839"/>
      <c r="K12" s="839"/>
      <c r="L12" s="839"/>
      <c r="M12" s="839"/>
      <c r="N12" s="839"/>
      <c r="O12" s="839"/>
      <c r="P12" s="839"/>
      <c r="Q12" s="839"/>
      <c r="R12" s="839"/>
      <c r="S12" s="839"/>
      <c r="T12" s="839"/>
      <c r="U12" s="839"/>
      <c r="V12" s="839"/>
      <c r="W12" s="839"/>
      <c r="X12" s="839"/>
      <c r="Y12" s="839"/>
      <c r="Z12" s="839"/>
      <c r="AA12" s="839"/>
      <c r="AB12" s="839"/>
      <c r="AC12" s="839"/>
      <c r="AD12" s="839"/>
      <c r="AE12" s="839"/>
      <c r="AF12" s="839"/>
      <c r="AG12" s="839"/>
      <c r="AH12" s="839"/>
      <c r="AI12" s="839"/>
      <c r="AR12" s="842" t="str">
        <f>IF('Данные объект'!B8="","",'Данные объект'!B8)</f>
      </c>
      <c r="AS12" s="842"/>
      <c r="AT12" s="842"/>
      <c r="AU12" s="842"/>
      <c r="AV12" s="842"/>
      <c r="AW12" s="842"/>
      <c r="AX12" s="842"/>
      <c r="AY12" s="842"/>
      <c r="AZ12" s="842"/>
      <c r="BA12" s="842"/>
      <c r="BB12" s="842"/>
      <c r="BC12" s="842"/>
      <c r="BD12" s="842"/>
      <c r="BE12" s="842"/>
      <c r="BF12" s="842"/>
      <c r="BG12" s="842"/>
      <c r="BH12" s="842"/>
      <c r="BI12" s="842"/>
      <c r="BJ12" s="842"/>
      <c r="BK12" s="842"/>
      <c r="BL12" s="842"/>
      <c r="BM12" s="842"/>
      <c r="BN12" s="842"/>
      <c r="BO12" s="842"/>
      <c r="BP12" s="842"/>
      <c r="BQ12" s="842"/>
      <c r="BR12" s="842"/>
      <c r="BS12" s="842"/>
      <c r="BT12" s="842"/>
      <c r="BU12" s="842"/>
      <c r="BV12" s="842"/>
      <c r="BW12" s="842"/>
      <c r="BX12" s="842"/>
      <c r="BY12" s="842"/>
      <c r="BZ12" s="842"/>
    </row>
    <row r="13" spans="1:78" s="5" customFormat="1" ht="10.9" customHeight="1" x14ac:dyDescent="0.15">
      <c r="A13" s="838"/>
      <c r="B13" s="838"/>
      <c r="C13" s="838"/>
      <c r="D13" s="838"/>
      <c r="E13" s="838"/>
      <c r="F13" s="838"/>
      <c r="G13" s="838"/>
      <c r="H13" s="838"/>
      <c r="I13" s="838"/>
      <c r="J13" s="838"/>
      <c r="K13" s="838"/>
      <c r="L13" s="838"/>
      <c r="M13" s="838"/>
      <c r="N13" s="838"/>
      <c r="O13" s="838"/>
      <c r="P13" s="838"/>
      <c r="Q13" s="838"/>
      <c r="R13" s="838"/>
      <c r="S13" s="838"/>
      <c r="T13" s="838"/>
      <c r="U13" s="838"/>
      <c r="V13" s="838"/>
      <c r="W13" s="838"/>
      <c r="X13" s="838"/>
      <c r="Y13" s="838"/>
      <c r="Z13" s="838"/>
      <c r="AA13" s="838"/>
      <c r="AB13" s="838"/>
      <c r="AC13" s="838"/>
      <c r="AD13" s="838"/>
      <c r="AE13" s="838"/>
      <c r="AF13" s="838"/>
      <c r="AG13" s="838"/>
      <c r="AH13" s="838"/>
      <c r="AI13" s="838"/>
      <c r="AR13" s="843" t="s">
        <v>1345</v>
      </c>
      <c r="AS13" s="843"/>
      <c r="AT13" s="843"/>
      <c r="AU13" s="843"/>
      <c r="AV13" s="843"/>
      <c r="AW13" s="843"/>
      <c r="AX13" s="843"/>
      <c r="AY13" s="843"/>
      <c r="AZ13" s="843"/>
      <c r="BA13" s="843"/>
      <c r="BB13" s="843"/>
      <c r="BC13" s="843"/>
      <c r="BD13" s="843"/>
      <c r="BE13" s="843"/>
      <c r="BF13" s="843"/>
      <c r="BG13" s="843"/>
      <c r="BH13" s="843"/>
      <c r="BI13" s="843"/>
      <c r="BJ13" s="843"/>
      <c r="BK13" s="843"/>
      <c r="BL13" s="843"/>
      <c r="BM13" s="843"/>
      <c r="BN13" s="843"/>
      <c r="BO13" s="843"/>
      <c r="BP13" s="843"/>
      <c r="BQ13" s="843"/>
      <c r="BR13" s="843"/>
      <c r="BS13" s="843"/>
      <c r="BT13" s="843"/>
      <c r="BU13" s="843"/>
      <c r="BV13" s="843"/>
      <c r="BW13" s="843"/>
      <c r="BX13" s="843"/>
      <c r="BY13" s="843"/>
      <c r="BZ13" s="843"/>
    </row>
    <row r="14" spans="1:78" s="2" customFormat="1" ht="6.75" customHeight="1" x14ac:dyDescent="0.2"/>
    <row r="15" spans="1:78" x14ac:dyDescent="0.25">
      <c r="A15" s="851" t="s">
        <v>26</v>
      </c>
      <c r="B15" s="851"/>
      <c r="C15" s="851"/>
      <c r="D15" s="851"/>
      <c r="E15" s="851"/>
      <c r="F15" s="851"/>
      <c r="G15" s="851"/>
      <c r="H15" s="851"/>
      <c r="I15" s="851"/>
      <c r="J15" s="851"/>
      <c r="K15" s="851"/>
      <c r="L15" s="851"/>
      <c r="M15" s="851"/>
      <c r="N15" s="851"/>
      <c r="O15" s="851"/>
      <c r="P15" s="851"/>
      <c r="Q15" s="851"/>
      <c r="R15" s="851"/>
      <c r="S15" s="851"/>
      <c r="T15" s="851"/>
      <c r="U15" s="851"/>
      <c r="V15" s="851"/>
      <c r="W15" s="851"/>
      <c r="X15" s="851"/>
      <c r="Y15" s="851"/>
      <c r="Z15" s="851"/>
      <c r="AA15" s="851"/>
      <c r="AB15" s="851"/>
      <c r="AC15" s="851"/>
      <c r="AD15" s="851"/>
      <c r="AE15" s="851"/>
      <c r="AF15" s="851"/>
      <c r="AG15" s="851"/>
      <c r="AH15" s="851"/>
      <c r="AI15" s="851"/>
      <c r="AJ15" s="851"/>
      <c r="AK15" s="851"/>
      <c r="AL15" s="851"/>
      <c r="AM15" s="851"/>
      <c r="AN15" s="851"/>
      <c r="AO15" s="851"/>
      <c r="AP15" s="851"/>
      <c r="AQ15" s="851"/>
      <c r="AR15" s="851"/>
      <c r="AS15" s="851"/>
      <c r="AT15" s="851"/>
      <c r="AU15" s="851"/>
      <c r="AV15" s="851"/>
      <c r="AW15" s="851"/>
      <c r="AX15" s="851"/>
      <c r="AY15" s="851"/>
      <c r="AZ15" s="851"/>
      <c r="BA15" s="851"/>
      <c r="BB15" s="851"/>
      <c r="BC15" s="851"/>
      <c r="BD15" s="851"/>
      <c r="BE15" s="851"/>
      <c r="BF15" s="851"/>
      <c r="BG15" s="851"/>
      <c r="BH15" s="851"/>
      <c r="BI15" s="851"/>
      <c r="BJ15" s="851"/>
      <c r="BK15" s="851"/>
      <c r="BL15" s="851"/>
      <c r="BM15" s="851"/>
      <c r="BN15" s="851"/>
      <c r="BO15" s="851"/>
      <c r="BP15" s="851"/>
      <c r="BQ15" s="851"/>
      <c r="BR15" s="851"/>
      <c r="BS15" s="851"/>
      <c r="BT15" s="851"/>
      <c r="BU15" s="851"/>
      <c r="BV15" s="851"/>
      <c r="BW15" s="851"/>
      <c r="BX15" s="851"/>
      <c r="BY15" s="851"/>
      <c r="BZ15" s="851"/>
    </row>
    <row r="16" spans="1:78" s="2" customFormat="1" ht="4.9000000000000004" customHeight="1" x14ac:dyDescent="0.2"/>
    <row r="17" spans="1:78" s="2" customFormat="1" ht="12.75" x14ac:dyDescent="0.2">
      <c r="A17" s="57" t="s">
        <v>27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</row>
    <row r="18" spans="1:78" s="2" customFormat="1" ht="12.75" x14ac:dyDescent="0.2">
      <c r="A18" s="11" t="s">
        <v>1186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</row>
    <row r="19" spans="1:78" s="2" customFormat="1" ht="13.15" hidden="1" customHeight="1" x14ac:dyDescent="0.2">
      <c r="A19" s="825" t="str">
        <f>IF(AND('Данные объект'!B36="",'Данные объект'!B33="",'Данные объект'!B37=""),"",CONCATENATE(IF('Данные объект'!B36="","",'Данные объект'!B36),", ",IF('Данные объект'!B33="","",'Данные объект'!B33)," - ",IF('Данные объект'!B37="","",'Данные объект'!B37)))</f>
      </c>
      <c r="B19" s="825"/>
      <c r="C19" s="825"/>
      <c r="D19" s="825"/>
      <c r="E19" s="825"/>
      <c r="F19" s="825"/>
      <c r="G19" s="825"/>
      <c r="H19" s="825"/>
      <c r="I19" s="825"/>
      <c r="J19" s="825"/>
      <c r="K19" s="825"/>
      <c r="L19" s="825"/>
      <c r="M19" s="825"/>
      <c r="N19" s="825"/>
      <c r="O19" s="825"/>
      <c r="P19" s="825"/>
      <c r="Q19" s="825"/>
      <c r="R19" s="825"/>
      <c r="S19" s="825"/>
      <c r="T19" s="825"/>
      <c r="U19" s="825"/>
      <c r="V19" s="825"/>
      <c r="W19" s="825"/>
      <c r="X19" s="825"/>
      <c r="Y19" s="825"/>
      <c r="Z19" s="825"/>
      <c r="AA19" s="825"/>
      <c r="AB19" s="825"/>
      <c r="AC19" s="825"/>
      <c r="AD19" s="825"/>
      <c r="AE19" s="825"/>
      <c r="AF19" s="825"/>
      <c r="AG19" s="825"/>
      <c r="AH19" s="825"/>
      <c r="AI19" s="825"/>
      <c r="AJ19" s="825"/>
      <c r="AK19" s="825"/>
      <c r="AL19" s="825"/>
      <c r="AM19" s="825"/>
      <c r="AN19" s="825"/>
      <c r="AO19" s="825"/>
      <c r="AP19" s="825"/>
      <c r="AQ19" s="825"/>
      <c r="AR19" s="825"/>
      <c r="AS19" s="825"/>
      <c r="AT19" s="825"/>
      <c r="AU19" s="825"/>
      <c r="AV19" s="825"/>
      <c r="AW19" s="825"/>
      <c r="AX19" s="825"/>
      <c r="AY19" s="825"/>
      <c r="AZ19" s="825"/>
      <c r="BA19" s="825"/>
      <c r="BB19" s="825"/>
      <c r="BC19" s="825"/>
      <c r="BD19" s="825"/>
      <c r="BE19" s="825"/>
      <c r="BF19" s="825"/>
      <c r="BG19" s="825"/>
      <c r="BH19" s="825"/>
      <c r="BI19" s="825"/>
      <c r="BJ19" s="825"/>
      <c r="BK19" s="825"/>
      <c r="BL19" s="825"/>
      <c r="BM19" s="825"/>
      <c r="BN19" s="825"/>
      <c r="BO19" s="825"/>
      <c r="BP19" s="825"/>
      <c r="BQ19" s="825"/>
      <c r="BR19" s="825"/>
      <c r="BS19" s="825"/>
      <c r="BT19" s="825"/>
      <c r="BU19" s="825"/>
      <c r="BV19" s="825"/>
      <c r="BW19" s="825"/>
      <c r="BX19" s="825"/>
      <c r="BY19" s="825"/>
      <c r="BZ19" s="825"/>
    </row>
    <row r="20" spans="1:78" s="6" customFormat="1" ht="11.25" hidden="1" x14ac:dyDescent="0.25">
      <c r="A20" s="832" t="s">
        <v>31</v>
      </c>
      <c r="B20" s="832"/>
      <c r="C20" s="832"/>
      <c r="D20" s="832"/>
      <c r="E20" s="832"/>
      <c r="F20" s="832"/>
      <c r="G20" s="832"/>
      <c r="H20" s="832"/>
      <c r="I20" s="832"/>
      <c r="J20" s="832"/>
      <c r="K20" s="832"/>
      <c r="L20" s="832"/>
      <c r="M20" s="832"/>
      <c r="N20" s="832"/>
      <c r="O20" s="832"/>
      <c r="P20" s="832"/>
      <c r="Q20" s="832"/>
      <c r="R20" s="832"/>
      <c r="S20" s="832"/>
      <c r="T20" s="832"/>
      <c r="U20" s="832"/>
      <c r="V20" s="832"/>
      <c r="W20" s="832"/>
      <c r="X20" s="832"/>
      <c r="Y20" s="832"/>
      <c r="Z20" s="832"/>
      <c r="AA20" s="832"/>
      <c r="AB20" s="832"/>
      <c r="AC20" s="832"/>
      <c r="AD20" s="832"/>
      <c r="AE20" s="832"/>
      <c r="AF20" s="832"/>
      <c r="AG20" s="832"/>
      <c r="AH20" s="832"/>
      <c r="AI20" s="832"/>
      <c r="AJ20" s="832"/>
      <c r="AK20" s="832"/>
      <c r="AL20" s="832"/>
      <c r="AM20" s="832"/>
      <c r="AN20" s="832"/>
      <c r="AO20" s="832"/>
      <c r="AP20" s="832"/>
      <c r="AQ20" s="832"/>
      <c r="AR20" s="832"/>
      <c r="AS20" s="832"/>
      <c r="AT20" s="832"/>
      <c r="AU20" s="832"/>
      <c r="AV20" s="832"/>
      <c r="AW20" s="832"/>
      <c r="AX20" s="832"/>
      <c r="AY20" s="832"/>
      <c r="AZ20" s="832"/>
      <c r="BA20" s="832"/>
      <c r="BB20" s="832"/>
      <c r="BC20" s="832"/>
      <c r="BD20" s="832"/>
      <c r="BE20" s="832"/>
      <c r="BF20" s="832"/>
      <c r="BG20" s="832"/>
      <c r="BH20" s="832"/>
      <c r="BI20" s="832"/>
      <c r="BJ20" s="832"/>
      <c r="BK20" s="832"/>
      <c r="BL20" s="832"/>
      <c r="BM20" s="832"/>
      <c r="BN20" s="832"/>
      <c r="BO20" s="832"/>
      <c r="BP20" s="832"/>
      <c r="BQ20" s="832"/>
      <c r="BR20" s="832"/>
      <c r="BS20" s="832"/>
      <c r="BT20" s="832"/>
      <c r="BU20" s="832"/>
      <c r="BV20" s="832"/>
      <c r="BW20" s="832"/>
      <c r="BX20" s="832"/>
      <c r="BY20" s="832"/>
      <c r="BZ20" s="832"/>
    </row>
    <row r="21" spans="1:78" s="2" customFormat="1" ht="12.75" x14ac:dyDescent="0.2">
      <c r="A21" s="825" t="str">
        <f>IF('Данные объект'!C37="","",'Данные объект'!C37)</f>
      </c>
      <c r="B21" s="825"/>
      <c r="C21" s="825"/>
      <c r="D21" s="825"/>
      <c r="E21" s="825"/>
      <c r="F21" s="825"/>
      <c r="G21" s="825"/>
      <c r="H21" s="825"/>
      <c r="I21" s="825"/>
      <c r="J21" s="825"/>
      <c r="K21" s="825"/>
      <c r="L21" s="825"/>
      <c r="M21" s="825"/>
      <c r="N21" s="825"/>
      <c r="O21" s="825"/>
      <c r="P21" s="825"/>
      <c r="Q21" s="825"/>
      <c r="R21" s="825"/>
      <c r="S21" s="825"/>
      <c r="T21" s="825"/>
      <c r="U21" s="825"/>
      <c r="V21" s="825"/>
      <c r="W21" s="825"/>
      <c r="X21" s="825"/>
      <c r="Y21" s="825"/>
      <c r="Z21" s="825"/>
      <c r="AA21" s="825"/>
      <c r="AB21" s="825"/>
      <c r="AC21" s="825"/>
      <c r="AD21" s="825"/>
      <c r="AE21" s="825"/>
      <c r="AF21" s="825"/>
      <c r="AG21" s="825"/>
      <c r="AH21" s="825"/>
      <c r="AI21" s="825"/>
      <c r="AJ21" s="825"/>
      <c r="AK21" s="825"/>
      <c r="AL21" s="825"/>
      <c r="AM21" s="825"/>
      <c r="AN21" s="825"/>
      <c r="AO21" s="825"/>
      <c r="AP21" s="825"/>
      <c r="AQ21" s="825"/>
      <c r="AR21" s="825"/>
      <c r="AS21" s="825"/>
      <c r="AT21" s="825"/>
      <c r="AU21" s="825"/>
      <c r="AV21" s="82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</row>
    <row r="22" spans="1:78" s="6" customFormat="1" ht="6" customHeight="1" x14ac:dyDescent="0.25">
      <c r="A22" s="824" t="s">
        <v>31</v>
      </c>
      <c r="B22" s="824"/>
      <c r="C22" s="824"/>
      <c r="D22" s="824"/>
      <c r="E22" s="824"/>
      <c r="F22" s="824"/>
      <c r="G22" s="824"/>
      <c r="H22" s="824"/>
      <c r="I22" s="824"/>
      <c r="J22" s="824"/>
      <c r="K22" s="824"/>
      <c r="L22" s="824"/>
      <c r="M22" s="824"/>
      <c r="N22" s="824"/>
      <c r="O22" s="824"/>
      <c r="P22" s="824"/>
      <c r="Q22" s="824"/>
      <c r="R22" s="824"/>
      <c r="S22" s="824"/>
      <c r="T22" s="824"/>
      <c r="U22" s="824"/>
      <c r="V22" s="824"/>
      <c r="W22" s="824"/>
      <c r="X22" s="824"/>
      <c r="Y22" s="824"/>
      <c r="Z22" s="824"/>
      <c r="AA22" s="824"/>
      <c r="AB22" s="824"/>
      <c r="AC22" s="824"/>
      <c r="AD22" s="824"/>
      <c r="AE22" s="824"/>
      <c r="AF22" s="824"/>
      <c r="AG22" s="824"/>
      <c r="AH22" s="824"/>
      <c r="AI22" s="824"/>
      <c r="AJ22" s="824"/>
      <c r="AK22" s="824"/>
      <c r="AL22" s="824"/>
      <c r="AM22" s="824"/>
      <c r="AN22" s="824"/>
      <c r="AO22" s="824"/>
      <c r="AP22" s="824"/>
      <c r="AQ22" s="824"/>
      <c r="AR22" s="824"/>
      <c r="AS22" s="824"/>
      <c r="AT22" s="824"/>
      <c r="AU22" s="824"/>
      <c r="AV22" s="824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</row>
    <row r="23" spans="1:78" s="2" customFormat="1" ht="13.15" hidden="1" customHeight="1" x14ac:dyDescent="0.2">
      <c r="A23" s="2" t="s">
        <v>29</v>
      </c>
    </row>
    <row r="24" spans="1:78" s="2" customFormat="1" ht="24" hidden="1" customHeight="1" outlineLevel="1" x14ac:dyDescent="0.2">
      <c r="A24" s="825" t="str">
        <f>IF('Данные объект'!C39="","",'Данные объект'!C39)</f>
      </c>
      <c r="B24" s="825"/>
      <c r="C24" s="825"/>
      <c r="D24" s="825"/>
      <c r="E24" s="825"/>
      <c r="F24" s="825"/>
      <c r="G24" s="825"/>
      <c r="H24" s="825"/>
      <c r="I24" s="825"/>
      <c r="J24" s="825"/>
      <c r="K24" s="825"/>
      <c r="L24" s="825"/>
      <c r="M24" s="825"/>
      <c r="N24" s="825"/>
      <c r="O24" s="825"/>
      <c r="P24" s="825"/>
      <c r="Q24" s="825"/>
      <c r="R24" s="825"/>
      <c r="S24" s="825"/>
      <c r="T24" s="825"/>
      <c r="U24" s="825"/>
      <c r="V24" s="825"/>
      <c r="W24" s="825"/>
      <c r="X24" s="825"/>
      <c r="Y24" s="825"/>
      <c r="Z24" s="825"/>
      <c r="AA24" s="825"/>
      <c r="AB24" s="825"/>
      <c r="AC24" s="825"/>
      <c r="AD24" s="825"/>
      <c r="AE24" s="825"/>
      <c r="AF24" s="825"/>
      <c r="AG24" s="825"/>
      <c r="AH24" s="825"/>
      <c r="AI24" s="825"/>
      <c r="AJ24" s="825"/>
      <c r="AK24" s="825"/>
      <c r="AL24" s="825"/>
      <c r="AM24" s="825"/>
      <c r="AN24" s="825"/>
      <c r="AO24" s="825"/>
      <c r="AP24" s="825"/>
      <c r="AQ24" s="825"/>
      <c r="AR24" s="825"/>
      <c r="AS24" s="825"/>
      <c r="AT24" s="825"/>
      <c r="AU24" s="825"/>
      <c r="AV24" s="82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</row>
    <row r="25" spans="1:78" s="2" customFormat="1" ht="7.15" hidden="1" customHeight="1" outlineLevel="1" x14ac:dyDescent="0.2">
      <c r="A25" s="824" t="s">
        <v>31</v>
      </c>
      <c r="B25" s="824"/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  <c r="R25" s="824"/>
      <c r="S25" s="824"/>
      <c r="T25" s="824"/>
      <c r="U25" s="824"/>
      <c r="V25" s="824"/>
      <c r="W25" s="824"/>
      <c r="X25" s="824"/>
      <c r="Y25" s="824"/>
      <c r="Z25" s="824"/>
      <c r="AA25" s="824"/>
      <c r="AB25" s="824"/>
      <c r="AC25" s="824"/>
      <c r="AD25" s="824"/>
      <c r="AE25" s="824"/>
      <c r="AF25" s="824"/>
      <c r="AG25" s="824"/>
      <c r="AH25" s="824"/>
      <c r="AI25" s="824"/>
      <c r="AJ25" s="824"/>
      <c r="AK25" s="824"/>
      <c r="AL25" s="824"/>
      <c r="AM25" s="824"/>
      <c r="AN25" s="824"/>
      <c r="AO25" s="824"/>
      <c r="AP25" s="824"/>
      <c r="AQ25" s="824"/>
      <c r="AR25" s="824"/>
      <c r="AS25" s="824"/>
      <c r="AT25" s="824"/>
      <c r="AU25" s="824"/>
      <c r="AV25" s="824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</row>
    <row r="26" spans="1:78" s="2" customFormat="1" ht="22.15" hidden="1" customHeight="1" outlineLevel="1" x14ac:dyDescent="0.2">
      <c r="A26" s="825">
        <f>IF('Данные объект'!C41="","",'Данные объект'!C41)</f>
      </c>
      <c r="B26" s="825"/>
      <c r="C26" s="825"/>
      <c r="D26" s="825"/>
      <c r="E26" s="825"/>
      <c r="F26" s="825"/>
      <c r="G26" s="825"/>
      <c r="H26" s="825"/>
      <c r="I26" s="825"/>
      <c r="J26" s="825"/>
      <c r="K26" s="825"/>
      <c r="L26" s="825"/>
      <c r="M26" s="825"/>
      <c r="N26" s="825"/>
      <c r="O26" s="825"/>
      <c r="P26" s="825"/>
      <c r="Q26" s="825"/>
      <c r="R26" s="825"/>
      <c r="S26" s="825"/>
      <c r="T26" s="825"/>
      <c r="U26" s="825"/>
      <c r="V26" s="825"/>
      <c r="W26" s="825"/>
      <c r="X26" s="825"/>
      <c r="Y26" s="825"/>
      <c r="Z26" s="825"/>
      <c r="AA26" s="825"/>
      <c r="AB26" s="825"/>
      <c r="AC26" s="825"/>
      <c r="AD26" s="825"/>
      <c r="AE26" s="825"/>
      <c r="AF26" s="825"/>
      <c r="AG26" s="825"/>
      <c r="AH26" s="825"/>
      <c r="AI26" s="825"/>
      <c r="AJ26" s="825"/>
      <c r="AK26" s="825"/>
      <c r="AL26" s="825"/>
      <c r="AM26" s="825"/>
      <c r="AN26" s="825"/>
      <c r="AO26" s="825"/>
      <c r="AP26" s="825"/>
      <c r="AQ26" s="825"/>
      <c r="AR26" s="825"/>
      <c r="AS26" s="825"/>
      <c r="AT26" s="825"/>
      <c r="AU26" s="825"/>
      <c r="AV26" s="82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</row>
    <row r="27" spans="1:78" s="6" customFormat="1" ht="6" hidden="1" customHeight="1" outlineLevel="1" x14ac:dyDescent="0.25">
      <c r="A27" s="824" t="s">
        <v>31</v>
      </c>
      <c r="B27" s="824"/>
      <c r="C27" s="824"/>
      <c r="D27" s="824"/>
      <c r="E27" s="824"/>
      <c r="F27" s="824"/>
      <c r="G27" s="824"/>
      <c r="H27" s="824"/>
      <c r="I27" s="824"/>
      <c r="J27" s="824"/>
      <c r="K27" s="824"/>
      <c r="L27" s="824"/>
      <c r="M27" s="824"/>
      <c r="N27" s="824"/>
      <c r="O27" s="824"/>
      <c r="P27" s="824"/>
      <c r="Q27" s="824"/>
      <c r="R27" s="824"/>
      <c r="S27" s="824"/>
      <c r="T27" s="824"/>
      <c r="U27" s="824"/>
      <c r="V27" s="824"/>
      <c r="W27" s="824"/>
      <c r="X27" s="824"/>
      <c r="Y27" s="824"/>
      <c r="Z27" s="824"/>
      <c r="AA27" s="824"/>
      <c r="AB27" s="824"/>
      <c r="AC27" s="824"/>
      <c r="AD27" s="824"/>
      <c r="AE27" s="824"/>
      <c r="AF27" s="824"/>
      <c r="AG27" s="824"/>
      <c r="AH27" s="824"/>
      <c r="AI27" s="824"/>
      <c r="AJ27" s="824"/>
      <c r="AK27" s="824"/>
      <c r="AL27" s="824"/>
      <c r="AM27" s="824"/>
      <c r="AN27" s="824"/>
      <c r="AO27" s="824"/>
      <c r="AP27" s="824"/>
      <c r="AQ27" s="824"/>
      <c r="AR27" s="824"/>
      <c r="AS27" s="824"/>
      <c r="AT27" s="824"/>
      <c r="AU27" s="824"/>
      <c r="AV27" s="824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</row>
    <row r="28" spans="1:78" s="6" customFormat="1" ht="21" customHeight="1" collapsed="1" x14ac:dyDescent="0.2">
      <c r="A28" s="825" t="str">
        <f>IF('Данные объект'!C42="","",'Данные объект'!C42)</f>
      </c>
      <c r="B28" s="825"/>
      <c r="C28" s="825"/>
      <c r="D28" s="825"/>
      <c r="E28" s="825"/>
      <c r="F28" s="825"/>
      <c r="G28" s="825"/>
      <c r="H28" s="825"/>
      <c r="I28" s="825"/>
      <c r="J28" s="825"/>
      <c r="K28" s="825"/>
      <c r="L28" s="825"/>
      <c r="M28" s="825"/>
      <c r="N28" s="825"/>
      <c r="O28" s="825"/>
      <c r="P28" s="825"/>
      <c r="Q28" s="825"/>
      <c r="R28" s="825"/>
      <c r="S28" s="825"/>
      <c r="T28" s="825"/>
      <c r="U28" s="825"/>
      <c r="V28" s="825"/>
      <c r="W28" s="825"/>
      <c r="X28" s="825"/>
      <c r="Y28" s="825"/>
      <c r="Z28" s="825"/>
      <c r="AA28" s="825"/>
      <c r="AB28" s="825"/>
      <c r="AC28" s="825"/>
      <c r="AD28" s="825"/>
      <c r="AE28" s="825"/>
      <c r="AF28" s="825"/>
      <c r="AG28" s="825"/>
      <c r="AH28" s="825"/>
      <c r="AI28" s="825"/>
      <c r="AJ28" s="825"/>
      <c r="AK28" s="825"/>
      <c r="AL28" s="825"/>
      <c r="AM28" s="825"/>
      <c r="AN28" s="825"/>
      <c r="AO28" s="825"/>
      <c r="AP28" s="825"/>
      <c r="AQ28" s="825"/>
      <c r="AR28" s="825"/>
      <c r="AS28" s="825"/>
      <c r="AT28" s="825"/>
      <c r="AU28" s="825"/>
      <c r="AV28" s="825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</row>
    <row r="29" spans="1:78" s="6" customFormat="1" ht="6.6" customHeight="1" x14ac:dyDescent="0.25">
      <c r="A29" s="824" t="s">
        <v>31</v>
      </c>
      <c r="B29" s="824"/>
      <c r="C29" s="824"/>
      <c r="D29" s="824"/>
      <c r="E29" s="824"/>
      <c r="F29" s="824"/>
      <c r="G29" s="824"/>
      <c r="H29" s="824"/>
      <c r="I29" s="824"/>
      <c r="J29" s="824"/>
      <c r="K29" s="824"/>
      <c r="L29" s="824"/>
      <c r="M29" s="824"/>
      <c r="N29" s="824"/>
      <c r="O29" s="824"/>
      <c r="P29" s="824"/>
      <c r="Q29" s="824"/>
      <c r="R29" s="824"/>
      <c r="S29" s="824"/>
      <c r="T29" s="824"/>
      <c r="U29" s="824"/>
      <c r="V29" s="824"/>
      <c r="W29" s="824"/>
      <c r="X29" s="824"/>
      <c r="Y29" s="824"/>
      <c r="Z29" s="824"/>
      <c r="AA29" s="824"/>
      <c r="AB29" s="824"/>
      <c r="AC29" s="824"/>
      <c r="AD29" s="824"/>
      <c r="AE29" s="824"/>
      <c r="AF29" s="824"/>
      <c r="AG29" s="824"/>
      <c r="AH29" s="824"/>
      <c r="AI29" s="824"/>
      <c r="AJ29" s="824"/>
      <c r="AK29" s="824"/>
      <c r="AL29" s="824"/>
      <c r="AM29" s="824"/>
      <c r="AN29" s="824"/>
      <c r="AO29" s="824"/>
      <c r="AP29" s="824"/>
      <c r="AQ29" s="824"/>
      <c r="AR29" s="824"/>
      <c r="AS29" s="824"/>
      <c r="AT29" s="824"/>
      <c r="AU29" s="824"/>
      <c r="AV29" s="824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</row>
    <row r="30" spans="1:78" s="6" customFormat="1" ht="21" customHeight="1" collapsed="1" x14ac:dyDescent="0.2">
      <c r="A30" s="825" t="str">
        <f>IF('Данные объект'!C45="","",'Данные объект'!C45)</f>
      </c>
      <c r="B30" s="825"/>
      <c r="C30" s="825"/>
      <c r="D30" s="825"/>
      <c r="E30" s="825"/>
      <c r="F30" s="825"/>
      <c r="G30" s="825"/>
      <c r="H30" s="825"/>
      <c r="I30" s="825"/>
      <c r="J30" s="825"/>
      <c r="K30" s="825"/>
      <c r="L30" s="825"/>
      <c r="M30" s="825"/>
      <c r="N30" s="825"/>
      <c r="O30" s="825"/>
      <c r="P30" s="825"/>
      <c r="Q30" s="825"/>
      <c r="R30" s="825"/>
      <c r="S30" s="825"/>
      <c r="T30" s="825"/>
      <c r="U30" s="825"/>
      <c r="V30" s="825"/>
      <c r="W30" s="825"/>
      <c r="X30" s="825"/>
      <c r="Y30" s="825"/>
      <c r="Z30" s="825"/>
      <c r="AA30" s="825"/>
      <c r="AB30" s="825"/>
      <c r="AC30" s="825"/>
      <c r="AD30" s="825"/>
      <c r="AE30" s="825"/>
      <c r="AF30" s="825"/>
      <c r="AG30" s="825"/>
      <c r="AH30" s="825"/>
      <c r="AI30" s="825"/>
      <c r="AJ30" s="825"/>
      <c r="AK30" s="825"/>
      <c r="AL30" s="825"/>
      <c r="AM30" s="825"/>
      <c r="AN30" s="825"/>
      <c r="AO30" s="825"/>
      <c r="AP30" s="825"/>
      <c r="AQ30" s="825"/>
      <c r="AR30" s="825"/>
      <c r="AS30" s="825"/>
      <c r="AT30" s="825"/>
      <c r="AU30" s="825"/>
      <c r="AV30" s="825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</row>
    <row r="31" spans="1:78" s="6" customFormat="1" ht="6.6" customHeight="1" x14ac:dyDescent="0.25">
      <c r="A31" s="824" t="s">
        <v>31</v>
      </c>
      <c r="B31" s="824"/>
      <c r="C31" s="824"/>
      <c r="D31" s="824"/>
      <c r="E31" s="824"/>
      <c r="F31" s="824"/>
      <c r="G31" s="824"/>
      <c r="H31" s="824"/>
      <c r="I31" s="824"/>
      <c r="J31" s="824"/>
      <c r="K31" s="824"/>
      <c r="L31" s="824"/>
      <c r="M31" s="824"/>
      <c r="N31" s="824"/>
      <c r="O31" s="824"/>
      <c r="P31" s="824"/>
      <c r="Q31" s="824"/>
      <c r="R31" s="824"/>
      <c r="S31" s="824"/>
      <c r="T31" s="824"/>
      <c r="U31" s="824"/>
      <c r="V31" s="824"/>
      <c r="W31" s="824"/>
      <c r="X31" s="824"/>
      <c r="Y31" s="824"/>
      <c r="Z31" s="824"/>
      <c r="AA31" s="824"/>
      <c r="AB31" s="824"/>
      <c r="AC31" s="824"/>
      <c r="AD31" s="824"/>
      <c r="AE31" s="824"/>
      <c r="AF31" s="824"/>
      <c r="AG31" s="824"/>
      <c r="AH31" s="824"/>
      <c r="AI31" s="824"/>
      <c r="AJ31" s="824"/>
      <c r="AK31" s="824"/>
      <c r="AL31" s="824"/>
      <c r="AM31" s="824"/>
      <c r="AN31" s="824"/>
      <c r="AO31" s="824"/>
      <c r="AP31" s="824"/>
      <c r="AQ31" s="824"/>
      <c r="AR31" s="824"/>
      <c r="AS31" s="824"/>
      <c r="AT31" s="824"/>
      <c r="AU31" s="824"/>
      <c r="AV31" s="824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</row>
    <row r="32" spans="1:78" s="2" customFormat="1" ht="13.5" customHeight="1" x14ac:dyDescent="0.2">
      <c r="A32" s="11" t="s">
        <v>1187</v>
      </c>
      <c r="T32" s="58"/>
    </row>
    <row r="33" spans="1:78" s="2" customFormat="1" ht="12.75" x14ac:dyDescent="0.2">
      <c r="A33" s="831" t="str">
        <f>IF('Данные объект'!C23="","",'Данные объект'!C23)</f>
      </c>
      <c r="B33" s="831"/>
      <c r="C33" s="831"/>
      <c r="D33" s="831"/>
      <c r="E33" s="831"/>
      <c r="F33" s="831"/>
      <c r="G33" s="831"/>
      <c r="H33" s="831"/>
      <c r="I33" s="831"/>
      <c r="J33" s="831"/>
      <c r="K33" s="831"/>
      <c r="L33" s="831"/>
      <c r="M33" s="831"/>
      <c r="N33" s="831"/>
      <c r="O33" s="831"/>
      <c r="P33" s="831"/>
      <c r="Q33" s="831"/>
      <c r="R33" s="831"/>
      <c r="S33" s="831"/>
      <c r="T33" s="831"/>
      <c r="U33" s="831"/>
      <c r="V33" s="831"/>
      <c r="W33" s="831"/>
      <c r="X33" s="831"/>
      <c r="Y33" s="831"/>
      <c r="Z33" s="831"/>
      <c r="AA33" s="831"/>
      <c r="AB33" s="831"/>
      <c r="AC33" s="831"/>
      <c r="AD33" s="831"/>
      <c r="AE33" s="831"/>
      <c r="AF33" s="831"/>
      <c r="AG33" s="831"/>
      <c r="AH33" s="831"/>
      <c r="AI33" s="831"/>
      <c r="AJ33" s="831"/>
      <c r="AK33" s="831"/>
      <c r="AL33" s="831"/>
      <c r="AM33" s="831"/>
      <c r="AN33" s="831"/>
      <c r="AO33" s="831"/>
      <c r="AP33" s="831"/>
      <c r="AQ33" s="831"/>
      <c r="AR33" s="831"/>
      <c r="AS33" s="831"/>
      <c r="AT33" s="831"/>
      <c r="AU33" s="831"/>
      <c r="AV33" s="831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</row>
    <row r="34" spans="1:78" s="6" customFormat="1" ht="5.45" customHeight="1" x14ac:dyDescent="0.25">
      <c r="A34" s="824" t="s">
        <v>31</v>
      </c>
      <c r="B34" s="824"/>
      <c r="C34" s="824"/>
      <c r="D34" s="824"/>
      <c r="E34" s="824"/>
      <c r="F34" s="824"/>
      <c r="G34" s="824"/>
      <c r="H34" s="824"/>
      <c r="I34" s="824"/>
      <c r="J34" s="824"/>
      <c r="K34" s="824"/>
      <c r="L34" s="824"/>
      <c r="M34" s="824"/>
      <c r="N34" s="824"/>
      <c r="O34" s="824"/>
      <c r="P34" s="824"/>
      <c r="Q34" s="824"/>
      <c r="R34" s="824"/>
      <c r="S34" s="824"/>
      <c r="T34" s="824"/>
      <c r="U34" s="824"/>
      <c r="V34" s="824"/>
      <c r="W34" s="824"/>
      <c r="X34" s="824"/>
      <c r="Y34" s="824"/>
      <c r="Z34" s="824"/>
      <c r="AA34" s="824"/>
      <c r="AB34" s="824"/>
      <c r="AC34" s="824"/>
      <c r="AD34" s="824"/>
      <c r="AE34" s="824"/>
      <c r="AF34" s="824"/>
      <c r="AG34" s="824"/>
      <c r="AH34" s="824"/>
      <c r="AI34" s="824"/>
      <c r="AJ34" s="824"/>
      <c r="AK34" s="824"/>
      <c r="AL34" s="824"/>
      <c r="AM34" s="824"/>
      <c r="AN34" s="824"/>
      <c r="AO34" s="824"/>
      <c r="AP34" s="824"/>
      <c r="AQ34" s="824"/>
      <c r="AR34" s="824"/>
      <c r="AS34" s="824"/>
      <c r="AT34" s="824"/>
      <c r="AU34" s="824"/>
      <c r="AV34" s="824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</row>
    <row r="35" spans="1:78" s="2" customFormat="1" ht="12.75" x14ac:dyDescent="0.2">
      <c r="A35" s="11" t="s">
        <v>32</v>
      </c>
    </row>
    <row r="36" spans="1:78" s="2" customFormat="1" ht="7.9" customHeight="1" x14ac:dyDescent="0.2"/>
    <row r="37" spans="1:78" s="2" customFormat="1" ht="12.75" x14ac:dyDescent="0.2">
      <c r="B37" s="11" t="s">
        <v>33</v>
      </c>
      <c r="D37" s="11" t="s">
        <v>34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T37" s="845"/>
      <c r="AU37" s="846"/>
      <c r="AV37" s="846"/>
      <c r="AW37" s="846"/>
      <c r="AX37" s="846"/>
      <c r="AY37" s="846"/>
      <c r="AZ37" s="846"/>
      <c r="BA37" s="846"/>
      <c r="BB37" s="846"/>
      <c r="BC37" s="846"/>
      <c r="BD37" s="846"/>
      <c r="BE37" s="846"/>
      <c r="BF37" s="846"/>
      <c r="BG37" s="846"/>
      <c r="BH37" s="846"/>
      <c r="BI37" s="846"/>
      <c r="BJ37" s="846"/>
      <c r="BK37" s="846"/>
      <c r="BL37" s="846"/>
      <c r="BM37" s="846"/>
      <c r="BN37" s="846"/>
      <c r="BO37" s="846"/>
      <c r="BP37" s="846"/>
    </row>
    <row r="38" spans="1:78" s="2" customFormat="1" ht="6" customHeight="1" x14ac:dyDescent="0.2"/>
    <row r="39" spans="1:78" s="2" customFormat="1" ht="9" customHeight="1" x14ac:dyDescent="0.2">
      <c r="C39" s="827" t="s">
        <v>73</v>
      </c>
      <c r="D39" s="827"/>
      <c r="E39" s="827"/>
      <c r="F39" s="827"/>
      <c r="G39" s="847" t="s">
        <v>356</v>
      </c>
      <c r="H39" s="848"/>
      <c r="I39" s="848"/>
      <c r="J39" s="848"/>
      <c r="K39" s="848"/>
      <c r="L39" s="848"/>
      <c r="M39" s="848"/>
      <c r="N39" s="848"/>
      <c r="O39" s="848"/>
      <c r="P39" s="848"/>
      <c r="Q39" s="848"/>
      <c r="R39" s="848"/>
      <c r="S39" s="848"/>
      <c r="T39" s="848"/>
      <c r="U39" s="848"/>
      <c r="V39" s="848"/>
      <c r="W39" s="848"/>
      <c r="X39" s="848"/>
      <c r="Y39" s="848"/>
      <c r="Z39" s="848"/>
      <c r="AA39" s="848"/>
      <c r="AB39" s="848"/>
      <c r="AC39" s="848"/>
      <c r="AD39" s="848"/>
      <c r="AE39" s="848"/>
      <c r="AF39" s="848"/>
      <c r="AG39" s="848"/>
      <c r="AH39" s="848"/>
      <c r="AI39" s="848"/>
      <c r="AJ39" s="848"/>
      <c r="AK39" s="827" t="s">
        <v>357</v>
      </c>
      <c r="AL39" s="827"/>
      <c r="AM39" s="827"/>
      <c r="AN39" s="827"/>
      <c r="AO39" s="827"/>
      <c r="AP39" s="827"/>
      <c r="AQ39" s="827"/>
      <c r="AR39" s="827"/>
      <c r="AS39" s="827"/>
      <c r="AT39" s="827"/>
      <c r="AU39" s="827"/>
      <c r="AV39" s="827"/>
      <c r="AW39" s="827"/>
      <c r="AX39" s="827"/>
      <c r="AY39" s="827"/>
      <c r="AZ39" s="827"/>
      <c r="BA39" s="827"/>
      <c r="BB39" s="827"/>
      <c r="BC39" s="827"/>
      <c r="BD39" s="827"/>
      <c r="BE39" s="827"/>
      <c r="BF39" s="827"/>
      <c r="BG39" s="826" t="s">
        <v>71</v>
      </c>
      <c r="BH39" s="826"/>
      <c r="BI39" s="826"/>
      <c r="BJ39" s="826"/>
      <c r="BK39" s="826"/>
      <c r="BL39" s="826"/>
      <c r="BM39" s="826"/>
      <c r="BN39" s="826"/>
    </row>
    <row r="40" spans="1:78" s="2" customFormat="1" ht="4.9000000000000004" customHeight="1" x14ac:dyDescent="0.2">
      <c r="C40" s="827"/>
      <c r="D40" s="827"/>
      <c r="E40" s="827"/>
      <c r="F40" s="827"/>
      <c r="G40" s="849"/>
      <c r="H40" s="850"/>
      <c r="I40" s="850"/>
      <c r="J40" s="850"/>
      <c r="K40" s="850"/>
      <c r="L40" s="850"/>
      <c r="M40" s="850"/>
      <c r="N40" s="850"/>
      <c r="O40" s="850"/>
      <c r="P40" s="850"/>
      <c r="Q40" s="850"/>
      <c r="R40" s="850"/>
      <c r="S40" s="850"/>
      <c r="T40" s="850"/>
      <c r="U40" s="850"/>
      <c r="V40" s="850"/>
      <c r="W40" s="850"/>
      <c r="X40" s="850"/>
      <c r="Y40" s="850"/>
      <c r="Z40" s="850"/>
      <c r="AA40" s="850"/>
      <c r="AB40" s="850"/>
      <c r="AC40" s="850"/>
      <c r="AD40" s="850"/>
      <c r="AE40" s="850"/>
      <c r="AF40" s="850"/>
      <c r="AG40" s="850"/>
      <c r="AH40" s="850"/>
      <c r="AI40" s="850"/>
      <c r="AJ40" s="850"/>
      <c r="AK40" s="827"/>
      <c r="AL40" s="827"/>
      <c r="AM40" s="827"/>
      <c r="AN40" s="827"/>
      <c r="AO40" s="827"/>
      <c r="AP40" s="827"/>
      <c r="AQ40" s="827"/>
      <c r="AR40" s="827"/>
      <c r="AS40" s="827"/>
      <c r="AT40" s="827"/>
      <c r="AU40" s="827"/>
      <c r="AV40" s="827"/>
      <c r="AW40" s="827"/>
      <c r="AX40" s="827"/>
      <c r="AY40" s="827"/>
      <c r="AZ40" s="827"/>
      <c r="BA40" s="827"/>
      <c r="BB40" s="827"/>
      <c r="BC40" s="827"/>
      <c r="BD40" s="827"/>
      <c r="BE40" s="827"/>
      <c r="BF40" s="827"/>
      <c r="BG40" s="826"/>
      <c r="BH40" s="826"/>
      <c r="BI40" s="826"/>
      <c r="BJ40" s="826"/>
      <c r="BK40" s="826"/>
      <c r="BL40" s="826"/>
      <c r="BM40" s="826"/>
      <c r="BN40" s="826"/>
    </row>
    <row r="41" spans="1:78" s="25" customFormat="1" ht="12.75" x14ac:dyDescent="0.2">
      <c r="C41" s="827">
        <v>1</v>
      </c>
      <c r="D41" s="827"/>
      <c r="E41" s="827"/>
      <c r="F41" s="827"/>
      <c r="G41" s="828" t="s">
        <v>400</v>
      </c>
      <c r="H41" s="829"/>
      <c r="I41" s="829"/>
      <c r="J41" s="829"/>
      <c r="K41" s="829"/>
      <c r="L41" s="829"/>
      <c r="M41" s="829"/>
      <c r="N41" s="829"/>
      <c r="O41" s="829"/>
      <c r="P41" s="829"/>
      <c r="Q41" s="829"/>
      <c r="R41" s="829"/>
      <c r="S41" s="829"/>
      <c r="T41" s="829"/>
      <c r="U41" s="829"/>
      <c r="V41" s="829"/>
      <c r="W41" s="829"/>
      <c r="X41" s="829"/>
      <c r="Y41" s="829"/>
      <c r="Z41" s="829"/>
      <c r="AA41" s="829"/>
      <c r="AB41" s="829"/>
      <c r="AC41" s="829"/>
      <c r="AD41" s="829"/>
      <c r="AE41" s="829"/>
      <c r="AF41" s="829"/>
      <c r="AG41" s="829"/>
      <c r="AH41" s="829"/>
      <c r="AI41" s="829"/>
      <c r="AJ41" s="829"/>
      <c r="AK41" s="830" t="s">
        <v>385</v>
      </c>
      <c r="AL41" s="830"/>
      <c r="AM41" s="830"/>
      <c r="AN41" s="830"/>
      <c r="AO41" s="830"/>
      <c r="AP41" s="830"/>
      <c r="AQ41" s="830"/>
      <c r="AR41" s="830"/>
      <c r="AS41" s="830"/>
      <c r="AT41" s="830"/>
      <c r="AU41" s="830"/>
      <c r="AV41" s="830"/>
      <c r="AW41" s="830"/>
      <c r="AX41" s="830"/>
      <c r="AY41" s="830"/>
      <c r="AZ41" s="830"/>
      <c r="BA41" s="830"/>
      <c r="BB41" s="830"/>
      <c r="BC41" s="830"/>
      <c r="BD41" s="830"/>
      <c r="BE41" s="830"/>
      <c r="BF41" s="830"/>
      <c r="BG41" s="830"/>
      <c r="BH41" s="830"/>
      <c r="BI41" s="830"/>
      <c r="BJ41" s="830"/>
      <c r="BK41" s="830"/>
      <c r="BL41" s="830"/>
      <c r="BM41" s="830"/>
      <c r="BN41" s="830"/>
    </row>
    <row r="42" spans="1:78" s="25" customFormat="1" ht="13.15" customHeight="1" x14ac:dyDescent="0.2">
      <c r="C42" s="827">
        <v>2</v>
      </c>
      <c r="D42" s="827"/>
      <c r="E42" s="827"/>
      <c r="F42" s="827"/>
      <c r="G42" s="828" t="s">
        <v>406</v>
      </c>
      <c r="H42" s="829"/>
      <c r="I42" s="829"/>
      <c r="J42" s="829"/>
      <c r="K42" s="829"/>
      <c r="L42" s="829"/>
      <c r="M42" s="829"/>
      <c r="N42" s="829"/>
      <c r="O42" s="829"/>
      <c r="P42" s="829"/>
      <c r="Q42" s="829"/>
      <c r="R42" s="829"/>
      <c r="S42" s="829"/>
      <c r="T42" s="829"/>
      <c r="U42" s="829"/>
      <c r="V42" s="829"/>
      <c r="W42" s="829"/>
      <c r="X42" s="829"/>
      <c r="Y42" s="829"/>
      <c r="Z42" s="829"/>
      <c r="AA42" s="829"/>
      <c r="AB42" s="829"/>
      <c r="AC42" s="829"/>
      <c r="AD42" s="829"/>
      <c r="AE42" s="829"/>
      <c r="AF42" s="829"/>
      <c r="AG42" s="829"/>
      <c r="AH42" s="829"/>
      <c r="AI42" s="829"/>
      <c r="AJ42" s="829"/>
      <c r="AK42" s="830" t="s">
        <v>407</v>
      </c>
      <c r="AL42" s="830"/>
      <c r="AM42" s="830"/>
      <c r="AN42" s="830"/>
      <c r="AO42" s="830"/>
      <c r="AP42" s="830"/>
      <c r="AQ42" s="830"/>
      <c r="AR42" s="830"/>
      <c r="AS42" s="830"/>
      <c r="AT42" s="830"/>
      <c r="AU42" s="830"/>
      <c r="AV42" s="830"/>
      <c r="AW42" s="830"/>
      <c r="AX42" s="830"/>
      <c r="AY42" s="830"/>
      <c r="AZ42" s="830"/>
      <c r="BA42" s="830"/>
      <c r="BB42" s="830"/>
      <c r="BC42" s="830"/>
      <c r="BD42" s="830"/>
      <c r="BE42" s="830"/>
      <c r="BF42" s="830"/>
      <c r="BG42" s="830"/>
      <c r="BH42" s="830"/>
      <c r="BI42" s="830"/>
      <c r="BJ42" s="830"/>
      <c r="BK42" s="830"/>
      <c r="BL42" s="830"/>
      <c r="BM42" s="830"/>
      <c r="BN42" s="830"/>
    </row>
    <row r="43" spans="1:78" s="25" customFormat="1" ht="13.15" customHeight="1" x14ac:dyDescent="0.2">
      <c r="C43" s="827">
        <v>3</v>
      </c>
      <c r="D43" s="827"/>
      <c r="E43" s="827"/>
      <c r="F43" s="827"/>
      <c r="G43" s="828" t="s">
        <v>404</v>
      </c>
      <c r="H43" s="829"/>
      <c r="I43" s="829"/>
      <c r="J43" s="829"/>
      <c r="K43" s="829"/>
      <c r="L43" s="829"/>
      <c r="M43" s="829"/>
      <c r="N43" s="829"/>
      <c r="O43" s="829"/>
      <c r="P43" s="829"/>
      <c r="Q43" s="829"/>
      <c r="R43" s="829"/>
      <c r="S43" s="829"/>
      <c r="T43" s="829"/>
      <c r="U43" s="829"/>
      <c r="V43" s="829"/>
      <c r="W43" s="829"/>
      <c r="X43" s="829"/>
      <c r="Y43" s="829"/>
      <c r="Z43" s="829"/>
      <c r="AA43" s="829"/>
      <c r="AB43" s="829"/>
      <c r="AC43" s="829"/>
      <c r="AD43" s="829"/>
      <c r="AE43" s="829"/>
      <c r="AF43" s="829"/>
      <c r="AG43" s="829"/>
      <c r="AH43" s="829"/>
      <c r="AI43" s="829"/>
      <c r="AJ43" s="829"/>
      <c r="AK43" s="830" t="s">
        <v>398</v>
      </c>
      <c r="AL43" s="830"/>
      <c r="AM43" s="830"/>
      <c r="AN43" s="830"/>
      <c r="AO43" s="830"/>
      <c r="AP43" s="830"/>
      <c r="AQ43" s="830"/>
      <c r="AR43" s="830"/>
      <c r="AS43" s="830"/>
      <c r="AT43" s="830"/>
      <c r="AU43" s="830"/>
      <c r="AV43" s="830"/>
      <c r="AW43" s="830"/>
      <c r="AX43" s="830"/>
      <c r="AY43" s="830"/>
      <c r="AZ43" s="830"/>
      <c r="BA43" s="830"/>
      <c r="BB43" s="830"/>
      <c r="BC43" s="830"/>
      <c r="BD43" s="830"/>
      <c r="BE43" s="830"/>
      <c r="BF43" s="830"/>
      <c r="BG43" s="833"/>
      <c r="BH43" s="834"/>
      <c r="BI43" s="834"/>
      <c r="BJ43" s="834"/>
      <c r="BK43" s="834"/>
      <c r="BL43" s="834"/>
      <c r="BM43" s="834"/>
      <c r="BN43" s="835"/>
    </row>
    <row r="44" spans="1:78" s="25" customFormat="1" ht="13.15" customHeight="1" x14ac:dyDescent="0.2">
      <c r="C44" s="827">
        <v>4</v>
      </c>
      <c r="D44" s="827"/>
      <c r="E44" s="827"/>
      <c r="F44" s="827"/>
      <c r="G44" s="828" t="s">
        <v>403</v>
      </c>
      <c r="H44" s="829"/>
      <c r="I44" s="829"/>
      <c r="J44" s="829"/>
      <c r="K44" s="829"/>
      <c r="L44" s="829"/>
      <c r="M44" s="829"/>
      <c r="N44" s="829"/>
      <c r="O44" s="829"/>
      <c r="P44" s="829"/>
      <c r="Q44" s="829"/>
      <c r="R44" s="829"/>
      <c r="S44" s="829"/>
      <c r="T44" s="829"/>
      <c r="U44" s="829"/>
      <c r="V44" s="829"/>
      <c r="W44" s="829"/>
      <c r="X44" s="829"/>
      <c r="Y44" s="829"/>
      <c r="Z44" s="829"/>
      <c r="AA44" s="829"/>
      <c r="AB44" s="829"/>
      <c r="AC44" s="829"/>
      <c r="AD44" s="829"/>
      <c r="AE44" s="829"/>
      <c r="AF44" s="829"/>
      <c r="AG44" s="829"/>
      <c r="AH44" s="829"/>
      <c r="AI44" s="829"/>
      <c r="AJ44" s="829"/>
      <c r="AK44" s="830" t="s">
        <v>398</v>
      </c>
      <c r="AL44" s="830"/>
      <c r="AM44" s="830"/>
      <c r="AN44" s="830"/>
      <c r="AO44" s="830"/>
      <c r="AP44" s="830"/>
      <c r="AQ44" s="830"/>
      <c r="AR44" s="830"/>
      <c r="AS44" s="830"/>
      <c r="AT44" s="830"/>
      <c r="AU44" s="830"/>
      <c r="AV44" s="830"/>
      <c r="AW44" s="830"/>
      <c r="AX44" s="830"/>
      <c r="AY44" s="830"/>
      <c r="AZ44" s="830"/>
      <c r="BA44" s="830"/>
      <c r="BB44" s="830"/>
      <c r="BC44" s="830"/>
      <c r="BD44" s="830"/>
      <c r="BE44" s="830"/>
      <c r="BF44" s="830"/>
      <c r="BG44" s="830"/>
      <c r="BH44" s="830"/>
      <c r="BI44" s="830"/>
      <c r="BJ44" s="830"/>
      <c r="BK44" s="830"/>
      <c r="BL44" s="830"/>
      <c r="BM44" s="830"/>
      <c r="BN44" s="830"/>
    </row>
    <row r="45" spans="1:78" s="25" customFormat="1" ht="13.15" customHeight="1" x14ac:dyDescent="0.2">
      <c r="C45" s="827">
        <v>5</v>
      </c>
      <c r="D45" s="827"/>
      <c r="E45" s="827"/>
      <c r="F45" s="827"/>
      <c r="G45" s="828" t="s">
        <v>401</v>
      </c>
      <c r="H45" s="829"/>
      <c r="I45" s="829"/>
      <c r="J45" s="829"/>
      <c r="K45" s="829"/>
      <c r="L45" s="829"/>
      <c r="M45" s="829"/>
      <c r="N45" s="829"/>
      <c r="O45" s="829"/>
      <c r="P45" s="829"/>
      <c r="Q45" s="829"/>
      <c r="R45" s="829"/>
      <c r="S45" s="829"/>
      <c r="T45" s="829"/>
      <c r="U45" s="829"/>
      <c r="V45" s="829"/>
      <c r="W45" s="829"/>
      <c r="X45" s="829"/>
      <c r="Y45" s="829"/>
      <c r="Z45" s="829"/>
      <c r="AA45" s="829"/>
      <c r="AB45" s="829"/>
      <c r="AC45" s="829"/>
      <c r="AD45" s="829"/>
      <c r="AE45" s="829"/>
      <c r="AF45" s="829"/>
      <c r="AG45" s="829"/>
      <c r="AH45" s="829"/>
      <c r="AI45" s="829"/>
      <c r="AJ45" s="829"/>
      <c r="AK45" s="830" t="s">
        <v>395</v>
      </c>
      <c r="AL45" s="830"/>
      <c r="AM45" s="830"/>
      <c r="AN45" s="830"/>
      <c r="AO45" s="830"/>
      <c r="AP45" s="830"/>
      <c r="AQ45" s="830"/>
      <c r="AR45" s="830"/>
      <c r="AS45" s="830"/>
      <c r="AT45" s="830"/>
      <c r="AU45" s="830"/>
      <c r="AV45" s="830"/>
      <c r="AW45" s="830"/>
      <c r="AX45" s="830"/>
      <c r="AY45" s="830"/>
      <c r="AZ45" s="830"/>
      <c r="BA45" s="830"/>
      <c r="BB45" s="830"/>
      <c r="BC45" s="830"/>
      <c r="BD45" s="830"/>
      <c r="BE45" s="830"/>
      <c r="BF45" s="830"/>
      <c r="BG45" s="830"/>
      <c r="BH45" s="830"/>
      <c r="BI45" s="830"/>
      <c r="BJ45" s="830"/>
      <c r="BK45" s="830"/>
      <c r="BL45" s="830"/>
      <c r="BM45" s="830"/>
      <c r="BN45" s="830"/>
    </row>
    <row r="46" spans="1:78" s="25" customFormat="1" ht="13.15" customHeight="1" x14ac:dyDescent="0.2">
      <c r="C46" s="827">
        <v>6</v>
      </c>
      <c r="D46" s="827"/>
      <c r="E46" s="827"/>
      <c r="F46" s="827"/>
      <c r="G46" s="828" t="s">
        <v>402</v>
      </c>
      <c r="H46" s="829"/>
      <c r="I46" s="829"/>
      <c r="J46" s="829"/>
      <c r="K46" s="829"/>
      <c r="L46" s="829"/>
      <c r="M46" s="829"/>
      <c r="N46" s="829"/>
      <c r="O46" s="829"/>
      <c r="P46" s="829"/>
      <c r="Q46" s="829"/>
      <c r="R46" s="829"/>
      <c r="S46" s="829"/>
      <c r="T46" s="829"/>
      <c r="U46" s="829"/>
      <c r="V46" s="829"/>
      <c r="W46" s="829"/>
      <c r="X46" s="829"/>
      <c r="Y46" s="829"/>
      <c r="Z46" s="829"/>
      <c r="AA46" s="829"/>
      <c r="AB46" s="829"/>
      <c r="AC46" s="829"/>
      <c r="AD46" s="829"/>
      <c r="AE46" s="829"/>
      <c r="AF46" s="829"/>
      <c r="AG46" s="829"/>
      <c r="AH46" s="829"/>
      <c r="AI46" s="829"/>
      <c r="AJ46" s="829"/>
      <c r="AK46" s="833" t="s">
        <v>399</v>
      </c>
      <c r="AL46" s="834"/>
      <c r="AM46" s="834"/>
      <c r="AN46" s="834"/>
      <c r="AO46" s="834"/>
      <c r="AP46" s="834"/>
      <c r="AQ46" s="834"/>
      <c r="AR46" s="834"/>
      <c r="AS46" s="834"/>
      <c r="AT46" s="834"/>
      <c r="AU46" s="834"/>
      <c r="AV46" s="834"/>
      <c r="AW46" s="834"/>
      <c r="AX46" s="834"/>
      <c r="AY46" s="834"/>
      <c r="AZ46" s="834"/>
      <c r="BA46" s="834"/>
      <c r="BB46" s="834"/>
      <c r="BC46" s="834"/>
      <c r="BD46" s="834"/>
      <c r="BE46" s="834"/>
      <c r="BF46" s="835"/>
      <c r="BG46" s="833"/>
      <c r="BH46" s="834"/>
      <c r="BI46" s="834"/>
      <c r="BJ46" s="834"/>
      <c r="BK46" s="834"/>
      <c r="BL46" s="834"/>
      <c r="BM46" s="834"/>
      <c r="BN46" s="835"/>
    </row>
    <row r="47" spans="1:78" s="25" customFormat="1" ht="13.15" customHeight="1" x14ac:dyDescent="0.2">
      <c r="C47" s="827">
        <v>7</v>
      </c>
      <c r="D47" s="827"/>
      <c r="E47" s="827"/>
      <c r="F47" s="827"/>
      <c r="G47" s="828" t="s">
        <v>405</v>
      </c>
      <c r="H47" s="829"/>
      <c r="I47" s="829"/>
      <c r="J47" s="829"/>
      <c r="K47" s="829"/>
      <c r="L47" s="829"/>
      <c r="M47" s="829"/>
      <c r="N47" s="829"/>
      <c r="O47" s="829"/>
      <c r="P47" s="829"/>
      <c r="Q47" s="829"/>
      <c r="R47" s="829"/>
      <c r="S47" s="829"/>
      <c r="T47" s="829"/>
      <c r="U47" s="829"/>
      <c r="V47" s="829"/>
      <c r="W47" s="829"/>
      <c r="X47" s="829"/>
      <c r="Y47" s="829"/>
      <c r="Z47" s="829"/>
      <c r="AA47" s="829"/>
      <c r="AB47" s="829"/>
      <c r="AC47" s="829"/>
      <c r="AD47" s="829"/>
      <c r="AE47" s="829"/>
      <c r="AF47" s="829"/>
      <c r="AG47" s="829"/>
      <c r="AH47" s="829"/>
      <c r="AI47" s="829"/>
      <c r="AJ47" s="829"/>
      <c r="AK47" s="830" t="s">
        <v>697</v>
      </c>
      <c r="AL47" s="830"/>
      <c r="AM47" s="830"/>
      <c r="AN47" s="830"/>
      <c r="AO47" s="830"/>
      <c r="AP47" s="830"/>
      <c r="AQ47" s="830"/>
      <c r="AR47" s="830"/>
      <c r="AS47" s="830"/>
      <c r="AT47" s="830"/>
      <c r="AU47" s="830"/>
      <c r="AV47" s="830"/>
      <c r="AW47" s="830"/>
      <c r="AX47" s="830"/>
      <c r="AY47" s="830"/>
      <c r="AZ47" s="830"/>
      <c r="BA47" s="830"/>
      <c r="BB47" s="830"/>
      <c r="BC47" s="830"/>
      <c r="BD47" s="830"/>
      <c r="BE47" s="830"/>
      <c r="BF47" s="830"/>
      <c r="BG47" s="830"/>
      <c r="BH47" s="830"/>
      <c r="BI47" s="830"/>
      <c r="BJ47" s="830"/>
      <c r="BK47" s="830"/>
      <c r="BL47" s="830"/>
      <c r="BM47" s="830"/>
      <c r="BN47" s="830"/>
    </row>
    <row r="48" spans="1:78" s="25" customFormat="1" ht="13.15" customHeight="1" x14ac:dyDescent="0.2">
      <c r="C48" s="827">
        <v>8</v>
      </c>
      <c r="D48" s="827"/>
      <c r="E48" s="827"/>
      <c r="F48" s="827"/>
      <c r="G48" s="828" t="s">
        <v>1373</v>
      </c>
      <c r="H48" s="829"/>
      <c r="I48" s="829"/>
      <c r="J48" s="829"/>
      <c r="K48" s="829"/>
      <c r="L48" s="829"/>
      <c r="M48" s="829"/>
      <c r="N48" s="829"/>
      <c r="O48" s="829"/>
      <c r="P48" s="829"/>
      <c r="Q48" s="829"/>
      <c r="R48" s="829"/>
      <c r="S48" s="829"/>
      <c r="T48" s="829"/>
      <c r="U48" s="829"/>
      <c r="V48" s="829"/>
      <c r="W48" s="829"/>
      <c r="X48" s="829"/>
      <c r="Y48" s="829"/>
      <c r="Z48" s="829"/>
      <c r="AA48" s="829"/>
      <c r="AB48" s="829"/>
      <c r="AC48" s="829"/>
      <c r="AD48" s="829"/>
      <c r="AE48" s="829"/>
      <c r="AF48" s="829"/>
      <c r="AG48" s="829"/>
      <c r="AH48" s="829"/>
      <c r="AI48" s="829"/>
      <c r="AJ48" s="829"/>
      <c r="AK48" s="830" t="s">
        <v>700</v>
      </c>
      <c r="AL48" s="830"/>
      <c r="AM48" s="830"/>
      <c r="AN48" s="830"/>
      <c r="AO48" s="830"/>
      <c r="AP48" s="830"/>
      <c r="AQ48" s="830"/>
      <c r="AR48" s="830"/>
      <c r="AS48" s="830"/>
      <c r="AT48" s="830"/>
      <c r="AU48" s="830"/>
      <c r="AV48" s="830"/>
      <c r="AW48" s="830"/>
      <c r="AX48" s="830"/>
      <c r="AY48" s="830"/>
      <c r="AZ48" s="830"/>
      <c r="BA48" s="830"/>
      <c r="BB48" s="830"/>
      <c r="BC48" s="830"/>
      <c r="BD48" s="830"/>
      <c r="BE48" s="830"/>
      <c r="BF48" s="830"/>
      <c r="BG48" s="830"/>
      <c r="BH48" s="830"/>
      <c r="BI48" s="830"/>
      <c r="BJ48" s="830"/>
      <c r="BK48" s="830"/>
      <c r="BL48" s="830"/>
      <c r="BM48" s="830"/>
      <c r="BN48" s="830"/>
    </row>
    <row r="49" spans="1:78" s="25" customFormat="1" ht="13.15" hidden="1" customHeight="1" x14ac:dyDescent="0.2">
      <c r="C49" s="827">
        <v>9</v>
      </c>
      <c r="D49" s="827"/>
      <c r="E49" s="827"/>
      <c r="F49" s="827"/>
      <c r="G49" s="828"/>
      <c r="H49" s="829"/>
      <c r="I49" s="829"/>
      <c r="J49" s="829"/>
      <c r="K49" s="829"/>
      <c r="L49" s="829"/>
      <c r="M49" s="829"/>
      <c r="N49" s="829"/>
      <c r="O49" s="829"/>
      <c r="P49" s="829"/>
      <c r="Q49" s="829"/>
      <c r="R49" s="829"/>
      <c r="S49" s="829"/>
      <c r="T49" s="829"/>
      <c r="U49" s="829"/>
      <c r="V49" s="829"/>
      <c r="W49" s="829"/>
      <c r="X49" s="829"/>
      <c r="Y49" s="829"/>
      <c r="Z49" s="829"/>
      <c r="AA49" s="829"/>
      <c r="AB49" s="829"/>
      <c r="AC49" s="829"/>
      <c r="AD49" s="829"/>
      <c r="AE49" s="829"/>
      <c r="AF49" s="829"/>
      <c r="AG49" s="829"/>
      <c r="AH49" s="829"/>
      <c r="AI49" s="829"/>
      <c r="AJ49" s="829"/>
      <c r="AK49" s="830"/>
      <c r="AL49" s="830"/>
      <c r="AM49" s="830"/>
      <c r="AN49" s="830"/>
      <c r="AO49" s="830"/>
      <c r="AP49" s="830"/>
      <c r="AQ49" s="830"/>
      <c r="AR49" s="830"/>
      <c r="AS49" s="830"/>
      <c r="AT49" s="830"/>
      <c r="AU49" s="830"/>
      <c r="AV49" s="830"/>
      <c r="AW49" s="830"/>
      <c r="AX49" s="830"/>
      <c r="AY49" s="830"/>
      <c r="AZ49" s="830"/>
      <c r="BA49" s="830"/>
      <c r="BB49" s="830"/>
      <c r="BC49" s="830"/>
      <c r="BD49" s="830"/>
      <c r="BE49" s="830"/>
      <c r="BF49" s="830"/>
      <c r="BG49" s="830"/>
      <c r="BH49" s="830"/>
      <c r="BI49" s="830"/>
      <c r="BJ49" s="830"/>
      <c r="BK49" s="830"/>
      <c r="BL49" s="830"/>
      <c r="BM49" s="830"/>
      <c r="BN49" s="830"/>
    </row>
    <row r="50" spans="1:78" s="25" customFormat="1" ht="13.15" hidden="1" customHeight="1" x14ac:dyDescent="0.2">
      <c r="C50" s="827">
        <v>10</v>
      </c>
      <c r="D50" s="827"/>
      <c r="E50" s="827"/>
      <c r="F50" s="827"/>
      <c r="G50" s="828"/>
      <c r="H50" s="829"/>
      <c r="I50" s="829"/>
      <c r="J50" s="829"/>
      <c r="K50" s="829"/>
      <c r="L50" s="829"/>
      <c r="M50" s="829"/>
      <c r="N50" s="829"/>
      <c r="O50" s="829"/>
      <c r="P50" s="829"/>
      <c r="Q50" s="829"/>
      <c r="R50" s="829"/>
      <c r="S50" s="829"/>
      <c r="T50" s="829"/>
      <c r="U50" s="829"/>
      <c r="V50" s="829"/>
      <c r="W50" s="829"/>
      <c r="X50" s="829"/>
      <c r="Y50" s="829"/>
      <c r="Z50" s="829"/>
      <c r="AA50" s="829"/>
      <c r="AB50" s="829"/>
      <c r="AC50" s="829"/>
      <c r="AD50" s="829"/>
      <c r="AE50" s="829"/>
      <c r="AF50" s="829"/>
      <c r="AG50" s="829"/>
      <c r="AH50" s="829"/>
      <c r="AI50" s="829"/>
      <c r="AJ50" s="829"/>
      <c r="AK50" s="830"/>
      <c r="AL50" s="830"/>
      <c r="AM50" s="830"/>
      <c r="AN50" s="830"/>
      <c r="AO50" s="830"/>
      <c r="AP50" s="830"/>
      <c r="AQ50" s="830"/>
      <c r="AR50" s="830"/>
      <c r="AS50" s="830"/>
      <c r="AT50" s="830"/>
      <c r="AU50" s="830"/>
      <c r="AV50" s="830"/>
      <c r="AW50" s="830"/>
      <c r="AX50" s="830"/>
      <c r="AY50" s="830"/>
      <c r="AZ50" s="830"/>
      <c r="BA50" s="830"/>
      <c r="BB50" s="830"/>
      <c r="BC50" s="830"/>
      <c r="BD50" s="830"/>
      <c r="BE50" s="830"/>
      <c r="BF50" s="830"/>
      <c r="BG50" s="830"/>
      <c r="BH50" s="830"/>
      <c r="BI50" s="830"/>
      <c r="BJ50" s="830"/>
      <c r="BK50" s="830"/>
      <c r="BL50" s="830"/>
      <c r="BM50" s="830"/>
      <c r="BN50" s="830"/>
    </row>
    <row r="51" spans="1:78" s="25" customFormat="1" ht="13.15" hidden="1" customHeight="1" x14ac:dyDescent="0.2">
      <c r="C51" s="827">
        <v>11</v>
      </c>
      <c r="D51" s="827"/>
      <c r="E51" s="827"/>
      <c r="F51" s="827"/>
      <c r="G51" s="828"/>
      <c r="H51" s="829"/>
      <c r="I51" s="829"/>
      <c r="J51" s="829"/>
      <c r="K51" s="829"/>
      <c r="L51" s="829"/>
      <c r="M51" s="829"/>
      <c r="N51" s="829"/>
      <c r="O51" s="829"/>
      <c r="P51" s="829"/>
      <c r="Q51" s="829"/>
      <c r="R51" s="829"/>
      <c r="S51" s="829"/>
      <c r="T51" s="829"/>
      <c r="U51" s="829"/>
      <c r="V51" s="829"/>
      <c r="W51" s="829"/>
      <c r="X51" s="829"/>
      <c r="Y51" s="829"/>
      <c r="Z51" s="829"/>
      <c r="AA51" s="829"/>
      <c r="AB51" s="829"/>
      <c r="AC51" s="829"/>
      <c r="AD51" s="829"/>
      <c r="AE51" s="829"/>
      <c r="AF51" s="829"/>
      <c r="AG51" s="829"/>
      <c r="AH51" s="829"/>
      <c r="AI51" s="829"/>
      <c r="AJ51" s="829"/>
      <c r="AK51" s="830"/>
      <c r="AL51" s="830"/>
      <c r="AM51" s="830"/>
      <c r="AN51" s="830"/>
      <c r="AO51" s="830"/>
      <c r="AP51" s="830"/>
      <c r="AQ51" s="830"/>
      <c r="AR51" s="830"/>
      <c r="AS51" s="830"/>
      <c r="AT51" s="830"/>
      <c r="AU51" s="830"/>
      <c r="AV51" s="830"/>
      <c r="AW51" s="830"/>
      <c r="AX51" s="830"/>
      <c r="AY51" s="830"/>
      <c r="AZ51" s="830"/>
      <c r="BA51" s="830"/>
      <c r="BB51" s="830"/>
      <c r="BC51" s="830"/>
      <c r="BD51" s="830"/>
      <c r="BE51" s="830"/>
      <c r="BF51" s="830"/>
      <c r="BG51" s="830"/>
      <c r="BH51" s="830"/>
      <c r="BI51" s="830"/>
      <c r="BJ51" s="830"/>
      <c r="BK51" s="830"/>
      <c r="BL51" s="830"/>
      <c r="BM51" s="830"/>
      <c r="BN51" s="830"/>
    </row>
    <row r="52" spans="1:78" s="25" customFormat="1" ht="13.15" hidden="1" customHeight="1" x14ac:dyDescent="0.2">
      <c r="C52" s="827">
        <v>12</v>
      </c>
      <c r="D52" s="827"/>
      <c r="E52" s="827"/>
      <c r="F52" s="827"/>
      <c r="G52" s="828"/>
      <c r="H52" s="829"/>
      <c r="I52" s="829"/>
      <c r="J52" s="829"/>
      <c r="K52" s="829"/>
      <c r="L52" s="829"/>
      <c r="M52" s="829"/>
      <c r="N52" s="829"/>
      <c r="O52" s="829"/>
      <c r="P52" s="829"/>
      <c r="Q52" s="829"/>
      <c r="R52" s="829"/>
      <c r="S52" s="829"/>
      <c r="T52" s="829"/>
      <c r="U52" s="829"/>
      <c r="V52" s="829"/>
      <c r="W52" s="829"/>
      <c r="X52" s="829"/>
      <c r="Y52" s="829"/>
      <c r="Z52" s="829"/>
      <c r="AA52" s="829"/>
      <c r="AB52" s="829"/>
      <c r="AC52" s="829"/>
      <c r="AD52" s="829"/>
      <c r="AE52" s="829"/>
      <c r="AF52" s="829"/>
      <c r="AG52" s="829"/>
      <c r="AH52" s="829"/>
      <c r="AI52" s="829"/>
      <c r="AJ52" s="829"/>
      <c r="AK52" s="830"/>
      <c r="AL52" s="830"/>
      <c r="AM52" s="830"/>
      <c r="AN52" s="830"/>
      <c r="AO52" s="830"/>
      <c r="AP52" s="830"/>
      <c r="AQ52" s="830"/>
      <c r="AR52" s="830"/>
      <c r="AS52" s="830"/>
      <c r="AT52" s="830"/>
      <c r="AU52" s="830"/>
      <c r="AV52" s="830"/>
      <c r="AW52" s="830"/>
      <c r="AX52" s="830"/>
      <c r="AY52" s="830"/>
      <c r="AZ52" s="830"/>
      <c r="BA52" s="830"/>
      <c r="BB52" s="830"/>
      <c r="BC52" s="830"/>
      <c r="BD52" s="830"/>
      <c r="BE52" s="830"/>
      <c r="BF52" s="830"/>
      <c r="BG52" s="830"/>
      <c r="BH52" s="830"/>
      <c r="BI52" s="830"/>
      <c r="BJ52" s="830"/>
      <c r="BK52" s="830"/>
      <c r="BL52" s="830"/>
      <c r="BM52" s="830"/>
      <c r="BN52" s="830"/>
    </row>
    <row r="53" spans="1:78" s="25" customFormat="1" ht="13.15" hidden="1" customHeight="1" x14ac:dyDescent="0.2">
      <c r="C53" s="827">
        <v>13</v>
      </c>
      <c r="D53" s="827"/>
      <c r="E53" s="827"/>
      <c r="F53" s="827"/>
      <c r="G53" s="828"/>
      <c r="H53" s="829"/>
      <c r="I53" s="829"/>
      <c r="J53" s="829"/>
      <c r="K53" s="829"/>
      <c r="L53" s="829"/>
      <c r="M53" s="829"/>
      <c r="N53" s="829"/>
      <c r="O53" s="829"/>
      <c r="P53" s="829"/>
      <c r="Q53" s="829"/>
      <c r="R53" s="829"/>
      <c r="S53" s="829"/>
      <c r="T53" s="829"/>
      <c r="U53" s="829"/>
      <c r="V53" s="829"/>
      <c r="W53" s="829"/>
      <c r="X53" s="829"/>
      <c r="Y53" s="829"/>
      <c r="Z53" s="829"/>
      <c r="AA53" s="829"/>
      <c r="AB53" s="829"/>
      <c r="AC53" s="829"/>
      <c r="AD53" s="829"/>
      <c r="AE53" s="829"/>
      <c r="AF53" s="829"/>
      <c r="AG53" s="829"/>
      <c r="AH53" s="829"/>
      <c r="AI53" s="829"/>
      <c r="AJ53" s="829"/>
      <c r="AK53" s="830"/>
      <c r="AL53" s="830"/>
      <c r="AM53" s="830"/>
      <c r="AN53" s="830"/>
      <c r="AO53" s="830"/>
      <c r="AP53" s="830"/>
      <c r="AQ53" s="830"/>
      <c r="AR53" s="830"/>
      <c r="AS53" s="830"/>
      <c r="AT53" s="830"/>
      <c r="AU53" s="830"/>
      <c r="AV53" s="830"/>
      <c r="AW53" s="830"/>
      <c r="AX53" s="830"/>
      <c r="AY53" s="830"/>
      <c r="AZ53" s="830"/>
      <c r="BA53" s="830"/>
      <c r="BB53" s="830"/>
      <c r="BC53" s="830"/>
      <c r="BD53" s="830"/>
      <c r="BE53" s="830"/>
      <c r="BF53" s="830"/>
      <c r="BG53" s="830"/>
      <c r="BH53" s="830"/>
      <c r="BI53" s="830"/>
      <c r="BJ53" s="830"/>
      <c r="BK53" s="830"/>
      <c r="BL53" s="830"/>
      <c r="BM53" s="830"/>
      <c r="BN53" s="830"/>
    </row>
    <row r="54" spans="1:78" s="25" customFormat="1" ht="13.15" hidden="1" customHeight="1" x14ac:dyDescent="0.2">
      <c r="C54" s="827">
        <v>14</v>
      </c>
      <c r="D54" s="827"/>
      <c r="E54" s="827"/>
      <c r="F54" s="827"/>
      <c r="G54" s="828"/>
      <c r="H54" s="829"/>
      <c r="I54" s="829"/>
      <c r="J54" s="829"/>
      <c r="K54" s="829"/>
      <c r="L54" s="829"/>
      <c r="M54" s="829"/>
      <c r="N54" s="829"/>
      <c r="O54" s="829"/>
      <c r="P54" s="829"/>
      <c r="Q54" s="829"/>
      <c r="R54" s="829"/>
      <c r="S54" s="829"/>
      <c r="T54" s="829"/>
      <c r="U54" s="829"/>
      <c r="V54" s="829"/>
      <c r="W54" s="829"/>
      <c r="X54" s="829"/>
      <c r="Y54" s="829"/>
      <c r="Z54" s="829"/>
      <c r="AA54" s="829"/>
      <c r="AB54" s="829"/>
      <c r="AC54" s="829"/>
      <c r="AD54" s="829"/>
      <c r="AE54" s="829"/>
      <c r="AF54" s="829"/>
      <c r="AG54" s="829"/>
      <c r="AH54" s="829"/>
      <c r="AI54" s="829"/>
      <c r="AJ54" s="829"/>
      <c r="AK54" s="830"/>
      <c r="AL54" s="830"/>
      <c r="AM54" s="830"/>
      <c r="AN54" s="830"/>
      <c r="AO54" s="830"/>
      <c r="AP54" s="830"/>
      <c r="AQ54" s="830"/>
      <c r="AR54" s="830"/>
      <c r="AS54" s="830"/>
      <c r="AT54" s="830"/>
      <c r="AU54" s="830"/>
      <c r="AV54" s="830"/>
      <c r="AW54" s="830"/>
      <c r="AX54" s="830"/>
      <c r="AY54" s="830"/>
      <c r="AZ54" s="830"/>
      <c r="BA54" s="830"/>
      <c r="BB54" s="830"/>
      <c r="BC54" s="830"/>
      <c r="BD54" s="830"/>
      <c r="BE54" s="830"/>
      <c r="BF54" s="830"/>
      <c r="BG54" s="830"/>
      <c r="BH54" s="830"/>
      <c r="BI54" s="830"/>
      <c r="BJ54" s="830"/>
      <c r="BK54" s="830"/>
      <c r="BL54" s="830"/>
      <c r="BM54" s="830"/>
      <c r="BN54" s="830"/>
    </row>
    <row r="55" spans="1:78" s="25" customFormat="1" ht="13.15" hidden="1" customHeight="1" x14ac:dyDescent="0.2">
      <c r="C55" s="827">
        <v>15</v>
      </c>
      <c r="D55" s="827"/>
      <c r="E55" s="827"/>
      <c r="F55" s="827"/>
      <c r="G55" s="828"/>
      <c r="H55" s="829"/>
      <c r="I55" s="829"/>
      <c r="J55" s="829"/>
      <c r="K55" s="829"/>
      <c r="L55" s="829"/>
      <c r="M55" s="829"/>
      <c r="N55" s="829"/>
      <c r="O55" s="829"/>
      <c r="P55" s="829"/>
      <c r="Q55" s="829"/>
      <c r="R55" s="829"/>
      <c r="S55" s="829"/>
      <c r="T55" s="829"/>
      <c r="U55" s="829"/>
      <c r="V55" s="829"/>
      <c r="W55" s="829"/>
      <c r="X55" s="829"/>
      <c r="Y55" s="829"/>
      <c r="Z55" s="829"/>
      <c r="AA55" s="829"/>
      <c r="AB55" s="829"/>
      <c r="AC55" s="829"/>
      <c r="AD55" s="829"/>
      <c r="AE55" s="829"/>
      <c r="AF55" s="829"/>
      <c r="AG55" s="829"/>
      <c r="AH55" s="829"/>
      <c r="AI55" s="829"/>
      <c r="AJ55" s="829"/>
      <c r="AK55" s="830"/>
      <c r="AL55" s="830"/>
      <c r="AM55" s="830"/>
      <c r="AN55" s="830"/>
      <c r="AO55" s="830"/>
      <c r="AP55" s="830"/>
      <c r="AQ55" s="830"/>
      <c r="AR55" s="830"/>
      <c r="AS55" s="830"/>
      <c r="AT55" s="830"/>
      <c r="AU55" s="830"/>
      <c r="AV55" s="830"/>
      <c r="AW55" s="830"/>
      <c r="AX55" s="830"/>
      <c r="AY55" s="830"/>
      <c r="AZ55" s="830"/>
      <c r="BA55" s="830"/>
      <c r="BB55" s="830"/>
      <c r="BC55" s="830"/>
      <c r="BD55" s="830"/>
      <c r="BE55" s="830"/>
      <c r="BF55" s="830"/>
      <c r="BG55" s="830"/>
      <c r="BH55" s="830"/>
      <c r="BI55" s="830"/>
      <c r="BJ55" s="830"/>
      <c r="BK55" s="830"/>
      <c r="BL55" s="830"/>
      <c r="BM55" s="830"/>
      <c r="BN55" s="830"/>
    </row>
    <row r="56" spans="1:78" s="2" customFormat="1" ht="4.1500000000000004" customHeight="1" x14ac:dyDescent="0.2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</row>
    <row r="57" spans="1:78" s="5" customFormat="1" ht="6" customHeight="1" x14ac:dyDescent="0.15">
      <c r="A57" s="852" t="s">
        <v>35</v>
      </c>
      <c r="B57" s="852"/>
      <c r="C57" s="852"/>
      <c r="D57" s="852"/>
      <c r="E57" s="852"/>
      <c r="F57" s="852"/>
      <c r="G57" s="852"/>
      <c r="H57" s="852"/>
      <c r="I57" s="852"/>
      <c r="J57" s="852"/>
      <c r="K57" s="852"/>
      <c r="L57" s="852"/>
      <c r="M57" s="852"/>
      <c r="N57" s="852"/>
      <c r="O57" s="852"/>
      <c r="P57" s="852"/>
      <c r="Q57" s="852"/>
      <c r="R57" s="852"/>
      <c r="S57" s="852"/>
      <c r="T57" s="852"/>
      <c r="U57" s="852"/>
      <c r="V57" s="852"/>
      <c r="W57" s="852"/>
      <c r="X57" s="852"/>
      <c r="Y57" s="852"/>
      <c r="Z57" s="852"/>
      <c r="AA57" s="852"/>
      <c r="AB57" s="852"/>
      <c r="AC57" s="852"/>
      <c r="AD57" s="852"/>
      <c r="AE57" s="852"/>
      <c r="AF57" s="852"/>
      <c r="AG57" s="852"/>
      <c r="AH57" s="852"/>
      <c r="AI57" s="852"/>
      <c r="AJ57" s="852"/>
      <c r="AK57" s="852"/>
      <c r="AL57" s="852"/>
      <c r="AM57" s="852"/>
      <c r="AN57" s="852"/>
      <c r="AO57" s="852"/>
      <c r="AP57" s="852"/>
      <c r="AQ57" s="852"/>
      <c r="AR57" s="852"/>
      <c r="AS57" s="852"/>
      <c r="AT57" s="852"/>
      <c r="AU57" s="852"/>
      <c r="AV57" s="852"/>
      <c r="AW57" s="852"/>
      <c r="AX57" s="852"/>
      <c r="AY57" s="852"/>
      <c r="AZ57" s="852"/>
      <c r="BA57" s="852"/>
      <c r="BB57" s="852"/>
      <c r="BC57" s="852"/>
      <c r="BD57" s="852"/>
      <c r="BE57" s="852"/>
      <c r="BF57" s="852"/>
      <c r="BG57" s="852"/>
      <c r="BH57" s="852"/>
      <c r="BI57" s="852"/>
      <c r="BJ57" s="852"/>
      <c r="BK57" s="852"/>
      <c r="BL57" s="852"/>
      <c r="BM57" s="852"/>
      <c r="BN57" s="852"/>
      <c r="BO57" s="852"/>
      <c r="BP57" s="852"/>
      <c r="BQ57" s="852"/>
      <c r="BR57" s="852"/>
      <c r="BS57" s="852"/>
      <c r="BT57" s="852"/>
      <c r="BU57" s="852"/>
      <c r="BV57" s="852"/>
      <c r="BW57" s="852"/>
      <c r="BX57" s="852"/>
      <c r="BY57" s="852"/>
      <c r="BZ57" s="852"/>
    </row>
    <row r="58" spans="1:78" s="2" customFormat="1" ht="10.15" customHeight="1" x14ac:dyDescent="0.2">
      <c r="A58" s="11"/>
      <c r="B58" s="11" t="s">
        <v>36</v>
      </c>
      <c r="C58" s="11"/>
      <c r="D58" s="11" t="s">
        <v>37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</row>
    <row r="59" spans="1:78" s="2" customFormat="1" ht="10.15" customHeight="1" x14ac:dyDescent="0.2">
      <c r="A59" s="836" t="str">
        <f>IF('Данные объект'!B52="","",'Данные объект'!B52)</f>
      </c>
      <c r="B59" s="836"/>
      <c r="C59" s="836"/>
      <c r="D59" s="836"/>
      <c r="E59" s="836"/>
      <c r="F59" s="836"/>
      <c r="G59" s="836"/>
      <c r="H59" s="836"/>
      <c r="I59" s="836"/>
      <c r="J59" s="836"/>
      <c r="K59" s="836"/>
      <c r="L59" s="836"/>
      <c r="M59" s="836"/>
      <c r="N59" s="836"/>
      <c r="O59" s="836"/>
      <c r="P59" s="836"/>
      <c r="Q59" s="836"/>
      <c r="R59" s="836"/>
      <c r="S59" s="836"/>
      <c r="T59" s="836"/>
      <c r="U59" s="836"/>
      <c r="V59" s="836"/>
      <c r="W59" s="836"/>
      <c r="X59" s="836"/>
      <c r="Y59" s="836"/>
      <c r="Z59" s="836"/>
      <c r="AA59" s="836"/>
      <c r="AB59" s="836"/>
      <c r="AC59" s="836"/>
      <c r="AD59" s="836"/>
      <c r="AE59" s="836"/>
      <c r="AF59" s="836"/>
      <c r="AG59" s="836"/>
      <c r="AH59" s="836"/>
      <c r="AI59" s="836"/>
      <c r="AJ59" s="836"/>
      <c r="AK59" s="836"/>
      <c r="AL59" s="836"/>
      <c r="AM59" s="836"/>
      <c r="AN59" s="836"/>
      <c r="AO59" s="836"/>
      <c r="AP59" s="836"/>
      <c r="AQ59" s="836"/>
      <c r="AR59" s="836"/>
      <c r="AS59" s="836"/>
      <c r="AT59" s="836"/>
      <c r="AU59" s="836"/>
      <c r="AV59" s="836"/>
      <c r="AW59" s="836"/>
      <c r="AX59" s="836"/>
      <c r="AY59" s="836"/>
      <c r="AZ59" s="836"/>
      <c r="BA59" s="836"/>
      <c r="BB59" s="836"/>
      <c r="BC59" s="836"/>
      <c r="BD59" s="836"/>
      <c r="BE59" s="836"/>
      <c r="BF59" s="836"/>
      <c r="BG59" s="836"/>
      <c r="BH59" s="836"/>
      <c r="BI59" s="836"/>
      <c r="BJ59" s="836"/>
      <c r="BK59" s="836"/>
      <c r="BL59" s="836"/>
      <c r="BM59" s="836"/>
      <c r="BN59" s="836"/>
      <c r="BO59" s="836"/>
      <c r="BP59" s="836"/>
      <c r="BQ59" s="836"/>
      <c r="BR59" s="836"/>
      <c r="BS59" s="836"/>
      <c r="BT59" s="836"/>
      <c r="BU59" s="836"/>
      <c r="BV59" s="836"/>
      <c r="BW59" s="836"/>
      <c r="BX59" s="836"/>
      <c r="BY59" s="836"/>
      <c r="BZ59" s="836"/>
    </row>
    <row r="60" spans="1:78" s="5" customFormat="1" ht="5.45" customHeight="1" x14ac:dyDescent="0.15">
      <c r="A60" s="852" t="s">
        <v>38</v>
      </c>
      <c r="B60" s="852"/>
      <c r="C60" s="852"/>
      <c r="D60" s="852"/>
      <c r="E60" s="852"/>
      <c r="F60" s="852"/>
      <c r="G60" s="852"/>
      <c r="H60" s="852"/>
      <c r="I60" s="852"/>
      <c r="J60" s="852"/>
      <c r="K60" s="852"/>
      <c r="L60" s="852"/>
      <c r="M60" s="852"/>
      <c r="N60" s="852"/>
      <c r="O60" s="852"/>
      <c r="P60" s="852"/>
      <c r="Q60" s="852"/>
      <c r="R60" s="852"/>
      <c r="S60" s="852"/>
      <c r="T60" s="852"/>
      <c r="U60" s="852"/>
      <c r="V60" s="852"/>
      <c r="W60" s="852"/>
      <c r="X60" s="852"/>
      <c r="Y60" s="852"/>
      <c r="Z60" s="852"/>
      <c r="AA60" s="852"/>
      <c r="AB60" s="852"/>
      <c r="AC60" s="852"/>
      <c r="AD60" s="852"/>
      <c r="AE60" s="852"/>
      <c r="AF60" s="852"/>
      <c r="AG60" s="852"/>
      <c r="AH60" s="852"/>
      <c r="AI60" s="852"/>
      <c r="AJ60" s="852"/>
      <c r="AK60" s="852"/>
      <c r="AL60" s="852"/>
      <c r="AM60" s="852"/>
      <c r="AN60" s="852"/>
      <c r="AO60" s="852"/>
      <c r="AP60" s="852"/>
      <c r="AQ60" s="852"/>
      <c r="AR60" s="852"/>
      <c r="AS60" s="852"/>
      <c r="AT60" s="852"/>
      <c r="AU60" s="852"/>
      <c r="AV60" s="852"/>
      <c r="AW60" s="852"/>
      <c r="AX60" s="852"/>
      <c r="AY60" s="852"/>
      <c r="AZ60" s="852"/>
      <c r="BA60" s="852"/>
      <c r="BB60" s="852"/>
      <c r="BC60" s="852"/>
      <c r="BD60" s="852"/>
      <c r="BE60" s="852"/>
      <c r="BF60" s="852"/>
      <c r="BG60" s="852"/>
      <c r="BH60" s="852"/>
      <c r="BI60" s="852"/>
      <c r="BJ60" s="852"/>
      <c r="BK60" s="852"/>
      <c r="BL60" s="852"/>
      <c r="BM60" s="852"/>
      <c r="BN60" s="852"/>
      <c r="BO60" s="852"/>
      <c r="BP60" s="852"/>
      <c r="BQ60" s="852"/>
      <c r="BR60" s="852"/>
      <c r="BS60" s="852"/>
      <c r="BT60" s="852"/>
      <c r="BU60" s="852"/>
      <c r="BV60" s="852"/>
      <c r="BW60" s="852"/>
      <c r="BX60" s="852"/>
      <c r="BY60" s="852"/>
      <c r="BZ60" s="852"/>
    </row>
    <row r="61" spans="1:78" s="2" customFormat="1" ht="12.75" customHeight="1" x14ac:dyDescent="0.2">
      <c r="B61" s="11" t="s">
        <v>39</v>
      </c>
      <c r="C61" s="11"/>
      <c r="D61" s="11" t="s">
        <v>40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 spans="1:78" s="2" customFormat="1" ht="10.15" customHeight="1" x14ac:dyDescent="0.2">
      <c r="B62" s="11" t="s">
        <v>41</v>
      </c>
      <c r="C62" s="11"/>
      <c r="D62" s="853" t="s">
        <v>1196</v>
      </c>
      <c r="E62" s="853"/>
      <c r="F62" s="853"/>
      <c r="G62" s="853"/>
      <c r="H62" s="853"/>
      <c r="I62" s="853"/>
      <c r="J62" s="853"/>
      <c r="K62" s="853"/>
      <c r="L62" s="853"/>
      <c r="M62" s="853"/>
      <c r="N62" s="853"/>
      <c r="O62" s="853"/>
      <c r="P62" s="853"/>
      <c r="Q62" s="853"/>
      <c r="R62" s="853"/>
      <c r="S62" s="853"/>
      <c r="T62" s="853"/>
      <c r="U62" s="853"/>
      <c r="V62" s="853"/>
      <c r="W62" s="853"/>
      <c r="X62" s="853"/>
      <c r="Y62" s="853"/>
      <c r="Z62" s="853"/>
      <c r="AA62" s="853"/>
      <c r="AB62" s="853"/>
      <c r="AC62" s="853"/>
      <c r="AD62" s="853"/>
      <c r="AE62" s="853"/>
      <c r="AF62" s="853"/>
      <c r="AG62" s="853"/>
      <c r="AH62" s="853"/>
      <c r="AI62" s="853"/>
      <c r="AJ62" s="853"/>
      <c r="AK62" s="853"/>
      <c r="AL62" s="853"/>
      <c r="AM62" s="853"/>
      <c r="AN62" s="853"/>
      <c r="AO62" s="853"/>
      <c r="AP62" s="853"/>
      <c r="AQ62" s="853"/>
      <c r="AR62" s="853"/>
      <c r="AS62" s="853"/>
      <c r="AT62" s="853"/>
      <c r="AU62" s="853"/>
      <c r="AV62" s="853"/>
      <c r="AW62" s="853"/>
      <c r="AX62" s="853"/>
      <c r="AY62" s="853"/>
      <c r="AZ62" s="853"/>
      <c r="BA62" s="853"/>
      <c r="BB62" s="853"/>
      <c r="BC62" s="853"/>
      <c r="BD62" s="853"/>
      <c r="BE62" s="853"/>
      <c r="BF62" s="853"/>
      <c r="BG62" s="853"/>
      <c r="BH62" s="853"/>
      <c r="BI62" s="853"/>
      <c r="BJ62" s="853"/>
      <c r="BK62" s="853"/>
      <c r="BL62" s="853"/>
      <c r="BM62" s="853"/>
      <c r="BN62" s="853"/>
      <c r="BO62" s="853"/>
      <c r="BP62" s="853"/>
      <c r="BQ62" s="853"/>
      <c r="BR62" s="853"/>
      <c r="BS62" s="853"/>
      <c r="BT62" s="853"/>
      <c r="BU62" s="853"/>
      <c r="BV62" s="853"/>
      <c r="BW62" s="853"/>
      <c r="BX62" s="853"/>
      <c r="BY62" s="853"/>
      <c r="BZ62" s="853"/>
    </row>
    <row r="63" spans="1:78" s="2" customFormat="1" ht="15.75" customHeight="1" x14ac:dyDescent="0.2">
      <c r="B63" s="11"/>
      <c r="C63" s="11"/>
      <c r="D63" s="853"/>
      <c r="E63" s="853"/>
      <c r="F63" s="853"/>
      <c r="G63" s="853"/>
      <c r="H63" s="853"/>
      <c r="I63" s="853"/>
      <c r="J63" s="853"/>
      <c r="K63" s="853"/>
      <c r="L63" s="853"/>
      <c r="M63" s="853"/>
      <c r="N63" s="853"/>
      <c r="O63" s="853"/>
      <c r="P63" s="853"/>
      <c r="Q63" s="853"/>
      <c r="R63" s="853"/>
      <c r="S63" s="853"/>
      <c r="T63" s="853"/>
      <c r="U63" s="853"/>
      <c r="V63" s="853"/>
      <c r="W63" s="853"/>
      <c r="X63" s="853"/>
      <c r="Y63" s="853"/>
      <c r="Z63" s="853"/>
      <c r="AA63" s="853"/>
      <c r="AB63" s="853"/>
      <c r="AC63" s="853"/>
      <c r="AD63" s="853"/>
      <c r="AE63" s="853"/>
      <c r="AF63" s="853"/>
      <c r="AG63" s="853"/>
      <c r="AH63" s="853"/>
      <c r="AI63" s="853"/>
      <c r="AJ63" s="853"/>
      <c r="AK63" s="853"/>
      <c r="AL63" s="853"/>
      <c r="AM63" s="853"/>
      <c r="AN63" s="853"/>
      <c r="AO63" s="853"/>
      <c r="AP63" s="853"/>
      <c r="AQ63" s="853"/>
      <c r="AR63" s="853"/>
      <c r="AS63" s="853"/>
      <c r="AT63" s="853"/>
      <c r="AU63" s="853"/>
      <c r="AV63" s="853"/>
      <c r="AW63" s="853"/>
      <c r="AX63" s="853"/>
      <c r="AY63" s="853"/>
      <c r="AZ63" s="853"/>
      <c r="BA63" s="853"/>
      <c r="BB63" s="853"/>
      <c r="BC63" s="853"/>
      <c r="BD63" s="853"/>
      <c r="BE63" s="853"/>
      <c r="BF63" s="853"/>
      <c r="BG63" s="853"/>
      <c r="BH63" s="853"/>
      <c r="BI63" s="853"/>
      <c r="BJ63" s="853"/>
      <c r="BK63" s="853"/>
      <c r="BL63" s="853"/>
      <c r="BM63" s="853"/>
      <c r="BN63" s="853"/>
      <c r="BO63" s="853"/>
      <c r="BP63" s="853"/>
      <c r="BQ63" s="853"/>
      <c r="BR63" s="853"/>
      <c r="BS63" s="853"/>
      <c r="BT63" s="853"/>
      <c r="BU63" s="853"/>
      <c r="BV63" s="853"/>
      <c r="BW63" s="853"/>
      <c r="BX63" s="853"/>
      <c r="BY63" s="853"/>
      <c r="BZ63" s="853"/>
    </row>
    <row r="64" spans="1:78" s="2" customFormat="1" ht="12.75" customHeight="1" x14ac:dyDescent="0.2">
      <c r="B64" s="11" t="s">
        <v>42</v>
      </c>
      <c r="C64" s="11"/>
      <c r="D64" s="862" t="s">
        <v>43</v>
      </c>
      <c r="E64" s="862"/>
      <c r="F64" s="862"/>
      <c r="G64" s="862"/>
      <c r="H64" s="862"/>
      <c r="I64" s="862"/>
      <c r="J64" s="862"/>
      <c r="K64" s="862"/>
      <c r="L64" s="862"/>
      <c r="M64" s="862"/>
      <c r="N64" s="862"/>
      <c r="O64" s="862"/>
      <c r="P64" s="862"/>
      <c r="Q64" s="862"/>
      <c r="R64" s="862"/>
      <c r="S64" s="862"/>
      <c r="T64" s="862"/>
      <c r="U64" s="862"/>
      <c r="V64" s="862"/>
      <c r="W64" s="862"/>
      <c r="X64" s="862"/>
      <c r="Y64" s="862"/>
      <c r="Z64" s="862"/>
      <c r="AA64" s="862"/>
      <c r="AB64" s="862"/>
      <c r="AC64" s="862"/>
      <c r="AD64" s="862"/>
      <c r="AE64" s="862"/>
      <c r="AF64" s="862"/>
      <c r="AG64" s="862"/>
      <c r="AH64" s="862"/>
      <c r="AI64" s="862"/>
      <c r="AJ64" s="862"/>
      <c r="AK64" s="862"/>
      <c r="AL64" s="841" t="s">
        <v>45</v>
      </c>
      <c r="AM64" s="841"/>
      <c r="AN64" s="841"/>
      <c r="AO64" s="841"/>
      <c r="AP64" s="841"/>
      <c r="AQ64" s="841"/>
      <c r="AR64" s="841"/>
      <c r="AS64" s="841"/>
      <c r="AT64" s="841"/>
      <c r="AU64" s="841"/>
      <c r="AV64" s="841"/>
      <c r="AW64" s="841"/>
      <c r="AX64" s="841"/>
      <c r="AY64" s="841"/>
      <c r="AZ64" s="841"/>
      <c r="BA64" s="841"/>
      <c r="BB64" s="841"/>
      <c r="BC64" s="841"/>
      <c r="BD64" s="841"/>
      <c r="BE64" s="841"/>
      <c r="BF64" s="841"/>
      <c r="BG64" s="841"/>
      <c r="BH64" s="841"/>
      <c r="BI64" s="84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</row>
    <row r="65" spans="2:78" s="5" customFormat="1" ht="6.6" customHeight="1" x14ac:dyDescent="0.15">
      <c r="AL65" s="852" t="s">
        <v>44</v>
      </c>
      <c r="AM65" s="852"/>
      <c r="AN65" s="852"/>
      <c r="AO65" s="852"/>
      <c r="AP65" s="852"/>
      <c r="AQ65" s="852"/>
      <c r="AR65" s="852"/>
      <c r="AS65" s="852"/>
      <c r="AT65" s="852"/>
      <c r="AU65" s="852"/>
      <c r="AV65" s="852"/>
      <c r="AW65" s="852"/>
      <c r="AX65" s="852"/>
      <c r="AY65" s="852"/>
      <c r="AZ65" s="852"/>
      <c r="BA65" s="852"/>
      <c r="BB65" s="852"/>
      <c r="BC65" s="852"/>
      <c r="BD65" s="852"/>
      <c r="BE65" s="852"/>
      <c r="BF65" s="852"/>
      <c r="BG65" s="852"/>
      <c r="BH65" s="852"/>
      <c r="BI65" s="852"/>
    </row>
    <row r="66" spans="2:78" s="2" customFormat="1" ht="12.75" hidden="1" customHeight="1" x14ac:dyDescent="0.2">
      <c r="AN66" s="2" t="s">
        <v>45</v>
      </c>
    </row>
    <row r="67" spans="2:78" s="2" customFormat="1" ht="12.75" hidden="1" customHeight="1" x14ac:dyDescent="0.2">
      <c r="AN67" s="2" t="s">
        <v>46</v>
      </c>
    </row>
    <row r="68" spans="2:78" s="2" customFormat="1" ht="10.15" customHeight="1" x14ac:dyDescent="0.2">
      <c r="B68" s="11" t="s">
        <v>47</v>
      </c>
      <c r="C68" s="11"/>
      <c r="D68" s="856" t="s">
        <v>49</v>
      </c>
      <c r="E68" s="856"/>
      <c r="F68" s="856"/>
      <c r="G68" s="856"/>
      <c r="H68" s="856"/>
      <c r="I68" s="856"/>
      <c r="J68" s="856"/>
      <c r="K68" s="856"/>
      <c r="L68" s="856"/>
      <c r="M68" s="856"/>
      <c r="N68" s="856"/>
      <c r="O68" s="856"/>
      <c r="P68" s="856"/>
      <c r="Q68" s="856"/>
      <c r="R68" s="856"/>
      <c r="S68" s="856"/>
      <c r="T68" s="856"/>
      <c r="U68" s="856"/>
      <c r="V68" s="856"/>
      <c r="W68" s="856"/>
      <c r="X68" s="856"/>
      <c r="Y68" s="856"/>
      <c r="Z68" s="856"/>
      <c r="AA68" s="856"/>
      <c r="AB68" s="856"/>
      <c r="AC68" s="856"/>
      <c r="AD68" s="856"/>
      <c r="AE68" s="856"/>
      <c r="AF68" s="856"/>
      <c r="AG68" s="856"/>
      <c r="AH68" s="856"/>
      <c r="AI68" s="856"/>
      <c r="AJ68" s="856"/>
      <c r="AK68" s="856"/>
      <c r="AL68" s="856"/>
      <c r="AM68" s="856"/>
      <c r="AN68" s="856"/>
      <c r="AO68" s="856"/>
      <c r="AP68" s="856"/>
      <c r="AQ68" s="856"/>
      <c r="AR68" s="856"/>
      <c r="AS68" s="856"/>
      <c r="AT68" s="856"/>
      <c r="AU68" s="856"/>
      <c r="AV68" s="856"/>
      <c r="AW68" s="856"/>
      <c r="AX68" s="856"/>
      <c r="AY68" s="856"/>
      <c r="AZ68" s="856"/>
      <c r="BA68" s="856"/>
      <c r="BB68" s="856"/>
      <c r="BC68" s="856"/>
      <c r="BD68" s="856"/>
      <c r="BE68" s="856"/>
      <c r="BF68" s="856"/>
      <c r="BG68" s="856"/>
      <c r="BH68" s="856"/>
      <c r="BI68" s="856"/>
      <c r="BJ68" s="856"/>
      <c r="BK68" s="856"/>
      <c r="BL68" s="856"/>
      <c r="BM68" s="856"/>
      <c r="BN68" s="856"/>
      <c r="BO68" s="856"/>
      <c r="BP68" s="856"/>
      <c r="BQ68" s="856"/>
      <c r="BR68" s="856"/>
      <c r="BS68" s="856"/>
      <c r="BT68" s="856"/>
      <c r="BU68" s="856"/>
      <c r="BV68" s="856"/>
      <c r="BW68" s="856"/>
      <c r="BX68" s="856"/>
      <c r="BY68" s="856"/>
      <c r="BZ68" s="856"/>
    </row>
    <row r="69" spans="2:78" s="2" customFormat="1" ht="10.15" customHeight="1" x14ac:dyDescent="0.2">
      <c r="B69" s="11"/>
      <c r="C69" s="11"/>
      <c r="D69" s="856"/>
      <c r="E69" s="856"/>
      <c r="F69" s="856"/>
      <c r="G69" s="856"/>
      <c r="H69" s="856"/>
      <c r="I69" s="856"/>
      <c r="J69" s="856"/>
      <c r="K69" s="856"/>
      <c r="L69" s="856"/>
      <c r="M69" s="856"/>
      <c r="N69" s="856"/>
      <c r="O69" s="856"/>
      <c r="P69" s="856"/>
      <c r="Q69" s="856"/>
      <c r="R69" s="856"/>
      <c r="S69" s="856"/>
      <c r="T69" s="856"/>
      <c r="U69" s="856"/>
      <c r="V69" s="856"/>
      <c r="W69" s="856"/>
      <c r="X69" s="856"/>
      <c r="Y69" s="856"/>
      <c r="Z69" s="856"/>
      <c r="AA69" s="856"/>
      <c r="AB69" s="856"/>
      <c r="AC69" s="856"/>
      <c r="AD69" s="856"/>
      <c r="AE69" s="856"/>
      <c r="AF69" s="856"/>
      <c r="AG69" s="856"/>
      <c r="AH69" s="856"/>
      <c r="AI69" s="856"/>
      <c r="AJ69" s="856"/>
      <c r="AK69" s="856"/>
      <c r="AL69" s="856"/>
      <c r="AM69" s="856"/>
      <c r="AN69" s="856"/>
      <c r="AO69" s="856"/>
      <c r="AP69" s="856"/>
      <c r="AQ69" s="856"/>
      <c r="AR69" s="856"/>
      <c r="AS69" s="856"/>
      <c r="AT69" s="856"/>
      <c r="AU69" s="856"/>
      <c r="AV69" s="856"/>
      <c r="AW69" s="856"/>
      <c r="AX69" s="856"/>
      <c r="AY69" s="856"/>
      <c r="AZ69" s="856"/>
      <c r="BA69" s="856"/>
      <c r="BB69" s="856"/>
      <c r="BC69" s="856"/>
      <c r="BD69" s="856"/>
      <c r="BE69" s="856"/>
      <c r="BF69" s="856"/>
      <c r="BG69" s="856"/>
      <c r="BH69" s="856"/>
      <c r="BI69" s="856"/>
      <c r="BJ69" s="856"/>
      <c r="BK69" s="856"/>
      <c r="BL69" s="856"/>
      <c r="BM69" s="856"/>
      <c r="BN69" s="856"/>
      <c r="BO69" s="856"/>
      <c r="BP69" s="856"/>
      <c r="BQ69" s="856"/>
      <c r="BR69" s="856"/>
      <c r="BS69" s="856"/>
      <c r="BT69" s="856"/>
      <c r="BU69" s="856"/>
      <c r="BV69" s="856"/>
      <c r="BW69" s="856"/>
      <c r="BX69" s="856"/>
      <c r="BY69" s="856"/>
      <c r="BZ69" s="856"/>
    </row>
    <row r="70" spans="2:78" s="2" customFormat="1" ht="10.15" customHeight="1" x14ac:dyDescent="0.2">
      <c r="B70" s="11" t="s">
        <v>50</v>
      </c>
      <c r="C70" s="11"/>
      <c r="D70" s="11" t="s">
        <v>48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</row>
    <row r="71" spans="2:78" s="2" customFormat="1" ht="10.15" customHeight="1" x14ac:dyDescent="0.2">
      <c r="B71" s="11" t="s">
        <v>51</v>
      </c>
      <c r="C71" s="11"/>
      <c r="D71" s="11" t="s">
        <v>53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 spans="2:78" s="2" customFormat="1" ht="10.15" customHeight="1" x14ac:dyDescent="0.2">
      <c r="B72" s="854" t="s">
        <v>52</v>
      </c>
      <c r="C72" s="854"/>
      <c r="D72" s="11"/>
      <c r="E72" s="856" t="s">
        <v>1188</v>
      </c>
      <c r="F72" s="856"/>
      <c r="G72" s="856"/>
      <c r="H72" s="856"/>
      <c r="I72" s="856"/>
      <c r="J72" s="856"/>
      <c r="K72" s="856"/>
      <c r="L72" s="856"/>
      <c r="M72" s="856"/>
      <c r="N72" s="856"/>
      <c r="O72" s="856"/>
      <c r="P72" s="856"/>
      <c r="Q72" s="856"/>
      <c r="R72" s="856"/>
      <c r="S72" s="856"/>
      <c r="T72" s="856"/>
      <c r="U72" s="856"/>
      <c r="V72" s="856"/>
      <c r="W72" s="856"/>
      <c r="X72" s="856"/>
      <c r="Y72" s="856"/>
      <c r="Z72" s="856"/>
      <c r="AA72" s="856"/>
      <c r="AB72" s="856"/>
      <c r="AC72" s="856"/>
      <c r="AD72" s="856"/>
      <c r="AE72" s="856"/>
      <c r="AF72" s="856"/>
      <c r="AG72" s="856"/>
      <c r="AH72" s="856"/>
      <c r="AI72" s="856"/>
      <c r="AJ72" s="856"/>
      <c r="AK72" s="856"/>
      <c r="AL72" s="856"/>
      <c r="AM72" s="856"/>
      <c r="AN72" s="856"/>
      <c r="AO72" s="856"/>
      <c r="AP72" s="856"/>
      <c r="AQ72" s="856"/>
      <c r="AR72" s="856"/>
      <c r="AS72" s="856"/>
      <c r="AT72" s="856"/>
      <c r="AU72" s="856"/>
      <c r="AV72" s="856"/>
      <c r="AW72" s="856"/>
      <c r="AX72" s="856"/>
      <c r="AY72" s="856"/>
      <c r="AZ72" s="856"/>
      <c r="BA72" s="856"/>
      <c r="BB72" s="856"/>
      <c r="BC72" s="856"/>
      <c r="BD72" s="856"/>
      <c r="BE72" s="856"/>
      <c r="BF72" s="856"/>
      <c r="BG72" s="856"/>
      <c r="BH72" s="856"/>
      <c r="BI72" s="856"/>
      <c r="BJ72" s="856"/>
      <c r="BK72" s="856"/>
      <c r="BL72" s="856"/>
      <c r="BM72" s="856"/>
      <c r="BN72" s="856"/>
      <c r="BO72" s="856"/>
      <c r="BP72" s="856"/>
      <c r="BQ72" s="856"/>
      <c r="BR72" s="856"/>
      <c r="BS72" s="856"/>
      <c r="BT72" s="856"/>
      <c r="BU72" s="856"/>
      <c r="BV72" s="856"/>
      <c r="BW72" s="856"/>
      <c r="BX72" s="856"/>
      <c r="BY72" s="856"/>
      <c r="BZ72" s="856"/>
    </row>
    <row r="73" spans="2:78" s="2" customFormat="1" ht="10.15" customHeight="1" x14ac:dyDescent="0.2">
      <c r="B73" s="854" t="s">
        <v>54</v>
      </c>
      <c r="C73" s="854"/>
      <c r="D73" s="11"/>
      <c r="E73" s="11" t="s">
        <v>63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 spans="2:78" s="2" customFormat="1" ht="10.15" customHeight="1" x14ac:dyDescent="0.2">
      <c r="B74" s="11"/>
      <c r="C74" s="11"/>
      <c r="D74" s="11"/>
      <c r="E74" s="11" t="s">
        <v>55</v>
      </c>
      <c r="F74" s="11"/>
      <c r="G74" s="11"/>
      <c r="H74" s="11" t="s">
        <v>56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</row>
    <row r="75" spans="2:78" s="2" customFormat="1" ht="10.15" customHeight="1" x14ac:dyDescent="0.2">
      <c r="B75" s="11"/>
      <c r="C75" s="11"/>
      <c r="D75" s="11"/>
      <c r="E75" s="11" t="s">
        <v>57</v>
      </c>
      <c r="F75" s="11"/>
      <c r="G75" s="11"/>
      <c r="H75" s="61" t="s">
        <v>58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 spans="2:78" s="2" customFormat="1" ht="6.75" customHeight="1" x14ac:dyDescent="0.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</row>
    <row r="77" spans="2:78" s="2" customFormat="1" ht="6.75" customHeight="1" x14ac:dyDescent="0.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 spans="2:78" s="2" customFormat="1" ht="12.75" x14ac:dyDescent="0.2">
      <c r="B78" s="11"/>
      <c r="C78" s="11"/>
      <c r="D78" s="45" t="s">
        <v>344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855"/>
      <c r="AN78" s="855"/>
      <c r="AO78" s="855"/>
      <c r="AP78" s="855"/>
      <c r="AQ78" s="855"/>
      <c r="AR78" s="855"/>
      <c r="AS78" s="855"/>
      <c r="AT78" s="855"/>
      <c r="AU78" s="855"/>
      <c r="AV78" s="855"/>
      <c r="AW78" s="855"/>
      <c r="AX78" s="855"/>
      <c r="AY78" s="855"/>
      <c r="AZ78" s="11"/>
      <c r="BA78" s="11"/>
      <c r="BB78" s="11"/>
      <c r="BC78" s="831" t="str">
        <f>IF('Данные объект'!B37="","",'Данные объект'!B37)</f>
      </c>
      <c r="BD78" s="831"/>
      <c r="BE78" s="831"/>
      <c r="BF78" s="831"/>
      <c r="BG78" s="831"/>
      <c r="BH78" s="831"/>
      <c r="BI78" s="831"/>
      <c r="BJ78" s="831"/>
      <c r="BK78" s="831"/>
      <c r="BL78" s="831"/>
      <c r="BM78" s="831"/>
      <c r="BN78" s="831"/>
      <c r="BO78" s="831"/>
      <c r="BP78" s="831"/>
      <c r="BQ78" s="831"/>
      <c r="BR78" s="11"/>
      <c r="BS78" s="11"/>
      <c r="BT78" s="11"/>
      <c r="BU78" s="11"/>
      <c r="BV78" s="11"/>
      <c r="BW78" s="11"/>
      <c r="BX78" s="11"/>
      <c r="BY78" s="11"/>
      <c r="BZ78" s="11"/>
    </row>
    <row r="79" spans="2:78" s="5" customFormat="1" ht="9.75" x14ac:dyDescent="0.2">
      <c r="C79" s="20"/>
      <c r="E79" s="21"/>
      <c r="F79" s="21"/>
      <c r="G79" s="20"/>
      <c r="H79" s="20"/>
      <c r="I79" s="20"/>
      <c r="J79" s="20"/>
      <c r="K79" s="20"/>
      <c r="L79" s="20"/>
      <c r="M79" s="20"/>
      <c r="AM79" s="858" t="s">
        <v>2</v>
      </c>
      <c r="AN79" s="858"/>
      <c r="AO79" s="858"/>
      <c r="AP79" s="858"/>
      <c r="AQ79" s="858"/>
      <c r="AR79" s="858"/>
      <c r="AS79" s="858"/>
      <c r="AT79" s="858"/>
      <c r="AU79" s="858"/>
      <c r="AV79" s="858"/>
      <c r="AW79" s="858"/>
      <c r="AX79" s="858"/>
      <c r="AY79" s="858"/>
    </row>
    <row r="80" spans="2:78" s="5" customFormat="1" ht="5.45" customHeight="1" x14ac:dyDescent="0.2">
      <c r="C80" s="20"/>
      <c r="E80" s="21"/>
      <c r="F80" s="21"/>
      <c r="G80" s="20"/>
      <c r="H80" s="20"/>
      <c r="I80" s="20"/>
      <c r="J80" s="20"/>
      <c r="K80" s="20"/>
      <c r="L80" s="20"/>
      <c r="M80" s="20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</row>
    <row r="81" spans="3:69" s="5" customFormat="1" ht="9.75" hidden="1" x14ac:dyDescent="0.2">
      <c r="C81" s="20"/>
      <c r="E81" s="21"/>
      <c r="F81" s="21"/>
      <c r="G81" s="20"/>
      <c r="H81" s="20"/>
      <c r="I81" s="20"/>
      <c r="J81" s="20"/>
      <c r="K81" s="20"/>
      <c r="L81" s="20"/>
      <c r="M81" s="20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</row>
    <row r="82" spans="3:69" s="5" customFormat="1" ht="12.75" hidden="1" x14ac:dyDescent="0.2">
      <c r="C82" s="20"/>
      <c r="E82" s="21"/>
      <c r="F82" s="21"/>
      <c r="G82" s="20"/>
      <c r="H82" s="20"/>
      <c r="I82" s="20"/>
      <c r="J82" s="20"/>
      <c r="K82" s="20"/>
      <c r="L82" s="20"/>
      <c r="M82" s="20"/>
      <c r="AM82" s="857"/>
      <c r="AN82" s="857"/>
      <c r="AO82" s="857"/>
      <c r="AP82" s="857"/>
      <c r="AQ82" s="857"/>
      <c r="AR82" s="857"/>
      <c r="AS82" s="857"/>
      <c r="AT82" s="857"/>
      <c r="AU82" s="857"/>
      <c r="AV82" s="857"/>
      <c r="AW82" s="857"/>
      <c r="AX82" s="857"/>
      <c r="AY82" s="857"/>
      <c r="AZ82" s="2"/>
      <c r="BA82" s="2"/>
      <c r="BB82" s="2"/>
      <c r="BC82" s="831" t="str">
        <f>IF('Данные объект'!B40="","",'Данные объект'!B40)</f>
      </c>
      <c r="BD82" s="831"/>
      <c r="BE82" s="831"/>
      <c r="BF82" s="831"/>
      <c r="BG82" s="831"/>
      <c r="BH82" s="831"/>
      <c r="BI82" s="831"/>
      <c r="BJ82" s="831"/>
      <c r="BK82" s="831"/>
      <c r="BL82" s="831"/>
      <c r="BM82" s="831"/>
      <c r="BN82" s="831"/>
      <c r="BO82" s="831"/>
      <c r="BP82" s="831"/>
      <c r="BQ82" s="831"/>
    </row>
    <row r="83" spans="3:69" s="5" customFormat="1" ht="8.25" hidden="1" customHeight="1" x14ac:dyDescent="0.2">
      <c r="C83" s="20"/>
      <c r="E83" s="21"/>
      <c r="F83" s="21"/>
      <c r="G83" s="20"/>
      <c r="H83" s="20"/>
      <c r="I83" s="20"/>
      <c r="J83" s="20"/>
      <c r="K83" s="20"/>
      <c r="L83" s="20"/>
      <c r="M83" s="20"/>
      <c r="AM83" s="858" t="s">
        <v>2</v>
      </c>
      <c r="AN83" s="858"/>
      <c r="AO83" s="858"/>
      <c r="AP83" s="858"/>
      <c r="AQ83" s="858"/>
      <c r="AR83" s="858"/>
      <c r="AS83" s="858"/>
      <c r="AT83" s="858"/>
      <c r="AU83" s="858"/>
      <c r="AV83" s="858"/>
      <c r="AW83" s="858"/>
      <c r="AX83" s="858"/>
      <c r="AY83" s="858"/>
    </row>
    <row r="84" spans="3:69" s="5" customFormat="1" ht="4.9000000000000004" hidden="1" customHeight="1" x14ac:dyDescent="0.2">
      <c r="C84" s="20"/>
      <c r="E84" s="21"/>
      <c r="F84" s="21"/>
      <c r="G84" s="20"/>
      <c r="H84" s="20"/>
      <c r="I84" s="20"/>
      <c r="J84" s="20"/>
      <c r="K84" s="20"/>
      <c r="L84" s="20"/>
      <c r="M84" s="20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</row>
    <row r="85" spans="3:69" s="5" customFormat="1" ht="9.75" hidden="1" x14ac:dyDescent="0.2">
      <c r="C85" s="20"/>
      <c r="E85" s="21"/>
      <c r="F85" s="21"/>
      <c r="G85" s="20"/>
      <c r="H85" s="20"/>
      <c r="I85" s="20"/>
      <c r="J85" s="20"/>
      <c r="K85" s="20"/>
      <c r="L85" s="20"/>
      <c r="M85" s="20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</row>
    <row r="86" spans="3:69" s="2" customFormat="1" ht="13.5" hidden="1" collapsed="1" x14ac:dyDescent="0.25">
      <c r="C86" s="3"/>
      <c r="D86" s="10"/>
      <c r="E86" s="54"/>
      <c r="F86" s="54"/>
      <c r="G86" s="55"/>
      <c r="H86" s="55"/>
      <c r="I86" s="55"/>
      <c r="J86" s="55"/>
      <c r="K86" s="55"/>
      <c r="L86" s="55"/>
      <c r="M86" s="55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860"/>
      <c r="AN86" s="860"/>
      <c r="AO86" s="860"/>
      <c r="AP86" s="860"/>
      <c r="AQ86" s="860"/>
      <c r="AR86" s="860"/>
      <c r="AS86" s="860"/>
      <c r="AT86" s="860"/>
      <c r="AU86" s="860"/>
      <c r="AV86" s="860"/>
      <c r="AW86" s="860"/>
      <c r="AX86" s="860"/>
      <c r="AY86" s="860"/>
      <c r="AZ86" s="56"/>
      <c r="BA86" s="56"/>
      <c r="BB86" s="56"/>
      <c r="BC86" s="861" t="str">
        <f>IF('Данные объект'!B42="","",'Данные объект'!B42)</f>
      </c>
      <c r="BD86" s="861"/>
      <c r="BE86" s="861"/>
      <c r="BF86" s="861"/>
      <c r="BG86" s="861"/>
      <c r="BH86" s="861"/>
      <c r="BI86" s="861"/>
      <c r="BJ86" s="861"/>
      <c r="BK86" s="861"/>
      <c r="BL86" s="861"/>
      <c r="BM86" s="861"/>
      <c r="BN86" s="861"/>
      <c r="BO86" s="861"/>
      <c r="BP86" s="861"/>
      <c r="BQ86" s="861"/>
    </row>
    <row r="87" spans="3:69" s="5" customFormat="1" ht="9.75" hidden="1" x14ac:dyDescent="0.2">
      <c r="C87" s="20"/>
      <c r="E87" s="21"/>
      <c r="F87" s="21"/>
      <c r="G87" s="20"/>
      <c r="H87" s="20"/>
      <c r="I87" s="20"/>
      <c r="J87" s="20"/>
      <c r="K87" s="20"/>
      <c r="L87" s="20"/>
      <c r="M87" s="20"/>
      <c r="AM87" s="858" t="s">
        <v>2</v>
      </c>
      <c r="AN87" s="858"/>
      <c r="AO87" s="858"/>
      <c r="AP87" s="858"/>
      <c r="AQ87" s="858"/>
      <c r="AR87" s="858"/>
      <c r="AS87" s="858"/>
      <c r="AT87" s="858"/>
      <c r="AU87" s="858"/>
      <c r="AV87" s="858"/>
      <c r="AW87" s="858"/>
      <c r="AX87" s="858"/>
      <c r="AY87" s="858"/>
    </row>
    <row r="88" spans="3:69" s="5" customFormat="1" ht="6" hidden="1" customHeight="1" x14ac:dyDescent="0.2">
      <c r="C88" s="20"/>
      <c r="E88" s="21"/>
      <c r="F88" s="21"/>
      <c r="G88" s="20"/>
      <c r="H88" s="20"/>
      <c r="I88" s="20"/>
      <c r="J88" s="20"/>
      <c r="K88" s="20"/>
      <c r="L88" s="20"/>
      <c r="M88" s="20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</row>
    <row r="89" spans="3:69" s="5" customFormat="1" ht="9.75" x14ac:dyDescent="0.2">
      <c r="C89" s="20"/>
      <c r="E89" s="21"/>
      <c r="F89" s="21"/>
      <c r="G89" s="20"/>
      <c r="H89" s="20"/>
      <c r="I89" s="20"/>
      <c r="J89" s="20"/>
      <c r="K89" s="20"/>
      <c r="L89" s="20"/>
      <c r="M89" s="20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</row>
    <row r="90" spans="3:69" s="5" customFormat="1" ht="12.75" x14ac:dyDescent="0.2">
      <c r="C90" s="20"/>
      <c r="E90" s="21"/>
      <c r="F90" s="21"/>
      <c r="G90" s="20"/>
      <c r="H90" s="55"/>
      <c r="I90" s="55"/>
      <c r="J90" s="55"/>
      <c r="K90" s="55"/>
      <c r="L90" s="55"/>
      <c r="M90" s="55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860"/>
      <c r="AN90" s="860"/>
      <c r="AO90" s="860"/>
      <c r="AP90" s="860"/>
      <c r="AQ90" s="860"/>
      <c r="AR90" s="860"/>
      <c r="AS90" s="860"/>
      <c r="AT90" s="860"/>
      <c r="AU90" s="860"/>
      <c r="AV90" s="860"/>
      <c r="AW90" s="860"/>
      <c r="AX90" s="860"/>
      <c r="AY90" s="860"/>
      <c r="AZ90" s="56"/>
      <c r="BA90" s="56"/>
      <c r="BB90" s="56"/>
      <c r="BC90" s="861" t="str">
        <f>IF('Данные объект'!B42="","",'Данные объект'!B42)</f>
      </c>
      <c r="BD90" s="861"/>
      <c r="BE90" s="861"/>
      <c r="BF90" s="861"/>
      <c r="BG90" s="861"/>
      <c r="BH90" s="861"/>
      <c r="BI90" s="861"/>
      <c r="BJ90" s="861"/>
      <c r="BK90" s="861"/>
      <c r="BL90" s="861"/>
      <c r="BM90" s="861"/>
      <c r="BN90" s="861"/>
      <c r="BO90" s="861"/>
      <c r="BP90" s="861"/>
      <c r="BQ90" s="861"/>
    </row>
    <row r="91" spans="3:69" s="5" customFormat="1" ht="9.75" x14ac:dyDescent="0.2">
      <c r="C91" s="20"/>
      <c r="E91" s="21"/>
      <c r="F91" s="21"/>
      <c r="G91" s="20"/>
      <c r="H91" s="20"/>
      <c r="I91" s="20"/>
      <c r="J91" s="20"/>
      <c r="K91" s="20"/>
      <c r="L91" s="20"/>
      <c r="M91" s="20"/>
      <c r="AM91" s="858" t="s">
        <v>2</v>
      </c>
      <c r="AN91" s="858"/>
      <c r="AO91" s="858"/>
      <c r="AP91" s="858"/>
      <c r="AQ91" s="858"/>
      <c r="AR91" s="858"/>
      <c r="AS91" s="858"/>
      <c r="AT91" s="858"/>
      <c r="AU91" s="858"/>
      <c r="AV91" s="858"/>
      <c r="AW91" s="858"/>
      <c r="AX91" s="858"/>
      <c r="AY91" s="858"/>
    </row>
    <row r="92" spans="3:69" s="5" customFormat="1" ht="5.25" customHeight="1" x14ac:dyDescent="0.2">
      <c r="C92" s="20"/>
      <c r="E92" s="21"/>
      <c r="F92" s="21"/>
      <c r="G92" s="20"/>
      <c r="H92" s="20"/>
      <c r="I92" s="20"/>
      <c r="J92" s="20"/>
      <c r="K92" s="20"/>
      <c r="L92" s="20"/>
      <c r="M92" s="20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</row>
    <row r="93" spans="3:69" s="5" customFormat="1" ht="9.75" x14ac:dyDescent="0.2">
      <c r="C93" s="20"/>
      <c r="E93" s="21"/>
      <c r="F93" s="21"/>
      <c r="G93" s="20"/>
      <c r="H93" s="20"/>
      <c r="I93" s="20"/>
      <c r="J93" s="20"/>
      <c r="K93" s="20"/>
      <c r="L93" s="20"/>
      <c r="M93" s="20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</row>
    <row r="94" spans="3:69" s="2" customFormat="1" ht="13.5" x14ac:dyDescent="0.25">
      <c r="D94" s="10"/>
      <c r="AM94" s="857"/>
      <c r="AN94" s="857"/>
      <c r="AO94" s="857"/>
      <c r="AP94" s="857"/>
      <c r="AQ94" s="857"/>
      <c r="AR94" s="857"/>
      <c r="AS94" s="857"/>
      <c r="AT94" s="857"/>
      <c r="AU94" s="857"/>
      <c r="AV94" s="857"/>
      <c r="AW94" s="857"/>
      <c r="AX94" s="857"/>
      <c r="AY94" s="857"/>
      <c r="BC94" s="831" t="str">
        <f>IF('Данные объект'!B50="","",'Данные объект'!B50)</f>
      </c>
      <c r="BD94" s="831"/>
      <c r="BE94" s="831"/>
      <c r="BF94" s="831"/>
      <c r="BG94" s="831"/>
      <c r="BH94" s="831"/>
      <c r="BI94" s="831"/>
      <c r="BJ94" s="831"/>
      <c r="BK94" s="831"/>
      <c r="BL94" s="831"/>
      <c r="BM94" s="831"/>
      <c r="BN94" s="831"/>
      <c r="BO94" s="831"/>
      <c r="BP94" s="831"/>
      <c r="BQ94" s="831"/>
    </row>
    <row r="95" spans="3:69" s="5" customFormat="1" ht="9.75" x14ac:dyDescent="0.2">
      <c r="C95" s="20"/>
      <c r="E95" s="21"/>
      <c r="F95" s="21"/>
      <c r="G95" s="20"/>
      <c r="H95" s="20"/>
      <c r="I95" s="20"/>
      <c r="J95" s="20"/>
      <c r="K95" s="20"/>
      <c r="L95" s="20"/>
      <c r="M95" s="20"/>
      <c r="AM95" s="858" t="s">
        <v>2</v>
      </c>
      <c r="AN95" s="858"/>
      <c r="AO95" s="858"/>
      <c r="AP95" s="858"/>
      <c r="AQ95" s="858"/>
      <c r="AR95" s="858"/>
      <c r="AS95" s="858"/>
      <c r="AT95" s="858"/>
      <c r="AU95" s="858"/>
      <c r="AV95" s="858"/>
      <c r="AW95" s="858"/>
      <c r="AX95" s="858"/>
      <c r="AY95" s="858"/>
    </row>
    <row r="96" spans="3:69" s="5" customFormat="1" ht="9.75" x14ac:dyDescent="0.2">
      <c r="C96" s="20"/>
      <c r="E96" s="21"/>
      <c r="F96" s="21"/>
      <c r="G96" s="20"/>
      <c r="H96" s="20"/>
      <c r="I96" s="20"/>
      <c r="J96" s="20"/>
      <c r="K96" s="20"/>
      <c r="L96" s="20"/>
      <c r="M96" s="20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</row>
    <row r="97" spans="3:69" s="2" customFormat="1" ht="13.5" x14ac:dyDescent="0.25">
      <c r="C97" s="3"/>
      <c r="D97" s="45" t="s">
        <v>61</v>
      </c>
      <c r="E97" s="10"/>
      <c r="F97" s="10"/>
      <c r="G97" s="57"/>
      <c r="H97" s="3"/>
      <c r="I97" s="3"/>
      <c r="J97" s="3"/>
      <c r="K97" s="3"/>
      <c r="L97" s="3"/>
      <c r="M97" s="3"/>
      <c r="AM97" s="857"/>
      <c r="AN97" s="857"/>
      <c r="AO97" s="857"/>
      <c r="AP97" s="857"/>
      <c r="AQ97" s="857"/>
      <c r="AR97" s="857"/>
      <c r="AS97" s="857"/>
      <c r="AT97" s="857"/>
      <c r="AU97" s="857"/>
      <c r="AV97" s="857"/>
      <c r="AW97" s="857"/>
      <c r="AX97" s="857"/>
      <c r="AY97" s="857"/>
      <c r="BC97" s="831" t="str">
        <f>IF('Данные объект'!B23="","",'Данные объект'!B23)</f>
      </c>
      <c r="BD97" s="831"/>
      <c r="BE97" s="831"/>
      <c r="BF97" s="831"/>
      <c r="BG97" s="831"/>
      <c r="BH97" s="831"/>
      <c r="BI97" s="831"/>
      <c r="BJ97" s="831"/>
      <c r="BK97" s="831"/>
      <c r="BL97" s="831"/>
      <c r="BM97" s="831"/>
      <c r="BN97" s="831"/>
      <c r="BO97" s="831"/>
      <c r="BP97" s="831"/>
      <c r="BQ97" s="831"/>
    </row>
    <row r="98" spans="3:69" s="5" customFormat="1" ht="9.75" x14ac:dyDescent="0.2">
      <c r="C98" s="20"/>
      <c r="E98" s="21"/>
      <c r="F98" s="21"/>
      <c r="G98" s="20"/>
      <c r="H98" s="20"/>
      <c r="I98" s="20"/>
      <c r="J98" s="20"/>
      <c r="K98" s="20"/>
      <c r="L98" s="20"/>
      <c r="M98" s="20"/>
      <c r="AM98" s="858" t="s">
        <v>2</v>
      </c>
      <c r="AN98" s="858"/>
      <c r="AO98" s="858"/>
      <c r="AP98" s="858"/>
      <c r="AQ98" s="858"/>
      <c r="AR98" s="858"/>
      <c r="AS98" s="858"/>
      <c r="AT98" s="858"/>
      <c r="AU98" s="858"/>
      <c r="AV98" s="858"/>
      <c r="AW98" s="858"/>
      <c r="AX98" s="858"/>
      <c r="AY98" s="858"/>
    </row>
    <row r="99" spans="3:69" s="2" customFormat="1" ht="12.75" x14ac:dyDescent="0.2">
      <c r="C99" s="494" t="s">
        <v>62</v>
      </c>
      <c r="D99" s="494"/>
      <c r="E99" s="494"/>
      <c r="F99" s="494"/>
      <c r="AR99" s="859"/>
      <c r="AS99" s="859"/>
      <c r="AT99" s="859"/>
      <c r="AU99" s="859"/>
    </row>
    <row r="100" spans="3:69" s="2" customFormat="1" ht="12.75" x14ac:dyDescent="0.2">
      <c r="C100" s="7"/>
      <c r="D100" s="7"/>
      <c r="E100" s="7"/>
      <c r="F100" s="7"/>
      <c r="AR100" s="7"/>
      <c r="AS100" s="7"/>
      <c r="AT100" s="7"/>
      <c r="AU100" s="7"/>
    </row>
    <row r="101" spans="3:69" s="2" customFormat="1" ht="12.75" x14ac:dyDescent="0.2"/>
    <row r="102" spans="3:69" s="2" customFormat="1" ht="12.75" x14ac:dyDescent="0.2"/>
    <row r="103" spans="3:69" s="2" customFormat="1" ht="12.75" x14ac:dyDescent="0.2"/>
    <row r="104" spans="3:69" s="2" customFormat="1" ht="12.75" x14ac:dyDescent="0.2"/>
    <row r="105" spans="3:69" s="2" customFormat="1" ht="12.75" x14ac:dyDescent="0.2"/>
    <row r="106" spans="3:69" s="2" customFormat="1" ht="12.75" x14ac:dyDescent="0.2"/>
    <row r="107" spans="3:69" s="2" customFormat="1" ht="12.75" x14ac:dyDescent="0.2"/>
    <row r="108" spans="3:69" s="2" customFormat="1" ht="12.75" x14ac:dyDescent="0.2"/>
    <row r="109" spans="3:69" s="2" customFormat="1" ht="12.75" x14ac:dyDescent="0.2"/>
    <row r="110" spans="3:69" s="2" customFormat="1" ht="12.75" x14ac:dyDescent="0.2"/>
    <row r="111" spans="3:69" s="2" customFormat="1" ht="12.75" x14ac:dyDescent="0.2"/>
    <row r="112" spans="3:69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</sheetData>
  <mergeCells count="127">
    <mergeCell ref="C99:F99"/>
    <mergeCell ref="AR99:AU99"/>
    <mergeCell ref="AM86:AY86"/>
    <mergeCell ref="BC86:BQ86"/>
    <mergeCell ref="AM98:AY98"/>
    <mergeCell ref="AM90:AY90"/>
    <mergeCell ref="BC90:BQ90"/>
    <mergeCell ref="AM91:AY91"/>
    <mergeCell ref="D64:AK64"/>
    <mergeCell ref="AL64:BI64"/>
    <mergeCell ref="AL65:BI65"/>
    <mergeCell ref="C48:F48"/>
    <mergeCell ref="G48:AJ48"/>
    <mergeCell ref="AK48:BF48"/>
    <mergeCell ref="BG48:BN48"/>
    <mergeCell ref="C49:F49"/>
    <mergeCell ref="G49:AJ49"/>
    <mergeCell ref="AK49:BF49"/>
    <mergeCell ref="BG49:BN49"/>
    <mergeCell ref="C50:F50"/>
    <mergeCell ref="G50:AJ50"/>
    <mergeCell ref="AK50:BF50"/>
    <mergeCell ref="BG50:BN50"/>
    <mergeCell ref="C54:F54"/>
    <mergeCell ref="G54:AJ54"/>
    <mergeCell ref="AK54:BF54"/>
    <mergeCell ref="BG54:BN54"/>
    <mergeCell ref="C55:F55"/>
    <mergeCell ref="G55:AJ55"/>
    <mergeCell ref="AK55:BF55"/>
    <mergeCell ref="AM97:AY97"/>
    <mergeCell ref="BC78:BQ78"/>
    <mergeCell ref="BC97:BQ97"/>
    <mergeCell ref="AM79:AY79"/>
    <mergeCell ref="E72:BZ72"/>
    <mergeCell ref="AM94:AY94"/>
    <mergeCell ref="AM95:AY95"/>
    <mergeCell ref="AM87:AY87"/>
    <mergeCell ref="AM82:AY82"/>
    <mergeCell ref="BC82:BQ82"/>
    <mergeCell ref="AM83:AY83"/>
    <mergeCell ref="BG55:BN55"/>
    <mergeCell ref="A57:BZ57"/>
    <mergeCell ref="A59:BZ59"/>
    <mergeCell ref="A19:BZ19"/>
    <mergeCell ref="A60:BZ60"/>
    <mergeCell ref="D62:BZ63"/>
    <mergeCell ref="BC94:BQ94"/>
    <mergeCell ref="C47:F47"/>
    <mergeCell ref="G47:AJ47"/>
    <mergeCell ref="AK47:BF47"/>
    <mergeCell ref="BG47:BN47"/>
    <mergeCell ref="B72:C72"/>
    <mergeCell ref="B73:C73"/>
    <mergeCell ref="AM78:AY78"/>
    <mergeCell ref="D68:BZ69"/>
    <mergeCell ref="C52:F52"/>
    <mergeCell ref="G52:AJ52"/>
    <mergeCell ref="AK52:BF52"/>
    <mergeCell ref="BG52:BN52"/>
    <mergeCell ref="C53:F53"/>
    <mergeCell ref="G53:AJ53"/>
    <mergeCell ref="AK53:BF53"/>
    <mergeCell ref="BG53:BN53"/>
    <mergeCell ref="C51:F51"/>
    <mergeCell ref="G51:AJ51"/>
    <mergeCell ref="AK51:BF51"/>
    <mergeCell ref="BG51:BN51"/>
    <mergeCell ref="C43:F43"/>
    <mergeCell ref="G43:AJ43"/>
    <mergeCell ref="AK43:BF43"/>
    <mergeCell ref="BG43:BN43"/>
    <mergeCell ref="AR1:BZ2"/>
    <mergeCell ref="A11:AI11"/>
    <mergeCell ref="A12:AI12"/>
    <mergeCell ref="A13:AI13"/>
    <mergeCell ref="AR3:BZ3"/>
    <mergeCell ref="A4:AI5"/>
    <mergeCell ref="AR4:BZ5"/>
    <mergeCell ref="A2:AI2"/>
    <mergeCell ref="A3:AI3"/>
    <mergeCell ref="A6:AI6"/>
    <mergeCell ref="AR6:BZ6"/>
    <mergeCell ref="AR11:BZ11"/>
    <mergeCell ref="AR12:BZ12"/>
    <mergeCell ref="AR13:BZ13"/>
    <mergeCell ref="AR7:BZ10"/>
    <mergeCell ref="A9:AI10"/>
    <mergeCell ref="AT37:BP37"/>
    <mergeCell ref="C39:F40"/>
    <mergeCell ref="G39:AJ40"/>
    <mergeCell ref="A15:BZ15"/>
    <mergeCell ref="C44:F44"/>
    <mergeCell ref="G44:AJ44"/>
    <mergeCell ref="AK44:BF44"/>
    <mergeCell ref="BG44:BN44"/>
    <mergeCell ref="C46:F46"/>
    <mergeCell ref="G46:AJ46"/>
    <mergeCell ref="AK46:BF46"/>
    <mergeCell ref="BG46:BN46"/>
    <mergeCell ref="C45:F45"/>
    <mergeCell ref="G45:AJ45"/>
    <mergeCell ref="AK45:BF45"/>
    <mergeCell ref="BG45:BN45"/>
    <mergeCell ref="A21:AV21"/>
    <mergeCell ref="A24:AV24"/>
    <mergeCell ref="A26:AV26"/>
    <mergeCell ref="A28:AV28"/>
    <mergeCell ref="A25:AV25"/>
    <mergeCell ref="A27:AV27"/>
    <mergeCell ref="A29:AV29"/>
    <mergeCell ref="A33:AV33"/>
    <mergeCell ref="A20:BZ20"/>
    <mergeCell ref="A34:AV34"/>
    <mergeCell ref="A22:AV22"/>
    <mergeCell ref="A30:AV30"/>
    <mergeCell ref="A31:AV31"/>
    <mergeCell ref="BG39:BN40"/>
    <mergeCell ref="C41:F41"/>
    <mergeCell ref="AK39:BF40"/>
    <mergeCell ref="C42:F42"/>
    <mergeCell ref="G41:AJ41"/>
    <mergeCell ref="AK41:BF41"/>
    <mergeCell ref="BG41:BN41"/>
    <mergeCell ref="G42:AJ42"/>
    <mergeCell ref="AK42:BF42"/>
    <mergeCell ref="BG42:BN42"/>
  </mergeCells>
  <phoneticPr fontId="44" type="noConversion"/>
  <dataValidations count="3">
    <dataValidation type="list" allowBlank="1" showInputMessage="1" showErrorMessage="1" sqref="L65:M65 AL64:BI64" xr:uid="{00000000-0002-0000-0500-000000000000}">
      <formula1>$AN$66:$AN$67</formula1>
    </dataValidation>
    <dataValidation type="list" allowBlank="1" showInputMessage="1" showErrorMessage="1" sqref="AK52:BF55" xr:uid="{75A80BD9-19B8-4005-8895-BCC3507B4785}">
      <formula1>ТП</formula1>
    </dataValidation>
    <dataValidation type="list" allowBlank="1" showInputMessage="1" showErrorMessage="1" sqref="G52:AJ55" xr:uid="{64F8453D-9026-4ACA-B68F-44E10308FCB7}">
      <formula1>работысмр</formula1>
    </dataValidation>
  </dataValidations>
  <pageMargins left="0.64583333333333337" right="0.19685039370078741" top="0.29166666666666669" bottom="0.19685039370078741" header="0.11811023622047245" footer="0.11811023622047245"/>
  <pageSetup paperSize="9" scale="9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89CC46-24F2-4E64-B6B8-3DA1A048A176}">
          <x14:formula1>
            <xm:f>'связ.данные (Работы)'!$A$2:$H$2</xm:f>
          </x14:formula1>
          <xm:sqref>CA42:CA51 G41:AJ51</xm:sqref>
        </x14:dataValidation>
        <x14:dataValidation type="list" allowBlank="1" showInputMessage="1" showErrorMessage="1" xr:uid="{1F39CAB5-E9E8-435E-BC53-3896980ECBD7}">
          <x14:formula1>
            <xm:f>OFFSET('связ.данные (Работы)'!$A$2,1,MATCH(G41:AJ41,'связ.данные (Работы)'!$A$2:$H$2,0)-1,10,1)</xm:f>
          </x14:formula1>
          <xm:sqref>AK41:BF51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FFFF"/>
  </sheetPr>
  <dimension ref="A1:CG50"/>
  <sheetViews>
    <sheetView view="pageBreakPreview" topLeftCell="A10" zoomScaleNormal="100" zoomScaleSheetLayoutView="100" workbookViewId="0">
      <selection activeCell="DB39" sqref="DB39"/>
    </sheetView>
  </sheetViews>
  <sheetFormatPr defaultColWidth="9.140625" defaultRowHeight="12.75" x14ac:dyDescent="0.2"/>
  <cols>
    <col min="1" max="80" width="1.140625" style="2" customWidth="1"/>
    <col min="81" max="81" width="2" style="2" customWidth="1"/>
    <col min="82" max="104" width="1.140625" style="2" customWidth="1"/>
    <col min="105" max="16384" width="9.140625" style="2"/>
  </cols>
  <sheetData>
    <row r="1" spans="1:85" ht="18.75" x14ac:dyDescent="0.3">
      <c r="BM1" s="401" t="s">
        <v>1397</v>
      </c>
    </row>
    <row r="2" spans="1:85" ht="12" customHeight="1" x14ac:dyDescent="0.3">
      <c r="BM2" s="401"/>
    </row>
    <row r="3" spans="1:85" ht="9" customHeight="1" x14ac:dyDescent="0.2">
      <c r="A3" s="836" t="str">
        <f>IF('Данные объект'!B33="","",'Данные объект'!B33)</f>
      </c>
      <c r="B3" s="836"/>
      <c r="C3" s="836"/>
      <c r="D3" s="836"/>
      <c r="E3" s="836"/>
      <c r="F3" s="836"/>
      <c r="G3" s="836"/>
      <c r="H3" s="836"/>
      <c r="I3" s="836"/>
      <c r="J3" s="836"/>
      <c r="K3" s="836"/>
      <c r="L3" s="836"/>
      <c r="M3" s="836"/>
      <c r="N3" s="836"/>
      <c r="O3" s="836"/>
      <c r="P3" s="836"/>
      <c r="Q3" s="836"/>
      <c r="R3" s="836"/>
      <c r="S3" s="836"/>
      <c r="T3" s="836"/>
      <c r="U3" s="836"/>
      <c r="V3" s="836"/>
      <c r="W3" s="836"/>
      <c r="X3" s="836"/>
      <c r="Y3" s="836"/>
      <c r="Z3" s="836"/>
      <c r="AA3" s="836"/>
      <c r="AB3" s="836"/>
      <c r="AC3" s="836"/>
      <c r="AD3" s="836"/>
      <c r="AE3" s="836"/>
      <c r="AF3" s="836"/>
      <c r="AG3" s="836"/>
      <c r="AH3" s="836"/>
      <c r="AI3" s="836"/>
      <c r="CA3" s="49"/>
      <c r="CB3" s="49"/>
    </row>
    <row r="4" spans="1:85" ht="15.75" customHeight="1" x14ac:dyDescent="0.2">
      <c r="A4" s="837"/>
      <c r="B4" s="837"/>
      <c r="C4" s="837"/>
      <c r="D4" s="837"/>
      <c r="E4" s="837"/>
      <c r="F4" s="837"/>
      <c r="G4" s="837"/>
      <c r="H4" s="837"/>
      <c r="I4" s="837"/>
      <c r="J4" s="837"/>
      <c r="K4" s="837"/>
      <c r="L4" s="837"/>
      <c r="M4" s="837"/>
      <c r="N4" s="837"/>
      <c r="O4" s="837"/>
      <c r="P4" s="837"/>
      <c r="Q4" s="837"/>
      <c r="R4" s="837"/>
      <c r="S4" s="837"/>
      <c r="T4" s="837"/>
      <c r="U4" s="837"/>
      <c r="V4" s="837"/>
      <c r="W4" s="837"/>
      <c r="X4" s="837"/>
      <c r="Y4" s="837"/>
      <c r="Z4" s="837"/>
      <c r="AA4" s="837"/>
      <c r="AB4" s="837"/>
      <c r="AC4" s="837"/>
      <c r="AD4" s="837"/>
      <c r="AE4" s="837"/>
      <c r="AF4" s="837"/>
      <c r="AG4" s="837"/>
      <c r="AH4" s="837"/>
      <c r="AI4" s="837"/>
      <c r="AU4" s="867" t="s">
        <v>1400</v>
      </c>
      <c r="AV4" s="867"/>
      <c r="AW4" s="867"/>
      <c r="AX4" s="867"/>
      <c r="AY4" s="867"/>
      <c r="AZ4" s="867"/>
      <c r="BA4" s="867"/>
      <c r="BB4" s="867"/>
      <c r="BC4" s="867"/>
      <c r="BD4" s="867"/>
      <c r="BE4" s="867"/>
      <c r="BF4" s="867"/>
      <c r="BG4" s="867"/>
      <c r="BH4" s="867"/>
      <c r="BI4" s="867"/>
      <c r="BJ4" s="867"/>
      <c r="BK4" s="867"/>
      <c r="BL4" s="867"/>
      <c r="BM4" s="867"/>
      <c r="BN4" s="867"/>
      <c r="BO4" s="867"/>
      <c r="BP4" s="867"/>
      <c r="BQ4" s="867"/>
      <c r="BR4" s="867"/>
      <c r="BS4" s="867"/>
      <c r="BT4" s="867"/>
      <c r="BU4" s="867"/>
      <c r="BV4" s="867"/>
      <c r="BW4" s="867"/>
      <c r="BX4" s="867"/>
      <c r="BY4" s="867"/>
      <c r="BZ4" s="867"/>
      <c r="CA4" s="867"/>
      <c r="CB4" s="867"/>
      <c r="CC4" s="867"/>
      <c r="CG4" s="2" t="s">
        <v>1401</v>
      </c>
    </row>
    <row r="5" spans="1:85" ht="29.25" customHeight="1" x14ac:dyDescent="0.2">
      <c r="A5" s="402"/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  <c r="AU5" s="868" t="str">
        <f>IF('Данные объект'!B11="","",'Данные объект'!B11)</f>
      </c>
      <c r="AV5" s="868"/>
      <c r="AW5" s="868"/>
      <c r="AX5" s="868"/>
      <c r="AY5" s="868"/>
      <c r="AZ5" s="868"/>
      <c r="BA5" s="868"/>
      <c r="BB5" s="868"/>
      <c r="BC5" s="868"/>
      <c r="BD5" s="868"/>
      <c r="BE5" s="868"/>
      <c r="BF5" s="868"/>
      <c r="BG5" s="868"/>
      <c r="BH5" s="868"/>
      <c r="BI5" s="868"/>
      <c r="BJ5" s="868"/>
      <c r="BK5" s="868"/>
      <c r="BL5" s="868"/>
      <c r="BM5" s="868"/>
      <c r="BN5" s="868"/>
      <c r="BO5" s="868"/>
      <c r="BP5" s="868"/>
      <c r="BQ5" s="868"/>
      <c r="BR5" s="868"/>
      <c r="BS5" s="868"/>
      <c r="BT5" s="868"/>
      <c r="BU5" s="868"/>
      <c r="BV5" s="868"/>
      <c r="BW5" s="868"/>
      <c r="BX5" s="868"/>
      <c r="BY5" s="868"/>
      <c r="BZ5" s="868"/>
      <c r="CA5" s="868"/>
      <c r="CB5" s="868"/>
      <c r="CC5" s="868"/>
    </row>
    <row r="6" spans="1:85" ht="14.25" customHeight="1" x14ac:dyDescent="0.2">
      <c r="A6" s="403"/>
      <c r="B6" s="403"/>
      <c r="C6" s="403"/>
      <c r="D6" s="403"/>
      <c r="E6" s="403"/>
      <c r="F6" s="403"/>
      <c r="G6" s="403"/>
      <c r="H6" s="403"/>
      <c r="I6" s="403"/>
      <c r="J6" s="403"/>
      <c r="K6" s="403"/>
      <c r="L6" s="403"/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  <c r="AC6" s="403"/>
      <c r="AD6" s="403"/>
      <c r="AE6" s="403"/>
      <c r="AF6" s="403"/>
      <c r="AG6" s="403"/>
      <c r="AH6" s="403"/>
      <c r="AI6" s="403"/>
      <c r="AJ6" s="5"/>
      <c r="AK6" s="5"/>
      <c r="AL6" s="5"/>
      <c r="AM6" s="5"/>
      <c r="AN6" s="5"/>
      <c r="AO6" s="5"/>
      <c r="AP6" s="5"/>
      <c r="AQ6" s="5"/>
      <c r="AU6" s="866" t="s">
        <v>1399</v>
      </c>
      <c r="AV6" s="866"/>
      <c r="AW6" s="866"/>
      <c r="AX6" s="866"/>
      <c r="AY6" s="866"/>
      <c r="AZ6" s="866"/>
      <c r="BA6" s="866"/>
      <c r="BB6" s="866"/>
      <c r="BC6" s="866"/>
      <c r="BD6" s="866"/>
      <c r="BE6" s="866"/>
      <c r="BF6" s="866"/>
      <c r="BG6" s="866"/>
      <c r="BH6" s="866"/>
      <c r="BI6" s="866"/>
      <c r="BJ6" s="866"/>
      <c r="BK6" s="866"/>
      <c r="BL6" s="866"/>
      <c r="BM6" s="866"/>
      <c r="BN6" s="866"/>
      <c r="BO6" s="866"/>
      <c r="BP6" s="866"/>
      <c r="BQ6" s="866"/>
      <c r="BR6" s="866"/>
      <c r="BS6" s="866"/>
      <c r="BT6" s="866"/>
      <c r="BU6" s="866"/>
      <c r="BV6" s="866"/>
      <c r="BW6" s="866"/>
      <c r="BX6" s="866"/>
      <c r="BY6" s="866"/>
      <c r="BZ6" s="866"/>
      <c r="CA6" s="866"/>
      <c r="CB6" s="866"/>
      <c r="CC6" s="866"/>
    </row>
    <row r="7" spans="1:85" s="5" customFormat="1" ht="12.75" customHeight="1" x14ac:dyDescent="0.2">
      <c r="AJ7" s="2"/>
      <c r="AK7" s="2"/>
      <c r="AL7" s="2"/>
      <c r="AM7" s="2"/>
      <c r="AN7" s="2"/>
      <c r="AO7" s="2"/>
      <c r="AP7" s="2"/>
      <c r="AQ7" s="2"/>
      <c r="AU7" s="871" t="str">
        <f>IF('Данные объект'!B3="","",'Данные объект'!B3)</f>
      </c>
      <c r="AV7" s="871"/>
      <c r="AW7" s="871"/>
      <c r="AX7" s="871"/>
      <c r="AY7" s="871"/>
      <c r="AZ7" s="871"/>
      <c r="BA7" s="871"/>
      <c r="BB7" s="871"/>
      <c r="BC7" s="871"/>
      <c r="BD7" s="871"/>
      <c r="BE7" s="871"/>
      <c r="BF7" s="871"/>
      <c r="BG7" s="871"/>
      <c r="BH7" s="871"/>
      <c r="BI7" s="871"/>
      <c r="BJ7" s="871"/>
      <c r="BK7" s="871"/>
      <c r="BL7" s="871"/>
      <c r="BM7" s="871"/>
      <c r="BN7" s="871"/>
      <c r="BO7" s="871"/>
      <c r="BP7" s="871"/>
      <c r="BQ7" s="871"/>
      <c r="BR7" s="871"/>
      <c r="BS7" s="871"/>
      <c r="BT7" s="871"/>
      <c r="BU7" s="871"/>
      <c r="BV7" s="871"/>
      <c r="BW7" s="871"/>
      <c r="BX7" s="871"/>
      <c r="BY7" s="871"/>
      <c r="BZ7" s="871"/>
      <c r="CA7" s="871"/>
      <c r="CB7" s="871"/>
      <c r="CC7" s="871"/>
    </row>
    <row r="8" spans="1:85" ht="13.15" customHeight="1" x14ac:dyDescent="0.2">
      <c r="AU8" s="871"/>
      <c r="AV8" s="871"/>
      <c r="AW8" s="871"/>
      <c r="AX8" s="871"/>
      <c r="AY8" s="871"/>
      <c r="AZ8" s="871"/>
      <c r="BA8" s="871"/>
      <c r="BB8" s="871"/>
      <c r="BC8" s="871"/>
      <c r="BD8" s="871"/>
      <c r="BE8" s="871"/>
      <c r="BF8" s="871"/>
      <c r="BG8" s="871"/>
      <c r="BH8" s="871"/>
      <c r="BI8" s="871"/>
      <c r="BJ8" s="871"/>
      <c r="BK8" s="871"/>
      <c r="BL8" s="871"/>
      <c r="BM8" s="871"/>
      <c r="BN8" s="871"/>
      <c r="BO8" s="871"/>
      <c r="BP8" s="871"/>
      <c r="BQ8" s="871"/>
      <c r="BR8" s="871"/>
      <c r="BS8" s="871"/>
      <c r="BT8" s="871"/>
      <c r="BU8" s="871"/>
      <c r="BV8" s="871"/>
      <c r="BW8" s="871"/>
      <c r="BX8" s="871"/>
      <c r="BY8" s="871"/>
      <c r="BZ8" s="871"/>
      <c r="CA8" s="871"/>
      <c r="CB8" s="871"/>
      <c r="CC8" s="871"/>
    </row>
    <row r="9" spans="1:85" ht="13.15" customHeight="1" x14ac:dyDescent="0.2">
      <c r="AU9" s="871"/>
      <c r="AV9" s="871"/>
      <c r="AW9" s="871"/>
      <c r="AX9" s="871"/>
      <c r="AY9" s="871"/>
      <c r="AZ9" s="871"/>
      <c r="BA9" s="871"/>
      <c r="BB9" s="871"/>
      <c r="BC9" s="871"/>
      <c r="BD9" s="871"/>
      <c r="BE9" s="871"/>
      <c r="BF9" s="871"/>
      <c r="BG9" s="871"/>
      <c r="BH9" s="871"/>
      <c r="BI9" s="871"/>
      <c r="BJ9" s="871"/>
      <c r="BK9" s="871"/>
      <c r="BL9" s="871"/>
      <c r="BM9" s="871"/>
      <c r="BN9" s="871"/>
      <c r="BO9" s="871"/>
      <c r="BP9" s="871"/>
      <c r="BQ9" s="871"/>
      <c r="BR9" s="871"/>
      <c r="BS9" s="871"/>
      <c r="BT9" s="871"/>
      <c r="BU9" s="871"/>
      <c r="BV9" s="871"/>
      <c r="BW9" s="871"/>
      <c r="BX9" s="871"/>
      <c r="BY9" s="871"/>
      <c r="BZ9" s="871"/>
      <c r="CA9" s="871"/>
      <c r="CB9" s="871"/>
      <c r="CC9" s="871"/>
    </row>
    <row r="10" spans="1:85" s="5" customFormat="1" ht="15" customHeight="1" x14ac:dyDescent="0.2">
      <c r="AJ10" s="2"/>
      <c r="AK10" s="2"/>
      <c r="AL10" s="2"/>
      <c r="AM10" s="2"/>
      <c r="AN10" s="2"/>
      <c r="AO10" s="2"/>
      <c r="AP10" s="2"/>
      <c r="AQ10" s="2"/>
      <c r="AU10" s="825"/>
      <c r="AV10" s="825"/>
      <c r="AW10" s="825"/>
      <c r="AX10" s="825"/>
      <c r="AY10" s="825"/>
      <c r="AZ10" s="825"/>
      <c r="BA10" s="825"/>
      <c r="BB10" s="825"/>
      <c r="BC10" s="825"/>
      <c r="BD10" s="825"/>
      <c r="BE10" s="825"/>
      <c r="BF10" s="825"/>
      <c r="BG10" s="825"/>
      <c r="BH10" s="825"/>
      <c r="BI10" s="825"/>
      <c r="BJ10" s="825"/>
      <c r="BK10" s="825"/>
      <c r="BL10" s="825"/>
      <c r="BM10" s="825"/>
      <c r="BN10" s="825"/>
      <c r="BO10" s="825"/>
      <c r="BP10" s="825"/>
      <c r="BQ10" s="825"/>
      <c r="BR10" s="825"/>
      <c r="BS10" s="825"/>
      <c r="BT10" s="825"/>
      <c r="BU10" s="825"/>
      <c r="BV10" s="825"/>
      <c r="BW10" s="825"/>
      <c r="BX10" s="825"/>
      <c r="BY10" s="825"/>
      <c r="BZ10" s="825"/>
      <c r="CA10" s="825"/>
      <c r="CB10" s="825"/>
      <c r="CC10" s="825"/>
    </row>
    <row r="11" spans="1:85" ht="9.6" customHeight="1" x14ac:dyDescent="0.2">
      <c r="AJ11" s="5"/>
      <c r="AK11" s="5"/>
      <c r="AL11" s="5"/>
      <c r="AM11" s="5"/>
      <c r="AN11" s="5"/>
      <c r="AO11" s="5"/>
      <c r="AP11" s="5"/>
      <c r="AQ11" s="5"/>
      <c r="AU11" s="838"/>
      <c r="AV11" s="838"/>
      <c r="AW11" s="838"/>
      <c r="AX11" s="838"/>
      <c r="AY11" s="838"/>
      <c r="AZ11" s="838"/>
      <c r="BA11" s="838"/>
      <c r="BB11" s="838"/>
      <c r="BC11" s="838"/>
      <c r="BD11" s="838"/>
      <c r="BE11" s="838"/>
      <c r="BF11" s="838"/>
      <c r="BG11" s="838"/>
      <c r="BH11" s="838"/>
      <c r="BI11" s="838"/>
      <c r="BJ11" s="838"/>
      <c r="BK11" s="838"/>
      <c r="BL11" s="838"/>
      <c r="BM11" s="838"/>
      <c r="BN11" s="838"/>
      <c r="BO11" s="838"/>
      <c r="BP11" s="838"/>
      <c r="BQ11" s="838"/>
      <c r="BR11" s="838"/>
      <c r="BS11" s="838"/>
      <c r="BT11" s="838"/>
      <c r="BU11" s="838"/>
      <c r="BV11" s="838"/>
      <c r="BW11" s="838"/>
      <c r="BX11" s="838"/>
      <c r="BY11" s="838"/>
      <c r="BZ11" s="838"/>
      <c r="CA11" s="838"/>
      <c r="CB11" s="838"/>
      <c r="CC11" s="838"/>
    </row>
    <row r="14" spans="1:85" x14ac:dyDescent="0.2">
      <c r="A14" s="851" t="s">
        <v>1390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5" ht="19.5" customHeight="1" x14ac:dyDescent="0.2">
      <c r="AE15" s="865" t="s">
        <v>1398</v>
      </c>
      <c r="AF15" s="865"/>
      <c r="AG15" s="864" t="str">
        <f>IF('Данные объект'!B8="","",'Данные объект'!B8)</f>
      </c>
      <c r="AH15" s="864"/>
      <c r="AI15" s="864"/>
      <c r="AJ15" s="864"/>
      <c r="AK15" s="864"/>
      <c r="AL15" s="864"/>
      <c r="AM15" s="864"/>
      <c r="AN15" s="864"/>
      <c r="AO15" s="864"/>
      <c r="AP15" s="864"/>
      <c r="AQ15" s="864"/>
      <c r="AR15" s="864"/>
      <c r="AS15" s="864"/>
      <c r="AT15" s="864"/>
      <c r="AU15" s="864"/>
      <c r="AV15" s="864"/>
      <c r="AW15" s="864"/>
      <c r="AX15" s="400"/>
      <c r="AY15" s="400"/>
    </row>
    <row r="16" spans="1:85" ht="12.75" customHeight="1" x14ac:dyDescent="0.2">
      <c r="A16" s="863" t="s">
        <v>64</v>
      </c>
      <c r="B16" s="863"/>
      <c r="C16" s="863"/>
      <c r="D16" s="863"/>
      <c r="E16" s="869"/>
      <c r="F16" s="863" t="s">
        <v>1391</v>
      </c>
      <c r="G16" s="863"/>
      <c r="H16" s="863"/>
      <c r="I16" s="863"/>
      <c r="J16" s="863"/>
      <c r="K16" s="863"/>
      <c r="L16" s="863"/>
      <c r="M16" s="863"/>
      <c r="N16" s="863"/>
      <c r="O16" s="863"/>
      <c r="P16" s="863"/>
      <c r="Q16" s="863"/>
      <c r="R16" s="863"/>
      <c r="S16" s="863" t="s">
        <v>1392</v>
      </c>
      <c r="T16" s="863"/>
      <c r="U16" s="863"/>
      <c r="V16" s="863"/>
      <c r="W16" s="863"/>
      <c r="X16" s="863"/>
      <c r="Y16" s="863"/>
      <c r="Z16" s="863"/>
      <c r="AA16" s="863"/>
      <c r="AB16" s="863"/>
      <c r="AC16" s="863"/>
      <c r="AD16" s="863"/>
      <c r="AE16" s="863"/>
      <c r="AF16" s="863" t="s">
        <v>1393</v>
      </c>
      <c r="AG16" s="863"/>
      <c r="AH16" s="863"/>
      <c r="AI16" s="863"/>
      <c r="AJ16" s="863"/>
      <c r="AK16" s="863"/>
      <c r="AL16" s="863"/>
      <c r="AM16" s="863"/>
      <c r="AN16" s="863"/>
      <c r="AO16" s="863"/>
      <c r="AP16" s="863"/>
      <c r="AQ16" s="863"/>
      <c r="AR16" s="863"/>
      <c r="AS16" s="863" t="s">
        <v>233</v>
      </c>
      <c r="AT16" s="863"/>
      <c r="AU16" s="863"/>
      <c r="AV16" s="863"/>
      <c r="AW16" s="863"/>
      <c r="AX16" s="863"/>
      <c r="AY16" s="863"/>
      <c r="AZ16" s="863"/>
      <c r="BA16" s="863"/>
      <c r="BB16" s="863"/>
      <c r="BC16" s="863"/>
      <c r="BD16" s="863"/>
      <c r="BE16" s="863"/>
      <c r="BF16" s="863" t="s">
        <v>1394</v>
      </c>
      <c r="BG16" s="863"/>
      <c r="BH16" s="863"/>
      <c r="BI16" s="863"/>
      <c r="BJ16" s="863"/>
      <c r="BK16" s="863"/>
      <c r="BL16" s="863"/>
      <c r="BM16" s="863"/>
      <c r="BN16" s="863"/>
      <c r="BO16" s="863"/>
      <c r="BP16" s="863"/>
      <c r="BQ16" s="863"/>
      <c r="BR16" s="863"/>
      <c r="BS16" s="863" t="s">
        <v>1395</v>
      </c>
      <c r="BT16" s="863"/>
      <c r="BU16" s="863"/>
      <c r="BV16" s="863"/>
      <c r="BW16" s="863"/>
      <c r="BX16" s="863"/>
      <c r="BY16" s="863"/>
      <c r="BZ16" s="863"/>
      <c r="CA16" s="863"/>
      <c r="CB16" s="863"/>
      <c r="CC16" s="863"/>
      <c r="CD16" s="863"/>
      <c r="CE16" s="863"/>
    </row>
    <row r="17" spans="1:83" ht="56.25" customHeight="1" x14ac:dyDescent="0.2">
      <c r="A17" s="863"/>
      <c r="B17" s="863"/>
      <c r="C17" s="863"/>
      <c r="D17" s="863"/>
      <c r="E17" s="869"/>
      <c r="F17" s="863"/>
      <c r="G17" s="863"/>
      <c r="H17" s="863"/>
      <c r="I17" s="863"/>
      <c r="J17" s="863"/>
      <c r="K17" s="863"/>
      <c r="L17" s="863"/>
      <c r="M17" s="863"/>
      <c r="N17" s="863"/>
      <c r="O17" s="863"/>
      <c r="P17" s="863"/>
      <c r="Q17" s="863"/>
      <c r="R17" s="863"/>
      <c r="S17" s="863"/>
      <c r="T17" s="863"/>
      <c r="U17" s="863"/>
      <c r="V17" s="863"/>
      <c r="W17" s="863"/>
      <c r="X17" s="863"/>
      <c r="Y17" s="863"/>
      <c r="Z17" s="863"/>
      <c r="AA17" s="863"/>
      <c r="AB17" s="863"/>
      <c r="AC17" s="863"/>
      <c r="AD17" s="863"/>
      <c r="AE17" s="863"/>
      <c r="AF17" s="863"/>
      <c r="AG17" s="863"/>
      <c r="AH17" s="863"/>
      <c r="AI17" s="863"/>
      <c r="AJ17" s="863"/>
      <c r="AK17" s="863"/>
      <c r="AL17" s="863"/>
      <c r="AM17" s="863"/>
      <c r="AN17" s="863"/>
      <c r="AO17" s="863"/>
      <c r="AP17" s="863"/>
      <c r="AQ17" s="863"/>
      <c r="AR17" s="863"/>
      <c r="AS17" s="863"/>
      <c r="AT17" s="863"/>
      <c r="AU17" s="863"/>
      <c r="AV17" s="863"/>
      <c r="AW17" s="863"/>
      <c r="AX17" s="863"/>
      <c r="AY17" s="863"/>
      <c r="AZ17" s="863"/>
      <c r="BA17" s="863"/>
      <c r="BB17" s="863"/>
      <c r="BC17" s="863"/>
      <c r="BD17" s="863"/>
      <c r="BE17" s="863"/>
      <c r="BF17" s="863"/>
      <c r="BG17" s="863"/>
      <c r="BH17" s="863"/>
      <c r="BI17" s="863"/>
      <c r="BJ17" s="863"/>
      <c r="BK17" s="863"/>
      <c r="BL17" s="863"/>
      <c r="BM17" s="863"/>
      <c r="BN17" s="863"/>
      <c r="BO17" s="863"/>
      <c r="BP17" s="863"/>
      <c r="BQ17" s="863"/>
      <c r="BR17" s="863"/>
      <c r="BS17" s="863"/>
      <c r="BT17" s="863"/>
      <c r="BU17" s="863"/>
      <c r="BV17" s="863"/>
      <c r="BW17" s="863"/>
      <c r="BX17" s="863"/>
      <c r="BY17" s="863"/>
      <c r="BZ17" s="863"/>
      <c r="CA17" s="863"/>
      <c r="CB17" s="863"/>
      <c r="CC17" s="863"/>
      <c r="CD17" s="863"/>
      <c r="CE17" s="863"/>
    </row>
    <row r="18" spans="1:83" ht="18.75" customHeight="1" x14ac:dyDescent="0.2">
      <c r="A18" s="869">
        <v>1</v>
      </c>
      <c r="B18" s="870"/>
      <c r="C18" s="870"/>
      <c r="D18" s="870"/>
      <c r="E18" s="870"/>
      <c r="F18" s="863" t="s">
        <v>101</v>
      </c>
      <c r="G18" s="863"/>
      <c r="H18" s="863"/>
      <c r="I18" s="863"/>
      <c r="J18" s="863"/>
      <c r="K18" s="863"/>
      <c r="L18" s="863"/>
      <c r="M18" s="863"/>
      <c r="N18" s="863"/>
      <c r="O18" s="863"/>
      <c r="P18" s="863"/>
      <c r="Q18" s="863"/>
      <c r="R18" s="863"/>
      <c r="S18" s="863" t="s">
        <v>101</v>
      </c>
      <c r="T18" s="863"/>
      <c r="U18" s="863"/>
      <c r="V18" s="863"/>
      <c r="W18" s="863"/>
      <c r="X18" s="863"/>
      <c r="Y18" s="863"/>
      <c r="Z18" s="863"/>
      <c r="AA18" s="863"/>
      <c r="AB18" s="863"/>
      <c r="AC18" s="863"/>
      <c r="AD18" s="863"/>
      <c r="AE18" s="863"/>
      <c r="AF18" s="863" t="s">
        <v>101</v>
      </c>
      <c r="AG18" s="863"/>
      <c r="AH18" s="863"/>
      <c r="AI18" s="863"/>
      <c r="AJ18" s="863"/>
      <c r="AK18" s="863"/>
      <c r="AL18" s="863"/>
      <c r="AM18" s="863"/>
      <c r="AN18" s="863"/>
      <c r="AO18" s="863"/>
      <c r="AP18" s="863"/>
      <c r="AQ18" s="863"/>
      <c r="AR18" s="863"/>
      <c r="AS18" s="863" t="s">
        <v>101</v>
      </c>
      <c r="AT18" s="863"/>
      <c r="AU18" s="863"/>
      <c r="AV18" s="863"/>
      <c r="AW18" s="863"/>
      <c r="AX18" s="863"/>
      <c r="AY18" s="863"/>
      <c r="AZ18" s="863"/>
      <c r="BA18" s="863"/>
      <c r="BB18" s="863"/>
      <c r="BC18" s="863"/>
      <c r="BD18" s="863"/>
      <c r="BE18" s="863"/>
      <c r="BF18" s="863" t="s">
        <v>101</v>
      </c>
      <c r="BG18" s="863"/>
      <c r="BH18" s="863"/>
      <c r="BI18" s="863"/>
      <c r="BJ18" s="863"/>
      <c r="BK18" s="863"/>
      <c r="BL18" s="863"/>
      <c r="BM18" s="863"/>
      <c r="BN18" s="863"/>
      <c r="BO18" s="863"/>
      <c r="BP18" s="863"/>
      <c r="BQ18" s="863"/>
      <c r="BR18" s="863"/>
      <c r="BS18" s="863" t="s">
        <v>101</v>
      </c>
      <c r="BT18" s="863"/>
      <c r="BU18" s="863"/>
      <c r="BV18" s="863"/>
      <c r="BW18" s="863"/>
      <c r="BX18" s="863"/>
      <c r="BY18" s="863"/>
      <c r="BZ18" s="863"/>
      <c r="CA18" s="863"/>
      <c r="CB18" s="863"/>
      <c r="CC18" s="863"/>
      <c r="CD18" s="863"/>
      <c r="CE18" s="863"/>
    </row>
    <row r="19" spans="1:83" ht="15" hidden="1" customHeight="1" x14ac:dyDescent="0.2">
      <c r="A19" s="880"/>
      <c r="B19" s="880"/>
      <c r="C19" s="880"/>
      <c r="D19" s="880"/>
      <c r="E19" s="880"/>
      <c r="F19" s="879"/>
      <c r="G19" s="879"/>
      <c r="H19" s="879"/>
      <c r="I19" s="879"/>
      <c r="J19" s="879"/>
      <c r="K19" s="879"/>
      <c r="L19" s="879"/>
      <c r="M19" s="879"/>
      <c r="N19" s="879"/>
      <c r="O19" s="879"/>
      <c r="P19" s="879"/>
      <c r="Q19" s="879"/>
      <c r="R19" s="879"/>
      <c r="S19" s="879"/>
      <c r="T19" s="879"/>
      <c r="U19" s="879"/>
      <c r="V19" s="879"/>
      <c r="W19" s="879"/>
      <c r="X19" s="879"/>
      <c r="Y19" s="879"/>
      <c r="Z19" s="879"/>
      <c r="AA19" s="879"/>
      <c r="AB19" s="879"/>
      <c r="AC19" s="879"/>
      <c r="AD19" s="879"/>
      <c r="AE19" s="876" t="s">
        <v>341</v>
      </c>
      <c r="AF19" s="877"/>
      <c r="AG19" s="877"/>
      <c r="AH19" s="877"/>
      <c r="AI19" s="877"/>
      <c r="AJ19" s="877"/>
      <c r="AK19" s="877"/>
      <c r="AL19" s="877"/>
      <c r="AM19" s="877"/>
      <c r="AN19" s="877"/>
      <c r="AO19" s="877"/>
      <c r="AP19" s="877"/>
      <c r="AQ19" s="877"/>
      <c r="AR19" s="877"/>
      <c r="AS19" s="877"/>
      <c r="AT19" s="877"/>
      <c r="AU19" s="877"/>
      <c r="AV19" s="877"/>
      <c r="AW19" s="877"/>
      <c r="AX19" s="877"/>
      <c r="AY19" s="877"/>
      <c r="AZ19" s="877"/>
      <c r="BA19" s="877"/>
      <c r="BB19" s="877"/>
      <c r="BC19" s="878"/>
      <c r="BD19" s="879" t="s">
        <v>341</v>
      </c>
      <c r="BE19" s="879"/>
      <c r="BF19" s="879"/>
      <c r="BG19" s="879"/>
      <c r="BH19" s="879"/>
      <c r="BI19" s="879"/>
      <c r="BJ19" s="879"/>
      <c r="BK19" s="879"/>
      <c r="BL19" s="879"/>
      <c r="BM19" s="879"/>
      <c r="BN19" s="879"/>
      <c r="BO19" s="879"/>
      <c r="BP19" s="879"/>
      <c r="BQ19" s="879"/>
      <c r="BR19" s="879"/>
      <c r="BS19" s="879"/>
      <c r="BT19" s="879"/>
      <c r="BU19" s="879"/>
      <c r="BV19" s="879"/>
      <c r="BW19" s="879"/>
      <c r="BX19" s="879"/>
      <c r="BY19" s="879"/>
      <c r="BZ19" s="879"/>
      <c r="CA19" s="879"/>
      <c r="CB19" s="879"/>
    </row>
    <row r="20" spans="1:83" ht="15" hidden="1" customHeight="1" x14ac:dyDescent="0.2">
      <c r="A20" s="872"/>
      <c r="B20" s="872"/>
      <c r="C20" s="872"/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  <c r="X20" s="872"/>
      <c r="Y20" s="872"/>
      <c r="Z20" s="872"/>
      <c r="AA20" s="872"/>
      <c r="AB20" s="872"/>
      <c r="AC20" s="872"/>
      <c r="AD20" s="872"/>
      <c r="AE20" s="873"/>
      <c r="AF20" s="874"/>
      <c r="AG20" s="874"/>
      <c r="AH20" s="874"/>
      <c r="AI20" s="874"/>
      <c r="AJ20" s="874"/>
      <c r="AK20" s="874"/>
      <c r="AL20" s="874"/>
      <c r="AM20" s="874"/>
      <c r="AN20" s="874"/>
      <c r="AO20" s="874"/>
      <c r="AP20" s="874"/>
      <c r="AQ20" s="874"/>
      <c r="AR20" s="874"/>
      <c r="AS20" s="874"/>
      <c r="AT20" s="874"/>
      <c r="AU20" s="874"/>
      <c r="AV20" s="874"/>
      <c r="AW20" s="874"/>
      <c r="AX20" s="874"/>
      <c r="AY20" s="874"/>
      <c r="AZ20" s="874"/>
      <c r="BA20" s="874"/>
      <c r="BB20" s="874"/>
      <c r="BC20" s="875"/>
      <c r="BD20" s="872"/>
      <c r="BE20" s="872"/>
      <c r="BF20" s="872"/>
      <c r="BG20" s="872"/>
      <c r="BH20" s="872"/>
      <c r="BI20" s="872"/>
      <c r="BJ20" s="872"/>
      <c r="BK20" s="872"/>
      <c r="BL20" s="872"/>
      <c r="BM20" s="872"/>
      <c r="BN20" s="872"/>
      <c r="BO20" s="872"/>
      <c r="BP20" s="872"/>
      <c r="BQ20" s="872"/>
      <c r="BR20" s="872"/>
      <c r="BS20" s="872"/>
      <c r="BT20" s="872"/>
      <c r="BU20" s="872"/>
      <c r="BV20" s="872"/>
      <c r="BW20" s="872"/>
      <c r="BX20" s="872"/>
      <c r="BY20" s="872"/>
      <c r="BZ20" s="872"/>
      <c r="CA20" s="872"/>
      <c r="CB20" s="872"/>
    </row>
    <row r="21" spans="1:83" ht="12.75" hidden="1" customHeight="1" x14ac:dyDescent="0.2">
      <c r="A21" s="872"/>
      <c r="B21" s="872"/>
      <c r="C21" s="872"/>
      <c r="D21" s="872"/>
      <c r="E21" s="872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  <c r="X21" s="872"/>
      <c r="Y21" s="872"/>
      <c r="Z21" s="872"/>
      <c r="AA21" s="872"/>
      <c r="AB21" s="872"/>
      <c r="AC21" s="872"/>
      <c r="AD21" s="872"/>
      <c r="AE21" s="873"/>
      <c r="AF21" s="874"/>
      <c r="AG21" s="874"/>
      <c r="AH21" s="874"/>
      <c r="AI21" s="874"/>
      <c r="AJ21" s="874"/>
      <c r="AK21" s="874"/>
      <c r="AL21" s="874"/>
      <c r="AM21" s="874"/>
      <c r="AN21" s="874"/>
      <c r="AO21" s="874"/>
      <c r="AP21" s="874"/>
      <c r="AQ21" s="874"/>
      <c r="AR21" s="874"/>
      <c r="AS21" s="874"/>
      <c r="AT21" s="874"/>
      <c r="AU21" s="874"/>
      <c r="AV21" s="874"/>
      <c r="AW21" s="874"/>
      <c r="AX21" s="874"/>
      <c r="AY21" s="874"/>
      <c r="AZ21" s="874"/>
      <c r="BA21" s="874"/>
      <c r="BB21" s="874"/>
      <c r="BC21" s="875"/>
      <c r="BD21" s="872"/>
      <c r="BE21" s="872"/>
      <c r="BF21" s="872"/>
      <c r="BG21" s="872"/>
      <c r="BH21" s="872"/>
      <c r="BI21" s="872"/>
      <c r="BJ21" s="872"/>
      <c r="BK21" s="872"/>
      <c r="BL21" s="872"/>
      <c r="BM21" s="872"/>
      <c r="BN21" s="872"/>
      <c r="BO21" s="872"/>
      <c r="BP21" s="872"/>
      <c r="BQ21" s="872"/>
      <c r="BR21" s="872"/>
      <c r="BS21" s="872"/>
      <c r="BT21" s="872"/>
      <c r="BU21" s="872"/>
      <c r="BV21" s="872"/>
      <c r="BW21" s="872"/>
      <c r="BX21" s="872"/>
      <c r="BY21" s="872"/>
      <c r="BZ21" s="872"/>
      <c r="CA21" s="872"/>
      <c r="CB21" s="872"/>
    </row>
    <row r="22" spans="1:83" ht="12.75" hidden="1" customHeight="1" x14ac:dyDescent="0.2">
      <c r="A22" s="872"/>
      <c r="B22" s="872"/>
      <c r="C22" s="872"/>
      <c r="D22" s="872"/>
      <c r="E22" s="872"/>
      <c r="F22" s="872"/>
      <c r="G22" s="87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2"/>
      <c r="W22" s="872"/>
      <c r="X22" s="872"/>
      <c r="Y22" s="872"/>
      <c r="Z22" s="872"/>
      <c r="AA22" s="872"/>
      <c r="AB22" s="872"/>
      <c r="AC22" s="872"/>
      <c r="AD22" s="872"/>
      <c r="AE22" s="873"/>
      <c r="AF22" s="874"/>
      <c r="AG22" s="874"/>
      <c r="AH22" s="874"/>
      <c r="AI22" s="874"/>
      <c r="AJ22" s="874"/>
      <c r="AK22" s="874"/>
      <c r="AL22" s="874"/>
      <c r="AM22" s="874"/>
      <c r="AN22" s="874"/>
      <c r="AO22" s="874"/>
      <c r="AP22" s="874"/>
      <c r="AQ22" s="874"/>
      <c r="AR22" s="874"/>
      <c r="AS22" s="874"/>
      <c r="AT22" s="874"/>
      <c r="AU22" s="874"/>
      <c r="AV22" s="874"/>
      <c r="AW22" s="874"/>
      <c r="AX22" s="874"/>
      <c r="AY22" s="874"/>
      <c r="AZ22" s="874"/>
      <c r="BA22" s="874"/>
      <c r="BB22" s="874"/>
      <c r="BC22" s="875"/>
      <c r="BD22" s="872"/>
      <c r="BE22" s="872"/>
      <c r="BF22" s="872"/>
      <c r="BG22" s="872"/>
      <c r="BH22" s="872"/>
      <c r="BI22" s="872"/>
      <c r="BJ22" s="872"/>
      <c r="BK22" s="872"/>
      <c r="BL22" s="872"/>
      <c r="BM22" s="872"/>
      <c r="BN22" s="872"/>
      <c r="BO22" s="872"/>
      <c r="BP22" s="872"/>
      <c r="BQ22" s="872"/>
      <c r="BR22" s="872"/>
      <c r="BS22" s="872"/>
      <c r="BT22" s="872"/>
      <c r="BU22" s="872"/>
      <c r="BV22" s="872"/>
      <c r="BW22" s="872"/>
      <c r="BX22" s="872"/>
      <c r="BY22" s="872"/>
      <c r="BZ22" s="872"/>
      <c r="CA22" s="872"/>
      <c r="CB22" s="872"/>
    </row>
    <row r="23" spans="1:83" ht="12.75" hidden="1" customHeight="1" x14ac:dyDescent="0.2">
      <c r="A23" s="872"/>
      <c r="B23" s="872"/>
      <c r="C23" s="872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  <c r="Z23" s="872"/>
      <c r="AA23" s="872"/>
      <c r="AB23" s="872"/>
      <c r="AC23" s="872"/>
      <c r="AD23" s="872"/>
      <c r="AE23" s="873"/>
      <c r="AF23" s="874"/>
      <c r="AG23" s="874"/>
      <c r="AH23" s="874"/>
      <c r="AI23" s="874"/>
      <c r="AJ23" s="874"/>
      <c r="AK23" s="874"/>
      <c r="AL23" s="874"/>
      <c r="AM23" s="874"/>
      <c r="AN23" s="874"/>
      <c r="AO23" s="874"/>
      <c r="AP23" s="874"/>
      <c r="AQ23" s="874"/>
      <c r="AR23" s="874"/>
      <c r="AS23" s="874"/>
      <c r="AT23" s="874"/>
      <c r="AU23" s="874"/>
      <c r="AV23" s="874"/>
      <c r="AW23" s="874"/>
      <c r="AX23" s="874"/>
      <c r="AY23" s="874"/>
      <c r="AZ23" s="874"/>
      <c r="BA23" s="874"/>
      <c r="BB23" s="874"/>
      <c r="BC23" s="875"/>
      <c r="BD23" s="872"/>
      <c r="BE23" s="872"/>
      <c r="BF23" s="872"/>
      <c r="BG23" s="872"/>
      <c r="BH23" s="872"/>
      <c r="BI23" s="872"/>
      <c r="BJ23" s="872"/>
      <c r="BK23" s="872"/>
      <c r="BL23" s="872"/>
      <c r="BM23" s="872"/>
      <c r="BN23" s="872"/>
      <c r="BO23" s="872"/>
      <c r="BP23" s="872"/>
      <c r="BQ23" s="872"/>
      <c r="BR23" s="872"/>
      <c r="BS23" s="872"/>
      <c r="BT23" s="872"/>
      <c r="BU23" s="872"/>
      <c r="BV23" s="872"/>
      <c r="BW23" s="872"/>
      <c r="BX23" s="872"/>
      <c r="BY23" s="872"/>
      <c r="BZ23" s="872"/>
      <c r="CA23" s="872"/>
      <c r="CB23" s="872"/>
    </row>
    <row r="24" spans="1:83" ht="12.75" hidden="1" customHeight="1" x14ac:dyDescent="0.2">
      <c r="A24" s="872"/>
      <c r="B24" s="872"/>
      <c r="C24" s="872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  <c r="X24" s="872"/>
      <c r="Y24" s="872"/>
      <c r="Z24" s="872"/>
      <c r="AA24" s="872"/>
      <c r="AB24" s="872"/>
      <c r="AC24" s="872"/>
      <c r="AD24" s="872"/>
      <c r="AE24" s="873"/>
      <c r="AF24" s="874"/>
      <c r="AG24" s="874"/>
      <c r="AH24" s="874"/>
      <c r="AI24" s="874"/>
      <c r="AJ24" s="874"/>
      <c r="AK24" s="874"/>
      <c r="AL24" s="874"/>
      <c r="AM24" s="874"/>
      <c r="AN24" s="874"/>
      <c r="AO24" s="874"/>
      <c r="AP24" s="874"/>
      <c r="AQ24" s="874"/>
      <c r="AR24" s="874"/>
      <c r="AS24" s="874"/>
      <c r="AT24" s="874"/>
      <c r="AU24" s="874"/>
      <c r="AV24" s="874"/>
      <c r="AW24" s="874"/>
      <c r="AX24" s="874"/>
      <c r="AY24" s="874"/>
      <c r="AZ24" s="874"/>
      <c r="BA24" s="874"/>
      <c r="BB24" s="874"/>
      <c r="BC24" s="875"/>
      <c r="BD24" s="872"/>
      <c r="BE24" s="872"/>
      <c r="BF24" s="872"/>
      <c r="BG24" s="872"/>
      <c r="BH24" s="872"/>
      <c r="BI24" s="872"/>
      <c r="BJ24" s="872"/>
      <c r="BK24" s="872"/>
      <c r="BL24" s="872"/>
      <c r="BM24" s="872"/>
      <c r="BN24" s="872"/>
      <c r="BO24" s="872"/>
      <c r="BP24" s="872"/>
      <c r="BQ24" s="872"/>
      <c r="BR24" s="872"/>
      <c r="BS24" s="872"/>
      <c r="BT24" s="872"/>
      <c r="BU24" s="872"/>
      <c r="BV24" s="872"/>
      <c r="BW24" s="872"/>
      <c r="BX24" s="872"/>
      <c r="BY24" s="872"/>
      <c r="BZ24" s="872"/>
      <c r="CA24" s="872"/>
      <c r="CB24" s="872"/>
    </row>
    <row r="25" spans="1:83" ht="12.75" hidden="1" customHeight="1" x14ac:dyDescent="0.2">
      <c r="A25" s="872"/>
      <c r="B25" s="872"/>
      <c r="C25" s="872"/>
      <c r="D25" s="872"/>
      <c r="E25" s="872"/>
      <c r="F25" s="872"/>
      <c r="G25" s="872"/>
      <c r="H25" s="872"/>
      <c r="I25" s="872"/>
      <c r="J25" s="872"/>
      <c r="K25" s="872"/>
      <c r="L25" s="872"/>
      <c r="M25" s="872"/>
      <c r="N25" s="872"/>
      <c r="O25" s="872"/>
      <c r="P25" s="872"/>
      <c r="Q25" s="872"/>
      <c r="R25" s="872"/>
      <c r="S25" s="872"/>
      <c r="T25" s="872"/>
      <c r="U25" s="872"/>
      <c r="V25" s="872"/>
      <c r="W25" s="872"/>
      <c r="X25" s="872"/>
      <c r="Y25" s="872"/>
      <c r="Z25" s="872"/>
      <c r="AA25" s="872"/>
      <c r="AB25" s="872"/>
      <c r="AC25" s="872"/>
      <c r="AD25" s="872"/>
      <c r="AE25" s="873"/>
      <c r="AF25" s="874"/>
      <c r="AG25" s="874"/>
      <c r="AH25" s="874"/>
      <c r="AI25" s="874"/>
      <c r="AJ25" s="874"/>
      <c r="AK25" s="874"/>
      <c r="AL25" s="874"/>
      <c r="AM25" s="874"/>
      <c r="AN25" s="874"/>
      <c r="AO25" s="874"/>
      <c r="AP25" s="874"/>
      <c r="AQ25" s="874"/>
      <c r="AR25" s="874"/>
      <c r="AS25" s="874"/>
      <c r="AT25" s="874"/>
      <c r="AU25" s="874"/>
      <c r="AV25" s="874"/>
      <c r="AW25" s="874"/>
      <c r="AX25" s="874"/>
      <c r="AY25" s="874"/>
      <c r="AZ25" s="874"/>
      <c r="BA25" s="874"/>
      <c r="BB25" s="874"/>
      <c r="BC25" s="875"/>
      <c r="BD25" s="872"/>
      <c r="BE25" s="872"/>
      <c r="BF25" s="872"/>
      <c r="BG25" s="872"/>
      <c r="BH25" s="872"/>
      <c r="BI25" s="872"/>
      <c r="BJ25" s="872"/>
      <c r="BK25" s="872"/>
      <c r="BL25" s="872"/>
      <c r="BM25" s="872"/>
      <c r="BN25" s="872"/>
      <c r="BO25" s="872"/>
      <c r="BP25" s="872"/>
      <c r="BQ25" s="872"/>
      <c r="BR25" s="872"/>
      <c r="BS25" s="872"/>
      <c r="BT25" s="872"/>
      <c r="BU25" s="872"/>
      <c r="BV25" s="872"/>
      <c r="BW25" s="872"/>
      <c r="BX25" s="872"/>
      <c r="BY25" s="872"/>
      <c r="BZ25" s="872"/>
      <c r="CA25" s="872"/>
      <c r="CB25" s="872"/>
    </row>
    <row r="26" spans="1:83" ht="12.75" hidden="1" customHeight="1" x14ac:dyDescent="0.2">
      <c r="A26" s="872"/>
      <c r="B26" s="872"/>
      <c r="C26" s="872"/>
      <c r="D26" s="872"/>
      <c r="E26" s="872"/>
      <c r="F26" s="872"/>
      <c r="G26" s="872"/>
      <c r="H26" s="872"/>
      <c r="I26" s="872"/>
      <c r="J26" s="872"/>
      <c r="K26" s="872"/>
      <c r="L26" s="872"/>
      <c r="M26" s="872"/>
      <c r="N26" s="872"/>
      <c r="O26" s="872"/>
      <c r="P26" s="872"/>
      <c r="Q26" s="872"/>
      <c r="R26" s="872"/>
      <c r="S26" s="872"/>
      <c r="T26" s="872"/>
      <c r="U26" s="872"/>
      <c r="V26" s="872"/>
      <c r="W26" s="872"/>
      <c r="X26" s="872"/>
      <c r="Y26" s="872"/>
      <c r="Z26" s="872"/>
      <c r="AA26" s="872"/>
      <c r="AB26" s="872"/>
      <c r="AC26" s="872"/>
      <c r="AD26" s="872"/>
      <c r="AE26" s="873"/>
      <c r="AF26" s="874"/>
      <c r="AG26" s="874"/>
      <c r="AH26" s="874"/>
      <c r="AI26" s="874"/>
      <c r="AJ26" s="874"/>
      <c r="AK26" s="874"/>
      <c r="AL26" s="874"/>
      <c r="AM26" s="874"/>
      <c r="AN26" s="874"/>
      <c r="AO26" s="874"/>
      <c r="AP26" s="874"/>
      <c r="AQ26" s="874"/>
      <c r="AR26" s="874"/>
      <c r="AS26" s="874"/>
      <c r="AT26" s="874"/>
      <c r="AU26" s="874"/>
      <c r="AV26" s="874"/>
      <c r="AW26" s="874"/>
      <c r="AX26" s="874"/>
      <c r="AY26" s="874"/>
      <c r="AZ26" s="874"/>
      <c r="BA26" s="874"/>
      <c r="BB26" s="874"/>
      <c r="BC26" s="875"/>
      <c r="BD26" s="872"/>
      <c r="BE26" s="872"/>
      <c r="BF26" s="872"/>
      <c r="BG26" s="872"/>
      <c r="BH26" s="872"/>
      <c r="BI26" s="872"/>
      <c r="BJ26" s="872"/>
      <c r="BK26" s="872"/>
      <c r="BL26" s="872"/>
      <c r="BM26" s="872"/>
      <c r="BN26" s="872"/>
      <c r="BO26" s="872"/>
      <c r="BP26" s="872"/>
      <c r="BQ26" s="872"/>
      <c r="BR26" s="872"/>
      <c r="BS26" s="872"/>
      <c r="BT26" s="872"/>
      <c r="BU26" s="872"/>
      <c r="BV26" s="872"/>
      <c r="BW26" s="872"/>
      <c r="BX26" s="872"/>
      <c r="BY26" s="872"/>
      <c r="BZ26" s="872"/>
      <c r="CA26" s="872"/>
      <c r="CB26" s="872"/>
    </row>
    <row r="27" spans="1:83" ht="12.75" hidden="1" customHeight="1" x14ac:dyDescent="0.2">
      <c r="A27" s="872"/>
      <c r="B27" s="872"/>
      <c r="C27" s="872"/>
      <c r="D27" s="872"/>
      <c r="E27" s="872"/>
      <c r="F27" s="872"/>
      <c r="G27" s="872"/>
      <c r="H27" s="872"/>
      <c r="I27" s="872"/>
      <c r="J27" s="872"/>
      <c r="K27" s="872"/>
      <c r="L27" s="872"/>
      <c r="M27" s="872"/>
      <c r="N27" s="872"/>
      <c r="O27" s="872"/>
      <c r="P27" s="872"/>
      <c r="Q27" s="872"/>
      <c r="R27" s="872"/>
      <c r="S27" s="872"/>
      <c r="T27" s="872"/>
      <c r="U27" s="872"/>
      <c r="V27" s="872"/>
      <c r="W27" s="872"/>
      <c r="X27" s="872"/>
      <c r="Y27" s="872"/>
      <c r="Z27" s="872"/>
      <c r="AA27" s="872"/>
      <c r="AB27" s="872"/>
      <c r="AC27" s="872"/>
      <c r="AD27" s="872"/>
      <c r="AE27" s="873"/>
      <c r="AF27" s="874"/>
      <c r="AG27" s="874"/>
      <c r="AH27" s="874"/>
      <c r="AI27" s="874"/>
      <c r="AJ27" s="874"/>
      <c r="AK27" s="874"/>
      <c r="AL27" s="874"/>
      <c r="AM27" s="874"/>
      <c r="AN27" s="874"/>
      <c r="AO27" s="874"/>
      <c r="AP27" s="874"/>
      <c r="AQ27" s="874"/>
      <c r="AR27" s="874"/>
      <c r="AS27" s="874"/>
      <c r="AT27" s="874"/>
      <c r="AU27" s="874"/>
      <c r="AV27" s="874"/>
      <c r="AW27" s="874"/>
      <c r="AX27" s="874"/>
      <c r="AY27" s="874"/>
      <c r="AZ27" s="874"/>
      <c r="BA27" s="874"/>
      <c r="BB27" s="874"/>
      <c r="BC27" s="875"/>
      <c r="BD27" s="872"/>
      <c r="BE27" s="872"/>
      <c r="BF27" s="872"/>
      <c r="BG27" s="872"/>
      <c r="BH27" s="872"/>
      <c r="BI27" s="872"/>
      <c r="BJ27" s="872"/>
      <c r="BK27" s="872"/>
      <c r="BL27" s="872"/>
      <c r="BM27" s="872"/>
      <c r="BN27" s="872"/>
      <c r="BO27" s="872"/>
      <c r="BP27" s="872"/>
      <c r="BQ27" s="872"/>
      <c r="BR27" s="872"/>
      <c r="BS27" s="872"/>
      <c r="BT27" s="872"/>
      <c r="BU27" s="872"/>
      <c r="BV27" s="872"/>
      <c r="BW27" s="872"/>
      <c r="BX27" s="872"/>
      <c r="BY27" s="872"/>
      <c r="BZ27" s="872"/>
      <c r="CA27" s="872"/>
      <c r="CB27" s="872"/>
    </row>
    <row r="28" spans="1:83" ht="12.75" hidden="1" customHeight="1" x14ac:dyDescent="0.2">
      <c r="A28" s="872"/>
      <c r="B28" s="872"/>
      <c r="C28" s="872"/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2"/>
      <c r="T28" s="872"/>
      <c r="U28" s="872"/>
      <c r="V28" s="872"/>
      <c r="W28" s="872"/>
      <c r="X28" s="872"/>
      <c r="Y28" s="872"/>
      <c r="Z28" s="872"/>
      <c r="AA28" s="872"/>
      <c r="AB28" s="872"/>
      <c r="AC28" s="872"/>
      <c r="AD28" s="872"/>
      <c r="AE28" s="873"/>
      <c r="AF28" s="874"/>
      <c r="AG28" s="874"/>
      <c r="AH28" s="874"/>
      <c r="AI28" s="874"/>
      <c r="AJ28" s="874"/>
      <c r="AK28" s="874"/>
      <c r="AL28" s="874"/>
      <c r="AM28" s="874"/>
      <c r="AN28" s="874"/>
      <c r="AO28" s="874"/>
      <c r="AP28" s="874"/>
      <c r="AQ28" s="874"/>
      <c r="AR28" s="874"/>
      <c r="AS28" s="874"/>
      <c r="AT28" s="874"/>
      <c r="AU28" s="874"/>
      <c r="AV28" s="874"/>
      <c r="AW28" s="874"/>
      <c r="AX28" s="874"/>
      <c r="AY28" s="874"/>
      <c r="AZ28" s="874"/>
      <c r="BA28" s="874"/>
      <c r="BB28" s="874"/>
      <c r="BC28" s="875"/>
      <c r="BD28" s="872"/>
      <c r="BE28" s="872"/>
      <c r="BF28" s="872"/>
      <c r="BG28" s="872"/>
      <c r="BH28" s="872"/>
      <c r="BI28" s="872"/>
      <c r="BJ28" s="872"/>
      <c r="BK28" s="872"/>
      <c r="BL28" s="872"/>
      <c r="BM28" s="872"/>
      <c r="BN28" s="872"/>
      <c r="BO28" s="872"/>
      <c r="BP28" s="872"/>
      <c r="BQ28" s="872"/>
      <c r="BR28" s="872"/>
      <c r="BS28" s="872"/>
      <c r="BT28" s="872"/>
      <c r="BU28" s="872"/>
      <c r="BV28" s="872"/>
      <c r="BW28" s="872"/>
      <c r="BX28" s="872"/>
      <c r="BY28" s="872"/>
      <c r="BZ28" s="872"/>
      <c r="CA28" s="872"/>
      <c r="CB28" s="872"/>
    </row>
    <row r="35" spans="1:80" x14ac:dyDescent="0.2">
      <c r="A35" s="862" t="s">
        <v>68</v>
      </c>
      <c r="B35" s="862"/>
      <c r="C35" s="862"/>
      <c r="D35" s="862"/>
      <c r="E35" s="862"/>
      <c r="F35" s="862"/>
      <c r="G35" s="862"/>
      <c r="H35" s="862"/>
      <c r="I35" s="862"/>
      <c r="J35" s="862"/>
      <c r="K35" s="862"/>
      <c r="L35" s="862"/>
      <c r="M35" s="862"/>
      <c r="N35" s="862"/>
      <c r="O35" s="862"/>
      <c r="P35" s="862"/>
      <c r="Q35" s="862"/>
      <c r="R35" s="862"/>
      <c r="S35" s="862"/>
      <c r="T35" s="862"/>
      <c r="U35" s="862"/>
      <c r="V35" s="862"/>
      <c r="W35" s="862"/>
      <c r="X35" s="862"/>
      <c r="Y35" s="862"/>
      <c r="Z35" s="862"/>
      <c r="AA35" s="862"/>
      <c r="AB35" s="862"/>
      <c r="AC35" s="862"/>
      <c r="AD35" s="862"/>
      <c r="AE35" s="862"/>
      <c r="AF35" s="862"/>
      <c r="AG35" s="862"/>
      <c r="AH35" s="862"/>
      <c r="AI35" s="862"/>
      <c r="AJ35" s="862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</row>
    <row r="36" spans="1:80" x14ac:dyDescent="0.2">
      <c r="A36" s="871" t="str">
        <f>IF('Данные объект'!C27="","",'Данные объект'!C27)</f>
      </c>
      <c r="B36" s="871"/>
      <c r="C36" s="871"/>
      <c r="D36" s="871"/>
      <c r="E36" s="871"/>
      <c r="F36" s="871"/>
      <c r="G36" s="871"/>
      <c r="H36" s="871"/>
      <c r="I36" s="871"/>
      <c r="J36" s="871"/>
      <c r="K36" s="871"/>
      <c r="L36" s="871"/>
      <c r="M36" s="871"/>
      <c r="N36" s="871"/>
      <c r="O36" s="871"/>
      <c r="P36" s="871"/>
      <c r="Q36" s="871"/>
      <c r="R36" s="871"/>
      <c r="S36" s="871"/>
      <c r="T36" s="871"/>
      <c r="U36" s="871"/>
      <c r="V36" s="871"/>
      <c r="W36" s="871"/>
      <c r="X36" s="871"/>
      <c r="Y36" s="871"/>
      <c r="Z36" s="871"/>
      <c r="AA36" s="871"/>
      <c r="AB36" s="871"/>
      <c r="AC36" s="871"/>
      <c r="AD36" s="871"/>
      <c r="AE36" s="871"/>
      <c r="AF36" s="871"/>
      <c r="AG36" s="871"/>
      <c r="AH36" s="871"/>
      <c r="AI36" s="871"/>
      <c r="AJ36" s="87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</row>
    <row r="37" spans="1:80" x14ac:dyDescent="0.2">
      <c r="A37" s="825"/>
      <c r="B37" s="825"/>
      <c r="C37" s="825"/>
      <c r="D37" s="825"/>
      <c r="E37" s="825"/>
      <c r="F37" s="825"/>
      <c r="G37" s="825"/>
      <c r="H37" s="825"/>
      <c r="I37" s="825"/>
      <c r="J37" s="825"/>
      <c r="K37" s="825"/>
      <c r="L37" s="825"/>
      <c r="M37" s="825"/>
      <c r="N37" s="825"/>
      <c r="O37" s="825"/>
      <c r="P37" s="825"/>
      <c r="Q37" s="825"/>
      <c r="R37" s="825"/>
      <c r="S37" s="825"/>
      <c r="T37" s="825"/>
      <c r="U37" s="825"/>
      <c r="V37" s="825"/>
      <c r="W37" s="825"/>
      <c r="X37" s="825"/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  <c r="AJ37" s="825"/>
      <c r="AK37" s="11"/>
      <c r="AL37" s="11"/>
      <c r="AM37" s="881"/>
      <c r="AN37" s="881"/>
      <c r="AO37" s="881"/>
      <c r="AP37" s="881"/>
      <c r="AQ37" s="881"/>
      <c r="AR37" s="881"/>
      <c r="AS37" s="881"/>
      <c r="AT37" s="881"/>
      <c r="AU37" s="881"/>
      <c r="AV37" s="881"/>
      <c r="AW37" s="881"/>
      <c r="AX37" s="881"/>
      <c r="AY37" s="881"/>
      <c r="AZ37" s="881"/>
      <c r="BA37" s="881"/>
      <c r="BB37" s="881"/>
      <c r="BC37" s="881"/>
      <c r="BD37" s="881"/>
      <c r="BE37" s="881"/>
      <c r="BF37" s="881"/>
      <c r="BG37" s="11"/>
      <c r="BH37" s="11"/>
      <c r="BI37" s="831" t="str">
        <f>IF('Данные объект'!B28="","",'Данные объект'!B28)</f>
      </c>
      <c r="BJ37" s="831"/>
      <c r="BK37" s="831"/>
      <c r="BL37" s="831"/>
      <c r="BM37" s="831"/>
      <c r="BN37" s="831"/>
      <c r="BO37" s="831"/>
      <c r="BP37" s="831"/>
      <c r="BQ37" s="831"/>
      <c r="BR37" s="831"/>
      <c r="BS37" s="831"/>
      <c r="BT37" s="831"/>
      <c r="BU37" s="831"/>
      <c r="BV37" s="831"/>
      <c r="BW37" s="831"/>
      <c r="BX37" s="831"/>
      <c r="BY37" s="831"/>
      <c r="BZ37" s="831"/>
      <c r="CA37" s="831"/>
      <c r="CB37" s="831"/>
    </row>
    <row r="38" spans="1:80" s="5" customFormat="1" ht="8.25" x14ac:dyDescent="0.15">
      <c r="A38" s="838" t="s">
        <v>1</v>
      </c>
      <c r="B38" s="838"/>
      <c r="C38" s="838"/>
      <c r="D38" s="838"/>
      <c r="E38" s="838"/>
      <c r="F38" s="838"/>
      <c r="G38" s="838"/>
      <c r="H38" s="838"/>
      <c r="I38" s="838"/>
      <c r="J38" s="838"/>
      <c r="K38" s="838"/>
      <c r="L38" s="838"/>
      <c r="M38" s="838"/>
      <c r="N38" s="838"/>
      <c r="O38" s="838"/>
      <c r="P38" s="838"/>
      <c r="Q38" s="838"/>
      <c r="R38" s="838"/>
      <c r="S38" s="838"/>
      <c r="T38" s="838"/>
      <c r="U38" s="838"/>
      <c r="V38" s="838"/>
      <c r="W38" s="838"/>
      <c r="X38" s="838"/>
      <c r="Y38" s="838"/>
      <c r="Z38" s="838"/>
      <c r="AA38" s="838"/>
      <c r="AB38" s="838"/>
      <c r="AC38" s="838"/>
      <c r="AD38" s="838"/>
      <c r="AE38" s="838"/>
      <c r="AF38" s="838"/>
      <c r="AG38" s="838"/>
      <c r="AH38" s="838"/>
      <c r="AI38" s="838"/>
      <c r="AJ38" s="838"/>
      <c r="AM38" s="838" t="s">
        <v>2</v>
      </c>
      <c r="AN38" s="838"/>
      <c r="AO38" s="838"/>
      <c r="AP38" s="838"/>
      <c r="AQ38" s="838"/>
      <c r="AR38" s="838"/>
      <c r="AS38" s="838"/>
      <c r="AT38" s="838"/>
      <c r="AU38" s="838"/>
      <c r="AV38" s="838"/>
      <c r="AW38" s="838"/>
      <c r="AX38" s="838"/>
      <c r="AY38" s="838"/>
      <c r="AZ38" s="838"/>
      <c r="BA38" s="838"/>
      <c r="BB38" s="838"/>
      <c r="BC38" s="838"/>
      <c r="BD38" s="838"/>
      <c r="BE38" s="838"/>
      <c r="BF38" s="838"/>
      <c r="BI38" s="858" t="s">
        <v>3</v>
      </c>
      <c r="BJ38" s="858"/>
      <c r="BK38" s="858"/>
      <c r="BL38" s="858"/>
      <c r="BM38" s="858"/>
      <c r="BN38" s="858"/>
      <c r="BO38" s="858"/>
      <c r="BP38" s="858"/>
      <c r="BQ38" s="858"/>
      <c r="BR38" s="858"/>
      <c r="BS38" s="858"/>
      <c r="BT38" s="858"/>
      <c r="BU38" s="858"/>
      <c r="BV38" s="858"/>
      <c r="BW38" s="858"/>
      <c r="BX38" s="858"/>
      <c r="BY38" s="858"/>
      <c r="BZ38" s="858"/>
      <c r="CA38" s="858"/>
      <c r="CB38" s="858"/>
    </row>
    <row r="42" spans="1:80" x14ac:dyDescent="0.2">
      <c r="A42" s="862" t="s">
        <v>1396</v>
      </c>
      <c r="B42" s="862"/>
      <c r="C42" s="862"/>
      <c r="D42" s="862"/>
      <c r="E42" s="862"/>
      <c r="F42" s="862"/>
      <c r="G42" s="862"/>
      <c r="H42" s="862"/>
      <c r="I42" s="862"/>
      <c r="J42" s="862"/>
      <c r="K42" s="862"/>
      <c r="L42" s="862"/>
      <c r="M42" s="862"/>
      <c r="N42" s="862"/>
      <c r="O42" s="862"/>
      <c r="P42" s="862"/>
      <c r="Q42" s="862"/>
      <c r="R42" s="862"/>
      <c r="S42" s="862"/>
      <c r="T42" s="862"/>
      <c r="U42" s="862"/>
      <c r="V42" s="862"/>
      <c r="W42" s="862"/>
      <c r="X42" s="862"/>
      <c r="Y42" s="862"/>
      <c r="Z42" s="862"/>
      <c r="AA42" s="862"/>
      <c r="AB42" s="862"/>
      <c r="AC42" s="862"/>
      <c r="AD42" s="862"/>
      <c r="AE42" s="862"/>
      <c r="AF42" s="862"/>
      <c r="AG42" s="862"/>
      <c r="AH42" s="862"/>
      <c r="AI42" s="862"/>
      <c r="AJ42" s="862"/>
    </row>
    <row r="43" spans="1:80" ht="13.5" customHeight="1" x14ac:dyDescent="0.2">
      <c r="A43" s="871" t="str">
        <f>IF('Данные объект'!B39="","",'Данные объект'!B39)</f>
      </c>
      <c r="B43" s="871"/>
      <c r="C43" s="871"/>
      <c r="D43" s="871"/>
      <c r="E43" s="871"/>
      <c r="F43" s="871"/>
      <c r="G43" s="871"/>
      <c r="H43" s="871"/>
      <c r="I43" s="871"/>
      <c r="J43" s="871"/>
      <c r="K43" s="871"/>
      <c r="L43" s="871"/>
      <c r="M43" s="871"/>
      <c r="N43" s="871"/>
      <c r="O43" s="871"/>
      <c r="P43" s="871"/>
      <c r="Q43" s="871"/>
      <c r="R43" s="871"/>
      <c r="S43" s="871"/>
      <c r="T43" s="871"/>
      <c r="U43" s="871"/>
      <c r="V43" s="871"/>
      <c r="W43" s="871"/>
      <c r="X43" s="871"/>
      <c r="Y43" s="871"/>
      <c r="Z43" s="871"/>
      <c r="AA43" s="871"/>
      <c r="AB43" s="871"/>
      <c r="AC43" s="871"/>
      <c r="AD43" s="871"/>
      <c r="AE43" s="871"/>
      <c r="AF43" s="871"/>
      <c r="AG43" s="871"/>
      <c r="AH43" s="871"/>
      <c r="AI43" s="871"/>
      <c r="AJ43" s="871"/>
    </row>
    <row r="44" spans="1:80" x14ac:dyDescent="0.2">
      <c r="A44" s="825"/>
      <c r="B44" s="825"/>
      <c r="C44" s="825"/>
      <c r="D44" s="825"/>
      <c r="E44" s="825"/>
      <c r="F44" s="825"/>
      <c r="G44" s="825"/>
      <c r="H44" s="825"/>
      <c r="I44" s="825"/>
      <c r="J44" s="825"/>
      <c r="K44" s="825"/>
      <c r="L44" s="825"/>
      <c r="M44" s="825"/>
      <c r="N44" s="825"/>
      <c r="O44" s="825"/>
      <c r="P44" s="825"/>
      <c r="Q44" s="825"/>
      <c r="R44" s="825"/>
      <c r="S44" s="825"/>
      <c r="T44" s="825"/>
      <c r="U44" s="825"/>
      <c r="V44" s="825"/>
      <c r="W44" s="825"/>
      <c r="X44" s="825"/>
      <c r="Y44" s="825"/>
      <c r="Z44" s="825"/>
      <c r="AA44" s="825"/>
      <c r="AB44" s="825"/>
      <c r="AC44" s="825"/>
      <c r="AD44" s="825"/>
      <c r="AE44" s="825"/>
      <c r="AF44" s="825"/>
      <c r="AG44" s="825"/>
      <c r="AH44" s="825"/>
      <c r="AI44" s="825"/>
      <c r="AJ44" s="825"/>
      <c r="AM44" s="882"/>
      <c r="AN44" s="882"/>
      <c r="AO44" s="882"/>
      <c r="AP44" s="882"/>
      <c r="AQ44" s="882"/>
      <c r="AR44" s="882"/>
      <c r="AS44" s="882"/>
      <c r="AT44" s="882"/>
      <c r="AU44" s="882"/>
      <c r="AV44" s="882"/>
      <c r="AW44" s="882"/>
      <c r="AX44" s="882"/>
      <c r="AY44" s="882"/>
      <c r="AZ44" s="882"/>
      <c r="BA44" s="882"/>
      <c r="BB44" s="882"/>
      <c r="BC44" s="882"/>
      <c r="BD44" s="882"/>
      <c r="BE44" s="882"/>
      <c r="BF44" s="882"/>
      <c r="BI44" s="831" t="str">
        <f>IF('Данные объект'!B42="","",'Данные объект'!B42)</f>
      </c>
      <c r="BJ44" s="831"/>
      <c r="BK44" s="831"/>
      <c r="BL44" s="831"/>
      <c r="BM44" s="831"/>
      <c r="BN44" s="831"/>
      <c r="BO44" s="831"/>
      <c r="BP44" s="831"/>
      <c r="BQ44" s="831"/>
      <c r="BR44" s="831"/>
      <c r="BS44" s="831"/>
      <c r="BT44" s="831"/>
      <c r="BU44" s="831"/>
      <c r="BV44" s="831"/>
      <c r="BW44" s="831"/>
      <c r="BX44" s="831"/>
      <c r="BY44" s="831"/>
      <c r="BZ44" s="831"/>
      <c r="CA44" s="831"/>
      <c r="CB44" s="831"/>
    </row>
    <row r="45" spans="1:80" s="5" customFormat="1" ht="8.25" x14ac:dyDescent="0.15">
      <c r="A45" s="838" t="s">
        <v>1</v>
      </c>
      <c r="B45" s="838"/>
      <c r="C45" s="838"/>
      <c r="D45" s="838"/>
      <c r="E45" s="838"/>
      <c r="F45" s="838"/>
      <c r="G45" s="838"/>
      <c r="H45" s="838"/>
      <c r="I45" s="838"/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  <c r="AB45" s="838"/>
      <c r="AC45" s="838"/>
      <c r="AD45" s="838"/>
      <c r="AE45" s="838"/>
      <c r="AF45" s="838"/>
      <c r="AG45" s="838"/>
      <c r="AH45" s="838"/>
      <c r="AI45" s="838"/>
      <c r="AJ45" s="838"/>
      <c r="AM45" s="838" t="s">
        <v>2</v>
      </c>
      <c r="AN45" s="838"/>
      <c r="AO45" s="838"/>
      <c r="AP45" s="838"/>
      <c r="AQ45" s="838"/>
      <c r="AR45" s="838"/>
      <c r="AS45" s="838"/>
      <c r="AT45" s="838"/>
      <c r="AU45" s="838"/>
      <c r="AV45" s="838"/>
      <c r="AW45" s="838"/>
      <c r="AX45" s="838"/>
      <c r="AY45" s="838"/>
      <c r="AZ45" s="838"/>
      <c r="BA45" s="838"/>
      <c r="BB45" s="838"/>
      <c r="BC45" s="838"/>
      <c r="BD45" s="838"/>
      <c r="BE45" s="838"/>
      <c r="BF45" s="838"/>
      <c r="BI45" s="858" t="s">
        <v>3</v>
      </c>
      <c r="BJ45" s="858"/>
      <c r="BK45" s="858"/>
      <c r="BL45" s="858"/>
      <c r="BM45" s="858"/>
      <c r="BN45" s="858"/>
      <c r="BO45" s="858"/>
      <c r="BP45" s="858"/>
      <c r="BQ45" s="858"/>
      <c r="BR45" s="858"/>
      <c r="BS45" s="858"/>
      <c r="BT45" s="858"/>
      <c r="BU45" s="858"/>
      <c r="BV45" s="858"/>
      <c r="BW45" s="858"/>
      <c r="BX45" s="858"/>
      <c r="BY45" s="858"/>
      <c r="BZ45" s="858"/>
      <c r="CA45" s="858"/>
      <c r="CB45" s="858"/>
    </row>
    <row r="48" spans="1:80" hidden="1" x14ac:dyDescent="0.2">
      <c r="A48" s="871" t="str">
        <f>IF('Данные объект'!C45="","",'Данные объект'!C45)</f>
      </c>
      <c r="B48" s="871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1"/>
      <c r="Q48" s="871"/>
      <c r="R48" s="871"/>
      <c r="S48" s="871"/>
      <c r="T48" s="871"/>
      <c r="U48" s="871"/>
      <c r="V48" s="871"/>
      <c r="W48" s="871"/>
      <c r="X48" s="871"/>
      <c r="Y48" s="871"/>
      <c r="Z48" s="871"/>
      <c r="AA48" s="871"/>
      <c r="AB48" s="871"/>
      <c r="AC48" s="871"/>
      <c r="AD48" s="871"/>
      <c r="AE48" s="871"/>
      <c r="AF48" s="871"/>
      <c r="AG48" s="871"/>
      <c r="AH48" s="871"/>
      <c r="AI48" s="871"/>
      <c r="AJ48" s="87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</row>
    <row r="49" spans="1:80" hidden="1" x14ac:dyDescent="0.2">
      <c r="A49" s="825"/>
      <c r="B49" s="825"/>
      <c r="C49" s="825"/>
      <c r="D49" s="825"/>
      <c r="E49" s="825"/>
      <c r="F49" s="825"/>
      <c r="G49" s="825"/>
      <c r="H49" s="825"/>
      <c r="I49" s="825"/>
      <c r="J49" s="825"/>
      <c r="K49" s="825"/>
      <c r="L49" s="825"/>
      <c r="M49" s="825"/>
      <c r="N49" s="825"/>
      <c r="O49" s="825"/>
      <c r="P49" s="825"/>
      <c r="Q49" s="825"/>
      <c r="R49" s="825"/>
      <c r="S49" s="825"/>
      <c r="T49" s="825"/>
      <c r="U49" s="825"/>
      <c r="V49" s="825"/>
      <c r="W49" s="825"/>
      <c r="X49" s="825"/>
      <c r="Y49" s="825"/>
      <c r="Z49" s="825"/>
      <c r="AA49" s="825"/>
      <c r="AB49" s="825"/>
      <c r="AC49" s="825"/>
      <c r="AD49" s="825"/>
      <c r="AE49" s="825"/>
      <c r="AF49" s="825"/>
      <c r="AG49" s="825"/>
      <c r="AH49" s="825"/>
      <c r="AI49" s="825"/>
      <c r="AJ49" s="825"/>
      <c r="AK49" s="11"/>
      <c r="AL49" s="11"/>
      <c r="AM49" s="881"/>
      <c r="AN49" s="881"/>
      <c r="AO49" s="881"/>
      <c r="AP49" s="881"/>
      <c r="AQ49" s="881"/>
      <c r="AR49" s="881"/>
      <c r="AS49" s="881"/>
      <c r="AT49" s="881"/>
      <c r="AU49" s="881"/>
      <c r="AV49" s="881"/>
      <c r="AW49" s="881"/>
      <c r="AX49" s="881"/>
      <c r="AY49" s="881"/>
      <c r="AZ49" s="881"/>
      <c r="BA49" s="881"/>
      <c r="BB49" s="881"/>
      <c r="BC49" s="881"/>
      <c r="BD49" s="881"/>
      <c r="BE49" s="881"/>
      <c r="BF49" s="881"/>
      <c r="BG49" s="11"/>
      <c r="BH49" s="11"/>
      <c r="BI49" s="831" t="str">
        <f>IF('Данные объект'!B47="","",'Данные объект'!B47)</f>
      </c>
      <c r="BJ49" s="831"/>
      <c r="BK49" s="831"/>
      <c r="BL49" s="831"/>
      <c r="BM49" s="831"/>
      <c r="BN49" s="831"/>
      <c r="BO49" s="831"/>
      <c r="BP49" s="831"/>
      <c r="BQ49" s="831"/>
      <c r="BR49" s="831"/>
      <c r="BS49" s="831"/>
      <c r="BT49" s="831"/>
      <c r="BU49" s="831"/>
      <c r="BV49" s="831"/>
      <c r="BW49" s="831"/>
      <c r="BX49" s="831"/>
      <c r="BY49" s="831"/>
      <c r="BZ49" s="831"/>
      <c r="CA49" s="831"/>
      <c r="CB49" s="831"/>
    </row>
    <row r="50" spans="1:80" s="5" customFormat="1" ht="8.25" hidden="1" x14ac:dyDescent="0.15">
      <c r="A50" s="838" t="s">
        <v>1</v>
      </c>
      <c r="B50" s="838"/>
      <c r="C50" s="838"/>
      <c r="D50" s="838"/>
      <c r="E50" s="838"/>
      <c r="F50" s="838"/>
      <c r="G50" s="838"/>
      <c r="H50" s="838"/>
      <c r="I50" s="838"/>
      <c r="J50" s="838"/>
      <c r="K50" s="838"/>
      <c r="L50" s="838"/>
      <c r="M50" s="838"/>
      <c r="N50" s="838"/>
      <c r="O50" s="838"/>
      <c r="P50" s="838"/>
      <c r="Q50" s="838"/>
      <c r="R50" s="838"/>
      <c r="S50" s="838"/>
      <c r="T50" s="838"/>
      <c r="U50" s="838"/>
      <c r="V50" s="838"/>
      <c r="W50" s="838"/>
      <c r="X50" s="838"/>
      <c r="Y50" s="838"/>
      <c r="Z50" s="838"/>
      <c r="AA50" s="838"/>
      <c r="AB50" s="838"/>
      <c r="AC50" s="838"/>
      <c r="AD50" s="838"/>
      <c r="AE50" s="838"/>
      <c r="AF50" s="838"/>
      <c r="AG50" s="838"/>
      <c r="AH50" s="838"/>
      <c r="AI50" s="838"/>
      <c r="AJ50" s="838"/>
      <c r="AM50" s="838" t="s">
        <v>2</v>
      </c>
      <c r="AN50" s="838"/>
      <c r="AO50" s="838"/>
      <c r="AP50" s="838"/>
      <c r="AQ50" s="838"/>
      <c r="AR50" s="838"/>
      <c r="AS50" s="838"/>
      <c r="AT50" s="838"/>
      <c r="AU50" s="838"/>
      <c r="AV50" s="838"/>
      <c r="AW50" s="838"/>
      <c r="AX50" s="838"/>
      <c r="AY50" s="838"/>
      <c r="AZ50" s="838"/>
      <c r="BA50" s="838"/>
      <c r="BB50" s="838"/>
      <c r="BC50" s="838"/>
      <c r="BD50" s="838"/>
      <c r="BE50" s="838"/>
      <c r="BF50" s="838"/>
      <c r="BI50" s="858" t="s">
        <v>3</v>
      </c>
      <c r="BJ50" s="858"/>
      <c r="BK50" s="858"/>
      <c r="BL50" s="858"/>
      <c r="BM50" s="858"/>
      <c r="BN50" s="858"/>
      <c r="BO50" s="858"/>
      <c r="BP50" s="858"/>
      <c r="BQ50" s="858"/>
      <c r="BR50" s="858"/>
      <c r="BS50" s="858"/>
      <c r="BT50" s="858"/>
      <c r="BU50" s="858"/>
      <c r="BV50" s="858"/>
      <c r="BW50" s="858"/>
      <c r="BX50" s="858"/>
      <c r="BY50" s="858"/>
      <c r="BZ50" s="858"/>
      <c r="CA50" s="858"/>
      <c r="CB50" s="858"/>
    </row>
  </sheetData>
  <mergeCells count="83">
    <mergeCell ref="A48:AJ49"/>
    <mergeCell ref="AM49:BF49"/>
    <mergeCell ref="BI49:CB49"/>
    <mergeCell ref="A50:AJ50"/>
    <mergeCell ref="AM50:BF50"/>
    <mergeCell ref="BI50:CB50"/>
    <mergeCell ref="A42:AJ42"/>
    <mergeCell ref="A43:AJ44"/>
    <mergeCell ref="AM44:BF44"/>
    <mergeCell ref="BI44:CB44"/>
    <mergeCell ref="A45:AJ45"/>
    <mergeCell ref="AM45:BF45"/>
    <mergeCell ref="BI45:CB45"/>
    <mergeCell ref="A35:AJ35"/>
    <mergeCell ref="A36:AJ37"/>
    <mergeCell ref="AM37:BF37"/>
    <mergeCell ref="BI37:CB37"/>
    <mergeCell ref="A38:AJ38"/>
    <mergeCell ref="AM38:BF38"/>
    <mergeCell ref="BI38:CB38"/>
    <mergeCell ref="BD24:CB24"/>
    <mergeCell ref="BD25:CB25"/>
    <mergeCell ref="BD26:CB26"/>
    <mergeCell ref="BD19:CB19"/>
    <mergeCell ref="BD20:CB20"/>
    <mergeCell ref="BD21:CB21"/>
    <mergeCell ref="BD22:CB22"/>
    <mergeCell ref="BD23:CB23"/>
    <mergeCell ref="A23:E23"/>
    <mergeCell ref="AE21:BC21"/>
    <mergeCell ref="AE22:BC22"/>
    <mergeCell ref="F23:AD23"/>
    <mergeCell ref="AE23:BC23"/>
    <mergeCell ref="F19:AD19"/>
    <mergeCell ref="F20:AD20"/>
    <mergeCell ref="F21:AD21"/>
    <mergeCell ref="F22:AD22"/>
    <mergeCell ref="A19:E19"/>
    <mergeCell ref="A20:E20"/>
    <mergeCell ref="A21:E21"/>
    <mergeCell ref="A22:E22"/>
    <mergeCell ref="F25:AD25"/>
    <mergeCell ref="F26:AD26"/>
    <mergeCell ref="AE25:BC25"/>
    <mergeCell ref="AE26:BC26"/>
    <mergeCell ref="A24:E24"/>
    <mergeCell ref="F24:AD24"/>
    <mergeCell ref="AE24:BC24"/>
    <mergeCell ref="A18:E18"/>
    <mergeCell ref="A14:CB14"/>
    <mergeCell ref="A16:E17"/>
    <mergeCell ref="AU7:CC10"/>
    <mergeCell ref="A28:E28"/>
    <mergeCell ref="AE27:BC27"/>
    <mergeCell ref="AE28:BC28"/>
    <mergeCell ref="BD27:CB27"/>
    <mergeCell ref="BD28:CB28"/>
    <mergeCell ref="F27:AD27"/>
    <mergeCell ref="F28:AD28"/>
    <mergeCell ref="AE19:BC19"/>
    <mergeCell ref="AE20:BC20"/>
    <mergeCell ref="A25:E25"/>
    <mergeCell ref="A26:E26"/>
    <mergeCell ref="A27:E27"/>
    <mergeCell ref="AU11:CC11"/>
    <mergeCell ref="A3:AI4"/>
    <mergeCell ref="AU6:CC6"/>
    <mergeCell ref="AU4:CC4"/>
    <mergeCell ref="AU5:CC5"/>
    <mergeCell ref="BS18:CE18"/>
    <mergeCell ref="AG15:AW15"/>
    <mergeCell ref="AE15:AF15"/>
    <mergeCell ref="F18:R18"/>
    <mergeCell ref="S18:AE18"/>
    <mergeCell ref="AF18:AR18"/>
    <mergeCell ref="AS18:BE18"/>
    <mergeCell ref="BF18:BR18"/>
    <mergeCell ref="F16:R17"/>
    <mergeCell ref="S16:AE17"/>
    <mergeCell ref="AF16:AR17"/>
    <mergeCell ref="AS16:BE17"/>
    <mergeCell ref="BF16:BR17"/>
    <mergeCell ref="BS16:CE17"/>
  </mergeCells>
  <pageMargins left="0.78740157480314965" right="0.15625" top="0.39370078740157483" bottom="0.39370078740157483" header="0.11811023622047245" footer="0.11811023622047245"/>
  <pageSetup paperSize="9" scale="9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FFFF"/>
  </sheetPr>
  <dimension ref="A1:CB42"/>
  <sheetViews>
    <sheetView view="pageBreakPreview" zoomScale="90" zoomScaleNormal="85" zoomScaleSheetLayoutView="90" workbookViewId="0">
      <selection activeCell="CW45" sqref="CW45"/>
    </sheetView>
  </sheetViews>
  <sheetFormatPr defaultColWidth="9.140625" defaultRowHeight="12.75" x14ac:dyDescent="0.2"/>
  <cols>
    <col min="1" max="80" width="1.140625" style="2" customWidth="1"/>
    <col min="81" max="81" width="0.85546875" style="2" customWidth="1"/>
    <col min="82" max="16384" width="9.140625" style="2"/>
  </cols>
  <sheetData>
    <row r="1" spans="1:80" ht="7.1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2"/>
      <c r="CB1" s="62"/>
    </row>
    <row r="2" spans="1:80" x14ac:dyDescent="0.2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2"/>
      <c r="CB2" s="62"/>
    </row>
    <row r="3" spans="1:80" ht="7.15" customHeight="1" x14ac:dyDescent="0.2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J3" s="5"/>
      <c r="AK3" s="5"/>
      <c r="AL3" s="5"/>
      <c r="AM3" s="5"/>
      <c r="AN3" s="5"/>
      <c r="AO3" s="5"/>
      <c r="AP3" s="5"/>
      <c r="AQ3" s="5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  <c r="CA3" s="63"/>
      <c r="CB3" s="63"/>
    </row>
    <row r="4" spans="1:80" x14ac:dyDescent="0.2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49"/>
      <c r="CB4" s="49"/>
    </row>
    <row r="5" spans="1:80" ht="13.15" customHeight="1" x14ac:dyDescent="0.25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64"/>
      <c r="CB5" s="64"/>
    </row>
    <row r="6" spans="1:80" ht="8.4499999999999993" customHeight="1" x14ac:dyDescent="0.2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J6" s="5"/>
      <c r="AK6" s="5"/>
      <c r="AL6" s="5"/>
      <c r="AM6" s="5"/>
      <c r="AN6" s="5"/>
      <c r="AO6" s="5"/>
      <c r="AP6" s="5"/>
      <c r="AQ6" s="5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  <c r="CA6" s="64"/>
      <c r="CB6" s="64"/>
    </row>
    <row r="7" spans="1:80" s="5" customForma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"/>
      <c r="AK7" s="2"/>
      <c r="AL7" s="2"/>
      <c r="AM7" s="2"/>
      <c r="AN7" s="2"/>
      <c r="AO7" s="2"/>
      <c r="AP7" s="2"/>
      <c r="AQ7" s="2"/>
      <c r="AR7" s="836" t="str">
        <f>IF('Данные объект'!B3="","",'Данные объект'!B3)</f>
      </c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</row>
    <row r="8" spans="1:80" ht="29.2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28.5" customHeight="1" x14ac:dyDescent="0.25">
      <c r="A9" s="837" t="str">
        <f>IF('Данные объект'!B11="","",'Данные объект'!B11)</f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13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ht="13.15" customHeight="1" x14ac:dyDescent="0.25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  <c r="CA11" s="64"/>
      <c r="CB11" s="64"/>
    </row>
    <row r="12" spans="1:80" ht="15" customHeight="1" x14ac:dyDescent="0.25">
      <c r="A12" s="838"/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  <c r="AH12" s="838"/>
      <c r="AI12" s="838"/>
      <c r="AJ12" s="5"/>
      <c r="AK12" s="5"/>
      <c r="AL12" s="5"/>
      <c r="AM12" s="5"/>
      <c r="AN12" s="5"/>
      <c r="AO12" s="5"/>
      <c r="AP12" s="5"/>
      <c r="AQ12" s="5"/>
      <c r="AR12" s="843" t="s">
        <v>1345</v>
      </c>
      <c r="AS12" s="843"/>
      <c r="AT12" s="843"/>
      <c r="AU12" s="843"/>
      <c r="AV12" s="843"/>
      <c r="AW12" s="843"/>
      <c r="AX12" s="843"/>
      <c r="AY12" s="843"/>
      <c r="AZ12" s="843"/>
      <c r="BA12" s="843"/>
      <c r="BB12" s="843"/>
      <c r="BC12" s="843"/>
      <c r="BD12" s="843"/>
      <c r="BE12" s="843"/>
      <c r="BF12" s="843"/>
      <c r="BG12" s="843"/>
      <c r="BH12" s="843"/>
      <c r="BI12" s="843"/>
      <c r="BJ12" s="843"/>
      <c r="BK12" s="843"/>
      <c r="BL12" s="843"/>
      <c r="BM12" s="843"/>
      <c r="BN12" s="843"/>
      <c r="BO12" s="843"/>
      <c r="BP12" s="843"/>
      <c r="BQ12" s="843"/>
      <c r="BR12" s="843"/>
      <c r="BS12" s="843"/>
      <c r="BT12" s="843"/>
      <c r="BU12" s="843"/>
      <c r="BV12" s="843"/>
      <c r="BW12" s="843"/>
      <c r="BX12" s="843"/>
      <c r="BY12" s="843"/>
      <c r="BZ12" s="843"/>
      <c r="CA12" s="64"/>
      <c r="CB12" s="64"/>
    </row>
    <row r="14" spans="1:80" s="8" customFormat="1" ht="33.75" customHeight="1" x14ac:dyDescent="0.25">
      <c r="A14" s="885" t="s">
        <v>1106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</row>
    <row r="16" spans="1:80" x14ac:dyDescent="0.2">
      <c r="A16" s="863" t="s">
        <v>64</v>
      </c>
      <c r="B16" s="863"/>
      <c r="C16" s="863"/>
      <c r="D16" s="863"/>
      <c r="E16" s="863"/>
      <c r="F16" s="863" t="s">
        <v>65</v>
      </c>
      <c r="G16" s="863"/>
      <c r="H16" s="863"/>
      <c r="I16" s="863"/>
      <c r="J16" s="863"/>
      <c r="K16" s="863"/>
      <c r="L16" s="863"/>
      <c r="M16" s="863"/>
      <c r="N16" s="863"/>
      <c r="O16" s="863"/>
      <c r="P16" s="863"/>
      <c r="Q16" s="863"/>
      <c r="R16" s="863"/>
      <c r="S16" s="863"/>
      <c r="T16" s="863"/>
      <c r="U16" s="863"/>
      <c r="V16" s="863"/>
      <c r="W16" s="863"/>
      <c r="X16" s="863"/>
      <c r="Y16" s="863"/>
      <c r="Z16" s="863"/>
      <c r="AA16" s="863"/>
      <c r="AB16" s="863"/>
      <c r="AC16" s="863"/>
      <c r="AD16" s="863"/>
      <c r="AE16" s="863" t="s">
        <v>66</v>
      </c>
      <c r="AF16" s="863"/>
      <c r="AG16" s="863"/>
      <c r="AH16" s="863"/>
      <c r="AI16" s="863"/>
      <c r="AJ16" s="863"/>
      <c r="AK16" s="863"/>
      <c r="AL16" s="863"/>
      <c r="AM16" s="863"/>
      <c r="AN16" s="863"/>
      <c r="AO16" s="863"/>
      <c r="AP16" s="863"/>
      <c r="AQ16" s="863"/>
      <c r="AR16" s="863"/>
      <c r="AS16" s="863"/>
      <c r="AT16" s="863"/>
      <c r="AU16" s="863"/>
      <c r="AV16" s="863"/>
      <c r="AW16" s="863"/>
      <c r="AX16" s="863"/>
      <c r="AY16" s="863"/>
      <c r="AZ16" s="863"/>
      <c r="BA16" s="863"/>
      <c r="BB16" s="863"/>
      <c r="BC16" s="863"/>
      <c r="BD16" s="887" t="s">
        <v>67</v>
      </c>
      <c r="BE16" s="888"/>
      <c r="BF16" s="888"/>
      <c r="BG16" s="888"/>
      <c r="BH16" s="888"/>
      <c r="BI16" s="888"/>
      <c r="BJ16" s="888"/>
      <c r="BK16" s="888"/>
      <c r="BL16" s="888"/>
      <c r="BM16" s="888"/>
      <c r="BN16" s="888"/>
      <c r="BO16" s="888"/>
      <c r="BP16" s="888"/>
      <c r="BQ16" s="888"/>
      <c r="BR16" s="888"/>
      <c r="BS16" s="888"/>
      <c r="BT16" s="888"/>
      <c r="BU16" s="888"/>
      <c r="BV16" s="888"/>
      <c r="BW16" s="888"/>
      <c r="BX16" s="888"/>
      <c r="BY16" s="888"/>
      <c r="BZ16" s="888"/>
      <c r="CA16" s="888"/>
      <c r="CB16" s="889"/>
    </row>
    <row r="17" spans="1:80" x14ac:dyDescent="0.2">
      <c r="A17" s="863"/>
      <c r="B17" s="863"/>
      <c r="C17" s="863"/>
      <c r="D17" s="863"/>
      <c r="E17" s="863"/>
      <c r="F17" s="863"/>
      <c r="G17" s="863"/>
      <c r="H17" s="863"/>
      <c r="I17" s="863"/>
      <c r="J17" s="863"/>
      <c r="K17" s="863"/>
      <c r="L17" s="863"/>
      <c r="M17" s="863"/>
      <c r="N17" s="863"/>
      <c r="O17" s="863"/>
      <c r="P17" s="863"/>
      <c r="Q17" s="863"/>
      <c r="R17" s="863"/>
      <c r="S17" s="863"/>
      <c r="T17" s="863"/>
      <c r="U17" s="863"/>
      <c r="V17" s="863"/>
      <c r="W17" s="863"/>
      <c r="X17" s="863"/>
      <c r="Y17" s="863"/>
      <c r="Z17" s="863"/>
      <c r="AA17" s="863"/>
      <c r="AB17" s="863"/>
      <c r="AC17" s="863"/>
      <c r="AD17" s="863"/>
      <c r="AE17" s="863"/>
      <c r="AF17" s="863"/>
      <c r="AG17" s="863"/>
      <c r="AH17" s="863"/>
      <c r="AI17" s="863"/>
      <c r="AJ17" s="863"/>
      <c r="AK17" s="863"/>
      <c r="AL17" s="863"/>
      <c r="AM17" s="863"/>
      <c r="AN17" s="863"/>
      <c r="AO17" s="863"/>
      <c r="AP17" s="863"/>
      <c r="AQ17" s="863"/>
      <c r="AR17" s="863"/>
      <c r="AS17" s="863"/>
      <c r="AT17" s="863"/>
      <c r="AU17" s="863"/>
      <c r="AV17" s="863"/>
      <c r="AW17" s="863"/>
      <c r="AX17" s="863"/>
      <c r="AY17" s="863"/>
      <c r="AZ17" s="863"/>
      <c r="BA17" s="863"/>
      <c r="BB17" s="863"/>
      <c r="BC17" s="863"/>
      <c r="BD17" s="890"/>
      <c r="BE17" s="891"/>
      <c r="BF17" s="891"/>
      <c r="BG17" s="891"/>
      <c r="BH17" s="891"/>
      <c r="BI17" s="891"/>
      <c r="BJ17" s="891"/>
      <c r="BK17" s="891"/>
      <c r="BL17" s="891"/>
      <c r="BM17" s="891"/>
      <c r="BN17" s="891"/>
      <c r="BO17" s="891"/>
      <c r="BP17" s="891"/>
      <c r="BQ17" s="891"/>
      <c r="BR17" s="891"/>
      <c r="BS17" s="891"/>
      <c r="BT17" s="891"/>
      <c r="BU17" s="891"/>
      <c r="BV17" s="891"/>
      <c r="BW17" s="891"/>
      <c r="BX17" s="891"/>
      <c r="BY17" s="891"/>
      <c r="BZ17" s="891"/>
      <c r="CA17" s="891"/>
      <c r="CB17" s="892"/>
    </row>
    <row r="18" spans="1:80" x14ac:dyDescent="0.2">
      <c r="A18" s="894" t="s">
        <v>33</v>
      </c>
      <c r="B18" s="894"/>
      <c r="C18" s="894"/>
      <c r="D18" s="894"/>
      <c r="E18" s="894"/>
      <c r="F18" s="895" t="s">
        <v>342</v>
      </c>
      <c r="G18" s="896"/>
      <c r="H18" s="896"/>
      <c r="I18" s="896"/>
      <c r="J18" s="896"/>
      <c r="K18" s="896"/>
      <c r="L18" s="896"/>
      <c r="M18" s="896"/>
      <c r="N18" s="896"/>
      <c r="O18" s="896"/>
      <c r="P18" s="896"/>
      <c r="Q18" s="896"/>
      <c r="R18" s="896"/>
      <c r="S18" s="896"/>
      <c r="T18" s="896"/>
      <c r="U18" s="896"/>
      <c r="V18" s="896"/>
      <c r="W18" s="896"/>
      <c r="X18" s="896"/>
      <c r="Y18" s="896"/>
      <c r="Z18" s="896"/>
      <c r="AA18" s="896"/>
      <c r="AB18" s="896"/>
      <c r="AC18" s="896"/>
      <c r="AD18" s="897"/>
      <c r="AE18" s="883" t="s">
        <v>368</v>
      </c>
      <c r="AF18" s="884"/>
      <c r="AG18" s="884"/>
      <c r="AH18" s="884"/>
      <c r="AI18" s="884"/>
      <c r="AJ18" s="884"/>
      <c r="AK18" s="884"/>
      <c r="AL18" s="884"/>
      <c r="AM18" s="884"/>
      <c r="AN18" s="884"/>
      <c r="AO18" s="884"/>
      <c r="AP18" s="884"/>
      <c r="AQ18" s="884"/>
      <c r="AR18" s="884"/>
      <c r="AS18" s="884"/>
      <c r="AT18" s="884"/>
      <c r="AU18" s="884"/>
      <c r="AV18" s="884"/>
      <c r="AW18" s="884"/>
      <c r="AX18" s="884"/>
      <c r="AY18" s="884"/>
      <c r="AZ18" s="884"/>
      <c r="BA18" s="884"/>
      <c r="BB18" s="884"/>
      <c r="BC18" s="884"/>
      <c r="BD18" s="883" t="s">
        <v>368</v>
      </c>
      <c r="BE18" s="884"/>
      <c r="BF18" s="884"/>
      <c r="BG18" s="884"/>
      <c r="BH18" s="884"/>
      <c r="BI18" s="884"/>
      <c r="BJ18" s="884"/>
      <c r="BK18" s="884"/>
      <c r="BL18" s="884"/>
      <c r="BM18" s="884"/>
      <c r="BN18" s="884"/>
      <c r="BO18" s="884"/>
      <c r="BP18" s="884"/>
      <c r="BQ18" s="884"/>
      <c r="BR18" s="884"/>
      <c r="BS18" s="884"/>
      <c r="BT18" s="884"/>
      <c r="BU18" s="884"/>
      <c r="BV18" s="884"/>
      <c r="BW18" s="884"/>
      <c r="BX18" s="884"/>
      <c r="BY18" s="884"/>
      <c r="BZ18" s="884"/>
      <c r="CA18" s="884"/>
      <c r="CB18" s="884"/>
    </row>
    <row r="26" spans="1:80" x14ac:dyDescent="0.2">
      <c r="A26" s="862" t="s">
        <v>68</v>
      </c>
      <c r="B26" s="862"/>
      <c r="C26" s="862"/>
      <c r="D26" s="862"/>
      <c r="E26" s="862"/>
      <c r="F26" s="862"/>
      <c r="G26" s="862"/>
      <c r="H26" s="862"/>
      <c r="I26" s="862"/>
      <c r="J26" s="862"/>
      <c r="K26" s="862"/>
      <c r="L26" s="862"/>
      <c r="M26" s="862"/>
      <c r="N26" s="862"/>
      <c r="O26" s="862"/>
      <c r="P26" s="862"/>
      <c r="Q26" s="862"/>
      <c r="R26" s="862"/>
      <c r="S26" s="862"/>
      <c r="T26" s="862"/>
      <c r="U26" s="862"/>
      <c r="V26" s="862"/>
      <c r="W26" s="862"/>
      <c r="X26" s="862"/>
      <c r="Y26" s="862"/>
      <c r="Z26" s="862"/>
      <c r="AA26" s="862"/>
      <c r="AB26" s="862"/>
      <c r="AC26" s="862"/>
      <c r="AD26" s="862"/>
      <c r="AE26" s="862"/>
      <c r="AF26" s="862"/>
      <c r="AG26" s="862"/>
      <c r="AH26" s="862"/>
      <c r="AI26" s="862"/>
      <c r="AJ26" s="862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893" t="str">
        <f>IF('Данные объект'!C27="","",'Данные объект'!C27)</f>
      </c>
      <c r="B27" s="893"/>
      <c r="C27" s="893"/>
      <c r="D27" s="893"/>
      <c r="E27" s="893"/>
      <c r="F27" s="893"/>
      <c r="G27" s="893"/>
      <c r="H27" s="893"/>
      <c r="I27" s="893"/>
      <c r="J27" s="893"/>
      <c r="K27" s="893"/>
      <c r="L27" s="893"/>
      <c r="M27" s="893"/>
      <c r="N27" s="893"/>
      <c r="O27" s="893"/>
      <c r="P27" s="893"/>
      <c r="Q27" s="893"/>
      <c r="R27" s="893"/>
      <c r="S27" s="893"/>
      <c r="T27" s="893"/>
      <c r="U27" s="893"/>
      <c r="V27" s="893"/>
      <c r="W27" s="893"/>
      <c r="X27" s="893"/>
      <c r="Y27" s="893"/>
      <c r="Z27" s="893"/>
      <c r="AA27" s="893"/>
      <c r="AB27" s="893"/>
      <c r="AC27" s="893"/>
      <c r="AD27" s="893"/>
      <c r="AE27" s="893"/>
      <c r="AF27" s="893"/>
      <c r="AG27" s="893"/>
      <c r="AH27" s="893"/>
      <c r="AI27" s="893"/>
      <c r="AJ27" s="893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</row>
    <row r="28" spans="1:80" x14ac:dyDescent="0.2">
      <c r="A28" s="831"/>
      <c r="B28" s="831"/>
      <c r="C28" s="831"/>
      <c r="D28" s="831"/>
      <c r="E28" s="831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31"/>
      <c r="T28" s="831"/>
      <c r="U28" s="831"/>
      <c r="V28" s="831"/>
      <c r="W28" s="831"/>
      <c r="X28" s="831"/>
      <c r="Y28" s="831"/>
      <c r="Z28" s="831"/>
      <c r="AA28" s="831"/>
      <c r="AB28" s="831"/>
      <c r="AC28" s="831"/>
      <c r="AD28" s="831"/>
      <c r="AE28" s="831"/>
      <c r="AF28" s="831"/>
      <c r="AG28" s="831"/>
      <c r="AH28" s="831"/>
      <c r="AI28" s="831"/>
      <c r="AJ28" s="831"/>
      <c r="AK28" s="11"/>
      <c r="AL28" s="11"/>
      <c r="AM28" s="881"/>
      <c r="AN28" s="881"/>
      <c r="AO28" s="881"/>
      <c r="AP28" s="881"/>
      <c r="AQ28" s="881"/>
      <c r="AR28" s="881"/>
      <c r="AS28" s="881"/>
      <c r="AT28" s="881"/>
      <c r="AU28" s="881"/>
      <c r="AV28" s="881"/>
      <c r="AW28" s="881"/>
      <c r="AX28" s="881"/>
      <c r="AY28" s="881"/>
      <c r="AZ28" s="881"/>
      <c r="BA28" s="881"/>
      <c r="BB28" s="881"/>
      <c r="BC28" s="881"/>
      <c r="BD28" s="881"/>
      <c r="BE28" s="881"/>
      <c r="BF28" s="881"/>
      <c r="BG28" s="11"/>
      <c r="BH28" s="11"/>
      <c r="BI28" s="831" t="str">
        <f>IF('Данные объект'!B28="","",'Данные объект'!B28)</f>
      </c>
      <c r="BJ28" s="831"/>
      <c r="BK28" s="831"/>
      <c r="BL28" s="831"/>
      <c r="BM28" s="831"/>
      <c r="BN28" s="831"/>
      <c r="BO28" s="831"/>
      <c r="BP28" s="831"/>
      <c r="BQ28" s="831"/>
      <c r="BR28" s="831"/>
      <c r="BS28" s="831"/>
      <c r="BT28" s="831"/>
      <c r="BU28" s="831"/>
      <c r="BV28" s="831"/>
      <c r="BW28" s="831"/>
      <c r="BX28" s="831"/>
      <c r="BY28" s="831"/>
      <c r="BZ28" s="831"/>
      <c r="CA28" s="831"/>
      <c r="CB28" s="831"/>
    </row>
    <row r="29" spans="1:80" s="5" customFormat="1" ht="8.25" x14ac:dyDescent="0.15">
      <c r="A29" s="838" t="s">
        <v>1</v>
      </c>
      <c r="B29" s="838"/>
      <c r="C29" s="838"/>
      <c r="D29" s="838"/>
      <c r="E29" s="838"/>
      <c r="F29" s="838"/>
      <c r="G29" s="838"/>
      <c r="H29" s="838"/>
      <c r="I29" s="838"/>
      <c r="J29" s="838"/>
      <c r="K29" s="838"/>
      <c r="L29" s="838"/>
      <c r="M29" s="838"/>
      <c r="N29" s="838"/>
      <c r="O29" s="838"/>
      <c r="P29" s="838"/>
      <c r="Q29" s="838"/>
      <c r="R29" s="838"/>
      <c r="S29" s="838"/>
      <c r="T29" s="838"/>
      <c r="U29" s="838"/>
      <c r="V29" s="838"/>
      <c r="W29" s="838"/>
      <c r="X29" s="838"/>
      <c r="Y29" s="838"/>
      <c r="Z29" s="838"/>
      <c r="AA29" s="838"/>
      <c r="AB29" s="838"/>
      <c r="AC29" s="838"/>
      <c r="AD29" s="838"/>
      <c r="AE29" s="838"/>
      <c r="AF29" s="838"/>
      <c r="AG29" s="838"/>
      <c r="AH29" s="838"/>
      <c r="AI29" s="838"/>
      <c r="AJ29" s="838"/>
      <c r="AM29" s="838" t="s">
        <v>2</v>
      </c>
      <c r="AN29" s="838"/>
      <c r="AO29" s="838"/>
      <c r="AP29" s="838"/>
      <c r="AQ29" s="838"/>
      <c r="AR29" s="838"/>
      <c r="AS29" s="838"/>
      <c r="AT29" s="838"/>
      <c r="AU29" s="838"/>
      <c r="AV29" s="838"/>
      <c r="AW29" s="838"/>
      <c r="AX29" s="838"/>
      <c r="AY29" s="838"/>
      <c r="AZ29" s="838"/>
      <c r="BA29" s="838"/>
      <c r="BB29" s="838"/>
      <c r="BC29" s="838"/>
      <c r="BD29" s="838"/>
      <c r="BE29" s="838"/>
      <c r="BF29" s="838"/>
      <c r="BI29" s="858" t="s">
        <v>3</v>
      </c>
      <c r="BJ29" s="858"/>
      <c r="BK29" s="858"/>
      <c r="BL29" s="858"/>
      <c r="BM29" s="858"/>
      <c r="BN29" s="858"/>
      <c r="BO29" s="858"/>
      <c r="BP29" s="858"/>
      <c r="BQ29" s="858"/>
      <c r="BR29" s="858"/>
      <c r="BS29" s="858"/>
      <c r="BT29" s="858"/>
      <c r="BU29" s="858"/>
      <c r="BV29" s="858"/>
      <c r="BW29" s="858"/>
      <c r="BX29" s="858"/>
      <c r="BY29" s="858"/>
      <c r="BZ29" s="858"/>
      <c r="CA29" s="858"/>
      <c r="CB29" s="858"/>
    </row>
    <row r="33" spans="1:80" x14ac:dyDescent="0.2">
      <c r="A33" s="862" t="s">
        <v>344</v>
      </c>
      <c r="B33" s="862"/>
      <c r="C33" s="862"/>
      <c r="D33" s="862"/>
      <c r="E33" s="862"/>
      <c r="F33" s="862"/>
      <c r="G33" s="862"/>
      <c r="H33" s="862"/>
      <c r="I33" s="862"/>
      <c r="J33" s="862"/>
      <c r="K33" s="862"/>
      <c r="L33" s="862"/>
      <c r="M33" s="862"/>
      <c r="N33" s="862"/>
      <c r="O33" s="862"/>
      <c r="P33" s="862"/>
      <c r="Q33" s="862"/>
      <c r="R33" s="862"/>
      <c r="S33" s="862"/>
      <c r="T33" s="862"/>
      <c r="U33" s="862"/>
      <c r="V33" s="862"/>
      <c r="W33" s="862"/>
      <c r="X33" s="862"/>
      <c r="Y33" s="862"/>
      <c r="Z33" s="862"/>
      <c r="AA33" s="862"/>
      <c r="AB33" s="862"/>
      <c r="AC33" s="862"/>
      <c r="AD33" s="862"/>
      <c r="AE33" s="862"/>
      <c r="AF33" s="862"/>
      <c r="AG33" s="862"/>
      <c r="AH33" s="862"/>
      <c r="AI33" s="862"/>
      <c r="AJ33" s="862"/>
    </row>
    <row r="34" spans="1:80" ht="13.5" customHeight="1" x14ac:dyDescent="0.2">
      <c r="A34" s="871" t="str">
        <f>IF('Данные объект'!B39="","",'Данные объект'!B39)</f>
      </c>
      <c r="B34" s="871"/>
      <c r="C34" s="871"/>
      <c r="D34" s="871"/>
      <c r="E34" s="871"/>
      <c r="F34" s="871"/>
      <c r="G34" s="871"/>
      <c r="H34" s="871"/>
      <c r="I34" s="871"/>
      <c r="J34" s="871"/>
      <c r="K34" s="871"/>
      <c r="L34" s="871"/>
      <c r="M34" s="871"/>
      <c r="N34" s="871"/>
      <c r="O34" s="871"/>
      <c r="P34" s="871"/>
      <c r="Q34" s="871"/>
      <c r="R34" s="871"/>
      <c r="S34" s="871"/>
      <c r="T34" s="871"/>
      <c r="U34" s="871"/>
      <c r="V34" s="871"/>
      <c r="W34" s="871"/>
      <c r="X34" s="871"/>
      <c r="Y34" s="871"/>
      <c r="Z34" s="871"/>
      <c r="AA34" s="871"/>
      <c r="AB34" s="871"/>
      <c r="AC34" s="871"/>
      <c r="AD34" s="871"/>
      <c r="AE34" s="871"/>
      <c r="AF34" s="871"/>
      <c r="AG34" s="871"/>
      <c r="AH34" s="871"/>
      <c r="AI34" s="871"/>
      <c r="AJ34" s="871"/>
    </row>
    <row r="35" spans="1:80" x14ac:dyDescent="0.2">
      <c r="A35" s="825"/>
      <c r="B35" s="825"/>
      <c r="C35" s="825"/>
      <c r="D35" s="825"/>
      <c r="E35" s="825"/>
      <c r="F35" s="825"/>
      <c r="G35" s="825"/>
      <c r="H35" s="825"/>
      <c r="I35" s="825"/>
      <c r="J35" s="825"/>
      <c r="K35" s="825"/>
      <c r="L35" s="825"/>
      <c r="M35" s="825"/>
      <c r="N35" s="825"/>
      <c r="O35" s="825"/>
      <c r="P35" s="825"/>
      <c r="Q35" s="825"/>
      <c r="R35" s="825"/>
      <c r="S35" s="825"/>
      <c r="T35" s="825"/>
      <c r="U35" s="825"/>
      <c r="V35" s="825"/>
      <c r="W35" s="825"/>
      <c r="X35" s="825"/>
      <c r="Y35" s="825"/>
      <c r="Z35" s="825"/>
      <c r="AA35" s="825"/>
      <c r="AB35" s="825"/>
      <c r="AC35" s="825"/>
      <c r="AD35" s="825"/>
      <c r="AE35" s="825"/>
      <c r="AF35" s="825"/>
      <c r="AG35" s="825"/>
      <c r="AH35" s="825"/>
      <c r="AI35" s="825"/>
      <c r="AJ35" s="825"/>
      <c r="AM35" s="882"/>
      <c r="AN35" s="882"/>
      <c r="AO35" s="882"/>
      <c r="AP35" s="882"/>
      <c r="AQ35" s="882"/>
      <c r="AR35" s="882"/>
      <c r="AS35" s="882"/>
      <c r="AT35" s="882"/>
      <c r="AU35" s="882"/>
      <c r="AV35" s="882"/>
      <c r="AW35" s="882"/>
      <c r="AX35" s="882"/>
      <c r="AY35" s="882"/>
      <c r="AZ35" s="882"/>
      <c r="BA35" s="882"/>
      <c r="BB35" s="882"/>
      <c r="BC35" s="882"/>
      <c r="BD35" s="882"/>
      <c r="BE35" s="882"/>
      <c r="BF35" s="882"/>
      <c r="BI35" s="831" t="str">
        <f>IF('Данные объект'!B42="","",'Данные объект'!B42)</f>
      </c>
      <c r="BJ35" s="831"/>
      <c r="BK35" s="831"/>
      <c r="BL35" s="831"/>
      <c r="BM35" s="831"/>
      <c r="BN35" s="831"/>
      <c r="BO35" s="831"/>
      <c r="BP35" s="831"/>
      <c r="BQ35" s="831"/>
      <c r="BR35" s="831"/>
      <c r="BS35" s="831"/>
      <c r="BT35" s="831"/>
      <c r="BU35" s="831"/>
      <c r="BV35" s="831"/>
      <c r="BW35" s="831"/>
      <c r="BX35" s="831"/>
      <c r="BY35" s="831"/>
      <c r="BZ35" s="831"/>
      <c r="CA35" s="831"/>
      <c r="CB35" s="831"/>
    </row>
    <row r="36" spans="1:80" s="5" customFormat="1" ht="8.25" x14ac:dyDescent="0.15">
      <c r="A36" s="838" t="s">
        <v>1</v>
      </c>
      <c r="B36" s="838"/>
      <c r="C36" s="838"/>
      <c r="D36" s="838"/>
      <c r="E36" s="838"/>
      <c r="F36" s="838"/>
      <c r="G36" s="838"/>
      <c r="H36" s="838"/>
      <c r="I36" s="838"/>
      <c r="J36" s="838"/>
      <c r="K36" s="838"/>
      <c r="L36" s="838"/>
      <c r="M36" s="838"/>
      <c r="N36" s="838"/>
      <c r="O36" s="838"/>
      <c r="P36" s="838"/>
      <c r="Q36" s="838"/>
      <c r="R36" s="838"/>
      <c r="S36" s="838"/>
      <c r="T36" s="838"/>
      <c r="U36" s="838"/>
      <c r="V36" s="838"/>
      <c r="W36" s="838"/>
      <c r="X36" s="838"/>
      <c r="Y36" s="838"/>
      <c r="Z36" s="838"/>
      <c r="AA36" s="838"/>
      <c r="AB36" s="838"/>
      <c r="AC36" s="838"/>
      <c r="AD36" s="838"/>
      <c r="AE36" s="838"/>
      <c r="AF36" s="838"/>
      <c r="AG36" s="838"/>
      <c r="AH36" s="838"/>
      <c r="AI36" s="838"/>
      <c r="AJ36" s="838"/>
      <c r="AM36" s="838" t="s">
        <v>2</v>
      </c>
      <c r="AN36" s="838"/>
      <c r="AO36" s="838"/>
      <c r="AP36" s="838"/>
      <c r="AQ36" s="838"/>
      <c r="AR36" s="838"/>
      <c r="AS36" s="838"/>
      <c r="AT36" s="838"/>
      <c r="AU36" s="838"/>
      <c r="AV36" s="838"/>
      <c r="AW36" s="838"/>
      <c r="AX36" s="838"/>
      <c r="AY36" s="838"/>
      <c r="AZ36" s="838"/>
      <c r="BA36" s="838"/>
      <c r="BB36" s="838"/>
      <c r="BC36" s="838"/>
      <c r="BD36" s="838"/>
      <c r="BE36" s="838"/>
      <c r="BF36" s="838"/>
      <c r="BI36" s="858" t="s">
        <v>3</v>
      </c>
      <c r="BJ36" s="858"/>
      <c r="BK36" s="858"/>
      <c r="BL36" s="858"/>
      <c r="BM36" s="858"/>
      <c r="BN36" s="858"/>
      <c r="BO36" s="858"/>
      <c r="BP36" s="858"/>
      <c r="BQ36" s="858"/>
      <c r="BR36" s="858"/>
      <c r="BS36" s="858"/>
      <c r="BT36" s="858"/>
      <c r="BU36" s="858"/>
      <c r="BV36" s="858"/>
      <c r="BW36" s="858"/>
      <c r="BX36" s="858"/>
      <c r="BY36" s="858"/>
      <c r="BZ36" s="858"/>
      <c r="CA36" s="858"/>
      <c r="CB36" s="858"/>
    </row>
    <row r="40" spans="1:80" x14ac:dyDescent="0.2">
      <c r="A40" s="871" t="str">
        <f>IF('Данные объект'!B44="","",'Данные объект'!B44)</f>
      </c>
      <c r="B40" s="871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1"/>
      <c r="Q40" s="871"/>
      <c r="R40" s="871"/>
      <c r="S40" s="871"/>
      <c r="T40" s="871"/>
      <c r="U40" s="871"/>
      <c r="V40" s="871"/>
      <c r="W40" s="871"/>
      <c r="X40" s="871"/>
      <c r="Y40" s="871"/>
      <c r="Z40" s="871"/>
      <c r="AA40" s="871"/>
      <c r="AB40" s="871"/>
      <c r="AC40" s="871"/>
      <c r="AD40" s="871"/>
      <c r="AE40" s="871"/>
      <c r="AF40" s="871"/>
      <c r="AG40" s="871"/>
      <c r="AH40" s="871"/>
      <c r="AI40" s="871"/>
      <c r="AJ40" s="87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</row>
    <row r="41" spans="1:80" x14ac:dyDescent="0.2">
      <c r="A41" s="825"/>
      <c r="B41" s="825"/>
      <c r="C41" s="825"/>
      <c r="D41" s="825"/>
      <c r="E41" s="825"/>
      <c r="F41" s="825"/>
      <c r="G41" s="825"/>
      <c r="H41" s="825"/>
      <c r="I41" s="825"/>
      <c r="J41" s="825"/>
      <c r="K41" s="825"/>
      <c r="L41" s="825"/>
      <c r="M41" s="825"/>
      <c r="N41" s="825"/>
      <c r="O41" s="825"/>
      <c r="P41" s="825"/>
      <c r="Q41" s="825"/>
      <c r="R41" s="825"/>
      <c r="S41" s="825"/>
      <c r="T41" s="825"/>
      <c r="U41" s="825"/>
      <c r="V41" s="825"/>
      <c r="W41" s="825"/>
      <c r="X41" s="825"/>
      <c r="Y41" s="825"/>
      <c r="Z41" s="825"/>
      <c r="AA41" s="825"/>
      <c r="AB41" s="825"/>
      <c r="AC41" s="825"/>
      <c r="AD41" s="825"/>
      <c r="AE41" s="825"/>
      <c r="AF41" s="825"/>
      <c r="AG41" s="825"/>
      <c r="AH41" s="825"/>
      <c r="AI41" s="825"/>
      <c r="AJ41" s="825"/>
      <c r="AK41" s="11"/>
      <c r="AL41" s="11"/>
      <c r="AM41" s="881"/>
      <c r="AN41" s="881"/>
      <c r="AO41" s="881"/>
      <c r="AP41" s="881"/>
      <c r="AQ41" s="881"/>
      <c r="AR41" s="881"/>
      <c r="AS41" s="881"/>
      <c r="AT41" s="881"/>
      <c r="AU41" s="881"/>
      <c r="AV41" s="881"/>
      <c r="AW41" s="881"/>
      <c r="AX41" s="881"/>
      <c r="AY41" s="881"/>
      <c r="AZ41" s="881"/>
      <c r="BA41" s="881"/>
      <c r="BB41" s="881"/>
      <c r="BC41" s="881"/>
      <c r="BD41" s="881"/>
      <c r="BE41" s="881"/>
      <c r="BF41" s="881"/>
      <c r="BG41" s="11"/>
      <c r="BH41" s="11"/>
      <c r="BI41" s="831" t="str">
        <f>IF('Данные объект'!B47="","",'Данные объект'!B47)</f>
      </c>
      <c r="BJ41" s="831"/>
      <c r="BK41" s="831"/>
      <c r="BL41" s="831"/>
      <c r="BM41" s="831"/>
      <c r="BN41" s="831"/>
      <c r="BO41" s="831"/>
      <c r="BP41" s="831"/>
      <c r="BQ41" s="831"/>
      <c r="BR41" s="831"/>
      <c r="BS41" s="831"/>
      <c r="BT41" s="831"/>
      <c r="BU41" s="831"/>
      <c r="BV41" s="831"/>
      <c r="BW41" s="831"/>
      <c r="BX41" s="831"/>
      <c r="BY41" s="831"/>
      <c r="BZ41" s="831"/>
      <c r="CA41" s="831"/>
      <c r="CB41" s="831"/>
    </row>
    <row r="42" spans="1:80" s="5" customFormat="1" ht="8.25" x14ac:dyDescent="0.15">
      <c r="A42" s="838" t="s">
        <v>1</v>
      </c>
      <c r="B42" s="838"/>
      <c r="C42" s="838"/>
      <c r="D42" s="838"/>
      <c r="E42" s="838"/>
      <c r="F42" s="838"/>
      <c r="G42" s="838"/>
      <c r="H42" s="838"/>
      <c r="I42" s="838"/>
      <c r="J42" s="838"/>
      <c r="K42" s="838"/>
      <c r="L42" s="838"/>
      <c r="M42" s="838"/>
      <c r="N42" s="838"/>
      <c r="O42" s="838"/>
      <c r="P42" s="838"/>
      <c r="Q42" s="838"/>
      <c r="R42" s="838"/>
      <c r="S42" s="838"/>
      <c r="T42" s="838"/>
      <c r="U42" s="838"/>
      <c r="V42" s="838"/>
      <c r="W42" s="838"/>
      <c r="X42" s="838"/>
      <c r="Y42" s="838"/>
      <c r="Z42" s="838"/>
      <c r="AA42" s="838"/>
      <c r="AB42" s="838"/>
      <c r="AC42" s="838"/>
      <c r="AD42" s="838"/>
      <c r="AE42" s="838"/>
      <c r="AF42" s="838"/>
      <c r="AG42" s="838"/>
      <c r="AH42" s="838"/>
      <c r="AI42" s="838"/>
      <c r="AJ42" s="838"/>
      <c r="AM42" s="838" t="s">
        <v>2</v>
      </c>
      <c r="AN42" s="838"/>
      <c r="AO42" s="838"/>
      <c r="AP42" s="838"/>
      <c r="AQ42" s="838"/>
      <c r="AR42" s="838"/>
      <c r="AS42" s="838"/>
      <c r="AT42" s="838"/>
      <c r="AU42" s="838"/>
      <c r="AV42" s="838"/>
      <c r="AW42" s="838"/>
      <c r="AX42" s="838"/>
      <c r="AY42" s="838"/>
      <c r="AZ42" s="838"/>
      <c r="BA42" s="838"/>
      <c r="BB42" s="838"/>
      <c r="BC42" s="838"/>
      <c r="BD42" s="838"/>
      <c r="BE42" s="838"/>
      <c r="BF42" s="838"/>
      <c r="BI42" s="858" t="s">
        <v>3</v>
      </c>
      <c r="BJ42" s="858"/>
      <c r="BK42" s="858"/>
      <c r="BL42" s="858"/>
      <c r="BM42" s="858"/>
      <c r="BN42" s="858"/>
      <c r="BO42" s="858"/>
      <c r="BP42" s="858"/>
      <c r="BQ42" s="858"/>
      <c r="BR42" s="858"/>
      <c r="BS42" s="858"/>
      <c r="BT42" s="858"/>
      <c r="BU42" s="858"/>
      <c r="BV42" s="858"/>
      <c r="BW42" s="858"/>
      <c r="BX42" s="858"/>
      <c r="BY42" s="858"/>
      <c r="BZ42" s="858"/>
      <c r="CA42" s="858"/>
      <c r="CB42" s="858"/>
    </row>
  </sheetData>
  <mergeCells count="45">
    <mergeCell ref="A42:AJ42"/>
    <mergeCell ref="A36:AJ36"/>
    <mergeCell ref="A34:AJ35"/>
    <mergeCell ref="A40:AJ41"/>
    <mergeCell ref="BI41:CB41"/>
    <mergeCell ref="BI42:CB42"/>
    <mergeCell ref="AM35:BF35"/>
    <mergeCell ref="AM36:BF36"/>
    <mergeCell ref="AM42:BF42"/>
    <mergeCell ref="BI29:CB29"/>
    <mergeCell ref="BI35:CB35"/>
    <mergeCell ref="BI36:CB36"/>
    <mergeCell ref="AM41:BF41"/>
    <mergeCell ref="AM29:BF29"/>
    <mergeCell ref="A29:AJ29"/>
    <mergeCell ref="A27:AJ28"/>
    <mergeCell ref="A33:AJ33"/>
    <mergeCell ref="A18:E18"/>
    <mergeCell ref="F18:AD18"/>
    <mergeCell ref="AE18:BC18"/>
    <mergeCell ref="BD18:CB18"/>
    <mergeCell ref="AM28:BF28"/>
    <mergeCell ref="A12:AI12"/>
    <mergeCell ref="AR12:BZ12"/>
    <mergeCell ref="A14:CB14"/>
    <mergeCell ref="A16:E17"/>
    <mergeCell ref="F16:AD17"/>
    <mergeCell ref="AE16:BC17"/>
    <mergeCell ref="BD16:CB17"/>
    <mergeCell ref="A26:AJ26"/>
    <mergeCell ref="BI28:CB28"/>
    <mergeCell ref="AR7:BZ9"/>
    <mergeCell ref="A9:AI9"/>
    <mergeCell ref="A10:AI10"/>
    <mergeCell ref="AR10:BZ10"/>
    <mergeCell ref="A11:AI11"/>
    <mergeCell ref="AR11:BZ11"/>
    <mergeCell ref="A6:AI6"/>
    <mergeCell ref="AR1:BZ2"/>
    <mergeCell ref="A2:AI2"/>
    <mergeCell ref="A3:AI3"/>
    <mergeCell ref="AR3:BZ3"/>
    <mergeCell ref="A4:AI5"/>
    <mergeCell ref="AR4:BZ5"/>
    <mergeCell ref="AR6:BZ6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FFFF"/>
  </sheetPr>
  <dimension ref="A1:CB68"/>
  <sheetViews>
    <sheetView showZeros="0" view="pageBreakPreview" zoomScaleNormal="100" zoomScaleSheetLayoutView="100" workbookViewId="0">
      <selection activeCell="CU62" sqref="CU62"/>
    </sheetView>
  </sheetViews>
  <sheetFormatPr defaultColWidth="9.140625" defaultRowHeight="12.75" outlineLevelRow="1" x14ac:dyDescent="0.2"/>
  <cols>
    <col min="1" max="32" width="1.140625" style="2" customWidth="1"/>
    <col min="33" max="33" width="0.5703125" style="2" customWidth="1"/>
    <col min="34" max="34" width="1.140625" style="2" hidden="1" customWidth="1"/>
    <col min="35" max="43" width="1.140625" style="2" customWidth="1"/>
    <col min="44" max="44" width="1.28515625" style="2" customWidth="1"/>
    <col min="45" max="55" width="1.140625" style="2" customWidth="1"/>
    <col min="56" max="56" width="5.7109375" style="2" customWidth="1"/>
    <col min="57" max="57" width="2.28515625" style="2" customWidth="1"/>
    <col min="58" max="63" width="1.140625" style="2" customWidth="1"/>
    <col min="64" max="64" width="3.28515625" style="2" customWidth="1"/>
    <col min="65" max="79" width="1.140625" style="2" customWidth="1"/>
    <col min="80" max="80" width="0.85546875" style="2" customWidth="1"/>
    <col min="81" max="90" width="1.140625" style="2" customWidth="1"/>
    <col min="91" max="95" width="1" style="2" customWidth="1"/>
    <col min="96" max="16384" width="9.140625" style="2"/>
  </cols>
  <sheetData>
    <row r="1" spans="1:80" ht="7.1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2"/>
      <c r="CB1" s="62"/>
    </row>
    <row r="2" spans="1:80" ht="12.6" customHeight="1" x14ac:dyDescent="0.2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2"/>
      <c r="CB2" s="62"/>
    </row>
    <row r="3" spans="1:80" ht="7.9" customHeight="1" x14ac:dyDescent="0.2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J3" s="5"/>
      <c r="AK3" s="5"/>
      <c r="AL3" s="5"/>
      <c r="AM3" s="5"/>
      <c r="AN3" s="5"/>
      <c r="AO3" s="5"/>
      <c r="AP3" s="5"/>
      <c r="AQ3" s="5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  <c r="CA3" s="63"/>
      <c r="CB3" s="63"/>
    </row>
    <row r="4" spans="1:80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49"/>
      <c r="CB4" s="49"/>
    </row>
    <row r="5" spans="1:80" ht="8.4499999999999993" customHeight="1" x14ac:dyDescent="0.25">
      <c r="A5" s="838"/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/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9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5" customHeight="1" x14ac:dyDescent="0.25">
      <c r="A8" s="844" t="str">
        <f>IF('Данные объект'!B11="","",'Данные объект'!B11)</f>
      </c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  <c r="R8" s="844"/>
      <c r="S8" s="844"/>
      <c r="T8" s="844"/>
      <c r="U8" s="844"/>
      <c r="V8" s="844"/>
      <c r="W8" s="844"/>
      <c r="X8" s="844"/>
      <c r="Y8" s="844"/>
      <c r="Z8" s="844"/>
      <c r="AA8" s="844"/>
      <c r="AB8" s="844"/>
      <c r="AC8" s="844"/>
      <c r="AD8" s="844"/>
      <c r="AE8" s="844"/>
      <c r="AF8" s="844"/>
      <c r="AG8" s="844"/>
      <c r="AH8" s="844"/>
      <c r="AI8" s="844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s="5" customFormat="1" ht="19.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J9" s="2"/>
      <c r="AK9" s="2"/>
      <c r="AL9" s="2"/>
      <c r="AM9" s="2"/>
      <c r="AN9" s="2"/>
      <c r="AO9" s="2"/>
      <c r="AP9" s="2"/>
      <c r="AQ9" s="2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</row>
    <row r="10" spans="1:80" ht="9" customHeight="1" x14ac:dyDescent="0.2">
      <c r="A10" s="838"/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/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80" ht="13.15" customHeigh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  <c r="CA11" s="65"/>
      <c r="CB11" s="65"/>
    </row>
    <row r="12" spans="1:80" ht="13.1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R12" s="911"/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5"/>
      <c r="CB12" s="65"/>
    </row>
    <row r="14" spans="1:80" s="8" customFormat="1" ht="18.75" x14ac:dyDescent="0.25">
      <c r="A14" s="885"/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</row>
    <row r="15" spans="1:80" s="8" customFormat="1" ht="18.75" x14ac:dyDescent="0.25">
      <c r="A15" s="885"/>
      <c r="B15" s="886"/>
      <c r="C15" s="886"/>
      <c r="D15" s="886"/>
      <c r="E15" s="886"/>
      <c r="F15" s="886"/>
      <c r="G15" s="886"/>
      <c r="H15" s="886"/>
      <c r="I15" s="886"/>
      <c r="J15" s="886"/>
      <c r="K15" s="886"/>
      <c r="L15" s="886"/>
      <c r="M15" s="886"/>
      <c r="N15" s="886"/>
      <c r="O15" s="886"/>
      <c r="P15" s="886"/>
      <c r="Q15" s="886"/>
      <c r="R15" s="886"/>
      <c r="S15" s="886"/>
      <c r="T15" s="886"/>
      <c r="U15" s="886"/>
      <c r="V15" s="886"/>
      <c r="W15" s="886"/>
      <c r="X15" s="886"/>
      <c r="Y15" s="886"/>
      <c r="Z15" s="886"/>
      <c r="AA15" s="886"/>
      <c r="AB15" s="886"/>
      <c r="AC15" s="886"/>
      <c r="AD15" s="886"/>
      <c r="AE15" s="886"/>
      <c r="AF15" s="886"/>
      <c r="AG15" s="886"/>
      <c r="AH15" s="886"/>
      <c r="AI15" s="886"/>
      <c r="AJ15" s="886"/>
      <c r="AK15" s="886"/>
      <c r="AL15" s="886"/>
      <c r="AM15" s="886"/>
      <c r="AN15" s="886"/>
      <c r="AO15" s="886"/>
      <c r="AP15" s="886"/>
      <c r="AQ15" s="886"/>
      <c r="AR15" s="886"/>
      <c r="AS15" s="886"/>
      <c r="AT15" s="886"/>
      <c r="AU15" s="886"/>
      <c r="AV15" s="886"/>
      <c r="AW15" s="886"/>
      <c r="AX15" s="886"/>
      <c r="AY15" s="886"/>
      <c r="AZ15" s="886"/>
      <c r="BA15" s="886"/>
      <c r="BB15" s="886"/>
      <c r="BC15" s="886"/>
      <c r="BD15" s="886"/>
      <c r="BE15" s="886"/>
      <c r="BF15" s="886"/>
      <c r="BG15" s="886"/>
      <c r="BH15" s="886"/>
      <c r="BI15" s="886"/>
      <c r="BJ15" s="886"/>
      <c r="BK15" s="886"/>
      <c r="BL15" s="886"/>
      <c r="BM15" s="886"/>
      <c r="BN15" s="886"/>
      <c r="BO15" s="886"/>
      <c r="BP15" s="886"/>
      <c r="BQ15" s="886"/>
      <c r="BR15" s="886"/>
      <c r="BS15" s="886"/>
      <c r="BT15" s="886"/>
      <c r="BU15" s="886"/>
      <c r="BV15" s="886"/>
      <c r="BW15" s="886"/>
      <c r="BX15" s="886"/>
      <c r="BY15" s="886"/>
      <c r="BZ15" s="886"/>
      <c r="CA15" s="886"/>
      <c r="CB15" s="886"/>
    </row>
    <row r="16" spans="1:80" s="17" customForma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</row>
    <row r="17" spans="1:80" ht="15.75" customHeight="1" x14ac:dyDescent="0.2">
      <c r="A17" s="827"/>
      <c r="B17" s="827"/>
      <c r="C17" s="827"/>
      <c r="D17" s="827"/>
      <c r="E17" s="847" t="s">
        <v>74</v>
      </c>
      <c r="F17" s="848"/>
      <c r="G17" s="848"/>
      <c r="H17" s="848"/>
      <c r="I17" s="848"/>
      <c r="J17" s="848"/>
      <c r="K17" s="848"/>
      <c r="L17" s="848"/>
      <c r="M17" s="848"/>
      <c r="N17" s="848"/>
      <c r="O17" s="848"/>
      <c r="P17" s="848"/>
      <c r="Q17" s="848"/>
      <c r="R17" s="848"/>
      <c r="S17" s="848"/>
      <c r="T17" s="848"/>
      <c r="U17" s="848"/>
      <c r="V17" s="848"/>
      <c r="W17" s="848"/>
      <c r="X17" s="848"/>
      <c r="Y17" s="848"/>
      <c r="Z17" s="848"/>
      <c r="AA17" s="848"/>
      <c r="AB17" s="848"/>
      <c r="AC17" s="848"/>
      <c r="AD17" s="848"/>
      <c r="AE17" s="848"/>
      <c r="AF17" s="848"/>
      <c r="AG17" s="848"/>
      <c r="AH17" s="848"/>
      <c r="AI17" s="847" t="s">
        <v>69</v>
      </c>
      <c r="AJ17" s="848"/>
      <c r="AK17" s="848"/>
      <c r="AL17" s="848"/>
      <c r="AM17" s="848"/>
      <c r="AN17" s="848"/>
      <c r="AO17" s="848"/>
      <c r="AP17" s="848"/>
      <c r="AQ17" s="848"/>
      <c r="AR17" s="848"/>
      <c r="AS17" s="848"/>
      <c r="AT17" s="903"/>
      <c r="AU17" s="905"/>
      <c r="AV17" s="906"/>
      <c r="AW17" s="906"/>
      <c r="AX17" s="906"/>
      <c r="AY17" s="906"/>
      <c r="AZ17" s="906"/>
      <c r="BA17" s="906"/>
      <c r="BB17" s="906"/>
      <c r="BC17" s="906"/>
      <c r="BD17" s="907"/>
      <c r="BE17" s="826" t="s">
        <v>71</v>
      </c>
      <c r="BF17" s="826"/>
      <c r="BG17" s="826"/>
      <c r="BH17" s="826"/>
      <c r="BI17" s="826"/>
      <c r="BJ17" s="826"/>
      <c r="BK17" s="826"/>
      <c r="BL17" s="826"/>
      <c r="BM17" s="826"/>
      <c r="BN17" s="826"/>
      <c r="BO17" s="826"/>
      <c r="BP17" s="826"/>
      <c r="BQ17" s="826"/>
      <c r="BR17" s="826"/>
      <c r="BS17" s="826"/>
      <c r="BT17" s="826"/>
      <c r="BU17" s="826"/>
      <c r="BV17" s="826"/>
      <c r="BW17" s="826"/>
      <c r="BX17" s="826"/>
      <c r="BY17" s="826"/>
      <c r="BZ17" s="826"/>
      <c r="CA17" s="826"/>
      <c r="CB17" s="826"/>
    </row>
    <row r="18" spans="1:80" x14ac:dyDescent="0.2">
      <c r="A18" s="827"/>
      <c r="B18" s="827"/>
      <c r="C18" s="827"/>
      <c r="D18" s="827"/>
      <c r="E18" s="849"/>
      <c r="F18" s="850"/>
      <c r="G18" s="850"/>
      <c r="H18" s="850"/>
      <c r="I18" s="850"/>
      <c r="J18" s="850"/>
      <c r="K18" s="850"/>
      <c r="L18" s="850"/>
      <c r="M18" s="850"/>
      <c r="N18" s="850"/>
      <c r="O18" s="850"/>
      <c r="P18" s="850"/>
      <c r="Q18" s="850"/>
      <c r="R18" s="850"/>
      <c r="S18" s="850"/>
      <c r="T18" s="850"/>
      <c r="U18" s="850"/>
      <c r="V18" s="850"/>
      <c r="W18" s="850"/>
      <c r="X18" s="850"/>
      <c r="Y18" s="850"/>
      <c r="Z18" s="850"/>
      <c r="AA18" s="850"/>
      <c r="AB18" s="850"/>
      <c r="AC18" s="850"/>
      <c r="AD18" s="850"/>
      <c r="AE18" s="850"/>
      <c r="AF18" s="850"/>
      <c r="AG18" s="850"/>
      <c r="AH18" s="850"/>
      <c r="AI18" s="849"/>
      <c r="AJ18" s="850"/>
      <c r="AK18" s="850"/>
      <c r="AL18" s="850"/>
      <c r="AM18" s="850"/>
      <c r="AN18" s="850"/>
      <c r="AO18" s="850"/>
      <c r="AP18" s="850"/>
      <c r="AQ18" s="850"/>
      <c r="AR18" s="850"/>
      <c r="AS18" s="850"/>
      <c r="AT18" s="904"/>
      <c r="AU18" s="908"/>
      <c r="AV18" s="909"/>
      <c r="AW18" s="909"/>
      <c r="AX18" s="909"/>
      <c r="AY18" s="909"/>
      <c r="AZ18" s="909"/>
      <c r="BA18" s="909"/>
      <c r="BB18" s="909"/>
      <c r="BC18" s="909"/>
      <c r="BD18" s="910"/>
      <c r="BE18" s="826"/>
      <c r="BF18" s="826"/>
      <c r="BG18" s="826"/>
      <c r="BH18" s="826"/>
      <c r="BI18" s="826"/>
      <c r="BJ18" s="826"/>
      <c r="BK18" s="826"/>
      <c r="BL18" s="826"/>
      <c r="BM18" s="826"/>
      <c r="BN18" s="826"/>
      <c r="BO18" s="826"/>
      <c r="BP18" s="826"/>
      <c r="BQ18" s="826"/>
      <c r="BR18" s="826"/>
      <c r="BS18" s="826"/>
      <c r="BT18" s="826"/>
      <c r="BU18" s="826"/>
      <c r="BV18" s="826"/>
      <c r="BW18" s="826"/>
      <c r="BX18" s="826"/>
      <c r="BY18" s="826"/>
      <c r="BZ18" s="826"/>
      <c r="CA18" s="826"/>
      <c r="CB18" s="826"/>
    </row>
    <row r="19" spans="1:80" s="12" customFormat="1" ht="19.899999999999999" customHeight="1" x14ac:dyDescent="0.25">
      <c r="A19" s="826">
        <v>1</v>
      </c>
      <c r="B19" s="826"/>
      <c r="C19" s="826"/>
      <c r="D19" s="826"/>
      <c r="E19" s="912"/>
      <c r="F19" s="913"/>
      <c r="G19" s="913"/>
      <c r="H19" s="913"/>
      <c r="I19" s="913"/>
      <c r="J19" s="913"/>
      <c r="K19" s="913"/>
      <c r="L19" s="913"/>
      <c r="M19" s="913"/>
      <c r="N19" s="913"/>
      <c r="O19" s="913"/>
      <c r="P19" s="913"/>
      <c r="Q19" s="913"/>
      <c r="R19" s="913"/>
      <c r="S19" s="913"/>
      <c r="T19" s="913"/>
      <c r="U19" s="913"/>
      <c r="V19" s="913"/>
      <c r="W19" s="913"/>
      <c r="X19" s="913"/>
      <c r="Y19" s="913"/>
      <c r="Z19" s="913"/>
      <c r="AA19" s="913"/>
      <c r="AB19" s="913"/>
      <c r="AC19" s="913"/>
      <c r="AD19" s="913"/>
      <c r="AE19" s="913"/>
      <c r="AF19" s="913"/>
      <c r="AG19" s="913"/>
      <c r="AH19" s="913"/>
      <c r="AI19" s="914"/>
      <c r="AJ19" s="915"/>
      <c r="AK19" s="915"/>
      <c r="AL19" s="915"/>
      <c r="AM19" s="915"/>
      <c r="AN19" s="915"/>
      <c r="AO19" s="915"/>
      <c r="AP19" s="915"/>
      <c r="AQ19" s="915"/>
      <c r="AR19" s="915"/>
      <c r="AS19" s="915"/>
      <c r="AT19" s="915"/>
      <c r="AU19" s="901"/>
      <c r="AV19" s="901"/>
      <c r="AW19" s="901"/>
      <c r="AX19" s="901"/>
      <c r="AY19" s="901"/>
      <c r="AZ19" s="901"/>
      <c r="BA19" s="901"/>
      <c r="BB19" s="901"/>
      <c r="BC19" s="901"/>
      <c r="BD19" s="901"/>
      <c r="BE19" s="898"/>
      <c r="BF19" s="898"/>
      <c r="BG19" s="898"/>
      <c r="BH19" s="898"/>
      <c r="BI19" s="898"/>
      <c r="BJ19" s="898"/>
      <c r="BK19" s="898"/>
      <c r="BL19" s="898"/>
      <c r="BM19" s="898"/>
      <c r="BN19" s="898"/>
      <c r="BO19" s="898"/>
      <c r="BP19" s="898"/>
      <c r="BQ19" s="898"/>
      <c r="BR19" s="898"/>
      <c r="BS19" s="898"/>
      <c r="BT19" s="898"/>
      <c r="BU19" s="898"/>
      <c r="BV19" s="898"/>
      <c r="BW19" s="898"/>
      <c r="BX19" s="898"/>
      <c r="BY19" s="898"/>
      <c r="BZ19" s="898"/>
      <c r="CA19" s="898"/>
      <c r="CB19" s="898"/>
    </row>
    <row r="20" spans="1:80" s="12" customFormat="1" ht="35.25" customHeight="1" x14ac:dyDescent="0.25">
      <c r="A20" s="826">
        <v>2</v>
      </c>
      <c r="B20" s="826"/>
      <c r="C20" s="826"/>
      <c r="D20" s="826"/>
      <c r="E20" s="912"/>
      <c r="F20" s="913"/>
      <c r="G20" s="913"/>
      <c r="H20" s="913"/>
      <c r="I20" s="913"/>
      <c r="J20" s="913"/>
      <c r="K20" s="913"/>
      <c r="L20" s="913"/>
      <c r="M20" s="913"/>
      <c r="N20" s="913"/>
      <c r="O20" s="913"/>
      <c r="P20" s="913"/>
      <c r="Q20" s="913"/>
      <c r="R20" s="913"/>
      <c r="S20" s="913"/>
      <c r="T20" s="913"/>
      <c r="U20" s="913"/>
      <c r="V20" s="913"/>
      <c r="W20" s="913"/>
      <c r="X20" s="913"/>
      <c r="Y20" s="913"/>
      <c r="Z20" s="913"/>
      <c r="AA20" s="913"/>
      <c r="AB20" s="913"/>
      <c r="AC20" s="913"/>
      <c r="AD20" s="913"/>
      <c r="AE20" s="913"/>
      <c r="AF20" s="913"/>
      <c r="AG20" s="913"/>
      <c r="AH20" s="913"/>
      <c r="AI20" s="914"/>
      <c r="AJ20" s="915"/>
      <c r="AK20" s="915"/>
      <c r="AL20" s="915"/>
      <c r="AM20" s="915"/>
      <c r="AN20" s="915"/>
      <c r="AO20" s="915"/>
      <c r="AP20" s="915"/>
      <c r="AQ20" s="915"/>
      <c r="AR20" s="915"/>
      <c r="AS20" s="915"/>
      <c r="AT20" s="915"/>
      <c r="AU20" s="902"/>
      <c r="AV20" s="901"/>
      <c r="AW20" s="901"/>
      <c r="AX20" s="901"/>
      <c r="AY20" s="901"/>
      <c r="AZ20" s="901"/>
      <c r="BA20" s="901"/>
      <c r="BB20" s="901"/>
      <c r="BC20" s="901"/>
      <c r="BD20" s="901"/>
      <c r="BE20" s="899"/>
      <c r="BF20" s="900"/>
      <c r="BG20" s="900"/>
      <c r="BH20" s="900"/>
      <c r="BI20" s="900"/>
      <c r="BJ20" s="900"/>
      <c r="BK20" s="900"/>
      <c r="BL20" s="916"/>
      <c r="BM20" s="898"/>
      <c r="BN20" s="898"/>
      <c r="BO20" s="898"/>
      <c r="BP20" s="898"/>
      <c r="BQ20" s="898"/>
      <c r="BR20" s="898"/>
      <c r="BS20" s="898"/>
      <c r="BT20" s="898"/>
      <c r="BU20" s="898"/>
      <c r="BV20" s="898"/>
      <c r="BW20" s="898"/>
      <c r="BX20" s="898"/>
      <c r="BY20" s="898"/>
      <c r="BZ20" s="898"/>
      <c r="CA20" s="898"/>
      <c r="CB20" s="898"/>
    </row>
    <row r="21" spans="1:80" s="12" customFormat="1" ht="19.899999999999999" customHeight="1" x14ac:dyDescent="0.25">
      <c r="A21" s="826">
        <v>3</v>
      </c>
      <c r="B21" s="826"/>
      <c r="C21" s="826"/>
      <c r="D21" s="826"/>
      <c r="E21" s="912"/>
      <c r="F21" s="913"/>
      <c r="G21" s="913"/>
      <c r="H21" s="913"/>
      <c r="I21" s="913"/>
      <c r="J21" s="913"/>
      <c r="K21" s="913"/>
      <c r="L21" s="913"/>
      <c r="M21" s="913"/>
      <c r="N21" s="913"/>
      <c r="O21" s="913"/>
      <c r="P21" s="913"/>
      <c r="Q21" s="913"/>
      <c r="R21" s="913"/>
      <c r="S21" s="913"/>
      <c r="T21" s="913"/>
      <c r="U21" s="913"/>
      <c r="V21" s="913"/>
      <c r="W21" s="913"/>
      <c r="X21" s="913"/>
      <c r="Y21" s="913"/>
      <c r="Z21" s="913"/>
      <c r="AA21" s="913"/>
      <c r="AB21" s="913"/>
      <c r="AC21" s="913"/>
      <c r="AD21" s="913"/>
      <c r="AE21" s="913"/>
      <c r="AF21" s="913"/>
      <c r="AG21" s="913"/>
      <c r="AH21" s="913"/>
      <c r="AI21" s="914"/>
      <c r="AJ21" s="915"/>
      <c r="AK21" s="915"/>
      <c r="AL21" s="915"/>
      <c r="AM21" s="915"/>
      <c r="AN21" s="915"/>
      <c r="AO21" s="915"/>
      <c r="AP21" s="915"/>
      <c r="AQ21" s="915"/>
      <c r="AR21" s="915"/>
      <c r="AS21" s="915"/>
      <c r="AT21" s="915"/>
      <c r="AU21" s="901"/>
      <c r="AV21" s="901"/>
      <c r="AW21" s="901"/>
      <c r="AX21" s="901"/>
      <c r="AY21" s="901"/>
      <c r="AZ21" s="901"/>
      <c r="BA21" s="901"/>
      <c r="BB21" s="901"/>
      <c r="BC21" s="901"/>
      <c r="BD21" s="901"/>
      <c r="BE21" s="898"/>
      <c r="BF21" s="898"/>
      <c r="BG21" s="898"/>
      <c r="BH21" s="898"/>
      <c r="BI21" s="898"/>
      <c r="BJ21" s="898"/>
      <c r="BK21" s="898"/>
      <c r="BL21" s="898"/>
      <c r="BM21" s="898"/>
      <c r="BN21" s="898"/>
      <c r="BO21" s="898"/>
      <c r="BP21" s="898"/>
      <c r="BQ21" s="898"/>
      <c r="BR21" s="898"/>
      <c r="BS21" s="898"/>
      <c r="BT21" s="898"/>
      <c r="BU21" s="898"/>
      <c r="BV21" s="898"/>
      <c r="BW21" s="898"/>
      <c r="BX21" s="898"/>
      <c r="BY21" s="898"/>
      <c r="BZ21" s="898"/>
      <c r="CA21" s="898"/>
      <c r="CB21" s="898"/>
    </row>
    <row r="22" spans="1:80" s="12" customFormat="1" ht="19.899999999999999" customHeight="1" x14ac:dyDescent="0.25">
      <c r="A22" s="826">
        <v>4</v>
      </c>
      <c r="B22" s="826"/>
      <c r="C22" s="826"/>
      <c r="D22" s="826"/>
      <c r="E22" s="912"/>
      <c r="F22" s="913"/>
      <c r="G22" s="913"/>
      <c r="H22" s="913"/>
      <c r="I22" s="913"/>
      <c r="J22" s="913"/>
      <c r="K22" s="913"/>
      <c r="L22" s="913"/>
      <c r="M22" s="913"/>
      <c r="N22" s="913"/>
      <c r="O22" s="913"/>
      <c r="P22" s="913"/>
      <c r="Q22" s="913"/>
      <c r="R22" s="913"/>
      <c r="S22" s="913"/>
      <c r="T22" s="913"/>
      <c r="U22" s="913"/>
      <c r="V22" s="913"/>
      <c r="W22" s="913"/>
      <c r="X22" s="913"/>
      <c r="Y22" s="913"/>
      <c r="Z22" s="913"/>
      <c r="AA22" s="913"/>
      <c r="AB22" s="913"/>
      <c r="AC22" s="913"/>
      <c r="AD22" s="913"/>
      <c r="AE22" s="913"/>
      <c r="AF22" s="913"/>
      <c r="AG22" s="913"/>
      <c r="AH22" s="913"/>
      <c r="AI22" s="914"/>
      <c r="AJ22" s="915"/>
      <c r="AK22" s="915"/>
      <c r="AL22" s="915"/>
      <c r="AM22" s="915"/>
      <c r="AN22" s="915"/>
      <c r="AO22" s="915"/>
      <c r="AP22" s="915"/>
      <c r="AQ22" s="915"/>
      <c r="AR22" s="915"/>
      <c r="AS22" s="915"/>
      <c r="AT22" s="915"/>
      <c r="AU22" s="901"/>
      <c r="AV22" s="901"/>
      <c r="AW22" s="901"/>
      <c r="AX22" s="901"/>
      <c r="AY22" s="901"/>
      <c r="AZ22" s="901"/>
      <c r="BA22" s="901"/>
      <c r="BB22" s="901"/>
      <c r="BC22" s="901"/>
      <c r="BD22" s="901"/>
      <c r="BE22" s="898"/>
      <c r="BF22" s="898"/>
      <c r="BG22" s="898"/>
      <c r="BH22" s="898"/>
      <c r="BI22" s="898"/>
      <c r="BJ22" s="898"/>
      <c r="BK22" s="898"/>
      <c r="BL22" s="898"/>
      <c r="BM22" s="898"/>
      <c r="BN22" s="898"/>
      <c r="BO22" s="898"/>
      <c r="BP22" s="898"/>
      <c r="BQ22" s="898"/>
      <c r="BR22" s="898"/>
      <c r="BS22" s="898"/>
      <c r="BT22" s="898"/>
      <c r="BU22" s="898"/>
      <c r="BV22" s="898"/>
      <c r="BW22" s="898"/>
      <c r="BX22" s="898"/>
      <c r="BY22" s="898"/>
      <c r="BZ22" s="898"/>
      <c r="CA22" s="898"/>
      <c r="CB22" s="898"/>
    </row>
    <row r="23" spans="1:80" s="12" customFormat="1" ht="19.899999999999999" customHeight="1" x14ac:dyDescent="0.25">
      <c r="A23" s="826">
        <v>5</v>
      </c>
      <c r="B23" s="826"/>
      <c r="C23" s="826"/>
      <c r="D23" s="826"/>
      <c r="E23" s="912"/>
      <c r="F23" s="913"/>
      <c r="G23" s="913"/>
      <c r="H23" s="913"/>
      <c r="I23" s="913"/>
      <c r="J23" s="913"/>
      <c r="K23" s="913"/>
      <c r="L23" s="913"/>
      <c r="M23" s="913"/>
      <c r="N23" s="913"/>
      <c r="O23" s="913"/>
      <c r="P23" s="913"/>
      <c r="Q23" s="913"/>
      <c r="R23" s="913"/>
      <c r="S23" s="913"/>
      <c r="T23" s="913"/>
      <c r="U23" s="913"/>
      <c r="V23" s="913"/>
      <c r="W23" s="913"/>
      <c r="X23" s="913"/>
      <c r="Y23" s="913"/>
      <c r="Z23" s="913"/>
      <c r="AA23" s="913"/>
      <c r="AB23" s="913"/>
      <c r="AC23" s="913"/>
      <c r="AD23" s="913"/>
      <c r="AE23" s="913"/>
      <c r="AF23" s="913"/>
      <c r="AG23" s="913"/>
      <c r="AH23" s="913"/>
      <c r="AI23" s="914"/>
      <c r="AJ23" s="915"/>
      <c r="AK23" s="915"/>
      <c r="AL23" s="915"/>
      <c r="AM23" s="915"/>
      <c r="AN23" s="915"/>
      <c r="AO23" s="915"/>
      <c r="AP23" s="915"/>
      <c r="AQ23" s="915"/>
      <c r="AR23" s="915"/>
      <c r="AS23" s="915"/>
      <c r="AT23" s="915"/>
      <c r="AU23" s="901"/>
      <c r="AV23" s="901"/>
      <c r="AW23" s="901"/>
      <c r="AX23" s="901"/>
      <c r="AY23" s="901"/>
      <c r="AZ23" s="901"/>
      <c r="BA23" s="901"/>
      <c r="BB23" s="901"/>
      <c r="BC23" s="901"/>
      <c r="BD23" s="901"/>
      <c r="BE23" s="898"/>
      <c r="BF23" s="898"/>
      <c r="BG23" s="898"/>
      <c r="BH23" s="898"/>
      <c r="BI23" s="898"/>
      <c r="BJ23" s="898"/>
      <c r="BK23" s="898"/>
      <c r="BL23" s="898"/>
      <c r="BM23" s="898"/>
      <c r="BN23" s="898"/>
      <c r="BO23" s="898"/>
      <c r="BP23" s="898"/>
      <c r="BQ23" s="898"/>
      <c r="BR23" s="898"/>
      <c r="BS23" s="898"/>
      <c r="BT23" s="898"/>
      <c r="BU23" s="898"/>
      <c r="BV23" s="898"/>
      <c r="BW23" s="898"/>
      <c r="BX23" s="898"/>
      <c r="BY23" s="898"/>
      <c r="BZ23" s="898"/>
      <c r="CA23" s="898"/>
      <c r="CB23" s="898"/>
    </row>
    <row r="24" spans="1:80" s="12" customFormat="1" ht="19.899999999999999" customHeight="1" x14ac:dyDescent="0.25">
      <c r="A24" s="826">
        <v>6</v>
      </c>
      <c r="B24" s="826"/>
      <c r="C24" s="826"/>
      <c r="D24" s="826"/>
      <c r="E24" s="912"/>
      <c r="F24" s="913"/>
      <c r="G24" s="913"/>
      <c r="H24" s="913"/>
      <c r="I24" s="913"/>
      <c r="J24" s="913"/>
      <c r="K24" s="913"/>
      <c r="L24" s="913"/>
      <c r="M24" s="913"/>
      <c r="N24" s="913"/>
      <c r="O24" s="913"/>
      <c r="P24" s="913"/>
      <c r="Q24" s="913"/>
      <c r="R24" s="913"/>
      <c r="S24" s="913"/>
      <c r="T24" s="913"/>
      <c r="U24" s="913"/>
      <c r="V24" s="913"/>
      <c r="W24" s="913"/>
      <c r="X24" s="913"/>
      <c r="Y24" s="913"/>
      <c r="Z24" s="913"/>
      <c r="AA24" s="913"/>
      <c r="AB24" s="913"/>
      <c r="AC24" s="913"/>
      <c r="AD24" s="913"/>
      <c r="AE24" s="913"/>
      <c r="AF24" s="913"/>
      <c r="AG24" s="913"/>
      <c r="AH24" s="913"/>
      <c r="AI24" s="914"/>
      <c r="AJ24" s="915"/>
      <c r="AK24" s="915"/>
      <c r="AL24" s="915"/>
      <c r="AM24" s="915"/>
      <c r="AN24" s="915"/>
      <c r="AO24" s="915"/>
      <c r="AP24" s="915"/>
      <c r="AQ24" s="915"/>
      <c r="AR24" s="915"/>
      <c r="AS24" s="915"/>
      <c r="AT24" s="915"/>
      <c r="AU24" s="901"/>
      <c r="AV24" s="901"/>
      <c r="AW24" s="901"/>
      <c r="AX24" s="901"/>
      <c r="AY24" s="901"/>
      <c r="AZ24" s="901"/>
      <c r="BA24" s="901"/>
      <c r="BB24" s="901"/>
      <c r="BC24" s="901"/>
      <c r="BD24" s="901"/>
      <c r="BE24" s="898"/>
      <c r="BF24" s="898"/>
      <c r="BG24" s="898"/>
      <c r="BH24" s="898"/>
      <c r="BI24" s="898"/>
      <c r="BJ24" s="898"/>
      <c r="BK24" s="898"/>
      <c r="BL24" s="898"/>
      <c r="BM24" s="898"/>
      <c r="BN24" s="898"/>
      <c r="BO24" s="898"/>
      <c r="BP24" s="898"/>
      <c r="BQ24" s="898"/>
      <c r="BR24" s="898"/>
      <c r="BS24" s="898"/>
      <c r="BT24" s="898"/>
      <c r="BU24" s="898"/>
      <c r="BV24" s="898"/>
      <c r="BW24" s="898"/>
      <c r="BX24" s="898"/>
      <c r="BY24" s="898"/>
      <c r="BZ24" s="898"/>
      <c r="CA24" s="898"/>
      <c r="CB24" s="898"/>
    </row>
    <row r="25" spans="1:80" s="12" customFormat="1" ht="24" customHeight="1" x14ac:dyDescent="0.25">
      <c r="A25" s="826">
        <v>7</v>
      </c>
      <c r="B25" s="826"/>
      <c r="C25" s="826"/>
      <c r="D25" s="826"/>
      <c r="E25" s="912"/>
      <c r="F25" s="913"/>
      <c r="G25" s="913"/>
      <c r="H25" s="913"/>
      <c r="I25" s="913"/>
      <c r="J25" s="913"/>
      <c r="K25" s="913"/>
      <c r="L25" s="913"/>
      <c r="M25" s="913"/>
      <c r="N25" s="913"/>
      <c r="O25" s="913"/>
      <c r="P25" s="913"/>
      <c r="Q25" s="913"/>
      <c r="R25" s="913"/>
      <c r="S25" s="913"/>
      <c r="T25" s="913"/>
      <c r="U25" s="913"/>
      <c r="V25" s="913"/>
      <c r="W25" s="913"/>
      <c r="X25" s="913"/>
      <c r="Y25" s="913"/>
      <c r="Z25" s="913"/>
      <c r="AA25" s="913"/>
      <c r="AB25" s="913"/>
      <c r="AC25" s="913"/>
      <c r="AD25" s="913"/>
      <c r="AE25" s="913"/>
      <c r="AF25" s="913"/>
      <c r="AG25" s="913"/>
      <c r="AH25" s="913"/>
      <c r="AI25" s="914"/>
      <c r="AJ25" s="915"/>
      <c r="AK25" s="915"/>
      <c r="AL25" s="915"/>
      <c r="AM25" s="915"/>
      <c r="AN25" s="915"/>
      <c r="AO25" s="915"/>
      <c r="AP25" s="915"/>
      <c r="AQ25" s="915"/>
      <c r="AR25" s="915"/>
      <c r="AS25" s="915"/>
      <c r="AT25" s="915"/>
      <c r="AU25" s="901"/>
      <c r="AV25" s="901"/>
      <c r="AW25" s="901"/>
      <c r="AX25" s="901"/>
      <c r="AY25" s="901"/>
      <c r="AZ25" s="901"/>
      <c r="BA25" s="901"/>
      <c r="BB25" s="901"/>
      <c r="BC25" s="901"/>
      <c r="BD25" s="901"/>
      <c r="BE25" s="898"/>
      <c r="BF25" s="898"/>
      <c r="BG25" s="898"/>
      <c r="BH25" s="898"/>
      <c r="BI25" s="898"/>
      <c r="BJ25" s="898"/>
      <c r="BK25" s="898"/>
      <c r="BL25" s="898"/>
      <c r="BM25" s="898"/>
      <c r="BN25" s="898"/>
      <c r="BO25" s="898"/>
      <c r="BP25" s="898"/>
      <c r="BQ25" s="898"/>
      <c r="BR25" s="898"/>
      <c r="BS25" s="898"/>
      <c r="BT25" s="898"/>
      <c r="BU25" s="898"/>
      <c r="BV25" s="898"/>
      <c r="BW25" s="898"/>
      <c r="BX25" s="898"/>
      <c r="BY25" s="898"/>
      <c r="BZ25" s="898"/>
      <c r="CA25" s="898"/>
      <c r="CB25" s="898"/>
    </row>
    <row r="26" spans="1:80" s="12" customFormat="1" ht="33" customHeight="1" x14ac:dyDescent="0.25">
      <c r="A26" s="826">
        <v>8</v>
      </c>
      <c r="B26" s="826"/>
      <c r="C26" s="826"/>
      <c r="D26" s="826"/>
      <c r="E26" s="912"/>
      <c r="F26" s="913"/>
      <c r="G26" s="913"/>
      <c r="H26" s="913"/>
      <c r="I26" s="913"/>
      <c r="J26" s="913"/>
      <c r="K26" s="913"/>
      <c r="L26" s="913"/>
      <c r="M26" s="913"/>
      <c r="N26" s="913"/>
      <c r="O26" s="913"/>
      <c r="P26" s="913"/>
      <c r="Q26" s="913"/>
      <c r="R26" s="913"/>
      <c r="S26" s="913"/>
      <c r="T26" s="913"/>
      <c r="U26" s="913"/>
      <c r="V26" s="913"/>
      <c r="W26" s="913"/>
      <c r="X26" s="913"/>
      <c r="Y26" s="913"/>
      <c r="Z26" s="913"/>
      <c r="AA26" s="913"/>
      <c r="AB26" s="913"/>
      <c r="AC26" s="913"/>
      <c r="AD26" s="913"/>
      <c r="AE26" s="913"/>
      <c r="AF26" s="913"/>
      <c r="AG26" s="913"/>
      <c r="AH26" s="913"/>
      <c r="AI26" s="914"/>
      <c r="AJ26" s="915"/>
      <c r="AK26" s="915"/>
      <c r="AL26" s="915"/>
      <c r="AM26" s="915"/>
      <c r="AN26" s="915"/>
      <c r="AO26" s="915"/>
      <c r="AP26" s="915"/>
      <c r="AQ26" s="915"/>
      <c r="AR26" s="915"/>
      <c r="AS26" s="915"/>
      <c r="AT26" s="915"/>
      <c r="AU26" s="919"/>
      <c r="AV26" s="920"/>
      <c r="AW26" s="920"/>
      <c r="AX26" s="920"/>
      <c r="AY26" s="920"/>
      <c r="AZ26" s="920"/>
      <c r="BA26" s="920"/>
      <c r="BB26" s="920"/>
      <c r="BC26" s="920"/>
      <c r="BD26" s="921"/>
      <c r="BE26" s="899"/>
      <c r="BF26" s="900"/>
      <c r="BG26" s="900"/>
      <c r="BH26" s="900"/>
      <c r="BI26" s="900"/>
      <c r="BJ26" s="900"/>
      <c r="BK26" s="900"/>
      <c r="BL26" s="916"/>
      <c r="BM26" s="898"/>
      <c r="BN26" s="898"/>
      <c r="BO26" s="898"/>
      <c r="BP26" s="898"/>
      <c r="BQ26" s="898"/>
      <c r="BR26" s="898"/>
      <c r="BS26" s="898"/>
      <c r="BT26" s="898"/>
      <c r="BU26" s="898"/>
      <c r="BV26" s="898"/>
      <c r="BW26" s="898"/>
      <c r="BX26" s="898"/>
      <c r="BY26" s="898"/>
      <c r="BZ26" s="898"/>
      <c r="CA26" s="898"/>
      <c r="CB26" s="898"/>
    </row>
    <row r="27" spans="1:80" s="12" customFormat="1" ht="19.899999999999999" customHeight="1" x14ac:dyDescent="0.25">
      <c r="A27" s="826">
        <v>9</v>
      </c>
      <c r="B27" s="826"/>
      <c r="C27" s="826"/>
      <c r="D27" s="826"/>
      <c r="E27" s="912"/>
      <c r="F27" s="913"/>
      <c r="G27" s="913"/>
      <c r="H27" s="913"/>
      <c r="I27" s="913"/>
      <c r="J27" s="913"/>
      <c r="K27" s="913"/>
      <c r="L27" s="913"/>
      <c r="M27" s="913"/>
      <c r="N27" s="913"/>
      <c r="O27" s="913"/>
      <c r="P27" s="913"/>
      <c r="Q27" s="913"/>
      <c r="R27" s="913"/>
      <c r="S27" s="913"/>
      <c r="T27" s="913"/>
      <c r="U27" s="913"/>
      <c r="V27" s="913"/>
      <c r="W27" s="913"/>
      <c r="X27" s="913"/>
      <c r="Y27" s="913"/>
      <c r="Z27" s="913"/>
      <c r="AA27" s="913"/>
      <c r="AB27" s="913"/>
      <c r="AC27" s="913"/>
      <c r="AD27" s="913"/>
      <c r="AE27" s="913"/>
      <c r="AF27" s="913"/>
      <c r="AG27" s="913"/>
      <c r="AH27" s="913"/>
      <c r="AI27" s="914"/>
      <c r="AJ27" s="915"/>
      <c r="AK27" s="915"/>
      <c r="AL27" s="915"/>
      <c r="AM27" s="915"/>
      <c r="AN27" s="915"/>
      <c r="AO27" s="915"/>
      <c r="AP27" s="915"/>
      <c r="AQ27" s="915"/>
      <c r="AR27" s="915"/>
      <c r="AS27" s="915"/>
      <c r="AT27" s="915"/>
      <c r="AU27" s="901"/>
      <c r="AV27" s="901"/>
      <c r="AW27" s="901"/>
      <c r="AX27" s="901"/>
      <c r="AY27" s="901"/>
      <c r="AZ27" s="901"/>
      <c r="BA27" s="901"/>
      <c r="BB27" s="901"/>
      <c r="BC27" s="901"/>
      <c r="BD27" s="901"/>
      <c r="BE27" s="898"/>
      <c r="BF27" s="898"/>
      <c r="BG27" s="898"/>
      <c r="BH27" s="898"/>
      <c r="BI27" s="898"/>
      <c r="BJ27" s="898"/>
      <c r="BK27" s="898"/>
      <c r="BL27" s="898"/>
      <c r="BM27" s="898"/>
      <c r="BN27" s="898"/>
      <c r="BO27" s="898"/>
      <c r="BP27" s="898"/>
      <c r="BQ27" s="898"/>
      <c r="BR27" s="898"/>
      <c r="BS27" s="898"/>
      <c r="BT27" s="898"/>
      <c r="BU27" s="898"/>
      <c r="BV27" s="898"/>
      <c r="BW27" s="898"/>
      <c r="BX27" s="898"/>
      <c r="BY27" s="898"/>
      <c r="BZ27" s="898"/>
      <c r="CA27" s="898"/>
      <c r="CB27" s="898"/>
    </row>
    <row r="28" spans="1:80" s="12" customFormat="1" ht="19.899999999999999" customHeight="1" x14ac:dyDescent="0.25">
      <c r="A28" s="826">
        <v>10</v>
      </c>
      <c r="B28" s="826"/>
      <c r="C28" s="826"/>
      <c r="D28" s="826"/>
      <c r="E28" s="828"/>
      <c r="F28" s="829"/>
      <c r="G28" s="829"/>
      <c r="H28" s="829"/>
      <c r="I28" s="829"/>
      <c r="J28" s="829"/>
      <c r="K28" s="829"/>
      <c r="L28" s="829"/>
      <c r="M28" s="829"/>
      <c r="N28" s="829"/>
      <c r="O28" s="829"/>
      <c r="P28" s="829"/>
      <c r="Q28" s="829"/>
      <c r="R28" s="829"/>
      <c r="S28" s="829"/>
      <c r="T28" s="829"/>
      <c r="U28" s="829"/>
      <c r="V28" s="829"/>
      <c r="W28" s="829"/>
      <c r="X28" s="829"/>
      <c r="Y28" s="829"/>
      <c r="Z28" s="829"/>
      <c r="AA28" s="829"/>
      <c r="AB28" s="829"/>
      <c r="AC28" s="829"/>
      <c r="AD28" s="829"/>
      <c r="AE28" s="829"/>
      <c r="AF28" s="829"/>
      <c r="AG28" s="829"/>
      <c r="AH28" s="829"/>
      <c r="AI28" s="833"/>
      <c r="AJ28" s="834"/>
      <c r="AK28" s="834"/>
      <c r="AL28" s="834"/>
      <c r="AM28" s="834"/>
      <c r="AN28" s="834"/>
      <c r="AO28" s="834"/>
      <c r="AP28" s="834"/>
      <c r="AQ28" s="834"/>
      <c r="AR28" s="834"/>
      <c r="AS28" s="834"/>
      <c r="AT28" s="834"/>
      <c r="AU28" s="901"/>
      <c r="AV28" s="901"/>
      <c r="AW28" s="901"/>
      <c r="AX28" s="901"/>
      <c r="AY28" s="901"/>
      <c r="AZ28" s="901"/>
      <c r="BA28" s="901"/>
      <c r="BB28" s="901"/>
      <c r="BC28" s="901"/>
      <c r="BD28" s="901"/>
      <c r="BE28" s="898"/>
      <c r="BF28" s="898"/>
      <c r="BG28" s="898"/>
      <c r="BH28" s="898"/>
      <c r="BI28" s="898"/>
      <c r="BJ28" s="898"/>
      <c r="BK28" s="898"/>
      <c r="BL28" s="898"/>
      <c r="BM28" s="898"/>
      <c r="BN28" s="898"/>
      <c r="BO28" s="898"/>
      <c r="BP28" s="898"/>
      <c r="BQ28" s="898"/>
      <c r="BR28" s="898"/>
      <c r="BS28" s="898"/>
      <c r="BT28" s="898"/>
      <c r="BU28" s="898"/>
      <c r="BV28" s="898"/>
      <c r="BW28" s="898"/>
      <c r="BX28" s="898"/>
      <c r="BY28" s="898"/>
      <c r="BZ28" s="898"/>
      <c r="CA28" s="898"/>
      <c r="CB28" s="898"/>
    </row>
    <row r="29" spans="1:80" s="12" customFormat="1" ht="19.899999999999999" customHeight="1" x14ac:dyDescent="0.25">
      <c r="A29" s="826">
        <v>11</v>
      </c>
      <c r="B29" s="826"/>
      <c r="C29" s="826"/>
      <c r="D29" s="826"/>
      <c r="E29" s="828"/>
      <c r="F29" s="829"/>
      <c r="G29" s="829"/>
      <c r="H29" s="829"/>
      <c r="I29" s="829"/>
      <c r="J29" s="829"/>
      <c r="K29" s="829"/>
      <c r="L29" s="829"/>
      <c r="M29" s="829"/>
      <c r="N29" s="829"/>
      <c r="O29" s="829"/>
      <c r="P29" s="829"/>
      <c r="Q29" s="829"/>
      <c r="R29" s="829"/>
      <c r="S29" s="829"/>
      <c r="T29" s="829"/>
      <c r="U29" s="829"/>
      <c r="V29" s="829"/>
      <c r="W29" s="829"/>
      <c r="X29" s="829"/>
      <c r="Y29" s="829"/>
      <c r="Z29" s="829"/>
      <c r="AA29" s="829"/>
      <c r="AB29" s="829"/>
      <c r="AC29" s="829"/>
      <c r="AD29" s="829"/>
      <c r="AE29" s="829"/>
      <c r="AF29" s="829"/>
      <c r="AG29" s="829"/>
      <c r="AH29" s="829"/>
      <c r="AI29" s="833"/>
      <c r="AJ29" s="834"/>
      <c r="AK29" s="834"/>
      <c r="AL29" s="834"/>
      <c r="AM29" s="834"/>
      <c r="AN29" s="834"/>
      <c r="AO29" s="834"/>
      <c r="AP29" s="834"/>
      <c r="AQ29" s="834"/>
      <c r="AR29" s="834"/>
      <c r="AS29" s="834"/>
      <c r="AT29" s="834"/>
      <c r="AU29" s="901"/>
      <c r="AV29" s="901"/>
      <c r="AW29" s="901"/>
      <c r="AX29" s="901"/>
      <c r="AY29" s="901"/>
      <c r="AZ29" s="901"/>
      <c r="BA29" s="901"/>
      <c r="BB29" s="901"/>
      <c r="BC29" s="901"/>
      <c r="BD29" s="901"/>
      <c r="BE29" s="898"/>
      <c r="BF29" s="898"/>
      <c r="BG29" s="898"/>
      <c r="BH29" s="898"/>
      <c r="BI29" s="898"/>
      <c r="BJ29" s="898"/>
      <c r="BK29" s="898"/>
      <c r="BL29" s="898"/>
      <c r="BM29" s="898"/>
      <c r="BN29" s="898"/>
      <c r="BO29" s="898"/>
      <c r="BP29" s="898"/>
      <c r="BQ29" s="898"/>
      <c r="BR29" s="898"/>
      <c r="BS29" s="898"/>
      <c r="BT29" s="898"/>
      <c r="BU29" s="898"/>
      <c r="BV29" s="898"/>
      <c r="BW29" s="898"/>
      <c r="BX29" s="898"/>
      <c r="BY29" s="898"/>
      <c r="BZ29" s="898"/>
      <c r="CA29" s="898"/>
      <c r="CB29" s="898"/>
    </row>
    <row r="30" spans="1:80" s="12" customFormat="1" ht="35.25" customHeight="1" x14ac:dyDescent="0.25">
      <c r="A30" s="826">
        <v>12</v>
      </c>
      <c r="B30" s="826"/>
      <c r="C30" s="826"/>
      <c r="D30" s="826"/>
      <c r="E30" s="828"/>
      <c r="F30" s="829"/>
      <c r="G30" s="829"/>
      <c r="H30" s="829"/>
      <c r="I30" s="829"/>
      <c r="J30" s="829"/>
      <c r="K30" s="829"/>
      <c r="L30" s="829"/>
      <c r="M30" s="829"/>
      <c r="N30" s="829"/>
      <c r="O30" s="829"/>
      <c r="P30" s="829"/>
      <c r="Q30" s="829"/>
      <c r="R30" s="829"/>
      <c r="S30" s="829"/>
      <c r="T30" s="829"/>
      <c r="U30" s="829"/>
      <c r="V30" s="829"/>
      <c r="W30" s="829"/>
      <c r="X30" s="829"/>
      <c r="Y30" s="829"/>
      <c r="Z30" s="829"/>
      <c r="AA30" s="829"/>
      <c r="AB30" s="829"/>
      <c r="AC30" s="829"/>
      <c r="AD30" s="829"/>
      <c r="AE30" s="829"/>
      <c r="AF30" s="829"/>
      <c r="AG30" s="829"/>
      <c r="AH30" s="829"/>
      <c r="AI30" s="899"/>
      <c r="AJ30" s="900"/>
      <c r="AK30" s="900"/>
      <c r="AL30" s="900"/>
      <c r="AM30" s="900"/>
      <c r="AN30" s="900"/>
      <c r="AO30" s="900"/>
      <c r="AP30" s="900"/>
      <c r="AQ30" s="900"/>
      <c r="AR30" s="900"/>
      <c r="AS30" s="900"/>
      <c r="AT30" s="900"/>
      <c r="AU30" s="902"/>
      <c r="AV30" s="901"/>
      <c r="AW30" s="901"/>
      <c r="AX30" s="901"/>
      <c r="AY30" s="901"/>
      <c r="AZ30" s="901"/>
      <c r="BA30" s="901"/>
      <c r="BB30" s="901"/>
      <c r="BC30" s="901"/>
      <c r="BD30" s="901"/>
      <c r="BE30" s="898"/>
      <c r="BF30" s="898"/>
      <c r="BG30" s="898"/>
      <c r="BH30" s="898"/>
      <c r="BI30" s="898"/>
      <c r="BJ30" s="898"/>
      <c r="BK30" s="898"/>
      <c r="BL30" s="898"/>
      <c r="BM30" s="898"/>
      <c r="BN30" s="898"/>
      <c r="BO30" s="898"/>
      <c r="BP30" s="898"/>
      <c r="BQ30" s="898"/>
      <c r="BR30" s="898"/>
      <c r="BS30" s="898"/>
      <c r="BT30" s="898"/>
      <c r="BU30" s="898"/>
      <c r="BV30" s="898"/>
      <c r="BW30" s="898"/>
      <c r="BX30" s="898"/>
      <c r="BY30" s="898"/>
      <c r="BZ30" s="898"/>
      <c r="CA30" s="898"/>
      <c r="CB30" s="898"/>
    </row>
    <row r="31" spans="1:80" s="12" customFormat="1" ht="19.899999999999999" customHeight="1" x14ac:dyDescent="0.25">
      <c r="A31" s="826">
        <v>13</v>
      </c>
      <c r="B31" s="826"/>
      <c r="C31" s="826"/>
      <c r="D31" s="826"/>
      <c r="E31" s="828"/>
      <c r="F31" s="829"/>
      <c r="G31" s="829"/>
      <c r="H31" s="829"/>
      <c r="I31" s="829"/>
      <c r="J31" s="829"/>
      <c r="K31" s="829"/>
      <c r="L31" s="829"/>
      <c r="M31" s="829"/>
      <c r="N31" s="829"/>
      <c r="O31" s="829"/>
      <c r="P31" s="829"/>
      <c r="Q31" s="829"/>
      <c r="R31" s="829"/>
      <c r="S31" s="829"/>
      <c r="T31" s="829"/>
      <c r="U31" s="829"/>
      <c r="V31" s="829"/>
      <c r="W31" s="829"/>
      <c r="X31" s="829"/>
      <c r="Y31" s="829"/>
      <c r="Z31" s="829"/>
      <c r="AA31" s="829"/>
      <c r="AB31" s="829"/>
      <c r="AC31" s="829"/>
      <c r="AD31" s="829"/>
      <c r="AE31" s="829"/>
      <c r="AF31" s="829"/>
      <c r="AG31" s="829"/>
      <c r="AH31" s="829"/>
      <c r="AI31" s="833"/>
      <c r="AJ31" s="834"/>
      <c r="AK31" s="834"/>
      <c r="AL31" s="834"/>
      <c r="AM31" s="834"/>
      <c r="AN31" s="834"/>
      <c r="AO31" s="834"/>
      <c r="AP31" s="834"/>
      <c r="AQ31" s="834"/>
      <c r="AR31" s="834"/>
      <c r="AS31" s="834"/>
      <c r="AT31" s="834"/>
      <c r="AU31" s="901"/>
      <c r="AV31" s="901"/>
      <c r="AW31" s="901"/>
      <c r="AX31" s="901"/>
      <c r="AY31" s="901"/>
      <c r="AZ31" s="901"/>
      <c r="BA31" s="901"/>
      <c r="BB31" s="901"/>
      <c r="BC31" s="901"/>
      <c r="BD31" s="901"/>
      <c r="BE31" s="898"/>
      <c r="BF31" s="898"/>
      <c r="BG31" s="898"/>
      <c r="BH31" s="898"/>
      <c r="BI31" s="898"/>
      <c r="BJ31" s="898"/>
      <c r="BK31" s="898"/>
      <c r="BL31" s="898"/>
      <c r="BM31" s="898"/>
      <c r="BN31" s="898"/>
      <c r="BO31" s="898"/>
      <c r="BP31" s="898"/>
      <c r="BQ31" s="898"/>
      <c r="BR31" s="898"/>
      <c r="BS31" s="898"/>
      <c r="BT31" s="898"/>
      <c r="BU31" s="898"/>
      <c r="BV31" s="898"/>
      <c r="BW31" s="898"/>
      <c r="BX31" s="898"/>
      <c r="BY31" s="898"/>
      <c r="BZ31" s="898"/>
      <c r="CA31" s="898"/>
      <c r="CB31" s="898"/>
    </row>
    <row r="32" spans="1:80" s="12" customFormat="1" ht="19.899999999999999" customHeight="1" x14ac:dyDescent="0.25">
      <c r="A32" s="826">
        <v>14</v>
      </c>
      <c r="B32" s="826"/>
      <c r="C32" s="826"/>
      <c r="D32" s="826"/>
      <c r="E32" s="828"/>
      <c r="F32" s="829"/>
      <c r="G32" s="829"/>
      <c r="H32" s="829"/>
      <c r="I32" s="829"/>
      <c r="J32" s="829"/>
      <c r="K32" s="829"/>
      <c r="L32" s="829"/>
      <c r="M32" s="829"/>
      <c r="N32" s="829"/>
      <c r="O32" s="829"/>
      <c r="P32" s="829"/>
      <c r="Q32" s="829"/>
      <c r="R32" s="829"/>
      <c r="S32" s="829"/>
      <c r="T32" s="829"/>
      <c r="U32" s="829"/>
      <c r="V32" s="829"/>
      <c r="W32" s="829"/>
      <c r="X32" s="829"/>
      <c r="Y32" s="829"/>
      <c r="Z32" s="829"/>
      <c r="AA32" s="829"/>
      <c r="AB32" s="829"/>
      <c r="AC32" s="829"/>
      <c r="AD32" s="829"/>
      <c r="AE32" s="829"/>
      <c r="AF32" s="829"/>
      <c r="AG32" s="829"/>
      <c r="AH32" s="829"/>
      <c r="AI32" s="899"/>
      <c r="AJ32" s="900"/>
      <c r="AK32" s="900"/>
      <c r="AL32" s="900"/>
      <c r="AM32" s="900"/>
      <c r="AN32" s="900"/>
      <c r="AO32" s="900"/>
      <c r="AP32" s="900"/>
      <c r="AQ32" s="900"/>
      <c r="AR32" s="900"/>
      <c r="AS32" s="900"/>
      <c r="AT32" s="900"/>
      <c r="AU32" s="901"/>
      <c r="AV32" s="901"/>
      <c r="AW32" s="901"/>
      <c r="AX32" s="901"/>
      <c r="AY32" s="901"/>
      <c r="AZ32" s="901"/>
      <c r="BA32" s="901"/>
      <c r="BB32" s="901"/>
      <c r="BC32" s="901"/>
      <c r="BD32" s="901"/>
      <c r="BE32" s="898"/>
      <c r="BF32" s="898"/>
      <c r="BG32" s="898"/>
      <c r="BH32" s="898"/>
      <c r="BI32" s="898"/>
      <c r="BJ32" s="898"/>
      <c r="BK32" s="898"/>
      <c r="BL32" s="898"/>
      <c r="BM32" s="898"/>
      <c r="BN32" s="898"/>
      <c r="BO32" s="898"/>
      <c r="BP32" s="898"/>
      <c r="BQ32" s="898"/>
      <c r="BR32" s="898"/>
      <c r="BS32" s="898"/>
      <c r="BT32" s="898"/>
      <c r="BU32" s="898"/>
      <c r="BV32" s="898"/>
      <c r="BW32" s="898"/>
      <c r="BX32" s="898"/>
      <c r="BY32" s="898"/>
      <c r="BZ32" s="898"/>
      <c r="CA32" s="898"/>
      <c r="CB32" s="898"/>
    </row>
    <row r="33" spans="1:80" s="12" customFormat="1" ht="19.899999999999999" customHeight="1" x14ac:dyDescent="0.25">
      <c r="A33" s="826">
        <v>15</v>
      </c>
      <c r="B33" s="826"/>
      <c r="C33" s="826"/>
      <c r="D33" s="826"/>
      <c r="E33" s="828"/>
      <c r="F33" s="829"/>
      <c r="G33" s="829"/>
      <c r="H33" s="829"/>
      <c r="I33" s="829"/>
      <c r="J33" s="829"/>
      <c r="K33" s="829"/>
      <c r="L33" s="829"/>
      <c r="M33" s="829"/>
      <c r="N33" s="829"/>
      <c r="O33" s="829"/>
      <c r="P33" s="829"/>
      <c r="Q33" s="829"/>
      <c r="R33" s="829"/>
      <c r="S33" s="829"/>
      <c r="T33" s="829"/>
      <c r="U33" s="829"/>
      <c r="V33" s="829"/>
      <c r="W33" s="829"/>
      <c r="X33" s="829"/>
      <c r="Y33" s="829"/>
      <c r="Z33" s="829"/>
      <c r="AA33" s="829"/>
      <c r="AB33" s="829"/>
      <c r="AC33" s="829"/>
      <c r="AD33" s="829"/>
      <c r="AE33" s="829"/>
      <c r="AF33" s="829"/>
      <c r="AG33" s="829"/>
      <c r="AH33" s="829"/>
      <c r="AI33" s="899"/>
      <c r="AJ33" s="900"/>
      <c r="AK33" s="900"/>
      <c r="AL33" s="900"/>
      <c r="AM33" s="900"/>
      <c r="AN33" s="900"/>
      <c r="AO33" s="900"/>
      <c r="AP33" s="900"/>
      <c r="AQ33" s="900"/>
      <c r="AR33" s="900"/>
      <c r="AS33" s="900"/>
      <c r="AT33" s="900"/>
      <c r="AU33" s="901"/>
      <c r="AV33" s="901"/>
      <c r="AW33" s="901"/>
      <c r="AX33" s="901"/>
      <c r="AY33" s="901"/>
      <c r="AZ33" s="901"/>
      <c r="BA33" s="901"/>
      <c r="BB33" s="901"/>
      <c r="BC33" s="901"/>
      <c r="BD33" s="901"/>
      <c r="BE33" s="898"/>
      <c r="BF33" s="898"/>
      <c r="BG33" s="898"/>
      <c r="BH33" s="898"/>
      <c r="BI33" s="898"/>
      <c r="BJ33" s="898"/>
      <c r="BK33" s="898"/>
      <c r="BL33" s="898"/>
      <c r="BM33" s="898"/>
      <c r="BN33" s="898"/>
      <c r="BO33" s="898"/>
      <c r="BP33" s="898"/>
      <c r="BQ33" s="898"/>
      <c r="BR33" s="898"/>
      <c r="BS33" s="898"/>
      <c r="BT33" s="898"/>
      <c r="BU33" s="898"/>
      <c r="BV33" s="898"/>
      <c r="BW33" s="898"/>
      <c r="BX33" s="898"/>
      <c r="BY33" s="898"/>
      <c r="BZ33" s="898"/>
      <c r="CA33" s="898"/>
      <c r="CB33" s="898"/>
    </row>
    <row r="34" spans="1:80" s="12" customFormat="1" ht="19.899999999999999" customHeight="1" x14ac:dyDescent="0.25">
      <c r="A34" s="826">
        <v>16</v>
      </c>
      <c r="B34" s="826"/>
      <c r="C34" s="826"/>
      <c r="D34" s="826"/>
      <c r="E34" s="828"/>
      <c r="F34" s="829"/>
      <c r="G34" s="829"/>
      <c r="H34" s="829"/>
      <c r="I34" s="829"/>
      <c r="J34" s="829"/>
      <c r="K34" s="829"/>
      <c r="L34" s="829"/>
      <c r="M34" s="829"/>
      <c r="N34" s="829"/>
      <c r="O34" s="829"/>
      <c r="P34" s="829"/>
      <c r="Q34" s="829"/>
      <c r="R34" s="829"/>
      <c r="S34" s="829"/>
      <c r="T34" s="829"/>
      <c r="U34" s="829"/>
      <c r="V34" s="829"/>
      <c r="W34" s="829"/>
      <c r="X34" s="829"/>
      <c r="Y34" s="829"/>
      <c r="Z34" s="829"/>
      <c r="AA34" s="829"/>
      <c r="AB34" s="829"/>
      <c r="AC34" s="829"/>
      <c r="AD34" s="829"/>
      <c r="AE34" s="829"/>
      <c r="AF34" s="829"/>
      <c r="AG34" s="829"/>
      <c r="AH34" s="829"/>
      <c r="AI34" s="899"/>
      <c r="AJ34" s="900"/>
      <c r="AK34" s="900"/>
      <c r="AL34" s="900"/>
      <c r="AM34" s="900"/>
      <c r="AN34" s="900"/>
      <c r="AO34" s="900"/>
      <c r="AP34" s="900"/>
      <c r="AQ34" s="900"/>
      <c r="AR34" s="900"/>
      <c r="AS34" s="900"/>
      <c r="AT34" s="900"/>
      <c r="AU34" s="901"/>
      <c r="AV34" s="901"/>
      <c r="AW34" s="901"/>
      <c r="AX34" s="901"/>
      <c r="AY34" s="901"/>
      <c r="AZ34" s="901"/>
      <c r="BA34" s="901"/>
      <c r="BB34" s="901"/>
      <c r="BC34" s="901"/>
      <c r="BD34" s="901"/>
      <c r="BE34" s="898"/>
      <c r="BF34" s="898"/>
      <c r="BG34" s="898"/>
      <c r="BH34" s="898"/>
      <c r="BI34" s="898"/>
      <c r="BJ34" s="898"/>
      <c r="BK34" s="898"/>
      <c r="BL34" s="898"/>
      <c r="BM34" s="898"/>
      <c r="BN34" s="898"/>
      <c r="BO34" s="898"/>
      <c r="BP34" s="898"/>
      <c r="BQ34" s="898"/>
      <c r="BR34" s="898"/>
      <c r="BS34" s="898"/>
      <c r="BT34" s="898"/>
      <c r="BU34" s="898"/>
      <c r="BV34" s="898"/>
      <c r="BW34" s="898"/>
      <c r="BX34" s="898"/>
      <c r="BY34" s="898"/>
      <c r="BZ34" s="898"/>
      <c r="CA34" s="898"/>
      <c r="CB34" s="898"/>
    </row>
    <row r="35" spans="1:80" s="12" customFormat="1" ht="19.899999999999999" customHeight="1" x14ac:dyDescent="0.25">
      <c r="A35" s="826">
        <v>17</v>
      </c>
      <c r="B35" s="826"/>
      <c r="C35" s="826"/>
      <c r="D35" s="826"/>
      <c r="E35" s="828"/>
      <c r="F35" s="829"/>
      <c r="G35" s="829"/>
      <c r="H35" s="829"/>
      <c r="I35" s="829"/>
      <c r="J35" s="829"/>
      <c r="K35" s="829"/>
      <c r="L35" s="829"/>
      <c r="M35" s="829"/>
      <c r="N35" s="829"/>
      <c r="O35" s="829"/>
      <c r="P35" s="829"/>
      <c r="Q35" s="829"/>
      <c r="R35" s="829"/>
      <c r="S35" s="829"/>
      <c r="T35" s="829"/>
      <c r="U35" s="829"/>
      <c r="V35" s="829"/>
      <c r="W35" s="829"/>
      <c r="X35" s="829"/>
      <c r="Y35" s="829"/>
      <c r="Z35" s="829"/>
      <c r="AA35" s="829"/>
      <c r="AB35" s="829"/>
      <c r="AC35" s="829"/>
      <c r="AD35" s="829"/>
      <c r="AE35" s="829"/>
      <c r="AF35" s="829"/>
      <c r="AG35" s="829"/>
      <c r="AH35" s="829"/>
      <c r="AI35" s="899"/>
      <c r="AJ35" s="900"/>
      <c r="AK35" s="900"/>
      <c r="AL35" s="900"/>
      <c r="AM35" s="900"/>
      <c r="AN35" s="900"/>
      <c r="AO35" s="900"/>
      <c r="AP35" s="900"/>
      <c r="AQ35" s="900"/>
      <c r="AR35" s="900"/>
      <c r="AS35" s="900"/>
      <c r="AT35" s="900"/>
      <c r="AU35" s="901"/>
      <c r="AV35" s="901"/>
      <c r="AW35" s="901"/>
      <c r="AX35" s="901"/>
      <c r="AY35" s="901"/>
      <c r="AZ35" s="901"/>
      <c r="BA35" s="901"/>
      <c r="BB35" s="901"/>
      <c r="BC35" s="901"/>
      <c r="BD35" s="901"/>
      <c r="BE35" s="898"/>
      <c r="BF35" s="898"/>
      <c r="BG35" s="898"/>
      <c r="BH35" s="898"/>
      <c r="BI35" s="898"/>
      <c r="BJ35" s="898"/>
      <c r="BK35" s="898"/>
      <c r="BL35" s="898"/>
      <c r="BM35" s="898"/>
      <c r="BN35" s="898"/>
      <c r="BO35" s="898"/>
      <c r="BP35" s="898"/>
      <c r="BQ35" s="898"/>
      <c r="BR35" s="898"/>
      <c r="BS35" s="898"/>
      <c r="BT35" s="898"/>
      <c r="BU35" s="898"/>
      <c r="BV35" s="898"/>
      <c r="BW35" s="898"/>
      <c r="BX35" s="898"/>
      <c r="BY35" s="898"/>
      <c r="BZ35" s="898"/>
      <c r="CA35" s="898"/>
      <c r="CB35" s="898"/>
    </row>
    <row r="36" spans="1:80" s="12" customFormat="1" ht="19.899999999999999" customHeight="1" x14ac:dyDescent="0.25">
      <c r="A36" s="826">
        <v>18</v>
      </c>
      <c r="B36" s="826"/>
      <c r="C36" s="826"/>
      <c r="D36" s="826"/>
      <c r="E36" s="828"/>
      <c r="F36" s="829"/>
      <c r="G36" s="829"/>
      <c r="H36" s="829"/>
      <c r="I36" s="829"/>
      <c r="J36" s="829"/>
      <c r="K36" s="829"/>
      <c r="L36" s="829"/>
      <c r="M36" s="829"/>
      <c r="N36" s="829"/>
      <c r="O36" s="829"/>
      <c r="P36" s="829"/>
      <c r="Q36" s="829"/>
      <c r="R36" s="829"/>
      <c r="S36" s="829"/>
      <c r="T36" s="829"/>
      <c r="U36" s="829"/>
      <c r="V36" s="829"/>
      <c r="W36" s="829"/>
      <c r="X36" s="829"/>
      <c r="Y36" s="829"/>
      <c r="Z36" s="829"/>
      <c r="AA36" s="829"/>
      <c r="AB36" s="829"/>
      <c r="AC36" s="829"/>
      <c r="AD36" s="829"/>
      <c r="AE36" s="829"/>
      <c r="AF36" s="829"/>
      <c r="AG36" s="829"/>
      <c r="AH36" s="829"/>
      <c r="AI36" s="833"/>
      <c r="AJ36" s="834"/>
      <c r="AK36" s="834"/>
      <c r="AL36" s="834"/>
      <c r="AM36" s="834"/>
      <c r="AN36" s="834"/>
      <c r="AO36" s="834"/>
      <c r="AP36" s="834"/>
      <c r="AQ36" s="834"/>
      <c r="AR36" s="834"/>
      <c r="AS36" s="834"/>
      <c r="AT36" s="834"/>
      <c r="AU36" s="901"/>
      <c r="AV36" s="901"/>
      <c r="AW36" s="901"/>
      <c r="AX36" s="901"/>
      <c r="AY36" s="901"/>
      <c r="AZ36" s="901"/>
      <c r="BA36" s="901"/>
      <c r="BB36" s="901"/>
      <c r="BC36" s="901"/>
      <c r="BD36" s="901"/>
      <c r="BE36" s="898"/>
      <c r="BF36" s="898"/>
      <c r="BG36" s="898"/>
      <c r="BH36" s="898"/>
      <c r="BI36" s="898"/>
      <c r="BJ36" s="898"/>
      <c r="BK36" s="898"/>
      <c r="BL36" s="898"/>
      <c r="BM36" s="898"/>
      <c r="BN36" s="898"/>
      <c r="BO36" s="898"/>
      <c r="BP36" s="898"/>
      <c r="BQ36" s="898"/>
      <c r="BR36" s="898"/>
      <c r="BS36" s="898"/>
      <c r="BT36" s="898"/>
      <c r="BU36" s="898"/>
      <c r="BV36" s="898"/>
      <c r="BW36" s="898"/>
      <c r="BX36" s="898"/>
      <c r="BY36" s="898"/>
      <c r="BZ36" s="898"/>
      <c r="CA36" s="898"/>
      <c r="CB36" s="898"/>
    </row>
    <row r="37" spans="1:80" s="12" customFormat="1" ht="19.899999999999999" customHeight="1" x14ac:dyDescent="0.25">
      <c r="A37" s="826">
        <v>19</v>
      </c>
      <c r="B37" s="826"/>
      <c r="C37" s="826"/>
      <c r="D37" s="826"/>
      <c r="E37" s="828"/>
      <c r="F37" s="829"/>
      <c r="G37" s="829"/>
      <c r="H37" s="829"/>
      <c r="I37" s="829"/>
      <c r="J37" s="829"/>
      <c r="K37" s="829"/>
      <c r="L37" s="829"/>
      <c r="M37" s="829"/>
      <c r="N37" s="829"/>
      <c r="O37" s="829"/>
      <c r="P37" s="829"/>
      <c r="Q37" s="829"/>
      <c r="R37" s="829"/>
      <c r="S37" s="829"/>
      <c r="T37" s="829"/>
      <c r="U37" s="829"/>
      <c r="V37" s="829"/>
      <c r="W37" s="829"/>
      <c r="X37" s="829"/>
      <c r="Y37" s="829"/>
      <c r="Z37" s="829"/>
      <c r="AA37" s="829"/>
      <c r="AB37" s="829"/>
      <c r="AC37" s="829"/>
      <c r="AD37" s="829"/>
      <c r="AE37" s="829"/>
      <c r="AF37" s="829"/>
      <c r="AG37" s="829"/>
      <c r="AH37" s="829"/>
      <c r="AI37" s="899"/>
      <c r="AJ37" s="900"/>
      <c r="AK37" s="900"/>
      <c r="AL37" s="900"/>
      <c r="AM37" s="900"/>
      <c r="AN37" s="900"/>
      <c r="AO37" s="900"/>
      <c r="AP37" s="900"/>
      <c r="AQ37" s="900"/>
      <c r="AR37" s="900"/>
      <c r="AS37" s="900"/>
      <c r="AT37" s="900"/>
      <c r="AU37" s="898"/>
      <c r="AV37" s="898"/>
      <c r="AW37" s="898"/>
      <c r="AX37" s="898"/>
      <c r="AY37" s="898"/>
      <c r="AZ37" s="898"/>
      <c r="BA37" s="898"/>
      <c r="BB37" s="898"/>
      <c r="BC37" s="898"/>
      <c r="BD37" s="898"/>
      <c r="BE37" s="898"/>
      <c r="BF37" s="898"/>
      <c r="BG37" s="898"/>
      <c r="BH37" s="898"/>
      <c r="BI37" s="898"/>
      <c r="BJ37" s="898"/>
      <c r="BK37" s="898"/>
      <c r="BL37" s="898"/>
      <c r="BM37" s="898"/>
      <c r="BN37" s="898"/>
      <c r="BO37" s="898"/>
      <c r="BP37" s="898"/>
      <c r="BQ37" s="898"/>
      <c r="BR37" s="898"/>
      <c r="BS37" s="898"/>
      <c r="BT37" s="898"/>
      <c r="BU37" s="898"/>
      <c r="BV37" s="898"/>
      <c r="BW37" s="898"/>
      <c r="BX37" s="898"/>
      <c r="BY37" s="898"/>
      <c r="BZ37" s="898"/>
      <c r="CA37" s="898"/>
      <c r="CB37" s="898"/>
    </row>
    <row r="38" spans="1:80" s="12" customFormat="1" ht="19.899999999999999" customHeight="1" x14ac:dyDescent="0.25">
      <c r="A38" s="826">
        <v>20</v>
      </c>
      <c r="B38" s="826"/>
      <c r="C38" s="826"/>
      <c r="D38" s="826"/>
      <c r="E38" s="828"/>
      <c r="F38" s="829"/>
      <c r="G38" s="829"/>
      <c r="H38" s="829"/>
      <c r="I38" s="829"/>
      <c r="J38" s="829"/>
      <c r="K38" s="829"/>
      <c r="L38" s="829"/>
      <c r="M38" s="829"/>
      <c r="N38" s="829"/>
      <c r="O38" s="829"/>
      <c r="P38" s="829"/>
      <c r="Q38" s="829"/>
      <c r="R38" s="829"/>
      <c r="S38" s="829"/>
      <c r="T38" s="829"/>
      <c r="U38" s="829"/>
      <c r="V38" s="829"/>
      <c r="W38" s="829"/>
      <c r="X38" s="829"/>
      <c r="Y38" s="829"/>
      <c r="Z38" s="829"/>
      <c r="AA38" s="829"/>
      <c r="AB38" s="829"/>
      <c r="AC38" s="829"/>
      <c r="AD38" s="829"/>
      <c r="AE38" s="829"/>
      <c r="AF38" s="829"/>
      <c r="AG38" s="829"/>
      <c r="AH38" s="829"/>
      <c r="AI38" s="899"/>
      <c r="AJ38" s="900"/>
      <c r="AK38" s="900"/>
      <c r="AL38" s="900"/>
      <c r="AM38" s="900"/>
      <c r="AN38" s="900"/>
      <c r="AO38" s="900"/>
      <c r="AP38" s="900"/>
      <c r="AQ38" s="900"/>
      <c r="AR38" s="900"/>
      <c r="AS38" s="900"/>
      <c r="AT38" s="900"/>
      <c r="AU38" s="898"/>
      <c r="AV38" s="898"/>
      <c r="AW38" s="898"/>
      <c r="AX38" s="898"/>
      <c r="AY38" s="898"/>
      <c r="AZ38" s="898"/>
      <c r="BA38" s="898"/>
      <c r="BB38" s="898"/>
      <c r="BC38" s="898"/>
      <c r="BD38" s="898"/>
      <c r="BE38" s="898"/>
      <c r="BF38" s="898"/>
      <c r="BG38" s="898"/>
      <c r="BH38" s="898"/>
      <c r="BI38" s="898"/>
      <c r="BJ38" s="898"/>
      <c r="BK38" s="898"/>
      <c r="BL38" s="898"/>
      <c r="BM38" s="898"/>
      <c r="BN38" s="898"/>
      <c r="BO38" s="898"/>
      <c r="BP38" s="898"/>
      <c r="BQ38" s="898"/>
      <c r="BR38" s="898"/>
      <c r="BS38" s="898"/>
      <c r="BT38" s="898"/>
      <c r="BU38" s="898"/>
      <c r="BV38" s="898"/>
      <c r="BW38" s="898"/>
      <c r="BX38" s="898"/>
      <c r="BY38" s="898"/>
      <c r="BZ38" s="898"/>
      <c r="CA38" s="898"/>
      <c r="CB38" s="898"/>
    </row>
    <row r="39" spans="1:80" s="12" customFormat="1" ht="19.899999999999999" customHeight="1" x14ac:dyDescent="0.25">
      <c r="A39" s="826">
        <v>21</v>
      </c>
      <c r="B39" s="826"/>
      <c r="C39" s="826"/>
      <c r="D39" s="826"/>
      <c r="E39" s="828"/>
      <c r="F39" s="829"/>
      <c r="G39" s="829"/>
      <c r="H39" s="829"/>
      <c r="I39" s="829"/>
      <c r="J39" s="829"/>
      <c r="K39" s="829"/>
      <c r="L39" s="829"/>
      <c r="M39" s="829"/>
      <c r="N39" s="829"/>
      <c r="O39" s="829"/>
      <c r="P39" s="829"/>
      <c r="Q39" s="829"/>
      <c r="R39" s="829"/>
      <c r="S39" s="829"/>
      <c r="T39" s="829"/>
      <c r="U39" s="829"/>
      <c r="V39" s="829"/>
      <c r="W39" s="829"/>
      <c r="X39" s="829"/>
      <c r="Y39" s="829"/>
      <c r="Z39" s="829"/>
      <c r="AA39" s="829"/>
      <c r="AB39" s="829"/>
      <c r="AC39" s="829"/>
      <c r="AD39" s="829"/>
      <c r="AE39" s="829"/>
      <c r="AF39" s="829"/>
      <c r="AG39" s="829"/>
      <c r="AH39" s="829"/>
      <c r="AI39" s="899"/>
      <c r="AJ39" s="900"/>
      <c r="AK39" s="900"/>
      <c r="AL39" s="900"/>
      <c r="AM39" s="900"/>
      <c r="AN39" s="900"/>
      <c r="AO39" s="900"/>
      <c r="AP39" s="900"/>
      <c r="AQ39" s="900"/>
      <c r="AR39" s="900"/>
      <c r="AS39" s="900"/>
      <c r="AT39" s="900"/>
      <c r="AU39" s="898"/>
      <c r="AV39" s="898"/>
      <c r="AW39" s="898"/>
      <c r="AX39" s="898"/>
      <c r="AY39" s="898"/>
      <c r="AZ39" s="898"/>
      <c r="BA39" s="898"/>
      <c r="BB39" s="898"/>
      <c r="BC39" s="898"/>
      <c r="BD39" s="898"/>
      <c r="BE39" s="898"/>
      <c r="BF39" s="898"/>
      <c r="BG39" s="898"/>
      <c r="BH39" s="898"/>
      <c r="BI39" s="898"/>
      <c r="BJ39" s="898"/>
      <c r="BK39" s="898"/>
      <c r="BL39" s="898"/>
      <c r="BM39" s="898"/>
      <c r="BN39" s="898"/>
      <c r="BO39" s="898"/>
      <c r="BP39" s="898"/>
      <c r="BQ39" s="898"/>
      <c r="BR39" s="898"/>
      <c r="BS39" s="898"/>
      <c r="BT39" s="898"/>
      <c r="BU39" s="898"/>
      <c r="BV39" s="898"/>
      <c r="BW39" s="898"/>
      <c r="BX39" s="898"/>
      <c r="BY39" s="898"/>
      <c r="BZ39" s="898"/>
      <c r="CA39" s="898"/>
      <c r="CB39" s="898"/>
    </row>
    <row r="40" spans="1:80" s="12" customFormat="1" ht="19.899999999999999" customHeight="1" x14ac:dyDescent="0.25">
      <c r="A40" s="826">
        <v>22</v>
      </c>
      <c r="B40" s="826"/>
      <c r="C40" s="826"/>
      <c r="D40" s="826"/>
      <c r="E40" s="828"/>
      <c r="F40" s="829"/>
      <c r="G40" s="829"/>
      <c r="H40" s="829"/>
      <c r="I40" s="829"/>
      <c r="J40" s="829"/>
      <c r="K40" s="829"/>
      <c r="L40" s="829"/>
      <c r="M40" s="829"/>
      <c r="N40" s="829"/>
      <c r="O40" s="829"/>
      <c r="P40" s="829"/>
      <c r="Q40" s="829"/>
      <c r="R40" s="829"/>
      <c r="S40" s="829"/>
      <c r="T40" s="829"/>
      <c r="U40" s="829"/>
      <c r="V40" s="829"/>
      <c r="W40" s="829"/>
      <c r="X40" s="829"/>
      <c r="Y40" s="829"/>
      <c r="Z40" s="829"/>
      <c r="AA40" s="829"/>
      <c r="AB40" s="829"/>
      <c r="AC40" s="829"/>
      <c r="AD40" s="829"/>
      <c r="AE40" s="829"/>
      <c r="AF40" s="829"/>
      <c r="AG40" s="829"/>
      <c r="AH40" s="829"/>
      <c r="AI40" s="899"/>
      <c r="AJ40" s="900"/>
      <c r="AK40" s="900"/>
      <c r="AL40" s="900"/>
      <c r="AM40" s="900"/>
      <c r="AN40" s="900"/>
      <c r="AO40" s="900"/>
      <c r="AP40" s="900"/>
      <c r="AQ40" s="900"/>
      <c r="AR40" s="900"/>
      <c r="AS40" s="900"/>
      <c r="AT40" s="900"/>
      <c r="AU40" s="898"/>
      <c r="AV40" s="898"/>
      <c r="AW40" s="898"/>
      <c r="AX40" s="898"/>
      <c r="AY40" s="898"/>
      <c r="AZ40" s="898"/>
      <c r="BA40" s="898"/>
      <c r="BB40" s="898"/>
      <c r="BC40" s="898"/>
      <c r="BD40" s="898"/>
      <c r="BE40" s="898"/>
      <c r="BF40" s="898"/>
      <c r="BG40" s="898"/>
      <c r="BH40" s="898"/>
      <c r="BI40" s="898"/>
      <c r="BJ40" s="898"/>
      <c r="BK40" s="898"/>
      <c r="BL40" s="898"/>
      <c r="BM40" s="898"/>
      <c r="BN40" s="898"/>
      <c r="BO40" s="898"/>
      <c r="BP40" s="898"/>
      <c r="BQ40" s="898"/>
      <c r="BR40" s="898"/>
      <c r="BS40" s="898"/>
      <c r="BT40" s="898"/>
      <c r="BU40" s="898"/>
      <c r="BV40" s="898"/>
      <c r="BW40" s="898"/>
      <c r="BX40" s="898"/>
      <c r="BY40" s="898"/>
      <c r="BZ40" s="898"/>
      <c r="CA40" s="898"/>
      <c r="CB40" s="898"/>
    </row>
    <row r="41" spans="1:80" s="12" customFormat="1" ht="19.899999999999999" customHeight="1" x14ac:dyDescent="0.25">
      <c r="A41" s="826">
        <v>23</v>
      </c>
      <c r="B41" s="826"/>
      <c r="C41" s="826"/>
      <c r="D41" s="826"/>
      <c r="E41" s="828"/>
      <c r="F41" s="829"/>
      <c r="G41" s="829"/>
      <c r="H41" s="829"/>
      <c r="I41" s="829"/>
      <c r="J41" s="829"/>
      <c r="K41" s="829"/>
      <c r="L41" s="829"/>
      <c r="M41" s="829"/>
      <c r="N41" s="829"/>
      <c r="O41" s="829"/>
      <c r="P41" s="829"/>
      <c r="Q41" s="829"/>
      <c r="R41" s="829"/>
      <c r="S41" s="829"/>
      <c r="T41" s="829"/>
      <c r="U41" s="829"/>
      <c r="V41" s="829"/>
      <c r="W41" s="829"/>
      <c r="X41" s="829"/>
      <c r="Y41" s="829"/>
      <c r="Z41" s="829"/>
      <c r="AA41" s="829"/>
      <c r="AB41" s="829"/>
      <c r="AC41" s="829"/>
      <c r="AD41" s="829"/>
      <c r="AE41" s="829"/>
      <c r="AF41" s="829"/>
      <c r="AG41" s="829"/>
      <c r="AH41" s="829"/>
      <c r="AI41" s="899"/>
      <c r="AJ41" s="900"/>
      <c r="AK41" s="900"/>
      <c r="AL41" s="900"/>
      <c r="AM41" s="900"/>
      <c r="AN41" s="900"/>
      <c r="AO41" s="900"/>
      <c r="AP41" s="900"/>
      <c r="AQ41" s="900"/>
      <c r="AR41" s="900"/>
      <c r="AS41" s="900"/>
      <c r="AT41" s="900"/>
      <c r="AU41" s="898"/>
      <c r="AV41" s="898"/>
      <c r="AW41" s="898"/>
      <c r="AX41" s="898"/>
      <c r="AY41" s="898"/>
      <c r="AZ41" s="898"/>
      <c r="BA41" s="898"/>
      <c r="BB41" s="898"/>
      <c r="BC41" s="898"/>
      <c r="BD41" s="898"/>
      <c r="BE41" s="898"/>
      <c r="BF41" s="898"/>
      <c r="BG41" s="898"/>
      <c r="BH41" s="898"/>
      <c r="BI41" s="898"/>
      <c r="BJ41" s="898"/>
      <c r="BK41" s="898"/>
      <c r="BL41" s="898"/>
      <c r="BM41" s="898"/>
      <c r="BN41" s="898"/>
      <c r="BO41" s="898"/>
      <c r="BP41" s="898"/>
      <c r="BQ41" s="898"/>
      <c r="BR41" s="898"/>
      <c r="BS41" s="898"/>
      <c r="BT41" s="898"/>
      <c r="BU41" s="898"/>
      <c r="BV41" s="898"/>
      <c r="BW41" s="898"/>
      <c r="BX41" s="898"/>
      <c r="BY41" s="898"/>
      <c r="BZ41" s="898"/>
      <c r="CA41" s="898"/>
      <c r="CB41" s="898"/>
    </row>
    <row r="42" spans="1:80" x14ac:dyDescent="0.2">
      <c r="A42" s="7"/>
      <c r="B42" s="7"/>
      <c r="C42" s="7"/>
      <c r="D42" s="7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</row>
    <row r="43" spans="1:80" x14ac:dyDescent="0.2">
      <c r="A43" s="862"/>
      <c r="B43" s="862"/>
      <c r="C43" s="862"/>
      <c r="D43" s="862"/>
      <c r="E43" s="862"/>
      <c r="F43" s="862"/>
      <c r="G43" s="862"/>
      <c r="H43" s="862"/>
      <c r="I43" s="862"/>
      <c r="J43" s="862"/>
      <c r="K43" s="862"/>
      <c r="L43" s="862"/>
      <c r="M43" s="862"/>
      <c r="N43" s="862"/>
      <c r="O43" s="862"/>
      <c r="P43" s="862"/>
      <c r="Q43" s="862"/>
      <c r="R43" s="862"/>
      <c r="S43" s="862"/>
      <c r="T43" s="862"/>
      <c r="U43" s="862"/>
      <c r="V43" s="862"/>
      <c r="W43" s="862"/>
      <c r="X43" s="862"/>
      <c r="Y43" s="862"/>
      <c r="Z43" s="862"/>
      <c r="AA43" s="862"/>
      <c r="AB43" s="862"/>
      <c r="AC43" s="862"/>
      <c r="AD43" s="862"/>
      <c r="AE43" s="862"/>
      <c r="AF43" s="862"/>
      <c r="AG43" s="862"/>
      <c r="AH43" s="862"/>
      <c r="AI43" s="862"/>
      <c r="AJ43" s="862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</row>
    <row r="44" spans="1:80" s="5" customFormat="1" ht="11.25" x14ac:dyDescent="0.2">
      <c r="A44" s="893" t="str">
        <f>IF('Данные объект'!C27="","",'Данные объект'!C27)</f>
      </c>
      <c r="B44" s="893"/>
      <c r="C44" s="893"/>
      <c r="D44" s="893"/>
      <c r="E44" s="893"/>
      <c r="F44" s="893"/>
      <c r="G44" s="893"/>
      <c r="H44" s="893"/>
      <c r="I44" s="893"/>
      <c r="J44" s="893"/>
      <c r="K44" s="893"/>
      <c r="L44" s="893"/>
      <c r="M44" s="893"/>
      <c r="N44" s="893"/>
      <c r="O44" s="893"/>
      <c r="P44" s="893"/>
      <c r="Q44" s="893"/>
      <c r="R44" s="893"/>
      <c r="S44" s="893"/>
      <c r="T44" s="893"/>
      <c r="U44" s="893"/>
      <c r="V44" s="893"/>
      <c r="W44" s="893"/>
      <c r="X44" s="893"/>
      <c r="Y44" s="893"/>
      <c r="Z44" s="893"/>
      <c r="AA44" s="893"/>
      <c r="AB44" s="893"/>
      <c r="AC44" s="893"/>
      <c r="AD44" s="893"/>
      <c r="AE44" s="893"/>
      <c r="AF44" s="893"/>
      <c r="AG44" s="893"/>
      <c r="AH44" s="893"/>
      <c r="AI44" s="893"/>
      <c r="AJ44" s="893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</row>
    <row r="45" spans="1:80" x14ac:dyDescent="0.2">
      <c r="A45" s="831"/>
      <c r="B45" s="831"/>
      <c r="C45" s="831"/>
      <c r="D45" s="831"/>
      <c r="E45" s="831"/>
      <c r="F45" s="831"/>
      <c r="G45" s="831"/>
      <c r="H45" s="831"/>
      <c r="I45" s="831"/>
      <c r="J45" s="831"/>
      <c r="K45" s="831"/>
      <c r="L45" s="831"/>
      <c r="M45" s="831"/>
      <c r="N45" s="831"/>
      <c r="O45" s="831"/>
      <c r="P45" s="831"/>
      <c r="Q45" s="831"/>
      <c r="R45" s="831"/>
      <c r="S45" s="831"/>
      <c r="T45" s="831"/>
      <c r="U45" s="831"/>
      <c r="V45" s="831"/>
      <c r="W45" s="831"/>
      <c r="X45" s="831"/>
      <c r="Y45" s="831"/>
      <c r="Z45" s="831"/>
      <c r="AA45" s="831"/>
      <c r="AB45" s="831"/>
      <c r="AC45" s="831"/>
      <c r="AD45" s="831"/>
      <c r="AE45" s="831"/>
      <c r="AF45" s="831"/>
      <c r="AG45" s="831"/>
      <c r="AH45" s="831"/>
      <c r="AI45" s="831"/>
      <c r="AJ45" s="831"/>
      <c r="AK45" s="11"/>
      <c r="AL45" s="11"/>
      <c r="AM45" s="881"/>
      <c r="AN45" s="881"/>
      <c r="AO45" s="881"/>
      <c r="AP45" s="881"/>
      <c r="AQ45" s="881"/>
      <c r="AR45" s="881"/>
      <c r="AS45" s="881"/>
      <c r="AT45" s="881"/>
      <c r="AU45" s="881"/>
      <c r="AV45" s="881"/>
      <c r="AW45" s="881"/>
      <c r="AX45" s="881"/>
      <c r="AY45" s="881"/>
      <c r="AZ45" s="881"/>
      <c r="BA45" s="881"/>
      <c r="BB45" s="881"/>
      <c r="BC45" s="881"/>
      <c r="BD45" s="881"/>
      <c r="BE45" s="881"/>
      <c r="BF45" s="881"/>
      <c r="BG45" s="11"/>
      <c r="BH45" s="11"/>
      <c r="BI45" s="841" t="str">
        <f>IF('Данные объект'!B28="","",'Данные объект'!B28)</f>
      </c>
      <c r="BJ45" s="841"/>
      <c r="BK45" s="841"/>
      <c r="BL45" s="841"/>
      <c r="BM45" s="841"/>
      <c r="BN45" s="841"/>
      <c r="BO45" s="841"/>
      <c r="BP45" s="841"/>
      <c r="BQ45" s="841"/>
      <c r="BR45" s="841"/>
      <c r="BS45" s="841"/>
      <c r="BT45" s="841"/>
      <c r="BU45" s="841"/>
      <c r="BV45" s="841"/>
      <c r="BW45" s="841"/>
      <c r="BX45" s="841"/>
      <c r="BY45" s="841"/>
      <c r="BZ45" s="841"/>
      <c r="CA45" s="841"/>
      <c r="CB45" s="841"/>
    </row>
    <row r="46" spans="1:80" x14ac:dyDescent="0.2">
      <c r="A46" s="838"/>
      <c r="B46" s="838"/>
      <c r="C46" s="838"/>
      <c r="D46" s="838"/>
      <c r="E46" s="838"/>
      <c r="F46" s="838"/>
      <c r="G46" s="838"/>
      <c r="H46" s="838"/>
      <c r="I46" s="838"/>
      <c r="J46" s="838"/>
      <c r="K46" s="838"/>
      <c r="L46" s="838"/>
      <c r="M46" s="838"/>
      <c r="N46" s="838"/>
      <c r="O46" s="838"/>
      <c r="P46" s="838"/>
      <c r="Q46" s="838"/>
      <c r="R46" s="838"/>
      <c r="S46" s="838"/>
      <c r="T46" s="838"/>
      <c r="U46" s="838"/>
      <c r="V46" s="838"/>
      <c r="W46" s="838"/>
      <c r="X46" s="838"/>
      <c r="Y46" s="838"/>
      <c r="Z46" s="838"/>
      <c r="AA46" s="838"/>
      <c r="AB46" s="838"/>
      <c r="AC46" s="838"/>
      <c r="AD46" s="838"/>
      <c r="AE46" s="838"/>
      <c r="AF46" s="838"/>
      <c r="AG46" s="838"/>
      <c r="AH46" s="838"/>
      <c r="AI46" s="838"/>
      <c r="AJ46" s="838"/>
      <c r="AK46" s="5"/>
      <c r="AL46" s="5"/>
      <c r="AM46" s="838"/>
      <c r="AN46" s="838"/>
      <c r="AO46" s="838"/>
      <c r="AP46" s="838"/>
      <c r="AQ46" s="838"/>
      <c r="AR46" s="838"/>
      <c r="AS46" s="838"/>
      <c r="AT46" s="838"/>
      <c r="AU46" s="838"/>
      <c r="AV46" s="838"/>
      <c r="AW46" s="838"/>
      <c r="AX46" s="838"/>
      <c r="AY46" s="838"/>
      <c r="AZ46" s="838"/>
      <c r="BA46" s="838"/>
      <c r="BB46" s="838"/>
      <c r="BC46" s="838"/>
      <c r="BD46" s="838"/>
      <c r="BE46" s="838"/>
      <c r="BF46" s="838"/>
      <c r="BG46" s="5"/>
      <c r="BH46" s="5"/>
      <c r="BI46" s="858"/>
      <c r="BJ46" s="858"/>
      <c r="BK46" s="858"/>
      <c r="BL46" s="858"/>
      <c r="BM46" s="858"/>
      <c r="BN46" s="858"/>
      <c r="BO46" s="858"/>
      <c r="BP46" s="858"/>
      <c r="BQ46" s="858"/>
      <c r="BR46" s="858"/>
      <c r="BS46" s="858"/>
      <c r="BT46" s="858"/>
      <c r="BU46" s="858"/>
      <c r="BV46" s="858"/>
      <c r="BW46" s="858"/>
      <c r="BX46" s="858"/>
      <c r="BY46" s="858"/>
      <c r="BZ46" s="858"/>
      <c r="CA46" s="858"/>
      <c r="CB46" s="858"/>
    </row>
    <row r="47" spans="1:80" ht="4.5" customHeight="1" x14ac:dyDescent="0.2"/>
    <row r="48" spans="1:80" hidden="1" outlineLevel="1" x14ac:dyDescent="0.2"/>
    <row r="49" spans="1:80" hidden="1" outlineLevel="1" x14ac:dyDescent="0.2"/>
    <row r="50" spans="1:80" hidden="1" outlineLevel="1" x14ac:dyDescent="0.2">
      <c r="A50" s="846"/>
      <c r="B50" s="846"/>
      <c r="C50" s="846"/>
      <c r="D50" s="846"/>
      <c r="E50" s="846"/>
      <c r="F50" s="846"/>
      <c r="G50" s="846"/>
      <c r="H50" s="846"/>
      <c r="I50" s="846"/>
      <c r="J50" s="846"/>
      <c r="K50" s="846"/>
      <c r="L50" s="846"/>
      <c r="M50" s="846"/>
      <c r="N50" s="846"/>
      <c r="O50" s="846"/>
      <c r="P50" s="846"/>
      <c r="Q50" s="846"/>
      <c r="R50" s="846"/>
      <c r="S50" s="846"/>
      <c r="T50" s="846"/>
      <c r="U50" s="846"/>
      <c r="V50" s="846"/>
      <c r="W50" s="846"/>
      <c r="X50" s="846"/>
      <c r="Y50" s="846"/>
      <c r="Z50" s="846"/>
      <c r="AA50" s="846"/>
      <c r="AB50" s="846"/>
    </row>
    <row r="51" spans="1:80" s="5" customFormat="1" ht="13.5" hidden="1" outlineLevel="1" x14ac:dyDescent="0.25">
      <c r="A51" s="917">
        <f>IF('Данные объект'!B41="","",'Данные объект'!B41)</f>
      </c>
      <c r="B51" s="917"/>
      <c r="C51" s="917"/>
      <c r="D51" s="917"/>
      <c r="E51" s="917"/>
      <c r="F51" s="917"/>
      <c r="G51" s="917"/>
      <c r="H51" s="917"/>
      <c r="I51" s="917"/>
      <c r="J51" s="917"/>
      <c r="K51" s="917"/>
      <c r="L51" s="917"/>
      <c r="M51" s="917"/>
      <c r="N51" s="917"/>
      <c r="O51" s="917"/>
      <c r="P51" s="917"/>
      <c r="Q51" s="917"/>
      <c r="R51" s="917"/>
      <c r="S51" s="917"/>
      <c r="T51" s="917"/>
      <c r="U51" s="917"/>
      <c r="V51" s="917"/>
      <c r="W51" s="917"/>
      <c r="X51" s="917"/>
      <c r="Y51" s="917"/>
      <c r="Z51" s="917"/>
      <c r="AA51" s="917"/>
      <c r="AB51" s="917"/>
      <c r="AC51" s="917"/>
      <c r="AD51" s="917"/>
      <c r="AE51" s="917"/>
      <c r="AF51" s="917"/>
      <c r="AG51" s="917"/>
      <c r="AH51" s="917"/>
      <c r="AI51" s="917"/>
      <c r="AJ51" s="917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spans="1:80" ht="13.5" hidden="1" outlineLevel="1" x14ac:dyDescent="0.25">
      <c r="A52" s="918"/>
      <c r="B52" s="918"/>
      <c r="C52" s="918"/>
      <c r="D52" s="918"/>
      <c r="E52" s="918"/>
      <c r="F52" s="918"/>
      <c r="G52" s="918"/>
      <c r="H52" s="918"/>
      <c r="I52" s="918"/>
      <c r="J52" s="918"/>
      <c r="K52" s="918"/>
      <c r="L52" s="918"/>
      <c r="M52" s="918"/>
      <c r="N52" s="918"/>
      <c r="O52" s="918"/>
      <c r="P52" s="918"/>
      <c r="Q52" s="918"/>
      <c r="R52" s="918"/>
      <c r="S52" s="918"/>
      <c r="T52" s="918"/>
      <c r="U52" s="918"/>
      <c r="V52" s="918"/>
      <c r="W52" s="918"/>
      <c r="X52" s="918"/>
      <c r="Y52" s="918"/>
      <c r="Z52" s="918"/>
      <c r="AA52" s="918"/>
      <c r="AB52" s="918"/>
      <c r="AC52" s="918"/>
      <c r="AD52" s="918"/>
      <c r="AE52" s="918"/>
      <c r="AF52" s="918"/>
      <c r="AG52" s="918"/>
      <c r="AH52" s="918"/>
      <c r="AI52" s="918"/>
      <c r="AJ52" s="918"/>
      <c r="AM52" s="882"/>
      <c r="AN52" s="882"/>
      <c r="AO52" s="882"/>
      <c r="AP52" s="882"/>
      <c r="AQ52" s="882"/>
      <c r="AR52" s="882"/>
      <c r="AS52" s="882"/>
      <c r="AT52" s="882"/>
      <c r="AU52" s="882"/>
      <c r="AV52" s="882"/>
      <c r="AW52" s="882"/>
      <c r="AX52" s="882"/>
      <c r="AY52" s="882"/>
      <c r="AZ52" s="882"/>
      <c r="BA52" s="882"/>
      <c r="BB52" s="882"/>
      <c r="BC52" s="882"/>
      <c r="BD52" s="882"/>
      <c r="BE52" s="882"/>
      <c r="BF52" s="882"/>
      <c r="BI52" s="918" t="str">
        <f>IF('Данные объект'!B42="","",'Данные объект'!B42)</f>
      </c>
      <c r="BJ52" s="918"/>
      <c r="BK52" s="918"/>
      <c r="BL52" s="918"/>
      <c r="BM52" s="918"/>
      <c r="BN52" s="918"/>
      <c r="BO52" s="918"/>
      <c r="BP52" s="918"/>
      <c r="BQ52" s="918"/>
      <c r="BR52" s="918"/>
      <c r="BS52" s="918"/>
      <c r="BT52" s="918"/>
      <c r="BU52" s="918"/>
      <c r="BV52" s="918"/>
      <c r="BW52" s="918"/>
      <c r="BX52" s="918"/>
      <c r="BY52" s="918"/>
      <c r="BZ52" s="918"/>
      <c r="CA52" s="918"/>
      <c r="CB52" s="918"/>
    </row>
    <row r="53" spans="1:80" hidden="1" outlineLevel="1" x14ac:dyDescent="0.2">
      <c r="A53" s="838"/>
      <c r="B53" s="838"/>
      <c r="C53" s="838"/>
      <c r="D53" s="838"/>
      <c r="E53" s="838"/>
      <c r="F53" s="838"/>
      <c r="G53" s="838"/>
      <c r="H53" s="838"/>
      <c r="I53" s="838"/>
      <c r="J53" s="838"/>
      <c r="K53" s="838"/>
      <c r="L53" s="838"/>
      <c r="M53" s="838"/>
      <c r="N53" s="838"/>
      <c r="O53" s="838"/>
      <c r="P53" s="838"/>
      <c r="Q53" s="838"/>
      <c r="R53" s="838"/>
      <c r="S53" s="838"/>
      <c r="T53" s="838"/>
      <c r="U53" s="838"/>
      <c r="V53" s="838"/>
      <c r="W53" s="838"/>
      <c r="X53" s="838"/>
      <c r="Y53" s="838"/>
      <c r="Z53" s="838"/>
      <c r="AA53" s="838"/>
      <c r="AB53" s="838"/>
      <c r="AC53" s="838"/>
      <c r="AD53" s="838"/>
      <c r="AE53" s="838"/>
      <c r="AF53" s="838"/>
      <c r="AG53" s="838"/>
      <c r="AH53" s="838"/>
      <c r="AI53" s="838"/>
      <c r="AJ53" s="838"/>
      <c r="AK53" s="5"/>
      <c r="AL53" s="5"/>
      <c r="AM53" s="838"/>
      <c r="AN53" s="838"/>
      <c r="AO53" s="838"/>
      <c r="AP53" s="838"/>
      <c r="AQ53" s="838"/>
      <c r="AR53" s="838"/>
      <c r="AS53" s="838"/>
      <c r="AT53" s="838"/>
      <c r="AU53" s="838"/>
      <c r="AV53" s="838"/>
      <c r="AW53" s="838"/>
      <c r="AX53" s="838"/>
      <c r="AY53" s="838"/>
      <c r="AZ53" s="838"/>
      <c r="BA53" s="838"/>
      <c r="BB53" s="838"/>
      <c r="BC53" s="838"/>
      <c r="BD53" s="838"/>
      <c r="BE53" s="838"/>
      <c r="BF53" s="838"/>
      <c r="BG53" s="5"/>
      <c r="BH53" s="5"/>
      <c r="BI53" s="858"/>
      <c r="BJ53" s="858"/>
      <c r="BK53" s="858"/>
      <c r="BL53" s="858"/>
      <c r="BM53" s="858"/>
      <c r="BN53" s="858"/>
      <c r="BO53" s="858"/>
      <c r="BP53" s="858"/>
      <c r="BQ53" s="858"/>
      <c r="BR53" s="858"/>
      <c r="BS53" s="858"/>
      <c r="BT53" s="858"/>
      <c r="BU53" s="858"/>
      <c r="BV53" s="858"/>
      <c r="BW53" s="858"/>
      <c r="BX53" s="858"/>
      <c r="BY53" s="858"/>
      <c r="BZ53" s="858"/>
      <c r="CA53" s="858"/>
      <c r="CB53" s="858"/>
    </row>
    <row r="54" spans="1:80" hidden="1" outlineLevel="1" x14ac:dyDescent="0.2"/>
    <row r="55" spans="1:80" ht="5.25" customHeight="1" collapsed="1" x14ac:dyDescent="0.2"/>
    <row r="56" spans="1:80" x14ac:dyDescent="0.2">
      <c r="A56" s="862"/>
      <c r="B56" s="862"/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862"/>
      <c r="O56" s="862"/>
      <c r="P56" s="862"/>
      <c r="Q56" s="862"/>
      <c r="R56" s="862"/>
      <c r="S56" s="862"/>
      <c r="T56" s="862"/>
      <c r="U56" s="862"/>
      <c r="V56" s="862"/>
      <c r="W56" s="862"/>
      <c r="X56" s="862"/>
      <c r="Y56" s="862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8" spans="1:80" x14ac:dyDescent="0.2">
      <c r="A58" s="871" t="str">
        <f>IF('Данные объект'!B39="","",'Данные объект'!B39)</f>
      </c>
      <c r="B58" s="871"/>
      <c r="C58" s="871"/>
      <c r="D58" s="871"/>
      <c r="E58" s="871"/>
      <c r="F58" s="871"/>
      <c r="G58" s="871"/>
      <c r="H58" s="871"/>
      <c r="I58" s="871"/>
      <c r="J58" s="871"/>
      <c r="K58" s="871"/>
      <c r="L58" s="871"/>
      <c r="M58" s="871"/>
      <c r="N58" s="871"/>
      <c r="O58" s="871"/>
      <c r="P58" s="871"/>
      <c r="Q58" s="871"/>
      <c r="R58" s="871"/>
      <c r="S58" s="871"/>
      <c r="T58" s="871"/>
      <c r="U58" s="871"/>
      <c r="V58" s="871"/>
      <c r="W58" s="871"/>
      <c r="X58" s="871"/>
      <c r="Y58" s="871"/>
      <c r="Z58" s="871"/>
      <c r="AA58" s="871"/>
      <c r="AB58" s="871"/>
      <c r="AC58" s="871"/>
      <c r="AD58" s="871"/>
      <c r="AE58" s="871"/>
      <c r="AF58" s="871"/>
      <c r="AG58" s="871"/>
      <c r="AH58" s="871"/>
      <c r="AI58" s="871"/>
      <c r="AJ58" s="87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0" x14ac:dyDescent="0.2">
      <c r="A59" s="825"/>
      <c r="B59" s="825"/>
      <c r="C59" s="825"/>
      <c r="D59" s="825"/>
      <c r="E59" s="825"/>
      <c r="F59" s="825"/>
      <c r="G59" s="825"/>
      <c r="H59" s="825"/>
      <c r="I59" s="825"/>
      <c r="J59" s="825"/>
      <c r="K59" s="825"/>
      <c r="L59" s="825"/>
      <c r="M59" s="825"/>
      <c r="N59" s="825"/>
      <c r="O59" s="825"/>
      <c r="P59" s="825"/>
      <c r="Q59" s="825"/>
      <c r="R59" s="825"/>
      <c r="S59" s="825"/>
      <c r="T59" s="825"/>
      <c r="U59" s="825"/>
      <c r="V59" s="825"/>
      <c r="W59" s="825"/>
      <c r="X59" s="825"/>
      <c r="Y59" s="825"/>
      <c r="Z59" s="825"/>
      <c r="AA59" s="825"/>
      <c r="AB59" s="825"/>
      <c r="AC59" s="825"/>
      <c r="AD59" s="825"/>
      <c r="AE59" s="825"/>
      <c r="AF59" s="825"/>
      <c r="AG59" s="825"/>
      <c r="AH59" s="825"/>
      <c r="AI59" s="825"/>
      <c r="AJ59" s="825"/>
      <c r="AK59" s="11"/>
      <c r="AL59" s="11"/>
      <c r="AM59" s="881"/>
      <c r="AN59" s="881"/>
      <c r="AO59" s="881"/>
      <c r="AP59" s="881"/>
      <c r="AQ59" s="881"/>
      <c r="AR59" s="881"/>
      <c r="AS59" s="881"/>
      <c r="AT59" s="881"/>
      <c r="AU59" s="881"/>
      <c r="AV59" s="881"/>
      <c r="AW59" s="881"/>
      <c r="AX59" s="881"/>
      <c r="AY59" s="881"/>
      <c r="AZ59" s="881"/>
      <c r="BA59" s="881"/>
      <c r="BB59" s="881"/>
      <c r="BC59" s="881"/>
      <c r="BD59" s="881"/>
      <c r="BE59" s="881"/>
      <c r="BF59" s="881"/>
      <c r="BG59" s="11"/>
      <c r="BH59" s="11"/>
      <c r="BI59" s="841" t="str">
        <f>IF('Данные объект'!B42="","",'Данные объект'!B42)</f>
      </c>
      <c r="BJ59" s="841"/>
      <c r="BK59" s="841"/>
      <c r="BL59" s="841"/>
      <c r="BM59" s="841"/>
      <c r="BN59" s="841"/>
      <c r="BO59" s="841"/>
      <c r="BP59" s="841"/>
      <c r="BQ59" s="841"/>
      <c r="BR59" s="841"/>
      <c r="BS59" s="841"/>
      <c r="BT59" s="841"/>
      <c r="BU59" s="841"/>
      <c r="BV59" s="841"/>
      <c r="BW59" s="841"/>
      <c r="BX59" s="841"/>
      <c r="BY59" s="841"/>
      <c r="BZ59" s="841"/>
      <c r="CA59" s="841"/>
      <c r="CB59" s="841"/>
    </row>
    <row r="60" spans="1:80" s="5" customFormat="1" ht="8.25" x14ac:dyDescent="0.15">
      <c r="A60" s="838"/>
      <c r="B60" s="838"/>
      <c r="C60" s="838"/>
      <c r="D60" s="838"/>
      <c r="E60" s="838"/>
      <c r="F60" s="838"/>
      <c r="G60" s="838"/>
      <c r="H60" s="838"/>
      <c r="I60" s="838"/>
      <c r="J60" s="838"/>
      <c r="K60" s="838"/>
      <c r="L60" s="838"/>
      <c r="M60" s="838"/>
      <c r="N60" s="838"/>
      <c r="O60" s="838"/>
      <c r="P60" s="838"/>
      <c r="Q60" s="838"/>
      <c r="R60" s="838"/>
      <c r="S60" s="838"/>
      <c r="T60" s="838"/>
      <c r="U60" s="838"/>
      <c r="V60" s="838"/>
      <c r="W60" s="838"/>
      <c r="X60" s="838"/>
      <c r="Y60" s="838"/>
      <c r="Z60" s="838"/>
      <c r="AA60" s="838"/>
      <c r="AB60" s="838"/>
      <c r="AC60" s="838"/>
      <c r="AD60" s="838"/>
      <c r="AE60" s="838"/>
      <c r="AF60" s="838"/>
      <c r="AG60" s="838"/>
      <c r="AH60" s="838"/>
      <c r="AI60" s="838"/>
      <c r="AJ60" s="838"/>
      <c r="AM60" s="838"/>
      <c r="AN60" s="838"/>
      <c r="AO60" s="838"/>
      <c r="AP60" s="838"/>
      <c r="AQ60" s="838"/>
      <c r="AR60" s="838"/>
      <c r="AS60" s="838"/>
      <c r="AT60" s="838"/>
      <c r="AU60" s="838"/>
      <c r="AV60" s="838"/>
      <c r="AW60" s="838"/>
      <c r="AX60" s="838"/>
      <c r="AY60" s="838"/>
      <c r="AZ60" s="838"/>
      <c r="BA60" s="838"/>
      <c r="BB60" s="838"/>
      <c r="BC60" s="838"/>
      <c r="BD60" s="838"/>
      <c r="BE60" s="838"/>
      <c r="BF60" s="838"/>
      <c r="BI60" s="858"/>
      <c r="BJ60" s="858"/>
      <c r="BK60" s="858"/>
      <c r="BL60" s="858"/>
      <c r="BM60" s="858"/>
      <c r="BN60" s="858"/>
      <c r="BO60" s="858"/>
      <c r="BP60" s="858"/>
      <c r="BQ60" s="858"/>
      <c r="BR60" s="858"/>
      <c r="BS60" s="858"/>
      <c r="BT60" s="858"/>
      <c r="BU60" s="858"/>
      <c r="BV60" s="858"/>
      <c r="BW60" s="858"/>
      <c r="BX60" s="858"/>
      <c r="BY60" s="858"/>
      <c r="BZ60" s="858"/>
      <c r="CA60" s="858"/>
      <c r="CB60" s="858"/>
    </row>
    <row r="61" spans="1:80" ht="6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0" ht="6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0" ht="6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0" ht="6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0" ht="6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0" ht="6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0" ht="25.9" customHeight="1" x14ac:dyDescent="0.2">
      <c r="A67" s="825" t="str">
        <f>IF('Данные объект'!B44="","",'Данные объект'!B44)</f>
      </c>
      <c r="B67" s="825"/>
      <c r="C67" s="825"/>
      <c r="D67" s="825"/>
      <c r="E67" s="825"/>
      <c r="F67" s="825"/>
      <c r="G67" s="825"/>
      <c r="H67" s="825"/>
      <c r="I67" s="825"/>
      <c r="J67" s="825"/>
      <c r="K67" s="825"/>
      <c r="L67" s="825"/>
      <c r="M67" s="825"/>
      <c r="N67" s="825"/>
      <c r="O67" s="825"/>
      <c r="P67" s="825"/>
      <c r="Q67" s="825"/>
      <c r="R67" s="825"/>
      <c r="S67" s="825"/>
      <c r="T67" s="825"/>
      <c r="U67" s="825"/>
      <c r="V67" s="825"/>
      <c r="W67" s="825"/>
      <c r="X67" s="825"/>
      <c r="Y67" s="825"/>
      <c r="Z67" s="825"/>
      <c r="AA67" s="825"/>
      <c r="AB67" s="825"/>
      <c r="AC67" s="825"/>
      <c r="AD67" s="825"/>
      <c r="AE67" s="825"/>
      <c r="AF67" s="825"/>
      <c r="AG67" s="825"/>
      <c r="AH67" s="825"/>
      <c r="AI67" s="825"/>
      <c r="AJ67" s="825"/>
      <c r="AK67" s="11"/>
      <c r="AL67" s="11"/>
      <c r="AM67" s="881"/>
      <c r="AN67" s="881"/>
      <c r="AO67" s="881"/>
      <c r="AP67" s="881"/>
      <c r="AQ67" s="881"/>
      <c r="AR67" s="881"/>
      <c r="AS67" s="881"/>
      <c r="AT67" s="881"/>
      <c r="AU67" s="881"/>
      <c r="AV67" s="881"/>
      <c r="AW67" s="881"/>
      <c r="AX67" s="881"/>
      <c r="AY67" s="881"/>
      <c r="AZ67" s="881"/>
      <c r="BA67" s="881"/>
      <c r="BB67" s="881"/>
      <c r="BC67" s="881"/>
      <c r="BD67" s="881"/>
      <c r="BE67" s="881"/>
      <c r="BF67" s="881"/>
      <c r="BG67" s="11"/>
      <c r="BH67" s="11"/>
      <c r="BI67" s="841" t="str">
        <f>IF('Данные объект'!B47="","",'Данные объект'!B47)</f>
      </c>
      <c r="BJ67" s="841"/>
      <c r="BK67" s="841"/>
      <c r="BL67" s="841"/>
      <c r="BM67" s="841"/>
      <c r="BN67" s="841"/>
      <c r="BO67" s="841"/>
      <c r="BP67" s="841"/>
      <c r="BQ67" s="841"/>
      <c r="BR67" s="841"/>
      <c r="BS67" s="841"/>
      <c r="BT67" s="841"/>
      <c r="BU67" s="841"/>
      <c r="BV67" s="841"/>
      <c r="BW67" s="841"/>
      <c r="BX67" s="841"/>
      <c r="BY67" s="841"/>
      <c r="BZ67" s="841"/>
      <c r="CA67" s="841"/>
      <c r="CB67" s="841"/>
    </row>
    <row r="68" spans="1:80" x14ac:dyDescent="0.2">
      <c r="A68" s="838"/>
      <c r="B68" s="838"/>
      <c r="C68" s="838"/>
      <c r="D68" s="838"/>
      <c r="E68" s="838"/>
      <c r="F68" s="838"/>
      <c r="G68" s="838"/>
      <c r="H68" s="838"/>
      <c r="I68" s="838"/>
      <c r="J68" s="838"/>
      <c r="K68" s="838"/>
      <c r="L68" s="838"/>
      <c r="M68" s="838"/>
      <c r="N68" s="838"/>
      <c r="O68" s="838"/>
      <c r="P68" s="838"/>
      <c r="Q68" s="838"/>
      <c r="R68" s="838"/>
      <c r="S68" s="838"/>
      <c r="T68" s="838"/>
      <c r="U68" s="838"/>
      <c r="V68" s="838"/>
      <c r="W68" s="838"/>
      <c r="X68" s="838"/>
      <c r="Y68" s="838"/>
      <c r="Z68" s="838"/>
      <c r="AA68" s="838"/>
      <c r="AB68" s="838"/>
      <c r="AC68" s="838"/>
      <c r="AD68" s="838"/>
      <c r="AE68" s="838"/>
      <c r="AF68" s="838"/>
      <c r="AG68" s="838"/>
      <c r="AH68" s="838"/>
      <c r="AI68" s="838"/>
      <c r="AJ68" s="838"/>
      <c r="AK68" s="5"/>
      <c r="AL68" s="5"/>
      <c r="AM68" s="838"/>
      <c r="AN68" s="838"/>
      <c r="AO68" s="838"/>
      <c r="AP68" s="838"/>
      <c r="AQ68" s="838"/>
      <c r="AR68" s="838"/>
      <c r="AS68" s="838"/>
      <c r="AT68" s="838"/>
      <c r="AU68" s="838"/>
      <c r="AV68" s="838"/>
      <c r="AW68" s="838"/>
      <c r="AX68" s="838"/>
      <c r="AY68" s="838"/>
      <c r="AZ68" s="838"/>
      <c r="BA68" s="838"/>
      <c r="BB68" s="838"/>
      <c r="BC68" s="838"/>
      <c r="BD68" s="838"/>
      <c r="BE68" s="838"/>
      <c r="BF68" s="838"/>
      <c r="BG68" s="5"/>
      <c r="BH68" s="5"/>
      <c r="BI68" s="858"/>
      <c r="BJ68" s="858"/>
      <c r="BK68" s="858"/>
      <c r="BL68" s="858"/>
      <c r="BM68" s="858"/>
      <c r="BN68" s="858"/>
      <c r="BO68" s="858"/>
      <c r="BP68" s="858"/>
      <c r="BQ68" s="858"/>
      <c r="BR68" s="858"/>
      <c r="BS68" s="858"/>
      <c r="BT68" s="858"/>
      <c r="BU68" s="858"/>
      <c r="BV68" s="858"/>
      <c r="BW68" s="858"/>
      <c r="BX68" s="858"/>
      <c r="BY68" s="858"/>
      <c r="BZ68" s="858"/>
      <c r="CA68" s="858"/>
      <c r="CB68" s="858"/>
    </row>
  </sheetData>
  <mergeCells count="189">
    <mergeCell ref="A25:D25"/>
    <mergeCell ref="E25:AH25"/>
    <mergeCell ref="AI25:AT25"/>
    <mergeCell ref="AU25:BD25"/>
    <mergeCell ref="BE25:BL25"/>
    <mergeCell ref="BM25:CB25"/>
    <mergeCell ref="A67:AJ67"/>
    <mergeCell ref="AM67:BF67"/>
    <mergeCell ref="BI67:CB67"/>
    <mergeCell ref="BE32:BL32"/>
    <mergeCell ref="BM32:CB32"/>
    <mergeCell ref="AI26:AT26"/>
    <mergeCell ref="AU26:BD26"/>
    <mergeCell ref="AI27:AT27"/>
    <mergeCell ref="AU27:BD27"/>
    <mergeCell ref="A29:D29"/>
    <mergeCell ref="A28:D28"/>
    <mergeCell ref="E28:AH28"/>
    <mergeCell ref="BE28:BL28"/>
    <mergeCell ref="BM28:CB28"/>
    <mergeCell ref="E29:AH29"/>
    <mergeCell ref="BE29:BL29"/>
    <mergeCell ref="BM29:CB29"/>
    <mergeCell ref="AI28:AT28"/>
    <mergeCell ref="A68:AJ68"/>
    <mergeCell ref="AM68:BF68"/>
    <mergeCell ref="BI68:CB68"/>
    <mergeCell ref="E41:AH41"/>
    <mergeCell ref="BE41:BL41"/>
    <mergeCell ref="BM41:CB41"/>
    <mergeCell ref="AI41:AT41"/>
    <mergeCell ref="AU41:BD41"/>
    <mergeCell ref="A58:AJ59"/>
    <mergeCell ref="AM59:BF59"/>
    <mergeCell ref="BI59:CB59"/>
    <mergeCell ref="A60:AJ60"/>
    <mergeCell ref="AM60:BF60"/>
    <mergeCell ref="BI60:CB60"/>
    <mergeCell ref="BI52:CB52"/>
    <mergeCell ref="BI53:CB53"/>
    <mergeCell ref="A56:AJ56"/>
    <mergeCell ref="A53:AJ53"/>
    <mergeCell ref="AM53:BF53"/>
    <mergeCell ref="AM45:BF45"/>
    <mergeCell ref="BI45:CB45"/>
    <mergeCell ref="BI46:CB46"/>
    <mergeCell ref="AM46:BF46"/>
    <mergeCell ref="A44:AJ45"/>
    <mergeCell ref="A19:D19"/>
    <mergeCell ref="A22:D22"/>
    <mergeCell ref="E22:AH22"/>
    <mergeCell ref="BE22:BL22"/>
    <mergeCell ref="BM22:CB22"/>
    <mergeCell ref="A50:AB50"/>
    <mergeCell ref="A51:AJ51"/>
    <mergeCell ref="A52:AJ52"/>
    <mergeCell ref="AM52:BF52"/>
    <mergeCell ref="BE20:BL20"/>
    <mergeCell ref="A20:D20"/>
    <mergeCell ref="A21:D21"/>
    <mergeCell ref="A35:D35"/>
    <mergeCell ref="E35:AH35"/>
    <mergeCell ref="BE35:BL35"/>
    <mergeCell ref="BM35:CB35"/>
    <mergeCell ref="A36:D36"/>
    <mergeCell ref="E36:AH36"/>
    <mergeCell ref="BE36:BL36"/>
    <mergeCell ref="BM36:CB36"/>
    <mergeCell ref="A37:D37"/>
    <mergeCell ref="A46:AJ46"/>
    <mergeCell ref="BM21:CB21"/>
    <mergeCell ref="BE23:BL23"/>
    <mergeCell ref="A24:D24"/>
    <mergeCell ref="A23:D23"/>
    <mergeCell ref="E37:AH37"/>
    <mergeCell ref="BE37:BL37"/>
    <mergeCell ref="BM37:CB37"/>
    <mergeCell ref="A38:D38"/>
    <mergeCell ref="E38:AH38"/>
    <mergeCell ref="BE38:BL38"/>
    <mergeCell ref="BM38:CB38"/>
    <mergeCell ref="A26:D26"/>
    <mergeCell ref="E26:AH26"/>
    <mergeCell ref="BE26:BL26"/>
    <mergeCell ref="BM26:CB26"/>
    <mergeCell ref="A27:D27"/>
    <mergeCell ref="E27:AH27"/>
    <mergeCell ref="BE27:BL27"/>
    <mergeCell ref="BM27:CB27"/>
    <mergeCell ref="AI34:AT34"/>
    <mergeCell ref="AU34:BD34"/>
    <mergeCell ref="AI35:AT35"/>
    <mergeCell ref="AU35:BD35"/>
    <mergeCell ref="AI36:AT36"/>
    <mergeCell ref="AU36:BD36"/>
    <mergeCell ref="AI37:AT37"/>
    <mergeCell ref="E19:AH19"/>
    <mergeCell ref="E20:AH20"/>
    <mergeCell ref="BE19:BL19"/>
    <mergeCell ref="BM19:CB19"/>
    <mergeCell ref="BM20:CB20"/>
    <mergeCell ref="E24:AH24"/>
    <mergeCell ref="BE24:BL24"/>
    <mergeCell ref="BM24:CB24"/>
    <mergeCell ref="AI19:AT19"/>
    <mergeCell ref="AU19:BD19"/>
    <mergeCell ref="AI20:AT20"/>
    <mergeCell ref="AU20:BD20"/>
    <mergeCell ref="AI21:AT21"/>
    <mergeCell ref="AU21:BD21"/>
    <mergeCell ref="AI22:AT22"/>
    <mergeCell ref="AU22:BD22"/>
    <mergeCell ref="AI23:AT23"/>
    <mergeCell ref="AU23:BD23"/>
    <mergeCell ref="AI24:AT24"/>
    <mergeCell ref="AU24:BD24"/>
    <mergeCell ref="BM23:CB23"/>
    <mergeCell ref="E21:AH21"/>
    <mergeCell ref="E23:AH23"/>
    <mergeCell ref="BE21:BL21"/>
    <mergeCell ref="A5:AI5"/>
    <mergeCell ref="A14:CB14"/>
    <mergeCell ref="BM17:CB18"/>
    <mergeCell ref="A17:D18"/>
    <mergeCell ref="AR1:BZ2"/>
    <mergeCell ref="A2:AI2"/>
    <mergeCell ref="A3:AI3"/>
    <mergeCell ref="AR3:BZ3"/>
    <mergeCell ref="A4:AI4"/>
    <mergeCell ref="AR4:BZ4"/>
    <mergeCell ref="AR5:BZ5"/>
    <mergeCell ref="BE17:BL18"/>
    <mergeCell ref="E17:AH18"/>
    <mergeCell ref="AI17:AT18"/>
    <mergeCell ref="AU17:BD18"/>
    <mergeCell ref="AR6:BZ9"/>
    <mergeCell ref="A8:AI9"/>
    <mergeCell ref="A10:AI10"/>
    <mergeCell ref="AR10:BZ10"/>
    <mergeCell ref="A11:AI11"/>
    <mergeCell ref="AR11:BZ11"/>
    <mergeCell ref="AR12:BZ12"/>
    <mergeCell ref="A15:CB15"/>
    <mergeCell ref="AU28:BD28"/>
    <mergeCell ref="AI29:AT29"/>
    <mergeCell ref="AU29:BD29"/>
    <mergeCell ref="BE39:BL39"/>
    <mergeCell ref="BM39:CB39"/>
    <mergeCell ref="A30:D30"/>
    <mergeCell ref="E30:AH30"/>
    <mergeCell ref="BE30:BL30"/>
    <mergeCell ref="BM30:CB30"/>
    <mergeCell ref="A33:D33"/>
    <mergeCell ref="E33:AH33"/>
    <mergeCell ref="BE33:BL33"/>
    <mergeCell ref="BM33:CB33"/>
    <mergeCell ref="AI30:AT30"/>
    <mergeCell ref="AU30:BD30"/>
    <mergeCell ref="AI31:AT31"/>
    <mergeCell ref="AU31:BD31"/>
    <mergeCell ref="AI32:AT32"/>
    <mergeCell ref="AU32:BD32"/>
    <mergeCell ref="AI33:AT33"/>
    <mergeCell ref="AU33:BD33"/>
    <mergeCell ref="A31:D31"/>
    <mergeCell ref="E31:AH31"/>
    <mergeCell ref="BE31:BL31"/>
    <mergeCell ref="BM31:CB31"/>
    <mergeCell ref="A32:D32"/>
    <mergeCell ref="E32:AH32"/>
    <mergeCell ref="A34:D34"/>
    <mergeCell ref="E34:AH34"/>
    <mergeCell ref="BE34:BL34"/>
    <mergeCell ref="BM34:CB34"/>
    <mergeCell ref="A43:AJ43"/>
    <mergeCell ref="A41:D41"/>
    <mergeCell ref="AU37:BD37"/>
    <mergeCell ref="AI38:AT38"/>
    <mergeCell ref="AU38:BD38"/>
    <mergeCell ref="A40:D40"/>
    <mergeCell ref="E40:AH40"/>
    <mergeCell ref="BE40:BL40"/>
    <mergeCell ref="BM40:CB40"/>
    <mergeCell ref="AI39:AT39"/>
    <mergeCell ref="AU39:BD39"/>
    <mergeCell ref="AI40:AT40"/>
    <mergeCell ref="AU40:BD40"/>
    <mergeCell ref="A39:D39"/>
    <mergeCell ref="E39:AH39"/>
  </mergeCells>
  <pageMargins left="0.78740157480314965" right="0.19685039370078741" top="0.39370078740157483" bottom="0.28125" header="0.11811023622047245" footer="0.11811023622047245"/>
  <pageSetup paperSize="9" scale="91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C5AB2AA-1499-4D94-ADB9-713964A7E623}">
          <x14:formula1>
            <xm:f>'связ.данные(оборудование)'!$A$2:$AA$2</xm:f>
          </x14:formula1>
          <xm:sqref>E33:AH41 E19:AH31</xm:sqref>
        </x14:dataValidation>
        <x14:dataValidation type="list" allowBlank="1" showInputMessage="1" showErrorMessage="1" xr:uid="{27CC84B2-727A-405C-B8B7-C17FEE9DA08F}">
          <x14:formula1>
            <xm:f>OFFSET('связ.данные(оборудование)'!$A$2,1,MATCH(E19:AH19,'связ.данные(оборудование)'!$A$2:$AA$2,0)-1,30,1)</xm:f>
          </x14:formula1>
          <xm:sqref>AI37:AT41 AI31:AT31 AI33:AT33 AI19:AT29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FFFF"/>
  </sheetPr>
  <dimension ref="A1:CB71"/>
  <sheetViews>
    <sheetView view="pageBreakPreview" topLeftCell="A16" zoomScaleNormal="100" zoomScaleSheetLayoutView="100" workbookViewId="0">
      <selection activeCell="EC56" sqref="EC56"/>
    </sheetView>
  </sheetViews>
  <sheetFormatPr defaultColWidth="9.140625" defaultRowHeight="12.75" outlineLevelRow="1" x14ac:dyDescent="0.2"/>
  <cols>
    <col min="1" max="171" width="1.140625" style="2" customWidth="1"/>
    <col min="172" max="16384" width="9.140625" style="2"/>
  </cols>
  <sheetData>
    <row r="1" spans="1:80" s="11" customFormat="1" ht="11.25" x14ac:dyDescent="0.2">
      <c r="AT1" s="836" t="str">
        <f>IF('Данные объект'!B4="","",'Данные объект'!B4)</f>
      </c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836"/>
      <c r="CB1" s="836"/>
    </row>
    <row r="2" spans="1:80" s="11" customFormat="1" ht="11.25" x14ac:dyDescent="0.2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837"/>
      <c r="CB2" s="837"/>
    </row>
    <row r="3" spans="1:80" s="11" customFormat="1" ht="11.25" x14ac:dyDescent="0.2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T3" s="494" t="s">
        <v>22</v>
      </c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</row>
    <row r="4" spans="1:80" s="11" customFormat="1" ht="9" customHeight="1" x14ac:dyDescent="0.2">
      <c r="A4" s="836" t="str">
        <f>IF('Данные объект'!B19="","",'Данные объект'!B19)</f>
      </c>
      <c r="B4" s="836"/>
      <c r="C4" s="836"/>
      <c r="D4" s="836"/>
      <c r="E4" s="836"/>
      <c r="F4" s="836"/>
      <c r="G4" s="836"/>
      <c r="H4" s="836"/>
      <c r="I4" s="836"/>
      <c r="J4" s="836"/>
      <c r="K4" s="836"/>
      <c r="L4" s="836"/>
      <c r="M4" s="836"/>
      <c r="N4" s="836"/>
      <c r="O4" s="836"/>
      <c r="P4" s="836"/>
      <c r="Q4" s="836"/>
      <c r="R4" s="836"/>
      <c r="S4" s="836"/>
      <c r="T4" s="836"/>
      <c r="U4" s="836"/>
      <c r="V4" s="836"/>
      <c r="W4" s="836"/>
      <c r="X4" s="836"/>
      <c r="Y4" s="836"/>
      <c r="Z4" s="836"/>
      <c r="AA4" s="836"/>
      <c r="AB4" s="836"/>
      <c r="AC4" s="836"/>
      <c r="AD4" s="836"/>
      <c r="AE4" s="836"/>
      <c r="AF4" s="836"/>
      <c r="AG4" s="836"/>
      <c r="AH4" s="836"/>
      <c r="AI4" s="836"/>
      <c r="AT4" s="836" t="str">
        <f>IF('Данные объект'!B33="","",'Данные объект'!B33)</f>
      </c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836"/>
      <c r="CB4" s="836"/>
    </row>
    <row r="5" spans="1:80" s="11" customFormat="1" ht="6.75" customHeight="1" x14ac:dyDescent="0.2">
      <c r="A5" s="837"/>
      <c r="B5" s="837"/>
      <c r="C5" s="837"/>
      <c r="D5" s="837"/>
      <c r="E5" s="837"/>
      <c r="F5" s="837"/>
      <c r="G5" s="837"/>
      <c r="H5" s="837"/>
      <c r="I5" s="837"/>
      <c r="J5" s="837"/>
      <c r="K5" s="837"/>
      <c r="L5" s="837"/>
      <c r="M5" s="837"/>
      <c r="N5" s="837"/>
      <c r="O5" s="837"/>
      <c r="P5" s="837"/>
      <c r="Q5" s="837"/>
      <c r="R5" s="837"/>
      <c r="S5" s="837"/>
      <c r="T5" s="837"/>
      <c r="U5" s="837"/>
      <c r="V5" s="837"/>
      <c r="W5" s="837"/>
      <c r="X5" s="837"/>
      <c r="Y5" s="837"/>
      <c r="Z5" s="837"/>
      <c r="AA5" s="837"/>
      <c r="AB5" s="837"/>
      <c r="AC5" s="837"/>
      <c r="AD5" s="837"/>
      <c r="AE5" s="837"/>
      <c r="AF5" s="837"/>
      <c r="AG5" s="837"/>
      <c r="AH5" s="837"/>
      <c r="AI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837"/>
      <c r="CB5" s="837"/>
    </row>
    <row r="6" spans="1:80" s="11" customFormat="1" ht="11.25" x14ac:dyDescent="0.2">
      <c r="A6" s="494" t="s">
        <v>25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T6" s="494" t="s">
        <v>23</v>
      </c>
      <c r="AU6" s="494"/>
      <c r="AV6" s="494"/>
      <c r="AW6" s="494"/>
      <c r="AX6" s="494"/>
      <c r="AY6" s="494"/>
      <c r="AZ6" s="494"/>
      <c r="BA6" s="494"/>
      <c r="BB6" s="494"/>
      <c r="BC6" s="494"/>
      <c r="BD6" s="494"/>
      <c r="BE6" s="494"/>
      <c r="BF6" s="494"/>
      <c r="BG6" s="494"/>
      <c r="BH6" s="494"/>
      <c r="BI6" s="494"/>
      <c r="BJ6" s="494"/>
      <c r="BK6" s="494"/>
      <c r="BL6" s="494"/>
      <c r="BM6" s="494"/>
      <c r="BN6" s="494"/>
      <c r="BO6" s="494"/>
      <c r="BP6" s="494"/>
      <c r="BQ6" s="494"/>
      <c r="BR6" s="494"/>
      <c r="BS6" s="494"/>
      <c r="BT6" s="494"/>
      <c r="BU6" s="494"/>
      <c r="BV6" s="494"/>
      <c r="BW6" s="494"/>
      <c r="BX6" s="494"/>
      <c r="BY6" s="494"/>
      <c r="BZ6" s="494"/>
      <c r="CA6" s="494"/>
      <c r="CB6" s="494"/>
    </row>
    <row r="7" spans="1:80" s="11" customFormat="1" ht="6.7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T7" s="836" t="str">
        <f>IF('Данные объект'!B3="","",'Данные объект'!B3)</f>
      </c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836"/>
      <c r="CB7" s="836"/>
    </row>
    <row r="8" spans="1:80" s="11" customFormat="1" ht="11.25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836"/>
      <c r="CB8" s="836"/>
    </row>
    <row r="9" spans="1:80" s="11" customFormat="1" ht="11.25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T9" s="836"/>
      <c r="AU9" s="836"/>
      <c r="AV9" s="836"/>
      <c r="AW9" s="836"/>
      <c r="AX9" s="836"/>
      <c r="AY9" s="836"/>
      <c r="AZ9" s="836"/>
      <c r="BA9" s="836"/>
      <c r="BB9" s="836"/>
      <c r="BC9" s="836"/>
      <c r="BD9" s="836"/>
      <c r="BE9" s="836"/>
      <c r="BF9" s="836"/>
      <c r="BG9" s="836"/>
      <c r="BH9" s="836"/>
      <c r="BI9" s="836"/>
      <c r="BJ9" s="836"/>
      <c r="BK9" s="836"/>
      <c r="BL9" s="836"/>
      <c r="BM9" s="836"/>
      <c r="BN9" s="836"/>
      <c r="BO9" s="836"/>
      <c r="BP9" s="836"/>
      <c r="BQ9" s="836"/>
      <c r="BR9" s="836"/>
      <c r="BS9" s="836"/>
      <c r="BT9" s="836"/>
      <c r="BU9" s="836"/>
      <c r="BV9" s="836"/>
      <c r="BW9" s="836"/>
      <c r="BX9" s="836"/>
      <c r="BY9" s="836"/>
      <c r="BZ9" s="836"/>
      <c r="CA9" s="836"/>
      <c r="CB9" s="836"/>
    </row>
    <row r="10" spans="1:80" s="11" customFormat="1" ht="22.5" customHeight="1" x14ac:dyDescent="0.2">
      <c r="A10" s="837" t="str">
        <f>IF('Данные объект'!B12="","",'Данные объект'!B12)</f>
      </c>
      <c r="B10" s="837"/>
      <c r="C10" s="837"/>
      <c r="D10" s="837"/>
      <c r="E10" s="837"/>
      <c r="F10" s="837"/>
      <c r="G10" s="837"/>
      <c r="H10" s="837"/>
      <c r="I10" s="837"/>
      <c r="J10" s="837"/>
      <c r="K10" s="837"/>
      <c r="L10" s="837"/>
      <c r="M10" s="837"/>
      <c r="N10" s="837"/>
      <c r="O10" s="837"/>
      <c r="P10" s="837"/>
      <c r="Q10" s="837"/>
      <c r="R10" s="837"/>
      <c r="S10" s="837"/>
      <c r="T10" s="837"/>
      <c r="U10" s="837"/>
      <c r="V10" s="837"/>
      <c r="W10" s="837"/>
      <c r="X10" s="837"/>
      <c r="Y10" s="837"/>
      <c r="Z10" s="837"/>
      <c r="AA10" s="837"/>
      <c r="AB10" s="837"/>
      <c r="AC10" s="837"/>
      <c r="AD10" s="837"/>
      <c r="AE10" s="837"/>
      <c r="AF10" s="837"/>
      <c r="AG10" s="837"/>
      <c r="AH10" s="837"/>
      <c r="AI10" s="837"/>
      <c r="AT10" s="837"/>
      <c r="AU10" s="837"/>
      <c r="AV10" s="837"/>
      <c r="AW10" s="837"/>
      <c r="AX10" s="837"/>
      <c r="AY10" s="837"/>
      <c r="AZ10" s="837"/>
      <c r="BA10" s="837"/>
      <c r="BB10" s="837"/>
      <c r="BC10" s="837"/>
      <c r="BD10" s="837"/>
      <c r="BE10" s="837"/>
      <c r="BF10" s="837"/>
      <c r="BG10" s="837"/>
      <c r="BH10" s="837"/>
      <c r="BI10" s="837"/>
      <c r="BJ10" s="837"/>
      <c r="BK10" s="837"/>
      <c r="BL10" s="837"/>
      <c r="BM10" s="837"/>
      <c r="BN10" s="837"/>
      <c r="BO10" s="837"/>
      <c r="BP10" s="837"/>
      <c r="BQ10" s="837"/>
      <c r="BR10" s="837"/>
      <c r="BS10" s="837"/>
      <c r="BT10" s="837"/>
      <c r="BU10" s="837"/>
      <c r="BV10" s="837"/>
      <c r="BW10" s="837"/>
      <c r="BX10" s="837"/>
      <c r="BY10" s="837"/>
      <c r="BZ10" s="837"/>
      <c r="CA10" s="837"/>
      <c r="CB10" s="837"/>
    </row>
    <row r="11" spans="1:80" s="11" customFormat="1" ht="11.25" x14ac:dyDescent="0.2">
      <c r="A11" s="494" t="str">
        <f>IF(AT11="","",AT11)</f>
      </c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494"/>
      <c r="AI11" s="494"/>
      <c r="AT11" s="494" t="s">
        <v>24</v>
      </c>
      <c r="AU11" s="494"/>
      <c r="AV11" s="494"/>
      <c r="AW11" s="494"/>
      <c r="AX11" s="494"/>
      <c r="AY11" s="494"/>
      <c r="AZ11" s="494"/>
      <c r="BA11" s="494"/>
      <c r="BB11" s="494"/>
      <c r="BC11" s="494"/>
      <c r="BD11" s="494"/>
      <c r="BE11" s="494"/>
      <c r="BF11" s="494"/>
      <c r="BG11" s="494"/>
      <c r="BH11" s="494"/>
      <c r="BI11" s="494"/>
      <c r="BJ11" s="494"/>
      <c r="BK11" s="494"/>
      <c r="BL11" s="494"/>
      <c r="BM11" s="494"/>
      <c r="BN11" s="494"/>
      <c r="BO11" s="494"/>
      <c r="BP11" s="494"/>
      <c r="BQ11" s="494"/>
      <c r="BR11" s="494"/>
      <c r="BS11" s="494"/>
      <c r="BT11" s="494"/>
      <c r="BU11" s="494"/>
      <c r="BV11" s="494"/>
      <c r="BW11" s="494"/>
      <c r="BX11" s="494"/>
      <c r="BY11" s="494"/>
      <c r="BZ11" s="494"/>
      <c r="CA11" s="494"/>
      <c r="CB11" s="494"/>
    </row>
    <row r="12" spans="1:80" s="11" customFormat="1" ht="21" customHeight="1" x14ac:dyDescent="0.2">
      <c r="AT12" s="842" t="str">
        <f>IF('Данные объект'!B8="","",'Данные объект'!B8)</f>
      </c>
      <c r="AU12" s="842"/>
      <c r="AV12" s="842"/>
      <c r="AW12" s="842"/>
      <c r="AX12" s="842"/>
      <c r="AY12" s="842"/>
      <c r="AZ12" s="842"/>
      <c r="BA12" s="842"/>
      <c r="BB12" s="842"/>
      <c r="BC12" s="842"/>
      <c r="BD12" s="842"/>
      <c r="BE12" s="842"/>
      <c r="BF12" s="842"/>
      <c r="BG12" s="842"/>
      <c r="BH12" s="842"/>
      <c r="BI12" s="842"/>
      <c r="BJ12" s="842"/>
      <c r="BK12" s="842"/>
      <c r="BL12" s="842"/>
      <c r="BM12" s="842"/>
      <c r="BN12" s="842"/>
      <c r="BO12" s="842"/>
      <c r="BP12" s="842"/>
      <c r="BQ12" s="842"/>
      <c r="BR12" s="842"/>
      <c r="BS12" s="842"/>
      <c r="BT12" s="842"/>
      <c r="BU12" s="842"/>
      <c r="BV12" s="842"/>
      <c r="BW12" s="842"/>
      <c r="BX12" s="842"/>
      <c r="BY12" s="842"/>
      <c r="BZ12" s="842"/>
      <c r="CA12" s="842"/>
      <c r="CB12" s="842"/>
    </row>
    <row r="13" spans="1:80" s="11" customFormat="1" ht="11.25" x14ac:dyDescent="0.2">
      <c r="AT13" s="843" t="s">
        <v>1345</v>
      </c>
      <c r="AU13" s="843"/>
      <c r="AV13" s="843"/>
      <c r="AW13" s="843"/>
      <c r="AX13" s="843"/>
      <c r="AY13" s="843"/>
      <c r="AZ13" s="843"/>
      <c r="BA13" s="843"/>
      <c r="BB13" s="843"/>
      <c r="BC13" s="843"/>
      <c r="BD13" s="843"/>
      <c r="BE13" s="843"/>
      <c r="BF13" s="843"/>
      <c r="BG13" s="843"/>
      <c r="BH13" s="843"/>
      <c r="BI13" s="843"/>
      <c r="BJ13" s="843"/>
      <c r="BK13" s="843"/>
      <c r="BL13" s="843"/>
      <c r="BM13" s="843"/>
      <c r="BN13" s="843"/>
      <c r="BO13" s="843"/>
      <c r="BP13" s="843"/>
      <c r="BQ13" s="843"/>
      <c r="BR13" s="843"/>
      <c r="BS13" s="843"/>
      <c r="BT13" s="843"/>
      <c r="BU13" s="843"/>
      <c r="BV13" s="843"/>
      <c r="BW13" s="843"/>
      <c r="BX13" s="843"/>
      <c r="BY13" s="843"/>
      <c r="BZ13" s="843"/>
      <c r="CA13" s="843"/>
      <c r="CB13" s="843"/>
    </row>
    <row r="14" spans="1:80" ht="6.75" customHeight="1" x14ac:dyDescent="0.2"/>
    <row r="15" spans="1:80" ht="6.75" customHeight="1" x14ac:dyDescent="0.2"/>
    <row r="16" spans="1:80" s="19" customFormat="1" ht="15.75" customHeight="1" x14ac:dyDescent="0.25">
      <c r="A16" s="931" t="s">
        <v>1236</v>
      </c>
      <c r="B16" s="931"/>
      <c r="C16" s="931"/>
      <c r="D16" s="931"/>
      <c r="E16" s="931"/>
      <c r="F16" s="931"/>
      <c r="G16" s="931"/>
      <c r="H16" s="931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931"/>
      <c r="AH16" s="931"/>
      <c r="AI16" s="931"/>
      <c r="AJ16" s="931"/>
      <c r="AK16" s="931"/>
      <c r="AL16" s="931"/>
      <c r="AM16" s="931"/>
      <c r="AN16" s="931"/>
      <c r="AO16" s="931"/>
      <c r="AP16" s="931"/>
      <c r="AQ16" s="931"/>
      <c r="AR16" s="931"/>
      <c r="AS16" s="931"/>
      <c r="AT16" s="931"/>
      <c r="AU16" s="931"/>
      <c r="AV16" s="931"/>
      <c r="AW16" s="931"/>
      <c r="AX16" s="931"/>
      <c r="AY16" s="931"/>
      <c r="AZ16" s="931"/>
      <c r="BA16" s="931"/>
      <c r="BB16" s="931"/>
      <c r="BC16" s="931"/>
      <c r="BD16" s="931"/>
      <c r="BE16" s="931"/>
      <c r="BF16" s="931"/>
      <c r="BG16" s="931"/>
      <c r="BH16" s="931"/>
      <c r="BI16" s="931"/>
      <c r="BJ16" s="931"/>
      <c r="BK16" s="931"/>
      <c r="BL16" s="931"/>
      <c r="BM16" s="931"/>
      <c r="BN16" s="931"/>
      <c r="BO16" s="931"/>
      <c r="BP16" s="931"/>
      <c r="BQ16" s="931"/>
      <c r="BR16" s="931"/>
      <c r="BS16" s="931"/>
      <c r="BT16" s="931"/>
      <c r="BU16" s="931"/>
      <c r="BV16" s="931"/>
      <c r="BW16" s="931"/>
      <c r="BX16" s="931"/>
      <c r="BY16" s="931"/>
      <c r="BZ16" s="931"/>
      <c r="CA16" s="931"/>
      <c r="CB16" s="931"/>
    </row>
    <row r="17" spans="1:80" s="19" customFormat="1" ht="15.75" x14ac:dyDescent="0.25">
      <c r="A17" s="931" t="s">
        <v>1245</v>
      </c>
      <c r="B17" s="851"/>
      <c r="C17" s="851"/>
      <c r="D17" s="851"/>
      <c r="E17" s="851"/>
      <c r="F17" s="851"/>
      <c r="G17" s="851"/>
      <c r="H17" s="851"/>
      <c r="I17" s="851"/>
      <c r="J17" s="851"/>
      <c r="K17" s="851"/>
      <c r="L17" s="851"/>
      <c r="M17" s="851"/>
      <c r="N17" s="851"/>
      <c r="O17" s="851"/>
      <c r="P17" s="851"/>
      <c r="Q17" s="851"/>
      <c r="R17" s="851"/>
      <c r="S17" s="851"/>
      <c r="T17" s="851"/>
      <c r="U17" s="851"/>
      <c r="V17" s="851"/>
      <c r="W17" s="851"/>
      <c r="X17" s="851"/>
      <c r="Y17" s="851"/>
      <c r="Z17" s="851"/>
      <c r="AA17" s="851"/>
      <c r="AB17" s="851"/>
      <c r="AC17" s="851"/>
      <c r="AD17" s="851"/>
      <c r="AE17" s="851"/>
      <c r="AF17" s="851"/>
      <c r="AG17" s="851"/>
      <c r="AH17" s="851"/>
      <c r="AI17" s="851"/>
      <c r="AJ17" s="851"/>
      <c r="AK17" s="851"/>
      <c r="AL17" s="851"/>
      <c r="AM17" s="851"/>
      <c r="AN17" s="851"/>
      <c r="AO17" s="851"/>
      <c r="AP17" s="851"/>
      <c r="AQ17" s="851"/>
      <c r="AR17" s="851"/>
      <c r="AS17" s="851"/>
      <c r="AT17" s="851"/>
      <c r="AU17" s="851"/>
      <c r="AV17" s="851"/>
      <c r="AW17" s="851"/>
      <c r="AX17" s="851"/>
      <c r="AY17" s="851"/>
      <c r="AZ17" s="851"/>
      <c r="BA17" s="851"/>
      <c r="BB17" s="851"/>
      <c r="BC17" s="851"/>
      <c r="BD17" s="851"/>
      <c r="BE17" s="851"/>
      <c r="BF17" s="851"/>
      <c r="BG17" s="851"/>
      <c r="BH17" s="851"/>
      <c r="BI17" s="851"/>
      <c r="BJ17" s="851"/>
      <c r="BK17" s="851"/>
      <c r="BL17" s="851"/>
      <c r="BM17" s="851"/>
      <c r="BN17" s="851"/>
      <c r="BO17" s="851"/>
      <c r="BP17" s="851"/>
      <c r="BQ17" s="851"/>
      <c r="BR17" s="851"/>
      <c r="BS17" s="851"/>
      <c r="BT17" s="851"/>
      <c r="BU17" s="851"/>
      <c r="BV17" s="851"/>
      <c r="BW17" s="851"/>
      <c r="BX17" s="851"/>
      <c r="BY17" s="851"/>
      <c r="BZ17" s="851"/>
      <c r="CA17" s="851"/>
      <c r="CB17" s="851"/>
    </row>
    <row r="18" spans="1:80" s="19" customFormat="1" ht="15.75" hidden="1" x14ac:dyDescent="0.25">
      <c r="A18" s="929"/>
      <c r="B18" s="929"/>
      <c r="C18" s="929"/>
      <c r="D18" s="929"/>
      <c r="E18" s="929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29"/>
      <c r="Q18" s="929"/>
      <c r="R18" s="929"/>
      <c r="S18" s="929"/>
      <c r="T18" s="929"/>
      <c r="U18" s="929"/>
      <c r="V18" s="929"/>
      <c r="W18" s="929"/>
      <c r="X18" s="929"/>
      <c r="Y18" s="929"/>
      <c r="Z18" s="929"/>
      <c r="AA18" s="929"/>
      <c r="AB18" s="929"/>
      <c r="AC18" s="929"/>
      <c r="AD18" s="929"/>
      <c r="AE18" s="929"/>
      <c r="AF18" s="929"/>
      <c r="AG18" s="929"/>
      <c r="AH18" s="929"/>
      <c r="AI18" s="929"/>
      <c r="AJ18" s="929"/>
      <c r="AK18" s="929"/>
      <c r="AL18" s="929"/>
      <c r="AM18" s="929"/>
      <c r="AN18" s="929"/>
      <c r="AO18" s="929"/>
      <c r="AP18" s="929"/>
      <c r="AQ18" s="929"/>
      <c r="AR18" s="929"/>
      <c r="AS18" s="929"/>
      <c r="AT18" s="929"/>
      <c r="AU18" s="929"/>
      <c r="AV18" s="929"/>
      <c r="AW18" s="929"/>
      <c r="AX18" s="929"/>
      <c r="AY18" s="929"/>
      <c r="AZ18" s="929"/>
      <c r="BA18" s="929"/>
      <c r="BB18" s="929"/>
      <c r="BC18" s="929"/>
      <c r="BD18" s="929"/>
      <c r="BE18" s="929"/>
      <c r="BF18" s="929"/>
      <c r="BG18" s="929"/>
      <c r="BH18" s="929"/>
      <c r="BI18" s="929"/>
      <c r="BJ18" s="929"/>
      <c r="BK18" s="929"/>
      <c r="BL18" s="929"/>
      <c r="BM18" s="929"/>
      <c r="BN18" s="929"/>
      <c r="BO18" s="929"/>
      <c r="BP18" s="929"/>
      <c r="BQ18" s="929"/>
      <c r="BR18" s="929"/>
      <c r="BS18" s="929"/>
      <c r="BT18" s="929"/>
      <c r="BU18" s="929"/>
      <c r="BV18" s="929"/>
      <c r="BW18" s="929"/>
      <c r="BX18" s="929"/>
      <c r="BY18" s="929"/>
      <c r="BZ18" s="929"/>
      <c r="CA18" s="929"/>
      <c r="CB18" s="929"/>
    </row>
    <row r="20" spans="1:80" s="11" customFormat="1" ht="11.25" x14ac:dyDescent="0.2">
      <c r="A20" s="57" t="s">
        <v>27</v>
      </c>
    </row>
    <row r="21" spans="1:80" s="11" customFormat="1" ht="11.25" x14ac:dyDescent="0.2">
      <c r="A21" s="11" t="s">
        <v>345</v>
      </c>
    </row>
    <row r="22" spans="1:80" s="11" customFormat="1" ht="27" hidden="1" customHeight="1" x14ac:dyDescent="0.2">
      <c r="A22" s="825" t="str">
        <f>IF(AND('Данные объект'!B36="",'Данные объект'!B33="",'Данные объект'!B37=""),"",CONCATENATE(IF('Данные объект'!B36="","",'Данные объект'!B36),", ",IF('Данные объект'!B33="","",'Данные объект'!B33)," - ",IF('Данные объект'!B37="","",'Данные объект'!B37)))</f>
      </c>
      <c r="B22" s="825"/>
      <c r="C22" s="825"/>
      <c r="D22" s="825"/>
      <c r="E22" s="825"/>
      <c r="F22" s="825"/>
      <c r="G22" s="825"/>
      <c r="H22" s="825"/>
      <c r="I22" s="825"/>
      <c r="J22" s="825"/>
      <c r="K22" s="825"/>
      <c r="L22" s="825"/>
      <c r="M22" s="825"/>
      <c r="N22" s="825"/>
      <c r="O22" s="825"/>
      <c r="P22" s="825"/>
      <c r="Q22" s="825"/>
      <c r="R22" s="825"/>
      <c r="S22" s="825"/>
      <c r="T22" s="825"/>
      <c r="U22" s="825"/>
      <c r="V22" s="825"/>
      <c r="W22" s="825"/>
      <c r="X22" s="825"/>
      <c r="Y22" s="825"/>
      <c r="Z22" s="825"/>
      <c r="AA22" s="825"/>
      <c r="AB22" s="825"/>
      <c r="AC22" s="825"/>
      <c r="AD22" s="825"/>
      <c r="AE22" s="825"/>
      <c r="AF22" s="825"/>
      <c r="AG22" s="825"/>
      <c r="AH22" s="825"/>
      <c r="AI22" s="825"/>
      <c r="AJ22" s="825"/>
      <c r="AK22" s="825"/>
      <c r="AL22" s="825"/>
      <c r="AM22" s="825"/>
      <c r="AN22" s="825"/>
      <c r="AO22" s="825"/>
      <c r="AP22" s="825"/>
      <c r="AQ22" s="825"/>
      <c r="AR22" s="825"/>
      <c r="AS22" s="825"/>
      <c r="AT22" s="825"/>
      <c r="AU22" s="825"/>
      <c r="AV22" s="825"/>
      <c r="AW22" s="825"/>
      <c r="AX22" s="825"/>
      <c r="AY22" s="825"/>
      <c r="AZ22" s="825"/>
      <c r="BA22" s="825"/>
      <c r="BB22" s="825"/>
      <c r="BC22" s="825"/>
      <c r="BD22" s="825"/>
      <c r="BE22" s="825"/>
      <c r="BF22" s="825"/>
      <c r="BG22" s="825"/>
      <c r="BH22" s="825"/>
      <c r="BI22" s="825"/>
      <c r="BJ22" s="825"/>
      <c r="BK22" s="825"/>
      <c r="BL22" s="825"/>
      <c r="BM22" s="825"/>
      <c r="BN22" s="825"/>
      <c r="BO22" s="825"/>
      <c r="BP22" s="825"/>
      <c r="BQ22" s="825"/>
      <c r="BR22" s="825"/>
      <c r="BS22" s="825"/>
      <c r="BT22" s="825"/>
      <c r="BU22" s="825"/>
      <c r="BV22" s="825"/>
      <c r="BW22" s="825"/>
      <c r="BX22" s="825"/>
      <c r="BY22" s="825"/>
      <c r="BZ22" s="825"/>
    </row>
    <row r="23" spans="1:80" s="71" customFormat="1" ht="11.25" hidden="1" x14ac:dyDescent="0.25">
      <c r="A23" s="832" t="s">
        <v>31</v>
      </c>
      <c r="B23" s="832"/>
      <c r="C23" s="832"/>
      <c r="D23" s="832"/>
      <c r="E23" s="832"/>
      <c r="F23" s="832"/>
      <c r="G23" s="832"/>
      <c r="H23" s="832"/>
      <c r="I23" s="832"/>
      <c r="J23" s="832"/>
      <c r="K23" s="832"/>
      <c r="L23" s="83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  <c r="Z23" s="832"/>
      <c r="AA23" s="832"/>
      <c r="AB23" s="832"/>
      <c r="AC23" s="832"/>
      <c r="AD23" s="832"/>
      <c r="AE23" s="832"/>
      <c r="AF23" s="832"/>
      <c r="AG23" s="832"/>
      <c r="AH23" s="832"/>
      <c r="AI23" s="832"/>
      <c r="AJ23" s="832"/>
      <c r="AK23" s="832"/>
      <c r="AL23" s="832"/>
      <c r="AM23" s="832"/>
      <c r="AN23" s="832"/>
      <c r="AO23" s="832"/>
      <c r="AP23" s="832"/>
      <c r="AQ23" s="832"/>
      <c r="AR23" s="832"/>
      <c r="AS23" s="832"/>
      <c r="AT23" s="832"/>
      <c r="AU23" s="832"/>
      <c r="AV23" s="832"/>
      <c r="AW23" s="832"/>
      <c r="AX23" s="832"/>
      <c r="AY23" s="832"/>
      <c r="AZ23" s="832"/>
      <c r="BA23" s="832"/>
      <c r="BB23" s="832"/>
      <c r="BC23" s="832"/>
      <c r="BD23" s="832"/>
      <c r="BE23" s="832"/>
      <c r="BF23" s="832"/>
      <c r="BG23" s="832"/>
      <c r="BH23" s="832"/>
      <c r="BI23" s="832"/>
      <c r="BJ23" s="832"/>
      <c r="BK23" s="832"/>
      <c r="BL23" s="832"/>
      <c r="BM23" s="832"/>
      <c r="BN23" s="832"/>
      <c r="BO23" s="832"/>
      <c r="BP23" s="832"/>
      <c r="BQ23" s="832"/>
      <c r="BR23" s="832"/>
      <c r="BS23" s="832"/>
      <c r="BT23" s="832"/>
      <c r="BU23" s="832"/>
      <c r="BV23" s="832"/>
      <c r="BW23" s="832"/>
      <c r="BX23" s="832"/>
      <c r="BY23" s="832"/>
      <c r="BZ23" s="832"/>
    </row>
    <row r="24" spans="1:80" s="71" customFormat="1" ht="11.25" x14ac:dyDescent="0.2">
      <c r="A24" s="825" t="str">
        <f>IF('Данные объект'!C42="","",'Данные объект'!C42)</f>
      </c>
      <c r="B24" s="825"/>
      <c r="C24" s="825"/>
      <c r="D24" s="825"/>
      <c r="E24" s="825"/>
      <c r="F24" s="825"/>
      <c r="G24" s="825"/>
      <c r="H24" s="825"/>
      <c r="I24" s="825"/>
      <c r="J24" s="825"/>
      <c r="K24" s="825"/>
      <c r="L24" s="825"/>
      <c r="M24" s="825"/>
      <c r="N24" s="825"/>
      <c r="O24" s="825"/>
      <c r="P24" s="825"/>
      <c r="Q24" s="825"/>
      <c r="R24" s="825"/>
      <c r="S24" s="825"/>
      <c r="T24" s="825"/>
      <c r="U24" s="825"/>
      <c r="V24" s="825"/>
      <c r="W24" s="825"/>
      <c r="X24" s="825"/>
      <c r="Y24" s="825"/>
      <c r="Z24" s="825"/>
      <c r="AA24" s="825"/>
      <c r="AB24" s="825"/>
      <c r="AC24" s="825"/>
      <c r="AD24" s="825"/>
      <c r="AE24" s="825"/>
      <c r="AF24" s="825"/>
      <c r="AG24" s="825"/>
      <c r="AH24" s="825"/>
      <c r="AI24" s="825"/>
      <c r="AJ24" s="825"/>
      <c r="AK24" s="825"/>
      <c r="AL24" s="825"/>
      <c r="AM24" s="825"/>
      <c r="AN24" s="825"/>
      <c r="AO24" s="825"/>
      <c r="AP24" s="825"/>
      <c r="AQ24" s="825"/>
      <c r="AR24" s="825"/>
      <c r="AS24" s="825"/>
      <c r="AT24" s="825"/>
      <c r="AU24" s="825"/>
      <c r="AV24" s="825"/>
      <c r="AW24" s="825"/>
      <c r="AX24" s="825"/>
      <c r="AY24" s="825"/>
      <c r="AZ24" s="825"/>
      <c r="BA24" s="825"/>
      <c r="BB24" s="825"/>
      <c r="BC24" s="825"/>
      <c r="BD24" s="825"/>
      <c r="BE24" s="825"/>
      <c r="BF24" s="825"/>
      <c r="BG24" s="825"/>
      <c r="BH24" s="825"/>
      <c r="BI24" s="825"/>
      <c r="BJ24" s="825"/>
      <c r="BK24" s="825"/>
      <c r="BL24" s="825"/>
      <c r="BM24" s="825"/>
      <c r="BN24" s="825"/>
      <c r="BO24" s="825"/>
      <c r="BP24" s="825"/>
      <c r="BQ24" s="825"/>
      <c r="BR24" s="825"/>
      <c r="BS24" s="825"/>
      <c r="BT24" s="825"/>
      <c r="BU24" s="825"/>
      <c r="BV24" s="825"/>
      <c r="BW24" s="825"/>
      <c r="BX24" s="825"/>
      <c r="BY24" s="825"/>
      <c r="BZ24" s="825"/>
    </row>
    <row r="25" spans="1:80" s="71" customFormat="1" ht="11.25" x14ac:dyDescent="0.25">
      <c r="A25" s="832" t="s">
        <v>31</v>
      </c>
      <c r="B25" s="832"/>
      <c r="C25" s="832"/>
      <c r="D25" s="832"/>
      <c r="E25" s="832"/>
      <c r="F25" s="832"/>
      <c r="G25" s="832"/>
      <c r="H25" s="832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32"/>
      <c r="T25" s="832"/>
      <c r="U25" s="832"/>
      <c r="V25" s="832"/>
      <c r="W25" s="832"/>
      <c r="X25" s="832"/>
      <c r="Y25" s="832"/>
      <c r="Z25" s="832"/>
      <c r="AA25" s="832"/>
      <c r="AB25" s="832"/>
      <c r="AC25" s="832"/>
      <c r="AD25" s="832"/>
      <c r="AE25" s="832"/>
      <c r="AF25" s="832"/>
      <c r="AG25" s="832"/>
      <c r="AH25" s="832"/>
      <c r="AI25" s="832"/>
      <c r="AJ25" s="832"/>
      <c r="AK25" s="832"/>
      <c r="AL25" s="832"/>
      <c r="AM25" s="832"/>
      <c r="AN25" s="832"/>
      <c r="AO25" s="832"/>
      <c r="AP25" s="832"/>
      <c r="AQ25" s="832"/>
      <c r="AR25" s="832"/>
      <c r="AS25" s="832"/>
      <c r="AT25" s="832"/>
      <c r="AU25" s="832"/>
      <c r="AV25" s="832"/>
      <c r="AW25" s="832"/>
      <c r="AX25" s="832"/>
      <c r="AY25" s="832"/>
      <c r="AZ25" s="832"/>
      <c r="BA25" s="832"/>
      <c r="BB25" s="832"/>
      <c r="BC25" s="832"/>
      <c r="BD25" s="832"/>
      <c r="BE25" s="832"/>
      <c r="BF25" s="832"/>
      <c r="BG25" s="832"/>
      <c r="BH25" s="832"/>
      <c r="BI25" s="832"/>
      <c r="BJ25" s="832"/>
      <c r="BK25" s="832"/>
      <c r="BL25" s="832"/>
      <c r="BM25" s="832"/>
      <c r="BN25" s="832"/>
      <c r="BO25" s="832"/>
      <c r="BP25" s="832"/>
      <c r="BQ25" s="832"/>
      <c r="BR25" s="832"/>
      <c r="BS25" s="832"/>
      <c r="BT25" s="832"/>
      <c r="BU25" s="832"/>
      <c r="BV25" s="832"/>
      <c r="BW25" s="832"/>
      <c r="BX25" s="832"/>
      <c r="BY25" s="832"/>
      <c r="BZ25" s="832"/>
    </row>
    <row r="26" spans="1:80" s="11" customFormat="1" ht="11.25" hidden="1" outlineLevel="1" x14ac:dyDescent="0.2">
      <c r="A26" s="11" t="s">
        <v>29</v>
      </c>
    </row>
    <row r="27" spans="1:80" s="11" customFormat="1" ht="11.25" outlineLevel="1" x14ac:dyDescent="0.2">
      <c r="A27" s="926" t="str">
        <f>IF('Данные объект'!C45="","",'Данные объект'!C45)</f>
      </c>
      <c r="B27" s="926"/>
      <c r="C27" s="926"/>
      <c r="D27" s="926"/>
      <c r="E27" s="926"/>
      <c r="F27" s="926"/>
      <c r="G27" s="926"/>
      <c r="H27" s="926"/>
      <c r="I27" s="926"/>
      <c r="J27" s="926"/>
      <c r="K27" s="926"/>
      <c r="L27" s="926"/>
      <c r="M27" s="926"/>
      <c r="N27" s="926"/>
      <c r="O27" s="926"/>
      <c r="P27" s="926"/>
      <c r="Q27" s="926"/>
      <c r="R27" s="926"/>
      <c r="S27" s="926"/>
      <c r="T27" s="926"/>
      <c r="U27" s="926"/>
      <c r="V27" s="926"/>
      <c r="W27" s="926"/>
      <c r="X27" s="926"/>
      <c r="Y27" s="926"/>
      <c r="Z27" s="926"/>
      <c r="AA27" s="926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</row>
    <row r="28" spans="1:80" s="71" customFormat="1" ht="11.25" outlineLevel="1" x14ac:dyDescent="0.25">
      <c r="A28" s="832" t="s">
        <v>31</v>
      </c>
      <c r="B28" s="832"/>
      <c r="C28" s="832"/>
      <c r="D28" s="832"/>
      <c r="E28" s="832"/>
      <c r="F28" s="832"/>
      <c r="G28" s="832"/>
      <c r="H28" s="832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32"/>
      <c r="T28" s="832"/>
      <c r="U28" s="832"/>
      <c r="V28" s="832"/>
      <c r="W28" s="832"/>
      <c r="X28" s="832"/>
      <c r="Y28" s="832"/>
      <c r="Z28" s="832"/>
      <c r="AA28" s="832"/>
      <c r="AB28" s="832"/>
      <c r="AC28" s="832"/>
      <c r="AD28" s="832"/>
      <c r="AE28" s="832"/>
      <c r="AF28" s="832"/>
      <c r="AG28" s="832"/>
      <c r="AH28" s="832"/>
      <c r="AI28" s="832"/>
      <c r="AJ28" s="832"/>
      <c r="AK28" s="832"/>
      <c r="AL28" s="832"/>
      <c r="AM28" s="832"/>
      <c r="AN28" s="832"/>
      <c r="AO28" s="832"/>
      <c r="AP28" s="832"/>
      <c r="AQ28" s="832"/>
      <c r="AR28" s="832"/>
      <c r="AS28" s="832"/>
      <c r="AT28" s="832"/>
      <c r="AU28" s="832"/>
      <c r="AV28" s="832"/>
      <c r="AW28" s="832"/>
      <c r="AX28" s="832"/>
      <c r="AY28" s="832"/>
      <c r="AZ28" s="832"/>
      <c r="BA28" s="832"/>
      <c r="BB28" s="832"/>
      <c r="BC28" s="832"/>
      <c r="BD28" s="832"/>
      <c r="BE28" s="832"/>
      <c r="BF28" s="832"/>
      <c r="BG28" s="832"/>
      <c r="BH28" s="832"/>
      <c r="BI28" s="832"/>
      <c r="BJ28" s="832"/>
      <c r="BK28" s="832"/>
      <c r="BL28" s="832"/>
      <c r="BM28" s="832"/>
      <c r="BN28" s="832"/>
      <c r="BO28" s="832"/>
      <c r="BP28" s="832"/>
      <c r="BQ28" s="832"/>
      <c r="BR28" s="832"/>
      <c r="BS28" s="832"/>
      <c r="BT28" s="832"/>
      <c r="BU28" s="832"/>
      <c r="BV28" s="832"/>
      <c r="BW28" s="832"/>
      <c r="BX28" s="832"/>
      <c r="BY28" s="832"/>
      <c r="BZ28" s="832"/>
    </row>
    <row r="29" spans="1:80" s="71" customFormat="1" ht="11.25" hidden="1" outlineLevel="1" x14ac:dyDescent="0.25"/>
    <row r="30" spans="1:80" s="71" customFormat="1" ht="11.25" hidden="1" outlineLevel="1" x14ac:dyDescent="0.25">
      <c r="A30" s="930"/>
      <c r="B30" s="930"/>
      <c r="C30" s="930"/>
      <c r="D30" s="930"/>
      <c r="E30" s="930"/>
      <c r="F30" s="930"/>
      <c r="G30" s="930"/>
      <c r="H30" s="930"/>
      <c r="I30" s="930"/>
      <c r="J30" s="930"/>
      <c r="K30" s="930"/>
      <c r="L30" s="930"/>
      <c r="M30" s="930"/>
      <c r="N30" s="930"/>
      <c r="O30" s="930"/>
      <c r="P30" s="930"/>
      <c r="Q30" s="930"/>
      <c r="R30" s="930"/>
      <c r="S30" s="930"/>
      <c r="T30" s="930"/>
      <c r="U30" s="930"/>
      <c r="V30" s="930"/>
      <c r="W30" s="930"/>
      <c r="X30" s="930"/>
      <c r="Y30" s="930"/>
      <c r="Z30" s="930"/>
      <c r="AA30" s="930"/>
      <c r="AB30" s="930"/>
      <c r="AC30" s="930"/>
      <c r="AD30" s="930"/>
      <c r="AE30" s="930"/>
      <c r="AF30" s="930"/>
      <c r="AG30" s="930"/>
      <c r="AH30" s="930"/>
      <c r="AI30" s="930"/>
      <c r="AJ30" s="930"/>
      <c r="AK30" s="930"/>
      <c r="AL30" s="930"/>
      <c r="AM30" s="930"/>
      <c r="AN30" s="930"/>
      <c r="AO30" s="930"/>
      <c r="AP30" s="930"/>
      <c r="AQ30" s="930"/>
      <c r="AR30" s="930"/>
      <c r="AS30" s="930"/>
      <c r="AT30" s="930"/>
      <c r="AU30" s="930"/>
      <c r="AV30" s="930"/>
      <c r="AW30" s="930"/>
      <c r="AX30" s="930"/>
      <c r="AY30" s="930"/>
      <c r="AZ30" s="930"/>
      <c r="BA30" s="930"/>
      <c r="BB30" s="930"/>
      <c r="BC30" s="930"/>
      <c r="BD30" s="930"/>
      <c r="BE30" s="930"/>
      <c r="BF30" s="930"/>
      <c r="BG30" s="930"/>
      <c r="BH30" s="930"/>
      <c r="BI30" s="930"/>
      <c r="BJ30" s="930"/>
      <c r="BK30" s="930"/>
      <c r="BL30" s="930"/>
      <c r="BM30" s="930"/>
      <c r="BN30" s="930"/>
      <c r="BO30" s="930"/>
      <c r="BP30" s="930"/>
      <c r="BQ30" s="930"/>
      <c r="BR30" s="930"/>
      <c r="BS30" s="930"/>
      <c r="BT30" s="930"/>
      <c r="BU30" s="930"/>
      <c r="BV30" s="930"/>
      <c r="BW30" s="930"/>
      <c r="BX30" s="930"/>
      <c r="BY30" s="930"/>
      <c r="BZ30" s="930"/>
      <c r="CA30" s="930"/>
      <c r="CB30" s="930"/>
    </row>
    <row r="31" spans="1:80" s="71" customFormat="1" ht="11.25" hidden="1" outlineLevel="1" x14ac:dyDescent="0.25">
      <c r="A31" s="832" t="s">
        <v>31</v>
      </c>
      <c r="B31" s="832"/>
      <c r="C31" s="832"/>
      <c r="D31" s="832"/>
      <c r="E31" s="832"/>
      <c r="F31" s="832"/>
      <c r="G31" s="832"/>
      <c r="H31" s="832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32"/>
      <c r="T31" s="832"/>
      <c r="U31" s="832"/>
      <c r="V31" s="832"/>
      <c r="W31" s="832"/>
      <c r="X31" s="832"/>
      <c r="Y31" s="832"/>
      <c r="Z31" s="832"/>
      <c r="AA31" s="832"/>
      <c r="AB31" s="832"/>
      <c r="AC31" s="832"/>
      <c r="AD31" s="832"/>
      <c r="AE31" s="832"/>
      <c r="AF31" s="832"/>
      <c r="AG31" s="832"/>
      <c r="AH31" s="832"/>
      <c r="AI31" s="832"/>
      <c r="AJ31" s="832"/>
      <c r="AK31" s="832"/>
      <c r="AL31" s="832"/>
      <c r="AM31" s="832"/>
      <c r="AN31" s="832"/>
      <c r="AO31" s="832"/>
      <c r="AP31" s="832"/>
      <c r="AQ31" s="832"/>
      <c r="AR31" s="832"/>
      <c r="AS31" s="832"/>
      <c r="AT31" s="832"/>
      <c r="AU31" s="832"/>
      <c r="AV31" s="832"/>
      <c r="AW31" s="832"/>
      <c r="AX31" s="832"/>
      <c r="AY31" s="832"/>
      <c r="AZ31" s="832"/>
      <c r="BA31" s="832"/>
      <c r="BB31" s="832"/>
      <c r="BC31" s="832"/>
      <c r="BD31" s="832"/>
      <c r="BE31" s="832"/>
      <c r="BF31" s="832"/>
      <c r="BG31" s="832"/>
      <c r="BH31" s="832"/>
      <c r="BI31" s="832"/>
      <c r="BJ31" s="832"/>
      <c r="BK31" s="832"/>
      <c r="BL31" s="832"/>
      <c r="BM31" s="832"/>
      <c r="BN31" s="832"/>
      <c r="BO31" s="832"/>
      <c r="BP31" s="832"/>
      <c r="BQ31" s="832"/>
      <c r="BR31" s="832"/>
      <c r="BS31" s="832"/>
      <c r="BT31" s="832"/>
      <c r="BU31" s="832"/>
      <c r="BV31" s="832"/>
      <c r="BW31" s="832"/>
      <c r="BX31" s="832"/>
      <c r="BY31" s="832"/>
      <c r="BZ31" s="832"/>
      <c r="CA31" s="832"/>
      <c r="CB31" s="832"/>
    </row>
    <row r="32" spans="1:80" s="71" customFormat="1" ht="13.5" hidden="1" customHeight="1" outlineLevel="1" x14ac:dyDescent="0.2">
      <c r="A32" s="11" t="s">
        <v>354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</row>
    <row r="33" spans="1:80" s="11" customFormat="1" ht="11.25" hidden="1" x14ac:dyDescent="0.2">
      <c r="A33" s="927"/>
      <c r="B33" s="927"/>
      <c r="C33" s="927"/>
      <c r="D33" s="927"/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7"/>
      <c r="AF33" s="927"/>
      <c r="AG33" s="927"/>
      <c r="AH33" s="927"/>
      <c r="AI33" s="927"/>
      <c r="AJ33" s="927"/>
      <c r="AK33" s="927"/>
      <c r="AL33" s="927"/>
      <c r="AM33" s="927"/>
      <c r="AN33" s="927"/>
      <c r="AO33" s="927"/>
      <c r="AP33" s="927"/>
      <c r="AQ33" s="927"/>
      <c r="AR33" s="927"/>
      <c r="AS33" s="927"/>
      <c r="AT33" s="927"/>
      <c r="AU33" s="927"/>
      <c r="AV33" s="927"/>
      <c r="AW33" s="927"/>
      <c r="AX33" s="927"/>
      <c r="AY33" s="927"/>
      <c r="AZ33" s="927"/>
      <c r="BA33" s="927"/>
      <c r="BB33" s="927"/>
      <c r="BC33" s="927"/>
      <c r="BD33" s="927"/>
      <c r="BE33" s="927"/>
      <c r="BF33" s="927"/>
      <c r="BG33" s="927"/>
      <c r="BH33" s="927"/>
      <c r="BI33" s="927"/>
      <c r="BJ33" s="927"/>
      <c r="BK33" s="927"/>
      <c r="BL33" s="927"/>
      <c r="BM33" s="927"/>
      <c r="BN33" s="927"/>
      <c r="BO33" s="927"/>
      <c r="BP33" s="927"/>
      <c r="BQ33" s="927"/>
      <c r="BR33" s="927"/>
      <c r="BS33" s="927"/>
      <c r="BT33" s="927"/>
      <c r="BU33" s="927"/>
      <c r="BV33" s="927"/>
      <c r="BW33" s="927"/>
      <c r="BX33" s="927"/>
      <c r="BY33" s="927"/>
      <c r="BZ33" s="927"/>
    </row>
    <row r="34" spans="1:80" s="71" customFormat="1" ht="9.75" hidden="1" customHeight="1" outlineLevel="1" x14ac:dyDescent="0.25">
      <c r="A34" s="832" t="s">
        <v>31</v>
      </c>
      <c r="B34" s="832"/>
      <c r="C34" s="832"/>
      <c r="D34" s="832"/>
      <c r="E34" s="832"/>
      <c r="F34" s="832"/>
      <c r="G34" s="832"/>
      <c r="H34" s="832"/>
      <c r="I34" s="832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832"/>
      <c r="V34" s="832"/>
      <c r="W34" s="832"/>
      <c r="X34" s="832"/>
      <c r="Y34" s="832"/>
      <c r="Z34" s="832"/>
      <c r="AA34" s="832"/>
      <c r="AB34" s="832"/>
      <c r="AC34" s="832"/>
      <c r="AD34" s="832"/>
      <c r="AE34" s="832"/>
      <c r="AF34" s="832"/>
      <c r="AG34" s="832"/>
      <c r="AH34" s="832"/>
      <c r="AI34" s="832"/>
      <c r="AJ34" s="832"/>
      <c r="AK34" s="832"/>
      <c r="AL34" s="832"/>
      <c r="AM34" s="832"/>
      <c r="AN34" s="832"/>
      <c r="AO34" s="832"/>
      <c r="AP34" s="832"/>
      <c r="AQ34" s="832"/>
      <c r="AR34" s="832"/>
      <c r="AS34" s="832"/>
      <c r="AT34" s="832"/>
      <c r="AU34" s="832"/>
      <c r="AV34" s="832"/>
      <c r="AW34" s="832"/>
      <c r="AX34" s="832"/>
      <c r="AY34" s="832"/>
      <c r="AZ34" s="832"/>
      <c r="BA34" s="832"/>
      <c r="BB34" s="832"/>
      <c r="BC34" s="832"/>
      <c r="BD34" s="832"/>
      <c r="BE34" s="832"/>
      <c r="BF34" s="832"/>
      <c r="BG34" s="832"/>
      <c r="BH34" s="832"/>
      <c r="BI34" s="832"/>
      <c r="BJ34" s="832"/>
      <c r="BK34" s="832"/>
      <c r="BL34" s="832"/>
      <c r="BM34" s="832"/>
      <c r="BN34" s="832"/>
      <c r="BO34" s="832"/>
      <c r="BP34" s="832"/>
      <c r="BQ34" s="832"/>
      <c r="BR34" s="832"/>
      <c r="BS34" s="832"/>
      <c r="BT34" s="832"/>
      <c r="BU34" s="832"/>
      <c r="BV34" s="832"/>
      <c r="BW34" s="832"/>
      <c r="BX34" s="832"/>
      <c r="BY34" s="832"/>
      <c r="BZ34" s="832"/>
    </row>
    <row r="35" spans="1:80" s="11" customFormat="1" ht="11.25" collapsed="1" x14ac:dyDescent="0.2">
      <c r="A35" s="11" t="s">
        <v>30</v>
      </c>
    </row>
    <row r="36" spans="1:80" s="11" customFormat="1" ht="11.25" x14ac:dyDescent="0.2">
      <c r="A36" s="926" t="str">
        <f>IF('Данные объект'!C28="","",'Данные объект'!C28)</f>
      </c>
      <c r="B36" s="926"/>
      <c r="C36" s="926"/>
      <c r="D36" s="926"/>
      <c r="E36" s="926"/>
      <c r="F36" s="926"/>
      <c r="G36" s="926"/>
      <c r="H36" s="926"/>
      <c r="I36" s="926"/>
      <c r="J36" s="926"/>
      <c r="K36" s="926"/>
      <c r="L36" s="926"/>
      <c r="M36" s="926"/>
      <c r="N36" s="926"/>
      <c r="O36" s="926"/>
      <c r="P36" s="926"/>
      <c r="Q36" s="926"/>
      <c r="R36" s="926"/>
      <c r="S36" s="926"/>
      <c r="T36" s="926"/>
      <c r="U36" s="926"/>
      <c r="V36" s="926"/>
      <c r="W36" s="926"/>
      <c r="X36" s="926"/>
      <c r="Y36" s="926"/>
      <c r="Z36" s="926"/>
      <c r="AA36" s="926"/>
      <c r="AB36" s="926"/>
      <c r="AC36" s="926"/>
      <c r="AD36" s="926"/>
      <c r="AE36" s="926"/>
      <c r="AF36" s="926"/>
      <c r="AG36" s="926"/>
      <c r="AH36" s="926"/>
      <c r="AI36" s="926"/>
      <c r="AJ36" s="926"/>
      <c r="AK36" s="926"/>
      <c r="AL36" s="926"/>
      <c r="AM36" s="926"/>
      <c r="AN36" s="926"/>
      <c r="AO36" s="926"/>
      <c r="AP36" s="926"/>
      <c r="AQ36" s="926"/>
      <c r="AR36" s="926"/>
      <c r="AS36" s="926"/>
      <c r="AT36" s="926"/>
      <c r="AU36" s="926"/>
      <c r="AV36" s="926"/>
      <c r="AW36" s="926"/>
      <c r="AX36" s="926"/>
      <c r="AY36" s="926"/>
      <c r="AZ36" s="926"/>
      <c r="BA36" s="926"/>
      <c r="BB36" s="926"/>
      <c r="BC36" s="926"/>
      <c r="BD36" s="926"/>
      <c r="BE36" s="926"/>
      <c r="BF36" s="926"/>
      <c r="BG36" s="926"/>
      <c r="BH36" s="926"/>
      <c r="BI36" s="926"/>
      <c r="BJ36" s="926"/>
      <c r="BK36" s="926"/>
      <c r="BL36" s="926"/>
      <c r="BM36" s="926"/>
      <c r="BN36" s="926"/>
      <c r="BO36" s="926"/>
      <c r="BP36" s="926"/>
      <c r="BQ36" s="926"/>
      <c r="BR36" s="926"/>
      <c r="BS36" s="926"/>
      <c r="BT36" s="926"/>
      <c r="BU36" s="926"/>
      <c r="BV36" s="926"/>
      <c r="BW36" s="926"/>
      <c r="BX36" s="926"/>
      <c r="BY36" s="926"/>
      <c r="BZ36" s="926"/>
    </row>
    <row r="37" spans="1:80" s="71" customFormat="1" ht="11.25" x14ac:dyDescent="0.25">
      <c r="A37" s="832" t="s">
        <v>31</v>
      </c>
      <c r="B37" s="832"/>
      <c r="C37" s="832"/>
      <c r="D37" s="832"/>
      <c r="E37" s="832"/>
      <c r="F37" s="832"/>
      <c r="G37" s="832"/>
      <c r="H37" s="832"/>
      <c r="I37" s="832"/>
      <c r="J37" s="832"/>
      <c r="K37" s="832"/>
      <c r="L37" s="832"/>
      <c r="M37" s="832"/>
      <c r="N37" s="832"/>
      <c r="O37" s="832"/>
      <c r="P37" s="832"/>
      <c r="Q37" s="832"/>
      <c r="R37" s="832"/>
      <c r="S37" s="832"/>
      <c r="T37" s="832"/>
      <c r="U37" s="832"/>
      <c r="V37" s="832"/>
      <c r="W37" s="832"/>
      <c r="X37" s="832"/>
      <c r="Y37" s="832"/>
      <c r="Z37" s="832"/>
      <c r="AA37" s="832"/>
      <c r="AB37" s="832"/>
      <c r="AC37" s="832"/>
      <c r="AD37" s="832"/>
      <c r="AE37" s="832"/>
      <c r="AF37" s="832"/>
      <c r="AG37" s="832"/>
      <c r="AH37" s="832"/>
      <c r="AI37" s="832"/>
      <c r="AJ37" s="832"/>
      <c r="AK37" s="832"/>
      <c r="AL37" s="832"/>
      <c r="AM37" s="832"/>
      <c r="AN37" s="832"/>
      <c r="AO37" s="832"/>
      <c r="AP37" s="832"/>
      <c r="AQ37" s="832"/>
      <c r="AR37" s="832"/>
      <c r="AS37" s="832"/>
      <c r="AT37" s="832"/>
      <c r="AU37" s="832"/>
      <c r="AV37" s="832"/>
      <c r="AW37" s="832"/>
      <c r="AX37" s="832"/>
      <c r="AY37" s="832"/>
      <c r="AZ37" s="832"/>
      <c r="BA37" s="832"/>
      <c r="BB37" s="832"/>
      <c r="BC37" s="832"/>
      <c r="BD37" s="832"/>
      <c r="BE37" s="832"/>
      <c r="BF37" s="832"/>
      <c r="BG37" s="832"/>
      <c r="BH37" s="832"/>
      <c r="BI37" s="832"/>
      <c r="BJ37" s="832"/>
      <c r="BK37" s="832"/>
      <c r="BL37" s="832"/>
      <c r="BM37" s="832"/>
      <c r="BN37" s="832"/>
      <c r="BO37" s="832"/>
      <c r="BP37" s="832"/>
      <c r="BQ37" s="832"/>
      <c r="BR37" s="832"/>
      <c r="BS37" s="832"/>
      <c r="BT37" s="832"/>
      <c r="BU37" s="832"/>
      <c r="BV37" s="832"/>
      <c r="BW37" s="832"/>
      <c r="BX37" s="832"/>
      <c r="BY37" s="832"/>
      <c r="BZ37" s="832"/>
    </row>
    <row r="38" spans="1:80" s="11" customFormat="1" ht="11.25" x14ac:dyDescent="0.2">
      <c r="A38" s="862" t="s">
        <v>77</v>
      </c>
      <c r="B38" s="862"/>
      <c r="C38" s="862"/>
      <c r="D38" s="862"/>
      <c r="E38" s="862"/>
      <c r="F38" s="862"/>
      <c r="G38" s="862"/>
      <c r="H38" s="862"/>
      <c r="I38" s="862"/>
      <c r="J38" s="862"/>
      <c r="K38" s="862"/>
      <c r="L38" s="862"/>
      <c r="M38" s="862"/>
      <c r="N38" s="862"/>
      <c r="O38" s="862"/>
      <c r="P38" s="862"/>
      <c r="Q38" s="862"/>
      <c r="R38" s="862"/>
      <c r="S38" s="862"/>
      <c r="T38" s="862"/>
      <c r="U38" s="862"/>
      <c r="V38" s="862"/>
      <c r="W38" s="862"/>
      <c r="X38" s="862"/>
      <c r="Y38" s="862"/>
      <c r="Z38" s="862"/>
      <c r="AA38" s="862"/>
      <c r="AB38" s="862"/>
      <c r="AC38" s="862"/>
      <c r="AD38" s="862"/>
      <c r="AE38" s="862"/>
      <c r="AF38" s="862"/>
      <c r="AG38" s="862"/>
      <c r="AH38" s="862"/>
      <c r="AI38" s="862"/>
      <c r="AJ38" s="862"/>
      <c r="AK38" s="862"/>
      <c r="AL38" s="862"/>
      <c r="AM38" s="862"/>
      <c r="AN38" s="862"/>
      <c r="AO38" s="862"/>
      <c r="AP38" s="862"/>
      <c r="AQ38" s="862"/>
      <c r="AR38" s="862"/>
      <c r="AS38" s="862"/>
      <c r="AT38" s="862"/>
      <c r="AU38" s="862"/>
      <c r="AV38" s="862"/>
      <c r="AW38" s="862"/>
      <c r="AX38" s="862"/>
      <c r="AY38" s="862"/>
      <c r="AZ38" s="862"/>
      <c r="BA38" s="862"/>
      <c r="BB38" s="862"/>
      <c r="BC38" s="862"/>
      <c r="BD38" s="862"/>
      <c r="BE38" s="862"/>
      <c r="BF38" s="862"/>
      <c r="BG38" s="862"/>
      <c r="BH38" s="862"/>
      <c r="BI38" s="862"/>
      <c r="BJ38" s="862"/>
      <c r="BK38" s="862"/>
      <c r="BL38" s="862"/>
      <c r="BM38" s="862"/>
      <c r="BN38" s="862"/>
      <c r="BO38" s="862"/>
      <c r="BP38" s="862"/>
      <c r="BQ38" s="862"/>
      <c r="BR38" s="862"/>
      <c r="BS38" s="862"/>
      <c r="BT38" s="862"/>
      <c r="BU38" s="862"/>
      <c r="BV38" s="862"/>
      <c r="BW38" s="862"/>
      <c r="BX38" s="862"/>
      <c r="BY38" s="862"/>
      <c r="BZ38" s="862"/>
      <c r="CA38" s="862"/>
      <c r="CB38" s="862"/>
    </row>
    <row r="39" spans="1:80" s="11" customFormat="1" ht="15.75" customHeight="1" x14ac:dyDescent="0.2">
      <c r="A39" s="11" t="s">
        <v>33</v>
      </c>
      <c r="C39" s="862" t="s">
        <v>78</v>
      </c>
      <c r="D39" s="862"/>
      <c r="E39" s="862"/>
      <c r="F39" s="862"/>
      <c r="G39" s="862"/>
      <c r="H39" s="862"/>
      <c r="I39" s="862"/>
      <c r="J39" s="862"/>
      <c r="K39" s="862"/>
      <c r="L39" s="862"/>
      <c r="M39" s="862"/>
      <c r="N39" s="862"/>
      <c r="O39" s="862"/>
      <c r="P39" s="862"/>
      <c r="Q39" s="862"/>
      <c r="R39" s="862"/>
      <c r="S39" s="862"/>
      <c r="T39" s="862"/>
      <c r="U39" s="862"/>
      <c r="V39" s="862"/>
      <c r="W39" s="862"/>
      <c r="X39" s="862"/>
      <c r="Y39" s="862"/>
      <c r="Z39" s="862"/>
      <c r="AA39" s="862"/>
      <c r="AB39" s="862"/>
      <c r="AC39" s="862"/>
      <c r="AD39" s="862"/>
      <c r="AE39" s="862"/>
      <c r="AF39" s="862"/>
      <c r="AG39" s="862"/>
      <c r="AH39" s="862"/>
      <c r="AI39" s="862"/>
      <c r="AJ39" s="862"/>
      <c r="AK39" s="862"/>
      <c r="AL39" s="862"/>
      <c r="AM39" s="862"/>
      <c r="AN39" s="928" t="str">
        <f>IF('1 '!AK41="","",'1 '!AK41)</f>
      </c>
      <c r="AO39" s="928"/>
      <c r="AP39" s="928"/>
      <c r="AQ39" s="928"/>
      <c r="AR39" s="928"/>
      <c r="AS39" s="928"/>
      <c r="AT39" s="928"/>
      <c r="AU39" s="928"/>
      <c r="AV39" s="928"/>
      <c r="AW39" s="928"/>
      <c r="AX39" s="928"/>
      <c r="AY39" s="928"/>
      <c r="AZ39" s="928"/>
      <c r="BA39" s="928"/>
      <c r="BB39" s="928"/>
      <c r="BC39" s="928"/>
      <c r="BD39" s="928"/>
      <c r="BE39" s="928"/>
      <c r="BF39" s="928"/>
      <c r="BG39" s="928"/>
      <c r="BH39" s="928"/>
      <c r="BI39" s="928"/>
      <c r="BJ39" s="928"/>
      <c r="BK39" s="928"/>
      <c r="BL39" s="928"/>
      <c r="BM39" s="928"/>
      <c r="BN39" s="928"/>
      <c r="BO39" s="928"/>
      <c r="BP39" s="928"/>
      <c r="BQ39" s="928"/>
      <c r="BR39" s="928"/>
      <c r="BS39" s="928"/>
      <c r="BT39" s="928"/>
      <c r="BU39" s="928"/>
      <c r="BV39" s="928"/>
      <c r="BW39" s="928"/>
      <c r="BX39" s="928"/>
      <c r="BY39" s="928"/>
      <c r="BZ39" s="928"/>
      <c r="CA39" s="928"/>
      <c r="CB39" s="928"/>
    </row>
    <row r="40" spans="1:80" s="11" customFormat="1" ht="11.25" x14ac:dyDescent="0.2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490" t="s">
        <v>79</v>
      </c>
      <c r="AO40" s="490"/>
      <c r="AP40" s="490"/>
      <c r="AQ40" s="490"/>
      <c r="AR40" s="490"/>
      <c r="AS40" s="490"/>
      <c r="AT40" s="490"/>
      <c r="AU40" s="490"/>
      <c r="AV40" s="490"/>
      <c r="AW40" s="490"/>
      <c r="AX40" s="490"/>
      <c r="AY40" s="490"/>
      <c r="AZ40" s="490"/>
      <c r="BA40" s="490"/>
      <c r="BB40" s="490"/>
      <c r="BC40" s="490"/>
      <c r="BD40" s="490"/>
      <c r="BE40" s="490"/>
      <c r="BF40" s="490"/>
      <c r="BG40" s="490"/>
      <c r="BH40" s="490"/>
      <c r="BI40" s="490"/>
      <c r="BJ40" s="490"/>
      <c r="BK40" s="490"/>
      <c r="BL40" s="490"/>
      <c r="BM40" s="490"/>
      <c r="BN40" s="490"/>
      <c r="BO40" s="490"/>
      <c r="BP40" s="490"/>
      <c r="BQ40" s="490"/>
      <c r="BR40" s="490"/>
      <c r="BS40" s="490"/>
      <c r="BT40" s="490"/>
      <c r="BU40" s="490"/>
      <c r="BV40" s="490"/>
      <c r="BW40" s="490"/>
      <c r="BX40" s="490"/>
      <c r="BY40" s="490"/>
      <c r="BZ40" s="490"/>
      <c r="CA40" s="490"/>
      <c r="CB40" s="490"/>
    </row>
    <row r="41" spans="1:80" s="11" customFormat="1" ht="24.75" customHeight="1" x14ac:dyDescent="0.2">
      <c r="A41" s="11" t="s">
        <v>36</v>
      </c>
      <c r="C41" s="11" t="s">
        <v>337</v>
      </c>
      <c r="AJ41" s="837"/>
      <c r="AK41" s="837"/>
      <c r="AL41" s="837"/>
      <c r="AM41" s="837"/>
      <c r="AN41" s="837"/>
      <c r="AO41" s="837"/>
      <c r="AP41" s="837"/>
      <c r="AQ41" s="837"/>
      <c r="AR41" s="837"/>
      <c r="AS41" s="837"/>
      <c r="AT41" s="837"/>
      <c r="AU41" s="837"/>
      <c r="AV41" s="837"/>
      <c r="AW41" s="837"/>
      <c r="AX41" s="837"/>
      <c r="AY41" s="837"/>
      <c r="AZ41" s="837"/>
      <c r="BA41" s="837"/>
      <c r="BB41" s="837"/>
      <c r="BC41" s="837"/>
      <c r="BD41" s="837"/>
      <c r="BE41" s="837"/>
      <c r="BF41" s="837"/>
      <c r="BG41" s="837"/>
      <c r="BH41" s="837"/>
      <c r="BI41" s="837"/>
      <c r="BJ41" s="837"/>
      <c r="BK41" s="837"/>
      <c r="BL41" s="837"/>
      <c r="BM41" s="837"/>
      <c r="BN41" s="837"/>
      <c r="BO41" s="837"/>
      <c r="BP41" s="837"/>
      <c r="BQ41" s="837"/>
      <c r="BR41" s="837"/>
      <c r="BS41" s="837"/>
      <c r="BT41" s="837"/>
      <c r="BU41" s="837"/>
      <c r="BV41" s="837"/>
      <c r="BW41" s="837"/>
      <c r="BX41" s="837"/>
      <c r="BY41" s="837"/>
      <c r="BZ41" s="837"/>
      <c r="CA41" s="837"/>
      <c r="CB41" s="837"/>
    </row>
    <row r="42" spans="1:80" s="11" customFormat="1" ht="11.25" x14ac:dyDescent="0.2">
      <c r="A42" s="841" t="str">
        <f>IF('Данные объект'!B56="","",'Данные объект'!B56)</f>
      </c>
      <c r="B42" s="841"/>
      <c r="C42" s="841"/>
      <c r="D42" s="841"/>
      <c r="E42" s="841"/>
      <c r="F42" s="841"/>
      <c r="G42" s="841"/>
      <c r="H42" s="841"/>
      <c r="I42" s="841"/>
      <c r="J42" s="841"/>
      <c r="K42" s="841"/>
      <c r="L42" s="841"/>
      <c r="M42" s="841"/>
      <c r="N42" s="841"/>
      <c r="O42" s="841"/>
      <c r="P42" s="841"/>
      <c r="Q42" s="841"/>
      <c r="R42" s="841"/>
      <c r="S42" s="841"/>
      <c r="T42" s="841"/>
      <c r="U42" s="841"/>
      <c r="V42" s="841"/>
      <c r="W42" s="841"/>
      <c r="X42" s="841"/>
      <c r="Y42" s="841"/>
      <c r="Z42" s="841"/>
      <c r="AA42" s="841"/>
      <c r="AB42" s="841"/>
      <c r="AC42" s="841"/>
      <c r="AD42" s="841"/>
      <c r="AE42" s="841"/>
      <c r="AF42" s="841"/>
      <c r="AG42" s="841"/>
      <c r="AH42" s="841"/>
      <c r="AI42" s="841"/>
      <c r="AJ42" s="841"/>
      <c r="AK42" s="841"/>
      <c r="AL42" s="841"/>
      <c r="AM42" s="841"/>
      <c r="AN42" s="841"/>
      <c r="AO42" s="841"/>
      <c r="AP42" s="841"/>
      <c r="AQ42" s="841"/>
      <c r="AR42" s="841"/>
      <c r="AS42" s="841"/>
      <c r="AT42" s="841"/>
      <c r="AU42" s="841"/>
      <c r="AV42" s="841"/>
      <c r="AW42" s="841"/>
      <c r="AX42" s="841"/>
      <c r="AY42" s="841"/>
      <c r="AZ42" s="841"/>
      <c r="BA42" s="841"/>
      <c r="BB42" s="841"/>
      <c r="BC42" s="841"/>
      <c r="BD42" s="841"/>
      <c r="BE42" s="841"/>
      <c r="BF42" s="841"/>
      <c r="BG42" s="841"/>
      <c r="BH42" s="841"/>
      <c r="BI42" s="841"/>
      <c r="BJ42" s="841"/>
      <c r="BK42" s="841"/>
      <c r="BL42" s="841"/>
      <c r="BM42" s="841"/>
      <c r="BN42" s="841"/>
      <c r="BO42" s="841"/>
      <c r="BP42" s="841"/>
      <c r="BQ42" s="841"/>
      <c r="BR42" s="841"/>
      <c r="BS42" s="841"/>
      <c r="BT42" s="841"/>
      <c r="BU42" s="841"/>
      <c r="BV42" s="841"/>
      <c r="BW42" s="841"/>
      <c r="BX42" s="841"/>
      <c r="BY42" s="841"/>
      <c r="BZ42" s="841"/>
      <c r="CA42" s="841"/>
      <c r="CB42" s="841"/>
    </row>
    <row r="43" spans="1:80" s="11" customFormat="1" ht="11.25" x14ac:dyDescent="0.2">
      <c r="A43" s="490" t="s">
        <v>80</v>
      </c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  <c r="S43" s="490"/>
      <c r="T43" s="490"/>
      <c r="U43" s="490"/>
      <c r="V43" s="490"/>
      <c r="W43" s="490"/>
      <c r="X43" s="490"/>
      <c r="Y43" s="490"/>
      <c r="Z43" s="490"/>
      <c r="AA43" s="490"/>
      <c r="AB43" s="490"/>
      <c r="AC43" s="490"/>
      <c r="AD43" s="490"/>
      <c r="AE43" s="490"/>
      <c r="AF43" s="490"/>
      <c r="AG43" s="490"/>
      <c r="AH43" s="490"/>
      <c r="AI43" s="490"/>
      <c r="AJ43" s="490"/>
      <c r="AK43" s="490"/>
      <c r="AL43" s="490"/>
      <c r="AM43" s="490"/>
      <c r="AN43" s="490"/>
      <c r="AO43" s="490"/>
      <c r="AP43" s="490"/>
      <c r="AQ43" s="490"/>
      <c r="AR43" s="490"/>
      <c r="AS43" s="490"/>
      <c r="AT43" s="490"/>
      <c r="AU43" s="490"/>
      <c r="AV43" s="490"/>
      <c r="AW43" s="490"/>
      <c r="AX43" s="490"/>
      <c r="AY43" s="490"/>
      <c r="AZ43" s="490"/>
      <c r="BA43" s="490"/>
      <c r="BB43" s="490"/>
      <c r="BC43" s="490"/>
      <c r="BD43" s="490"/>
      <c r="BE43" s="490"/>
      <c r="BF43" s="490"/>
      <c r="BG43" s="490"/>
      <c r="BH43" s="490"/>
      <c r="BI43" s="490"/>
      <c r="BJ43" s="490"/>
      <c r="BK43" s="490"/>
      <c r="BL43" s="490"/>
      <c r="BM43" s="490"/>
      <c r="BN43" s="490"/>
      <c r="BO43" s="490"/>
      <c r="BP43" s="490"/>
      <c r="BQ43" s="490"/>
      <c r="BR43" s="490"/>
      <c r="BS43" s="490"/>
      <c r="BT43" s="490"/>
      <c r="BU43" s="490"/>
      <c r="BV43" s="490"/>
      <c r="BW43" s="490"/>
      <c r="BX43" s="490"/>
      <c r="BY43" s="490"/>
      <c r="BZ43" s="490"/>
      <c r="CA43" s="490"/>
      <c r="CB43" s="490"/>
    </row>
    <row r="44" spans="1:80" s="11" customFormat="1" ht="11.25" x14ac:dyDescent="0.2">
      <c r="A44" s="11" t="s">
        <v>81</v>
      </c>
      <c r="AB44" s="841" t="str">
        <f>IF('Данные объект'!B52="","",'Данные объект'!B52)</f>
      </c>
      <c r="AC44" s="841"/>
      <c r="AD44" s="841"/>
      <c r="AE44" s="841"/>
      <c r="AF44" s="841"/>
      <c r="AG44" s="841"/>
      <c r="AH44" s="841"/>
      <c r="AI44" s="841"/>
      <c r="AJ44" s="841"/>
      <c r="AK44" s="841"/>
      <c r="AL44" s="841"/>
      <c r="AM44" s="841"/>
      <c r="AN44" s="841"/>
      <c r="AO44" s="841"/>
      <c r="AP44" s="841"/>
      <c r="AQ44" s="841"/>
      <c r="AR44" s="841"/>
      <c r="AS44" s="841"/>
      <c r="AT44" s="841"/>
      <c r="AU44" s="841"/>
      <c r="AV44" s="841"/>
      <c r="AW44" s="841"/>
      <c r="AX44" s="841"/>
      <c r="AY44" s="841"/>
      <c r="AZ44" s="841"/>
      <c r="BA44" s="841"/>
      <c r="BB44" s="841"/>
      <c r="BC44" s="841"/>
      <c r="BD44" s="841"/>
      <c r="BE44" s="841"/>
      <c r="BF44" s="841"/>
      <c r="BG44" s="841"/>
      <c r="BH44" s="841"/>
      <c r="BI44" s="841"/>
      <c r="BJ44" s="841"/>
      <c r="BK44" s="841"/>
      <c r="BL44" s="841"/>
      <c r="BM44" s="841"/>
      <c r="BN44" s="841"/>
      <c r="BO44" s="841"/>
      <c r="BP44" s="841"/>
      <c r="BQ44" s="841"/>
      <c r="BR44" s="841"/>
      <c r="BS44" s="841"/>
      <c r="BT44" s="841"/>
      <c r="BU44" s="841"/>
      <c r="BV44" s="841"/>
      <c r="BW44" s="841"/>
      <c r="BX44" s="841"/>
      <c r="BY44" s="841"/>
      <c r="BZ44" s="841"/>
      <c r="CA44" s="841"/>
      <c r="CB44" s="841"/>
    </row>
    <row r="45" spans="1:80" s="11" customFormat="1" ht="11.25" x14ac:dyDescent="0.2">
      <c r="A45" s="841"/>
      <c r="B45" s="841"/>
      <c r="C45" s="841"/>
      <c r="D45" s="841"/>
      <c r="E45" s="841"/>
      <c r="F45" s="841"/>
      <c r="G45" s="841"/>
      <c r="H45" s="841"/>
      <c r="I45" s="841"/>
      <c r="J45" s="841"/>
      <c r="K45" s="841"/>
      <c r="L45" s="841"/>
      <c r="M45" s="841"/>
      <c r="N45" s="841"/>
      <c r="O45" s="841"/>
      <c r="P45" s="841"/>
      <c r="Q45" s="841"/>
      <c r="R45" s="841"/>
      <c r="S45" s="841"/>
      <c r="T45" s="841"/>
      <c r="U45" s="841"/>
      <c r="V45" s="841"/>
      <c r="W45" s="841"/>
      <c r="X45" s="841"/>
      <c r="Y45" s="841"/>
      <c r="Z45" s="841"/>
      <c r="AA45" s="841"/>
      <c r="AB45" s="841"/>
      <c r="AC45" s="841"/>
      <c r="AD45" s="841"/>
      <c r="AE45" s="841"/>
      <c r="AF45" s="841"/>
      <c r="AG45" s="841"/>
      <c r="AH45" s="841"/>
      <c r="AI45" s="841"/>
      <c r="AJ45" s="841"/>
      <c r="AK45" s="841"/>
      <c r="AL45" s="841"/>
      <c r="AM45" s="841"/>
      <c r="AN45" s="841"/>
      <c r="AO45" s="841"/>
      <c r="AP45" s="841"/>
      <c r="AQ45" s="841"/>
      <c r="AR45" s="841"/>
      <c r="AS45" s="841"/>
      <c r="AT45" s="841"/>
      <c r="AU45" s="841"/>
      <c r="AV45" s="841"/>
      <c r="AW45" s="841"/>
      <c r="AX45" s="841"/>
      <c r="AY45" s="841"/>
      <c r="AZ45" s="841"/>
      <c r="BA45" s="841"/>
      <c r="BB45" s="841"/>
      <c r="BC45" s="841"/>
      <c r="BD45" s="841"/>
      <c r="BE45" s="841"/>
      <c r="BF45" s="841"/>
      <c r="BG45" s="841"/>
      <c r="BH45" s="841"/>
      <c r="BI45" s="841"/>
      <c r="BJ45" s="841"/>
      <c r="BK45" s="841"/>
      <c r="BL45" s="841"/>
      <c r="BM45" s="841"/>
      <c r="BN45" s="841"/>
      <c r="BO45" s="841"/>
      <c r="BP45" s="841"/>
      <c r="BQ45" s="841"/>
      <c r="BR45" s="841"/>
      <c r="BS45" s="841"/>
      <c r="BT45" s="841"/>
      <c r="BU45" s="841"/>
      <c r="BV45" s="841"/>
      <c r="BW45" s="841"/>
      <c r="BX45" s="841"/>
      <c r="BY45" s="841"/>
      <c r="BZ45" s="841"/>
      <c r="CA45" s="841"/>
      <c r="CB45" s="841"/>
    </row>
    <row r="46" spans="1:80" s="11" customFormat="1" ht="11.25" x14ac:dyDescent="0.2">
      <c r="A46" s="490" t="s">
        <v>82</v>
      </c>
      <c r="B46" s="490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490"/>
      <c r="S46" s="490"/>
      <c r="T46" s="490"/>
      <c r="U46" s="490"/>
      <c r="V46" s="490"/>
      <c r="W46" s="490"/>
      <c r="X46" s="490"/>
      <c r="Y46" s="490"/>
      <c r="Z46" s="490"/>
      <c r="AA46" s="490"/>
      <c r="AB46" s="490"/>
      <c r="AC46" s="490"/>
      <c r="AD46" s="490"/>
      <c r="AE46" s="490"/>
      <c r="AF46" s="490"/>
      <c r="AG46" s="490"/>
      <c r="AH46" s="490"/>
      <c r="AI46" s="490"/>
      <c r="AJ46" s="490"/>
      <c r="AK46" s="490"/>
      <c r="AL46" s="490"/>
      <c r="AM46" s="490"/>
      <c r="AN46" s="490"/>
      <c r="AO46" s="490"/>
      <c r="AP46" s="490"/>
      <c r="AQ46" s="490"/>
      <c r="AR46" s="490"/>
      <c r="AS46" s="490"/>
      <c r="AT46" s="490"/>
      <c r="AU46" s="490"/>
      <c r="AV46" s="490"/>
      <c r="AW46" s="490"/>
      <c r="AX46" s="490"/>
      <c r="AY46" s="490"/>
      <c r="AZ46" s="490"/>
      <c r="BA46" s="490"/>
      <c r="BB46" s="490"/>
      <c r="BC46" s="490"/>
      <c r="BD46" s="490"/>
      <c r="BE46" s="490"/>
      <c r="BF46" s="490"/>
      <c r="BG46" s="490"/>
      <c r="BH46" s="490"/>
      <c r="BI46" s="490"/>
      <c r="BJ46" s="490"/>
      <c r="BK46" s="490"/>
      <c r="BL46" s="490"/>
      <c r="BM46" s="490"/>
      <c r="BN46" s="490"/>
      <c r="BO46" s="490"/>
      <c r="BP46" s="490"/>
      <c r="BQ46" s="490"/>
      <c r="BR46" s="490"/>
      <c r="BS46" s="490"/>
      <c r="BT46" s="490"/>
      <c r="BU46" s="490"/>
      <c r="BV46" s="490"/>
      <c r="BW46" s="490"/>
      <c r="BX46" s="490"/>
      <c r="BY46" s="490"/>
      <c r="BZ46" s="490"/>
      <c r="CA46" s="490"/>
      <c r="CB46" s="490"/>
    </row>
    <row r="47" spans="1:80" s="11" customFormat="1" ht="12.75" customHeight="1" x14ac:dyDescent="0.2">
      <c r="A47" s="853" t="s">
        <v>1197</v>
      </c>
      <c r="B47" s="853"/>
      <c r="C47" s="853"/>
      <c r="D47" s="853"/>
      <c r="E47" s="853"/>
      <c r="F47" s="853"/>
      <c r="G47" s="853"/>
      <c r="H47" s="853"/>
      <c r="I47" s="853"/>
      <c r="J47" s="853"/>
      <c r="K47" s="853"/>
      <c r="L47" s="853"/>
      <c r="M47" s="853"/>
      <c r="N47" s="853"/>
      <c r="O47" s="853"/>
      <c r="P47" s="853"/>
      <c r="Q47" s="853"/>
      <c r="R47" s="853"/>
      <c r="S47" s="853"/>
      <c r="T47" s="853"/>
      <c r="U47" s="853"/>
      <c r="V47" s="853"/>
      <c r="W47" s="853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  <c r="AH47" s="853"/>
      <c r="AI47" s="853"/>
      <c r="AJ47" s="853"/>
      <c r="AK47" s="853"/>
      <c r="AL47" s="853"/>
      <c r="AM47" s="853"/>
      <c r="AN47" s="853"/>
      <c r="AO47" s="853"/>
      <c r="AP47" s="853"/>
      <c r="AQ47" s="853"/>
      <c r="AR47" s="853"/>
      <c r="AS47" s="853"/>
      <c r="AT47" s="853"/>
      <c r="AU47" s="853"/>
      <c r="AV47" s="853"/>
      <c r="AW47" s="853"/>
      <c r="AX47" s="853"/>
      <c r="AY47" s="853"/>
      <c r="AZ47" s="853"/>
      <c r="BA47" s="853"/>
      <c r="BB47" s="853"/>
      <c r="BC47" s="853"/>
      <c r="BD47" s="853"/>
      <c r="BE47" s="853"/>
      <c r="BF47" s="853"/>
      <c r="BG47" s="853"/>
      <c r="BH47" s="853"/>
      <c r="BI47" s="853"/>
      <c r="BJ47" s="853"/>
      <c r="BK47" s="853"/>
      <c r="BL47" s="853"/>
      <c r="BM47" s="853"/>
      <c r="BN47" s="853"/>
      <c r="BO47" s="853"/>
      <c r="BP47" s="853"/>
      <c r="BQ47" s="853"/>
      <c r="BR47" s="853"/>
      <c r="BS47" s="853"/>
      <c r="BT47" s="853"/>
      <c r="BU47" s="853"/>
      <c r="BV47" s="853"/>
      <c r="BW47" s="853"/>
      <c r="BX47" s="853"/>
      <c r="BY47" s="853"/>
      <c r="BZ47" s="853"/>
      <c r="CA47" s="853"/>
      <c r="CB47" s="853"/>
    </row>
    <row r="48" spans="1:80" s="11" customFormat="1" ht="11.25" x14ac:dyDescent="0.2">
      <c r="A48" s="853"/>
      <c r="B48" s="853"/>
      <c r="C48" s="853"/>
      <c r="D48" s="853"/>
      <c r="E48" s="853"/>
      <c r="F48" s="853"/>
      <c r="G48" s="853"/>
      <c r="H48" s="853"/>
      <c r="I48" s="853"/>
      <c r="J48" s="853"/>
      <c r="K48" s="853"/>
      <c r="L48" s="853"/>
      <c r="M48" s="853"/>
      <c r="N48" s="853"/>
      <c r="O48" s="853"/>
      <c r="P48" s="853"/>
      <c r="Q48" s="853"/>
      <c r="R48" s="853"/>
      <c r="S48" s="853"/>
      <c r="T48" s="853"/>
      <c r="U48" s="853"/>
      <c r="V48" s="853"/>
      <c r="W48" s="853"/>
      <c r="X48" s="853"/>
      <c r="Y48" s="853"/>
      <c r="Z48" s="853"/>
      <c r="AA48" s="853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/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853"/>
      <c r="BL48" s="853"/>
      <c r="BM48" s="853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  <c r="BX48" s="853"/>
      <c r="BY48" s="853"/>
      <c r="BZ48" s="853"/>
      <c r="CA48" s="853"/>
      <c r="CB48" s="853"/>
    </row>
    <row r="49" spans="1:80" s="11" customFormat="1" ht="11.25" x14ac:dyDescent="0.2">
      <c r="A49" s="862" t="s">
        <v>83</v>
      </c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862"/>
      <c r="V49" s="862"/>
      <c r="W49" s="862"/>
      <c r="X49" s="862"/>
      <c r="Y49" s="862"/>
      <c r="Z49" s="862"/>
      <c r="AA49" s="862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862"/>
      <c r="AS49" s="862"/>
      <c r="AT49" s="862"/>
      <c r="AU49" s="862"/>
      <c r="AV49" s="862"/>
      <c r="AW49" s="862"/>
      <c r="AX49" s="862"/>
      <c r="AY49" s="862"/>
      <c r="AZ49" s="862"/>
      <c r="BA49" s="862"/>
      <c r="BB49" s="862"/>
      <c r="BC49" s="862"/>
      <c r="BD49" s="862"/>
      <c r="BE49" s="862"/>
      <c r="BF49" s="862"/>
      <c r="BG49" s="862"/>
      <c r="BH49" s="862"/>
      <c r="BI49" s="862"/>
      <c r="BJ49" s="862"/>
      <c r="BK49" s="862"/>
      <c r="BL49" s="862"/>
      <c r="BM49" s="862"/>
      <c r="BN49" s="862"/>
      <c r="BO49" s="862"/>
      <c r="BP49" s="862"/>
      <c r="BQ49" s="862"/>
      <c r="BR49" s="862"/>
      <c r="BS49" s="862"/>
      <c r="BT49" s="862"/>
      <c r="BU49" s="862"/>
      <c r="BV49" s="862"/>
      <c r="BW49" s="862"/>
      <c r="BX49" s="862"/>
      <c r="BY49" s="862"/>
      <c r="BZ49" s="862"/>
      <c r="CA49" s="862"/>
      <c r="CB49" s="862"/>
    </row>
    <row r="50" spans="1:80" s="11" customFormat="1" ht="11.25" x14ac:dyDescent="0.2">
      <c r="A50" s="862" t="s">
        <v>84</v>
      </c>
      <c r="B50" s="862"/>
      <c r="C50" s="862"/>
      <c r="D50" s="862"/>
      <c r="E50" s="862"/>
      <c r="F50" s="862"/>
      <c r="G50" s="862"/>
      <c r="H50" s="842" t="str">
        <f>IF('Данные объект'!B7="","",'Данные объект'!B7)</f>
      </c>
      <c r="I50" s="842"/>
      <c r="J50" s="842"/>
      <c r="K50" s="842"/>
      <c r="L50" s="842"/>
      <c r="M50" s="842"/>
      <c r="N50" s="842"/>
      <c r="O50" s="842"/>
      <c r="P50" s="842"/>
      <c r="Q50" s="842"/>
      <c r="R50" s="842"/>
      <c r="S50" s="842"/>
      <c r="T50" s="842"/>
      <c r="U50" s="842"/>
      <c r="V50" s="148"/>
      <c r="W50" s="148"/>
      <c r="X50" s="148"/>
      <c r="Y50" s="148"/>
      <c r="Z50" s="148"/>
      <c r="AA50" s="148"/>
      <c r="AB50" s="148"/>
      <c r="AC50" s="148"/>
    </row>
    <row r="51" spans="1:80" s="11" customFormat="1" ht="11.25" x14ac:dyDescent="0.2">
      <c r="A51" s="11" t="s">
        <v>39</v>
      </c>
      <c r="C51" s="862" t="s">
        <v>85</v>
      </c>
      <c r="D51" s="862"/>
      <c r="E51" s="862"/>
      <c r="F51" s="862"/>
      <c r="G51" s="862"/>
      <c r="H51" s="862"/>
      <c r="I51" s="862"/>
      <c r="J51" s="862"/>
      <c r="K51" s="862"/>
      <c r="L51" s="862"/>
      <c r="M51" s="862"/>
      <c r="N51" s="862"/>
      <c r="O51" s="862"/>
      <c r="P51" s="862"/>
      <c r="Q51" s="862"/>
      <c r="R51" s="862"/>
      <c r="S51" s="862"/>
      <c r="T51" s="862"/>
      <c r="U51" s="862"/>
      <c r="V51" s="862"/>
      <c r="W51" s="862"/>
      <c r="X51" s="862"/>
      <c r="Y51" s="862"/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  <c r="AU51" s="862"/>
      <c r="AV51" s="862"/>
      <c r="AW51" s="862"/>
      <c r="AX51" s="862"/>
      <c r="AY51" s="862"/>
      <c r="AZ51" s="862"/>
      <c r="BA51" s="862"/>
      <c r="BB51" s="862"/>
      <c r="BC51" s="862"/>
      <c r="BD51" s="862"/>
      <c r="BE51" s="862"/>
      <c r="BF51" s="862"/>
      <c r="BG51" s="862"/>
      <c r="BH51" s="862"/>
      <c r="BI51" s="862"/>
      <c r="BJ51" s="862"/>
      <c r="BK51" s="862"/>
      <c r="BL51" s="862"/>
      <c r="BM51" s="862"/>
      <c r="BN51" s="862"/>
      <c r="BO51" s="862"/>
      <c r="BP51" s="862"/>
      <c r="BQ51" s="862"/>
      <c r="BR51" s="862"/>
      <c r="BS51" s="862"/>
      <c r="BT51" s="862"/>
      <c r="BU51" s="862"/>
      <c r="BV51" s="862"/>
      <c r="BW51" s="862"/>
      <c r="BX51" s="862"/>
      <c r="BY51" s="862"/>
      <c r="BZ51" s="862"/>
      <c r="CA51" s="862"/>
      <c r="CB51" s="862"/>
    </row>
    <row r="52" spans="1:80" s="71" customFormat="1" ht="12.75" customHeight="1" x14ac:dyDescent="0.25">
      <c r="A52" s="925" t="s">
        <v>73</v>
      </c>
      <c r="B52" s="925"/>
      <c r="C52" s="925"/>
      <c r="D52" s="925"/>
      <c r="E52" s="826" t="s">
        <v>86</v>
      </c>
      <c r="F52" s="826"/>
      <c r="G52" s="826"/>
      <c r="H52" s="826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26"/>
      <c r="T52" s="826"/>
      <c r="U52" s="826"/>
      <c r="V52" s="826"/>
      <c r="W52" s="826"/>
      <c r="X52" s="826"/>
      <c r="Y52" s="826"/>
      <c r="Z52" s="826"/>
      <c r="AA52" s="826"/>
      <c r="AB52" s="826"/>
      <c r="AC52" s="826" t="s">
        <v>65</v>
      </c>
      <c r="AD52" s="826"/>
      <c r="AE52" s="826"/>
      <c r="AF52" s="826"/>
      <c r="AG52" s="826"/>
      <c r="AH52" s="826"/>
      <c r="AI52" s="826"/>
      <c r="AJ52" s="826"/>
      <c r="AK52" s="826"/>
      <c r="AL52" s="826"/>
      <c r="AM52" s="826"/>
      <c r="AN52" s="826"/>
      <c r="AO52" s="826"/>
      <c r="AP52" s="826"/>
      <c r="AQ52" s="826"/>
      <c r="AR52" s="826"/>
      <c r="AS52" s="826"/>
      <c r="AT52" s="826"/>
      <c r="AU52" s="826"/>
      <c r="AV52" s="826"/>
      <c r="AW52" s="826"/>
      <c r="AX52" s="826"/>
      <c r="AY52" s="826" t="s">
        <v>87</v>
      </c>
      <c r="AZ52" s="826"/>
      <c r="BA52" s="826"/>
      <c r="BB52" s="826"/>
      <c r="BC52" s="826"/>
      <c r="BD52" s="826"/>
      <c r="BE52" s="826"/>
      <c r="BF52" s="826"/>
      <c r="BG52" s="826"/>
      <c r="BH52" s="826"/>
      <c r="BI52" s="826"/>
      <c r="BJ52" s="826"/>
      <c r="BK52" s="826" t="s">
        <v>67</v>
      </c>
      <c r="BL52" s="826"/>
      <c r="BM52" s="826"/>
      <c r="BN52" s="826"/>
      <c r="BO52" s="826"/>
      <c r="BP52" s="826"/>
      <c r="BQ52" s="826"/>
      <c r="BR52" s="826"/>
      <c r="BS52" s="826"/>
      <c r="BT52" s="826"/>
      <c r="BU52" s="826"/>
      <c r="BV52" s="826"/>
      <c r="BW52" s="826"/>
      <c r="BX52" s="826"/>
      <c r="BY52" s="826"/>
      <c r="BZ52" s="826"/>
      <c r="CA52" s="826"/>
      <c r="CB52" s="826"/>
    </row>
    <row r="53" spans="1:80" s="71" customFormat="1" ht="11.25" x14ac:dyDescent="0.25">
      <c r="A53" s="925"/>
      <c r="B53" s="925"/>
      <c r="C53" s="925"/>
      <c r="D53" s="925"/>
      <c r="E53" s="826"/>
      <c r="F53" s="826"/>
      <c r="G53" s="826"/>
      <c r="H53" s="826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26"/>
      <c r="T53" s="826"/>
      <c r="U53" s="826"/>
      <c r="V53" s="826"/>
      <c r="W53" s="826"/>
      <c r="X53" s="826"/>
      <c r="Y53" s="826"/>
      <c r="Z53" s="826"/>
      <c r="AA53" s="826"/>
      <c r="AB53" s="826"/>
      <c r="AC53" s="826"/>
      <c r="AD53" s="826"/>
      <c r="AE53" s="826"/>
      <c r="AF53" s="826"/>
      <c r="AG53" s="826"/>
      <c r="AH53" s="826"/>
      <c r="AI53" s="826"/>
      <c r="AJ53" s="826"/>
      <c r="AK53" s="826"/>
      <c r="AL53" s="826"/>
      <c r="AM53" s="826"/>
      <c r="AN53" s="826"/>
      <c r="AO53" s="826"/>
      <c r="AP53" s="826"/>
      <c r="AQ53" s="826"/>
      <c r="AR53" s="826"/>
      <c r="AS53" s="826"/>
      <c r="AT53" s="826"/>
      <c r="AU53" s="826"/>
      <c r="AV53" s="826"/>
      <c r="AW53" s="826"/>
      <c r="AX53" s="826"/>
      <c r="AY53" s="826"/>
      <c r="AZ53" s="826"/>
      <c r="BA53" s="826"/>
      <c r="BB53" s="826"/>
      <c r="BC53" s="826"/>
      <c r="BD53" s="826"/>
      <c r="BE53" s="826"/>
      <c r="BF53" s="826"/>
      <c r="BG53" s="826"/>
      <c r="BH53" s="826"/>
      <c r="BI53" s="826"/>
      <c r="BJ53" s="826"/>
      <c r="BK53" s="826"/>
      <c r="BL53" s="826"/>
      <c r="BM53" s="826"/>
      <c r="BN53" s="826"/>
      <c r="BO53" s="826"/>
      <c r="BP53" s="826"/>
      <c r="BQ53" s="826"/>
      <c r="BR53" s="826"/>
      <c r="BS53" s="826"/>
      <c r="BT53" s="826"/>
      <c r="BU53" s="826"/>
      <c r="BV53" s="826"/>
      <c r="BW53" s="826"/>
      <c r="BX53" s="826"/>
      <c r="BY53" s="826"/>
      <c r="BZ53" s="826"/>
      <c r="CA53" s="826"/>
      <c r="CB53" s="826"/>
    </row>
    <row r="54" spans="1:80" s="11" customFormat="1" ht="11.25" x14ac:dyDescent="0.2">
      <c r="A54" s="924" t="s">
        <v>101</v>
      </c>
      <c r="B54" s="922"/>
      <c r="C54" s="922"/>
      <c r="D54" s="922"/>
      <c r="E54" s="922" t="s">
        <v>101</v>
      </c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  <c r="W54" s="922"/>
      <c r="X54" s="922"/>
      <c r="Y54" s="922"/>
      <c r="Z54" s="922"/>
      <c r="AA54" s="922"/>
      <c r="AB54" s="922"/>
      <c r="AC54" s="922" t="s">
        <v>101</v>
      </c>
      <c r="AD54" s="922"/>
      <c r="AE54" s="922"/>
      <c r="AF54" s="922"/>
      <c r="AG54" s="922"/>
      <c r="AH54" s="922"/>
      <c r="AI54" s="922"/>
      <c r="AJ54" s="922"/>
      <c r="AK54" s="922"/>
      <c r="AL54" s="922"/>
      <c r="AM54" s="922"/>
      <c r="AN54" s="922"/>
      <c r="AO54" s="922"/>
      <c r="AP54" s="922"/>
      <c r="AQ54" s="922"/>
      <c r="AR54" s="922"/>
      <c r="AS54" s="922"/>
      <c r="AT54" s="922"/>
      <c r="AU54" s="922"/>
      <c r="AV54" s="922"/>
      <c r="AW54" s="922"/>
      <c r="AX54" s="922"/>
      <c r="AY54" s="922" t="s">
        <v>101</v>
      </c>
      <c r="AZ54" s="922"/>
      <c r="BA54" s="922"/>
      <c r="BB54" s="922"/>
      <c r="BC54" s="922"/>
      <c r="BD54" s="922"/>
      <c r="BE54" s="922"/>
      <c r="BF54" s="922"/>
      <c r="BG54" s="922"/>
      <c r="BH54" s="922"/>
      <c r="BI54" s="922"/>
      <c r="BJ54" s="922"/>
      <c r="BK54" s="922" t="s">
        <v>101</v>
      </c>
      <c r="BL54" s="922"/>
      <c r="BM54" s="922"/>
      <c r="BN54" s="922"/>
      <c r="BO54" s="922"/>
      <c r="BP54" s="922"/>
      <c r="BQ54" s="922"/>
      <c r="BR54" s="922"/>
      <c r="BS54" s="922"/>
      <c r="BT54" s="922"/>
      <c r="BU54" s="922"/>
      <c r="BV54" s="922"/>
      <c r="BW54" s="922"/>
      <c r="BX54" s="922"/>
      <c r="BY54" s="922"/>
      <c r="BZ54" s="922"/>
      <c r="CA54" s="922"/>
      <c r="CB54" s="923"/>
    </row>
    <row r="55" spans="1:80" s="11" customFormat="1" ht="11.25" x14ac:dyDescent="0.2"/>
    <row r="56" spans="1:80" s="11" customFormat="1" ht="1.5" customHeight="1" x14ac:dyDescent="0.2"/>
    <row r="57" spans="1:80" s="11" customFormat="1" ht="11.25" x14ac:dyDescent="0.2">
      <c r="D57" s="45" t="s">
        <v>344</v>
      </c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BC57" s="831" t="str">
        <f>IF('Данные объект'!B42="","",'Данные объект'!B42)</f>
      </c>
      <c r="BD57" s="831"/>
      <c r="BE57" s="831"/>
      <c r="BF57" s="831"/>
      <c r="BG57" s="831"/>
      <c r="BH57" s="831"/>
      <c r="BI57" s="831"/>
      <c r="BJ57" s="831"/>
      <c r="BK57" s="831"/>
      <c r="BL57" s="831"/>
      <c r="BM57" s="831"/>
      <c r="BN57" s="831"/>
      <c r="BO57" s="831"/>
      <c r="BP57" s="831"/>
      <c r="BQ57" s="831"/>
    </row>
    <row r="58" spans="1:80" s="11" customFormat="1" ht="11.25" x14ac:dyDescent="0.2">
      <c r="E58" s="45"/>
      <c r="F58" s="45"/>
      <c r="G58" s="57"/>
      <c r="H58" s="57"/>
      <c r="I58" s="57"/>
      <c r="J58" s="57"/>
      <c r="K58" s="57"/>
      <c r="L58" s="57"/>
      <c r="M58" s="57"/>
      <c r="AM58" s="490" t="s">
        <v>2</v>
      </c>
      <c r="AN58" s="490"/>
      <c r="AO58" s="490"/>
      <c r="AP58" s="490"/>
      <c r="AQ58" s="490"/>
      <c r="AR58" s="490"/>
      <c r="AS58" s="490"/>
      <c r="AT58" s="490"/>
      <c r="AU58" s="490"/>
      <c r="AV58" s="490"/>
      <c r="AW58" s="490"/>
      <c r="AX58" s="490"/>
      <c r="AY58" s="490"/>
    </row>
    <row r="59" spans="1:80" s="11" customFormat="1" ht="11.25" x14ac:dyDescent="0.2">
      <c r="E59" s="45"/>
      <c r="F59" s="45"/>
      <c r="G59" s="57"/>
      <c r="H59" s="57"/>
      <c r="I59" s="57"/>
      <c r="J59" s="57"/>
      <c r="K59" s="57"/>
      <c r="L59" s="57"/>
      <c r="M59" s="57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80" s="11" customFormat="1" ht="11.25" x14ac:dyDescent="0.2">
      <c r="E60" s="45"/>
      <c r="F60" s="45"/>
      <c r="G60" s="57"/>
      <c r="H60" s="57"/>
      <c r="I60" s="57"/>
      <c r="J60" s="57"/>
      <c r="K60" s="57"/>
      <c r="L60" s="57"/>
      <c r="M60" s="57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80" s="11" customFormat="1" ht="11.25" collapsed="1" x14ac:dyDescent="0.2">
      <c r="C61" s="57"/>
      <c r="D61" s="45"/>
      <c r="E61" s="45"/>
      <c r="F61" s="45"/>
      <c r="G61" s="57"/>
      <c r="H61" s="57"/>
      <c r="I61" s="57"/>
      <c r="J61" s="57"/>
      <c r="K61" s="57"/>
      <c r="L61" s="57"/>
      <c r="M61" s="57"/>
      <c r="AM61" s="855"/>
      <c r="AN61" s="855"/>
      <c r="AO61" s="855"/>
      <c r="AP61" s="855"/>
      <c r="AQ61" s="855"/>
      <c r="AR61" s="855"/>
      <c r="AS61" s="855"/>
      <c r="AT61" s="855"/>
      <c r="AU61" s="855"/>
      <c r="AV61" s="855"/>
      <c r="AW61" s="855"/>
      <c r="AX61" s="855"/>
      <c r="AY61" s="855"/>
      <c r="BC61" s="831" t="str">
        <f>IF('Данные объект'!B47="","",'Данные объект'!B47)</f>
      </c>
      <c r="BD61" s="831"/>
      <c r="BE61" s="831"/>
      <c r="BF61" s="831"/>
      <c r="BG61" s="831"/>
      <c r="BH61" s="831"/>
      <c r="BI61" s="831"/>
      <c r="BJ61" s="831"/>
      <c r="BK61" s="831"/>
      <c r="BL61" s="831"/>
      <c r="BM61" s="831"/>
      <c r="BN61" s="831"/>
      <c r="BO61" s="831"/>
      <c r="BP61" s="831"/>
      <c r="BQ61" s="831"/>
    </row>
    <row r="62" spans="1:80" s="11" customFormat="1" ht="11.25" x14ac:dyDescent="0.2">
      <c r="C62" s="57"/>
      <c r="E62" s="45"/>
      <c r="F62" s="45"/>
      <c r="G62" s="57"/>
      <c r="H62" s="57"/>
      <c r="I62" s="57"/>
      <c r="J62" s="57"/>
      <c r="K62" s="57"/>
      <c r="L62" s="57"/>
      <c r="M62" s="57"/>
      <c r="AM62" s="490" t="s">
        <v>2</v>
      </c>
      <c r="AN62" s="490"/>
      <c r="AO62" s="490"/>
      <c r="AP62" s="490"/>
      <c r="AQ62" s="490"/>
      <c r="AR62" s="490"/>
      <c r="AS62" s="490"/>
      <c r="AT62" s="490"/>
      <c r="AU62" s="490"/>
      <c r="AV62" s="490"/>
      <c r="AW62" s="490"/>
      <c r="AX62" s="490"/>
      <c r="AY62" s="490"/>
    </row>
    <row r="63" spans="1:80" s="11" customFormat="1" ht="11.25" x14ac:dyDescent="0.2">
      <c r="E63" s="45"/>
      <c r="F63" s="45"/>
      <c r="G63" s="57"/>
      <c r="H63" s="57"/>
      <c r="I63" s="57"/>
      <c r="J63" s="57"/>
      <c r="K63" s="57"/>
      <c r="L63" s="57"/>
      <c r="M63" s="57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80" s="11" customFormat="1" ht="11.25" x14ac:dyDescent="0.2">
      <c r="E64" s="45"/>
      <c r="F64" s="45"/>
      <c r="G64" s="57"/>
      <c r="H64" s="57"/>
      <c r="I64" s="57"/>
      <c r="J64" s="57"/>
      <c r="K64" s="57"/>
      <c r="L64" s="57"/>
      <c r="M64" s="57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4:70" s="11" customFormat="1" ht="2.25" hidden="1" customHeight="1" outlineLevel="1" x14ac:dyDescent="0.2">
      <c r="E65" s="45"/>
      <c r="F65" s="45"/>
      <c r="G65" s="57"/>
      <c r="H65" s="57"/>
      <c r="I65" s="57"/>
      <c r="J65" s="57"/>
      <c r="K65" s="57"/>
      <c r="L65" s="57"/>
      <c r="M65" s="57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4:70" s="11" customFormat="1" ht="14.25" hidden="1" customHeight="1" outlineLevel="1" x14ac:dyDescent="0.2">
      <c r="E66" s="45"/>
      <c r="F66" s="45"/>
      <c r="G66" s="57"/>
      <c r="H66" s="57"/>
      <c r="I66" s="57"/>
      <c r="J66" s="57"/>
      <c r="K66" s="57"/>
      <c r="L66" s="57"/>
      <c r="M66" s="57"/>
      <c r="AM66" s="855"/>
      <c r="AN66" s="855"/>
      <c r="AO66" s="855"/>
      <c r="AP66" s="855"/>
      <c r="AQ66" s="855"/>
      <c r="AR66" s="855"/>
      <c r="AS66" s="855"/>
      <c r="AT66" s="855"/>
      <c r="AU66" s="855"/>
      <c r="AV66" s="855"/>
      <c r="AW66" s="855"/>
      <c r="AX66" s="855"/>
      <c r="AY66" s="855"/>
      <c r="BC66" s="893"/>
      <c r="BD66" s="893"/>
      <c r="BE66" s="893"/>
      <c r="BF66" s="893"/>
      <c r="BG66" s="893"/>
      <c r="BH66" s="893"/>
      <c r="BI66" s="893"/>
      <c r="BJ66" s="893"/>
      <c r="BK66" s="893"/>
      <c r="BL66" s="893"/>
      <c r="BM66" s="893"/>
      <c r="BN66" s="893"/>
      <c r="BO66" s="893"/>
      <c r="BP66" s="893"/>
      <c r="BQ66" s="893"/>
      <c r="BR66" s="893"/>
    </row>
    <row r="67" spans="4:70" s="11" customFormat="1" ht="13.5" hidden="1" customHeight="1" outlineLevel="1" x14ac:dyDescent="0.2">
      <c r="E67" s="45"/>
      <c r="F67" s="45"/>
      <c r="G67" s="57"/>
      <c r="H67" s="57"/>
      <c r="I67" s="57"/>
      <c r="J67" s="57"/>
      <c r="K67" s="57"/>
      <c r="L67" s="57"/>
      <c r="M67" s="57"/>
      <c r="AM67" s="490" t="s">
        <v>2</v>
      </c>
      <c r="AN67" s="490"/>
      <c r="AO67" s="490"/>
      <c r="AP67" s="490"/>
      <c r="AQ67" s="490"/>
      <c r="AR67" s="490"/>
      <c r="AS67" s="490"/>
      <c r="AT67" s="490"/>
      <c r="AU67" s="490"/>
      <c r="AV67" s="490"/>
      <c r="AW67" s="490"/>
      <c r="AX67" s="490"/>
      <c r="AY67" s="490"/>
    </row>
    <row r="68" spans="4:70" s="11" customFormat="1" ht="11.25" hidden="1" collapsed="1" x14ac:dyDescent="0.2">
      <c r="D68" s="45"/>
      <c r="E68" s="45"/>
      <c r="F68" s="45"/>
      <c r="G68" s="57"/>
      <c r="H68" s="57"/>
      <c r="I68" s="57"/>
      <c r="J68" s="57"/>
      <c r="K68" s="57"/>
      <c r="L68" s="57"/>
      <c r="M68" s="57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BC68" s="893"/>
      <c r="BD68" s="893"/>
      <c r="BE68" s="893"/>
      <c r="BF68" s="893"/>
      <c r="BG68" s="893"/>
      <c r="BH68" s="893"/>
      <c r="BI68" s="893"/>
      <c r="BJ68" s="893"/>
      <c r="BK68" s="893"/>
      <c r="BL68" s="893"/>
      <c r="BM68" s="893"/>
      <c r="BN68" s="893"/>
      <c r="BO68" s="893"/>
      <c r="BP68" s="893"/>
      <c r="BQ68" s="893"/>
    </row>
    <row r="69" spans="4:70" s="11" customFormat="1" ht="11.25" hidden="1" x14ac:dyDescent="0.2">
      <c r="E69" s="45"/>
      <c r="F69" s="45"/>
      <c r="G69" s="57"/>
      <c r="H69" s="57"/>
      <c r="I69" s="57"/>
      <c r="J69" s="57"/>
      <c r="K69" s="57"/>
      <c r="L69" s="57"/>
      <c r="M69" s="57"/>
      <c r="AM69" s="490" t="s">
        <v>2</v>
      </c>
      <c r="AN69" s="490"/>
      <c r="AO69" s="490"/>
      <c r="AP69" s="490"/>
      <c r="AQ69" s="490"/>
      <c r="AR69" s="490"/>
      <c r="AS69" s="490"/>
      <c r="AT69" s="490"/>
      <c r="AU69" s="490"/>
      <c r="AV69" s="490"/>
      <c r="AW69" s="490"/>
      <c r="AX69" s="490"/>
      <c r="AY69" s="490"/>
    </row>
    <row r="70" spans="4:70" s="11" customFormat="1" ht="11.25" x14ac:dyDescent="0.2">
      <c r="D70" s="45" t="s">
        <v>61</v>
      </c>
      <c r="E70" s="45"/>
      <c r="F70" s="45"/>
      <c r="G70" s="57"/>
      <c r="H70" s="57"/>
      <c r="I70" s="57"/>
      <c r="J70" s="57"/>
      <c r="K70" s="57"/>
      <c r="L70" s="57"/>
      <c r="M70" s="57"/>
      <c r="AM70" s="855"/>
      <c r="AN70" s="855"/>
      <c r="AO70" s="855"/>
      <c r="AP70" s="855"/>
      <c r="AQ70" s="855"/>
      <c r="AR70" s="855"/>
      <c r="AS70" s="855"/>
      <c r="AT70" s="855"/>
      <c r="AU70" s="855"/>
      <c r="AV70" s="855"/>
      <c r="AW70" s="855"/>
      <c r="AX70" s="855"/>
      <c r="AY70" s="855"/>
      <c r="BC70" s="831" t="str">
        <f>IF('Данные объект'!B28="","",'Данные объект'!B28)</f>
      </c>
      <c r="BD70" s="831"/>
      <c r="BE70" s="831"/>
      <c r="BF70" s="831"/>
      <c r="BG70" s="831"/>
      <c r="BH70" s="831"/>
      <c r="BI70" s="831"/>
      <c r="BJ70" s="831"/>
      <c r="BK70" s="831"/>
      <c r="BL70" s="831"/>
      <c r="BM70" s="831"/>
      <c r="BN70" s="831"/>
      <c r="BO70" s="831"/>
      <c r="BP70" s="831"/>
      <c r="BQ70" s="831"/>
    </row>
    <row r="71" spans="4:70" s="11" customFormat="1" ht="11.25" x14ac:dyDescent="0.2">
      <c r="E71" s="45"/>
      <c r="F71" s="45"/>
      <c r="G71" s="57"/>
      <c r="H71" s="57"/>
      <c r="I71" s="57"/>
      <c r="J71" s="57"/>
      <c r="K71" s="57"/>
      <c r="L71" s="57"/>
      <c r="M71" s="57"/>
      <c r="AM71" s="490" t="s">
        <v>2</v>
      </c>
      <c r="AN71" s="490"/>
      <c r="AO71" s="490"/>
      <c r="AP71" s="490"/>
      <c r="AQ71" s="490"/>
      <c r="AR71" s="490"/>
      <c r="AS71" s="490"/>
      <c r="AT71" s="490"/>
      <c r="AU71" s="490"/>
      <c r="AV71" s="490"/>
      <c r="AW71" s="490"/>
      <c r="AX71" s="490"/>
      <c r="AY71" s="490"/>
    </row>
  </sheetData>
  <mergeCells count="69">
    <mergeCell ref="A17:CB17"/>
    <mergeCell ref="A6:AI6"/>
    <mergeCell ref="AT6:CB6"/>
    <mergeCell ref="AT7:CB10"/>
    <mergeCell ref="AT11:CB11"/>
    <mergeCell ref="A2:AI2"/>
    <mergeCell ref="A3:AI3"/>
    <mergeCell ref="AT3:CB3"/>
    <mergeCell ref="A4:AI5"/>
    <mergeCell ref="AT4:CB5"/>
    <mergeCell ref="AT1:CB2"/>
    <mergeCell ref="BC61:BQ61"/>
    <mergeCell ref="AM62:AY62"/>
    <mergeCell ref="A10:AI10"/>
    <mergeCell ref="AT12:CB12"/>
    <mergeCell ref="A38:CB38"/>
    <mergeCell ref="AN39:CB39"/>
    <mergeCell ref="A11:AI11"/>
    <mergeCell ref="AT13:CB13"/>
    <mergeCell ref="A37:BZ37"/>
    <mergeCell ref="A36:BZ36"/>
    <mergeCell ref="A22:BZ22"/>
    <mergeCell ref="A18:CB18"/>
    <mergeCell ref="A30:CB30"/>
    <mergeCell ref="A31:CB31"/>
    <mergeCell ref="A23:BZ23"/>
    <mergeCell ref="A16:CB16"/>
    <mergeCell ref="A27:BZ27"/>
    <mergeCell ref="A28:BZ28"/>
    <mergeCell ref="A24:BZ24"/>
    <mergeCell ref="A25:BZ25"/>
    <mergeCell ref="AC52:AX53"/>
    <mergeCell ref="A42:CB42"/>
    <mergeCell ref="A43:CB43"/>
    <mergeCell ref="C39:AM39"/>
    <mergeCell ref="AN40:CB40"/>
    <mergeCell ref="A34:BZ34"/>
    <mergeCell ref="A33:BZ33"/>
    <mergeCell ref="AB44:CB44"/>
    <mergeCell ref="AJ41:CB41"/>
    <mergeCell ref="A54:D54"/>
    <mergeCell ref="E54:AB54"/>
    <mergeCell ref="A45:CB45"/>
    <mergeCell ref="A46:CB46"/>
    <mergeCell ref="A47:CB48"/>
    <mergeCell ref="A49:CB49"/>
    <mergeCell ref="A50:G50"/>
    <mergeCell ref="H50:U50"/>
    <mergeCell ref="C51:CB51"/>
    <mergeCell ref="A52:D53"/>
    <mergeCell ref="E52:AB53"/>
    <mergeCell ref="BK52:CB53"/>
    <mergeCell ref="AY52:BJ53"/>
    <mergeCell ref="AM71:AY71"/>
    <mergeCell ref="BK54:CB54"/>
    <mergeCell ref="BC57:BQ57"/>
    <mergeCell ref="AY54:BJ54"/>
    <mergeCell ref="AC54:AX54"/>
    <mergeCell ref="AM68:AY68"/>
    <mergeCell ref="AM57:AY57"/>
    <mergeCell ref="AM58:AY58"/>
    <mergeCell ref="AM66:AY66"/>
    <mergeCell ref="BC66:BR66"/>
    <mergeCell ref="AM67:AY67"/>
    <mergeCell ref="BC68:BQ68"/>
    <mergeCell ref="AM69:AY69"/>
    <mergeCell ref="AM70:AY70"/>
    <mergeCell ref="BC70:BQ70"/>
    <mergeCell ref="AM61:AY61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BC7B-4120-44F2-87E8-C108C3817AD7}">
  <sheetPr>
    <tabColor rgb="FFCCFFFF"/>
  </sheetPr>
  <dimension ref="A1:CV221"/>
  <sheetViews>
    <sheetView view="pageBreakPreview" topLeftCell="A10" zoomScaleNormal="100" zoomScaleSheetLayoutView="100" workbookViewId="0">
      <selection activeCell="CO43" sqref="CO43"/>
    </sheetView>
  </sheetViews>
  <sheetFormatPr defaultColWidth="9.140625" defaultRowHeight="15" x14ac:dyDescent="0.25"/>
  <cols>
    <col min="1" max="79" width="1.140625" customWidth="1"/>
    <col min="80" max="80" width="2" customWidth="1"/>
    <col min="8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27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s="2" customFormat="1" ht="14.2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s="2" customFormat="1" ht="13.15" customHeight="1" x14ac:dyDescent="0.25">
      <c r="A8" s="836" t="str">
        <f>IF('Данные объект'!B12="","",'Данные объект'!B12)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s="2" customFormat="1" ht="13.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1237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9.6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</row>
    <row r="16" spans="1:80" s="2" customFormat="1" ht="12.75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00" s="2" customFormat="1" ht="12.75" x14ac:dyDescent="0.2">
      <c r="A17" s="11" t="s">
        <v>535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100" s="2" customFormat="1" ht="12.75" x14ac:dyDescent="0.2">
      <c r="A18" s="831" t="str">
        <f>IF('Данные объект'!C42="","",'Данные объект'!C42)</f>
      </c>
      <c r="B18" s="831"/>
      <c r="C18" s="831"/>
      <c r="D18" s="831"/>
      <c r="E18" s="831"/>
      <c r="F18" s="831"/>
      <c r="G18" s="831"/>
      <c r="H18" s="831"/>
      <c r="I18" s="831"/>
      <c r="J18" s="831"/>
      <c r="K18" s="831"/>
      <c r="L18" s="831"/>
      <c r="M18" s="831"/>
      <c r="N18" s="831"/>
      <c r="O18" s="831"/>
      <c r="P18" s="831"/>
      <c r="Q18" s="831"/>
      <c r="R18" s="831"/>
      <c r="S18" s="831"/>
      <c r="T18" s="831"/>
      <c r="U18" s="831"/>
      <c r="V18" s="831"/>
      <c r="W18" s="831"/>
      <c r="X18" s="831"/>
      <c r="Y18" s="831"/>
      <c r="Z18" s="831"/>
      <c r="AA18" s="831"/>
      <c r="AB18" s="831"/>
      <c r="AC18" s="831"/>
      <c r="AD18" s="831"/>
      <c r="AE18" s="831"/>
      <c r="AF18" s="831"/>
      <c r="AG18" s="831"/>
      <c r="AH18" s="831"/>
      <c r="AI18" s="831"/>
      <c r="AJ18" s="831"/>
      <c r="AK18" s="831"/>
      <c r="AL18" s="831"/>
      <c r="AM18" s="831"/>
      <c r="AN18" s="831"/>
      <c r="AO18" s="831"/>
      <c r="AP18" s="831"/>
      <c r="AQ18" s="831"/>
      <c r="AR18" s="831"/>
      <c r="AS18" s="831"/>
      <c r="AT18" s="831"/>
      <c r="AU18" s="831"/>
      <c r="AV18" s="831"/>
      <c r="AW18" s="831"/>
      <c r="AX18" s="831"/>
      <c r="AY18" s="831"/>
      <c r="AZ18" s="831"/>
      <c r="BA18" s="831"/>
      <c r="BB18" s="831"/>
      <c r="BC18" s="831"/>
      <c r="BD18" s="831"/>
      <c r="BE18" s="831"/>
      <c r="BF18" s="831"/>
      <c r="BG18" s="831"/>
      <c r="BH18" s="831"/>
      <c r="BI18" s="831"/>
      <c r="BJ18" s="831"/>
      <c r="BK18" s="831"/>
      <c r="BL18" s="831"/>
      <c r="BM18" s="831"/>
      <c r="BN18" s="831"/>
      <c r="BO18" s="831"/>
      <c r="BP18" s="831"/>
      <c r="BQ18" s="831"/>
      <c r="BR18" s="831"/>
      <c r="BS18" s="831"/>
      <c r="BT18" s="831"/>
      <c r="BU18" s="831"/>
      <c r="BV18" s="831"/>
      <c r="BW18" s="831"/>
      <c r="BX18" s="831"/>
      <c r="BY18" s="831"/>
      <c r="BZ18" s="831"/>
      <c r="CA18" s="831"/>
      <c r="CB18" s="831"/>
    </row>
    <row r="19" spans="1:10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100" s="2" customFormat="1" ht="12.75" x14ac:dyDescent="0.2">
      <c r="A20" s="831" t="str">
        <f>IF('Данные объект'!C45="","",'Данные объект'!C45)</f>
      </c>
      <c r="B20" s="831"/>
      <c r="C20" s="831"/>
      <c r="D20" s="831"/>
      <c r="E20" s="831"/>
      <c r="F20" s="831"/>
      <c r="G20" s="831"/>
      <c r="H20" s="831"/>
      <c r="I20" s="831"/>
      <c r="J20" s="831"/>
      <c r="K20" s="831"/>
      <c r="L20" s="831"/>
      <c r="M20" s="831"/>
      <c r="N20" s="831"/>
      <c r="O20" s="831"/>
      <c r="P20" s="831"/>
      <c r="Q20" s="831"/>
      <c r="R20" s="831"/>
      <c r="S20" s="831"/>
      <c r="T20" s="831"/>
      <c r="U20" s="831"/>
      <c r="V20" s="831"/>
      <c r="W20" s="831"/>
      <c r="X20" s="831"/>
      <c r="Y20" s="831"/>
      <c r="Z20" s="831"/>
      <c r="AA20" s="831"/>
      <c r="AB20" s="831"/>
      <c r="AC20" s="831"/>
      <c r="AD20" s="831"/>
      <c r="AE20" s="831"/>
      <c r="AF20" s="831"/>
      <c r="AG20" s="831"/>
      <c r="AH20" s="831"/>
      <c r="AI20" s="831"/>
      <c r="AJ20" s="831"/>
      <c r="AK20" s="831"/>
      <c r="AL20" s="831"/>
      <c r="AM20" s="831"/>
      <c r="AN20" s="831"/>
      <c r="AO20" s="831"/>
      <c r="AP20" s="831"/>
      <c r="AQ20" s="831"/>
      <c r="AR20" s="831"/>
      <c r="AS20" s="831"/>
      <c r="AT20" s="831"/>
      <c r="AU20" s="831"/>
      <c r="AV20" s="831"/>
      <c r="AW20" s="831"/>
      <c r="AX20" s="831"/>
      <c r="AY20" s="831"/>
      <c r="AZ20" s="831"/>
      <c r="BA20" s="831"/>
      <c r="BB20" s="831"/>
      <c r="BC20" s="831"/>
      <c r="BD20" s="831"/>
      <c r="BE20" s="831"/>
      <c r="BF20" s="831"/>
      <c r="BG20" s="831"/>
      <c r="BH20" s="831"/>
      <c r="BI20" s="831"/>
      <c r="BJ20" s="831"/>
      <c r="BK20" s="831"/>
      <c r="BL20" s="831"/>
      <c r="BM20" s="831"/>
      <c r="BN20" s="831"/>
      <c r="BO20" s="831"/>
      <c r="BP20" s="831"/>
      <c r="BQ20" s="831"/>
      <c r="BR20" s="831"/>
      <c r="BS20" s="831"/>
      <c r="BT20" s="831"/>
      <c r="BU20" s="831"/>
      <c r="BV20" s="831"/>
      <c r="BW20" s="831"/>
      <c r="BX20" s="831"/>
      <c r="BY20" s="831"/>
      <c r="BZ20" s="831"/>
      <c r="CA20" s="831"/>
      <c r="CB20" s="831"/>
    </row>
    <row r="21" spans="1:100" s="5" customFormat="1" ht="8.25" x14ac:dyDescent="0.15">
      <c r="A21" s="932" t="s">
        <v>31</v>
      </c>
      <c r="B21" s="932"/>
      <c r="C21" s="932"/>
      <c r="D21" s="932"/>
      <c r="E21" s="932"/>
      <c r="F21" s="932"/>
      <c r="G21" s="932"/>
      <c r="H21" s="932"/>
      <c r="I21" s="932"/>
      <c r="J21" s="932"/>
      <c r="K21" s="932"/>
      <c r="L21" s="932"/>
      <c r="M21" s="932"/>
      <c r="N21" s="932"/>
      <c r="O21" s="932"/>
      <c r="P21" s="932"/>
      <c r="Q21" s="932"/>
      <c r="R21" s="932"/>
      <c r="S21" s="932"/>
      <c r="T21" s="932"/>
      <c r="U21" s="932"/>
      <c r="V21" s="932"/>
      <c r="W21" s="932"/>
      <c r="X21" s="932"/>
      <c r="Y21" s="932"/>
      <c r="Z21" s="932"/>
      <c r="AA21" s="932"/>
      <c r="AB21" s="932"/>
      <c r="AC21" s="932"/>
      <c r="AD21" s="932"/>
      <c r="AE21" s="932"/>
      <c r="AF21" s="932"/>
      <c r="AG21" s="932"/>
      <c r="AH21" s="932"/>
      <c r="AI21" s="932"/>
      <c r="AJ21" s="932"/>
      <c r="AK21" s="932"/>
      <c r="AL21" s="932"/>
      <c r="AM21" s="932"/>
      <c r="AN21" s="932"/>
      <c r="AO21" s="932"/>
      <c r="AP21" s="932"/>
      <c r="AQ21" s="932"/>
      <c r="AR21" s="932"/>
      <c r="AS21" s="932"/>
      <c r="AT21" s="932"/>
      <c r="AU21" s="932"/>
      <c r="AV21" s="932"/>
      <c r="AW21" s="932"/>
      <c r="AX21" s="932"/>
      <c r="AY21" s="932"/>
      <c r="AZ21" s="932"/>
      <c r="BA21" s="932"/>
      <c r="BB21" s="932"/>
      <c r="BC21" s="932"/>
      <c r="BD21" s="932"/>
      <c r="BE21" s="932"/>
      <c r="BF21" s="932"/>
      <c r="BG21" s="932"/>
      <c r="BH21" s="932"/>
      <c r="BI21" s="932"/>
      <c r="BJ21" s="932"/>
      <c r="BK21" s="932"/>
      <c r="BL21" s="932"/>
      <c r="BM21" s="932"/>
      <c r="BN21" s="932"/>
      <c r="BO21" s="932"/>
      <c r="BP21" s="932"/>
      <c r="BQ21" s="932"/>
      <c r="BR21" s="932"/>
      <c r="BS21" s="932"/>
      <c r="BT21" s="932"/>
      <c r="BU21" s="932"/>
      <c r="BV21" s="932"/>
      <c r="BW21" s="932"/>
      <c r="BX21" s="932"/>
      <c r="BY21" s="932"/>
      <c r="BZ21" s="932"/>
      <c r="CA21" s="932"/>
      <c r="CB21" s="932"/>
    </row>
    <row r="22" spans="1:100" s="2" customFormat="1" ht="12.75" x14ac:dyDescent="0.2">
      <c r="A22" s="11" t="s">
        <v>90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</row>
    <row r="23" spans="1:100" s="2" customFormat="1" ht="12.75" x14ac:dyDescent="0.2">
      <c r="A23" s="926" t="str">
        <f>IF('Данные объект'!C28="","",'Данные объект'!C28)</f>
      </c>
      <c r="B23" s="926"/>
      <c r="C23" s="926"/>
      <c r="D23" s="926"/>
      <c r="E23" s="926"/>
      <c r="F23" s="926"/>
      <c r="G23" s="926"/>
      <c r="H23" s="926"/>
      <c r="I23" s="926"/>
      <c r="J23" s="926"/>
      <c r="K23" s="926"/>
      <c r="L23" s="926"/>
      <c r="M23" s="926"/>
      <c r="N23" s="926"/>
      <c r="O23" s="926"/>
      <c r="P23" s="926"/>
      <c r="Q23" s="926"/>
      <c r="R23" s="926"/>
      <c r="S23" s="926"/>
      <c r="T23" s="926"/>
      <c r="U23" s="926"/>
      <c r="V23" s="926"/>
      <c r="W23" s="926"/>
      <c r="X23" s="926"/>
      <c r="Y23" s="926"/>
      <c r="Z23" s="926"/>
      <c r="AA23" s="926"/>
      <c r="AB23" s="926"/>
      <c r="AC23" s="926"/>
      <c r="AD23" s="926"/>
      <c r="AE23" s="926"/>
      <c r="AF23" s="926"/>
      <c r="AG23" s="926"/>
      <c r="AH23" s="926"/>
      <c r="AI23" s="926"/>
      <c r="AJ23" s="926"/>
      <c r="AK23" s="926"/>
      <c r="AL23" s="926"/>
      <c r="AM23" s="926"/>
      <c r="AN23" s="926"/>
      <c r="AO23" s="926"/>
      <c r="AP23" s="926"/>
      <c r="AQ23" s="926"/>
      <c r="AR23" s="926"/>
      <c r="AS23" s="926"/>
      <c r="AT23" s="926"/>
      <c r="AU23" s="926"/>
      <c r="AV23" s="926"/>
      <c r="AW23" s="926"/>
      <c r="AX23" s="926"/>
      <c r="AY23" s="926"/>
      <c r="AZ23" s="926"/>
      <c r="BA23" s="926"/>
      <c r="BB23" s="926"/>
      <c r="BC23" s="926"/>
      <c r="BD23" s="926"/>
      <c r="BE23" s="926"/>
      <c r="BF23" s="926"/>
      <c r="BG23" s="926"/>
      <c r="BH23" s="926"/>
      <c r="BI23" s="926"/>
      <c r="BJ23" s="926"/>
      <c r="BK23" s="926"/>
      <c r="BL23" s="926"/>
      <c r="BM23" s="926"/>
      <c r="BN23" s="926"/>
      <c r="BO23" s="926"/>
      <c r="BP23" s="926"/>
      <c r="BQ23" s="926"/>
      <c r="BR23" s="926"/>
      <c r="BS23" s="926"/>
      <c r="BT23" s="926"/>
      <c r="BU23" s="926"/>
      <c r="BV23" s="926"/>
      <c r="BW23" s="926"/>
      <c r="BX23" s="926"/>
      <c r="BY23" s="926"/>
      <c r="BZ23" s="926"/>
      <c r="CA23" s="926"/>
      <c r="CB23" s="926"/>
    </row>
    <row r="24" spans="1:100" s="5" customFormat="1" ht="8.25" x14ac:dyDescent="0.15">
      <c r="A24" s="932" t="s">
        <v>31</v>
      </c>
      <c r="B24" s="932"/>
      <c r="C24" s="932"/>
      <c r="D24" s="932"/>
      <c r="E24" s="932"/>
      <c r="F24" s="932"/>
      <c r="G24" s="932"/>
      <c r="H24" s="932"/>
      <c r="I24" s="932"/>
      <c r="J24" s="932"/>
      <c r="K24" s="932"/>
      <c r="L24" s="932"/>
      <c r="M24" s="932"/>
      <c r="N24" s="932"/>
      <c r="O24" s="932"/>
      <c r="P24" s="932"/>
      <c r="Q24" s="932"/>
      <c r="R24" s="932"/>
      <c r="S24" s="932"/>
      <c r="T24" s="932"/>
      <c r="U24" s="932"/>
      <c r="V24" s="932"/>
      <c r="W24" s="932"/>
      <c r="X24" s="932"/>
      <c r="Y24" s="932"/>
      <c r="Z24" s="932"/>
      <c r="AA24" s="932"/>
      <c r="AB24" s="932"/>
      <c r="AC24" s="932"/>
      <c r="AD24" s="932"/>
      <c r="AE24" s="932"/>
      <c r="AF24" s="932"/>
      <c r="AG24" s="932"/>
      <c r="AH24" s="932"/>
      <c r="AI24" s="932"/>
      <c r="AJ24" s="932"/>
      <c r="AK24" s="932"/>
      <c r="AL24" s="932"/>
      <c r="AM24" s="932"/>
      <c r="AN24" s="932"/>
      <c r="AO24" s="932"/>
      <c r="AP24" s="932"/>
      <c r="AQ24" s="932"/>
      <c r="AR24" s="932"/>
      <c r="AS24" s="932"/>
      <c r="AT24" s="932"/>
      <c r="AU24" s="932"/>
      <c r="AV24" s="932"/>
      <c r="AW24" s="932"/>
      <c r="AX24" s="932"/>
      <c r="AY24" s="932"/>
      <c r="AZ24" s="932"/>
      <c r="BA24" s="932"/>
      <c r="BB24" s="932"/>
      <c r="BC24" s="932"/>
      <c r="BD24" s="932"/>
      <c r="BE24" s="932"/>
      <c r="BF24" s="932"/>
      <c r="BG24" s="932"/>
      <c r="BH24" s="932"/>
      <c r="BI24" s="932"/>
      <c r="BJ24" s="932"/>
      <c r="BK24" s="932"/>
      <c r="BL24" s="932"/>
      <c r="BM24" s="932"/>
      <c r="BN24" s="932"/>
      <c r="BO24" s="932"/>
      <c r="BP24" s="932"/>
      <c r="BQ24" s="932"/>
      <c r="BR24" s="932"/>
      <c r="BS24" s="932"/>
      <c r="BT24" s="932"/>
      <c r="BU24" s="932"/>
      <c r="BV24" s="932"/>
      <c r="BW24" s="932"/>
      <c r="BX24" s="932"/>
      <c r="BY24" s="932"/>
      <c r="BZ24" s="932"/>
      <c r="CA24" s="932"/>
      <c r="CB24" s="932"/>
    </row>
    <row r="25" spans="1:100" s="87" customFormat="1" ht="15" customHeight="1" x14ac:dyDescent="0.2">
      <c r="A25" s="95" t="s">
        <v>536</v>
      </c>
      <c r="B25" s="93"/>
      <c r="C25" s="93"/>
      <c r="D25" s="93"/>
      <c r="E25" s="93"/>
      <c r="F25" s="93"/>
      <c r="G25" s="93"/>
      <c r="V25" s="934" t="str">
        <f>IF('1 '!AK41="","",'1 '!AK41)</f>
      </c>
      <c r="W25" s="934"/>
      <c r="X25" s="934"/>
      <c r="Y25" s="934"/>
      <c r="Z25" s="934"/>
      <c r="AA25" s="934"/>
      <c r="AB25" s="934"/>
      <c r="AC25" s="934"/>
      <c r="AD25" s="934"/>
      <c r="AE25" s="934"/>
      <c r="AF25" s="934"/>
      <c r="AG25" s="934"/>
      <c r="AH25" s="934"/>
    </row>
    <row r="26" spans="1:100" s="87" customFormat="1" ht="15" customHeight="1" x14ac:dyDescent="0.2">
      <c r="A26" s="327" t="s">
        <v>537</v>
      </c>
      <c r="B26" s="328"/>
      <c r="C26" s="328"/>
      <c r="D26" s="328"/>
      <c r="E26" s="328"/>
      <c r="F26" s="328"/>
      <c r="G26" s="328"/>
      <c r="H26" s="329"/>
      <c r="I26" s="329"/>
      <c r="J26" s="329"/>
      <c r="K26" s="329"/>
      <c r="L26" s="937" t="str">
        <f>IF('Данные объект'!B5="","",'Данные объект'!B5)</f>
      </c>
      <c r="M26" s="937"/>
      <c r="N26" s="937"/>
      <c r="O26" s="937"/>
      <c r="P26" s="937"/>
      <c r="Q26" s="937"/>
      <c r="R26" s="937"/>
      <c r="S26" s="937"/>
      <c r="T26" s="937"/>
      <c r="U26" s="937"/>
      <c r="V26" s="937"/>
      <c r="W26" s="937"/>
      <c r="X26" s="937"/>
      <c r="Y26" s="937"/>
      <c r="Z26" s="937"/>
      <c r="AA26" s="937"/>
      <c r="AB26" s="937"/>
      <c r="AC26" s="937"/>
      <c r="AD26" s="937"/>
      <c r="AE26" s="937"/>
      <c r="AF26" s="937"/>
      <c r="AG26" s="937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7"/>
      <c r="BD26" s="937"/>
      <c r="BE26" s="937"/>
      <c r="BF26" s="937"/>
      <c r="BG26" s="937"/>
      <c r="BH26" s="937"/>
      <c r="BI26" s="937"/>
      <c r="BJ26" s="937"/>
      <c r="BK26" s="937"/>
      <c r="BL26" s="937"/>
      <c r="BM26" s="937"/>
      <c r="BN26" s="937"/>
      <c r="BO26" s="937"/>
      <c r="BP26" s="937"/>
      <c r="BQ26" s="937"/>
      <c r="BR26" s="937"/>
      <c r="BS26" s="937"/>
      <c r="BT26" s="937"/>
      <c r="BU26" s="937"/>
      <c r="BV26" s="937"/>
      <c r="BW26" s="937"/>
      <c r="BX26" s="937"/>
      <c r="BY26" s="937"/>
      <c r="BZ26" s="937"/>
      <c r="CA26" s="937"/>
      <c r="CB26" s="937"/>
    </row>
    <row r="27" spans="1:100" s="87" customFormat="1" ht="15" customHeight="1" x14ac:dyDescent="0.2">
      <c r="A27" s="327" t="s">
        <v>1289</v>
      </c>
      <c r="B27" s="328"/>
      <c r="C27" s="328"/>
      <c r="D27" s="328"/>
      <c r="E27" s="328"/>
      <c r="F27" s="328"/>
      <c r="G27" s="328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939" t="str">
        <f>IF('Данные объект'!B56="","",'Данные объект'!B56)</f>
      </c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329"/>
      <c r="AN27" s="329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29"/>
      <c r="BA27" s="329"/>
      <c r="BB27" s="329"/>
      <c r="BC27" s="329"/>
      <c r="BD27" s="329"/>
      <c r="BE27" s="329"/>
      <c r="BF27" s="329"/>
      <c r="BG27" s="329"/>
      <c r="BH27" s="329"/>
      <c r="BI27" s="329"/>
      <c r="BJ27" s="329"/>
      <c r="BK27" s="329"/>
      <c r="BL27" s="329"/>
      <c r="BM27" s="329"/>
      <c r="BN27" s="329"/>
      <c r="BO27" s="329"/>
      <c r="BP27" s="329"/>
      <c r="BQ27" s="329"/>
      <c r="BR27" s="329"/>
      <c r="BS27" s="329"/>
      <c r="BT27" s="329"/>
      <c r="BU27" s="329"/>
      <c r="BV27" s="329"/>
      <c r="BW27" s="329"/>
      <c r="BX27" s="329"/>
      <c r="BY27" s="329"/>
      <c r="BZ27" s="329"/>
      <c r="CA27" s="329"/>
      <c r="CB27" s="329"/>
    </row>
    <row r="28" spans="1:100" s="87" customFormat="1" ht="15" customHeight="1" x14ac:dyDescent="0.2">
      <c r="A28" s="330" t="s">
        <v>534</v>
      </c>
      <c r="B28" s="328"/>
      <c r="C28" s="328"/>
      <c r="D28" s="328"/>
      <c r="E28" s="328"/>
      <c r="F28" s="328"/>
      <c r="G28" s="328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  <c r="BE28" s="329"/>
      <c r="BF28" s="329"/>
      <c r="BG28" s="329"/>
      <c r="BH28" s="329"/>
      <c r="BI28" s="329"/>
      <c r="BJ28" s="329"/>
      <c r="BK28" s="329"/>
      <c r="BL28" s="329"/>
      <c r="BM28" s="329"/>
      <c r="BN28" s="329"/>
      <c r="BO28" s="329"/>
      <c r="BP28" s="329"/>
      <c r="BQ28" s="329"/>
      <c r="BR28" s="329"/>
      <c r="BS28" s="329"/>
      <c r="BT28" s="329"/>
      <c r="BU28" s="329"/>
      <c r="BV28" s="329"/>
      <c r="BW28" s="329"/>
      <c r="BX28" s="329"/>
      <c r="BY28" s="329"/>
      <c r="BZ28" s="329"/>
      <c r="CA28" s="329"/>
      <c r="CB28" s="329"/>
    </row>
    <row r="29" spans="1:100" s="87" customFormat="1" ht="15" customHeight="1" x14ac:dyDescent="0.2">
      <c r="A29" s="330" t="s">
        <v>508</v>
      </c>
      <c r="B29" s="328"/>
      <c r="C29" s="328"/>
      <c r="D29" s="328"/>
      <c r="E29" s="328"/>
      <c r="F29" s="328"/>
      <c r="G29" s="328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329"/>
      <c r="AU29" s="329"/>
      <c r="AV29" s="329"/>
      <c r="AW29" s="329"/>
      <c r="AX29" s="329"/>
      <c r="AY29" s="329"/>
      <c r="AZ29" s="329"/>
      <c r="BA29" s="329"/>
      <c r="BB29" s="329"/>
      <c r="BC29" s="329"/>
      <c r="BD29" s="329"/>
      <c r="BE29" s="329"/>
      <c r="BF29" s="329"/>
      <c r="BG29" s="329"/>
      <c r="BH29" s="329"/>
      <c r="BI29" s="329"/>
      <c r="BJ29" s="329"/>
      <c r="BK29" s="329"/>
      <c r="BL29" s="329"/>
      <c r="BM29" s="329"/>
      <c r="BN29" s="329"/>
      <c r="BO29" s="329"/>
      <c r="BP29" s="329"/>
      <c r="BQ29" s="329"/>
      <c r="BR29" s="329"/>
      <c r="BS29" s="329"/>
      <c r="BT29" s="329"/>
      <c r="BU29" s="329"/>
      <c r="BV29" s="329"/>
      <c r="BW29" s="329"/>
      <c r="BX29" s="329"/>
      <c r="BY29" s="329"/>
      <c r="BZ29" s="329"/>
      <c r="CA29" s="329"/>
      <c r="CB29" s="329"/>
    </row>
    <row r="30" spans="1:100" s="87" customFormat="1" ht="15" hidden="1" customHeight="1" x14ac:dyDescent="0.2">
      <c r="A30" s="331" t="s">
        <v>539</v>
      </c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938"/>
      <c r="O30" s="938"/>
      <c r="P30" s="938"/>
      <c r="Q30" s="938"/>
      <c r="R30" s="938"/>
      <c r="S30" s="938"/>
      <c r="T30" s="938"/>
      <c r="U30" s="938"/>
      <c r="V30" s="938"/>
      <c r="W30" s="938"/>
      <c r="X30" s="938"/>
      <c r="Y30" s="938"/>
      <c r="Z30" s="938"/>
      <c r="AA30" s="938"/>
      <c r="AB30" s="938"/>
      <c r="AC30" s="938"/>
      <c r="AD30" s="938"/>
      <c r="AE30" s="938"/>
      <c r="AF30" s="938"/>
      <c r="AG30" s="938"/>
      <c r="AH30" s="938"/>
      <c r="AI30" s="938"/>
      <c r="AJ30" s="938"/>
      <c r="AK30" s="938"/>
      <c r="AL30" s="938"/>
      <c r="AM30" s="938"/>
      <c r="AN30" s="938"/>
      <c r="AO30" s="938"/>
      <c r="AP30" s="938"/>
      <c r="AQ30" s="938"/>
      <c r="AR30" s="938"/>
      <c r="AS30" s="938"/>
      <c r="AT30" s="938"/>
      <c r="AU30" s="938"/>
      <c r="AV30" s="938"/>
      <c r="AW30" s="938"/>
      <c r="AX30" s="938"/>
      <c r="AY30" s="938"/>
      <c r="AZ30" s="938"/>
      <c r="BA30" s="329"/>
      <c r="BB30" s="329"/>
      <c r="BC30" s="329"/>
      <c r="BD30" s="329"/>
      <c r="BE30" s="329"/>
      <c r="BF30" s="329"/>
      <c r="BG30" s="329"/>
      <c r="BH30" s="329"/>
      <c r="BI30" s="329"/>
      <c r="BJ30" s="329"/>
      <c r="BK30" s="329"/>
      <c r="BL30" s="329"/>
      <c r="BM30" s="329"/>
      <c r="BN30" s="329"/>
      <c r="BO30" s="329"/>
      <c r="BP30" s="329"/>
      <c r="BQ30" s="329"/>
      <c r="BR30" s="329"/>
      <c r="BS30" s="329"/>
      <c r="BT30" s="329"/>
      <c r="BU30" s="329"/>
      <c r="BV30" s="329"/>
      <c r="BW30" s="329"/>
      <c r="BX30" s="329"/>
      <c r="BY30" s="329"/>
      <c r="BZ30" s="329"/>
      <c r="CA30" s="329"/>
      <c r="CB30" s="329"/>
      <c r="CG30" s="87" t="s">
        <v>760</v>
      </c>
    </row>
    <row r="31" spans="1:100" s="87" customFormat="1" ht="15" customHeight="1" x14ac:dyDescent="0.2">
      <c r="A31" s="330" t="s">
        <v>538</v>
      </c>
      <c r="B31" s="330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935" t="s">
        <v>540</v>
      </c>
      <c r="Q31" s="935"/>
      <c r="R31" s="935"/>
      <c r="S31" s="935"/>
      <c r="T31" s="935"/>
      <c r="U31" s="935"/>
      <c r="V31" s="935"/>
      <c r="W31" s="935"/>
      <c r="X31" s="935"/>
      <c r="Y31" s="935"/>
      <c r="Z31" s="935"/>
      <c r="AA31" s="935"/>
      <c r="AB31" s="935"/>
      <c r="AC31" s="935"/>
      <c r="AD31" s="935"/>
      <c r="AE31" s="936">
        <v>4.7699999999999996</v>
      </c>
      <c r="AF31" s="936"/>
      <c r="AG31" s="936"/>
      <c r="AH31" s="935" t="s">
        <v>541</v>
      </c>
      <c r="AI31" s="935"/>
      <c r="AJ31" s="333" t="s">
        <v>542</v>
      </c>
      <c r="AK31" s="935" t="s">
        <v>543</v>
      </c>
      <c r="AL31" s="935"/>
      <c r="AM31" s="935"/>
      <c r="AN31" s="935"/>
      <c r="AO31" s="935"/>
      <c r="AP31" s="935"/>
      <c r="AQ31" s="935"/>
      <c r="AR31" s="935"/>
      <c r="AS31" s="935"/>
      <c r="AT31" s="935"/>
      <c r="AU31" s="935"/>
      <c r="AV31" s="935"/>
      <c r="AW31" s="935"/>
      <c r="AX31" s="935"/>
      <c r="AY31" s="935"/>
      <c r="AZ31" s="936">
        <v>4.7699999999999996</v>
      </c>
      <c r="BA31" s="936"/>
      <c r="BB31" s="936"/>
      <c r="BC31" s="935" t="s">
        <v>541</v>
      </c>
      <c r="BD31" s="935"/>
      <c r="BE31" s="935" t="s">
        <v>544</v>
      </c>
      <c r="BF31" s="935"/>
      <c r="BG31" s="935"/>
      <c r="BH31" s="935"/>
      <c r="BI31" s="935"/>
      <c r="BJ31" s="935"/>
      <c r="BK31" s="935"/>
      <c r="BL31" s="935"/>
      <c r="BM31" s="935"/>
      <c r="BN31" s="934">
        <v>4</v>
      </c>
      <c r="BO31" s="934"/>
      <c r="BP31" s="934"/>
      <c r="BQ31" s="934"/>
      <c r="BR31" s="934"/>
      <c r="BS31" s="934"/>
      <c r="BT31" s="934"/>
      <c r="BU31" s="934"/>
      <c r="BV31" s="934"/>
      <c r="BW31" s="934"/>
      <c r="BX31" s="934"/>
      <c r="BY31" s="934"/>
      <c r="BZ31" s="934"/>
      <c r="CA31" s="935" t="s">
        <v>504</v>
      </c>
      <c r="CB31" s="935"/>
      <c r="CG31" s="87" t="s">
        <v>761</v>
      </c>
    </row>
    <row r="32" spans="1:100" s="87" customFormat="1" ht="15" hidden="1" customHeight="1" x14ac:dyDescent="0.2">
      <c r="A32" s="327" t="s">
        <v>546</v>
      </c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934" t="s">
        <v>547</v>
      </c>
      <c r="T32" s="934"/>
      <c r="U32" s="934"/>
      <c r="V32" s="934"/>
      <c r="W32" s="934"/>
      <c r="X32" s="934"/>
      <c r="Y32" s="934"/>
      <c r="Z32" s="934"/>
      <c r="AA32" s="934"/>
      <c r="AB32" s="934"/>
      <c r="AC32" s="332"/>
      <c r="AD32" s="332"/>
      <c r="AE32" s="332"/>
      <c r="AF32" s="332"/>
      <c r="AG32" s="332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  <c r="BE32" s="329"/>
      <c r="BF32" s="329"/>
      <c r="BG32" s="329"/>
      <c r="BH32" s="329"/>
      <c r="BI32" s="329"/>
      <c r="BJ32" s="329"/>
      <c r="BK32" s="329"/>
      <c r="BL32" s="329"/>
      <c r="BM32" s="329"/>
      <c r="BN32" s="329"/>
      <c r="BO32" s="329"/>
      <c r="BP32" s="329"/>
      <c r="BQ32" s="329"/>
      <c r="BR32" s="329"/>
      <c r="BS32" s="329"/>
      <c r="BT32" s="329"/>
      <c r="BU32" s="329"/>
      <c r="BV32" s="329"/>
      <c r="BW32" s="329"/>
      <c r="BX32" s="329"/>
      <c r="BY32" s="329"/>
      <c r="BZ32" s="329"/>
      <c r="CA32" s="329"/>
      <c r="CB32" s="329"/>
      <c r="CG32" s="87" t="s">
        <v>760</v>
      </c>
      <c r="CV32" s="87" t="s">
        <v>762</v>
      </c>
    </row>
    <row r="33" spans="1:85" s="87" customFormat="1" ht="15" customHeight="1" x14ac:dyDescent="0.2">
      <c r="A33" s="334" t="s">
        <v>545</v>
      </c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934" t="s">
        <v>1362</v>
      </c>
      <c r="Y33" s="934"/>
      <c r="Z33" s="934"/>
      <c r="AA33" s="934"/>
      <c r="AB33" s="934"/>
      <c r="AC33" s="934"/>
      <c r="AD33" s="934"/>
      <c r="AE33" s="934"/>
      <c r="AF33" s="934"/>
      <c r="AG33" s="934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  <c r="BE33" s="329"/>
      <c r="BF33" s="329"/>
      <c r="BG33" s="329"/>
      <c r="BH33" s="329"/>
      <c r="BI33" s="329"/>
      <c r="BJ33" s="329"/>
      <c r="BK33" s="329"/>
      <c r="BL33" s="329"/>
      <c r="BM33" s="329"/>
      <c r="BN33" s="329"/>
      <c r="BO33" s="329"/>
      <c r="BP33" s="329"/>
      <c r="BQ33" s="329"/>
      <c r="BR33" s="329"/>
      <c r="BS33" s="329"/>
      <c r="BT33" s="329"/>
      <c r="BU33" s="329"/>
      <c r="BV33" s="329"/>
      <c r="BW33" s="329"/>
      <c r="BX33" s="329"/>
      <c r="BY33" s="329"/>
      <c r="BZ33" s="329"/>
      <c r="CA33" s="329"/>
      <c r="CB33" s="329"/>
      <c r="CG33" s="87" t="s">
        <v>761</v>
      </c>
    </row>
    <row r="34" spans="1:85" s="87" customFormat="1" ht="15" customHeight="1" x14ac:dyDescent="0.2">
      <c r="A34" s="933" t="s">
        <v>722</v>
      </c>
      <c r="B34" s="933"/>
      <c r="C34" s="933"/>
      <c r="D34" s="933"/>
      <c r="E34" s="933"/>
      <c r="F34" s="933"/>
      <c r="G34" s="933"/>
      <c r="H34" s="933"/>
      <c r="I34" s="933"/>
      <c r="J34" s="933"/>
      <c r="K34" s="933"/>
      <c r="L34" s="933"/>
      <c r="M34" s="933"/>
      <c r="N34" s="933"/>
      <c r="O34" s="933"/>
      <c r="P34" s="933"/>
      <c r="Q34" s="933"/>
      <c r="R34" s="933"/>
      <c r="S34" s="933"/>
      <c r="T34" s="933"/>
      <c r="U34" s="934" t="s">
        <v>723</v>
      </c>
      <c r="V34" s="934"/>
      <c r="W34" s="934"/>
      <c r="X34" s="934"/>
      <c r="Y34" s="934"/>
      <c r="Z34" s="934"/>
      <c r="AA34" s="934"/>
      <c r="AB34" s="934"/>
      <c r="AC34" s="934"/>
      <c r="AD34" s="934"/>
      <c r="AE34" s="934"/>
      <c r="AF34" s="934"/>
      <c r="AG34" s="934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29"/>
      <c r="BS34" s="329"/>
      <c r="BT34" s="329"/>
      <c r="BU34" s="329"/>
      <c r="BV34" s="329"/>
      <c r="BW34" s="329"/>
      <c r="BX34" s="329"/>
      <c r="BY34" s="329"/>
      <c r="BZ34" s="329"/>
      <c r="CA34" s="329"/>
      <c r="CB34" s="329"/>
      <c r="CG34" s="87" t="s">
        <v>761</v>
      </c>
    </row>
    <row r="35" spans="1:85" s="87" customFormat="1" ht="15" customHeight="1" x14ac:dyDescent="0.2">
      <c r="A35" s="330" t="s">
        <v>507</v>
      </c>
      <c r="B35" s="328"/>
      <c r="C35" s="328"/>
      <c r="D35" s="328"/>
      <c r="E35" s="328"/>
      <c r="F35" s="328"/>
      <c r="G35" s="328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29"/>
      <c r="BN35" s="329"/>
      <c r="BO35" s="329"/>
      <c r="BP35" s="329"/>
      <c r="BQ35" s="329"/>
      <c r="BR35" s="329"/>
      <c r="BS35" s="329"/>
      <c r="BT35" s="329"/>
      <c r="BU35" s="329"/>
      <c r="BV35" s="329"/>
      <c r="BW35" s="329"/>
      <c r="BX35" s="329"/>
      <c r="BY35" s="329"/>
      <c r="BZ35" s="329"/>
      <c r="CA35" s="329"/>
      <c r="CB35" s="329"/>
    </row>
    <row r="36" spans="1:85" s="87" customFormat="1" ht="15" customHeight="1" x14ac:dyDescent="0.2">
      <c r="A36" s="330" t="s">
        <v>457</v>
      </c>
      <c r="B36" s="328"/>
      <c r="C36" s="328"/>
      <c r="D36" s="328"/>
      <c r="E36" s="328"/>
      <c r="F36" s="328"/>
      <c r="G36" s="328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29"/>
      <c r="BE36" s="329"/>
      <c r="BF36" s="329"/>
      <c r="BG36" s="329"/>
      <c r="BH36" s="329"/>
      <c r="BI36" s="329"/>
      <c r="BJ36" s="329"/>
      <c r="BK36" s="329"/>
      <c r="BL36" s="329"/>
      <c r="BM36" s="329"/>
      <c r="BN36" s="329"/>
      <c r="BO36" s="329"/>
      <c r="BP36" s="329"/>
      <c r="BQ36" s="329"/>
      <c r="BR36" s="329"/>
      <c r="BS36" s="329"/>
      <c r="BT36" s="329"/>
      <c r="BU36" s="329"/>
      <c r="BV36" s="329"/>
      <c r="BW36" s="329"/>
      <c r="BX36" s="329"/>
      <c r="BY36" s="329"/>
      <c r="BZ36" s="329"/>
      <c r="CA36" s="329"/>
      <c r="CB36" s="329"/>
    </row>
    <row r="37" spans="1:85" s="87" customFormat="1" ht="15" customHeight="1" x14ac:dyDescent="0.2">
      <c r="A37" s="92" t="s">
        <v>506</v>
      </c>
      <c r="B37" s="93"/>
      <c r="C37" s="93"/>
      <c r="D37" s="93"/>
      <c r="E37" s="93"/>
      <c r="F37" s="93"/>
      <c r="G37" s="93"/>
    </row>
    <row r="38" spans="1:85" s="11" customFormat="1" ht="11.25" x14ac:dyDescent="0.2"/>
    <row r="39" spans="1:85" s="11" customFormat="1" ht="11.25" x14ac:dyDescent="0.2">
      <c r="C39" s="11" t="s">
        <v>95</v>
      </c>
    </row>
    <row r="40" spans="1:85" s="11" customFormat="1" ht="11.25" x14ac:dyDescent="0.2">
      <c r="D40" s="45" t="s">
        <v>61</v>
      </c>
      <c r="E40" s="45"/>
      <c r="F40" s="45"/>
      <c r="G40" s="45"/>
      <c r="H40" s="45"/>
      <c r="AM40" s="855"/>
      <c r="AN40" s="855"/>
      <c r="AO40" s="855"/>
      <c r="AP40" s="855"/>
      <c r="AQ40" s="855"/>
      <c r="AR40" s="855"/>
      <c r="AS40" s="855"/>
      <c r="AT40" s="855"/>
      <c r="AU40" s="855"/>
      <c r="AV40" s="855"/>
      <c r="AW40" s="855"/>
      <c r="AX40" s="855"/>
      <c r="AY40" s="855"/>
      <c r="BC40" s="831" t="str">
        <f>IF('Данные объект'!B28="","",'Данные объект'!B28)</f>
      </c>
      <c r="BD40" s="831"/>
      <c r="BE40" s="831"/>
      <c r="BF40" s="831"/>
      <c r="BG40" s="831"/>
      <c r="BH40" s="831"/>
      <c r="BI40" s="831"/>
      <c r="BJ40" s="831"/>
      <c r="BK40" s="831"/>
      <c r="BL40" s="831"/>
      <c r="BM40" s="831"/>
      <c r="BN40" s="831"/>
      <c r="BO40" s="831"/>
      <c r="BP40" s="831"/>
      <c r="BQ40" s="831"/>
    </row>
    <row r="41" spans="1:85" s="2" customFormat="1" ht="13.5" x14ac:dyDescent="0.25">
      <c r="F41" s="10"/>
      <c r="G41" s="10"/>
      <c r="H41" s="10"/>
      <c r="AM41" s="858" t="s">
        <v>2</v>
      </c>
      <c r="AN41" s="858"/>
      <c r="AO41" s="858"/>
      <c r="AP41" s="858"/>
      <c r="AQ41" s="858"/>
      <c r="AR41" s="858"/>
      <c r="AS41" s="858"/>
      <c r="AT41" s="858"/>
      <c r="AU41" s="858"/>
      <c r="AV41" s="858"/>
      <c r="AW41" s="858"/>
      <c r="AX41" s="858"/>
      <c r="AY41" s="858"/>
    </row>
    <row r="42" spans="1:85" s="2" customFormat="1" ht="12.75" x14ac:dyDescent="0.2"/>
    <row r="43" spans="1:85" s="2" customFormat="1" ht="12.75" x14ac:dyDescent="0.2">
      <c r="C43" s="11" t="s">
        <v>96</v>
      </c>
      <c r="D43" s="11"/>
    </row>
    <row r="44" spans="1:85" s="11" customFormat="1" ht="11.25" x14ac:dyDescent="0.2">
      <c r="D44" s="45" t="s">
        <v>344</v>
      </c>
      <c r="AM44" s="855"/>
      <c r="AN44" s="855"/>
      <c r="AO44" s="855"/>
      <c r="AP44" s="855"/>
      <c r="AQ44" s="855"/>
      <c r="AR44" s="855"/>
      <c r="AS44" s="855"/>
      <c r="AT44" s="855"/>
      <c r="AU44" s="855"/>
      <c r="AV44" s="855"/>
      <c r="AW44" s="855"/>
      <c r="AX44" s="855"/>
      <c r="AY44" s="855"/>
      <c r="BC44" s="831" t="str">
        <f>IF('Данные объект'!B42="","",'Данные объект'!B42)</f>
      </c>
      <c r="BD44" s="831"/>
      <c r="BE44" s="831"/>
      <c r="BF44" s="831"/>
      <c r="BG44" s="831"/>
      <c r="BH44" s="831"/>
      <c r="BI44" s="831"/>
      <c r="BJ44" s="831"/>
      <c r="BK44" s="831"/>
      <c r="BL44" s="831"/>
      <c r="BM44" s="831"/>
      <c r="BN44" s="831"/>
      <c r="BO44" s="831"/>
      <c r="BP44" s="831"/>
      <c r="BQ44" s="831"/>
    </row>
    <row r="45" spans="1:85" s="11" customFormat="1" ht="11.25" x14ac:dyDescent="0.2">
      <c r="E45" s="45"/>
      <c r="F45" s="45"/>
      <c r="G45" s="57"/>
      <c r="H45" s="57"/>
      <c r="I45" s="57"/>
      <c r="J45" s="57"/>
      <c r="K45" s="57"/>
      <c r="L45" s="57"/>
      <c r="M45" s="57"/>
      <c r="AM45" s="490" t="s">
        <v>2</v>
      </c>
      <c r="AN45" s="490"/>
      <c r="AO45" s="490"/>
      <c r="AP45" s="490"/>
      <c r="AQ45" s="490"/>
      <c r="AR45" s="490"/>
      <c r="AS45" s="490"/>
      <c r="AT45" s="490"/>
      <c r="AU45" s="490"/>
      <c r="AV45" s="490"/>
      <c r="AW45" s="490"/>
      <c r="AX45" s="490"/>
      <c r="AY45" s="490"/>
    </row>
    <row r="46" spans="1:85" s="11" customFormat="1" ht="11.25" x14ac:dyDescent="0.2">
      <c r="E46" s="45"/>
      <c r="F46" s="45"/>
      <c r="G46" s="57"/>
      <c r="H46" s="57"/>
      <c r="I46" s="57"/>
      <c r="J46" s="57"/>
      <c r="K46" s="57"/>
      <c r="L46" s="57"/>
      <c r="M46" s="57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85" s="11" customFormat="1" ht="11.25" x14ac:dyDescent="0.2">
      <c r="E47" s="45"/>
      <c r="F47" s="45"/>
      <c r="G47" s="57"/>
      <c r="H47" s="57"/>
      <c r="I47" s="57"/>
      <c r="J47" s="57"/>
      <c r="K47" s="57"/>
      <c r="L47" s="57"/>
      <c r="M47" s="57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85" s="11" customFormat="1" ht="11.25" collapsed="1" x14ac:dyDescent="0.2">
      <c r="C48" s="57"/>
      <c r="D48" s="45"/>
      <c r="E48" s="45"/>
      <c r="F48" s="45"/>
      <c r="G48" s="57"/>
      <c r="H48" s="57"/>
      <c r="I48" s="57"/>
      <c r="J48" s="57"/>
      <c r="K48" s="57"/>
      <c r="L48" s="57"/>
      <c r="M48" s="57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31" t="str">
        <f>IF('Данные объект'!B47="","",'Данные объект'!B47)</f>
      </c>
      <c r="BD48" s="831"/>
      <c r="BE48" s="831"/>
      <c r="BF48" s="831"/>
      <c r="BG48" s="831"/>
      <c r="BH48" s="831"/>
      <c r="BI48" s="831"/>
      <c r="BJ48" s="831"/>
      <c r="BK48" s="831"/>
      <c r="BL48" s="831"/>
      <c r="BM48" s="831"/>
      <c r="BN48" s="831"/>
      <c r="BO48" s="831"/>
      <c r="BP48" s="831"/>
      <c r="BQ48" s="831"/>
    </row>
    <row r="49" spans="3:51" s="11" customFormat="1" ht="11.25" x14ac:dyDescent="0.2">
      <c r="C49" s="57"/>
      <c r="E49" s="45"/>
      <c r="F49" s="45"/>
      <c r="G49" s="57"/>
      <c r="H49" s="57"/>
      <c r="I49" s="57"/>
      <c r="J49" s="57"/>
      <c r="K49" s="57"/>
      <c r="L49" s="57"/>
      <c r="M49" s="57"/>
      <c r="AM49" s="490" t="s">
        <v>2</v>
      </c>
      <c r="AN49" s="490"/>
      <c r="AO49" s="490"/>
      <c r="AP49" s="490"/>
      <c r="AQ49" s="490"/>
      <c r="AR49" s="490"/>
      <c r="AS49" s="490"/>
      <c r="AT49" s="490"/>
      <c r="AU49" s="490"/>
      <c r="AV49" s="490"/>
      <c r="AW49" s="490"/>
      <c r="AX49" s="490"/>
      <c r="AY49" s="490"/>
    </row>
    <row r="50" spans="3:51" s="2" customFormat="1" ht="12.75" x14ac:dyDescent="0.2"/>
    <row r="51" spans="3:51" s="2" customFormat="1" ht="12.75" x14ac:dyDescent="0.2"/>
    <row r="52" spans="3:51" s="2" customFormat="1" ht="12.75" x14ac:dyDescent="0.2"/>
    <row r="53" spans="3:51" s="2" customFormat="1" ht="12.75" x14ac:dyDescent="0.2"/>
    <row r="54" spans="3:51" s="2" customFormat="1" ht="12.75" x14ac:dyDescent="0.2"/>
    <row r="55" spans="3:51" s="2" customFormat="1" ht="12.75" x14ac:dyDescent="0.2"/>
    <row r="56" spans="3:51" s="2" customFormat="1" ht="12.75" x14ac:dyDescent="0.2"/>
    <row r="57" spans="3:51" s="2" customFormat="1" ht="12.75" x14ac:dyDescent="0.2"/>
    <row r="58" spans="3:51" s="2" customFormat="1" ht="12.75" x14ac:dyDescent="0.2"/>
    <row r="59" spans="3:51" s="2" customFormat="1" ht="12.75" x14ac:dyDescent="0.2"/>
    <row r="60" spans="3:51" s="2" customFormat="1" ht="12.75" x14ac:dyDescent="0.2"/>
    <row r="61" spans="3:51" s="2" customFormat="1" ht="12.75" x14ac:dyDescent="0.2"/>
    <row r="62" spans="3:51" s="2" customFormat="1" ht="12.75" x14ac:dyDescent="0.2"/>
    <row r="63" spans="3:51" s="2" customFormat="1" ht="12.75" x14ac:dyDescent="0.2"/>
    <row r="64" spans="3:51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  <row r="211" s="2" customFormat="1" ht="12.75" x14ac:dyDescent="0.2"/>
    <row r="212" s="2" customFormat="1" ht="12.75" x14ac:dyDescent="0.2"/>
    <row r="213" s="2" customFormat="1" ht="12.75" x14ac:dyDescent="0.2"/>
    <row r="214" s="2" customFormat="1" ht="12.75" x14ac:dyDescent="0.2"/>
    <row r="215" s="2" customFormat="1" ht="12.75" x14ac:dyDescent="0.2"/>
    <row r="216" s="2" customFormat="1" ht="12.75" x14ac:dyDescent="0.2"/>
    <row r="217" s="2" customFormat="1" ht="12.75" x14ac:dyDescent="0.2"/>
    <row r="218" s="2" customFormat="1" ht="12.75" x14ac:dyDescent="0.2"/>
    <row r="219" s="2" customFormat="1" ht="12.75" x14ac:dyDescent="0.2"/>
    <row r="220" s="2" customFormat="1" ht="12.75" x14ac:dyDescent="0.2"/>
    <row r="221" s="2" customFormat="1" ht="12.75" x14ac:dyDescent="0.2"/>
  </sheetData>
  <mergeCells count="49">
    <mergeCell ref="AM45:AY45"/>
    <mergeCell ref="AM40:AY40"/>
    <mergeCell ref="BC40:BQ40"/>
    <mergeCell ref="AM41:AY41"/>
    <mergeCell ref="L26:CB26"/>
    <mergeCell ref="N30:AZ30"/>
    <mergeCell ref="P31:AD31"/>
    <mergeCell ref="W27:AL27"/>
    <mergeCell ref="AH31:AI31"/>
    <mergeCell ref="AK31:AY31"/>
    <mergeCell ref="AZ31:BB31"/>
    <mergeCell ref="BC31:BD31"/>
    <mergeCell ref="BE31:BM31"/>
    <mergeCell ref="BN31:BZ31"/>
    <mergeCell ref="A11:AI11"/>
    <mergeCell ref="AR11:BZ11"/>
    <mergeCell ref="A18:CB18"/>
    <mergeCell ref="A19:CB19"/>
    <mergeCell ref="A13:CB13"/>
    <mergeCell ref="A14:CB14"/>
    <mergeCell ref="AR12:BZ12"/>
    <mergeCell ref="A5:AI5"/>
    <mergeCell ref="AR5:BZ5"/>
    <mergeCell ref="AR6:BZ9"/>
    <mergeCell ref="A8:AI9"/>
    <mergeCell ref="A10:AI10"/>
    <mergeCell ref="AR10:BZ10"/>
    <mergeCell ref="AR1:BZ2"/>
    <mergeCell ref="A2:AI2"/>
    <mergeCell ref="A3:AI3"/>
    <mergeCell ref="AR3:BZ3"/>
    <mergeCell ref="A4:AI4"/>
    <mergeCell ref="AR4:BZ4"/>
    <mergeCell ref="A20:CB20"/>
    <mergeCell ref="A21:CB21"/>
    <mergeCell ref="AM48:AY48"/>
    <mergeCell ref="BC48:BQ48"/>
    <mergeCell ref="AM49:AY49"/>
    <mergeCell ref="A34:T34"/>
    <mergeCell ref="U34:AG34"/>
    <mergeCell ref="A24:CB24"/>
    <mergeCell ref="A23:CB23"/>
    <mergeCell ref="V25:AH25"/>
    <mergeCell ref="CA31:CB31"/>
    <mergeCell ref="X33:AG33"/>
    <mergeCell ref="S32:AB32"/>
    <mergeCell ref="AE31:AG31"/>
    <mergeCell ref="AM44:AY44"/>
    <mergeCell ref="BC44:BQ44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6EA7-7BB4-4C47-838E-E59C0A8B6C40}">
  <sheetPr>
    <tabColor rgb="FFCCFFFF"/>
  </sheetPr>
  <dimension ref="A1:CB210"/>
  <sheetViews>
    <sheetView view="pageBreakPreview" topLeftCell="A4" zoomScaleNormal="100" zoomScaleSheetLayoutView="100" workbookViewId="0">
      <selection activeCell="CZ28" sqref="CZ28"/>
    </sheetView>
  </sheetViews>
  <sheetFormatPr defaultColWidth="9.140625" defaultRowHeight="15" x14ac:dyDescent="0.25"/>
  <cols>
    <col min="1" max="79" width="1.140625" customWidth="1"/>
    <col min="80" max="80" width="2" customWidth="1"/>
    <col min="8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33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940" t="str">
        <f>IF('Данные объект'!B3="","",'Данные объект'!B3)</f>
      </c>
      <c r="AS6" s="940"/>
      <c r="AT6" s="940"/>
      <c r="AU6" s="940"/>
      <c r="AV6" s="940"/>
      <c r="AW6" s="940"/>
      <c r="AX6" s="940"/>
      <c r="AY6" s="940"/>
      <c r="AZ6" s="940"/>
      <c r="BA6" s="940"/>
      <c r="BB6" s="940"/>
      <c r="BC6" s="940"/>
      <c r="BD6" s="940"/>
      <c r="BE6" s="940"/>
      <c r="BF6" s="940"/>
      <c r="BG6" s="940"/>
      <c r="BH6" s="940"/>
      <c r="BI6" s="940"/>
      <c r="BJ6" s="940"/>
      <c r="BK6" s="940"/>
      <c r="BL6" s="940"/>
      <c r="BM6" s="940"/>
      <c r="BN6" s="940"/>
      <c r="BO6" s="940"/>
      <c r="BP6" s="940"/>
      <c r="BQ6" s="940"/>
      <c r="BR6" s="940"/>
      <c r="BS6" s="940"/>
      <c r="BT6" s="940"/>
      <c r="BU6" s="940"/>
      <c r="BV6" s="940"/>
      <c r="BW6" s="940"/>
      <c r="BX6" s="940"/>
      <c r="BY6" s="940"/>
      <c r="BZ6" s="940"/>
    </row>
    <row r="7" spans="1:80" s="2" customFormat="1" ht="11.2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940"/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64"/>
      <c r="CB7" s="64"/>
    </row>
    <row r="8" spans="1:80" s="2" customFormat="1" ht="13.15" customHeight="1" x14ac:dyDescent="0.25">
      <c r="A8" s="836" t="str">
        <f>IF('Данные объект'!B12="","",'Данные объект'!B12)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64"/>
      <c r="CB8" s="64"/>
    </row>
    <row r="9" spans="1:80" s="2" customFormat="1" ht="13.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11.4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x14ac:dyDescent="0.25">
      <c r="A13" s="931" t="s">
        <v>1238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1293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15.75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</row>
    <row r="16" spans="1:80" s="87" customFormat="1" ht="13.9" customHeight="1" x14ac:dyDescent="0.2">
      <c r="A16" s="947" t="s">
        <v>724</v>
      </c>
      <c r="B16" s="948"/>
      <c r="C16" s="948"/>
      <c r="D16" s="948"/>
      <c r="E16" s="948"/>
      <c r="F16" s="948"/>
      <c r="G16" s="948"/>
      <c r="H16" s="948"/>
      <c r="I16" s="948"/>
      <c r="J16" s="948"/>
      <c r="K16" s="948"/>
      <c r="L16" s="948"/>
      <c r="M16" s="948"/>
      <c r="N16" s="948"/>
      <c r="O16" s="948"/>
      <c r="P16" s="948"/>
      <c r="Q16" s="949" t="str">
        <f>IF('1 '!AK41="","",'1 '!AK41)</f>
      </c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49"/>
      <c r="AC16" s="949"/>
      <c r="AD16" s="949"/>
      <c r="AE16" s="949"/>
      <c r="AF16" s="335" t="s">
        <v>13</v>
      </c>
      <c r="AG16" s="335"/>
      <c r="AH16" s="335"/>
      <c r="AI16" s="934" t="str">
        <f>IF('Ведомость общ'!AU22="","",'Ведомость общ'!AU22)</f>
      </c>
      <c r="AJ16" s="934"/>
      <c r="AK16" s="934"/>
      <c r="AL16" s="934"/>
      <c r="AM16" s="934"/>
      <c r="AN16" s="934"/>
      <c r="AO16" s="934"/>
      <c r="AP16" s="934"/>
      <c r="AQ16" s="934"/>
      <c r="AR16" s="934"/>
      <c r="AS16" s="934"/>
    </row>
    <row r="17" spans="1:80" s="87" customFormat="1" ht="25.9" customHeight="1" x14ac:dyDescent="0.2">
      <c r="A17" s="946" t="s">
        <v>466</v>
      </c>
      <c r="B17" s="946"/>
      <c r="C17" s="946"/>
      <c r="D17" s="946"/>
      <c r="E17" s="946"/>
      <c r="F17" s="946"/>
      <c r="G17" s="946"/>
      <c r="H17" s="946"/>
      <c r="I17" s="950" t="s">
        <v>493</v>
      </c>
      <c r="J17" s="950"/>
      <c r="K17" s="950"/>
      <c r="L17" s="950"/>
      <c r="M17" s="950"/>
      <c r="N17" s="950"/>
      <c r="O17" s="950"/>
      <c r="P17" s="950"/>
      <c r="Q17" s="950"/>
      <c r="R17" s="950"/>
      <c r="S17" s="950"/>
      <c r="T17" s="950"/>
      <c r="U17" s="950"/>
      <c r="V17" s="950"/>
      <c r="W17" s="950"/>
      <c r="X17" s="950"/>
      <c r="Y17" s="950"/>
      <c r="Z17" s="950"/>
      <c r="AA17" s="950"/>
      <c r="AB17" s="950"/>
      <c r="AC17" s="950"/>
      <c r="AD17" s="950"/>
      <c r="AE17" s="950"/>
      <c r="AF17" s="950"/>
      <c r="AG17" s="950"/>
      <c r="AH17" s="950"/>
      <c r="AI17" s="950"/>
      <c r="AJ17" s="950"/>
      <c r="AK17" s="950"/>
      <c r="AL17" s="950"/>
      <c r="AM17" s="950"/>
      <c r="AN17" s="950"/>
      <c r="AO17" s="950"/>
      <c r="AP17" s="950"/>
      <c r="AQ17" s="950"/>
      <c r="AR17" s="950"/>
      <c r="AS17" s="950"/>
      <c r="AT17" s="950"/>
      <c r="AU17" s="950"/>
      <c r="AV17" s="950"/>
      <c r="AW17" s="950"/>
      <c r="AX17" s="946" t="s">
        <v>492</v>
      </c>
      <c r="AY17" s="946"/>
      <c r="AZ17" s="946"/>
      <c r="BA17" s="946"/>
      <c r="BB17" s="946"/>
      <c r="BC17" s="946"/>
      <c r="BD17" s="946"/>
      <c r="BE17" s="946"/>
      <c r="BF17" s="946"/>
      <c r="BG17" s="946"/>
      <c r="BH17" s="946"/>
      <c r="BI17" s="946"/>
      <c r="BJ17" s="946"/>
      <c r="BK17" s="946"/>
      <c r="BL17" s="946"/>
      <c r="BM17" s="946"/>
      <c r="BN17" s="946"/>
    </row>
    <row r="18" spans="1:80" s="87" customFormat="1" ht="25.9" customHeight="1" x14ac:dyDescent="0.2">
      <c r="A18" s="944" t="s">
        <v>465</v>
      </c>
      <c r="B18" s="944"/>
      <c r="C18" s="944"/>
      <c r="D18" s="944"/>
      <c r="E18" s="944"/>
      <c r="F18" s="944"/>
      <c r="G18" s="944"/>
      <c r="H18" s="944"/>
      <c r="I18" s="942" t="s">
        <v>550</v>
      </c>
      <c r="J18" s="942"/>
      <c r="K18" s="942"/>
      <c r="L18" s="942"/>
      <c r="M18" s="942"/>
      <c r="N18" s="942"/>
      <c r="O18" s="942"/>
      <c r="P18" s="942"/>
      <c r="Q18" s="942"/>
      <c r="R18" s="942"/>
      <c r="S18" s="942"/>
      <c r="T18" s="942"/>
      <c r="U18" s="942"/>
      <c r="V18" s="942"/>
      <c r="W18" s="942"/>
      <c r="X18" s="942"/>
      <c r="Y18" s="942"/>
      <c r="Z18" s="942"/>
      <c r="AA18" s="942"/>
      <c r="AB18" s="942"/>
      <c r="AC18" s="942"/>
      <c r="AD18" s="942"/>
      <c r="AE18" s="942"/>
      <c r="AF18" s="942"/>
      <c r="AG18" s="942"/>
      <c r="AH18" s="942"/>
      <c r="AI18" s="942"/>
      <c r="AJ18" s="942"/>
      <c r="AK18" s="942"/>
      <c r="AL18" s="942"/>
      <c r="AM18" s="942"/>
      <c r="AN18" s="942"/>
      <c r="AO18" s="942"/>
      <c r="AP18" s="942"/>
      <c r="AQ18" s="942"/>
      <c r="AR18" s="942"/>
      <c r="AS18" s="942"/>
      <c r="AT18" s="942"/>
      <c r="AU18" s="942"/>
      <c r="AV18" s="942"/>
      <c r="AW18" s="942"/>
      <c r="AX18" s="942" t="s">
        <v>490</v>
      </c>
      <c r="AY18" s="942"/>
      <c r="AZ18" s="942"/>
      <c r="BA18" s="942"/>
      <c r="BB18" s="942"/>
      <c r="BC18" s="942"/>
      <c r="BD18" s="942"/>
      <c r="BE18" s="942"/>
      <c r="BF18" s="942"/>
      <c r="BG18" s="942"/>
      <c r="BH18" s="942"/>
      <c r="BI18" s="942"/>
      <c r="BJ18" s="942"/>
      <c r="BK18" s="942"/>
      <c r="BL18" s="942"/>
      <c r="BM18" s="942"/>
      <c r="BN18" s="942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</row>
    <row r="19" spans="1:80" s="87" customFormat="1" ht="12.75" x14ac:dyDescent="0.2">
      <c r="A19" s="944" t="s">
        <v>464</v>
      </c>
      <c r="B19" s="944"/>
      <c r="C19" s="944"/>
      <c r="D19" s="944"/>
      <c r="E19" s="944"/>
      <c r="F19" s="944"/>
      <c r="G19" s="944"/>
      <c r="H19" s="944"/>
      <c r="I19" s="945" t="s">
        <v>491</v>
      </c>
      <c r="J19" s="945"/>
      <c r="K19" s="945"/>
      <c r="L19" s="945"/>
      <c r="M19" s="945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  <c r="AA19" s="945"/>
      <c r="AB19" s="945"/>
      <c r="AC19" s="945"/>
      <c r="AD19" s="945"/>
      <c r="AE19" s="945"/>
      <c r="AF19" s="945"/>
      <c r="AG19" s="945"/>
      <c r="AH19" s="945"/>
      <c r="AI19" s="945"/>
      <c r="AJ19" s="945"/>
      <c r="AK19" s="945"/>
      <c r="AL19" s="945"/>
      <c r="AM19" s="945"/>
      <c r="AN19" s="945"/>
      <c r="AO19" s="945"/>
      <c r="AP19" s="945"/>
      <c r="AQ19" s="945"/>
      <c r="AR19" s="945"/>
      <c r="AS19" s="945"/>
      <c r="AT19" s="945"/>
      <c r="AU19" s="945"/>
      <c r="AV19" s="945"/>
      <c r="AW19" s="945"/>
      <c r="AX19" s="942" t="s">
        <v>490</v>
      </c>
      <c r="AY19" s="942"/>
      <c r="AZ19" s="942"/>
      <c r="BA19" s="942"/>
      <c r="BB19" s="942"/>
      <c r="BC19" s="942"/>
      <c r="BD19" s="942"/>
      <c r="BE19" s="942"/>
      <c r="BF19" s="942"/>
      <c r="BG19" s="942"/>
      <c r="BH19" s="942"/>
      <c r="BI19" s="942"/>
      <c r="BJ19" s="942"/>
      <c r="BK19" s="942"/>
      <c r="BL19" s="942"/>
      <c r="BM19" s="942"/>
      <c r="BN19" s="942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</row>
    <row r="20" spans="1:80" s="87" customFormat="1" ht="25.9" customHeight="1" x14ac:dyDescent="0.2">
      <c r="A20" s="944" t="s">
        <v>463</v>
      </c>
      <c r="B20" s="944"/>
      <c r="C20" s="944"/>
      <c r="D20" s="944"/>
      <c r="E20" s="944"/>
      <c r="F20" s="944"/>
      <c r="G20" s="944"/>
      <c r="H20" s="944"/>
      <c r="I20" s="945" t="s">
        <v>489</v>
      </c>
      <c r="J20" s="945"/>
      <c r="K20" s="945"/>
      <c r="L20" s="945"/>
      <c r="M20" s="945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  <c r="AA20" s="945"/>
      <c r="AB20" s="945"/>
      <c r="AC20" s="945"/>
      <c r="AD20" s="945"/>
      <c r="AE20" s="945"/>
      <c r="AF20" s="945"/>
      <c r="AG20" s="945"/>
      <c r="AH20" s="945"/>
      <c r="AI20" s="945"/>
      <c r="AJ20" s="945"/>
      <c r="AK20" s="945"/>
      <c r="AL20" s="945"/>
      <c r="AM20" s="945"/>
      <c r="AN20" s="945"/>
      <c r="AO20" s="945"/>
      <c r="AP20" s="945"/>
      <c r="AQ20" s="945"/>
      <c r="AR20" s="945"/>
      <c r="AS20" s="945"/>
      <c r="AT20" s="945"/>
      <c r="AU20" s="945"/>
      <c r="AV20" s="945"/>
      <c r="AW20" s="945"/>
      <c r="AX20" s="942" t="s">
        <v>488</v>
      </c>
      <c r="AY20" s="942"/>
      <c r="AZ20" s="942"/>
      <c r="BA20" s="942"/>
      <c r="BB20" s="942"/>
      <c r="BC20" s="942"/>
      <c r="BD20" s="942"/>
      <c r="BE20" s="942"/>
      <c r="BF20" s="942"/>
      <c r="BG20" s="942"/>
      <c r="BH20" s="942"/>
      <c r="BI20" s="942"/>
      <c r="BJ20" s="942"/>
      <c r="BK20" s="942"/>
      <c r="BL20" s="942"/>
      <c r="BM20" s="942"/>
      <c r="BN20" s="942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</row>
    <row r="21" spans="1:80" s="87" customFormat="1" ht="12.75" x14ac:dyDescent="0.2">
      <c r="A21" s="944" t="s">
        <v>461</v>
      </c>
      <c r="B21" s="944"/>
      <c r="C21" s="944"/>
      <c r="D21" s="944"/>
      <c r="E21" s="944"/>
      <c r="F21" s="944"/>
      <c r="G21" s="944"/>
      <c r="H21" s="944"/>
      <c r="I21" s="945" t="s">
        <v>548</v>
      </c>
      <c r="J21" s="945"/>
      <c r="K21" s="945"/>
      <c r="L21" s="945"/>
      <c r="M21" s="945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  <c r="AA21" s="945"/>
      <c r="AB21" s="945"/>
      <c r="AC21" s="945"/>
      <c r="AD21" s="945"/>
      <c r="AE21" s="945"/>
      <c r="AF21" s="945"/>
      <c r="AG21" s="945"/>
      <c r="AH21" s="945"/>
      <c r="AI21" s="945"/>
      <c r="AJ21" s="945"/>
      <c r="AK21" s="945"/>
      <c r="AL21" s="945"/>
      <c r="AM21" s="945"/>
      <c r="AN21" s="945"/>
      <c r="AO21" s="945"/>
      <c r="AP21" s="945"/>
      <c r="AQ21" s="945"/>
      <c r="AR21" s="945"/>
      <c r="AS21" s="945"/>
      <c r="AT21" s="945"/>
      <c r="AU21" s="945"/>
      <c r="AV21" s="945"/>
      <c r="AW21" s="945"/>
      <c r="AX21" s="942" t="s">
        <v>487</v>
      </c>
      <c r="AY21" s="942"/>
      <c r="AZ21" s="942"/>
      <c r="BA21" s="942"/>
      <c r="BB21" s="942"/>
      <c r="BC21" s="942"/>
      <c r="BD21" s="942"/>
      <c r="BE21" s="942"/>
      <c r="BF21" s="942"/>
      <c r="BG21" s="942"/>
      <c r="BH21" s="942"/>
      <c r="BI21" s="942"/>
      <c r="BJ21" s="942"/>
      <c r="BK21" s="942"/>
      <c r="BL21" s="942"/>
      <c r="BM21" s="942"/>
      <c r="BN21" s="942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</row>
    <row r="22" spans="1:80" s="87" customFormat="1" ht="12.75" x14ac:dyDescent="0.2">
      <c r="A22" s="944" t="s">
        <v>360</v>
      </c>
      <c r="B22" s="944"/>
      <c r="C22" s="944"/>
      <c r="D22" s="944"/>
      <c r="E22" s="944"/>
      <c r="F22" s="944"/>
      <c r="G22" s="944"/>
      <c r="H22" s="944"/>
      <c r="I22" s="945" t="s">
        <v>549</v>
      </c>
      <c r="J22" s="945"/>
      <c r="K22" s="945"/>
      <c r="L22" s="945"/>
      <c r="M22" s="945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  <c r="AA22" s="945"/>
      <c r="AB22" s="945"/>
      <c r="AC22" s="945"/>
      <c r="AD22" s="945"/>
      <c r="AE22" s="945"/>
      <c r="AF22" s="945"/>
      <c r="AG22" s="945"/>
      <c r="AH22" s="945"/>
      <c r="AI22" s="945"/>
      <c r="AJ22" s="945"/>
      <c r="AK22" s="945"/>
      <c r="AL22" s="945"/>
      <c r="AM22" s="945"/>
      <c r="AN22" s="945"/>
      <c r="AO22" s="945"/>
      <c r="AP22" s="945"/>
      <c r="AQ22" s="945"/>
      <c r="AR22" s="945"/>
      <c r="AS22" s="945"/>
      <c r="AT22" s="945"/>
      <c r="AU22" s="945"/>
      <c r="AV22" s="945"/>
      <c r="AW22" s="945"/>
      <c r="AX22" s="942" t="s">
        <v>487</v>
      </c>
      <c r="AY22" s="942"/>
      <c r="AZ22" s="942"/>
      <c r="BA22" s="942"/>
      <c r="BB22" s="942"/>
      <c r="BC22" s="942"/>
      <c r="BD22" s="942"/>
      <c r="BE22" s="942"/>
      <c r="BF22" s="942"/>
      <c r="BG22" s="942"/>
      <c r="BH22" s="942"/>
      <c r="BI22" s="942"/>
      <c r="BJ22" s="942"/>
      <c r="BK22" s="942"/>
      <c r="BL22" s="942"/>
      <c r="BM22" s="942"/>
      <c r="BN22" s="942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</row>
    <row r="23" spans="1:80" s="87" customFormat="1" ht="12.75" x14ac:dyDescent="0.2">
      <c r="A23" s="944" t="s">
        <v>462</v>
      </c>
      <c r="B23" s="944"/>
      <c r="C23" s="944"/>
      <c r="D23" s="944"/>
      <c r="E23" s="944"/>
      <c r="F23" s="944"/>
      <c r="G23" s="944"/>
      <c r="H23" s="944"/>
      <c r="I23" s="945" t="s">
        <v>486</v>
      </c>
      <c r="J23" s="945"/>
      <c r="K23" s="945"/>
      <c r="L23" s="945"/>
      <c r="M23" s="945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  <c r="AA23" s="945"/>
      <c r="AB23" s="945"/>
      <c r="AC23" s="945"/>
      <c r="AD23" s="945"/>
      <c r="AE23" s="945"/>
      <c r="AF23" s="945"/>
      <c r="AG23" s="945"/>
      <c r="AH23" s="945"/>
      <c r="AI23" s="945"/>
      <c r="AJ23" s="945"/>
      <c r="AK23" s="945"/>
      <c r="AL23" s="945"/>
      <c r="AM23" s="945"/>
      <c r="AN23" s="945"/>
      <c r="AO23" s="945"/>
      <c r="AP23" s="945"/>
      <c r="AQ23" s="945"/>
      <c r="AR23" s="945"/>
      <c r="AS23" s="945"/>
      <c r="AT23" s="945"/>
      <c r="AU23" s="945"/>
      <c r="AV23" s="945"/>
      <c r="AW23" s="945"/>
      <c r="AX23" s="942" t="s">
        <v>485</v>
      </c>
      <c r="AY23" s="942"/>
      <c r="AZ23" s="942"/>
      <c r="BA23" s="942"/>
      <c r="BB23" s="942"/>
      <c r="BC23" s="942"/>
      <c r="BD23" s="942"/>
      <c r="BE23" s="942"/>
      <c r="BF23" s="942"/>
      <c r="BG23" s="942"/>
      <c r="BH23" s="942"/>
      <c r="BI23" s="942"/>
      <c r="BJ23" s="942"/>
      <c r="BK23" s="942"/>
      <c r="BL23" s="942"/>
      <c r="BM23" s="942"/>
      <c r="BN23" s="942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</row>
    <row r="24" spans="1:80" s="87" customFormat="1" ht="12.75" x14ac:dyDescent="0.2">
      <c r="A24" s="951" t="s">
        <v>326</v>
      </c>
      <c r="B24" s="951"/>
      <c r="C24" s="951"/>
      <c r="D24" s="951"/>
      <c r="E24" s="951"/>
      <c r="F24" s="951"/>
      <c r="G24" s="951"/>
      <c r="H24" s="951"/>
      <c r="I24" s="951"/>
      <c r="J24" s="951"/>
      <c r="K24" s="93"/>
      <c r="L24" s="952" t="s">
        <v>484</v>
      </c>
      <c r="M24" s="952"/>
      <c r="N24" s="952"/>
      <c r="O24" s="952"/>
      <c r="P24" s="952"/>
      <c r="Q24" s="952"/>
      <c r="R24" s="952"/>
      <c r="S24" s="952"/>
      <c r="T24" s="952"/>
      <c r="U24" s="952"/>
      <c r="V24" s="952"/>
      <c r="W24" s="952"/>
      <c r="X24" s="952"/>
      <c r="Y24" s="952"/>
      <c r="Z24" s="952"/>
      <c r="AA24" s="952"/>
      <c r="AB24" s="952"/>
      <c r="AC24" s="952"/>
      <c r="AD24" s="952"/>
      <c r="AE24" s="952"/>
      <c r="AF24" s="952"/>
      <c r="AG24" s="952"/>
      <c r="AH24" s="952"/>
      <c r="AI24" s="952"/>
      <c r="AJ24" s="952"/>
      <c r="AK24" s="952"/>
      <c r="AL24" s="952"/>
      <c r="AM24" s="952"/>
      <c r="AN24" s="952"/>
      <c r="AO24" s="952"/>
      <c r="AP24" s="952"/>
      <c r="AQ24" s="952"/>
      <c r="AR24" s="952"/>
      <c r="AS24" s="952"/>
      <c r="AT24" s="952"/>
      <c r="AU24" s="952"/>
      <c r="AV24" s="952"/>
      <c r="AW24" s="952"/>
      <c r="AX24" s="952"/>
      <c r="AY24" s="952"/>
      <c r="AZ24" s="952"/>
      <c r="BA24" s="952"/>
      <c r="BB24" s="952"/>
      <c r="BC24" s="952"/>
      <c r="BD24" s="952"/>
      <c r="BE24" s="952"/>
      <c r="BF24" s="952"/>
      <c r="BG24" s="952"/>
      <c r="BH24" s="952"/>
      <c r="BI24" s="952"/>
      <c r="BJ24" s="952"/>
      <c r="BK24" s="952"/>
      <c r="BL24" s="952"/>
      <c r="BM24" s="952"/>
      <c r="BN24" s="952"/>
      <c r="BO24" s="952"/>
      <c r="BP24" s="952"/>
      <c r="BQ24" s="952"/>
      <c r="BR24" s="952"/>
      <c r="BS24" s="952"/>
      <c r="BT24" s="952"/>
      <c r="BU24" s="952"/>
      <c r="BV24" s="952"/>
      <c r="BW24" s="952"/>
      <c r="BX24" s="952"/>
      <c r="BY24" s="952"/>
      <c r="BZ24" s="952"/>
      <c r="CA24" s="952"/>
      <c r="CB24" s="952"/>
    </row>
    <row r="25" spans="1:80" s="11" customFormat="1" ht="11.25" x14ac:dyDescent="0.2"/>
    <row r="26" spans="1:80" s="11" customFormat="1" ht="11.25" x14ac:dyDescent="0.2">
      <c r="C26" s="11" t="s">
        <v>95</v>
      </c>
    </row>
    <row r="27" spans="1:80" s="11" customFormat="1" ht="11.25" x14ac:dyDescent="0.2">
      <c r="C27" s="45" t="s">
        <v>61</v>
      </c>
    </row>
    <row r="28" spans="1:80" s="11" customFormat="1" ht="11.25" x14ac:dyDescent="0.2">
      <c r="C28" s="243" t="str">
        <f>IF('Данные объект'!C27="","",'Данные объект'!C27)</f>
      </c>
      <c r="E28" s="45"/>
      <c r="F28" s="45"/>
      <c r="G28" s="45"/>
      <c r="H28" s="45"/>
      <c r="AP28" s="855"/>
      <c r="AQ28" s="855"/>
      <c r="AR28" s="855"/>
      <c r="AS28" s="855"/>
      <c r="AT28" s="855"/>
      <c r="AU28" s="855"/>
      <c r="AV28" s="855"/>
      <c r="AW28" s="855"/>
      <c r="AX28" s="855"/>
      <c r="AY28" s="855"/>
      <c r="AZ28" s="855"/>
      <c r="BA28" s="855"/>
      <c r="BB28" s="855"/>
      <c r="BF28" s="831" t="str">
        <f>IF('Данные объект'!B28="","",'Данные объект'!B28)</f>
      </c>
      <c r="BG28" s="831"/>
      <c r="BH28" s="831"/>
      <c r="BI28" s="831"/>
      <c r="BJ28" s="831"/>
      <c r="BK28" s="831"/>
      <c r="BL28" s="831"/>
      <c r="BM28" s="831"/>
      <c r="BN28" s="831"/>
      <c r="BO28" s="831"/>
      <c r="BP28" s="831"/>
      <c r="BQ28" s="831"/>
      <c r="BR28" s="831"/>
      <c r="BS28" s="831"/>
      <c r="BT28" s="831"/>
    </row>
    <row r="29" spans="1:80" s="2" customFormat="1" ht="13.5" x14ac:dyDescent="0.25">
      <c r="F29" s="10"/>
      <c r="G29" s="10"/>
      <c r="H29" s="10"/>
      <c r="AP29" s="858" t="s">
        <v>2</v>
      </c>
      <c r="AQ29" s="858"/>
      <c r="AR29" s="858"/>
      <c r="AS29" s="858"/>
      <c r="AT29" s="858"/>
      <c r="AU29" s="858"/>
      <c r="AV29" s="858"/>
      <c r="AW29" s="858"/>
      <c r="AX29" s="858"/>
      <c r="AY29" s="858"/>
      <c r="AZ29" s="858"/>
      <c r="BA29" s="858"/>
      <c r="BB29" s="858"/>
    </row>
    <row r="30" spans="1:80" s="2" customFormat="1" ht="12.75" x14ac:dyDescent="0.2"/>
    <row r="31" spans="1:80" s="2" customFormat="1" ht="12.75" x14ac:dyDescent="0.2">
      <c r="C31" s="11" t="s">
        <v>96</v>
      </c>
      <c r="D31" s="11"/>
    </row>
    <row r="32" spans="1:80" s="2" customFormat="1" ht="12.75" x14ac:dyDescent="0.2">
      <c r="C32" s="45" t="s">
        <v>344</v>
      </c>
      <c r="D32" s="11"/>
    </row>
    <row r="33" spans="3:72" s="11" customFormat="1" ht="11.25" x14ac:dyDescent="0.2">
      <c r="C33" s="243" t="str">
        <f>IF('Данные объект'!B39="","",'Данные объект'!B39)</f>
      </c>
      <c r="AP33" s="855"/>
      <c r="AQ33" s="855"/>
      <c r="AR33" s="855"/>
      <c r="AS33" s="855"/>
      <c r="AT33" s="855"/>
      <c r="AU33" s="855"/>
      <c r="AV33" s="855"/>
      <c r="AW33" s="855"/>
      <c r="AX33" s="855"/>
      <c r="AY33" s="855"/>
      <c r="AZ33" s="855"/>
      <c r="BA33" s="855"/>
      <c r="BB33" s="855"/>
      <c r="BF33" s="831" t="str">
        <f>IF('Данные объект'!B42="","",'Данные объект'!B42)</f>
      </c>
      <c r="BG33" s="831"/>
      <c r="BH33" s="831"/>
      <c r="BI33" s="831"/>
      <c r="BJ33" s="831"/>
      <c r="BK33" s="831"/>
      <c r="BL33" s="831"/>
      <c r="BM33" s="831"/>
      <c r="BN33" s="831"/>
      <c r="BO33" s="831"/>
      <c r="BP33" s="831"/>
      <c r="BQ33" s="831"/>
      <c r="BR33" s="831"/>
      <c r="BS33" s="831"/>
      <c r="BT33" s="831"/>
    </row>
    <row r="34" spans="3:72" s="11" customFormat="1" ht="11.25" x14ac:dyDescent="0.2">
      <c r="E34" s="45"/>
      <c r="F34" s="45"/>
      <c r="G34" s="57"/>
      <c r="H34" s="57"/>
      <c r="I34" s="57"/>
      <c r="J34" s="57"/>
      <c r="K34" s="57"/>
      <c r="L34" s="57"/>
      <c r="M34" s="57"/>
      <c r="AP34" s="858" t="s">
        <v>2</v>
      </c>
      <c r="AQ34" s="858"/>
      <c r="AR34" s="858"/>
      <c r="AS34" s="858"/>
      <c r="AT34" s="858"/>
      <c r="AU34" s="858"/>
      <c r="AV34" s="858"/>
      <c r="AW34" s="858"/>
      <c r="AX34" s="858"/>
      <c r="AY34" s="858"/>
      <c r="AZ34" s="858"/>
      <c r="BA34" s="858"/>
      <c r="BB34" s="858"/>
    </row>
    <row r="35" spans="3:72" s="11" customFormat="1" ht="11.25" x14ac:dyDescent="0.2">
      <c r="E35" s="45"/>
      <c r="F35" s="45"/>
      <c r="G35" s="57"/>
      <c r="H35" s="57"/>
      <c r="I35" s="57"/>
      <c r="J35" s="57"/>
      <c r="K35" s="57"/>
      <c r="L35" s="57"/>
      <c r="M35" s="57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</row>
    <row r="36" spans="3:72" s="11" customFormat="1" ht="11.25" x14ac:dyDescent="0.2">
      <c r="E36" s="45"/>
      <c r="F36" s="45"/>
      <c r="G36" s="57"/>
      <c r="H36" s="57"/>
      <c r="I36" s="57"/>
      <c r="J36" s="57"/>
      <c r="K36" s="57"/>
      <c r="L36" s="57"/>
      <c r="M36" s="57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</row>
    <row r="37" spans="3:72" s="11" customFormat="1" ht="21.75" customHeight="1" collapsed="1" x14ac:dyDescent="0.2">
      <c r="C37" s="943" t="str">
        <f>IF('Данные объект'!C45="","",'Данные объект'!C45)</f>
      </c>
      <c r="D37" s="943"/>
      <c r="E37" s="943"/>
      <c r="F37" s="943"/>
      <c r="G37" s="943"/>
      <c r="H37" s="943"/>
      <c r="I37" s="943"/>
      <c r="J37" s="943"/>
      <c r="K37" s="943"/>
      <c r="L37" s="943"/>
      <c r="M37" s="943"/>
      <c r="N37" s="943"/>
      <c r="O37" s="943"/>
      <c r="P37" s="943"/>
      <c r="Q37" s="943"/>
      <c r="R37" s="943"/>
      <c r="S37" s="943"/>
      <c r="T37" s="943"/>
      <c r="U37" s="943"/>
      <c r="V37" s="943"/>
      <c r="W37" s="943"/>
      <c r="X37" s="943"/>
      <c r="Y37" s="943"/>
      <c r="Z37" s="943"/>
      <c r="AA37" s="943"/>
      <c r="AB37" s="943"/>
      <c r="AC37" s="943"/>
      <c r="AD37" s="943"/>
      <c r="AE37" s="943"/>
      <c r="AF37" s="943"/>
      <c r="AG37" s="943"/>
      <c r="AH37" s="943"/>
      <c r="AI37" s="943"/>
      <c r="AJ37" s="943"/>
      <c r="AK37" s="943"/>
      <c r="AL37" s="943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855"/>
      <c r="BA37" s="855"/>
      <c r="BB37" s="855"/>
      <c r="BF37" s="831" t="str">
        <f>IF('Данные объект'!B47="","",'Данные объект'!B47)</f>
      </c>
      <c r="BG37" s="831"/>
      <c r="BH37" s="831"/>
      <c r="BI37" s="831"/>
      <c r="BJ37" s="831"/>
      <c r="BK37" s="831"/>
      <c r="BL37" s="831"/>
      <c r="BM37" s="831"/>
      <c r="BN37" s="831"/>
      <c r="BO37" s="831"/>
      <c r="BP37" s="831"/>
      <c r="BQ37" s="831"/>
      <c r="BR37" s="831"/>
      <c r="BS37" s="831"/>
      <c r="BT37" s="831"/>
    </row>
    <row r="38" spans="3:72" s="11" customFormat="1" ht="11.25" x14ac:dyDescent="0.2">
      <c r="C38" s="57"/>
      <c r="E38" s="45"/>
      <c r="F38" s="45"/>
      <c r="G38" s="57"/>
      <c r="H38" s="57"/>
      <c r="I38" s="57"/>
      <c r="J38" s="57"/>
      <c r="K38" s="57"/>
      <c r="L38" s="57"/>
      <c r="M38" s="57"/>
      <c r="AP38" s="858" t="s">
        <v>2</v>
      </c>
      <c r="AQ38" s="858"/>
      <c r="AR38" s="858"/>
      <c r="AS38" s="858"/>
      <c r="AT38" s="858"/>
      <c r="AU38" s="858"/>
      <c r="AV38" s="858"/>
      <c r="AW38" s="858"/>
      <c r="AX38" s="858"/>
      <c r="AY38" s="858"/>
      <c r="AZ38" s="858"/>
      <c r="BA38" s="858"/>
      <c r="BB38" s="858"/>
    </row>
    <row r="39" spans="3:72" s="2" customFormat="1" ht="12.75" x14ac:dyDescent="0.2"/>
    <row r="40" spans="3:72" s="2" customFormat="1" ht="12.75" x14ac:dyDescent="0.2"/>
    <row r="41" spans="3:72" s="2" customFormat="1" ht="12.75" x14ac:dyDescent="0.2"/>
    <row r="42" spans="3:72" s="2" customFormat="1" ht="12.75" x14ac:dyDescent="0.2"/>
    <row r="43" spans="3:72" s="2" customFormat="1" ht="12.75" x14ac:dyDescent="0.2"/>
    <row r="44" spans="3:72" s="2" customFormat="1" ht="12.75" x14ac:dyDescent="0.2"/>
    <row r="45" spans="3:72" s="2" customFormat="1" ht="12.75" x14ac:dyDescent="0.2"/>
    <row r="46" spans="3:72" s="2" customFormat="1" ht="12.75" x14ac:dyDescent="0.2"/>
    <row r="47" spans="3:72" s="2" customFormat="1" ht="12.75" x14ac:dyDescent="0.2"/>
    <row r="48" spans="3:72" s="2" customFormat="1" ht="12.75" x14ac:dyDescent="0.2"/>
    <row r="49" s="2" customFormat="1" ht="12.75" x14ac:dyDescent="0.2"/>
    <row r="50" s="2" customFormat="1" ht="12.75" x14ac:dyDescent="0.2"/>
    <row r="51" s="2" customFormat="1" ht="12.75" x14ac:dyDescent="0.2"/>
    <row r="52" s="2" customFormat="1" ht="12.75" x14ac:dyDescent="0.2"/>
    <row r="53" s="2" customFormat="1" ht="12.75" x14ac:dyDescent="0.2"/>
    <row r="54" s="2" customFormat="1" ht="12.75" x14ac:dyDescent="0.2"/>
    <row r="55" s="2" customFormat="1" ht="12.75" x14ac:dyDescent="0.2"/>
    <row r="56" s="2" customFormat="1" ht="12.75" x14ac:dyDescent="0.2"/>
    <row r="57" s="2" customFormat="1" ht="12.75" x14ac:dyDescent="0.2"/>
    <row r="58" s="2" customFormat="1" ht="12.75" x14ac:dyDescent="0.2"/>
    <row r="59" s="2" customFormat="1" ht="12.75" x14ac:dyDescent="0.2"/>
    <row r="60" s="2" customFormat="1" ht="12.75" x14ac:dyDescent="0.2"/>
    <row r="61" s="2" customFormat="1" ht="12.75" x14ac:dyDescent="0.2"/>
    <row r="62" s="2" customFormat="1" ht="12.75" x14ac:dyDescent="0.2"/>
    <row r="63" s="2" customFormat="1" ht="12.75" x14ac:dyDescent="0.2"/>
    <row r="64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</sheetData>
  <mergeCells count="53">
    <mergeCell ref="AX17:BN17"/>
    <mergeCell ref="A14:CB14"/>
    <mergeCell ref="A19:H19"/>
    <mergeCell ref="AI16:AS16"/>
    <mergeCell ref="A24:J24"/>
    <mergeCell ref="I20:AW20"/>
    <mergeCell ref="AX20:BN20"/>
    <mergeCell ref="I21:AW21"/>
    <mergeCell ref="AX21:BN21"/>
    <mergeCell ref="I22:AW22"/>
    <mergeCell ref="AX22:BN22"/>
    <mergeCell ref="L24:CB24"/>
    <mergeCell ref="I23:AW23"/>
    <mergeCell ref="AX23:BN23"/>
    <mergeCell ref="A20:H20"/>
    <mergeCell ref="A21:H21"/>
    <mergeCell ref="A17:H17"/>
    <mergeCell ref="A18:H18"/>
    <mergeCell ref="A16:P16"/>
    <mergeCell ref="Q16:AE16"/>
    <mergeCell ref="I17:AW17"/>
    <mergeCell ref="I18:AW18"/>
    <mergeCell ref="AP37:BB37"/>
    <mergeCell ref="BF37:BT37"/>
    <mergeCell ref="AP38:BB38"/>
    <mergeCell ref="AX18:BN18"/>
    <mergeCell ref="C37:AL37"/>
    <mergeCell ref="A23:H23"/>
    <mergeCell ref="AP34:BB34"/>
    <mergeCell ref="AP28:BB28"/>
    <mergeCell ref="BF28:BT28"/>
    <mergeCell ref="AP29:BB29"/>
    <mergeCell ref="AP33:BB33"/>
    <mergeCell ref="BF33:BT33"/>
    <mergeCell ref="I19:AW19"/>
    <mergeCell ref="AX19:BN19"/>
    <mergeCell ref="A22:H22"/>
    <mergeCell ref="AR1:BZ2"/>
    <mergeCell ref="A2:AI2"/>
    <mergeCell ref="A3:AI3"/>
    <mergeCell ref="AR3:BZ3"/>
    <mergeCell ref="A4:AI4"/>
    <mergeCell ref="AR4:BZ4"/>
    <mergeCell ref="A13:CB13"/>
    <mergeCell ref="A11:AI11"/>
    <mergeCell ref="AR11:BZ11"/>
    <mergeCell ref="A5:AI5"/>
    <mergeCell ref="AR5:BZ5"/>
    <mergeCell ref="AR6:BZ9"/>
    <mergeCell ref="A8:AI9"/>
    <mergeCell ref="AR12:BZ12"/>
    <mergeCell ref="A10:AI10"/>
    <mergeCell ref="AR10:BZ10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EA55-52A7-4BD7-82EC-9C5A894D8EE5}">
  <sheetPr>
    <tabColor rgb="FFCCFFFF"/>
  </sheetPr>
  <dimension ref="A1:CB220"/>
  <sheetViews>
    <sheetView view="pageBreakPreview" topLeftCell="A10" zoomScale="110" zoomScaleNormal="100" zoomScaleSheetLayoutView="110" workbookViewId="0">
      <selection activeCell="CW55" sqref="CW55"/>
    </sheetView>
  </sheetViews>
  <sheetFormatPr defaultColWidth="9.140625" defaultRowHeight="15" x14ac:dyDescent="0.25"/>
  <cols>
    <col min="1" max="79" width="1.140625" customWidth="1"/>
    <col min="80" max="80" width="2" customWidth="1"/>
    <col min="8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21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s="2" customFormat="1" ht="11.2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s="2" customFormat="1" ht="6" customHeight="1" x14ac:dyDescent="0.25">
      <c r="A8" s="836" t="str">
        <f>IF('Данные объект'!B12="","",'Данные объект'!B12)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s="2" customFormat="1" ht="12.7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customHeight="1" x14ac:dyDescent="0.25">
      <c r="A13" s="931" t="s">
        <v>1238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1239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80" s="2" customFormat="1" ht="12.75" x14ac:dyDescent="0.2">
      <c r="A16" s="11" t="s">
        <v>535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s="2" customFormat="1" ht="12.75" x14ac:dyDescent="0.2">
      <c r="A17" s="831" t="str">
        <f>IF('Данные объект'!C42="","",'Данные объект'!C42)</f>
      </c>
      <c r="B17" s="831"/>
      <c r="C17" s="831"/>
      <c r="D17" s="831"/>
      <c r="E17" s="831"/>
      <c r="F17" s="831"/>
      <c r="G17" s="831"/>
      <c r="H17" s="831"/>
      <c r="I17" s="831"/>
      <c r="J17" s="831"/>
      <c r="K17" s="831"/>
      <c r="L17" s="831"/>
      <c r="M17" s="831"/>
      <c r="N17" s="831"/>
      <c r="O17" s="831"/>
      <c r="P17" s="831"/>
      <c r="Q17" s="831"/>
      <c r="R17" s="831"/>
      <c r="S17" s="831"/>
      <c r="T17" s="831"/>
      <c r="U17" s="831"/>
      <c r="V17" s="831"/>
      <c r="W17" s="831"/>
      <c r="X17" s="831"/>
      <c r="Y17" s="831"/>
      <c r="Z17" s="831"/>
      <c r="AA17" s="831"/>
      <c r="AB17" s="831"/>
      <c r="AC17" s="831"/>
      <c r="AD17" s="831"/>
      <c r="AE17" s="831"/>
      <c r="AF17" s="831"/>
      <c r="AG17" s="831"/>
      <c r="AH17" s="831"/>
      <c r="AI17" s="831"/>
      <c r="AJ17" s="831"/>
      <c r="AK17" s="831"/>
      <c r="AL17" s="831"/>
      <c r="AM17" s="831"/>
      <c r="AN17" s="831"/>
      <c r="AO17" s="831"/>
      <c r="AP17" s="831"/>
      <c r="AQ17" s="831"/>
      <c r="AR17" s="831"/>
      <c r="AS17" s="831"/>
      <c r="AT17" s="831"/>
      <c r="AU17" s="831"/>
      <c r="AV17" s="831"/>
      <c r="AW17" s="831"/>
      <c r="AX17" s="831"/>
      <c r="AY17" s="831"/>
      <c r="AZ17" s="831"/>
      <c r="BA17" s="831"/>
      <c r="BB17" s="831"/>
      <c r="BC17" s="831"/>
      <c r="BD17" s="831"/>
      <c r="BE17" s="831"/>
      <c r="BF17" s="831"/>
      <c r="BG17" s="831"/>
      <c r="BH17" s="831"/>
      <c r="BI17" s="831"/>
      <c r="BJ17" s="831"/>
      <c r="BK17" s="831"/>
      <c r="BL17" s="831"/>
      <c r="BM17" s="831"/>
      <c r="BN17" s="831"/>
      <c r="BO17" s="831"/>
      <c r="BP17" s="831"/>
      <c r="BQ17" s="831"/>
      <c r="BR17" s="831"/>
      <c r="BS17" s="831"/>
      <c r="BT17" s="831"/>
      <c r="BU17" s="831"/>
      <c r="BV17" s="831"/>
      <c r="BW17" s="831"/>
      <c r="BX17" s="831"/>
      <c r="BY17" s="831"/>
      <c r="BZ17" s="831"/>
      <c r="CA17" s="831"/>
      <c r="CB17" s="831"/>
    </row>
    <row r="18" spans="1:80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80" s="2" customFormat="1" ht="12.75" x14ac:dyDescent="0.2">
      <c r="A19" s="831" t="str">
        <f>IF('Данные объект'!C45="","",'Данные объект'!C45)</f>
      </c>
      <c r="B19" s="831"/>
      <c r="C19" s="831"/>
      <c r="D19" s="831"/>
      <c r="E19" s="831"/>
      <c r="F19" s="831"/>
      <c r="G19" s="831"/>
      <c r="H19" s="831"/>
      <c r="I19" s="831"/>
      <c r="J19" s="831"/>
      <c r="K19" s="831"/>
      <c r="L19" s="831"/>
      <c r="M19" s="831"/>
      <c r="N19" s="831"/>
      <c r="O19" s="831"/>
      <c r="P19" s="831"/>
      <c r="Q19" s="831"/>
      <c r="R19" s="831"/>
      <c r="S19" s="831"/>
      <c r="T19" s="831"/>
      <c r="U19" s="831"/>
      <c r="V19" s="831"/>
      <c r="W19" s="831"/>
      <c r="X19" s="831"/>
      <c r="Y19" s="831"/>
      <c r="Z19" s="831"/>
      <c r="AA19" s="831"/>
      <c r="AB19" s="831"/>
      <c r="AC19" s="831"/>
      <c r="AD19" s="831"/>
      <c r="AE19" s="831"/>
      <c r="AF19" s="831"/>
      <c r="AG19" s="831"/>
      <c r="AH19" s="831"/>
      <c r="AI19" s="831"/>
      <c r="AJ19" s="831"/>
      <c r="AK19" s="831"/>
      <c r="AL19" s="831"/>
      <c r="AM19" s="831"/>
      <c r="AN19" s="831"/>
      <c r="AO19" s="831"/>
      <c r="AP19" s="831"/>
      <c r="AQ19" s="831"/>
      <c r="AR19" s="831"/>
      <c r="AS19" s="831"/>
      <c r="AT19" s="831"/>
      <c r="AU19" s="831"/>
      <c r="AV19" s="831"/>
      <c r="AW19" s="831"/>
      <c r="AX19" s="831"/>
      <c r="AY19" s="831"/>
      <c r="AZ19" s="831"/>
      <c r="BA19" s="831"/>
      <c r="BB19" s="831"/>
      <c r="BC19" s="831"/>
      <c r="BD19" s="831"/>
      <c r="BE19" s="831"/>
      <c r="BF19" s="831"/>
      <c r="BG19" s="831"/>
      <c r="BH19" s="831"/>
      <c r="BI19" s="831"/>
      <c r="BJ19" s="831"/>
      <c r="BK19" s="831"/>
      <c r="BL19" s="831"/>
      <c r="BM19" s="831"/>
      <c r="BN19" s="831"/>
      <c r="BO19" s="831"/>
      <c r="BP19" s="831"/>
      <c r="BQ19" s="831"/>
      <c r="BR19" s="831"/>
      <c r="BS19" s="831"/>
      <c r="BT19" s="831"/>
      <c r="BU19" s="831"/>
      <c r="BV19" s="831"/>
      <c r="BW19" s="831"/>
      <c r="BX19" s="831"/>
      <c r="BY19" s="831"/>
      <c r="BZ19" s="831"/>
      <c r="CA19" s="831"/>
      <c r="CB19" s="831"/>
    </row>
    <row r="20" spans="1:80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80" s="2" customFormat="1" ht="12.75" x14ac:dyDescent="0.2">
      <c r="A21" s="11" t="s">
        <v>90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</row>
    <row r="22" spans="1:80" s="2" customFormat="1" ht="12.7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80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80" s="19" customFormat="1" ht="9.6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</row>
    <row r="25" spans="1:80" s="87" customFormat="1" ht="13.9" customHeight="1" x14ac:dyDescent="0.2">
      <c r="A25" s="953" t="s">
        <v>532</v>
      </c>
      <c r="B25" s="953"/>
      <c r="C25" s="953"/>
      <c r="D25" s="953"/>
      <c r="E25" s="953"/>
      <c r="F25" s="953"/>
      <c r="G25" s="953"/>
      <c r="H25" s="953"/>
      <c r="I25" s="953"/>
      <c r="J25" s="953"/>
      <c r="K25" s="953"/>
      <c r="L25" s="953"/>
      <c r="M25" s="953"/>
      <c r="N25" s="953"/>
      <c r="O25" s="953"/>
      <c r="P25" s="953"/>
      <c r="Q25" s="953"/>
      <c r="R25" s="953"/>
      <c r="S25" s="953"/>
      <c r="T25" s="953"/>
      <c r="U25" s="953"/>
      <c r="V25" s="953"/>
      <c r="W25" s="953"/>
      <c r="X25" s="953"/>
      <c r="Y25" s="953"/>
      <c r="Z25" s="953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329"/>
      <c r="AV25" s="329"/>
      <c r="AW25" s="329"/>
      <c r="AX25" s="329"/>
      <c r="AY25" s="329"/>
      <c r="AZ25" s="329"/>
      <c r="BA25" s="329"/>
      <c r="BB25" s="329"/>
      <c r="BC25" s="329"/>
      <c r="BD25" s="329"/>
      <c r="BE25" s="329"/>
      <c r="BF25" s="329"/>
      <c r="BG25" s="329"/>
      <c r="BH25" s="329"/>
      <c r="BI25" s="329"/>
      <c r="BJ25" s="329"/>
      <c r="BK25" s="329"/>
      <c r="BL25" s="329"/>
      <c r="BM25" s="329"/>
      <c r="BN25" s="329"/>
      <c r="BO25" s="329"/>
      <c r="BP25" s="329"/>
      <c r="BQ25" s="329"/>
      <c r="BR25" s="329"/>
      <c r="BS25" s="329"/>
      <c r="BT25" s="329"/>
      <c r="BU25" s="329"/>
      <c r="BV25" s="329"/>
      <c r="BW25" s="329"/>
      <c r="BX25" s="329"/>
      <c r="BY25" s="329"/>
      <c r="BZ25" s="329"/>
      <c r="CA25" s="329"/>
      <c r="CB25" s="329"/>
    </row>
    <row r="26" spans="1:80" s="87" customFormat="1" ht="13.9" customHeight="1" x14ac:dyDescent="0.2">
      <c r="A26" s="330" t="s">
        <v>512</v>
      </c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9"/>
      <c r="AV26" s="329"/>
      <c r="AW26" s="329"/>
      <c r="AX26" s="329"/>
      <c r="AY26" s="329"/>
      <c r="AZ26" s="329"/>
      <c r="BA26" s="329"/>
      <c r="BB26" s="329"/>
      <c r="BC26" s="329"/>
      <c r="BD26" s="329"/>
      <c r="BE26" s="329"/>
      <c r="BF26" s="329"/>
      <c r="BG26" s="329"/>
      <c r="BH26" s="329"/>
      <c r="BI26" s="329"/>
      <c r="BJ26" s="329"/>
      <c r="BK26" s="329"/>
      <c r="BL26" s="329"/>
      <c r="BM26" s="329"/>
      <c r="BN26" s="329"/>
      <c r="BO26" s="329"/>
      <c r="BP26" s="329"/>
      <c r="BQ26" s="329"/>
      <c r="BR26" s="329"/>
      <c r="BS26" s="329"/>
      <c r="BT26" s="329"/>
      <c r="BU26" s="329"/>
      <c r="BV26" s="329"/>
      <c r="BW26" s="329"/>
      <c r="BX26" s="329"/>
      <c r="BY26" s="329"/>
      <c r="BZ26" s="329"/>
      <c r="CA26" s="329"/>
      <c r="CB26" s="329"/>
    </row>
    <row r="27" spans="1:80" s="87" customFormat="1" ht="13.9" customHeight="1" x14ac:dyDescent="0.2">
      <c r="A27" s="336" t="s">
        <v>533</v>
      </c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934" t="str">
        <f>IF('1 '!AK42="","",'1 '!AK42)</f>
      </c>
      <c r="X27" s="934"/>
      <c r="Y27" s="934"/>
      <c r="Z27" s="934"/>
      <c r="AA27" s="934"/>
      <c r="AB27" s="934"/>
      <c r="AC27" s="934"/>
      <c r="AD27" s="934"/>
      <c r="AE27" s="934"/>
      <c r="AF27" s="934"/>
      <c r="AG27" s="934"/>
      <c r="AH27" s="934"/>
      <c r="AI27" s="934"/>
      <c r="AJ27" s="337"/>
      <c r="AK27" s="337"/>
      <c r="AL27" s="337"/>
      <c r="AM27" s="337"/>
      <c r="AN27" s="337"/>
      <c r="AO27" s="337"/>
      <c r="AP27" s="337"/>
      <c r="AQ27" s="337"/>
      <c r="AR27" s="337"/>
      <c r="AS27" s="337"/>
      <c r="AT27" s="337"/>
      <c r="AU27" s="329"/>
      <c r="AV27" s="329"/>
      <c r="AW27" s="329"/>
      <c r="AX27" s="329"/>
      <c r="AY27" s="329"/>
      <c r="AZ27" s="329"/>
      <c r="BA27" s="329"/>
      <c r="BB27" s="329"/>
      <c r="BC27" s="329"/>
      <c r="BD27" s="329"/>
      <c r="BE27" s="329"/>
      <c r="BF27" s="329"/>
      <c r="BG27" s="329"/>
      <c r="BH27" s="329"/>
      <c r="BI27" s="329"/>
      <c r="BJ27" s="329"/>
      <c r="BK27" s="329"/>
      <c r="BL27" s="329"/>
      <c r="BM27" s="329"/>
      <c r="BN27" s="329"/>
      <c r="BO27" s="329"/>
      <c r="BP27" s="329"/>
      <c r="BQ27" s="329"/>
      <c r="BR27" s="329"/>
      <c r="BS27" s="329"/>
      <c r="BT27" s="329"/>
      <c r="BU27" s="329"/>
      <c r="BV27" s="329"/>
      <c r="BW27" s="329"/>
      <c r="BX27" s="329"/>
      <c r="BY27" s="329"/>
      <c r="BZ27" s="329"/>
      <c r="CA27" s="329"/>
      <c r="CB27" s="329"/>
    </row>
    <row r="28" spans="1:80" s="87" customFormat="1" ht="13.9" customHeight="1" x14ac:dyDescent="0.2">
      <c r="A28" s="327" t="s">
        <v>721</v>
      </c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954" t="str">
        <f>IF('Данные объект'!B5="","",'Данные объект'!B5)</f>
      </c>
      <c r="N28" s="954"/>
      <c r="O28" s="954"/>
      <c r="P28" s="954"/>
      <c r="Q28" s="954"/>
      <c r="R28" s="954"/>
      <c r="S28" s="954"/>
      <c r="T28" s="954"/>
      <c r="U28" s="954"/>
      <c r="V28" s="954"/>
      <c r="W28" s="954"/>
      <c r="X28" s="954"/>
      <c r="Y28" s="954"/>
      <c r="Z28" s="954"/>
      <c r="AA28" s="954"/>
      <c r="AB28" s="954"/>
      <c r="AC28" s="954"/>
      <c r="AD28" s="954"/>
      <c r="AE28" s="954"/>
      <c r="AF28" s="954"/>
      <c r="AG28" s="954"/>
      <c r="AH28" s="954"/>
      <c r="AI28" s="954"/>
      <c r="AJ28" s="954"/>
      <c r="AK28" s="954"/>
      <c r="AL28" s="954"/>
      <c r="AM28" s="954"/>
      <c r="AN28" s="954"/>
      <c r="AO28" s="954"/>
      <c r="AP28" s="954"/>
      <c r="AQ28" s="954"/>
      <c r="AR28" s="954"/>
      <c r="AS28" s="954"/>
      <c r="AT28" s="954"/>
      <c r="AU28" s="954"/>
      <c r="AV28" s="954"/>
      <c r="AW28" s="954"/>
      <c r="AX28" s="954"/>
      <c r="AY28" s="954"/>
      <c r="AZ28" s="954"/>
      <c r="BA28" s="954"/>
      <c r="BB28" s="954"/>
      <c r="BC28" s="954"/>
      <c r="BD28" s="954"/>
      <c r="BE28" s="954"/>
      <c r="BF28" s="954"/>
      <c r="BG28" s="954"/>
      <c r="BH28" s="954"/>
      <c r="BI28" s="954"/>
      <c r="BJ28" s="954"/>
      <c r="BK28" s="954"/>
      <c r="BL28" s="954"/>
      <c r="BM28" s="954"/>
      <c r="BN28" s="954"/>
      <c r="BO28" s="954"/>
      <c r="BP28" s="954"/>
      <c r="BQ28" s="954"/>
      <c r="BR28" s="954"/>
      <c r="BS28" s="954"/>
      <c r="BT28" s="954"/>
      <c r="BU28" s="954"/>
      <c r="BV28" s="954"/>
      <c r="BW28" s="954"/>
      <c r="BX28" s="954"/>
      <c r="BY28" s="954"/>
      <c r="BZ28" s="954"/>
      <c r="CA28" s="954"/>
      <c r="CB28" s="954"/>
    </row>
    <row r="29" spans="1:80" s="87" customFormat="1" ht="13.9" customHeight="1" x14ac:dyDescent="0.2">
      <c r="A29" s="330" t="s">
        <v>511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329"/>
      <c r="AV29" s="329"/>
      <c r="AW29" s="329"/>
      <c r="AX29" s="329"/>
      <c r="AY29" s="329"/>
      <c r="AZ29" s="329"/>
      <c r="BA29" s="329"/>
      <c r="BB29" s="329"/>
      <c r="BC29" s="329"/>
      <c r="BD29" s="329"/>
      <c r="BE29" s="329"/>
      <c r="BF29" s="329"/>
      <c r="BG29" s="329"/>
      <c r="BH29" s="329"/>
      <c r="BI29" s="329"/>
      <c r="BJ29" s="329"/>
      <c r="BK29" s="329"/>
      <c r="BL29" s="329"/>
      <c r="BM29" s="329"/>
      <c r="BN29" s="329"/>
      <c r="BO29" s="329"/>
      <c r="BP29" s="329"/>
      <c r="BQ29" s="329"/>
      <c r="BR29" s="329"/>
      <c r="BS29" s="329"/>
      <c r="BT29" s="329"/>
      <c r="BU29" s="329"/>
      <c r="BV29" s="329"/>
      <c r="BW29" s="329"/>
      <c r="BX29" s="329"/>
      <c r="BY29" s="329"/>
      <c r="BZ29" s="329"/>
      <c r="CA29" s="329"/>
      <c r="CB29" s="329"/>
    </row>
    <row r="30" spans="1:80" s="87" customFormat="1" ht="13.9" customHeight="1" x14ac:dyDescent="0.2">
      <c r="A30" s="334" t="s">
        <v>763</v>
      </c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329"/>
      <c r="AV30" s="329"/>
      <c r="AW30" s="329"/>
      <c r="AX30" s="329"/>
      <c r="AY30" s="329"/>
      <c r="AZ30" s="329"/>
      <c r="BA30" s="329"/>
      <c r="BB30" s="329"/>
      <c r="BC30" s="329"/>
      <c r="BD30" s="329"/>
      <c r="BE30" s="329"/>
      <c r="BF30" s="329"/>
      <c r="BG30" s="329"/>
      <c r="BH30" s="329"/>
      <c r="BI30" s="329"/>
      <c r="BJ30" s="329"/>
      <c r="BK30" s="329"/>
      <c r="BL30" s="329"/>
      <c r="BM30" s="329"/>
      <c r="BN30" s="329"/>
      <c r="BO30" s="329"/>
      <c r="BP30" s="329"/>
      <c r="BQ30" s="329"/>
      <c r="BR30" s="329"/>
      <c r="BS30" s="329"/>
      <c r="BT30" s="329"/>
      <c r="BU30" s="329"/>
      <c r="BV30" s="329"/>
      <c r="BW30" s="329"/>
      <c r="BX30" s="329"/>
      <c r="BY30" s="329"/>
      <c r="BZ30" s="329"/>
      <c r="CA30" s="329"/>
      <c r="CB30" s="329"/>
    </row>
    <row r="31" spans="1:80" s="87" customFormat="1" ht="13.9" customHeight="1" x14ac:dyDescent="0.2">
      <c r="A31" s="338" t="s">
        <v>1346</v>
      </c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39" t="s">
        <v>1347</v>
      </c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329"/>
      <c r="AV31" s="329"/>
      <c r="AW31" s="329"/>
      <c r="AX31" s="329"/>
      <c r="AY31" s="329"/>
      <c r="AZ31" s="329"/>
      <c r="BA31" s="329"/>
      <c r="BB31" s="329"/>
      <c r="BC31" s="329"/>
      <c r="BD31" s="329"/>
      <c r="BE31" s="329"/>
      <c r="BF31" s="329"/>
      <c r="BG31" s="329"/>
      <c r="BH31" s="329"/>
      <c r="BI31" s="329"/>
      <c r="BJ31" s="329"/>
      <c r="BK31" s="329"/>
      <c r="BL31" s="329"/>
      <c r="BM31" s="329"/>
      <c r="BN31" s="329"/>
      <c r="BO31" s="329"/>
      <c r="BP31" s="329"/>
      <c r="BQ31" s="329"/>
      <c r="BR31" s="329"/>
      <c r="BS31" s="329"/>
      <c r="BT31" s="329"/>
      <c r="BU31" s="329"/>
      <c r="BV31" s="329"/>
      <c r="BW31" s="329"/>
      <c r="BX31" s="329"/>
      <c r="BY31" s="329"/>
      <c r="BZ31" s="329"/>
      <c r="CA31" s="329"/>
      <c r="CB31" s="329"/>
    </row>
    <row r="32" spans="1:80" s="87" customFormat="1" ht="13.9" customHeight="1" x14ac:dyDescent="0.2">
      <c r="A32" s="334" t="s">
        <v>764</v>
      </c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  <c r="AA32" s="328"/>
      <c r="AB32" s="328"/>
      <c r="AC32" s="328"/>
      <c r="AD32" s="328"/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  <c r="BE32" s="329"/>
      <c r="BF32" s="329"/>
      <c r="BG32" s="329"/>
      <c r="BH32" s="329"/>
      <c r="BI32" s="329"/>
      <c r="BJ32" s="329"/>
      <c r="BK32" s="329"/>
      <c r="BL32" s="329"/>
      <c r="BM32" s="329"/>
      <c r="BN32" s="329"/>
      <c r="BO32" s="329"/>
      <c r="BP32" s="329"/>
      <c r="BQ32" s="329"/>
      <c r="BR32" s="329"/>
      <c r="BS32" s="329"/>
      <c r="BT32" s="329"/>
      <c r="BU32" s="329"/>
      <c r="BV32" s="329"/>
      <c r="BW32" s="329"/>
      <c r="BX32" s="329"/>
      <c r="BY32" s="329"/>
      <c r="BZ32" s="329"/>
      <c r="CA32" s="329"/>
      <c r="CB32" s="329"/>
    </row>
    <row r="33" spans="1:80" s="87" customFormat="1" ht="13.9" customHeight="1" x14ac:dyDescent="0.2">
      <c r="A33" s="334" t="s">
        <v>765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  <c r="BE33" s="329"/>
      <c r="BF33" s="329"/>
      <c r="BG33" s="329"/>
      <c r="BH33" s="329"/>
      <c r="BI33" s="329"/>
      <c r="BJ33" s="329"/>
      <c r="BK33" s="329"/>
      <c r="BL33" s="329"/>
      <c r="BM33" s="329"/>
      <c r="BN33" s="329"/>
      <c r="BO33" s="329"/>
      <c r="BP33" s="329"/>
      <c r="BQ33" s="329"/>
      <c r="BR33" s="329"/>
      <c r="BS33" s="329"/>
      <c r="BT33" s="329"/>
      <c r="BU33" s="329"/>
      <c r="BV33" s="329"/>
      <c r="BW33" s="329"/>
      <c r="BX33" s="329"/>
      <c r="BY33" s="329"/>
      <c r="BZ33" s="329"/>
      <c r="CA33" s="329"/>
      <c r="CB33" s="329"/>
    </row>
    <row r="34" spans="1:80" s="87" customFormat="1" ht="13.9" customHeight="1" x14ac:dyDescent="0.2">
      <c r="A34" s="338" t="s">
        <v>1351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40" t="s">
        <v>1352</v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29"/>
      <c r="BS34" s="329"/>
      <c r="BT34" s="329"/>
      <c r="BU34" s="329"/>
      <c r="BV34" s="329"/>
      <c r="BW34" s="329"/>
      <c r="BX34" s="329"/>
      <c r="BY34" s="329"/>
      <c r="BZ34" s="329"/>
      <c r="CA34" s="329"/>
      <c r="CB34" s="329"/>
    </row>
    <row r="35" spans="1:80" s="87" customFormat="1" ht="13.9" customHeight="1" x14ac:dyDescent="0.2">
      <c r="A35" s="331" t="s">
        <v>1350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  <c r="AA35" s="341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29"/>
      <c r="BN35" s="329"/>
      <c r="BO35" s="329"/>
      <c r="BP35" s="329"/>
      <c r="BQ35" s="329"/>
      <c r="BR35" s="329"/>
      <c r="BS35" s="329"/>
      <c r="BT35" s="329"/>
      <c r="BU35" s="329"/>
      <c r="BV35" s="329"/>
      <c r="BW35" s="329"/>
      <c r="BX35" s="329"/>
      <c r="BY35" s="329"/>
      <c r="BZ35" s="329"/>
      <c r="CA35" s="329"/>
      <c r="CB35" s="329"/>
    </row>
    <row r="36" spans="1:80" s="87" customFormat="1" ht="13.9" hidden="1" customHeight="1" x14ac:dyDescent="0.2">
      <c r="A36" s="330" t="s">
        <v>510</v>
      </c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  <c r="AA36" s="328"/>
      <c r="AB36" s="328"/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329"/>
      <c r="AV36" s="329"/>
      <c r="AW36" s="329"/>
      <c r="AX36" s="329"/>
      <c r="AY36" s="329"/>
      <c r="AZ36" s="329"/>
      <c r="BA36" s="329"/>
      <c r="BB36" s="329"/>
      <c r="BC36" s="329"/>
      <c r="BD36" s="329"/>
      <c r="BE36" s="329"/>
      <c r="BF36" s="329"/>
      <c r="BG36" s="329"/>
      <c r="BH36" s="329"/>
      <c r="BI36" s="329"/>
      <c r="BJ36" s="329"/>
      <c r="BK36" s="329"/>
      <c r="BL36" s="329"/>
      <c r="BM36" s="329"/>
      <c r="BN36" s="329"/>
      <c r="BO36" s="329"/>
      <c r="BP36" s="329"/>
      <c r="BQ36" s="329"/>
      <c r="BR36" s="329"/>
      <c r="BS36" s="329"/>
      <c r="BT36" s="329"/>
      <c r="BU36" s="329"/>
      <c r="BV36" s="329"/>
      <c r="BW36" s="329"/>
      <c r="BX36" s="329"/>
      <c r="BY36" s="329"/>
      <c r="BZ36" s="329"/>
      <c r="CA36" s="329"/>
      <c r="CB36" s="329"/>
    </row>
    <row r="37" spans="1:80" s="87" customFormat="1" ht="13.9" customHeight="1" x14ac:dyDescent="0.2">
      <c r="A37" s="338" t="s">
        <v>1349</v>
      </c>
      <c r="B37" s="330"/>
      <c r="C37" s="330"/>
      <c r="D37" s="330"/>
      <c r="E37" s="330"/>
      <c r="F37" s="328"/>
      <c r="G37" s="328"/>
      <c r="H37" s="340" t="s">
        <v>1348</v>
      </c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  <c r="AA37" s="328"/>
      <c r="AB37" s="328"/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9"/>
      <c r="AV37" s="329"/>
      <c r="AW37" s="329"/>
      <c r="AX37" s="329"/>
      <c r="AY37" s="329"/>
      <c r="AZ37" s="329"/>
      <c r="BA37" s="329"/>
      <c r="BB37" s="329"/>
      <c r="BC37" s="329"/>
      <c r="BD37" s="329"/>
      <c r="BE37" s="329"/>
      <c r="BF37" s="329"/>
      <c r="BG37" s="329"/>
      <c r="BH37" s="329"/>
      <c r="BI37" s="329"/>
      <c r="BJ37" s="329"/>
      <c r="BK37" s="329"/>
      <c r="BL37" s="329"/>
      <c r="BM37" s="329"/>
      <c r="BN37" s="329"/>
      <c r="BO37" s="329"/>
      <c r="BP37" s="329"/>
      <c r="BQ37" s="329"/>
      <c r="BR37" s="329"/>
      <c r="BS37" s="329"/>
      <c r="BT37" s="329"/>
      <c r="BU37" s="329"/>
      <c r="BV37" s="329"/>
      <c r="BW37" s="329"/>
      <c r="BX37" s="329"/>
      <c r="BY37" s="329"/>
      <c r="BZ37" s="329"/>
      <c r="CA37" s="329"/>
      <c r="CB37" s="329"/>
    </row>
    <row r="38" spans="1:80" s="87" customFormat="1" ht="13.9" customHeight="1" x14ac:dyDescent="0.2">
      <c r="A38" s="338" t="s">
        <v>1353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328"/>
      <c r="AB38" s="328"/>
      <c r="AC38" s="328"/>
      <c r="AD38" s="328"/>
      <c r="AE38" s="328"/>
      <c r="AF38" s="328"/>
      <c r="AG38" s="956" t="s">
        <v>101</v>
      </c>
      <c r="AH38" s="956"/>
      <c r="AI38" s="956"/>
      <c r="AJ38" s="956"/>
      <c r="AK38" s="956"/>
      <c r="AL38" s="956"/>
      <c r="AM38" s="956"/>
      <c r="AN38" s="956"/>
      <c r="AO38" s="956"/>
      <c r="AP38" s="956"/>
      <c r="AQ38" s="328"/>
      <c r="AR38" s="328"/>
      <c r="AS38" s="328"/>
      <c r="AT38" s="328"/>
      <c r="AU38" s="329"/>
      <c r="AV38" s="329"/>
      <c r="AW38" s="329"/>
      <c r="AX38" s="329"/>
      <c r="AY38" s="329"/>
      <c r="AZ38" s="329"/>
      <c r="BA38" s="329"/>
      <c r="BB38" s="329"/>
      <c r="BC38" s="329"/>
      <c r="BD38" s="329"/>
      <c r="BE38" s="329"/>
      <c r="BF38" s="329"/>
      <c r="BG38" s="329"/>
      <c r="BH38" s="329"/>
      <c r="BI38" s="329"/>
      <c r="BJ38" s="329"/>
      <c r="BK38" s="329"/>
      <c r="BL38" s="329"/>
      <c r="BM38" s="329"/>
      <c r="BN38" s="329"/>
      <c r="BO38" s="329"/>
      <c r="BP38" s="329"/>
      <c r="BQ38" s="329"/>
      <c r="BR38" s="329"/>
      <c r="BS38" s="329"/>
      <c r="BT38" s="329"/>
      <c r="BU38" s="329"/>
      <c r="BV38" s="329"/>
      <c r="BW38" s="329"/>
      <c r="BX38" s="329"/>
      <c r="BY38" s="329"/>
      <c r="BZ38" s="329"/>
      <c r="CA38" s="329"/>
      <c r="CB38" s="329"/>
    </row>
    <row r="39" spans="1:80" s="87" customFormat="1" ht="13.9" customHeight="1" x14ac:dyDescent="0.2">
      <c r="A39" s="955" t="s">
        <v>271</v>
      </c>
      <c r="B39" s="955"/>
      <c r="C39" s="955"/>
      <c r="D39" s="955"/>
      <c r="E39" s="955"/>
      <c r="F39" s="955"/>
      <c r="G39" s="955"/>
      <c r="H39" s="955"/>
      <c r="I39" s="955"/>
      <c r="J39" s="955"/>
      <c r="K39" s="955"/>
      <c r="L39" s="955"/>
      <c r="M39" s="955"/>
      <c r="N39" s="955"/>
      <c r="O39" s="955"/>
      <c r="P39" s="955"/>
      <c r="Q39" s="955"/>
      <c r="R39" s="955"/>
      <c r="S39" s="955"/>
      <c r="T39" s="955"/>
      <c r="U39" s="955"/>
      <c r="V39" s="955"/>
      <c r="W39" s="955"/>
      <c r="X39" s="955"/>
      <c r="Y39" s="955"/>
      <c r="Z39" s="955"/>
      <c r="AA39" s="955"/>
      <c r="AB39" s="955"/>
      <c r="AC39" s="955"/>
      <c r="AD39" s="955"/>
      <c r="AE39" s="955"/>
      <c r="AF39" s="955"/>
      <c r="AG39" s="955"/>
      <c r="AH39" s="955"/>
      <c r="AI39" s="955"/>
      <c r="AJ39" s="955"/>
      <c r="AK39" s="955"/>
      <c r="AL39" s="955"/>
      <c r="AM39" s="955"/>
      <c r="AN39" s="955"/>
      <c r="AO39" s="955"/>
      <c r="AP39" s="955"/>
      <c r="AQ39" s="955"/>
      <c r="AR39" s="955"/>
      <c r="AS39" s="955"/>
      <c r="AT39" s="955"/>
      <c r="AU39" s="955"/>
      <c r="AV39" s="955"/>
      <c r="AW39" s="955"/>
      <c r="AX39" s="955"/>
      <c r="AY39" s="955"/>
      <c r="AZ39" s="955"/>
      <c r="BA39" s="955"/>
      <c r="BB39" s="955"/>
      <c r="BC39" s="955"/>
      <c r="BD39" s="955"/>
      <c r="BE39" s="955"/>
      <c r="BF39" s="955"/>
      <c r="BG39" s="955"/>
      <c r="BH39" s="955"/>
      <c r="BI39" s="955"/>
      <c r="BJ39" s="955"/>
      <c r="BK39" s="955"/>
      <c r="BL39" s="955"/>
      <c r="BM39" s="955"/>
      <c r="BN39" s="955"/>
      <c r="BO39" s="955"/>
      <c r="BP39" s="955"/>
      <c r="BQ39" s="955"/>
      <c r="BR39" s="955"/>
      <c r="BS39" s="955"/>
      <c r="BT39" s="955"/>
      <c r="BU39" s="955"/>
      <c r="BV39" s="955"/>
      <c r="BW39" s="955"/>
      <c r="BX39" s="955"/>
      <c r="BY39" s="955"/>
      <c r="BZ39" s="955"/>
      <c r="CA39" s="955"/>
      <c r="CB39" s="955"/>
    </row>
    <row r="40" spans="1:80" s="93" customFormat="1" ht="11.25" x14ac:dyDescent="0.2">
      <c r="A40" s="336" t="s">
        <v>551</v>
      </c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934" t="str">
        <f>IF(W27="","",W27)</f>
      </c>
      <c r="U40" s="934"/>
      <c r="V40" s="934"/>
      <c r="W40" s="934"/>
      <c r="X40" s="934"/>
      <c r="Y40" s="934"/>
      <c r="Z40" s="934"/>
      <c r="AA40" s="934"/>
      <c r="AB40" s="934"/>
      <c r="AC40" s="934"/>
      <c r="AD40" s="934"/>
      <c r="AE40" s="934"/>
      <c r="AF40" s="934"/>
      <c r="AG40" s="327" t="s">
        <v>725</v>
      </c>
      <c r="AH40" s="328"/>
      <c r="AI40" s="328"/>
      <c r="AJ40" s="328"/>
      <c r="AK40" s="328"/>
      <c r="AL40" s="934" t="str">
        <f>IF('Ведомость общ'!AU22="","",'Ведомость общ'!AU22)</f>
      </c>
      <c r="AM40" s="934"/>
      <c r="AN40" s="934"/>
      <c r="AO40" s="934"/>
      <c r="AP40" s="934"/>
      <c r="AQ40" s="934"/>
      <c r="AR40" s="934"/>
      <c r="AS40" s="934"/>
      <c r="AT40" s="934"/>
      <c r="AU40" s="934"/>
      <c r="AV40" s="934"/>
      <c r="AW40" s="934"/>
      <c r="AX40" s="934"/>
      <c r="AY40" s="330" t="s">
        <v>509</v>
      </c>
      <c r="AZ40" s="328"/>
      <c r="BA40" s="328"/>
      <c r="BB40" s="328"/>
      <c r="BC40" s="328"/>
      <c r="BD40" s="328"/>
      <c r="BE40" s="328"/>
      <c r="BF40" s="328"/>
      <c r="BG40" s="328"/>
      <c r="BH40" s="328"/>
      <c r="BI40" s="328"/>
      <c r="BJ40" s="328"/>
      <c r="BK40" s="328"/>
      <c r="BL40" s="328"/>
      <c r="BM40" s="328"/>
      <c r="BN40" s="328"/>
      <c r="BO40" s="328"/>
      <c r="BP40" s="328"/>
      <c r="BQ40" s="328"/>
      <c r="BR40" s="328"/>
      <c r="BS40" s="328"/>
      <c r="BT40" s="328"/>
      <c r="BU40" s="328"/>
      <c r="BV40" s="328"/>
      <c r="BW40" s="328"/>
      <c r="BX40" s="328"/>
      <c r="BY40" s="328"/>
      <c r="BZ40" s="328"/>
      <c r="CA40" s="328"/>
      <c r="CB40" s="328"/>
    </row>
    <row r="41" spans="1:80" s="87" customFormat="1" ht="12.75" x14ac:dyDescent="0.2">
      <c r="A41" s="342"/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4"/>
      <c r="U41" s="344"/>
      <c r="V41" s="344"/>
      <c r="W41" s="344"/>
      <c r="X41" s="344"/>
      <c r="Y41" s="344"/>
      <c r="Z41" s="344"/>
      <c r="AA41" s="344"/>
      <c r="AB41" s="344"/>
      <c r="AC41" s="344"/>
      <c r="AD41" s="344"/>
      <c r="AE41" s="344"/>
      <c r="AF41" s="344"/>
      <c r="AG41" s="345"/>
      <c r="AH41" s="329"/>
      <c r="AI41" s="329"/>
      <c r="AJ41" s="329"/>
      <c r="AK41" s="329"/>
      <c r="AL41" s="346"/>
      <c r="AM41" s="346"/>
      <c r="AN41" s="346"/>
      <c r="AO41" s="346"/>
      <c r="AP41" s="346"/>
      <c r="AQ41" s="346"/>
      <c r="AR41" s="346"/>
      <c r="AS41" s="346"/>
      <c r="AT41" s="346"/>
      <c r="AU41" s="346"/>
      <c r="AV41" s="346"/>
      <c r="AW41" s="346"/>
      <c r="AX41" s="346"/>
      <c r="AY41" s="343"/>
      <c r="AZ41" s="329"/>
      <c r="BA41" s="329"/>
      <c r="BB41" s="329"/>
      <c r="BC41" s="329"/>
      <c r="BD41" s="329"/>
      <c r="BE41" s="329"/>
      <c r="BF41" s="329"/>
      <c r="BG41" s="329"/>
      <c r="BH41" s="329"/>
      <c r="BI41" s="329"/>
      <c r="BJ41" s="329"/>
      <c r="BK41" s="329"/>
      <c r="BL41" s="329"/>
      <c r="BM41" s="329"/>
      <c r="BN41" s="329"/>
      <c r="BO41" s="329"/>
      <c r="BP41" s="329"/>
      <c r="BQ41" s="329"/>
      <c r="BR41" s="329"/>
      <c r="BS41" s="329"/>
      <c r="BT41" s="329"/>
      <c r="BU41" s="329"/>
      <c r="BV41" s="329"/>
      <c r="BW41" s="329"/>
      <c r="BX41" s="329"/>
      <c r="BY41" s="329"/>
      <c r="BZ41" s="329"/>
      <c r="CA41" s="329"/>
      <c r="CB41" s="329"/>
    </row>
    <row r="42" spans="1:80" s="11" customFormat="1" ht="11.25" x14ac:dyDescent="0.2">
      <c r="C42" s="11" t="s">
        <v>95</v>
      </c>
    </row>
    <row r="43" spans="1:80" s="11" customFormat="1" ht="11.25" x14ac:dyDescent="0.2">
      <c r="D43" s="45" t="s">
        <v>61</v>
      </c>
      <c r="E43" s="45"/>
      <c r="F43" s="45"/>
      <c r="G43" s="45"/>
      <c r="H43" s="4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BC43" s="831" t="str">
        <f>IF('Данные объект'!B28="","",'Данные объект'!B28)</f>
      </c>
      <c r="BD43" s="831"/>
      <c r="BE43" s="831"/>
      <c r="BF43" s="831"/>
      <c r="BG43" s="831"/>
      <c r="BH43" s="831"/>
      <c r="BI43" s="831"/>
      <c r="BJ43" s="831"/>
      <c r="BK43" s="831"/>
      <c r="BL43" s="831"/>
      <c r="BM43" s="831"/>
      <c r="BN43" s="831"/>
      <c r="BO43" s="831"/>
      <c r="BP43" s="831"/>
      <c r="BQ43" s="831"/>
    </row>
    <row r="44" spans="1:80" s="2" customFormat="1" ht="13.5" x14ac:dyDescent="0.25">
      <c r="F44" s="10"/>
      <c r="G44" s="10"/>
      <c r="H44" s="10"/>
      <c r="AM44" s="858" t="s">
        <v>2</v>
      </c>
      <c r="AN44" s="858"/>
      <c r="AO44" s="858"/>
      <c r="AP44" s="858"/>
      <c r="AQ44" s="858"/>
      <c r="AR44" s="858"/>
      <c r="AS44" s="858"/>
      <c r="AT44" s="858"/>
      <c r="AU44" s="858"/>
      <c r="AV44" s="858"/>
      <c r="AW44" s="858"/>
      <c r="AX44" s="858"/>
      <c r="AY44" s="858"/>
    </row>
    <row r="45" spans="1:80" s="2" customFormat="1" ht="12.75" x14ac:dyDescent="0.2"/>
    <row r="46" spans="1:80" s="2" customFormat="1" ht="12.75" x14ac:dyDescent="0.2">
      <c r="C46" s="11" t="s">
        <v>96</v>
      </c>
      <c r="D46" s="11"/>
    </row>
    <row r="47" spans="1:80" s="11" customFormat="1" ht="11.25" x14ac:dyDescent="0.2">
      <c r="D47" s="45" t="s">
        <v>344</v>
      </c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BC47" s="831" t="str">
        <f>IF('Данные объект'!B45="","",'Данные объект'!B45)</f>
      </c>
      <c r="BD47" s="831"/>
      <c r="BE47" s="831"/>
      <c r="BF47" s="831"/>
      <c r="BG47" s="831"/>
      <c r="BH47" s="831"/>
      <c r="BI47" s="831"/>
      <c r="BJ47" s="831"/>
      <c r="BK47" s="831"/>
      <c r="BL47" s="831"/>
      <c r="BM47" s="831"/>
      <c r="BN47" s="831"/>
      <c r="BO47" s="831"/>
      <c r="BP47" s="831"/>
      <c r="BQ47" s="831"/>
    </row>
    <row r="48" spans="1:80" s="11" customFormat="1" ht="11.25" x14ac:dyDescent="0.2">
      <c r="E48" s="45"/>
      <c r="F48" s="45"/>
      <c r="G48" s="57"/>
      <c r="H48" s="57"/>
      <c r="I48" s="57"/>
      <c r="J48" s="57"/>
      <c r="K48" s="57"/>
      <c r="L48" s="57"/>
      <c r="M48" s="57"/>
      <c r="AM48" s="858" t="s">
        <v>2</v>
      </c>
      <c r="AN48" s="858"/>
      <c r="AO48" s="858"/>
      <c r="AP48" s="858"/>
      <c r="AQ48" s="858"/>
      <c r="AR48" s="858"/>
      <c r="AS48" s="858"/>
      <c r="AT48" s="858"/>
      <c r="AU48" s="858"/>
      <c r="AV48" s="858"/>
      <c r="AW48" s="858"/>
      <c r="AX48" s="858"/>
      <c r="AY48" s="858"/>
    </row>
    <row r="49" spans="3:69" s="11" customFormat="1" ht="11.25" x14ac:dyDescent="0.2">
      <c r="E49" s="45"/>
      <c r="F49" s="45"/>
      <c r="G49" s="57"/>
      <c r="H49" s="57"/>
      <c r="I49" s="57"/>
      <c r="J49" s="57"/>
      <c r="K49" s="57"/>
      <c r="L49" s="57"/>
      <c r="M49" s="57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3:69" s="11" customFormat="1" ht="11.25" x14ac:dyDescent="0.2">
      <c r="E50" s="45"/>
      <c r="F50" s="45"/>
      <c r="G50" s="57"/>
      <c r="H50" s="57"/>
      <c r="I50" s="57"/>
      <c r="J50" s="57"/>
      <c r="K50" s="57"/>
      <c r="L50" s="57"/>
      <c r="M50" s="57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3:69" s="11" customFormat="1" ht="11.25" collapsed="1" x14ac:dyDescent="0.2">
      <c r="C51" s="57"/>
      <c r="D51" s="45"/>
      <c r="E51" s="45"/>
      <c r="F51" s="45"/>
      <c r="G51" s="57"/>
      <c r="H51" s="57"/>
      <c r="I51" s="57"/>
      <c r="J51" s="57"/>
      <c r="K51" s="57"/>
      <c r="L51" s="57"/>
      <c r="M51" s="57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BC51" s="831" t="str">
        <f>IF('Данные объект'!B47="","",'Данные объект'!B47)</f>
      </c>
      <c r="BD51" s="831"/>
      <c r="BE51" s="831"/>
      <c r="BF51" s="831"/>
      <c r="BG51" s="831"/>
      <c r="BH51" s="831"/>
      <c r="BI51" s="831"/>
      <c r="BJ51" s="831"/>
      <c r="BK51" s="831"/>
      <c r="BL51" s="831"/>
      <c r="BM51" s="831"/>
      <c r="BN51" s="831"/>
      <c r="BO51" s="831"/>
      <c r="BP51" s="831"/>
      <c r="BQ51" s="831"/>
    </row>
    <row r="52" spans="3:69" s="11" customFormat="1" ht="11.25" x14ac:dyDescent="0.2">
      <c r="C52" s="57"/>
      <c r="E52" s="45"/>
      <c r="F52" s="45"/>
      <c r="G52" s="57"/>
      <c r="H52" s="57"/>
      <c r="I52" s="57"/>
      <c r="J52" s="57"/>
      <c r="K52" s="57"/>
      <c r="L52" s="57"/>
      <c r="M52" s="57"/>
      <c r="AM52" s="858" t="s">
        <v>2</v>
      </c>
      <c r="AN52" s="858"/>
      <c r="AO52" s="858"/>
      <c r="AP52" s="858"/>
      <c r="AQ52" s="858"/>
      <c r="AR52" s="858"/>
      <c r="AS52" s="858"/>
      <c r="AT52" s="858"/>
      <c r="AU52" s="858"/>
      <c r="AV52" s="858"/>
      <c r="AW52" s="858"/>
      <c r="AX52" s="858"/>
      <c r="AY52" s="858"/>
    </row>
    <row r="53" spans="3:69" s="2" customFormat="1" ht="12.75" x14ac:dyDescent="0.2"/>
    <row r="54" spans="3:69" s="2" customFormat="1" ht="12.75" x14ac:dyDescent="0.2"/>
    <row r="55" spans="3:69" s="2" customFormat="1" ht="12.75" x14ac:dyDescent="0.2"/>
    <row r="56" spans="3:69" s="2" customFormat="1" ht="12.75" x14ac:dyDescent="0.2"/>
    <row r="57" spans="3:69" s="2" customFormat="1" ht="12.75" x14ac:dyDescent="0.2"/>
    <row r="58" spans="3:69" s="2" customFormat="1" ht="12.75" x14ac:dyDescent="0.2"/>
    <row r="59" spans="3:69" s="2" customFormat="1" ht="12.75" x14ac:dyDescent="0.2"/>
    <row r="60" spans="3:69" s="2" customFormat="1" ht="12.75" x14ac:dyDescent="0.2"/>
    <row r="61" spans="3:69" s="2" customFormat="1" ht="12.75" x14ac:dyDescent="0.2"/>
    <row r="62" spans="3:69" s="2" customFormat="1" ht="12.75" x14ac:dyDescent="0.2"/>
    <row r="63" spans="3:69" s="2" customFormat="1" ht="12.75" x14ac:dyDescent="0.2"/>
    <row r="64" spans="3:69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  <row r="211" s="2" customFormat="1" ht="12.75" x14ac:dyDescent="0.2"/>
    <row r="212" s="2" customFormat="1" ht="12.75" x14ac:dyDescent="0.2"/>
    <row r="213" s="2" customFormat="1" ht="12.75" x14ac:dyDescent="0.2"/>
    <row r="214" s="2" customFormat="1" ht="12.75" x14ac:dyDescent="0.2"/>
    <row r="215" s="2" customFormat="1" ht="12.75" x14ac:dyDescent="0.2"/>
    <row r="216" s="2" customFormat="1" ht="12.75" x14ac:dyDescent="0.2"/>
    <row r="217" s="2" customFormat="1" ht="12.75" x14ac:dyDescent="0.2"/>
    <row r="218" s="2" customFormat="1" ht="12.75" x14ac:dyDescent="0.2"/>
    <row r="219" s="2" customFormat="1" ht="12.75" x14ac:dyDescent="0.2"/>
    <row r="220" s="2" customFormat="1" ht="12.75" x14ac:dyDescent="0.2"/>
  </sheetData>
  <mergeCells count="39">
    <mergeCell ref="AR12:BZ12"/>
    <mergeCell ref="AG38:AP38"/>
    <mergeCell ref="AM44:AY44"/>
    <mergeCell ref="A17:CB17"/>
    <mergeCell ref="A18:CB18"/>
    <mergeCell ref="A22:CB22"/>
    <mergeCell ref="A23:CB23"/>
    <mergeCell ref="A13:CB13"/>
    <mergeCell ref="A14:CB14"/>
    <mergeCell ref="AR1:BZ2"/>
    <mergeCell ref="A2:AI2"/>
    <mergeCell ref="A3:AI3"/>
    <mergeCell ref="AR3:BZ3"/>
    <mergeCell ref="A4:AI4"/>
    <mergeCell ref="AR4:BZ4"/>
    <mergeCell ref="A11:AI11"/>
    <mergeCell ref="AR11:BZ11"/>
    <mergeCell ref="A5:AI5"/>
    <mergeCell ref="AR5:BZ5"/>
    <mergeCell ref="AR6:BZ9"/>
    <mergeCell ref="A8:AI9"/>
    <mergeCell ref="A10:AI10"/>
    <mergeCell ref="AR10:BZ10"/>
    <mergeCell ref="AM51:AY51"/>
    <mergeCell ref="BC51:BQ51"/>
    <mergeCell ref="AM52:AY52"/>
    <mergeCell ref="A19:CB19"/>
    <mergeCell ref="A20:CB20"/>
    <mergeCell ref="A25:Z25"/>
    <mergeCell ref="W27:AI27"/>
    <mergeCell ref="M28:CB28"/>
    <mergeCell ref="AM43:AY43"/>
    <mergeCell ref="BC43:BQ43"/>
    <mergeCell ref="AM48:AY48"/>
    <mergeCell ref="A39:CB39"/>
    <mergeCell ref="T40:AF40"/>
    <mergeCell ref="AL40:AX40"/>
    <mergeCell ref="AM47:AY47"/>
    <mergeCell ref="BC47:BQ47"/>
  </mergeCells>
  <dataValidations disablePrompts="1" count="1">
    <dataValidation type="list" allowBlank="1" showInputMessage="1" showErrorMessage="1" sqref="AJ27:AT27" xr:uid="{775EE1AF-2323-4DD1-8750-01BF81B608A2}">
      <formula1>ТМГ</formula1>
    </dataValidation>
  </dataValidation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3D37-FE97-44B3-AFB9-DA7A8D4CFB35}">
  <sheetPr>
    <tabColor theme="3" tint="0.39997558519241921"/>
  </sheetPr>
  <dimension ref="A1:CB71"/>
  <sheetViews>
    <sheetView view="pageBreakPreview" topLeftCell="A14" zoomScaleNormal="100" zoomScaleSheetLayoutView="100" workbookViewId="0">
      <selection activeCell="DF54" sqref="DF54"/>
    </sheetView>
  </sheetViews>
  <sheetFormatPr defaultColWidth="9.140625" defaultRowHeight="12.75" outlineLevelRow="1" x14ac:dyDescent="0.2"/>
  <cols>
    <col min="1" max="171" width="1.140625" style="2" customWidth="1"/>
    <col min="172" max="16384" width="9.140625" style="2"/>
  </cols>
  <sheetData>
    <row r="1" spans="1:80" s="11" customFormat="1" ht="11.25" x14ac:dyDescent="0.2">
      <c r="AT1" s="836" t="str">
        <f>IF('Данные объект'!B4="","",'Данные объект'!B4)</f>
      </c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836"/>
      <c r="CB1" s="836"/>
    </row>
    <row r="2" spans="1:80" s="11" customFormat="1" ht="11.25" x14ac:dyDescent="0.2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837"/>
      <c r="CB2" s="837"/>
    </row>
    <row r="3" spans="1:80" s="11" customFormat="1" ht="11.25" x14ac:dyDescent="0.2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T3" s="494" t="s">
        <v>22</v>
      </c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</row>
    <row r="4" spans="1:80" s="11" customFormat="1" ht="9" customHeight="1" x14ac:dyDescent="0.2">
      <c r="A4" s="836" t="str">
        <f>IF('Данные объект'!B19="","",'Данные объект'!B19)</f>
      </c>
      <c r="B4" s="836"/>
      <c r="C4" s="836"/>
      <c r="D4" s="836"/>
      <c r="E4" s="836"/>
      <c r="F4" s="836"/>
      <c r="G4" s="836"/>
      <c r="H4" s="836"/>
      <c r="I4" s="836"/>
      <c r="J4" s="836"/>
      <c r="K4" s="836"/>
      <c r="L4" s="836"/>
      <c r="M4" s="836"/>
      <c r="N4" s="836"/>
      <c r="O4" s="836"/>
      <c r="P4" s="836"/>
      <c r="Q4" s="836"/>
      <c r="R4" s="836"/>
      <c r="S4" s="836"/>
      <c r="T4" s="836"/>
      <c r="U4" s="836"/>
      <c r="V4" s="836"/>
      <c r="W4" s="836"/>
      <c r="X4" s="836"/>
      <c r="Y4" s="836"/>
      <c r="Z4" s="836"/>
      <c r="AA4" s="836"/>
      <c r="AB4" s="836"/>
      <c r="AC4" s="836"/>
      <c r="AD4" s="836"/>
      <c r="AE4" s="836"/>
      <c r="AF4" s="836"/>
      <c r="AG4" s="836"/>
      <c r="AH4" s="836"/>
      <c r="AI4" s="836"/>
      <c r="AT4" s="836" t="str">
        <f>IF('Данные объект'!B33="","",'Данные объект'!B33)</f>
      </c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836"/>
      <c r="CB4" s="836"/>
    </row>
    <row r="5" spans="1:80" s="11" customFormat="1" ht="6.75" customHeight="1" x14ac:dyDescent="0.2">
      <c r="A5" s="837"/>
      <c r="B5" s="837"/>
      <c r="C5" s="837"/>
      <c r="D5" s="837"/>
      <c r="E5" s="837"/>
      <c r="F5" s="837"/>
      <c r="G5" s="837"/>
      <c r="H5" s="837"/>
      <c r="I5" s="837"/>
      <c r="J5" s="837"/>
      <c r="K5" s="837"/>
      <c r="L5" s="837"/>
      <c r="M5" s="837"/>
      <c r="N5" s="837"/>
      <c r="O5" s="837"/>
      <c r="P5" s="837"/>
      <c r="Q5" s="837"/>
      <c r="R5" s="837"/>
      <c r="S5" s="837"/>
      <c r="T5" s="837"/>
      <c r="U5" s="837"/>
      <c r="V5" s="837"/>
      <c r="W5" s="837"/>
      <c r="X5" s="837"/>
      <c r="Y5" s="837"/>
      <c r="Z5" s="837"/>
      <c r="AA5" s="837"/>
      <c r="AB5" s="837"/>
      <c r="AC5" s="837"/>
      <c r="AD5" s="837"/>
      <c r="AE5" s="837"/>
      <c r="AF5" s="837"/>
      <c r="AG5" s="837"/>
      <c r="AH5" s="837"/>
      <c r="AI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837"/>
      <c r="CB5" s="837"/>
    </row>
    <row r="6" spans="1:80" s="11" customFormat="1" ht="11.25" x14ac:dyDescent="0.2">
      <c r="A6" s="494" t="s">
        <v>25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T6" s="494" t="s">
        <v>23</v>
      </c>
      <c r="AU6" s="494"/>
      <c r="AV6" s="494"/>
      <c r="AW6" s="494"/>
      <c r="AX6" s="494"/>
      <c r="AY6" s="494"/>
      <c r="AZ6" s="494"/>
      <c r="BA6" s="494"/>
      <c r="BB6" s="494"/>
      <c r="BC6" s="494"/>
      <c r="BD6" s="494"/>
      <c r="BE6" s="494"/>
      <c r="BF6" s="494"/>
      <c r="BG6" s="494"/>
      <c r="BH6" s="494"/>
      <c r="BI6" s="494"/>
      <c r="BJ6" s="494"/>
      <c r="BK6" s="494"/>
      <c r="BL6" s="494"/>
      <c r="BM6" s="494"/>
      <c r="BN6" s="494"/>
      <c r="BO6" s="494"/>
      <c r="BP6" s="494"/>
      <c r="BQ6" s="494"/>
      <c r="BR6" s="494"/>
      <c r="BS6" s="494"/>
      <c r="BT6" s="494"/>
      <c r="BU6" s="494"/>
      <c r="BV6" s="494"/>
      <c r="BW6" s="494"/>
      <c r="BX6" s="494"/>
      <c r="BY6" s="494"/>
      <c r="BZ6" s="494"/>
      <c r="CA6" s="494"/>
      <c r="CB6" s="494"/>
    </row>
    <row r="7" spans="1:80" s="11" customFormat="1" ht="6.75" customHeight="1" x14ac:dyDescent="0.2">
      <c r="A7" s="383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T7" s="836" t="str">
        <f>IF('Данные объект'!B3="","",'Данные объект'!B3)</f>
      </c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836"/>
      <c r="CB7" s="836"/>
    </row>
    <row r="8" spans="1:80" s="11" customFormat="1" ht="11.25" x14ac:dyDescent="0.2">
      <c r="A8" s="383"/>
      <c r="B8" s="383"/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836"/>
      <c r="CB8" s="836"/>
    </row>
    <row r="9" spans="1:80" s="11" customFormat="1" ht="11.25" x14ac:dyDescent="0.2">
      <c r="A9" s="383"/>
      <c r="B9" s="383"/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83"/>
      <c r="AF9" s="383"/>
      <c r="AG9" s="383"/>
      <c r="AH9" s="383"/>
      <c r="AI9" s="383"/>
      <c r="AT9" s="836"/>
      <c r="AU9" s="836"/>
      <c r="AV9" s="836"/>
      <c r="AW9" s="836"/>
      <c r="AX9" s="836"/>
      <c r="AY9" s="836"/>
      <c r="AZ9" s="836"/>
      <c r="BA9" s="836"/>
      <c r="BB9" s="836"/>
      <c r="BC9" s="836"/>
      <c r="BD9" s="836"/>
      <c r="BE9" s="836"/>
      <c r="BF9" s="836"/>
      <c r="BG9" s="836"/>
      <c r="BH9" s="836"/>
      <c r="BI9" s="836"/>
      <c r="BJ9" s="836"/>
      <c r="BK9" s="836"/>
      <c r="BL9" s="836"/>
      <c r="BM9" s="836"/>
      <c r="BN9" s="836"/>
      <c r="BO9" s="836"/>
      <c r="BP9" s="836"/>
      <c r="BQ9" s="836"/>
      <c r="BR9" s="836"/>
      <c r="BS9" s="836"/>
      <c r="BT9" s="836"/>
      <c r="BU9" s="836"/>
      <c r="BV9" s="836"/>
      <c r="BW9" s="836"/>
      <c r="BX9" s="836"/>
      <c r="BY9" s="836"/>
      <c r="BZ9" s="836"/>
      <c r="CA9" s="836"/>
      <c r="CB9" s="836"/>
    </row>
    <row r="10" spans="1:80" s="11" customFormat="1" ht="22.5" customHeight="1" x14ac:dyDescent="0.2">
      <c r="A10" s="837" t="str">
        <f>IF('Данные объект'!B13="","",'Данные объект'!B13)</f>
      </c>
      <c r="B10" s="837"/>
      <c r="C10" s="837"/>
      <c r="D10" s="837"/>
      <c r="E10" s="837"/>
      <c r="F10" s="837"/>
      <c r="G10" s="837"/>
      <c r="H10" s="837"/>
      <c r="I10" s="837"/>
      <c r="J10" s="837"/>
      <c r="K10" s="837"/>
      <c r="L10" s="837"/>
      <c r="M10" s="837"/>
      <c r="N10" s="837"/>
      <c r="O10" s="837"/>
      <c r="P10" s="837"/>
      <c r="Q10" s="837"/>
      <c r="R10" s="837"/>
      <c r="S10" s="837"/>
      <c r="T10" s="837"/>
      <c r="U10" s="837"/>
      <c r="V10" s="837"/>
      <c r="W10" s="837"/>
      <c r="X10" s="837"/>
      <c r="Y10" s="837"/>
      <c r="Z10" s="837"/>
      <c r="AA10" s="837"/>
      <c r="AB10" s="837"/>
      <c r="AC10" s="837"/>
      <c r="AD10" s="837"/>
      <c r="AE10" s="837"/>
      <c r="AF10" s="837"/>
      <c r="AG10" s="837"/>
      <c r="AH10" s="837"/>
      <c r="AI10" s="837"/>
      <c r="AT10" s="837"/>
      <c r="AU10" s="837"/>
      <c r="AV10" s="837"/>
      <c r="AW10" s="837"/>
      <c r="AX10" s="837"/>
      <c r="AY10" s="837"/>
      <c r="AZ10" s="837"/>
      <c r="BA10" s="837"/>
      <c r="BB10" s="837"/>
      <c r="BC10" s="837"/>
      <c r="BD10" s="837"/>
      <c r="BE10" s="837"/>
      <c r="BF10" s="837"/>
      <c r="BG10" s="837"/>
      <c r="BH10" s="837"/>
      <c r="BI10" s="837"/>
      <c r="BJ10" s="837"/>
      <c r="BK10" s="837"/>
      <c r="BL10" s="837"/>
      <c r="BM10" s="837"/>
      <c r="BN10" s="837"/>
      <c r="BO10" s="837"/>
      <c r="BP10" s="837"/>
      <c r="BQ10" s="837"/>
      <c r="BR10" s="837"/>
      <c r="BS10" s="837"/>
      <c r="BT10" s="837"/>
      <c r="BU10" s="837"/>
      <c r="BV10" s="837"/>
      <c r="BW10" s="837"/>
      <c r="BX10" s="837"/>
      <c r="BY10" s="837"/>
      <c r="BZ10" s="837"/>
      <c r="CA10" s="837"/>
      <c r="CB10" s="837"/>
    </row>
    <row r="11" spans="1:80" s="11" customFormat="1" ht="11.25" x14ac:dyDescent="0.2">
      <c r="A11" s="494" t="str">
        <f>IF(AT11="","",AT11)</f>
      </c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494"/>
      <c r="AI11" s="494"/>
      <c r="AT11" s="494" t="s">
        <v>24</v>
      </c>
      <c r="AU11" s="494"/>
      <c r="AV11" s="494"/>
      <c r="AW11" s="494"/>
      <c r="AX11" s="494"/>
      <c r="AY11" s="494"/>
      <c r="AZ11" s="494"/>
      <c r="BA11" s="494"/>
      <c r="BB11" s="494"/>
      <c r="BC11" s="494"/>
      <c r="BD11" s="494"/>
      <c r="BE11" s="494"/>
      <c r="BF11" s="494"/>
      <c r="BG11" s="494"/>
      <c r="BH11" s="494"/>
      <c r="BI11" s="494"/>
      <c r="BJ11" s="494"/>
      <c r="BK11" s="494"/>
      <c r="BL11" s="494"/>
      <c r="BM11" s="494"/>
      <c r="BN11" s="494"/>
      <c r="BO11" s="494"/>
      <c r="BP11" s="494"/>
      <c r="BQ11" s="494"/>
      <c r="BR11" s="494"/>
      <c r="BS11" s="494"/>
      <c r="BT11" s="494"/>
      <c r="BU11" s="494"/>
      <c r="BV11" s="494"/>
      <c r="BW11" s="494"/>
      <c r="BX11" s="494"/>
      <c r="BY11" s="494"/>
      <c r="BZ11" s="494"/>
      <c r="CA11" s="494"/>
      <c r="CB11" s="494"/>
    </row>
    <row r="12" spans="1:80" s="11" customFormat="1" ht="21" customHeight="1" x14ac:dyDescent="0.2">
      <c r="AT12" s="842" t="str">
        <f>IF('Данные объект'!B8="","",'Данные объект'!B8)</f>
      </c>
      <c r="AU12" s="842"/>
      <c r="AV12" s="842"/>
      <c r="AW12" s="842"/>
      <c r="AX12" s="842"/>
      <c r="AY12" s="842"/>
      <c r="AZ12" s="842"/>
      <c r="BA12" s="842"/>
      <c r="BB12" s="842"/>
      <c r="BC12" s="842"/>
      <c r="BD12" s="842"/>
      <c r="BE12" s="842"/>
      <c r="BF12" s="842"/>
      <c r="BG12" s="842"/>
      <c r="BH12" s="842"/>
      <c r="BI12" s="842"/>
      <c r="BJ12" s="842"/>
      <c r="BK12" s="842"/>
      <c r="BL12" s="842"/>
      <c r="BM12" s="842"/>
      <c r="BN12" s="842"/>
      <c r="BO12" s="842"/>
      <c r="BP12" s="842"/>
      <c r="BQ12" s="842"/>
      <c r="BR12" s="842"/>
      <c r="BS12" s="842"/>
      <c r="BT12" s="842"/>
      <c r="BU12" s="842"/>
      <c r="BV12" s="842"/>
      <c r="BW12" s="842"/>
      <c r="BX12" s="842"/>
      <c r="BY12" s="842"/>
      <c r="BZ12" s="842"/>
      <c r="CA12" s="842"/>
      <c r="CB12" s="842"/>
    </row>
    <row r="13" spans="1:80" s="11" customFormat="1" ht="11.25" x14ac:dyDescent="0.2">
      <c r="AT13" s="843" t="s">
        <v>1345</v>
      </c>
      <c r="AU13" s="843"/>
      <c r="AV13" s="843"/>
      <c r="AW13" s="843"/>
      <c r="AX13" s="843"/>
      <c r="AY13" s="843"/>
      <c r="AZ13" s="843"/>
      <c r="BA13" s="843"/>
      <c r="BB13" s="843"/>
      <c r="BC13" s="843"/>
      <c r="BD13" s="843"/>
      <c r="BE13" s="843"/>
      <c r="BF13" s="843"/>
      <c r="BG13" s="843"/>
      <c r="BH13" s="843"/>
      <c r="BI13" s="843"/>
      <c r="BJ13" s="843"/>
      <c r="BK13" s="843"/>
      <c r="BL13" s="843"/>
      <c r="BM13" s="843"/>
      <c r="BN13" s="843"/>
      <c r="BO13" s="843"/>
      <c r="BP13" s="843"/>
      <c r="BQ13" s="843"/>
      <c r="BR13" s="843"/>
      <c r="BS13" s="843"/>
      <c r="BT13" s="843"/>
      <c r="BU13" s="843"/>
      <c r="BV13" s="843"/>
      <c r="BW13" s="843"/>
      <c r="BX13" s="843"/>
      <c r="BY13" s="843"/>
      <c r="BZ13" s="843"/>
      <c r="CA13" s="843"/>
      <c r="CB13" s="843"/>
    </row>
    <row r="14" spans="1:80" ht="6.75" customHeight="1" x14ac:dyDescent="0.2"/>
    <row r="15" spans="1:80" ht="6.75" customHeight="1" x14ac:dyDescent="0.2"/>
    <row r="16" spans="1:80" s="19" customFormat="1" ht="15.75" customHeight="1" x14ac:dyDescent="0.25">
      <c r="A16" s="931" t="s">
        <v>1236</v>
      </c>
      <c r="B16" s="931"/>
      <c r="C16" s="931"/>
      <c r="D16" s="931"/>
      <c r="E16" s="931"/>
      <c r="F16" s="931"/>
      <c r="G16" s="931"/>
      <c r="H16" s="931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931"/>
      <c r="AH16" s="931"/>
      <c r="AI16" s="931"/>
      <c r="AJ16" s="931"/>
      <c r="AK16" s="931"/>
      <c r="AL16" s="931"/>
      <c r="AM16" s="931"/>
      <c r="AN16" s="931"/>
      <c r="AO16" s="931"/>
      <c r="AP16" s="931"/>
      <c r="AQ16" s="931"/>
      <c r="AR16" s="931"/>
      <c r="AS16" s="931"/>
      <c r="AT16" s="931"/>
      <c r="AU16" s="931"/>
      <c r="AV16" s="931"/>
      <c r="AW16" s="931"/>
      <c r="AX16" s="931"/>
      <c r="AY16" s="931"/>
      <c r="AZ16" s="931"/>
      <c r="BA16" s="931"/>
      <c r="BB16" s="931"/>
      <c r="BC16" s="931"/>
      <c r="BD16" s="931"/>
      <c r="BE16" s="931"/>
      <c r="BF16" s="931"/>
      <c r="BG16" s="931"/>
      <c r="BH16" s="931"/>
      <c r="BI16" s="931"/>
      <c r="BJ16" s="931"/>
      <c r="BK16" s="931"/>
      <c r="BL16" s="931"/>
      <c r="BM16" s="931"/>
      <c r="BN16" s="931"/>
      <c r="BO16" s="931"/>
      <c r="BP16" s="931"/>
      <c r="BQ16" s="931"/>
      <c r="BR16" s="931"/>
      <c r="BS16" s="931"/>
      <c r="BT16" s="931"/>
      <c r="BU16" s="931"/>
      <c r="BV16" s="931"/>
      <c r="BW16" s="931"/>
      <c r="BX16" s="931"/>
      <c r="BY16" s="931"/>
      <c r="BZ16" s="931"/>
      <c r="CA16" s="931"/>
      <c r="CB16" s="931"/>
    </row>
    <row r="17" spans="1:80" s="19" customFormat="1" ht="15.75" x14ac:dyDescent="0.25">
      <c r="A17" s="931" t="s">
        <v>1245</v>
      </c>
      <c r="B17" s="851"/>
      <c r="C17" s="851"/>
      <c r="D17" s="851"/>
      <c r="E17" s="851"/>
      <c r="F17" s="851"/>
      <c r="G17" s="851"/>
      <c r="H17" s="851"/>
      <c r="I17" s="851"/>
      <c r="J17" s="851"/>
      <c r="K17" s="851"/>
      <c r="L17" s="851"/>
      <c r="M17" s="851"/>
      <c r="N17" s="851"/>
      <c r="O17" s="851"/>
      <c r="P17" s="851"/>
      <c r="Q17" s="851"/>
      <c r="R17" s="851"/>
      <c r="S17" s="851"/>
      <c r="T17" s="851"/>
      <c r="U17" s="851"/>
      <c r="V17" s="851"/>
      <c r="W17" s="851"/>
      <c r="X17" s="851"/>
      <c r="Y17" s="851"/>
      <c r="Z17" s="851"/>
      <c r="AA17" s="851"/>
      <c r="AB17" s="851"/>
      <c r="AC17" s="851"/>
      <c r="AD17" s="851"/>
      <c r="AE17" s="851"/>
      <c r="AF17" s="851"/>
      <c r="AG17" s="851"/>
      <c r="AH17" s="851"/>
      <c r="AI17" s="851"/>
      <c r="AJ17" s="851"/>
      <c r="AK17" s="851"/>
      <c r="AL17" s="851"/>
      <c r="AM17" s="851"/>
      <c r="AN17" s="851"/>
      <c r="AO17" s="851"/>
      <c r="AP17" s="851"/>
      <c r="AQ17" s="851"/>
      <c r="AR17" s="851"/>
      <c r="AS17" s="851"/>
      <c r="AT17" s="851"/>
      <c r="AU17" s="851"/>
      <c r="AV17" s="851"/>
      <c r="AW17" s="851"/>
      <c r="AX17" s="851"/>
      <c r="AY17" s="851"/>
      <c r="AZ17" s="851"/>
      <c r="BA17" s="851"/>
      <c r="BB17" s="851"/>
      <c r="BC17" s="851"/>
      <c r="BD17" s="851"/>
      <c r="BE17" s="851"/>
      <c r="BF17" s="851"/>
      <c r="BG17" s="851"/>
      <c r="BH17" s="851"/>
      <c r="BI17" s="851"/>
      <c r="BJ17" s="851"/>
      <c r="BK17" s="851"/>
      <c r="BL17" s="851"/>
      <c r="BM17" s="851"/>
      <c r="BN17" s="851"/>
      <c r="BO17" s="851"/>
      <c r="BP17" s="851"/>
      <c r="BQ17" s="851"/>
      <c r="BR17" s="851"/>
      <c r="BS17" s="851"/>
      <c r="BT17" s="851"/>
      <c r="BU17" s="851"/>
      <c r="BV17" s="851"/>
      <c r="BW17" s="851"/>
      <c r="BX17" s="851"/>
      <c r="BY17" s="851"/>
      <c r="BZ17" s="851"/>
      <c r="CA17" s="851"/>
      <c r="CB17" s="851"/>
    </row>
    <row r="18" spans="1:80" s="19" customFormat="1" ht="15.75" hidden="1" x14ac:dyDescent="0.25">
      <c r="A18" s="929"/>
      <c r="B18" s="929"/>
      <c r="C18" s="929"/>
      <c r="D18" s="929"/>
      <c r="E18" s="929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29"/>
      <c r="Q18" s="929"/>
      <c r="R18" s="929"/>
      <c r="S18" s="929"/>
      <c r="T18" s="929"/>
      <c r="U18" s="929"/>
      <c r="V18" s="929"/>
      <c r="W18" s="929"/>
      <c r="X18" s="929"/>
      <c r="Y18" s="929"/>
      <c r="Z18" s="929"/>
      <c r="AA18" s="929"/>
      <c r="AB18" s="929"/>
      <c r="AC18" s="929"/>
      <c r="AD18" s="929"/>
      <c r="AE18" s="929"/>
      <c r="AF18" s="929"/>
      <c r="AG18" s="929"/>
      <c r="AH18" s="929"/>
      <c r="AI18" s="929"/>
      <c r="AJ18" s="929"/>
      <c r="AK18" s="929"/>
      <c r="AL18" s="929"/>
      <c r="AM18" s="929"/>
      <c r="AN18" s="929"/>
      <c r="AO18" s="929"/>
      <c r="AP18" s="929"/>
      <c r="AQ18" s="929"/>
      <c r="AR18" s="929"/>
      <c r="AS18" s="929"/>
      <c r="AT18" s="929"/>
      <c r="AU18" s="929"/>
      <c r="AV18" s="929"/>
      <c r="AW18" s="929"/>
      <c r="AX18" s="929"/>
      <c r="AY18" s="929"/>
      <c r="AZ18" s="929"/>
      <c r="BA18" s="929"/>
      <c r="BB18" s="929"/>
      <c r="BC18" s="929"/>
      <c r="BD18" s="929"/>
      <c r="BE18" s="929"/>
      <c r="BF18" s="929"/>
      <c r="BG18" s="929"/>
      <c r="BH18" s="929"/>
      <c r="BI18" s="929"/>
      <c r="BJ18" s="929"/>
      <c r="BK18" s="929"/>
      <c r="BL18" s="929"/>
      <c r="BM18" s="929"/>
      <c r="BN18" s="929"/>
      <c r="BO18" s="929"/>
      <c r="BP18" s="929"/>
      <c r="BQ18" s="929"/>
      <c r="BR18" s="929"/>
      <c r="BS18" s="929"/>
      <c r="BT18" s="929"/>
      <c r="BU18" s="929"/>
      <c r="BV18" s="929"/>
      <c r="BW18" s="929"/>
      <c r="BX18" s="929"/>
      <c r="BY18" s="929"/>
      <c r="BZ18" s="929"/>
      <c r="CA18" s="929"/>
      <c r="CB18" s="929"/>
    </row>
    <row r="20" spans="1:80" s="11" customFormat="1" ht="11.25" x14ac:dyDescent="0.2">
      <c r="A20" s="57" t="s">
        <v>27</v>
      </c>
    </row>
    <row r="21" spans="1:80" s="11" customFormat="1" ht="11.25" x14ac:dyDescent="0.2">
      <c r="A21" s="11" t="s">
        <v>345</v>
      </c>
    </row>
    <row r="22" spans="1:80" s="11" customFormat="1" ht="27" hidden="1" customHeight="1" x14ac:dyDescent="0.2">
      <c r="A22" s="825" t="str">
        <f>IF(AND('Данные объект'!B36="",'Данные объект'!B33="",'Данные объект'!B37=""),"",CONCATENATE(IF('Данные объект'!B36="","",'Данные объект'!B36),", ",IF('Данные объект'!B33="","",'Данные объект'!B33)," - ",IF('Данные объект'!B37="","",'Данные объект'!B37)))</f>
      </c>
      <c r="B22" s="825"/>
      <c r="C22" s="825"/>
      <c r="D22" s="825"/>
      <c r="E22" s="825"/>
      <c r="F22" s="825"/>
      <c r="G22" s="825"/>
      <c r="H22" s="825"/>
      <c r="I22" s="825"/>
      <c r="J22" s="825"/>
      <c r="K22" s="825"/>
      <c r="L22" s="825"/>
      <c r="M22" s="825"/>
      <c r="N22" s="825"/>
      <c r="O22" s="825"/>
      <c r="P22" s="825"/>
      <c r="Q22" s="825"/>
      <c r="R22" s="825"/>
      <c r="S22" s="825"/>
      <c r="T22" s="825"/>
      <c r="U22" s="825"/>
      <c r="V22" s="825"/>
      <c r="W22" s="825"/>
      <c r="X22" s="825"/>
      <c r="Y22" s="825"/>
      <c r="Z22" s="825"/>
      <c r="AA22" s="825"/>
      <c r="AB22" s="825"/>
      <c r="AC22" s="825"/>
      <c r="AD22" s="825"/>
      <c r="AE22" s="825"/>
      <c r="AF22" s="825"/>
      <c r="AG22" s="825"/>
      <c r="AH22" s="825"/>
      <c r="AI22" s="825"/>
      <c r="AJ22" s="825"/>
      <c r="AK22" s="825"/>
      <c r="AL22" s="825"/>
      <c r="AM22" s="825"/>
      <c r="AN22" s="825"/>
      <c r="AO22" s="825"/>
      <c r="AP22" s="825"/>
      <c r="AQ22" s="825"/>
      <c r="AR22" s="825"/>
      <c r="AS22" s="825"/>
      <c r="AT22" s="825"/>
      <c r="AU22" s="825"/>
      <c r="AV22" s="825"/>
      <c r="AW22" s="825"/>
      <c r="AX22" s="825"/>
      <c r="AY22" s="825"/>
      <c r="AZ22" s="825"/>
      <c r="BA22" s="825"/>
      <c r="BB22" s="825"/>
      <c r="BC22" s="825"/>
      <c r="BD22" s="825"/>
      <c r="BE22" s="825"/>
      <c r="BF22" s="825"/>
      <c r="BG22" s="825"/>
      <c r="BH22" s="825"/>
      <c r="BI22" s="825"/>
      <c r="BJ22" s="825"/>
      <c r="BK22" s="825"/>
      <c r="BL22" s="825"/>
      <c r="BM22" s="825"/>
      <c r="BN22" s="825"/>
      <c r="BO22" s="825"/>
      <c r="BP22" s="825"/>
      <c r="BQ22" s="825"/>
      <c r="BR22" s="825"/>
      <c r="BS22" s="825"/>
      <c r="BT22" s="825"/>
      <c r="BU22" s="825"/>
      <c r="BV22" s="825"/>
      <c r="BW22" s="825"/>
      <c r="BX22" s="825"/>
      <c r="BY22" s="825"/>
      <c r="BZ22" s="825"/>
    </row>
    <row r="23" spans="1:80" s="385" customFormat="1" ht="11.25" hidden="1" x14ac:dyDescent="0.25">
      <c r="A23" s="832" t="s">
        <v>31</v>
      </c>
      <c r="B23" s="832"/>
      <c r="C23" s="832"/>
      <c r="D23" s="832"/>
      <c r="E23" s="832"/>
      <c r="F23" s="832"/>
      <c r="G23" s="832"/>
      <c r="H23" s="832"/>
      <c r="I23" s="832"/>
      <c r="J23" s="832"/>
      <c r="K23" s="832"/>
      <c r="L23" s="832"/>
      <c r="M23" s="832"/>
      <c r="N23" s="832"/>
      <c r="O23" s="832"/>
      <c r="P23" s="832"/>
      <c r="Q23" s="832"/>
      <c r="R23" s="832"/>
      <c r="S23" s="832"/>
      <c r="T23" s="832"/>
      <c r="U23" s="832"/>
      <c r="V23" s="832"/>
      <c r="W23" s="832"/>
      <c r="X23" s="832"/>
      <c r="Y23" s="832"/>
      <c r="Z23" s="832"/>
      <c r="AA23" s="832"/>
      <c r="AB23" s="832"/>
      <c r="AC23" s="832"/>
      <c r="AD23" s="832"/>
      <c r="AE23" s="832"/>
      <c r="AF23" s="832"/>
      <c r="AG23" s="832"/>
      <c r="AH23" s="832"/>
      <c r="AI23" s="832"/>
      <c r="AJ23" s="832"/>
      <c r="AK23" s="832"/>
      <c r="AL23" s="832"/>
      <c r="AM23" s="832"/>
      <c r="AN23" s="832"/>
      <c r="AO23" s="832"/>
      <c r="AP23" s="832"/>
      <c r="AQ23" s="832"/>
      <c r="AR23" s="832"/>
      <c r="AS23" s="832"/>
      <c r="AT23" s="832"/>
      <c r="AU23" s="832"/>
      <c r="AV23" s="832"/>
      <c r="AW23" s="832"/>
      <c r="AX23" s="832"/>
      <c r="AY23" s="832"/>
      <c r="AZ23" s="832"/>
      <c r="BA23" s="832"/>
      <c r="BB23" s="832"/>
      <c r="BC23" s="832"/>
      <c r="BD23" s="832"/>
      <c r="BE23" s="832"/>
      <c r="BF23" s="832"/>
      <c r="BG23" s="832"/>
      <c r="BH23" s="832"/>
      <c r="BI23" s="832"/>
      <c r="BJ23" s="832"/>
      <c r="BK23" s="832"/>
      <c r="BL23" s="832"/>
      <c r="BM23" s="832"/>
      <c r="BN23" s="832"/>
      <c r="BO23" s="832"/>
      <c r="BP23" s="832"/>
      <c r="BQ23" s="832"/>
      <c r="BR23" s="832"/>
      <c r="BS23" s="832"/>
      <c r="BT23" s="832"/>
      <c r="BU23" s="832"/>
      <c r="BV23" s="832"/>
      <c r="BW23" s="832"/>
      <c r="BX23" s="832"/>
      <c r="BY23" s="832"/>
      <c r="BZ23" s="832"/>
    </row>
    <row r="24" spans="1:80" s="385" customFormat="1" ht="11.25" customHeight="1" x14ac:dyDescent="0.2">
      <c r="A24" s="844" t="str">
        <f>IF('Данные объект'!C42="","",'Данные объект'!C42)</f>
      </c>
      <c r="B24" s="844"/>
      <c r="C24" s="844"/>
      <c r="D24" s="844"/>
      <c r="E24" s="844"/>
      <c r="F24" s="844"/>
      <c r="G24" s="844"/>
      <c r="H24" s="844"/>
      <c r="I24" s="844"/>
      <c r="J24" s="844"/>
      <c r="K24" s="844"/>
      <c r="L24" s="844"/>
      <c r="M24" s="844"/>
      <c r="N24" s="844"/>
      <c r="O24" s="844"/>
      <c r="P24" s="844"/>
      <c r="Q24" s="844"/>
      <c r="R24" s="844"/>
      <c r="S24" s="844"/>
      <c r="T24" s="844"/>
      <c r="U24" s="844"/>
      <c r="V24" s="844"/>
      <c r="W24" s="844"/>
      <c r="X24" s="844"/>
      <c r="Y24" s="844"/>
      <c r="Z24" s="844"/>
      <c r="AA24" s="844"/>
      <c r="AB24" s="844"/>
      <c r="AC24" s="844"/>
      <c r="AD24" s="844"/>
      <c r="AE24" s="844"/>
      <c r="AF24" s="844"/>
      <c r="AG24" s="844"/>
      <c r="AH24" s="844"/>
      <c r="AI24" s="844"/>
      <c r="AJ24" s="844"/>
      <c r="AK24" s="844"/>
      <c r="AL24" s="844"/>
      <c r="AM24" s="844"/>
      <c r="AN24" s="844"/>
      <c r="AO24" s="844"/>
      <c r="AP24" s="844"/>
      <c r="AQ24" s="844"/>
      <c r="AR24" s="844"/>
      <c r="AS24" s="844"/>
      <c r="AT24" s="844"/>
      <c r="AU24" s="844"/>
      <c r="AV24" s="844"/>
      <c r="AW24" s="844"/>
      <c r="AX24" s="844"/>
      <c r="AY24" s="844"/>
      <c r="AZ24" s="844"/>
      <c r="BA24" s="844"/>
      <c r="BB24" s="844"/>
      <c r="BC24" s="844"/>
      <c r="BD24" s="844"/>
      <c r="BE24" s="844"/>
      <c r="BF24" s="844"/>
      <c r="BG24" s="844"/>
      <c r="BH24" s="844"/>
      <c r="BI24" s="844"/>
      <c r="BJ24" s="844"/>
      <c r="BK24" s="844"/>
      <c r="BL24" s="844"/>
      <c r="BM24" s="844"/>
      <c r="BN24" s="844"/>
      <c r="BO24" s="844"/>
      <c r="BP24" s="844"/>
      <c r="BQ24" s="844"/>
      <c r="BR24" s="844"/>
      <c r="BS24" s="844"/>
      <c r="BT24" s="844"/>
      <c r="BU24" s="844"/>
      <c r="BV24" s="844"/>
      <c r="BW24" s="844"/>
      <c r="BX24" s="844"/>
      <c r="BY24" s="844"/>
      <c r="BZ24" s="844"/>
      <c r="CA24" s="844"/>
      <c r="CB24" s="844"/>
    </row>
    <row r="25" spans="1:80" s="385" customFormat="1" ht="11.25" x14ac:dyDescent="0.25">
      <c r="A25" s="832" t="s">
        <v>31</v>
      </c>
      <c r="B25" s="832"/>
      <c r="C25" s="832"/>
      <c r="D25" s="832"/>
      <c r="E25" s="832"/>
      <c r="F25" s="832"/>
      <c r="G25" s="832"/>
      <c r="H25" s="832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32"/>
      <c r="T25" s="832"/>
      <c r="U25" s="832"/>
      <c r="V25" s="832"/>
      <c r="W25" s="832"/>
      <c r="X25" s="832"/>
      <c r="Y25" s="832"/>
      <c r="Z25" s="832"/>
      <c r="AA25" s="832"/>
      <c r="AB25" s="832"/>
      <c r="AC25" s="832"/>
      <c r="AD25" s="832"/>
      <c r="AE25" s="832"/>
      <c r="AF25" s="832"/>
      <c r="AG25" s="832"/>
      <c r="AH25" s="832"/>
      <c r="AI25" s="832"/>
      <c r="AJ25" s="832"/>
      <c r="AK25" s="832"/>
      <c r="AL25" s="832"/>
      <c r="AM25" s="832"/>
      <c r="AN25" s="832"/>
      <c r="AO25" s="832"/>
      <c r="AP25" s="832"/>
      <c r="AQ25" s="832"/>
      <c r="AR25" s="832"/>
      <c r="AS25" s="832"/>
      <c r="AT25" s="832"/>
      <c r="AU25" s="832"/>
      <c r="AV25" s="832"/>
      <c r="AW25" s="832"/>
      <c r="AX25" s="832"/>
      <c r="AY25" s="832"/>
      <c r="AZ25" s="832"/>
      <c r="BA25" s="832"/>
      <c r="BB25" s="832"/>
      <c r="BC25" s="832"/>
      <c r="BD25" s="832"/>
      <c r="BE25" s="832"/>
      <c r="BF25" s="832"/>
      <c r="BG25" s="832"/>
      <c r="BH25" s="832"/>
      <c r="BI25" s="832"/>
      <c r="BJ25" s="832"/>
      <c r="BK25" s="832"/>
      <c r="BL25" s="832"/>
      <c r="BM25" s="832"/>
      <c r="BN25" s="832"/>
      <c r="BO25" s="832"/>
      <c r="BP25" s="832"/>
      <c r="BQ25" s="832"/>
      <c r="BR25" s="832"/>
      <c r="BS25" s="832"/>
      <c r="BT25" s="832"/>
      <c r="BU25" s="832"/>
      <c r="BV25" s="832"/>
      <c r="BW25" s="832"/>
      <c r="BX25" s="832"/>
      <c r="BY25" s="832"/>
      <c r="BZ25" s="832"/>
      <c r="CA25" s="832"/>
      <c r="CB25" s="832"/>
    </row>
    <row r="26" spans="1:80" s="11" customFormat="1" ht="11.25" hidden="1" outlineLevel="1" x14ac:dyDescent="0.2">
      <c r="A26" s="11" t="s">
        <v>29</v>
      </c>
    </row>
    <row r="27" spans="1:80" s="11" customFormat="1" ht="11.25" outlineLevel="1" x14ac:dyDescent="0.2">
      <c r="A27" s="957" t="str">
        <f>IF('Данные объект'!C45="","",'Данные объект'!C45)</f>
      </c>
      <c r="B27" s="957"/>
      <c r="C27" s="957"/>
      <c r="D27" s="957"/>
      <c r="E27" s="957"/>
      <c r="F27" s="957"/>
      <c r="G27" s="957"/>
      <c r="H27" s="957"/>
      <c r="I27" s="957"/>
      <c r="J27" s="957"/>
      <c r="K27" s="957"/>
      <c r="L27" s="957"/>
      <c r="M27" s="957"/>
      <c r="N27" s="957"/>
      <c r="O27" s="957"/>
      <c r="P27" s="957"/>
      <c r="Q27" s="957"/>
      <c r="R27" s="957"/>
      <c r="S27" s="957"/>
      <c r="T27" s="957"/>
      <c r="U27" s="957"/>
      <c r="V27" s="957"/>
      <c r="W27" s="957"/>
      <c r="X27" s="957"/>
      <c r="Y27" s="957"/>
      <c r="Z27" s="957"/>
      <c r="AA27" s="957"/>
      <c r="AB27" s="957"/>
      <c r="AC27" s="957"/>
      <c r="AD27" s="957"/>
      <c r="AE27" s="957"/>
      <c r="AF27" s="957"/>
      <c r="AG27" s="957"/>
      <c r="AH27" s="957"/>
      <c r="AI27" s="957"/>
      <c r="AJ27" s="957"/>
      <c r="AK27" s="957"/>
      <c r="AL27" s="957"/>
      <c r="AM27" s="957"/>
      <c r="AN27" s="957"/>
      <c r="AO27" s="957"/>
      <c r="AP27" s="957"/>
      <c r="AQ27" s="957"/>
      <c r="AR27" s="957"/>
      <c r="AS27" s="957"/>
      <c r="AT27" s="957"/>
      <c r="AU27" s="957"/>
      <c r="AV27" s="957"/>
      <c r="AW27" s="957"/>
      <c r="AX27" s="957"/>
      <c r="AY27" s="957"/>
      <c r="AZ27" s="957"/>
      <c r="BA27" s="957"/>
      <c r="BB27" s="957"/>
      <c r="BC27" s="957"/>
      <c r="BD27" s="957"/>
      <c r="BE27" s="957"/>
      <c r="BF27" s="957"/>
      <c r="BG27" s="957"/>
      <c r="BH27" s="957"/>
      <c r="BI27" s="957"/>
      <c r="BJ27" s="957"/>
      <c r="BK27" s="957"/>
      <c r="BL27" s="957"/>
      <c r="BM27" s="957"/>
      <c r="BN27" s="957"/>
      <c r="BO27" s="957"/>
      <c r="BP27" s="957"/>
      <c r="BQ27" s="957"/>
      <c r="BR27" s="957"/>
      <c r="BS27" s="957"/>
      <c r="BT27" s="957"/>
      <c r="BU27" s="957"/>
      <c r="BV27" s="957"/>
      <c r="BW27" s="957"/>
      <c r="BX27" s="957"/>
      <c r="BY27" s="957"/>
      <c r="BZ27" s="957"/>
      <c r="CA27" s="957"/>
      <c r="CB27" s="957"/>
    </row>
    <row r="28" spans="1:80" s="385" customFormat="1" ht="11.25" outlineLevel="1" x14ac:dyDescent="0.25">
      <c r="A28" s="832" t="s">
        <v>31</v>
      </c>
      <c r="B28" s="832"/>
      <c r="C28" s="832"/>
      <c r="D28" s="832"/>
      <c r="E28" s="832"/>
      <c r="F28" s="832"/>
      <c r="G28" s="832"/>
      <c r="H28" s="832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32"/>
      <c r="T28" s="832"/>
      <c r="U28" s="832"/>
      <c r="V28" s="832"/>
      <c r="W28" s="832"/>
      <c r="X28" s="832"/>
      <c r="Y28" s="832"/>
      <c r="Z28" s="832"/>
      <c r="AA28" s="832"/>
      <c r="AB28" s="832"/>
      <c r="AC28" s="832"/>
      <c r="AD28" s="832"/>
      <c r="AE28" s="832"/>
      <c r="AF28" s="832"/>
      <c r="AG28" s="832"/>
      <c r="AH28" s="832"/>
      <c r="AI28" s="832"/>
      <c r="AJ28" s="832"/>
      <c r="AK28" s="832"/>
      <c r="AL28" s="832"/>
      <c r="AM28" s="832"/>
      <c r="AN28" s="832"/>
      <c r="AO28" s="832"/>
      <c r="AP28" s="832"/>
      <c r="AQ28" s="832"/>
      <c r="AR28" s="832"/>
      <c r="AS28" s="832"/>
      <c r="AT28" s="832"/>
      <c r="AU28" s="832"/>
      <c r="AV28" s="832"/>
      <c r="AW28" s="832"/>
      <c r="AX28" s="832"/>
      <c r="AY28" s="832"/>
      <c r="AZ28" s="832"/>
      <c r="BA28" s="832"/>
      <c r="BB28" s="832"/>
      <c r="BC28" s="832"/>
      <c r="BD28" s="832"/>
      <c r="BE28" s="832"/>
      <c r="BF28" s="832"/>
      <c r="BG28" s="832"/>
      <c r="BH28" s="832"/>
      <c r="BI28" s="832"/>
      <c r="BJ28" s="832"/>
      <c r="BK28" s="832"/>
      <c r="BL28" s="832"/>
      <c r="BM28" s="832"/>
      <c r="BN28" s="832"/>
      <c r="BO28" s="832"/>
      <c r="BP28" s="832"/>
      <c r="BQ28" s="832"/>
      <c r="BR28" s="832"/>
      <c r="BS28" s="832"/>
      <c r="BT28" s="832"/>
      <c r="BU28" s="832"/>
      <c r="BV28" s="832"/>
      <c r="BW28" s="832"/>
      <c r="BX28" s="832"/>
      <c r="BY28" s="832"/>
      <c r="BZ28" s="832"/>
      <c r="CA28" s="832"/>
      <c r="CB28" s="832"/>
    </row>
    <row r="29" spans="1:80" s="385" customFormat="1" ht="11.25" hidden="1" outlineLevel="1" x14ac:dyDescent="0.25"/>
    <row r="30" spans="1:80" s="385" customFormat="1" ht="11.25" hidden="1" outlineLevel="1" x14ac:dyDescent="0.25">
      <c r="A30" s="930"/>
      <c r="B30" s="930"/>
      <c r="C30" s="930"/>
      <c r="D30" s="930"/>
      <c r="E30" s="930"/>
      <c r="F30" s="930"/>
      <c r="G30" s="930"/>
      <c r="H30" s="930"/>
      <c r="I30" s="930"/>
      <c r="J30" s="930"/>
      <c r="K30" s="930"/>
      <c r="L30" s="930"/>
      <c r="M30" s="930"/>
      <c r="N30" s="930"/>
      <c r="O30" s="930"/>
      <c r="P30" s="930"/>
      <c r="Q30" s="930"/>
      <c r="R30" s="930"/>
      <c r="S30" s="930"/>
      <c r="T30" s="930"/>
      <c r="U30" s="930"/>
      <c r="V30" s="930"/>
      <c r="W30" s="930"/>
      <c r="X30" s="930"/>
      <c r="Y30" s="930"/>
      <c r="Z30" s="930"/>
      <c r="AA30" s="930"/>
      <c r="AB30" s="930"/>
      <c r="AC30" s="930"/>
      <c r="AD30" s="930"/>
      <c r="AE30" s="930"/>
      <c r="AF30" s="930"/>
      <c r="AG30" s="930"/>
      <c r="AH30" s="930"/>
      <c r="AI30" s="930"/>
      <c r="AJ30" s="930"/>
      <c r="AK30" s="930"/>
      <c r="AL30" s="930"/>
      <c r="AM30" s="930"/>
      <c r="AN30" s="930"/>
      <c r="AO30" s="930"/>
      <c r="AP30" s="930"/>
      <c r="AQ30" s="930"/>
      <c r="AR30" s="930"/>
      <c r="AS30" s="930"/>
      <c r="AT30" s="930"/>
      <c r="AU30" s="930"/>
      <c r="AV30" s="930"/>
      <c r="AW30" s="930"/>
      <c r="AX30" s="930"/>
      <c r="AY30" s="930"/>
      <c r="AZ30" s="930"/>
      <c r="BA30" s="930"/>
      <c r="BB30" s="930"/>
      <c r="BC30" s="930"/>
      <c r="BD30" s="930"/>
      <c r="BE30" s="930"/>
      <c r="BF30" s="930"/>
      <c r="BG30" s="930"/>
      <c r="BH30" s="930"/>
      <c r="BI30" s="930"/>
      <c r="BJ30" s="930"/>
      <c r="BK30" s="930"/>
      <c r="BL30" s="930"/>
      <c r="BM30" s="930"/>
      <c r="BN30" s="930"/>
      <c r="BO30" s="930"/>
      <c r="BP30" s="930"/>
      <c r="BQ30" s="930"/>
      <c r="BR30" s="930"/>
      <c r="BS30" s="930"/>
      <c r="BT30" s="930"/>
      <c r="BU30" s="930"/>
      <c r="BV30" s="930"/>
      <c r="BW30" s="930"/>
      <c r="BX30" s="930"/>
      <c r="BY30" s="930"/>
      <c r="BZ30" s="930"/>
      <c r="CA30" s="930"/>
      <c r="CB30" s="930"/>
    </row>
    <row r="31" spans="1:80" s="385" customFormat="1" ht="11.25" hidden="1" outlineLevel="1" x14ac:dyDescent="0.25">
      <c r="A31" s="832" t="s">
        <v>31</v>
      </c>
      <c r="B31" s="832"/>
      <c r="C31" s="832"/>
      <c r="D31" s="832"/>
      <c r="E31" s="832"/>
      <c r="F31" s="832"/>
      <c r="G31" s="832"/>
      <c r="H31" s="832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32"/>
      <c r="T31" s="832"/>
      <c r="U31" s="832"/>
      <c r="V31" s="832"/>
      <c r="W31" s="832"/>
      <c r="X31" s="832"/>
      <c r="Y31" s="832"/>
      <c r="Z31" s="832"/>
      <c r="AA31" s="832"/>
      <c r="AB31" s="832"/>
      <c r="AC31" s="832"/>
      <c r="AD31" s="832"/>
      <c r="AE31" s="832"/>
      <c r="AF31" s="832"/>
      <c r="AG31" s="832"/>
      <c r="AH31" s="832"/>
      <c r="AI31" s="832"/>
      <c r="AJ31" s="832"/>
      <c r="AK31" s="832"/>
      <c r="AL31" s="832"/>
      <c r="AM31" s="832"/>
      <c r="AN31" s="832"/>
      <c r="AO31" s="832"/>
      <c r="AP31" s="832"/>
      <c r="AQ31" s="832"/>
      <c r="AR31" s="832"/>
      <c r="AS31" s="832"/>
      <c r="AT31" s="832"/>
      <c r="AU31" s="832"/>
      <c r="AV31" s="832"/>
      <c r="AW31" s="832"/>
      <c r="AX31" s="832"/>
      <c r="AY31" s="832"/>
      <c r="AZ31" s="832"/>
      <c r="BA31" s="832"/>
      <c r="BB31" s="832"/>
      <c r="BC31" s="832"/>
      <c r="BD31" s="832"/>
      <c r="BE31" s="832"/>
      <c r="BF31" s="832"/>
      <c r="BG31" s="832"/>
      <c r="BH31" s="832"/>
      <c r="BI31" s="832"/>
      <c r="BJ31" s="832"/>
      <c r="BK31" s="832"/>
      <c r="BL31" s="832"/>
      <c r="BM31" s="832"/>
      <c r="BN31" s="832"/>
      <c r="BO31" s="832"/>
      <c r="BP31" s="832"/>
      <c r="BQ31" s="832"/>
      <c r="BR31" s="832"/>
      <c r="BS31" s="832"/>
      <c r="BT31" s="832"/>
      <c r="BU31" s="832"/>
      <c r="BV31" s="832"/>
      <c r="BW31" s="832"/>
      <c r="BX31" s="832"/>
      <c r="BY31" s="832"/>
      <c r="BZ31" s="832"/>
      <c r="CA31" s="832"/>
      <c r="CB31" s="832"/>
    </row>
    <row r="32" spans="1:80" s="385" customFormat="1" ht="13.5" hidden="1" customHeight="1" outlineLevel="1" x14ac:dyDescent="0.2">
      <c r="A32" s="11" t="s">
        <v>354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</row>
    <row r="33" spans="1:80" s="11" customFormat="1" ht="11.25" hidden="1" x14ac:dyDescent="0.2">
      <c r="A33" s="927"/>
      <c r="B33" s="927"/>
      <c r="C33" s="927"/>
      <c r="D33" s="927"/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7"/>
      <c r="AF33" s="927"/>
      <c r="AG33" s="927"/>
      <c r="AH33" s="927"/>
      <c r="AI33" s="927"/>
      <c r="AJ33" s="927"/>
      <c r="AK33" s="927"/>
      <c r="AL33" s="927"/>
      <c r="AM33" s="927"/>
      <c r="AN33" s="927"/>
      <c r="AO33" s="927"/>
      <c r="AP33" s="927"/>
      <c r="AQ33" s="927"/>
      <c r="AR33" s="927"/>
      <c r="AS33" s="927"/>
      <c r="AT33" s="927"/>
      <c r="AU33" s="927"/>
      <c r="AV33" s="927"/>
      <c r="AW33" s="927"/>
      <c r="AX33" s="927"/>
      <c r="AY33" s="927"/>
      <c r="AZ33" s="927"/>
      <c r="BA33" s="927"/>
      <c r="BB33" s="927"/>
      <c r="BC33" s="927"/>
      <c r="BD33" s="927"/>
      <c r="BE33" s="927"/>
      <c r="BF33" s="927"/>
      <c r="BG33" s="927"/>
      <c r="BH33" s="927"/>
      <c r="BI33" s="927"/>
      <c r="BJ33" s="927"/>
      <c r="BK33" s="927"/>
      <c r="BL33" s="927"/>
      <c r="BM33" s="927"/>
      <c r="BN33" s="927"/>
      <c r="BO33" s="927"/>
      <c r="BP33" s="927"/>
      <c r="BQ33" s="927"/>
      <c r="BR33" s="927"/>
      <c r="BS33" s="927"/>
      <c r="BT33" s="927"/>
      <c r="BU33" s="927"/>
      <c r="BV33" s="927"/>
      <c r="BW33" s="927"/>
      <c r="BX33" s="927"/>
      <c r="BY33" s="927"/>
      <c r="BZ33" s="927"/>
    </row>
    <row r="34" spans="1:80" s="385" customFormat="1" ht="9.75" hidden="1" customHeight="1" outlineLevel="1" x14ac:dyDescent="0.25">
      <c r="A34" s="832" t="s">
        <v>31</v>
      </c>
      <c r="B34" s="832"/>
      <c r="C34" s="832"/>
      <c r="D34" s="832"/>
      <c r="E34" s="832"/>
      <c r="F34" s="832"/>
      <c r="G34" s="832"/>
      <c r="H34" s="832"/>
      <c r="I34" s="832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832"/>
      <c r="V34" s="832"/>
      <c r="W34" s="832"/>
      <c r="X34" s="832"/>
      <c r="Y34" s="832"/>
      <c r="Z34" s="832"/>
      <c r="AA34" s="832"/>
      <c r="AB34" s="832"/>
      <c r="AC34" s="832"/>
      <c r="AD34" s="832"/>
      <c r="AE34" s="832"/>
      <c r="AF34" s="832"/>
      <c r="AG34" s="832"/>
      <c r="AH34" s="832"/>
      <c r="AI34" s="832"/>
      <c r="AJ34" s="832"/>
      <c r="AK34" s="832"/>
      <c r="AL34" s="832"/>
      <c r="AM34" s="832"/>
      <c r="AN34" s="832"/>
      <c r="AO34" s="832"/>
      <c r="AP34" s="832"/>
      <c r="AQ34" s="832"/>
      <c r="AR34" s="832"/>
      <c r="AS34" s="832"/>
      <c r="AT34" s="832"/>
      <c r="AU34" s="832"/>
      <c r="AV34" s="832"/>
      <c r="AW34" s="832"/>
      <c r="AX34" s="832"/>
      <c r="AY34" s="832"/>
      <c r="AZ34" s="832"/>
      <c r="BA34" s="832"/>
      <c r="BB34" s="832"/>
      <c r="BC34" s="832"/>
      <c r="BD34" s="832"/>
      <c r="BE34" s="832"/>
      <c r="BF34" s="832"/>
      <c r="BG34" s="832"/>
      <c r="BH34" s="832"/>
      <c r="BI34" s="832"/>
      <c r="BJ34" s="832"/>
      <c r="BK34" s="832"/>
      <c r="BL34" s="832"/>
      <c r="BM34" s="832"/>
      <c r="BN34" s="832"/>
      <c r="BO34" s="832"/>
      <c r="BP34" s="832"/>
      <c r="BQ34" s="832"/>
      <c r="BR34" s="832"/>
      <c r="BS34" s="832"/>
      <c r="BT34" s="832"/>
      <c r="BU34" s="832"/>
      <c r="BV34" s="832"/>
      <c r="BW34" s="832"/>
      <c r="BX34" s="832"/>
      <c r="BY34" s="832"/>
      <c r="BZ34" s="832"/>
    </row>
    <row r="35" spans="1:80" s="11" customFormat="1" ht="11.25" collapsed="1" x14ac:dyDescent="0.2">
      <c r="A35" s="11" t="s">
        <v>30</v>
      </c>
    </row>
    <row r="36" spans="1:80" s="11" customFormat="1" ht="11.25" x14ac:dyDescent="0.2">
      <c r="A36" s="957" t="str">
        <f>IF('Данные объект'!C28="","",'Данные объект'!C28)</f>
      </c>
      <c r="B36" s="957"/>
      <c r="C36" s="957"/>
      <c r="D36" s="957"/>
      <c r="E36" s="957"/>
      <c r="F36" s="957"/>
      <c r="G36" s="957"/>
      <c r="H36" s="957"/>
      <c r="I36" s="957"/>
      <c r="J36" s="957"/>
      <c r="K36" s="957"/>
      <c r="L36" s="957"/>
      <c r="M36" s="957"/>
      <c r="N36" s="957"/>
      <c r="O36" s="957"/>
      <c r="P36" s="957"/>
      <c r="Q36" s="957"/>
      <c r="R36" s="957"/>
      <c r="S36" s="957"/>
      <c r="T36" s="957"/>
      <c r="U36" s="957"/>
      <c r="V36" s="957"/>
      <c r="W36" s="957"/>
      <c r="X36" s="957"/>
      <c r="Y36" s="957"/>
      <c r="Z36" s="957"/>
      <c r="AA36" s="957"/>
      <c r="AB36" s="957"/>
      <c r="AC36" s="957"/>
      <c r="AD36" s="957"/>
      <c r="AE36" s="957"/>
      <c r="AF36" s="957"/>
      <c r="AG36" s="957"/>
      <c r="AH36" s="957"/>
      <c r="AI36" s="957"/>
      <c r="AJ36" s="957"/>
      <c r="AK36" s="957"/>
      <c r="AL36" s="957"/>
      <c r="AM36" s="957"/>
      <c r="AN36" s="957"/>
      <c r="AO36" s="957"/>
      <c r="AP36" s="957"/>
      <c r="AQ36" s="957"/>
      <c r="AR36" s="957"/>
      <c r="AS36" s="957"/>
      <c r="AT36" s="957"/>
      <c r="AU36" s="957"/>
      <c r="AV36" s="957"/>
      <c r="AW36" s="957"/>
      <c r="AX36" s="957"/>
      <c r="AY36" s="957"/>
      <c r="AZ36" s="957"/>
      <c r="BA36" s="957"/>
      <c r="BB36" s="957"/>
      <c r="BC36" s="957"/>
      <c r="BD36" s="957"/>
      <c r="BE36" s="957"/>
      <c r="BF36" s="957"/>
      <c r="BG36" s="957"/>
      <c r="BH36" s="957"/>
      <c r="BI36" s="957"/>
      <c r="BJ36" s="957"/>
      <c r="BK36" s="957"/>
      <c r="BL36" s="957"/>
      <c r="BM36" s="957"/>
      <c r="BN36" s="957"/>
      <c r="BO36" s="957"/>
      <c r="BP36" s="957"/>
      <c r="BQ36" s="957"/>
      <c r="BR36" s="957"/>
      <c r="BS36" s="957"/>
      <c r="BT36" s="957"/>
      <c r="BU36" s="957"/>
      <c r="BV36" s="957"/>
      <c r="BW36" s="957"/>
      <c r="BX36" s="957"/>
      <c r="BY36" s="957"/>
      <c r="BZ36" s="957"/>
      <c r="CA36" s="957"/>
      <c r="CB36" s="957"/>
    </row>
    <row r="37" spans="1:80" s="385" customFormat="1" ht="11.25" x14ac:dyDescent="0.25">
      <c r="A37" s="832" t="s">
        <v>31</v>
      </c>
      <c r="B37" s="832"/>
      <c r="C37" s="832"/>
      <c r="D37" s="832"/>
      <c r="E37" s="832"/>
      <c r="F37" s="832"/>
      <c r="G37" s="832"/>
      <c r="H37" s="832"/>
      <c r="I37" s="832"/>
      <c r="J37" s="832"/>
      <c r="K37" s="832"/>
      <c r="L37" s="832"/>
      <c r="M37" s="832"/>
      <c r="N37" s="832"/>
      <c r="O37" s="832"/>
      <c r="P37" s="832"/>
      <c r="Q37" s="832"/>
      <c r="R37" s="832"/>
      <c r="S37" s="832"/>
      <c r="T37" s="832"/>
      <c r="U37" s="832"/>
      <c r="V37" s="832"/>
      <c r="W37" s="832"/>
      <c r="X37" s="832"/>
      <c r="Y37" s="832"/>
      <c r="Z37" s="832"/>
      <c r="AA37" s="832"/>
      <c r="AB37" s="832"/>
      <c r="AC37" s="832"/>
      <c r="AD37" s="832"/>
      <c r="AE37" s="832"/>
      <c r="AF37" s="832"/>
      <c r="AG37" s="832"/>
      <c r="AH37" s="832"/>
      <c r="AI37" s="832"/>
      <c r="AJ37" s="832"/>
      <c r="AK37" s="832"/>
      <c r="AL37" s="832"/>
      <c r="AM37" s="832"/>
      <c r="AN37" s="832"/>
      <c r="AO37" s="832"/>
      <c r="AP37" s="832"/>
      <c r="AQ37" s="832"/>
      <c r="AR37" s="832"/>
      <c r="AS37" s="832"/>
      <c r="AT37" s="832"/>
      <c r="AU37" s="832"/>
      <c r="AV37" s="832"/>
      <c r="AW37" s="832"/>
      <c r="AX37" s="832"/>
      <c r="AY37" s="832"/>
      <c r="AZ37" s="832"/>
      <c r="BA37" s="832"/>
      <c r="BB37" s="832"/>
      <c r="BC37" s="832"/>
      <c r="BD37" s="832"/>
      <c r="BE37" s="832"/>
      <c r="BF37" s="832"/>
      <c r="BG37" s="832"/>
      <c r="BH37" s="832"/>
      <c r="BI37" s="832"/>
      <c r="BJ37" s="832"/>
      <c r="BK37" s="832"/>
      <c r="BL37" s="832"/>
      <c r="BM37" s="832"/>
      <c r="BN37" s="832"/>
      <c r="BO37" s="832"/>
      <c r="BP37" s="832"/>
      <c r="BQ37" s="832"/>
      <c r="BR37" s="832"/>
      <c r="BS37" s="832"/>
      <c r="BT37" s="832"/>
      <c r="BU37" s="832"/>
      <c r="BV37" s="832"/>
      <c r="BW37" s="832"/>
      <c r="BX37" s="832"/>
      <c r="BY37" s="832"/>
      <c r="BZ37" s="832"/>
      <c r="CA37" s="832"/>
      <c r="CB37" s="832"/>
    </row>
    <row r="38" spans="1:80" s="11" customFormat="1" ht="11.25" x14ac:dyDescent="0.2">
      <c r="A38" s="862" t="s">
        <v>77</v>
      </c>
      <c r="B38" s="862"/>
      <c r="C38" s="862"/>
      <c r="D38" s="862"/>
      <c r="E38" s="862"/>
      <c r="F38" s="862"/>
      <c r="G38" s="862"/>
      <c r="H38" s="862"/>
      <c r="I38" s="862"/>
      <c r="J38" s="862"/>
      <c r="K38" s="862"/>
      <c r="L38" s="862"/>
      <c r="M38" s="862"/>
      <c r="N38" s="862"/>
      <c r="O38" s="862"/>
      <c r="P38" s="862"/>
      <c r="Q38" s="862"/>
      <c r="R38" s="862"/>
      <c r="S38" s="862"/>
      <c r="T38" s="862"/>
      <c r="U38" s="862"/>
      <c r="V38" s="862"/>
      <c r="W38" s="862"/>
      <c r="X38" s="862"/>
      <c r="Y38" s="862"/>
      <c r="Z38" s="862"/>
      <c r="AA38" s="862"/>
      <c r="AB38" s="862"/>
      <c r="AC38" s="862"/>
      <c r="AD38" s="862"/>
      <c r="AE38" s="862"/>
      <c r="AF38" s="862"/>
      <c r="AG38" s="862"/>
      <c r="AH38" s="862"/>
      <c r="AI38" s="862"/>
      <c r="AJ38" s="862"/>
      <c r="AK38" s="862"/>
      <c r="AL38" s="862"/>
      <c r="AM38" s="862"/>
      <c r="AN38" s="862"/>
      <c r="AO38" s="862"/>
      <c r="AP38" s="862"/>
      <c r="AQ38" s="862"/>
      <c r="AR38" s="862"/>
      <c r="AS38" s="862"/>
      <c r="AT38" s="862"/>
      <c r="AU38" s="862"/>
      <c r="AV38" s="862"/>
      <c r="AW38" s="862"/>
      <c r="AX38" s="862"/>
      <c r="AY38" s="862"/>
      <c r="AZ38" s="862"/>
      <c r="BA38" s="862"/>
      <c r="BB38" s="862"/>
      <c r="BC38" s="862"/>
      <c r="BD38" s="862"/>
      <c r="BE38" s="862"/>
      <c r="BF38" s="862"/>
      <c r="BG38" s="862"/>
      <c r="BH38" s="862"/>
      <c r="BI38" s="862"/>
      <c r="BJ38" s="862"/>
      <c r="BK38" s="862"/>
      <c r="BL38" s="862"/>
      <c r="BM38" s="862"/>
      <c r="BN38" s="862"/>
      <c r="BO38" s="862"/>
      <c r="BP38" s="862"/>
      <c r="BQ38" s="862"/>
      <c r="BR38" s="862"/>
      <c r="BS38" s="862"/>
      <c r="BT38" s="862"/>
      <c r="BU38" s="862"/>
      <c r="BV38" s="862"/>
      <c r="BW38" s="862"/>
      <c r="BX38" s="862"/>
      <c r="BY38" s="862"/>
      <c r="BZ38" s="862"/>
      <c r="CA38" s="862"/>
      <c r="CB38" s="862"/>
    </row>
    <row r="39" spans="1:80" s="11" customFormat="1" ht="15.75" customHeight="1" x14ac:dyDescent="0.2">
      <c r="A39" s="11" t="s">
        <v>33</v>
      </c>
      <c r="C39" s="862" t="s">
        <v>78</v>
      </c>
      <c r="D39" s="862"/>
      <c r="E39" s="862"/>
      <c r="F39" s="862"/>
      <c r="G39" s="862"/>
      <c r="H39" s="862"/>
      <c r="I39" s="862"/>
      <c r="J39" s="862"/>
      <c r="K39" s="862"/>
      <c r="L39" s="862"/>
      <c r="M39" s="862"/>
      <c r="N39" s="862"/>
      <c r="O39" s="862"/>
      <c r="P39" s="862"/>
      <c r="Q39" s="862"/>
      <c r="R39" s="862"/>
      <c r="S39" s="862"/>
      <c r="T39" s="862"/>
      <c r="U39" s="862"/>
      <c r="V39" s="862"/>
      <c r="W39" s="862"/>
      <c r="X39" s="862"/>
      <c r="Y39" s="862"/>
      <c r="Z39" s="862"/>
      <c r="AA39" s="862"/>
      <c r="AB39" s="862"/>
      <c r="AC39" s="862"/>
      <c r="AD39" s="862"/>
      <c r="AE39" s="862"/>
      <c r="AF39" s="862"/>
      <c r="AG39" s="862"/>
      <c r="AH39" s="862"/>
      <c r="AI39" s="862"/>
      <c r="AJ39" s="862"/>
      <c r="AK39" s="862"/>
      <c r="AL39" s="862"/>
      <c r="AM39" s="862"/>
      <c r="AN39" s="928" t="str">
        <f>IF('1 '!AK48="","",'1 '!AK48)</f>
      </c>
      <c r="AO39" s="928"/>
      <c r="AP39" s="928"/>
      <c r="AQ39" s="928"/>
      <c r="AR39" s="928"/>
      <c r="AS39" s="928"/>
      <c r="AT39" s="928"/>
      <c r="AU39" s="928"/>
      <c r="AV39" s="928"/>
      <c r="AW39" s="928"/>
      <c r="AX39" s="928"/>
      <c r="AY39" s="928"/>
      <c r="AZ39" s="928"/>
      <c r="BA39" s="928"/>
      <c r="BB39" s="928"/>
      <c r="BC39" s="928"/>
      <c r="BD39" s="928"/>
      <c r="BE39" s="928"/>
      <c r="BF39" s="928"/>
      <c r="BG39" s="928"/>
      <c r="BH39" s="928"/>
      <c r="BI39" s="928"/>
      <c r="BJ39" s="928"/>
      <c r="BK39" s="928"/>
      <c r="BL39" s="928"/>
      <c r="BM39" s="928"/>
      <c r="BN39" s="928"/>
      <c r="BO39" s="928"/>
      <c r="BP39" s="928"/>
      <c r="BQ39" s="928"/>
      <c r="BR39" s="928"/>
      <c r="BS39" s="928"/>
      <c r="BT39" s="928"/>
      <c r="BU39" s="928"/>
      <c r="BV39" s="928"/>
      <c r="BW39" s="928"/>
      <c r="BX39" s="928"/>
      <c r="BY39" s="928"/>
      <c r="BZ39" s="928"/>
      <c r="CA39" s="928"/>
      <c r="CB39" s="928"/>
    </row>
    <row r="40" spans="1:80" s="11" customFormat="1" ht="11.25" x14ac:dyDescent="0.2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490" t="s">
        <v>79</v>
      </c>
      <c r="AO40" s="490"/>
      <c r="AP40" s="490"/>
      <c r="AQ40" s="490"/>
      <c r="AR40" s="490"/>
      <c r="AS40" s="490"/>
      <c r="AT40" s="490"/>
      <c r="AU40" s="490"/>
      <c r="AV40" s="490"/>
      <c r="AW40" s="490"/>
      <c r="AX40" s="490"/>
      <c r="AY40" s="490"/>
      <c r="AZ40" s="490"/>
      <c r="BA40" s="490"/>
      <c r="BB40" s="490"/>
      <c r="BC40" s="490"/>
      <c r="BD40" s="490"/>
      <c r="BE40" s="490"/>
      <c r="BF40" s="490"/>
      <c r="BG40" s="490"/>
      <c r="BH40" s="490"/>
      <c r="BI40" s="490"/>
      <c r="BJ40" s="490"/>
      <c r="BK40" s="490"/>
      <c r="BL40" s="490"/>
      <c r="BM40" s="490"/>
      <c r="BN40" s="490"/>
      <c r="BO40" s="490"/>
      <c r="BP40" s="490"/>
      <c r="BQ40" s="490"/>
      <c r="BR40" s="490"/>
      <c r="BS40" s="490"/>
      <c r="BT40" s="490"/>
      <c r="BU40" s="490"/>
      <c r="BV40" s="490"/>
      <c r="BW40" s="490"/>
      <c r="BX40" s="490"/>
      <c r="BY40" s="490"/>
      <c r="BZ40" s="490"/>
      <c r="CA40" s="490"/>
      <c r="CB40" s="490"/>
    </row>
    <row r="41" spans="1:80" s="11" customFormat="1" ht="24.75" customHeight="1" x14ac:dyDescent="0.2">
      <c r="A41" s="11" t="s">
        <v>36</v>
      </c>
      <c r="C41" s="11" t="s">
        <v>337</v>
      </c>
      <c r="AJ41" s="837"/>
      <c r="AK41" s="837"/>
      <c r="AL41" s="837"/>
      <c r="AM41" s="837"/>
      <c r="AN41" s="837"/>
      <c r="AO41" s="837"/>
      <c r="AP41" s="837"/>
      <c r="AQ41" s="837"/>
      <c r="AR41" s="837"/>
      <c r="AS41" s="837"/>
      <c r="AT41" s="837"/>
      <c r="AU41" s="837"/>
      <c r="AV41" s="837"/>
      <c r="AW41" s="837"/>
      <c r="AX41" s="837"/>
      <c r="AY41" s="837"/>
      <c r="AZ41" s="837"/>
      <c r="BA41" s="837"/>
      <c r="BB41" s="837"/>
      <c r="BC41" s="837"/>
      <c r="BD41" s="837"/>
      <c r="BE41" s="837"/>
      <c r="BF41" s="837"/>
      <c r="BG41" s="837"/>
      <c r="BH41" s="837"/>
      <c r="BI41" s="837"/>
      <c r="BJ41" s="837"/>
      <c r="BK41" s="837"/>
      <c r="BL41" s="837"/>
      <c r="BM41" s="837"/>
      <c r="BN41" s="837"/>
      <c r="BO41" s="837"/>
      <c r="BP41" s="837"/>
      <c r="BQ41" s="837"/>
      <c r="BR41" s="837"/>
      <c r="BS41" s="837"/>
      <c r="BT41" s="837"/>
      <c r="BU41" s="837"/>
      <c r="BV41" s="837"/>
      <c r="BW41" s="837"/>
      <c r="BX41" s="837"/>
      <c r="BY41" s="837"/>
      <c r="BZ41" s="837"/>
      <c r="CA41" s="837"/>
      <c r="CB41" s="837"/>
    </row>
    <row r="42" spans="1:80" s="11" customFormat="1" ht="11.25" x14ac:dyDescent="0.2">
      <c r="A42" s="841" t="str">
        <f>IF('Данные объект'!B56="","",'Данные объект'!B56)</f>
      </c>
      <c r="B42" s="841"/>
      <c r="C42" s="841"/>
      <c r="D42" s="841"/>
      <c r="E42" s="841"/>
      <c r="F42" s="841"/>
      <c r="G42" s="841"/>
      <c r="H42" s="841"/>
      <c r="I42" s="841"/>
      <c r="J42" s="841"/>
      <c r="K42" s="841"/>
      <c r="L42" s="841"/>
      <c r="M42" s="841"/>
      <c r="N42" s="841"/>
      <c r="O42" s="841"/>
      <c r="P42" s="841"/>
      <c r="Q42" s="841"/>
      <c r="R42" s="841"/>
      <c r="S42" s="841"/>
      <c r="T42" s="841"/>
      <c r="U42" s="841"/>
      <c r="V42" s="841"/>
      <c r="W42" s="841"/>
      <c r="X42" s="841"/>
      <c r="Y42" s="841"/>
      <c r="Z42" s="841"/>
      <c r="AA42" s="841"/>
      <c r="AB42" s="841"/>
      <c r="AC42" s="841"/>
      <c r="AD42" s="841"/>
      <c r="AE42" s="841"/>
      <c r="AF42" s="841"/>
      <c r="AG42" s="841"/>
      <c r="AH42" s="841"/>
      <c r="AI42" s="841"/>
      <c r="AJ42" s="841"/>
      <c r="AK42" s="841"/>
      <c r="AL42" s="841"/>
      <c r="AM42" s="841"/>
      <c r="AN42" s="841"/>
      <c r="AO42" s="841"/>
      <c r="AP42" s="841"/>
      <c r="AQ42" s="841"/>
      <c r="AR42" s="841"/>
      <c r="AS42" s="841"/>
      <c r="AT42" s="841"/>
      <c r="AU42" s="841"/>
      <c r="AV42" s="841"/>
      <c r="AW42" s="841"/>
      <c r="AX42" s="841"/>
      <c r="AY42" s="841"/>
      <c r="AZ42" s="841"/>
      <c r="BA42" s="841"/>
      <c r="BB42" s="841"/>
      <c r="BC42" s="841"/>
      <c r="BD42" s="841"/>
      <c r="BE42" s="841"/>
      <c r="BF42" s="841"/>
      <c r="BG42" s="841"/>
      <c r="BH42" s="841"/>
      <c r="BI42" s="841"/>
      <c r="BJ42" s="841"/>
      <c r="BK42" s="841"/>
      <c r="BL42" s="841"/>
      <c r="BM42" s="841"/>
      <c r="BN42" s="841"/>
      <c r="BO42" s="841"/>
      <c r="BP42" s="841"/>
      <c r="BQ42" s="841"/>
      <c r="BR42" s="841"/>
      <c r="BS42" s="841"/>
      <c r="BT42" s="841"/>
      <c r="BU42" s="841"/>
      <c r="BV42" s="841"/>
      <c r="BW42" s="841"/>
      <c r="BX42" s="841"/>
      <c r="BY42" s="841"/>
      <c r="BZ42" s="841"/>
      <c r="CA42" s="841"/>
      <c r="CB42" s="841"/>
    </row>
    <row r="43" spans="1:80" s="11" customFormat="1" ht="11.25" x14ac:dyDescent="0.2">
      <c r="A43" s="490" t="s">
        <v>80</v>
      </c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  <c r="S43" s="490"/>
      <c r="T43" s="490"/>
      <c r="U43" s="490"/>
      <c r="V43" s="490"/>
      <c r="W43" s="490"/>
      <c r="X43" s="490"/>
      <c r="Y43" s="490"/>
      <c r="Z43" s="490"/>
      <c r="AA43" s="490"/>
      <c r="AB43" s="490"/>
      <c r="AC43" s="490"/>
      <c r="AD43" s="490"/>
      <c r="AE43" s="490"/>
      <c r="AF43" s="490"/>
      <c r="AG43" s="490"/>
      <c r="AH43" s="490"/>
      <c r="AI43" s="490"/>
      <c r="AJ43" s="490"/>
      <c r="AK43" s="490"/>
      <c r="AL43" s="490"/>
      <c r="AM43" s="490"/>
      <c r="AN43" s="490"/>
      <c r="AO43" s="490"/>
      <c r="AP43" s="490"/>
      <c r="AQ43" s="490"/>
      <c r="AR43" s="490"/>
      <c r="AS43" s="490"/>
      <c r="AT43" s="490"/>
      <c r="AU43" s="490"/>
      <c r="AV43" s="490"/>
      <c r="AW43" s="490"/>
      <c r="AX43" s="490"/>
      <c r="AY43" s="490"/>
      <c r="AZ43" s="490"/>
      <c r="BA43" s="490"/>
      <c r="BB43" s="490"/>
      <c r="BC43" s="490"/>
      <c r="BD43" s="490"/>
      <c r="BE43" s="490"/>
      <c r="BF43" s="490"/>
      <c r="BG43" s="490"/>
      <c r="BH43" s="490"/>
      <c r="BI43" s="490"/>
      <c r="BJ43" s="490"/>
      <c r="BK43" s="490"/>
      <c r="BL43" s="490"/>
      <c r="BM43" s="490"/>
      <c r="BN43" s="490"/>
      <c r="BO43" s="490"/>
      <c r="BP43" s="490"/>
      <c r="BQ43" s="490"/>
      <c r="BR43" s="490"/>
      <c r="BS43" s="490"/>
      <c r="BT43" s="490"/>
      <c r="BU43" s="490"/>
      <c r="BV43" s="490"/>
      <c r="BW43" s="490"/>
      <c r="BX43" s="490"/>
      <c r="BY43" s="490"/>
      <c r="BZ43" s="490"/>
      <c r="CA43" s="490"/>
      <c r="CB43" s="490"/>
    </row>
    <row r="44" spans="1:80" s="11" customFormat="1" ht="11.25" x14ac:dyDescent="0.2">
      <c r="A44" s="11" t="s">
        <v>81</v>
      </c>
      <c r="AB44" s="841" t="str">
        <f>IF('Данные объект'!B52="","",'Данные объект'!B52)</f>
      </c>
      <c r="AC44" s="841"/>
      <c r="AD44" s="841"/>
      <c r="AE44" s="841"/>
      <c r="AF44" s="841"/>
      <c r="AG44" s="841"/>
      <c r="AH44" s="841"/>
      <c r="AI44" s="841"/>
      <c r="AJ44" s="841"/>
      <c r="AK44" s="841"/>
      <c r="AL44" s="841"/>
      <c r="AM44" s="841"/>
      <c r="AN44" s="841"/>
      <c r="AO44" s="841"/>
      <c r="AP44" s="841"/>
      <c r="AQ44" s="841"/>
      <c r="AR44" s="841"/>
      <c r="AS44" s="841"/>
      <c r="AT44" s="841"/>
      <c r="AU44" s="841"/>
      <c r="AV44" s="841"/>
      <c r="AW44" s="841"/>
      <c r="AX44" s="841"/>
      <c r="AY44" s="841"/>
      <c r="AZ44" s="841"/>
      <c r="BA44" s="841"/>
      <c r="BB44" s="841"/>
      <c r="BC44" s="841"/>
      <c r="BD44" s="841"/>
      <c r="BE44" s="841"/>
      <c r="BF44" s="841"/>
      <c r="BG44" s="841"/>
      <c r="BH44" s="841"/>
      <c r="BI44" s="841"/>
      <c r="BJ44" s="841"/>
      <c r="BK44" s="841"/>
      <c r="BL44" s="841"/>
      <c r="BM44" s="841"/>
      <c r="BN44" s="841"/>
      <c r="BO44" s="841"/>
      <c r="BP44" s="841"/>
      <c r="BQ44" s="841"/>
      <c r="BR44" s="841"/>
      <c r="BS44" s="841"/>
      <c r="BT44" s="841"/>
      <c r="BU44" s="841"/>
      <c r="BV44" s="841"/>
      <c r="BW44" s="841"/>
      <c r="BX44" s="841"/>
      <c r="BY44" s="841"/>
      <c r="BZ44" s="841"/>
      <c r="CA44" s="841"/>
      <c r="CB44" s="841"/>
    </row>
    <row r="45" spans="1:80" s="11" customFormat="1" ht="11.25" x14ac:dyDescent="0.2">
      <c r="A45" s="841"/>
      <c r="B45" s="841"/>
      <c r="C45" s="841"/>
      <c r="D45" s="841"/>
      <c r="E45" s="841"/>
      <c r="F45" s="841"/>
      <c r="G45" s="841"/>
      <c r="H45" s="841"/>
      <c r="I45" s="841"/>
      <c r="J45" s="841"/>
      <c r="K45" s="841"/>
      <c r="L45" s="841"/>
      <c r="M45" s="841"/>
      <c r="N45" s="841"/>
      <c r="O45" s="841"/>
      <c r="P45" s="841"/>
      <c r="Q45" s="841"/>
      <c r="R45" s="841"/>
      <c r="S45" s="841"/>
      <c r="T45" s="841"/>
      <c r="U45" s="841"/>
      <c r="V45" s="841"/>
      <c r="W45" s="841"/>
      <c r="X45" s="841"/>
      <c r="Y45" s="841"/>
      <c r="Z45" s="841"/>
      <c r="AA45" s="841"/>
      <c r="AB45" s="841"/>
      <c r="AC45" s="841"/>
      <c r="AD45" s="841"/>
      <c r="AE45" s="841"/>
      <c r="AF45" s="841"/>
      <c r="AG45" s="841"/>
      <c r="AH45" s="841"/>
      <c r="AI45" s="841"/>
      <c r="AJ45" s="841"/>
      <c r="AK45" s="841"/>
      <c r="AL45" s="841"/>
      <c r="AM45" s="841"/>
      <c r="AN45" s="841"/>
      <c r="AO45" s="841"/>
      <c r="AP45" s="841"/>
      <c r="AQ45" s="841"/>
      <c r="AR45" s="841"/>
      <c r="AS45" s="841"/>
      <c r="AT45" s="841"/>
      <c r="AU45" s="841"/>
      <c r="AV45" s="841"/>
      <c r="AW45" s="841"/>
      <c r="AX45" s="841"/>
      <c r="AY45" s="841"/>
      <c r="AZ45" s="841"/>
      <c r="BA45" s="841"/>
      <c r="BB45" s="841"/>
      <c r="BC45" s="841"/>
      <c r="BD45" s="841"/>
      <c r="BE45" s="841"/>
      <c r="BF45" s="841"/>
      <c r="BG45" s="841"/>
      <c r="BH45" s="841"/>
      <c r="BI45" s="841"/>
      <c r="BJ45" s="841"/>
      <c r="BK45" s="841"/>
      <c r="BL45" s="841"/>
      <c r="BM45" s="841"/>
      <c r="BN45" s="841"/>
      <c r="BO45" s="841"/>
      <c r="BP45" s="841"/>
      <c r="BQ45" s="841"/>
      <c r="BR45" s="841"/>
      <c r="BS45" s="841"/>
      <c r="BT45" s="841"/>
      <c r="BU45" s="841"/>
      <c r="BV45" s="841"/>
      <c r="BW45" s="841"/>
      <c r="BX45" s="841"/>
      <c r="BY45" s="841"/>
      <c r="BZ45" s="841"/>
      <c r="CA45" s="841"/>
      <c r="CB45" s="841"/>
    </row>
    <row r="46" spans="1:80" s="11" customFormat="1" ht="11.25" x14ac:dyDescent="0.2">
      <c r="A46" s="490" t="s">
        <v>82</v>
      </c>
      <c r="B46" s="490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490"/>
      <c r="S46" s="490"/>
      <c r="T46" s="490"/>
      <c r="U46" s="490"/>
      <c r="V46" s="490"/>
      <c r="W46" s="490"/>
      <c r="X46" s="490"/>
      <c r="Y46" s="490"/>
      <c r="Z46" s="490"/>
      <c r="AA46" s="490"/>
      <c r="AB46" s="490"/>
      <c r="AC46" s="490"/>
      <c r="AD46" s="490"/>
      <c r="AE46" s="490"/>
      <c r="AF46" s="490"/>
      <c r="AG46" s="490"/>
      <c r="AH46" s="490"/>
      <c r="AI46" s="490"/>
      <c r="AJ46" s="490"/>
      <c r="AK46" s="490"/>
      <c r="AL46" s="490"/>
      <c r="AM46" s="490"/>
      <c r="AN46" s="490"/>
      <c r="AO46" s="490"/>
      <c r="AP46" s="490"/>
      <c r="AQ46" s="490"/>
      <c r="AR46" s="490"/>
      <c r="AS46" s="490"/>
      <c r="AT46" s="490"/>
      <c r="AU46" s="490"/>
      <c r="AV46" s="490"/>
      <c r="AW46" s="490"/>
      <c r="AX46" s="490"/>
      <c r="AY46" s="490"/>
      <c r="AZ46" s="490"/>
      <c r="BA46" s="490"/>
      <c r="BB46" s="490"/>
      <c r="BC46" s="490"/>
      <c r="BD46" s="490"/>
      <c r="BE46" s="490"/>
      <c r="BF46" s="490"/>
      <c r="BG46" s="490"/>
      <c r="BH46" s="490"/>
      <c r="BI46" s="490"/>
      <c r="BJ46" s="490"/>
      <c r="BK46" s="490"/>
      <c r="BL46" s="490"/>
      <c r="BM46" s="490"/>
      <c r="BN46" s="490"/>
      <c r="BO46" s="490"/>
      <c r="BP46" s="490"/>
      <c r="BQ46" s="490"/>
      <c r="BR46" s="490"/>
      <c r="BS46" s="490"/>
      <c r="BT46" s="490"/>
      <c r="BU46" s="490"/>
      <c r="BV46" s="490"/>
      <c r="BW46" s="490"/>
      <c r="BX46" s="490"/>
      <c r="BY46" s="490"/>
      <c r="BZ46" s="490"/>
      <c r="CA46" s="490"/>
      <c r="CB46" s="490"/>
    </row>
    <row r="47" spans="1:80" s="11" customFormat="1" ht="12.75" customHeight="1" x14ac:dyDescent="0.2">
      <c r="A47" s="853" t="s">
        <v>1197</v>
      </c>
      <c r="B47" s="853"/>
      <c r="C47" s="853"/>
      <c r="D47" s="853"/>
      <c r="E47" s="853"/>
      <c r="F47" s="853"/>
      <c r="G47" s="853"/>
      <c r="H47" s="853"/>
      <c r="I47" s="853"/>
      <c r="J47" s="853"/>
      <c r="K47" s="853"/>
      <c r="L47" s="853"/>
      <c r="M47" s="853"/>
      <c r="N47" s="853"/>
      <c r="O47" s="853"/>
      <c r="P47" s="853"/>
      <c r="Q47" s="853"/>
      <c r="R47" s="853"/>
      <c r="S47" s="853"/>
      <c r="T47" s="853"/>
      <c r="U47" s="853"/>
      <c r="V47" s="853"/>
      <c r="W47" s="853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  <c r="AH47" s="853"/>
      <c r="AI47" s="853"/>
      <c r="AJ47" s="853"/>
      <c r="AK47" s="853"/>
      <c r="AL47" s="853"/>
      <c r="AM47" s="853"/>
      <c r="AN47" s="853"/>
      <c r="AO47" s="853"/>
      <c r="AP47" s="853"/>
      <c r="AQ47" s="853"/>
      <c r="AR47" s="853"/>
      <c r="AS47" s="853"/>
      <c r="AT47" s="853"/>
      <c r="AU47" s="853"/>
      <c r="AV47" s="853"/>
      <c r="AW47" s="853"/>
      <c r="AX47" s="853"/>
      <c r="AY47" s="853"/>
      <c r="AZ47" s="853"/>
      <c r="BA47" s="853"/>
      <c r="BB47" s="853"/>
      <c r="BC47" s="853"/>
      <c r="BD47" s="853"/>
      <c r="BE47" s="853"/>
      <c r="BF47" s="853"/>
      <c r="BG47" s="853"/>
      <c r="BH47" s="853"/>
      <c r="BI47" s="853"/>
      <c r="BJ47" s="853"/>
      <c r="BK47" s="853"/>
      <c r="BL47" s="853"/>
      <c r="BM47" s="853"/>
      <c r="BN47" s="853"/>
      <c r="BO47" s="853"/>
      <c r="BP47" s="853"/>
      <c r="BQ47" s="853"/>
      <c r="BR47" s="853"/>
      <c r="BS47" s="853"/>
      <c r="BT47" s="853"/>
      <c r="BU47" s="853"/>
      <c r="BV47" s="853"/>
      <c r="BW47" s="853"/>
      <c r="BX47" s="853"/>
      <c r="BY47" s="853"/>
      <c r="BZ47" s="853"/>
      <c r="CA47" s="853"/>
      <c r="CB47" s="853"/>
    </row>
    <row r="48" spans="1:80" s="11" customFormat="1" ht="11.25" x14ac:dyDescent="0.2">
      <c r="A48" s="853"/>
      <c r="B48" s="853"/>
      <c r="C48" s="853"/>
      <c r="D48" s="853"/>
      <c r="E48" s="853"/>
      <c r="F48" s="853"/>
      <c r="G48" s="853"/>
      <c r="H48" s="853"/>
      <c r="I48" s="853"/>
      <c r="J48" s="853"/>
      <c r="K48" s="853"/>
      <c r="L48" s="853"/>
      <c r="M48" s="853"/>
      <c r="N48" s="853"/>
      <c r="O48" s="853"/>
      <c r="P48" s="853"/>
      <c r="Q48" s="853"/>
      <c r="R48" s="853"/>
      <c r="S48" s="853"/>
      <c r="T48" s="853"/>
      <c r="U48" s="853"/>
      <c r="V48" s="853"/>
      <c r="W48" s="853"/>
      <c r="X48" s="853"/>
      <c r="Y48" s="853"/>
      <c r="Z48" s="853"/>
      <c r="AA48" s="853"/>
      <c r="AB48" s="853"/>
      <c r="AC48" s="853"/>
      <c r="AD48" s="853"/>
      <c r="AE48" s="853"/>
      <c r="AF48" s="853"/>
      <c r="AG48" s="853"/>
      <c r="AH48" s="853"/>
      <c r="AI48" s="853"/>
      <c r="AJ48" s="853"/>
      <c r="AK48" s="853"/>
      <c r="AL48" s="853"/>
      <c r="AM48" s="853"/>
      <c r="AN48" s="853"/>
      <c r="AO48" s="853"/>
      <c r="AP48" s="853"/>
      <c r="AQ48" s="853"/>
      <c r="AR48" s="853"/>
      <c r="AS48" s="853"/>
      <c r="AT48" s="853"/>
      <c r="AU48" s="853"/>
      <c r="AV48" s="853"/>
      <c r="AW48" s="853"/>
      <c r="AX48" s="853"/>
      <c r="AY48" s="853"/>
      <c r="AZ48" s="853"/>
      <c r="BA48" s="853"/>
      <c r="BB48" s="853"/>
      <c r="BC48" s="853"/>
      <c r="BD48" s="853"/>
      <c r="BE48" s="853"/>
      <c r="BF48" s="853"/>
      <c r="BG48" s="853"/>
      <c r="BH48" s="853"/>
      <c r="BI48" s="853"/>
      <c r="BJ48" s="853"/>
      <c r="BK48" s="853"/>
      <c r="BL48" s="853"/>
      <c r="BM48" s="853"/>
      <c r="BN48" s="853"/>
      <c r="BO48" s="853"/>
      <c r="BP48" s="853"/>
      <c r="BQ48" s="853"/>
      <c r="BR48" s="853"/>
      <c r="BS48" s="853"/>
      <c r="BT48" s="853"/>
      <c r="BU48" s="853"/>
      <c r="BV48" s="853"/>
      <c r="BW48" s="853"/>
      <c r="BX48" s="853"/>
      <c r="BY48" s="853"/>
      <c r="BZ48" s="853"/>
      <c r="CA48" s="853"/>
      <c r="CB48" s="853"/>
    </row>
    <row r="49" spans="1:80" s="11" customFormat="1" ht="11.25" x14ac:dyDescent="0.2">
      <c r="A49" s="862" t="s">
        <v>83</v>
      </c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862"/>
      <c r="V49" s="862"/>
      <c r="W49" s="862"/>
      <c r="X49" s="862"/>
      <c r="Y49" s="862"/>
      <c r="Z49" s="862"/>
      <c r="AA49" s="862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862"/>
      <c r="AS49" s="862"/>
      <c r="AT49" s="862"/>
      <c r="AU49" s="862"/>
      <c r="AV49" s="862"/>
      <c r="AW49" s="862"/>
      <c r="AX49" s="862"/>
      <c r="AY49" s="862"/>
      <c r="AZ49" s="862"/>
      <c r="BA49" s="862"/>
      <c r="BB49" s="862"/>
      <c r="BC49" s="862"/>
      <c r="BD49" s="862"/>
      <c r="BE49" s="862"/>
      <c r="BF49" s="862"/>
      <c r="BG49" s="862"/>
      <c r="BH49" s="862"/>
      <c r="BI49" s="862"/>
      <c r="BJ49" s="862"/>
      <c r="BK49" s="862"/>
      <c r="BL49" s="862"/>
      <c r="BM49" s="862"/>
      <c r="BN49" s="862"/>
      <c r="BO49" s="862"/>
      <c r="BP49" s="862"/>
      <c r="BQ49" s="862"/>
      <c r="BR49" s="862"/>
      <c r="BS49" s="862"/>
      <c r="BT49" s="862"/>
      <c r="BU49" s="862"/>
      <c r="BV49" s="862"/>
      <c r="BW49" s="862"/>
      <c r="BX49" s="862"/>
      <c r="BY49" s="862"/>
      <c r="BZ49" s="862"/>
      <c r="CA49" s="862"/>
      <c r="CB49" s="862"/>
    </row>
    <row r="50" spans="1:80" s="11" customFormat="1" ht="11.25" x14ac:dyDescent="0.2">
      <c r="A50" s="862" t="s">
        <v>84</v>
      </c>
      <c r="B50" s="862"/>
      <c r="C50" s="862"/>
      <c r="D50" s="862"/>
      <c r="E50" s="862"/>
      <c r="F50" s="862"/>
      <c r="G50" s="862"/>
      <c r="H50" s="842" t="str">
        <f>IF('Данные объект'!B7="","",'Данные объект'!B7)</f>
      </c>
      <c r="I50" s="842"/>
      <c r="J50" s="842"/>
      <c r="K50" s="842"/>
      <c r="L50" s="842"/>
      <c r="M50" s="842"/>
      <c r="N50" s="842"/>
      <c r="O50" s="842"/>
      <c r="P50" s="842"/>
      <c r="Q50" s="842"/>
      <c r="R50" s="842"/>
      <c r="S50" s="842"/>
      <c r="T50" s="842"/>
      <c r="U50" s="842"/>
      <c r="V50" s="148"/>
      <c r="W50" s="148"/>
      <c r="X50" s="148"/>
      <c r="Y50" s="148"/>
      <c r="Z50" s="148"/>
      <c r="AA50" s="148"/>
      <c r="AB50" s="148"/>
      <c r="AC50" s="148"/>
    </row>
    <row r="51" spans="1:80" s="11" customFormat="1" ht="11.25" x14ac:dyDescent="0.2">
      <c r="A51" s="11" t="s">
        <v>39</v>
      </c>
      <c r="C51" s="862" t="s">
        <v>85</v>
      </c>
      <c r="D51" s="862"/>
      <c r="E51" s="862"/>
      <c r="F51" s="862"/>
      <c r="G51" s="862"/>
      <c r="H51" s="862"/>
      <c r="I51" s="862"/>
      <c r="J51" s="862"/>
      <c r="K51" s="862"/>
      <c r="L51" s="862"/>
      <c r="M51" s="862"/>
      <c r="N51" s="862"/>
      <c r="O51" s="862"/>
      <c r="P51" s="862"/>
      <c r="Q51" s="862"/>
      <c r="R51" s="862"/>
      <c r="S51" s="862"/>
      <c r="T51" s="862"/>
      <c r="U51" s="862"/>
      <c r="V51" s="862"/>
      <c r="W51" s="862"/>
      <c r="X51" s="862"/>
      <c r="Y51" s="862"/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  <c r="AU51" s="862"/>
      <c r="AV51" s="862"/>
      <c r="AW51" s="862"/>
      <c r="AX51" s="862"/>
      <c r="AY51" s="862"/>
      <c r="AZ51" s="862"/>
      <c r="BA51" s="862"/>
      <c r="BB51" s="862"/>
      <c r="BC51" s="862"/>
      <c r="BD51" s="862"/>
      <c r="BE51" s="862"/>
      <c r="BF51" s="862"/>
      <c r="BG51" s="862"/>
      <c r="BH51" s="862"/>
      <c r="BI51" s="862"/>
      <c r="BJ51" s="862"/>
      <c r="BK51" s="862"/>
      <c r="BL51" s="862"/>
      <c r="BM51" s="862"/>
      <c r="BN51" s="862"/>
      <c r="BO51" s="862"/>
      <c r="BP51" s="862"/>
      <c r="BQ51" s="862"/>
      <c r="BR51" s="862"/>
      <c r="BS51" s="862"/>
      <c r="BT51" s="862"/>
      <c r="BU51" s="862"/>
      <c r="BV51" s="862"/>
      <c r="BW51" s="862"/>
      <c r="BX51" s="862"/>
      <c r="BY51" s="862"/>
      <c r="BZ51" s="862"/>
      <c r="CA51" s="862"/>
      <c r="CB51" s="862"/>
    </row>
    <row r="52" spans="1:80" s="385" customFormat="1" ht="12.75" customHeight="1" x14ac:dyDescent="0.25">
      <c r="A52" s="925" t="s">
        <v>73</v>
      </c>
      <c r="B52" s="925"/>
      <c r="C52" s="925"/>
      <c r="D52" s="925"/>
      <c r="E52" s="826" t="s">
        <v>86</v>
      </c>
      <c r="F52" s="826"/>
      <c r="G52" s="826"/>
      <c r="H52" s="826"/>
      <c r="I52" s="826"/>
      <c r="J52" s="826"/>
      <c r="K52" s="826"/>
      <c r="L52" s="826"/>
      <c r="M52" s="826"/>
      <c r="N52" s="826"/>
      <c r="O52" s="826"/>
      <c r="P52" s="826"/>
      <c r="Q52" s="826"/>
      <c r="R52" s="826"/>
      <c r="S52" s="826"/>
      <c r="T52" s="826"/>
      <c r="U52" s="826"/>
      <c r="V52" s="826"/>
      <c r="W52" s="826"/>
      <c r="X52" s="826"/>
      <c r="Y52" s="826"/>
      <c r="Z52" s="826"/>
      <c r="AA52" s="826"/>
      <c r="AB52" s="826"/>
      <c r="AC52" s="826" t="s">
        <v>65</v>
      </c>
      <c r="AD52" s="826"/>
      <c r="AE52" s="826"/>
      <c r="AF52" s="826"/>
      <c r="AG52" s="826"/>
      <c r="AH52" s="826"/>
      <c r="AI52" s="826"/>
      <c r="AJ52" s="826"/>
      <c r="AK52" s="826"/>
      <c r="AL52" s="826"/>
      <c r="AM52" s="826"/>
      <c r="AN52" s="826"/>
      <c r="AO52" s="826"/>
      <c r="AP52" s="826"/>
      <c r="AQ52" s="826"/>
      <c r="AR52" s="826"/>
      <c r="AS52" s="826"/>
      <c r="AT52" s="826"/>
      <c r="AU52" s="826"/>
      <c r="AV52" s="826"/>
      <c r="AW52" s="826"/>
      <c r="AX52" s="826"/>
      <c r="AY52" s="826" t="s">
        <v>87</v>
      </c>
      <c r="AZ52" s="826"/>
      <c r="BA52" s="826"/>
      <c r="BB52" s="826"/>
      <c r="BC52" s="826"/>
      <c r="BD52" s="826"/>
      <c r="BE52" s="826"/>
      <c r="BF52" s="826"/>
      <c r="BG52" s="826"/>
      <c r="BH52" s="826"/>
      <c r="BI52" s="826"/>
      <c r="BJ52" s="826"/>
      <c r="BK52" s="826" t="s">
        <v>67</v>
      </c>
      <c r="BL52" s="826"/>
      <c r="BM52" s="826"/>
      <c r="BN52" s="826"/>
      <c r="BO52" s="826"/>
      <c r="BP52" s="826"/>
      <c r="BQ52" s="826"/>
      <c r="BR52" s="826"/>
      <c r="BS52" s="826"/>
      <c r="BT52" s="826"/>
      <c r="BU52" s="826"/>
      <c r="BV52" s="826"/>
      <c r="BW52" s="826"/>
      <c r="BX52" s="826"/>
      <c r="BY52" s="826"/>
      <c r="BZ52" s="826"/>
      <c r="CA52" s="826"/>
      <c r="CB52" s="826"/>
    </row>
    <row r="53" spans="1:80" s="385" customFormat="1" ht="11.25" x14ac:dyDescent="0.25">
      <c r="A53" s="925"/>
      <c r="B53" s="925"/>
      <c r="C53" s="925"/>
      <c r="D53" s="925"/>
      <c r="E53" s="826"/>
      <c r="F53" s="826"/>
      <c r="G53" s="826"/>
      <c r="H53" s="826"/>
      <c r="I53" s="826"/>
      <c r="J53" s="826"/>
      <c r="K53" s="826"/>
      <c r="L53" s="826"/>
      <c r="M53" s="826"/>
      <c r="N53" s="826"/>
      <c r="O53" s="826"/>
      <c r="P53" s="826"/>
      <c r="Q53" s="826"/>
      <c r="R53" s="826"/>
      <c r="S53" s="826"/>
      <c r="T53" s="826"/>
      <c r="U53" s="826"/>
      <c r="V53" s="826"/>
      <c r="W53" s="826"/>
      <c r="X53" s="826"/>
      <c r="Y53" s="826"/>
      <c r="Z53" s="826"/>
      <c r="AA53" s="826"/>
      <c r="AB53" s="826"/>
      <c r="AC53" s="826"/>
      <c r="AD53" s="826"/>
      <c r="AE53" s="826"/>
      <c r="AF53" s="826"/>
      <c r="AG53" s="826"/>
      <c r="AH53" s="826"/>
      <c r="AI53" s="826"/>
      <c r="AJ53" s="826"/>
      <c r="AK53" s="826"/>
      <c r="AL53" s="826"/>
      <c r="AM53" s="826"/>
      <c r="AN53" s="826"/>
      <c r="AO53" s="826"/>
      <c r="AP53" s="826"/>
      <c r="AQ53" s="826"/>
      <c r="AR53" s="826"/>
      <c r="AS53" s="826"/>
      <c r="AT53" s="826"/>
      <c r="AU53" s="826"/>
      <c r="AV53" s="826"/>
      <c r="AW53" s="826"/>
      <c r="AX53" s="826"/>
      <c r="AY53" s="826"/>
      <c r="AZ53" s="826"/>
      <c r="BA53" s="826"/>
      <c r="BB53" s="826"/>
      <c r="BC53" s="826"/>
      <c r="BD53" s="826"/>
      <c r="BE53" s="826"/>
      <c r="BF53" s="826"/>
      <c r="BG53" s="826"/>
      <c r="BH53" s="826"/>
      <c r="BI53" s="826"/>
      <c r="BJ53" s="826"/>
      <c r="BK53" s="826"/>
      <c r="BL53" s="826"/>
      <c r="BM53" s="826"/>
      <c r="BN53" s="826"/>
      <c r="BO53" s="826"/>
      <c r="BP53" s="826"/>
      <c r="BQ53" s="826"/>
      <c r="BR53" s="826"/>
      <c r="BS53" s="826"/>
      <c r="BT53" s="826"/>
      <c r="BU53" s="826"/>
      <c r="BV53" s="826"/>
      <c r="BW53" s="826"/>
      <c r="BX53" s="826"/>
      <c r="BY53" s="826"/>
      <c r="BZ53" s="826"/>
      <c r="CA53" s="826"/>
      <c r="CB53" s="826"/>
    </row>
    <row r="54" spans="1:80" s="11" customFormat="1" ht="11.25" x14ac:dyDescent="0.2">
      <c r="A54" s="924" t="s">
        <v>101</v>
      </c>
      <c r="B54" s="922"/>
      <c r="C54" s="922"/>
      <c r="D54" s="922"/>
      <c r="E54" s="922" t="s">
        <v>101</v>
      </c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  <c r="W54" s="922"/>
      <c r="X54" s="922"/>
      <c r="Y54" s="922"/>
      <c r="Z54" s="922"/>
      <c r="AA54" s="922"/>
      <c r="AB54" s="922"/>
      <c r="AC54" s="922" t="s">
        <v>101</v>
      </c>
      <c r="AD54" s="922"/>
      <c r="AE54" s="922"/>
      <c r="AF54" s="922"/>
      <c r="AG54" s="922"/>
      <c r="AH54" s="922"/>
      <c r="AI54" s="922"/>
      <c r="AJ54" s="922"/>
      <c r="AK54" s="922"/>
      <c r="AL54" s="922"/>
      <c r="AM54" s="922"/>
      <c r="AN54" s="922"/>
      <c r="AO54" s="922"/>
      <c r="AP54" s="922"/>
      <c r="AQ54" s="922"/>
      <c r="AR54" s="922"/>
      <c r="AS54" s="922"/>
      <c r="AT54" s="922"/>
      <c r="AU54" s="922"/>
      <c r="AV54" s="922"/>
      <c r="AW54" s="922"/>
      <c r="AX54" s="922"/>
      <c r="AY54" s="922" t="s">
        <v>101</v>
      </c>
      <c r="AZ54" s="922"/>
      <c r="BA54" s="922"/>
      <c r="BB54" s="922"/>
      <c r="BC54" s="922"/>
      <c r="BD54" s="922"/>
      <c r="BE54" s="922"/>
      <c r="BF54" s="922"/>
      <c r="BG54" s="922"/>
      <c r="BH54" s="922"/>
      <c r="BI54" s="922"/>
      <c r="BJ54" s="922"/>
      <c r="BK54" s="922" t="s">
        <v>101</v>
      </c>
      <c r="BL54" s="922"/>
      <c r="BM54" s="922"/>
      <c r="BN54" s="922"/>
      <c r="BO54" s="922"/>
      <c r="BP54" s="922"/>
      <c r="BQ54" s="922"/>
      <c r="BR54" s="922"/>
      <c r="BS54" s="922"/>
      <c r="BT54" s="922"/>
      <c r="BU54" s="922"/>
      <c r="BV54" s="922"/>
      <c r="BW54" s="922"/>
      <c r="BX54" s="922"/>
      <c r="BY54" s="922"/>
      <c r="BZ54" s="922"/>
      <c r="CA54" s="922"/>
      <c r="CB54" s="923"/>
    </row>
    <row r="55" spans="1:80" s="11" customFormat="1" ht="11.25" x14ac:dyDescent="0.2"/>
    <row r="56" spans="1:80" s="11" customFormat="1" ht="1.5" customHeight="1" x14ac:dyDescent="0.2"/>
    <row r="57" spans="1:80" s="11" customFormat="1" ht="11.25" x14ac:dyDescent="0.2">
      <c r="D57" s="45" t="s">
        <v>344</v>
      </c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BC57" s="831" t="str">
        <f>IF('Данные объект'!B42="","",'Данные объект'!B42)</f>
      </c>
      <c r="BD57" s="831"/>
      <c r="BE57" s="831"/>
      <c r="BF57" s="831"/>
      <c r="BG57" s="831"/>
      <c r="BH57" s="831"/>
      <c r="BI57" s="831"/>
      <c r="BJ57" s="831"/>
      <c r="BK57" s="831"/>
      <c r="BL57" s="831"/>
      <c r="BM57" s="831"/>
      <c r="BN57" s="831"/>
      <c r="BO57" s="831"/>
      <c r="BP57" s="831"/>
      <c r="BQ57" s="831"/>
    </row>
    <row r="58" spans="1:80" s="11" customFormat="1" ht="11.25" x14ac:dyDescent="0.2">
      <c r="E58" s="45"/>
      <c r="F58" s="45"/>
      <c r="G58" s="57"/>
      <c r="H58" s="57"/>
      <c r="I58" s="57"/>
      <c r="J58" s="57"/>
      <c r="K58" s="57"/>
      <c r="L58" s="57"/>
      <c r="M58" s="57"/>
      <c r="AM58" s="490" t="s">
        <v>2</v>
      </c>
      <c r="AN58" s="490"/>
      <c r="AO58" s="490"/>
      <c r="AP58" s="490"/>
      <c r="AQ58" s="490"/>
      <c r="AR58" s="490"/>
      <c r="AS58" s="490"/>
      <c r="AT58" s="490"/>
      <c r="AU58" s="490"/>
      <c r="AV58" s="490"/>
      <c r="AW58" s="490"/>
      <c r="AX58" s="490"/>
      <c r="AY58" s="490"/>
    </row>
    <row r="59" spans="1:80" s="11" customFormat="1" ht="11.25" x14ac:dyDescent="0.2">
      <c r="E59" s="45"/>
      <c r="F59" s="45"/>
      <c r="G59" s="57"/>
      <c r="H59" s="57"/>
      <c r="I59" s="57"/>
      <c r="J59" s="57"/>
      <c r="K59" s="57"/>
      <c r="L59" s="57"/>
      <c r="M59" s="57"/>
      <c r="AM59" s="383"/>
      <c r="AN59" s="383"/>
      <c r="AO59" s="383"/>
      <c r="AP59" s="383"/>
      <c r="AQ59" s="383"/>
      <c r="AR59" s="383"/>
      <c r="AS59" s="383"/>
      <c r="AT59" s="383"/>
      <c r="AU59" s="383"/>
      <c r="AV59" s="383"/>
      <c r="AW59" s="383"/>
      <c r="AX59" s="383"/>
      <c r="AY59" s="383"/>
    </row>
    <row r="60" spans="1:80" s="11" customFormat="1" ht="11.25" x14ac:dyDescent="0.2">
      <c r="E60" s="45"/>
      <c r="F60" s="45"/>
      <c r="G60" s="57"/>
      <c r="H60" s="57"/>
      <c r="I60" s="57"/>
      <c r="J60" s="57"/>
      <c r="K60" s="57"/>
      <c r="L60" s="57"/>
      <c r="M60" s="57"/>
      <c r="AM60" s="383"/>
      <c r="AN60" s="383"/>
      <c r="AO60" s="383"/>
      <c r="AP60" s="383"/>
      <c r="AQ60" s="383"/>
      <c r="AR60" s="383"/>
      <c r="AS60" s="383"/>
      <c r="AT60" s="383"/>
      <c r="AU60" s="383"/>
      <c r="AV60" s="383"/>
      <c r="AW60" s="383"/>
      <c r="AX60" s="383"/>
      <c r="AY60" s="383"/>
    </row>
    <row r="61" spans="1:80" s="11" customFormat="1" ht="11.25" collapsed="1" x14ac:dyDescent="0.2">
      <c r="C61" s="57"/>
      <c r="D61" s="45"/>
      <c r="E61" s="45"/>
      <c r="F61" s="45"/>
      <c r="G61" s="57"/>
      <c r="H61" s="57"/>
      <c r="I61" s="57"/>
      <c r="J61" s="57"/>
      <c r="K61" s="57"/>
      <c r="L61" s="57"/>
      <c r="M61" s="57"/>
      <c r="AM61" s="855"/>
      <c r="AN61" s="855"/>
      <c r="AO61" s="855"/>
      <c r="AP61" s="855"/>
      <c r="AQ61" s="855"/>
      <c r="AR61" s="855"/>
      <c r="AS61" s="855"/>
      <c r="AT61" s="855"/>
      <c r="AU61" s="855"/>
      <c r="AV61" s="855"/>
      <c r="AW61" s="855"/>
      <c r="AX61" s="855"/>
      <c r="AY61" s="855"/>
      <c r="BC61" s="831" t="str">
        <f>IF('Данные объект'!B47="","",'Данные объект'!B47)</f>
      </c>
      <c r="BD61" s="831"/>
      <c r="BE61" s="831"/>
      <c r="BF61" s="831"/>
      <c r="BG61" s="831"/>
      <c r="BH61" s="831"/>
      <c r="BI61" s="831"/>
      <c r="BJ61" s="831"/>
      <c r="BK61" s="831"/>
      <c r="BL61" s="831"/>
      <c r="BM61" s="831"/>
      <c r="BN61" s="831"/>
      <c r="BO61" s="831"/>
      <c r="BP61" s="831"/>
      <c r="BQ61" s="831"/>
    </row>
    <row r="62" spans="1:80" s="11" customFormat="1" ht="11.25" x14ac:dyDescent="0.2">
      <c r="C62" s="57"/>
      <c r="E62" s="45"/>
      <c r="F62" s="45"/>
      <c r="G62" s="57"/>
      <c r="H62" s="57"/>
      <c r="I62" s="57"/>
      <c r="J62" s="57"/>
      <c r="K62" s="57"/>
      <c r="L62" s="57"/>
      <c r="M62" s="57"/>
      <c r="AM62" s="490" t="s">
        <v>2</v>
      </c>
      <c r="AN62" s="490"/>
      <c r="AO62" s="490"/>
      <c r="AP62" s="490"/>
      <c r="AQ62" s="490"/>
      <c r="AR62" s="490"/>
      <c r="AS62" s="490"/>
      <c r="AT62" s="490"/>
      <c r="AU62" s="490"/>
      <c r="AV62" s="490"/>
      <c r="AW62" s="490"/>
      <c r="AX62" s="490"/>
      <c r="AY62" s="490"/>
    </row>
    <row r="63" spans="1:80" s="11" customFormat="1" ht="11.25" x14ac:dyDescent="0.2">
      <c r="E63" s="45"/>
      <c r="F63" s="45"/>
      <c r="G63" s="57"/>
      <c r="H63" s="57"/>
      <c r="I63" s="57"/>
      <c r="J63" s="57"/>
      <c r="K63" s="57"/>
      <c r="L63" s="57"/>
      <c r="M63" s="57"/>
      <c r="AM63" s="383"/>
      <c r="AN63" s="383"/>
      <c r="AO63" s="383"/>
      <c r="AP63" s="383"/>
      <c r="AQ63" s="383"/>
      <c r="AR63" s="383"/>
      <c r="AS63" s="383"/>
      <c r="AT63" s="383"/>
      <c r="AU63" s="383"/>
      <c r="AV63" s="383"/>
      <c r="AW63" s="383"/>
      <c r="AX63" s="383"/>
      <c r="AY63" s="383"/>
    </row>
    <row r="64" spans="1:80" s="11" customFormat="1" ht="11.25" x14ac:dyDescent="0.2">
      <c r="E64" s="45"/>
      <c r="F64" s="45"/>
      <c r="G64" s="57"/>
      <c r="H64" s="57"/>
      <c r="I64" s="57"/>
      <c r="J64" s="57"/>
      <c r="K64" s="57"/>
      <c r="L64" s="57"/>
      <c r="M64" s="57"/>
      <c r="AM64" s="383"/>
      <c r="AN64" s="383"/>
      <c r="AO64" s="383"/>
      <c r="AP64" s="383"/>
      <c r="AQ64" s="383"/>
      <c r="AR64" s="383"/>
      <c r="AS64" s="383"/>
      <c r="AT64" s="383"/>
      <c r="AU64" s="383"/>
      <c r="AV64" s="383"/>
      <c r="AW64" s="383"/>
      <c r="AX64" s="383"/>
      <c r="AY64" s="383"/>
    </row>
    <row r="65" spans="4:70" s="11" customFormat="1" ht="2.25" hidden="1" customHeight="1" outlineLevel="1" x14ac:dyDescent="0.2">
      <c r="E65" s="45"/>
      <c r="F65" s="45"/>
      <c r="G65" s="57"/>
      <c r="H65" s="57"/>
      <c r="I65" s="57"/>
      <c r="J65" s="57"/>
      <c r="K65" s="57"/>
      <c r="L65" s="57"/>
      <c r="M65" s="57"/>
      <c r="AM65" s="383"/>
      <c r="AN65" s="383"/>
      <c r="AO65" s="383"/>
      <c r="AP65" s="383"/>
      <c r="AQ65" s="383"/>
      <c r="AR65" s="383"/>
      <c r="AS65" s="383"/>
      <c r="AT65" s="383"/>
      <c r="AU65" s="383"/>
      <c r="AV65" s="383"/>
      <c r="AW65" s="383"/>
      <c r="AX65" s="383"/>
      <c r="AY65" s="383"/>
    </row>
    <row r="66" spans="4:70" s="11" customFormat="1" ht="14.25" hidden="1" customHeight="1" outlineLevel="1" x14ac:dyDescent="0.2">
      <c r="E66" s="45"/>
      <c r="F66" s="45"/>
      <c r="G66" s="57"/>
      <c r="H66" s="57"/>
      <c r="I66" s="57"/>
      <c r="J66" s="57"/>
      <c r="K66" s="57"/>
      <c r="L66" s="57"/>
      <c r="M66" s="57"/>
      <c r="AM66" s="855"/>
      <c r="AN66" s="855"/>
      <c r="AO66" s="855"/>
      <c r="AP66" s="855"/>
      <c r="AQ66" s="855"/>
      <c r="AR66" s="855"/>
      <c r="AS66" s="855"/>
      <c r="AT66" s="855"/>
      <c r="AU66" s="855"/>
      <c r="AV66" s="855"/>
      <c r="AW66" s="855"/>
      <c r="AX66" s="855"/>
      <c r="AY66" s="855"/>
      <c r="BC66" s="893"/>
      <c r="BD66" s="893"/>
      <c r="BE66" s="893"/>
      <c r="BF66" s="893"/>
      <c r="BG66" s="893"/>
      <c r="BH66" s="893"/>
      <c r="BI66" s="893"/>
      <c r="BJ66" s="893"/>
      <c r="BK66" s="893"/>
      <c r="BL66" s="893"/>
      <c r="BM66" s="893"/>
      <c r="BN66" s="893"/>
      <c r="BO66" s="893"/>
      <c r="BP66" s="893"/>
      <c r="BQ66" s="893"/>
      <c r="BR66" s="893"/>
    </row>
    <row r="67" spans="4:70" s="11" customFormat="1" ht="13.5" hidden="1" customHeight="1" outlineLevel="1" x14ac:dyDescent="0.2">
      <c r="E67" s="45"/>
      <c r="F67" s="45"/>
      <c r="G67" s="57"/>
      <c r="H67" s="57"/>
      <c r="I67" s="57"/>
      <c r="J67" s="57"/>
      <c r="K67" s="57"/>
      <c r="L67" s="57"/>
      <c r="M67" s="57"/>
      <c r="AM67" s="490" t="s">
        <v>2</v>
      </c>
      <c r="AN67" s="490"/>
      <c r="AO67" s="490"/>
      <c r="AP67" s="490"/>
      <c r="AQ67" s="490"/>
      <c r="AR67" s="490"/>
      <c r="AS67" s="490"/>
      <c r="AT67" s="490"/>
      <c r="AU67" s="490"/>
      <c r="AV67" s="490"/>
      <c r="AW67" s="490"/>
      <c r="AX67" s="490"/>
      <c r="AY67" s="490"/>
    </row>
    <row r="68" spans="4:70" s="11" customFormat="1" ht="11.25" hidden="1" collapsed="1" x14ac:dyDescent="0.2">
      <c r="D68" s="45"/>
      <c r="E68" s="45"/>
      <c r="F68" s="45"/>
      <c r="G68" s="57"/>
      <c r="H68" s="57"/>
      <c r="I68" s="57"/>
      <c r="J68" s="57"/>
      <c r="K68" s="57"/>
      <c r="L68" s="57"/>
      <c r="M68" s="57"/>
      <c r="AM68" s="855"/>
      <c r="AN68" s="855"/>
      <c r="AO68" s="855"/>
      <c r="AP68" s="855"/>
      <c r="AQ68" s="855"/>
      <c r="AR68" s="855"/>
      <c r="AS68" s="855"/>
      <c r="AT68" s="855"/>
      <c r="AU68" s="855"/>
      <c r="AV68" s="855"/>
      <c r="AW68" s="855"/>
      <c r="AX68" s="855"/>
      <c r="AY68" s="855"/>
      <c r="BC68" s="893"/>
      <c r="BD68" s="893"/>
      <c r="BE68" s="893"/>
      <c r="BF68" s="893"/>
      <c r="BG68" s="893"/>
      <c r="BH68" s="893"/>
      <c r="BI68" s="893"/>
      <c r="BJ68" s="893"/>
      <c r="BK68" s="893"/>
      <c r="BL68" s="893"/>
      <c r="BM68" s="893"/>
      <c r="BN68" s="893"/>
      <c r="BO68" s="893"/>
      <c r="BP68" s="893"/>
      <c r="BQ68" s="893"/>
    </row>
    <row r="69" spans="4:70" s="11" customFormat="1" ht="11.25" hidden="1" x14ac:dyDescent="0.2">
      <c r="E69" s="45"/>
      <c r="F69" s="45"/>
      <c r="G69" s="57"/>
      <c r="H69" s="57"/>
      <c r="I69" s="57"/>
      <c r="J69" s="57"/>
      <c r="K69" s="57"/>
      <c r="L69" s="57"/>
      <c r="M69" s="57"/>
      <c r="AM69" s="490" t="s">
        <v>2</v>
      </c>
      <c r="AN69" s="490"/>
      <c r="AO69" s="490"/>
      <c r="AP69" s="490"/>
      <c r="AQ69" s="490"/>
      <c r="AR69" s="490"/>
      <c r="AS69" s="490"/>
      <c r="AT69" s="490"/>
      <c r="AU69" s="490"/>
      <c r="AV69" s="490"/>
      <c r="AW69" s="490"/>
      <c r="AX69" s="490"/>
      <c r="AY69" s="490"/>
    </row>
    <row r="70" spans="4:70" s="11" customFormat="1" ht="11.25" x14ac:dyDescent="0.2">
      <c r="D70" s="45" t="s">
        <v>61</v>
      </c>
      <c r="E70" s="45"/>
      <c r="F70" s="45"/>
      <c r="G70" s="57"/>
      <c r="H70" s="57"/>
      <c r="I70" s="57"/>
      <c r="J70" s="57"/>
      <c r="K70" s="57"/>
      <c r="L70" s="57"/>
      <c r="M70" s="57"/>
      <c r="AM70" s="855"/>
      <c r="AN70" s="855"/>
      <c r="AO70" s="855"/>
      <c r="AP70" s="855"/>
      <c r="AQ70" s="855"/>
      <c r="AR70" s="855"/>
      <c r="AS70" s="855"/>
      <c r="AT70" s="855"/>
      <c r="AU70" s="855"/>
      <c r="AV70" s="855"/>
      <c r="AW70" s="855"/>
      <c r="AX70" s="855"/>
      <c r="AY70" s="855"/>
      <c r="BC70" s="831" t="str">
        <f>IF('Данные объект'!B28="","",'Данные объект'!B28)</f>
      </c>
      <c r="BD70" s="831"/>
      <c r="BE70" s="831"/>
      <c r="BF70" s="831"/>
      <c r="BG70" s="831"/>
      <c r="BH70" s="831"/>
      <c r="BI70" s="831"/>
      <c r="BJ70" s="831"/>
      <c r="BK70" s="831"/>
      <c r="BL70" s="831"/>
      <c r="BM70" s="831"/>
      <c r="BN70" s="831"/>
      <c r="BO70" s="831"/>
      <c r="BP70" s="831"/>
      <c r="BQ70" s="831"/>
    </row>
    <row r="71" spans="4:70" s="11" customFormat="1" ht="11.25" x14ac:dyDescent="0.2">
      <c r="E71" s="45"/>
      <c r="F71" s="45"/>
      <c r="G71" s="57"/>
      <c r="H71" s="57"/>
      <c r="I71" s="57"/>
      <c r="J71" s="57"/>
      <c r="K71" s="57"/>
      <c r="L71" s="57"/>
      <c r="M71" s="57"/>
      <c r="AM71" s="490" t="s">
        <v>2</v>
      </c>
      <c r="AN71" s="490"/>
      <c r="AO71" s="490"/>
      <c r="AP71" s="490"/>
      <c r="AQ71" s="490"/>
      <c r="AR71" s="490"/>
      <c r="AS71" s="490"/>
      <c r="AT71" s="490"/>
      <c r="AU71" s="490"/>
      <c r="AV71" s="490"/>
      <c r="AW71" s="490"/>
      <c r="AX71" s="490"/>
      <c r="AY71" s="490"/>
    </row>
  </sheetData>
  <mergeCells count="69">
    <mergeCell ref="AT1:CB2"/>
    <mergeCell ref="A2:AI2"/>
    <mergeCell ref="A3:AI3"/>
    <mergeCell ref="AT3:CB3"/>
    <mergeCell ref="A4:AI5"/>
    <mergeCell ref="AT4:CB5"/>
    <mergeCell ref="A22:BZ22"/>
    <mergeCell ref="A6:AI6"/>
    <mergeCell ref="AT6:CB6"/>
    <mergeCell ref="AT7:CB10"/>
    <mergeCell ref="A10:AI10"/>
    <mergeCell ref="A11:AI11"/>
    <mergeCell ref="AT11:CB11"/>
    <mergeCell ref="AT12:CB12"/>
    <mergeCell ref="AT13:CB13"/>
    <mergeCell ref="A16:CB16"/>
    <mergeCell ref="A17:CB17"/>
    <mergeCell ref="A18:CB18"/>
    <mergeCell ref="A31:CB31"/>
    <mergeCell ref="A33:BZ33"/>
    <mergeCell ref="A34:BZ34"/>
    <mergeCell ref="A38:CB38"/>
    <mergeCell ref="A23:BZ23"/>
    <mergeCell ref="A30:CB30"/>
    <mergeCell ref="A50:G50"/>
    <mergeCell ref="H50:U50"/>
    <mergeCell ref="C39:AM39"/>
    <mergeCell ref="AN39:CB39"/>
    <mergeCell ref="AN40:CB40"/>
    <mergeCell ref="AJ41:CB41"/>
    <mergeCell ref="A42:CB42"/>
    <mergeCell ref="A43:CB43"/>
    <mergeCell ref="AB44:CB44"/>
    <mergeCell ref="A45:CB45"/>
    <mergeCell ref="A46:CB46"/>
    <mergeCell ref="A47:CB48"/>
    <mergeCell ref="A49:CB49"/>
    <mergeCell ref="C51:CB51"/>
    <mergeCell ref="A52:D53"/>
    <mergeCell ref="E52:AB53"/>
    <mergeCell ref="AC52:AX53"/>
    <mergeCell ref="AY52:BJ53"/>
    <mergeCell ref="BK52:CB53"/>
    <mergeCell ref="AM62:AY62"/>
    <mergeCell ref="AM66:AY66"/>
    <mergeCell ref="BC66:BR66"/>
    <mergeCell ref="A54:D54"/>
    <mergeCell ref="E54:AB54"/>
    <mergeCell ref="AC54:AX54"/>
    <mergeCell ref="AY54:BJ54"/>
    <mergeCell ref="BK54:CB54"/>
    <mergeCell ref="AM57:AY57"/>
    <mergeCell ref="BC57:BQ57"/>
    <mergeCell ref="AM71:AY71"/>
    <mergeCell ref="A28:CB28"/>
    <mergeCell ref="A27:CB27"/>
    <mergeCell ref="A25:CB25"/>
    <mergeCell ref="A24:CB24"/>
    <mergeCell ref="A37:CB37"/>
    <mergeCell ref="A36:CB36"/>
    <mergeCell ref="AM67:AY67"/>
    <mergeCell ref="AM68:AY68"/>
    <mergeCell ref="BC68:BQ68"/>
    <mergeCell ref="AM69:AY69"/>
    <mergeCell ref="AM70:AY70"/>
    <mergeCell ref="BC70:BQ70"/>
    <mergeCell ref="AM58:AY58"/>
    <mergeCell ref="AM61:AY61"/>
    <mergeCell ref="BC61:BQ61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8B56-C816-47E4-9106-4F9A09E40FE5}">
  <sheetPr>
    <tabColor theme="3" tint="0.39997558519241921"/>
  </sheetPr>
  <dimension ref="A1:CV221"/>
  <sheetViews>
    <sheetView view="pageBreakPreview" topLeftCell="A13" zoomScaleNormal="100" zoomScaleSheetLayoutView="100" workbookViewId="0">
      <selection activeCell="CY42" sqref="CY42"/>
    </sheetView>
  </sheetViews>
  <sheetFormatPr defaultColWidth="9.140625" defaultRowHeight="15" x14ac:dyDescent="0.25"/>
  <cols>
    <col min="1" max="79" width="1.140625" customWidth="1"/>
    <col min="80" max="80" width="2" customWidth="1"/>
    <col min="8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27" customHeight="1" x14ac:dyDescent="0.2">
      <c r="A6" s="387"/>
      <c r="B6" s="387"/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s="2" customFormat="1" ht="14.25" customHeight="1" x14ac:dyDescent="0.25">
      <c r="A7" s="387"/>
      <c r="B7" s="387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s="2" customFormat="1" ht="13.15" customHeight="1" x14ac:dyDescent="0.25">
      <c r="A8" s="836" t="str">
        <f>IF('Данные объект'!B13="","",'Данные объект'!B13)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s="2" customFormat="1" ht="13.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1389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9.6" customHeight="1" x14ac:dyDescent="0.25">
      <c r="A15" s="307"/>
      <c r="B15" s="307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  <c r="BL15" s="307"/>
      <c r="BM15" s="307"/>
      <c r="BN15" s="307"/>
      <c r="BO15" s="307"/>
      <c r="BP15" s="307"/>
      <c r="BQ15" s="307"/>
      <c r="BR15" s="307"/>
      <c r="BS15" s="307"/>
      <c r="BT15" s="307"/>
      <c r="BU15" s="307"/>
      <c r="BV15" s="307"/>
      <c r="BW15" s="307"/>
      <c r="BX15" s="307"/>
      <c r="BY15" s="307"/>
      <c r="BZ15" s="307"/>
      <c r="CA15" s="307"/>
      <c r="CB15" s="307"/>
    </row>
    <row r="16" spans="1:80" s="2" customFormat="1" ht="12.75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00" s="2" customFormat="1" ht="12.75" x14ac:dyDescent="0.2">
      <c r="A17" s="11" t="s">
        <v>535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100" s="2" customFormat="1" ht="12.75" x14ac:dyDescent="0.2">
      <c r="A18" s="831" t="str">
        <f>IF('Данные объект'!C42="","",'Данные объект'!C42)</f>
      </c>
      <c r="B18" s="831"/>
      <c r="C18" s="831"/>
      <c r="D18" s="831"/>
      <c r="E18" s="831"/>
      <c r="F18" s="831"/>
      <c r="G18" s="831"/>
      <c r="H18" s="831"/>
      <c r="I18" s="831"/>
      <c r="J18" s="831"/>
      <c r="K18" s="831"/>
      <c r="L18" s="831"/>
      <c r="M18" s="831"/>
      <c r="N18" s="831"/>
      <c r="O18" s="831"/>
      <c r="P18" s="831"/>
      <c r="Q18" s="831"/>
      <c r="R18" s="831"/>
      <c r="S18" s="831"/>
      <c r="T18" s="831"/>
      <c r="U18" s="831"/>
      <c r="V18" s="831"/>
      <c r="W18" s="831"/>
      <c r="X18" s="831"/>
      <c r="Y18" s="831"/>
      <c r="Z18" s="831"/>
      <c r="AA18" s="831"/>
      <c r="AB18" s="831"/>
      <c r="AC18" s="831"/>
      <c r="AD18" s="831"/>
      <c r="AE18" s="831"/>
      <c r="AF18" s="831"/>
      <c r="AG18" s="831"/>
      <c r="AH18" s="831"/>
      <c r="AI18" s="831"/>
      <c r="AJ18" s="831"/>
      <c r="AK18" s="831"/>
      <c r="AL18" s="831"/>
      <c r="AM18" s="831"/>
      <c r="AN18" s="831"/>
      <c r="AO18" s="831"/>
      <c r="AP18" s="831"/>
      <c r="AQ18" s="831"/>
      <c r="AR18" s="831"/>
      <c r="AS18" s="831"/>
      <c r="AT18" s="831"/>
      <c r="AU18" s="831"/>
      <c r="AV18" s="831"/>
      <c r="AW18" s="831"/>
      <c r="AX18" s="831"/>
      <c r="AY18" s="831"/>
      <c r="AZ18" s="831"/>
      <c r="BA18" s="831"/>
      <c r="BB18" s="831"/>
      <c r="BC18" s="831"/>
      <c r="BD18" s="831"/>
      <c r="BE18" s="831"/>
      <c r="BF18" s="831"/>
      <c r="BG18" s="831"/>
      <c r="BH18" s="831"/>
      <c r="BI18" s="831"/>
      <c r="BJ18" s="831"/>
      <c r="BK18" s="831"/>
      <c r="BL18" s="831"/>
      <c r="BM18" s="831"/>
      <c r="BN18" s="831"/>
      <c r="BO18" s="831"/>
      <c r="BP18" s="831"/>
      <c r="BQ18" s="831"/>
      <c r="BR18" s="831"/>
      <c r="BS18" s="831"/>
      <c r="BT18" s="831"/>
      <c r="BU18" s="831"/>
      <c r="BV18" s="831"/>
      <c r="BW18" s="831"/>
      <c r="BX18" s="831"/>
      <c r="BY18" s="831"/>
      <c r="BZ18" s="831"/>
      <c r="CA18" s="831"/>
      <c r="CB18" s="831"/>
    </row>
    <row r="19" spans="1:10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100" s="2" customFormat="1" ht="12.75" x14ac:dyDescent="0.2">
      <c r="A20" s="831" t="str">
        <f>IF('Данные объект'!C45="","",'Данные объект'!C45)</f>
      </c>
      <c r="B20" s="831"/>
      <c r="C20" s="831"/>
      <c r="D20" s="831"/>
      <c r="E20" s="831"/>
      <c r="F20" s="831"/>
      <c r="G20" s="831"/>
      <c r="H20" s="831"/>
      <c r="I20" s="831"/>
      <c r="J20" s="831"/>
      <c r="K20" s="831"/>
      <c r="L20" s="831"/>
      <c r="M20" s="831"/>
      <c r="N20" s="831"/>
      <c r="O20" s="831"/>
      <c r="P20" s="831"/>
      <c r="Q20" s="831"/>
      <c r="R20" s="831"/>
      <c r="S20" s="831"/>
      <c r="T20" s="831"/>
      <c r="U20" s="831"/>
      <c r="V20" s="831"/>
      <c r="W20" s="831"/>
      <c r="X20" s="831"/>
      <c r="Y20" s="831"/>
      <c r="Z20" s="831"/>
      <c r="AA20" s="831"/>
      <c r="AB20" s="831"/>
      <c r="AC20" s="831"/>
      <c r="AD20" s="831"/>
      <c r="AE20" s="831"/>
      <c r="AF20" s="831"/>
      <c r="AG20" s="831"/>
      <c r="AH20" s="831"/>
      <c r="AI20" s="831"/>
      <c r="AJ20" s="831"/>
      <c r="AK20" s="831"/>
      <c r="AL20" s="831"/>
      <c r="AM20" s="831"/>
      <c r="AN20" s="831"/>
      <c r="AO20" s="831"/>
      <c r="AP20" s="831"/>
      <c r="AQ20" s="831"/>
      <c r="AR20" s="831"/>
      <c r="AS20" s="831"/>
      <c r="AT20" s="831"/>
      <c r="AU20" s="831"/>
      <c r="AV20" s="831"/>
      <c r="AW20" s="831"/>
      <c r="AX20" s="831"/>
      <c r="AY20" s="831"/>
      <c r="AZ20" s="831"/>
      <c r="BA20" s="831"/>
      <c r="BB20" s="831"/>
      <c r="BC20" s="831"/>
      <c r="BD20" s="831"/>
      <c r="BE20" s="831"/>
      <c r="BF20" s="831"/>
      <c r="BG20" s="831"/>
      <c r="BH20" s="831"/>
      <c r="BI20" s="831"/>
      <c r="BJ20" s="831"/>
      <c r="BK20" s="831"/>
      <c r="BL20" s="831"/>
      <c r="BM20" s="831"/>
      <c r="BN20" s="831"/>
      <c r="BO20" s="831"/>
      <c r="BP20" s="831"/>
      <c r="BQ20" s="831"/>
      <c r="BR20" s="831"/>
      <c r="BS20" s="831"/>
      <c r="BT20" s="831"/>
      <c r="BU20" s="831"/>
      <c r="BV20" s="831"/>
      <c r="BW20" s="831"/>
      <c r="BX20" s="831"/>
      <c r="BY20" s="831"/>
      <c r="BZ20" s="831"/>
      <c r="CA20" s="831"/>
      <c r="CB20" s="831"/>
    </row>
    <row r="21" spans="1:100" s="5" customFormat="1" ht="8.25" x14ac:dyDescent="0.15">
      <c r="A21" s="932" t="s">
        <v>31</v>
      </c>
      <c r="B21" s="932"/>
      <c r="C21" s="932"/>
      <c r="D21" s="932"/>
      <c r="E21" s="932"/>
      <c r="F21" s="932"/>
      <c r="G21" s="932"/>
      <c r="H21" s="932"/>
      <c r="I21" s="932"/>
      <c r="J21" s="932"/>
      <c r="K21" s="932"/>
      <c r="L21" s="932"/>
      <c r="M21" s="932"/>
      <c r="N21" s="932"/>
      <c r="O21" s="932"/>
      <c r="P21" s="932"/>
      <c r="Q21" s="932"/>
      <c r="R21" s="932"/>
      <c r="S21" s="932"/>
      <c r="T21" s="932"/>
      <c r="U21" s="932"/>
      <c r="V21" s="932"/>
      <c r="W21" s="932"/>
      <c r="X21" s="932"/>
      <c r="Y21" s="932"/>
      <c r="Z21" s="932"/>
      <c r="AA21" s="932"/>
      <c r="AB21" s="932"/>
      <c r="AC21" s="932"/>
      <c r="AD21" s="932"/>
      <c r="AE21" s="932"/>
      <c r="AF21" s="932"/>
      <c r="AG21" s="932"/>
      <c r="AH21" s="932"/>
      <c r="AI21" s="932"/>
      <c r="AJ21" s="932"/>
      <c r="AK21" s="932"/>
      <c r="AL21" s="932"/>
      <c r="AM21" s="932"/>
      <c r="AN21" s="932"/>
      <c r="AO21" s="932"/>
      <c r="AP21" s="932"/>
      <c r="AQ21" s="932"/>
      <c r="AR21" s="932"/>
      <c r="AS21" s="932"/>
      <c r="AT21" s="932"/>
      <c r="AU21" s="932"/>
      <c r="AV21" s="932"/>
      <c r="AW21" s="932"/>
      <c r="AX21" s="932"/>
      <c r="AY21" s="932"/>
      <c r="AZ21" s="932"/>
      <c r="BA21" s="932"/>
      <c r="BB21" s="932"/>
      <c r="BC21" s="932"/>
      <c r="BD21" s="932"/>
      <c r="BE21" s="932"/>
      <c r="BF21" s="932"/>
      <c r="BG21" s="932"/>
      <c r="BH21" s="932"/>
      <c r="BI21" s="932"/>
      <c r="BJ21" s="932"/>
      <c r="BK21" s="932"/>
      <c r="BL21" s="932"/>
      <c r="BM21" s="932"/>
      <c r="BN21" s="932"/>
      <c r="BO21" s="932"/>
      <c r="BP21" s="932"/>
      <c r="BQ21" s="932"/>
      <c r="BR21" s="932"/>
      <c r="BS21" s="932"/>
      <c r="BT21" s="932"/>
      <c r="BU21" s="932"/>
      <c r="BV21" s="932"/>
      <c r="BW21" s="932"/>
      <c r="BX21" s="932"/>
      <c r="BY21" s="932"/>
      <c r="BZ21" s="932"/>
      <c r="CA21" s="932"/>
      <c r="CB21" s="932"/>
    </row>
    <row r="22" spans="1:100" s="2" customFormat="1" ht="12.75" x14ac:dyDescent="0.2">
      <c r="A22" s="11" t="s">
        <v>90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</row>
    <row r="23" spans="1:100" s="2" customFormat="1" ht="12.75" x14ac:dyDescent="0.2">
      <c r="A23" s="926" t="str">
        <f>IF('Данные объект'!C28="","",'Данные объект'!C28)</f>
      </c>
      <c r="B23" s="926"/>
      <c r="C23" s="926"/>
      <c r="D23" s="926"/>
      <c r="E23" s="926"/>
      <c r="F23" s="926"/>
      <c r="G23" s="926"/>
      <c r="H23" s="926"/>
      <c r="I23" s="926"/>
      <c r="J23" s="926"/>
      <c r="K23" s="926"/>
      <c r="L23" s="926"/>
      <c r="M23" s="926"/>
      <c r="N23" s="926"/>
      <c r="O23" s="926"/>
      <c r="P23" s="926"/>
      <c r="Q23" s="926"/>
      <c r="R23" s="926"/>
      <c r="S23" s="926"/>
      <c r="T23" s="926"/>
      <c r="U23" s="926"/>
      <c r="V23" s="926"/>
      <c r="W23" s="926"/>
      <c r="X23" s="926"/>
      <c r="Y23" s="926"/>
      <c r="Z23" s="926"/>
      <c r="AA23" s="926"/>
      <c r="AB23" s="926"/>
      <c r="AC23" s="926"/>
      <c r="AD23" s="926"/>
      <c r="AE23" s="926"/>
      <c r="AF23" s="926"/>
      <c r="AG23" s="926"/>
      <c r="AH23" s="926"/>
      <c r="AI23" s="926"/>
      <c r="AJ23" s="926"/>
      <c r="AK23" s="926"/>
      <c r="AL23" s="926"/>
      <c r="AM23" s="926"/>
      <c r="AN23" s="926"/>
      <c r="AO23" s="926"/>
      <c r="AP23" s="926"/>
      <c r="AQ23" s="926"/>
      <c r="AR23" s="926"/>
      <c r="AS23" s="926"/>
      <c r="AT23" s="926"/>
      <c r="AU23" s="926"/>
      <c r="AV23" s="926"/>
      <c r="AW23" s="926"/>
      <c r="AX23" s="926"/>
      <c r="AY23" s="926"/>
      <c r="AZ23" s="926"/>
      <c r="BA23" s="926"/>
      <c r="BB23" s="926"/>
      <c r="BC23" s="926"/>
      <c r="BD23" s="926"/>
      <c r="BE23" s="926"/>
      <c r="BF23" s="926"/>
      <c r="BG23" s="926"/>
      <c r="BH23" s="926"/>
      <c r="BI23" s="926"/>
      <c r="BJ23" s="926"/>
      <c r="BK23" s="926"/>
      <c r="BL23" s="926"/>
      <c r="BM23" s="926"/>
      <c r="BN23" s="926"/>
      <c r="BO23" s="926"/>
      <c r="BP23" s="926"/>
      <c r="BQ23" s="926"/>
      <c r="BR23" s="926"/>
      <c r="BS23" s="926"/>
      <c r="BT23" s="926"/>
      <c r="BU23" s="926"/>
      <c r="BV23" s="926"/>
      <c r="BW23" s="926"/>
      <c r="BX23" s="926"/>
      <c r="BY23" s="926"/>
      <c r="BZ23" s="926"/>
      <c r="CA23" s="926"/>
      <c r="CB23" s="926"/>
    </row>
    <row r="24" spans="1:100" s="5" customFormat="1" ht="8.25" x14ac:dyDescent="0.15">
      <c r="A24" s="932" t="s">
        <v>31</v>
      </c>
      <c r="B24" s="932"/>
      <c r="C24" s="932"/>
      <c r="D24" s="932"/>
      <c r="E24" s="932"/>
      <c r="F24" s="932"/>
      <c r="G24" s="932"/>
      <c r="H24" s="932"/>
      <c r="I24" s="932"/>
      <c r="J24" s="932"/>
      <c r="K24" s="932"/>
      <c r="L24" s="932"/>
      <c r="M24" s="932"/>
      <c r="N24" s="932"/>
      <c r="O24" s="932"/>
      <c r="P24" s="932"/>
      <c r="Q24" s="932"/>
      <c r="R24" s="932"/>
      <c r="S24" s="932"/>
      <c r="T24" s="932"/>
      <c r="U24" s="932"/>
      <c r="V24" s="932"/>
      <c r="W24" s="932"/>
      <c r="X24" s="932"/>
      <c r="Y24" s="932"/>
      <c r="Z24" s="932"/>
      <c r="AA24" s="932"/>
      <c r="AB24" s="932"/>
      <c r="AC24" s="932"/>
      <c r="AD24" s="932"/>
      <c r="AE24" s="932"/>
      <c r="AF24" s="932"/>
      <c r="AG24" s="932"/>
      <c r="AH24" s="932"/>
      <c r="AI24" s="932"/>
      <c r="AJ24" s="932"/>
      <c r="AK24" s="932"/>
      <c r="AL24" s="932"/>
      <c r="AM24" s="932"/>
      <c r="AN24" s="932"/>
      <c r="AO24" s="932"/>
      <c r="AP24" s="932"/>
      <c r="AQ24" s="932"/>
      <c r="AR24" s="932"/>
      <c r="AS24" s="932"/>
      <c r="AT24" s="932"/>
      <c r="AU24" s="932"/>
      <c r="AV24" s="932"/>
      <c r="AW24" s="932"/>
      <c r="AX24" s="932"/>
      <c r="AY24" s="932"/>
      <c r="AZ24" s="932"/>
      <c r="BA24" s="932"/>
      <c r="BB24" s="932"/>
      <c r="BC24" s="932"/>
      <c r="BD24" s="932"/>
      <c r="BE24" s="932"/>
      <c r="BF24" s="932"/>
      <c r="BG24" s="932"/>
      <c r="BH24" s="932"/>
      <c r="BI24" s="932"/>
      <c r="BJ24" s="932"/>
      <c r="BK24" s="932"/>
      <c r="BL24" s="932"/>
      <c r="BM24" s="932"/>
      <c r="BN24" s="932"/>
      <c r="BO24" s="932"/>
      <c r="BP24" s="932"/>
      <c r="BQ24" s="932"/>
      <c r="BR24" s="932"/>
      <c r="BS24" s="932"/>
      <c r="BT24" s="932"/>
      <c r="BU24" s="932"/>
      <c r="BV24" s="932"/>
      <c r="BW24" s="932"/>
      <c r="BX24" s="932"/>
      <c r="BY24" s="932"/>
      <c r="BZ24" s="932"/>
      <c r="CA24" s="932"/>
      <c r="CB24" s="932"/>
    </row>
    <row r="25" spans="1:100" s="388" customFormat="1" ht="15" customHeight="1" x14ac:dyDescent="0.2">
      <c r="A25" s="95" t="s">
        <v>536</v>
      </c>
      <c r="B25" s="389"/>
      <c r="C25" s="389"/>
      <c r="D25" s="389"/>
      <c r="E25" s="389"/>
      <c r="F25" s="389"/>
      <c r="G25" s="389"/>
      <c r="V25" s="934" t="str">
        <f>IF('1 '!AK48="","",'1 '!AK48)</f>
      </c>
      <c r="W25" s="934"/>
      <c r="X25" s="934"/>
      <c r="Y25" s="934"/>
      <c r="Z25" s="934"/>
      <c r="AA25" s="934"/>
      <c r="AB25" s="934"/>
      <c r="AC25" s="934"/>
      <c r="AD25" s="934"/>
      <c r="AE25" s="934"/>
      <c r="AF25" s="934"/>
      <c r="AG25" s="934"/>
      <c r="AH25" s="934"/>
    </row>
    <row r="26" spans="1:100" s="388" customFormat="1" ht="15" customHeight="1" x14ac:dyDescent="0.2">
      <c r="A26" s="327" t="s">
        <v>537</v>
      </c>
      <c r="B26" s="328"/>
      <c r="C26" s="328"/>
      <c r="D26" s="328"/>
      <c r="E26" s="328"/>
      <c r="F26" s="328"/>
      <c r="G26" s="328"/>
      <c r="H26" s="329"/>
      <c r="I26" s="329"/>
      <c r="J26" s="329"/>
      <c r="K26" s="329"/>
      <c r="L26" s="937" t="str">
        <f>IF('Данные объект'!B5="","",'Данные объект'!B5)</f>
      </c>
      <c r="M26" s="937"/>
      <c r="N26" s="937"/>
      <c r="O26" s="937"/>
      <c r="P26" s="937"/>
      <c r="Q26" s="937"/>
      <c r="R26" s="937"/>
      <c r="S26" s="937"/>
      <c r="T26" s="937"/>
      <c r="U26" s="937"/>
      <c r="V26" s="937"/>
      <c r="W26" s="937"/>
      <c r="X26" s="937"/>
      <c r="Y26" s="937"/>
      <c r="Z26" s="937"/>
      <c r="AA26" s="937"/>
      <c r="AB26" s="937"/>
      <c r="AC26" s="937"/>
      <c r="AD26" s="937"/>
      <c r="AE26" s="937"/>
      <c r="AF26" s="937"/>
      <c r="AG26" s="937"/>
      <c r="AH26" s="937"/>
      <c r="AI26" s="937"/>
      <c r="AJ26" s="937"/>
      <c r="AK26" s="937"/>
      <c r="AL26" s="937"/>
      <c r="AM26" s="937"/>
      <c r="AN26" s="937"/>
      <c r="AO26" s="937"/>
      <c r="AP26" s="937"/>
      <c r="AQ26" s="937"/>
      <c r="AR26" s="937"/>
      <c r="AS26" s="937"/>
      <c r="AT26" s="937"/>
      <c r="AU26" s="937"/>
      <c r="AV26" s="937"/>
      <c r="AW26" s="937"/>
      <c r="AX26" s="937"/>
      <c r="AY26" s="937"/>
      <c r="AZ26" s="937"/>
      <c r="BA26" s="937"/>
      <c r="BB26" s="937"/>
      <c r="BC26" s="937"/>
      <c r="BD26" s="937"/>
      <c r="BE26" s="937"/>
      <c r="BF26" s="937"/>
      <c r="BG26" s="937"/>
      <c r="BH26" s="937"/>
      <c r="BI26" s="937"/>
      <c r="BJ26" s="937"/>
      <c r="BK26" s="937"/>
      <c r="BL26" s="937"/>
      <c r="BM26" s="937"/>
      <c r="BN26" s="937"/>
      <c r="BO26" s="937"/>
      <c r="BP26" s="937"/>
      <c r="BQ26" s="937"/>
      <c r="BR26" s="937"/>
      <c r="BS26" s="937"/>
      <c r="BT26" s="937"/>
      <c r="BU26" s="937"/>
      <c r="BV26" s="937"/>
      <c r="BW26" s="937"/>
      <c r="BX26" s="937"/>
      <c r="BY26" s="937"/>
      <c r="BZ26" s="937"/>
      <c r="CA26" s="937"/>
      <c r="CB26" s="937"/>
    </row>
    <row r="27" spans="1:100" s="388" customFormat="1" ht="15" customHeight="1" x14ac:dyDescent="0.2">
      <c r="A27" s="327" t="s">
        <v>1289</v>
      </c>
      <c r="B27" s="328"/>
      <c r="C27" s="328"/>
      <c r="D27" s="328"/>
      <c r="E27" s="328"/>
      <c r="F27" s="328"/>
      <c r="G27" s="328"/>
      <c r="H27" s="329"/>
      <c r="I27" s="329"/>
      <c r="J27" s="329"/>
      <c r="K27" s="329"/>
      <c r="L27" s="329"/>
      <c r="M27" s="329"/>
      <c r="N27" s="329"/>
      <c r="O27" s="329"/>
      <c r="P27" s="329"/>
      <c r="Q27" s="329"/>
      <c r="R27" s="329"/>
      <c r="S27" s="329"/>
      <c r="T27" s="329"/>
      <c r="U27" s="329"/>
      <c r="V27" s="329"/>
      <c r="W27" s="939" t="str">
        <f>IF('Данные объект'!B56="","",'Данные объект'!B56)</f>
      </c>
      <c r="X27" s="939"/>
      <c r="Y27" s="939"/>
      <c r="Z27" s="939"/>
      <c r="AA27" s="939"/>
      <c r="AB27" s="939"/>
      <c r="AC27" s="939"/>
      <c r="AD27" s="939"/>
      <c r="AE27" s="939"/>
      <c r="AF27" s="939"/>
      <c r="AG27" s="939"/>
      <c r="AH27" s="939"/>
      <c r="AI27" s="939"/>
      <c r="AJ27" s="939"/>
      <c r="AK27" s="939"/>
      <c r="AL27" s="939"/>
      <c r="AM27" s="329"/>
      <c r="AN27" s="329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29"/>
      <c r="BA27" s="329"/>
      <c r="BB27" s="329"/>
      <c r="BC27" s="329"/>
      <c r="BD27" s="329"/>
      <c r="BE27" s="329"/>
      <c r="BF27" s="329"/>
      <c r="BG27" s="329"/>
      <c r="BH27" s="329"/>
      <c r="BI27" s="329"/>
      <c r="BJ27" s="329"/>
      <c r="BK27" s="329"/>
      <c r="BL27" s="329"/>
      <c r="BM27" s="329"/>
      <c r="BN27" s="329"/>
      <c r="BO27" s="329"/>
      <c r="BP27" s="329"/>
      <c r="BQ27" s="329"/>
      <c r="BR27" s="329"/>
      <c r="BS27" s="329"/>
      <c r="BT27" s="329"/>
      <c r="BU27" s="329"/>
      <c r="BV27" s="329"/>
      <c r="BW27" s="329"/>
      <c r="BX27" s="329"/>
      <c r="BY27" s="329"/>
      <c r="BZ27" s="329"/>
      <c r="CA27" s="329"/>
      <c r="CB27" s="329"/>
    </row>
    <row r="28" spans="1:100" s="388" customFormat="1" ht="15" customHeight="1" x14ac:dyDescent="0.2">
      <c r="A28" s="330" t="s">
        <v>534</v>
      </c>
      <c r="B28" s="328"/>
      <c r="C28" s="328"/>
      <c r="D28" s="328"/>
      <c r="E28" s="328"/>
      <c r="F28" s="328"/>
      <c r="G28" s="328"/>
      <c r="H28" s="329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  <c r="BE28" s="329"/>
      <c r="BF28" s="329"/>
      <c r="BG28" s="329"/>
      <c r="BH28" s="329"/>
      <c r="BI28" s="329"/>
      <c r="BJ28" s="329"/>
      <c r="BK28" s="329"/>
      <c r="BL28" s="329"/>
      <c r="BM28" s="329"/>
      <c r="BN28" s="329"/>
      <c r="BO28" s="329"/>
      <c r="BP28" s="329"/>
      <c r="BQ28" s="329"/>
      <c r="BR28" s="329"/>
      <c r="BS28" s="329"/>
      <c r="BT28" s="329"/>
      <c r="BU28" s="329"/>
      <c r="BV28" s="329"/>
      <c r="BW28" s="329"/>
      <c r="BX28" s="329"/>
      <c r="BY28" s="329"/>
      <c r="BZ28" s="329"/>
      <c r="CA28" s="329"/>
      <c r="CB28" s="329"/>
    </row>
    <row r="29" spans="1:100" s="388" customFormat="1" ht="15" customHeight="1" x14ac:dyDescent="0.2">
      <c r="A29" s="330" t="s">
        <v>508</v>
      </c>
      <c r="B29" s="328"/>
      <c r="C29" s="328"/>
      <c r="D29" s="328"/>
      <c r="E29" s="328"/>
      <c r="F29" s="328"/>
      <c r="G29" s="328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329"/>
      <c r="AU29" s="329"/>
      <c r="AV29" s="329"/>
      <c r="AW29" s="329"/>
      <c r="AX29" s="329"/>
      <c r="AY29" s="329"/>
      <c r="AZ29" s="329"/>
      <c r="BA29" s="329"/>
      <c r="BB29" s="329"/>
      <c r="BC29" s="329"/>
      <c r="BD29" s="329"/>
      <c r="BE29" s="329"/>
      <c r="BF29" s="329"/>
      <c r="BG29" s="329"/>
      <c r="BH29" s="329"/>
      <c r="BI29" s="329"/>
      <c r="BJ29" s="329"/>
      <c r="BK29" s="329"/>
      <c r="BL29" s="329"/>
      <c r="BM29" s="329"/>
      <c r="BN29" s="329"/>
      <c r="BO29" s="329"/>
      <c r="BP29" s="329"/>
      <c r="BQ29" s="329"/>
      <c r="BR29" s="329"/>
      <c r="BS29" s="329"/>
      <c r="BT29" s="329"/>
      <c r="BU29" s="329"/>
      <c r="BV29" s="329"/>
      <c r="BW29" s="329"/>
      <c r="BX29" s="329"/>
      <c r="BY29" s="329"/>
      <c r="BZ29" s="329"/>
      <c r="CA29" s="329"/>
      <c r="CB29" s="329"/>
    </row>
    <row r="30" spans="1:100" s="388" customFormat="1" ht="15" hidden="1" customHeight="1" x14ac:dyDescent="0.2">
      <c r="A30" s="331" t="s">
        <v>539</v>
      </c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938"/>
      <c r="O30" s="938"/>
      <c r="P30" s="938"/>
      <c r="Q30" s="938"/>
      <c r="R30" s="938"/>
      <c r="S30" s="938"/>
      <c r="T30" s="938"/>
      <c r="U30" s="938"/>
      <c r="V30" s="938"/>
      <c r="W30" s="938"/>
      <c r="X30" s="938"/>
      <c r="Y30" s="938"/>
      <c r="Z30" s="938"/>
      <c r="AA30" s="938"/>
      <c r="AB30" s="938"/>
      <c r="AC30" s="938"/>
      <c r="AD30" s="938"/>
      <c r="AE30" s="938"/>
      <c r="AF30" s="938"/>
      <c r="AG30" s="938"/>
      <c r="AH30" s="938"/>
      <c r="AI30" s="938"/>
      <c r="AJ30" s="938"/>
      <c r="AK30" s="938"/>
      <c r="AL30" s="938"/>
      <c r="AM30" s="938"/>
      <c r="AN30" s="938"/>
      <c r="AO30" s="938"/>
      <c r="AP30" s="938"/>
      <c r="AQ30" s="938"/>
      <c r="AR30" s="938"/>
      <c r="AS30" s="938"/>
      <c r="AT30" s="938"/>
      <c r="AU30" s="938"/>
      <c r="AV30" s="938"/>
      <c r="AW30" s="938"/>
      <c r="AX30" s="938"/>
      <c r="AY30" s="938"/>
      <c r="AZ30" s="938"/>
      <c r="BA30" s="329"/>
      <c r="BB30" s="329"/>
      <c r="BC30" s="329"/>
      <c r="BD30" s="329"/>
      <c r="BE30" s="329"/>
      <c r="BF30" s="329"/>
      <c r="BG30" s="329"/>
      <c r="BH30" s="329"/>
      <c r="BI30" s="329"/>
      <c r="BJ30" s="329"/>
      <c r="BK30" s="329"/>
      <c r="BL30" s="329"/>
      <c r="BM30" s="329"/>
      <c r="BN30" s="329"/>
      <c r="BO30" s="329"/>
      <c r="BP30" s="329"/>
      <c r="BQ30" s="329"/>
      <c r="BR30" s="329"/>
      <c r="BS30" s="329"/>
      <c r="BT30" s="329"/>
      <c r="BU30" s="329"/>
      <c r="BV30" s="329"/>
      <c r="BW30" s="329"/>
      <c r="BX30" s="329"/>
      <c r="BY30" s="329"/>
      <c r="BZ30" s="329"/>
      <c r="CA30" s="329"/>
      <c r="CB30" s="329"/>
      <c r="CG30" s="388" t="s">
        <v>760</v>
      </c>
    </row>
    <row r="31" spans="1:100" s="388" customFormat="1" ht="15" customHeight="1" x14ac:dyDescent="0.2">
      <c r="A31" s="330" t="s">
        <v>538</v>
      </c>
      <c r="B31" s="330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935" t="s">
        <v>540</v>
      </c>
      <c r="Q31" s="935"/>
      <c r="R31" s="935"/>
      <c r="S31" s="935"/>
      <c r="T31" s="935"/>
      <c r="U31" s="935"/>
      <c r="V31" s="935"/>
      <c r="W31" s="935"/>
      <c r="X31" s="935"/>
      <c r="Y31" s="935"/>
      <c r="Z31" s="935"/>
      <c r="AA31" s="935"/>
      <c r="AB31" s="935"/>
      <c r="AC31" s="935"/>
      <c r="AD31" s="935"/>
      <c r="AE31" s="936">
        <v>4.7699999999999996</v>
      </c>
      <c r="AF31" s="936"/>
      <c r="AG31" s="936"/>
      <c r="AH31" s="935" t="s">
        <v>541</v>
      </c>
      <c r="AI31" s="935"/>
      <c r="AJ31" s="333" t="s">
        <v>542</v>
      </c>
      <c r="AK31" s="935" t="s">
        <v>543</v>
      </c>
      <c r="AL31" s="935"/>
      <c r="AM31" s="935"/>
      <c r="AN31" s="935"/>
      <c r="AO31" s="935"/>
      <c r="AP31" s="935"/>
      <c r="AQ31" s="935"/>
      <c r="AR31" s="935"/>
      <c r="AS31" s="935"/>
      <c r="AT31" s="935"/>
      <c r="AU31" s="935"/>
      <c r="AV31" s="935"/>
      <c r="AW31" s="935"/>
      <c r="AX31" s="935"/>
      <c r="AY31" s="935"/>
      <c r="AZ31" s="936">
        <v>4.7699999999999996</v>
      </c>
      <c r="BA31" s="936"/>
      <c r="BB31" s="936"/>
      <c r="BC31" s="935" t="s">
        <v>541</v>
      </c>
      <c r="BD31" s="935"/>
      <c r="BE31" s="935" t="s">
        <v>544</v>
      </c>
      <c r="BF31" s="935"/>
      <c r="BG31" s="935"/>
      <c r="BH31" s="935"/>
      <c r="BI31" s="935"/>
      <c r="BJ31" s="935"/>
      <c r="BK31" s="935"/>
      <c r="BL31" s="935"/>
      <c r="BM31" s="935"/>
      <c r="BN31" s="934">
        <v>4</v>
      </c>
      <c r="BO31" s="934"/>
      <c r="BP31" s="934"/>
      <c r="BQ31" s="934"/>
      <c r="BR31" s="934"/>
      <c r="BS31" s="934"/>
      <c r="BT31" s="934"/>
      <c r="BU31" s="934"/>
      <c r="BV31" s="934"/>
      <c r="BW31" s="934"/>
      <c r="BX31" s="934"/>
      <c r="BY31" s="934"/>
      <c r="BZ31" s="934"/>
      <c r="CA31" s="935" t="s">
        <v>504</v>
      </c>
      <c r="CB31" s="935"/>
      <c r="CG31" s="388" t="s">
        <v>761</v>
      </c>
    </row>
    <row r="32" spans="1:100" s="388" customFormat="1" ht="15" hidden="1" customHeight="1" x14ac:dyDescent="0.2">
      <c r="A32" s="327" t="s">
        <v>546</v>
      </c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934" t="s">
        <v>547</v>
      </c>
      <c r="T32" s="934"/>
      <c r="U32" s="934"/>
      <c r="V32" s="934"/>
      <c r="W32" s="934"/>
      <c r="X32" s="934"/>
      <c r="Y32" s="934"/>
      <c r="Z32" s="934"/>
      <c r="AA32" s="934"/>
      <c r="AB32" s="934"/>
      <c r="AC32" s="332"/>
      <c r="AD32" s="332"/>
      <c r="AE32" s="332"/>
      <c r="AF32" s="332"/>
      <c r="AG32" s="332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  <c r="BE32" s="329"/>
      <c r="BF32" s="329"/>
      <c r="BG32" s="329"/>
      <c r="BH32" s="329"/>
      <c r="BI32" s="329"/>
      <c r="BJ32" s="329"/>
      <c r="BK32" s="329"/>
      <c r="BL32" s="329"/>
      <c r="BM32" s="329"/>
      <c r="BN32" s="329"/>
      <c r="BO32" s="329"/>
      <c r="BP32" s="329"/>
      <c r="BQ32" s="329"/>
      <c r="BR32" s="329"/>
      <c r="BS32" s="329"/>
      <c r="BT32" s="329"/>
      <c r="BU32" s="329"/>
      <c r="BV32" s="329"/>
      <c r="BW32" s="329"/>
      <c r="BX32" s="329"/>
      <c r="BY32" s="329"/>
      <c r="BZ32" s="329"/>
      <c r="CA32" s="329"/>
      <c r="CB32" s="329"/>
      <c r="CG32" s="388" t="s">
        <v>760</v>
      </c>
      <c r="CV32" s="388" t="s">
        <v>762</v>
      </c>
    </row>
    <row r="33" spans="1:85" s="388" customFormat="1" ht="15" customHeight="1" x14ac:dyDescent="0.2">
      <c r="A33" s="334" t="s">
        <v>545</v>
      </c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934" t="s">
        <v>1362</v>
      </c>
      <c r="Y33" s="934"/>
      <c r="Z33" s="934"/>
      <c r="AA33" s="934"/>
      <c r="AB33" s="934"/>
      <c r="AC33" s="934"/>
      <c r="AD33" s="934"/>
      <c r="AE33" s="934"/>
      <c r="AF33" s="934"/>
      <c r="AG33" s="934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  <c r="BE33" s="329"/>
      <c r="BF33" s="329"/>
      <c r="BG33" s="329"/>
      <c r="BH33" s="329"/>
      <c r="BI33" s="329"/>
      <c r="BJ33" s="329"/>
      <c r="BK33" s="329"/>
      <c r="BL33" s="329"/>
      <c r="BM33" s="329"/>
      <c r="BN33" s="329"/>
      <c r="BO33" s="329"/>
      <c r="BP33" s="329"/>
      <c r="BQ33" s="329"/>
      <c r="BR33" s="329"/>
      <c r="BS33" s="329"/>
      <c r="BT33" s="329"/>
      <c r="BU33" s="329"/>
      <c r="BV33" s="329"/>
      <c r="BW33" s="329"/>
      <c r="BX33" s="329"/>
      <c r="BY33" s="329"/>
      <c r="BZ33" s="329"/>
      <c r="CA33" s="329"/>
      <c r="CB33" s="329"/>
      <c r="CG33" s="388" t="s">
        <v>761</v>
      </c>
    </row>
    <row r="34" spans="1:85" s="388" customFormat="1" ht="15" customHeight="1" x14ac:dyDescent="0.2">
      <c r="A34" s="933" t="s">
        <v>1385</v>
      </c>
      <c r="B34" s="933"/>
      <c r="C34" s="933"/>
      <c r="D34" s="933"/>
      <c r="E34" s="933"/>
      <c r="F34" s="933"/>
      <c r="G34" s="933"/>
      <c r="H34" s="933"/>
      <c r="I34" s="933"/>
      <c r="J34" s="933"/>
      <c r="K34" s="933"/>
      <c r="L34" s="933"/>
      <c r="M34" s="933"/>
      <c r="N34" s="933"/>
      <c r="O34" s="933"/>
      <c r="P34" s="933"/>
      <c r="Q34" s="933"/>
      <c r="R34" s="933"/>
      <c r="S34" s="933"/>
      <c r="T34" s="933"/>
      <c r="U34" s="934" t="s">
        <v>723</v>
      </c>
      <c r="V34" s="934"/>
      <c r="W34" s="934"/>
      <c r="X34" s="934"/>
      <c r="Y34" s="934"/>
      <c r="Z34" s="934"/>
      <c r="AA34" s="934"/>
      <c r="AB34" s="934"/>
      <c r="AC34" s="934"/>
      <c r="AD34" s="934"/>
      <c r="AE34" s="934"/>
      <c r="AF34" s="934"/>
      <c r="AG34" s="934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29"/>
      <c r="BS34" s="329"/>
      <c r="BT34" s="329"/>
      <c r="BU34" s="329"/>
      <c r="BV34" s="329"/>
      <c r="BW34" s="329"/>
      <c r="BX34" s="329"/>
      <c r="BY34" s="329"/>
      <c r="BZ34" s="329"/>
      <c r="CA34" s="329"/>
      <c r="CB34" s="329"/>
      <c r="CG34" s="388" t="s">
        <v>761</v>
      </c>
    </row>
    <row r="35" spans="1:85" s="388" customFormat="1" ht="15" customHeight="1" x14ac:dyDescent="0.2">
      <c r="A35" s="330" t="s">
        <v>507</v>
      </c>
      <c r="B35" s="328"/>
      <c r="C35" s="328"/>
      <c r="D35" s="328"/>
      <c r="E35" s="328"/>
      <c r="F35" s="328"/>
      <c r="G35" s="328"/>
      <c r="H35" s="329"/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29"/>
      <c r="BN35" s="329"/>
      <c r="BO35" s="329"/>
      <c r="BP35" s="329"/>
      <c r="BQ35" s="329"/>
      <c r="BR35" s="329"/>
      <c r="BS35" s="329"/>
      <c r="BT35" s="329"/>
      <c r="BU35" s="329"/>
      <c r="BV35" s="329"/>
      <c r="BW35" s="329"/>
      <c r="BX35" s="329"/>
      <c r="BY35" s="329"/>
      <c r="BZ35" s="329"/>
      <c r="CA35" s="329"/>
      <c r="CB35" s="329"/>
    </row>
    <row r="36" spans="1:85" s="388" customFormat="1" ht="15" customHeight="1" x14ac:dyDescent="0.2">
      <c r="A36" s="330" t="s">
        <v>457</v>
      </c>
      <c r="B36" s="328"/>
      <c r="C36" s="328"/>
      <c r="D36" s="328"/>
      <c r="E36" s="328"/>
      <c r="F36" s="328"/>
      <c r="G36" s="328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29"/>
      <c r="BE36" s="329"/>
      <c r="BF36" s="329"/>
      <c r="BG36" s="329"/>
      <c r="BH36" s="329"/>
      <c r="BI36" s="329"/>
      <c r="BJ36" s="329"/>
      <c r="BK36" s="329"/>
      <c r="BL36" s="329"/>
      <c r="BM36" s="329"/>
      <c r="BN36" s="329"/>
      <c r="BO36" s="329"/>
      <c r="BP36" s="329"/>
      <c r="BQ36" s="329"/>
      <c r="BR36" s="329"/>
      <c r="BS36" s="329"/>
      <c r="BT36" s="329"/>
      <c r="BU36" s="329"/>
      <c r="BV36" s="329"/>
      <c r="BW36" s="329"/>
      <c r="BX36" s="329"/>
      <c r="BY36" s="329"/>
      <c r="BZ36" s="329"/>
      <c r="CA36" s="329"/>
      <c r="CB36" s="329"/>
    </row>
    <row r="37" spans="1:85" s="388" customFormat="1" ht="15" customHeight="1" x14ac:dyDescent="0.2">
      <c r="A37" s="266" t="s">
        <v>1384</v>
      </c>
      <c r="B37" s="389"/>
      <c r="C37" s="389"/>
      <c r="D37" s="389"/>
      <c r="E37" s="389"/>
      <c r="F37" s="389"/>
      <c r="G37" s="389"/>
    </row>
    <row r="38" spans="1:85" s="11" customFormat="1" ht="11.25" x14ac:dyDescent="0.2"/>
    <row r="39" spans="1:85" s="11" customFormat="1" ht="11.25" x14ac:dyDescent="0.2">
      <c r="C39" s="11" t="s">
        <v>95</v>
      </c>
    </row>
    <row r="40" spans="1:85" s="11" customFormat="1" ht="11.25" x14ac:dyDescent="0.2">
      <c r="D40" s="45" t="s">
        <v>61</v>
      </c>
      <c r="E40" s="45"/>
      <c r="F40" s="45"/>
      <c r="G40" s="45"/>
      <c r="H40" s="45"/>
      <c r="AM40" s="855"/>
      <c r="AN40" s="855"/>
      <c r="AO40" s="855"/>
      <c r="AP40" s="855"/>
      <c r="AQ40" s="855"/>
      <c r="AR40" s="855"/>
      <c r="AS40" s="855"/>
      <c r="AT40" s="855"/>
      <c r="AU40" s="855"/>
      <c r="AV40" s="855"/>
      <c r="AW40" s="855"/>
      <c r="AX40" s="855"/>
      <c r="AY40" s="855"/>
      <c r="BC40" s="831" t="str">
        <f>IF('Данные объект'!B28="","",'Данные объект'!B28)</f>
      </c>
      <c r="BD40" s="831"/>
      <c r="BE40" s="831"/>
      <c r="BF40" s="831"/>
      <c r="BG40" s="831"/>
      <c r="BH40" s="831"/>
      <c r="BI40" s="831"/>
      <c r="BJ40" s="831"/>
      <c r="BK40" s="831"/>
      <c r="BL40" s="831"/>
      <c r="BM40" s="831"/>
      <c r="BN40" s="831"/>
      <c r="BO40" s="831"/>
      <c r="BP40" s="831"/>
      <c r="BQ40" s="831"/>
    </row>
    <row r="41" spans="1:85" s="2" customFormat="1" ht="13.5" x14ac:dyDescent="0.25">
      <c r="F41" s="10"/>
      <c r="G41" s="10"/>
      <c r="H41" s="10"/>
      <c r="AM41" s="858" t="s">
        <v>2</v>
      </c>
      <c r="AN41" s="858"/>
      <c r="AO41" s="858"/>
      <c r="AP41" s="858"/>
      <c r="AQ41" s="858"/>
      <c r="AR41" s="858"/>
      <c r="AS41" s="858"/>
      <c r="AT41" s="858"/>
      <c r="AU41" s="858"/>
      <c r="AV41" s="858"/>
      <c r="AW41" s="858"/>
      <c r="AX41" s="858"/>
      <c r="AY41" s="858"/>
    </row>
    <row r="42" spans="1:85" s="2" customFormat="1" ht="12.75" x14ac:dyDescent="0.2"/>
    <row r="43" spans="1:85" s="2" customFormat="1" ht="12.75" x14ac:dyDescent="0.2">
      <c r="C43" s="11" t="s">
        <v>96</v>
      </c>
      <c r="D43" s="11"/>
    </row>
    <row r="44" spans="1:85" s="11" customFormat="1" ht="11.25" x14ac:dyDescent="0.2">
      <c r="D44" s="45" t="s">
        <v>344</v>
      </c>
      <c r="AM44" s="855"/>
      <c r="AN44" s="855"/>
      <c r="AO44" s="855"/>
      <c r="AP44" s="855"/>
      <c r="AQ44" s="855"/>
      <c r="AR44" s="855"/>
      <c r="AS44" s="855"/>
      <c r="AT44" s="855"/>
      <c r="AU44" s="855"/>
      <c r="AV44" s="855"/>
      <c r="AW44" s="855"/>
      <c r="AX44" s="855"/>
      <c r="AY44" s="855"/>
      <c r="BC44" s="831" t="str">
        <f>IF('Данные объект'!B42="","",'Данные объект'!B42)</f>
      </c>
      <c r="BD44" s="831"/>
      <c r="BE44" s="831"/>
      <c r="BF44" s="831"/>
      <c r="BG44" s="831"/>
      <c r="BH44" s="831"/>
      <c r="BI44" s="831"/>
      <c r="BJ44" s="831"/>
      <c r="BK44" s="831"/>
      <c r="BL44" s="831"/>
      <c r="BM44" s="831"/>
      <c r="BN44" s="831"/>
      <c r="BO44" s="831"/>
      <c r="BP44" s="831"/>
      <c r="BQ44" s="831"/>
    </row>
    <row r="45" spans="1:85" s="11" customFormat="1" ht="11.25" x14ac:dyDescent="0.2">
      <c r="E45" s="45"/>
      <c r="F45" s="45"/>
      <c r="G45" s="57"/>
      <c r="H45" s="57"/>
      <c r="I45" s="57"/>
      <c r="J45" s="57"/>
      <c r="K45" s="57"/>
      <c r="L45" s="57"/>
      <c r="M45" s="57"/>
      <c r="AM45" s="490" t="s">
        <v>2</v>
      </c>
      <c r="AN45" s="490"/>
      <c r="AO45" s="490"/>
      <c r="AP45" s="490"/>
      <c r="AQ45" s="490"/>
      <c r="AR45" s="490"/>
      <c r="AS45" s="490"/>
      <c r="AT45" s="490"/>
      <c r="AU45" s="490"/>
      <c r="AV45" s="490"/>
      <c r="AW45" s="490"/>
      <c r="AX45" s="490"/>
      <c r="AY45" s="490"/>
    </row>
    <row r="46" spans="1:85" s="11" customFormat="1" ht="11.25" x14ac:dyDescent="0.2">
      <c r="E46" s="45"/>
      <c r="F46" s="45"/>
      <c r="G46" s="57"/>
      <c r="H46" s="57"/>
      <c r="I46" s="57"/>
      <c r="J46" s="57"/>
      <c r="K46" s="57"/>
      <c r="L46" s="57"/>
      <c r="M46" s="57"/>
      <c r="AM46" s="383"/>
      <c r="AN46" s="383"/>
      <c r="AO46" s="383"/>
      <c r="AP46" s="383"/>
      <c r="AQ46" s="383"/>
      <c r="AR46" s="383"/>
      <c r="AS46" s="383"/>
      <c r="AT46" s="383"/>
      <c r="AU46" s="383"/>
      <c r="AV46" s="383"/>
      <c r="AW46" s="383"/>
      <c r="AX46" s="383"/>
      <c r="AY46" s="383"/>
    </row>
    <row r="47" spans="1:85" s="11" customFormat="1" ht="11.25" x14ac:dyDescent="0.2">
      <c r="E47" s="45"/>
      <c r="F47" s="45"/>
      <c r="G47" s="57"/>
      <c r="H47" s="57"/>
      <c r="I47" s="57"/>
      <c r="J47" s="57"/>
      <c r="K47" s="57"/>
      <c r="L47" s="57"/>
      <c r="M47" s="57"/>
      <c r="AM47" s="383"/>
      <c r="AN47" s="383"/>
      <c r="AO47" s="383"/>
      <c r="AP47" s="383"/>
      <c r="AQ47" s="383"/>
      <c r="AR47" s="383"/>
      <c r="AS47" s="383"/>
      <c r="AT47" s="383"/>
      <c r="AU47" s="383"/>
      <c r="AV47" s="383"/>
      <c r="AW47" s="383"/>
      <c r="AX47" s="383"/>
      <c r="AY47" s="383"/>
    </row>
    <row r="48" spans="1:85" s="11" customFormat="1" ht="11.25" collapsed="1" x14ac:dyDescent="0.2">
      <c r="C48" s="57"/>
      <c r="D48" s="45"/>
      <c r="E48" s="45"/>
      <c r="F48" s="45"/>
      <c r="G48" s="57"/>
      <c r="H48" s="57"/>
      <c r="I48" s="57"/>
      <c r="J48" s="57"/>
      <c r="K48" s="57"/>
      <c r="L48" s="57"/>
      <c r="M48" s="57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31" t="str">
        <f>IF('Данные объект'!B47="","",'Данные объект'!B47)</f>
      </c>
      <c r="BD48" s="831"/>
      <c r="BE48" s="831"/>
      <c r="BF48" s="831"/>
      <c r="BG48" s="831"/>
      <c r="BH48" s="831"/>
      <c r="BI48" s="831"/>
      <c r="BJ48" s="831"/>
      <c r="BK48" s="831"/>
      <c r="BL48" s="831"/>
      <c r="BM48" s="831"/>
      <c r="BN48" s="831"/>
      <c r="BO48" s="831"/>
      <c r="BP48" s="831"/>
      <c r="BQ48" s="831"/>
    </row>
    <row r="49" spans="3:51" s="11" customFormat="1" ht="11.25" x14ac:dyDescent="0.2">
      <c r="C49" s="57"/>
      <c r="E49" s="45"/>
      <c r="F49" s="45"/>
      <c r="G49" s="57"/>
      <c r="H49" s="57"/>
      <c r="I49" s="57"/>
      <c r="J49" s="57"/>
      <c r="K49" s="57"/>
      <c r="L49" s="57"/>
      <c r="M49" s="57"/>
      <c r="AM49" s="490" t="s">
        <v>2</v>
      </c>
      <c r="AN49" s="490"/>
      <c r="AO49" s="490"/>
      <c r="AP49" s="490"/>
      <c r="AQ49" s="490"/>
      <c r="AR49" s="490"/>
      <c r="AS49" s="490"/>
      <c r="AT49" s="490"/>
      <c r="AU49" s="490"/>
      <c r="AV49" s="490"/>
      <c r="AW49" s="490"/>
      <c r="AX49" s="490"/>
      <c r="AY49" s="490"/>
    </row>
    <row r="50" spans="3:51" s="2" customFormat="1" ht="12.75" x14ac:dyDescent="0.2"/>
    <row r="51" spans="3:51" s="2" customFormat="1" ht="12.75" x14ac:dyDescent="0.2"/>
    <row r="52" spans="3:51" s="2" customFormat="1" ht="12.75" x14ac:dyDescent="0.2"/>
    <row r="53" spans="3:51" s="2" customFormat="1" ht="12.75" x14ac:dyDescent="0.2"/>
    <row r="54" spans="3:51" s="2" customFormat="1" ht="12.75" x14ac:dyDescent="0.2"/>
    <row r="55" spans="3:51" s="2" customFormat="1" ht="12.75" x14ac:dyDescent="0.2"/>
    <row r="56" spans="3:51" s="2" customFormat="1" ht="12.75" x14ac:dyDescent="0.2"/>
    <row r="57" spans="3:51" s="2" customFormat="1" ht="12.75" x14ac:dyDescent="0.2"/>
    <row r="58" spans="3:51" s="2" customFormat="1" ht="12.75" x14ac:dyDescent="0.2"/>
    <row r="59" spans="3:51" s="2" customFormat="1" ht="12.75" x14ac:dyDescent="0.2"/>
    <row r="60" spans="3:51" s="2" customFormat="1" ht="12.75" x14ac:dyDescent="0.2"/>
    <row r="61" spans="3:51" s="2" customFormat="1" ht="12.75" x14ac:dyDescent="0.2"/>
    <row r="62" spans="3:51" s="2" customFormat="1" ht="12.75" x14ac:dyDescent="0.2"/>
    <row r="63" spans="3:51" s="2" customFormat="1" ht="12.75" x14ac:dyDescent="0.2"/>
    <row r="64" spans="3:51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  <row r="211" s="2" customFormat="1" ht="12.75" x14ac:dyDescent="0.2"/>
    <row r="212" s="2" customFormat="1" ht="12.75" x14ac:dyDescent="0.2"/>
    <row r="213" s="2" customFormat="1" ht="12.75" x14ac:dyDescent="0.2"/>
    <row r="214" s="2" customFormat="1" ht="12.75" x14ac:dyDescent="0.2"/>
    <row r="215" s="2" customFormat="1" ht="12.75" x14ac:dyDescent="0.2"/>
    <row r="216" s="2" customFormat="1" ht="12.75" x14ac:dyDescent="0.2"/>
    <row r="217" s="2" customFormat="1" ht="12.75" x14ac:dyDescent="0.2"/>
    <row r="218" s="2" customFormat="1" ht="12.75" x14ac:dyDescent="0.2"/>
    <row r="219" s="2" customFormat="1" ht="12.75" x14ac:dyDescent="0.2"/>
    <row r="220" s="2" customFormat="1" ht="12.75" x14ac:dyDescent="0.2"/>
    <row r="221" s="2" customFormat="1" ht="12.75" x14ac:dyDescent="0.2"/>
  </sheetData>
  <mergeCells count="49">
    <mergeCell ref="AR1:BZ2"/>
    <mergeCell ref="A2:AI2"/>
    <mergeCell ref="A3:AI3"/>
    <mergeCell ref="AR3:BZ3"/>
    <mergeCell ref="A4:AI4"/>
    <mergeCell ref="AR4:BZ4"/>
    <mergeCell ref="A5:AI5"/>
    <mergeCell ref="AR5:BZ5"/>
    <mergeCell ref="AR6:BZ9"/>
    <mergeCell ref="A8:AI9"/>
    <mergeCell ref="A10:AI10"/>
    <mergeCell ref="AR10:BZ10"/>
    <mergeCell ref="V25:AH25"/>
    <mergeCell ref="A11:AI11"/>
    <mergeCell ref="AR11:BZ11"/>
    <mergeCell ref="AR12:BZ12"/>
    <mergeCell ref="A13:CB13"/>
    <mergeCell ref="A14:CB14"/>
    <mergeCell ref="A18:CB18"/>
    <mergeCell ref="A19:CB19"/>
    <mergeCell ref="A20:CB20"/>
    <mergeCell ref="A21:CB21"/>
    <mergeCell ref="A23:CB23"/>
    <mergeCell ref="A24:CB24"/>
    <mergeCell ref="L26:CB26"/>
    <mergeCell ref="W27:AL27"/>
    <mergeCell ref="N30:AZ30"/>
    <mergeCell ref="P31:AD31"/>
    <mergeCell ref="AE31:AG31"/>
    <mergeCell ref="AH31:AI31"/>
    <mergeCell ref="AK31:AY31"/>
    <mergeCell ref="AZ31:BB31"/>
    <mergeCell ref="BC31:BD31"/>
    <mergeCell ref="BE31:BM31"/>
    <mergeCell ref="BN31:BZ31"/>
    <mergeCell ref="CA31:CB31"/>
    <mergeCell ref="S32:AB32"/>
    <mergeCell ref="X33:AG33"/>
    <mergeCell ref="A34:T34"/>
    <mergeCell ref="U34:AG34"/>
    <mergeCell ref="AM48:AY48"/>
    <mergeCell ref="BC48:BQ48"/>
    <mergeCell ref="AM49:AY49"/>
    <mergeCell ref="AM40:AY40"/>
    <mergeCell ref="BC40:BQ40"/>
    <mergeCell ref="AM41:AY41"/>
    <mergeCell ref="AM44:AY44"/>
    <mergeCell ref="BC44:BQ44"/>
    <mergeCell ref="AM45:AY45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670A-19C8-4608-B6F1-6D839B17EB01}">
  <sheetPr>
    <tabColor theme="3" tint="0.39997558519241921"/>
  </sheetPr>
  <dimension ref="A1:CB210"/>
  <sheetViews>
    <sheetView view="pageBreakPreview" topLeftCell="A7" zoomScaleNormal="100" zoomScaleSheetLayoutView="100" workbookViewId="0">
      <selection activeCell="CW32" sqref="CW32"/>
    </sheetView>
  </sheetViews>
  <sheetFormatPr defaultColWidth="9.140625" defaultRowHeight="15" x14ac:dyDescent="0.25"/>
  <cols>
    <col min="1" max="79" width="1.140625" customWidth="1"/>
    <col min="80" max="80" width="2" customWidth="1"/>
    <col min="8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33.75" customHeight="1" x14ac:dyDescent="0.2">
      <c r="A6" s="387"/>
      <c r="B6" s="387"/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7"/>
      <c r="Y6" s="387"/>
      <c r="Z6" s="387"/>
      <c r="AA6" s="387"/>
      <c r="AB6" s="387"/>
      <c r="AC6" s="387"/>
      <c r="AD6" s="387"/>
      <c r="AE6" s="387"/>
      <c r="AF6" s="387"/>
      <c r="AG6" s="387"/>
      <c r="AH6" s="387"/>
      <c r="AI6" s="387"/>
      <c r="AJ6" s="2"/>
      <c r="AK6" s="2"/>
      <c r="AL6" s="2"/>
      <c r="AM6" s="2"/>
      <c r="AN6" s="2"/>
      <c r="AO6" s="2"/>
      <c r="AP6" s="2"/>
      <c r="AQ6" s="2"/>
      <c r="AR6" s="940" t="str">
        <f>IF('Данные объект'!B3="","",'Данные объект'!B3)</f>
      </c>
      <c r="AS6" s="940"/>
      <c r="AT6" s="940"/>
      <c r="AU6" s="940"/>
      <c r="AV6" s="940"/>
      <c r="AW6" s="940"/>
      <c r="AX6" s="940"/>
      <c r="AY6" s="940"/>
      <c r="AZ6" s="940"/>
      <c r="BA6" s="940"/>
      <c r="BB6" s="940"/>
      <c r="BC6" s="940"/>
      <c r="BD6" s="940"/>
      <c r="BE6" s="940"/>
      <c r="BF6" s="940"/>
      <c r="BG6" s="940"/>
      <c r="BH6" s="940"/>
      <c r="BI6" s="940"/>
      <c r="BJ6" s="940"/>
      <c r="BK6" s="940"/>
      <c r="BL6" s="940"/>
      <c r="BM6" s="940"/>
      <c r="BN6" s="940"/>
      <c r="BO6" s="940"/>
      <c r="BP6" s="940"/>
      <c r="BQ6" s="940"/>
      <c r="BR6" s="940"/>
      <c r="BS6" s="940"/>
      <c r="BT6" s="940"/>
      <c r="BU6" s="940"/>
      <c r="BV6" s="940"/>
      <c r="BW6" s="940"/>
      <c r="BX6" s="940"/>
      <c r="BY6" s="940"/>
      <c r="BZ6" s="940"/>
    </row>
    <row r="7" spans="1:80" s="2" customFormat="1" ht="11.25" customHeight="1" x14ac:dyDescent="0.25">
      <c r="A7" s="387"/>
      <c r="B7" s="387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R7" s="940"/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64"/>
      <c r="CB7" s="64"/>
    </row>
    <row r="8" spans="1:80" s="2" customFormat="1" ht="13.15" customHeight="1" x14ac:dyDescent="0.25">
      <c r="A8" s="836" t="str">
        <f>IF('Данные объект'!B13="","",'Данные объект'!B13)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64"/>
      <c r="CB8" s="64"/>
    </row>
    <row r="9" spans="1:80" s="2" customFormat="1" ht="13.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11.4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x14ac:dyDescent="0.25">
      <c r="A13" s="931" t="s">
        <v>1238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1387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15.75" x14ac:dyDescent="0.25">
      <c r="A15" s="386"/>
      <c r="B15" s="386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86"/>
      <c r="V15" s="386"/>
      <c r="W15" s="386"/>
      <c r="X15" s="386"/>
      <c r="Y15" s="386"/>
      <c r="Z15" s="386"/>
      <c r="AA15" s="386"/>
      <c r="AB15" s="386"/>
      <c r="AC15" s="386"/>
      <c r="AD15" s="386"/>
      <c r="AE15" s="386"/>
      <c r="AF15" s="386"/>
      <c r="AG15" s="386"/>
      <c r="AH15" s="386"/>
      <c r="AI15" s="386"/>
      <c r="AJ15" s="386"/>
      <c r="AK15" s="386"/>
      <c r="AL15" s="386"/>
      <c r="AM15" s="386"/>
      <c r="AN15" s="386"/>
      <c r="AO15" s="386"/>
      <c r="AP15" s="386"/>
      <c r="AQ15" s="386"/>
      <c r="AR15" s="386"/>
      <c r="AS15" s="386"/>
      <c r="AT15" s="386"/>
      <c r="AU15" s="386"/>
      <c r="AV15" s="386"/>
      <c r="AW15" s="386"/>
      <c r="AX15" s="386"/>
      <c r="AY15" s="386"/>
      <c r="AZ15" s="386"/>
      <c r="BA15" s="386"/>
      <c r="BB15" s="386"/>
      <c r="BC15" s="386"/>
      <c r="BD15" s="386"/>
      <c r="BE15" s="386"/>
      <c r="BF15" s="386"/>
      <c r="BG15" s="386"/>
      <c r="BH15" s="386"/>
      <c r="BI15" s="386"/>
      <c r="BJ15" s="386"/>
      <c r="BK15" s="386"/>
      <c r="BL15" s="386"/>
      <c r="BM15" s="386"/>
      <c r="BN15" s="386"/>
      <c r="BO15" s="386"/>
      <c r="BP15" s="386"/>
      <c r="BQ15" s="386"/>
      <c r="BR15" s="386"/>
      <c r="BS15" s="386"/>
      <c r="BT15" s="386"/>
      <c r="BU15" s="386"/>
      <c r="BV15" s="386"/>
      <c r="BW15" s="386"/>
      <c r="BX15" s="386"/>
      <c r="BY15" s="386"/>
      <c r="BZ15" s="386"/>
      <c r="CA15" s="386"/>
      <c r="CB15" s="386"/>
    </row>
    <row r="16" spans="1:80" s="388" customFormat="1" ht="13.9" customHeight="1" x14ac:dyDescent="0.2">
      <c r="A16" s="947" t="s">
        <v>724</v>
      </c>
      <c r="B16" s="948"/>
      <c r="C16" s="948"/>
      <c r="D16" s="948"/>
      <c r="E16" s="948"/>
      <c r="F16" s="948"/>
      <c r="G16" s="948"/>
      <c r="H16" s="948"/>
      <c r="I16" s="948"/>
      <c r="J16" s="948"/>
      <c r="K16" s="948"/>
      <c r="L16" s="948"/>
      <c r="M16" s="948"/>
      <c r="N16" s="948"/>
      <c r="O16" s="948"/>
      <c r="P16" s="948"/>
      <c r="Q16" s="949" t="str">
        <f>IF('1 '!AK48="","",'1 '!AK48)</f>
      </c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49"/>
      <c r="AC16" s="949"/>
      <c r="AD16" s="949"/>
      <c r="AE16" s="949"/>
      <c r="AF16" s="335" t="s">
        <v>13</v>
      </c>
      <c r="AG16" s="335"/>
      <c r="AH16" s="335"/>
      <c r="AI16" s="964" t="str">
        <f>IF('Ведомость общ'!AU22="","",'Ведомость общ'!AU22)</f>
      </c>
      <c r="AJ16" s="964"/>
      <c r="AK16" s="964"/>
      <c r="AL16" s="964"/>
      <c r="AM16" s="964"/>
      <c r="AN16" s="964"/>
      <c r="AO16" s="964"/>
      <c r="AP16" s="964"/>
      <c r="AQ16" s="964"/>
      <c r="AR16" s="964"/>
      <c r="AS16" s="964"/>
    </row>
    <row r="17" spans="1:80" s="388" customFormat="1" ht="25.9" customHeight="1" x14ac:dyDescent="0.2">
      <c r="A17" s="961" t="s">
        <v>73</v>
      </c>
      <c r="B17" s="961"/>
      <c r="C17" s="961"/>
      <c r="D17" s="961"/>
      <c r="E17" s="961"/>
      <c r="F17" s="961"/>
      <c r="G17" s="961"/>
      <c r="H17" s="961"/>
      <c r="I17" s="962" t="s">
        <v>493</v>
      </c>
      <c r="J17" s="962"/>
      <c r="K17" s="962"/>
      <c r="L17" s="962"/>
      <c r="M17" s="962"/>
      <c r="N17" s="962"/>
      <c r="O17" s="962"/>
      <c r="P17" s="962"/>
      <c r="Q17" s="962"/>
      <c r="R17" s="962"/>
      <c r="S17" s="962"/>
      <c r="T17" s="962"/>
      <c r="U17" s="962"/>
      <c r="V17" s="962"/>
      <c r="W17" s="962"/>
      <c r="X17" s="962"/>
      <c r="Y17" s="962"/>
      <c r="Z17" s="962"/>
      <c r="AA17" s="962"/>
      <c r="AB17" s="962"/>
      <c r="AC17" s="962"/>
      <c r="AD17" s="962"/>
      <c r="AE17" s="962"/>
      <c r="AF17" s="962"/>
      <c r="AG17" s="962"/>
      <c r="AH17" s="962"/>
      <c r="AI17" s="962"/>
      <c r="AJ17" s="962"/>
      <c r="AK17" s="962"/>
      <c r="AL17" s="962"/>
      <c r="AM17" s="962"/>
      <c r="AN17" s="962"/>
      <c r="AO17" s="962"/>
      <c r="AP17" s="962"/>
      <c r="AQ17" s="962"/>
      <c r="AR17" s="962"/>
      <c r="AS17" s="962"/>
      <c r="AT17" s="962"/>
      <c r="AU17" s="962"/>
      <c r="AV17" s="962"/>
      <c r="AW17" s="962"/>
      <c r="AX17" s="961" t="s">
        <v>492</v>
      </c>
      <c r="AY17" s="961"/>
      <c r="AZ17" s="961"/>
      <c r="BA17" s="961"/>
      <c r="BB17" s="961"/>
      <c r="BC17" s="961"/>
      <c r="BD17" s="961"/>
      <c r="BE17" s="961"/>
      <c r="BF17" s="961"/>
      <c r="BG17" s="961"/>
      <c r="BH17" s="961"/>
      <c r="BI17" s="961"/>
      <c r="BJ17" s="961"/>
      <c r="BK17" s="961"/>
      <c r="BL17" s="961"/>
      <c r="BM17" s="961"/>
      <c r="BN17" s="961"/>
    </row>
    <row r="18" spans="1:80" s="388" customFormat="1" ht="12.75" x14ac:dyDescent="0.2">
      <c r="A18" s="958" t="s">
        <v>465</v>
      </c>
      <c r="B18" s="958"/>
      <c r="C18" s="958"/>
      <c r="D18" s="958"/>
      <c r="E18" s="958"/>
      <c r="F18" s="958"/>
      <c r="G18" s="958"/>
      <c r="H18" s="958"/>
      <c r="I18" s="963" t="s">
        <v>1388</v>
      </c>
      <c r="J18" s="959"/>
      <c r="K18" s="959"/>
      <c r="L18" s="959"/>
      <c r="M18" s="959"/>
      <c r="N18" s="959"/>
      <c r="O18" s="959"/>
      <c r="P18" s="959"/>
      <c r="Q18" s="959"/>
      <c r="R18" s="959"/>
      <c r="S18" s="959"/>
      <c r="T18" s="959"/>
      <c r="U18" s="959"/>
      <c r="V18" s="959"/>
      <c r="W18" s="959"/>
      <c r="X18" s="959"/>
      <c r="Y18" s="959"/>
      <c r="Z18" s="959"/>
      <c r="AA18" s="959"/>
      <c r="AB18" s="959"/>
      <c r="AC18" s="959"/>
      <c r="AD18" s="959"/>
      <c r="AE18" s="959"/>
      <c r="AF18" s="959"/>
      <c r="AG18" s="959"/>
      <c r="AH18" s="959"/>
      <c r="AI18" s="959"/>
      <c r="AJ18" s="959"/>
      <c r="AK18" s="959"/>
      <c r="AL18" s="959"/>
      <c r="AM18" s="959"/>
      <c r="AN18" s="959"/>
      <c r="AO18" s="959"/>
      <c r="AP18" s="959"/>
      <c r="AQ18" s="959"/>
      <c r="AR18" s="959"/>
      <c r="AS18" s="959"/>
      <c r="AT18" s="959"/>
      <c r="AU18" s="959"/>
      <c r="AV18" s="959"/>
      <c r="AW18" s="959"/>
      <c r="AX18" s="960" t="s">
        <v>490</v>
      </c>
      <c r="AY18" s="960"/>
      <c r="AZ18" s="960"/>
      <c r="BA18" s="960"/>
      <c r="BB18" s="960"/>
      <c r="BC18" s="960"/>
      <c r="BD18" s="960"/>
      <c r="BE18" s="960"/>
      <c r="BF18" s="960"/>
      <c r="BG18" s="960"/>
      <c r="BH18" s="960"/>
      <c r="BI18" s="960"/>
      <c r="BJ18" s="960"/>
      <c r="BK18" s="960"/>
      <c r="BL18" s="960"/>
      <c r="BM18" s="960"/>
      <c r="BN18" s="960"/>
      <c r="BO18" s="389"/>
      <c r="BP18" s="389"/>
      <c r="BQ18" s="389"/>
      <c r="BR18" s="389"/>
      <c r="BS18" s="389"/>
      <c r="BT18" s="389"/>
      <c r="BU18" s="389"/>
      <c r="BV18" s="389"/>
      <c r="BW18" s="389"/>
      <c r="BX18" s="389"/>
      <c r="BY18" s="389"/>
      <c r="BZ18" s="389"/>
      <c r="CA18" s="389"/>
      <c r="CB18" s="389"/>
    </row>
    <row r="19" spans="1:80" s="388" customFormat="1" ht="12.75" x14ac:dyDescent="0.2">
      <c r="A19" s="958" t="s">
        <v>464</v>
      </c>
      <c r="B19" s="958"/>
      <c r="C19" s="958"/>
      <c r="D19" s="958"/>
      <c r="E19" s="958"/>
      <c r="F19" s="958"/>
      <c r="G19" s="958"/>
      <c r="H19" s="958"/>
      <c r="I19" s="959" t="s">
        <v>491</v>
      </c>
      <c r="J19" s="959"/>
      <c r="K19" s="959"/>
      <c r="L19" s="959"/>
      <c r="M19" s="959"/>
      <c r="N19" s="959"/>
      <c r="O19" s="959"/>
      <c r="P19" s="959"/>
      <c r="Q19" s="959"/>
      <c r="R19" s="959"/>
      <c r="S19" s="959"/>
      <c r="T19" s="959"/>
      <c r="U19" s="959"/>
      <c r="V19" s="959"/>
      <c r="W19" s="959"/>
      <c r="X19" s="959"/>
      <c r="Y19" s="959"/>
      <c r="Z19" s="959"/>
      <c r="AA19" s="959"/>
      <c r="AB19" s="959"/>
      <c r="AC19" s="959"/>
      <c r="AD19" s="959"/>
      <c r="AE19" s="959"/>
      <c r="AF19" s="959"/>
      <c r="AG19" s="959"/>
      <c r="AH19" s="959"/>
      <c r="AI19" s="959"/>
      <c r="AJ19" s="959"/>
      <c r="AK19" s="959"/>
      <c r="AL19" s="959"/>
      <c r="AM19" s="959"/>
      <c r="AN19" s="959"/>
      <c r="AO19" s="959"/>
      <c r="AP19" s="959"/>
      <c r="AQ19" s="959"/>
      <c r="AR19" s="959"/>
      <c r="AS19" s="959"/>
      <c r="AT19" s="959"/>
      <c r="AU19" s="959"/>
      <c r="AV19" s="959"/>
      <c r="AW19" s="959"/>
      <c r="AX19" s="960" t="s">
        <v>490</v>
      </c>
      <c r="AY19" s="960"/>
      <c r="AZ19" s="960"/>
      <c r="BA19" s="960"/>
      <c r="BB19" s="960"/>
      <c r="BC19" s="960"/>
      <c r="BD19" s="960"/>
      <c r="BE19" s="960"/>
      <c r="BF19" s="960"/>
      <c r="BG19" s="960"/>
      <c r="BH19" s="960"/>
      <c r="BI19" s="960"/>
      <c r="BJ19" s="960"/>
      <c r="BK19" s="960"/>
      <c r="BL19" s="960"/>
      <c r="BM19" s="960"/>
      <c r="BN19" s="960"/>
      <c r="BO19" s="389"/>
      <c r="BP19" s="389"/>
      <c r="BQ19" s="389"/>
      <c r="BR19" s="389"/>
      <c r="BS19" s="389"/>
      <c r="BT19" s="389"/>
      <c r="BU19" s="389"/>
      <c r="BV19" s="389"/>
      <c r="BW19" s="389"/>
      <c r="BX19" s="389"/>
      <c r="BY19" s="389"/>
      <c r="BZ19" s="389"/>
      <c r="CA19" s="389"/>
      <c r="CB19" s="389"/>
    </row>
    <row r="20" spans="1:80" s="388" customFormat="1" ht="25.9" customHeight="1" x14ac:dyDescent="0.2">
      <c r="A20" s="958" t="s">
        <v>463</v>
      </c>
      <c r="B20" s="958"/>
      <c r="C20" s="958"/>
      <c r="D20" s="958"/>
      <c r="E20" s="958"/>
      <c r="F20" s="958"/>
      <c r="G20" s="958"/>
      <c r="H20" s="958"/>
      <c r="I20" s="959" t="s">
        <v>489</v>
      </c>
      <c r="J20" s="959"/>
      <c r="K20" s="959"/>
      <c r="L20" s="959"/>
      <c r="M20" s="959"/>
      <c r="N20" s="959"/>
      <c r="O20" s="959"/>
      <c r="P20" s="959"/>
      <c r="Q20" s="959"/>
      <c r="R20" s="959"/>
      <c r="S20" s="959"/>
      <c r="T20" s="959"/>
      <c r="U20" s="959"/>
      <c r="V20" s="959"/>
      <c r="W20" s="959"/>
      <c r="X20" s="959"/>
      <c r="Y20" s="959"/>
      <c r="Z20" s="959"/>
      <c r="AA20" s="959"/>
      <c r="AB20" s="959"/>
      <c r="AC20" s="959"/>
      <c r="AD20" s="959"/>
      <c r="AE20" s="959"/>
      <c r="AF20" s="959"/>
      <c r="AG20" s="959"/>
      <c r="AH20" s="959"/>
      <c r="AI20" s="959"/>
      <c r="AJ20" s="959"/>
      <c r="AK20" s="959"/>
      <c r="AL20" s="959"/>
      <c r="AM20" s="959"/>
      <c r="AN20" s="959"/>
      <c r="AO20" s="959"/>
      <c r="AP20" s="959"/>
      <c r="AQ20" s="959"/>
      <c r="AR20" s="959"/>
      <c r="AS20" s="959"/>
      <c r="AT20" s="959"/>
      <c r="AU20" s="959"/>
      <c r="AV20" s="959"/>
      <c r="AW20" s="959"/>
      <c r="AX20" s="960" t="s">
        <v>488</v>
      </c>
      <c r="AY20" s="960"/>
      <c r="AZ20" s="960"/>
      <c r="BA20" s="960"/>
      <c r="BB20" s="960"/>
      <c r="BC20" s="960"/>
      <c r="BD20" s="960"/>
      <c r="BE20" s="960"/>
      <c r="BF20" s="960"/>
      <c r="BG20" s="960"/>
      <c r="BH20" s="960"/>
      <c r="BI20" s="960"/>
      <c r="BJ20" s="960"/>
      <c r="BK20" s="960"/>
      <c r="BL20" s="960"/>
      <c r="BM20" s="960"/>
      <c r="BN20" s="960"/>
      <c r="BO20" s="389"/>
      <c r="BP20" s="389"/>
      <c r="BQ20" s="389"/>
      <c r="BR20" s="389"/>
      <c r="BS20" s="389"/>
      <c r="BT20" s="389"/>
      <c r="BU20" s="389"/>
      <c r="BV20" s="389"/>
      <c r="BW20" s="389"/>
      <c r="BX20" s="389"/>
      <c r="BY20" s="389"/>
      <c r="BZ20" s="389"/>
      <c r="CA20" s="389"/>
      <c r="CB20" s="389"/>
    </row>
    <row r="21" spans="1:80" s="388" customFormat="1" ht="12.75" x14ac:dyDescent="0.2">
      <c r="A21" s="958" t="s">
        <v>461</v>
      </c>
      <c r="B21" s="958"/>
      <c r="C21" s="958"/>
      <c r="D21" s="958"/>
      <c r="E21" s="958"/>
      <c r="F21" s="958"/>
      <c r="G21" s="958"/>
      <c r="H21" s="958"/>
      <c r="I21" s="959" t="s">
        <v>548</v>
      </c>
      <c r="J21" s="959"/>
      <c r="K21" s="959"/>
      <c r="L21" s="959"/>
      <c r="M21" s="959"/>
      <c r="N21" s="959"/>
      <c r="O21" s="959"/>
      <c r="P21" s="959"/>
      <c r="Q21" s="959"/>
      <c r="R21" s="959"/>
      <c r="S21" s="959"/>
      <c r="T21" s="959"/>
      <c r="U21" s="959"/>
      <c r="V21" s="959"/>
      <c r="W21" s="959"/>
      <c r="X21" s="959"/>
      <c r="Y21" s="959"/>
      <c r="Z21" s="959"/>
      <c r="AA21" s="959"/>
      <c r="AB21" s="959"/>
      <c r="AC21" s="959"/>
      <c r="AD21" s="959"/>
      <c r="AE21" s="959"/>
      <c r="AF21" s="959"/>
      <c r="AG21" s="959"/>
      <c r="AH21" s="959"/>
      <c r="AI21" s="959"/>
      <c r="AJ21" s="959"/>
      <c r="AK21" s="959"/>
      <c r="AL21" s="959"/>
      <c r="AM21" s="959"/>
      <c r="AN21" s="959"/>
      <c r="AO21" s="959"/>
      <c r="AP21" s="959"/>
      <c r="AQ21" s="959"/>
      <c r="AR21" s="959"/>
      <c r="AS21" s="959"/>
      <c r="AT21" s="959"/>
      <c r="AU21" s="959"/>
      <c r="AV21" s="959"/>
      <c r="AW21" s="959"/>
      <c r="AX21" s="960" t="s">
        <v>487</v>
      </c>
      <c r="AY21" s="960"/>
      <c r="AZ21" s="960"/>
      <c r="BA21" s="960"/>
      <c r="BB21" s="960"/>
      <c r="BC21" s="960"/>
      <c r="BD21" s="960"/>
      <c r="BE21" s="960"/>
      <c r="BF21" s="960"/>
      <c r="BG21" s="960"/>
      <c r="BH21" s="960"/>
      <c r="BI21" s="960"/>
      <c r="BJ21" s="960"/>
      <c r="BK21" s="960"/>
      <c r="BL21" s="960"/>
      <c r="BM21" s="960"/>
      <c r="BN21" s="960"/>
      <c r="BO21" s="389"/>
      <c r="BP21" s="389"/>
      <c r="BQ21" s="389"/>
      <c r="BR21" s="389"/>
      <c r="BS21" s="389"/>
      <c r="BT21" s="389"/>
      <c r="BU21" s="389"/>
      <c r="BV21" s="389"/>
      <c r="BW21" s="389"/>
      <c r="BX21" s="389"/>
      <c r="BY21" s="389"/>
      <c r="BZ21" s="389"/>
      <c r="CA21" s="389"/>
      <c r="CB21" s="389"/>
    </row>
    <row r="22" spans="1:80" s="388" customFormat="1" ht="12.75" x14ac:dyDescent="0.2">
      <c r="A22" s="958" t="s">
        <v>360</v>
      </c>
      <c r="B22" s="958"/>
      <c r="C22" s="958"/>
      <c r="D22" s="958"/>
      <c r="E22" s="958"/>
      <c r="F22" s="958"/>
      <c r="G22" s="958"/>
      <c r="H22" s="958"/>
      <c r="I22" s="959" t="s">
        <v>549</v>
      </c>
      <c r="J22" s="959"/>
      <c r="K22" s="959"/>
      <c r="L22" s="959"/>
      <c r="M22" s="959"/>
      <c r="N22" s="959"/>
      <c r="O22" s="959"/>
      <c r="P22" s="959"/>
      <c r="Q22" s="959"/>
      <c r="R22" s="959"/>
      <c r="S22" s="959"/>
      <c r="T22" s="959"/>
      <c r="U22" s="959"/>
      <c r="V22" s="959"/>
      <c r="W22" s="959"/>
      <c r="X22" s="959"/>
      <c r="Y22" s="959"/>
      <c r="Z22" s="959"/>
      <c r="AA22" s="959"/>
      <c r="AB22" s="959"/>
      <c r="AC22" s="959"/>
      <c r="AD22" s="959"/>
      <c r="AE22" s="959"/>
      <c r="AF22" s="959"/>
      <c r="AG22" s="959"/>
      <c r="AH22" s="959"/>
      <c r="AI22" s="959"/>
      <c r="AJ22" s="959"/>
      <c r="AK22" s="959"/>
      <c r="AL22" s="959"/>
      <c r="AM22" s="959"/>
      <c r="AN22" s="959"/>
      <c r="AO22" s="959"/>
      <c r="AP22" s="959"/>
      <c r="AQ22" s="959"/>
      <c r="AR22" s="959"/>
      <c r="AS22" s="959"/>
      <c r="AT22" s="959"/>
      <c r="AU22" s="959"/>
      <c r="AV22" s="959"/>
      <c r="AW22" s="959"/>
      <c r="AX22" s="960" t="s">
        <v>487</v>
      </c>
      <c r="AY22" s="960"/>
      <c r="AZ22" s="960"/>
      <c r="BA22" s="960"/>
      <c r="BB22" s="960"/>
      <c r="BC22" s="960"/>
      <c r="BD22" s="960"/>
      <c r="BE22" s="960"/>
      <c r="BF22" s="960"/>
      <c r="BG22" s="960"/>
      <c r="BH22" s="960"/>
      <c r="BI22" s="960"/>
      <c r="BJ22" s="960"/>
      <c r="BK22" s="960"/>
      <c r="BL22" s="960"/>
      <c r="BM22" s="960"/>
      <c r="BN22" s="960"/>
      <c r="BO22" s="389"/>
      <c r="BP22" s="389"/>
      <c r="BQ22" s="389"/>
      <c r="BR22" s="389"/>
      <c r="BS22" s="389"/>
      <c r="BT22" s="389"/>
      <c r="BU22" s="389"/>
      <c r="BV22" s="389"/>
      <c r="BW22" s="389"/>
      <c r="BX22" s="389"/>
      <c r="BY22" s="389"/>
      <c r="BZ22" s="389"/>
      <c r="CA22" s="389"/>
      <c r="CB22" s="389"/>
    </row>
    <row r="23" spans="1:80" s="388" customFormat="1" ht="12.75" x14ac:dyDescent="0.2">
      <c r="A23" s="958" t="s">
        <v>462</v>
      </c>
      <c r="B23" s="958"/>
      <c r="C23" s="958"/>
      <c r="D23" s="958"/>
      <c r="E23" s="958"/>
      <c r="F23" s="958"/>
      <c r="G23" s="958"/>
      <c r="H23" s="958"/>
      <c r="I23" s="959" t="s">
        <v>486</v>
      </c>
      <c r="J23" s="959"/>
      <c r="K23" s="959"/>
      <c r="L23" s="959"/>
      <c r="M23" s="959"/>
      <c r="N23" s="959"/>
      <c r="O23" s="959"/>
      <c r="P23" s="959"/>
      <c r="Q23" s="959"/>
      <c r="R23" s="959"/>
      <c r="S23" s="959"/>
      <c r="T23" s="959"/>
      <c r="U23" s="959"/>
      <c r="V23" s="959"/>
      <c r="W23" s="959"/>
      <c r="X23" s="959"/>
      <c r="Y23" s="959"/>
      <c r="Z23" s="959"/>
      <c r="AA23" s="959"/>
      <c r="AB23" s="959"/>
      <c r="AC23" s="959"/>
      <c r="AD23" s="959"/>
      <c r="AE23" s="959"/>
      <c r="AF23" s="959"/>
      <c r="AG23" s="959"/>
      <c r="AH23" s="959"/>
      <c r="AI23" s="959"/>
      <c r="AJ23" s="959"/>
      <c r="AK23" s="959"/>
      <c r="AL23" s="959"/>
      <c r="AM23" s="959"/>
      <c r="AN23" s="959"/>
      <c r="AO23" s="959"/>
      <c r="AP23" s="959"/>
      <c r="AQ23" s="959"/>
      <c r="AR23" s="959"/>
      <c r="AS23" s="959"/>
      <c r="AT23" s="959"/>
      <c r="AU23" s="959"/>
      <c r="AV23" s="959"/>
      <c r="AW23" s="959"/>
      <c r="AX23" s="960" t="s">
        <v>485</v>
      </c>
      <c r="AY23" s="960"/>
      <c r="AZ23" s="960"/>
      <c r="BA23" s="960"/>
      <c r="BB23" s="960"/>
      <c r="BC23" s="960"/>
      <c r="BD23" s="960"/>
      <c r="BE23" s="960"/>
      <c r="BF23" s="960"/>
      <c r="BG23" s="960"/>
      <c r="BH23" s="960"/>
      <c r="BI23" s="960"/>
      <c r="BJ23" s="960"/>
      <c r="BK23" s="960"/>
      <c r="BL23" s="960"/>
      <c r="BM23" s="960"/>
      <c r="BN23" s="960"/>
      <c r="BO23" s="389"/>
      <c r="BP23" s="389"/>
      <c r="BQ23" s="389"/>
      <c r="BR23" s="389"/>
      <c r="BS23" s="389"/>
      <c r="BT23" s="389"/>
      <c r="BU23" s="389"/>
      <c r="BV23" s="389"/>
      <c r="BW23" s="389"/>
      <c r="BX23" s="389"/>
      <c r="BY23" s="389"/>
      <c r="BZ23" s="389"/>
      <c r="CA23" s="389"/>
      <c r="CB23" s="389"/>
    </row>
    <row r="24" spans="1:80" s="388" customFormat="1" ht="12.75" x14ac:dyDescent="0.2">
      <c r="A24" s="951" t="s">
        <v>326</v>
      </c>
      <c r="B24" s="951"/>
      <c r="C24" s="951"/>
      <c r="D24" s="951"/>
      <c r="E24" s="951"/>
      <c r="F24" s="951"/>
      <c r="G24" s="951"/>
      <c r="H24" s="951"/>
      <c r="I24" s="951"/>
      <c r="J24" s="951"/>
      <c r="K24" s="389"/>
      <c r="L24" s="952" t="s">
        <v>1386</v>
      </c>
      <c r="M24" s="952"/>
      <c r="N24" s="952"/>
      <c r="O24" s="952"/>
      <c r="P24" s="952"/>
      <c r="Q24" s="952"/>
      <c r="R24" s="952"/>
      <c r="S24" s="952"/>
      <c r="T24" s="952"/>
      <c r="U24" s="952"/>
      <c r="V24" s="952"/>
      <c r="W24" s="952"/>
      <c r="X24" s="952"/>
      <c r="Y24" s="952"/>
      <c r="Z24" s="952"/>
      <c r="AA24" s="952"/>
      <c r="AB24" s="952"/>
      <c r="AC24" s="952"/>
      <c r="AD24" s="952"/>
      <c r="AE24" s="952"/>
      <c r="AF24" s="952"/>
      <c r="AG24" s="952"/>
      <c r="AH24" s="952"/>
      <c r="AI24" s="952"/>
      <c r="AJ24" s="952"/>
      <c r="AK24" s="952"/>
      <c r="AL24" s="952"/>
      <c r="AM24" s="952"/>
      <c r="AN24" s="952"/>
      <c r="AO24" s="952"/>
      <c r="AP24" s="952"/>
      <c r="AQ24" s="952"/>
      <c r="AR24" s="952"/>
      <c r="AS24" s="952"/>
      <c r="AT24" s="952"/>
      <c r="AU24" s="952"/>
      <c r="AV24" s="952"/>
      <c r="AW24" s="952"/>
      <c r="AX24" s="952"/>
      <c r="AY24" s="952"/>
      <c r="AZ24" s="952"/>
      <c r="BA24" s="952"/>
      <c r="BB24" s="952"/>
      <c r="BC24" s="952"/>
      <c r="BD24" s="952"/>
      <c r="BE24" s="952"/>
      <c r="BF24" s="952"/>
      <c r="BG24" s="952"/>
      <c r="BH24" s="952"/>
      <c r="BI24" s="952"/>
      <c r="BJ24" s="952"/>
      <c r="BK24" s="952"/>
      <c r="BL24" s="952"/>
      <c r="BM24" s="952"/>
      <c r="BN24" s="952"/>
      <c r="BO24" s="952"/>
      <c r="BP24" s="952"/>
      <c r="BQ24" s="952"/>
      <c r="BR24" s="952"/>
      <c r="BS24" s="952"/>
      <c r="BT24" s="952"/>
      <c r="BU24" s="952"/>
      <c r="BV24" s="952"/>
      <c r="BW24" s="952"/>
      <c r="BX24" s="952"/>
      <c r="BY24" s="952"/>
      <c r="BZ24" s="952"/>
      <c r="CA24" s="952"/>
      <c r="CB24" s="952"/>
    </row>
    <row r="25" spans="1:80" s="11" customFormat="1" ht="11.25" x14ac:dyDescent="0.2"/>
    <row r="26" spans="1:80" s="11" customFormat="1" ht="11.25" x14ac:dyDescent="0.2">
      <c r="C26" s="11" t="s">
        <v>95</v>
      </c>
    </row>
    <row r="27" spans="1:80" s="11" customFormat="1" ht="11.25" x14ac:dyDescent="0.2">
      <c r="C27" s="45" t="s">
        <v>61</v>
      </c>
    </row>
    <row r="28" spans="1:80" s="11" customFormat="1" ht="11.25" x14ac:dyDescent="0.2">
      <c r="C28" s="243" t="str">
        <f>IF('Данные объект'!C27="","",'Данные объект'!C27)</f>
      </c>
      <c r="E28" s="45"/>
      <c r="F28" s="45"/>
      <c r="G28" s="45"/>
      <c r="H28" s="45"/>
      <c r="AP28" s="855"/>
      <c r="AQ28" s="855"/>
      <c r="AR28" s="855"/>
      <c r="AS28" s="855"/>
      <c r="AT28" s="855"/>
      <c r="AU28" s="855"/>
      <c r="AV28" s="855"/>
      <c r="AW28" s="855"/>
      <c r="AX28" s="855"/>
      <c r="AY28" s="855"/>
      <c r="AZ28" s="855"/>
      <c r="BA28" s="855"/>
      <c r="BB28" s="855"/>
      <c r="BF28" s="831" t="str">
        <f>IF('Данные объект'!B28="","",'Данные объект'!B28)</f>
      </c>
      <c r="BG28" s="831"/>
      <c r="BH28" s="831"/>
      <c r="BI28" s="831"/>
      <c r="BJ28" s="831"/>
      <c r="BK28" s="831"/>
      <c r="BL28" s="831"/>
      <c r="BM28" s="831"/>
      <c r="BN28" s="831"/>
      <c r="BO28" s="831"/>
      <c r="BP28" s="831"/>
      <c r="BQ28" s="831"/>
      <c r="BR28" s="831"/>
      <c r="BS28" s="831"/>
      <c r="BT28" s="831"/>
    </row>
    <row r="29" spans="1:80" s="2" customFormat="1" ht="13.5" x14ac:dyDescent="0.25">
      <c r="F29" s="10"/>
      <c r="G29" s="10"/>
      <c r="H29" s="10"/>
      <c r="AP29" s="858" t="s">
        <v>2</v>
      </c>
      <c r="AQ29" s="858"/>
      <c r="AR29" s="858"/>
      <c r="AS29" s="858"/>
      <c r="AT29" s="858"/>
      <c r="AU29" s="858"/>
      <c r="AV29" s="858"/>
      <c r="AW29" s="858"/>
      <c r="AX29" s="858"/>
      <c r="AY29" s="858"/>
      <c r="AZ29" s="858"/>
      <c r="BA29" s="858"/>
      <c r="BB29" s="858"/>
    </row>
    <row r="30" spans="1:80" s="2" customFormat="1" ht="12.75" x14ac:dyDescent="0.2"/>
    <row r="31" spans="1:80" s="2" customFormat="1" ht="12.75" x14ac:dyDescent="0.2">
      <c r="C31" s="11" t="s">
        <v>96</v>
      </c>
      <c r="D31" s="11"/>
    </row>
    <row r="32" spans="1:80" s="2" customFormat="1" ht="12.75" x14ac:dyDescent="0.2">
      <c r="C32" s="45" t="s">
        <v>344</v>
      </c>
      <c r="D32" s="11"/>
    </row>
    <row r="33" spans="3:72" s="11" customFormat="1" ht="11.25" x14ac:dyDescent="0.2">
      <c r="C33" s="243" t="str">
        <f>IF('Данные объект'!C42="","",'Данные объект'!C42)</f>
      </c>
      <c r="AP33" s="855"/>
      <c r="AQ33" s="855"/>
      <c r="AR33" s="855"/>
      <c r="AS33" s="855"/>
      <c r="AT33" s="855"/>
      <c r="AU33" s="855"/>
      <c r="AV33" s="855"/>
      <c r="AW33" s="855"/>
      <c r="AX33" s="855"/>
      <c r="AY33" s="855"/>
      <c r="AZ33" s="855"/>
      <c r="BA33" s="855"/>
      <c r="BB33" s="855"/>
      <c r="BF33" s="831" t="str">
        <f>IF('Данные объект'!B42="","",'Данные объект'!B42)</f>
      </c>
      <c r="BG33" s="831"/>
      <c r="BH33" s="831"/>
      <c r="BI33" s="831"/>
      <c r="BJ33" s="831"/>
      <c r="BK33" s="831"/>
      <c r="BL33" s="831"/>
      <c r="BM33" s="831"/>
      <c r="BN33" s="831"/>
      <c r="BO33" s="831"/>
      <c r="BP33" s="831"/>
      <c r="BQ33" s="831"/>
      <c r="BR33" s="831"/>
      <c r="BS33" s="831"/>
      <c r="BT33" s="831"/>
    </row>
    <row r="34" spans="3:72" s="11" customFormat="1" ht="11.25" x14ac:dyDescent="0.2">
      <c r="E34" s="45"/>
      <c r="F34" s="45"/>
      <c r="G34" s="57"/>
      <c r="H34" s="57"/>
      <c r="I34" s="57"/>
      <c r="J34" s="57"/>
      <c r="K34" s="57"/>
      <c r="L34" s="57"/>
      <c r="M34" s="57"/>
      <c r="AP34" s="858" t="s">
        <v>2</v>
      </c>
      <c r="AQ34" s="858"/>
      <c r="AR34" s="858"/>
      <c r="AS34" s="858"/>
      <c r="AT34" s="858"/>
      <c r="AU34" s="858"/>
      <c r="AV34" s="858"/>
      <c r="AW34" s="858"/>
      <c r="AX34" s="858"/>
      <c r="AY34" s="858"/>
      <c r="AZ34" s="858"/>
      <c r="BA34" s="858"/>
      <c r="BB34" s="858"/>
    </row>
    <row r="35" spans="3:72" s="11" customFormat="1" ht="11.25" x14ac:dyDescent="0.2">
      <c r="E35" s="45"/>
      <c r="F35" s="45"/>
      <c r="G35" s="57"/>
      <c r="H35" s="57"/>
      <c r="I35" s="57"/>
      <c r="J35" s="57"/>
      <c r="K35" s="57"/>
      <c r="L35" s="57"/>
      <c r="M35" s="57"/>
      <c r="AP35" s="383"/>
      <c r="AQ35" s="383"/>
      <c r="AR35" s="383"/>
      <c r="AS35" s="383"/>
      <c r="AT35" s="383"/>
      <c r="AU35" s="383"/>
      <c r="AV35" s="383"/>
      <c r="AW35" s="383"/>
      <c r="AX35" s="383"/>
      <c r="AY35" s="383"/>
      <c r="AZ35" s="383"/>
      <c r="BA35" s="383"/>
      <c r="BB35" s="383"/>
    </row>
    <row r="36" spans="3:72" s="11" customFormat="1" ht="11.25" x14ac:dyDescent="0.2">
      <c r="E36" s="45"/>
      <c r="F36" s="45"/>
      <c r="G36" s="57"/>
      <c r="H36" s="57"/>
      <c r="I36" s="57"/>
      <c r="J36" s="57"/>
      <c r="K36" s="57"/>
      <c r="L36" s="57"/>
      <c r="M36" s="57"/>
      <c r="AP36" s="383"/>
      <c r="AQ36" s="383"/>
      <c r="AR36" s="383"/>
      <c r="AS36" s="383"/>
      <c r="AT36" s="383"/>
      <c r="AU36" s="383"/>
      <c r="AV36" s="383"/>
      <c r="AW36" s="383"/>
      <c r="AX36" s="383"/>
      <c r="AY36" s="383"/>
      <c r="AZ36" s="383"/>
      <c r="BA36" s="383"/>
      <c r="BB36" s="383"/>
    </row>
    <row r="37" spans="3:72" s="11" customFormat="1" ht="21.75" customHeight="1" collapsed="1" x14ac:dyDescent="0.2">
      <c r="C37" s="943" t="str">
        <f>IF('Данные объект'!C45="","",'Данные объект'!C45)</f>
      </c>
      <c r="D37" s="943"/>
      <c r="E37" s="943"/>
      <c r="F37" s="943"/>
      <c r="G37" s="943"/>
      <c r="H37" s="943"/>
      <c r="I37" s="943"/>
      <c r="J37" s="943"/>
      <c r="K37" s="943"/>
      <c r="L37" s="943"/>
      <c r="M37" s="943"/>
      <c r="N37" s="943"/>
      <c r="O37" s="943"/>
      <c r="P37" s="943"/>
      <c r="Q37" s="943"/>
      <c r="R37" s="943"/>
      <c r="S37" s="943"/>
      <c r="T37" s="943"/>
      <c r="U37" s="943"/>
      <c r="V37" s="943"/>
      <c r="W37" s="943"/>
      <c r="X37" s="943"/>
      <c r="Y37" s="943"/>
      <c r="Z37" s="943"/>
      <c r="AA37" s="943"/>
      <c r="AB37" s="943"/>
      <c r="AC37" s="943"/>
      <c r="AD37" s="943"/>
      <c r="AE37" s="943"/>
      <c r="AF37" s="943"/>
      <c r="AG37" s="943"/>
      <c r="AH37" s="943"/>
      <c r="AI37" s="943"/>
      <c r="AJ37" s="943"/>
      <c r="AK37" s="943"/>
      <c r="AL37" s="943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855"/>
      <c r="BA37" s="855"/>
      <c r="BB37" s="855"/>
      <c r="BF37" s="831" t="str">
        <f>IF('Данные объект'!B47="","",'Данные объект'!B47)</f>
      </c>
      <c r="BG37" s="831"/>
      <c r="BH37" s="831"/>
      <c r="BI37" s="831"/>
      <c r="BJ37" s="831"/>
      <c r="BK37" s="831"/>
      <c r="BL37" s="831"/>
      <c r="BM37" s="831"/>
      <c r="BN37" s="831"/>
      <c r="BO37" s="831"/>
      <c r="BP37" s="831"/>
      <c r="BQ37" s="831"/>
      <c r="BR37" s="831"/>
      <c r="BS37" s="831"/>
      <c r="BT37" s="831"/>
    </row>
    <row r="38" spans="3:72" s="11" customFormat="1" ht="11.25" x14ac:dyDescent="0.2">
      <c r="C38" s="57"/>
      <c r="E38" s="45"/>
      <c r="F38" s="45"/>
      <c r="G38" s="57"/>
      <c r="H38" s="57"/>
      <c r="I38" s="57"/>
      <c r="J38" s="57"/>
      <c r="K38" s="57"/>
      <c r="L38" s="57"/>
      <c r="M38" s="57"/>
      <c r="AP38" s="858" t="s">
        <v>2</v>
      </c>
      <c r="AQ38" s="858"/>
      <c r="AR38" s="858"/>
      <c r="AS38" s="858"/>
      <c r="AT38" s="858"/>
      <c r="AU38" s="858"/>
      <c r="AV38" s="858"/>
      <c r="AW38" s="858"/>
      <c r="AX38" s="858"/>
      <c r="AY38" s="858"/>
      <c r="AZ38" s="858"/>
      <c r="BA38" s="858"/>
      <c r="BB38" s="858"/>
    </row>
    <row r="39" spans="3:72" s="2" customFormat="1" ht="12.75" x14ac:dyDescent="0.2"/>
    <row r="40" spans="3:72" s="2" customFormat="1" ht="12.75" x14ac:dyDescent="0.2"/>
    <row r="41" spans="3:72" s="2" customFormat="1" ht="12.75" x14ac:dyDescent="0.2"/>
    <row r="42" spans="3:72" s="2" customFormat="1" ht="12.75" x14ac:dyDescent="0.2"/>
    <row r="43" spans="3:72" s="2" customFormat="1" ht="12.75" x14ac:dyDescent="0.2"/>
    <row r="44" spans="3:72" s="2" customFormat="1" ht="12.75" x14ac:dyDescent="0.2"/>
    <row r="45" spans="3:72" s="2" customFormat="1" ht="12.75" x14ac:dyDescent="0.2"/>
    <row r="46" spans="3:72" s="2" customFormat="1" ht="12.75" x14ac:dyDescent="0.2"/>
    <row r="47" spans="3:72" s="2" customFormat="1" ht="12.75" x14ac:dyDescent="0.2"/>
    <row r="48" spans="3:72" s="2" customFormat="1" ht="12.75" x14ac:dyDescent="0.2"/>
    <row r="49" s="2" customFormat="1" ht="12.75" x14ac:dyDescent="0.2"/>
    <row r="50" s="2" customFormat="1" ht="12.75" x14ac:dyDescent="0.2"/>
    <row r="51" s="2" customFormat="1" ht="12.75" x14ac:dyDescent="0.2"/>
    <row r="52" s="2" customFormat="1" ht="12.75" x14ac:dyDescent="0.2"/>
    <row r="53" s="2" customFormat="1" ht="12.75" x14ac:dyDescent="0.2"/>
    <row r="54" s="2" customFormat="1" ht="12.75" x14ac:dyDescent="0.2"/>
    <row r="55" s="2" customFormat="1" ht="12.75" x14ac:dyDescent="0.2"/>
    <row r="56" s="2" customFormat="1" ht="12.75" x14ac:dyDescent="0.2"/>
    <row r="57" s="2" customFormat="1" ht="12.75" x14ac:dyDescent="0.2"/>
    <row r="58" s="2" customFormat="1" ht="12.75" x14ac:dyDescent="0.2"/>
    <row r="59" s="2" customFormat="1" ht="12.75" x14ac:dyDescent="0.2"/>
    <row r="60" s="2" customFormat="1" ht="12.75" x14ac:dyDescent="0.2"/>
    <row r="61" s="2" customFormat="1" ht="12.75" x14ac:dyDescent="0.2"/>
    <row r="62" s="2" customFormat="1" ht="12.75" x14ac:dyDescent="0.2"/>
    <row r="63" s="2" customFormat="1" ht="12.75" x14ac:dyDescent="0.2"/>
    <row r="64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</sheetData>
  <mergeCells count="53">
    <mergeCell ref="AR1:BZ2"/>
    <mergeCell ref="A2:AI2"/>
    <mergeCell ref="A3:AI3"/>
    <mergeCell ref="AR3:BZ3"/>
    <mergeCell ref="A4:AI4"/>
    <mergeCell ref="AR4:BZ4"/>
    <mergeCell ref="A16:P16"/>
    <mergeCell ref="Q16:AE16"/>
    <mergeCell ref="AI16:AS16"/>
    <mergeCell ref="A5:AI5"/>
    <mergeCell ref="AR5:BZ5"/>
    <mergeCell ref="AR6:BZ9"/>
    <mergeCell ref="A8:AI9"/>
    <mergeCell ref="A10:AI10"/>
    <mergeCell ref="AR10:BZ10"/>
    <mergeCell ref="A11:AI11"/>
    <mergeCell ref="AR11:BZ11"/>
    <mergeCell ref="AR12:BZ12"/>
    <mergeCell ref="A13:CB13"/>
    <mergeCell ref="A14:CB14"/>
    <mergeCell ref="A17:H17"/>
    <mergeCell ref="I17:AW17"/>
    <mergeCell ref="AX17:BN17"/>
    <mergeCell ref="A18:H18"/>
    <mergeCell ref="I18:AW18"/>
    <mergeCell ref="AX18:BN18"/>
    <mergeCell ref="A19:H19"/>
    <mergeCell ref="I19:AW19"/>
    <mergeCell ref="AX19:BN19"/>
    <mergeCell ref="A20:H20"/>
    <mergeCell ref="I20:AW20"/>
    <mergeCell ref="AX20:BN20"/>
    <mergeCell ref="A21:H21"/>
    <mergeCell ref="I21:AW21"/>
    <mergeCell ref="AX21:BN21"/>
    <mergeCell ref="A22:H22"/>
    <mergeCell ref="I22:AW22"/>
    <mergeCell ref="AX22:BN22"/>
    <mergeCell ref="C37:AL37"/>
    <mergeCell ref="AP37:BB37"/>
    <mergeCell ref="BF37:BT37"/>
    <mergeCell ref="A23:H23"/>
    <mergeCell ref="I23:AW23"/>
    <mergeCell ref="AX23:BN23"/>
    <mergeCell ref="A24:J24"/>
    <mergeCell ref="L24:CB24"/>
    <mergeCell ref="AP28:BB28"/>
    <mergeCell ref="BF28:BT28"/>
    <mergeCell ref="AP38:BB38"/>
    <mergeCell ref="AP29:BB29"/>
    <mergeCell ref="AP33:BB33"/>
    <mergeCell ref="BF33:BT33"/>
    <mergeCell ref="AP34:BB34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CB69"/>
  <sheetViews>
    <sheetView view="pageBreakPreview" topLeftCell="A28" zoomScaleNormal="100" zoomScaleSheetLayoutView="100" workbookViewId="0">
      <selection activeCell="CT63" sqref="CT63"/>
    </sheetView>
  </sheetViews>
  <sheetFormatPr defaultColWidth="9.140625" defaultRowHeight="12.75" outlineLevelRow="1" x14ac:dyDescent="0.2"/>
  <cols>
    <col min="1" max="79" width="1.140625" style="2" customWidth="1"/>
    <col min="80" max="80" width="6.7109375" style="2" customWidth="1"/>
    <col min="81" max="117" width="1.140625" style="2" customWidth="1"/>
    <col min="118" max="16384" width="9.140625" style="2"/>
  </cols>
  <sheetData>
    <row r="1" spans="1:80" ht="7.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64"/>
      <c r="CB4" s="64"/>
    </row>
    <row r="5" spans="1:80" ht="4.9000000000000004" customHeight="1" x14ac:dyDescent="0.25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64"/>
      <c r="CB5" s="64"/>
    </row>
    <row r="6" spans="1:80" s="5" customFormat="1" ht="8.25" x14ac:dyDescent="0.1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</row>
    <row r="7" spans="1:80" ht="25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 t="str">
        <f>IF('Данные объект'!B3="","",'Данные объект'!B3)</f>
      </c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8"/>
      <c r="CB7" s="68"/>
    </row>
    <row r="8" spans="1:80" ht="18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8"/>
      <c r="CB8" s="68"/>
    </row>
    <row r="9" spans="1:80" ht="15.75" customHeight="1" x14ac:dyDescent="0.2">
      <c r="A9" s="837" t="str">
        <f>IF('Данные объект'!B16="","",'Данные объект'!B16)</f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8"/>
      <c r="CB9" s="68"/>
    </row>
    <row r="10" spans="1:80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8"/>
      <c r="CB10" s="68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5" x14ac:dyDescent="0.25">
      <c r="A12" s="838"/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  <c r="AH12" s="838"/>
      <c r="AI12" s="838"/>
      <c r="AJ12" s="5"/>
      <c r="AK12" s="5"/>
      <c r="AL12" s="5"/>
      <c r="AM12" s="5"/>
      <c r="AN12" s="5"/>
      <c r="AO12" s="5"/>
      <c r="AP12" s="5"/>
      <c r="AQ12" s="5"/>
      <c r="AR12" s="843" t="s">
        <v>1345</v>
      </c>
      <c r="AS12" s="843"/>
      <c r="AT12" s="843"/>
      <c r="AU12" s="843"/>
      <c r="AV12" s="843"/>
      <c r="AW12" s="843"/>
      <c r="AX12" s="843"/>
      <c r="AY12" s="843"/>
      <c r="AZ12" s="843"/>
      <c r="BA12" s="843"/>
      <c r="BB12" s="843"/>
      <c r="BC12" s="843"/>
      <c r="BD12" s="843"/>
      <c r="BE12" s="843"/>
      <c r="BF12" s="843"/>
      <c r="BG12" s="843"/>
      <c r="BH12" s="843"/>
      <c r="BI12" s="843"/>
      <c r="BJ12" s="843"/>
      <c r="BK12" s="843"/>
      <c r="BL12" s="843"/>
      <c r="BM12" s="843"/>
      <c r="BN12" s="843"/>
      <c r="BO12" s="843"/>
      <c r="BP12" s="843"/>
      <c r="BQ12" s="843"/>
      <c r="BR12" s="843"/>
      <c r="BS12" s="843"/>
      <c r="BT12" s="843"/>
      <c r="BU12" s="843"/>
      <c r="BV12" s="843"/>
      <c r="BW12" s="843"/>
      <c r="BX12" s="843"/>
      <c r="BY12" s="843"/>
      <c r="BZ12" s="843"/>
      <c r="CA12" s="67"/>
      <c r="CB12" s="67"/>
    </row>
    <row r="13" spans="1:80" s="18" customFormat="1" ht="15.75" customHeight="1" x14ac:dyDescent="0.25">
      <c r="A13" s="250" t="s">
        <v>341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spans="1:80" s="18" customFormat="1" ht="15.75" x14ac:dyDescent="0.25">
      <c r="A14" s="851" t="s">
        <v>1236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8" customFormat="1" ht="15.75" x14ac:dyDescent="0.25">
      <c r="A15" s="931" t="s">
        <v>1241</v>
      </c>
      <c r="B15" s="851"/>
      <c r="C15" s="851"/>
      <c r="D15" s="851"/>
      <c r="E15" s="851"/>
      <c r="F15" s="851"/>
      <c r="G15" s="851"/>
      <c r="H15" s="851"/>
      <c r="I15" s="851"/>
      <c r="J15" s="851"/>
      <c r="K15" s="851"/>
      <c r="L15" s="851"/>
      <c r="M15" s="851"/>
      <c r="N15" s="851"/>
      <c r="O15" s="851"/>
      <c r="P15" s="851"/>
      <c r="Q15" s="851"/>
      <c r="R15" s="851"/>
      <c r="S15" s="851"/>
      <c r="T15" s="851"/>
      <c r="U15" s="851"/>
      <c r="V15" s="851"/>
      <c r="W15" s="851"/>
      <c r="X15" s="851"/>
      <c r="Y15" s="851"/>
      <c r="Z15" s="851"/>
      <c r="AA15" s="851"/>
      <c r="AB15" s="851"/>
      <c r="AC15" s="851"/>
      <c r="AD15" s="851"/>
      <c r="AE15" s="851"/>
      <c r="AF15" s="851"/>
      <c r="AG15" s="851"/>
      <c r="AH15" s="851"/>
      <c r="AI15" s="851"/>
      <c r="AJ15" s="851"/>
      <c r="AK15" s="851"/>
      <c r="AL15" s="851"/>
      <c r="AM15" s="851"/>
      <c r="AN15" s="851"/>
      <c r="AO15" s="851"/>
      <c r="AP15" s="851"/>
      <c r="AQ15" s="851"/>
      <c r="AR15" s="851"/>
      <c r="AS15" s="851"/>
      <c r="AT15" s="851"/>
      <c r="AU15" s="851"/>
      <c r="AV15" s="851"/>
      <c r="AW15" s="851"/>
      <c r="AX15" s="851"/>
      <c r="AY15" s="851"/>
      <c r="AZ15" s="851"/>
      <c r="BA15" s="851"/>
      <c r="BB15" s="851"/>
      <c r="BC15" s="851"/>
      <c r="BD15" s="851"/>
      <c r="BE15" s="851"/>
      <c r="BF15" s="851"/>
      <c r="BG15" s="851"/>
      <c r="BH15" s="851"/>
      <c r="BI15" s="851"/>
      <c r="BJ15" s="851"/>
      <c r="BK15" s="851"/>
      <c r="BL15" s="851"/>
      <c r="BM15" s="851"/>
      <c r="BN15" s="851"/>
      <c r="BO15" s="851"/>
      <c r="BP15" s="851"/>
      <c r="BQ15" s="851"/>
      <c r="BR15" s="851"/>
      <c r="BS15" s="851"/>
      <c r="BT15" s="851"/>
      <c r="BU15" s="851"/>
      <c r="BV15" s="851"/>
      <c r="BW15" s="851"/>
      <c r="BX15" s="851"/>
      <c r="BY15" s="851"/>
      <c r="BZ15" s="851"/>
      <c r="CA15" s="851"/>
      <c r="CB15" s="851"/>
    </row>
    <row r="16" spans="1:80" ht="4.5" customHeight="1" x14ac:dyDescent="0.2"/>
    <row r="17" spans="1:80" x14ac:dyDescent="0.2">
      <c r="A17" s="57" t="s">
        <v>27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x14ac:dyDescent="0.2">
      <c r="A18" s="11" t="s">
        <v>28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</row>
    <row r="19" spans="1:80" x14ac:dyDescent="0.2">
      <c r="A19" s="926" t="str">
        <f>IF('Данные объект'!C42="","",'Данные объект'!C42)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80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80" hidden="1" outlineLevel="1" x14ac:dyDescent="0.2">
      <c r="A21" s="2" t="s">
        <v>29</v>
      </c>
    </row>
    <row r="22" spans="1:80" outlineLevel="1" x14ac:dyDescent="0.2">
      <c r="A22" s="926" t="str">
        <f>IF('Данные объект'!C45="","",'Данные объект'!C45)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80" s="5" customFormat="1" ht="8.25" outlineLevel="1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80" x14ac:dyDescent="0.2">
      <c r="A24" s="11" t="s">
        <v>30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80" x14ac:dyDescent="0.2">
      <c r="A25" s="926" t="str">
        <f>IF('Данные объект'!C28="","",'Данные объект'!C28)</f>
      </c>
      <c r="B25" s="926"/>
      <c r="C25" s="926"/>
      <c r="D25" s="926"/>
      <c r="E25" s="926"/>
      <c r="F25" s="926"/>
      <c r="G25" s="926"/>
      <c r="H25" s="926"/>
      <c r="I25" s="926"/>
      <c r="J25" s="926"/>
      <c r="K25" s="926"/>
      <c r="L25" s="926"/>
      <c r="M25" s="926"/>
      <c r="N25" s="926"/>
      <c r="O25" s="926"/>
      <c r="P25" s="926"/>
      <c r="Q25" s="926"/>
      <c r="R25" s="926"/>
      <c r="S25" s="926"/>
      <c r="T25" s="926"/>
      <c r="U25" s="926"/>
      <c r="V25" s="926"/>
      <c r="W25" s="926"/>
      <c r="X25" s="926"/>
      <c r="Y25" s="926"/>
      <c r="Z25" s="926"/>
      <c r="AA25" s="926"/>
      <c r="AB25" s="926"/>
      <c r="AC25" s="926"/>
      <c r="AD25" s="926"/>
      <c r="AE25" s="926"/>
      <c r="AF25" s="926"/>
      <c r="AG25" s="926"/>
      <c r="AH25" s="926"/>
      <c r="AI25" s="926"/>
      <c r="AJ25" s="926"/>
      <c r="AK25" s="926"/>
      <c r="AL25" s="926"/>
      <c r="AM25" s="926"/>
      <c r="AN25" s="926"/>
      <c r="AO25" s="926"/>
      <c r="AP25" s="926"/>
      <c r="AQ25" s="926"/>
      <c r="AR25" s="926"/>
      <c r="AS25" s="926"/>
      <c r="AT25" s="926"/>
      <c r="AU25" s="926"/>
      <c r="AV25" s="926"/>
      <c r="AW25" s="926"/>
      <c r="AX25" s="926"/>
      <c r="AY25" s="926"/>
      <c r="AZ25" s="926"/>
      <c r="BA25" s="926"/>
      <c r="BB25" s="926"/>
      <c r="BC25" s="926"/>
      <c r="BD25" s="926"/>
      <c r="BE25" s="926"/>
      <c r="BF25" s="926"/>
      <c r="BG25" s="926"/>
      <c r="BH25" s="926"/>
      <c r="BI25" s="926"/>
      <c r="BJ25" s="926"/>
      <c r="BK25" s="926"/>
      <c r="BL25" s="926"/>
      <c r="BM25" s="926"/>
      <c r="BN25" s="926"/>
      <c r="BO25" s="926"/>
      <c r="BP25" s="926"/>
      <c r="BQ25" s="926"/>
      <c r="BR25" s="926"/>
      <c r="BS25" s="926"/>
      <c r="BT25" s="926"/>
      <c r="BU25" s="926"/>
      <c r="BV25" s="926"/>
      <c r="BW25" s="926"/>
      <c r="BX25" s="926"/>
      <c r="BY25" s="926"/>
      <c r="BZ25" s="926"/>
      <c r="CA25" s="926"/>
      <c r="CB25" s="926"/>
    </row>
    <row r="26" spans="1:80" s="5" customFormat="1" ht="8.25" x14ac:dyDescent="0.15">
      <c r="A26" s="932" t="s">
        <v>31</v>
      </c>
      <c r="B26" s="932"/>
      <c r="C26" s="932"/>
      <c r="D26" s="932"/>
      <c r="E26" s="932"/>
      <c r="F26" s="932"/>
      <c r="G26" s="932"/>
      <c r="H26" s="932"/>
      <c r="I26" s="932"/>
      <c r="J26" s="932"/>
      <c r="K26" s="932"/>
      <c r="L26" s="932"/>
      <c r="M26" s="932"/>
      <c r="N26" s="932"/>
      <c r="O26" s="932"/>
      <c r="P26" s="932"/>
      <c r="Q26" s="932"/>
      <c r="R26" s="932"/>
      <c r="S26" s="932"/>
      <c r="T26" s="932"/>
      <c r="U26" s="932"/>
      <c r="V26" s="932"/>
      <c r="W26" s="932"/>
      <c r="X26" s="932"/>
      <c r="Y26" s="932"/>
      <c r="Z26" s="932"/>
      <c r="AA26" s="932"/>
      <c r="AB26" s="932"/>
      <c r="AC26" s="932"/>
      <c r="AD26" s="932"/>
      <c r="AE26" s="932"/>
      <c r="AF26" s="932"/>
      <c r="AG26" s="932"/>
      <c r="AH26" s="932"/>
      <c r="AI26" s="932"/>
      <c r="AJ26" s="932"/>
      <c r="AK26" s="932"/>
      <c r="AL26" s="932"/>
      <c r="AM26" s="932"/>
      <c r="AN26" s="932"/>
      <c r="AO26" s="932"/>
      <c r="AP26" s="932"/>
      <c r="AQ26" s="932"/>
      <c r="AR26" s="932"/>
      <c r="AS26" s="932"/>
      <c r="AT26" s="932"/>
      <c r="AU26" s="932"/>
      <c r="AV26" s="932"/>
      <c r="AW26" s="932"/>
      <c r="AX26" s="932"/>
      <c r="AY26" s="932"/>
      <c r="AZ26" s="932"/>
      <c r="BA26" s="932"/>
      <c r="BB26" s="932"/>
      <c r="BC26" s="932"/>
      <c r="BD26" s="932"/>
      <c r="BE26" s="932"/>
      <c r="BF26" s="932"/>
      <c r="BG26" s="932"/>
      <c r="BH26" s="932"/>
      <c r="BI26" s="932"/>
      <c r="BJ26" s="932"/>
      <c r="BK26" s="932"/>
      <c r="BL26" s="932"/>
      <c r="BM26" s="932"/>
      <c r="BN26" s="932"/>
      <c r="BO26" s="932"/>
      <c r="BP26" s="932"/>
      <c r="BQ26" s="932"/>
      <c r="BR26" s="932"/>
      <c r="BS26" s="932"/>
      <c r="BT26" s="932"/>
      <c r="BU26" s="932"/>
      <c r="BV26" s="932"/>
      <c r="BW26" s="932"/>
      <c r="BX26" s="932"/>
      <c r="BY26" s="932"/>
      <c r="BZ26" s="932"/>
      <c r="CA26" s="932"/>
      <c r="CB26" s="932"/>
    </row>
    <row r="27" spans="1:80" x14ac:dyDescent="0.2">
      <c r="A27" s="11" t="s">
        <v>144</v>
      </c>
      <c r="AD27" s="841" t="str">
        <f>IF('Данные объект'!B19="","",'Данные объект'!B19)</f>
      </c>
      <c r="AE27" s="841"/>
      <c r="AF27" s="841"/>
      <c r="AG27" s="841"/>
      <c r="AH27" s="841"/>
      <c r="AI27" s="841"/>
      <c r="AJ27" s="841"/>
      <c r="AK27" s="841"/>
      <c r="AL27" s="841"/>
      <c r="AM27" s="841"/>
      <c r="AN27" s="841"/>
      <c r="AO27" s="841"/>
      <c r="AP27" s="841"/>
      <c r="AQ27" s="841"/>
      <c r="AR27" s="841"/>
      <c r="AS27" s="841"/>
      <c r="AT27" s="841"/>
      <c r="AU27" s="841"/>
      <c r="AV27" s="841"/>
      <c r="AW27" s="841"/>
      <c r="AX27" s="841"/>
      <c r="AY27" s="841"/>
      <c r="AZ27" s="841"/>
      <c r="BA27" s="841"/>
      <c r="BB27" s="841"/>
      <c r="BC27" s="841"/>
      <c r="BD27" s="841"/>
      <c r="BE27" s="841"/>
      <c r="BF27" s="841"/>
      <c r="BG27" s="841"/>
      <c r="BH27" s="841"/>
      <c r="BI27" s="841"/>
      <c r="BJ27" s="841"/>
      <c r="BK27" s="841"/>
      <c r="BL27" s="841"/>
      <c r="BM27" s="841"/>
      <c r="BN27" s="841"/>
      <c r="BO27" s="841"/>
      <c r="BP27" s="841"/>
      <c r="BQ27" s="841"/>
      <c r="BR27" s="841"/>
      <c r="BS27" s="841"/>
      <c r="BT27" s="841"/>
      <c r="BU27" s="841"/>
      <c r="BV27" s="841"/>
      <c r="BW27" s="841"/>
      <c r="BX27" s="841"/>
      <c r="BY27" s="841"/>
      <c r="BZ27" s="841"/>
      <c r="CA27" s="841"/>
      <c r="CB27" s="24"/>
    </row>
    <row r="28" spans="1:80" s="5" customFormat="1" ht="8.25" x14ac:dyDescent="0.15">
      <c r="AD28" s="858" t="s">
        <v>145</v>
      </c>
      <c r="AE28" s="858"/>
      <c r="AF28" s="858"/>
      <c r="AG28" s="858"/>
      <c r="AH28" s="858"/>
      <c r="AI28" s="858"/>
      <c r="AJ28" s="858"/>
      <c r="AK28" s="858"/>
      <c r="AL28" s="858"/>
      <c r="AM28" s="858"/>
      <c r="AN28" s="858"/>
      <c r="AO28" s="858"/>
      <c r="AP28" s="858"/>
      <c r="AQ28" s="858"/>
      <c r="AR28" s="858"/>
      <c r="AS28" s="858"/>
      <c r="AT28" s="858"/>
      <c r="AU28" s="858"/>
      <c r="AV28" s="858"/>
      <c r="AW28" s="858"/>
      <c r="AX28" s="858"/>
      <c r="AY28" s="858"/>
      <c r="AZ28" s="858"/>
      <c r="BA28" s="858"/>
      <c r="BB28" s="858"/>
      <c r="BC28" s="858"/>
      <c r="BD28" s="858"/>
      <c r="BE28" s="858"/>
      <c r="BF28" s="858"/>
      <c r="BG28" s="858"/>
      <c r="BH28" s="858"/>
      <c r="BI28" s="858"/>
      <c r="BJ28" s="858"/>
      <c r="BK28" s="858"/>
      <c r="BL28" s="858"/>
      <c r="BM28" s="858"/>
      <c r="BN28" s="858"/>
      <c r="BO28" s="858"/>
      <c r="BP28" s="858"/>
      <c r="BQ28" s="858"/>
      <c r="BR28" s="858"/>
      <c r="BS28" s="858"/>
      <c r="BT28" s="858"/>
      <c r="BU28" s="858"/>
      <c r="BV28" s="858"/>
      <c r="BW28" s="858"/>
      <c r="BX28" s="858"/>
      <c r="BY28" s="858"/>
      <c r="BZ28" s="858"/>
      <c r="CA28" s="858"/>
      <c r="CB28" s="858"/>
    </row>
    <row r="29" spans="1:80" x14ac:dyDescent="0.2">
      <c r="A29" s="857"/>
      <c r="B29" s="857"/>
      <c r="C29" s="857"/>
      <c r="D29" s="857"/>
      <c r="E29" s="857"/>
      <c r="F29" s="857"/>
      <c r="G29" s="857"/>
      <c r="H29" s="857"/>
      <c r="I29" s="857"/>
      <c r="J29" s="857"/>
      <c r="K29" s="857"/>
      <c r="L29" s="857"/>
      <c r="M29" s="857"/>
      <c r="N29" s="857"/>
      <c r="O29" s="857"/>
      <c r="P29" s="857"/>
      <c r="Q29" s="857"/>
      <c r="R29" s="857"/>
      <c r="S29" s="857"/>
      <c r="T29" s="857"/>
      <c r="U29" s="857"/>
      <c r="V29" s="857"/>
      <c r="W29" s="857"/>
      <c r="X29" s="857"/>
      <c r="Y29" s="857"/>
      <c r="Z29" s="857"/>
      <c r="AA29" s="857"/>
      <c r="AB29" s="857"/>
      <c r="AC29" s="857"/>
      <c r="AD29" s="857"/>
      <c r="AE29" s="857"/>
      <c r="AF29" s="857"/>
      <c r="AG29" s="857"/>
      <c r="AH29" s="857"/>
      <c r="AI29" s="857"/>
      <c r="AJ29" s="857"/>
      <c r="AK29" s="857"/>
      <c r="AL29" s="857"/>
      <c r="AM29" s="857"/>
      <c r="AN29" s="857"/>
      <c r="AO29" s="857"/>
      <c r="AP29" s="857"/>
      <c r="AQ29" s="857"/>
      <c r="AR29" s="857"/>
      <c r="AS29" s="857"/>
      <c r="AT29" s="857"/>
      <c r="AU29" s="857"/>
      <c r="AV29" s="857"/>
      <c r="AW29" s="857"/>
      <c r="AX29" s="857"/>
      <c r="AY29" s="857"/>
      <c r="AZ29" s="857"/>
      <c r="BA29" s="857"/>
      <c r="BB29" s="857"/>
      <c r="BC29" s="857"/>
      <c r="BD29" s="857"/>
      <c r="BE29" s="11" t="s">
        <v>146</v>
      </c>
      <c r="BF29" s="11"/>
    </row>
    <row r="30" spans="1:80" hidden="1" x14ac:dyDescent="0.2"/>
    <row r="31" spans="1:80" hidden="1" x14ac:dyDescent="0.2">
      <c r="A31" s="2"/>
      <c r="B31" s="2" t="str">
        <f>IF('Данные объект'!B19="","",'Данные объект'!B19)</f>
      </c>
      <c r="G31" s="2" t="s">
        <v>157</v>
      </c>
      <c r="H31" s="2" t="s">
        <v>158</v>
      </c>
      <c r="K31" s="2" t="s">
        <v>160</v>
      </c>
      <c r="L31" s="2" t="s">
        <v>161</v>
      </c>
      <c r="O31" s="2" t="s">
        <v>167</v>
      </c>
      <c r="P31" s="2" t="s">
        <v>170</v>
      </c>
      <c r="Q31" s="2" t="s">
        <v>168</v>
      </c>
      <c r="R31" s="2" t="s">
        <v>169</v>
      </c>
      <c r="AK31" s="2" t="str">
        <f>IF(AND('Данные объект'!B52="",'Данные объект'!B55=""),"",CONCATENATE(IF('Данные объект'!B52="","",'Данные объект'!B52),"  ",IF('Данные объект'!B55="","",'Данные объект'!B55)))</f>
      </c>
    </row>
    <row r="32" spans="1:80" x14ac:dyDescent="0.2">
      <c r="A32" s="11" t="s">
        <v>33</v>
      </c>
      <c r="B32" s="11"/>
      <c r="C32" s="11" t="s">
        <v>147</v>
      </c>
      <c r="D32" s="11"/>
    </row>
    <row r="33" spans="1:80" x14ac:dyDescent="0.2">
      <c r="C33" s="841" t="s">
        <v>379</v>
      </c>
      <c r="D33" s="841"/>
      <c r="E33" s="841"/>
      <c r="F33" s="841"/>
      <c r="G33" s="841"/>
      <c r="H33" s="841"/>
      <c r="I33" s="841"/>
      <c r="J33" s="841"/>
      <c r="K33" s="841"/>
      <c r="L33" s="841"/>
      <c r="M33" s="841"/>
      <c r="N33" s="841"/>
      <c r="O33" s="841"/>
      <c r="P33" s="841"/>
      <c r="Q33" s="841"/>
      <c r="R33" s="841"/>
      <c r="S33" s="841"/>
      <c r="T33" s="841"/>
      <c r="U33" s="841"/>
      <c r="V33" s="841"/>
      <c r="W33" s="841"/>
      <c r="X33" s="841"/>
      <c r="Y33" s="841"/>
      <c r="Z33" s="841"/>
      <c r="AA33" s="841"/>
      <c r="AB33" s="841"/>
      <c r="AC33" s="841"/>
      <c r="AD33" s="841"/>
      <c r="AE33" s="841"/>
      <c r="AF33" s="841"/>
      <c r="AG33" s="841"/>
      <c r="AH33" s="841"/>
      <c r="AI33" s="841"/>
      <c r="AJ33" s="841"/>
      <c r="AK33" s="841"/>
      <c r="AL33" s="841"/>
      <c r="AM33" s="841"/>
      <c r="AN33" s="841"/>
      <c r="AO33" s="841"/>
      <c r="AP33" s="841"/>
      <c r="AQ33" s="841"/>
      <c r="AR33" s="841"/>
      <c r="AS33" s="841"/>
      <c r="AT33" s="841"/>
      <c r="AU33" s="841"/>
      <c r="AV33" s="841"/>
      <c r="AW33" s="841"/>
      <c r="AX33" s="841"/>
      <c r="AY33" s="841"/>
      <c r="AZ33" s="841"/>
      <c r="BA33" s="841"/>
      <c r="BB33" s="841"/>
      <c r="BC33" s="841"/>
      <c r="BD33" s="841"/>
      <c r="BE33" s="841"/>
      <c r="BF33" s="841"/>
      <c r="BG33" s="841"/>
      <c r="BH33" s="841"/>
      <c r="BI33" s="841"/>
      <c r="BJ33" s="841"/>
      <c r="BK33" s="841"/>
      <c r="BL33" s="841"/>
      <c r="BM33" s="841"/>
      <c r="BN33" s="841"/>
      <c r="BO33" s="841"/>
      <c r="BP33" s="841"/>
      <c r="BQ33" s="841"/>
      <c r="BR33" s="841"/>
      <c r="BS33" s="841"/>
      <c r="BT33" s="841"/>
      <c r="BU33" s="841"/>
      <c r="BV33" s="841"/>
      <c r="BW33" s="841"/>
      <c r="BX33" s="841"/>
      <c r="BY33" s="841"/>
      <c r="BZ33" s="841"/>
      <c r="CA33" s="841"/>
      <c r="CB33" s="841"/>
    </row>
    <row r="34" spans="1:80" ht="8.4499999999999993" customHeight="1" x14ac:dyDescent="0.2">
      <c r="C34" s="858" t="s">
        <v>148</v>
      </c>
      <c r="D34" s="858"/>
      <c r="E34" s="858"/>
      <c r="F34" s="858"/>
      <c r="G34" s="858"/>
      <c r="H34" s="858"/>
      <c r="I34" s="858"/>
      <c r="J34" s="858"/>
      <c r="K34" s="858"/>
      <c r="L34" s="858"/>
      <c r="M34" s="858"/>
      <c r="N34" s="858"/>
      <c r="O34" s="858"/>
      <c r="P34" s="858"/>
      <c r="Q34" s="858"/>
      <c r="R34" s="858"/>
      <c r="S34" s="858"/>
      <c r="T34" s="858"/>
      <c r="U34" s="858"/>
      <c r="V34" s="858"/>
      <c r="W34" s="858"/>
      <c r="X34" s="858"/>
      <c r="Y34" s="858"/>
      <c r="Z34" s="858"/>
      <c r="AA34" s="858"/>
      <c r="AB34" s="858"/>
      <c r="AC34" s="858"/>
      <c r="AD34" s="858"/>
      <c r="AE34" s="858"/>
      <c r="AF34" s="858"/>
      <c r="AG34" s="858"/>
      <c r="AH34" s="858"/>
      <c r="AI34" s="858"/>
      <c r="AJ34" s="858"/>
      <c r="AK34" s="858"/>
      <c r="AL34" s="858"/>
      <c r="AM34" s="858"/>
      <c r="AN34" s="858"/>
      <c r="AO34" s="858"/>
      <c r="AP34" s="858"/>
      <c r="AQ34" s="858"/>
      <c r="AR34" s="858"/>
      <c r="AS34" s="858"/>
      <c r="AT34" s="858"/>
      <c r="AU34" s="858"/>
      <c r="AV34" s="858"/>
      <c r="AW34" s="858"/>
      <c r="AX34" s="858"/>
      <c r="AY34" s="858"/>
      <c r="AZ34" s="858"/>
      <c r="BA34" s="858"/>
      <c r="BB34" s="858"/>
      <c r="BC34" s="858"/>
      <c r="BD34" s="858"/>
      <c r="BE34" s="858"/>
      <c r="BF34" s="858"/>
      <c r="BG34" s="858"/>
      <c r="BH34" s="858"/>
      <c r="BI34" s="858"/>
      <c r="BJ34" s="858"/>
      <c r="BK34" s="858"/>
      <c r="BL34" s="858"/>
      <c r="BM34" s="858"/>
      <c r="BN34" s="858"/>
      <c r="BO34" s="858"/>
      <c r="BP34" s="858"/>
      <c r="BQ34" s="858"/>
      <c r="BR34" s="858"/>
      <c r="BS34" s="858"/>
      <c r="BT34" s="858"/>
      <c r="BU34" s="858"/>
      <c r="BV34" s="858"/>
      <c r="BW34" s="858"/>
      <c r="BX34" s="858"/>
      <c r="BY34" s="858"/>
      <c r="BZ34" s="858"/>
      <c r="CA34" s="858"/>
      <c r="CB34" s="858"/>
    </row>
    <row r="35" spans="1:80" x14ac:dyDescent="0.2">
      <c r="A35" s="11" t="s">
        <v>36</v>
      </c>
      <c r="B35" s="11"/>
      <c r="C35" s="11" t="s">
        <v>149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841" t="str">
        <f>IF('Данные объект'!B52="","",'Данные объект'!B52)</f>
      </c>
      <c r="AW35" s="841"/>
      <c r="AX35" s="841"/>
      <c r="AY35" s="841"/>
      <c r="AZ35" s="841"/>
      <c r="BA35" s="841"/>
      <c r="BB35" s="841"/>
      <c r="BC35" s="841"/>
      <c r="BD35" s="841"/>
      <c r="BE35" s="841"/>
      <c r="BF35" s="841"/>
      <c r="BG35" s="841"/>
      <c r="BH35" s="841"/>
      <c r="BI35" s="841"/>
      <c r="BJ35" s="841"/>
      <c r="BK35" s="841"/>
      <c r="BL35" s="841"/>
      <c r="BM35" s="841"/>
      <c r="BN35" s="841"/>
      <c r="BO35" s="841"/>
      <c r="BP35" s="841"/>
      <c r="BQ35" s="841"/>
      <c r="BR35" s="841"/>
      <c r="BS35" s="841"/>
      <c r="BT35" s="841"/>
      <c r="BU35" s="841"/>
      <c r="BV35" s="841"/>
      <c r="BW35" s="841"/>
      <c r="BX35" s="841"/>
      <c r="BY35" s="841"/>
      <c r="BZ35" s="841"/>
      <c r="CA35" s="841"/>
      <c r="CB35" s="841"/>
    </row>
    <row r="36" spans="1:80" x14ac:dyDescent="0.2">
      <c r="A36" s="11"/>
      <c r="B36" s="11"/>
      <c r="C36" s="841" t="str">
        <f>IF('Данные объект'!B56="","",'Данные объект'!B56)</f>
      </c>
      <c r="D36" s="841"/>
      <c r="E36" s="841"/>
      <c r="F36" s="841"/>
      <c r="G36" s="841"/>
      <c r="H36" s="841"/>
      <c r="I36" s="841"/>
      <c r="J36" s="841"/>
      <c r="K36" s="841"/>
      <c r="L36" s="841"/>
      <c r="M36" s="841"/>
      <c r="N36" s="841"/>
      <c r="O36" s="841"/>
      <c r="P36" s="841"/>
      <c r="Q36" s="841"/>
      <c r="R36" s="841"/>
      <c r="S36" s="841"/>
      <c r="T36" s="841"/>
      <c r="U36" s="841"/>
      <c r="V36" s="841"/>
      <c r="W36" s="841"/>
      <c r="X36" s="841"/>
      <c r="Y36" s="841"/>
      <c r="Z36" s="841"/>
      <c r="AA36" s="841"/>
      <c r="AB36" s="841"/>
      <c r="AC36" s="841"/>
      <c r="AD36" s="841"/>
      <c r="AE36" s="841"/>
      <c r="AF36" s="841"/>
      <c r="AG36" s="841"/>
      <c r="AH36" s="841"/>
      <c r="AI36" s="841"/>
      <c r="AJ36" s="841"/>
      <c r="AK36" s="841"/>
      <c r="AL36" s="841"/>
      <c r="AM36" s="841"/>
      <c r="AN36" s="841"/>
      <c r="AO36" s="841"/>
      <c r="AP36" s="841"/>
      <c r="AQ36" s="841"/>
      <c r="AR36" s="841"/>
      <c r="AS36" s="841"/>
      <c r="AT36" s="841"/>
      <c r="AU36" s="841"/>
      <c r="AV36" s="841"/>
      <c r="AW36" s="841"/>
      <c r="AX36" s="841"/>
      <c r="AY36" s="841"/>
      <c r="AZ36" s="841"/>
      <c r="BA36" s="841"/>
      <c r="BB36" s="841"/>
      <c r="BC36" s="841"/>
      <c r="BD36" s="841"/>
      <c r="BE36" s="841"/>
      <c r="BF36" s="841"/>
      <c r="BG36" s="841"/>
      <c r="BH36" s="841"/>
      <c r="BI36" s="841"/>
      <c r="BJ36" s="841"/>
      <c r="BK36" s="841"/>
      <c r="BL36" s="841"/>
      <c r="BM36" s="841"/>
      <c r="BN36" s="841"/>
      <c r="BO36" s="841"/>
      <c r="BP36" s="841"/>
      <c r="BQ36" s="841"/>
      <c r="BR36" s="841"/>
      <c r="BS36" s="841"/>
      <c r="BT36" s="841"/>
      <c r="BU36" s="841"/>
      <c r="BV36" s="841"/>
      <c r="BW36" s="841"/>
      <c r="BX36" s="841"/>
      <c r="BY36" s="841"/>
      <c r="BZ36" s="841"/>
      <c r="CA36" s="841"/>
      <c r="CB36" s="841"/>
    </row>
    <row r="37" spans="1:80" s="5" customFormat="1" ht="8.25" x14ac:dyDescent="0.15">
      <c r="C37" s="858" t="s">
        <v>150</v>
      </c>
      <c r="D37" s="858"/>
      <c r="E37" s="858"/>
      <c r="F37" s="858"/>
      <c r="G37" s="858"/>
      <c r="H37" s="858"/>
      <c r="I37" s="858"/>
      <c r="J37" s="858"/>
      <c r="K37" s="858"/>
      <c r="L37" s="858"/>
      <c r="M37" s="858"/>
      <c r="N37" s="858"/>
      <c r="O37" s="858"/>
      <c r="P37" s="858"/>
      <c r="Q37" s="858"/>
      <c r="R37" s="858"/>
      <c r="S37" s="858"/>
      <c r="T37" s="858"/>
      <c r="U37" s="858"/>
      <c r="V37" s="858"/>
      <c r="W37" s="858"/>
      <c r="X37" s="858"/>
      <c r="Y37" s="858"/>
      <c r="Z37" s="858"/>
      <c r="AA37" s="858"/>
      <c r="AB37" s="858"/>
      <c r="AC37" s="858"/>
      <c r="AD37" s="858"/>
      <c r="AE37" s="858"/>
      <c r="AF37" s="858"/>
      <c r="AG37" s="858"/>
      <c r="AH37" s="858"/>
      <c r="AI37" s="858"/>
      <c r="AJ37" s="858"/>
      <c r="AK37" s="858"/>
      <c r="AL37" s="858"/>
      <c r="AM37" s="858"/>
      <c r="AN37" s="858"/>
      <c r="AO37" s="858"/>
      <c r="AP37" s="858"/>
      <c r="AQ37" s="858"/>
      <c r="AR37" s="858"/>
      <c r="AS37" s="858"/>
      <c r="AT37" s="858"/>
      <c r="AU37" s="858"/>
      <c r="AV37" s="858"/>
      <c r="AW37" s="858"/>
      <c r="AX37" s="858"/>
      <c r="AY37" s="858"/>
      <c r="AZ37" s="858"/>
      <c r="BA37" s="858"/>
      <c r="BB37" s="858"/>
      <c r="BC37" s="858"/>
      <c r="BD37" s="858"/>
      <c r="BE37" s="858"/>
      <c r="BF37" s="858"/>
      <c r="BG37" s="858"/>
      <c r="BH37" s="858"/>
      <c r="BI37" s="858"/>
      <c r="BJ37" s="858"/>
      <c r="BK37" s="858"/>
      <c r="BL37" s="858"/>
      <c r="BM37" s="858"/>
      <c r="BN37" s="858"/>
      <c r="BO37" s="858"/>
      <c r="BP37" s="858"/>
      <c r="BQ37" s="858"/>
      <c r="BR37" s="858"/>
      <c r="BS37" s="858"/>
      <c r="BT37" s="858"/>
      <c r="BU37" s="858"/>
      <c r="BV37" s="858"/>
      <c r="BW37" s="858"/>
      <c r="BX37" s="858"/>
      <c r="BY37" s="858"/>
      <c r="BZ37" s="858"/>
      <c r="CA37" s="858"/>
      <c r="CB37" s="858"/>
    </row>
    <row r="38" spans="1:80" x14ac:dyDescent="0.2">
      <c r="A38" s="11" t="s">
        <v>39</v>
      </c>
      <c r="B38" s="11"/>
      <c r="C38" s="11" t="s">
        <v>151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841" t="s">
        <v>100</v>
      </c>
      <c r="U38" s="855"/>
      <c r="V38" s="855"/>
      <c r="W38" s="855"/>
      <c r="X38" s="855"/>
      <c r="Y38" s="855"/>
      <c r="Z38" s="855"/>
      <c r="AA38" s="855"/>
      <c r="AB38" s="855"/>
      <c r="AC38" s="855"/>
      <c r="AD38" s="855"/>
      <c r="AE38" s="855"/>
      <c r="AF38" s="855"/>
      <c r="AG38" s="855"/>
      <c r="AH38" s="855"/>
      <c r="AI38" s="855"/>
      <c r="AJ38" s="855"/>
      <c r="AK38" s="855"/>
      <c r="AL38" s="855"/>
      <c r="AM38" s="855"/>
      <c r="AN38" s="855"/>
      <c r="AO38" s="855"/>
      <c r="AP38" s="855"/>
      <c r="AQ38" s="855"/>
      <c r="AR38" s="855"/>
      <c r="AS38" s="855"/>
      <c r="AT38" s="855"/>
      <c r="AU38" s="855"/>
      <c r="AV38" s="855"/>
      <c r="AW38" s="855"/>
      <c r="AX38" s="855"/>
      <c r="AY38" s="855"/>
      <c r="AZ38" s="855"/>
      <c r="BA38" s="855"/>
      <c r="BB38" s="855"/>
      <c r="BC38" s="855"/>
      <c r="BD38" s="855"/>
      <c r="BE38" s="855"/>
      <c r="BF38" s="855"/>
      <c r="BG38" s="855"/>
      <c r="BH38" s="855"/>
      <c r="BI38" s="855"/>
      <c r="BJ38" s="855"/>
      <c r="BK38" s="855"/>
      <c r="BL38" s="855"/>
      <c r="BM38" s="855"/>
      <c r="BN38" s="855"/>
      <c r="BO38" s="855"/>
      <c r="BP38" s="855"/>
      <c r="BQ38" s="855"/>
      <c r="BR38" s="855"/>
      <c r="BS38" s="855"/>
      <c r="BT38" s="855"/>
      <c r="BU38" s="855"/>
      <c r="BV38" s="855"/>
      <c r="BW38" s="855"/>
      <c r="BX38" s="855"/>
      <c r="BY38" s="855"/>
      <c r="BZ38" s="855"/>
      <c r="CA38" s="855"/>
      <c r="CB38" s="855"/>
    </row>
    <row r="39" spans="1:80" x14ac:dyDescent="0.2">
      <c r="C39" s="857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O39" s="857"/>
      <c r="P39" s="857"/>
      <c r="Q39" s="857"/>
      <c r="R39" s="857"/>
      <c r="S39" s="857"/>
      <c r="T39" s="857"/>
      <c r="U39" s="857"/>
      <c r="V39" s="857"/>
      <c r="W39" s="857"/>
      <c r="X39" s="857"/>
      <c r="Y39" s="857"/>
      <c r="Z39" s="857"/>
      <c r="AA39" s="857"/>
      <c r="AB39" s="857"/>
      <c r="AC39" s="857"/>
      <c r="AD39" s="857"/>
      <c r="AE39" s="857"/>
      <c r="AF39" s="857"/>
      <c r="AG39" s="857"/>
      <c r="AH39" s="857"/>
      <c r="AI39" s="857"/>
      <c r="AJ39" s="857"/>
      <c r="AK39" s="857"/>
      <c r="AL39" s="857"/>
      <c r="AM39" s="857"/>
      <c r="AN39" s="857"/>
      <c r="AO39" s="857"/>
      <c r="AP39" s="857"/>
      <c r="AQ39" s="857"/>
      <c r="AR39" s="857"/>
      <c r="AS39" s="857"/>
      <c r="AT39" s="857"/>
      <c r="AU39" s="857"/>
      <c r="AV39" s="857"/>
      <c r="AW39" s="857"/>
      <c r="AX39" s="857"/>
      <c r="AY39" s="857"/>
      <c r="AZ39" s="857"/>
      <c r="BA39" s="857"/>
      <c r="BB39" s="857"/>
      <c r="BC39" s="857"/>
      <c r="BD39" s="857"/>
      <c r="BE39" s="857"/>
      <c r="BF39" s="857"/>
      <c r="BG39" s="857"/>
      <c r="BH39" s="857"/>
      <c r="BI39" s="857"/>
      <c r="BJ39" s="857"/>
      <c r="BK39" s="857"/>
      <c r="BL39" s="857"/>
      <c r="BM39" s="857"/>
      <c r="BN39" s="857"/>
      <c r="BO39" s="857"/>
      <c r="BP39" s="857"/>
      <c r="BQ39" s="857"/>
      <c r="BR39" s="857"/>
      <c r="BS39" s="857"/>
      <c r="BT39" s="857"/>
      <c r="BU39" s="857"/>
      <c r="BV39" s="857"/>
      <c r="BW39" s="857"/>
      <c r="BX39" s="857"/>
      <c r="BY39" s="857"/>
      <c r="BZ39" s="857"/>
      <c r="CA39" s="857"/>
      <c r="CB39" s="857"/>
    </row>
    <row r="40" spans="1:80" s="5" customFormat="1" ht="8.25" x14ac:dyDescent="0.15">
      <c r="C40" s="858" t="s">
        <v>152</v>
      </c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O40" s="858"/>
      <c r="P40" s="858"/>
      <c r="Q40" s="858"/>
      <c r="R40" s="858"/>
      <c r="S40" s="858"/>
      <c r="T40" s="858"/>
      <c r="U40" s="858"/>
      <c r="V40" s="858"/>
      <c r="W40" s="858"/>
      <c r="X40" s="858"/>
      <c r="Y40" s="858"/>
      <c r="Z40" s="858"/>
      <c r="AA40" s="858"/>
      <c r="AB40" s="858"/>
      <c r="AC40" s="858"/>
      <c r="AD40" s="858"/>
      <c r="AE40" s="858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858"/>
      <c r="BC40" s="858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</row>
    <row r="41" spans="1:80" ht="13.5" x14ac:dyDescent="0.25">
      <c r="C41" s="11" t="s">
        <v>153</v>
      </c>
      <c r="M41" s="965"/>
      <c r="N41" s="965"/>
      <c r="O41" s="965"/>
      <c r="P41" s="965"/>
      <c r="Q41" s="965"/>
      <c r="R41" s="965"/>
      <c r="S41" s="965"/>
      <c r="T41" s="965"/>
      <c r="U41" s="965"/>
      <c r="V41" s="965"/>
      <c r="W41" s="965"/>
      <c r="X41" s="965"/>
      <c r="Y41" s="965"/>
      <c r="Z41" s="965"/>
      <c r="AA41" s="965"/>
      <c r="AB41" s="965"/>
      <c r="AC41" s="965"/>
      <c r="AD41" s="965"/>
      <c r="AE41" s="965"/>
      <c r="AF41" s="965"/>
      <c r="AG41" s="965"/>
      <c r="AH41" s="965"/>
      <c r="AI41" s="965"/>
      <c r="AJ41" s="965"/>
      <c r="AK41" s="965"/>
      <c r="AL41" s="965"/>
      <c r="AM41" s="965"/>
      <c r="AN41" s="965"/>
      <c r="AO41" s="965"/>
      <c r="AP41" s="965"/>
      <c r="AQ41" s="965"/>
      <c r="AR41" s="965"/>
      <c r="AS41" s="965"/>
      <c r="AT41" s="965"/>
      <c r="AU41" s="965"/>
      <c r="AV41" s="965"/>
      <c r="AW41" s="965"/>
      <c r="AX41" s="965"/>
      <c r="AY41" s="965"/>
      <c r="AZ41" s="965"/>
      <c r="BA41" s="965"/>
      <c r="BB41" s="965"/>
      <c r="BC41" s="965"/>
      <c r="BD41" s="965"/>
      <c r="BE41" s="965"/>
      <c r="BF41" s="965"/>
      <c r="BG41" s="965"/>
      <c r="BH41" s="965"/>
      <c r="BI41" s="965"/>
      <c r="BJ41" s="965"/>
      <c r="BK41" s="965"/>
      <c r="BL41" s="965"/>
      <c r="BM41" s="965"/>
      <c r="BN41" s="965"/>
      <c r="BO41" s="965"/>
      <c r="BP41" s="965"/>
      <c r="BQ41" s="965"/>
      <c r="BR41" s="965"/>
      <c r="BS41" s="965"/>
      <c r="BT41" s="965"/>
      <c r="BU41" s="965"/>
      <c r="BV41" s="965"/>
      <c r="BW41" s="965"/>
      <c r="BX41" s="965"/>
      <c r="BY41" s="965"/>
      <c r="BZ41" s="965"/>
      <c r="CA41" s="24"/>
      <c r="CB41" s="24"/>
    </row>
    <row r="42" spans="1:80" s="5" customFormat="1" ht="8.25" x14ac:dyDescent="0.15">
      <c r="M42" s="838" t="s">
        <v>118</v>
      </c>
      <c r="N42" s="838"/>
      <c r="O42" s="838"/>
      <c r="P42" s="838"/>
      <c r="Q42" s="838"/>
      <c r="R42" s="838"/>
      <c r="S42" s="838"/>
      <c r="T42" s="838"/>
      <c r="U42" s="838"/>
      <c r="V42" s="838"/>
      <c r="W42" s="838"/>
      <c r="X42" s="838"/>
      <c r="Y42" s="838"/>
      <c r="Z42" s="838"/>
      <c r="AA42" s="838"/>
      <c r="AB42" s="838"/>
      <c r="AC42" s="838"/>
      <c r="AD42" s="838"/>
      <c r="AE42" s="838"/>
      <c r="AF42" s="838"/>
      <c r="AG42" s="838"/>
      <c r="AH42" s="838"/>
      <c r="AI42" s="838"/>
      <c r="AJ42" s="838"/>
      <c r="AK42" s="838"/>
      <c r="AL42" s="838"/>
      <c r="AM42" s="838"/>
      <c r="AN42" s="838"/>
      <c r="AO42" s="838"/>
      <c r="AP42" s="838"/>
      <c r="AQ42" s="838"/>
      <c r="AR42" s="838"/>
      <c r="AS42" s="838"/>
      <c r="AT42" s="838"/>
      <c r="AU42" s="838"/>
      <c r="AV42" s="838"/>
      <c r="AW42" s="838"/>
      <c r="AX42" s="838"/>
      <c r="AY42" s="838"/>
      <c r="AZ42" s="838"/>
      <c r="BA42" s="838"/>
      <c r="BB42" s="838"/>
      <c r="BC42" s="838"/>
      <c r="BD42" s="838"/>
      <c r="BE42" s="838"/>
      <c r="BF42" s="838"/>
      <c r="BG42" s="838"/>
      <c r="BH42" s="838"/>
      <c r="BI42" s="838"/>
      <c r="BJ42" s="838"/>
      <c r="BK42" s="838"/>
      <c r="BL42" s="838"/>
      <c r="BM42" s="838"/>
      <c r="BN42" s="838"/>
      <c r="BO42" s="838"/>
      <c r="BP42" s="838"/>
      <c r="BQ42" s="838"/>
      <c r="BR42" s="838"/>
      <c r="BS42" s="838"/>
      <c r="BT42" s="838"/>
      <c r="BU42" s="838"/>
      <c r="BV42" s="838"/>
      <c r="BW42" s="838"/>
      <c r="BX42" s="838"/>
      <c r="BY42" s="838"/>
      <c r="BZ42" s="838"/>
      <c r="CA42" s="838"/>
      <c r="CB42" s="838"/>
    </row>
    <row r="43" spans="1:80" x14ac:dyDescent="0.2">
      <c r="A43" s="11" t="s">
        <v>41</v>
      </c>
      <c r="B43" s="11"/>
      <c r="C43" s="11" t="s">
        <v>154</v>
      </c>
      <c r="D43" s="11"/>
      <c r="AI43" s="841" t="s">
        <v>157</v>
      </c>
      <c r="AJ43" s="841"/>
      <c r="AK43" s="841"/>
      <c r="AL43" s="841"/>
      <c r="AM43" s="841"/>
      <c r="AN43" s="841"/>
      <c r="AO43" s="841"/>
      <c r="AP43" s="841"/>
      <c r="AQ43" s="841"/>
      <c r="AR43" s="841"/>
      <c r="AS43" s="841"/>
      <c r="AT43" s="841"/>
      <c r="AU43" s="841"/>
      <c r="AV43" s="841"/>
      <c r="AW43" s="841"/>
      <c r="AX43" s="841"/>
      <c r="AY43" s="841"/>
      <c r="AZ43" s="841"/>
      <c r="BA43" s="841"/>
      <c r="BB43" s="841"/>
      <c r="BC43" s="841"/>
      <c r="BD43" s="841"/>
      <c r="BE43" s="841"/>
      <c r="BF43" s="841"/>
      <c r="BG43" s="841"/>
      <c r="BH43" s="841"/>
      <c r="BI43" s="841"/>
      <c r="BJ43" s="841"/>
      <c r="BK43" s="841"/>
      <c r="BL43" s="841"/>
      <c r="BM43" s="841"/>
      <c r="BN43" s="841"/>
      <c r="BP43" s="11" t="s">
        <v>156</v>
      </c>
    </row>
    <row r="44" spans="1:80" s="5" customFormat="1" ht="8.25" x14ac:dyDescent="0.15">
      <c r="AI44" s="858" t="s">
        <v>155</v>
      </c>
      <c r="AJ44" s="858"/>
      <c r="AK44" s="858"/>
      <c r="AL44" s="858"/>
      <c r="AM44" s="858"/>
      <c r="AN44" s="858"/>
      <c r="AO44" s="858"/>
      <c r="AP44" s="858"/>
      <c r="AQ44" s="858"/>
      <c r="AR44" s="858"/>
      <c r="AS44" s="858"/>
      <c r="AT44" s="858"/>
      <c r="AU44" s="858"/>
      <c r="AV44" s="858"/>
      <c r="AW44" s="858"/>
      <c r="AX44" s="858"/>
      <c r="AY44" s="858"/>
      <c r="AZ44" s="858"/>
      <c r="BA44" s="858"/>
      <c r="BB44" s="858"/>
      <c r="BC44" s="858"/>
      <c r="BD44" s="858"/>
      <c r="BE44" s="858"/>
      <c r="BF44" s="858"/>
      <c r="BG44" s="858"/>
      <c r="BH44" s="858"/>
      <c r="BI44" s="858"/>
      <c r="BJ44" s="858"/>
      <c r="BK44" s="858"/>
      <c r="BL44" s="858"/>
      <c r="BM44" s="858"/>
      <c r="BN44" s="858"/>
    </row>
    <row r="45" spans="1:80" s="5" customFormat="1" ht="11.25" x14ac:dyDescent="0.2">
      <c r="A45" s="11" t="s">
        <v>42</v>
      </c>
      <c r="B45" s="11"/>
      <c r="C45" s="11" t="s">
        <v>159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841" t="s">
        <v>351</v>
      </c>
      <c r="BL45" s="841"/>
      <c r="BM45" s="841"/>
      <c r="BN45" s="841"/>
      <c r="BO45" s="841"/>
      <c r="BP45" s="841"/>
      <c r="BQ45" s="841"/>
      <c r="BR45" s="841"/>
      <c r="BS45" s="841"/>
      <c r="BT45" s="841"/>
      <c r="BU45" s="841"/>
      <c r="BV45" s="841"/>
      <c r="BW45" s="841"/>
      <c r="BX45" s="841"/>
      <c r="BY45" s="841"/>
      <c r="BZ45" s="841"/>
      <c r="CA45" s="841"/>
      <c r="CB45" s="11"/>
    </row>
    <row r="46" spans="1:80" x14ac:dyDescent="0.2">
      <c r="A46" s="11"/>
      <c r="B46" s="11"/>
      <c r="C46" s="11" t="s">
        <v>162</v>
      </c>
      <c r="D46" s="11"/>
      <c r="E46" s="11"/>
      <c r="F46" s="11"/>
      <c r="G46" s="11"/>
      <c r="H46" s="11"/>
      <c r="I46" s="11"/>
      <c r="J46" s="11"/>
      <c r="K46" s="347"/>
      <c r="L46" s="347"/>
      <c r="M46" s="347"/>
      <c r="N46" s="928">
        <v>100</v>
      </c>
      <c r="O46" s="928"/>
      <c r="P46" s="928"/>
      <c r="Q46" s="928"/>
      <c r="R46" s="928"/>
      <c r="S46" s="928"/>
      <c r="T46" s="928"/>
      <c r="U46" s="928"/>
      <c r="V46" s="347"/>
      <c r="W46" s="347" t="s">
        <v>163</v>
      </c>
      <c r="X46" s="347"/>
      <c r="Y46" s="347"/>
      <c r="Z46" s="347"/>
      <c r="AA46" s="347"/>
      <c r="AB46" s="347"/>
      <c r="AC46" s="347"/>
      <c r="AD46" s="347"/>
      <c r="AE46" s="347"/>
      <c r="AF46" s="347"/>
      <c r="AG46" s="347"/>
      <c r="AH46" s="347"/>
      <c r="AI46" s="347"/>
      <c r="AJ46" s="347"/>
      <c r="AK46" s="347"/>
      <c r="AL46" s="347"/>
      <c r="AM46" s="347"/>
      <c r="AN46" s="347"/>
      <c r="AO46" s="347"/>
      <c r="AP46" s="347"/>
      <c r="AQ46" s="347"/>
      <c r="AR46" s="347"/>
      <c r="AS46" s="347"/>
      <c r="AT46" s="347"/>
      <c r="AU46" s="347"/>
      <c r="AV46" s="347"/>
      <c r="AW46" s="347"/>
      <c r="AX46" s="347"/>
      <c r="AY46" s="347"/>
      <c r="AZ46" s="928" t="s">
        <v>1369</v>
      </c>
      <c r="BA46" s="928"/>
      <c r="BB46" s="928"/>
      <c r="BC46" s="928"/>
      <c r="BD46" s="928"/>
      <c r="BE46" s="928"/>
      <c r="BF46" s="928"/>
      <c r="BG46" s="928"/>
      <c r="BH46" s="928"/>
      <c r="BI46" s="928"/>
      <c r="BJ46" s="928"/>
      <c r="BK46" s="928"/>
      <c r="BL46" s="928"/>
      <c r="BM46" s="928"/>
      <c r="BN46" s="928"/>
      <c r="BO46" s="928"/>
      <c r="BP46" s="928"/>
      <c r="BQ46" s="928"/>
      <c r="BR46" s="928"/>
      <c r="BS46" s="928"/>
      <c r="BT46" s="928"/>
      <c r="BU46" s="928"/>
      <c r="BV46" s="928"/>
      <c r="BW46" s="928"/>
      <c r="BX46" s="928"/>
      <c r="BY46" s="928"/>
      <c r="BZ46" s="928"/>
      <c r="CA46" s="928"/>
      <c r="CB46" s="928"/>
    </row>
    <row r="47" spans="1:80" x14ac:dyDescent="0.2">
      <c r="A47" s="11"/>
      <c r="B47" s="11"/>
      <c r="C47" s="11" t="s">
        <v>164</v>
      </c>
      <c r="D47" s="11"/>
      <c r="E47" s="11"/>
      <c r="F47" s="11"/>
      <c r="G47" s="11"/>
      <c r="H47" s="11"/>
      <c r="I47" s="11"/>
      <c r="J47" s="11"/>
      <c r="K47" s="928">
        <v>1000</v>
      </c>
      <c r="L47" s="928"/>
      <c r="M47" s="928"/>
      <c r="N47" s="928"/>
      <c r="O47" s="928"/>
      <c r="P47" s="928"/>
      <c r="Q47" s="928"/>
      <c r="R47" s="928"/>
      <c r="S47" s="347"/>
      <c r="T47" s="347" t="s">
        <v>165</v>
      </c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/>
      <c r="AO47" s="966" t="s">
        <v>101</v>
      </c>
      <c r="AP47" s="966"/>
      <c r="AQ47" s="966"/>
      <c r="AR47" s="966"/>
      <c r="AS47" s="966"/>
      <c r="AT47" s="966"/>
      <c r="AU47" s="966"/>
      <c r="AV47" s="966"/>
      <c r="AW47" s="966"/>
      <c r="AX47" s="966"/>
      <c r="AY47" s="966"/>
      <c r="AZ47" s="966"/>
      <c r="BA47" s="966"/>
      <c r="BB47" s="966"/>
      <c r="BC47" s="966"/>
      <c r="BD47" s="966"/>
      <c r="BE47" s="966"/>
      <c r="BF47" s="966"/>
      <c r="BG47" s="966"/>
      <c r="BH47" s="966"/>
      <c r="BI47" s="966"/>
      <c r="BJ47" s="966"/>
      <c r="BK47" s="966"/>
      <c r="BL47" s="966"/>
      <c r="BM47" s="966"/>
      <c r="BN47" s="966"/>
      <c r="BO47" s="966"/>
      <c r="BP47" s="966"/>
      <c r="BQ47" s="966"/>
      <c r="BR47" s="966"/>
      <c r="BS47" s="966"/>
      <c r="BT47" s="966"/>
      <c r="BU47" s="966"/>
      <c r="BV47" s="966"/>
      <c r="BW47" s="966"/>
      <c r="BX47" s="966"/>
      <c r="BY47" s="966"/>
      <c r="BZ47" s="966"/>
      <c r="CA47" s="966"/>
      <c r="CB47" s="966"/>
    </row>
    <row r="48" spans="1:80" s="5" customFormat="1" ht="8.25" x14ac:dyDescent="0.15">
      <c r="AO48" s="858" t="s">
        <v>166</v>
      </c>
      <c r="AP48" s="858"/>
      <c r="AQ48" s="858"/>
      <c r="AR48" s="858"/>
      <c r="AS48" s="858"/>
      <c r="AT48" s="858"/>
      <c r="AU48" s="858"/>
      <c r="AV48" s="858"/>
      <c r="AW48" s="858"/>
      <c r="AX48" s="858"/>
      <c r="AY48" s="858"/>
      <c r="AZ48" s="858"/>
      <c r="BA48" s="858"/>
      <c r="BB48" s="858"/>
      <c r="BC48" s="858"/>
      <c r="BD48" s="858"/>
      <c r="BE48" s="858"/>
      <c r="BF48" s="858"/>
      <c r="BG48" s="858"/>
      <c r="BH48" s="858"/>
      <c r="BI48" s="858"/>
      <c r="BJ48" s="858"/>
      <c r="BK48" s="858"/>
      <c r="BL48" s="858"/>
      <c r="BM48" s="858"/>
      <c r="BN48" s="858"/>
      <c r="BO48" s="858"/>
      <c r="BP48" s="858"/>
      <c r="BQ48" s="858"/>
      <c r="BR48" s="858"/>
      <c r="BS48" s="858"/>
      <c r="BT48" s="858"/>
      <c r="BU48" s="858"/>
      <c r="BV48" s="858"/>
      <c r="BW48" s="858"/>
      <c r="BX48" s="858"/>
      <c r="BY48" s="858"/>
      <c r="BZ48" s="858"/>
      <c r="CA48" s="858"/>
      <c r="CB48" s="858"/>
    </row>
    <row r="49" spans="1:80" x14ac:dyDescent="0.2">
      <c r="A49" s="11" t="s">
        <v>47</v>
      </c>
      <c r="B49" s="11"/>
      <c r="C49" s="11" t="s">
        <v>171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</row>
    <row r="50" spans="1:80" x14ac:dyDescent="0.2">
      <c r="A50" s="11" t="s">
        <v>50</v>
      </c>
      <c r="B50" s="11"/>
      <c r="C50" s="11" t="s">
        <v>172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855"/>
      <c r="AQ50" s="855"/>
      <c r="AR50" s="855"/>
      <c r="AS50" s="855"/>
      <c r="AT50" s="855"/>
      <c r="AU50" s="855"/>
      <c r="AV50" s="855"/>
      <c r="AW50" s="855"/>
      <c r="AX50" s="855"/>
      <c r="AY50" s="855"/>
      <c r="AZ50" s="855"/>
      <c r="BA50" s="855"/>
      <c r="BB50" s="855"/>
      <c r="BC50" s="855"/>
      <c r="BD50" s="855"/>
      <c r="BE50" s="855"/>
      <c r="BF50" s="855"/>
      <c r="BG50" s="855"/>
      <c r="BH50" s="855"/>
      <c r="BI50" s="855"/>
      <c r="BJ50" s="855"/>
      <c r="BK50" s="855"/>
      <c r="BL50" s="855"/>
      <c r="BM50" s="855"/>
      <c r="BN50" s="855"/>
      <c r="BO50" s="855"/>
      <c r="BP50" s="855"/>
      <c r="BQ50" s="855"/>
      <c r="BR50" s="855"/>
      <c r="BS50" s="855"/>
      <c r="BT50" s="855"/>
      <c r="BU50" s="855"/>
      <c r="BV50" s="855"/>
      <c r="BW50" s="855"/>
      <c r="BX50" s="855"/>
      <c r="BY50" s="855"/>
      <c r="BZ50" s="855"/>
      <c r="CA50" s="855"/>
      <c r="CB50" s="855"/>
    </row>
    <row r="51" spans="1:80" x14ac:dyDescent="0.2">
      <c r="A51" s="11"/>
      <c r="B51" s="11"/>
      <c r="C51" s="855"/>
      <c r="D51" s="855"/>
      <c r="E51" s="855"/>
      <c r="F51" s="855"/>
      <c r="G51" s="855"/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855"/>
      <c r="BL51" s="855"/>
      <c r="BM51" s="855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  <c r="BX51" s="855"/>
      <c r="BY51" s="855"/>
      <c r="BZ51" s="855"/>
      <c r="CA51" s="855"/>
      <c r="CB51" s="855"/>
    </row>
    <row r="52" spans="1:80" x14ac:dyDescent="0.2">
      <c r="A52" s="11" t="s">
        <v>51</v>
      </c>
      <c r="B52" s="11"/>
      <c r="C52" s="11" t="s">
        <v>173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</row>
    <row r="53" spans="1:80" x14ac:dyDescent="0.2">
      <c r="A53" s="11" t="s">
        <v>174</v>
      </c>
      <c r="B53" s="11"/>
      <c r="C53" s="11" t="s">
        <v>175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841" t="s">
        <v>100</v>
      </c>
      <c r="R53" s="855"/>
      <c r="S53" s="855"/>
      <c r="T53" s="855"/>
      <c r="U53" s="855"/>
      <c r="V53" s="855"/>
      <c r="W53" s="855"/>
      <c r="X53" s="855"/>
      <c r="Y53" s="855"/>
      <c r="Z53" s="855"/>
      <c r="AA53" s="855"/>
      <c r="AB53" s="855"/>
      <c r="AC53" s="855"/>
      <c r="AD53" s="855"/>
      <c r="AE53" s="855"/>
      <c r="AF53" s="855"/>
      <c r="AG53" s="855"/>
      <c r="AH53" s="855"/>
      <c r="AI53" s="855"/>
      <c r="AJ53" s="855"/>
      <c r="AK53" s="855"/>
      <c r="AL53" s="855"/>
      <c r="AM53" s="855"/>
      <c r="AN53" s="855"/>
      <c r="AO53" s="855"/>
      <c r="AP53" s="855"/>
      <c r="AQ53" s="855"/>
      <c r="AR53" s="855"/>
      <c r="AS53" s="855"/>
      <c r="AT53" s="855"/>
      <c r="AU53" s="855"/>
      <c r="AV53" s="855"/>
      <c r="AW53" s="855"/>
      <c r="AX53" s="855"/>
      <c r="AY53" s="855"/>
      <c r="AZ53" s="855"/>
      <c r="BA53" s="855"/>
      <c r="BB53" s="855"/>
      <c r="BC53" s="855"/>
      <c r="BD53" s="855"/>
      <c r="BE53" s="855"/>
      <c r="BF53" s="855"/>
      <c r="BG53" s="855"/>
      <c r="BH53" s="855"/>
      <c r="BI53" s="855"/>
      <c r="BJ53" s="855"/>
      <c r="BK53" s="855"/>
      <c r="BL53" s="855"/>
      <c r="BM53" s="855"/>
      <c r="BN53" s="855"/>
      <c r="BO53" s="855"/>
      <c r="BP53" s="855"/>
      <c r="BQ53" s="855"/>
      <c r="BR53" s="855"/>
      <c r="BS53" s="855"/>
      <c r="BT53" s="855"/>
      <c r="BU53" s="855"/>
      <c r="BV53" s="855"/>
      <c r="BW53" s="855"/>
      <c r="BX53" s="855"/>
      <c r="BY53" s="855"/>
      <c r="BZ53" s="855"/>
      <c r="CA53" s="855"/>
      <c r="CB53" s="855"/>
    </row>
    <row r="54" spans="1:80" x14ac:dyDescent="0.2">
      <c r="A54" s="11"/>
      <c r="B54" s="11"/>
      <c r="C54" s="855"/>
      <c r="D54" s="855"/>
      <c r="E54" s="855"/>
      <c r="F54" s="855"/>
      <c r="G54" s="855"/>
      <c r="H54" s="855"/>
      <c r="I54" s="855"/>
      <c r="J54" s="855"/>
      <c r="K54" s="855"/>
      <c r="L54" s="855"/>
      <c r="M54" s="855"/>
      <c r="N54" s="855"/>
      <c r="O54" s="855"/>
      <c r="P54" s="855"/>
      <c r="Q54" s="855"/>
      <c r="R54" s="855"/>
      <c r="S54" s="855"/>
      <c r="T54" s="855"/>
      <c r="U54" s="855"/>
      <c r="V54" s="855"/>
      <c r="W54" s="855"/>
      <c r="X54" s="855"/>
      <c r="Y54" s="855"/>
      <c r="Z54" s="855"/>
      <c r="AA54" s="855"/>
      <c r="AB54" s="855"/>
      <c r="AC54" s="855"/>
      <c r="AD54" s="855"/>
      <c r="AE54" s="855"/>
      <c r="AF54" s="855"/>
      <c r="AG54" s="855"/>
      <c r="AH54" s="855"/>
      <c r="AI54" s="855"/>
      <c r="AJ54" s="855"/>
      <c r="AK54" s="855"/>
      <c r="AL54" s="855"/>
      <c r="AM54" s="855"/>
      <c r="AN54" s="855"/>
      <c r="AO54" s="855"/>
      <c r="AP54" s="855"/>
      <c r="AQ54" s="855"/>
      <c r="AR54" s="855"/>
      <c r="AS54" s="855"/>
      <c r="AT54" s="855"/>
      <c r="AU54" s="855"/>
      <c r="AV54" s="855"/>
      <c r="AW54" s="855"/>
      <c r="AX54" s="855"/>
      <c r="AY54" s="855"/>
      <c r="AZ54" s="855"/>
      <c r="BA54" s="855"/>
      <c r="BB54" s="855"/>
      <c r="BC54" s="855"/>
      <c r="BD54" s="855"/>
      <c r="BE54" s="855"/>
      <c r="BF54" s="855"/>
      <c r="BG54" s="855"/>
      <c r="BH54" s="855"/>
      <c r="BI54" s="855"/>
      <c r="BJ54" s="855"/>
      <c r="BK54" s="855"/>
      <c r="BL54" s="855"/>
      <c r="BM54" s="855"/>
      <c r="BN54" s="855"/>
      <c r="BO54" s="855"/>
      <c r="BP54" s="855"/>
      <c r="BQ54" s="855"/>
      <c r="BR54" s="855"/>
      <c r="BS54" s="855"/>
      <c r="BT54" s="855"/>
      <c r="BU54" s="855"/>
      <c r="BV54" s="855"/>
      <c r="BW54" s="855"/>
      <c r="BX54" s="855"/>
      <c r="BY54" s="855"/>
      <c r="BZ54" s="855"/>
      <c r="CA54" s="855"/>
      <c r="CB54" s="855"/>
    </row>
    <row r="55" spans="1:80" ht="7.5" customHeight="1" x14ac:dyDescent="0.2">
      <c r="A55" s="11"/>
      <c r="B55" s="11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</row>
    <row r="56" spans="1:80" x14ac:dyDescent="0.2">
      <c r="A56" s="45" t="s">
        <v>53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</row>
    <row r="57" spans="1:80" x14ac:dyDescent="0.2">
      <c r="A57" s="11"/>
      <c r="B57" s="11" t="s">
        <v>176</v>
      </c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</row>
    <row r="58" spans="1:80" x14ac:dyDescent="0.2">
      <c r="A58" s="45" t="s">
        <v>177</v>
      </c>
      <c r="B58" s="45"/>
      <c r="C58" s="11"/>
      <c r="D58" s="11"/>
      <c r="E58" s="11"/>
      <c r="F58" s="11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</row>
    <row r="59" spans="1:80" ht="10.5" customHeight="1" x14ac:dyDescent="0.2">
      <c r="B59" s="2" t="s">
        <v>350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0" ht="7.5" customHeight="1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0" x14ac:dyDescent="0.2">
      <c r="D61" s="45" t="s">
        <v>59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855"/>
      <c r="AN61" s="855"/>
      <c r="AO61" s="855"/>
      <c r="AP61" s="855"/>
      <c r="AQ61" s="855"/>
      <c r="AR61" s="855"/>
      <c r="AS61" s="855"/>
      <c r="AT61" s="855"/>
      <c r="AU61" s="855"/>
      <c r="AV61" s="855"/>
      <c r="AW61" s="855"/>
      <c r="AX61" s="855"/>
      <c r="AY61" s="855"/>
      <c r="AZ61" s="11"/>
      <c r="BA61" s="11"/>
      <c r="BB61" s="11"/>
      <c r="BC61" s="831" t="str">
        <f>IF('Данные объект'!B42="","",'Данные объект'!B42)</f>
      </c>
      <c r="BD61" s="831"/>
      <c r="BE61" s="831"/>
      <c r="BF61" s="831"/>
      <c r="BG61" s="831"/>
      <c r="BH61" s="831"/>
      <c r="BI61" s="831"/>
      <c r="BJ61" s="831"/>
      <c r="BK61" s="831"/>
      <c r="BL61" s="831"/>
      <c r="BM61" s="831"/>
      <c r="BN61" s="831"/>
      <c r="BO61" s="831"/>
      <c r="BP61" s="831"/>
      <c r="BQ61" s="831"/>
    </row>
    <row r="62" spans="1:80" s="5" customFormat="1" ht="9.75" x14ac:dyDescent="0.2">
      <c r="C62" s="20"/>
      <c r="E62" s="21"/>
      <c r="F62" s="21"/>
      <c r="G62" s="20"/>
      <c r="H62" s="20"/>
      <c r="I62" s="20"/>
      <c r="J62" s="20"/>
      <c r="K62" s="20"/>
      <c r="L62" s="20"/>
      <c r="M62" s="20"/>
      <c r="AM62" s="858" t="s">
        <v>2</v>
      </c>
      <c r="AN62" s="858"/>
      <c r="AO62" s="858"/>
      <c r="AP62" s="858"/>
      <c r="AQ62" s="858"/>
      <c r="AR62" s="858"/>
      <c r="AS62" s="858"/>
      <c r="AT62" s="858"/>
      <c r="AU62" s="858"/>
      <c r="AV62" s="858"/>
      <c r="AW62" s="858"/>
      <c r="AX62" s="858"/>
      <c r="AY62" s="858"/>
    </row>
    <row r="63" spans="1:80" s="5" customFormat="1" x14ac:dyDescent="0.2">
      <c r="C63" s="20"/>
      <c r="D63" s="21"/>
      <c r="E63" s="21"/>
      <c r="F63" s="21"/>
      <c r="G63" s="20"/>
      <c r="H63" s="20"/>
      <c r="I63" s="20"/>
      <c r="J63" s="20"/>
      <c r="K63" s="20"/>
      <c r="L63" s="20"/>
      <c r="M63" s="20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</row>
    <row r="64" spans="1:80" ht="13.5" outlineLevel="1" x14ac:dyDescent="0.25">
      <c r="C64" s="3"/>
      <c r="D64" s="10"/>
      <c r="E64" s="10"/>
      <c r="F64" s="10"/>
      <c r="G64" s="3"/>
      <c r="H64" s="3"/>
      <c r="I64" s="3"/>
      <c r="J64" s="3"/>
      <c r="K64" s="3"/>
      <c r="L64" s="3"/>
      <c r="M64" s="3"/>
      <c r="AM64" s="857"/>
      <c r="AN64" s="857"/>
      <c r="AO64" s="857"/>
      <c r="AP64" s="857"/>
      <c r="AQ64" s="857"/>
      <c r="AR64" s="857"/>
      <c r="AS64" s="857"/>
      <c r="AT64" s="857"/>
      <c r="AU64" s="857"/>
      <c r="AV64" s="857"/>
      <c r="AW64" s="857"/>
      <c r="AX64" s="857"/>
      <c r="AY64" s="857"/>
      <c r="BC64" s="831" t="str">
        <f>IF('Данные объект'!B47="","",'Данные объект'!B47)</f>
      </c>
      <c r="BD64" s="831"/>
      <c r="BE64" s="831"/>
      <c r="BF64" s="831"/>
      <c r="BG64" s="831"/>
      <c r="BH64" s="831"/>
      <c r="BI64" s="831"/>
      <c r="BJ64" s="831"/>
      <c r="BK64" s="831"/>
      <c r="BL64" s="831"/>
      <c r="BM64" s="831"/>
      <c r="BN64" s="831"/>
      <c r="BO64" s="831"/>
      <c r="BP64" s="831"/>
      <c r="BQ64" s="831"/>
    </row>
    <row r="65" spans="3:80" s="5" customFormat="1" ht="9.75" outlineLevel="1" x14ac:dyDescent="0.2">
      <c r="C65" s="20"/>
      <c r="E65" s="21"/>
      <c r="F65" s="21"/>
      <c r="G65" s="20"/>
      <c r="H65" s="20"/>
      <c r="I65" s="20"/>
      <c r="J65" s="20"/>
      <c r="K65" s="20"/>
      <c r="L65" s="20"/>
      <c r="M65" s="20"/>
      <c r="AM65" s="858" t="s">
        <v>2</v>
      </c>
      <c r="AN65" s="858"/>
      <c r="AO65" s="858"/>
      <c r="AP65" s="858"/>
      <c r="AQ65" s="858"/>
      <c r="AR65" s="858"/>
      <c r="AS65" s="858"/>
      <c r="AT65" s="858"/>
      <c r="AU65" s="858"/>
      <c r="AV65" s="858"/>
      <c r="AW65" s="858"/>
      <c r="AX65" s="858"/>
      <c r="AY65" s="858"/>
    </row>
    <row r="66" spans="3:80" s="5" customFormat="1" outlineLevel="1" x14ac:dyDescent="0.2">
      <c r="C66" s="20"/>
      <c r="D66" s="21"/>
      <c r="E66" s="21"/>
      <c r="F66" s="21"/>
      <c r="G66" s="20"/>
      <c r="H66" s="20"/>
      <c r="I66" s="20"/>
      <c r="J66" s="20"/>
      <c r="K66" s="20"/>
      <c r="L66" s="20"/>
      <c r="M66" s="20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</row>
    <row r="67" spans="3:80" x14ac:dyDescent="0.2">
      <c r="C67" s="3"/>
      <c r="D67" s="45" t="s">
        <v>61</v>
      </c>
      <c r="E67" s="45"/>
      <c r="F67" s="45"/>
      <c r="G67" s="57"/>
      <c r="H67" s="57"/>
      <c r="I67" s="57"/>
      <c r="J67" s="57"/>
      <c r="K67" s="57"/>
      <c r="L67" s="57"/>
      <c r="M67" s="5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855"/>
      <c r="AN67" s="855"/>
      <c r="AO67" s="855"/>
      <c r="AP67" s="855"/>
      <c r="AQ67" s="855"/>
      <c r="AR67" s="855"/>
      <c r="AS67" s="855"/>
      <c r="AT67" s="855"/>
      <c r="AU67" s="855"/>
      <c r="AV67" s="855"/>
      <c r="AW67" s="855"/>
      <c r="AX67" s="855"/>
      <c r="AY67" s="855"/>
      <c r="AZ67" s="11"/>
      <c r="BA67" s="11"/>
      <c r="BB67" s="11"/>
      <c r="BC67" s="831" t="str">
        <f>IF('Данные объект'!B28="","",'Данные объект'!B28)</f>
      </c>
      <c r="BD67" s="831"/>
      <c r="BE67" s="831"/>
      <c r="BF67" s="831"/>
      <c r="BG67" s="831"/>
      <c r="BH67" s="831"/>
      <c r="BI67" s="831"/>
      <c r="BJ67" s="831"/>
      <c r="BK67" s="831"/>
      <c r="BL67" s="831"/>
      <c r="BM67" s="831"/>
      <c r="BN67" s="831"/>
      <c r="BO67" s="831"/>
      <c r="BP67" s="831"/>
      <c r="BQ67" s="831"/>
    </row>
    <row r="68" spans="3:80" s="5" customFormat="1" ht="9.75" x14ac:dyDescent="0.2">
      <c r="C68" s="20"/>
      <c r="E68" s="21"/>
      <c r="F68" s="21"/>
      <c r="G68" s="20"/>
      <c r="H68" s="20"/>
      <c r="I68" s="20"/>
      <c r="J68" s="20"/>
      <c r="K68" s="20"/>
      <c r="L68" s="20"/>
      <c r="M68" s="20"/>
      <c r="AM68" s="858" t="s">
        <v>2</v>
      </c>
      <c r="AN68" s="858"/>
      <c r="AO68" s="858"/>
      <c r="AP68" s="858"/>
      <c r="AQ68" s="858"/>
      <c r="AR68" s="858"/>
      <c r="AS68" s="858"/>
      <c r="AT68" s="858"/>
      <c r="AU68" s="858"/>
      <c r="AV68" s="858"/>
      <c r="AW68" s="858"/>
      <c r="AX68" s="858"/>
      <c r="AY68" s="858"/>
    </row>
    <row r="69" spans="3:80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</row>
  </sheetData>
  <mergeCells count="58">
    <mergeCell ref="AM67:AY67"/>
    <mergeCell ref="BC67:BQ67"/>
    <mergeCell ref="AM68:AY68"/>
    <mergeCell ref="AM61:AY61"/>
    <mergeCell ref="BC61:BQ61"/>
    <mergeCell ref="AM62:AY62"/>
    <mergeCell ref="AM64:AY64"/>
    <mergeCell ref="BC64:BQ64"/>
    <mergeCell ref="AM65:AY65"/>
    <mergeCell ref="AO48:CB48"/>
    <mergeCell ref="AP50:CB50"/>
    <mergeCell ref="C51:CB51"/>
    <mergeCell ref="C54:CB54"/>
    <mergeCell ref="Q53:CB53"/>
    <mergeCell ref="AI44:BN44"/>
    <mergeCell ref="N46:U46"/>
    <mergeCell ref="K47:R47"/>
    <mergeCell ref="AO47:CB47"/>
    <mergeCell ref="BK45:CA45"/>
    <mergeCell ref="AZ46:CB46"/>
    <mergeCell ref="C40:CB40"/>
    <mergeCell ref="M42:CB42"/>
    <mergeCell ref="M41:BZ41"/>
    <mergeCell ref="AI43:BN43"/>
    <mergeCell ref="C34:CB34"/>
    <mergeCell ref="AV35:CB35"/>
    <mergeCell ref="C36:CB36"/>
    <mergeCell ref="C37:CB37"/>
    <mergeCell ref="C39:CB39"/>
    <mergeCell ref="T38:CB38"/>
    <mergeCell ref="AD27:CA27"/>
    <mergeCell ref="AD28:CB28"/>
    <mergeCell ref="A29:BD29"/>
    <mergeCell ref="C33:CB33"/>
    <mergeCell ref="A20:CB20"/>
    <mergeCell ref="A22:CB22"/>
    <mergeCell ref="A23:CB23"/>
    <mergeCell ref="A25:CB25"/>
    <mergeCell ref="A26:CB26"/>
    <mergeCell ref="A19:CB19"/>
    <mergeCell ref="A6:AI6"/>
    <mergeCell ref="A10:AI10"/>
    <mergeCell ref="A11:AI11"/>
    <mergeCell ref="A12:AI12"/>
    <mergeCell ref="AR6:BZ6"/>
    <mergeCell ref="AR7:BZ9"/>
    <mergeCell ref="A9:AI9"/>
    <mergeCell ref="AR10:BZ10"/>
    <mergeCell ref="AR11:BZ11"/>
    <mergeCell ref="AR12:BZ12"/>
    <mergeCell ref="A15:CB15"/>
    <mergeCell ref="A14:CB14"/>
    <mergeCell ref="A2:AI2"/>
    <mergeCell ref="A3:AI3"/>
    <mergeCell ref="A4:AI5"/>
    <mergeCell ref="AR1:BZ2"/>
    <mergeCell ref="AR3:BZ3"/>
    <mergeCell ref="AR4:BZ5"/>
  </mergeCells>
  <dataValidations count="2">
    <dataValidation type="list" allowBlank="1" showInputMessage="1" showErrorMessage="1" sqref="M41:BZ41" xr:uid="{00000000-0002-0000-1300-000001000000}">
      <formula1>$AJ$31:$AK$31</formula1>
    </dataValidation>
    <dataValidation type="list" allowBlank="1" showInputMessage="1" showErrorMessage="1" sqref="AI43:BN43" xr:uid="{00000000-0002-0000-1300-000002000000}">
      <formula1>$G$31:$H$31</formula1>
    </dataValidation>
  </dataValidations>
  <pageMargins left="0.40625" right="0.19685039370078741" top="0.29166666666666669" bottom="0.25" header="0.11811023622047245" footer="0.1181102362204724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CB77"/>
  <sheetViews>
    <sheetView view="pageBreakPreview" topLeftCell="A25" zoomScaleNormal="100" zoomScaleSheetLayoutView="100" workbookViewId="0">
      <selection activeCell="DJ50" sqref="DJ50"/>
    </sheetView>
  </sheetViews>
  <sheetFormatPr defaultColWidth="9.140625" defaultRowHeight="15" outlineLevelRow="2" x14ac:dyDescent="0.25"/>
  <cols>
    <col min="1" max="136" width="1.140625" style="1" customWidth="1"/>
    <col min="137" max="16384" width="9.140625" style="1"/>
  </cols>
  <sheetData>
    <row r="1" spans="1:80" s="2" customFormat="1" ht="7.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2"/>
      <c r="AK2" s="2"/>
      <c r="AL2" s="2"/>
      <c r="AM2" s="2"/>
      <c r="AN2" s="2"/>
      <c r="AO2" s="2"/>
      <c r="AP2" s="2"/>
      <c r="AQ2" s="2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9" customHeight="1" x14ac:dyDescent="0.25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J4" s="2"/>
      <c r="AK4" s="2"/>
      <c r="AL4" s="2"/>
      <c r="AM4" s="2"/>
      <c r="AN4" s="2"/>
      <c r="AO4" s="2"/>
      <c r="AP4" s="2"/>
      <c r="AQ4" s="2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64"/>
      <c r="CB4" s="64"/>
    </row>
    <row r="5" spans="1:80" ht="4.1500000000000004" customHeight="1" x14ac:dyDescent="0.25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J5" s="2"/>
      <c r="AK5" s="2"/>
      <c r="AL5" s="2"/>
      <c r="AM5" s="2"/>
      <c r="AN5" s="2"/>
      <c r="AO5" s="2"/>
      <c r="AP5" s="2"/>
      <c r="AQ5" s="2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64"/>
      <c r="CB5" s="64"/>
    </row>
    <row r="6" spans="1:80" s="5" customFormat="1" ht="8.25" x14ac:dyDescent="0.1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</row>
    <row r="7" spans="1:80" ht="31.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"/>
      <c r="AK7" s="2"/>
      <c r="AL7" s="2"/>
      <c r="AM7" s="2"/>
      <c r="AN7" s="2"/>
      <c r="AO7" s="2"/>
      <c r="AP7" s="2"/>
      <c r="AQ7" s="2"/>
      <c r="AR7" s="836" t="str">
        <f>IF('Данные объект'!B3="","",'Данные объект'!B3)</f>
      </c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9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2"/>
      <c r="AK8" s="2"/>
      <c r="AL8" s="2"/>
      <c r="AM8" s="2"/>
      <c r="AN8" s="2"/>
      <c r="AO8" s="2"/>
      <c r="AP8" s="2"/>
      <c r="AQ8" s="2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14.25" customHeight="1" x14ac:dyDescent="0.25">
      <c r="A9" s="837" t="str">
        <f>IF('Данные объект'!B16="","",'Данные объект'!B16)</f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J9" s="2"/>
      <c r="AK9" s="2"/>
      <c r="AL9" s="2"/>
      <c r="AM9" s="2"/>
      <c r="AN9" s="2"/>
      <c r="AO9" s="2"/>
      <c r="AP9" s="2"/>
      <c r="AQ9" s="2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10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2" customHeight="1" x14ac:dyDescent="0.25">
      <c r="A12" s="838"/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  <c r="AH12" s="838"/>
      <c r="AI12" s="838"/>
      <c r="AJ12" s="5"/>
      <c r="AK12" s="5"/>
      <c r="AL12" s="5"/>
      <c r="AM12" s="5"/>
      <c r="AN12" s="5"/>
      <c r="AO12" s="5"/>
      <c r="AP12" s="5"/>
      <c r="AQ12" s="5"/>
      <c r="AR12" s="843" t="s">
        <v>1345</v>
      </c>
      <c r="AS12" s="843"/>
      <c r="AT12" s="843"/>
      <c r="AU12" s="843"/>
      <c r="AV12" s="843"/>
      <c r="AW12" s="843"/>
      <c r="AX12" s="843"/>
      <c r="AY12" s="843"/>
      <c r="AZ12" s="843"/>
      <c r="BA12" s="843"/>
      <c r="BB12" s="843"/>
      <c r="BC12" s="843"/>
      <c r="BD12" s="843"/>
      <c r="BE12" s="843"/>
      <c r="BF12" s="843"/>
      <c r="BG12" s="843"/>
      <c r="BH12" s="843"/>
      <c r="BI12" s="843"/>
      <c r="BJ12" s="843"/>
      <c r="BK12" s="843"/>
      <c r="BL12" s="843"/>
      <c r="BM12" s="843"/>
      <c r="BN12" s="843"/>
      <c r="BO12" s="843"/>
      <c r="BP12" s="843"/>
      <c r="BQ12" s="843"/>
      <c r="BR12" s="843"/>
      <c r="BS12" s="843"/>
      <c r="BT12" s="843"/>
      <c r="BU12" s="843"/>
      <c r="BV12" s="843"/>
      <c r="BW12" s="843"/>
      <c r="BX12" s="843"/>
      <c r="BY12" s="843"/>
      <c r="BZ12" s="843"/>
      <c r="CA12" s="67"/>
      <c r="CB12" s="67"/>
    </row>
    <row r="13" spans="1:80" s="5" customFormat="1" ht="8.25" x14ac:dyDescent="0.15"/>
    <row r="14" spans="1:80" s="19" customFormat="1" ht="15.75" x14ac:dyDescent="0.25">
      <c r="A14" s="851" t="s">
        <v>1236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15.75" x14ac:dyDescent="0.25">
      <c r="A15" s="851" t="s">
        <v>1242</v>
      </c>
      <c r="B15" s="851"/>
      <c r="C15" s="851"/>
      <c r="D15" s="851"/>
      <c r="E15" s="851"/>
      <c r="F15" s="851"/>
      <c r="G15" s="851"/>
      <c r="H15" s="851"/>
      <c r="I15" s="851"/>
      <c r="J15" s="851"/>
      <c r="K15" s="851"/>
      <c r="L15" s="851"/>
      <c r="M15" s="851"/>
      <c r="N15" s="851"/>
      <c r="O15" s="851"/>
      <c r="P15" s="851"/>
      <c r="Q15" s="851"/>
      <c r="R15" s="851"/>
      <c r="S15" s="851"/>
      <c r="T15" s="851"/>
      <c r="U15" s="851"/>
      <c r="V15" s="851"/>
      <c r="W15" s="851"/>
      <c r="X15" s="851"/>
      <c r="Y15" s="851"/>
      <c r="Z15" s="851"/>
      <c r="AA15" s="851"/>
      <c r="AB15" s="851"/>
      <c r="AC15" s="851"/>
      <c r="AD15" s="851"/>
      <c r="AE15" s="851"/>
      <c r="AF15" s="851"/>
      <c r="AG15" s="851"/>
      <c r="AH15" s="851"/>
      <c r="AI15" s="851"/>
      <c r="AJ15" s="851"/>
      <c r="AK15" s="851"/>
      <c r="AL15" s="851"/>
      <c r="AM15" s="851"/>
      <c r="AN15" s="851"/>
      <c r="AO15" s="851"/>
      <c r="AP15" s="851"/>
      <c r="AQ15" s="851"/>
      <c r="AR15" s="851"/>
      <c r="AS15" s="851"/>
      <c r="AT15" s="851"/>
      <c r="AU15" s="851"/>
      <c r="AV15" s="851"/>
      <c r="AW15" s="851"/>
      <c r="AX15" s="851"/>
      <c r="AY15" s="851"/>
      <c r="AZ15" s="851"/>
      <c r="BA15" s="851"/>
      <c r="BB15" s="851"/>
      <c r="BC15" s="851"/>
      <c r="BD15" s="851"/>
      <c r="BE15" s="851"/>
      <c r="BF15" s="851"/>
      <c r="BG15" s="851"/>
      <c r="BH15" s="851"/>
      <c r="BI15" s="851"/>
      <c r="BJ15" s="851"/>
      <c r="BK15" s="851"/>
      <c r="BL15" s="851"/>
      <c r="BM15" s="851"/>
      <c r="BN15" s="851"/>
      <c r="BO15" s="851"/>
      <c r="BP15" s="851"/>
      <c r="BQ15" s="851"/>
      <c r="BR15" s="851"/>
      <c r="BS15" s="851"/>
      <c r="BT15" s="851"/>
      <c r="BU15" s="851"/>
      <c r="BV15" s="851"/>
      <c r="BW15" s="851"/>
      <c r="BX15" s="851"/>
      <c r="BY15" s="851"/>
      <c r="BZ15" s="851"/>
      <c r="CA15" s="851"/>
      <c r="CB15" s="851"/>
    </row>
    <row r="16" spans="1:80" s="2" customFormat="1" ht="12.75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s="2" customFormat="1" ht="12.75" x14ac:dyDescent="0.2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s="2" customFormat="1" ht="12.75" x14ac:dyDescent="0.2">
      <c r="A18" s="926" t="str">
        <f>IF('Данные объект'!C42="","",'Данные объект'!C42)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80" s="6" customFormat="1" ht="8.25" x14ac:dyDescent="0.25">
      <c r="A19" s="967" t="s">
        <v>31</v>
      </c>
      <c r="B19" s="967"/>
      <c r="C19" s="967"/>
      <c r="D19" s="967"/>
      <c r="E19" s="967"/>
      <c r="F19" s="967"/>
      <c r="G19" s="967"/>
      <c r="H19" s="967"/>
      <c r="I19" s="967"/>
      <c r="J19" s="967"/>
      <c r="K19" s="967"/>
      <c r="L19" s="967"/>
      <c r="M19" s="967"/>
      <c r="N19" s="967"/>
      <c r="O19" s="967"/>
      <c r="P19" s="967"/>
      <c r="Q19" s="967"/>
      <c r="R19" s="967"/>
      <c r="S19" s="967"/>
      <c r="T19" s="967"/>
      <c r="U19" s="967"/>
      <c r="V19" s="967"/>
      <c r="W19" s="967"/>
      <c r="X19" s="967"/>
      <c r="Y19" s="967"/>
      <c r="Z19" s="967"/>
      <c r="AA19" s="967"/>
      <c r="AB19" s="967"/>
      <c r="AC19" s="967"/>
      <c r="AD19" s="967"/>
      <c r="AE19" s="967"/>
      <c r="AF19" s="967"/>
      <c r="AG19" s="967"/>
      <c r="AH19" s="967"/>
      <c r="AI19" s="967"/>
      <c r="AJ19" s="967"/>
      <c r="AK19" s="967"/>
      <c r="AL19" s="967"/>
      <c r="AM19" s="967"/>
      <c r="AN19" s="967"/>
      <c r="AO19" s="967"/>
      <c r="AP19" s="967"/>
      <c r="AQ19" s="967"/>
      <c r="AR19" s="967"/>
      <c r="AS19" s="967"/>
      <c r="AT19" s="967"/>
      <c r="AU19" s="967"/>
      <c r="AV19" s="967"/>
      <c r="AW19" s="967"/>
      <c r="AX19" s="967"/>
      <c r="AY19" s="967"/>
      <c r="AZ19" s="967"/>
      <c r="BA19" s="967"/>
      <c r="BB19" s="967"/>
      <c r="BC19" s="967"/>
      <c r="BD19" s="967"/>
      <c r="BE19" s="967"/>
      <c r="BF19" s="967"/>
      <c r="BG19" s="967"/>
      <c r="BH19" s="967"/>
      <c r="BI19" s="967"/>
      <c r="BJ19" s="967"/>
      <c r="BK19" s="967"/>
      <c r="BL19" s="967"/>
      <c r="BM19" s="967"/>
      <c r="BN19" s="967"/>
      <c r="BO19" s="967"/>
      <c r="BP19" s="967"/>
      <c r="BQ19" s="967"/>
      <c r="BR19" s="967"/>
      <c r="BS19" s="967"/>
      <c r="BT19" s="967"/>
      <c r="BU19" s="967"/>
      <c r="BV19" s="967"/>
      <c r="BW19" s="967"/>
      <c r="BX19" s="967"/>
      <c r="BY19" s="967"/>
      <c r="BZ19" s="967"/>
      <c r="CA19" s="967"/>
      <c r="CB19" s="967"/>
    </row>
    <row r="20" spans="1:80" s="2" customFormat="1" ht="12.75" hidden="1" outlineLevel="1" x14ac:dyDescent="0.2">
      <c r="A20" s="2" t="s">
        <v>29</v>
      </c>
    </row>
    <row r="21" spans="1:80" s="2" customFormat="1" ht="12.75" outlineLevel="1" x14ac:dyDescent="0.2">
      <c r="A21" s="831" t="str">
        <f>IF('Данные объект'!C45="","",'Данные объект'!C45)</f>
      </c>
      <c r="B21" s="831"/>
      <c r="C21" s="831"/>
      <c r="D21" s="831"/>
      <c r="E21" s="831"/>
      <c r="F21" s="831"/>
      <c r="G21" s="831"/>
      <c r="H21" s="831"/>
      <c r="I21" s="831"/>
      <c r="J21" s="831"/>
      <c r="K21" s="831"/>
      <c r="L21" s="831"/>
      <c r="M21" s="831"/>
      <c r="N21" s="831"/>
      <c r="O21" s="831"/>
      <c r="P21" s="831"/>
      <c r="Q21" s="831"/>
      <c r="R21" s="831"/>
      <c r="S21" s="831"/>
      <c r="T21" s="831"/>
      <c r="U21" s="831"/>
      <c r="V21" s="831"/>
      <c r="W21" s="831"/>
      <c r="X21" s="831"/>
      <c r="Y21" s="831"/>
      <c r="Z21" s="831"/>
      <c r="AA21" s="831"/>
      <c r="AB21" s="831"/>
      <c r="AC21" s="831"/>
      <c r="AD21" s="831"/>
      <c r="AE21" s="831"/>
      <c r="AF21" s="831"/>
      <c r="AG21" s="831"/>
      <c r="AH21" s="831"/>
      <c r="AI21" s="831"/>
      <c r="AJ21" s="831"/>
      <c r="AK21" s="831"/>
      <c r="AL21" s="831"/>
      <c r="AM21" s="831"/>
      <c r="AN21" s="831"/>
      <c r="AO21" s="831"/>
      <c r="AP21" s="831"/>
      <c r="AQ21" s="831"/>
      <c r="AR21" s="831"/>
      <c r="AS21" s="831"/>
      <c r="AT21" s="831"/>
      <c r="AU21" s="831"/>
      <c r="AV21" s="831"/>
      <c r="AW21" s="831"/>
      <c r="AX21" s="831"/>
      <c r="AY21" s="831"/>
      <c r="AZ21" s="831"/>
      <c r="BA21" s="831"/>
      <c r="BB21" s="831"/>
      <c r="BC21" s="831"/>
      <c r="BD21" s="831"/>
      <c r="BE21" s="831"/>
      <c r="BF21" s="831"/>
      <c r="BG21" s="831"/>
      <c r="BH21" s="831"/>
      <c r="BI21" s="831"/>
      <c r="BJ21" s="831"/>
      <c r="BK21" s="831"/>
      <c r="BL21" s="831"/>
      <c r="BM21" s="831"/>
      <c r="BN21" s="831"/>
      <c r="BO21" s="831"/>
      <c r="BP21" s="831"/>
      <c r="BQ21" s="831"/>
      <c r="BR21" s="831"/>
      <c r="BS21" s="831"/>
      <c r="BT21" s="831"/>
      <c r="BU21" s="831"/>
      <c r="BV21" s="831"/>
      <c r="BW21" s="831"/>
      <c r="BX21" s="831"/>
      <c r="BY21" s="831"/>
      <c r="BZ21" s="831"/>
      <c r="CA21" s="831"/>
      <c r="CB21" s="831"/>
    </row>
    <row r="22" spans="1:80" s="6" customFormat="1" ht="8.25" outlineLevel="1" x14ac:dyDescent="0.2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</row>
    <row r="23" spans="1:80" s="2" customFormat="1" ht="12.75" x14ac:dyDescent="0.2">
      <c r="A23" s="11" t="s">
        <v>30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</row>
    <row r="24" spans="1:80" s="2" customFormat="1" ht="12.75" x14ac:dyDescent="0.2">
      <c r="A24" s="968" t="str">
        <f>IF('Данные объект'!C28="","",'Данные объект'!C28)</f>
      </c>
      <c r="B24" s="968"/>
      <c r="C24" s="968"/>
      <c r="D24" s="968"/>
      <c r="E24" s="968"/>
      <c r="F24" s="968"/>
      <c r="G24" s="968"/>
      <c r="H24" s="968"/>
      <c r="I24" s="968"/>
      <c r="J24" s="968"/>
      <c r="K24" s="968"/>
      <c r="L24" s="968"/>
      <c r="M24" s="968"/>
      <c r="N24" s="968"/>
      <c r="O24" s="968"/>
      <c r="P24" s="968"/>
      <c r="Q24" s="968"/>
      <c r="R24" s="968"/>
      <c r="S24" s="968"/>
      <c r="T24" s="968"/>
      <c r="U24" s="968"/>
      <c r="V24" s="968"/>
      <c r="W24" s="968"/>
      <c r="X24" s="968"/>
      <c r="Y24" s="968"/>
      <c r="Z24" s="968"/>
      <c r="AA24" s="968"/>
      <c r="AB24" s="968"/>
      <c r="AC24" s="968"/>
      <c r="AD24" s="968"/>
      <c r="AE24" s="968"/>
      <c r="AF24" s="968"/>
      <c r="AG24" s="968"/>
      <c r="AH24" s="968"/>
      <c r="AI24" s="968"/>
      <c r="AJ24" s="968"/>
      <c r="AK24" s="968"/>
      <c r="AL24" s="968"/>
      <c r="AM24" s="968"/>
      <c r="AN24" s="968"/>
      <c r="AO24" s="968"/>
      <c r="AP24" s="968"/>
      <c r="AQ24" s="968"/>
      <c r="AR24" s="968"/>
      <c r="AS24" s="968"/>
      <c r="AT24" s="968"/>
      <c r="AU24" s="968"/>
      <c r="AV24" s="968"/>
      <c r="AW24" s="968"/>
      <c r="AX24" s="968"/>
      <c r="AY24" s="968"/>
      <c r="AZ24" s="968"/>
      <c r="BA24" s="968"/>
      <c r="BB24" s="968"/>
      <c r="BC24" s="968"/>
      <c r="BD24" s="968"/>
      <c r="BE24" s="968"/>
      <c r="BF24" s="968"/>
      <c r="BG24" s="968"/>
      <c r="BH24" s="968"/>
      <c r="BI24" s="968"/>
      <c r="BJ24" s="968"/>
      <c r="BK24" s="968"/>
      <c r="BL24" s="968"/>
      <c r="BM24" s="968"/>
      <c r="BN24" s="968"/>
      <c r="BO24" s="968"/>
      <c r="BP24" s="968"/>
      <c r="BQ24" s="968"/>
      <c r="BR24" s="968"/>
      <c r="BS24" s="968"/>
      <c r="BT24" s="968"/>
      <c r="BU24" s="968"/>
      <c r="BV24" s="968"/>
      <c r="BW24" s="968"/>
      <c r="BX24" s="968"/>
      <c r="BY24" s="968"/>
      <c r="BZ24" s="968"/>
      <c r="CA24" s="968"/>
      <c r="CB24" s="968"/>
    </row>
    <row r="25" spans="1:80" s="6" customFormat="1" ht="8.25" x14ac:dyDescent="0.25">
      <c r="A25" s="970" t="s">
        <v>31</v>
      </c>
      <c r="B25" s="970"/>
      <c r="C25" s="970"/>
      <c r="D25" s="970"/>
      <c r="E25" s="970"/>
      <c r="F25" s="970"/>
      <c r="G25" s="970"/>
      <c r="H25" s="970"/>
      <c r="I25" s="970"/>
      <c r="J25" s="970"/>
      <c r="K25" s="970"/>
      <c r="L25" s="970"/>
      <c r="M25" s="970"/>
      <c r="N25" s="970"/>
      <c r="O25" s="970"/>
      <c r="P25" s="970"/>
      <c r="Q25" s="970"/>
      <c r="R25" s="970"/>
      <c r="S25" s="970"/>
      <c r="T25" s="970"/>
      <c r="U25" s="970"/>
      <c r="V25" s="970"/>
      <c r="W25" s="970"/>
      <c r="X25" s="970"/>
      <c r="Y25" s="970"/>
      <c r="Z25" s="970"/>
      <c r="AA25" s="970"/>
      <c r="AB25" s="970"/>
      <c r="AC25" s="970"/>
      <c r="AD25" s="970"/>
      <c r="AE25" s="970"/>
      <c r="AF25" s="970"/>
      <c r="AG25" s="970"/>
      <c r="AH25" s="970"/>
      <c r="AI25" s="970"/>
      <c r="AJ25" s="970"/>
      <c r="AK25" s="970"/>
      <c r="AL25" s="970"/>
      <c r="AM25" s="970"/>
      <c r="AN25" s="970"/>
      <c r="AO25" s="970"/>
      <c r="AP25" s="970"/>
      <c r="AQ25" s="970"/>
      <c r="AR25" s="970"/>
      <c r="AS25" s="970"/>
      <c r="AT25" s="970"/>
      <c r="AU25" s="970"/>
      <c r="AV25" s="970"/>
      <c r="AW25" s="970"/>
      <c r="AX25" s="970"/>
      <c r="AY25" s="970"/>
      <c r="AZ25" s="970"/>
      <c r="BA25" s="970"/>
      <c r="BB25" s="970"/>
      <c r="BC25" s="970"/>
      <c r="BD25" s="970"/>
      <c r="BE25" s="970"/>
      <c r="BF25" s="970"/>
      <c r="BG25" s="970"/>
      <c r="BH25" s="970"/>
      <c r="BI25" s="970"/>
      <c r="BJ25" s="970"/>
      <c r="BK25" s="970"/>
      <c r="BL25" s="970"/>
      <c r="BM25" s="970"/>
      <c r="BN25" s="970"/>
      <c r="BO25" s="970"/>
      <c r="BP25" s="970"/>
      <c r="BQ25" s="970"/>
      <c r="BR25" s="970"/>
      <c r="BS25" s="970"/>
      <c r="BT25" s="970"/>
      <c r="BU25" s="970"/>
      <c r="BV25" s="970"/>
      <c r="BW25" s="970"/>
      <c r="BX25" s="970"/>
      <c r="BY25" s="970"/>
      <c r="BZ25" s="970"/>
      <c r="CA25" s="348"/>
      <c r="CB25" s="348"/>
    </row>
    <row r="26" spans="1:80" s="2" customFormat="1" ht="12.75" x14ac:dyDescent="0.2">
      <c r="A26" s="347" t="s">
        <v>111</v>
      </c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928" t="str">
        <f>IF('КЛ-1'!AZ46="","",'КЛ-1'!AZ46)</f>
      </c>
      <c r="P26" s="928"/>
      <c r="Q26" s="928"/>
      <c r="R26" s="928"/>
      <c r="S26" s="928"/>
      <c r="T26" s="928"/>
      <c r="U26" s="928"/>
      <c r="V26" s="928"/>
      <c r="W26" s="928"/>
      <c r="X26" s="928"/>
      <c r="Y26" s="928"/>
      <c r="Z26" s="928"/>
      <c r="AA26" s="928"/>
      <c r="AB26" s="928"/>
      <c r="AC26" s="928"/>
      <c r="AD26" s="928"/>
      <c r="AE26" s="928"/>
      <c r="AF26" s="928"/>
      <c r="AG26" s="928"/>
      <c r="AH26" s="928"/>
      <c r="AI26" s="928"/>
      <c r="AJ26" s="928"/>
      <c r="AK26" s="928"/>
      <c r="AL26" s="928"/>
      <c r="AM26" s="928"/>
      <c r="AN26" s="928"/>
      <c r="AO26" s="928"/>
      <c r="AP26" s="928"/>
      <c r="AQ26" s="928"/>
      <c r="AR26" s="928"/>
      <c r="AS26" s="928"/>
      <c r="AT26" s="928"/>
      <c r="AU26" s="928"/>
      <c r="AV26" s="928"/>
      <c r="AW26" s="928"/>
      <c r="AX26" s="928"/>
      <c r="AY26" s="928"/>
      <c r="AZ26" s="928"/>
      <c r="BA26" s="928"/>
      <c r="BB26" s="928"/>
      <c r="BC26" s="928"/>
      <c r="BD26" s="928"/>
      <c r="BE26" s="928"/>
      <c r="BF26" s="928"/>
      <c r="BG26" s="928"/>
      <c r="BH26" s="928"/>
      <c r="BI26" s="928"/>
      <c r="BJ26" s="928"/>
      <c r="BK26" s="928"/>
      <c r="BL26" s="928"/>
      <c r="BM26" s="349"/>
      <c r="BN26" s="347" t="s">
        <v>112</v>
      </c>
      <c r="BO26" s="349"/>
      <c r="BP26" s="349"/>
      <c r="BQ26" s="349"/>
      <c r="BR26" s="349"/>
      <c r="BS26" s="349"/>
      <c r="BT26" s="349"/>
      <c r="BU26" s="349"/>
      <c r="BV26" s="349"/>
      <c r="BW26" s="349"/>
      <c r="BX26" s="349"/>
      <c r="BY26" s="349"/>
      <c r="BZ26" s="349"/>
      <c r="CA26" s="349"/>
      <c r="CB26" s="349"/>
    </row>
    <row r="27" spans="1:80" s="5" customFormat="1" ht="8.25" x14ac:dyDescent="0.15">
      <c r="A27" s="350"/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969" t="s">
        <v>113</v>
      </c>
      <c r="P27" s="969"/>
      <c r="Q27" s="969"/>
      <c r="R27" s="969"/>
      <c r="S27" s="969"/>
      <c r="T27" s="969"/>
      <c r="U27" s="969"/>
      <c r="V27" s="969"/>
      <c r="W27" s="969"/>
      <c r="X27" s="969"/>
      <c r="Y27" s="969"/>
      <c r="Z27" s="969"/>
      <c r="AA27" s="969"/>
      <c r="AB27" s="969"/>
      <c r="AC27" s="969"/>
      <c r="AD27" s="969"/>
      <c r="AE27" s="969"/>
      <c r="AF27" s="969"/>
      <c r="AG27" s="969"/>
      <c r="AH27" s="969"/>
      <c r="AI27" s="969"/>
      <c r="AJ27" s="969"/>
      <c r="AK27" s="969"/>
      <c r="AL27" s="969"/>
      <c r="AM27" s="969"/>
      <c r="AN27" s="969"/>
      <c r="AO27" s="969"/>
      <c r="AP27" s="969"/>
      <c r="AQ27" s="969"/>
      <c r="AR27" s="969"/>
      <c r="AS27" s="969"/>
      <c r="AT27" s="969"/>
      <c r="AU27" s="969"/>
      <c r="AV27" s="969"/>
      <c r="AW27" s="969"/>
      <c r="AX27" s="969"/>
      <c r="AY27" s="969"/>
      <c r="AZ27" s="969"/>
      <c r="BA27" s="969"/>
      <c r="BB27" s="969"/>
      <c r="BC27" s="969"/>
      <c r="BD27" s="969"/>
      <c r="BE27" s="969"/>
      <c r="BF27" s="969"/>
      <c r="BG27" s="969"/>
      <c r="BH27" s="969"/>
      <c r="BI27" s="969"/>
      <c r="BJ27" s="969"/>
      <c r="BK27" s="969"/>
      <c r="BL27" s="969"/>
      <c r="BM27" s="350"/>
      <c r="BN27" s="350"/>
      <c r="BO27" s="350"/>
      <c r="BP27" s="350"/>
      <c r="BQ27" s="350"/>
      <c r="BR27" s="350"/>
      <c r="BS27" s="350"/>
      <c r="BT27" s="350"/>
      <c r="BU27" s="350"/>
      <c r="BV27" s="350"/>
      <c r="BW27" s="350"/>
      <c r="BX27" s="350"/>
      <c r="BY27" s="350"/>
      <c r="BZ27" s="350"/>
      <c r="CA27" s="350"/>
      <c r="CB27" s="350"/>
    </row>
    <row r="28" spans="1:80" s="2" customFormat="1" ht="12.75" x14ac:dyDescent="0.2">
      <c r="A28" s="841" t="s">
        <v>199</v>
      </c>
      <c r="B28" s="841"/>
      <c r="C28" s="841"/>
      <c r="D28" s="841"/>
      <c r="E28" s="841"/>
      <c r="F28" s="841"/>
      <c r="G28" s="841"/>
      <c r="H28" s="841"/>
      <c r="I28" s="841"/>
      <c r="J28" s="841"/>
      <c r="K28" s="841"/>
      <c r="L28" s="841"/>
      <c r="M28" s="841"/>
      <c r="N28" s="841"/>
      <c r="O28" s="841"/>
      <c r="P28" s="841"/>
      <c r="Q28" s="841"/>
      <c r="R28" s="841"/>
      <c r="S28" s="841"/>
      <c r="T28" s="841"/>
      <c r="U28" s="841"/>
      <c r="V28" s="841"/>
      <c r="W28" s="841"/>
      <c r="X28" s="841"/>
      <c r="Y28" s="841"/>
      <c r="Z28" s="841"/>
      <c r="AA28" s="841"/>
      <c r="AB28" s="841"/>
      <c r="AC28" s="841"/>
      <c r="AD28" s="841"/>
      <c r="AE28" s="841"/>
      <c r="AF28" s="841"/>
      <c r="AG28" s="841"/>
      <c r="AH28" s="841"/>
      <c r="AI28" s="841"/>
      <c r="AJ28" s="841"/>
      <c r="AK28" s="841"/>
      <c r="AL28" s="841"/>
      <c r="AM28" s="841"/>
      <c r="AN28" s="841"/>
      <c r="AO28" s="841"/>
      <c r="AP28" s="841"/>
      <c r="AQ28" s="841"/>
      <c r="AR28" s="841"/>
      <c r="AS28" s="841"/>
      <c r="AT28" s="841"/>
      <c r="AU28" s="841"/>
      <c r="AV28" s="841"/>
      <c r="AW28" s="841"/>
      <c r="AX28" s="841"/>
      <c r="AY28" s="841"/>
      <c r="AZ28" s="841"/>
      <c r="BA28" s="841"/>
      <c r="BB28" s="841"/>
      <c r="BC28" s="841"/>
      <c r="BD28" s="841"/>
      <c r="BE28" s="841"/>
      <c r="BF28" s="841"/>
      <c r="BG28" s="841"/>
      <c r="BH28" s="841"/>
      <c r="BI28" s="841"/>
      <c r="BJ28" s="841"/>
      <c r="BK28" s="841"/>
      <c r="BL28" s="841"/>
      <c r="BM28" s="841"/>
      <c r="BN28" s="841"/>
      <c r="BO28" s="841"/>
      <c r="BP28" s="841"/>
      <c r="BQ28" s="841"/>
      <c r="BR28" s="841"/>
      <c r="BS28" s="841"/>
      <c r="BT28" s="841"/>
      <c r="BU28" s="841"/>
      <c r="BV28" s="841"/>
      <c r="BW28" s="841"/>
      <c r="BX28" s="841"/>
      <c r="BY28" s="841"/>
      <c r="BZ28" s="841"/>
      <c r="CA28" s="841"/>
      <c r="CB28" s="841"/>
    </row>
    <row r="29" spans="1:80" s="5" customFormat="1" ht="8.25" x14ac:dyDescent="0.15">
      <c r="A29" s="858" t="s">
        <v>114</v>
      </c>
      <c r="B29" s="858"/>
      <c r="C29" s="858"/>
      <c r="D29" s="858"/>
      <c r="E29" s="858"/>
      <c r="F29" s="858"/>
      <c r="G29" s="858"/>
      <c r="H29" s="858"/>
      <c r="I29" s="858"/>
      <c r="J29" s="858"/>
      <c r="K29" s="858"/>
      <c r="L29" s="858"/>
      <c r="M29" s="858"/>
      <c r="N29" s="858"/>
      <c r="O29" s="858"/>
      <c r="P29" s="858"/>
      <c r="Q29" s="858"/>
      <c r="R29" s="858"/>
      <c r="S29" s="858"/>
      <c r="T29" s="858"/>
      <c r="U29" s="858"/>
      <c r="V29" s="858"/>
      <c r="W29" s="858"/>
      <c r="X29" s="858"/>
      <c r="Y29" s="858"/>
      <c r="Z29" s="858"/>
      <c r="AA29" s="858"/>
      <c r="AB29" s="858"/>
      <c r="AC29" s="858"/>
      <c r="AD29" s="858"/>
      <c r="AE29" s="858"/>
      <c r="AF29" s="858"/>
      <c r="AG29" s="858"/>
      <c r="AH29" s="858"/>
      <c r="AI29" s="858"/>
      <c r="AJ29" s="858"/>
      <c r="AK29" s="858"/>
      <c r="AL29" s="858"/>
      <c r="AM29" s="858"/>
      <c r="AN29" s="858"/>
      <c r="AO29" s="858"/>
      <c r="AP29" s="858"/>
      <c r="AQ29" s="858"/>
      <c r="AR29" s="858"/>
      <c r="AS29" s="858"/>
      <c r="AT29" s="858"/>
      <c r="AU29" s="858"/>
      <c r="AV29" s="858"/>
      <c r="AW29" s="858"/>
      <c r="AX29" s="858"/>
      <c r="AY29" s="858"/>
      <c r="AZ29" s="858"/>
      <c r="BA29" s="858"/>
      <c r="BB29" s="858"/>
      <c r="BC29" s="858"/>
      <c r="BD29" s="858"/>
      <c r="BE29" s="858"/>
      <c r="BF29" s="858"/>
      <c r="BG29" s="858"/>
      <c r="BH29" s="858"/>
      <c r="BI29" s="858"/>
      <c r="BJ29" s="858"/>
      <c r="BK29" s="858"/>
      <c r="BL29" s="858"/>
      <c r="BM29" s="858"/>
      <c r="BN29" s="858"/>
      <c r="BO29" s="858"/>
      <c r="BP29" s="858"/>
      <c r="BQ29" s="858"/>
      <c r="BR29" s="858"/>
      <c r="BS29" s="858"/>
      <c r="BT29" s="858"/>
      <c r="BU29" s="858"/>
      <c r="BV29" s="858"/>
      <c r="BW29" s="858"/>
      <c r="BX29" s="858"/>
      <c r="BY29" s="858"/>
      <c r="BZ29" s="858"/>
      <c r="CA29" s="858"/>
      <c r="CB29" s="858"/>
    </row>
    <row r="30" spans="1:80" s="2" customFormat="1" ht="12.75" x14ac:dyDescent="0.2"/>
    <row r="31" spans="1:80" s="2" customFormat="1" ht="12.75" x14ac:dyDescent="0.2">
      <c r="A31" s="11" t="s">
        <v>115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s="2" customFormat="1" ht="12.75" x14ac:dyDescent="0.2">
      <c r="A32" s="11" t="s">
        <v>33</v>
      </c>
      <c r="B32" s="11"/>
      <c r="C32" s="11" t="s">
        <v>116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841" t="str">
        <f>IF('Данные объект'!B56="","",'Данные объект'!B56)</f>
      </c>
      <c r="AH32" s="841"/>
      <c r="AI32" s="841"/>
      <c r="AJ32" s="841"/>
      <c r="AK32" s="841"/>
      <c r="AL32" s="841"/>
      <c r="AM32" s="841"/>
      <c r="AN32" s="841"/>
      <c r="AO32" s="841"/>
      <c r="AP32" s="841"/>
      <c r="AQ32" s="841"/>
      <c r="AR32" s="841"/>
      <c r="AS32" s="841"/>
      <c r="AT32" s="841"/>
      <c r="AU32" s="841"/>
      <c r="AV32" s="841"/>
      <c r="AW32" s="841"/>
      <c r="AX32" s="841"/>
      <c r="AY32" s="841"/>
      <c r="AZ32" s="841"/>
      <c r="BA32" s="841"/>
      <c r="BB32" s="841"/>
      <c r="BC32" s="841"/>
      <c r="BD32" s="841"/>
      <c r="BE32" s="841"/>
      <c r="BF32" s="841"/>
      <c r="BG32" s="841"/>
      <c r="BH32" s="841"/>
      <c r="BI32" s="841"/>
      <c r="BJ32" s="841"/>
      <c r="BK32" s="841"/>
      <c r="BL32" s="841"/>
      <c r="BM32" s="841"/>
      <c r="BN32" s="841"/>
      <c r="BO32" s="841"/>
      <c r="BP32" s="841"/>
      <c r="BQ32" s="841"/>
      <c r="BR32" s="11" t="s">
        <v>117</v>
      </c>
      <c r="BS32" s="11"/>
      <c r="BT32" s="11"/>
      <c r="BU32" s="11"/>
      <c r="BV32" s="11"/>
      <c r="BW32" s="11"/>
      <c r="BX32" s="11"/>
      <c r="BY32" s="11"/>
      <c r="BZ32" s="11"/>
      <c r="CA32" s="11"/>
      <c r="CB32" s="11"/>
    </row>
    <row r="33" spans="1:80" s="2" customFormat="1" ht="12.75" x14ac:dyDescent="0.2">
      <c r="A33" s="11"/>
      <c r="B33" s="11"/>
      <c r="C33" s="841" t="str">
        <f>IF('Данные объект'!B52="","",'Данные объект'!B52)</f>
      </c>
      <c r="D33" s="841"/>
      <c r="E33" s="841"/>
      <c r="F33" s="841"/>
      <c r="G33" s="841"/>
      <c r="H33" s="841"/>
      <c r="I33" s="841"/>
      <c r="J33" s="841"/>
      <c r="K33" s="841"/>
      <c r="L33" s="841"/>
      <c r="M33" s="841"/>
      <c r="N33" s="841"/>
      <c r="O33" s="841"/>
      <c r="P33" s="841"/>
      <c r="Q33" s="841"/>
      <c r="R33" s="841"/>
      <c r="S33" s="841"/>
      <c r="T33" s="841"/>
      <c r="U33" s="841"/>
      <c r="V33" s="841"/>
      <c r="W33" s="841"/>
      <c r="X33" s="841"/>
      <c r="Y33" s="841"/>
      <c r="Z33" s="841"/>
      <c r="AA33" s="841"/>
      <c r="AB33" s="841"/>
      <c r="AC33" s="841"/>
      <c r="AD33" s="841"/>
      <c r="AE33" s="841"/>
      <c r="AF33" s="841"/>
      <c r="AG33" s="841"/>
      <c r="AH33" s="841"/>
      <c r="AI33" s="841"/>
      <c r="AJ33" s="841"/>
      <c r="AK33" s="841"/>
      <c r="AL33" s="841"/>
      <c r="AM33" s="841"/>
      <c r="AN33" s="841"/>
      <c r="AO33" s="841"/>
      <c r="AP33" s="841"/>
      <c r="AQ33" s="841"/>
      <c r="AR33" s="841"/>
      <c r="AS33" s="841"/>
      <c r="AT33" s="841"/>
      <c r="AU33" s="841"/>
      <c r="AV33" s="841"/>
      <c r="AW33" s="841"/>
      <c r="AX33" s="841"/>
      <c r="AY33" s="841"/>
      <c r="AZ33" s="841"/>
      <c r="BA33" s="841"/>
      <c r="BB33" s="841"/>
      <c r="BC33" s="841"/>
      <c r="BD33" s="841"/>
      <c r="BE33" s="841"/>
      <c r="BF33" s="841"/>
      <c r="BG33" s="841"/>
      <c r="BH33" s="841"/>
      <c r="BI33" s="841"/>
      <c r="BJ33" s="841"/>
      <c r="BK33" s="841"/>
      <c r="BL33" s="841"/>
      <c r="BM33" s="841"/>
      <c r="BN33" s="841"/>
      <c r="BO33" s="841"/>
      <c r="BP33" s="841"/>
      <c r="BQ33" s="841"/>
      <c r="BR33" s="841"/>
      <c r="BS33" s="841"/>
      <c r="BT33" s="841"/>
      <c r="BU33" s="841"/>
      <c r="BV33" s="841"/>
      <c r="BW33" s="841"/>
      <c r="BX33" s="841"/>
      <c r="BY33" s="841"/>
      <c r="BZ33" s="841"/>
      <c r="CA33" s="841"/>
      <c r="CB33" s="841"/>
    </row>
    <row r="34" spans="1:80" s="5" customFormat="1" ht="8.25" x14ac:dyDescent="0.15">
      <c r="C34" s="858" t="s">
        <v>118</v>
      </c>
      <c r="D34" s="858"/>
      <c r="E34" s="858"/>
      <c r="F34" s="858"/>
      <c r="G34" s="858"/>
      <c r="H34" s="858"/>
      <c r="I34" s="858"/>
      <c r="J34" s="858"/>
      <c r="K34" s="858"/>
      <c r="L34" s="858"/>
      <c r="M34" s="858"/>
      <c r="N34" s="858"/>
      <c r="O34" s="858"/>
      <c r="P34" s="858"/>
      <c r="Q34" s="858"/>
      <c r="R34" s="858"/>
      <c r="S34" s="858"/>
      <c r="T34" s="858"/>
      <c r="U34" s="858"/>
      <c r="V34" s="858"/>
      <c r="W34" s="858"/>
      <c r="X34" s="858"/>
      <c r="Y34" s="858"/>
      <c r="Z34" s="858"/>
      <c r="AA34" s="858"/>
      <c r="AB34" s="858"/>
      <c r="AC34" s="858"/>
      <c r="AD34" s="858"/>
      <c r="AE34" s="858"/>
      <c r="AF34" s="858"/>
      <c r="AG34" s="858"/>
      <c r="AH34" s="858"/>
      <c r="AI34" s="858"/>
      <c r="AJ34" s="858"/>
      <c r="AK34" s="858"/>
      <c r="AL34" s="858"/>
      <c r="AM34" s="858"/>
      <c r="AN34" s="858"/>
      <c r="AO34" s="858"/>
      <c r="AP34" s="858"/>
      <c r="AQ34" s="858"/>
      <c r="AR34" s="858"/>
      <c r="AS34" s="858"/>
      <c r="AT34" s="858"/>
      <c r="AU34" s="858"/>
      <c r="AV34" s="858"/>
      <c r="AW34" s="858"/>
      <c r="AX34" s="858"/>
      <c r="AY34" s="858"/>
      <c r="AZ34" s="858"/>
      <c r="BA34" s="858"/>
      <c r="BB34" s="858"/>
      <c r="BC34" s="858"/>
      <c r="BD34" s="858"/>
      <c r="BE34" s="858"/>
      <c r="BF34" s="858"/>
      <c r="BG34" s="858"/>
      <c r="BH34" s="858"/>
      <c r="BI34" s="858"/>
      <c r="BJ34" s="858"/>
      <c r="BK34" s="858"/>
      <c r="BL34" s="858"/>
      <c r="BM34" s="858"/>
      <c r="BN34" s="858"/>
      <c r="BO34" s="858"/>
      <c r="BP34" s="858"/>
      <c r="BQ34" s="858"/>
      <c r="BR34" s="858"/>
      <c r="BS34" s="858"/>
      <c r="BT34" s="858"/>
      <c r="BU34" s="858"/>
      <c r="BV34" s="858"/>
      <c r="BW34" s="858"/>
      <c r="BX34" s="858"/>
      <c r="BY34" s="858"/>
      <c r="BZ34" s="858"/>
      <c r="CA34" s="858"/>
      <c r="CB34" s="858"/>
    </row>
    <row r="35" spans="1:80" s="2" customFormat="1" ht="12.75" x14ac:dyDescent="0.2">
      <c r="A35" s="11" t="s">
        <v>36</v>
      </c>
      <c r="B35" s="11"/>
      <c r="C35" s="11" t="s">
        <v>119</v>
      </c>
      <c r="BM35" s="857"/>
      <c r="BN35" s="857"/>
      <c r="BO35" s="857"/>
      <c r="BP35" s="857"/>
      <c r="BQ35" s="857"/>
      <c r="BR35" s="857"/>
      <c r="BS35" s="857"/>
      <c r="BT35" s="857"/>
      <c r="BU35" s="857"/>
      <c r="BV35" s="857"/>
      <c r="BW35" s="857"/>
      <c r="BX35" s="857"/>
      <c r="BY35" s="857"/>
      <c r="BZ35" s="857"/>
      <c r="CA35" s="857"/>
      <c r="CB35" s="857"/>
    </row>
    <row r="36" spans="1:80" s="2" customFormat="1" ht="12.75" x14ac:dyDescent="0.2">
      <c r="C36" s="855" t="s">
        <v>378</v>
      </c>
      <c r="D36" s="855"/>
      <c r="E36" s="855"/>
      <c r="F36" s="855"/>
      <c r="G36" s="855"/>
      <c r="H36" s="855"/>
      <c r="I36" s="855"/>
      <c r="J36" s="855"/>
      <c r="K36" s="855"/>
      <c r="L36" s="855"/>
      <c r="M36" s="855"/>
      <c r="N36" s="855"/>
      <c r="O36" s="855"/>
      <c r="P36" s="855"/>
      <c r="Q36" s="855"/>
      <c r="R36" s="855"/>
      <c r="S36" s="855"/>
      <c r="T36" s="855"/>
      <c r="U36" s="855"/>
      <c r="V36" s="855"/>
      <c r="W36" s="855"/>
      <c r="X36" s="855"/>
      <c r="Y36" s="855"/>
      <c r="Z36" s="855"/>
      <c r="AA36" s="855"/>
      <c r="AB36" s="855"/>
      <c r="AC36" s="855"/>
      <c r="AD36" s="855"/>
      <c r="AE36" s="855"/>
      <c r="AF36" s="855"/>
      <c r="AG36" s="855"/>
      <c r="AH36" s="855"/>
      <c r="AI36" s="855"/>
      <c r="AJ36" s="855"/>
      <c r="AK36" s="855"/>
      <c r="AL36" s="855"/>
      <c r="AM36" s="855"/>
      <c r="AN36" s="855"/>
      <c r="AO36" s="855"/>
      <c r="AP36" s="855"/>
      <c r="AQ36" s="855"/>
      <c r="AR36" s="855"/>
      <c r="AS36" s="855"/>
      <c r="AT36" s="855"/>
      <c r="AU36" s="855"/>
      <c r="AV36" s="855"/>
      <c r="AW36" s="855"/>
      <c r="AX36" s="855"/>
      <c r="AY36" s="855"/>
      <c r="AZ36" s="855"/>
      <c r="BA36" s="855"/>
      <c r="BB36" s="855"/>
      <c r="BC36" s="855"/>
      <c r="BD36" s="855"/>
      <c r="BE36" s="855"/>
      <c r="BF36" s="855"/>
      <c r="BG36" s="855"/>
      <c r="BH36" s="855"/>
      <c r="BI36" s="855"/>
      <c r="BJ36" s="855"/>
      <c r="BK36" s="855"/>
      <c r="BL36" s="855"/>
      <c r="BM36" s="855"/>
      <c r="BN36" s="855"/>
      <c r="BO36" s="855"/>
      <c r="BP36" s="855"/>
      <c r="BQ36" s="855"/>
      <c r="BR36" s="855"/>
      <c r="BS36" s="855"/>
      <c r="BT36" s="855"/>
      <c r="BU36" s="855"/>
      <c r="BV36" s="855"/>
      <c r="BW36" s="855"/>
      <c r="BX36" s="855"/>
      <c r="BY36" s="855"/>
      <c r="BZ36" s="855"/>
      <c r="CA36" s="855"/>
      <c r="CB36" s="855"/>
    </row>
    <row r="37" spans="1:80" s="5" customFormat="1" ht="8.25" x14ac:dyDescent="0.15">
      <c r="C37" s="858" t="s">
        <v>120</v>
      </c>
      <c r="D37" s="858"/>
      <c r="E37" s="858"/>
      <c r="F37" s="858"/>
      <c r="G37" s="858"/>
      <c r="H37" s="858"/>
      <c r="I37" s="858"/>
      <c r="J37" s="858"/>
      <c r="K37" s="858"/>
      <c r="L37" s="858"/>
      <c r="M37" s="858"/>
      <c r="N37" s="858"/>
      <c r="O37" s="858"/>
      <c r="P37" s="858"/>
      <c r="Q37" s="858"/>
      <c r="R37" s="858"/>
      <c r="S37" s="858"/>
      <c r="T37" s="858"/>
      <c r="U37" s="858"/>
      <c r="V37" s="858"/>
      <c r="W37" s="858"/>
      <c r="X37" s="858"/>
      <c r="Y37" s="858"/>
      <c r="Z37" s="858"/>
      <c r="AA37" s="858"/>
      <c r="AB37" s="858"/>
      <c r="AC37" s="858"/>
      <c r="AD37" s="858"/>
      <c r="AE37" s="858"/>
      <c r="AF37" s="858"/>
      <c r="AG37" s="858"/>
      <c r="AH37" s="858"/>
      <c r="AI37" s="858"/>
      <c r="AJ37" s="858"/>
      <c r="AK37" s="858"/>
      <c r="AL37" s="858"/>
      <c r="AM37" s="858"/>
      <c r="AN37" s="858"/>
      <c r="AO37" s="858"/>
      <c r="AP37" s="858"/>
      <c r="AQ37" s="858"/>
      <c r="AR37" s="858"/>
      <c r="AS37" s="858"/>
      <c r="AT37" s="858"/>
      <c r="AU37" s="858"/>
      <c r="AV37" s="858"/>
      <c r="AW37" s="858"/>
      <c r="AX37" s="858"/>
      <c r="AY37" s="858"/>
      <c r="AZ37" s="858"/>
      <c r="BA37" s="858"/>
      <c r="BB37" s="858"/>
      <c r="BC37" s="858"/>
      <c r="BD37" s="858"/>
      <c r="BE37" s="858"/>
      <c r="BF37" s="858"/>
      <c r="BG37" s="858"/>
      <c r="BH37" s="858"/>
      <c r="BI37" s="858"/>
      <c r="BJ37" s="858"/>
      <c r="BK37" s="858"/>
      <c r="BL37" s="858"/>
      <c r="BM37" s="858"/>
      <c r="BN37" s="858"/>
      <c r="BO37" s="858"/>
      <c r="BP37" s="858"/>
      <c r="BQ37" s="858"/>
      <c r="BR37" s="858"/>
      <c r="BS37" s="858"/>
      <c r="BT37" s="858"/>
      <c r="BU37" s="858"/>
      <c r="BV37" s="858"/>
      <c r="BW37" s="858"/>
      <c r="BX37" s="858"/>
      <c r="BY37" s="858"/>
      <c r="BZ37" s="858"/>
      <c r="CA37" s="858"/>
      <c r="CB37" s="858"/>
    </row>
    <row r="38" spans="1:80" s="2" customFormat="1" ht="12.75" x14ac:dyDescent="0.2">
      <c r="A38" s="11" t="s">
        <v>39</v>
      </c>
      <c r="B38" s="11"/>
      <c r="C38" s="11" t="s">
        <v>121</v>
      </c>
      <c r="D38" s="11"/>
      <c r="W38" s="855" t="s">
        <v>101</v>
      </c>
      <c r="X38" s="855"/>
      <c r="Y38" s="855"/>
      <c r="Z38" s="855"/>
      <c r="AA38" s="855"/>
      <c r="AB38" s="855"/>
      <c r="AC38" s="855"/>
      <c r="AD38" s="855"/>
      <c r="AE38" s="855"/>
      <c r="AF38" s="855"/>
      <c r="AG38" s="855"/>
      <c r="AH38" s="855"/>
      <c r="AI38" s="855"/>
      <c r="AJ38" s="855"/>
      <c r="AK38" s="855"/>
      <c r="AL38" s="855"/>
      <c r="AM38" s="855"/>
      <c r="AN38" s="855"/>
      <c r="AO38" s="855"/>
      <c r="AP38" s="855"/>
      <c r="AR38" s="99" t="s">
        <v>122</v>
      </c>
      <c r="AS38" s="11"/>
    </row>
    <row r="39" spans="1:80" s="2" customFormat="1" ht="12.75" x14ac:dyDescent="0.2">
      <c r="C39" s="11" t="s">
        <v>123</v>
      </c>
      <c r="N39" s="857" t="s">
        <v>101</v>
      </c>
      <c r="O39" s="857"/>
      <c r="P39" s="857"/>
      <c r="Q39" s="857"/>
      <c r="R39" s="857"/>
      <c r="S39" s="857"/>
      <c r="T39" s="857"/>
      <c r="U39" s="857"/>
      <c r="V39" s="857"/>
      <c r="W39" s="857"/>
      <c r="X39" s="857"/>
      <c r="Y39" s="857"/>
      <c r="Z39" s="857"/>
      <c r="AA39" s="857"/>
      <c r="AB39" s="857"/>
      <c r="AC39" s="857"/>
      <c r="AD39" s="857"/>
      <c r="AE39" s="857"/>
      <c r="AF39" s="857"/>
      <c r="AG39" s="857"/>
      <c r="AH39" s="857"/>
      <c r="AI39" s="857"/>
      <c r="AJ39" s="857"/>
      <c r="AK39" s="857"/>
      <c r="AL39" s="857"/>
      <c r="AM39" s="857"/>
      <c r="AN39" s="857"/>
      <c r="AO39" s="857"/>
      <c r="AP39" s="857"/>
      <c r="AQ39" s="857"/>
      <c r="AR39" s="857"/>
      <c r="AS39" s="857"/>
      <c r="AT39" s="857"/>
      <c r="AU39" s="857"/>
      <c r="AV39" s="857"/>
      <c r="AW39" s="857"/>
      <c r="AX39" s="857"/>
      <c r="AY39" s="857"/>
      <c r="AZ39" s="857"/>
      <c r="BA39" s="857"/>
      <c r="BB39" s="857"/>
      <c r="BC39" s="857"/>
      <c r="BD39" s="857"/>
      <c r="BE39" s="857"/>
      <c r="BF39" s="857"/>
      <c r="BG39" s="857"/>
      <c r="BH39" s="857"/>
      <c r="BI39" s="857"/>
      <c r="BJ39" s="857"/>
      <c r="BK39" s="857"/>
      <c r="BL39" s="857"/>
      <c r="BM39" s="857"/>
      <c r="BN39" s="857"/>
      <c r="BO39" s="857"/>
      <c r="BP39" s="857"/>
      <c r="BQ39" s="857"/>
      <c r="BR39" s="857"/>
      <c r="BS39" s="857"/>
      <c r="BT39" s="857"/>
      <c r="BU39" s="857"/>
      <c r="BV39" s="857"/>
      <c r="BW39" s="857"/>
      <c r="BX39" s="857"/>
      <c r="BY39" s="857"/>
      <c r="BZ39" s="857"/>
      <c r="CA39" s="857"/>
      <c r="CB39" s="857"/>
    </row>
    <row r="40" spans="1:80" s="5" customFormat="1" ht="8.25" x14ac:dyDescent="0.15">
      <c r="N40" s="858" t="s">
        <v>124</v>
      </c>
      <c r="O40" s="858"/>
      <c r="P40" s="858"/>
      <c r="Q40" s="858"/>
      <c r="R40" s="858"/>
      <c r="S40" s="858"/>
      <c r="T40" s="858"/>
      <c r="U40" s="858"/>
      <c r="V40" s="858"/>
      <c r="W40" s="858"/>
      <c r="X40" s="858"/>
      <c r="Y40" s="858"/>
      <c r="Z40" s="858"/>
      <c r="AA40" s="858"/>
      <c r="AB40" s="858"/>
      <c r="AC40" s="858"/>
      <c r="AD40" s="858"/>
      <c r="AE40" s="858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858"/>
      <c r="BC40" s="858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</row>
    <row r="41" spans="1:80" s="2" customFormat="1" ht="12.75" x14ac:dyDescent="0.2">
      <c r="A41" s="11" t="s">
        <v>41</v>
      </c>
      <c r="B41" s="11"/>
      <c r="C41" s="856" t="s">
        <v>125</v>
      </c>
      <c r="D41" s="856"/>
      <c r="E41" s="856"/>
      <c r="F41" s="856"/>
      <c r="G41" s="856"/>
      <c r="H41" s="856"/>
      <c r="I41" s="856"/>
      <c r="J41" s="856"/>
      <c r="K41" s="856"/>
      <c r="L41" s="856"/>
      <c r="M41" s="856"/>
      <c r="N41" s="856"/>
      <c r="O41" s="856"/>
      <c r="P41" s="856"/>
      <c r="Q41" s="856"/>
      <c r="R41" s="856"/>
      <c r="S41" s="856"/>
      <c r="T41" s="856"/>
      <c r="U41" s="856"/>
      <c r="V41" s="856"/>
      <c r="W41" s="856"/>
      <c r="X41" s="856"/>
      <c r="Y41" s="856"/>
      <c r="Z41" s="856"/>
      <c r="AA41" s="856"/>
      <c r="AB41" s="856"/>
      <c r="AC41" s="856"/>
      <c r="AD41" s="856"/>
      <c r="AE41" s="856"/>
      <c r="AF41" s="856"/>
      <c r="AG41" s="856"/>
      <c r="AH41" s="856"/>
      <c r="AI41" s="856"/>
      <c r="AJ41" s="856"/>
      <c r="AK41" s="856"/>
      <c r="AL41" s="856"/>
      <c r="AM41" s="856"/>
      <c r="AN41" s="856"/>
      <c r="AO41" s="856"/>
      <c r="AP41" s="856"/>
      <c r="AQ41" s="856"/>
      <c r="AR41" s="856"/>
      <c r="AS41" s="856"/>
      <c r="AT41" s="856"/>
      <c r="AU41" s="856"/>
      <c r="AV41" s="856"/>
      <c r="AW41" s="856"/>
      <c r="AX41" s="856"/>
      <c r="AY41" s="856"/>
      <c r="AZ41" s="856"/>
      <c r="BA41" s="856"/>
      <c r="BB41" s="856"/>
      <c r="BC41" s="856"/>
      <c r="BD41" s="856"/>
      <c r="BE41" s="856"/>
      <c r="BF41" s="856"/>
      <c r="BG41" s="856"/>
      <c r="BH41" s="856"/>
      <c r="BI41" s="856"/>
      <c r="BJ41" s="856"/>
      <c r="BK41" s="856"/>
      <c r="BL41" s="856"/>
      <c r="BM41" s="856"/>
      <c r="BN41" s="856"/>
      <c r="BO41" s="856"/>
      <c r="BP41" s="856"/>
      <c r="BQ41" s="856"/>
      <c r="BR41" s="856"/>
      <c r="BS41" s="856"/>
      <c r="BT41" s="856"/>
      <c r="BU41" s="856"/>
      <c r="BV41" s="856"/>
      <c r="BW41" s="856"/>
      <c r="BX41" s="856"/>
      <c r="BY41" s="856"/>
      <c r="BZ41" s="856"/>
      <c r="CA41" s="856"/>
      <c r="CB41" s="856"/>
    </row>
    <row r="42" spans="1:80" s="2" customFormat="1" ht="12.75" x14ac:dyDescent="0.2">
      <c r="B42" s="11"/>
      <c r="C42" s="856"/>
      <c r="D42" s="856"/>
      <c r="E42" s="856"/>
      <c r="F42" s="856"/>
      <c r="G42" s="856"/>
      <c r="H42" s="856"/>
      <c r="I42" s="856"/>
      <c r="J42" s="856"/>
      <c r="K42" s="856"/>
      <c r="L42" s="856"/>
      <c r="M42" s="856"/>
      <c r="N42" s="856"/>
      <c r="O42" s="856"/>
      <c r="P42" s="856"/>
      <c r="Q42" s="856"/>
      <c r="R42" s="856"/>
      <c r="S42" s="856"/>
      <c r="T42" s="856"/>
      <c r="U42" s="856"/>
      <c r="V42" s="856"/>
      <c r="W42" s="856"/>
      <c r="X42" s="856"/>
      <c r="Y42" s="856"/>
      <c r="Z42" s="856"/>
      <c r="AA42" s="856"/>
      <c r="AB42" s="856"/>
      <c r="AC42" s="856"/>
      <c r="AD42" s="856"/>
      <c r="AE42" s="856"/>
      <c r="AF42" s="856"/>
      <c r="AG42" s="856"/>
      <c r="AH42" s="856"/>
      <c r="AI42" s="856"/>
      <c r="AJ42" s="856"/>
      <c r="AK42" s="856"/>
      <c r="AL42" s="856"/>
      <c r="AM42" s="856"/>
      <c r="AN42" s="856"/>
      <c r="AO42" s="856"/>
      <c r="AP42" s="856"/>
      <c r="AQ42" s="856"/>
      <c r="AR42" s="856"/>
      <c r="AS42" s="856"/>
      <c r="AT42" s="856"/>
      <c r="AU42" s="856"/>
      <c r="AV42" s="856"/>
      <c r="AW42" s="856"/>
      <c r="AX42" s="856"/>
      <c r="AY42" s="856"/>
      <c r="AZ42" s="856"/>
      <c r="BA42" s="856"/>
      <c r="BB42" s="856"/>
      <c r="BC42" s="856"/>
      <c r="BD42" s="856"/>
      <c r="BE42" s="856"/>
      <c r="BF42" s="856"/>
      <c r="BG42" s="856"/>
      <c r="BH42" s="856"/>
      <c r="BI42" s="856"/>
      <c r="BJ42" s="856"/>
      <c r="BK42" s="856"/>
      <c r="BL42" s="856"/>
      <c r="BM42" s="856"/>
      <c r="BN42" s="856"/>
      <c r="BO42" s="856"/>
      <c r="BP42" s="856"/>
      <c r="BQ42" s="856"/>
      <c r="BR42" s="856"/>
      <c r="BS42" s="856"/>
      <c r="BT42" s="856"/>
      <c r="BU42" s="856"/>
      <c r="BV42" s="856"/>
      <c r="BW42" s="856"/>
      <c r="BX42" s="856"/>
      <c r="BY42" s="856"/>
      <c r="BZ42" s="856"/>
      <c r="CA42" s="856"/>
      <c r="CB42" s="856"/>
    </row>
    <row r="43" spans="1:80" s="2" customFormat="1" ht="12.75" x14ac:dyDescent="0.2"/>
    <row r="44" spans="1:80" s="2" customFormat="1" ht="12.75" x14ac:dyDescent="0.2">
      <c r="A44" s="57" t="s">
        <v>53</v>
      </c>
      <c r="B44" s="11"/>
      <c r="C44" s="11"/>
    </row>
    <row r="45" spans="1:80" s="2" customFormat="1" ht="12.75" x14ac:dyDescent="0.2">
      <c r="A45" s="11"/>
      <c r="B45" s="11"/>
      <c r="C45" s="11" t="s">
        <v>126</v>
      </c>
    </row>
    <row r="46" spans="1:80" s="2" customFormat="1" ht="12.75" x14ac:dyDescent="0.2">
      <c r="A46" s="11"/>
      <c r="B46" s="11"/>
      <c r="C46" s="11"/>
    </row>
    <row r="47" spans="1:80" s="2" customFormat="1" ht="12.75" x14ac:dyDescent="0.2">
      <c r="A47" s="11"/>
      <c r="B47" s="11"/>
      <c r="C47" s="11" t="s">
        <v>127</v>
      </c>
    </row>
    <row r="48" spans="1:80" s="2" customFormat="1" ht="12.75" x14ac:dyDescent="0.2"/>
    <row r="49" spans="3:69" s="2" customFormat="1" ht="12.75" x14ac:dyDescent="0.2"/>
    <row r="50" spans="3:69" s="2" customFormat="1" ht="12.75" x14ac:dyDescent="0.2">
      <c r="C50" s="11"/>
      <c r="D50" s="45" t="s">
        <v>59</v>
      </c>
      <c r="E50" s="11"/>
      <c r="F50" s="11"/>
      <c r="G50" s="11"/>
      <c r="H50" s="11"/>
      <c r="I50" s="11"/>
      <c r="AM50" s="857"/>
      <c r="AN50" s="857"/>
      <c r="AO50" s="857"/>
      <c r="AP50" s="857"/>
      <c r="AQ50" s="857"/>
      <c r="AR50" s="857"/>
      <c r="AS50" s="857"/>
      <c r="AT50" s="857"/>
      <c r="AU50" s="857"/>
      <c r="AV50" s="857"/>
      <c r="AW50" s="857"/>
      <c r="AX50" s="857"/>
      <c r="AY50" s="857"/>
      <c r="BC50" s="831" t="str">
        <f>IF('Данные объект'!B42="","",'Данные объект'!B42)</f>
      </c>
      <c r="BD50" s="831"/>
      <c r="BE50" s="831"/>
      <c r="BF50" s="831"/>
      <c r="BG50" s="831"/>
      <c r="BH50" s="831"/>
      <c r="BI50" s="831"/>
      <c r="BJ50" s="831"/>
      <c r="BK50" s="831"/>
      <c r="BL50" s="831"/>
      <c r="BM50" s="831"/>
      <c r="BN50" s="831"/>
      <c r="BO50" s="831"/>
      <c r="BP50" s="831"/>
      <c r="BQ50" s="831"/>
    </row>
    <row r="51" spans="3:69" s="5" customFormat="1" ht="11.25" x14ac:dyDescent="0.2">
      <c r="C51" s="57"/>
      <c r="D51" s="11"/>
      <c r="E51" s="45"/>
      <c r="F51" s="45"/>
      <c r="G51" s="57"/>
      <c r="H51" s="57"/>
      <c r="I51" s="57"/>
      <c r="J51" s="20"/>
      <c r="K51" s="20"/>
      <c r="L51" s="20"/>
      <c r="M51" s="20"/>
      <c r="AM51" s="858" t="s">
        <v>2</v>
      </c>
      <c r="AN51" s="858"/>
      <c r="AO51" s="858"/>
      <c r="AP51" s="858"/>
      <c r="AQ51" s="858"/>
      <c r="AR51" s="858"/>
      <c r="AS51" s="858"/>
      <c r="AT51" s="858"/>
      <c r="AU51" s="858"/>
      <c r="AV51" s="858"/>
      <c r="AW51" s="858"/>
      <c r="AX51" s="858"/>
      <c r="AY51" s="858"/>
    </row>
    <row r="52" spans="3:69" s="5" customFormat="1" ht="12.75" x14ac:dyDescent="0.2">
      <c r="C52" s="57"/>
      <c r="D52" s="45"/>
      <c r="E52" s="45"/>
      <c r="F52" s="45"/>
      <c r="G52" s="57"/>
      <c r="H52" s="57"/>
      <c r="I52" s="57"/>
      <c r="J52" s="20"/>
      <c r="K52" s="20"/>
      <c r="L52" s="20"/>
      <c r="M52" s="20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</row>
    <row r="53" spans="3:69" s="2" customFormat="1" ht="12.75" outlineLevel="2" x14ac:dyDescent="0.2">
      <c r="C53" s="57"/>
      <c r="D53" s="45"/>
      <c r="E53" s="45"/>
      <c r="F53" s="45"/>
      <c r="G53" s="57"/>
      <c r="H53" s="57"/>
      <c r="I53" s="57"/>
      <c r="J53" s="3"/>
      <c r="K53" s="3"/>
      <c r="L53" s="3"/>
      <c r="M53" s="3"/>
      <c r="AM53" s="857"/>
      <c r="AN53" s="857"/>
      <c r="AO53" s="857"/>
      <c r="AP53" s="857"/>
      <c r="AQ53" s="857"/>
      <c r="AR53" s="857"/>
      <c r="AS53" s="857"/>
      <c r="AT53" s="857"/>
      <c r="AU53" s="857"/>
      <c r="AV53" s="857"/>
      <c r="AW53" s="857"/>
      <c r="AX53" s="857"/>
      <c r="AY53" s="857"/>
      <c r="BC53" s="831" t="str">
        <f>IF('Данные объект'!B47="","",'Данные объект'!B47)</f>
      </c>
      <c r="BD53" s="831"/>
      <c r="BE53" s="831"/>
      <c r="BF53" s="831"/>
      <c r="BG53" s="831"/>
      <c r="BH53" s="831"/>
      <c r="BI53" s="831"/>
      <c r="BJ53" s="831"/>
      <c r="BK53" s="831"/>
      <c r="BL53" s="831"/>
      <c r="BM53" s="831"/>
      <c r="BN53" s="831"/>
      <c r="BO53" s="831"/>
      <c r="BP53" s="831"/>
      <c r="BQ53" s="831"/>
    </row>
    <row r="54" spans="3:69" s="5" customFormat="1" ht="11.25" outlineLevel="2" x14ac:dyDescent="0.2">
      <c r="C54" s="57"/>
      <c r="D54" s="11"/>
      <c r="E54" s="45"/>
      <c r="F54" s="45"/>
      <c r="G54" s="57"/>
      <c r="H54" s="57"/>
      <c r="I54" s="57"/>
      <c r="J54" s="20"/>
      <c r="K54" s="20"/>
      <c r="L54" s="20"/>
      <c r="M54" s="20"/>
      <c r="AM54" s="858" t="s">
        <v>2</v>
      </c>
      <c r="AN54" s="858"/>
      <c r="AO54" s="858"/>
      <c r="AP54" s="858"/>
      <c r="AQ54" s="858"/>
      <c r="AR54" s="858"/>
      <c r="AS54" s="858"/>
      <c r="AT54" s="858"/>
      <c r="AU54" s="858"/>
      <c r="AV54" s="858"/>
      <c r="AW54" s="858"/>
      <c r="AX54" s="858"/>
      <c r="AY54" s="858"/>
    </row>
    <row r="55" spans="3:69" s="5" customFormat="1" ht="12.75" outlineLevel="2" x14ac:dyDescent="0.2">
      <c r="C55" s="57"/>
      <c r="D55" s="45"/>
      <c r="E55" s="45"/>
      <c r="F55" s="45"/>
      <c r="G55" s="57"/>
      <c r="H55" s="57"/>
      <c r="I55" s="57"/>
      <c r="J55" s="20"/>
      <c r="K55" s="20"/>
      <c r="L55" s="20"/>
      <c r="M55" s="20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</row>
    <row r="56" spans="3:69" s="2" customFormat="1" ht="12.75" x14ac:dyDescent="0.2">
      <c r="C56" s="57"/>
      <c r="D56" s="45" t="s">
        <v>61</v>
      </c>
      <c r="E56" s="45"/>
      <c r="F56" s="45"/>
      <c r="G56" s="57"/>
      <c r="H56" s="57"/>
      <c r="I56" s="57"/>
      <c r="J56" s="3"/>
      <c r="K56" s="3"/>
      <c r="L56" s="3"/>
      <c r="M56" s="3"/>
      <c r="AM56" s="857"/>
      <c r="AN56" s="857"/>
      <c r="AO56" s="857"/>
      <c r="AP56" s="857"/>
      <c r="AQ56" s="857"/>
      <c r="AR56" s="857"/>
      <c r="AS56" s="857"/>
      <c r="AT56" s="857"/>
      <c r="AU56" s="857"/>
      <c r="AV56" s="857"/>
      <c r="AW56" s="857"/>
      <c r="AX56" s="857"/>
      <c r="AY56" s="857"/>
      <c r="BC56" s="831" t="str">
        <f>IF('Данные объект'!B28="","",'Данные объект'!B28)</f>
      </c>
      <c r="BD56" s="831"/>
      <c r="BE56" s="831"/>
      <c r="BF56" s="831"/>
      <c r="BG56" s="831"/>
      <c r="BH56" s="831"/>
      <c r="BI56" s="831"/>
      <c r="BJ56" s="831"/>
      <c r="BK56" s="831"/>
      <c r="BL56" s="831"/>
      <c r="BM56" s="831"/>
      <c r="BN56" s="831"/>
      <c r="BO56" s="831"/>
      <c r="BP56" s="831"/>
      <c r="BQ56" s="831"/>
    </row>
    <row r="57" spans="3:69" s="5" customFormat="1" ht="9.75" x14ac:dyDescent="0.2">
      <c r="C57" s="20"/>
      <c r="E57" s="21"/>
      <c r="F57" s="21"/>
      <c r="G57" s="20"/>
      <c r="H57" s="20"/>
      <c r="I57" s="20"/>
      <c r="J57" s="20"/>
      <c r="K57" s="20"/>
      <c r="L57" s="20"/>
      <c r="M57" s="20"/>
      <c r="AM57" s="858" t="s">
        <v>2</v>
      </c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</row>
    <row r="58" spans="3:69" s="2" customFormat="1" ht="12.75" x14ac:dyDescent="0.2"/>
    <row r="59" spans="3:69" s="2" customFormat="1" ht="12.75" x14ac:dyDescent="0.2"/>
    <row r="60" spans="3:69" s="2" customFormat="1" ht="12.75" x14ac:dyDescent="0.2"/>
    <row r="61" spans="3:69" s="2" customFormat="1" ht="12.75" x14ac:dyDescent="0.2"/>
    <row r="62" spans="3:69" s="2" customFormat="1" ht="12.75" x14ac:dyDescent="0.2"/>
    <row r="63" spans="3:69" s="2" customFormat="1" ht="12.75" x14ac:dyDescent="0.2"/>
    <row r="64" spans="3:69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</sheetData>
  <mergeCells count="47">
    <mergeCell ref="A2:AI2"/>
    <mergeCell ref="A3:AI3"/>
    <mergeCell ref="A4:AI5"/>
    <mergeCell ref="AR1:BZ2"/>
    <mergeCell ref="AR3:BZ3"/>
    <mergeCell ref="AR4:BZ5"/>
    <mergeCell ref="A6:AI6"/>
    <mergeCell ref="A10:AI10"/>
    <mergeCell ref="A11:AI11"/>
    <mergeCell ref="AR6:BZ6"/>
    <mergeCell ref="AR7:BZ9"/>
    <mergeCell ref="A9:AI9"/>
    <mergeCell ref="AR10:BZ10"/>
    <mergeCell ref="AR11:BZ11"/>
    <mergeCell ref="A22:BZ22"/>
    <mergeCell ref="A25:BZ25"/>
    <mergeCell ref="A12:AI12"/>
    <mergeCell ref="A14:CB14"/>
    <mergeCell ref="AR12:BZ12"/>
    <mergeCell ref="A15:CB15"/>
    <mergeCell ref="AM56:AY56"/>
    <mergeCell ref="BC56:BQ56"/>
    <mergeCell ref="AM57:AY57"/>
    <mergeCell ref="A18:CB18"/>
    <mergeCell ref="A19:CB19"/>
    <mergeCell ref="A21:CB21"/>
    <mergeCell ref="A24:CB24"/>
    <mergeCell ref="O26:BL26"/>
    <mergeCell ref="O27:BL27"/>
    <mergeCell ref="A28:CB28"/>
    <mergeCell ref="AM50:AY50"/>
    <mergeCell ref="BC50:BQ50"/>
    <mergeCell ref="AM51:AY51"/>
    <mergeCell ref="AM53:AY53"/>
    <mergeCell ref="BC53:BQ53"/>
    <mergeCell ref="AM54:AY54"/>
    <mergeCell ref="C41:CB42"/>
    <mergeCell ref="A29:CB29"/>
    <mergeCell ref="AG32:BQ32"/>
    <mergeCell ref="C33:CB33"/>
    <mergeCell ref="C34:CB34"/>
    <mergeCell ref="BM35:CB35"/>
    <mergeCell ref="C36:CB36"/>
    <mergeCell ref="C37:CB37"/>
    <mergeCell ref="W38:AP38"/>
    <mergeCell ref="N39:CB39"/>
    <mergeCell ref="N40:CB40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72B3-D3CF-4593-BD5C-11D5F6503245}">
  <sheetPr>
    <tabColor rgb="FF92D050"/>
  </sheetPr>
  <dimension ref="A1:DR69"/>
  <sheetViews>
    <sheetView view="pageBreakPreview" topLeftCell="A4" zoomScaleNormal="100" zoomScaleSheetLayoutView="100" workbookViewId="0">
      <selection activeCell="DE37" sqref="DE37"/>
    </sheetView>
  </sheetViews>
  <sheetFormatPr defaultColWidth="9.140625" defaultRowHeight="15" outlineLevelRow="2" x14ac:dyDescent="0.25"/>
  <cols>
    <col min="1" max="136" width="1.140625" style="1" customWidth="1"/>
    <col min="137" max="16384" width="9.140625" style="1"/>
  </cols>
  <sheetData>
    <row r="1" spans="1:80" s="2" customFormat="1" ht="7.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2"/>
      <c r="AK2" s="2"/>
      <c r="AL2" s="2"/>
      <c r="AM2" s="2"/>
      <c r="AN2" s="2"/>
      <c r="AO2" s="2"/>
      <c r="AP2" s="2"/>
      <c r="AQ2" s="2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9" customHeight="1" x14ac:dyDescent="0.25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J4" s="2"/>
      <c r="AK4" s="2"/>
      <c r="AL4" s="2"/>
      <c r="AM4" s="2"/>
      <c r="AN4" s="2"/>
      <c r="AO4" s="2"/>
      <c r="AP4" s="2"/>
      <c r="AQ4" s="2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64"/>
      <c r="CB4" s="64"/>
    </row>
    <row r="5" spans="1:80" ht="4.1500000000000004" customHeight="1" x14ac:dyDescent="0.25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J5" s="2"/>
      <c r="AK5" s="2"/>
      <c r="AL5" s="2"/>
      <c r="AM5" s="2"/>
      <c r="AN5" s="2"/>
      <c r="AO5" s="2"/>
      <c r="AP5" s="2"/>
      <c r="AQ5" s="2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64"/>
      <c r="CB5" s="64"/>
    </row>
    <row r="6" spans="1:80" s="5" customFormat="1" ht="8.25" x14ac:dyDescent="0.1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</row>
    <row r="7" spans="1:80" ht="31.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"/>
      <c r="AK7" s="2"/>
      <c r="AL7" s="2"/>
      <c r="AM7" s="2"/>
      <c r="AN7" s="2"/>
      <c r="AO7" s="2"/>
      <c r="AP7" s="2"/>
      <c r="AQ7" s="2"/>
      <c r="AR7" s="836" t="str">
        <f>IF('Данные объект'!B3="","",'Данные объект'!B3)</f>
      </c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9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2"/>
      <c r="AK8" s="2"/>
      <c r="AL8" s="2"/>
      <c r="AM8" s="2"/>
      <c r="AN8" s="2"/>
      <c r="AO8" s="2"/>
      <c r="AP8" s="2"/>
      <c r="AQ8" s="2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25.5" customHeight="1" x14ac:dyDescent="0.25">
      <c r="A9" s="837" t="str">
        <f>IF('Данные объект'!B16="","",'Данные объект'!B16)</f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J9" s="2"/>
      <c r="AK9" s="2"/>
      <c r="AL9" s="2"/>
      <c r="AM9" s="2"/>
      <c r="AN9" s="2"/>
      <c r="AO9" s="2"/>
      <c r="AP9" s="2"/>
      <c r="AQ9" s="2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10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15" customHeight="1" x14ac:dyDescent="0.25">
      <c r="A12" s="838"/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  <c r="AH12" s="838"/>
      <c r="AI12" s="838"/>
      <c r="AJ12" s="5"/>
      <c r="AK12" s="5"/>
      <c r="AL12" s="5"/>
      <c r="AM12" s="5"/>
      <c r="AN12" s="5"/>
      <c r="AO12" s="5"/>
      <c r="AP12" s="5"/>
      <c r="AQ12" s="5"/>
      <c r="AR12" s="843" t="s">
        <v>1345</v>
      </c>
      <c r="AS12" s="843"/>
      <c r="AT12" s="843"/>
      <c r="AU12" s="843"/>
      <c r="AV12" s="843"/>
      <c r="AW12" s="843"/>
      <c r="AX12" s="843"/>
      <c r="AY12" s="843"/>
      <c r="AZ12" s="843"/>
      <c r="BA12" s="843"/>
      <c r="BB12" s="843"/>
      <c r="BC12" s="843"/>
      <c r="BD12" s="843"/>
      <c r="BE12" s="843"/>
      <c r="BF12" s="843"/>
      <c r="BG12" s="843"/>
      <c r="BH12" s="843"/>
      <c r="BI12" s="843"/>
      <c r="BJ12" s="843"/>
      <c r="BK12" s="843"/>
      <c r="BL12" s="843"/>
      <c r="BM12" s="843"/>
      <c r="BN12" s="843"/>
      <c r="BO12" s="843"/>
      <c r="BP12" s="843"/>
      <c r="BQ12" s="843"/>
      <c r="BR12" s="843"/>
      <c r="BS12" s="843"/>
      <c r="BT12" s="843"/>
      <c r="BU12" s="843"/>
      <c r="BV12" s="843"/>
      <c r="BW12" s="843"/>
      <c r="BX12" s="843"/>
      <c r="BY12" s="843"/>
      <c r="BZ12" s="843"/>
      <c r="CA12" s="67"/>
      <c r="CB12" s="67"/>
    </row>
    <row r="13" spans="1:80" s="5" customFormat="1" ht="8.25" x14ac:dyDescent="0.15"/>
    <row r="14" spans="1:80" s="19" customFormat="1" ht="21.6" customHeight="1" x14ac:dyDescent="0.25">
      <c r="A14" s="931" t="s">
        <v>1236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15.75" x14ac:dyDescent="0.25">
      <c r="A15" s="931" t="s">
        <v>1243</v>
      </c>
      <c r="B15" s="851"/>
      <c r="C15" s="851"/>
      <c r="D15" s="851"/>
      <c r="E15" s="851"/>
      <c r="F15" s="851"/>
      <c r="G15" s="851"/>
      <c r="H15" s="851"/>
      <c r="I15" s="851"/>
      <c r="J15" s="851"/>
      <c r="K15" s="851"/>
      <c r="L15" s="851"/>
      <c r="M15" s="851"/>
      <c r="N15" s="851"/>
      <c r="O15" s="851"/>
      <c r="P15" s="851"/>
      <c r="Q15" s="851"/>
      <c r="R15" s="851"/>
      <c r="S15" s="851"/>
      <c r="T15" s="851"/>
      <c r="U15" s="851"/>
      <c r="V15" s="851"/>
      <c r="W15" s="851"/>
      <c r="X15" s="851"/>
      <c r="Y15" s="851"/>
      <c r="Z15" s="851"/>
      <c r="AA15" s="851"/>
      <c r="AB15" s="851"/>
      <c r="AC15" s="851"/>
      <c r="AD15" s="851"/>
      <c r="AE15" s="851"/>
      <c r="AF15" s="851"/>
      <c r="AG15" s="851"/>
      <c r="AH15" s="851"/>
      <c r="AI15" s="851"/>
      <c r="AJ15" s="851"/>
      <c r="AK15" s="851"/>
      <c r="AL15" s="851"/>
      <c r="AM15" s="851"/>
      <c r="AN15" s="851"/>
      <c r="AO15" s="851"/>
      <c r="AP15" s="851"/>
      <c r="AQ15" s="851"/>
      <c r="AR15" s="851"/>
      <c r="AS15" s="851"/>
      <c r="AT15" s="851"/>
      <c r="AU15" s="851"/>
      <c r="AV15" s="851"/>
      <c r="AW15" s="851"/>
      <c r="AX15" s="851"/>
      <c r="AY15" s="851"/>
      <c r="AZ15" s="851"/>
      <c r="BA15" s="851"/>
      <c r="BB15" s="851"/>
      <c r="BC15" s="851"/>
      <c r="BD15" s="851"/>
      <c r="BE15" s="851"/>
      <c r="BF15" s="851"/>
      <c r="BG15" s="851"/>
      <c r="BH15" s="851"/>
      <c r="BI15" s="851"/>
      <c r="BJ15" s="851"/>
      <c r="BK15" s="851"/>
      <c r="BL15" s="851"/>
      <c r="BM15" s="851"/>
      <c r="BN15" s="851"/>
      <c r="BO15" s="851"/>
      <c r="BP15" s="851"/>
      <c r="BQ15" s="851"/>
      <c r="BR15" s="851"/>
      <c r="BS15" s="851"/>
      <c r="BT15" s="851"/>
      <c r="BU15" s="851"/>
      <c r="BV15" s="851"/>
      <c r="BW15" s="851"/>
      <c r="BX15" s="851"/>
      <c r="BY15" s="851"/>
      <c r="BZ15" s="851"/>
      <c r="CA15" s="851"/>
      <c r="CB15" s="851"/>
    </row>
    <row r="16" spans="1:80" s="2" customFormat="1" ht="12.75" x14ac:dyDescent="0.2"/>
    <row r="17" spans="1:122" s="2" customFormat="1" ht="12.75" x14ac:dyDescent="0.2">
      <c r="A17" s="57" t="s">
        <v>27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122" s="2" customFormat="1" ht="12.75" x14ac:dyDescent="0.2">
      <c r="A18" s="11" t="s">
        <v>28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</row>
    <row r="19" spans="1:122" s="2" customFormat="1" ht="12.75" x14ac:dyDescent="0.2">
      <c r="A19" s="926" t="str">
        <f>IF('Данные объект'!C42="","",'Данные объект'!C42)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122" s="6" customFormat="1" ht="8.25" x14ac:dyDescent="0.25">
      <c r="A20" s="967" t="s">
        <v>31</v>
      </c>
      <c r="B20" s="967"/>
      <c r="C20" s="967"/>
      <c r="D20" s="967"/>
      <c r="E20" s="967"/>
      <c r="F20" s="967"/>
      <c r="G20" s="967"/>
      <c r="H20" s="967"/>
      <c r="I20" s="967"/>
      <c r="J20" s="967"/>
      <c r="K20" s="967"/>
      <c r="L20" s="967"/>
      <c r="M20" s="967"/>
      <c r="N20" s="967"/>
      <c r="O20" s="967"/>
      <c r="P20" s="967"/>
      <c r="Q20" s="967"/>
      <c r="R20" s="967"/>
      <c r="S20" s="967"/>
      <c r="T20" s="967"/>
      <c r="U20" s="967"/>
      <c r="V20" s="967"/>
      <c r="W20" s="967"/>
      <c r="X20" s="967"/>
      <c r="Y20" s="967"/>
      <c r="Z20" s="967"/>
      <c r="AA20" s="967"/>
      <c r="AB20" s="967"/>
      <c r="AC20" s="967"/>
      <c r="AD20" s="967"/>
      <c r="AE20" s="967"/>
      <c r="AF20" s="967"/>
      <c r="AG20" s="967"/>
      <c r="AH20" s="967"/>
      <c r="AI20" s="967"/>
      <c r="AJ20" s="967"/>
      <c r="AK20" s="967"/>
      <c r="AL20" s="967"/>
      <c r="AM20" s="967"/>
      <c r="AN20" s="967"/>
      <c r="AO20" s="967"/>
      <c r="AP20" s="967"/>
      <c r="AQ20" s="967"/>
      <c r="AR20" s="967"/>
      <c r="AS20" s="967"/>
      <c r="AT20" s="967"/>
      <c r="AU20" s="967"/>
      <c r="AV20" s="967"/>
      <c r="AW20" s="967"/>
      <c r="AX20" s="967"/>
      <c r="AY20" s="967"/>
      <c r="AZ20" s="967"/>
      <c r="BA20" s="967"/>
      <c r="BB20" s="967"/>
      <c r="BC20" s="967"/>
      <c r="BD20" s="967"/>
      <c r="BE20" s="967"/>
      <c r="BF20" s="967"/>
      <c r="BG20" s="967"/>
      <c r="BH20" s="967"/>
      <c r="BI20" s="967"/>
      <c r="BJ20" s="967"/>
      <c r="BK20" s="967"/>
      <c r="BL20" s="967"/>
      <c r="BM20" s="967"/>
      <c r="BN20" s="967"/>
      <c r="BO20" s="967"/>
      <c r="BP20" s="967"/>
      <c r="BQ20" s="967"/>
      <c r="BR20" s="967"/>
      <c r="BS20" s="967"/>
      <c r="BT20" s="967"/>
      <c r="BU20" s="967"/>
      <c r="BV20" s="967"/>
      <c r="BW20" s="967"/>
      <c r="BX20" s="967"/>
      <c r="BY20" s="967"/>
      <c r="BZ20" s="967"/>
      <c r="CA20" s="967"/>
      <c r="CB20" s="967"/>
    </row>
    <row r="21" spans="1:122" s="2" customFormat="1" ht="12.75" hidden="1" outlineLevel="1" x14ac:dyDescent="0.2">
      <c r="A21" s="2" t="s">
        <v>29</v>
      </c>
    </row>
    <row r="22" spans="1:122" s="2" customFormat="1" ht="12.75" outlineLevel="1" x14ac:dyDescent="0.2">
      <c r="A22" s="831" t="str">
        <f>IF('Данные объект'!C45="","",'Данные объект'!C45)</f>
      </c>
      <c r="B22" s="831"/>
      <c r="C22" s="831"/>
      <c r="D22" s="831"/>
      <c r="E22" s="831"/>
      <c r="F22" s="831"/>
      <c r="G22" s="831"/>
      <c r="H22" s="831"/>
      <c r="I22" s="831"/>
      <c r="J22" s="831"/>
      <c r="K22" s="831"/>
      <c r="L22" s="831"/>
      <c r="M22" s="831"/>
      <c r="N22" s="831"/>
      <c r="O22" s="831"/>
      <c r="P22" s="831"/>
      <c r="Q22" s="831"/>
      <c r="R22" s="831"/>
      <c r="S22" s="831"/>
      <c r="T22" s="831"/>
      <c r="U22" s="831"/>
      <c r="V22" s="831"/>
      <c r="W22" s="831"/>
      <c r="X22" s="831"/>
      <c r="Y22" s="831"/>
      <c r="Z22" s="831"/>
      <c r="AA22" s="831"/>
      <c r="AB22" s="831"/>
      <c r="AC22" s="831"/>
      <c r="AD22" s="831"/>
      <c r="AE22" s="831"/>
      <c r="AF22" s="831"/>
      <c r="AG22" s="831"/>
      <c r="AH22" s="831"/>
      <c r="AI22" s="831"/>
      <c r="AJ22" s="831"/>
      <c r="AK22" s="831"/>
      <c r="AL22" s="831"/>
      <c r="AM22" s="831"/>
      <c r="AN22" s="831"/>
      <c r="AO22" s="831"/>
      <c r="AP22" s="831"/>
      <c r="AQ22" s="831"/>
      <c r="AR22" s="831"/>
      <c r="AS22" s="831"/>
      <c r="AT22" s="831"/>
      <c r="AU22" s="831"/>
      <c r="AV22" s="831"/>
      <c r="AW22" s="831"/>
      <c r="AX22" s="831"/>
      <c r="AY22" s="831"/>
      <c r="AZ22" s="831"/>
      <c r="BA22" s="831"/>
      <c r="BB22" s="831"/>
      <c r="BC22" s="831"/>
      <c r="BD22" s="831"/>
      <c r="BE22" s="831"/>
      <c r="BF22" s="831"/>
      <c r="BG22" s="831"/>
      <c r="BH22" s="831"/>
      <c r="BI22" s="831"/>
      <c r="BJ22" s="831"/>
      <c r="BK22" s="831"/>
      <c r="BL22" s="831"/>
      <c r="BM22" s="831"/>
      <c r="BN22" s="831"/>
      <c r="BO22" s="831"/>
      <c r="BP22" s="831"/>
      <c r="BQ22" s="831"/>
      <c r="BR22" s="831"/>
      <c r="BS22" s="831"/>
      <c r="BT22" s="831"/>
      <c r="BU22" s="831"/>
      <c r="BV22" s="831"/>
      <c r="BW22" s="831"/>
      <c r="BX22" s="831"/>
      <c r="BY22" s="831"/>
      <c r="BZ22" s="831"/>
      <c r="CA22" s="831"/>
      <c r="CB22" s="831"/>
    </row>
    <row r="23" spans="1:122" s="6" customFormat="1" ht="8.25" outlineLevel="1" x14ac:dyDescent="0.2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</row>
    <row r="24" spans="1:122" s="2" customFormat="1" ht="12.75" x14ac:dyDescent="0.2">
      <c r="A24" s="11" t="s">
        <v>30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122" s="2" customFormat="1" ht="12.75" x14ac:dyDescent="0.2">
      <c r="A25" s="831" t="str">
        <f>IF('Данные объект'!C28="","",'Данные объект'!C28)</f>
      </c>
      <c r="B25" s="831"/>
      <c r="C25" s="831"/>
      <c r="D25" s="831"/>
      <c r="E25" s="831"/>
      <c r="F25" s="831"/>
      <c r="G25" s="831"/>
      <c r="H25" s="831"/>
      <c r="I25" s="831"/>
      <c r="J25" s="831"/>
      <c r="K25" s="831"/>
      <c r="L25" s="831"/>
      <c r="M25" s="831"/>
      <c r="N25" s="831"/>
      <c r="O25" s="831"/>
      <c r="P25" s="831"/>
      <c r="Q25" s="831"/>
      <c r="R25" s="831"/>
      <c r="S25" s="831"/>
      <c r="T25" s="831"/>
      <c r="U25" s="831"/>
      <c r="V25" s="831"/>
      <c r="W25" s="831"/>
      <c r="X25" s="831"/>
      <c r="Y25" s="831"/>
      <c r="Z25" s="831"/>
      <c r="AA25" s="831"/>
      <c r="AB25" s="831"/>
      <c r="AC25" s="831"/>
      <c r="AD25" s="831"/>
      <c r="AE25" s="831"/>
      <c r="AF25" s="831"/>
      <c r="AG25" s="831"/>
      <c r="AH25" s="831"/>
      <c r="AI25" s="831"/>
      <c r="AJ25" s="831"/>
      <c r="AK25" s="831"/>
      <c r="AL25" s="831"/>
      <c r="AM25" s="831"/>
      <c r="AN25" s="831"/>
      <c r="AO25" s="831"/>
      <c r="AP25" s="831"/>
      <c r="AQ25" s="831"/>
      <c r="AR25" s="831"/>
      <c r="AS25" s="831"/>
      <c r="AT25" s="831"/>
      <c r="AU25" s="831"/>
      <c r="AV25" s="831"/>
      <c r="AW25" s="831"/>
      <c r="AX25" s="831"/>
      <c r="AY25" s="831"/>
      <c r="AZ25" s="831"/>
      <c r="BA25" s="831"/>
      <c r="BB25" s="831"/>
      <c r="BC25" s="831"/>
      <c r="BD25" s="831"/>
      <c r="BE25" s="831"/>
      <c r="BF25" s="831"/>
      <c r="BG25" s="831"/>
      <c r="BH25" s="831"/>
      <c r="BI25" s="831"/>
      <c r="BJ25" s="831"/>
      <c r="BK25" s="831"/>
      <c r="BL25" s="831"/>
      <c r="BM25" s="831"/>
      <c r="BN25" s="831"/>
      <c r="BO25" s="831"/>
      <c r="BP25" s="831"/>
      <c r="BQ25" s="831"/>
      <c r="BR25" s="831"/>
      <c r="BS25" s="831"/>
      <c r="BT25" s="831"/>
      <c r="BU25" s="831"/>
      <c r="BV25" s="831"/>
      <c r="BW25" s="831"/>
      <c r="BX25" s="831"/>
      <c r="BY25" s="831"/>
      <c r="BZ25" s="831"/>
      <c r="CA25" s="831"/>
      <c r="CB25" s="831"/>
      <c r="DR25" s="98"/>
    </row>
    <row r="26" spans="1:122" s="6" customFormat="1" ht="8.25" x14ac:dyDescent="0.25">
      <c r="A26" s="932" t="s">
        <v>31</v>
      </c>
      <c r="B26" s="932"/>
      <c r="C26" s="932"/>
      <c r="D26" s="932"/>
      <c r="E26" s="932"/>
      <c r="F26" s="932"/>
      <c r="G26" s="932"/>
      <c r="H26" s="932"/>
      <c r="I26" s="932"/>
      <c r="J26" s="932"/>
      <c r="K26" s="932"/>
      <c r="L26" s="932"/>
      <c r="M26" s="932"/>
      <c r="N26" s="932"/>
      <c r="O26" s="932"/>
      <c r="P26" s="932"/>
      <c r="Q26" s="932"/>
      <c r="R26" s="932"/>
      <c r="S26" s="932"/>
      <c r="T26" s="932"/>
      <c r="U26" s="932"/>
      <c r="V26" s="932"/>
      <c r="W26" s="932"/>
      <c r="X26" s="932"/>
      <c r="Y26" s="932"/>
      <c r="Z26" s="932"/>
      <c r="AA26" s="932"/>
      <c r="AB26" s="932"/>
      <c r="AC26" s="932"/>
      <c r="AD26" s="932"/>
      <c r="AE26" s="932"/>
      <c r="AF26" s="932"/>
      <c r="AG26" s="932"/>
      <c r="AH26" s="932"/>
      <c r="AI26" s="932"/>
      <c r="AJ26" s="932"/>
      <c r="AK26" s="932"/>
      <c r="AL26" s="932"/>
      <c r="AM26" s="932"/>
      <c r="AN26" s="932"/>
      <c r="AO26" s="932"/>
      <c r="AP26" s="932"/>
      <c r="AQ26" s="932"/>
      <c r="AR26" s="932"/>
      <c r="AS26" s="932"/>
      <c r="AT26" s="932"/>
      <c r="AU26" s="932"/>
      <c r="AV26" s="932"/>
      <c r="AW26" s="932"/>
      <c r="AX26" s="932"/>
      <c r="AY26" s="932"/>
      <c r="AZ26" s="932"/>
      <c r="BA26" s="932"/>
      <c r="BB26" s="932"/>
      <c r="BC26" s="932"/>
      <c r="BD26" s="932"/>
      <c r="BE26" s="932"/>
      <c r="BF26" s="932"/>
      <c r="BG26" s="932"/>
      <c r="BH26" s="932"/>
      <c r="BI26" s="932"/>
      <c r="BJ26" s="932"/>
      <c r="BK26" s="932"/>
      <c r="BL26" s="932"/>
      <c r="BM26" s="932"/>
      <c r="BN26" s="932"/>
      <c r="BO26" s="932"/>
      <c r="BP26" s="932"/>
      <c r="BQ26" s="932"/>
      <c r="BR26" s="932"/>
      <c r="BS26" s="932"/>
      <c r="BT26" s="932"/>
      <c r="BU26" s="932"/>
      <c r="BV26" s="932"/>
      <c r="BW26" s="932"/>
      <c r="BX26" s="932"/>
      <c r="BY26" s="932"/>
      <c r="BZ26" s="932"/>
    </row>
    <row r="27" spans="1:122" s="2" customFormat="1" ht="12.75" x14ac:dyDescent="0.2"/>
    <row r="28" spans="1:122" s="87" customFormat="1" ht="12.75" x14ac:dyDescent="0.2">
      <c r="A28" s="972" t="s">
        <v>503</v>
      </c>
      <c r="B28" s="972"/>
      <c r="C28" s="972"/>
      <c r="D28" s="972"/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972"/>
      <c r="AC28" s="972"/>
      <c r="AD28" s="972"/>
      <c r="AE28" s="972"/>
      <c r="AF28" s="972"/>
      <c r="AG28" s="972"/>
      <c r="AH28" s="972"/>
      <c r="AI28" s="972"/>
      <c r="AJ28" s="972"/>
      <c r="AK28" s="972"/>
      <c r="AL28" s="972"/>
      <c r="AM28" s="972"/>
      <c r="AN28" s="972"/>
      <c r="AO28" s="972"/>
      <c r="AP28" s="972"/>
      <c r="AQ28" s="972"/>
      <c r="AR28" s="972"/>
      <c r="AS28" s="972"/>
      <c r="AT28" s="972"/>
      <c r="AU28" s="972"/>
      <c r="AV28" s="972"/>
      <c r="AW28" s="972"/>
      <c r="AX28" s="972"/>
      <c r="AY28" s="972"/>
      <c r="AZ28" s="972"/>
      <c r="BA28" s="972"/>
      <c r="BB28" s="972"/>
      <c r="BC28" s="972"/>
      <c r="BD28" s="972"/>
      <c r="BE28" s="972"/>
      <c r="BF28" s="972"/>
      <c r="BG28" s="972"/>
      <c r="BH28" s="972"/>
      <c r="BI28" s="972"/>
      <c r="BJ28" s="972"/>
      <c r="BK28" s="972"/>
      <c r="BL28" s="972"/>
      <c r="BM28" s="972"/>
      <c r="BN28" s="972"/>
      <c r="BO28" s="972"/>
      <c r="BP28" s="972"/>
      <c r="BQ28" s="972"/>
      <c r="BR28" s="972"/>
      <c r="BS28" s="972"/>
      <c r="BT28" s="972"/>
      <c r="BU28" s="972"/>
      <c r="BV28" s="972"/>
      <c r="BW28" s="972"/>
      <c r="BX28" s="972"/>
      <c r="BY28" s="972"/>
      <c r="BZ28" s="972"/>
      <c r="CA28" s="972"/>
      <c r="CB28" s="972"/>
      <c r="CC28" s="972"/>
      <c r="CD28" s="972"/>
      <c r="CE28" s="972"/>
    </row>
    <row r="29" spans="1:122" s="87" customFormat="1" ht="12.75" x14ac:dyDescent="0.2">
      <c r="A29" s="92" t="s">
        <v>502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74"/>
      <c r="Y29" s="974"/>
      <c r="Z29" s="974"/>
      <c r="AA29" s="974"/>
      <c r="AB29" s="974"/>
      <c r="AC29" s="974"/>
      <c r="AD29" s="974"/>
      <c r="AE29" s="974"/>
      <c r="AF29" s="974"/>
      <c r="AG29" s="974"/>
      <c r="AH29" s="974"/>
      <c r="AI29" s="974"/>
      <c r="AJ29" s="92"/>
      <c r="AK29" s="92"/>
      <c r="AL29" s="92"/>
      <c r="AM29" s="92"/>
      <c r="AN29" s="92"/>
      <c r="AO29" s="92"/>
      <c r="AP29" s="92"/>
      <c r="AQ29" s="92"/>
    </row>
    <row r="30" spans="1:122" s="87" customFormat="1" ht="15" customHeight="1" x14ac:dyDescent="0.2">
      <c r="A30" s="92" t="s">
        <v>501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</row>
    <row r="31" spans="1:122" s="87" customFormat="1" ht="15" customHeight="1" x14ac:dyDescent="0.2">
      <c r="A31" s="92" t="s">
        <v>500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</row>
    <row r="32" spans="1:122" s="87" customFormat="1" ht="15" customHeight="1" x14ac:dyDescent="0.2">
      <c r="A32" s="330" t="s">
        <v>499</v>
      </c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  <c r="BE32" s="329"/>
      <c r="BF32" s="329"/>
      <c r="BG32" s="329"/>
      <c r="BH32" s="329"/>
      <c r="BI32" s="329"/>
      <c r="BJ32" s="329"/>
      <c r="BK32" s="329"/>
      <c r="BL32" s="329"/>
      <c r="BM32" s="329"/>
      <c r="BN32" s="329"/>
      <c r="BO32" s="329"/>
      <c r="BP32" s="329"/>
      <c r="BQ32" s="329"/>
      <c r="BR32" s="329"/>
      <c r="BS32" s="329"/>
      <c r="BT32" s="329"/>
      <c r="BU32" s="329"/>
      <c r="BV32" s="329"/>
      <c r="BW32" s="329"/>
      <c r="BX32" s="329"/>
      <c r="BY32" s="329"/>
      <c r="BZ32" s="329"/>
      <c r="CA32" s="329"/>
      <c r="CB32" s="329"/>
    </row>
    <row r="33" spans="1:80" s="87" customFormat="1" ht="15" customHeight="1" x14ac:dyDescent="0.2">
      <c r="A33" s="330" t="s">
        <v>498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9"/>
      <c r="P33" s="329"/>
      <c r="Q33" s="329"/>
      <c r="R33" s="329"/>
      <c r="S33" s="329"/>
      <c r="T33" s="329"/>
      <c r="U33" s="329"/>
      <c r="V33" s="329"/>
      <c r="W33" s="329"/>
      <c r="X33" s="329"/>
      <c r="Y33" s="329"/>
      <c r="Z33" s="329"/>
      <c r="AA33" s="329"/>
      <c r="AB33" s="329"/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  <c r="BE33" s="329"/>
      <c r="BF33" s="329"/>
      <c r="BG33" s="329"/>
      <c r="BH33" s="329"/>
      <c r="BI33" s="329"/>
      <c r="BJ33" s="329"/>
      <c r="BK33" s="329"/>
      <c r="BL33" s="329"/>
      <c r="BM33" s="329"/>
      <c r="BN33" s="329"/>
      <c r="BO33" s="329"/>
      <c r="BP33" s="329"/>
      <c r="BQ33" s="329"/>
      <c r="BR33" s="329"/>
      <c r="BS33" s="329"/>
      <c r="BT33" s="329"/>
      <c r="BU33" s="329"/>
      <c r="BV33" s="329"/>
      <c r="BW33" s="329"/>
      <c r="BX33" s="329"/>
      <c r="BY33" s="329"/>
      <c r="BZ33" s="329"/>
      <c r="CA33" s="329"/>
      <c r="CB33" s="329"/>
    </row>
    <row r="34" spans="1:80" s="87" customFormat="1" ht="15" customHeight="1" x14ac:dyDescent="0.2">
      <c r="A34" s="330" t="s">
        <v>497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29"/>
      <c r="BS34" s="329"/>
      <c r="BT34" s="329"/>
      <c r="BU34" s="329"/>
      <c r="BV34" s="329"/>
      <c r="BW34" s="329"/>
      <c r="BX34" s="329"/>
      <c r="BY34" s="329"/>
      <c r="BZ34" s="329"/>
      <c r="CA34" s="329"/>
      <c r="CB34" s="329"/>
    </row>
    <row r="35" spans="1:80" s="87" customFormat="1" ht="15" customHeight="1" x14ac:dyDescent="0.2">
      <c r="A35" s="330" t="s">
        <v>496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29"/>
      <c r="BN35" s="329"/>
      <c r="BO35" s="329"/>
      <c r="BP35" s="329"/>
      <c r="BQ35" s="329"/>
      <c r="BR35" s="329"/>
      <c r="BS35" s="329"/>
      <c r="BT35" s="329"/>
      <c r="BU35" s="329"/>
      <c r="BV35" s="329"/>
      <c r="BW35" s="329"/>
      <c r="BX35" s="329"/>
      <c r="BY35" s="329"/>
      <c r="BZ35" s="329"/>
      <c r="CA35" s="329"/>
      <c r="CB35" s="329"/>
    </row>
    <row r="36" spans="1:80" s="87" customFormat="1" ht="15.6" customHeight="1" x14ac:dyDescent="0.25">
      <c r="A36" s="358" t="s">
        <v>552</v>
      </c>
      <c r="B36" s="359"/>
      <c r="C36" s="359"/>
      <c r="D36" s="359"/>
      <c r="E36" s="359"/>
      <c r="F36" s="359"/>
      <c r="G36" s="359"/>
      <c r="H36" s="973"/>
      <c r="I36" s="973"/>
      <c r="J36" s="973"/>
      <c r="K36" s="973"/>
      <c r="L36" s="973"/>
      <c r="M36" s="973"/>
      <c r="N36" s="973"/>
      <c r="O36" s="973"/>
      <c r="P36" s="351" t="s">
        <v>542</v>
      </c>
      <c r="Q36" s="358" t="s">
        <v>553</v>
      </c>
      <c r="R36" s="351"/>
      <c r="S36" s="351"/>
      <c r="T36" s="351"/>
      <c r="U36" s="973" t="s">
        <v>1370</v>
      </c>
      <c r="V36" s="973"/>
      <c r="W36" s="973"/>
      <c r="X36" s="973"/>
      <c r="Y36" s="973"/>
      <c r="Z36" s="973"/>
      <c r="AA36" s="973"/>
      <c r="AB36" s="973"/>
      <c r="AC36" s="973"/>
      <c r="AD36" s="973"/>
      <c r="AE36" s="973"/>
      <c r="AF36" s="973"/>
      <c r="AG36" s="973"/>
      <c r="AH36" s="973"/>
      <c r="AI36" s="351" t="s">
        <v>542</v>
      </c>
      <c r="AJ36" s="360" t="s">
        <v>554</v>
      </c>
      <c r="AK36" s="351"/>
      <c r="AL36" s="351"/>
      <c r="AM36" s="351"/>
      <c r="AN36" s="973">
        <v>2450</v>
      </c>
      <c r="AO36" s="973"/>
      <c r="AP36" s="973"/>
      <c r="AQ36" s="973"/>
      <c r="AR36" s="973"/>
      <c r="AS36" s="351" t="s">
        <v>542</v>
      </c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351"/>
      <c r="BS36" s="351"/>
      <c r="BT36" s="351"/>
      <c r="BU36" s="351"/>
      <c r="BV36" s="351"/>
      <c r="BW36" s="351"/>
      <c r="BX36" s="351"/>
      <c r="BY36" s="351"/>
      <c r="BZ36" s="351"/>
      <c r="CA36" s="351"/>
      <c r="CB36" s="351"/>
    </row>
    <row r="37" spans="1:80" s="87" customFormat="1" ht="15" customHeight="1" x14ac:dyDescent="0.2">
      <c r="A37" s="330" t="s">
        <v>457</v>
      </c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9"/>
      <c r="P37" s="329"/>
      <c r="Q37" s="329"/>
      <c r="R37" s="329"/>
      <c r="S37" s="329"/>
      <c r="T37" s="329"/>
      <c r="U37" s="329"/>
      <c r="V37" s="329"/>
      <c r="W37" s="329"/>
      <c r="X37" s="329"/>
      <c r="Y37" s="329"/>
      <c r="Z37" s="329"/>
      <c r="AA37" s="329"/>
      <c r="AB37" s="329"/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  <c r="AV37" s="329"/>
      <c r="AW37" s="329"/>
      <c r="AX37" s="329"/>
      <c r="AY37" s="329"/>
      <c r="AZ37" s="329"/>
      <c r="BA37" s="329"/>
      <c r="BB37" s="329"/>
      <c r="BC37" s="329"/>
      <c r="BD37" s="329"/>
      <c r="BE37" s="329"/>
      <c r="BF37" s="329"/>
      <c r="BG37" s="329"/>
      <c r="BH37" s="329"/>
      <c r="BI37" s="329"/>
      <c r="BJ37" s="329"/>
      <c r="BK37" s="329"/>
      <c r="BL37" s="329"/>
      <c r="BM37" s="329"/>
      <c r="BN37" s="329"/>
      <c r="BO37" s="329"/>
      <c r="BP37" s="329"/>
      <c r="BQ37" s="329"/>
      <c r="BR37" s="329"/>
      <c r="BS37" s="329"/>
      <c r="BT37" s="329"/>
      <c r="BU37" s="329"/>
      <c r="BV37" s="329"/>
      <c r="BW37" s="329"/>
      <c r="BX37" s="329"/>
      <c r="BY37" s="329"/>
      <c r="BZ37" s="329"/>
      <c r="CA37" s="329"/>
      <c r="CB37" s="329"/>
    </row>
    <row r="38" spans="1:80" s="87" customFormat="1" ht="15" customHeight="1" x14ac:dyDescent="0.2">
      <c r="A38" s="330" t="s">
        <v>495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29"/>
      <c r="BA38" s="329"/>
      <c r="BB38" s="329"/>
      <c r="BC38" s="329"/>
      <c r="BD38" s="329"/>
      <c r="BE38" s="329"/>
      <c r="BF38" s="329"/>
      <c r="BG38" s="329"/>
      <c r="BH38" s="329"/>
      <c r="BI38" s="329"/>
      <c r="BJ38" s="329"/>
      <c r="BK38" s="329"/>
      <c r="BL38" s="329"/>
      <c r="BM38" s="329"/>
      <c r="BN38" s="329"/>
      <c r="BO38" s="329"/>
      <c r="BP38" s="329"/>
      <c r="BQ38" s="329"/>
      <c r="BR38" s="329"/>
      <c r="BS38" s="329"/>
      <c r="BT38" s="329"/>
      <c r="BU38" s="329"/>
      <c r="BV38" s="329"/>
      <c r="BW38" s="329"/>
      <c r="BX38" s="329"/>
      <c r="BY38" s="329"/>
      <c r="BZ38" s="329"/>
      <c r="CA38" s="329"/>
      <c r="CB38" s="329"/>
    </row>
    <row r="39" spans="1:80" s="87" customFormat="1" ht="15" customHeight="1" x14ac:dyDescent="0.2">
      <c r="A39" s="330" t="s">
        <v>494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971"/>
      <c r="P39" s="971"/>
      <c r="Q39" s="971"/>
      <c r="R39" s="971"/>
      <c r="S39" s="971"/>
      <c r="T39" s="971"/>
      <c r="U39" s="971"/>
      <c r="V39" s="971"/>
      <c r="W39" s="971"/>
      <c r="X39" s="971"/>
      <c r="Y39" s="971"/>
      <c r="Z39" s="971"/>
      <c r="AA39" s="971"/>
      <c r="AB39" s="971"/>
      <c r="AC39" s="971"/>
      <c r="AD39" s="971"/>
      <c r="AE39" s="971"/>
      <c r="AF39" s="971"/>
      <c r="AG39" s="971"/>
      <c r="AH39" s="971"/>
      <c r="AI39" s="971"/>
      <c r="AJ39" s="971"/>
      <c r="AK39" s="971"/>
      <c r="AL39" s="971"/>
      <c r="AM39" s="971"/>
      <c r="AN39" s="971"/>
      <c r="AO39" s="971"/>
      <c r="AP39" s="971"/>
      <c r="AQ39" s="971"/>
      <c r="AR39" s="971"/>
      <c r="AS39" s="971"/>
      <c r="AT39" s="971"/>
      <c r="AU39" s="971"/>
      <c r="AV39" s="971"/>
      <c r="AW39" s="971"/>
      <c r="AX39" s="971"/>
      <c r="AY39" s="971"/>
      <c r="AZ39" s="971"/>
      <c r="BA39" s="971"/>
      <c r="BB39" s="971"/>
      <c r="BC39" s="971"/>
      <c r="BD39" s="971"/>
      <c r="BE39" s="971"/>
      <c r="BF39" s="971"/>
      <c r="BG39" s="971"/>
      <c r="BH39" s="971"/>
      <c r="BI39" s="971"/>
      <c r="BJ39" s="971"/>
      <c r="BK39" s="971"/>
      <c r="BL39" s="971"/>
      <c r="BM39" s="971"/>
      <c r="BN39" s="971"/>
      <c r="BO39" s="971"/>
      <c r="BP39" s="971"/>
      <c r="BQ39" s="971"/>
      <c r="BR39" s="971"/>
      <c r="BS39" s="971"/>
      <c r="BT39" s="971"/>
      <c r="BU39" s="971"/>
      <c r="BV39" s="971"/>
      <c r="BW39" s="971"/>
      <c r="BX39" s="971"/>
      <c r="BY39" s="971"/>
      <c r="BZ39" s="971"/>
      <c r="CA39" s="971"/>
      <c r="CB39" s="971"/>
    </row>
    <row r="40" spans="1:80" s="2" customFormat="1" ht="12.75" x14ac:dyDescent="0.2"/>
    <row r="41" spans="1:80" s="2" customFormat="1" ht="12.75" x14ac:dyDescent="0.2"/>
    <row r="42" spans="1:80" s="2" customFormat="1" ht="12.75" x14ac:dyDescent="0.2">
      <c r="C42" s="11"/>
      <c r="D42" s="45" t="s">
        <v>59</v>
      </c>
      <c r="E42" s="11"/>
      <c r="F42" s="11"/>
      <c r="G42" s="11"/>
      <c r="H42" s="11"/>
      <c r="I42" s="11"/>
      <c r="AM42" s="857"/>
      <c r="AN42" s="857"/>
      <c r="AO42" s="857"/>
      <c r="AP42" s="857"/>
      <c r="AQ42" s="857"/>
      <c r="AR42" s="857"/>
      <c r="AS42" s="857"/>
      <c r="AT42" s="857"/>
      <c r="AU42" s="857"/>
      <c r="AV42" s="857"/>
      <c r="AW42" s="857"/>
      <c r="AX42" s="857"/>
      <c r="AY42" s="857"/>
      <c r="BC42" s="831" t="str">
        <f>IF('Данные объект'!B42="","",'Данные объект'!B42)</f>
      </c>
      <c r="BD42" s="831"/>
      <c r="BE42" s="831"/>
      <c r="BF42" s="831"/>
      <c r="BG42" s="831"/>
      <c r="BH42" s="831"/>
      <c r="BI42" s="831"/>
      <c r="BJ42" s="831"/>
      <c r="BK42" s="831"/>
      <c r="BL42" s="831"/>
      <c r="BM42" s="831"/>
      <c r="BN42" s="831"/>
      <c r="BO42" s="831"/>
      <c r="BP42" s="831"/>
      <c r="BQ42" s="831"/>
    </row>
    <row r="43" spans="1:80" s="5" customFormat="1" ht="11.25" x14ac:dyDescent="0.2">
      <c r="C43" s="57"/>
      <c r="D43" s="11"/>
      <c r="E43" s="45"/>
      <c r="F43" s="45"/>
      <c r="G43" s="57"/>
      <c r="H43" s="57"/>
      <c r="I43" s="57"/>
      <c r="J43" s="20"/>
      <c r="K43" s="20"/>
      <c r="L43" s="20"/>
      <c r="M43" s="20"/>
      <c r="AM43" s="858" t="s">
        <v>2</v>
      </c>
      <c r="AN43" s="858"/>
      <c r="AO43" s="858"/>
      <c r="AP43" s="858"/>
      <c r="AQ43" s="858"/>
      <c r="AR43" s="858"/>
      <c r="AS43" s="858"/>
      <c r="AT43" s="858"/>
      <c r="AU43" s="858"/>
      <c r="AV43" s="858"/>
      <c r="AW43" s="858"/>
      <c r="AX43" s="858"/>
      <c r="AY43" s="858"/>
    </row>
    <row r="44" spans="1:80" s="5" customFormat="1" ht="12.75" x14ac:dyDescent="0.2">
      <c r="C44" s="57"/>
      <c r="D44" s="45"/>
      <c r="E44" s="45"/>
      <c r="F44" s="45"/>
      <c r="G44" s="57"/>
      <c r="H44" s="57"/>
      <c r="I44" s="57"/>
      <c r="J44" s="20"/>
      <c r="K44" s="20"/>
      <c r="L44" s="20"/>
      <c r="M44" s="20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</row>
    <row r="45" spans="1:80" s="2" customFormat="1" ht="12.75" outlineLevel="2" x14ac:dyDescent="0.2">
      <c r="C45" s="57"/>
      <c r="D45" s="45"/>
      <c r="E45" s="45"/>
      <c r="F45" s="45"/>
      <c r="G45" s="57"/>
      <c r="H45" s="57"/>
      <c r="I45" s="57"/>
      <c r="J45" s="3"/>
      <c r="K45" s="3"/>
      <c r="L45" s="3"/>
      <c r="M45" s="3"/>
      <c r="AM45" s="857"/>
      <c r="AN45" s="857"/>
      <c r="AO45" s="857"/>
      <c r="AP45" s="857"/>
      <c r="AQ45" s="857"/>
      <c r="AR45" s="857"/>
      <c r="AS45" s="857"/>
      <c r="AT45" s="857"/>
      <c r="AU45" s="857"/>
      <c r="AV45" s="857"/>
      <c r="AW45" s="857"/>
      <c r="AX45" s="857"/>
      <c r="AY45" s="857"/>
      <c r="BC45" s="831" t="str">
        <f>IF('Данные объект'!B47="","",'Данные объект'!B47)</f>
      </c>
      <c r="BD45" s="831"/>
      <c r="BE45" s="831"/>
      <c r="BF45" s="831"/>
      <c r="BG45" s="831"/>
      <c r="BH45" s="831"/>
      <c r="BI45" s="831"/>
      <c r="BJ45" s="831"/>
      <c r="BK45" s="831"/>
      <c r="BL45" s="831"/>
      <c r="BM45" s="831"/>
      <c r="BN45" s="831"/>
      <c r="BO45" s="831"/>
      <c r="BP45" s="831"/>
      <c r="BQ45" s="831"/>
    </row>
    <row r="46" spans="1:80" s="5" customFormat="1" ht="11.25" outlineLevel="2" x14ac:dyDescent="0.2">
      <c r="C46" s="57"/>
      <c r="D46" s="11"/>
      <c r="E46" s="45"/>
      <c r="F46" s="45"/>
      <c r="G46" s="57"/>
      <c r="H46" s="57"/>
      <c r="I46" s="57"/>
      <c r="J46" s="20"/>
      <c r="K46" s="20"/>
      <c r="L46" s="20"/>
      <c r="M46" s="20"/>
      <c r="AM46" s="858" t="s">
        <v>2</v>
      </c>
      <c r="AN46" s="858"/>
      <c r="AO46" s="858"/>
      <c r="AP46" s="858"/>
      <c r="AQ46" s="858"/>
      <c r="AR46" s="858"/>
      <c r="AS46" s="858"/>
      <c r="AT46" s="858"/>
      <c r="AU46" s="858"/>
      <c r="AV46" s="858"/>
      <c r="AW46" s="858"/>
      <c r="AX46" s="858"/>
      <c r="AY46" s="858"/>
    </row>
    <row r="47" spans="1:80" s="5" customFormat="1" ht="12.75" outlineLevel="2" x14ac:dyDescent="0.2">
      <c r="C47" s="57"/>
      <c r="D47" s="45"/>
      <c r="E47" s="45"/>
      <c r="F47" s="45"/>
      <c r="G47" s="57"/>
      <c r="H47" s="57"/>
      <c r="I47" s="57"/>
      <c r="J47" s="20"/>
      <c r="K47" s="20"/>
      <c r="L47" s="20"/>
      <c r="M47" s="20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80" s="2" customFormat="1" ht="12.75" x14ac:dyDescent="0.2">
      <c r="C48" s="57"/>
      <c r="D48" s="45" t="s">
        <v>61</v>
      </c>
      <c r="E48" s="45"/>
      <c r="F48" s="45"/>
      <c r="G48" s="57"/>
      <c r="H48" s="57"/>
      <c r="I48" s="57"/>
      <c r="J48" s="3"/>
      <c r="K48" s="3"/>
      <c r="L48" s="3"/>
      <c r="M48" s="3"/>
      <c r="AM48" s="857"/>
      <c r="AN48" s="857"/>
      <c r="AO48" s="857"/>
      <c r="AP48" s="857"/>
      <c r="AQ48" s="857"/>
      <c r="AR48" s="857"/>
      <c r="AS48" s="857"/>
      <c r="AT48" s="857"/>
      <c r="AU48" s="857"/>
      <c r="AV48" s="857"/>
      <c r="AW48" s="857"/>
      <c r="AX48" s="857"/>
      <c r="AY48" s="857"/>
      <c r="BC48" s="831" t="str">
        <f>IF('Данные объект'!B28="","",'Данные объект'!B28)</f>
      </c>
      <c r="BD48" s="831"/>
      <c r="BE48" s="831"/>
      <c r="BF48" s="831"/>
      <c r="BG48" s="831"/>
      <c r="BH48" s="831"/>
      <c r="BI48" s="831"/>
      <c r="BJ48" s="831"/>
      <c r="BK48" s="831"/>
      <c r="BL48" s="831"/>
      <c r="BM48" s="831"/>
      <c r="BN48" s="831"/>
      <c r="BO48" s="831"/>
      <c r="BP48" s="831"/>
      <c r="BQ48" s="831"/>
    </row>
    <row r="49" spans="3:51" s="5" customFormat="1" ht="9.75" x14ac:dyDescent="0.2">
      <c r="C49" s="20"/>
      <c r="E49" s="21"/>
      <c r="F49" s="21"/>
      <c r="G49" s="20"/>
      <c r="H49" s="20"/>
      <c r="I49" s="20"/>
      <c r="J49" s="20"/>
      <c r="K49" s="20"/>
      <c r="L49" s="20"/>
      <c r="M49" s="20"/>
      <c r="AM49" s="858" t="s">
        <v>2</v>
      </c>
      <c r="AN49" s="858"/>
      <c r="AO49" s="858"/>
      <c r="AP49" s="858"/>
      <c r="AQ49" s="858"/>
      <c r="AR49" s="858"/>
      <c r="AS49" s="858"/>
      <c r="AT49" s="858"/>
      <c r="AU49" s="858"/>
      <c r="AV49" s="858"/>
      <c r="AW49" s="858"/>
      <c r="AX49" s="858"/>
      <c r="AY49" s="858"/>
    </row>
    <row r="50" spans="3:51" s="2" customFormat="1" ht="12.75" x14ac:dyDescent="0.2"/>
    <row r="51" spans="3:51" s="2" customFormat="1" ht="12.75" x14ac:dyDescent="0.2"/>
    <row r="52" spans="3:51" s="2" customFormat="1" ht="12.75" x14ac:dyDescent="0.2"/>
    <row r="53" spans="3:51" s="2" customFormat="1" ht="12.75" x14ac:dyDescent="0.2"/>
    <row r="54" spans="3:51" s="2" customFormat="1" ht="12.75" x14ac:dyDescent="0.2"/>
    <row r="55" spans="3:51" s="2" customFormat="1" ht="12.75" x14ac:dyDescent="0.2"/>
    <row r="56" spans="3:51" s="2" customFormat="1" ht="12.75" x14ac:dyDescent="0.2"/>
    <row r="57" spans="3:51" s="2" customFormat="1" ht="12.75" x14ac:dyDescent="0.2"/>
    <row r="58" spans="3:51" s="2" customFormat="1" ht="12.75" x14ac:dyDescent="0.2"/>
    <row r="59" spans="3:51" s="2" customFormat="1" ht="12.75" x14ac:dyDescent="0.2"/>
    <row r="60" spans="3:51" s="2" customFormat="1" ht="12.75" x14ac:dyDescent="0.2"/>
    <row r="61" spans="3:51" s="2" customFormat="1" ht="12.75" x14ac:dyDescent="0.2"/>
    <row r="62" spans="3:51" s="2" customFormat="1" ht="12.75" x14ac:dyDescent="0.2"/>
    <row r="63" spans="3:51" s="2" customFormat="1" ht="12.75" x14ac:dyDescent="0.2"/>
    <row r="64" spans="3:51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</sheetData>
  <mergeCells count="39">
    <mergeCell ref="AM46:AY46"/>
    <mergeCell ref="AM48:AY48"/>
    <mergeCell ref="BC48:BQ48"/>
    <mergeCell ref="AM49:AY49"/>
    <mergeCell ref="AM42:AY42"/>
    <mergeCell ref="BC42:BQ42"/>
    <mergeCell ref="AM43:AY43"/>
    <mergeCell ref="AM45:AY45"/>
    <mergeCell ref="BC45:BQ45"/>
    <mergeCell ref="O39:CB39"/>
    <mergeCell ref="A20:CB20"/>
    <mergeCell ref="A22:CB22"/>
    <mergeCell ref="A23:BZ23"/>
    <mergeCell ref="A25:CB25"/>
    <mergeCell ref="A26:BZ26"/>
    <mergeCell ref="A28:CE28"/>
    <mergeCell ref="H36:O36"/>
    <mergeCell ref="U36:AH36"/>
    <mergeCell ref="AN36:AR36"/>
    <mergeCell ref="X29:AI29"/>
    <mergeCell ref="A19:CB19"/>
    <mergeCell ref="A6:AI6"/>
    <mergeCell ref="AR6:BZ6"/>
    <mergeCell ref="AR7:BZ9"/>
    <mergeCell ref="A9:AI9"/>
    <mergeCell ref="A10:AI10"/>
    <mergeCell ref="AR10:BZ10"/>
    <mergeCell ref="A11:AI11"/>
    <mergeCell ref="AR11:BZ11"/>
    <mergeCell ref="A12:AI12"/>
    <mergeCell ref="AR12:BZ12"/>
    <mergeCell ref="A14:CB14"/>
    <mergeCell ref="A15:CB15"/>
    <mergeCell ref="AR1:BZ2"/>
    <mergeCell ref="A2:AI2"/>
    <mergeCell ref="A3:AI3"/>
    <mergeCell ref="AR3:BZ3"/>
    <mergeCell ref="A4:AI5"/>
    <mergeCell ref="AR4:BZ5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CB31"/>
  <sheetViews>
    <sheetView view="pageBreakPreview" zoomScale="90" zoomScaleNormal="100" zoomScaleSheetLayoutView="90" workbookViewId="0">
      <selection activeCell="A8" sqref="A8:AI9"/>
    </sheetView>
  </sheetViews>
  <sheetFormatPr defaultColWidth="9.140625" defaultRowHeight="12.75" x14ac:dyDescent="0.2"/>
  <cols>
    <col min="1" max="6" width="1.140625" style="2" customWidth="1"/>
    <col min="7" max="7" width="4.7109375" style="2" customWidth="1"/>
    <col min="8" max="16" width="1.140625" style="2" customWidth="1"/>
    <col min="17" max="17" width="2.85546875" style="2" customWidth="1"/>
    <col min="18" max="31" width="1.140625" style="2" customWidth="1"/>
    <col min="32" max="32" width="7" style="2" customWidth="1"/>
    <col min="33" max="39" width="1.140625" style="2" customWidth="1"/>
    <col min="40" max="40" width="2.140625" style="2" customWidth="1"/>
    <col min="41" max="76" width="1.140625" style="2" customWidth="1"/>
    <col min="77" max="77" width="5.7109375" style="2" customWidth="1"/>
    <col min="78" max="78" width="0.42578125" style="2" hidden="1" customWidth="1"/>
    <col min="79" max="80" width="1.140625" style="2" hidden="1" customWidth="1"/>
    <col min="81" max="145" width="1.140625" style="2" customWidth="1"/>
    <col min="146" max="16384" width="9.140625" style="2"/>
  </cols>
  <sheetData>
    <row r="1" spans="1:80" ht="7.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9.7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15" customHeight="1" x14ac:dyDescent="0.25">
      <c r="A8" s="836" t="str">
        <f>IF('Данные объект'!B16="","",'Данные объект'!B16)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15.7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7.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67"/>
      <c r="CA12" s="67"/>
      <c r="CB12" s="67"/>
    </row>
    <row r="13" spans="1:80" s="5" customFormat="1" ht="8.25" x14ac:dyDescent="0.15"/>
    <row r="15" spans="1:80" s="34" customFormat="1" ht="16.5" customHeight="1" x14ac:dyDescent="0.25">
      <c r="A15" s="931" t="s">
        <v>1238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931"/>
      <c r="AA15" s="931"/>
      <c r="AB15" s="931"/>
      <c r="AC15" s="931"/>
      <c r="AD15" s="931"/>
      <c r="AE15" s="931"/>
      <c r="AF15" s="931"/>
      <c r="AG15" s="931"/>
      <c r="AH15" s="931"/>
      <c r="AI15" s="931"/>
      <c r="AJ15" s="931"/>
      <c r="AK15" s="931"/>
      <c r="AL15" s="931"/>
      <c r="AM15" s="931"/>
      <c r="AN15" s="931"/>
      <c r="AO15" s="931"/>
      <c r="AP15" s="931"/>
      <c r="AQ15" s="931"/>
      <c r="AR15" s="931"/>
      <c r="AS15" s="931"/>
      <c r="AT15" s="931"/>
      <c r="AU15" s="931"/>
      <c r="AV15" s="931"/>
      <c r="AW15" s="931"/>
      <c r="AX15" s="931"/>
      <c r="AY15" s="931"/>
      <c r="AZ15" s="931"/>
      <c r="BA15" s="931"/>
      <c r="BB15" s="931"/>
      <c r="BC15" s="931"/>
      <c r="BD15" s="931"/>
      <c r="BE15" s="931"/>
      <c r="BF15" s="931"/>
      <c r="BG15" s="931"/>
      <c r="BH15" s="931"/>
      <c r="BI15" s="931"/>
      <c r="BJ15" s="931"/>
      <c r="BK15" s="931"/>
      <c r="BL15" s="931"/>
      <c r="BM15" s="931"/>
      <c r="BN15" s="931"/>
      <c r="BO15" s="931"/>
      <c r="BP15" s="931"/>
      <c r="BQ15" s="931"/>
      <c r="BR15" s="931"/>
      <c r="BS15" s="931"/>
      <c r="BT15" s="931"/>
      <c r="BU15" s="931"/>
      <c r="BV15" s="931"/>
      <c r="BW15" s="931"/>
      <c r="BX15" s="931"/>
      <c r="BY15" s="931"/>
      <c r="BZ15" s="931"/>
      <c r="CA15" s="931"/>
      <c r="CB15" s="931"/>
    </row>
    <row r="16" spans="1:80" x14ac:dyDescent="0.2">
      <c r="A16" s="931" t="s">
        <v>1244</v>
      </c>
      <c r="B16" s="931"/>
      <c r="C16" s="931"/>
      <c r="D16" s="931"/>
      <c r="E16" s="931"/>
      <c r="F16" s="931"/>
      <c r="G16" s="931"/>
      <c r="H16" s="931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931"/>
      <c r="AH16" s="931"/>
      <c r="AI16" s="931"/>
      <c r="AJ16" s="931"/>
      <c r="AK16" s="931"/>
      <c r="AL16" s="931"/>
      <c r="AM16" s="931"/>
      <c r="AN16" s="931"/>
      <c r="AO16" s="931"/>
      <c r="AP16" s="931"/>
      <c r="AQ16" s="931"/>
      <c r="AR16" s="931"/>
      <c r="AS16" s="931"/>
      <c r="AT16" s="931"/>
      <c r="AU16" s="931"/>
      <c r="AV16" s="931"/>
      <c r="AW16" s="931"/>
      <c r="AX16" s="931"/>
      <c r="AY16" s="931"/>
      <c r="AZ16" s="931"/>
      <c r="BA16" s="931"/>
      <c r="BB16" s="931"/>
      <c r="BC16" s="931"/>
      <c r="BD16" s="931"/>
      <c r="BE16" s="931"/>
      <c r="BF16" s="931"/>
      <c r="BG16" s="931"/>
      <c r="BH16" s="931"/>
      <c r="BI16" s="931"/>
      <c r="BJ16" s="931"/>
      <c r="BK16" s="931"/>
      <c r="BL16" s="931"/>
      <c r="BM16" s="931"/>
      <c r="BN16" s="931"/>
      <c r="BO16" s="931"/>
      <c r="BP16" s="931"/>
      <c r="BQ16" s="931"/>
      <c r="BR16" s="931"/>
      <c r="BS16" s="931"/>
      <c r="BT16" s="931"/>
      <c r="BU16" s="931"/>
      <c r="BV16" s="931"/>
      <c r="BW16" s="931"/>
      <c r="BX16" s="931"/>
      <c r="BY16" s="931"/>
      <c r="BZ16" s="931"/>
      <c r="CA16" s="931"/>
      <c r="CB16" s="931"/>
    </row>
    <row r="17" spans="1:80" ht="12.75" customHeight="1" x14ac:dyDescent="0.2"/>
    <row r="18" spans="1:80" x14ac:dyDescent="0.2">
      <c r="A18" s="827" t="s">
        <v>178</v>
      </c>
      <c r="B18" s="827"/>
      <c r="C18" s="827"/>
      <c r="D18" s="827"/>
      <c r="E18" s="827"/>
      <c r="F18" s="827"/>
      <c r="G18" s="827"/>
      <c r="H18" s="827" t="s">
        <v>179</v>
      </c>
      <c r="I18" s="827"/>
      <c r="J18" s="827"/>
      <c r="K18" s="827"/>
      <c r="L18" s="827"/>
      <c r="M18" s="827"/>
      <c r="N18" s="827"/>
      <c r="O18" s="827"/>
      <c r="P18" s="827"/>
      <c r="Q18" s="827"/>
      <c r="R18" s="827" t="s">
        <v>180</v>
      </c>
      <c r="S18" s="827"/>
      <c r="T18" s="827"/>
      <c r="U18" s="827"/>
      <c r="V18" s="827"/>
      <c r="W18" s="827"/>
      <c r="X18" s="827"/>
      <c r="Y18" s="827" t="s">
        <v>181</v>
      </c>
      <c r="Z18" s="827"/>
      <c r="AA18" s="827"/>
      <c r="AB18" s="827"/>
      <c r="AC18" s="827"/>
      <c r="AD18" s="827"/>
      <c r="AE18" s="827"/>
      <c r="AF18" s="827"/>
      <c r="AG18" s="975" t="s">
        <v>182</v>
      </c>
      <c r="AH18" s="975"/>
      <c r="AI18" s="975"/>
      <c r="AJ18" s="975"/>
      <c r="AK18" s="975"/>
      <c r="AL18" s="975"/>
      <c r="AM18" s="975"/>
      <c r="AN18" s="975"/>
      <c r="AO18" s="826" t="s">
        <v>187</v>
      </c>
      <c r="AP18" s="826"/>
      <c r="AQ18" s="826"/>
      <c r="AR18" s="826"/>
      <c r="AS18" s="826"/>
      <c r="AT18" s="826"/>
      <c r="AU18" s="826"/>
      <c r="AV18" s="826"/>
      <c r="AW18" s="826"/>
      <c r="AX18" s="826"/>
      <c r="AY18" s="826"/>
      <c r="AZ18" s="826"/>
      <c r="BA18" s="826"/>
      <c r="BB18" s="826"/>
      <c r="BC18" s="826"/>
      <c r="BD18" s="826"/>
      <c r="BE18" s="826"/>
      <c r="BF18" s="826"/>
      <c r="BG18" s="826"/>
      <c r="BH18" s="826"/>
      <c r="BI18" s="826"/>
      <c r="BJ18" s="826"/>
      <c r="BK18" s="826"/>
      <c r="BL18" s="826"/>
      <c r="BM18" s="827" t="s">
        <v>338</v>
      </c>
      <c r="BN18" s="827"/>
      <c r="BO18" s="827"/>
      <c r="BP18" s="827"/>
      <c r="BQ18" s="827"/>
      <c r="BR18" s="827"/>
      <c r="BS18" s="827"/>
      <c r="BT18" s="827"/>
      <c r="BU18" s="827" t="s">
        <v>185</v>
      </c>
      <c r="BV18" s="827"/>
      <c r="BW18" s="827"/>
      <c r="BX18" s="827"/>
      <c r="BY18" s="827"/>
      <c r="BZ18" s="827"/>
      <c r="CA18" s="827"/>
      <c r="CB18" s="827"/>
    </row>
    <row r="19" spans="1:80" x14ac:dyDescent="0.2">
      <c r="A19" s="827"/>
      <c r="B19" s="827"/>
      <c r="C19" s="827"/>
      <c r="D19" s="827"/>
      <c r="E19" s="827"/>
      <c r="F19" s="827"/>
      <c r="G19" s="827"/>
      <c r="H19" s="827"/>
      <c r="I19" s="827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975"/>
      <c r="AH19" s="975"/>
      <c r="AI19" s="975"/>
      <c r="AJ19" s="975"/>
      <c r="AK19" s="975"/>
      <c r="AL19" s="975"/>
      <c r="AM19" s="975"/>
      <c r="AN19" s="975"/>
      <c r="AO19" s="826"/>
      <c r="AP19" s="826"/>
      <c r="AQ19" s="826"/>
      <c r="AR19" s="826"/>
      <c r="AS19" s="826"/>
      <c r="AT19" s="826"/>
      <c r="AU19" s="826"/>
      <c r="AV19" s="826"/>
      <c r="AW19" s="826"/>
      <c r="AX19" s="826"/>
      <c r="AY19" s="826"/>
      <c r="AZ19" s="826"/>
      <c r="BA19" s="826"/>
      <c r="BB19" s="826"/>
      <c r="BC19" s="826"/>
      <c r="BD19" s="826"/>
      <c r="BE19" s="826"/>
      <c r="BF19" s="826"/>
      <c r="BG19" s="826"/>
      <c r="BH19" s="826"/>
      <c r="BI19" s="826"/>
      <c r="BJ19" s="826"/>
      <c r="BK19" s="826"/>
      <c r="BL19" s="826"/>
      <c r="BM19" s="827"/>
      <c r="BN19" s="827"/>
      <c r="BO19" s="827"/>
      <c r="BP19" s="827"/>
      <c r="BQ19" s="827"/>
      <c r="BR19" s="827"/>
      <c r="BS19" s="827"/>
      <c r="BT19" s="827"/>
      <c r="BU19" s="827"/>
      <c r="BV19" s="827"/>
      <c r="BW19" s="827"/>
      <c r="BX19" s="827"/>
      <c r="BY19" s="827"/>
      <c r="BZ19" s="827"/>
      <c r="CA19" s="827"/>
      <c r="CB19" s="827"/>
    </row>
    <row r="20" spans="1:80" s="14" customFormat="1" ht="60.75" customHeight="1" x14ac:dyDescent="0.25">
      <c r="A20" s="827"/>
      <c r="B20" s="827"/>
      <c r="C20" s="827"/>
      <c r="D20" s="827"/>
      <c r="E20" s="827"/>
      <c r="F20" s="827"/>
      <c r="G20" s="827"/>
      <c r="H20" s="827"/>
      <c r="I20" s="827"/>
      <c r="J20" s="827"/>
      <c r="K20" s="827"/>
      <c r="L20" s="827"/>
      <c r="M20" s="827"/>
      <c r="N20" s="827"/>
      <c r="O20" s="827"/>
      <c r="P20" s="827"/>
      <c r="Q20" s="827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975"/>
      <c r="AH20" s="975"/>
      <c r="AI20" s="975"/>
      <c r="AJ20" s="975"/>
      <c r="AK20" s="975"/>
      <c r="AL20" s="975"/>
      <c r="AM20" s="975"/>
      <c r="AN20" s="975"/>
      <c r="AO20" s="827" t="s">
        <v>183</v>
      </c>
      <c r="AP20" s="827"/>
      <c r="AQ20" s="827"/>
      <c r="AR20" s="827"/>
      <c r="AS20" s="827"/>
      <c r="AT20" s="827"/>
      <c r="AU20" s="827"/>
      <c r="AV20" s="827"/>
      <c r="AW20" s="827" t="s">
        <v>186</v>
      </c>
      <c r="AX20" s="827"/>
      <c r="AY20" s="827"/>
      <c r="AZ20" s="827"/>
      <c r="BA20" s="827"/>
      <c r="BB20" s="827"/>
      <c r="BC20" s="827"/>
      <c r="BD20" s="827"/>
      <c r="BE20" s="827" t="s">
        <v>184</v>
      </c>
      <c r="BF20" s="827"/>
      <c r="BG20" s="827"/>
      <c r="BH20" s="827"/>
      <c r="BI20" s="827"/>
      <c r="BJ20" s="827"/>
      <c r="BK20" s="827"/>
      <c r="BL20" s="827"/>
      <c r="BM20" s="827"/>
      <c r="BN20" s="827"/>
      <c r="BO20" s="827"/>
      <c r="BP20" s="827"/>
      <c r="BQ20" s="827"/>
      <c r="BR20" s="827"/>
      <c r="BS20" s="827"/>
      <c r="BT20" s="827"/>
      <c r="BU20" s="827"/>
      <c r="BV20" s="827"/>
      <c r="BW20" s="827"/>
      <c r="BX20" s="827"/>
      <c r="BY20" s="827"/>
      <c r="BZ20" s="827"/>
      <c r="CA20" s="827"/>
      <c r="CB20" s="827"/>
    </row>
    <row r="21" spans="1:80" ht="14.85" customHeight="1" x14ac:dyDescent="0.2">
      <c r="A21" s="827"/>
      <c r="B21" s="827"/>
      <c r="C21" s="827"/>
      <c r="D21" s="827"/>
      <c r="E21" s="827"/>
      <c r="F21" s="827"/>
      <c r="G21" s="827"/>
      <c r="H21" s="827"/>
      <c r="I21" s="827"/>
      <c r="J21" s="827"/>
      <c r="K21" s="827"/>
      <c r="L21" s="827"/>
      <c r="M21" s="827"/>
      <c r="N21" s="827"/>
      <c r="O21" s="827"/>
      <c r="P21" s="827"/>
      <c r="Q21" s="827"/>
      <c r="R21" s="827"/>
      <c r="S21" s="827"/>
      <c r="T21" s="827"/>
      <c r="U21" s="827"/>
      <c r="V21" s="827"/>
      <c r="W21" s="827"/>
      <c r="X21" s="827"/>
      <c r="Y21" s="827"/>
      <c r="Z21" s="827"/>
      <c r="AA21" s="827"/>
      <c r="AB21" s="827"/>
      <c r="AC21" s="827"/>
      <c r="AD21" s="827"/>
      <c r="AE21" s="827"/>
      <c r="AF21" s="827"/>
      <c r="AG21" s="975"/>
      <c r="AH21" s="975"/>
      <c r="AI21" s="975"/>
      <c r="AJ21" s="975"/>
      <c r="AK21" s="975"/>
      <c r="AL21" s="975"/>
      <c r="AM21" s="975"/>
      <c r="AN21" s="975"/>
      <c r="AO21" s="827"/>
      <c r="AP21" s="827"/>
      <c r="AQ21" s="827"/>
      <c r="AR21" s="827"/>
      <c r="AS21" s="827"/>
      <c r="AT21" s="827"/>
      <c r="AU21" s="827"/>
      <c r="AV21" s="827"/>
      <c r="AW21" s="827"/>
      <c r="AX21" s="827"/>
      <c r="AY21" s="827"/>
      <c r="AZ21" s="827"/>
      <c r="BA21" s="827"/>
      <c r="BB21" s="827"/>
      <c r="BC21" s="827"/>
      <c r="BD21" s="827"/>
      <c r="BE21" s="827"/>
      <c r="BF21" s="827"/>
      <c r="BG21" s="827"/>
      <c r="BH21" s="827"/>
      <c r="BI21" s="827"/>
      <c r="BJ21" s="827"/>
      <c r="BK21" s="827"/>
      <c r="BL21" s="827"/>
      <c r="BM21" s="827"/>
      <c r="BN21" s="827"/>
      <c r="BO21" s="827"/>
      <c r="BP21" s="827"/>
      <c r="BQ21" s="827"/>
      <c r="BR21" s="827"/>
      <c r="BS21" s="827"/>
      <c r="BT21" s="827"/>
      <c r="BU21" s="827"/>
      <c r="BV21" s="827"/>
      <c r="BW21" s="827"/>
      <c r="BX21" s="827"/>
      <c r="BY21" s="827"/>
      <c r="BZ21" s="827"/>
      <c r="CA21" s="827"/>
      <c r="CB21" s="827"/>
    </row>
    <row r="22" spans="1:80" ht="36" customHeight="1" x14ac:dyDescent="0.2">
      <c r="A22" s="898" t="str">
        <f>IF('КЛ-3'!H36="","",'КЛ-3'!H36)</f>
      </c>
      <c r="B22" s="898"/>
      <c r="C22" s="898"/>
      <c r="D22" s="898"/>
      <c r="E22" s="898"/>
      <c r="F22" s="898"/>
      <c r="G22" s="898"/>
      <c r="H22" s="830" t="str">
        <f>IF('КЛ-3'!U36="","",'КЛ-3'!U36)</f>
      </c>
      <c r="I22" s="830"/>
      <c r="J22" s="830"/>
      <c r="K22" s="830"/>
      <c r="L22" s="830"/>
      <c r="M22" s="830"/>
      <c r="N22" s="830"/>
      <c r="O22" s="830"/>
      <c r="P22" s="830"/>
      <c r="Q22" s="830"/>
      <c r="R22" s="898">
        <f>IF('КЛ-3'!AN36="","",'КЛ-3'!AN36)</f>
      </c>
      <c r="S22" s="898"/>
      <c r="T22" s="898"/>
      <c r="U22" s="898"/>
      <c r="V22" s="898"/>
      <c r="W22" s="898"/>
      <c r="X22" s="898"/>
      <c r="Y22" s="978"/>
      <c r="Z22" s="979"/>
      <c r="AA22" s="979"/>
      <c r="AB22" s="979"/>
      <c r="AC22" s="979"/>
      <c r="AD22" s="979"/>
      <c r="AE22" s="979"/>
      <c r="AF22" s="980"/>
      <c r="AG22" s="984"/>
      <c r="AH22" s="985"/>
      <c r="AI22" s="985"/>
      <c r="AJ22" s="985"/>
      <c r="AK22" s="985"/>
      <c r="AL22" s="985"/>
      <c r="AM22" s="985"/>
      <c r="AN22" s="985"/>
      <c r="AO22" s="898" t="s">
        <v>347</v>
      </c>
      <c r="AP22" s="898"/>
      <c r="AQ22" s="898"/>
      <c r="AR22" s="898"/>
      <c r="AS22" s="898"/>
      <c r="AT22" s="898"/>
      <c r="AU22" s="898"/>
      <c r="AV22" s="898"/>
      <c r="AW22" s="898" t="s">
        <v>347</v>
      </c>
      <c r="AX22" s="898"/>
      <c r="AY22" s="898"/>
      <c r="AZ22" s="898"/>
      <c r="BA22" s="898"/>
      <c r="BB22" s="898"/>
      <c r="BC22" s="898"/>
      <c r="BD22" s="898"/>
      <c r="BE22" s="898" t="s">
        <v>347</v>
      </c>
      <c r="BF22" s="898"/>
      <c r="BG22" s="898"/>
      <c r="BH22" s="898"/>
      <c r="BI22" s="898"/>
      <c r="BJ22" s="898"/>
      <c r="BK22" s="898"/>
      <c r="BL22" s="898"/>
      <c r="BM22" s="898" t="s">
        <v>348</v>
      </c>
      <c r="BN22" s="898"/>
      <c r="BO22" s="898"/>
      <c r="BP22" s="898"/>
      <c r="BQ22" s="898"/>
      <c r="BR22" s="898"/>
      <c r="BS22" s="898"/>
      <c r="BT22" s="898"/>
      <c r="BU22" s="898" t="s">
        <v>349</v>
      </c>
      <c r="BV22" s="898"/>
      <c r="BW22" s="898"/>
      <c r="BX22" s="898"/>
      <c r="BY22" s="898"/>
      <c r="BZ22" s="898"/>
      <c r="CA22" s="898"/>
      <c r="CB22" s="898"/>
    </row>
    <row r="23" spans="1:80" ht="14.85" customHeight="1" x14ac:dyDescent="0.2">
      <c r="A23" s="977"/>
      <c r="B23" s="977"/>
      <c r="C23" s="977"/>
      <c r="D23" s="977"/>
      <c r="E23" s="977"/>
      <c r="F23" s="977"/>
      <c r="G23" s="977"/>
      <c r="H23" s="830"/>
      <c r="I23" s="830"/>
      <c r="J23" s="830"/>
      <c r="K23" s="830"/>
      <c r="L23" s="830"/>
      <c r="M23" s="830"/>
      <c r="N23" s="830"/>
      <c r="O23" s="830"/>
      <c r="P23" s="830"/>
      <c r="Q23" s="830"/>
      <c r="R23" s="977"/>
      <c r="S23" s="977"/>
      <c r="T23" s="977"/>
      <c r="U23" s="977"/>
      <c r="V23" s="977"/>
      <c r="W23" s="977"/>
      <c r="X23" s="977"/>
      <c r="Y23" s="981"/>
      <c r="Z23" s="982"/>
      <c r="AA23" s="982"/>
      <c r="AB23" s="982"/>
      <c r="AC23" s="982"/>
      <c r="AD23" s="982"/>
      <c r="AE23" s="982"/>
      <c r="AF23" s="983"/>
      <c r="AG23" s="976"/>
      <c r="AH23" s="977"/>
      <c r="AI23" s="977"/>
      <c r="AJ23" s="977"/>
      <c r="AK23" s="977"/>
      <c r="AL23" s="977"/>
      <c r="AM23" s="977"/>
      <c r="AN23" s="977"/>
      <c r="AO23" s="977"/>
      <c r="AP23" s="977"/>
      <c r="AQ23" s="977"/>
      <c r="AR23" s="977"/>
      <c r="AS23" s="977"/>
      <c r="AT23" s="977"/>
      <c r="AU23" s="977"/>
      <c r="AV23" s="977"/>
      <c r="AW23" s="977"/>
      <c r="AX23" s="977"/>
      <c r="AY23" s="977"/>
      <c r="AZ23" s="977"/>
      <c r="BA23" s="977"/>
      <c r="BB23" s="977"/>
      <c r="BC23" s="977"/>
      <c r="BD23" s="977"/>
      <c r="BE23" s="977"/>
      <c r="BF23" s="977"/>
      <c r="BG23" s="977"/>
      <c r="BH23" s="977"/>
      <c r="BI23" s="977"/>
      <c r="BJ23" s="977"/>
      <c r="BK23" s="977"/>
      <c r="BL23" s="977"/>
      <c r="BM23" s="977"/>
      <c r="BN23" s="977"/>
      <c r="BO23" s="977"/>
      <c r="BP23" s="977"/>
      <c r="BQ23" s="977"/>
      <c r="BR23" s="977"/>
      <c r="BS23" s="977"/>
      <c r="BT23" s="977"/>
      <c r="BU23" s="977"/>
      <c r="BV23" s="977"/>
      <c r="BW23" s="977"/>
      <c r="BX23" s="977"/>
      <c r="BY23" s="977"/>
      <c r="BZ23" s="977"/>
      <c r="CA23" s="977"/>
      <c r="CB23" s="977"/>
    </row>
    <row r="24" spans="1:80" ht="14.85" customHeight="1" x14ac:dyDescent="0.2">
      <c r="A24" s="977"/>
      <c r="B24" s="977"/>
      <c r="C24" s="977"/>
      <c r="D24" s="977"/>
      <c r="E24" s="977"/>
      <c r="F24" s="977"/>
      <c r="G24" s="977"/>
      <c r="H24" s="830"/>
      <c r="I24" s="830"/>
      <c r="J24" s="830"/>
      <c r="K24" s="830"/>
      <c r="L24" s="830"/>
      <c r="M24" s="830"/>
      <c r="N24" s="830"/>
      <c r="O24" s="830"/>
      <c r="P24" s="830"/>
      <c r="Q24" s="830"/>
      <c r="R24" s="977"/>
      <c r="S24" s="977"/>
      <c r="T24" s="977"/>
      <c r="U24" s="977"/>
      <c r="V24" s="977"/>
      <c r="W24" s="977"/>
      <c r="X24" s="977"/>
      <c r="Y24" s="981"/>
      <c r="Z24" s="982"/>
      <c r="AA24" s="982"/>
      <c r="AB24" s="982"/>
      <c r="AC24" s="982"/>
      <c r="AD24" s="982"/>
      <c r="AE24" s="982"/>
      <c r="AF24" s="983"/>
      <c r="AG24" s="976"/>
      <c r="AH24" s="977"/>
      <c r="AI24" s="977"/>
      <c r="AJ24" s="977"/>
      <c r="AK24" s="977"/>
      <c r="AL24" s="97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77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977"/>
      <c r="BL24" s="977"/>
      <c r="BM24" s="977"/>
      <c r="BN24" s="977"/>
      <c r="BO24" s="977"/>
      <c r="BP24" s="977"/>
      <c r="BQ24" s="977"/>
      <c r="BR24" s="977"/>
      <c r="BS24" s="977"/>
      <c r="BT24" s="977"/>
      <c r="BU24" s="977"/>
      <c r="BV24" s="977"/>
      <c r="BW24" s="977"/>
      <c r="BX24" s="977"/>
      <c r="BY24" s="977"/>
      <c r="BZ24" s="977"/>
      <c r="CA24" s="977"/>
      <c r="CB24" s="977"/>
    </row>
    <row r="25" spans="1:80" ht="14.85" customHeight="1" x14ac:dyDescent="0.2">
      <c r="A25" s="977"/>
      <c r="B25" s="977"/>
      <c r="C25" s="977"/>
      <c r="D25" s="977"/>
      <c r="E25" s="977"/>
      <c r="F25" s="977"/>
      <c r="G25" s="977"/>
      <c r="H25" s="830"/>
      <c r="I25" s="830"/>
      <c r="J25" s="830"/>
      <c r="K25" s="830"/>
      <c r="L25" s="830"/>
      <c r="M25" s="830"/>
      <c r="N25" s="830"/>
      <c r="O25" s="830"/>
      <c r="P25" s="830"/>
      <c r="Q25" s="830"/>
      <c r="R25" s="977"/>
      <c r="S25" s="977"/>
      <c r="T25" s="977"/>
      <c r="U25" s="977"/>
      <c r="V25" s="977"/>
      <c r="W25" s="977"/>
      <c r="X25" s="977"/>
      <c r="Y25" s="981"/>
      <c r="Z25" s="982"/>
      <c r="AA25" s="982"/>
      <c r="AB25" s="982"/>
      <c r="AC25" s="982"/>
      <c r="AD25" s="982"/>
      <c r="AE25" s="982"/>
      <c r="AF25" s="983"/>
      <c r="AG25" s="976"/>
      <c r="AH25" s="977"/>
      <c r="AI25" s="977"/>
      <c r="AJ25" s="977"/>
      <c r="AK25" s="977"/>
      <c r="AL25" s="977"/>
      <c r="AM25" s="977"/>
      <c r="AN25" s="977"/>
      <c r="AO25" s="977"/>
      <c r="AP25" s="977"/>
      <c r="AQ25" s="977"/>
      <c r="AR25" s="977"/>
      <c r="AS25" s="977"/>
      <c r="AT25" s="977"/>
      <c r="AU25" s="977"/>
      <c r="AV25" s="977"/>
      <c r="AW25" s="977"/>
      <c r="AX25" s="977"/>
      <c r="AY25" s="977"/>
      <c r="AZ25" s="977"/>
      <c r="BA25" s="977"/>
      <c r="BB25" s="977"/>
      <c r="BC25" s="977"/>
      <c r="BD25" s="977"/>
      <c r="BE25" s="977"/>
      <c r="BF25" s="977"/>
      <c r="BG25" s="977"/>
      <c r="BH25" s="977"/>
      <c r="BI25" s="977"/>
      <c r="BJ25" s="977"/>
      <c r="BK25" s="977"/>
      <c r="BL25" s="977"/>
      <c r="BM25" s="977"/>
      <c r="BN25" s="977"/>
      <c r="BO25" s="977"/>
      <c r="BP25" s="977"/>
      <c r="BQ25" s="977"/>
      <c r="BR25" s="977"/>
      <c r="BS25" s="977"/>
      <c r="BT25" s="977"/>
      <c r="BU25" s="977"/>
      <c r="BV25" s="977"/>
      <c r="BW25" s="977"/>
      <c r="BX25" s="977"/>
      <c r="BY25" s="977"/>
      <c r="BZ25" s="977"/>
      <c r="CA25" s="977"/>
      <c r="CB25" s="977"/>
    </row>
    <row r="26" spans="1:80" ht="14.85" customHeight="1" x14ac:dyDescent="0.2">
      <c r="A26" s="977"/>
      <c r="B26" s="977"/>
      <c r="C26" s="977"/>
      <c r="D26" s="977"/>
      <c r="E26" s="977"/>
      <c r="F26" s="977"/>
      <c r="G26" s="977"/>
      <c r="H26" s="830"/>
      <c r="I26" s="830"/>
      <c r="J26" s="830"/>
      <c r="K26" s="830"/>
      <c r="L26" s="830"/>
      <c r="M26" s="830"/>
      <c r="N26" s="830"/>
      <c r="O26" s="830"/>
      <c r="P26" s="830"/>
      <c r="Q26" s="830"/>
      <c r="R26" s="977"/>
      <c r="S26" s="977"/>
      <c r="T26" s="977"/>
      <c r="U26" s="977"/>
      <c r="V26" s="977"/>
      <c r="W26" s="977"/>
      <c r="X26" s="977"/>
      <c r="Y26" s="981"/>
      <c r="Z26" s="982"/>
      <c r="AA26" s="982"/>
      <c r="AB26" s="982"/>
      <c r="AC26" s="982"/>
      <c r="AD26" s="982"/>
      <c r="AE26" s="982"/>
      <c r="AF26" s="983"/>
      <c r="AG26" s="976"/>
      <c r="AH26" s="977"/>
      <c r="AI26" s="977"/>
      <c r="AJ26" s="977"/>
      <c r="AK26" s="977"/>
      <c r="AL26" s="977"/>
      <c r="AM26" s="977"/>
      <c r="AN26" s="977"/>
      <c r="AO26" s="977"/>
      <c r="AP26" s="977"/>
      <c r="AQ26" s="977"/>
      <c r="AR26" s="977"/>
      <c r="AS26" s="977"/>
      <c r="AT26" s="977"/>
      <c r="AU26" s="977"/>
      <c r="AV26" s="977"/>
      <c r="AW26" s="977"/>
      <c r="AX26" s="977"/>
      <c r="AY26" s="977"/>
      <c r="AZ26" s="977"/>
      <c r="BA26" s="977"/>
      <c r="BB26" s="977"/>
      <c r="BC26" s="977"/>
      <c r="BD26" s="977"/>
      <c r="BE26" s="977"/>
      <c r="BF26" s="977"/>
      <c r="BG26" s="977"/>
      <c r="BH26" s="977"/>
      <c r="BI26" s="977"/>
      <c r="BJ26" s="977"/>
      <c r="BK26" s="977"/>
      <c r="BL26" s="977"/>
      <c r="BM26" s="977"/>
      <c r="BN26" s="977"/>
      <c r="BO26" s="977"/>
      <c r="BP26" s="977"/>
      <c r="BQ26" s="977"/>
      <c r="BR26" s="977"/>
      <c r="BS26" s="977"/>
      <c r="BT26" s="977"/>
      <c r="BU26" s="977"/>
      <c r="BV26" s="977"/>
      <c r="BW26" s="977"/>
      <c r="BX26" s="977"/>
      <c r="BY26" s="977"/>
      <c r="BZ26" s="977"/>
      <c r="CA26" s="977"/>
      <c r="CB26" s="977"/>
    </row>
    <row r="27" spans="1:80" ht="13.5" customHeight="1" x14ac:dyDescent="0.2"/>
    <row r="28" spans="1:80" x14ac:dyDescent="0.2">
      <c r="C28" s="11" t="s">
        <v>106</v>
      </c>
    </row>
    <row r="29" spans="1:80" x14ac:dyDescent="0.2">
      <c r="F29" s="893" t="str">
        <f>IF('Данные объект'!C27="","",'Данные объект'!C27)</f>
      </c>
      <c r="G29" s="893"/>
      <c r="H29" s="893"/>
      <c r="I29" s="893"/>
      <c r="J29" s="893"/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/>
      <c r="W29" s="893"/>
      <c r="X29" s="893"/>
      <c r="Y29" s="893"/>
      <c r="Z29" s="893"/>
      <c r="AA29" s="893"/>
      <c r="AB29" s="893"/>
      <c r="AC29" s="893"/>
      <c r="AD29" s="893"/>
      <c r="AE29" s="893"/>
    </row>
    <row r="30" spans="1:80" x14ac:dyDescent="0.2">
      <c r="F30" s="893"/>
      <c r="G30" s="893"/>
      <c r="H30" s="893"/>
      <c r="I30" s="893"/>
      <c r="J30" s="893"/>
      <c r="K30" s="893"/>
      <c r="L30" s="893"/>
      <c r="M30" s="893"/>
      <c r="N30" s="893"/>
      <c r="O30" s="893"/>
      <c r="P30" s="893"/>
      <c r="Q30" s="893"/>
      <c r="R30" s="893"/>
      <c r="S30" s="893"/>
      <c r="T30" s="893"/>
      <c r="U30" s="893"/>
      <c r="V30" s="893"/>
      <c r="W30" s="893"/>
      <c r="X30" s="893"/>
      <c r="Y30" s="893"/>
      <c r="Z30" s="893"/>
      <c r="AA30" s="893"/>
      <c r="AB30" s="893"/>
      <c r="AC30" s="893"/>
      <c r="AD30" s="893"/>
      <c r="AE30" s="893"/>
      <c r="AJ30" s="987"/>
      <c r="AK30" s="987"/>
      <c r="AL30" s="987"/>
      <c r="AM30" s="987"/>
      <c r="AN30" s="987"/>
      <c r="AO30" s="987"/>
      <c r="AP30" s="987"/>
      <c r="AQ30" s="987"/>
      <c r="AR30" s="987"/>
      <c r="AS30" s="987"/>
      <c r="AT30" s="987"/>
      <c r="AU30" s="987"/>
      <c r="AV30" s="987"/>
      <c r="AW30" s="987"/>
      <c r="AX30" s="987"/>
      <c r="AY30" s="987"/>
      <c r="AZ30" s="987"/>
      <c r="BA30" s="987"/>
      <c r="BB30" s="987"/>
      <c r="BC30" s="987"/>
      <c r="BD30" s="987"/>
      <c r="BE30" s="987"/>
      <c r="BF30" s="987"/>
      <c r="BG30" s="987"/>
      <c r="BH30" s="987"/>
      <c r="BJ30" s="988" t="str">
        <f>IF('Данные объект'!B28="","",'Данные объект'!B28)</f>
      </c>
      <c r="BK30" s="988"/>
      <c r="BL30" s="988"/>
      <c r="BM30" s="988"/>
      <c r="BN30" s="988"/>
      <c r="BO30" s="988"/>
      <c r="BP30" s="988"/>
      <c r="BQ30" s="988"/>
      <c r="BR30" s="988"/>
      <c r="BS30" s="988"/>
      <c r="BT30" s="988"/>
      <c r="BU30" s="988"/>
      <c r="BV30" s="988"/>
      <c r="BW30" s="988"/>
      <c r="BX30" s="988"/>
      <c r="BY30" s="988"/>
      <c r="BZ30" s="988"/>
      <c r="CA30" s="988"/>
      <c r="CB30" s="988"/>
    </row>
    <row r="31" spans="1:80" x14ac:dyDescent="0.2">
      <c r="AJ31" s="986" t="s">
        <v>2</v>
      </c>
      <c r="AK31" s="986"/>
      <c r="AL31" s="986"/>
      <c r="AM31" s="986"/>
      <c r="AN31" s="986"/>
      <c r="AO31" s="986"/>
      <c r="AP31" s="986"/>
      <c r="AQ31" s="986"/>
      <c r="AR31" s="986"/>
      <c r="AS31" s="986"/>
      <c r="AT31" s="986"/>
      <c r="AU31" s="986"/>
      <c r="AV31" s="986"/>
      <c r="AW31" s="986"/>
      <c r="AX31" s="986"/>
      <c r="AY31" s="986"/>
      <c r="AZ31" s="986"/>
      <c r="BA31" s="986"/>
      <c r="BB31" s="986"/>
      <c r="BC31" s="986"/>
      <c r="BD31" s="986"/>
      <c r="BE31" s="986"/>
      <c r="BF31" s="986"/>
      <c r="BG31" s="986"/>
      <c r="BH31" s="986"/>
      <c r="BJ31" s="986" t="s">
        <v>72</v>
      </c>
      <c r="BK31" s="986"/>
      <c r="BL31" s="986"/>
      <c r="BM31" s="986"/>
      <c r="BN31" s="986"/>
      <c r="BO31" s="986"/>
      <c r="BP31" s="986"/>
      <c r="BQ31" s="986"/>
      <c r="BR31" s="986"/>
      <c r="BS31" s="986"/>
      <c r="BT31" s="986"/>
      <c r="BU31" s="986"/>
      <c r="BV31" s="986"/>
      <c r="BW31" s="986"/>
      <c r="BX31" s="986"/>
      <c r="BY31" s="986"/>
      <c r="BZ31" s="986"/>
      <c r="CA31" s="986"/>
      <c r="CB31" s="986"/>
    </row>
  </sheetData>
  <mergeCells count="83">
    <mergeCell ref="BJ31:CB31"/>
    <mergeCell ref="A22:G22"/>
    <mergeCell ref="H26:Q26"/>
    <mergeCell ref="A25:G25"/>
    <mergeCell ref="A26:G26"/>
    <mergeCell ref="AJ31:BH31"/>
    <mergeCell ref="AW26:BD26"/>
    <mergeCell ref="BU22:CB22"/>
    <mergeCell ref="F29:AE30"/>
    <mergeCell ref="AJ30:BH30"/>
    <mergeCell ref="BJ30:CB30"/>
    <mergeCell ref="BU23:CB23"/>
    <mergeCell ref="BU24:CB24"/>
    <mergeCell ref="BU25:CB25"/>
    <mergeCell ref="BU26:CB26"/>
    <mergeCell ref="H22:Q22"/>
    <mergeCell ref="H23:Q23"/>
    <mergeCell ref="H24:Q24"/>
    <mergeCell ref="H25:Q25"/>
    <mergeCell ref="R22:X22"/>
    <mergeCell ref="R23:X23"/>
    <mergeCell ref="R24:X24"/>
    <mergeCell ref="BE25:BL25"/>
    <mergeCell ref="BE26:BL26"/>
    <mergeCell ref="BM22:BT22"/>
    <mergeCell ref="BM23:BT23"/>
    <mergeCell ref="BM24:BT24"/>
    <mergeCell ref="BM25:BT25"/>
    <mergeCell ref="BM26:BT26"/>
    <mergeCell ref="BE20:BL21"/>
    <mergeCell ref="AO18:BL19"/>
    <mergeCell ref="AR12:BY12"/>
    <mergeCell ref="AG23:AN23"/>
    <mergeCell ref="AG24:AN24"/>
    <mergeCell ref="BE22:BL22"/>
    <mergeCell ref="BE23:BL23"/>
    <mergeCell ref="BE24:BL24"/>
    <mergeCell ref="AG22:AN22"/>
    <mergeCell ref="AO22:AV22"/>
    <mergeCell ref="AO23:AV23"/>
    <mergeCell ref="AO24:AV24"/>
    <mergeCell ref="AW23:BD23"/>
    <mergeCell ref="AW24:BD24"/>
    <mergeCell ref="A16:CB16"/>
    <mergeCell ref="A23:G23"/>
    <mergeCell ref="A2:AI2"/>
    <mergeCell ref="A3:AI3"/>
    <mergeCell ref="AR1:BZ2"/>
    <mergeCell ref="AR3:BZ3"/>
    <mergeCell ref="A4:AI4"/>
    <mergeCell ref="AR4:BZ4"/>
    <mergeCell ref="AR10:BZ10"/>
    <mergeCell ref="AR11:BZ11"/>
    <mergeCell ref="H18:Q21"/>
    <mergeCell ref="AW22:BD22"/>
    <mergeCell ref="A5:AI5"/>
    <mergeCell ref="AR5:BZ5"/>
    <mergeCell ref="AR6:BZ9"/>
    <mergeCell ref="A8:AI9"/>
    <mergeCell ref="A10:AI10"/>
    <mergeCell ref="A18:G21"/>
    <mergeCell ref="R18:X21"/>
    <mergeCell ref="Y18:AF21"/>
    <mergeCell ref="A15:CB15"/>
    <mergeCell ref="BU18:CB21"/>
    <mergeCell ref="BM18:BT21"/>
    <mergeCell ref="AO20:AV21"/>
    <mergeCell ref="A11:AI11"/>
    <mergeCell ref="AW20:BD21"/>
    <mergeCell ref="AG18:AN21"/>
    <mergeCell ref="AG25:AN25"/>
    <mergeCell ref="AG26:AN26"/>
    <mergeCell ref="R25:X25"/>
    <mergeCell ref="R26:X26"/>
    <mergeCell ref="AO25:AV25"/>
    <mergeCell ref="AO26:AV26"/>
    <mergeCell ref="Y22:AF22"/>
    <mergeCell ref="Y23:AF23"/>
    <mergeCell ref="Y24:AF24"/>
    <mergeCell ref="Y25:AF25"/>
    <mergeCell ref="Y26:AF26"/>
    <mergeCell ref="A24:G24"/>
    <mergeCell ref="AW25:BD25"/>
  </mergeCells>
  <pageMargins left="0.32291666666666669" right="0.19685039370078741" top="0.39370078740157483" bottom="0.39370078740157483" header="0.11811023622047245" footer="0.11811023622047245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CB33"/>
  <sheetViews>
    <sheetView view="pageBreakPreview" zoomScale="90" zoomScaleNormal="100" zoomScaleSheetLayoutView="90" workbookViewId="0">
      <selection activeCell="CT32" sqref="CT32"/>
    </sheetView>
  </sheetViews>
  <sheetFormatPr defaultColWidth="9.140625" defaultRowHeight="12.75" x14ac:dyDescent="0.2"/>
  <cols>
    <col min="1" max="94" width="1.140625" style="2" customWidth="1"/>
    <col min="95" max="16384" width="9.140625" style="2"/>
  </cols>
  <sheetData>
    <row r="1" spans="1:80" ht="13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7.9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5.4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15" customHeight="1" x14ac:dyDescent="0.25">
      <c r="A8" s="836" t="str">
        <f>IF('Данные объект'!B16="","",'Данные объект'!B16)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22.9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13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8" customFormat="1" ht="15.75" x14ac:dyDescent="0.25">
      <c r="A13" s="885" t="s">
        <v>1238</v>
      </c>
      <c r="B13" s="885"/>
      <c r="C13" s="885"/>
      <c r="D13" s="885"/>
      <c r="E13" s="885"/>
      <c r="F13" s="885"/>
      <c r="G13" s="885"/>
      <c r="H13" s="885"/>
      <c r="I13" s="885"/>
      <c r="J13" s="885"/>
      <c r="K13" s="885"/>
      <c r="L13" s="885"/>
      <c r="M13" s="885"/>
      <c r="N13" s="885"/>
      <c r="O13" s="885"/>
      <c r="P13" s="885"/>
      <c r="Q13" s="885"/>
      <c r="R13" s="885"/>
      <c r="S13" s="885"/>
      <c r="T13" s="885"/>
      <c r="U13" s="885"/>
      <c r="V13" s="885"/>
      <c r="W13" s="885"/>
      <c r="X13" s="885"/>
      <c r="Y13" s="885"/>
      <c r="Z13" s="885"/>
      <c r="AA13" s="885"/>
      <c r="AB13" s="885"/>
      <c r="AC13" s="885"/>
      <c r="AD13" s="885"/>
      <c r="AE13" s="885"/>
      <c r="AF13" s="885"/>
      <c r="AG13" s="885"/>
      <c r="AH13" s="885"/>
      <c r="AI13" s="885"/>
      <c r="AJ13" s="885"/>
      <c r="AK13" s="885"/>
      <c r="AL13" s="885"/>
      <c r="AM13" s="885"/>
      <c r="AN13" s="885"/>
      <c r="AO13" s="885"/>
      <c r="AP13" s="885"/>
      <c r="AQ13" s="885"/>
      <c r="AR13" s="885"/>
      <c r="AS13" s="885"/>
      <c r="AT13" s="885"/>
      <c r="AU13" s="885"/>
      <c r="AV13" s="885"/>
      <c r="AW13" s="885"/>
      <c r="AX13" s="885"/>
      <c r="AY13" s="885"/>
      <c r="AZ13" s="885"/>
      <c r="BA13" s="885"/>
      <c r="BB13" s="885"/>
      <c r="BC13" s="885"/>
      <c r="BD13" s="885"/>
      <c r="BE13" s="885"/>
      <c r="BF13" s="885"/>
      <c r="BG13" s="885"/>
      <c r="BH13" s="885"/>
      <c r="BI13" s="885"/>
      <c r="BJ13" s="885"/>
      <c r="BK13" s="885"/>
      <c r="BL13" s="885"/>
      <c r="BM13" s="885"/>
      <c r="BN13" s="885"/>
      <c r="BO13" s="885"/>
      <c r="BP13" s="885"/>
      <c r="BQ13" s="885"/>
      <c r="BR13" s="885"/>
      <c r="BS13" s="885"/>
      <c r="BT13" s="885"/>
      <c r="BU13" s="885"/>
      <c r="BV13" s="885"/>
      <c r="BW13" s="885"/>
      <c r="BX13" s="885"/>
      <c r="BY13" s="885"/>
      <c r="BZ13" s="885"/>
      <c r="CA13" s="885"/>
      <c r="CB13" s="885"/>
    </row>
    <row r="14" spans="1:80" s="18" customFormat="1" ht="15.75" x14ac:dyDescent="0.25">
      <c r="A14" s="885" t="s">
        <v>1246</v>
      </c>
      <c r="B14" s="885"/>
      <c r="C14" s="885"/>
      <c r="D14" s="885"/>
      <c r="E14" s="885"/>
      <c r="F14" s="885"/>
      <c r="G14" s="885"/>
      <c r="H14" s="885"/>
      <c r="I14" s="885"/>
      <c r="J14" s="885"/>
      <c r="K14" s="885"/>
      <c r="L14" s="885"/>
      <c r="M14" s="885"/>
      <c r="N14" s="885"/>
      <c r="O14" s="885"/>
      <c r="P14" s="885"/>
      <c r="Q14" s="885"/>
      <c r="R14" s="885"/>
      <c r="S14" s="885"/>
      <c r="T14" s="885"/>
      <c r="U14" s="885"/>
      <c r="V14" s="885"/>
      <c r="W14" s="885"/>
      <c r="X14" s="885"/>
      <c r="Y14" s="885"/>
      <c r="Z14" s="885"/>
      <c r="AA14" s="885"/>
      <c r="AB14" s="885"/>
      <c r="AC14" s="885"/>
      <c r="AD14" s="885"/>
      <c r="AE14" s="885"/>
      <c r="AF14" s="885"/>
      <c r="AG14" s="885"/>
      <c r="AH14" s="885"/>
      <c r="AI14" s="885"/>
      <c r="AJ14" s="885"/>
      <c r="AK14" s="885"/>
      <c r="AL14" s="885"/>
      <c r="AM14" s="885"/>
      <c r="AN14" s="885"/>
      <c r="AO14" s="885"/>
      <c r="AP14" s="885"/>
      <c r="AQ14" s="885"/>
      <c r="AR14" s="885"/>
      <c r="AS14" s="885"/>
      <c r="AT14" s="885"/>
      <c r="AU14" s="885"/>
      <c r="AV14" s="885"/>
      <c r="AW14" s="885"/>
      <c r="AX14" s="885"/>
      <c r="AY14" s="885"/>
      <c r="AZ14" s="885"/>
      <c r="BA14" s="885"/>
      <c r="BB14" s="885"/>
      <c r="BC14" s="885"/>
      <c r="BD14" s="885"/>
      <c r="BE14" s="885"/>
      <c r="BF14" s="885"/>
      <c r="BG14" s="885"/>
      <c r="BH14" s="885"/>
      <c r="BI14" s="885"/>
      <c r="BJ14" s="885"/>
      <c r="BK14" s="885"/>
      <c r="BL14" s="885"/>
      <c r="BM14" s="885"/>
      <c r="BN14" s="885"/>
      <c r="BO14" s="885"/>
      <c r="BP14" s="885"/>
      <c r="BQ14" s="885"/>
      <c r="BR14" s="885"/>
      <c r="BS14" s="885"/>
      <c r="BT14" s="885"/>
      <c r="BU14" s="885"/>
      <c r="BV14" s="885"/>
      <c r="BW14" s="885"/>
      <c r="BX14" s="885"/>
      <c r="BY14" s="885"/>
      <c r="BZ14" s="885"/>
      <c r="CA14" s="885"/>
      <c r="CB14" s="885"/>
    </row>
    <row r="15" spans="1:80" s="18" customFormat="1" ht="15.75" x14ac:dyDescent="0.25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8"/>
      <c r="BJ15" s="248"/>
      <c r="BK15" s="248"/>
      <c r="BL15" s="248"/>
      <c r="BM15" s="248"/>
      <c r="BN15" s="248"/>
      <c r="BO15" s="248"/>
      <c r="BP15" s="248"/>
      <c r="BQ15" s="248"/>
      <c r="BR15" s="248"/>
      <c r="BS15" s="248"/>
      <c r="BT15" s="248"/>
      <c r="BU15" s="248"/>
      <c r="BV15" s="248"/>
      <c r="BW15" s="248"/>
      <c r="BX15" s="248"/>
      <c r="BY15" s="248"/>
      <c r="BZ15" s="248"/>
      <c r="CA15" s="248"/>
      <c r="CB15" s="248"/>
    </row>
    <row r="17" spans="1:80" x14ac:dyDescent="0.2">
      <c r="A17" s="826" t="s">
        <v>178</v>
      </c>
      <c r="B17" s="826"/>
      <c r="C17" s="826"/>
      <c r="D17" s="826"/>
      <c r="E17" s="826"/>
      <c r="F17" s="826"/>
      <c r="G17" s="826"/>
      <c r="H17" s="826"/>
      <c r="I17" s="826"/>
      <c r="J17" s="826"/>
      <c r="K17" s="826"/>
      <c r="L17" s="827" t="s">
        <v>188</v>
      </c>
      <c r="M17" s="827"/>
      <c r="N17" s="827"/>
      <c r="O17" s="827"/>
      <c r="P17" s="827"/>
      <c r="Q17" s="827"/>
      <c r="R17" s="827"/>
      <c r="S17" s="827"/>
      <c r="T17" s="827"/>
      <c r="U17" s="827"/>
      <c r="V17" s="827"/>
      <c r="W17" s="827"/>
      <c r="X17" s="827"/>
      <c r="Y17" s="827"/>
      <c r="Z17" s="827"/>
      <c r="AA17" s="827" t="s">
        <v>180</v>
      </c>
      <c r="AB17" s="827"/>
      <c r="AC17" s="827"/>
      <c r="AD17" s="827"/>
      <c r="AE17" s="827"/>
      <c r="AF17" s="827"/>
      <c r="AG17" s="827"/>
      <c r="AH17" s="827"/>
      <c r="AI17" s="827" t="s">
        <v>189</v>
      </c>
      <c r="AJ17" s="827"/>
      <c r="AK17" s="827"/>
      <c r="AL17" s="827"/>
      <c r="AM17" s="827"/>
      <c r="AN17" s="827"/>
      <c r="AO17" s="827"/>
      <c r="AP17" s="827"/>
      <c r="AQ17" s="827"/>
      <c r="AR17" s="827"/>
      <c r="AS17" s="827"/>
      <c r="AT17" s="827"/>
      <c r="AU17" s="827"/>
      <c r="AV17" s="827"/>
      <c r="AW17" s="827"/>
      <c r="AX17" s="827"/>
      <c r="AY17" s="827"/>
      <c r="AZ17" s="827"/>
      <c r="BA17" s="827"/>
      <c r="BB17" s="827"/>
      <c r="BC17" s="827"/>
      <c r="BD17" s="827"/>
      <c r="BE17" s="827" t="s">
        <v>195</v>
      </c>
      <c r="BF17" s="827"/>
      <c r="BG17" s="827"/>
      <c r="BH17" s="827"/>
      <c r="BI17" s="827"/>
      <c r="BJ17" s="827"/>
      <c r="BK17" s="827"/>
      <c r="BL17" s="827"/>
      <c r="BM17" s="827"/>
      <c r="BN17" s="827"/>
      <c r="BO17" s="827"/>
      <c r="BP17" s="827"/>
      <c r="BQ17" s="827"/>
      <c r="BR17" s="827"/>
      <c r="BS17" s="827"/>
      <c r="BT17" s="827"/>
      <c r="BU17" s="827"/>
      <c r="BV17" s="827"/>
      <c r="BW17" s="827"/>
      <c r="BX17" s="827"/>
      <c r="BY17" s="827"/>
      <c r="BZ17" s="827"/>
      <c r="CA17" s="827"/>
      <c r="CB17" s="827"/>
    </row>
    <row r="18" spans="1:80" x14ac:dyDescent="0.2">
      <c r="A18" s="826"/>
      <c r="B18" s="826"/>
      <c r="C18" s="826"/>
      <c r="D18" s="826"/>
      <c r="E18" s="826"/>
      <c r="F18" s="826"/>
      <c r="G18" s="826"/>
      <c r="H18" s="826"/>
      <c r="I18" s="826"/>
      <c r="J18" s="826"/>
      <c r="K18" s="826"/>
      <c r="L18" s="827"/>
      <c r="M18" s="827"/>
      <c r="N18" s="827"/>
      <c r="O18" s="827"/>
      <c r="P18" s="827"/>
      <c r="Q18" s="827"/>
      <c r="R18" s="827"/>
      <c r="S18" s="827"/>
      <c r="T18" s="827"/>
      <c r="U18" s="827"/>
      <c r="V18" s="827"/>
      <c r="W18" s="827"/>
      <c r="X18" s="827"/>
      <c r="Y18" s="827"/>
      <c r="Z18" s="827"/>
      <c r="AA18" s="827"/>
      <c r="AB18" s="827"/>
      <c r="AC18" s="827"/>
      <c r="AD18" s="827"/>
      <c r="AE18" s="827"/>
      <c r="AF18" s="827"/>
      <c r="AG18" s="827"/>
      <c r="AH18" s="827"/>
      <c r="AI18" s="827"/>
      <c r="AJ18" s="827"/>
      <c r="AK18" s="827"/>
      <c r="AL18" s="827"/>
      <c r="AM18" s="827"/>
      <c r="AN18" s="827"/>
      <c r="AO18" s="827"/>
      <c r="AP18" s="827"/>
      <c r="AQ18" s="827"/>
      <c r="AR18" s="827"/>
      <c r="AS18" s="827"/>
      <c r="AT18" s="827"/>
      <c r="AU18" s="827"/>
      <c r="AV18" s="827"/>
      <c r="AW18" s="827"/>
      <c r="AX18" s="827"/>
      <c r="AY18" s="827"/>
      <c r="AZ18" s="827"/>
      <c r="BA18" s="827"/>
      <c r="BB18" s="827"/>
      <c r="BC18" s="827"/>
      <c r="BD18" s="827"/>
      <c r="BE18" s="827"/>
      <c r="BF18" s="827"/>
      <c r="BG18" s="827"/>
      <c r="BH18" s="827"/>
      <c r="BI18" s="827"/>
      <c r="BJ18" s="827"/>
      <c r="BK18" s="827"/>
      <c r="BL18" s="827"/>
      <c r="BM18" s="827"/>
      <c r="BN18" s="827"/>
      <c r="BO18" s="827"/>
      <c r="BP18" s="827"/>
      <c r="BQ18" s="827"/>
      <c r="BR18" s="827"/>
      <c r="BS18" s="827"/>
      <c r="BT18" s="827"/>
      <c r="BU18" s="827"/>
      <c r="BV18" s="827"/>
      <c r="BW18" s="827"/>
      <c r="BX18" s="827"/>
      <c r="BY18" s="827"/>
      <c r="BZ18" s="827"/>
      <c r="CA18" s="827"/>
      <c r="CB18" s="827"/>
    </row>
    <row r="19" spans="1:80" x14ac:dyDescent="0.2">
      <c r="A19" s="826"/>
      <c r="B19" s="826"/>
      <c r="C19" s="826"/>
      <c r="D19" s="826"/>
      <c r="E19" s="826"/>
      <c r="F19" s="826"/>
      <c r="G19" s="826"/>
      <c r="H19" s="826"/>
      <c r="I19" s="826"/>
      <c r="J19" s="826"/>
      <c r="K19" s="826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827"/>
      <c r="AH19" s="827"/>
      <c r="AI19" s="827"/>
      <c r="AJ19" s="827"/>
      <c r="AK19" s="827"/>
      <c r="AL19" s="827"/>
      <c r="AM19" s="827"/>
      <c r="AN19" s="827"/>
      <c r="AO19" s="827"/>
      <c r="AP19" s="827"/>
      <c r="AQ19" s="827"/>
      <c r="AR19" s="827"/>
      <c r="AS19" s="827"/>
      <c r="AT19" s="827"/>
      <c r="AU19" s="827"/>
      <c r="AV19" s="827"/>
      <c r="AW19" s="827"/>
      <c r="AX19" s="827"/>
      <c r="AY19" s="827"/>
      <c r="AZ19" s="827"/>
      <c r="BA19" s="827"/>
      <c r="BB19" s="827"/>
      <c r="BC19" s="827"/>
      <c r="BD19" s="827"/>
      <c r="BE19" s="827" t="s">
        <v>191</v>
      </c>
      <c r="BF19" s="827"/>
      <c r="BG19" s="827"/>
      <c r="BH19" s="827"/>
      <c r="BI19" s="827"/>
      <c r="BJ19" s="827"/>
      <c r="BK19" s="827"/>
      <c r="BL19" s="827"/>
      <c r="BM19" s="827"/>
      <c r="BN19" s="827"/>
      <c r="BO19" s="827"/>
      <c r="BP19" s="827"/>
      <c r="BQ19" s="827"/>
      <c r="BR19" s="827"/>
      <c r="BS19" s="827"/>
      <c r="BT19" s="827"/>
      <c r="BU19" s="827"/>
      <c r="BV19" s="827"/>
      <c r="BW19" s="827"/>
      <c r="BX19" s="827"/>
      <c r="BY19" s="827"/>
      <c r="BZ19" s="827"/>
      <c r="CA19" s="827"/>
      <c r="CB19" s="827"/>
    </row>
    <row r="20" spans="1:80" x14ac:dyDescent="0.2">
      <c r="A20" s="826"/>
      <c r="B20" s="826"/>
      <c r="C20" s="826"/>
      <c r="D20" s="826"/>
      <c r="E20" s="826"/>
      <c r="F20" s="826"/>
      <c r="G20" s="826"/>
      <c r="H20" s="826"/>
      <c r="I20" s="826"/>
      <c r="J20" s="826"/>
      <c r="K20" s="826"/>
      <c r="L20" s="827"/>
      <c r="M20" s="827"/>
      <c r="N20" s="827"/>
      <c r="O20" s="827"/>
      <c r="P20" s="827"/>
      <c r="Q20" s="827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827"/>
      <c r="AH20" s="827"/>
      <c r="AI20" s="827" t="s">
        <v>194</v>
      </c>
      <c r="AJ20" s="827"/>
      <c r="AK20" s="827"/>
      <c r="AL20" s="827"/>
      <c r="AM20" s="827"/>
      <c r="AN20" s="827"/>
      <c r="AO20" s="827"/>
      <c r="AP20" s="827"/>
      <c r="AQ20" s="827"/>
      <c r="AR20" s="827"/>
      <c r="AS20" s="827"/>
      <c r="AT20" s="827" t="s">
        <v>190</v>
      </c>
      <c r="AU20" s="827"/>
      <c r="AV20" s="827"/>
      <c r="AW20" s="827"/>
      <c r="AX20" s="827"/>
      <c r="AY20" s="827"/>
      <c r="AZ20" s="827"/>
      <c r="BA20" s="827"/>
      <c r="BB20" s="827"/>
      <c r="BC20" s="827"/>
      <c r="BD20" s="827"/>
      <c r="BE20" s="827"/>
      <c r="BF20" s="827"/>
      <c r="BG20" s="827"/>
      <c r="BH20" s="827"/>
      <c r="BI20" s="827"/>
      <c r="BJ20" s="827"/>
      <c r="BK20" s="827"/>
      <c r="BL20" s="827"/>
      <c r="BM20" s="827"/>
      <c r="BN20" s="827"/>
      <c r="BO20" s="827"/>
      <c r="BP20" s="827"/>
      <c r="BQ20" s="827"/>
      <c r="BR20" s="827"/>
      <c r="BS20" s="827"/>
      <c r="BT20" s="827"/>
      <c r="BU20" s="827"/>
      <c r="BV20" s="827"/>
      <c r="BW20" s="827"/>
      <c r="BX20" s="827"/>
      <c r="BY20" s="827"/>
      <c r="BZ20" s="827"/>
      <c r="CA20" s="827"/>
      <c r="CB20" s="827"/>
    </row>
    <row r="21" spans="1:80" x14ac:dyDescent="0.2">
      <c r="A21" s="826"/>
      <c r="B21" s="826"/>
      <c r="C21" s="826"/>
      <c r="D21" s="826"/>
      <c r="E21" s="826"/>
      <c r="F21" s="826"/>
      <c r="G21" s="826"/>
      <c r="H21" s="826"/>
      <c r="I21" s="826"/>
      <c r="J21" s="826"/>
      <c r="K21" s="826"/>
      <c r="L21" s="827"/>
      <c r="M21" s="827"/>
      <c r="N21" s="827"/>
      <c r="O21" s="827"/>
      <c r="P21" s="827"/>
      <c r="Q21" s="827"/>
      <c r="R21" s="827"/>
      <c r="S21" s="827"/>
      <c r="T21" s="827"/>
      <c r="U21" s="827"/>
      <c r="V21" s="827"/>
      <c r="W21" s="827"/>
      <c r="X21" s="827"/>
      <c r="Y21" s="827"/>
      <c r="Z21" s="827"/>
      <c r="AA21" s="827"/>
      <c r="AB21" s="827"/>
      <c r="AC21" s="827"/>
      <c r="AD21" s="827"/>
      <c r="AE21" s="827"/>
      <c r="AF21" s="827"/>
      <c r="AG21" s="827"/>
      <c r="AH21" s="827"/>
      <c r="AI21" s="827"/>
      <c r="AJ21" s="827"/>
      <c r="AK21" s="827"/>
      <c r="AL21" s="827"/>
      <c r="AM21" s="827"/>
      <c r="AN21" s="827"/>
      <c r="AO21" s="827"/>
      <c r="AP21" s="827"/>
      <c r="AQ21" s="827"/>
      <c r="AR21" s="827"/>
      <c r="AS21" s="827"/>
      <c r="AT21" s="827"/>
      <c r="AU21" s="827"/>
      <c r="AV21" s="827"/>
      <c r="AW21" s="827"/>
      <c r="AX21" s="827"/>
      <c r="AY21" s="827"/>
      <c r="AZ21" s="827"/>
      <c r="BA21" s="827"/>
      <c r="BB21" s="827"/>
      <c r="BC21" s="827"/>
      <c r="BD21" s="827"/>
      <c r="BE21" s="994" t="s">
        <v>192</v>
      </c>
      <c r="BF21" s="994"/>
      <c r="BG21" s="994"/>
      <c r="BH21" s="994"/>
      <c r="BI21" s="994"/>
      <c r="BJ21" s="994"/>
      <c r="BK21" s="994"/>
      <c r="BL21" s="994"/>
      <c r="BM21" s="994"/>
      <c r="BN21" s="994"/>
      <c r="BO21" s="994"/>
      <c r="BP21" s="994"/>
      <c r="BQ21" s="994" t="s">
        <v>193</v>
      </c>
      <c r="BR21" s="994"/>
      <c r="BS21" s="994"/>
      <c r="BT21" s="994"/>
      <c r="BU21" s="994"/>
      <c r="BV21" s="994"/>
      <c r="BW21" s="994"/>
      <c r="BX21" s="994"/>
      <c r="BY21" s="994"/>
      <c r="BZ21" s="994"/>
      <c r="CA21" s="994"/>
      <c r="CB21" s="994"/>
    </row>
    <row r="22" spans="1:80" x14ac:dyDescent="0.2">
      <c r="A22" s="826"/>
      <c r="B22" s="826"/>
      <c r="C22" s="826"/>
      <c r="D22" s="826"/>
      <c r="E22" s="826"/>
      <c r="F22" s="826"/>
      <c r="G22" s="826"/>
      <c r="H22" s="826"/>
      <c r="I22" s="826"/>
      <c r="J22" s="826"/>
      <c r="K22" s="826"/>
      <c r="L22" s="827"/>
      <c r="M22" s="827"/>
      <c r="N22" s="827"/>
      <c r="O22" s="827"/>
      <c r="P22" s="827"/>
      <c r="Q22" s="827"/>
      <c r="R22" s="827"/>
      <c r="S22" s="827"/>
      <c r="T22" s="827"/>
      <c r="U22" s="827"/>
      <c r="V22" s="827"/>
      <c r="W22" s="827"/>
      <c r="X22" s="827"/>
      <c r="Y22" s="827"/>
      <c r="Z22" s="827"/>
      <c r="AA22" s="827"/>
      <c r="AB22" s="827"/>
      <c r="AC22" s="827"/>
      <c r="AD22" s="827"/>
      <c r="AE22" s="827"/>
      <c r="AF22" s="827"/>
      <c r="AG22" s="827"/>
      <c r="AH22" s="827"/>
      <c r="AI22" s="827"/>
      <c r="AJ22" s="827"/>
      <c r="AK22" s="827"/>
      <c r="AL22" s="827"/>
      <c r="AM22" s="827"/>
      <c r="AN22" s="827"/>
      <c r="AO22" s="827"/>
      <c r="AP22" s="827"/>
      <c r="AQ22" s="827"/>
      <c r="AR22" s="827"/>
      <c r="AS22" s="827"/>
      <c r="AT22" s="827"/>
      <c r="AU22" s="827"/>
      <c r="AV22" s="827"/>
      <c r="AW22" s="827"/>
      <c r="AX22" s="827"/>
      <c r="AY22" s="827"/>
      <c r="AZ22" s="827"/>
      <c r="BA22" s="827"/>
      <c r="BB22" s="827"/>
      <c r="BC22" s="827"/>
      <c r="BD22" s="827"/>
      <c r="BE22" s="994"/>
      <c r="BF22" s="994"/>
      <c r="BG22" s="994"/>
      <c r="BH22" s="994"/>
      <c r="BI22" s="994"/>
      <c r="BJ22" s="994"/>
      <c r="BK22" s="994"/>
      <c r="BL22" s="994"/>
      <c r="BM22" s="994"/>
      <c r="BN22" s="994"/>
      <c r="BO22" s="994"/>
      <c r="BP22" s="994"/>
      <c r="BQ22" s="994"/>
      <c r="BR22" s="994"/>
      <c r="BS22" s="994"/>
      <c r="BT22" s="994"/>
      <c r="BU22" s="994"/>
      <c r="BV22" s="994"/>
      <c r="BW22" s="994"/>
      <c r="BX22" s="994"/>
      <c r="BY22" s="994"/>
      <c r="BZ22" s="994"/>
      <c r="CA22" s="994"/>
      <c r="CB22" s="994"/>
    </row>
    <row r="23" spans="1:80" s="14" customFormat="1" ht="13.5" x14ac:dyDescent="0.25">
      <c r="A23" s="990" t="str">
        <f>IF('КЛ-3'!H36="","",'КЛ-3'!H36)</f>
      </c>
      <c r="B23" s="990"/>
      <c r="C23" s="990"/>
      <c r="D23" s="990"/>
      <c r="E23" s="990"/>
      <c r="F23" s="990"/>
      <c r="G23" s="990"/>
      <c r="H23" s="990"/>
      <c r="I23" s="990"/>
      <c r="J23" s="990"/>
      <c r="K23" s="990"/>
      <c r="L23" s="990" t="str">
        <f>IF('КЛ-3'!U36="","",'КЛ-3'!U36)</f>
      </c>
      <c r="M23" s="990"/>
      <c r="N23" s="990"/>
      <c r="O23" s="990"/>
      <c r="P23" s="990"/>
      <c r="Q23" s="990"/>
      <c r="R23" s="990"/>
      <c r="S23" s="990"/>
      <c r="T23" s="990"/>
      <c r="U23" s="990"/>
      <c r="V23" s="990"/>
      <c r="W23" s="990"/>
      <c r="X23" s="990"/>
      <c r="Y23" s="990"/>
      <c r="Z23" s="990"/>
      <c r="AA23" s="990">
        <f>IF('КЛ-3'!AN36="","",'КЛ-3'!AN36)</f>
      </c>
      <c r="AB23" s="990"/>
      <c r="AC23" s="990"/>
      <c r="AD23" s="990"/>
      <c r="AE23" s="990"/>
      <c r="AF23" s="990"/>
      <c r="AG23" s="990"/>
      <c r="AH23" s="990"/>
      <c r="AI23" s="993">
        <v>15</v>
      </c>
      <c r="AJ23" s="993"/>
      <c r="AK23" s="993"/>
      <c r="AL23" s="993"/>
      <c r="AM23" s="993"/>
      <c r="AN23" s="993"/>
      <c r="AO23" s="993"/>
      <c r="AP23" s="993"/>
      <c r="AQ23" s="993"/>
      <c r="AR23" s="993"/>
      <c r="AS23" s="993"/>
      <c r="AT23" s="990">
        <v>48</v>
      </c>
      <c r="AU23" s="990"/>
      <c r="AV23" s="990"/>
      <c r="AW23" s="990"/>
      <c r="AX23" s="990"/>
      <c r="AY23" s="990"/>
      <c r="AZ23" s="990"/>
      <c r="BA23" s="990"/>
      <c r="BB23" s="990"/>
      <c r="BC23" s="990"/>
      <c r="BD23" s="990"/>
      <c r="BE23" s="992" t="s">
        <v>340</v>
      </c>
      <c r="BF23" s="990"/>
      <c r="BG23" s="990"/>
      <c r="BH23" s="990"/>
      <c r="BI23" s="990"/>
      <c r="BJ23" s="990"/>
      <c r="BK23" s="990"/>
      <c r="BL23" s="990"/>
      <c r="BM23" s="990"/>
      <c r="BN23" s="990"/>
      <c r="BO23" s="990"/>
      <c r="BP23" s="990"/>
      <c r="BQ23" s="992" t="s">
        <v>340</v>
      </c>
      <c r="BR23" s="990"/>
      <c r="BS23" s="990"/>
      <c r="BT23" s="990"/>
      <c r="BU23" s="990"/>
      <c r="BV23" s="990"/>
      <c r="BW23" s="990"/>
      <c r="BX23" s="990"/>
      <c r="BY23" s="990"/>
      <c r="BZ23" s="990"/>
      <c r="CA23" s="990"/>
      <c r="CB23" s="990"/>
    </row>
    <row r="24" spans="1:80" x14ac:dyDescent="0.2">
      <c r="A24" s="894"/>
      <c r="B24" s="894"/>
      <c r="C24" s="894"/>
      <c r="D24" s="894"/>
      <c r="E24" s="894"/>
      <c r="F24" s="894"/>
      <c r="G24" s="894"/>
      <c r="H24" s="894"/>
      <c r="I24" s="894"/>
      <c r="J24" s="894"/>
      <c r="K24" s="894"/>
      <c r="L24" s="894"/>
      <c r="M24" s="894"/>
      <c r="N24" s="894"/>
      <c r="O24" s="894"/>
      <c r="P24" s="894"/>
      <c r="Q24" s="894"/>
      <c r="R24" s="894"/>
      <c r="S24" s="894"/>
      <c r="T24" s="894"/>
      <c r="U24" s="894"/>
      <c r="V24" s="894"/>
      <c r="W24" s="894"/>
      <c r="X24" s="894"/>
      <c r="Y24" s="894"/>
      <c r="Z24" s="894"/>
      <c r="AA24" s="894"/>
      <c r="AB24" s="894"/>
      <c r="AC24" s="894"/>
      <c r="AD24" s="894"/>
      <c r="AE24" s="894"/>
      <c r="AF24" s="894"/>
      <c r="AG24" s="894"/>
      <c r="AH24" s="894"/>
      <c r="AI24" s="894"/>
      <c r="AJ24" s="894"/>
      <c r="AK24" s="894"/>
      <c r="AL24" s="894"/>
      <c r="AM24" s="894"/>
      <c r="AN24" s="894"/>
      <c r="AO24" s="894"/>
      <c r="AP24" s="894"/>
      <c r="AQ24" s="894"/>
      <c r="AR24" s="894"/>
      <c r="AS24" s="894"/>
      <c r="AT24" s="894"/>
      <c r="AU24" s="894"/>
      <c r="AV24" s="894"/>
      <c r="AW24" s="894"/>
      <c r="AX24" s="894"/>
      <c r="AY24" s="894"/>
      <c r="AZ24" s="894"/>
      <c r="BA24" s="894"/>
      <c r="BB24" s="894"/>
      <c r="BC24" s="894"/>
      <c r="BD24" s="894"/>
      <c r="BE24" s="894"/>
      <c r="BF24" s="894"/>
      <c r="BG24" s="894"/>
      <c r="BH24" s="894"/>
      <c r="BI24" s="894"/>
      <c r="BJ24" s="894"/>
      <c r="BK24" s="894"/>
      <c r="BL24" s="894"/>
      <c r="BM24" s="894"/>
      <c r="BN24" s="894"/>
      <c r="BO24" s="894"/>
      <c r="BP24" s="894"/>
      <c r="BQ24" s="894"/>
      <c r="BR24" s="894"/>
      <c r="BS24" s="894"/>
      <c r="BT24" s="894"/>
      <c r="BU24" s="894"/>
      <c r="BV24" s="894"/>
      <c r="BW24" s="894"/>
      <c r="BX24" s="894"/>
      <c r="BY24" s="894"/>
      <c r="BZ24" s="894"/>
      <c r="CA24" s="894"/>
      <c r="CB24" s="894"/>
    </row>
    <row r="29" spans="1:80" s="5" customFormat="1" ht="8.25" x14ac:dyDescent="0.15"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</row>
    <row r="30" spans="1:80" x14ac:dyDescent="0.2">
      <c r="C30" s="11" t="s">
        <v>107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1:80" ht="12.75" customHeight="1" x14ac:dyDescent="0.2">
      <c r="C31" s="989" t="str">
        <f>IF('Данные объект'!C27="","",'Данные объект'!C27)</f>
      </c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  <c r="V31" s="989"/>
      <c r="W31" s="989"/>
      <c r="X31" s="989"/>
      <c r="Y31" s="989"/>
      <c r="Z31" s="989"/>
      <c r="AA31" s="989"/>
      <c r="AB31" s="989"/>
      <c r="AC31" s="989"/>
      <c r="AD31" s="989"/>
      <c r="AE31" s="989"/>
      <c r="AF31" s="989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x14ac:dyDescent="0.2">
      <c r="C32" s="825"/>
      <c r="D32" s="825"/>
      <c r="E32" s="825"/>
      <c r="F32" s="825"/>
      <c r="G32" s="825"/>
      <c r="H32" s="825"/>
      <c r="I32" s="825"/>
      <c r="J32" s="825"/>
      <c r="K32" s="825"/>
      <c r="L32" s="825"/>
      <c r="M32" s="825"/>
      <c r="N32" s="825"/>
      <c r="O32" s="825"/>
      <c r="P32" s="825"/>
      <c r="Q32" s="825"/>
      <c r="R32" s="825"/>
      <c r="S32" s="825"/>
      <c r="T32" s="825"/>
      <c r="U32" s="825"/>
      <c r="V32" s="825"/>
      <c r="W32" s="825"/>
      <c r="X32" s="825"/>
      <c r="Y32" s="825"/>
      <c r="Z32" s="825"/>
      <c r="AA32" s="825"/>
      <c r="AB32" s="825"/>
      <c r="AC32" s="825"/>
      <c r="AD32" s="825"/>
      <c r="AE32" s="825"/>
      <c r="AF32" s="825"/>
      <c r="AG32" s="11"/>
      <c r="AH32" s="11"/>
      <c r="AI32" s="11"/>
      <c r="AJ32" s="991"/>
      <c r="AK32" s="991"/>
      <c r="AL32" s="991"/>
      <c r="AM32" s="991"/>
      <c r="AN32" s="991"/>
      <c r="AO32" s="991"/>
      <c r="AP32" s="991"/>
      <c r="AQ32" s="991"/>
      <c r="AR32" s="991"/>
      <c r="AS32" s="991"/>
      <c r="AT32" s="991"/>
      <c r="AU32" s="991"/>
      <c r="AV32" s="991"/>
      <c r="AW32" s="991"/>
      <c r="AX32" s="991"/>
      <c r="AY32" s="991"/>
      <c r="AZ32" s="991"/>
      <c r="BA32" s="991"/>
      <c r="BB32" s="991"/>
      <c r="BC32" s="991"/>
      <c r="BD32" s="991"/>
      <c r="BE32" s="991"/>
      <c r="BF32" s="991"/>
      <c r="BG32" s="991"/>
      <c r="BH32" s="991"/>
      <c r="BI32" s="11"/>
      <c r="BJ32" s="988" t="str">
        <f>IF('Данные объект'!B28="","",'Данные объект'!B28)</f>
      </c>
      <c r="BK32" s="988"/>
      <c r="BL32" s="988"/>
      <c r="BM32" s="988"/>
      <c r="BN32" s="988"/>
      <c r="BO32" s="988"/>
      <c r="BP32" s="988"/>
      <c r="BQ32" s="988"/>
      <c r="BR32" s="988"/>
      <c r="BS32" s="988"/>
      <c r="BT32" s="988"/>
      <c r="BU32" s="988"/>
      <c r="BV32" s="988"/>
      <c r="BW32" s="988"/>
      <c r="BX32" s="988"/>
      <c r="BY32" s="988"/>
      <c r="BZ32" s="988"/>
      <c r="CA32" s="988"/>
      <c r="CB32" s="988"/>
    </row>
    <row r="33" spans="3:80" s="5" customFormat="1" ht="8.25" x14ac:dyDescent="0.15">
      <c r="C33" s="13"/>
      <c r="AJ33" s="986" t="s">
        <v>2</v>
      </c>
      <c r="AK33" s="986"/>
      <c r="AL33" s="986"/>
      <c r="AM33" s="986"/>
      <c r="AN33" s="986"/>
      <c r="AO33" s="986"/>
      <c r="AP33" s="986"/>
      <c r="AQ33" s="986"/>
      <c r="AR33" s="986"/>
      <c r="AS33" s="986"/>
      <c r="AT33" s="986"/>
      <c r="AU33" s="986"/>
      <c r="AV33" s="986"/>
      <c r="AW33" s="986"/>
      <c r="AX33" s="986"/>
      <c r="AY33" s="986"/>
      <c r="AZ33" s="986"/>
      <c r="BA33" s="986"/>
      <c r="BB33" s="986"/>
      <c r="BC33" s="986"/>
      <c r="BD33" s="986"/>
      <c r="BE33" s="986"/>
      <c r="BF33" s="986"/>
      <c r="BG33" s="986"/>
      <c r="BH33" s="986"/>
      <c r="BJ33" s="986" t="s">
        <v>72</v>
      </c>
      <c r="BK33" s="986"/>
      <c r="BL33" s="986"/>
      <c r="BM33" s="986"/>
      <c r="BN33" s="986"/>
      <c r="BO33" s="986"/>
      <c r="BP33" s="986"/>
      <c r="BQ33" s="986"/>
      <c r="BR33" s="986"/>
      <c r="BS33" s="986"/>
      <c r="BT33" s="986"/>
      <c r="BU33" s="986"/>
      <c r="BV33" s="986"/>
      <c r="BW33" s="986"/>
      <c r="BX33" s="986"/>
      <c r="BY33" s="986"/>
      <c r="BZ33" s="986"/>
      <c r="CA33" s="986"/>
      <c r="CB33" s="986"/>
    </row>
  </sheetData>
  <mergeCells count="46">
    <mergeCell ref="A10:AI10"/>
    <mergeCell ref="A11:AI11"/>
    <mergeCell ref="AR11:BZ11"/>
    <mergeCell ref="AI17:BD19"/>
    <mergeCell ref="AI23:AS23"/>
    <mergeCell ref="L23:Z23"/>
    <mergeCell ref="A13:CB13"/>
    <mergeCell ref="A17:K22"/>
    <mergeCell ref="AA17:AH22"/>
    <mergeCell ref="BE21:BP22"/>
    <mergeCell ref="BQ21:CB22"/>
    <mergeCell ref="BE19:CB20"/>
    <mergeCell ref="BE17:CB18"/>
    <mergeCell ref="L17:Z22"/>
    <mergeCell ref="A14:CB14"/>
    <mergeCell ref="AR12:BZ12"/>
    <mergeCell ref="A24:K24"/>
    <mergeCell ref="BQ23:CB23"/>
    <mergeCell ref="BQ24:CB24"/>
    <mergeCell ref="AI20:AS22"/>
    <mergeCell ref="AT20:BD22"/>
    <mergeCell ref="AJ33:BH33"/>
    <mergeCell ref="BJ33:CB33"/>
    <mergeCell ref="AJ32:BH32"/>
    <mergeCell ref="BJ32:CB32"/>
    <mergeCell ref="AT23:BD23"/>
    <mergeCell ref="AT24:BD24"/>
    <mergeCell ref="AI24:AS24"/>
    <mergeCell ref="BE23:BP23"/>
    <mergeCell ref="BE24:BP24"/>
    <mergeCell ref="C31:AF32"/>
    <mergeCell ref="AR1:BZ2"/>
    <mergeCell ref="AR3:BZ3"/>
    <mergeCell ref="A4:AI4"/>
    <mergeCell ref="AR4:BZ4"/>
    <mergeCell ref="A5:AI5"/>
    <mergeCell ref="AR5:BZ5"/>
    <mergeCell ref="A2:AI2"/>
    <mergeCell ref="A3:AI3"/>
    <mergeCell ref="AR6:BZ9"/>
    <mergeCell ref="A8:AI9"/>
    <mergeCell ref="AR10:BZ10"/>
    <mergeCell ref="AA23:AH23"/>
    <mergeCell ref="AA24:AH24"/>
    <mergeCell ref="L24:Z24"/>
    <mergeCell ref="A23:K23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CB64"/>
  <sheetViews>
    <sheetView view="pageBreakPreview" zoomScaleNormal="100" zoomScaleSheetLayoutView="100" workbookViewId="0">
      <selection activeCell="CK31" sqref="CK31"/>
    </sheetView>
  </sheetViews>
  <sheetFormatPr defaultColWidth="9.140625" defaultRowHeight="12.75" outlineLevelRow="1" x14ac:dyDescent="0.2"/>
  <cols>
    <col min="1" max="79" width="1.140625" style="2" customWidth="1"/>
    <col min="80" max="80" width="5.7109375" style="2" customWidth="1"/>
    <col min="81" max="138" width="1.140625" style="2" customWidth="1"/>
    <col min="139" max="16384" width="9.140625" style="2"/>
  </cols>
  <sheetData>
    <row r="1" spans="1:80" ht="6.6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21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15" customHeight="1" x14ac:dyDescent="0.25">
      <c r="A8" s="836" t="str">
        <f>IF('Данные объект'!B16="","",'Данные объект'!B16)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10.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s="5" customFormat="1" ht="8.25" x14ac:dyDescent="0.1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</row>
    <row r="11" spans="1:80" ht="13.5" x14ac:dyDescent="0.25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  <c r="CA11" s="67"/>
      <c r="CB11" s="67"/>
    </row>
    <row r="12" spans="1:80" s="5" customFormat="1" ht="13.15" customHeight="1" x14ac:dyDescent="0.15"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</row>
    <row r="13" spans="1:80" ht="3.75" customHeight="1" x14ac:dyDescent="0.2"/>
    <row r="14" spans="1:80" ht="1.9" hidden="1" customHeight="1" x14ac:dyDescent="0.2"/>
    <row r="15" spans="1:80" s="38" customFormat="1" ht="15.75" x14ac:dyDescent="0.25">
      <c r="A15" s="931" t="s">
        <v>1236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931"/>
      <c r="O15" s="931"/>
      <c r="P15" s="931"/>
      <c r="Q15" s="931"/>
      <c r="R15" s="931"/>
      <c r="S15" s="931"/>
      <c r="T15" s="931"/>
      <c r="U15" s="931"/>
      <c r="V15" s="931"/>
      <c r="W15" s="931"/>
      <c r="X15" s="931"/>
      <c r="Y15" s="931"/>
      <c r="Z15" s="931"/>
      <c r="AA15" s="931"/>
      <c r="AB15" s="931"/>
      <c r="AC15" s="931"/>
      <c r="AD15" s="931"/>
      <c r="AE15" s="931"/>
      <c r="AF15" s="931"/>
      <c r="AG15" s="931"/>
      <c r="AH15" s="931"/>
      <c r="AI15" s="931"/>
      <c r="AJ15" s="931"/>
      <c r="AK15" s="931"/>
      <c r="AL15" s="931"/>
      <c r="AM15" s="931"/>
      <c r="AN15" s="931"/>
      <c r="AO15" s="931"/>
      <c r="AP15" s="931"/>
      <c r="AQ15" s="931"/>
      <c r="AR15" s="931"/>
      <c r="AS15" s="931"/>
      <c r="AT15" s="931"/>
      <c r="AU15" s="931"/>
      <c r="AV15" s="931"/>
      <c r="AW15" s="931"/>
      <c r="AX15" s="931"/>
      <c r="AY15" s="931"/>
      <c r="AZ15" s="931"/>
      <c r="BA15" s="931"/>
      <c r="BB15" s="931"/>
      <c r="BC15" s="931"/>
      <c r="BD15" s="931"/>
      <c r="BE15" s="931"/>
      <c r="BF15" s="931"/>
      <c r="BG15" s="931"/>
      <c r="BH15" s="931"/>
      <c r="BI15" s="931"/>
      <c r="BJ15" s="931"/>
      <c r="BK15" s="931"/>
      <c r="BL15" s="931"/>
      <c r="BM15" s="931"/>
      <c r="BN15" s="931"/>
      <c r="BO15" s="931"/>
      <c r="BP15" s="931"/>
      <c r="BQ15" s="931"/>
      <c r="BR15" s="931"/>
      <c r="BS15" s="931"/>
      <c r="BT15" s="931"/>
      <c r="BU15" s="931"/>
      <c r="BV15" s="931"/>
      <c r="BW15" s="931"/>
      <c r="BX15" s="931"/>
      <c r="BY15" s="931"/>
      <c r="BZ15" s="931"/>
      <c r="CA15" s="931"/>
      <c r="CB15" s="931"/>
    </row>
    <row r="16" spans="1:80" s="38" customFormat="1" ht="15.75" x14ac:dyDescent="0.25">
      <c r="A16" s="931" t="s">
        <v>1247</v>
      </c>
      <c r="B16" s="931"/>
      <c r="C16" s="931"/>
      <c r="D16" s="931"/>
      <c r="E16" s="931"/>
      <c r="F16" s="931"/>
      <c r="G16" s="931"/>
      <c r="H16" s="931"/>
      <c r="I16" s="931"/>
      <c r="J16" s="931"/>
      <c r="K16" s="931"/>
      <c r="L16" s="931"/>
      <c r="M16" s="931"/>
      <c r="N16" s="931"/>
      <c r="O16" s="931"/>
      <c r="P16" s="931"/>
      <c r="Q16" s="931"/>
      <c r="R16" s="931"/>
      <c r="S16" s="931"/>
      <c r="T16" s="931"/>
      <c r="U16" s="931"/>
      <c r="V16" s="931"/>
      <c r="W16" s="931"/>
      <c r="X16" s="931"/>
      <c r="Y16" s="931"/>
      <c r="Z16" s="931"/>
      <c r="AA16" s="931"/>
      <c r="AB16" s="931"/>
      <c r="AC16" s="931"/>
      <c r="AD16" s="931"/>
      <c r="AE16" s="931"/>
      <c r="AF16" s="931"/>
      <c r="AG16" s="931"/>
      <c r="AH16" s="931"/>
      <c r="AI16" s="931"/>
      <c r="AJ16" s="931"/>
      <c r="AK16" s="931"/>
      <c r="AL16" s="931"/>
      <c r="AM16" s="931"/>
      <c r="AN16" s="931"/>
      <c r="AO16" s="931"/>
      <c r="AP16" s="931"/>
      <c r="AQ16" s="931"/>
      <c r="AR16" s="931"/>
      <c r="AS16" s="931"/>
      <c r="AT16" s="931"/>
      <c r="AU16" s="931"/>
      <c r="AV16" s="931"/>
      <c r="AW16" s="931"/>
      <c r="AX16" s="931"/>
      <c r="AY16" s="931"/>
      <c r="AZ16" s="931"/>
      <c r="BA16" s="931"/>
      <c r="BB16" s="931"/>
      <c r="BC16" s="931"/>
      <c r="BD16" s="931"/>
      <c r="BE16" s="931"/>
      <c r="BF16" s="931"/>
      <c r="BG16" s="931"/>
      <c r="BH16" s="931"/>
      <c r="BI16" s="931"/>
      <c r="BJ16" s="931"/>
      <c r="BK16" s="931"/>
      <c r="BL16" s="931"/>
      <c r="BM16" s="931"/>
      <c r="BN16" s="931"/>
      <c r="BO16" s="931"/>
      <c r="BP16" s="931"/>
      <c r="BQ16" s="931"/>
      <c r="BR16" s="931"/>
      <c r="BS16" s="931"/>
      <c r="BT16" s="931"/>
      <c r="BU16" s="931"/>
      <c r="BV16" s="931"/>
      <c r="BW16" s="931"/>
      <c r="BX16" s="931"/>
      <c r="BY16" s="931"/>
      <c r="BZ16" s="931"/>
      <c r="CA16" s="931"/>
      <c r="CB16" s="931"/>
    </row>
    <row r="17" spans="1:80" s="38" customFormat="1" ht="8.2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</row>
    <row r="18" spans="1:80" hidden="1" x14ac:dyDescent="0.2">
      <c r="A18" s="2" t="s">
        <v>199</v>
      </c>
      <c r="B18" s="2" t="s">
        <v>200</v>
      </c>
    </row>
    <row r="19" spans="1:80" x14ac:dyDescent="0.2">
      <c r="A19" s="57" t="s">
        <v>27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</row>
    <row r="20" spans="1:80" x14ac:dyDescent="0.2">
      <c r="A20" s="11" t="s">
        <v>1186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</row>
    <row r="21" spans="1:80" x14ac:dyDescent="0.2">
      <c r="A21" s="926" t="str">
        <f>IF('Данные объект'!C42="","",'Данные объект'!C42)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80" s="5" customFormat="1" ht="8.25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80" hidden="1" outlineLevel="1" x14ac:dyDescent="0.2">
      <c r="A23" s="2" t="s">
        <v>29</v>
      </c>
    </row>
    <row r="24" spans="1:80" outlineLevel="1" x14ac:dyDescent="0.2">
      <c r="A24" s="926" t="str">
        <f>IF('Данные объект'!C45="","",'Данные объект'!C45)</f>
      </c>
      <c r="B24" s="926"/>
      <c r="C24" s="926"/>
      <c r="D24" s="926"/>
      <c r="E24" s="926"/>
      <c r="F24" s="926"/>
      <c r="G24" s="926"/>
      <c r="H24" s="926"/>
      <c r="I24" s="926"/>
      <c r="J24" s="926"/>
      <c r="K24" s="926"/>
      <c r="L24" s="926"/>
      <c r="M24" s="926"/>
      <c r="N24" s="926"/>
      <c r="O24" s="926"/>
      <c r="P24" s="926"/>
      <c r="Q24" s="926"/>
      <c r="R24" s="926"/>
      <c r="S24" s="926"/>
      <c r="T24" s="926"/>
      <c r="U24" s="926"/>
      <c r="V24" s="926"/>
      <c r="W24" s="926"/>
      <c r="X24" s="926"/>
      <c r="Y24" s="926"/>
      <c r="Z24" s="926"/>
      <c r="AA24" s="926"/>
      <c r="AB24" s="926"/>
      <c r="AC24" s="926"/>
      <c r="AD24" s="926"/>
      <c r="AE24" s="926"/>
      <c r="AF24" s="926"/>
      <c r="AG24" s="926"/>
      <c r="AH24" s="926"/>
      <c r="AI24" s="926"/>
      <c r="AJ24" s="926"/>
      <c r="AK24" s="926"/>
      <c r="AL24" s="926"/>
      <c r="AM24" s="926"/>
      <c r="AN24" s="926"/>
      <c r="AO24" s="926"/>
      <c r="AP24" s="926"/>
      <c r="AQ24" s="926"/>
      <c r="AR24" s="926"/>
      <c r="AS24" s="926"/>
      <c r="AT24" s="926"/>
      <c r="AU24" s="926"/>
      <c r="AV24" s="926"/>
      <c r="AW24" s="926"/>
      <c r="AX24" s="926"/>
      <c r="AY24" s="926"/>
      <c r="AZ24" s="926"/>
      <c r="BA24" s="926"/>
      <c r="BB24" s="926"/>
      <c r="BC24" s="926"/>
      <c r="BD24" s="926"/>
      <c r="BE24" s="926"/>
      <c r="BF24" s="926"/>
      <c r="BG24" s="926"/>
      <c r="BH24" s="926"/>
      <c r="BI24" s="926"/>
      <c r="BJ24" s="926"/>
      <c r="BK24" s="926"/>
      <c r="BL24" s="926"/>
      <c r="BM24" s="926"/>
      <c r="BN24" s="926"/>
      <c r="BO24" s="926"/>
      <c r="BP24" s="926"/>
      <c r="BQ24" s="926"/>
      <c r="BR24" s="926"/>
      <c r="BS24" s="926"/>
      <c r="BT24" s="926"/>
      <c r="BU24" s="926"/>
      <c r="BV24" s="926"/>
      <c r="BW24" s="926"/>
      <c r="BX24" s="926"/>
      <c r="BY24" s="926"/>
      <c r="BZ24" s="926"/>
      <c r="CA24" s="926"/>
      <c r="CB24" s="926"/>
    </row>
    <row r="25" spans="1:80" s="5" customFormat="1" ht="8.25" outlineLevel="1" x14ac:dyDescent="0.15">
      <c r="A25" s="932" t="s">
        <v>31</v>
      </c>
      <c r="B25" s="932"/>
      <c r="C25" s="932"/>
      <c r="D25" s="932"/>
      <c r="E25" s="932"/>
      <c r="F25" s="932"/>
      <c r="G25" s="932"/>
      <c r="H25" s="932"/>
      <c r="I25" s="932"/>
      <c r="J25" s="932"/>
      <c r="K25" s="932"/>
      <c r="L25" s="932"/>
      <c r="M25" s="932"/>
      <c r="N25" s="932"/>
      <c r="O25" s="932"/>
      <c r="P25" s="932"/>
      <c r="Q25" s="932"/>
      <c r="R25" s="932"/>
      <c r="S25" s="932"/>
      <c r="T25" s="932"/>
      <c r="U25" s="932"/>
      <c r="V25" s="932"/>
      <c r="W25" s="932"/>
      <c r="X25" s="932"/>
      <c r="Y25" s="932"/>
      <c r="Z25" s="932"/>
      <c r="AA25" s="932"/>
      <c r="AB25" s="932"/>
      <c r="AC25" s="932"/>
      <c r="AD25" s="932"/>
      <c r="AE25" s="932"/>
      <c r="AF25" s="932"/>
      <c r="AG25" s="932"/>
      <c r="AH25" s="932"/>
      <c r="AI25" s="932"/>
      <c r="AJ25" s="932"/>
      <c r="AK25" s="932"/>
      <c r="AL25" s="932"/>
      <c r="AM25" s="932"/>
      <c r="AN25" s="932"/>
      <c r="AO25" s="932"/>
      <c r="AP25" s="932"/>
      <c r="AQ25" s="932"/>
      <c r="AR25" s="932"/>
      <c r="AS25" s="932"/>
      <c r="AT25" s="932"/>
      <c r="AU25" s="932"/>
      <c r="AV25" s="932"/>
      <c r="AW25" s="932"/>
      <c r="AX25" s="932"/>
      <c r="AY25" s="932"/>
      <c r="AZ25" s="932"/>
      <c r="BA25" s="932"/>
      <c r="BB25" s="932"/>
      <c r="BC25" s="932"/>
      <c r="BD25" s="932"/>
      <c r="BE25" s="932"/>
      <c r="BF25" s="932"/>
      <c r="BG25" s="932"/>
      <c r="BH25" s="932"/>
      <c r="BI25" s="932"/>
      <c r="BJ25" s="932"/>
      <c r="BK25" s="932"/>
      <c r="BL25" s="932"/>
      <c r="BM25" s="932"/>
      <c r="BN25" s="932"/>
      <c r="BO25" s="932"/>
      <c r="BP25" s="932"/>
      <c r="BQ25" s="932"/>
      <c r="BR25" s="932"/>
      <c r="BS25" s="932"/>
      <c r="BT25" s="932"/>
      <c r="BU25" s="932"/>
      <c r="BV25" s="932"/>
      <c r="BW25" s="932"/>
      <c r="BX25" s="932"/>
      <c r="BY25" s="932"/>
      <c r="BZ25" s="932"/>
      <c r="CA25" s="932"/>
      <c r="CB25" s="932"/>
    </row>
    <row r="26" spans="1:80" x14ac:dyDescent="0.2">
      <c r="A26" s="11" t="s">
        <v>1187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926" t="str">
        <f>IF('Данные объект'!C28="","",'Данные объект'!C28)</f>
      </c>
      <c r="B27" s="926"/>
      <c r="C27" s="926"/>
      <c r="D27" s="926"/>
      <c r="E27" s="926"/>
      <c r="F27" s="926"/>
      <c r="G27" s="926"/>
      <c r="H27" s="926"/>
      <c r="I27" s="926"/>
      <c r="J27" s="926"/>
      <c r="K27" s="926"/>
      <c r="L27" s="926"/>
      <c r="M27" s="926"/>
      <c r="N27" s="926"/>
      <c r="O27" s="926"/>
      <c r="P27" s="926"/>
      <c r="Q27" s="926"/>
      <c r="R27" s="926"/>
      <c r="S27" s="926"/>
      <c r="T27" s="926"/>
      <c r="U27" s="926"/>
      <c r="V27" s="926"/>
      <c r="W27" s="926"/>
      <c r="X27" s="926"/>
      <c r="Y27" s="926"/>
      <c r="Z27" s="926"/>
      <c r="AA27" s="926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  <c r="CA27" s="926"/>
      <c r="CB27" s="926"/>
    </row>
    <row r="28" spans="1:80" s="5" customFormat="1" ht="8.25" x14ac:dyDescent="0.15">
      <c r="A28" s="932" t="s">
        <v>31</v>
      </c>
      <c r="B28" s="932"/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  <c r="W28" s="932"/>
      <c r="X28" s="932"/>
      <c r="Y28" s="932"/>
      <c r="Z28" s="932"/>
      <c r="AA28" s="932"/>
      <c r="AB28" s="932"/>
      <c r="AC28" s="932"/>
      <c r="AD28" s="932"/>
      <c r="AE28" s="932"/>
      <c r="AF28" s="932"/>
      <c r="AG28" s="932"/>
      <c r="AH28" s="932"/>
      <c r="AI28" s="932"/>
      <c r="AJ28" s="932"/>
      <c r="AK28" s="932"/>
      <c r="AL28" s="932"/>
      <c r="AM28" s="932"/>
      <c r="AN28" s="932"/>
      <c r="AO28" s="932"/>
      <c r="AP28" s="932"/>
      <c r="AQ28" s="932"/>
      <c r="AR28" s="932"/>
      <c r="AS28" s="932"/>
      <c r="AT28" s="932"/>
      <c r="AU28" s="932"/>
      <c r="AV28" s="932"/>
      <c r="AW28" s="932"/>
      <c r="AX28" s="932"/>
      <c r="AY28" s="932"/>
      <c r="AZ28" s="932"/>
      <c r="BA28" s="932"/>
      <c r="BB28" s="932"/>
      <c r="BC28" s="932"/>
      <c r="BD28" s="932"/>
      <c r="BE28" s="932"/>
      <c r="BF28" s="932"/>
      <c r="BG28" s="932"/>
      <c r="BH28" s="932"/>
      <c r="BI28" s="932"/>
      <c r="BJ28" s="932"/>
      <c r="BK28" s="932"/>
      <c r="BL28" s="932"/>
      <c r="BM28" s="932"/>
      <c r="BN28" s="932"/>
      <c r="BO28" s="932"/>
      <c r="BP28" s="932"/>
      <c r="BQ28" s="932"/>
      <c r="BR28" s="932"/>
      <c r="BS28" s="932"/>
      <c r="BT28" s="932"/>
      <c r="BU28" s="932"/>
      <c r="BV28" s="932"/>
      <c r="BW28" s="932"/>
      <c r="BX28" s="932"/>
      <c r="BY28" s="932"/>
      <c r="BZ28" s="932"/>
      <c r="CA28" s="932"/>
      <c r="CB28" s="932"/>
    </row>
    <row r="29" spans="1:80" s="11" customFormat="1" ht="11.25" x14ac:dyDescent="0.2">
      <c r="A29" s="11" t="s">
        <v>196</v>
      </c>
      <c r="AD29" s="841" t="s">
        <v>199</v>
      </c>
      <c r="AE29" s="841"/>
      <c r="AF29" s="841"/>
      <c r="AG29" s="841"/>
      <c r="AH29" s="841"/>
      <c r="AI29" s="841"/>
      <c r="AJ29" s="841"/>
      <c r="AK29" s="841"/>
      <c r="AL29" s="841"/>
      <c r="AM29" s="841"/>
      <c r="AN29" s="841"/>
      <c r="AO29" s="841"/>
      <c r="AP29" s="841"/>
      <c r="AQ29" s="841"/>
      <c r="AR29" s="841"/>
      <c r="AS29" s="841"/>
      <c r="AT29" s="841"/>
      <c r="AU29" s="841"/>
      <c r="AV29" s="841"/>
      <c r="AW29" s="841"/>
      <c r="AX29" s="841"/>
      <c r="AY29" s="841"/>
      <c r="AZ29" s="841"/>
      <c r="BA29" s="841"/>
      <c r="BB29" s="841"/>
      <c r="BC29" s="841"/>
      <c r="BD29" s="841"/>
      <c r="BE29" s="841"/>
      <c r="BF29" s="841"/>
      <c r="BG29" s="841"/>
      <c r="BH29" s="841"/>
      <c r="BI29" s="841"/>
      <c r="BJ29" s="841"/>
      <c r="BK29" s="841"/>
      <c r="BL29" s="841"/>
      <c r="BM29" s="841"/>
      <c r="BN29" s="841"/>
      <c r="BO29" s="841"/>
      <c r="BP29" s="11" t="s">
        <v>197</v>
      </c>
    </row>
    <row r="30" spans="1:80" s="5" customFormat="1" ht="7.5" customHeight="1" x14ac:dyDescent="0.15">
      <c r="AD30" s="858" t="s">
        <v>198</v>
      </c>
      <c r="AE30" s="858"/>
      <c r="AF30" s="858"/>
      <c r="AG30" s="858"/>
      <c r="AH30" s="858"/>
      <c r="AI30" s="858"/>
      <c r="AJ30" s="858"/>
      <c r="AK30" s="858"/>
      <c r="AL30" s="858"/>
      <c r="AM30" s="858"/>
      <c r="AN30" s="858"/>
      <c r="AO30" s="858"/>
      <c r="AP30" s="858"/>
      <c r="AQ30" s="858"/>
      <c r="AR30" s="858"/>
      <c r="AS30" s="858"/>
      <c r="AT30" s="858"/>
      <c r="AU30" s="858"/>
      <c r="AV30" s="858"/>
      <c r="AW30" s="858"/>
      <c r="AX30" s="858"/>
      <c r="AY30" s="858"/>
      <c r="AZ30" s="858"/>
      <c r="BA30" s="858"/>
      <c r="BB30" s="858"/>
      <c r="BC30" s="858"/>
      <c r="BD30" s="858"/>
      <c r="BE30" s="858"/>
      <c r="BF30" s="858"/>
      <c r="BG30" s="858"/>
      <c r="BH30" s="858"/>
      <c r="BI30" s="858"/>
      <c r="BJ30" s="858"/>
      <c r="BK30" s="858"/>
      <c r="BL30" s="858"/>
      <c r="BM30" s="858"/>
      <c r="BN30" s="858"/>
      <c r="BO30" s="858"/>
    </row>
    <row r="31" spans="1:80" s="11" customFormat="1" ht="11.25" x14ac:dyDescent="0.2">
      <c r="A31" s="11" t="s">
        <v>201</v>
      </c>
    </row>
    <row r="32" spans="1:80" s="11" customFormat="1" ht="11.25" x14ac:dyDescent="0.2">
      <c r="A32" s="11" t="s">
        <v>33</v>
      </c>
      <c r="C32" s="11" t="s">
        <v>202</v>
      </c>
      <c r="AE32" s="841" t="str">
        <f>IF('Данные объект'!B52="","",'Данные объект'!B52)</f>
      </c>
      <c r="AF32" s="841"/>
      <c r="AG32" s="841"/>
      <c r="AH32" s="841"/>
      <c r="AI32" s="841"/>
      <c r="AJ32" s="841"/>
      <c r="AK32" s="841"/>
      <c r="AL32" s="841"/>
      <c r="AM32" s="841"/>
      <c r="AN32" s="841"/>
      <c r="AO32" s="841"/>
      <c r="AP32" s="841"/>
      <c r="AQ32" s="841"/>
      <c r="AR32" s="841"/>
      <c r="AS32" s="841"/>
      <c r="AT32" s="841"/>
      <c r="AU32" s="841"/>
      <c r="AV32" s="841"/>
      <c r="AW32" s="841"/>
      <c r="AX32" s="841"/>
      <c r="AY32" s="841"/>
      <c r="AZ32" s="841"/>
      <c r="BA32" s="841"/>
      <c r="BB32" s="841"/>
      <c r="BC32" s="841"/>
      <c r="BD32" s="841"/>
      <c r="BE32" s="841"/>
      <c r="BF32" s="841"/>
      <c r="BG32" s="841"/>
      <c r="BH32" s="841"/>
      <c r="BI32" s="841"/>
      <c r="BJ32" s="841"/>
      <c r="BK32" s="841"/>
      <c r="BL32" s="841"/>
      <c r="BM32" s="841"/>
      <c r="BN32" s="841"/>
      <c r="BO32" s="841"/>
      <c r="BP32" s="841"/>
      <c r="BQ32" s="841"/>
      <c r="BR32" s="841"/>
      <c r="BS32" s="841"/>
      <c r="BT32" s="841"/>
      <c r="BU32" s="841"/>
      <c r="BV32" s="841"/>
      <c r="BW32" s="841"/>
      <c r="BX32" s="841"/>
      <c r="BY32" s="841"/>
      <c r="BZ32" s="841"/>
      <c r="CA32" s="841"/>
      <c r="CB32" s="841"/>
    </row>
    <row r="33" spans="1:80" s="5" customFormat="1" ht="8.25" x14ac:dyDescent="0.15">
      <c r="AE33" s="838" t="s">
        <v>203</v>
      </c>
      <c r="AF33" s="838"/>
      <c r="AG33" s="838"/>
      <c r="AH33" s="838"/>
      <c r="AI33" s="838"/>
      <c r="AJ33" s="838"/>
      <c r="AK33" s="838"/>
      <c r="AL33" s="838"/>
      <c r="AM33" s="838"/>
      <c r="AN33" s="838"/>
      <c r="AO33" s="838"/>
      <c r="AP33" s="838"/>
      <c r="AQ33" s="838"/>
      <c r="AR33" s="838"/>
      <c r="AS33" s="838"/>
      <c r="AT33" s="838"/>
      <c r="AU33" s="838"/>
      <c r="AV33" s="838"/>
      <c r="AW33" s="838"/>
      <c r="AX33" s="838"/>
      <c r="AY33" s="838"/>
      <c r="AZ33" s="838"/>
      <c r="BA33" s="838"/>
      <c r="BB33" s="838"/>
      <c r="BC33" s="838"/>
      <c r="BD33" s="838"/>
      <c r="BE33" s="838"/>
      <c r="BF33" s="838"/>
      <c r="BG33" s="838"/>
      <c r="BH33" s="838"/>
      <c r="BI33" s="838"/>
      <c r="BJ33" s="838"/>
      <c r="BK33" s="838"/>
      <c r="BL33" s="838"/>
      <c r="BM33" s="838"/>
      <c r="BN33" s="838"/>
      <c r="BO33" s="838"/>
      <c r="BP33" s="838"/>
      <c r="BQ33" s="838"/>
      <c r="BR33" s="838"/>
      <c r="BS33" s="838"/>
      <c r="BT33" s="838"/>
      <c r="BU33" s="838"/>
      <c r="BV33" s="838"/>
      <c r="BW33" s="838"/>
      <c r="BX33" s="838"/>
      <c r="BY33" s="838"/>
      <c r="BZ33" s="838"/>
      <c r="CA33" s="838"/>
      <c r="CB33" s="838"/>
    </row>
    <row r="34" spans="1:80" x14ac:dyDescent="0.2">
      <c r="C34" s="841" t="str">
        <f>IF('Данные объект'!B56="","",'Данные объект'!B56)</f>
      </c>
      <c r="D34" s="841"/>
      <c r="E34" s="841"/>
      <c r="F34" s="841"/>
      <c r="G34" s="841"/>
      <c r="H34" s="841"/>
      <c r="I34" s="841"/>
      <c r="J34" s="841"/>
      <c r="K34" s="841"/>
      <c r="L34" s="841"/>
      <c r="M34" s="841"/>
      <c r="N34" s="841"/>
      <c r="O34" s="841"/>
      <c r="P34" s="841"/>
      <c r="Q34" s="841"/>
      <c r="R34" s="841"/>
      <c r="S34" s="841"/>
      <c r="T34" s="841"/>
      <c r="U34" s="841"/>
      <c r="V34" s="841"/>
      <c r="W34" s="841"/>
      <c r="X34" s="841"/>
      <c r="Y34" s="841"/>
      <c r="Z34" s="841"/>
      <c r="AA34" s="841"/>
      <c r="AB34" s="841"/>
      <c r="AC34" s="841"/>
      <c r="AD34" s="841"/>
      <c r="AE34" s="841"/>
      <c r="AF34" s="841"/>
      <c r="AG34" s="841"/>
      <c r="AH34" s="841"/>
      <c r="AI34" s="841"/>
      <c r="AJ34" s="841"/>
      <c r="AK34" s="841"/>
      <c r="AL34" s="841"/>
      <c r="AM34" s="841"/>
      <c r="AN34" s="841"/>
      <c r="AO34" s="841"/>
      <c r="AP34" s="841"/>
      <c r="AQ34" s="841"/>
      <c r="AR34" s="841"/>
      <c r="AS34" s="841"/>
      <c r="AT34" s="841"/>
      <c r="AU34" s="841"/>
      <c r="AV34" s="841"/>
      <c r="AW34" s="841"/>
      <c r="AX34" s="841"/>
      <c r="AY34" s="841"/>
      <c r="AZ34" s="841"/>
      <c r="BA34" s="841"/>
      <c r="BB34" s="841"/>
      <c r="BC34" s="841"/>
      <c r="BD34" s="841"/>
      <c r="BE34" s="841"/>
      <c r="BF34" s="841"/>
      <c r="BG34" s="841"/>
      <c r="BH34" s="841"/>
      <c r="BI34" s="841"/>
      <c r="BJ34" s="841"/>
      <c r="BK34" s="841"/>
      <c r="BL34" s="841"/>
      <c r="BM34" s="841"/>
      <c r="BN34" s="841"/>
      <c r="BO34" s="841"/>
      <c r="BP34" s="841"/>
      <c r="BQ34" s="841"/>
      <c r="BR34" s="841"/>
      <c r="BS34" s="841"/>
      <c r="BT34" s="841"/>
      <c r="BU34" s="841"/>
      <c r="BV34" s="841"/>
      <c r="BW34" s="841"/>
      <c r="BX34" s="841"/>
      <c r="BY34" s="841"/>
      <c r="BZ34" s="841"/>
      <c r="CA34" s="841"/>
      <c r="CB34" s="841"/>
    </row>
    <row r="35" spans="1:80" x14ac:dyDescent="0.2">
      <c r="A35" s="11" t="s">
        <v>36</v>
      </c>
      <c r="B35" s="11"/>
      <c r="C35" s="11" t="s">
        <v>204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69"/>
      <c r="AS35" s="69"/>
      <c r="AT35" s="996" t="s">
        <v>350</v>
      </c>
      <c r="AU35" s="996"/>
      <c r="AV35" s="996"/>
      <c r="AW35" s="996"/>
      <c r="AX35" s="996"/>
      <c r="AY35" s="996"/>
      <c r="AZ35" s="996"/>
      <c r="BA35" s="996"/>
      <c r="BB35" s="996"/>
      <c r="BC35" s="996"/>
      <c r="BD35" s="996"/>
      <c r="BE35" s="996"/>
      <c r="BF35" s="996"/>
      <c r="BG35" s="996"/>
      <c r="BH35" s="996"/>
      <c r="BI35" s="996"/>
      <c r="BJ35" s="996"/>
      <c r="BK35" s="996"/>
      <c r="BL35" s="996"/>
      <c r="BM35" s="996"/>
      <c r="BN35" s="996"/>
      <c r="BO35" s="996"/>
      <c r="BP35" s="11" t="s">
        <v>205</v>
      </c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</row>
    <row r="36" spans="1:80" ht="12.75" customHeight="1" x14ac:dyDescent="0.2">
      <c r="A36" s="11" t="s">
        <v>39</v>
      </c>
      <c r="B36" s="11"/>
      <c r="C36" s="856"/>
      <c r="D36" s="856"/>
      <c r="E36" s="856"/>
      <c r="F36" s="856"/>
      <c r="G36" s="856"/>
      <c r="H36" s="856"/>
      <c r="I36" s="856"/>
      <c r="J36" s="856"/>
      <c r="K36" s="856"/>
      <c r="L36" s="856"/>
      <c r="M36" s="856"/>
      <c r="N36" s="856"/>
      <c r="O36" s="856"/>
      <c r="P36" s="856"/>
      <c r="Q36" s="856"/>
      <c r="R36" s="856"/>
      <c r="S36" s="856"/>
      <c r="T36" s="856"/>
      <c r="U36" s="856"/>
      <c r="V36" s="856"/>
      <c r="W36" s="856"/>
      <c r="X36" s="856"/>
      <c r="Y36" s="856"/>
      <c r="Z36" s="856"/>
      <c r="AA36" s="856"/>
      <c r="AB36" s="856"/>
      <c r="AC36" s="856"/>
      <c r="AD36" s="856"/>
      <c r="AE36" s="856"/>
      <c r="AF36" s="856"/>
      <c r="AG36" s="856"/>
      <c r="AH36" s="856"/>
      <c r="AI36" s="856"/>
      <c r="AJ36" s="856"/>
      <c r="AK36" s="856"/>
      <c r="AL36" s="856"/>
      <c r="AM36" s="856"/>
      <c r="AN36" s="856"/>
      <c r="AO36" s="856"/>
      <c r="AP36" s="856"/>
      <c r="AQ36" s="856"/>
      <c r="AR36" s="856"/>
      <c r="AS36" s="856"/>
      <c r="AT36" s="856"/>
      <c r="AU36" s="856"/>
      <c r="AV36" s="856"/>
      <c r="AW36" s="856"/>
      <c r="AX36" s="856"/>
      <c r="AY36" s="856"/>
      <c r="AZ36" s="856"/>
      <c r="BA36" s="856"/>
      <c r="BB36" s="856"/>
      <c r="BC36" s="856"/>
      <c r="BD36" s="856"/>
      <c r="BE36" s="856"/>
      <c r="BF36" s="856"/>
      <c r="BG36" s="856"/>
      <c r="BH36" s="856"/>
      <c r="BI36" s="856"/>
      <c r="BJ36" s="856"/>
      <c r="BK36" s="856"/>
      <c r="BL36" s="856"/>
      <c r="BM36" s="856"/>
      <c r="BN36" s="856"/>
      <c r="BO36" s="856"/>
      <c r="BP36" s="856"/>
      <c r="BQ36" s="856"/>
      <c r="BR36" s="856"/>
      <c r="BS36" s="856"/>
      <c r="BT36" s="856"/>
      <c r="BU36" s="856"/>
      <c r="BV36" s="856"/>
      <c r="BW36" s="856"/>
      <c r="BX36" s="856"/>
      <c r="BY36" s="856"/>
      <c r="BZ36" s="856"/>
      <c r="CA36" s="856"/>
      <c r="CB36" s="856"/>
    </row>
    <row r="37" spans="1:80" x14ac:dyDescent="0.2">
      <c r="A37" s="11"/>
      <c r="B37" s="11"/>
      <c r="C37" s="856"/>
      <c r="D37" s="856"/>
      <c r="E37" s="856"/>
      <c r="F37" s="856"/>
      <c r="G37" s="856"/>
      <c r="H37" s="856"/>
      <c r="I37" s="856"/>
      <c r="J37" s="856"/>
      <c r="K37" s="856"/>
      <c r="L37" s="856"/>
      <c r="M37" s="856"/>
      <c r="N37" s="856"/>
      <c r="O37" s="856"/>
      <c r="P37" s="856"/>
      <c r="Q37" s="856"/>
      <c r="R37" s="856"/>
      <c r="S37" s="856"/>
      <c r="T37" s="856"/>
      <c r="U37" s="856"/>
      <c r="V37" s="856"/>
      <c r="W37" s="856"/>
      <c r="X37" s="856"/>
      <c r="Y37" s="856"/>
      <c r="Z37" s="856"/>
      <c r="AA37" s="856"/>
      <c r="AB37" s="856"/>
      <c r="AC37" s="856"/>
      <c r="AD37" s="856"/>
      <c r="AE37" s="856"/>
      <c r="AF37" s="856"/>
      <c r="AG37" s="856"/>
      <c r="AH37" s="856"/>
      <c r="AI37" s="856"/>
      <c r="AJ37" s="856"/>
      <c r="AK37" s="856"/>
      <c r="AL37" s="856"/>
      <c r="AM37" s="856"/>
      <c r="AN37" s="856"/>
      <c r="AO37" s="856"/>
      <c r="AP37" s="856"/>
      <c r="AQ37" s="856"/>
      <c r="AR37" s="856"/>
      <c r="AS37" s="856"/>
      <c r="AT37" s="856"/>
      <c r="AU37" s="856"/>
      <c r="AV37" s="856"/>
      <c r="AW37" s="856"/>
      <c r="AX37" s="856"/>
      <c r="AY37" s="856"/>
      <c r="AZ37" s="856"/>
      <c r="BA37" s="856"/>
      <c r="BB37" s="856"/>
      <c r="BC37" s="856"/>
      <c r="BD37" s="856"/>
      <c r="BE37" s="856"/>
      <c r="BF37" s="856"/>
      <c r="BG37" s="856"/>
      <c r="BH37" s="856"/>
      <c r="BI37" s="856"/>
      <c r="BJ37" s="856"/>
      <c r="BK37" s="856"/>
      <c r="BL37" s="856"/>
      <c r="BM37" s="856"/>
      <c r="BN37" s="856"/>
      <c r="BO37" s="856"/>
      <c r="BP37" s="856"/>
      <c r="BQ37" s="856"/>
      <c r="BR37" s="856"/>
      <c r="BS37" s="856"/>
      <c r="BT37" s="856"/>
      <c r="BU37" s="856"/>
      <c r="BV37" s="856"/>
      <c r="BW37" s="856"/>
      <c r="BX37" s="856"/>
      <c r="BY37" s="856"/>
      <c r="BZ37" s="856"/>
      <c r="CA37" s="856"/>
      <c r="CB37" s="856"/>
    </row>
    <row r="38" spans="1:80" ht="15.75" customHeight="1" x14ac:dyDescent="0.2">
      <c r="A38" s="11"/>
      <c r="B38" s="11"/>
      <c r="C38" s="856"/>
      <c r="D38" s="856"/>
      <c r="E38" s="856"/>
      <c r="F38" s="856"/>
      <c r="G38" s="856"/>
      <c r="H38" s="856"/>
      <c r="I38" s="856"/>
      <c r="J38" s="856"/>
      <c r="K38" s="856"/>
      <c r="L38" s="856"/>
      <c r="M38" s="856"/>
      <c r="N38" s="856"/>
      <c r="O38" s="856"/>
      <c r="P38" s="856"/>
      <c r="Q38" s="856"/>
      <c r="R38" s="856"/>
      <c r="S38" s="856"/>
      <c r="T38" s="856"/>
      <c r="U38" s="856"/>
      <c r="V38" s="856"/>
      <c r="W38" s="856"/>
      <c r="X38" s="856"/>
      <c r="Y38" s="856"/>
      <c r="Z38" s="856"/>
      <c r="AA38" s="856"/>
      <c r="AB38" s="856"/>
      <c r="AC38" s="856"/>
      <c r="AD38" s="856"/>
      <c r="AE38" s="856"/>
      <c r="AF38" s="856"/>
      <c r="AG38" s="856"/>
      <c r="AH38" s="856"/>
      <c r="AI38" s="856"/>
      <c r="AJ38" s="856"/>
      <c r="AK38" s="856"/>
      <c r="AL38" s="856"/>
      <c r="AM38" s="856"/>
      <c r="AN38" s="856"/>
      <c r="AO38" s="856"/>
      <c r="AP38" s="856"/>
      <c r="AQ38" s="856"/>
      <c r="AR38" s="856"/>
      <c r="AS38" s="856"/>
      <c r="AT38" s="856"/>
      <c r="AU38" s="856"/>
      <c r="AV38" s="856"/>
      <c r="AW38" s="856"/>
      <c r="AX38" s="856"/>
      <c r="AY38" s="856"/>
      <c r="AZ38" s="856"/>
      <c r="BA38" s="856"/>
      <c r="BB38" s="856"/>
      <c r="BC38" s="856"/>
      <c r="BD38" s="856"/>
      <c r="BE38" s="856"/>
      <c r="BF38" s="856"/>
      <c r="BG38" s="856"/>
      <c r="BH38" s="856"/>
      <c r="BI38" s="856"/>
      <c r="BJ38" s="856"/>
      <c r="BK38" s="856"/>
      <c r="BL38" s="856"/>
      <c r="BM38" s="856"/>
      <c r="BN38" s="856"/>
      <c r="BO38" s="856"/>
      <c r="BP38" s="856"/>
      <c r="BQ38" s="856"/>
      <c r="BR38" s="856"/>
      <c r="BS38" s="856"/>
      <c r="BT38" s="856"/>
      <c r="BU38" s="856"/>
      <c r="BV38" s="856"/>
      <c r="BW38" s="856"/>
      <c r="BX38" s="856"/>
      <c r="BY38" s="856"/>
      <c r="BZ38" s="856"/>
      <c r="CA38" s="856"/>
      <c r="CB38" s="856"/>
    </row>
    <row r="39" spans="1:80" x14ac:dyDescent="0.2">
      <c r="A39" s="11" t="s">
        <v>41</v>
      </c>
      <c r="B39" s="11"/>
      <c r="C39" s="11" t="s">
        <v>206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928">
        <v>2</v>
      </c>
      <c r="V39" s="928"/>
      <c r="W39" s="928"/>
      <c r="X39" s="928"/>
      <c r="Y39" s="928"/>
      <c r="Z39" s="928"/>
      <c r="AA39" s="928"/>
      <c r="AB39" s="928"/>
      <c r="AC39" s="928"/>
      <c r="AD39" s="928"/>
      <c r="AE39" s="928"/>
      <c r="AF39" s="11"/>
      <c r="AG39" s="11" t="s">
        <v>207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</row>
    <row r="40" spans="1:80" x14ac:dyDescent="0.2">
      <c r="A40" s="11"/>
      <c r="B40" s="11"/>
      <c r="C40" s="11" t="s">
        <v>208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347"/>
      <c r="V40" s="347"/>
      <c r="W40" s="347"/>
      <c r="X40" s="347"/>
      <c r="Y40" s="347"/>
      <c r="Z40" s="347"/>
      <c r="AA40" s="347"/>
      <c r="AB40" s="347"/>
      <c r="AC40" s="347"/>
      <c r="AD40" s="347"/>
      <c r="AE40" s="347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</row>
    <row r="41" spans="1:80" x14ac:dyDescent="0.2">
      <c r="A41" s="11" t="s">
        <v>42</v>
      </c>
      <c r="B41" s="11"/>
      <c r="C41" s="11" t="s">
        <v>209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841" t="s">
        <v>351</v>
      </c>
      <c r="AJ41" s="841"/>
      <c r="AK41" s="841"/>
      <c r="AL41" s="841"/>
      <c r="AM41" s="841"/>
      <c r="AN41" s="841"/>
      <c r="AO41" s="841"/>
      <c r="AP41" s="841"/>
      <c r="AQ41" s="841"/>
      <c r="AR41" s="841"/>
      <c r="AS41" s="841"/>
      <c r="AT41" s="841"/>
      <c r="AU41" s="841"/>
      <c r="AV41" s="841"/>
      <c r="AW41" s="841"/>
      <c r="AX41" s="11" t="s">
        <v>210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</row>
    <row r="42" spans="1:80" s="23" customFormat="1" ht="9" x14ac:dyDescent="0.2">
      <c r="AI42" s="995" t="s">
        <v>212</v>
      </c>
      <c r="AJ42" s="995"/>
      <c r="AK42" s="995"/>
      <c r="AL42" s="995"/>
      <c r="AM42" s="995"/>
      <c r="AN42" s="995"/>
      <c r="AO42" s="995"/>
      <c r="AP42" s="995"/>
      <c r="AQ42" s="995"/>
      <c r="AR42" s="995"/>
      <c r="AS42" s="995"/>
      <c r="AT42" s="995"/>
      <c r="AU42" s="995"/>
      <c r="AV42" s="995"/>
      <c r="AW42" s="995"/>
    </row>
    <row r="43" spans="1:80" s="11" customFormat="1" ht="11.25" x14ac:dyDescent="0.2">
      <c r="C43" s="11" t="s">
        <v>211</v>
      </c>
      <c r="AE43" s="855" t="s">
        <v>101</v>
      </c>
      <c r="AF43" s="855"/>
      <c r="AG43" s="855"/>
      <c r="AH43" s="855"/>
      <c r="AI43" s="855"/>
      <c r="AJ43" s="855"/>
      <c r="AK43" s="855"/>
      <c r="AL43" s="855"/>
      <c r="AM43" s="855"/>
      <c r="AN43" s="855"/>
      <c r="AO43" s="855"/>
      <c r="AP43" s="855"/>
      <c r="AQ43" s="855"/>
      <c r="AR43" s="855"/>
      <c r="AS43" s="855"/>
      <c r="AT43" s="855"/>
      <c r="AU43" s="855"/>
      <c r="AV43" s="855"/>
      <c r="AW43" s="855"/>
      <c r="AX43" s="855"/>
      <c r="AY43" s="855"/>
      <c r="AZ43" s="855"/>
      <c r="BA43" s="855"/>
      <c r="BB43" s="855"/>
      <c r="BC43" s="855"/>
      <c r="BD43" s="855"/>
      <c r="BE43" s="855"/>
      <c r="BF43" s="855"/>
      <c r="BG43" s="855"/>
      <c r="BH43" s="855"/>
      <c r="BI43" s="855"/>
      <c r="BJ43" s="855"/>
      <c r="BK43" s="855"/>
      <c r="BL43" s="855"/>
      <c r="BM43" s="855"/>
      <c r="BN43" s="855"/>
      <c r="BO43" s="855"/>
      <c r="BP43" s="855"/>
      <c r="BQ43" s="855"/>
      <c r="BR43" s="855"/>
      <c r="BS43" s="855"/>
      <c r="BT43" s="855"/>
      <c r="BU43" s="855"/>
      <c r="BV43" s="855"/>
      <c r="BW43" s="855"/>
      <c r="BX43" s="855"/>
      <c r="BY43" s="855"/>
      <c r="BZ43" s="855"/>
      <c r="CA43" s="855"/>
      <c r="CB43" s="855"/>
    </row>
    <row r="44" spans="1:80" s="5" customFormat="1" ht="8.25" x14ac:dyDescent="0.15">
      <c r="AE44" s="858" t="s">
        <v>213</v>
      </c>
      <c r="AF44" s="858"/>
      <c r="AG44" s="858"/>
      <c r="AH44" s="858"/>
      <c r="AI44" s="858"/>
      <c r="AJ44" s="858"/>
      <c r="AK44" s="858"/>
      <c r="AL44" s="858"/>
      <c r="AM44" s="858"/>
      <c r="AN44" s="858"/>
      <c r="AO44" s="858"/>
      <c r="AP44" s="858"/>
      <c r="AQ44" s="858"/>
      <c r="AR44" s="858"/>
      <c r="AS44" s="858"/>
      <c r="AT44" s="858"/>
      <c r="AU44" s="858"/>
      <c r="AV44" s="858"/>
      <c r="AW44" s="858"/>
      <c r="AX44" s="858"/>
      <c r="AY44" s="858"/>
      <c r="AZ44" s="858"/>
      <c r="BA44" s="858"/>
      <c r="BB44" s="858"/>
      <c r="BC44" s="858"/>
      <c r="BD44" s="858"/>
      <c r="BE44" s="858"/>
      <c r="BF44" s="858"/>
      <c r="BG44" s="858"/>
      <c r="BH44" s="858"/>
      <c r="BI44" s="858"/>
      <c r="BJ44" s="858"/>
      <c r="BK44" s="858"/>
      <c r="BL44" s="858"/>
      <c r="BM44" s="858"/>
      <c r="BN44" s="858"/>
      <c r="BO44" s="858"/>
      <c r="BP44" s="858"/>
      <c r="BQ44" s="858"/>
      <c r="BR44" s="858"/>
      <c r="BS44" s="858"/>
      <c r="BT44" s="858"/>
      <c r="BU44" s="858"/>
      <c r="BV44" s="858"/>
      <c r="BW44" s="858"/>
      <c r="BX44" s="858"/>
      <c r="BY44" s="858"/>
      <c r="BZ44" s="858"/>
      <c r="CA44" s="858"/>
      <c r="CB44" s="858"/>
    </row>
    <row r="45" spans="1:80" x14ac:dyDescent="0.2">
      <c r="C45" s="857"/>
      <c r="D45" s="857"/>
      <c r="E45" s="857"/>
      <c r="F45" s="857"/>
      <c r="G45" s="857"/>
      <c r="H45" s="857"/>
      <c r="I45" s="857"/>
      <c r="J45" s="857"/>
      <c r="K45" s="857"/>
      <c r="L45" s="857"/>
      <c r="M45" s="857"/>
      <c r="N45" s="857"/>
      <c r="O45" s="857"/>
      <c r="P45" s="857"/>
      <c r="Q45" s="857"/>
      <c r="R45" s="857"/>
      <c r="S45" s="857"/>
      <c r="T45" s="857"/>
      <c r="U45" s="857"/>
      <c r="V45" s="857"/>
      <c r="W45" s="857"/>
      <c r="X45" s="857"/>
      <c r="Y45" s="857"/>
      <c r="Z45" s="857"/>
      <c r="AA45" s="857"/>
      <c r="AB45" s="857"/>
      <c r="AC45" s="857"/>
      <c r="AD45" s="857"/>
      <c r="AE45" s="857"/>
      <c r="AF45" s="857"/>
      <c r="AG45" s="857"/>
      <c r="AH45" s="857"/>
      <c r="AI45" s="857"/>
      <c r="AJ45" s="857"/>
      <c r="AK45" s="857"/>
      <c r="AL45" s="857"/>
      <c r="AM45" s="857"/>
      <c r="AN45" s="857"/>
      <c r="AO45" s="857"/>
      <c r="AP45" s="857"/>
      <c r="AQ45" s="857"/>
      <c r="AR45" s="857"/>
      <c r="AS45" s="857"/>
      <c r="AT45" s="857"/>
      <c r="AU45" s="857"/>
      <c r="AV45" s="857"/>
      <c r="AW45" s="857"/>
      <c r="AX45" s="857"/>
      <c r="AY45" s="857"/>
      <c r="AZ45" s="857"/>
      <c r="BA45" s="857"/>
      <c r="BB45" s="857"/>
      <c r="BC45" s="857"/>
      <c r="BD45" s="857"/>
      <c r="BE45" s="857"/>
      <c r="BF45" s="857"/>
      <c r="BG45" s="857"/>
      <c r="BH45" s="857"/>
      <c r="BI45" s="857"/>
      <c r="BJ45" s="857"/>
      <c r="BK45" s="857"/>
      <c r="BL45" s="857"/>
      <c r="BM45" s="857"/>
      <c r="BN45" s="857"/>
      <c r="BO45" s="857"/>
      <c r="BP45" s="857"/>
      <c r="BQ45" s="857"/>
      <c r="BR45" s="857"/>
      <c r="BS45" s="857"/>
      <c r="BT45" s="857"/>
      <c r="BU45" s="857"/>
      <c r="BV45" s="857"/>
      <c r="BW45" s="857"/>
      <c r="BX45" s="857"/>
      <c r="BY45" s="857"/>
      <c r="BZ45" s="857"/>
      <c r="CA45" s="857"/>
      <c r="CB45" s="857"/>
    </row>
    <row r="46" spans="1:80" s="11" customFormat="1" ht="11.25" x14ac:dyDescent="0.2">
      <c r="C46" s="11" t="s">
        <v>214</v>
      </c>
      <c r="BQ46" s="69"/>
      <c r="BR46" s="896"/>
      <c r="BS46" s="896"/>
      <c r="BT46" s="896"/>
      <c r="BU46" s="896"/>
      <c r="BV46" s="896"/>
      <c r="BW46" s="896"/>
      <c r="BX46" s="896"/>
      <c r="BY46" s="896"/>
      <c r="BZ46" s="896"/>
      <c r="CA46" s="896"/>
      <c r="CB46" s="896"/>
    </row>
    <row r="47" spans="1:80" s="11" customFormat="1" ht="11.25" x14ac:dyDescent="0.2">
      <c r="C47" s="841" t="s">
        <v>343</v>
      </c>
      <c r="D47" s="841"/>
      <c r="E47" s="841"/>
      <c r="F47" s="841"/>
      <c r="G47" s="841"/>
      <c r="H47" s="841"/>
      <c r="I47" s="841"/>
      <c r="J47" s="841"/>
      <c r="K47" s="841"/>
      <c r="L47" s="841"/>
      <c r="M47" s="841"/>
      <c r="N47" s="841"/>
      <c r="O47" s="841"/>
      <c r="P47" s="841"/>
      <c r="Q47" s="841"/>
      <c r="R47" s="841"/>
      <c r="S47" s="841"/>
      <c r="T47" s="841"/>
      <c r="U47" s="841"/>
      <c r="V47" s="841"/>
      <c r="W47" s="841"/>
      <c r="X47" s="841"/>
      <c r="Y47" s="841"/>
      <c r="Z47" s="841"/>
      <c r="AA47" s="841"/>
      <c r="AB47" s="841"/>
      <c r="AC47" s="841"/>
      <c r="AD47" s="841"/>
      <c r="AE47" s="841"/>
      <c r="AF47" s="841"/>
      <c r="AG47" s="841"/>
      <c r="AH47" s="841"/>
      <c r="AI47" s="841"/>
      <c r="AJ47" s="841"/>
      <c r="AK47" s="841"/>
      <c r="AL47" s="841"/>
      <c r="AM47" s="841"/>
      <c r="AN47" s="841"/>
      <c r="AO47" s="841"/>
      <c r="AP47" s="841"/>
      <c r="AQ47" s="841"/>
      <c r="AR47" s="841"/>
      <c r="AS47" s="841"/>
      <c r="AT47" s="841"/>
      <c r="AU47" s="841"/>
      <c r="AV47" s="841"/>
      <c r="AW47" s="841"/>
      <c r="AX47" s="841"/>
      <c r="AY47" s="841"/>
      <c r="AZ47" s="841"/>
      <c r="BA47" s="841"/>
      <c r="BB47" s="841"/>
      <c r="BC47" s="841"/>
      <c r="BD47" s="841"/>
      <c r="BE47" s="841"/>
      <c r="BF47" s="841"/>
      <c r="BG47" s="841"/>
      <c r="BH47" s="841"/>
      <c r="BI47" s="841"/>
      <c r="BJ47" s="841"/>
      <c r="BK47" s="841"/>
      <c r="BL47" s="841"/>
      <c r="BM47" s="841"/>
      <c r="BN47" s="841"/>
      <c r="BO47" s="841"/>
      <c r="BP47" s="841"/>
      <c r="BQ47" s="841"/>
      <c r="BR47" s="841"/>
      <c r="BS47" s="841"/>
      <c r="BT47" s="841"/>
      <c r="BU47" s="841"/>
      <c r="BV47" s="841"/>
      <c r="BW47" s="841"/>
      <c r="BX47" s="841"/>
      <c r="BY47" s="841"/>
      <c r="BZ47" s="841"/>
      <c r="CA47" s="841"/>
      <c r="CB47" s="841"/>
    </row>
    <row r="48" spans="1:80" s="5" customFormat="1" ht="8.25" x14ac:dyDescent="0.15">
      <c r="C48" s="858" t="s">
        <v>215</v>
      </c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O48" s="858"/>
      <c r="P48" s="858"/>
      <c r="Q48" s="858"/>
      <c r="R48" s="858"/>
      <c r="S48" s="858"/>
      <c r="T48" s="858"/>
      <c r="U48" s="858"/>
      <c r="V48" s="858"/>
      <c r="W48" s="858"/>
      <c r="X48" s="858"/>
      <c r="Y48" s="858"/>
      <c r="Z48" s="858"/>
      <c r="AA48" s="858"/>
      <c r="AB48" s="858"/>
      <c r="AC48" s="858"/>
      <c r="AD48" s="858"/>
      <c r="AE48" s="858"/>
      <c r="AF48" s="858"/>
      <c r="AG48" s="858"/>
      <c r="AH48" s="858"/>
      <c r="AI48" s="858"/>
      <c r="AJ48" s="858"/>
      <c r="AK48" s="858"/>
      <c r="AL48" s="858"/>
      <c r="AM48" s="858"/>
      <c r="AN48" s="858"/>
      <c r="AO48" s="858"/>
      <c r="AP48" s="858"/>
      <c r="AQ48" s="858"/>
      <c r="AR48" s="858"/>
      <c r="AS48" s="858"/>
      <c r="AT48" s="858"/>
      <c r="AU48" s="858"/>
      <c r="AV48" s="858"/>
      <c r="AW48" s="858"/>
      <c r="AX48" s="858"/>
      <c r="AY48" s="858"/>
      <c r="AZ48" s="858"/>
      <c r="BA48" s="858"/>
      <c r="BB48" s="858"/>
      <c r="BC48" s="858"/>
      <c r="BD48" s="858"/>
      <c r="BE48" s="858"/>
      <c r="BF48" s="858"/>
      <c r="BG48" s="858"/>
      <c r="BH48" s="858"/>
      <c r="BI48" s="858"/>
      <c r="BJ48" s="858"/>
      <c r="BK48" s="858"/>
      <c r="BL48" s="858"/>
      <c r="BM48" s="858"/>
      <c r="BN48" s="858"/>
      <c r="BO48" s="858"/>
      <c r="BP48" s="858"/>
      <c r="BQ48" s="858"/>
      <c r="BR48" s="858"/>
      <c r="BS48" s="858"/>
      <c r="BT48" s="858"/>
      <c r="BU48" s="858"/>
      <c r="BV48" s="858"/>
      <c r="BW48" s="858"/>
      <c r="BX48" s="858"/>
      <c r="BY48" s="858"/>
      <c r="BZ48" s="858"/>
      <c r="CA48" s="858"/>
      <c r="CB48" s="858"/>
    </row>
    <row r="49" spans="1:80" x14ac:dyDescent="0.2">
      <c r="A49" s="11" t="s">
        <v>47</v>
      </c>
      <c r="B49" s="11"/>
      <c r="C49" s="11" t="s">
        <v>216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</row>
    <row r="50" spans="1:80" x14ac:dyDescent="0.2">
      <c r="A50" s="11" t="s">
        <v>50</v>
      </c>
      <c r="B50" s="11"/>
      <c r="C50" s="11" t="s">
        <v>217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855" t="s">
        <v>101</v>
      </c>
      <c r="AI50" s="855"/>
      <c r="AJ50" s="855"/>
      <c r="AK50" s="855"/>
      <c r="AL50" s="855"/>
      <c r="AM50" s="855"/>
      <c r="AN50" s="855"/>
      <c r="AO50" s="855"/>
      <c r="AP50" s="855"/>
      <c r="AQ50" s="855"/>
      <c r="AR50" s="855"/>
      <c r="AS50" s="855"/>
      <c r="AT50" s="855"/>
      <c r="AU50" s="855"/>
      <c r="AV50" s="855"/>
      <c r="AW50" s="855"/>
      <c r="AX50" s="855"/>
      <c r="AY50" s="855"/>
      <c r="AZ50" s="855"/>
      <c r="BA50" s="855"/>
      <c r="BB50" s="855"/>
      <c r="BC50" s="855"/>
      <c r="BD50" s="855"/>
      <c r="BE50" s="855"/>
      <c r="BF50" s="855"/>
      <c r="BG50" s="855"/>
      <c r="BH50" s="855"/>
      <c r="BI50" s="855"/>
      <c r="BJ50" s="855"/>
      <c r="BK50" s="855"/>
      <c r="BL50" s="855"/>
      <c r="BM50" s="855"/>
      <c r="BN50" s="855"/>
      <c r="BO50" s="855"/>
      <c r="BP50" s="855"/>
      <c r="BQ50" s="855"/>
      <c r="BR50" s="855"/>
      <c r="BS50" s="855"/>
      <c r="BT50" s="855"/>
      <c r="BU50" s="855"/>
      <c r="BV50" s="855"/>
      <c r="BW50" s="855"/>
      <c r="BX50" s="855"/>
      <c r="BY50" s="855"/>
      <c r="BZ50" s="855"/>
      <c r="CA50" s="855"/>
      <c r="CB50" s="855"/>
    </row>
    <row r="51" spans="1:80" x14ac:dyDescent="0.2">
      <c r="A51" s="11"/>
      <c r="B51" s="11"/>
      <c r="C51" s="855"/>
      <c r="D51" s="855"/>
      <c r="E51" s="855"/>
      <c r="F51" s="855"/>
      <c r="G51" s="855"/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/>
      <c r="U51" s="855"/>
      <c r="V51" s="855"/>
      <c r="W51" s="855"/>
      <c r="X51" s="855"/>
      <c r="Y51" s="855"/>
      <c r="Z51" s="855"/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  <c r="AV51" s="855"/>
      <c r="AW51" s="855"/>
      <c r="AX51" s="855"/>
      <c r="AY51" s="855"/>
      <c r="AZ51" s="855"/>
      <c r="BA51" s="855"/>
      <c r="BB51" s="855"/>
      <c r="BC51" s="855"/>
      <c r="BD51" s="855"/>
      <c r="BE51" s="855"/>
      <c r="BF51" s="855"/>
      <c r="BG51" s="855"/>
      <c r="BH51" s="855"/>
      <c r="BI51" s="855"/>
      <c r="BJ51" s="855"/>
      <c r="BK51" s="855"/>
      <c r="BL51" s="855"/>
      <c r="BM51" s="855"/>
      <c r="BN51" s="855"/>
      <c r="BO51" s="855"/>
      <c r="BP51" s="855"/>
      <c r="BQ51" s="855"/>
      <c r="BR51" s="855"/>
      <c r="BS51" s="855"/>
      <c r="BT51" s="855"/>
      <c r="BU51" s="855"/>
      <c r="BV51" s="855"/>
      <c r="BW51" s="855"/>
      <c r="BX51" s="855"/>
      <c r="BY51" s="855"/>
      <c r="BZ51" s="855"/>
      <c r="CA51" s="855"/>
      <c r="CB51" s="855"/>
    </row>
    <row r="52" spans="1:80" ht="3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</row>
    <row r="53" spans="1:80" x14ac:dyDescent="0.2">
      <c r="A53" s="57" t="s">
        <v>53</v>
      </c>
      <c r="B53" s="57"/>
      <c r="C53" s="57"/>
      <c r="D53" s="57"/>
      <c r="E53" s="57"/>
      <c r="F53" s="57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</row>
    <row r="54" spans="1:80" x14ac:dyDescent="0.2">
      <c r="A54" s="11"/>
      <c r="B54" s="11"/>
      <c r="C54" s="11" t="s">
        <v>218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</row>
    <row r="55" spans="1:80" ht="5.2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</row>
    <row r="56" spans="1:80" ht="3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7" spans="1:80" x14ac:dyDescent="0.2">
      <c r="A57" s="11"/>
      <c r="B57" s="11"/>
      <c r="C57" s="11"/>
      <c r="D57" s="45" t="s">
        <v>344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AZ57" s="11"/>
      <c r="BA57" s="11"/>
      <c r="BB57" s="11"/>
      <c r="BC57" s="831" t="str">
        <f>IF('Данные объект'!B42="","",'Данные объект'!B42)</f>
      </c>
      <c r="BD57" s="831"/>
      <c r="BE57" s="831"/>
      <c r="BF57" s="831"/>
      <c r="BG57" s="831"/>
      <c r="BH57" s="831"/>
      <c r="BI57" s="831"/>
      <c r="BJ57" s="831"/>
      <c r="BK57" s="831"/>
      <c r="BL57" s="831"/>
      <c r="BM57" s="831"/>
      <c r="BN57" s="831"/>
      <c r="BO57" s="831"/>
      <c r="BP57" s="831"/>
      <c r="BQ57" s="83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</row>
    <row r="58" spans="1:80" s="5" customFormat="1" ht="9.75" x14ac:dyDescent="0.2">
      <c r="C58" s="20"/>
      <c r="E58" s="21"/>
      <c r="F58" s="21"/>
      <c r="G58" s="20"/>
      <c r="H58" s="20"/>
      <c r="I58" s="20"/>
      <c r="J58" s="20"/>
      <c r="K58" s="20"/>
      <c r="L58" s="20"/>
      <c r="M58" s="20"/>
      <c r="AM58" s="858" t="s">
        <v>2</v>
      </c>
      <c r="AN58" s="858"/>
      <c r="AO58" s="858"/>
      <c r="AP58" s="858"/>
      <c r="AQ58" s="858"/>
      <c r="AR58" s="858"/>
      <c r="AS58" s="858"/>
      <c r="AT58" s="858"/>
      <c r="AU58" s="858"/>
      <c r="AV58" s="858"/>
      <c r="AW58" s="858"/>
      <c r="AX58" s="858"/>
      <c r="AY58" s="858"/>
    </row>
    <row r="59" spans="1:80" s="5" customFormat="1" ht="6.75" customHeight="1" x14ac:dyDescent="0.2">
      <c r="C59" s="20"/>
      <c r="D59" s="21"/>
      <c r="E59" s="21"/>
      <c r="F59" s="21"/>
      <c r="G59" s="20"/>
      <c r="H59" s="20"/>
      <c r="I59" s="20"/>
      <c r="J59" s="20"/>
      <c r="K59" s="20"/>
      <c r="L59" s="20"/>
      <c r="M59" s="20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</row>
    <row r="60" spans="1:80" ht="13.5" outlineLevel="1" x14ac:dyDescent="0.25">
      <c r="C60" s="3"/>
      <c r="D60" s="10"/>
      <c r="E60" s="10"/>
      <c r="F60" s="10"/>
      <c r="G60" s="3"/>
      <c r="H60" s="3"/>
      <c r="I60" s="3"/>
      <c r="J60" s="3"/>
      <c r="K60" s="3"/>
      <c r="L60" s="3"/>
      <c r="M60" s="3"/>
      <c r="AM60" s="857"/>
      <c r="AN60" s="857"/>
      <c r="AO60" s="857"/>
      <c r="AP60" s="857"/>
      <c r="AQ60" s="857"/>
      <c r="AR60" s="857"/>
      <c r="AS60" s="857"/>
      <c r="AT60" s="857"/>
      <c r="AU60" s="857"/>
      <c r="AV60" s="857"/>
      <c r="AW60" s="857"/>
      <c r="AX60" s="857"/>
      <c r="AY60" s="857"/>
      <c r="BC60" s="831" t="str">
        <f>IF('Данные объект'!B47="","",'Данные объект'!B47)</f>
      </c>
      <c r="BD60" s="831"/>
      <c r="BE60" s="831"/>
      <c r="BF60" s="831"/>
      <c r="BG60" s="831"/>
      <c r="BH60" s="831"/>
      <c r="BI60" s="831"/>
      <c r="BJ60" s="831"/>
      <c r="BK60" s="831"/>
      <c r="BL60" s="831"/>
      <c r="BM60" s="831"/>
      <c r="BN60" s="831"/>
      <c r="BO60" s="831"/>
      <c r="BP60" s="831"/>
      <c r="BQ60" s="831"/>
    </row>
    <row r="61" spans="1:80" s="5" customFormat="1" ht="9.75" outlineLevel="1" x14ac:dyDescent="0.2">
      <c r="C61" s="20"/>
      <c r="E61" s="21"/>
      <c r="F61" s="21"/>
      <c r="G61" s="20"/>
      <c r="H61" s="20"/>
      <c r="I61" s="20"/>
      <c r="J61" s="20"/>
      <c r="K61" s="20"/>
      <c r="L61" s="20"/>
      <c r="M61" s="20"/>
      <c r="AM61" s="858" t="s">
        <v>2</v>
      </c>
      <c r="AN61" s="858"/>
      <c r="AO61" s="858"/>
      <c r="AP61" s="858"/>
      <c r="AQ61" s="858"/>
      <c r="AR61" s="858"/>
      <c r="AS61" s="858"/>
      <c r="AT61" s="858"/>
      <c r="AU61" s="858"/>
      <c r="AV61" s="858"/>
      <c r="AW61" s="858"/>
      <c r="AX61" s="858"/>
      <c r="AY61" s="858"/>
    </row>
    <row r="62" spans="1:80" s="5" customFormat="1" outlineLevel="1" x14ac:dyDescent="0.2">
      <c r="C62" s="20"/>
      <c r="D62" s="21"/>
      <c r="E62" s="21"/>
      <c r="F62" s="21"/>
      <c r="G62" s="20"/>
      <c r="H62" s="20"/>
      <c r="I62" s="20"/>
      <c r="J62" s="20"/>
      <c r="K62" s="20"/>
      <c r="L62" s="20"/>
      <c r="M62" s="20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</row>
    <row r="63" spans="1:80" s="11" customFormat="1" ht="11.25" x14ac:dyDescent="0.2">
      <c r="C63" s="57"/>
      <c r="D63" s="45" t="s">
        <v>61</v>
      </c>
      <c r="E63" s="45"/>
      <c r="F63" s="45"/>
      <c r="G63" s="57"/>
      <c r="H63" s="57"/>
      <c r="I63" s="57"/>
      <c r="J63" s="57"/>
      <c r="K63" s="57"/>
      <c r="L63" s="57"/>
      <c r="M63" s="57"/>
      <c r="AM63" s="855"/>
      <c r="AN63" s="855"/>
      <c r="AO63" s="855"/>
      <c r="AP63" s="855"/>
      <c r="AQ63" s="855"/>
      <c r="AR63" s="855"/>
      <c r="AS63" s="855"/>
      <c r="AT63" s="855"/>
      <c r="AU63" s="855"/>
      <c r="AV63" s="855"/>
      <c r="AW63" s="855"/>
      <c r="AX63" s="855"/>
      <c r="AY63" s="855"/>
      <c r="BC63" s="831" t="str">
        <f>IF('Данные объект'!B28="","",'Данные объект'!B28)</f>
      </c>
      <c r="BD63" s="831"/>
      <c r="BE63" s="831"/>
      <c r="BF63" s="831"/>
      <c r="BG63" s="831"/>
      <c r="BH63" s="831"/>
      <c r="BI63" s="831"/>
      <c r="BJ63" s="831"/>
      <c r="BK63" s="831"/>
      <c r="BL63" s="831"/>
      <c r="BM63" s="831"/>
      <c r="BN63" s="831"/>
      <c r="BO63" s="831"/>
      <c r="BP63" s="831"/>
      <c r="BQ63" s="831"/>
    </row>
    <row r="64" spans="1:80" s="5" customFormat="1" ht="9.75" x14ac:dyDescent="0.2">
      <c r="C64" s="20"/>
      <c r="E64" s="21"/>
      <c r="F64" s="21"/>
      <c r="G64" s="20"/>
      <c r="H64" s="20"/>
      <c r="I64" s="20"/>
      <c r="J64" s="20"/>
      <c r="K64" s="20"/>
      <c r="L64" s="20"/>
      <c r="M64" s="20"/>
      <c r="AM64" s="858" t="s">
        <v>2</v>
      </c>
      <c r="AN64" s="858"/>
      <c r="AO64" s="858"/>
      <c r="AP64" s="858"/>
      <c r="AQ64" s="858"/>
      <c r="AR64" s="858"/>
      <c r="AS64" s="858"/>
      <c r="AT64" s="858"/>
      <c r="AU64" s="858"/>
      <c r="AV64" s="858"/>
      <c r="AW64" s="858"/>
      <c r="AX64" s="858"/>
      <c r="AY64" s="858"/>
    </row>
  </sheetData>
  <mergeCells count="50">
    <mergeCell ref="A5:AI5"/>
    <mergeCell ref="AR5:BZ5"/>
    <mergeCell ref="A11:AI11"/>
    <mergeCell ref="A10:AI10"/>
    <mergeCell ref="AR6:BZ9"/>
    <mergeCell ref="A8:AI9"/>
    <mergeCell ref="AR10:BZ10"/>
    <mergeCell ref="AR11:BZ11"/>
    <mergeCell ref="A2:AI2"/>
    <mergeCell ref="A3:AI3"/>
    <mergeCell ref="AR1:BZ2"/>
    <mergeCell ref="AR3:BZ3"/>
    <mergeCell ref="A4:AI4"/>
    <mergeCell ref="AR4:BZ4"/>
    <mergeCell ref="A15:CB15"/>
    <mergeCell ref="A21:CB21"/>
    <mergeCell ref="A22:CB22"/>
    <mergeCell ref="A24:CB24"/>
    <mergeCell ref="A25:CB25"/>
    <mergeCell ref="A16:CB16"/>
    <mergeCell ref="AE33:CB33"/>
    <mergeCell ref="C34:CB34"/>
    <mergeCell ref="AT35:BO35"/>
    <mergeCell ref="A27:CB27"/>
    <mergeCell ref="A28:CB28"/>
    <mergeCell ref="AD29:BO29"/>
    <mergeCell ref="AD30:BO30"/>
    <mergeCell ref="AE32:CB32"/>
    <mergeCell ref="C45:CB45"/>
    <mergeCell ref="BR46:CB46"/>
    <mergeCell ref="C36:CB38"/>
    <mergeCell ref="U39:AE39"/>
    <mergeCell ref="AI41:AW41"/>
    <mergeCell ref="AI42:AW42"/>
    <mergeCell ref="AR12:BZ12"/>
    <mergeCell ref="AM64:AY64"/>
    <mergeCell ref="AH50:CB50"/>
    <mergeCell ref="C51:CB51"/>
    <mergeCell ref="AM60:AY60"/>
    <mergeCell ref="BC60:BQ60"/>
    <mergeCell ref="AM61:AY61"/>
    <mergeCell ref="AM63:AY63"/>
    <mergeCell ref="BC63:BQ63"/>
    <mergeCell ref="C47:CB47"/>
    <mergeCell ref="C48:CB48"/>
    <mergeCell ref="AM57:AY57"/>
    <mergeCell ref="BC57:BQ57"/>
    <mergeCell ref="AM58:AY58"/>
    <mergeCell ref="AE43:CB43"/>
    <mergeCell ref="AE44:CB44"/>
  </mergeCells>
  <dataValidations count="1">
    <dataValidation type="list" allowBlank="1" showInputMessage="1" showErrorMessage="1" sqref="AD29:BO29" xr:uid="{00000000-0002-0000-1600-000000000000}">
      <formula1>$A$18:$B$18</formula1>
    </dataValidation>
  </dataValidations>
  <pageMargins left="0.45833333333333331" right="0.19685039370078741" top="0.39370078740157483" bottom="0.39370078740157483" header="0.11811023622047245" footer="0.1181102362204724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1000000}">
          <x14:formula1>
            <xm:f>'КЛ-1'!$K$30:$L$30</xm:f>
          </x14:formula1>
          <xm:sqref>AI40:AW40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CB29"/>
  <sheetViews>
    <sheetView view="pageBreakPreview" zoomScaleNormal="100" zoomScaleSheetLayoutView="100" workbookViewId="0">
      <selection activeCell="DD24" sqref="DD24"/>
    </sheetView>
  </sheetViews>
  <sheetFormatPr defaultColWidth="9.140625" defaultRowHeight="12.75" x14ac:dyDescent="0.2"/>
  <cols>
    <col min="1" max="5" width="1.140625" style="2" customWidth="1"/>
    <col min="6" max="6" width="3.140625" style="2" customWidth="1"/>
    <col min="7" max="17" width="1.140625" style="2" customWidth="1"/>
    <col min="18" max="32" width="1" style="2" customWidth="1"/>
    <col min="33" max="38" width="1.140625" style="2" customWidth="1"/>
    <col min="39" max="48" width="1" style="2" customWidth="1"/>
    <col min="49" max="49" width="1.140625" style="2" customWidth="1"/>
    <col min="50" max="50" width="1.7109375" style="2" customWidth="1"/>
    <col min="51" max="72" width="1.140625" style="2" customWidth="1"/>
    <col min="73" max="73" width="4.42578125" style="2" customWidth="1"/>
    <col min="74" max="172" width="1.140625" style="2" customWidth="1"/>
    <col min="173" max="16384" width="9.140625" style="2"/>
  </cols>
  <sheetData>
    <row r="1" spans="1:80" ht="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9.7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28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13.15" customHeight="1" x14ac:dyDescent="0.25">
      <c r="A8" s="836" t="str">
        <f>IF('Данные объект'!B16="","",'Данные объект'!B16)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13.1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7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5" customFormat="1" ht="8.25" x14ac:dyDescent="0.15"/>
    <row r="16" spans="1:80" x14ac:dyDescent="0.2">
      <c r="A16" s="851" t="s">
        <v>1248</v>
      </c>
      <c r="B16" s="851"/>
      <c r="C16" s="851"/>
      <c r="D16" s="851"/>
      <c r="E16" s="851"/>
      <c r="F16" s="851"/>
      <c r="G16" s="851"/>
      <c r="H16" s="851"/>
      <c r="I16" s="851"/>
      <c r="J16" s="851"/>
      <c r="K16" s="851"/>
      <c r="L16" s="851"/>
      <c r="M16" s="851"/>
      <c r="N16" s="851"/>
      <c r="O16" s="851"/>
      <c r="P16" s="851"/>
      <c r="Q16" s="851"/>
      <c r="R16" s="851"/>
      <c r="S16" s="851"/>
      <c r="T16" s="851"/>
      <c r="U16" s="851"/>
      <c r="V16" s="851"/>
      <c r="W16" s="851"/>
      <c r="X16" s="851"/>
      <c r="Y16" s="851"/>
      <c r="Z16" s="851"/>
      <c r="AA16" s="851"/>
      <c r="AB16" s="851"/>
      <c r="AC16" s="851"/>
      <c r="AD16" s="851"/>
      <c r="AE16" s="851"/>
      <c r="AF16" s="851"/>
      <c r="AG16" s="851"/>
      <c r="AH16" s="851"/>
      <c r="AI16" s="851"/>
      <c r="AJ16" s="851"/>
      <c r="AK16" s="851"/>
      <c r="AL16" s="851"/>
      <c r="AM16" s="851"/>
      <c r="AN16" s="851"/>
      <c r="AO16" s="851"/>
      <c r="AP16" s="851"/>
      <c r="AQ16" s="851"/>
      <c r="AR16" s="851"/>
      <c r="AS16" s="851"/>
      <c r="AT16" s="851"/>
      <c r="AU16" s="851"/>
      <c r="AV16" s="851"/>
      <c r="AW16" s="851"/>
      <c r="AX16" s="851"/>
      <c r="AY16" s="851"/>
      <c r="AZ16" s="851"/>
      <c r="BA16" s="851"/>
      <c r="BB16" s="851"/>
      <c r="BC16" s="851"/>
      <c r="BD16" s="851"/>
      <c r="BE16" s="851"/>
      <c r="BF16" s="851"/>
      <c r="BG16" s="851"/>
      <c r="BH16" s="851"/>
      <c r="BI16" s="851"/>
      <c r="BJ16" s="851"/>
      <c r="BK16" s="851"/>
      <c r="BL16" s="851"/>
      <c r="BM16" s="851"/>
      <c r="BN16" s="851"/>
      <c r="BO16" s="851"/>
      <c r="BP16" s="851"/>
      <c r="BQ16" s="851"/>
      <c r="BR16" s="851"/>
      <c r="BS16" s="851"/>
      <c r="BT16" s="851"/>
      <c r="BU16" s="851"/>
      <c r="BV16" s="851"/>
      <c r="BW16" s="851"/>
      <c r="BX16" s="851"/>
      <c r="BY16" s="851"/>
      <c r="BZ16" s="851"/>
      <c r="CA16" s="851"/>
      <c r="CB16" s="851"/>
    </row>
    <row r="17" spans="1:80" x14ac:dyDescent="0.2">
      <c r="A17" s="851" t="s">
        <v>1249</v>
      </c>
      <c r="B17" s="851"/>
      <c r="C17" s="851"/>
      <c r="D17" s="851"/>
      <c r="E17" s="851"/>
      <c r="F17" s="851"/>
      <c r="G17" s="851"/>
      <c r="H17" s="851"/>
      <c r="I17" s="851"/>
      <c r="J17" s="851"/>
      <c r="K17" s="851"/>
      <c r="L17" s="851"/>
      <c r="M17" s="851"/>
      <c r="N17" s="851"/>
      <c r="O17" s="851"/>
      <c r="P17" s="851"/>
      <c r="Q17" s="851"/>
      <c r="R17" s="851"/>
      <c r="S17" s="851"/>
      <c r="T17" s="851"/>
      <c r="U17" s="851"/>
      <c r="V17" s="851"/>
      <c r="W17" s="851"/>
      <c r="X17" s="851"/>
      <c r="Y17" s="851"/>
      <c r="Z17" s="851"/>
      <c r="AA17" s="851"/>
      <c r="AB17" s="851"/>
      <c r="AC17" s="851"/>
      <c r="AD17" s="851"/>
      <c r="AE17" s="851"/>
      <c r="AF17" s="851"/>
      <c r="AG17" s="851"/>
      <c r="AH17" s="851"/>
      <c r="AI17" s="851"/>
      <c r="AJ17" s="851"/>
      <c r="AK17" s="851"/>
      <c r="AL17" s="851"/>
      <c r="AM17" s="851"/>
      <c r="AN17" s="851"/>
      <c r="AO17" s="851"/>
      <c r="AP17" s="851"/>
      <c r="AQ17" s="851"/>
      <c r="AR17" s="851"/>
      <c r="AS17" s="851"/>
      <c r="AT17" s="851"/>
      <c r="AU17" s="851"/>
      <c r="AV17" s="851"/>
      <c r="AW17" s="851"/>
      <c r="AX17" s="851"/>
      <c r="AY17" s="851"/>
      <c r="AZ17" s="851"/>
      <c r="BA17" s="851"/>
      <c r="BB17" s="851"/>
      <c r="BC17" s="851"/>
      <c r="BD17" s="851"/>
      <c r="BE17" s="851"/>
      <c r="BF17" s="851"/>
      <c r="BG17" s="851"/>
      <c r="BH17" s="851"/>
      <c r="BI17" s="851"/>
      <c r="BJ17" s="851"/>
      <c r="BK17" s="851"/>
      <c r="BL17" s="851"/>
      <c r="BM17" s="851"/>
      <c r="BN17" s="851"/>
      <c r="BO17" s="851"/>
      <c r="BP17" s="851"/>
      <c r="BQ17" s="851"/>
      <c r="BR17" s="851"/>
      <c r="BS17" s="851"/>
      <c r="BT17" s="851"/>
      <c r="BU17" s="851"/>
      <c r="BV17" s="851"/>
      <c r="BW17" s="851"/>
      <c r="BX17" s="851"/>
      <c r="BY17" s="851"/>
      <c r="BZ17" s="851"/>
      <c r="CA17" s="851"/>
      <c r="CB17" s="851"/>
    </row>
    <row r="19" spans="1:80" ht="12.75" customHeight="1" x14ac:dyDescent="0.2">
      <c r="A19" s="999" t="s">
        <v>219</v>
      </c>
      <c r="B19" s="999"/>
      <c r="C19" s="999"/>
      <c r="D19" s="999"/>
      <c r="E19" s="999"/>
      <c r="F19" s="999"/>
      <c r="G19" s="998" t="s">
        <v>220</v>
      </c>
      <c r="H19" s="998"/>
      <c r="I19" s="998"/>
      <c r="J19" s="998"/>
      <c r="K19" s="998"/>
      <c r="L19" s="998"/>
      <c r="M19" s="998"/>
      <c r="N19" s="998"/>
      <c r="O19" s="998"/>
      <c r="P19" s="998"/>
      <c r="Q19" s="998"/>
      <c r="R19" s="827" t="s">
        <v>221</v>
      </c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827" t="s">
        <v>222</v>
      </c>
      <c r="AH19" s="827"/>
      <c r="AI19" s="827"/>
      <c r="AJ19" s="827"/>
      <c r="AK19" s="827"/>
      <c r="AL19" s="827"/>
      <c r="AM19" s="827" t="s">
        <v>223</v>
      </c>
      <c r="AN19" s="827"/>
      <c r="AO19" s="827"/>
      <c r="AP19" s="827"/>
      <c r="AQ19" s="827"/>
      <c r="AR19" s="827"/>
      <c r="AS19" s="827"/>
      <c r="AT19" s="827"/>
      <c r="AU19" s="827"/>
      <c r="AV19" s="827"/>
      <c r="AW19" s="999" t="s">
        <v>224</v>
      </c>
      <c r="AX19" s="999"/>
      <c r="AY19" s="999"/>
      <c r="AZ19" s="999"/>
      <c r="BA19" s="999"/>
      <c r="BB19" s="999"/>
      <c r="BC19" s="827" t="s">
        <v>225</v>
      </c>
      <c r="BD19" s="827"/>
      <c r="BE19" s="827"/>
      <c r="BF19" s="827"/>
      <c r="BG19" s="827"/>
      <c r="BH19" s="827"/>
      <c r="BI19" s="827"/>
      <c r="BJ19" s="827"/>
      <c r="BK19" s="827"/>
      <c r="BL19" s="827" t="s">
        <v>226</v>
      </c>
      <c r="BM19" s="827"/>
      <c r="BN19" s="827"/>
      <c r="BO19" s="827"/>
      <c r="BP19" s="827"/>
      <c r="BQ19" s="827"/>
      <c r="BR19" s="827"/>
      <c r="BS19" s="827"/>
      <c r="BT19" s="827"/>
      <c r="BU19" s="827" t="s">
        <v>339</v>
      </c>
      <c r="BV19" s="827"/>
      <c r="BW19" s="827"/>
      <c r="BX19" s="827"/>
      <c r="BY19" s="827"/>
      <c r="BZ19" s="827"/>
      <c r="CA19" s="827"/>
      <c r="CB19" s="827"/>
    </row>
    <row r="20" spans="1:80" x14ac:dyDescent="0.2">
      <c r="A20" s="999"/>
      <c r="B20" s="999"/>
      <c r="C20" s="999"/>
      <c r="D20" s="999"/>
      <c r="E20" s="999"/>
      <c r="F20" s="999"/>
      <c r="G20" s="998"/>
      <c r="H20" s="998"/>
      <c r="I20" s="998"/>
      <c r="J20" s="998"/>
      <c r="K20" s="998"/>
      <c r="L20" s="998"/>
      <c r="M20" s="998"/>
      <c r="N20" s="998"/>
      <c r="O20" s="998"/>
      <c r="P20" s="998"/>
      <c r="Q20" s="998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827"/>
      <c r="AH20" s="827"/>
      <c r="AI20" s="827"/>
      <c r="AJ20" s="827"/>
      <c r="AK20" s="827"/>
      <c r="AL20" s="827"/>
      <c r="AM20" s="827"/>
      <c r="AN20" s="827"/>
      <c r="AO20" s="827"/>
      <c r="AP20" s="827"/>
      <c r="AQ20" s="827"/>
      <c r="AR20" s="827"/>
      <c r="AS20" s="827"/>
      <c r="AT20" s="827"/>
      <c r="AU20" s="827"/>
      <c r="AV20" s="827"/>
      <c r="AW20" s="999"/>
      <c r="AX20" s="999"/>
      <c r="AY20" s="999"/>
      <c r="AZ20" s="999"/>
      <c r="BA20" s="999"/>
      <c r="BB20" s="999"/>
      <c r="BC20" s="827"/>
      <c r="BD20" s="827"/>
      <c r="BE20" s="827"/>
      <c r="BF20" s="827"/>
      <c r="BG20" s="827"/>
      <c r="BH20" s="827"/>
      <c r="BI20" s="827"/>
      <c r="BJ20" s="827"/>
      <c r="BK20" s="827"/>
      <c r="BL20" s="827"/>
      <c r="BM20" s="827"/>
      <c r="BN20" s="827"/>
      <c r="BO20" s="827"/>
      <c r="BP20" s="827"/>
      <c r="BQ20" s="827"/>
      <c r="BR20" s="827"/>
      <c r="BS20" s="827"/>
      <c r="BT20" s="827"/>
      <c r="BU20" s="827"/>
      <c r="BV20" s="827"/>
      <c r="BW20" s="827"/>
      <c r="BX20" s="827"/>
      <c r="BY20" s="827"/>
      <c r="BZ20" s="827"/>
      <c r="CA20" s="827"/>
      <c r="CB20" s="827"/>
    </row>
    <row r="21" spans="1:80" x14ac:dyDescent="0.2">
      <c r="A21" s="999"/>
      <c r="B21" s="999"/>
      <c r="C21" s="999"/>
      <c r="D21" s="999"/>
      <c r="E21" s="999"/>
      <c r="F21" s="999"/>
      <c r="G21" s="998"/>
      <c r="H21" s="998"/>
      <c r="I21" s="998"/>
      <c r="J21" s="998"/>
      <c r="K21" s="998"/>
      <c r="L21" s="998"/>
      <c r="M21" s="998"/>
      <c r="N21" s="998"/>
      <c r="O21" s="998"/>
      <c r="P21" s="998"/>
      <c r="Q21" s="998"/>
      <c r="R21" s="827"/>
      <c r="S21" s="827"/>
      <c r="T21" s="827"/>
      <c r="U21" s="827"/>
      <c r="V21" s="827"/>
      <c r="W21" s="827"/>
      <c r="X21" s="827"/>
      <c r="Y21" s="827"/>
      <c r="Z21" s="827"/>
      <c r="AA21" s="827"/>
      <c r="AB21" s="827"/>
      <c r="AC21" s="827"/>
      <c r="AD21" s="827"/>
      <c r="AE21" s="827"/>
      <c r="AF21" s="827"/>
      <c r="AG21" s="827"/>
      <c r="AH21" s="827"/>
      <c r="AI21" s="827"/>
      <c r="AJ21" s="827"/>
      <c r="AK21" s="827"/>
      <c r="AL21" s="827"/>
      <c r="AM21" s="827"/>
      <c r="AN21" s="827"/>
      <c r="AO21" s="827"/>
      <c r="AP21" s="827"/>
      <c r="AQ21" s="827"/>
      <c r="AR21" s="827"/>
      <c r="AS21" s="827"/>
      <c r="AT21" s="827"/>
      <c r="AU21" s="827"/>
      <c r="AV21" s="827"/>
      <c r="AW21" s="999"/>
      <c r="AX21" s="999"/>
      <c r="AY21" s="999"/>
      <c r="AZ21" s="999"/>
      <c r="BA21" s="999"/>
      <c r="BB21" s="999"/>
      <c r="BC21" s="827"/>
      <c r="BD21" s="827"/>
      <c r="BE21" s="827"/>
      <c r="BF21" s="827"/>
      <c r="BG21" s="827"/>
      <c r="BH21" s="827"/>
      <c r="BI21" s="827"/>
      <c r="BJ21" s="827"/>
      <c r="BK21" s="827"/>
      <c r="BL21" s="827"/>
      <c r="BM21" s="827"/>
      <c r="BN21" s="827"/>
      <c r="BO21" s="827"/>
      <c r="BP21" s="827"/>
      <c r="BQ21" s="827"/>
      <c r="BR21" s="827"/>
      <c r="BS21" s="827"/>
      <c r="BT21" s="827"/>
      <c r="BU21" s="827"/>
      <c r="BV21" s="827"/>
      <c r="BW21" s="827"/>
      <c r="BX21" s="827"/>
      <c r="BY21" s="827"/>
      <c r="BZ21" s="827"/>
      <c r="CA21" s="827"/>
      <c r="CB21" s="827"/>
    </row>
    <row r="22" spans="1:80" x14ac:dyDescent="0.2">
      <c r="A22" s="999"/>
      <c r="B22" s="999"/>
      <c r="C22" s="999"/>
      <c r="D22" s="999"/>
      <c r="E22" s="999"/>
      <c r="F22" s="999"/>
      <c r="G22" s="998"/>
      <c r="H22" s="998"/>
      <c r="I22" s="998"/>
      <c r="J22" s="998"/>
      <c r="K22" s="998"/>
      <c r="L22" s="998"/>
      <c r="M22" s="998"/>
      <c r="N22" s="998"/>
      <c r="O22" s="998"/>
      <c r="P22" s="998"/>
      <c r="Q22" s="998"/>
      <c r="R22" s="827"/>
      <c r="S22" s="827"/>
      <c r="T22" s="827"/>
      <c r="U22" s="827"/>
      <c r="V22" s="827"/>
      <c r="W22" s="827"/>
      <c r="X22" s="827"/>
      <c r="Y22" s="827"/>
      <c r="Z22" s="827"/>
      <c r="AA22" s="827"/>
      <c r="AB22" s="827"/>
      <c r="AC22" s="827"/>
      <c r="AD22" s="827"/>
      <c r="AE22" s="827"/>
      <c r="AF22" s="827"/>
      <c r="AG22" s="827"/>
      <c r="AH22" s="827"/>
      <c r="AI22" s="827"/>
      <c r="AJ22" s="827"/>
      <c r="AK22" s="827"/>
      <c r="AL22" s="827"/>
      <c r="AM22" s="827"/>
      <c r="AN22" s="827"/>
      <c r="AO22" s="827"/>
      <c r="AP22" s="827"/>
      <c r="AQ22" s="827"/>
      <c r="AR22" s="827"/>
      <c r="AS22" s="827"/>
      <c r="AT22" s="827"/>
      <c r="AU22" s="827"/>
      <c r="AV22" s="827"/>
      <c r="AW22" s="999"/>
      <c r="AX22" s="999"/>
      <c r="AY22" s="999"/>
      <c r="AZ22" s="999"/>
      <c r="BA22" s="999"/>
      <c r="BB22" s="999"/>
      <c r="BC22" s="827"/>
      <c r="BD22" s="827"/>
      <c r="BE22" s="827"/>
      <c r="BF22" s="827"/>
      <c r="BG22" s="827"/>
      <c r="BH22" s="827"/>
      <c r="BI22" s="827"/>
      <c r="BJ22" s="827"/>
      <c r="BK22" s="827"/>
      <c r="BL22" s="827"/>
      <c r="BM22" s="827"/>
      <c r="BN22" s="827"/>
      <c r="BO22" s="827"/>
      <c r="BP22" s="827"/>
      <c r="BQ22" s="827"/>
      <c r="BR22" s="827"/>
      <c r="BS22" s="827"/>
      <c r="BT22" s="827"/>
      <c r="BU22" s="827"/>
      <c r="BV22" s="827"/>
      <c r="BW22" s="827"/>
      <c r="BX22" s="827"/>
      <c r="BY22" s="827"/>
      <c r="BZ22" s="827"/>
      <c r="CA22" s="827"/>
      <c r="CB22" s="827"/>
    </row>
    <row r="23" spans="1:80" x14ac:dyDescent="0.2">
      <c r="A23" s="999"/>
      <c r="B23" s="999"/>
      <c r="C23" s="999"/>
      <c r="D23" s="999"/>
      <c r="E23" s="999"/>
      <c r="F23" s="999"/>
      <c r="G23" s="998"/>
      <c r="H23" s="998"/>
      <c r="I23" s="998"/>
      <c r="J23" s="998"/>
      <c r="K23" s="998"/>
      <c r="L23" s="998"/>
      <c r="M23" s="998"/>
      <c r="N23" s="998"/>
      <c r="O23" s="998"/>
      <c r="P23" s="998"/>
      <c r="Q23" s="998"/>
      <c r="R23" s="827"/>
      <c r="S23" s="827"/>
      <c r="T23" s="827"/>
      <c r="U23" s="827"/>
      <c r="V23" s="827"/>
      <c r="W23" s="827"/>
      <c r="X23" s="827"/>
      <c r="Y23" s="827"/>
      <c r="Z23" s="827"/>
      <c r="AA23" s="827"/>
      <c r="AB23" s="827"/>
      <c r="AC23" s="827"/>
      <c r="AD23" s="827"/>
      <c r="AE23" s="827"/>
      <c r="AF23" s="827"/>
      <c r="AG23" s="827"/>
      <c r="AH23" s="827"/>
      <c r="AI23" s="827"/>
      <c r="AJ23" s="827"/>
      <c r="AK23" s="827"/>
      <c r="AL23" s="827"/>
      <c r="AM23" s="827"/>
      <c r="AN23" s="827"/>
      <c r="AO23" s="827"/>
      <c r="AP23" s="827"/>
      <c r="AQ23" s="827"/>
      <c r="AR23" s="827"/>
      <c r="AS23" s="827"/>
      <c r="AT23" s="827"/>
      <c r="AU23" s="827"/>
      <c r="AV23" s="827"/>
      <c r="AW23" s="999"/>
      <c r="AX23" s="999"/>
      <c r="AY23" s="999"/>
      <c r="AZ23" s="999"/>
      <c r="BA23" s="999"/>
      <c r="BB23" s="999"/>
      <c r="BC23" s="827"/>
      <c r="BD23" s="827"/>
      <c r="BE23" s="827"/>
      <c r="BF23" s="827"/>
      <c r="BG23" s="827"/>
      <c r="BH23" s="827"/>
      <c r="BI23" s="827"/>
      <c r="BJ23" s="827"/>
      <c r="BK23" s="827"/>
      <c r="BL23" s="827"/>
      <c r="BM23" s="827"/>
      <c r="BN23" s="827"/>
      <c r="BO23" s="827"/>
      <c r="BP23" s="827"/>
      <c r="BQ23" s="827"/>
      <c r="BR23" s="827"/>
      <c r="BS23" s="827"/>
      <c r="BT23" s="827"/>
      <c r="BU23" s="827"/>
      <c r="BV23" s="827"/>
      <c r="BW23" s="827"/>
      <c r="BX23" s="827"/>
      <c r="BY23" s="827"/>
      <c r="BZ23" s="827"/>
      <c r="CA23" s="827"/>
      <c r="CB23" s="827"/>
    </row>
    <row r="24" spans="1:80" x14ac:dyDescent="0.2">
      <c r="A24" s="999"/>
      <c r="B24" s="999"/>
      <c r="C24" s="999"/>
      <c r="D24" s="999"/>
      <c r="E24" s="999"/>
      <c r="F24" s="999"/>
      <c r="G24" s="998"/>
      <c r="H24" s="998"/>
      <c r="I24" s="998"/>
      <c r="J24" s="998"/>
      <c r="K24" s="998"/>
      <c r="L24" s="998"/>
      <c r="M24" s="998"/>
      <c r="N24" s="998"/>
      <c r="O24" s="998"/>
      <c r="P24" s="998"/>
      <c r="Q24" s="998"/>
      <c r="R24" s="827"/>
      <c r="S24" s="827"/>
      <c r="T24" s="827"/>
      <c r="U24" s="827"/>
      <c r="V24" s="827"/>
      <c r="W24" s="827"/>
      <c r="X24" s="827"/>
      <c r="Y24" s="827"/>
      <c r="Z24" s="827"/>
      <c r="AA24" s="827"/>
      <c r="AB24" s="827"/>
      <c r="AC24" s="827"/>
      <c r="AD24" s="827"/>
      <c r="AE24" s="827"/>
      <c r="AF24" s="827"/>
      <c r="AG24" s="827"/>
      <c r="AH24" s="827"/>
      <c r="AI24" s="827"/>
      <c r="AJ24" s="827"/>
      <c r="AK24" s="827"/>
      <c r="AL24" s="827"/>
      <c r="AM24" s="827"/>
      <c r="AN24" s="827"/>
      <c r="AO24" s="827"/>
      <c r="AP24" s="827"/>
      <c r="AQ24" s="827"/>
      <c r="AR24" s="827"/>
      <c r="AS24" s="827"/>
      <c r="AT24" s="827"/>
      <c r="AU24" s="827"/>
      <c r="AV24" s="827"/>
      <c r="AW24" s="999"/>
      <c r="AX24" s="999"/>
      <c r="AY24" s="999"/>
      <c r="AZ24" s="999"/>
      <c r="BA24" s="999"/>
      <c r="BB24" s="999"/>
      <c r="BC24" s="827"/>
      <c r="BD24" s="827"/>
      <c r="BE24" s="827"/>
      <c r="BF24" s="827"/>
      <c r="BG24" s="827"/>
      <c r="BH24" s="827"/>
      <c r="BI24" s="827"/>
      <c r="BJ24" s="827"/>
      <c r="BK24" s="827"/>
      <c r="BL24" s="827"/>
      <c r="BM24" s="827"/>
      <c r="BN24" s="827"/>
      <c r="BO24" s="827"/>
      <c r="BP24" s="827"/>
      <c r="BQ24" s="827"/>
      <c r="BR24" s="827"/>
      <c r="BS24" s="827"/>
      <c r="BT24" s="827"/>
      <c r="BU24" s="827"/>
      <c r="BV24" s="827"/>
      <c r="BW24" s="827"/>
      <c r="BX24" s="827"/>
      <c r="BY24" s="827"/>
      <c r="BZ24" s="827"/>
      <c r="CA24" s="827"/>
      <c r="CB24" s="827"/>
    </row>
    <row r="25" spans="1:80" s="10" customFormat="1" ht="24.6" customHeight="1" x14ac:dyDescent="0.25">
      <c r="A25" s="1002" t="str">
        <f>IF('Данные объект'!B8="","",'Данные объект'!B8)</f>
      </c>
      <c r="B25" s="1003"/>
      <c r="C25" s="1003"/>
      <c r="D25" s="1003"/>
      <c r="E25" s="1003"/>
      <c r="F25" s="1004"/>
      <c r="G25" s="830"/>
      <c r="H25" s="830"/>
      <c r="I25" s="830"/>
      <c r="J25" s="830"/>
      <c r="K25" s="830"/>
      <c r="L25" s="830"/>
      <c r="M25" s="830"/>
      <c r="N25" s="830"/>
      <c r="O25" s="830"/>
      <c r="P25" s="830"/>
      <c r="Q25" s="830"/>
      <c r="R25" s="902" t="str">
        <f>IF('КЛ-3'!U36="","",'КЛ-3'!U36)</f>
      </c>
      <c r="S25" s="902"/>
      <c r="T25" s="902"/>
      <c r="U25" s="902"/>
      <c r="V25" s="902"/>
      <c r="W25" s="902"/>
      <c r="X25" s="902"/>
      <c r="Y25" s="902"/>
      <c r="Z25" s="902"/>
      <c r="AA25" s="902"/>
      <c r="AB25" s="902"/>
      <c r="AC25" s="902"/>
      <c r="AD25" s="902"/>
      <c r="AE25" s="902"/>
      <c r="AF25" s="902"/>
      <c r="AG25" s="985">
        <v>40.5</v>
      </c>
      <c r="AH25" s="985"/>
      <c r="AI25" s="985"/>
      <c r="AJ25" s="985"/>
      <c r="AK25" s="985"/>
      <c r="AL25" s="985"/>
      <c r="AM25" s="902" t="str">
        <f>IF(AND('КЛ-3'!H36="",'КЛ-3'!AN36=""),"",CONCATENATE(IF('КЛ-3'!H36="","",'КЛ-3'!H36),", ",IF('КЛ-3'!AN36="","",'КЛ-3'!AN36)))</f>
      </c>
      <c r="AN25" s="902"/>
      <c r="AO25" s="902"/>
      <c r="AP25" s="902"/>
      <c r="AQ25" s="902"/>
      <c r="AR25" s="902"/>
      <c r="AS25" s="902"/>
      <c r="AT25" s="902"/>
      <c r="AU25" s="902"/>
      <c r="AV25" s="902"/>
      <c r="AW25" s="985">
        <v>2</v>
      </c>
      <c r="AX25" s="985"/>
      <c r="AY25" s="985"/>
      <c r="AZ25" s="985"/>
      <c r="BA25" s="985"/>
      <c r="BB25" s="985"/>
      <c r="BC25" s="1001">
        <v>21</v>
      </c>
      <c r="BD25" s="901"/>
      <c r="BE25" s="901"/>
      <c r="BF25" s="901"/>
      <c r="BG25" s="901"/>
      <c r="BH25" s="901"/>
      <c r="BI25" s="901"/>
      <c r="BJ25" s="901"/>
      <c r="BK25" s="901"/>
      <c r="BL25" s="898" t="s">
        <v>101</v>
      </c>
      <c r="BM25" s="898"/>
      <c r="BN25" s="898"/>
      <c r="BO25" s="898"/>
      <c r="BP25" s="898"/>
      <c r="BQ25" s="898"/>
      <c r="BR25" s="898"/>
      <c r="BS25" s="898"/>
      <c r="BT25" s="898"/>
      <c r="BU25" s="898" t="str">
        <f>IF('Данные объект'!B28="","",'Данные объект'!B28)</f>
      </c>
      <c r="BV25" s="898"/>
      <c r="BW25" s="898"/>
      <c r="BX25" s="898"/>
      <c r="BY25" s="898"/>
      <c r="BZ25" s="898"/>
      <c r="CA25" s="898"/>
      <c r="CB25" s="898"/>
    </row>
    <row r="26" spans="1:80" ht="29.25" customHeight="1" x14ac:dyDescent="0.2">
      <c r="A26" s="11"/>
      <c r="B26" s="11"/>
      <c r="C26" s="11" t="s">
        <v>107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11"/>
      <c r="B27" s="11"/>
      <c r="C27" s="11"/>
      <c r="D27" s="11"/>
      <c r="E27" s="997" t="str">
        <f>IF('Данные объект'!C27="","",'Данные объект'!C27)</f>
      </c>
      <c r="F27" s="997"/>
      <c r="G27" s="997"/>
      <c r="H27" s="997"/>
      <c r="I27" s="997"/>
      <c r="J27" s="997"/>
      <c r="K27" s="997"/>
      <c r="L27" s="997"/>
      <c r="M27" s="997"/>
      <c r="N27" s="997"/>
      <c r="O27" s="997"/>
      <c r="P27" s="997"/>
      <c r="Q27" s="997"/>
      <c r="R27" s="997"/>
      <c r="S27" s="997"/>
      <c r="T27" s="997"/>
      <c r="U27" s="997"/>
      <c r="V27" s="997"/>
      <c r="W27" s="997"/>
      <c r="X27" s="997"/>
      <c r="Y27" s="997"/>
      <c r="Z27" s="997"/>
      <c r="AA27" s="997"/>
      <c r="AB27" s="997"/>
      <c r="AC27" s="997"/>
      <c r="AD27" s="997"/>
      <c r="AE27" s="997"/>
      <c r="AF27" s="997"/>
      <c r="AG27" s="997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</row>
    <row r="28" spans="1:80" x14ac:dyDescent="0.2">
      <c r="A28" s="11"/>
      <c r="B28" s="11"/>
      <c r="C28" s="11"/>
      <c r="D28" s="11"/>
      <c r="E28" s="831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31"/>
      <c r="T28" s="831"/>
      <c r="U28" s="831"/>
      <c r="V28" s="831"/>
      <c r="W28" s="831"/>
      <c r="X28" s="831"/>
      <c r="Y28" s="831"/>
      <c r="Z28" s="831"/>
      <c r="AA28" s="831"/>
      <c r="AB28" s="831"/>
      <c r="AC28" s="831"/>
      <c r="AD28" s="831"/>
      <c r="AE28" s="831"/>
      <c r="AF28" s="831"/>
      <c r="AG28" s="831"/>
      <c r="AH28" s="11"/>
      <c r="AI28" s="11"/>
      <c r="AJ28" s="991"/>
      <c r="AK28" s="991"/>
      <c r="AL28" s="991"/>
      <c r="AM28" s="991"/>
      <c r="AN28" s="991"/>
      <c r="AO28" s="991"/>
      <c r="AP28" s="991"/>
      <c r="AQ28" s="991"/>
      <c r="AR28" s="991"/>
      <c r="AS28" s="991"/>
      <c r="AT28" s="991"/>
      <c r="AU28" s="991"/>
      <c r="AV28" s="991"/>
      <c r="AW28" s="991"/>
      <c r="AX28" s="991"/>
      <c r="AY28" s="991"/>
      <c r="AZ28" s="991"/>
      <c r="BA28" s="991"/>
      <c r="BB28" s="991"/>
      <c r="BC28" s="991"/>
      <c r="BD28" s="991"/>
      <c r="BE28" s="991"/>
      <c r="BF28" s="991"/>
      <c r="BG28" s="991"/>
      <c r="BH28" s="991"/>
      <c r="BI28" s="11"/>
      <c r="BJ28" s="1000" t="str">
        <f>IF('Данные объект'!B28="","",'Данные объект'!B28)</f>
      </c>
      <c r="BK28" s="1000"/>
      <c r="BL28" s="1000"/>
      <c r="BM28" s="1000"/>
      <c r="BN28" s="1000"/>
      <c r="BO28" s="1000"/>
      <c r="BP28" s="1000"/>
      <c r="BQ28" s="1000"/>
      <c r="BR28" s="1000"/>
      <c r="BS28" s="1000"/>
      <c r="BT28" s="1000"/>
      <c r="BU28" s="1000"/>
      <c r="BV28" s="1000"/>
      <c r="BW28" s="1000"/>
      <c r="BX28" s="1000"/>
      <c r="BY28" s="1000"/>
      <c r="BZ28" s="1000"/>
      <c r="CA28" s="1000"/>
      <c r="CB28" s="1000"/>
    </row>
    <row r="29" spans="1:80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986" t="s">
        <v>2</v>
      </c>
      <c r="AK29" s="986"/>
      <c r="AL29" s="986"/>
      <c r="AM29" s="986"/>
      <c r="AN29" s="986"/>
      <c r="AO29" s="986"/>
      <c r="AP29" s="986"/>
      <c r="AQ29" s="986"/>
      <c r="AR29" s="986"/>
      <c r="AS29" s="986"/>
      <c r="AT29" s="986"/>
      <c r="AU29" s="986"/>
      <c r="AV29" s="986"/>
      <c r="AW29" s="986"/>
      <c r="AX29" s="986"/>
      <c r="AY29" s="986"/>
      <c r="AZ29" s="986"/>
      <c r="BA29" s="986"/>
      <c r="BB29" s="986"/>
      <c r="BC29" s="986"/>
      <c r="BD29" s="986"/>
      <c r="BE29" s="986"/>
      <c r="BF29" s="986"/>
      <c r="BG29" s="986"/>
      <c r="BH29" s="986"/>
      <c r="BI29" s="5"/>
      <c r="BJ29" s="986" t="s">
        <v>72</v>
      </c>
      <c r="BK29" s="986"/>
      <c r="BL29" s="986"/>
      <c r="BM29" s="986"/>
      <c r="BN29" s="986"/>
      <c r="BO29" s="986"/>
      <c r="BP29" s="986"/>
      <c r="BQ29" s="986"/>
      <c r="BR29" s="986"/>
      <c r="BS29" s="986"/>
      <c r="BT29" s="986"/>
      <c r="BU29" s="986"/>
      <c r="BV29" s="986"/>
      <c r="BW29" s="986"/>
      <c r="BX29" s="986"/>
      <c r="BY29" s="986"/>
      <c r="BZ29" s="986"/>
      <c r="CA29" s="986"/>
      <c r="CB29" s="986"/>
    </row>
  </sheetData>
  <mergeCells count="40">
    <mergeCell ref="AR6:BZ9"/>
    <mergeCell ref="A8:AI9"/>
    <mergeCell ref="AR1:BZ2"/>
    <mergeCell ref="AR3:BZ3"/>
    <mergeCell ref="A4:AI4"/>
    <mergeCell ref="AR4:BZ4"/>
    <mergeCell ref="A5:AI5"/>
    <mergeCell ref="AR5:BZ5"/>
    <mergeCell ref="A25:F25"/>
    <mergeCell ref="R25:AF25"/>
    <mergeCell ref="AG25:AL25"/>
    <mergeCell ref="G25:Q25"/>
    <mergeCell ref="A2:AI2"/>
    <mergeCell ref="A3:AI3"/>
    <mergeCell ref="A10:AI10"/>
    <mergeCell ref="A11:AI11"/>
    <mergeCell ref="AJ29:BH29"/>
    <mergeCell ref="BJ29:CB29"/>
    <mergeCell ref="AM25:AV25"/>
    <mergeCell ref="BL25:BT25"/>
    <mergeCell ref="AJ28:BH28"/>
    <mergeCell ref="BJ28:CB28"/>
    <mergeCell ref="BC25:BK25"/>
    <mergeCell ref="AW25:BB25"/>
    <mergeCell ref="AR12:BZ12"/>
    <mergeCell ref="E27:AG28"/>
    <mergeCell ref="BU25:CB25"/>
    <mergeCell ref="AR10:BZ10"/>
    <mergeCell ref="AR11:BZ11"/>
    <mergeCell ref="A16:CB16"/>
    <mergeCell ref="BC19:BK24"/>
    <mergeCell ref="BL19:BT24"/>
    <mergeCell ref="BU19:CB24"/>
    <mergeCell ref="G19:Q24"/>
    <mergeCell ref="AG19:AL24"/>
    <mergeCell ref="AM19:AV24"/>
    <mergeCell ref="AW19:BB24"/>
    <mergeCell ref="R19:AF24"/>
    <mergeCell ref="A19:F24"/>
    <mergeCell ref="A17:CB17"/>
  </mergeCells>
  <pageMargins left="0.78740157480314965" right="0.19685039370078741" top="0.39370078740157483" bottom="0.39370078740157483" header="0.11811023622047245" footer="0.11811023622047245"/>
  <pageSetup paperSize="9" scale="9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CB29"/>
  <sheetViews>
    <sheetView view="pageBreakPreview" zoomScaleNormal="100" zoomScaleSheetLayoutView="100" workbookViewId="0">
      <selection activeCell="CW15" sqref="CW15"/>
    </sheetView>
  </sheetViews>
  <sheetFormatPr defaultColWidth="9.140625" defaultRowHeight="12.75" x14ac:dyDescent="0.2"/>
  <cols>
    <col min="1" max="37" width="1.140625" style="2" customWidth="1"/>
    <col min="38" max="38" width="0.140625" style="2" customWidth="1"/>
    <col min="39" max="52" width="1.140625" style="2" customWidth="1"/>
    <col min="53" max="53" width="1.85546875" style="2" customWidth="1"/>
    <col min="54" max="60" width="1.140625" style="2" customWidth="1"/>
    <col min="61" max="61" width="3.42578125" style="2" customWidth="1"/>
    <col min="62" max="181" width="1.140625" style="2" customWidth="1"/>
    <col min="182" max="16384" width="9.140625" style="2"/>
  </cols>
  <sheetData>
    <row r="1" spans="1:80" ht="4.1500000000000004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8.4499999999999993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30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4"/>
      <c r="CB7" s="64"/>
    </row>
    <row r="8" spans="1:80" ht="7.15" customHeight="1" x14ac:dyDescent="0.25">
      <c r="A8" s="836" t="str">
        <f>IF('Данные объект'!B16="","",'Данные объект'!B16)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4"/>
      <c r="CB8" s="64"/>
    </row>
    <row r="9" spans="1:80" ht="18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4"/>
      <c r="CB9" s="64"/>
    </row>
    <row r="10" spans="1:80" ht="9.6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8" customFormat="1" ht="15.75" x14ac:dyDescent="0.25">
      <c r="A13" s="851" t="s">
        <v>1248</v>
      </c>
      <c r="B13" s="851"/>
      <c r="C13" s="851"/>
      <c r="D13" s="851"/>
      <c r="E13" s="851"/>
      <c r="F13" s="851"/>
      <c r="G13" s="851"/>
      <c r="H13" s="851"/>
      <c r="I13" s="851"/>
      <c r="J13" s="851"/>
      <c r="K13" s="851"/>
      <c r="L13" s="851"/>
      <c r="M13" s="851"/>
      <c r="N13" s="851"/>
      <c r="O13" s="851"/>
      <c r="P13" s="851"/>
      <c r="Q13" s="851"/>
      <c r="R13" s="851"/>
      <c r="S13" s="851"/>
      <c r="T13" s="851"/>
      <c r="U13" s="851"/>
      <c r="V13" s="851"/>
      <c r="W13" s="851"/>
      <c r="X13" s="851"/>
      <c r="Y13" s="851"/>
      <c r="Z13" s="851"/>
      <c r="AA13" s="851"/>
      <c r="AB13" s="851"/>
      <c r="AC13" s="851"/>
      <c r="AD13" s="851"/>
      <c r="AE13" s="851"/>
      <c r="AF13" s="851"/>
      <c r="AG13" s="851"/>
      <c r="AH13" s="851"/>
      <c r="AI13" s="851"/>
      <c r="AJ13" s="851"/>
      <c r="AK13" s="851"/>
      <c r="AL13" s="851"/>
      <c r="AM13" s="851"/>
      <c r="AN13" s="851"/>
      <c r="AO13" s="851"/>
      <c r="AP13" s="851"/>
      <c r="AQ13" s="851"/>
      <c r="AR13" s="851"/>
      <c r="AS13" s="851"/>
      <c r="AT13" s="851"/>
      <c r="AU13" s="851"/>
      <c r="AV13" s="851"/>
      <c r="AW13" s="851"/>
      <c r="AX13" s="851"/>
      <c r="AY13" s="851"/>
      <c r="AZ13" s="851"/>
      <c r="BA13" s="851"/>
      <c r="BB13" s="851"/>
      <c r="BC13" s="851"/>
      <c r="BD13" s="851"/>
      <c r="BE13" s="851"/>
      <c r="BF13" s="851"/>
      <c r="BG13" s="851"/>
      <c r="BH13" s="851"/>
      <c r="BI13" s="851"/>
      <c r="BJ13" s="851"/>
      <c r="BK13" s="851"/>
      <c r="BL13" s="851"/>
      <c r="BM13" s="851"/>
      <c r="BN13" s="851"/>
      <c r="BO13" s="851"/>
      <c r="BP13" s="851"/>
      <c r="BQ13" s="851"/>
      <c r="BR13" s="851"/>
      <c r="BS13" s="851"/>
      <c r="BT13" s="851"/>
      <c r="BU13" s="851"/>
      <c r="BV13" s="851"/>
      <c r="BW13" s="851"/>
      <c r="BX13" s="851"/>
      <c r="BY13" s="851"/>
      <c r="BZ13" s="851"/>
      <c r="CA13" s="851"/>
      <c r="CB13" s="851"/>
    </row>
    <row r="14" spans="1:80" s="18" customFormat="1" ht="15.75" x14ac:dyDescent="0.25">
      <c r="A14" s="851" t="s">
        <v>1251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6" spans="1:80" x14ac:dyDescent="0.2">
      <c r="A16" s="826" t="s">
        <v>229</v>
      </c>
      <c r="B16" s="826"/>
      <c r="C16" s="826"/>
      <c r="D16" s="826"/>
      <c r="E16" s="826"/>
      <c r="F16" s="826"/>
      <c r="G16" s="826"/>
      <c r="H16" s="826"/>
      <c r="I16" s="826"/>
      <c r="J16" s="826"/>
      <c r="K16" s="826"/>
      <c r="L16" s="826"/>
      <c r="M16" s="826"/>
      <c r="N16" s="826"/>
      <c r="O16" s="826"/>
      <c r="P16" s="826"/>
      <c r="Q16" s="826"/>
      <c r="R16" s="826"/>
      <c r="S16" s="826"/>
      <c r="T16" s="826"/>
      <c r="U16" s="826"/>
      <c r="V16" s="826"/>
      <c r="W16" s="826"/>
      <c r="X16" s="826"/>
      <c r="Y16" s="826"/>
      <c r="Z16" s="826"/>
      <c r="AA16" s="826"/>
      <c r="AB16" s="826"/>
      <c r="AC16" s="826" t="s">
        <v>235</v>
      </c>
      <c r="AD16" s="826"/>
      <c r="AE16" s="826"/>
      <c r="AF16" s="826"/>
      <c r="AG16" s="826"/>
      <c r="AH16" s="826"/>
      <c r="AI16" s="826"/>
      <c r="AJ16" s="826"/>
      <c r="AK16" s="826"/>
      <c r="AL16" s="826"/>
      <c r="AM16" s="826"/>
      <c r="AN16" s="826"/>
      <c r="AO16" s="826"/>
      <c r="AP16" s="826"/>
      <c r="AQ16" s="826"/>
      <c r="AR16" s="826"/>
      <c r="AS16" s="826"/>
      <c r="AT16" s="826"/>
      <c r="AU16" s="826"/>
      <c r="AV16" s="826"/>
      <c r="AW16" s="826"/>
      <c r="AX16" s="826"/>
      <c r="AY16" s="826"/>
      <c r="AZ16" s="826"/>
      <c r="BA16" s="826"/>
      <c r="BB16" s="826"/>
      <c r="BC16" s="826"/>
      <c r="BD16" s="826"/>
      <c r="BE16" s="826"/>
      <c r="BF16" s="826"/>
      <c r="BG16" s="826"/>
      <c r="BH16" s="826"/>
      <c r="BI16" s="826"/>
      <c r="BJ16" s="925" t="s">
        <v>233</v>
      </c>
      <c r="BK16" s="925"/>
      <c r="BL16" s="925"/>
      <c r="BM16" s="925"/>
      <c r="BN16" s="925"/>
      <c r="BO16" s="925"/>
      <c r="BP16" s="925"/>
      <c r="BQ16" s="925"/>
      <c r="BR16" s="925"/>
      <c r="BS16" s="925"/>
      <c r="BT16" s="925"/>
      <c r="BU16" s="925"/>
      <c r="BV16" s="925"/>
      <c r="BW16" s="925"/>
      <c r="BX16" s="925"/>
      <c r="BY16" s="925"/>
      <c r="BZ16" s="925"/>
      <c r="CA16" s="925"/>
      <c r="CB16" s="925"/>
    </row>
    <row r="17" spans="1:80" x14ac:dyDescent="0.2">
      <c r="A17" s="827" t="s">
        <v>227</v>
      </c>
      <c r="B17" s="827"/>
      <c r="C17" s="827"/>
      <c r="D17" s="827"/>
      <c r="E17" s="827"/>
      <c r="F17" s="827"/>
      <c r="G17" s="827"/>
      <c r="H17" s="827"/>
      <c r="I17" s="827"/>
      <c r="J17" s="827"/>
      <c r="K17" s="827" t="s">
        <v>228</v>
      </c>
      <c r="L17" s="827"/>
      <c r="M17" s="827"/>
      <c r="N17" s="827"/>
      <c r="O17" s="827"/>
      <c r="P17" s="827"/>
      <c r="Q17" s="827"/>
      <c r="R17" s="827"/>
      <c r="S17" s="827"/>
      <c r="T17" s="827"/>
      <c r="U17" s="827"/>
      <c r="V17" s="827"/>
      <c r="W17" s="827"/>
      <c r="X17" s="827"/>
      <c r="Y17" s="827"/>
      <c r="Z17" s="827"/>
      <c r="AA17" s="827"/>
      <c r="AB17" s="827"/>
      <c r="AC17" s="826" t="s">
        <v>70</v>
      </c>
      <c r="AD17" s="826"/>
      <c r="AE17" s="826"/>
      <c r="AF17" s="826"/>
      <c r="AG17" s="826"/>
      <c r="AH17" s="826"/>
      <c r="AI17" s="826"/>
      <c r="AJ17" s="826"/>
      <c r="AK17" s="826"/>
      <c r="AL17" s="826"/>
      <c r="AM17" s="826" t="s">
        <v>230</v>
      </c>
      <c r="AN17" s="826"/>
      <c r="AO17" s="826"/>
      <c r="AP17" s="826"/>
      <c r="AQ17" s="826"/>
      <c r="AR17" s="826"/>
      <c r="AS17" s="826"/>
      <c r="AT17" s="826"/>
      <c r="AU17" s="826"/>
      <c r="AV17" s="826"/>
      <c r="AW17" s="826"/>
      <c r="AX17" s="826"/>
      <c r="AY17" s="826"/>
      <c r="AZ17" s="826"/>
      <c r="BA17" s="826"/>
      <c r="BB17" s="827" t="s">
        <v>231</v>
      </c>
      <c r="BC17" s="827"/>
      <c r="BD17" s="827"/>
      <c r="BE17" s="827"/>
      <c r="BF17" s="827"/>
      <c r="BG17" s="827"/>
      <c r="BH17" s="827"/>
      <c r="BI17" s="827"/>
      <c r="BJ17" s="826" t="s">
        <v>232</v>
      </c>
      <c r="BK17" s="826"/>
      <c r="BL17" s="826"/>
      <c r="BM17" s="826"/>
      <c r="BN17" s="826"/>
      <c r="BO17" s="826"/>
      <c r="BP17" s="826"/>
      <c r="BQ17" s="826"/>
      <c r="BR17" s="826"/>
      <c r="BS17" s="826"/>
      <c r="BT17" s="826"/>
      <c r="BU17" s="827" t="s">
        <v>234</v>
      </c>
      <c r="BV17" s="827"/>
      <c r="BW17" s="827"/>
      <c r="BX17" s="827"/>
      <c r="BY17" s="827"/>
      <c r="BZ17" s="827"/>
      <c r="CA17" s="827"/>
      <c r="CB17" s="827"/>
    </row>
    <row r="18" spans="1:80" x14ac:dyDescent="0.2">
      <c r="A18" s="827"/>
      <c r="B18" s="827"/>
      <c r="C18" s="827"/>
      <c r="D18" s="827"/>
      <c r="E18" s="827"/>
      <c r="F18" s="827"/>
      <c r="G18" s="827"/>
      <c r="H18" s="827"/>
      <c r="I18" s="827"/>
      <c r="J18" s="827"/>
      <c r="K18" s="827"/>
      <c r="L18" s="827"/>
      <c r="M18" s="827"/>
      <c r="N18" s="827"/>
      <c r="O18" s="827"/>
      <c r="P18" s="827"/>
      <c r="Q18" s="827"/>
      <c r="R18" s="827"/>
      <c r="S18" s="827"/>
      <c r="T18" s="827"/>
      <c r="U18" s="827"/>
      <c r="V18" s="827"/>
      <c r="W18" s="827"/>
      <c r="X18" s="827"/>
      <c r="Y18" s="827"/>
      <c r="Z18" s="827"/>
      <c r="AA18" s="827"/>
      <c r="AB18" s="827"/>
      <c r="AC18" s="826"/>
      <c r="AD18" s="826"/>
      <c r="AE18" s="826"/>
      <c r="AF18" s="826"/>
      <c r="AG18" s="826"/>
      <c r="AH18" s="826"/>
      <c r="AI18" s="826"/>
      <c r="AJ18" s="826"/>
      <c r="AK18" s="826"/>
      <c r="AL18" s="826"/>
      <c r="AM18" s="826"/>
      <c r="AN18" s="826"/>
      <c r="AO18" s="826"/>
      <c r="AP18" s="826"/>
      <c r="AQ18" s="826"/>
      <c r="AR18" s="826"/>
      <c r="AS18" s="826"/>
      <c r="AT18" s="826"/>
      <c r="AU18" s="826"/>
      <c r="AV18" s="826"/>
      <c r="AW18" s="826"/>
      <c r="AX18" s="826"/>
      <c r="AY18" s="826"/>
      <c r="AZ18" s="826"/>
      <c r="BA18" s="826"/>
      <c r="BB18" s="827"/>
      <c r="BC18" s="827"/>
      <c r="BD18" s="827"/>
      <c r="BE18" s="827"/>
      <c r="BF18" s="827"/>
      <c r="BG18" s="827"/>
      <c r="BH18" s="827"/>
      <c r="BI18" s="827"/>
      <c r="BJ18" s="826"/>
      <c r="BK18" s="826"/>
      <c r="BL18" s="826"/>
      <c r="BM18" s="826"/>
      <c r="BN18" s="826"/>
      <c r="BO18" s="826"/>
      <c r="BP18" s="826"/>
      <c r="BQ18" s="826"/>
      <c r="BR18" s="826"/>
      <c r="BS18" s="826"/>
      <c r="BT18" s="826"/>
      <c r="BU18" s="827"/>
      <c r="BV18" s="827"/>
      <c r="BW18" s="827"/>
      <c r="BX18" s="827"/>
      <c r="BY18" s="827"/>
      <c r="BZ18" s="827"/>
      <c r="CA18" s="827"/>
      <c r="CB18" s="827"/>
    </row>
    <row r="19" spans="1:80" x14ac:dyDescent="0.2">
      <c r="A19" s="827"/>
      <c r="B19" s="827"/>
      <c r="C19" s="827"/>
      <c r="D19" s="827"/>
      <c r="E19" s="827"/>
      <c r="F19" s="827"/>
      <c r="G19" s="827"/>
      <c r="H19" s="827"/>
      <c r="I19" s="827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6"/>
      <c r="AD19" s="826"/>
      <c r="AE19" s="826"/>
      <c r="AF19" s="826"/>
      <c r="AG19" s="826"/>
      <c r="AH19" s="826"/>
      <c r="AI19" s="826"/>
      <c r="AJ19" s="826"/>
      <c r="AK19" s="826"/>
      <c r="AL19" s="826"/>
      <c r="AM19" s="826"/>
      <c r="AN19" s="826"/>
      <c r="AO19" s="826"/>
      <c r="AP19" s="826"/>
      <c r="AQ19" s="826"/>
      <c r="AR19" s="826"/>
      <c r="AS19" s="826"/>
      <c r="AT19" s="826"/>
      <c r="AU19" s="826"/>
      <c r="AV19" s="826"/>
      <c r="AW19" s="826"/>
      <c r="AX19" s="826"/>
      <c r="AY19" s="826"/>
      <c r="AZ19" s="826"/>
      <c r="BA19" s="826"/>
      <c r="BB19" s="827"/>
      <c r="BC19" s="827"/>
      <c r="BD19" s="827"/>
      <c r="BE19" s="827"/>
      <c r="BF19" s="827"/>
      <c r="BG19" s="827"/>
      <c r="BH19" s="827"/>
      <c r="BI19" s="827"/>
      <c r="BJ19" s="826"/>
      <c r="BK19" s="826"/>
      <c r="BL19" s="826"/>
      <c r="BM19" s="826"/>
      <c r="BN19" s="826"/>
      <c r="BO19" s="826"/>
      <c r="BP19" s="826"/>
      <c r="BQ19" s="826"/>
      <c r="BR19" s="826"/>
      <c r="BS19" s="826"/>
      <c r="BT19" s="826"/>
      <c r="BU19" s="827"/>
      <c r="BV19" s="827"/>
      <c r="BW19" s="827"/>
      <c r="BX19" s="827"/>
      <c r="BY19" s="827"/>
      <c r="BZ19" s="827"/>
      <c r="CA19" s="827"/>
      <c r="CB19" s="827"/>
    </row>
    <row r="20" spans="1:80" s="10" customFormat="1" ht="18" customHeight="1" x14ac:dyDescent="0.25">
      <c r="A20" s="898">
        <v>1</v>
      </c>
      <c r="B20" s="898"/>
      <c r="C20" s="898"/>
      <c r="D20" s="898"/>
      <c r="E20" s="898"/>
      <c r="F20" s="898"/>
      <c r="G20" s="898"/>
      <c r="H20" s="898"/>
      <c r="I20" s="898"/>
      <c r="J20" s="898"/>
      <c r="K20" s="898" t="str">
        <f>IF('КЛ-3'!U36="","",'КЛ-3'!U36)</f>
      </c>
      <c r="L20" s="898"/>
      <c r="M20" s="898"/>
      <c r="N20" s="898"/>
      <c r="O20" s="898"/>
      <c r="P20" s="898"/>
      <c r="Q20" s="898"/>
      <c r="R20" s="898"/>
      <c r="S20" s="898"/>
      <c r="T20" s="898"/>
      <c r="U20" s="898"/>
      <c r="V20" s="898"/>
      <c r="W20" s="898"/>
      <c r="X20" s="898"/>
      <c r="Y20" s="898"/>
      <c r="Z20" s="898"/>
      <c r="AA20" s="898"/>
      <c r="AB20" s="898"/>
      <c r="AC20" s="901" t="s">
        <v>352</v>
      </c>
      <c r="AD20" s="901"/>
      <c r="AE20" s="901"/>
      <c r="AF20" s="901"/>
      <c r="AG20" s="901"/>
      <c r="AH20" s="901"/>
      <c r="AI20" s="901"/>
      <c r="AJ20" s="901"/>
      <c r="AK20" s="901"/>
      <c r="AL20" s="901"/>
      <c r="AM20" s="985" t="s">
        <v>1371</v>
      </c>
      <c r="AN20" s="985"/>
      <c r="AO20" s="985"/>
      <c r="AP20" s="985"/>
      <c r="AQ20" s="985"/>
      <c r="AR20" s="985"/>
      <c r="AS20" s="985"/>
      <c r="AT20" s="985"/>
      <c r="AU20" s="985"/>
      <c r="AV20" s="985"/>
      <c r="AW20" s="985"/>
      <c r="AX20" s="985"/>
      <c r="AY20" s="985"/>
      <c r="AZ20" s="985"/>
      <c r="BA20" s="985"/>
      <c r="BB20" s="1005" t="str">
        <f>IF(AR11="","",AR11)</f>
      </c>
      <c r="BC20" s="1005"/>
      <c r="BD20" s="1005"/>
      <c r="BE20" s="1005"/>
      <c r="BF20" s="1005"/>
      <c r="BG20" s="1005"/>
      <c r="BH20" s="1005"/>
      <c r="BI20" s="1005"/>
      <c r="BJ20" s="898" t="str">
        <f>IF('Данные объект'!B28="","",'Данные объект'!B28)</f>
      </c>
      <c r="BK20" s="898"/>
      <c r="BL20" s="898"/>
      <c r="BM20" s="898"/>
      <c r="BN20" s="898"/>
      <c r="BO20" s="898"/>
      <c r="BP20" s="898"/>
      <c r="BQ20" s="898"/>
      <c r="BR20" s="898"/>
      <c r="BS20" s="898"/>
      <c r="BT20" s="898"/>
      <c r="BU20" s="826"/>
      <c r="BV20" s="826"/>
      <c r="BW20" s="826"/>
      <c r="BX20" s="826"/>
      <c r="BY20" s="826"/>
      <c r="BZ20" s="826"/>
      <c r="CA20" s="826"/>
      <c r="CB20" s="826"/>
    </row>
    <row r="21" spans="1:80" s="10" customFormat="1" ht="15" customHeight="1" x14ac:dyDescent="0.25">
      <c r="A21" s="898"/>
      <c r="B21" s="898"/>
      <c r="C21" s="898"/>
      <c r="D21" s="898"/>
      <c r="E21" s="898"/>
      <c r="F21" s="898"/>
      <c r="G21" s="898"/>
      <c r="H21" s="898"/>
      <c r="I21" s="898"/>
      <c r="J21" s="898"/>
      <c r="K21" s="898"/>
      <c r="L21" s="898"/>
      <c r="M21" s="898"/>
      <c r="N21" s="898"/>
      <c r="O21" s="898"/>
      <c r="P21" s="898"/>
      <c r="Q21" s="898"/>
      <c r="R21" s="898"/>
      <c r="S21" s="898"/>
      <c r="T21" s="898"/>
      <c r="U21" s="898"/>
      <c r="V21" s="898"/>
      <c r="W21" s="898"/>
      <c r="X21" s="898"/>
      <c r="Y21" s="898"/>
      <c r="Z21" s="898"/>
      <c r="AA21" s="898"/>
      <c r="AB21" s="898"/>
      <c r="AC21" s="901"/>
      <c r="AD21" s="901"/>
      <c r="AE21" s="901"/>
      <c r="AF21" s="901"/>
      <c r="AG21" s="901"/>
      <c r="AH21" s="901"/>
      <c r="AI21" s="901"/>
      <c r="AJ21" s="901"/>
      <c r="AK21" s="901"/>
      <c r="AL21" s="901"/>
      <c r="AM21" s="901"/>
      <c r="AN21" s="901"/>
      <c r="AO21" s="901"/>
      <c r="AP21" s="901"/>
      <c r="AQ21" s="901"/>
      <c r="AR21" s="901"/>
      <c r="AS21" s="901"/>
      <c r="AT21" s="901"/>
      <c r="AU21" s="901"/>
      <c r="AV21" s="901"/>
      <c r="AW21" s="901"/>
      <c r="AX21" s="901"/>
      <c r="AY21" s="901"/>
      <c r="AZ21" s="901"/>
      <c r="BA21" s="901"/>
      <c r="BB21" s="1005"/>
      <c r="BC21" s="1005"/>
      <c r="BD21" s="1005"/>
      <c r="BE21" s="1005"/>
      <c r="BF21" s="1005"/>
      <c r="BG21" s="1005"/>
      <c r="BH21" s="1005"/>
      <c r="BI21" s="1005"/>
      <c r="BJ21" s="898"/>
      <c r="BK21" s="898"/>
      <c r="BL21" s="898"/>
      <c r="BM21" s="898"/>
      <c r="BN21" s="898"/>
      <c r="BO21" s="898"/>
      <c r="BP21" s="898"/>
      <c r="BQ21" s="898"/>
      <c r="BR21" s="898"/>
      <c r="BS21" s="898"/>
      <c r="BT21" s="898"/>
      <c r="BU21" s="826"/>
      <c r="BV21" s="826"/>
      <c r="BW21" s="826"/>
      <c r="BX21" s="826"/>
      <c r="BY21" s="826"/>
      <c r="BZ21" s="826"/>
      <c r="CA21" s="826"/>
      <c r="CB21" s="826"/>
    </row>
    <row r="22" spans="1:80" ht="13.5" x14ac:dyDescent="0.25">
      <c r="BB22" s="7"/>
      <c r="BC22" s="7"/>
      <c r="BD22" s="7"/>
      <c r="BE22" s="7"/>
      <c r="BF22" s="7"/>
      <c r="BG22" s="7"/>
      <c r="BH22" s="7"/>
      <c r="BI22" s="7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</row>
    <row r="23" spans="1:80" ht="13.5" x14ac:dyDescent="0.25">
      <c r="BB23" s="7"/>
      <c r="BC23" s="7"/>
      <c r="BD23" s="7"/>
      <c r="BE23" s="7"/>
      <c r="BF23" s="7"/>
      <c r="BG23" s="7"/>
      <c r="BH23" s="7"/>
      <c r="BI23" s="7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</row>
    <row r="24" spans="1:80" ht="13.5" x14ac:dyDescent="0.25">
      <c r="BB24" s="7"/>
      <c r="BC24" s="7"/>
      <c r="BD24" s="7"/>
      <c r="BE24" s="7"/>
      <c r="BF24" s="7"/>
      <c r="BG24" s="7"/>
      <c r="BH24" s="7"/>
      <c r="BI24" s="7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</row>
    <row r="25" spans="1:80" ht="13.5" x14ac:dyDescent="0.25">
      <c r="BB25" s="7"/>
      <c r="BC25" s="7"/>
      <c r="BD25" s="7"/>
      <c r="BE25" s="7"/>
      <c r="BF25" s="7"/>
      <c r="BG25" s="7"/>
      <c r="BH25" s="7"/>
      <c r="BI25" s="7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</row>
    <row r="26" spans="1:80" x14ac:dyDescent="0.2">
      <c r="C26" s="11" t="s">
        <v>107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C27" s="11"/>
      <c r="D27" s="11"/>
      <c r="E27" s="11"/>
      <c r="F27" s="997" t="str">
        <f>IF('Данные объект'!C27="","",'Данные объект'!C27)</f>
      </c>
      <c r="G27" s="997"/>
      <c r="H27" s="997"/>
      <c r="I27" s="997"/>
      <c r="J27" s="997"/>
      <c r="K27" s="997"/>
      <c r="L27" s="997"/>
      <c r="M27" s="997"/>
      <c r="N27" s="997"/>
      <c r="O27" s="997"/>
      <c r="P27" s="997"/>
      <c r="Q27" s="997"/>
      <c r="R27" s="997"/>
      <c r="S27" s="997"/>
      <c r="T27" s="997"/>
      <c r="U27" s="997"/>
      <c r="V27" s="997"/>
      <c r="W27" s="997"/>
      <c r="X27" s="997"/>
      <c r="Y27" s="997"/>
      <c r="Z27" s="997"/>
      <c r="AA27" s="997"/>
      <c r="AB27" s="997"/>
      <c r="AC27" s="997"/>
      <c r="AD27" s="997"/>
      <c r="AE27" s="997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</row>
    <row r="28" spans="1:80" x14ac:dyDescent="0.2">
      <c r="C28" s="11"/>
      <c r="D28" s="11"/>
      <c r="E28" s="11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31"/>
      <c r="T28" s="831"/>
      <c r="U28" s="831"/>
      <c r="V28" s="831"/>
      <c r="W28" s="831"/>
      <c r="X28" s="831"/>
      <c r="Y28" s="831"/>
      <c r="Z28" s="831"/>
      <c r="AA28" s="831"/>
      <c r="AB28" s="831"/>
      <c r="AC28" s="831"/>
      <c r="AD28" s="831"/>
      <c r="AE28" s="831"/>
      <c r="AF28" s="11"/>
      <c r="AG28" s="11"/>
      <c r="AH28" s="11"/>
      <c r="AI28" s="11"/>
      <c r="AJ28" s="991"/>
      <c r="AK28" s="991"/>
      <c r="AL28" s="991"/>
      <c r="AM28" s="991"/>
      <c r="AN28" s="991"/>
      <c r="AO28" s="991"/>
      <c r="AP28" s="991"/>
      <c r="AQ28" s="991"/>
      <c r="AR28" s="991"/>
      <c r="AS28" s="991"/>
      <c r="AT28" s="991"/>
      <c r="AU28" s="991"/>
      <c r="AV28" s="991"/>
      <c r="AW28" s="991"/>
      <c r="AX28" s="991"/>
      <c r="AY28" s="991"/>
      <c r="AZ28" s="991"/>
      <c r="BA28" s="991"/>
      <c r="BB28" s="991"/>
      <c r="BC28" s="991"/>
      <c r="BD28" s="991"/>
      <c r="BE28" s="991"/>
      <c r="BF28" s="991"/>
      <c r="BG28" s="991"/>
      <c r="BH28" s="991"/>
      <c r="BI28" s="11"/>
      <c r="BJ28" s="988" t="str">
        <f>IF('Данные объект'!B28="","",'Данные объект'!B28)</f>
      </c>
      <c r="BK28" s="988"/>
      <c r="BL28" s="988"/>
      <c r="BM28" s="988"/>
      <c r="BN28" s="988"/>
      <c r="BO28" s="988"/>
      <c r="BP28" s="988"/>
      <c r="BQ28" s="988"/>
      <c r="BR28" s="988"/>
      <c r="BS28" s="988"/>
      <c r="BT28" s="988"/>
      <c r="BU28" s="988"/>
      <c r="BV28" s="988"/>
      <c r="BW28" s="988"/>
      <c r="BX28" s="988"/>
      <c r="BY28" s="988"/>
      <c r="BZ28" s="988"/>
      <c r="CA28" s="988"/>
      <c r="CB28" s="988"/>
    </row>
    <row r="29" spans="1:80" s="5" customFormat="1" ht="8.25" x14ac:dyDescent="0.15">
      <c r="AJ29" s="986" t="s">
        <v>2</v>
      </c>
      <c r="AK29" s="986"/>
      <c r="AL29" s="986"/>
      <c r="AM29" s="986"/>
      <c r="AN29" s="986"/>
      <c r="AO29" s="986"/>
      <c r="AP29" s="986"/>
      <c r="AQ29" s="986"/>
      <c r="AR29" s="986"/>
      <c r="AS29" s="986"/>
      <c r="AT29" s="986"/>
      <c r="AU29" s="986"/>
      <c r="AV29" s="986"/>
      <c r="AW29" s="986"/>
      <c r="AX29" s="986"/>
      <c r="AY29" s="986"/>
      <c r="AZ29" s="986"/>
      <c r="BA29" s="986"/>
      <c r="BB29" s="986"/>
      <c r="BC29" s="986"/>
      <c r="BD29" s="986"/>
      <c r="BE29" s="986"/>
      <c r="BF29" s="986"/>
      <c r="BG29" s="986"/>
      <c r="BH29" s="986"/>
      <c r="BJ29" s="986" t="s">
        <v>72</v>
      </c>
      <c r="BK29" s="986"/>
      <c r="BL29" s="986"/>
      <c r="BM29" s="986"/>
      <c r="BN29" s="986"/>
      <c r="BO29" s="986"/>
      <c r="BP29" s="986"/>
      <c r="BQ29" s="986"/>
      <c r="BR29" s="986"/>
      <c r="BS29" s="986"/>
      <c r="BT29" s="986"/>
      <c r="BU29" s="986"/>
      <c r="BV29" s="986"/>
      <c r="BW29" s="986"/>
      <c r="BX29" s="986"/>
      <c r="BY29" s="986"/>
      <c r="BZ29" s="986"/>
      <c r="CA29" s="986"/>
      <c r="CB29" s="986"/>
    </row>
  </sheetData>
  <mergeCells count="46">
    <mergeCell ref="BU20:CB20"/>
    <mergeCell ref="BB20:BI20"/>
    <mergeCell ref="BJ20:BT20"/>
    <mergeCell ref="A20:J20"/>
    <mergeCell ref="K20:AB20"/>
    <mergeCell ref="AC20:AL20"/>
    <mergeCell ref="AM20:BA20"/>
    <mergeCell ref="AJ28:BH28"/>
    <mergeCell ref="BJ28:CB28"/>
    <mergeCell ref="AJ29:BH29"/>
    <mergeCell ref="BJ29:CB29"/>
    <mergeCell ref="AC21:AL21"/>
    <mergeCell ref="AM21:BA21"/>
    <mergeCell ref="F27:AE28"/>
    <mergeCell ref="BU21:CB21"/>
    <mergeCell ref="BB21:BI21"/>
    <mergeCell ref="K21:AB21"/>
    <mergeCell ref="A21:J21"/>
    <mergeCell ref="BJ21:BT21"/>
    <mergeCell ref="AR1:BZ2"/>
    <mergeCell ref="AR3:BZ3"/>
    <mergeCell ref="A4:AI4"/>
    <mergeCell ref="AR4:BZ4"/>
    <mergeCell ref="A5:AI5"/>
    <mergeCell ref="AR5:BZ5"/>
    <mergeCell ref="A2:AI2"/>
    <mergeCell ref="A3:AI3"/>
    <mergeCell ref="A13:CB13"/>
    <mergeCell ref="BJ17:BT19"/>
    <mergeCell ref="BB17:BI19"/>
    <mergeCell ref="AM17:BA19"/>
    <mergeCell ref="BU17:CB19"/>
    <mergeCell ref="BJ16:CB16"/>
    <mergeCell ref="A14:CB14"/>
    <mergeCell ref="A17:J19"/>
    <mergeCell ref="K17:AB19"/>
    <mergeCell ref="A16:AB16"/>
    <mergeCell ref="AC17:AL19"/>
    <mergeCell ref="AC16:BI16"/>
    <mergeCell ref="AR12:BZ12"/>
    <mergeCell ref="AR6:BZ9"/>
    <mergeCell ref="A8:AI9"/>
    <mergeCell ref="AR10:BZ10"/>
    <mergeCell ref="A10:AI10"/>
    <mergeCell ref="A11:AI11"/>
    <mergeCell ref="AR11:BZ11"/>
  </mergeCells>
  <pageMargins left="0.78740157480314965" right="0.19685039370078741" top="0.39370078740157483" bottom="0.39370078740157483" header="0.11811023622047245" footer="0.11811023622047245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A924-D0CC-41EA-81D4-9DCF5B836749}">
  <sheetPr>
    <tabColor rgb="FF92D050"/>
  </sheetPr>
  <dimension ref="A1:CN73"/>
  <sheetViews>
    <sheetView view="pageBreakPreview" topLeftCell="A22" zoomScaleNormal="100" zoomScaleSheetLayoutView="100" workbookViewId="0">
      <selection activeCell="DQ38" sqref="DQ38"/>
    </sheetView>
  </sheetViews>
  <sheetFormatPr defaultColWidth="9.140625" defaultRowHeight="15" outlineLevelRow="2" x14ac:dyDescent="0.25"/>
  <cols>
    <col min="1" max="19" width="1.140625" style="1" customWidth="1"/>
    <col min="20" max="20" width="3.5703125" style="1" customWidth="1"/>
    <col min="21" max="136" width="1.140625" style="1" customWidth="1"/>
    <col min="137" max="16384" width="9.140625" style="1"/>
  </cols>
  <sheetData>
    <row r="1" spans="1:92" s="2" customFormat="1" ht="7.9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92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2"/>
      <c r="AK2" s="2"/>
      <c r="AL2" s="2"/>
      <c r="AM2" s="2"/>
      <c r="AN2" s="2"/>
      <c r="AO2" s="2"/>
      <c r="AP2" s="2"/>
      <c r="AQ2" s="2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9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92" ht="13.9" customHeight="1" x14ac:dyDescent="0.25">
      <c r="A4" s="839" t="str">
        <f>IF('Данные объект'!B19="","",'Данные объект'!B19)</f>
      </c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  <c r="AA4" s="839"/>
      <c r="AB4" s="839"/>
      <c r="AC4" s="839"/>
      <c r="AD4" s="839"/>
      <c r="AE4" s="839"/>
      <c r="AF4" s="839"/>
      <c r="AG4" s="839"/>
      <c r="AH4" s="839"/>
      <c r="AI4" s="839"/>
      <c r="AJ4" s="2"/>
      <c r="AK4" s="2"/>
      <c r="AL4" s="2"/>
      <c r="AM4" s="2"/>
      <c r="AN4" s="2"/>
      <c r="AO4" s="2"/>
      <c r="AP4" s="2"/>
      <c r="AQ4" s="2"/>
      <c r="AR4" s="836" t="str">
        <f>IF('Данные объект'!B33="","",'Данные объект'!B33)</f>
      </c>
      <c r="AS4" s="836"/>
      <c r="AT4" s="836"/>
      <c r="AU4" s="836"/>
      <c r="AV4" s="836"/>
      <c r="AW4" s="836"/>
      <c r="AX4" s="836"/>
      <c r="AY4" s="836"/>
      <c r="AZ4" s="836"/>
      <c r="BA4" s="836"/>
      <c r="BB4" s="836"/>
      <c r="BC4" s="836"/>
      <c r="BD4" s="836"/>
      <c r="BE4" s="836"/>
      <c r="BF4" s="836"/>
      <c r="BG4" s="836"/>
      <c r="BH4" s="836"/>
      <c r="BI4" s="836"/>
      <c r="BJ4" s="836"/>
      <c r="BK4" s="836"/>
      <c r="BL4" s="836"/>
      <c r="BM4" s="836"/>
      <c r="BN4" s="836"/>
      <c r="BO4" s="836"/>
      <c r="BP4" s="836"/>
      <c r="BQ4" s="836"/>
      <c r="BR4" s="836"/>
      <c r="BS4" s="836"/>
      <c r="BT4" s="836"/>
      <c r="BU4" s="836"/>
      <c r="BV4" s="836"/>
      <c r="BW4" s="836"/>
      <c r="BX4" s="836"/>
      <c r="BY4" s="836"/>
      <c r="BZ4" s="836"/>
      <c r="CA4" s="64"/>
      <c r="CB4" s="64"/>
    </row>
    <row r="5" spans="1:92" ht="4.1500000000000004" customHeight="1" x14ac:dyDescent="0.25">
      <c r="A5" s="840"/>
      <c r="B5" s="840"/>
      <c r="C5" s="840"/>
      <c r="D5" s="840"/>
      <c r="E5" s="840"/>
      <c r="F5" s="840"/>
      <c r="G5" s="840"/>
      <c r="H5" s="840"/>
      <c r="I5" s="840"/>
      <c r="J5" s="840"/>
      <c r="K5" s="840"/>
      <c r="L5" s="840"/>
      <c r="M5" s="840"/>
      <c r="N5" s="840"/>
      <c r="O5" s="840"/>
      <c r="P5" s="840"/>
      <c r="Q5" s="840"/>
      <c r="R5" s="840"/>
      <c r="S5" s="840"/>
      <c r="T5" s="840"/>
      <c r="U5" s="840"/>
      <c r="V5" s="840"/>
      <c r="W5" s="840"/>
      <c r="X5" s="840"/>
      <c r="Y5" s="840"/>
      <c r="Z5" s="840"/>
      <c r="AA5" s="840"/>
      <c r="AB5" s="840"/>
      <c r="AC5" s="840"/>
      <c r="AD5" s="840"/>
      <c r="AE5" s="840"/>
      <c r="AF5" s="840"/>
      <c r="AG5" s="840"/>
      <c r="AH5" s="840"/>
      <c r="AI5" s="840"/>
      <c r="AJ5" s="2"/>
      <c r="AK5" s="2"/>
      <c r="AL5" s="2"/>
      <c r="AM5" s="2"/>
      <c r="AN5" s="2"/>
      <c r="AO5" s="2"/>
      <c r="AP5" s="2"/>
      <c r="AQ5" s="2"/>
      <c r="AR5" s="837"/>
      <c r="AS5" s="837"/>
      <c r="AT5" s="837"/>
      <c r="AU5" s="837"/>
      <c r="AV5" s="837"/>
      <c r="AW5" s="837"/>
      <c r="AX5" s="837"/>
      <c r="AY5" s="837"/>
      <c r="AZ5" s="837"/>
      <c r="BA5" s="837"/>
      <c r="BB5" s="837"/>
      <c r="BC5" s="837"/>
      <c r="BD5" s="837"/>
      <c r="BE5" s="837"/>
      <c r="BF5" s="837"/>
      <c r="BG5" s="837"/>
      <c r="BH5" s="837"/>
      <c r="BI5" s="837"/>
      <c r="BJ5" s="837"/>
      <c r="BK5" s="837"/>
      <c r="BL5" s="837"/>
      <c r="BM5" s="837"/>
      <c r="BN5" s="837"/>
      <c r="BO5" s="837"/>
      <c r="BP5" s="837"/>
      <c r="BQ5" s="837"/>
      <c r="BR5" s="837"/>
      <c r="BS5" s="837"/>
      <c r="BT5" s="837"/>
      <c r="BU5" s="837"/>
      <c r="BV5" s="837"/>
      <c r="BW5" s="837"/>
      <c r="BX5" s="837"/>
      <c r="BY5" s="837"/>
      <c r="BZ5" s="837"/>
      <c r="CA5" s="64"/>
      <c r="CB5" s="64"/>
    </row>
    <row r="6" spans="1:92" s="5" customFormat="1" ht="11.25" customHeight="1" x14ac:dyDescent="0.15">
      <c r="A6" s="838" t="s">
        <v>25</v>
      </c>
      <c r="B6" s="838"/>
      <c r="C6" s="838"/>
      <c r="D6" s="838"/>
      <c r="E6" s="838"/>
      <c r="F6" s="838"/>
      <c r="G6" s="838"/>
      <c r="H6" s="838"/>
      <c r="I6" s="838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  <c r="AB6" s="838"/>
      <c r="AC6" s="838"/>
      <c r="AD6" s="838"/>
      <c r="AE6" s="838"/>
      <c r="AF6" s="838"/>
      <c r="AG6" s="838"/>
      <c r="AH6" s="838"/>
      <c r="AI6" s="838"/>
      <c r="AR6" s="838" t="s">
        <v>23</v>
      </c>
      <c r="AS6" s="838"/>
      <c r="AT6" s="838"/>
      <c r="AU6" s="838"/>
      <c r="AV6" s="838"/>
      <c r="AW6" s="838"/>
      <c r="AX6" s="838"/>
      <c r="AY6" s="838"/>
      <c r="AZ6" s="838"/>
      <c r="BA6" s="838"/>
      <c r="BB6" s="838"/>
      <c r="BC6" s="838"/>
      <c r="BD6" s="838"/>
      <c r="BE6" s="838"/>
      <c r="BF6" s="838"/>
      <c r="BG6" s="838"/>
      <c r="BH6" s="838"/>
      <c r="BI6" s="838"/>
      <c r="BJ6" s="838"/>
      <c r="BK6" s="838"/>
      <c r="BL6" s="838"/>
      <c r="BM6" s="838"/>
      <c r="BN6" s="838"/>
      <c r="BO6" s="838"/>
      <c r="BP6" s="838"/>
      <c r="BQ6" s="838"/>
      <c r="BR6" s="838"/>
      <c r="BS6" s="838"/>
      <c r="BT6" s="838"/>
      <c r="BU6" s="838"/>
      <c r="BV6" s="838"/>
      <c r="BW6" s="838"/>
      <c r="BX6" s="838"/>
      <c r="BY6" s="838"/>
      <c r="BZ6" s="838"/>
    </row>
    <row r="7" spans="1:92" ht="31.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"/>
      <c r="AK7" s="2"/>
      <c r="AL7" s="2"/>
      <c r="AM7" s="2"/>
      <c r="AN7" s="2"/>
      <c r="AO7" s="2"/>
      <c r="AP7" s="2"/>
      <c r="AQ7" s="2"/>
      <c r="AR7" s="940" t="str">
        <f>IF('Данные объект'!B3="","",'Данные объект'!B3)</f>
      </c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64"/>
      <c r="CB7" s="64"/>
    </row>
    <row r="8" spans="1:92" ht="13.9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2"/>
      <c r="AK8" s="2"/>
      <c r="AL8" s="2"/>
      <c r="AM8" s="2"/>
      <c r="AN8" s="2"/>
      <c r="AO8" s="2"/>
      <c r="AP8" s="2"/>
      <c r="AQ8" s="2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64"/>
      <c r="CB8" s="64"/>
    </row>
    <row r="9" spans="1:92" ht="24" customHeight="1" x14ac:dyDescent="0.25">
      <c r="A9" s="837" t="str">
        <f>IF('Данные объект'!B16="","",'Данные объект'!B16)</f>
      </c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J9" s="2"/>
      <c r="AK9" s="2"/>
      <c r="AL9" s="2"/>
      <c r="AM9" s="2"/>
      <c r="AN9" s="2"/>
      <c r="AO9" s="2"/>
      <c r="AP9" s="2"/>
      <c r="AQ9" s="2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64"/>
      <c r="CB9" s="64"/>
    </row>
    <row r="10" spans="1:92" ht="10.15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9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92" ht="10.9" customHeight="1" x14ac:dyDescent="0.25">
      <c r="A12" s="838"/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  <c r="AB12" s="838"/>
      <c r="AC12" s="838"/>
      <c r="AD12" s="838"/>
      <c r="AE12" s="838"/>
      <c r="AF12" s="838"/>
      <c r="AG12" s="838"/>
      <c r="AH12" s="838"/>
      <c r="AI12" s="838"/>
      <c r="AJ12" s="5"/>
      <c r="AK12" s="5"/>
      <c r="AL12" s="5"/>
      <c r="AM12" s="5"/>
      <c r="AN12" s="5"/>
      <c r="AO12" s="5"/>
      <c r="AP12" s="5"/>
      <c r="AQ12" s="5"/>
      <c r="AR12" s="843" t="s">
        <v>1345</v>
      </c>
      <c r="AS12" s="843"/>
      <c r="AT12" s="843"/>
      <c r="AU12" s="843"/>
      <c r="AV12" s="843"/>
      <c r="AW12" s="843"/>
      <c r="AX12" s="843"/>
      <c r="AY12" s="843"/>
      <c r="AZ12" s="843"/>
      <c r="BA12" s="843"/>
      <c r="BB12" s="843"/>
      <c r="BC12" s="843"/>
      <c r="BD12" s="843"/>
      <c r="BE12" s="843"/>
      <c r="BF12" s="843"/>
      <c r="BG12" s="843"/>
      <c r="BH12" s="843"/>
      <c r="BI12" s="843"/>
      <c r="BJ12" s="843"/>
      <c r="BK12" s="843"/>
      <c r="BL12" s="843"/>
      <c r="BM12" s="843"/>
      <c r="BN12" s="843"/>
      <c r="BO12" s="843"/>
      <c r="BP12" s="843"/>
      <c r="BQ12" s="843"/>
      <c r="BR12" s="843"/>
      <c r="BS12" s="843"/>
      <c r="BT12" s="843"/>
      <c r="BU12" s="843"/>
      <c r="BV12" s="843"/>
      <c r="BW12" s="843"/>
      <c r="BX12" s="843"/>
      <c r="BY12" s="843"/>
      <c r="BZ12" s="843"/>
      <c r="CA12" s="67"/>
      <c r="CB12" s="67"/>
    </row>
    <row r="13" spans="1:92" s="5" customFormat="1" ht="8.25" x14ac:dyDescent="0.15"/>
    <row r="14" spans="1:92" s="19" customFormat="1" ht="28.9" customHeight="1" x14ac:dyDescent="0.25">
      <c r="A14" s="353"/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 t="s">
        <v>726</v>
      </c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/>
      <c r="AO14" s="352"/>
      <c r="AP14" s="352"/>
      <c r="AQ14" s="352"/>
      <c r="AR14" s="352"/>
      <c r="AS14" s="352"/>
      <c r="AT14" s="352"/>
      <c r="AU14" s="352"/>
      <c r="AV14" s="352"/>
      <c r="AW14" s="352"/>
      <c r="AX14" s="352"/>
      <c r="AY14" s="352"/>
      <c r="AZ14" s="352"/>
      <c r="BA14" s="1016" t="s">
        <v>398</v>
      </c>
      <c r="BB14" s="1016"/>
      <c r="BC14" s="1016"/>
      <c r="BD14" s="1016"/>
      <c r="BE14" s="1016"/>
      <c r="BF14" s="1016"/>
      <c r="BG14" s="1016"/>
      <c r="BH14" s="352"/>
      <c r="BI14" s="352"/>
      <c r="BJ14" s="352"/>
      <c r="BK14" s="352"/>
      <c r="BL14" s="352"/>
      <c r="BM14" s="352"/>
      <c r="BN14" s="352"/>
      <c r="BO14" s="352"/>
      <c r="BP14" s="352"/>
      <c r="BQ14" s="352"/>
      <c r="BR14" s="352"/>
      <c r="BS14" s="352"/>
      <c r="BT14" s="352"/>
      <c r="BU14" s="352"/>
      <c r="BV14" s="352"/>
      <c r="BW14" s="352"/>
      <c r="BX14" s="352"/>
      <c r="BY14" s="352"/>
      <c r="BZ14" s="352"/>
      <c r="CA14" s="352"/>
      <c r="CB14" s="352"/>
    </row>
    <row r="15" spans="1:92" s="87" customFormat="1" ht="14.45" customHeight="1" x14ac:dyDescent="0.25">
      <c r="A15" s="1008" t="s">
        <v>747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1008"/>
      <c r="O15" s="1008"/>
      <c r="P15" s="1008"/>
      <c r="Q15" s="1008"/>
      <c r="R15" s="1008"/>
      <c r="S15" s="1008"/>
      <c r="T15" s="1008"/>
      <c r="U15" s="1007"/>
      <c r="V15" s="934"/>
      <c r="W15" s="934"/>
      <c r="X15" s="934"/>
      <c r="Y15" s="934"/>
      <c r="Z15" s="934"/>
      <c r="AA15" s="934"/>
      <c r="AB15" s="934"/>
      <c r="AC15" s="934"/>
      <c r="AD15" s="934"/>
      <c r="AE15" s="934"/>
      <c r="AF15" s="934"/>
      <c r="AG15" s="934"/>
      <c r="AH15" s="934"/>
      <c r="AI15" s="934"/>
      <c r="AJ15" s="934"/>
      <c r="AK15" s="934"/>
      <c r="AL15" s="934"/>
      <c r="AM15" s="934"/>
      <c r="AN15" s="934"/>
      <c r="AO15" s="934"/>
      <c r="AP15" s="329"/>
      <c r="AQ15" s="329"/>
      <c r="AR15" s="329"/>
      <c r="AS15" s="329"/>
      <c r="AT15" s="329"/>
      <c r="AU15" s="329"/>
      <c r="AV15" s="329"/>
      <c r="AW15" s="329"/>
      <c r="AX15" s="329"/>
      <c r="AY15" s="329"/>
      <c r="AZ15" s="329"/>
      <c r="BA15" s="329"/>
      <c r="BB15" s="329"/>
      <c r="BC15" s="329"/>
      <c r="BD15" s="329"/>
      <c r="BE15" s="329"/>
      <c r="BF15" s="329"/>
      <c r="BG15" s="329"/>
      <c r="BH15" s="329"/>
      <c r="BI15" s="329"/>
      <c r="BJ15" s="329"/>
      <c r="BK15" s="329"/>
      <c r="BL15" s="329"/>
      <c r="BM15" s="329"/>
      <c r="BN15" s="329"/>
      <c r="BO15" s="329"/>
      <c r="BP15" s="329"/>
      <c r="BQ15" s="329"/>
      <c r="BR15" s="329"/>
      <c r="BS15" s="329"/>
      <c r="BT15" s="329"/>
      <c r="BU15" s="329"/>
      <c r="BV15" s="329"/>
      <c r="BW15" s="329"/>
      <c r="BX15" s="329"/>
      <c r="BY15" s="329"/>
      <c r="BZ15" s="329"/>
      <c r="CA15" s="329"/>
      <c r="CB15" s="329"/>
      <c r="CN15" s="88"/>
    </row>
    <row r="16" spans="1:92" s="87" customFormat="1" ht="15" customHeight="1" x14ac:dyDescent="0.2">
      <c r="A16" s="1008" t="s">
        <v>522</v>
      </c>
      <c r="B16" s="1008"/>
      <c r="C16" s="1008"/>
      <c r="D16" s="1008"/>
      <c r="E16" s="1008"/>
      <c r="F16" s="1008"/>
      <c r="G16" s="1008"/>
      <c r="H16" s="1008"/>
      <c r="I16" s="1008"/>
      <c r="J16" s="1008"/>
      <c r="K16" s="1008"/>
      <c r="L16" s="1008"/>
      <c r="M16" s="1008"/>
      <c r="N16" s="1008"/>
      <c r="O16" s="934"/>
      <c r="P16" s="934"/>
      <c r="Q16" s="934"/>
      <c r="R16" s="934"/>
      <c r="S16" s="934"/>
      <c r="T16" s="934"/>
      <c r="U16" s="934"/>
      <c r="V16" s="934"/>
      <c r="W16" s="934"/>
      <c r="X16" s="934"/>
      <c r="Y16" s="934"/>
      <c r="Z16" s="934"/>
      <c r="AA16" s="934"/>
      <c r="AB16" s="934"/>
      <c r="AC16" s="934"/>
      <c r="AD16" s="934"/>
      <c r="AE16" s="934"/>
      <c r="AF16" s="934"/>
      <c r="AG16" s="934"/>
      <c r="AH16" s="934"/>
      <c r="AI16" s="934"/>
      <c r="AJ16" s="934"/>
      <c r="AK16" s="934"/>
      <c r="AL16" s="934"/>
      <c r="AM16" s="934"/>
      <c r="AN16" s="934"/>
      <c r="AO16" s="934"/>
      <c r="AP16" s="934"/>
      <c r="AQ16" s="934"/>
      <c r="AR16" s="934"/>
      <c r="AS16" s="934"/>
      <c r="AT16" s="934"/>
      <c r="AU16" s="934"/>
      <c r="AV16" s="934"/>
      <c r="AW16" s="934"/>
      <c r="AX16" s="934"/>
      <c r="AY16" s="934"/>
      <c r="AZ16" s="934"/>
      <c r="BA16" s="934"/>
      <c r="BB16" s="934"/>
      <c r="BC16" s="934"/>
      <c r="BD16" s="934"/>
      <c r="BE16" s="934"/>
      <c r="BF16" s="934"/>
      <c r="BG16" s="934"/>
      <c r="BH16" s="934"/>
      <c r="BI16" s="934"/>
      <c r="BJ16" s="934"/>
      <c r="BK16" s="934"/>
      <c r="BL16" s="934"/>
      <c r="BM16" s="934"/>
      <c r="BN16" s="934"/>
      <c r="BO16" s="934"/>
      <c r="BP16" s="934"/>
      <c r="BQ16" s="934"/>
      <c r="BR16" s="934"/>
      <c r="BS16" s="934"/>
      <c r="BT16" s="934"/>
      <c r="BU16" s="934"/>
      <c r="BV16" s="934"/>
      <c r="BW16" s="934"/>
      <c r="BX16" s="934"/>
      <c r="BY16" s="934"/>
      <c r="BZ16" s="934"/>
      <c r="CA16" s="934"/>
      <c r="CB16" s="934"/>
    </row>
    <row r="17" spans="1:85" s="87" customFormat="1" ht="15" customHeight="1" x14ac:dyDescent="0.2">
      <c r="A17" s="1008" t="s">
        <v>521</v>
      </c>
      <c r="B17" s="1008"/>
      <c r="C17" s="1008"/>
      <c r="D17" s="1008"/>
      <c r="E17" s="1008"/>
      <c r="F17" s="1008"/>
      <c r="G17" s="1008"/>
      <c r="H17" s="1008"/>
      <c r="I17" s="1008"/>
      <c r="J17" s="1008"/>
      <c r="K17" s="1008"/>
      <c r="L17" s="1008"/>
      <c r="M17" s="1008"/>
      <c r="N17" s="1008"/>
      <c r="O17" s="1008"/>
      <c r="P17" s="329"/>
      <c r="Q17" s="934" t="str">
        <f>IF(A9="","",A9)</f>
      </c>
      <c r="R17" s="934"/>
      <c r="S17" s="934"/>
      <c r="T17" s="934"/>
      <c r="U17" s="934"/>
      <c r="V17" s="934"/>
      <c r="W17" s="934"/>
      <c r="X17" s="934"/>
      <c r="Y17" s="934"/>
      <c r="Z17" s="934"/>
      <c r="AA17" s="934"/>
      <c r="AB17" s="934"/>
      <c r="AC17" s="934"/>
      <c r="AD17" s="934"/>
      <c r="AE17" s="934"/>
      <c r="AF17" s="934"/>
      <c r="AG17" s="934"/>
      <c r="AH17" s="934"/>
      <c r="AI17" s="934"/>
      <c r="AJ17" s="934"/>
      <c r="AK17" s="934"/>
      <c r="AL17" s="934"/>
      <c r="AM17" s="934"/>
      <c r="AN17" s="934"/>
      <c r="AO17" s="934"/>
      <c r="AP17" s="934"/>
      <c r="AQ17" s="934"/>
      <c r="AR17" s="934"/>
      <c r="AS17" s="934"/>
      <c r="AT17" s="934"/>
      <c r="AU17" s="934"/>
      <c r="AV17" s="934"/>
      <c r="AW17" s="934"/>
      <c r="AX17" s="934"/>
      <c r="AY17" s="934"/>
      <c r="AZ17" s="934"/>
      <c r="BA17" s="934"/>
      <c r="BB17" s="934"/>
      <c r="BC17" s="934"/>
      <c r="BD17" s="934"/>
      <c r="BE17" s="934"/>
      <c r="BF17" s="934"/>
      <c r="BG17" s="934"/>
      <c r="BH17" s="934"/>
      <c r="BI17" s="934"/>
      <c r="BJ17" s="934"/>
      <c r="BK17" s="934"/>
      <c r="BL17" s="934"/>
      <c r="BM17" s="934"/>
      <c r="BN17" s="934"/>
      <c r="BO17" s="934"/>
      <c r="BP17" s="934"/>
      <c r="BQ17" s="934"/>
      <c r="BR17" s="934"/>
      <c r="BS17" s="934"/>
      <c r="BT17" s="934"/>
      <c r="BU17" s="934"/>
      <c r="BV17" s="934"/>
      <c r="BW17" s="934"/>
      <c r="BX17" s="934"/>
      <c r="BY17" s="934"/>
      <c r="BZ17" s="934"/>
      <c r="CA17" s="934"/>
      <c r="CB17" s="934"/>
    </row>
    <row r="18" spans="1:85" s="87" customFormat="1" ht="15" customHeight="1" x14ac:dyDescent="0.2">
      <c r="A18" s="1008" t="s">
        <v>520</v>
      </c>
      <c r="B18" s="1008"/>
      <c r="C18" s="1008"/>
      <c r="D18" s="1008"/>
      <c r="E18" s="1008"/>
      <c r="F18" s="1008"/>
      <c r="G18" s="1008"/>
      <c r="H18" s="1008"/>
      <c r="I18" s="1008"/>
      <c r="J18" s="1008"/>
      <c r="K18" s="1008"/>
      <c r="L18" s="1008"/>
      <c r="M18" s="1008"/>
      <c r="N18" s="934"/>
      <c r="O18" s="934"/>
      <c r="P18" s="934"/>
      <c r="Q18" s="934"/>
      <c r="R18" s="934"/>
      <c r="S18" s="934"/>
      <c r="T18" s="934"/>
      <c r="U18" s="934"/>
      <c r="V18" s="934"/>
      <c r="W18" s="934"/>
      <c r="X18" s="934"/>
      <c r="Y18" s="934"/>
      <c r="Z18" s="934"/>
      <c r="AA18" s="934"/>
      <c r="AB18" s="934"/>
      <c r="AC18" s="934"/>
      <c r="AD18" s="934"/>
      <c r="AE18" s="934"/>
      <c r="AF18" s="934"/>
      <c r="AG18" s="934"/>
      <c r="AH18" s="934"/>
      <c r="AI18" s="934"/>
      <c r="AJ18" s="934"/>
      <c r="AK18" s="934"/>
      <c r="AL18" s="934"/>
      <c r="AM18" s="934"/>
      <c r="AN18" s="934"/>
      <c r="AO18" s="934"/>
      <c r="AP18" s="934"/>
      <c r="AQ18" s="934"/>
      <c r="AR18" s="934"/>
      <c r="AS18" s="934"/>
      <c r="AT18" s="934"/>
      <c r="AU18" s="934"/>
      <c r="AV18" s="934"/>
      <c r="AW18" s="934"/>
      <c r="AX18" s="934"/>
      <c r="AY18" s="934"/>
      <c r="AZ18" s="934"/>
      <c r="BA18" s="934"/>
      <c r="BB18" s="934"/>
      <c r="BC18" s="934"/>
      <c r="BD18" s="934"/>
      <c r="BE18" s="934"/>
      <c r="BF18" s="934"/>
      <c r="BG18" s="934"/>
      <c r="BH18" s="934"/>
      <c r="BI18" s="934"/>
      <c r="BJ18" s="934"/>
      <c r="BK18" s="934"/>
      <c r="BL18" s="934"/>
      <c r="BM18" s="934"/>
      <c r="BN18" s="934"/>
      <c r="BO18" s="934"/>
      <c r="BP18" s="934"/>
      <c r="BQ18" s="934"/>
      <c r="BR18" s="934"/>
      <c r="BS18" s="934"/>
      <c r="BT18" s="934"/>
      <c r="BU18" s="934"/>
      <c r="BV18" s="934"/>
      <c r="BW18" s="934"/>
      <c r="BX18" s="934"/>
      <c r="BY18" s="934"/>
      <c r="BZ18" s="934"/>
      <c r="CA18" s="934"/>
      <c r="CB18" s="934"/>
    </row>
    <row r="19" spans="1:85" s="87" customFormat="1" ht="15" customHeight="1" x14ac:dyDescent="0.2">
      <c r="A19" s="1008" t="s">
        <v>727</v>
      </c>
      <c r="B19" s="1008"/>
      <c r="C19" s="1008"/>
      <c r="D19" s="1008"/>
      <c r="E19" s="1008"/>
      <c r="F19" s="1008"/>
      <c r="G19" s="1008"/>
      <c r="H19" s="1008"/>
      <c r="I19" s="1008"/>
      <c r="J19" s="1008"/>
      <c r="K19" s="1008"/>
      <c r="L19" s="1008"/>
      <c r="M19" s="1008"/>
      <c r="N19" s="1008"/>
      <c r="O19" s="1008"/>
      <c r="P19" s="1008"/>
      <c r="Q19" s="1008"/>
      <c r="R19" s="1008"/>
      <c r="S19" s="1008"/>
      <c r="T19" s="934" t="str">
        <f>IF('Данные объект'!B7="","",'Данные объект'!B7)</f>
      </c>
      <c r="U19" s="934"/>
      <c r="V19" s="934"/>
      <c r="W19" s="934"/>
      <c r="X19" s="934"/>
      <c r="Y19" s="934"/>
      <c r="Z19" s="934"/>
      <c r="AA19" s="934"/>
      <c r="AB19" s="934"/>
      <c r="AC19" s="934"/>
      <c r="AD19" s="934"/>
      <c r="AE19" s="934"/>
      <c r="AF19" s="934"/>
      <c r="AG19" s="934"/>
      <c r="AH19" s="934"/>
      <c r="AI19" s="934"/>
      <c r="AJ19" s="934"/>
      <c r="AK19" s="934"/>
      <c r="AL19" s="934"/>
      <c r="AM19" s="934"/>
      <c r="AN19" s="330"/>
      <c r="AO19" s="330"/>
      <c r="AP19" s="329"/>
      <c r="AQ19" s="329"/>
      <c r="AR19" s="329"/>
      <c r="AS19" s="329"/>
      <c r="AT19" s="329"/>
      <c r="AU19" s="329"/>
      <c r="AV19" s="329"/>
      <c r="AW19" s="329"/>
      <c r="AX19" s="329"/>
      <c r="AY19" s="329"/>
      <c r="AZ19" s="329"/>
      <c r="BA19" s="329"/>
      <c r="BB19" s="329"/>
      <c r="BC19" s="329"/>
      <c r="BD19" s="329"/>
      <c r="BE19" s="329"/>
      <c r="BF19" s="329"/>
      <c r="BG19" s="329"/>
      <c r="BH19" s="329"/>
      <c r="BI19" s="329"/>
      <c r="BJ19" s="329"/>
      <c r="BK19" s="329"/>
      <c r="BL19" s="329"/>
      <c r="BM19" s="329"/>
      <c r="BN19" s="329"/>
      <c r="BO19" s="329"/>
      <c r="BP19" s="329"/>
      <c r="BQ19" s="329"/>
      <c r="BR19" s="329"/>
      <c r="BS19" s="329"/>
      <c r="BT19" s="329"/>
      <c r="BU19" s="329"/>
      <c r="BV19" s="329"/>
      <c r="BW19" s="329"/>
      <c r="BX19" s="329"/>
      <c r="BY19" s="329"/>
      <c r="BZ19" s="329"/>
      <c r="CA19" s="329"/>
      <c r="CB19" s="329"/>
      <c r="CG19" s="92"/>
    </row>
    <row r="20" spans="1:85" s="87" customFormat="1" ht="15" customHeight="1" x14ac:dyDescent="0.2">
      <c r="A20" s="1008" t="s">
        <v>728</v>
      </c>
      <c r="B20" s="1008"/>
      <c r="C20" s="1008"/>
      <c r="D20" s="1008"/>
      <c r="E20" s="1008"/>
      <c r="F20" s="1008"/>
      <c r="G20" s="1008"/>
      <c r="H20" s="1008"/>
      <c r="I20" s="1008"/>
      <c r="J20" s="1008"/>
      <c r="K20" s="1008"/>
      <c r="L20" s="1008"/>
      <c r="M20" s="1008"/>
      <c r="N20" s="1008"/>
      <c r="O20" s="1008"/>
      <c r="P20" s="1008"/>
      <c r="Q20" s="1008"/>
      <c r="R20" s="1008"/>
      <c r="S20" s="1008"/>
      <c r="T20" s="1008"/>
      <c r="U20" s="1008"/>
      <c r="V20" s="1008"/>
      <c r="W20" s="934" t="str">
        <f>IF('Данные объект'!B8="","",'Данные объект'!B8)</f>
      </c>
      <c r="X20" s="934"/>
      <c r="Y20" s="934"/>
      <c r="Z20" s="934"/>
      <c r="AA20" s="934"/>
      <c r="AB20" s="934"/>
      <c r="AC20" s="934"/>
      <c r="AD20" s="934"/>
      <c r="AE20" s="934"/>
      <c r="AF20" s="934"/>
      <c r="AG20" s="934"/>
      <c r="AH20" s="934"/>
      <c r="AI20" s="934"/>
      <c r="AJ20" s="934"/>
      <c r="AK20" s="934"/>
      <c r="AL20" s="934"/>
      <c r="AM20" s="934"/>
      <c r="AN20" s="934"/>
      <c r="AO20" s="934"/>
      <c r="AP20" s="934"/>
      <c r="AQ20" s="934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  <c r="BB20" s="329"/>
      <c r="BC20" s="329"/>
      <c r="BD20" s="329"/>
      <c r="BE20" s="329"/>
      <c r="BF20" s="329"/>
      <c r="BG20" s="329"/>
      <c r="BH20" s="329"/>
      <c r="BI20" s="329"/>
      <c r="BJ20" s="329"/>
      <c r="BK20" s="329"/>
      <c r="BL20" s="329"/>
      <c r="BM20" s="329"/>
      <c r="BN20" s="329"/>
      <c r="BO20" s="329"/>
      <c r="BP20" s="329"/>
      <c r="BQ20" s="329"/>
      <c r="BR20" s="329"/>
      <c r="BS20" s="329"/>
      <c r="BT20" s="329"/>
      <c r="BU20" s="329"/>
      <c r="BV20" s="329"/>
      <c r="BW20" s="329"/>
      <c r="BX20" s="329"/>
      <c r="BY20" s="329"/>
      <c r="BZ20" s="329"/>
      <c r="CA20" s="329"/>
      <c r="CB20" s="329"/>
    </row>
    <row r="21" spans="1:85" s="87" customFormat="1" ht="12.75" x14ac:dyDescent="0.2">
      <c r="A21" s="1011" t="s">
        <v>519</v>
      </c>
      <c r="B21" s="1011"/>
      <c r="C21" s="1011"/>
      <c r="D21" s="1011"/>
      <c r="E21" s="1011"/>
      <c r="F21" s="1011"/>
      <c r="G21" s="1011"/>
      <c r="H21" s="1011"/>
      <c r="I21" s="1011"/>
      <c r="J21" s="1011"/>
      <c r="K21" s="1011"/>
      <c r="L21" s="1011"/>
      <c r="M21" s="1011"/>
      <c r="N21" s="1011"/>
      <c r="O21" s="1011"/>
      <c r="P21" s="1011"/>
      <c r="Q21" s="1011"/>
      <c r="R21" s="1011"/>
      <c r="S21" s="1011"/>
      <c r="T21" s="1011"/>
      <c r="U21" s="1011"/>
      <c r="V21" s="1011"/>
      <c r="W21" s="1011"/>
      <c r="X21" s="1011"/>
      <c r="Y21" s="1011"/>
      <c r="Z21" s="1011"/>
      <c r="AA21" s="1011"/>
      <c r="AB21" s="1011"/>
      <c r="AC21" s="1011"/>
      <c r="AD21" s="1011"/>
      <c r="AE21" s="1011"/>
      <c r="AF21" s="1011"/>
      <c r="AG21" s="1011"/>
      <c r="AH21" s="1011"/>
      <c r="AI21" s="1011"/>
      <c r="AJ21" s="1011"/>
      <c r="AK21" s="1011"/>
      <c r="AL21" s="1011"/>
      <c r="AM21" s="1011"/>
      <c r="AN21" s="1011"/>
      <c r="AO21" s="1011"/>
      <c r="AP21" s="1011"/>
      <c r="AQ21" s="1011"/>
      <c r="AR21" s="329"/>
      <c r="AS21" s="329"/>
      <c r="AT21" s="329"/>
      <c r="AU21" s="329"/>
      <c r="AV21" s="329"/>
      <c r="AW21" s="329"/>
      <c r="AX21" s="329"/>
      <c r="AY21" s="329"/>
      <c r="AZ21" s="329"/>
      <c r="BA21" s="329"/>
      <c r="BB21" s="329"/>
      <c r="BC21" s="329"/>
      <c r="BD21" s="329"/>
      <c r="BE21" s="329"/>
      <c r="BF21" s="329"/>
      <c r="BG21" s="329"/>
      <c r="BH21" s="329"/>
      <c r="BI21" s="329"/>
      <c r="BJ21" s="329"/>
      <c r="BK21" s="329"/>
      <c r="BL21" s="329"/>
      <c r="BM21" s="329"/>
      <c r="BN21" s="329"/>
      <c r="BO21" s="329"/>
      <c r="BP21" s="329"/>
      <c r="BQ21" s="329"/>
      <c r="BR21" s="329"/>
      <c r="BS21" s="329"/>
      <c r="BT21" s="329"/>
      <c r="BU21" s="329"/>
      <c r="BV21" s="329"/>
      <c r="BW21" s="329"/>
      <c r="BX21" s="329"/>
      <c r="BY21" s="329"/>
      <c r="BZ21" s="329"/>
      <c r="CA21" s="329"/>
      <c r="CB21" s="329"/>
    </row>
    <row r="22" spans="1:85" s="87" customFormat="1" ht="15" customHeight="1" x14ac:dyDescent="0.2">
      <c r="A22" s="1011" t="s">
        <v>518</v>
      </c>
      <c r="B22" s="1011"/>
      <c r="C22" s="1011"/>
      <c r="D22" s="1011"/>
      <c r="E22" s="1011"/>
      <c r="F22" s="1011"/>
      <c r="G22" s="1011"/>
      <c r="H22" s="1011"/>
      <c r="I22" s="1011"/>
      <c r="J22" s="1011"/>
      <c r="K22" s="1011"/>
      <c r="L22" s="1011"/>
      <c r="M22" s="1011"/>
      <c r="N22" s="1011"/>
      <c r="O22" s="1011"/>
      <c r="P22" s="1011"/>
      <c r="Q22" s="1011"/>
      <c r="R22" s="1011"/>
      <c r="S22" s="1011"/>
      <c r="T22" s="1011"/>
      <c r="U22" s="1011"/>
      <c r="V22" s="1011"/>
      <c r="W22" s="1011"/>
      <c r="X22" s="1011"/>
      <c r="Y22" s="1011"/>
      <c r="Z22" s="1011"/>
      <c r="AA22" s="1011"/>
      <c r="AB22" s="1011"/>
      <c r="AC22" s="1011"/>
      <c r="AD22" s="1011"/>
      <c r="AE22" s="1011"/>
      <c r="AF22" s="1011"/>
      <c r="AG22" s="1011"/>
      <c r="AH22" s="1011"/>
      <c r="AI22" s="1011"/>
      <c r="AJ22" s="1011"/>
      <c r="AK22" s="1011"/>
      <c r="AL22" s="1011"/>
      <c r="AM22" s="1011"/>
      <c r="AN22" s="1011"/>
      <c r="AO22" s="1011"/>
      <c r="AP22" s="1011"/>
      <c r="AQ22" s="1011"/>
      <c r="AR22" s="1011"/>
      <c r="AS22" s="1011"/>
      <c r="AT22" s="1011"/>
      <c r="AU22" s="1011"/>
      <c r="AV22" s="1011"/>
      <c r="AW22" s="1011"/>
      <c r="AX22" s="1011"/>
      <c r="AY22" s="1011"/>
      <c r="AZ22" s="1011"/>
      <c r="BA22" s="1011"/>
      <c r="BB22" s="1011"/>
      <c r="BC22" s="1011"/>
      <c r="BD22" s="1011"/>
      <c r="BE22" s="1011"/>
      <c r="BF22" s="1011"/>
      <c r="BG22" s="1011"/>
      <c r="BH22" s="1011"/>
      <c r="BI22" s="1011"/>
      <c r="BJ22" s="1011"/>
      <c r="BK22" s="1011"/>
      <c r="BL22" s="1011"/>
      <c r="BM22" s="1011"/>
      <c r="BN22" s="1011"/>
      <c r="BO22" s="1011"/>
      <c r="BP22" s="1011"/>
      <c r="BQ22" s="1011"/>
      <c r="BR22" s="1011"/>
      <c r="BS22" s="1011"/>
      <c r="BT22" s="1011"/>
      <c r="BU22" s="1011"/>
      <c r="BV22" s="1011"/>
      <c r="BW22" s="1011"/>
      <c r="BX22" s="1011"/>
      <c r="BY22" s="1011"/>
      <c r="BZ22" s="1011"/>
      <c r="CA22" s="1011"/>
      <c r="CB22" s="1011"/>
    </row>
    <row r="23" spans="1:85" s="87" customFormat="1" ht="15" customHeight="1" x14ac:dyDescent="0.2">
      <c r="A23" s="1008" t="s">
        <v>555</v>
      </c>
      <c r="B23" s="1008"/>
      <c r="C23" s="1008"/>
      <c r="D23" s="1008"/>
      <c r="E23" s="1008"/>
      <c r="F23" s="1008"/>
      <c r="G23" s="1008"/>
      <c r="H23" s="1008"/>
      <c r="I23" s="1008"/>
      <c r="J23" s="1008"/>
      <c r="K23" s="1008"/>
      <c r="L23" s="1008"/>
      <c r="M23" s="1008"/>
      <c r="N23" s="1008"/>
      <c r="O23" s="1008"/>
      <c r="P23" s="1008"/>
      <c r="Q23" s="1008"/>
      <c r="R23" s="1008"/>
      <c r="S23" s="330"/>
      <c r="T23" s="934">
        <f>IF('КЛ-7'!AG25="","",'КЛ-7'!AG25)</f>
      </c>
      <c r="U23" s="934"/>
      <c r="V23" s="934"/>
      <c r="W23" s="934"/>
      <c r="X23" s="934"/>
      <c r="Y23" s="934"/>
      <c r="Z23" s="934"/>
      <c r="AA23" s="934"/>
      <c r="AB23" s="934"/>
      <c r="AC23" s="934"/>
      <c r="AD23" s="1013" t="s">
        <v>416</v>
      </c>
      <c r="AE23" s="1013"/>
      <c r="AF23" s="1013"/>
      <c r="AG23" s="329"/>
      <c r="AH23" s="329"/>
      <c r="AI23" s="329"/>
      <c r="AJ23" s="329"/>
      <c r="AK23" s="329"/>
      <c r="AL23" s="329"/>
      <c r="AM23" s="329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29"/>
      <c r="AY23" s="329"/>
      <c r="AZ23" s="329"/>
      <c r="BA23" s="329"/>
      <c r="BB23" s="329"/>
      <c r="BC23" s="329"/>
      <c r="BD23" s="329"/>
      <c r="BE23" s="329"/>
      <c r="BF23" s="329"/>
      <c r="BG23" s="329"/>
      <c r="BH23" s="329"/>
      <c r="BI23" s="329"/>
      <c r="BJ23" s="329"/>
      <c r="BK23" s="329"/>
      <c r="BL23" s="329"/>
      <c r="BM23" s="329"/>
      <c r="BN23" s="329"/>
      <c r="BO23" s="329"/>
      <c r="BP23" s="329"/>
      <c r="BQ23" s="329"/>
      <c r="BR23" s="329"/>
      <c r="BS23" s="329"/>
      <c r="BT23" s="329"/>
      <c r="BU23" s="329"/>
      <c r="BV23" s="329"/>
      <c r="BW23" s="329"/>
      <c r="BX23" s="329"/>
      <c r="BY23" s="329"/>
      <c r="BZ23" s="329"/>
      <c r="CA23" s="329"/>
      <c r="CB23" s="329"/>
    </row>
    <row r="24" spans="1:85" s="87" customFormat="1" ht="15" customHeight="1" x14ac:dyDescent="0.2">
      <c r="A24" s="1008" t="s">
        <v>517</v>
      </c>
      <c r="B24" s="1008"/>
      <c r="C24" s="1008"/>
      <c r="D24" s="1008"/>
      <c r="E24" s="1008"/>
      <c r="F24" s="1008"/>
      <c r="G24" s="1008"/>
      <c r="H24" s="1008"/>
      <c r="I24" s="1008"/>
      <c r="J24" s="1008"/>
      <c r="K24" s="1008"/>
      <c r="L24" s="1008"/>
      <c r="M24" s="1008"/>
      <c r="N24" s="1008"/>
      <c r="O24" s="1008"/>
      <c r="P24" s="1008"/>
      <c r="Q24" s="1008"/>
      <c r="R24" s="1008"/>
      <c r="S24" s="1008"/>
      <c r="T24" s="1008"/>
      <c r="U24" s="1008"/>
      <c r="V24" s="330"/>
      <c r="W24" s="934" t="str">
        <f>IF('КЛ-7'!R25="","",'КЛ-7'!R25)</f>
      </c>
      <c r="X24" s="934"/>
      <c r="Y24" s="934"/>
      <c r="Z24" s="934"/>
      <c r="AA24" s="934"/>
      <c r="AB24" s="934"/>
      <c r="AC24" s="934"/>
      <c r="AD24" s="934"/>
      <c r="AE24" s="934"/>
      <c r="AF24" s="934"/>
      <c r="AG24" s="934"/>
      <c r="AH24" s="934"/>
      <c r="AI24" s="934"/>
      <c r="AJ24" s="934"/>
      <c r="AK24" s="329"/>
      <c r="AL24" s="329"/>
      <c r="AM24" s="329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29"/>
      <c r="AY24" s="329"/>
      <c r="AZ24" s="329"/>
      <c r="BA24" s="329"/>
      <c r="BB24" s="329"/>
      <c r="BC24" s="329"/>
      <c r="BD24" s="329"/>
      <c r="BE24" s="329"/>
      <c r="BF24" s="329"/>
      <c r="BG24" s="329"/>
      <c r="BH24" s="329"/>
      <c r="BI24" s="329"/>
      <c r="BJ24" s="329"/>
      <c r="BK24" s="329"/>
      <c r="BL24" s="329"/>
      <c r="BM24" s="329"/>
      <c r="BN24" s="329"/>
      <c r="BO24" s="329"/>
      <c r="BP24" s="329"/>
      <c r="BQ24" s="329"/>
      <c r="BR24" s="329"/>
      <c r="BS24" s="329"/>
      <c r="BT24" s="329"/>
      <c r="BU24" s="329"/>
      <c r="BV24" s="329"/>
      <c r="BW24" s="329"/>
      <c r="BX24" s="329"/>
      <c r="BY24" s="329"/>
      <c r="BZ24" s="329"/>
      <c r="CA24" s="329"/>
      <c r="CB24" s="329"/>
    </row>
    <row r="25" spans="1:85" s="87" customFormat="1" ht="12.75" x14ac:dyDescent="0.2">
      <c r="A25" s="330" t="s">
        <v>748</v>
      </c>
      <c r="B25" s="330"/>
      <c r="C25" s="330"/>
      <c r="D25" s="1008" t="s">
        <v>749</v>
      </c>
      <c r="E25" s="1008"/>
      <c r="F25" s="1008"/>
      <c r="G25" s="1008"/>
      <c r="H25" s="1008"/>
      <c r="I25" s="1008"/>
      <c r="J25" s="1008"/>
      <c r="K25" s="1008"/>
      <c r="L25" s="1008"/>
      <c r="M25" s="1008"/>
      <c r="N25" s="1008"/>
      <c r="O25" s="1008"/>
      <c r="P25" s="1008"/>
      <c r="Q25" s="1008"/>
      <c r="R25" s="1008"/>
      <c r="S25" s="1008"/>
      <c r="T25" s="1008"/>
      <c r="U25" s="1008"/>
      <c r="V25" s="1008"/>
      <c r="W25" s="1008"/>
      <c r="X25" s="1008"/>
      <c r="Y25" s="1008"/>
      <c r="Z25" s="1008"/>
      <c r="AA25" s="1008"/>
      <c r="AB25" s="1008"/>
      <c r="AC25" s="1008"/>
      <c r="AD25" s="1008"/>
      <c r="AE25" s="1008"/>
      <c r="AF25" s="1008"/>
      <c r="AG25" s="1008"/>
      <c r="AH25" s="1008"/>
      <c r="AI25" s="1008"/>
      <c r="AJ25" s="1008"/>
      <c r="AK25" s="1008"/>
      <c r="AL25" s="1008"/>
      <c r="AM25" s="1008"/>
      <c r="AN25" s="1008"/>
      <c r="AO25" s="1008"/>
      <c r="AP25" s="1008"/>
      <c r="AQ25" s="1008"/>
      <c r="AR25" s="1008"/>
      <c r="AS25" s="1008"/>
      <c r="AT25" s="1008"/>
      <c r="AU25" s="1008"/>
      <c r="AV25" s="1008"/>
      <c r="AW25" s="1008"/>
      <c r="AX25" s="1008"/>
      <c r="AY25" s="1008"/>
      <c r="AZ25" s="1008"/>
      <c r="BA25" s="1008"/>
      <c r="BB25" s="1008"/>
      <c r="BC25" s="1008"/>
      <c r="BD25" s="1008"/>
      <c r="BE25" s="1008"/>
      <c r="BF25" s="1008"/>
      <c r="BG25" s="1008"/>
      <c r="BH25" s="1008"/>
      <c r="BI25" s="1008"/>
      <c r="BJ25" s="1008"/>
      <c r="BK25" s="1008"/>
      <c r="BL25" s="1008"/>
      <c r="BM25" s="1008"/>
      <c r="BN25" s="1008"/>
      <c r="BO25" s="1008"/>
      <c r="BP25" s="1008"/>
      <c r="BQ25" s="1008"/>
      <c r="BR25" s="1008"/>
      <c r="BS25" s="1008"/>
      <c r="BT25" s="1008"/>
      <c r="BU25" s="1008"/>
      <c r="BV25" s="1008"/>
      <c r="BW25" s="1008"/>
      <c r="BX25" s="1008"/>
      <c r="BY25" s="1008"/>
      <c r="BZ25" s="1008"/>
      <c r="CA25" s="1008"/>
      <c r="CB25" s="1008"/>
    </row>
    <row r="26" spans="1:85" s="87" customFormat="1" ht="15" customHeight="1" x14ac:dyDescent="0.2">
      <c r="A26" s="92" t="s">
        <v>556</v>
      </c>
      <c r="B26" s="93"/>
      <c r="C26" s="93"/>
    </row>
    <row r="27" spans="1:85" s="87" customFormat="1" ht="15" customHeight="1" x14ac:dyDescent="0.2">
      <c r="A27" s="100" t="s">
        <v>516</v>
      </c>
      <c r="B27" s="93"/>
      <c r="C27" s="93"/>
    </row>
    <row r="28" spans="1:85" s="87" customFormat="1" ht="15" customHeight="1" x14ac:dyDescent="0.2">
      <c r="A28" s="100" t="s">
        <v>515</v>
      </c>
      <c r="B28" s="93"/>
      <c r="C28" s="93"/>
    </row>
    <row r="29" spans="1:85" s="87" customFormat="1" ht="15" customHeight="1" x14ac:dyDescent="0.2">
      <c r="A29" s="100" t="s">
        <v>514</v>
      </c>
      <c r="B29" s="93"/>
      <c r="C29" s="93"/>
    </row>
    <row r="30" spans="1:85" s="87" customFormat="1" ht="25.9" customHeight="1" x14ac:dyDescent="0.2">
      <c r="A30" s="1010" t="s">
        <v>557</v>
      </c>
      <c r="B30" s="1010"/>
      <c r="C30" s="1010"/>
      <c r="D30" s="1006" t="s">
        <v>558</v>
      </c>
      <c r="E30" s="1006"/>
      <c r="F30" s="1006"/>
      <c r="G30" s="1006"/>
      <c r="H30" s="1006"/>
      <c r="I30" s="1006"/>
      <c r="J30" s="1006"/>
      <c r="K30" s="1006"/>
      <c r="L30" s="1006"/>
      <c r="M30" s="1006"/>
      <c r="N30" s="1006"/>
      <c r="O30" s="1006"/>
      <c r="P30" s="1006"/>
      <c r="Q30" s="1006"/>
      <c r="R30" s="1006"/>
      <c r="S30" s="1006"/>
      <c r="T30" s="1006"/>
      <c r="U30" s="1006"/>
      <c r="V30" s="1006"/>
      <c r="W30" s="1006"/>
      <c r="X30" s="1006"/>
      <c r="Y30" s="1006"/>
      <c r="Z30" s="1006"/>
      <c r="AA30" s="1006"/>
      <c r="AB30" s="1006"/>
      <c r="AC30" s="1006"/>
      <c r="AD30" s="1006"/>
      <c r="AE30" s="1006"/>
      <c r="AF30" s="1006"/>
      <c r="AG30" s="1006"/>
      <c r="AH30" s="1006"/>
      <c r="AI30" s="1006"/>
      <c r="AJ30" s="1006"/>
      <c r="AK30" s="1006"/>
      <c r="AL30" s="1006"/>
      <c r="AM30" s="1006"/>
      <c r="AN30" s="1006"/>
      <c r="AO30" s="1006"/>
      <c r="AP30" s="1006"/>
      <c r="AQ30" s="1006"/>
      <c r="AR30" s="1006"/>
      <c r="AS30" s="1006"/>
      <c r="AT30" s="1006"/>
      <c r="AU30" s="1006"/>
      <c r="AV30" s="1006"/>
      <c r="AW30" s="1006"/>
      <c r="AX30" s="1006"/>
      <c r="AY30" s="1006"/>
      <c r="AZ30" s="1006"/>
      <c r="BA30" s="1006"/>
      <c r="BB30" s="1006"/>
      <c r="BC30" s="1006"/>
      <c r="BD30" s="1006"/>
      <c r="BE30" s="1006"/>
      <c r="BF30" s="1006"/>
      <c r="BG30" s="1006"/>
      <c r="BH30" s="1006"/>
      <c r="BI30" s="1006"/>
      <c r="BJ30" s="1006"/>
      <c r="BK30" s="1006"/>
      <c r="BL30" s="1006"/>
      <c r="BM30" s="1006"/>
      <c r="BN30" s="1006"/>
      <c r="BO30" s="1006"/>
      <c r="BP30" s="1006"/>
      <c r="BQ30" s="1006"/>
      <c r="BR30" s="1006"/>
      <c r="BS30" s="1006"/>
      <c r="BT30" s="1006"/>
      <c r="BU30" s="1006"/>
      <c r="BV30" s="1006"/>
      <c r="BW30" s="1006"/>
      <c r="BX30" s="1006"/>
      <c r="BY30" s="1006"/>
      <c r="BZ30" s="1006"/>
      <c r="CA30" s="1006"/>
      <c r="CB30" s="1006"/>
    </row>
    <row r="31" spans="1:85" s="87" customFormat="1" ht="25.9" customHeight="1" x14ac:dyDescent="0.2">
      <c r="A31" s="1012" t="s">
        <v>559</v>
      </c>
      <c r="B31" s="1012"/>
      <c r="C31" s="1012"/>
      <c r="D31" s="1006" t="s">
        <v>560</v>
      </c>
      <c r="E31" s="1006"/>
      <c r="F31" s="1006"/>
      <c r="G31" s="1006"/>
      <c r="H31" s="1006"/>
      <c r="I31" s="1006"/>
      <c r="J31" s="1006"/>
      <c r="K31" s="1006"/>
      <c r="L31" s="1006"/>
      <c r="M31" s="1006"/>
      <c r="N31" s="1006"/>
      <c r="O31" s="1006"/>
      <c r="P31" s="1006"/>
      <c r="Q31" s="1006"/>
      <c r="R31" s="1006"/>
      <c r="S31" s="1006"/>
      <c r="T31" s="1006"/>
      <c r="U31" s="1006"/>
      <c r="V31" s="1006"/>
      <c r="W31" s="1006"/>
      <c r="X31" s="1006"/>
      <c r="Y31" s="1006"/>
      <c r="Z31" s="1006"/>
      <c r="AA31" s="1006"/>
      <c r="AB31" s="1006"/>
      <c r="AC31" s="1006"/>
      <c r="AD31" s="1006"/>
      <c r="AE31" s="1006"/>
      <c r="AF31" s="1006"/>
      <c r="AG31" s="1006"/>
      <c r="AH31" s="1006"/>
      <c r="AI31" s="1006"/>
      <c r="AJ31" s="1006"/>
      <c r="AK31" s="1006"/>
      <c r="AL31" s="1006"/>
      <c r="AM31" s="1006"/>
      <c r="AN31" s="1006"/>
      <c r="AO31" s="1006"/>
      <c r="AP31" s="1006"/>
      <c r="AQ31" s="1006"/>
      <c r="AR31" s="1006"/>
      <c r="AS31" s="1006"/>
      <c r="AT31" s="1006"/>
      <c r="AU31" s="1006"/>
      <c r="AV31" s="1006"/>
      <c r="AW31" s="1006"/>
      <c r="AX31" s="1006"/>
      <c r="AY31" s="1006"/>
      <c r="AZ31" s="1006"/>
      <c r="BA31" s="1006"/>
      <c r="BB31" s="1006"/>
      <c r="BC31" s="1006"/>
      <c r="BD31" s="1006"/>
      <c r="BE31" s="1006"/>
      <c r="BF31" s="1006"/>
      <c r="BG31" s="1006"/>
      <c r="BH31" s="1006"/>
      <c r="BI31" s="1006"/>
      <c r="BJ31" s="1006"/>
      <c r="BK31" s="1006"/>
      <c r="BL31" s="1006"/>
      <c r="BM31" s="1006"/>
      <c r="BN31" s="1006"/>
      <c r="BO31" s="1006"/>
      <c r="BP31" s="1006"/>
      <c r="BQ31" s="1006"/>
      <c r="BR31" s="1006"/>
      <c r="BS31" s="1006"/>
      <c r="BT31" s="1006"/>
      <c r="BU31" s="1006"/>
      <c r="BV31" s="1006"/>
      <c r="BW31" s="1006"/>
      <c r="BX31" s="1006"/>
      <c r="BY31" s="1006"/>
      <c r="BZ31" s="1006"/>
      <c r="CA31" s="1006"/>
      <c r="CB31" s="1006"/>
    </row>
    <row r="32" spans="1:85" s="87" customFormat="1" ht="20.45" customHeight="1" x14ac:dyDescent="0.2">
      <c r="A32" s="1010" t="s">
        <v>561</v>
      </c>
      <c r="B32" s="1010"/>
      <c r="C32" s="1010"/>
      <c r="D32" s="1006" t="s">
        <v>562</v>
      </c>
      <c r="E32" s="1006"/>
      <c r="F32" s="1006"/>
      <c r="G32" s="1006"/>
      <c r="H32" s="1006"/>
      <c r="I32" s="1006"/>
      <c r="J32" s="1006"/>
      <c r="K32" s="1006"/>
      <c r="L32" s="1006"/>
      <c r="M32" s="1006"/>
      <c r="N32" s="1006"/>
      <c r="O32" s="1006"/>
      <c r="P32" s="1006"/>
      <c r="Q32" s="1006"/>
      <c r="R32" s="1006"/>
      <c r="S32" s="1006"/>
      <c r="T32" s="1006"/>
      <c r="U32" s="1006"/>
      <c r="V32" s="1006"/>
      <c r="W32" s="1006"/>
      <c r="X32" s="1006"/>
      <c r="Y32" s="1006"/>
      <c r="Z32" s="1006"/>
      <c r="AA32" s="1006"/>
      <c r="AB32" s="1006"/>
      <c r="AC32" s="1006"/>
      <c r="AD32" s="1006"/>
      <c r="AE32" s="1006"/>
      <c r="AF32" s="1006"/>
      <c r="AG32" s="1006"/>
      <c r="AH32" s="1006"/>
      <c r="AI32" s="1006"/>
      <c r="AJ32" s="1006"/>
      <c r="AK32" s="1006"/>
      <c r="AL32" s="1006"/>
      <c r="AM32" s="1006"/>
      <c r="AN32" s="1006"/>
      <c r="AO32" s="1006"/>
      <c r="AP32" s="1006"/>
      <c r="AQ32" s="1006"/>
      <c r="AR32" s="1006"/>
      <c r="AS32" s="1006"/>
      <c r="AT32" s="1006"/>
      <c r="AU32" s="1006"/>
      <c r="AV32" s="1006"/>
      <c r="AW32" s="1006"/>
      <c r="AX32" s="1006"/>
      <c r="AY32" s="1006"/>
      <c r="AZ32" s="1006"/>
      <c r="BA32" s="1006"/>
      <c r="BB32" s="1006"/>
      <c r="BC32" s="1006"/>
      <c r="BD32" s="1006"/>
      <c r="BE32" s="1006"/>
      <c r="BF32" s="1006"/>
      <c r="BG32" s="1006"/>
      <c r="BH32" s="1006"/>
      <c r="BI32" s="1006"/>
      <c r="BJ32" s="1006"/>
      <c r="BK32" s="1006"/>
      <c r="BL32" s="1006"/>
      <c r="BM32" s="1006"/>
      <c r="BN32" s="1006"/>
      <c r="BO32" s="1006"/>
      <c r="BP32" s="1006"/>
      <c r="BQ32" s="1006"/>
      <c r="BR32" s="1006"/>
      <c r="BS32" s="1006"/>
      <c r="BT32" s="1006"/>
      <c r="BU32" s="1006"/>
      <c r="BV32" s="1006"/>
      <c r="BW32" s="1006"/>
      <c r="BX32" s="1006"/>
      <c r="BY32" s="1006"/>
      <c r="BZ32" s="1006"/>
      <c r="CA32" s="1006"/>
      <c r="CB32" s="1006"/>
    </row>
    <row r="33" spans="1:80" s="87" customFormat="1" ht="13.9" customHeight="1" x14ac:dyDescent="0.2">
      <c r="A33" s="974" t="s">
        <v>729</v>
      </c>
      <c r="B33" s="974"/>
      <c r="C33" s="974"/>
      <c r="D33" s="1006" t="s">
        <v>730</v>
      </c>
      <c r="E33" s="1006"/>
      <c r="F33" s="1006"/>
      <c r="G33" s="1006"/>
      <c r="H33" s="1006"/>
      <c r="I33" s="1006"/>
      <c r="J33" s="1006"/>
      <c r="K33" s="1006"/>
      <c r="L33" s="1006"/>
      <c r="M33" s="1006"/>
      <c r="N33" s="1006"/>
      <c r="O33" s="1006"/>
      <c r="P33" s="1006"/>
      <c r="Q33" s="1006"/>
      <c r="R33" s="1006"/>
      <c r="S33" s="1006"/>
      <c r="T33" s="1006"/>
      <c r="U33" s="1006"/>
      <c r="V33" s="1006"/>
      <c r="W33" s="1006"/>
      <c r="X33" s="1006"/>
      <c r="Y33" s="1006"/>
      <c r="Z33" s="1006"/>
      <c r="AA33" s="1006"/>
      <c r="AB33" s="1006"/>
      <c r="AC33" s="1006"/>
      <c r="AD33" s="1006"/>
      <c r="AE33" s="1006"/>
      <c r="AF33" s="1006"/>
      <c r="AG33" s="1006"/>
      <c r="AH33" s="1006"/>
      <c r="AI33" s="1006"/>
      <c r="AJ33" s="1006"/>
      <c r="AK33" s="1006"/>
      <c r="AL33" s="1006"/>
      <c r="AM33" s="1006"/>
      <c r="AN33" s="1006"/>
      <c r="AO33" s="1006"/>
      <c r="AP33" s="1006"/>
      <c r="AQ33" s="1006"/>
      <c r="AR33" s="1006"/>
      <c r="AS33" s="1006"/>
      <c r="AT33" s="1006"/>
      <c r="AU33" s="1006"/>
      <c r="AV33" s="1006"/>
      <c r="AW33" s="1006"/>
      <c r="AX33" s="1006"/>
      <c r="AY33" s="1006"/>
      <c r="AZ33" s="1006"/>
      <c r="BA33" s="1006"/>
      <c r="BB33" s="1006"/>
      <c r="BC33" s="1006"/>
      <c r="BD33" s="1006"/>
      <c r="BE33" s="1006"/>
      <c r="BF33" s="1006"/>
      <c r="BG33" s="1006"/>
      <c r="BH33" s="1006"/>
      <c r="BI33" s="1006"/>
      <c r="BJ33" s="1006"/>
      <c r="BK33" s="1006"/>
      <c r="BL33" s="1006"/>
      <c r="BM33" s="1006"/>
      <c r="BN33" s="1006"/>
      <c r="BO33" s="1006"/>
      <c r="BP33" s="1006"/>
      <c r="BQ33" s="1006"/>
      <c r="BR33" s="1006"/>
      <c r="BS33" s="1006"/>
      <c r="BT33" s="1006"/>
      <c r="BU33" s="1006"/>
      <c r="BV33" s="1006"/>
      <c r="BW33" s="1006"/>
      <c r="BX33" s="1006"/>
      <c r="BY33" s="1006"/>
      <c r="BZ33" s="1006"/>
      <c r="CA33" s="1006"/>
      <c r="CB33" s="1006"/>
    </row>
    <row r="34" spans="1:80" s="87" customFormat="1" ht="13.9" customHeight="1" x14ac:dyDescent="0.2">
      <c r="A34" s="974" t="s">
        <v>731</v>
      </c>
      <c r="B34" s="974"/>
      <c r="C34" s="974"/>
      <c r="D34" s="1006" t="s">
        <v>732</v>
      </c>
      <c r="E34" s="1006"/>
      <c r="F34" s="1006"/>
      <c r="G34" s="1006"/>
      <c r="H34" s="1006"/>
      <c r="I34" s="1006"/>
      <c r="J34" s="1006"/>
      <c r="K34" s="1006"/>
      <c r="L34" s="1006"/>
      <c r="M34" s="1006"/>
      <c r="N34" s="1006"/>
      <c r="O34" s="1006"/>
      <c r="P34" s="1006"/>
      <c r="Q34" s="1006"/>
      <c r="R34" s="1006"/>
      <c r="S34" s="1006"/>
      <c r="T34" s="1006"/>
      <c r="U34" s="1006"/>
      <c r="V34" s="1006"/>
      <c r="W34" s="1006"/>
      <c r="X34" s="1006"/>
      <c r="Y34" s="1006"/>
      <c r="Z34" s="1006"/>
      <c r="AA34" s="1006"/>
      <c r="AB34" s="1006"/>
      <c r="AC34" s="1006"/>
      <c r="AD34" s="1006"/>
      <c r="AE34" s="1006"/>
      <c r="AF34" s="1006"/>
      <c r="AG34" s="1006"/>
      <c r="AH34" s="1006"/>
      <c r="AI34" s="1006"/>
      <c r="AJ34" s="1006"/>
      <c r="AK34" s="1006"/>
      <c r="AL34" s="1006"/>
      <c r="AM34" s="1006"/>
      <c r="AN34" s="1006"/>
      <c r="AO34" s="1006"/>
      <c r="AP34" s="1006"/>
      <c r="AQ34" s="1006"/>
      <c r="AR34" s="1006"/>
      <c r="AS34" s="1006"/>
      <c r="AT34" s="1006"/>
      <c r="AU34" s="1006"/>
      <c r="AV34" s="1006"/>
      <c r="AW34" s="1006"/>
      <c r="AX34" s="1006"/>
      <c r="AY34" s="1006"/>
      <c r="AZ34" s="1006"/>
      <c r="BA34" s="1006"/>
      <c r="BB34" s="1006"/>
      <c r="BC34" s="1006"/>
      <c r="BD34" s="1006"/>
      <c r="BE34" s="1006"/>
      <c r="BF34" s="1006"/>
      <c r="BG34" s="1006"/>
      <c r="BH34" s="1006"/>
      <c r="BI34" s="1006"/>
      <c r="BJ34" s="1006"/>
      <c r="BK34" s="1006"/>
      <c r="BL34" s="1006"/>
      <c r="BM34" s="1006"/>
      <c r="BN34" s="1006"/>
      <c r="BO34" s="1006"/>
      <c r="BP34" s="1006"/>
      <c r="BQ34" s="1006"/>
      <c r="BR34" s="1006"/>
      <c r="BS34" s="1006"/>
      <c r="BT34" s="1006"/>
      <c r="BU34" s="1006"/>
      <c r="BV34" s="1006"/>
      <c r="BW34" s="1006"/>
      <c r="BX34" s="1006"/>
      <c r="BY34" s="1006"/>
      <c r="BZ34" s="1006"/>
      <c r="CA34" s="1006"/>
      <c r="CB34" s="1006"/>
    </row>
    <row r="35" spans="1:80" s="87" customFormat="1" ht="13.9" customHeight="1" x14ac:dyDescent="0.2">
      <c r="A35" s="974" t="s">
        <v>733</v>
      </c>
      <c r="B35" s="974"/>
      <c r="C35" s="974"/>
      <c r="D35" s="1006" t="s">
        <v>734</v>
      </c>
      <c r="E35" s="1006"/>
      <c r="F35" s="1006"/>
      <c r="G35" s="1006"/>
      <c r="H35" s="1006"/>
      <c r="I35" s="1006"/>
      <c r="J35" s="1006"/>
      <c r="K35" s="1006"/>
      <c r="L35" s="1006"/>
      <c r="M35" s="1006"/>
      <c r="N35" s="1006"/>
      <c r="O35" s="1006"/>
      <c r="P35" s="1006"/>
      <c r="Q35" s="1006"/>
      <c r="R35" s="1006"/>
      <c r="S35" s="1006"/>
      <c r="T35" s="1006"/>
      <c r="U35" s="1006"/>
      <c r="V35" s="1006"/>
      <c r="W35" s="1006"/>
      <c r="X35" s="1006"/>
      <c r="Y35" s="1006"/>
      <c r="Z35" s="1006"/>
      <c r="AA35" s="1006"/>
      <c r="AB35" s="1006"/>
      <c r="AC35" s="1006"/>
      <c r="AD35" s="1006"/>
      <c r="AE35" s="1006"/>
      <c r="AF35" s="1006"/>
      <c r="AG35" s="1006"/>
      <c r="AH35" s="1006"/>
      <c r="AI35" s="1006"/>
      <c r="AJ35" s="1006"/>
      <c r="AK35" s="1006"/>
      <c r="AL35" s="1006"/>
      <c r="AM35" s="1006"/>
      <c r="AN35" s="1006"/>
      <c r="AO35" s="1006"/>
      <c r="AP35" s="1006"/>
      <c r="AQ35" s="1006"/>
      <c r="AR35" s="1006"/>
      <c r="AS35" s="1006"/>
      <c r="AT35" s="1006"/>
      <c r="AU35" s="1006"/>
      <c r="AV35" s="1006"/>
      <c r="AW35" s="1006"/>
      <c r="AX35" s="1006"/>
      <c r="AY35" s="1006"/>
      <c r="AZ35" s="1006"/>
      <c r="BA35" s="1006"/>
      <c r="BB35" s="1006"/>
      <c r="BC35" s="1006"/>
      <c r="BD35" s="1006"/>
      <c r="BE35" s="1006"/>
      <c r="BF35" s="1006"/>
      <c r="BG35" s="1006"/>
      <c r="BH35" s="1006"/>
      <c r="BI35" s="1006"/>
      <c r="BJ35" s="1006"/>
      <c r="BK35" s="1006"/>
      <c r="BL35" s="1006"/>
      <c r="BM35" s="1006"/>
      <c r="BN35" s="1006"/>
      <c r="BO35" s="1006"/>
      <c r="BP35" s="1006"/>
      <c r="BQ35" s="1006"/>
      <c r="BR35" s="1006"/>
      <c r="BS35" s="1006"/>
      <c r="BT35" s="1006"/>
      <c r="BU35" s="1006"/>
      <c r="BV35" s="1006"/>
      <c r="BW35" s="1006"/>
      <c r="BX35" s="1006"/>
      <c r="BY35" s="1006"/>
      <c r="BZ35" s="1006"/>
      <c r="CA35" s="1006"/>
      <c r="CB35" s="1006"/>
    </row>
    <row r="36" spans="1:80" s="87" customFormat="1" ht="13.9" customHeight="1" x14ac:dyDescent="0.2">
      <c r="A36" s="1009" t="s">
        <v>735</v>
      </c>
      <c r="B36" s="1009"/>
      <c r="C36" s="1009"/>
      <c r="D36" s="1006" t="s">
        <v>736</v>
      </c>
      <c r="E36" s="1006"/>
      <c r="F36" s="1006"/>
      <c r="G36" s="1006"/>
      <c r="H36" s="1006"/>
      <c r="I36" s="1006"/>
      <c r="J36" s="1006"/>
      <c r="K36" s="1006"/>
      <c r="L36" s="1006"/>
      <c r="M36" s="1006"/>
      <c r="N36" s="1006"/>
      <c r="O36" s="1006"/>
      <c r="P36" s="1006"/>
      <c r="Q36" s="1006"/>
      <c r="R36" s="1006"/>
      <c r="S36" s="1006"/>
      <c r="T36" s="1006"/>
      <c r="U36" s="1006"/>
      <c r="V36" s="1006"/>
      <c r="W36" s="1006"/>
      <c r="X36" s="1006"/>
      <c r="Y36" s="1006"/>
      <c r="Z36" s="1006"/>
      <c r="AA36" s="1006"/>
      <c r="AB36" s="1006"/>
      <c r="AC36" s="1006"/>
      <c r="AD36" s="1006"/>
      <c r="AE36" s="1006"/>
      <c r="AF36" s="1006"/>
      <c r="AG36" s="1006"/>
      <c r="AH36" s="1006"/>
      <c r="AI36" s="1006"/>
      <c r="AJ36" s="1006"/>
      <c r="AK36" s="1006"/>
      <c r="AL36" s="1006"/>
      <c r="AM36" s="1006"/>
      <c r="AN36" s="1006"/>
      <c r="AO36" s="1006"/>
      <c r="AP36" s="1006"/>
      <c r="AQ36" s="1006"/>
      <c r="AR36" s="1006"/>
      <c r="AS36" s="1006"/>
      <c r="AT36" s="1006"/>
      <c r="AU36" s="1006"/>
      <c r="AV36" s="1006"/>
      <c r="AW36" s="1006"/>
      <c r="AX36" s="1006"/>
      <c r="AY36" s="1006"/>
      <c r="AZ36" s="1006"/>
      <c r="BA36" s="1006"/>
      <c r="BB36" s="1006"/>
      <c r="BC36" s="1006"/>
      <c r="BD36" s="1006"/>
      <c r="BE36" s="1006"/>
      <c r="BF36" s="1006"/>
      <c r="BG36" s="1006"/>
      <c r="BH36" s="1006"/>
      <c r="BI36" s="1006"/>
      <c r="BJ36" s="1006"/>
      <c r="BK36" s="1006"/>
      <c r="BL36" s="1006"/>
      <c r="BM36" s="1006"/>
      <c r="BN36" s="1006"/>
      <c r="BO36" s="1006"/>
      <c r="BP36" s="1006"/>
      <c r="BQ36" s="1006"/>
      <c r="BR36" s="1006"/>
      <c r="BS36" s="1006"/>
      <c r="BT36" s="1006"/>
      <c r="BU36" s="1006"/>
      <c r="BV36" s="1006"/>
      <c r="BW36" s="1006"/>
      <c r="BX36" s="1006"/>
      <c r="BY36" s="1006"/>
      <c r="BZ36" s="1006"/>
      <c r="CA36" s="1006"/>
      <c r="CB36" s="1006"/>
    </row>
    <row r="37" spans="1:80" s="87" customFormat="1" ht="13.9" customHeight="1" x14ac:dyDescent="0.2">
      <c r="A37" s="92" t="s">
        <v>513</v>
      </c>
      <c r="B37" s="93"/>
      <c r="C37" s="93"/>
    </row>
    <row r="38" spans="1:80" s="87" customFormat="1" ht="25.9" customHeight="1" x14ac:dyDescent="0.2">
      <c r="A38" s="92" t="s">
        <v>563</v>
      </c>
      <c r="B38" s="93"/>
      <c r="C38" s="93"/>
      <c r="D38" s="1006" t="s">
        <v>564</v>
      </c>
      <c r="E38" s="1006"/>
      <c r="F38" s="1006"/>
      <c r="G38" s="1006"/>
      <c r="H38" s="1006"/>
      <c r="I38" s="1006"/>
      <c r="J38" s="1006"/>
      <c r="K38" s="1006"/>
      <c r="L38" s="1006"/>
      <c r="M38" s="1006"/>
      <c r="N38" s="1006"/>
      <c r="O38" s="1006"/>
      <c r="P38" s="1006"/>
      <c r="Q38" s="1006"/>
      <c r="R38" s="1006"/>
      <c r="S38" s="1006"/>
      <c r="T38" s="1006"/>
      <c r="U38" s="1006"/>
      <c r="V38" s="1006"/>
      <c r="W38" s="1006"/>
      <c r="X38" s="1006"/>
      <c r="Y38" s="1006"/>
      <c r="Z38" s="1006"/>
      <c r="AA38" s="1006"/>
      <c r="AB38" s="1006"/>
      <c r="AC38" s="1006"/>
      <c r="AD38" s="1006"/>
      <c r="AE38" s="1006"/>
      <c r="AF38" s="1006"/>
      <c r="AG38" s="1006"/>
      <c r="AH38" s="1006"/>
      <c r="AI38" s="1006"/>
      <c r="AJ38" s="1006"/>
      <c r="AK38" s="1006"/>
      <c r="AL38" s="1006"/>
      <c r="AM38" s="1006"/>
      <c r="AN38" s="1006"/>
      <c r="AO38" s="1006"/>
      <c r="AP38" s="1006"/>
      <c r="AQ38" s="1006"/>
      <c r="AR38" s="1006"/>
      <c r="AS38" s="1006"/>
      <c r="AT38" s="1006"/>
      <c r="AU38" s="1006"/>
      <c r="AV38" s="1006"/>
      <c r="AW38" s="1006"/>
      <c r="AX38" s="1006"/>
      <c r="AY38" s="1006"/>
      <c r="AZ38" s="1006"/>
      <c r="BA38" s="1006"/>
      <c r="BB38" s="1006"/>
      <c r="BC38" s="1006"/>
      <c r="BD38" s="1006"/>
      <c r="BE38" s="1006"/>
      <c r="BF38" s="1006"/>
      <c r="BG38" s="1006"/>
      <c r="BH38" s="1006"/>
      <c r="BI38" s="1006"/>
      <c r="BJ38" s="1006"/>
      <c r="BK38" s="1006"/>
      <c r="BL38" s="1006"/>
      <c r="BM38" s="1006"/>
      <c r="BN38" s="1006"/>
      <c r="BO38" s="1006"/>
      <c r="BP38" s="1006"/>
      <c r="BQ38" s="1006"/>
      <c r="BR38" s="1006"/>
      <c r="BS38" s="1006"/>
      <c r="BT38" s="1006"/>
      <c r="BU38" s="1006"/>
      <c r="BV38" s="1006"/>
      <c r="BW38" s="1006"/>
      <c r="BX38" s="1006"/>
      <c r="BY38" s="1006"/>
      <c r="BZ38" s="1006"/>
      <c r="CA38" s="1006"/>
      <c r="CB38" s="1006"/>
    </row>
    <row r="39" spans="1:80" s="87" customFormat="1" ht="13.9" customHeight="1" x14ac:dyDescent="0.2">
      <c r="A39" s="974" t="s">
        <v>737</v>
      </c>
      <c r="B39" s="974"/>
      <c r="C39" s="974"/>
      <c r="D39" s="974"/>
      <c r="E39" s="1006" t="s">
        <v>738</v>
      </c>
      <c r="F39" s="1006"/>
      <c r="G39" s="1006"/>
      <c r="H39" s="1006"/>
      <c r="I39" s="1006"/>
      <c r="J39" s="1006"/>
      <c r="K39" s="1006"/>
      <c r="L39" s="1006"/>
      <c r="M39" s="1006"/>
      <c r="N39" s="1006"/>
      <c r="O39" s="1006"/>
      <c r="P39" s="1006"/>
      <c r="Q39" s="1006"/>
      <c r="R39" s="1006"/>
      <c r="S39" s="1006"/>
      <c r="T39" s="1006"/>
      <c r="U39" s="1006"/>
      <c r="V39" s="1006"/>
      <c r="W39" s="1006"/>
      <c r="X39" s="1006"/>
      <c r="Y39" s="1006"/>
      <c r="Z39" s="1006"/>
      <c r="AA39" s="1006"/>
      <c r="AB39" s="1006"/>
      <c r="AC39" s="1006"/>
      <c r="AD39" s="1006"/>
      <c r="AE39" s="1006"/>
      <c r="AF39" s="1006"/>
      <c r="AG39" s="1006"/>
      <c r="AH39" s="1006"/>
      <c r="AI39" s="1006"/>
      <c r="AJ39" s="1006"/>
      <c r="AK39" s="1006"/>
      <c r="AL39" s="1006"/>
      <c r="AM39" s="1006"/>
      <c r="AN39" s="1006"/>
      <c r="AO39" s="1006"/>
      <c r="AP39" s="1006"/>
      <c r="AQ39" s="1006"/>
      <c r="AR39" s="1006"/>
      <c r="AS39" s="1006"/>
      <c r="AT39" s="1006"/>
      <c r="AU39" s="1006"/>
      <c r="AV39" s="1006"/>
      <c r="AW39" s="1006"/>
      <c r="AX39" s="1006"/>
      <c r="AY39" s="1006"/>
      <c r="AZ39" s="1006"/>
      <c r="BA39" s="1006"/>
      <c r="BB39" s="1006"/>
      <c r="BC39" s="1006"/>
      <c r="BD39" s="1006"/>
      <c r="BE39" s="1006"/>
      <c r="BF39" s="1006"/>
      <c r="BG39" s="1006"/>
      <c r="BH39" s="1006"/>
      <c r="BI39" s="1006"/>
      <c r="BJ39" s="1006"/>
      <c r="BK39" s="1006"/>
      <c r="BL39" s="1006"/>
      <c r="BM39" s="1006"/>
      <c r="BN39" s="1006"/>
      <c r="BO39" s="1006"/>
      <c r="BP39" s="1006"/>
      <c r="BQ39" s="1006"/>
      <c r="BR39" s="1006"/>
      <c r="BS39" s="1006"/>
      <c r="BT39" s="1006"/>
      <c r="BU39" s="1006"/>
      <c r="BV39" s="1006"/>
      <c r="BW39" s="1006"/>
      <c r="BX39" s="1006"/>
      <c r="BY39" s="1006"/>
      <c r="BZ39" s="1006"/>
      <c r="CA39" s="1006"/>
      <c r="CB39" s="1006"/>
    </row>
    <row r="40" spans="1:80" s="87" customFormat="1" ht="13.9" customHeight="1" x14ac:dyDescent="0.2">
      <c r="A40" s="974" t="s">
        <v>739</v>
      </c>
      <c r="B40" s="974"/>
      <c r="C40" s="974"/>
      <c r="D40" s="974"/>
      <c r="E40" s="1006" t="s">
        <v>740</v>
      </c>
      <c r="F40" s="1006"/>
      <c r="G40" s="1006"/>
      <c r="H40" s="1006"/>
      <c r="I40" s="1006"/>
      <c r="J40" s="1006"/>
      <c r="K40" s="1006"/>
      <c r="L40" s="1006"/>
      <c r="M40" s="1006"/>
      <c r="N40" s="1006"/>
      <c r="O40" s="1006"/>
      <c r="P40" s="1006"/>
      <c r="Q40" s="1006"/>
      <c r="R40" s="1006"/>
      <c r="S40" s="1006"/>
      <c r="T40" s="1006"/>
      <c r="U40" s="1006"/>
      <c r="V40" s="1006"/>
      <c r="W40" s="1006"/>
      <c r="X40" s="1006"/>
      <c r="Y40" s="1006"/>
      <c r="Z40" s="1006"/>
      <c r="AA40" s="1006"/>
      <c r="AB40" s="1006"/>
      <c r="AC40" s="1006"/>
      <c r="AD40" s="1006"/>
      <c r="AE40" s="1006"/>
      <c r="AF40" s="1006"/>
      <c r="AG40" s="1006"/>
      <c r="AH40" s="1006"/>
      <c r="AI40" s="1006"/>
      <c r="AJ40" s="1006"/>
      <c r="AK40" s="1006"/>
      <c r="AL40" s="1006"/>
      <c r="AM40" s="1006"/>
      <c r="AN40" s="1006"/>
      <c r="AO40" s="1006"/>
      <c r="AP40" s="1006"/>
      <c r="AQ40" s="1006"/>
      <c r="AR40" s="1006"/>
      <c r="AS40" s="1006"/>
      <c r="AT40" s="1006"/>
      <c r="AU40" s="1006"/>
      <c r="AV40" s="1006"/>
      <c r="AW40" s="1006"/>
      <c r="AX40" s="1006"/>
      <c r="AY40" s="1006"/>
      <c r="AZ40" s="1006"/>
      <c r="BA40" s="1006"/>
      <c r="BB40" s="1006"/>
      <c r="BC40" s="1006"/>
      <c r="BD40" s="1006"/>
      <c r="BE40" s="1006"/>
      <c r="BF40" s="1006"/>
      <c r="BG40" s="1006"/>
      <c r="BH40" s="1006"/>
      <c r="BI40" s="1006"/>
      <c r="BJ40" s="1006"/>
      <c r="BK40" s="1006"/>
      <c r="BL40" s="1006"/>
      <c r="BM40" s="1006"/>
      <c r="BN40" s="1006"/>
      <c r="BO40" s="1006"/>
      <c r="BP40" s="1006"/>
      <c r="BQ40" s="1006"/>
      <c r="BR40" s="1006"/>
      <c r="BS40" s="1006"/>
      <c r="BT40" s="1006"/>
      <c r="BU40" s="1006"/>
      <c r="BV40" s="1006"/>
      <c r="BW40" s="1006"/>
      <c r="BX40" s="1006"/>
      <c r="BY40" s="1006"/>
      <c r="BZ40" s="1006"/>
      <c r="CA40" s="1006"/>
      <c r="CB40" s="1006"/>
    </row>
    <row r="41" spans="1:80" s="87" customFormat="1" ht="13.9" customHeight="1" x14ac:dyDescent="0.2">
      <c r="A41" s="974" t="s">
        <v>741</v>
      </c>
      <c r="B41" s="974"/>
      <c r="C41" s="974"/>
      <c r="D41" s="974"/>
      <c r="E41" s="1006" t="s">
        <v>742</v>
      </c>
      <c r="F41" s="1006"/>
      <c r="G41" s="1006"/>
      <c r="H41" s="1006"/>
      <c r="I41" s="1006"/>
      <c r="J41" s="1006"/>
      <c r="K41" s="1006"/>
      <c r="L41" s="1006"/>
      <c r="M41" s="1006"/>
      <c r="N41" s="1006"/>
      <c r="O41" s="1006"/>
      <c r="P41" s="1006"/>
      <c r="Q41" s="1006"/>
      <c r="R41" s="1006"/>
      <c r="S41" s="1006"/>
      <c r="T41" s="1006"/>
      <c r="U41" s="1006"/>
      <c r="V41" s="1006"/>
      <c r="W41" s="1006"/>
      <c r="X41" s="1006"/>
      <c r="Y41" s="1006"/>
      <c r="Z41" s="1006"/>
      <c r="AA41" s="1006"/>
      <c r="AB41" s="1006"/>
      <c r="AC41" s="1006"/>
      <c r="AD41" s="1006"/>
      <c r="AE41" s="1006"/>
      <c r="AF41" s="1006"/>
      <c r="AG41" s="1006"/>
      <c r="AH41" s="1006"/>
      <c r="AI41" s="1006"/>
      <c r="AJ41" s="1006"/>
      <c r="AK41" s="1006"/>
      <c r="AL41" s="1006"/>
      <c r="AM41" s="1006"/>
      <c r="AN41" s="1006"/>
      <c r="AO41" s="1006"/>
      <c r="AP41" s="1006"/>
      <c r="AQ41" s="1006"/>
      <c r="AR41" s="1006"/>
      <c r="AS41" s="1006"/>
      <c r="AT41" s="1006"/>
      <c r="AU41" s="1006"/>
      <c r="AV41" s="1006"/>
      <c r="AW41" s="1006"/>
      <c r="AX41" s="1006"/>
      <c r="AY41" s="1006"/>
      <c r="AZ41" s="1006"/>
      <c r="BA41" s="1006"/>
      <c r="BB41" s="1006"/>
      <c r="BC41" s="1006"/>
      <c r="BD41" s="1006"/>
      <c r="BE41" s="1006"/>
      <c r="BF41" s="1006"/>
      <c r="BG41" s="1006"/>
      <c r="BH41" s="1006"/>
      <c r="BI41" s="1006"/>
      <c r="BJ41" s="1006"/>
      <c r="BK41" s="1006"/>
      <c r="BL41" s="1006"/>
      <c r="BM41" s="1006"/>
      <c r="BN41" s="1006"/>
      <c r="BO41" s="1006"/>
      <c r="BP41" s="1006"/>
      <c r="BQ41" s="1006"/>
      <c r="BR41" s="1006"/>
      <c r="BS41" s="1006"/>
      <c r="BT41" s="1006"/>
      <c r="BU41" s="1006"/>
      <c r="BV41" s="1006"/>
      <c r="BW41" s="1006"/>
      <c r="BX41" s="1006"/>
      <c r="BY41" s="1006"/>
      <c r="BZ41" s="1006"/>
      <c r="CA41" s="1006"/>
      <c r="CB41" s="1006"/>
    </row>
    <row r="42" spans="1:80" s="87" customFormat="1" ht="13.9" customHeight="1" x14ac:dyDescent="0.2">
      <c r="A42" s="974" t="s">
        <v>743</v>
      </c>
      <c r="B42" s="974"/>
      <c r="C42" s="974"/>
      <c r="D42" s="974"/>
      <c r="E42" s="1006" t="s">
        <v>744</v>
      </c>
      <c r="F42" s="1006"/>
      <c r="G42" s="1006"/>
      <c r="H42" s="1006"/>
      <c r="I42" s="1006"/>
      <c r="J42" s="1006"/>
      <c r="K42" s="1006"/>
      <c r="L42" s="1006"/>
      <c r="M42" s="1006"/>
      <c r="N42" s="1006"/>
      <c r="O42" s="1006"/>
      <c r="P42" s="1006"/>
      <c r="Q42" s="1006"/>
      <c r="R42" s="1006"/>
      <c r="S42" s="1006"/>
      <c r="T42" s="1006"/>
      <c r="U42" s="1006"/>
      <c r="V42" s="1006"/>
      <c r="W42" s="1006"/>
      <c r="X42" s="1006"/>
      <c r="Y42" s="1006"/>
      <c r="Z42" s="1006"/>
      <c r="AA42" s="1006"/>
      <c r="AB42" s="1006"/>
      <c r="AC42" s="1006"/>
      <c r="AD42" s="1006"/>
      <c r="AE42" s="1006"/>
      <c r="AF42" s="1006"/>
      <c r="AG42" s="1006"/>
      <c r="AH42" s="1006"/>
      <c r="AI42" s="1006"/>
      <c r="AJ42" s="1006"/>
      <c r="AK42" s="1006"/>
      <c r="AL42" s="1006"/>
      <c r="AM42" s="1006"/>
      <c r="AN42" s="1006"/>
      <c r="AO42" s="1006"/>
      <c r="AP42" s="1006"/>
      <c r="AQ42" s="1006"/>
      <c r="AR42" s="1006"/>
      <c r="AS42" s="1006"/>
      <c r="AT42" s="1006"/>
      <c r="AU42" s="1006"/>
      <c r="AV42" s="1006"/>
      <c r="AW42" s="1006"/>
      <c r="AX42" s="1006"/>
      <c r="AY42" s="1006"/>
      <c r="AZ42" s="1006"/>
      <c r="BA42" s="1006"/>
      <c r="BB42" s="1006"/>
      <c r="BC42" s="1006"/>
      <c r="BD42" s="1006"/>
      <c r="BE42" s="1006"/>
      <c r="BF42" s="1006"/>
      <c r="BG42" s="1006"/>
      <c r="BH42" s="1006"/>
      <c r="BI42" s="1006"/>
      <c r="BJ42" s="1006"/>
      <c r="BK42" s="1006"/>
      <c r="BL42" s="1006"/>
      <c r="BM42" s="1006"/>
      <c r="BN42" s="1006"/>
      <c r="BO42" s="1006"/>
      <c r="BP42" s="1006"/>
      <c r="BQ42" s="1006"/>
      <c r="BR42" s="1006"/>
      <c r="BS42" s="1006"/>
      <c r="BT42" s="1006"/>
      <c r="BU42" s="1006"/>
      <c r="BV42" s="1006"/>
      <c r="BW42" s="1006"/>
      <c r="BX42" s="1006"/>
      <c r="BY42" s="1006"/>
      <c r="BZ42" s="1006"/>
      <c r="CA42" s="1006"/>
      <c r="CB42" s="1006"/>
    </row>
    <row r="43" spans="1:80" s="87" customFormat="1" ht="13.9" customHeight="1" x14ac:dyDescent="0.2">
      <c r="A43" s="974" t="s">
        <v>745</v>
      </c>
      <c r="B43" s="974"/>
      <c r="C43" s="974"/>
      <c r="D43" s="974"/>
      <c r="E43" s="1006" t="s">
        <v>746</v>
      </c>
      <c r="F43" s="1006"/>
      <c r="G43" s="1006"/>
      <c r="H43" s="1006"/>
      <c r="I43" s="1006"/>
      <c r="J43" s="1006"/>
      <c r="K43" s="1006"/>
      <c r="L43" s="1006"/>
      <c r="M43" s="1006"/>
      <c r="N43" s="1006"/>
      <c r="O43" s="1006"/>
      <c r="P43" s="1006"/>
      <c r="Q43" s="1006"/>
      <c r="R43" s="1006"/>
      <c r="S43" s="1006"/>
      <c r="T43" s="1006"/>
      <c r="U43" s="1006"/>
      <c r="V43" s="1006"/>
      <c r="W43" s="1006"/>
      <c r="X43" s="1006"/>
      <c r="Y43" s="1006"/>
      <c r="Z43" s="1006"/>
      <c r="AA43" s="1006"/>
      <c r="AB43" s="1006"/>
      <c r="AC43" s="1006"/>
      <c r="AD43" s="1006"/>
      <c r="AE43" s="1006"/>
      <c r="AF43" s="1006"/>
      <c r="AG43" s="1006"/>
      <c r="AH43" s="1006"/>
      <c r="AI43" s="1006"/>
      <c r="AJ43" s="1006"/>
      <c r="AK43" s="1006"/>
      <c r="AL43" s="1006"/>
      <c r="AM43" s="1006"/>
      <c r="AN43" s="1006"/>
      <c r="AO43" s="1006"/>
      <c r="AP43" s="1006"/>
      <c r="AQ43" s="1006"/>
      <c r="AR43" s="1006"/>
      <c r="AS43" s="1006"/>
      <c r="AT43" s="1006"/>
      <c r="AU43" s="1006"/>
      <c r="AV43" s="1006"/>
      <c r="AW43" s="1006"/>
      <c r="AX43" s="1006"/>
      <c r="AY43" s="1006"/>
      <c r="AZ43" s="1006"/>
      <c r="BA43" s="1006"/>
      <c r="BB43" s="1006"/>
      <c r="BC43" s="1006"/>
      <c r="BD43" s="1006"/>
      <c r="BE43" s="1006"/>
      <c r="BF43" s="1006"/>
      <c r="BG43" s="1006"/>
      <c r="BH43" s="1006"/>
      <c r="BI43" s="1006"/>
      <c r="BJ43" s="1006"/>
      <c r="BK43" s="1006"/>
      <c r="BL43" s="1006"/>
      <c r="BM43" s="1006"/>
      <c r="BN43" s="1006"/>
      <c r="BO43" s="1006"/>
      <c r="BP43" s="1006"/>
      <c r="BQ43" s="1006"/>
      <c r="BR43" s="1006"/>
      <c r="BS43" s="1006"/>
      <c r="BT43" s="1006"/>
      <c r="BU43" s="1006"/>
      <c r="BV43" s="1006"/>
      <c r="BW43" s="1006"/>
      <c r="BX43" s="1006"/>
      <c r="BY43" s="1006"/>
      <c r="BZ43" s="1006"/>
      <c r="CA43" s="1006"/>
      <c r="CB43" s="1006"/>
    </row>
    <row r="44" spans="1:80" s="87" customFormat="1" ht="13.9" customHeight="1" x14ac:dyDescent="0.2">
      <c r="A44" s="1014"/>
      <c r="B44" s="1015"/>
    </row>
    <row r="45" spans="1:80" s="2" customFormat="1" ht="12.75" x14ac:dyDescent="0.2"/>
    <row r="46" spans="1:80" s="2" customFormat="1" ht="12.75" x14ac:dyDescent="0.2">
      <c r="C46" s="11"/>
      <c r="D46" s="45" t="s">
        <v>59</v>
      </c>
      <c r="E46" s="11"/>
      <c r="F46" s="11"/>
      <c r="G46" s="11"/>
      <c r="H46" s="11"/>
      <c r="I46" s="11"/>
      <c r="AM46" s="857"/>
      <c r="AN46" s="857"/>
      <c r="AO46" s="857"/>
      <c r="AP46" s="857"/>
      <c r="AQ46" s="857"/>
      <c r="AR46" s="857"/>
      <c r="AS46" s="857"/>
      <c r="AT46" s="857"/>
      <c r="AU46" s="857"/>
      <c r="AV46" s="857"/>
      <c r="AW46" s="857"/>
      <c r="AX46" s="857"/>
      <c r="AY46" s="857"/>
      <c r="BC46" s="893" t="str">
        <f>IF('Данные объект'!B42="","",'Данные объект'!B42)</f>
      </c>
      <c r="BD46" s="893"/>
      <c r="BE46" s="893"/>
      <c r="BF46" s="893"/>
      <c r="BG46" s="893"/>
      <c r="BH46" s="893"/>
      <c r="BI46" s="893"/>
      <c r="BJ46" s="893"/>
      <c r="BK46" s="893"/>
      <c r="BL46" s="893"/>
      <c r="BM46" s="893"/>
      <c r="BN46" s="893"/>
      <c r="BO46" s="893"/>
      <c r="BP46" s="893"/>
      <c r="BQ46" s="893"/>
    </row>
    <row r="47" spans="1:80" s="5" customFormat="1" ht="11.25" x14ac:dyDescent="0.2">
      <c r="C47" s="57"/>
      <c r="D47" s="11"/>
      <c r="E47" s="45"/>
      <c r="F47" s="45"/>
      <c r="G47" s="57"/>
      <c r="H47" s="57"/>
      <c r="I47" s="57"/>
      <c r="J47" s="20"/>
      <c r="K47" s="20"/>
      <c r="L47" s="20"/>
      <c r="M47" s="20"/>
      <c r="AM47" s="858" t="s">
        <v>2</v>
      </c>
      <c r="AN47" s="858"/>
      <c r="AO47" s="858"/>
      <c r="AP47" s="858"/>
      <c r="AQ47" s="858"/>
      <c r="AR47" s="858"/>
      <c r="AS47" s="858"/>
      <c r="AT47" s="858"/>
      <c r="AU47" s="858"/>
      <c r="AV47" s="858"/>
      <c r="AW47" s="858"/>
      <c r="AX47" s="858"/>
      <c r="AY47" s="858"/>
    </row>
    <row r="48" spans="1:80" s="5" customFormat="1" ht="12.75" x14ac:dyDescent="0.2">
      <c r="C48" s="57"/>
      <c r="D48" s="45"/>
      <c r="E48" s="45"/>
      <c r="F48" s="45"/>
      <c r="G48" s="57"/>
      <c r="H48" s="57"/>
      <c r="I48" s="57"/>
      <c r="J48" s="20"/>
      <c r="K48" s="20"/>
      <c r="L48" s="20"/>
      <c r="M48" s="20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</row>
    <row r="49" spans="3:69" s="2" customFormat="1" ht="12.75" outlineLevel="2" x14ac:dyDescent="0.2">
      <c r="C49" s="57"/>
      <c r="D49" s="45"/>
      <c r="E49" s="45"/>
      <c r="F49" s="45"/>
      <c r="G49" s="57"/>
      <c r="H49" s="57"/>
      <c r="I49" s="57"/>
      <c r="J49" s="3"/>
      <c r="K49" s="3"/>
      <c r="L49" s="3"/>
      <c r="M49" s="3"/>
      <c r="AM49" s="857"/>
      <c r="AN49" s="857"/>
      <c r="AO49" s="857"/>
      <c r="AP49" s="857"/>
      <c r="AQ49" s="857"/>
      <c r="AR49" s="857"/>
      <c r="AS49" s="857"/>
      <c r="AT49" s="857"/>
      <c r="AU49" s="857"/>
      <c r="AV49" s="857"/>
      <c r="AW49" s="857"/>
      <c r="AX49" s="857"/>
      <c r="AY49" s="857"/>
      <c r="BC49" s="893" t="str">
        <f>IF('Данные объект'!B47="","",'Данные объект'!B47)</f>
      </c>
      <c r="BD49" s="893"/>
      <c r="BE49" s="893"/>
      <c r="BF49" s="893"/>
      <c r="BG49" s="893"/>
      <c r="BH49" s="893"/>
      <c r="BI49" s="893"/>
      <c r="BJ49" s="893"/>
      <c r="BK49" s="893"/>
      <c r="BL49" s="893"/>
      <c r="BM49" s="893"/>
      <c r="BN49" s="893"/>
      <c r="BO49" s="893"/>
      <c r="BP49" s="893"/>
      <c r="BQ49" s="893"/>
    </row>
    <row r="50" spans="3:69" s="5" customFormat="1" ht="11.25" outlineLevel="2" x14ac:dyDescent="0.2">
      <c r="C50" s="57"/>
      <c r="D50" s="11"/>
      <c r="E50" s="45"/>
      <c r="F50" s="45"/>
      <c r="G50" s="57"/>
      <c r="H50" s="57"/>
      <c r="I50" s="57"/>
      <c r="J50" s="20"/>
      <c r="K50" s="20"/>
      <c r="L50" s="20"/>
      <c r="M50" s="20"/>
      <c r="AM50" s="858" t="s">
        <v>2</v>
      </c>
      <c r="AN50" s="858"/>
      <c r="AO50" s="858"/>
      <c r="AP50" s="858"/>
      <c r="AQ50" s="858"/>
      <c r="AR50" s="858"/>
      <c r="AS50" s="858"/>
      <c r="AT50" s="858"/>
      <c r="AU50" s="858"/>
      <c r="AV50" s="858"/>
      <c r="AW50" s="858"/>
      <c r="AX50" s="858"/>
      <c r="AY50" s="858"/>
    </row>
    <row r="51" spans="3:69" s="5" customFormat="1" ht="12.75" outlineLevel="2" x14ac:dyDescent="0.2">
      <c r="C51" s="57"/>
      <c r="D51" s="45"/>
      <c r="E51" s="45"/>
      <c r="F51" s="45"/>
      <c r="G51" s="57"/>
      <c r="H51" s="57"/>
      <c r="I51" s="57"/>
      <c r="J51" s="20"/>
      <c r="K51" s="20"/>
      <c r="L51" s="20"/>
      <c r="M51" s="20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</row>
    <row r="52" spans="3:69" s="2" customFormat="1" ht="12.75" x14ac:dyDescent="0.2">
      <c r="C52" s="57"/>
      <c r="D52" s="45" t="s">
        <v>61</v>
      </c>
      <c r="E52" s="45"/>
      <c r="F52" s="45"/>
      <c r="G52" s="57"/>
      <c r="H52" s="57"/>
      <c r="I52" s="57"/>
      <c r="J52" s="3"/>
      <c r="K52" s="3"/>
      <c r="L52" s="3"/>
      <c r="M52" s="3"/>
      <c r="AM52" s="857"/>
      <c r="AN52" s="857"/>
      <c r="AO52" s="857"/>
      <c r="AP52" s="857"/>
      <c r="AQ52" s="857"/>
      <c r="AR52" s="857"/>
      <c r="AS52" s="857"/>
      <c r="AT52" s="857"/>
      <c r="AU52" s="857"/>
      <c r="AV52" s="857"/>
      <c r="AW52" s="857"/>
      <c r="AX52" s="857"/>
      <c r="AY52" s="857"/>
      <c r="BC52" s="893" t="str">
        <f>IF('Данные объект'!B28="","",'Данные объект'!B28)</f>
      </c>
      <c r="BD52" s="893"/>
      <c r="BE52" s="893"/>
      <c r="BF52" s="893"/>
      <c r="BG52" s="893"/>
      <c r="BH52" s="893"/>
      <c r="BI52" s="893"/>
      <c r="BJ52" s="893"/>
      <c r="BK52" s="893"/>
      <c r="BL52" s="893"/>
      <c r="BM52" s="893"/>
      <c r="BN52" s="893"/>
      <c r="BO52" s="893"/>
      <c r="BP52" s="893"/>
      <c r="BQ52" s="893"/>
    </row>
    <row r="53" spans="3:69" s="5" customFormat="1" ht="9.75" x14ac:dyDescent="0.2">
      <c r="C53" s="20"/>
      <c r="E53" s="21"/>
      <c r="F53" s="21"/>
      <c r="G53" s="20"/>
      <c r="H53" s="20"/>
      <c r="I53" s="20"/>
      <c r="J53" s="20"/>
      <c r="K53" s="20"/>
      <c r="L53" s="20"/>
      <c r="M53" s="20"/>
      <c r="AM53" s="858" t="s">
        <v>2</v>
      </c>
      <c r="AN53" s="858"/>
      <c r="AO53" s="858"/>
      <c r="AP53" s="858"/>
      <c r="AQ53" s="858"/>
      <c r="AR53" s="858"/>
      <c r="AS53" s="858"/>
      <c r="AT53" s="858"/>
      <c r="AU53" s="858"/>
      <c r="AV53" s="858"/>
      <c r="AW53" s="858"/>
      <c r="AX53" s="858"/>
      <c r="AY53" s="858"/>
    </row>
    <row r="54" spans="3:69" s="2" customFormat="1" ht="12.75" x14ac:dyDescent="0.2"/>
    <row r="55" spans="3:69" s="2" customFormat="1" ht="12.75" x14ac:dyDescent="0.2"/>
    <row r="56" spans="3:69" s="2" customFormat="1" ht="12.75" x14ac:dyDescent="0.2"/>
    <row r="57" spans="3:69" s="2" customFormat="1" ht="12.75" x14ac:dyDescent="0.2"/>
    <row r="58" spans="3:69" s="2" customFormat="1" ht="12.75" x14ac:dyDescent="0.2"/>
    <row r="59" spans="3:69" s="2" customFormat="1" ht="12.75" x14ac:dyDescent="0.2"/>
    <row r="60" spans="3:69" s="2" customFormat="1" ht="12.75" x14ac:dyDescent="0.2"/>
    <row r="61" spans="3:69" s="2" customFormat="1" ht="12.75" x14ac:dyDescent="0.2"/>
    <row r="62" spans="3:69" s="2" customFormat="1" ht="12.75" x14ac:dyDescent="0.2"/>
    <row r="63" spans="3:69" s="2" customFormat="1" ht="12.75" x14ac:dyDescent="0.2"/>
    <row r="64" spans="3:69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</sheetData>
  <mergeCells count="72">
    <mergeCell ref="AR1:BZ2"/>
    <mergeCell ref="A2:AI2"/>
    <mergeCell ref="A3:AI3"/>
    <mergeCell ref="AR3:BZ3"/>
    <mergeCell ref="A4:AI5"/>
    <mergeCell ref="AR4:BZ5"/>
    <mergeCell ref="A6:AI6"/>
    <mergeCell ref="AR6:BZ6"/>
    <mergeCell ref="AR7:BZ9"/>
    <mergeCell ref="A9:AI9"/>
    <mergeCell ref="A10:AI10"/>
    <mergeCell ref="AR10:BZ10"/>
    <mergeCell ref="A11:AI11"/>
    <mergeCell ref="AR11:BZ11"/>
    <mergeCell ref="A12:AI12"/>
    <mergeCell ref="AR12:BZ12"/>
    <mergeCell ref="BA14:BG14"/>
    <mergeCell ref="A44:B44"/>
    <mergeCell ref="AM50:AY50"/>
    <mergeCell ref="AM52:AY52"/>
    <mergeCell ref="BC52:BQ52"/>
    <mergeCell ref="AM53:AY53"/>
    <mergeCell ref="AM46:AY46"/>
    <mergeCell ref="BC46:BQ46"/>
    <mergeCell ref="AM47:AY47"/>
    <mergeCell ref="AM49:AY49"/>
    <mergeCell ref="BC49:BQ49"/>
    <mergeCell ref="A20:V20"/>
    <mergeCell ref="W20:AQ20"/>
    <mergeCell ref="Q17:CB17"/>
    <mergeCell ref="A15:T15"/>
    <mergeCell ref="A16:N16"/>
    <mergeCell ref="A17:O17"/>
    <mergeCell ref="A18:M18"/>
    <mergeCell ref="A19:S19"/>
    <mergeCell ref="T19:AM19"/>
    <mergeCell ref="A21:AQ21"/>
    <mergeCell ref="A22:CB22"/>
    <mergeCell ref="D30:CB30"/>
    <mergeCell ref="A31:C31"/>
    <mergeCell ref="D31:CB31"/>
    <mergeCell ref="A23:R23"/>
    <mergeCell ref="T23:AC23"/>
    <mergeCell ref="AD23:AF23"/>
    <mergeCell ref="A24:U24"/>
    <mergeCell ref="W24:AJ24"/>
    <mergeCell ref="A39:D39"/>
    <mergeCell ref="E39:CB39"/>
    <mergeCell ref="A30:C30"/>
    <mergeCell ref="A32:C32"/>
    <mergeCell ref="A33:C33"/>
    <mergeCell ref="D33:CB33"/>
    <mergeCell ref="A34:C34"/>
    <mergeCell ref="D34:CB34"/>
    <mergeCell ref="D38:CB38"/>
    <mergeCell ref="D32:CB32"/>
    <mergeCell ref="A43:D43"/>
    <mergeCell ref="E43:CB43"/>
    <mergeCell ref="U15:AO15"/>
    <mergeCell ref="D25:CB25"/>
    <mergeCell ref="O16:CB16"/>
    <mergeCell ref="N18:CB18"/>
    <mergeCell ref="A40:D40"/>
    <mergeCell ref="E40:CB40"/>
    <mergeCell ref="A41:D41"/>
    <mergeCell ref="E41:CB41"/>
    <mergeCell ref="A42:D42"/>
    <mergeCell ref="E42:CB42"/>
    <mergeCell ref="A35:C35"/>
    <mergeCell ref="D35:CB35"/>
    <mergeCell ref="A36:C36"/>
    <mergeCell ref="D36:CB36"/>
  </mergeCells>
  <pageMargins left="0.78740157480314965" right="0.19685039370078741" top="0.39370078740157483" bottom="0.39370078740157483" header="0.11811023622047245" footer="0.11811023622047245"/>
  <pageSetup paperSize="9" scale="98" orientation="portrait" r:id="rId1"/>
  <headerFooter>
    <oddFooter>&amp;C&amp;"Monotype Corsiva,обычный"страница &amp;P&amp;R&amp;"Monotype Corsiva,обычный"страниц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AD0994-4BFE-49D2-B6BF-AFBACDFB2BBA}">
          <x14:formula1>
            <xm:f>'связ.данные (Работы)'!$D$3:$D$5</xm:f>
          </x14:formula1>
          <xm:sqref>BA14:BG14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253C-B980-45C0-8AE4-94EEFAEB4E80}">
  <sheetPr>
    <tabColor rgb="FFCCCCFF"/>
  </sheetPr>
  <dimension ref="A1:FP98"/>
  <sheetViews>
    <sheetView view="pageBreakPreview" zoomScaleNormal="100" zoomScaleSheetLayoutView="100" workbookViewId="0">
      <selection activeCell="DK30" sqref="DK30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9.6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72" s="40" customFormat="1" ht="20.45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x14ac:dyDescent="0.25">
      <c r="A14" s="931" t="s">
        <v>1253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3" s="2" customFormat="1" ht="12.75" x14ac:dyDescent="0.2">
      <c r="A17" s="926" t="str">
        <f>IF('Данные объект'!C42="","",'Данные объект'!C42)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83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83" s="2" customFormat="1" ht="12.75" x14ac:dyDescent="0.2">
      <c r="A19" s="926" t="str">
        <f>IF('Данные объект'!C45="","",'Данные объект'!C45)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83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83" s="11" customFormat="1" ht="11.25" x14ac:dyDescent="0.2">
      <c r="A21" s="11" t="s">
        <v>30</v>
      </c>
    </row>
    <row r="22" spans="1:83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83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83" s="87" customFormat="1" ht="15" customHeight="1" x14ac:dyDescent="0.2">
      <c r="A24" s="113" t="s">
        <v>460</v>
      </c>
    </row>
    <row r="25" spans="1:83" s="87" customFormat="1" ht="15" customHeight="1" x14ac:dyDescent="0.2">
      <c r="A25" s="1017" t="str">
        <f>IF('Данные объект'!B19="","",'Данные объект'!B19)</f>
      </c>
      <c r="B25" s="1017"/>
      <c r="C25" s="1017"/>
      <c r="D25" s="1017"/>
      <c r="E25" s="1017"/>
      <c r="F25" s="1017"/>
      <c r="G25" s="1017"/>
      <c r="H25" s="1017"/>
      <c r="I25" s="1017"/>
      <c r="J25" s="1017"/>
      <c r="K25" s="1017"/>
      <c r="L25" s="1017"/>
      <c r="M25" s="1017"/>
      <c r="N25" s="1017"/>
      <c r="O25" s="1017"/>
      <c r="P25" s="1017"/>
      <c r="Q25" s="1017"/>
      <c r="R25" s="1017"/>
      <c r="S25" s="1017"/>
      <c r="T25" s="1017"/>
      <c r="U25" s="1017"/>
      <c r="V25" s="1017"/>
      <c r="W25" s="1017"/>
      <c r="X25" s="1017"/>
      <c r="Y25" s="1017"/>
      <c r="Z25" s="1017"/>
      <c r="AA25" s="1017"/>
      <c r="AB25" s="1017"/>
      <c r="AC25" s="1017"/>
      <c r="AD25" s="1017"/>
      <c r="AE25" s="1017"/>
      <c r="AF25" s="1017"/>
      <c r="AG25" s="1017"/>
      <c r="AH25" s="1017"/>
      <c r="AI25" s="1017"/>
      <c r="AJ25" s="1017"/>
      <c r="AK25" s="1017"/>
      <c r="AL25" s="1017"/>
      <c r="AM25" s="1017"/>
      <c r="AN25" s="1017"/>
      <c r="AO25" s="1017"/>
      <c r="AP25" s="1017"/>
      <c r="AQ25" s="1017"/>
      <c r="AR25" s="1017"/>
      <c r="AS25" s="1017"/>
      <c r="AT25" s="1017"/>
      <c r="AU25" s="1017"/>
      <c r="AV25" s="1017"/>
      <c r="AW25" s="1017"/>
      <c r="AX25" s="1017"/>
      <c r="AY25" s="1017"/>
      <c r="AZ25" s="1017"/>
      <c r="BA25" s="1017"/>
      <c r="BB25" s="1017"/>
      <c r="BC25" s="1017"/>
      <c r="BD25" s="1017"/>
      <c r="BE25" s="1017"/>
      <c r="BF25" s="1017"/>
      <c r="BG25" s="1017"/>
      <c r="BH25" s="1017"/>
      <c r="BI25" s="1017"/>
      <c r="BJ25" s="1017"/>
      <c r="BK25" s="1017"/>
      <c r="BL25" s="1017"/>
      <c r="BM25" s="1017"/>
      <c r="BN25" s="1017"/>
      <c r="BO25" s="1017"/>
      <c r="BP25" s="1017"/>
      <c r="BQ25" s="1017"/>
      <c r="BR25" s="1017"/>
      <c r="BS25" s="1017"/>
      <c r="BT25" s="1017"/>
      <c r="BU25" s="1017"/>
      <c r="BV25" s="1017"/>
      <c r="BW25" s="1017"/>
      <c r="BX25" s="1017"/>
      <c r="BY25" s="1017"/>
    </row>
    <row r="26" spans="1:83" s="87" customFormat="1" ht="10.15" customHeight="1" x14ac:dyDescent="0.2">
      <c r="A26" s="112" t="s">
        <v>459</v>
      </c>
    </row>
    <row r="27" spans="1:83" s="87" customFormat="1" x14ac:dyDescent="0.25">
      <c r="A27" s="95" t="s">
        <v>576</v>
      </c>
      <c r="B27" s="88"/>
    </row>
    <row r="28" spans="1:83" s="87" customFormat="1" ht="15" customHeight="1" x14ac:dyDescent="0.2">
      <c r="A28" s="113" t="s">
        <v>458</v>
      </c>
    </row>
    <row r="29" spans="1:83" s="87" customFormat="1" ht="24.75" customHeight="1" x14ac:dyDescent="0.2">
      <c r="A29" s="1018" t="s">
        <v>577</v>
      </c>
      <c r="B29" s="1018"/>
      <c r="C29" s="1018"/>
      <c r="D29" s="1018"/>
      <c r="E29" s="1018"/>
      <c r="F29" s="1018"/>
      <c r="G29" s="1018"/>
      <c r="H29" s="1018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18"/>
      <c r="U29" s="1018"/>
      <c r="V29" s="1018"/>
      <c r="W29" s="1018"/>
      <c r="X29" s="1018"/>
      <c r="Y29" s="1018"/>
      <c r="Z29" s="1018"/>
      <c r="AA29" s="1018"/>
      <c r="AB29" s="1018"/>
      <c r="AC29" s="1018"/>
      <c r="AD29" s="1018"/>
      <c r="AE29" s="1018"/>
      <c r="AF29" s="1018"/>
      <c r="AG29" s="1018"/>
      <c r="AH29" s="1018"/>
      <c r="AI29" s="1018"/>
      <c r="AJ29" s="1018"/>
      <c r="AK29" s="1018"/>
      <c r="AL29" s="1018"/>
      <c r="AM29" s="1018"/>
      <c r="AN29" s="1018"/>
      <c r="AO29" s="1018"/>
      <c r="AP29" s="1018"/>
      <c r="AQ29" s="1018"/>
      <c r="AR29" s="1018"/>
      <c r="AS29" s="1018"/>
      <c r="AT29" s="1018"/>
      <c r="AU29" s="1018"/>
      <c r="AV29" s="1018"/>
      <c r="AW29" s="1018"/>
      <c r="AX29" s="1018"/>
      <c r="AY29" s="1018"/>
      <c r="AZ29" s="1018"/>
      <c r="BA29" s="1018"/>
      <c r="BB29" s="1018"/>
      <c r="BC29" s="1018"/>
      <c r="BD29" s="1018"/>
      <c r="BE29" s="1018"/>
      <c r="BF29" s="1018"/>
      <c r="BG29" s="1018"/>
      <c r="BH29" s="1018"/>
      <c r="BI29" s="1018"/>
      <c r="BJ29" s="1018"/>
      <c r="BK29" s="1018"/>
      <c r="BL29" s="1018"/>
      <c r="BM29" s="1018"/>
      <c r="BN29" s="1018"/>
      <c r="BO29" s="1018"/>
      <c r="BP29" s="1018"/>
      <c r="BQ29" s="1018"/>
      <c r="BR29" s="1018"/>
      <c r="BS29" s="1018"/>
      <c r="BT29" s="1018"/>
      <c r="BU29" s="1018"/>
      <c r="BV29" s="1018"/>
      <c r="BW29" s="1018"/>
      <c r="BX29" s="1018"/>
      <c r="BY29" s="1018"/>
      <c r="BZ29" s="1018"/>
      <c r="CA29" s="1018"/>
      <c r="CB29" s="1018"/>
      <c r="CC29" s="1018"/>
      <c r="CD29" s="1018"/>
      <c r="CE29" s="1018"/>
    </row>
    <row r="30" spans="1:83" s="87" customFormat="1" ht="15" customHeight="1" x14ac:dyDescent="0.2">
      <c r="A30" s="92" t="s">
        <v>457</v>
      </c>
      <c r="B30" s="93"/>
    </row>
    <row r="31" spans="1:83" s="87" customFormat="1" ht="15" customHeight="1" x14ac:dyDescent="0.2">
      <c r="A31" s="113" t="s">
        <v>456</v>
      </c>
      <c r="B31" s="113"/>
    </row>
    <row r="32" spans="1:83" s="87" customFormat="1" ht="15" customHeight="1" x14ac:dyDescent="0.2">
      <c r="A32" s="92" t="s">
        <v>455</v>
      </c>
      <c r="B32" s="93"/>
    </row>
    <row r="33" spans="1:92" s="87" customFormat="1" ht="12.75" x14ac:dyDescent="0.2">
      <c r="A33" s="94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T33" s="95"/>
      <c r="U33" s="94"/>
      <c r="V33" s="94"/>
    </row>
    <row r="34" spans="1:92" s="2" customFormat="1" ht="12.75" x14ac:dyDescent="0.2">
      <c r="A34" s="11"/>
      <c r="B34" s="11"/>
      <c r="C34" s="11"/>
      <c r="D34" s="45" t="s">
        <v>59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855"/>
      <c r="AN34" s="855"/>
      <c r="AO34" s="855"/>
      <c r="AP34" s="855"/>
      <c r="AQ34" s="855"/>
      <c r="AR34" s="855"/>
      <c r="AS34" s="855"/>
      <c r="AT34" s="855"/>
      <c r="AU34" s="855"/>
      <c r="AV34" s="855"/>
      <c r="AW34" s="855"/>
      <c r="AX34" s="855"/>
      <c r="AY34" s="855"/>
      <c r="AZ34" s="11"/>
      <c r="BA34" s="11"/>
      <c r="BB34" s="11"/>
      <c r="BC34" s="893" t="str">
        <f>IF('Данные объект'!B42="","",'Данные объект'!B42)</f>
      </c>
      <c r="BD34" s="893"/>
      <c r="BE34" s="893"/>
      <c r="BF34" s="893"/>
      <c r="BG34" s="893"/>
      <c r="BH34" s="893"/>
      <c r="BI34" s="893"/>
      <c r="BJ34" s="893"/>
      <c r="BK34" s="893"/>
      <c r="BL34" s="893"/>
      <c r="BM34" s="893"/>
      <c r="BN34" s="893"/>
      <c r="BO34" s="893"/>
      <c r="BP34" s="893"/>
      <c r="BQ34" s="893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</row>
    <row r="35" spans="1:92" s="5" customFormat="1" ht="9.75" x14ac:dyDescent="0.2">
      <c r="C35" s="20"/>
      <c r="E35" s="21"/>
      <c r="F35" s="21"/>
      <c r="G35" s="20"/>
      <c r="H35" s="20"/>
      <c r="I35" s="20"/>
      <c r="J35" s="20"/>
      <c r="K35" s="20"/>
      <c r="L35" s="20"/>
      <c r="M35" s="20"/>
      <c r="AM35" s="858" t="s">
        <v>2</v>
      </c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</row>
    <row r="36" spans="1:92" s="5" customFormat="1" ht="9.75" x14ac:dyDescent="0.2">
      <c r="C36" s="20"/>
      <c r="E36" s="21"/>
      <c r="F36" s="21"/>
      <c r="G36" s="20"/>
      <c r="H36" s="20"/>
      <c r="I36" s="20"/>
      <c r="J36" s="20"/>
      <c r="K36" s="20"/>
      <c r="L36" s="20"/>
      <c r="M36" s="20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</row>
    <row r="37" spans="1:92" s="2" customFormat="1" ht="12.75" x14ac:dyDescent="0.2">
      <c r="A37" s="11"/>
      <c r="B37" s="11"/>
      <c r="C37" s="11"/>
      <c r="D37" s="45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11"/>
      <c r="BA37" s="11"/>
      <c r="BB37" s="11"/>
      <c r="BC37" s="893" t="str">
        <f>IF('Данные объект'!B47="","",'Данные объект'!B47)</f>
      </c>
      <c r="BD37" s="893"/>
      <c r="BE37" s="893"/>
      <c r="BF37" s="893"/>
      <c r="BG37" s="893"/>
      <c r="BH37" s="893"/>
      <c r="BI37" s="893"/>
      <c r="BJ37" s="893"/>
      <c r="BK37" s="893"/>
      <c r="BL37" s="893"/>
      <c r="BM37" s="893"/>
      <c r="BN37" s="893"/>
      <c r="BO37" s="893"/>
      <c r="BP37" s="893"/>
      <c r="BQ37" s="893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</row>
    <row r="38" spans="1:92" s="5" customFormat="1" ht="9.75" x14ac:dyDescent="0.2">
      <c r="C38" s="20"/>
      <c r="E38" s="21"/>
      <c r="F38" s="21"/>
      <c r="G38" s="20"/>
      <c r="H38" s="20"/>
      <c r="I38" s="20"/>
      <c r="J38" s="20"/>
      <c r="K38" s="20"/>
      <c r="L38" s="20"/>
      <c r="M38" s="20"/>
      <c r="AM38" s="858" t="s">
        <v>2</v>
      </c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</row>
    <row r="39" spans="1:92" s="5" customFormat="1" ht="12.75" outlineLevel="1" x14ac:dyDescent="0.2">
      <c r="C39" s="20"/>
      <c r="D39" s="21"/>
      <c r="E39" s="21"/>
      <c r="F39" s="21"/>
      <c r="G39" s="20"/>
      <c r="H39" s="20"/>
      <c r="I39" s="20"/>
      <c r="J39" s="20"/>
      <c r="K39" s="20"/>
      <c r="L39" s="20"/>
      <c r="M39" s="20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</row>
    <row r="40" spans="1:92" s="11" customFormat="1" ht="11.25" x14ac:dyDescent="0.2">
      <c r="C40" s="57"/>
      <c r="D40" s="45" t="s">
        <v>61</v>
      </c>
      <c r="E40" s="45"/>
      <c r="F40" s="45"/>
      <c r="G40" s="57"/>
      <c r="H40" s="57"/>
      <c r="I40" s="57"/>
      <c r="J40" s="57"/>
      <c r="K40" s="57"/>
      <c r="L40" s="57"/>
      <c r="M40" s="57"/>
      <c r="AM40" s="855"/>
      <c r="AN40" s="855"/>
      <c r="AO40" s="855"/>
      <c r="AP40" s="855"/>
      <c r="AQ40" s="855"/>
      <c r="AR40" s="855"/>
      <c r="AS40" s="855"/>
      <c r="AT40" s="855"/>
      <c r="AU40" s="855"/>
      <c r="AV40" s="855"/>
      <c r="AW40" s="855"/>
      <c r="AX40" s="855"/>
      <c r="AY40" s="855"/>
      <c r="BC40" s="893" t="str">
        <f>IF('Данные объект'!B28="","",'Данные объект'!B28)</f>
      </c>
      <c r="BD40" s="893"/>
      <c r="BE40" s="893"/>
      <c r="BF40" s="893"/>
      <c r="BG40" s="893"/>
      <c r="BH40" s="893"/>
      <c r="BI40" s="893"/>
      <c r="BJ40" s="893"/>
      <c r="BK40" s="893"/>
      <c r="BL40" s="893"/>
      <c r="BM40" s="893"/>
      <c r="BN40" s="893"/>
      <c r="BO40" s="893"/>
      <c r="BP40" s="893"/>
      <c r="BQ40" s="893"/>
    </row>
    <row r="41" spans="1:92" s="5" customFormat="1" ht="9.75" x14ac:dyDescent="0.2">
      <c r="C41" s="20"/>
      <c r="E41" s="21"/>
      <c r="F41" s="21"/>
      <c r="G41" s="20"/>
      <c r="H41" s="20"/>
      <c r="I41" s="20"/>
      <c r="J41" s="20"/>
      <c r="K41" s="20"/>
      <c r="L41" s="20"/>
      <c r="M41" s="20"/>
      <c r="AM41" s="858" t="s">
        <v>2</v>
      </c>
      <c r="AN41" s="858"/>
      <c r="AO41" s="858"/>
      <c r="AP41" s="858"/>
      <c r="AQ41" s="858"/>
      <c r="AR41" s="858"/>
      <c r="AS41" s="858"/>
      <c r="AT41" s="858"/>
      <c r="AU41" s="858"/>
      <c r="AV41" s="858"/>
      <c r="AW41" s="858"/>
      <c r="AX41" s="858"/>
      <c r="AY41" s="858"/>
    </row>
    <row r="42" spans="1:92" s="87" customFormat="1" ht="15" customHeight="1" x14ac:dyDescent="0.2">
      <c r="A42" s="92"/>
      <c r="B42" s="93"/>
      <c r="C42" s="93"/>
      <c r="D42" s="93"/>
    </row>
    <row r="43" spans="1:92" s="87" customFormat="1" ht="15" customHeight="1" x14ac:dyDescent="0.2">
      <c r="A43" s="92"/>
      <c r="B43" s="93"/>
      <c r="C43" s="93"/>
      <c r="D43" s="93"/>
    </row>
    <row r="44" spans="1:92" s="87" customFormat="1" ht="15" customHeight="1" x14ac:dyDescent="0.2">
      <c r="A44" s="95"/>
      <c r="B44" s="93"/>
      <c r="C44" s="93"/>
      <c r="D44" s="93"/>
    </row>
    <row r="45" spans="1:92" s="87" customFormat="1" ht="13.15" customHeight="1" x14ac:dyDescent="0.2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N45" s="106"/>
    </row>
    <row r="46" spans="1:92" s="87" customFormat="1" ht="16.899999999999999" customHeight="1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N46" s="101"/>
    </row>
    <row r="47" spans="1:92" s="87" customFormat="1" ht="16.899999999999999" customHeight="1" x14ac:dyDescent="0.2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107"/>
      <c r="CN47" s="101"/>
    </row>
    <row r="48" spans="1:92" s="2" customFormat="1" ht="13.5" x14ac:dyDescent="0.25">
      <c r="F48" s="10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10"/>
      <c r="BV48" s="110"/>
      <c r="BW48" s="110"/>
      <c r="BX48" s="110"/>
      <c r="BY48" s="110"/>
      <c r="BZ48" s="110"/>
      <c r="CA48" s="110"/>
      <c r="CB48" s="110"/>
    </row>
    <row r="49" spans="1:172" s="2" customFormat="1" ht="12.75" x14ac:dyDescent="0.2"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</row>
    <row r="50" spans="1:172" s="5" customFormat="1" ht="7.9" hidden="1" customHeight="1" x14ac:dyDescent="0.15"/>
    <row r="51" spans="1:172" s="70" customFormat="1" ht="11.2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</row>
    <row r="53" spans="1:172" s="41" customFormat="1" ht="8.25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</row>
    <row r="54" spans="1:172" s="70" customFormat="1" ht="10.15" hidden="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</row>
    <row r="55" spans="1:172" ht="14.45" hidden="1" customHeight="1" x14ac:dyDescent="0.25"/>
    <row r="56" spans="1:172" s="41" customFormat="1" ht="8.4499999999999993" hidden="1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</row>
    <row r="57" spans="1:172" ht="14.45" hidden="1" customHeight="1" x14ac:dyDescent="0.25"/>
    <row r="58" spans="1:172" s="70" customFormat="1" ht="10.15" hidden="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</row>
    <row r="59" spans="1:172" ht="14.45" hidden="1" customHeight="1" x14ac:dyDescent="0.25"/>
    <row r="60" spans="1:172" s="70" customFormat="1" ht="10.15" hidden="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02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</row>
    <row r="62" spans="1:17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1:172" s="42" customFormat="1" ht="15" customHeight="1" x14ac:dyDescent="0.25">
      <c r="A63" s="103"/>
      <c r="B63" s="103"/>
      <c r="C63" s="103"/>
      <c r="D63" s="103"/>
      <c r="E63" s="103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3"/>
      <c r="BF63" s="103"/>
      <c r="BG63" s="103"/>
      <c r="BH63" s="103"/>
      <c r="BI63" s="103"/>
      <c r="BJ63" s="103"/>
      <c r="BK63" s="103"/>
      <c r="BL63" s="103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3"/>
      <c r="BZ63" s="103"/>
      <c r="CA63" s="103"/>
      <c r="CB63" s="103"/>
      <c r="CC63" s="71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</row>
    <row r="64" spans="1:172" s="42" customFormat="1" x14ac:dyDescent="0.25">
      <c r="A64" s="103"/>
      <c r="B64" s="103"/>
      <c r="C64" s="103"/>
      <c r="D64" s="103"/>
      <c r="E64" s="103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3"/>
      <c r="BF64" s="103"/>
      <c r="BG64" s="103"/>
      <c r="BH64" s="103"/>
      <c r="BI64" s="103"/>
      <c r="BJ64" s="103"/>
      <c r="BK64" s="103"/>
      <c r="BL64" s="103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3"/>
      <c r="BZ64" s="103"/>
      <c r="CA64" s="103"/>
      <c r="CB64" s="103"/>
      <c r="CC64" s="71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</row>
    <row r="65" spans="1:172" s="42" customFormat="1" x14ac:dyDescent="0.25">
      <c r="A65" s="103"/>
      <c r="B65" s="103"/>
      <c r="C65" s="103"/>
      <c r="D65" s="103"/>
      <c r="E65" s="103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3"/>
      <c r="BF65" s="103"/>
      <c r="BG65" s="103"/>
      <c r="BH65" s="103"/>
      <c r="BI65" s="103"/>
      <c r="BJ65" s="103"/>
      <c r="BK65" s="103"/>
      <c r="BL65" s="103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3"/>
      <c r="BZ65" s="103"/>
      <c r="CA65" s="103"/>
      <c r="CB65" s="103"/>
      <c r="CC65" s="71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</row>
    <row r="66" spans="1:172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11"/>
    </row>
    <row r="67" spans="1:172" x14ac:dyDescent="0.25">
      <c r="A67" s="103"/>
      <c r="B67" s="103"/>
      <c r="C67" s="103"/>
      <c r="D67" s="103"/>
      <c r="E67" s="103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3"/>
      <c r="BF67" s="103"/>
      <c r="BG67" s="103"/>
      <c r="BH67" s="103"/>
      <c r="BI67" s="103"/>
      <c r="BJ67" s="103"/>
      <c r="BK67" s="103"/>
      <c r="BL67" s="103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3"/>
      <c r="BZ67" s="103"/>
      <c r="CA67" s="103"/>
      <c r="CB67" s="103"/>
      <c r="CC67" s="11"/>
    </row>
    <row r="68" spans="1:172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70"/>
      <c r="BZ68" s="70"/>
      <c r="CA68" s="70"/>
      <c r="CB68" s="70"/>
      <c r="CC68" s="11"/>
    </row>
    <row r="69" spans="1:17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11"/>
    </row>
    <row r="71" spans="1:172" ht="14.45" hidden="1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11"/>
    </row>
    <row r="72" spans="1:172" ht="14.45" hidden="1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172" ht="14.45" hidden="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172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172" ht="14.45" hidden="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11"/>
    </row>
    <row r="76" spans="1:172" ht="14.45" hidden="1" customHeight="1" x14ac:dyDescent="0.25"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172" ht="14.45" hidden="1" customHeight="1" x14ac:dyDescent="0.25"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172" ht="14.45" hidden="1" customHeight="1" x14ac:dyDescent="0.25"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172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172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80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80" x14ac:dyDescent="0.25">
      <c r="AN85"/>
      <c r="AO85"/>
      <c r="AP85"/>
      <c r="AQ85"/>
      <c r="AR85"/>
      <c r="AS85"/>
      <c r="AT85"/>
      <c r="AU85"/>
      <c r="AV85"/>
      <c r="AW85"/>
      <c r="AX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1:80" ht="6.6" customHeight="1" x14ac:dyDescent="0.25">
      <c r="AN86"/>
      <c r="AO86"/>
      <c r="AP86"/>
      <c r="AQ86"/>
      <c r="AR86"/>
      <c r="AS86"/>
      <c r="AT86"/>
      <c r="AU86"/>
      <c r="AV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1:80" x14ac:dyDescent="0.25">
      <c r="A87" s="11"/>
      <c r="B87" s="11"/>
      <c r="C87" s="5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ht="7.9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x14ac:dyDescent="0.25">
      <c r="A90" s="11"/>
      <c r="B90" s="11"/>
      <c r="C90" s="5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2" customFormat="1" ht="12.75" x14ac:dyDescent="0.2">
      <c r="A94" s="11"/>
      <c r="B94" s="11"/>
      <c r="C94" s="11"/>
      <c r="D94" s="4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5" customFormat="1" ht="9.75" x14ac:dyDescent="0.2">
      <c r="C95" s="20"/>
      <c r="E95" s="21"/>
      <c r="F95" s="21"/>
      <c r="G95" s="20"/>
      <c r="H95" s="20"/>
      <c r="I95" s="20"/>
      <c r="J95" s="20"/>
      <c r="K95" s="20"/>
      <c r="L95" s="20"/>
      <c r="M95" s="20"/>
    </row>
    <row r="96" spans="1:80" s="5" customFormat="1" ht="12.75" outlineLevel="1" x14ac:dyDescent="0.2">
      <c r="C96" s="20"/>
      <c r="D96" s="21"/>
      <c r="E96" s="21"/>
      <c r="F96" s="21"/>
      <c r="G96" s="20"/>
      <c r="H96" s="20"/>
      <c r="I96" s="20"/>
      <c r="J96" s="20"/>
      <c r="K96" s="20"/>
      <c r="L96" s="20"/>
      <c r="M96" s="2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</row>
    <row r="97" spans="3:69" s="11" customFormat="1" ht="11.25" x14ac:dyDescent="0.2">
      <c r="C97" s="57"/>
      <c r="D97" s="45"/>
      <c r="E97" s="45"/>
      <c r="F97" s="45"/>
      <c r="G97" s="57"/>
      <c r="H97" s="57"/>
      <c r="I97" s="57"/>
      <c r="J97" s="57"/>
      <c r="K97" s="57"/>
      <c r="L97" s="57"/>
      <c r="M97" s="57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</row>
    <row r="98" spans="3:69" s="5" customFormat="1" ht="9.75" x14ac:dyDescent="0.2">
      <c r="C98" s="20"/>
      <c r="E98" s="21"/>
      <c r="F98" s="21"/>
      <c r="G98" s="20"/>
      <c r="H98" s="20"/>
      <c r="I98" s="20"/>
      <c r="J98" s="20"/>
      <c r="K98" s="20"/>
      <c r="L98" s="20"/>
      <c r="M98" s="20"/>
    </row>
  </sheetData>
  <mergeCells count="34">
    <mergeCell ref="AM40:AY40"/>
    <mergeCell ref="BC40:BQ40"/>
    <mergeCell ref="AM41:AY41"/>
    <mergeCell ref="A19:CB19"/>
    <mergeCell ref="A20:CB20"/>
    <mergeCell ref="AM37:AY37"/>
    <mergeCell ref="BC37:BQ37"/>
    <mergeCell ref="AM38:AY38"/>
    <mergeCell ref="A25:BY25"/>
    <mergeCell ref="AM34:AY34"/>
    <mergeCell ref="BC34:BQ34"/>
    <mergeCell ref="AM35:AY35"/>
    <mergeCell ref="A29:CE29"/>
    <mergeCell ref="A13:CE13"/>
    <mergeCell ref="A17:CB17"/>
    <mergeCell ref="A18:CB18"/>
    <mergeCell ref="A22:CB22"/>
    <mergeCell ref="A23:CB23"/>
    <mergeCell ref="A14:CE14"/>
    <mergeCell ref="AR12:BZ12"/>
    <mergeCell ref="AR1:BZ2"/>
    <mergeCell ref="A2:AI2"/>
    <mergeCell ref="A3:AI3"/>
    <mergeCell ref="AR3:BZ3"/>
    <mergeCell ref="A4:AI4"/>
    <mergeCell ref="AR4:BZ4"/>
    <mergeCell ref="A11:AI11"/>
    <mergeCell ref="AR11:BZ11"/>
    <mergeCell ref="A5:AI5"/>
    <mergeCell ref="AR5:BZ5"/>
    <mergeCell ref="AR6:BZ9"/>
    <mergeCell ref="A8:AI9"/>
    <mergeCell ref="A10:AI10"/>
    <mergeCell ref="AR10:BZ10"/>
  </mergeCells>
  <dataValidations disablePrompts="1" count="2">
    <dataValidation type="list" allowBlank="1" showInputMessage="1" showErrorMessage="1" sqref="P45:V45" xr:uid="{092AF131-BF91-4B15-82D6-BE294F33FD0F}">
      <formula1>ВЛ</formula1>
    </dataValidation>
    <dataValidation type="list" allowBlank="1" showInputMessage="1" showErrorMessage="1" sqref="O68:W70" xr:uid="{AC4DCB3B-1DC1-4386-97BE-7CCCE857C716}">
      <formula1>стойка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C479-EB98-4AF1-9968-0B28CAD79131}">
  <sheetPr>
    <tabColor rgb="FFCCCCFF"/>
  </sheetPr>
  <dimension ref="A1:FP106"/>
  <sheetViews>
    <sheetView view="pageBreakPreview" topLeftCell="A22" zoomScaleNormal="100" zoomScaleSheetLayoutView="100" workbookViewId="0">
      <selection activeCell="DF42" sqref="DF42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tr">
        <f>'ВЛЗ-3'!A10:AI10</f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72" s="40" customFormat="1" ht="24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480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12" s="2" customFormat="1" ht="12.75" x14ac:dyDescent="0.2">
      <c r="A17" s="926" t="str">
        <f>IF('Данные объект'!C42="","",'Данные объект'!C42)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112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112" s="2" customFormat="1" ht="12.75" x14ac:dyDescent="0.2">
      <c r="A19" s="926" t="str">
        <f>IF('Данные объект'!C45="","",'Данные объект'!C45)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112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112" s="11" customFormat="1" ht="11.25" x14ac:dyDescent="0.2">
      <c r="A21" s="11" t="s">
        <v>30</v>
      </c>
    </row>
    <row r="22" spans="1:112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112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112" s="5" customFormat="1" ht="8.25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 spans="1:112" s="87" customFormat="1" ht="26.25" customHeight="1" x14ac:dyDescent="0.2">
      <c r="A25" s="1018" t="s">
        <v>578</v>
      </c>
      <c r="B25" s="1018"/>
      <c r="C25" s="1018"/>
      <c r="D25" s="1018"/>
      <c r="E25" s="1018"/>
      <c r="F25" s="1018"/>
      <c r="G25" s="1018"/>
      <c r="H25" s="1018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18"/>
      <c r="U25" s="1018"/>
      <c r="V25" s="1018"/>
      <c r="W25" s="1018"/>
      <c r="X25" s="1018"/>
      <c r="Y25" s="1018"/>
      <c r="Z25" s="1048">
        <v>1</v>
      </c>
      <c r="AA25" s="1048"/>
      <c r="AB25" s="1048"/>
      <c r="AC25" s="1048"/>
      <c r="AD25" s="1048"/>
      <c r="AE25" s="1048"/>
      <c r="AF25" s="1048"/>
      <c r="AG25" s="1048"/>
      <c r="AH25" s="1048"/>
      <c r="AI25" s="1048"/>
      <c r="AJ25" s="1048"/>
      <c r="AK25" s="1048"/>
      <c r="AL25" s="1048"/>
      <c r="AM25" s="1048"/>
      <c r="AN25" s="1048"/>
      <c r="AO25" s="1048"/>
      <c r="AP25" s="1048"/>
      <c r="AQ25" s="1048"/>
      <c r="AR25" s="1048"/>
      <c r="AS25" s="1048"/>
      <c r="AT25" s="1048"/>
      <c r="AU25" s="1048"/>
      <c r="AV25" s="1048"/>
      <c r="AW25" s="1048"/>
      <c r="AX25" s="1048"/>
      <c r="AY25" s="1048"/>
      <c r="AZ25" s="1048"/>
      <c r="BA25" s="1048"/>
      <c r="BB25" s="1048"/>
      <c r="BC25" s="1048"/>
      <c r="BD25" s="1048"/>
      <c r="BE25" s="1048"/>
      <c r="BF25" s="1048"/>
      <c r="BG25" s="1048"/>
      <c r="BH25" s="1048"/>
      <c r="BI25" s="1048"/>
      <c r="BJ25" s="1048"/>
      <c r="BK25" s="1048"/>
      <c r="BL25" s="1048"/>
      <c r="BM25" s="1048"/>
      <c r="BN25" s="1048"/>
      <c r="BO25" s="1048"/>
      <c r="BP25" s="1048"/>
      <c r="BQ25" s="1048"/>
      <c r="BR25" s="1048"/>
      <c r="BS25" s="1048"/>
      <c r="BT25" s="1048"/>
      <c r="BU25" s="1048"/>
      <c r="BV25" s="1048"/>
      <c r="BW25" s="1048"/>
      <c r="BX25" s="1048"/>
      <c r="BY25" s="1048"/>
      <c r="BZ25" s="1048"/>
      <c r="CA25" s="1048"/>
      <c r="CB25" s="1048"/>
      <c r="CC25" s="1048"/>
      <c r="CD25" s="1048"/>
      <c r="CE25" s="1048"/>
    </row>
    <row r="26" spans="1:112" s="87" customFormat="1" ht="15" customHeight="1" x14ac:dyDescent="0.2">
      <c r="A26" s="114" t="s">
        <v>276</v>
      </c>
    </row>
    <row r="27" spans="1:112" s="87" customFormat="1" ht="15.6" customHeight="1" x14ac:dyDescent="0.2">
      <c r="A27" s="947" t="s">
        <v>580</v>
      </c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7"/>
      <c r="V27" s="947"/>
      <c r="W27" s="947"/>
      <c r="X27" s="947"/>
      <c r="Y27" s="947"/>
      <c r="Z27" s="947"/>
      <c r="AA27" s="926" t="str">
        <f>IF('Данные объект'!B56="","",'Данные объект'!B56)</f>
      </c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1031" t="s">
        <v>581</v>
      </c>
      <c r="AU27" s="1031"/>
      <c r="AV27" s="1031"/>
      <c r="AW27" s="1031"/>
      <c r="AX27" s="1031"/>
      <c r="AY27" s="1031"/>
      <c r="AZ27" s="1031"/>
      <c r="BA27" s="1031"/>
      <c r="BB27" s="1031"/>
      <c r="BC27" s="1031"/>
      <c r="BD27" s="1031"/>
      <c r="BE27" s="1031"/>
      <c r="BF27" s="1031"/>
      <c r="BG27" s="1031"/>
      <c r="BH27" s="1031"/>
      <c r="BI27" s="1031"/>
      <c r="BJ27" s="1031"/>
      <c r="BK27" s="1031"/>
      <c r="BL27" s="1031"/>
      <c r="BM27" s="1031"/>
      <c r="BN27" s="1031"/>
      <c r="BO27" s="1031"/>
      <c r="BP27" s="1031"/>
      <c r="BQ27" s="1031"/>
      <c r="BR27" s="1031"/>
      <c r="BS27" s="1031"/>
      <c r="BT27" s="1031"/>
      <c r="BU27" s="1031"/>
      <c r="BV27" s="1031"/>
      <c r="BW27" s="1031"/>
      <c r="BX27" s="1031"/>
    </row>
    <row r="28" spans="1:112" s="87" customFormat="1" ht="13.9" customHeight="1" x14ac:dyDescent="0.2">
      <c r="A28" s="1018" t="s">
        <v>579</v>
      </c>
      <c r="B28" s="1018"/>
      <c r="C28" s="1018"/>
      <c r="D28" s="1018"/>
      <c r="E28" s="1018"/>
      <c r="F28" s="1018"/>
      <c r="G28" s="1018"/>
      <c r="H28" s="1018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18"/>
      <c r="U28" s="1018"/>
      <c r="V28" s="1018"/>
      <c r="W28" s="1018"/>
      <c r="X28" s="1018"/>
      <c r="Y28" s="1018"/>
      <c r="DH28" s="184"/>
    </row>
    <row r="29" spans="1:112" s="87" customFormat="1" hidden="1" x14ac:dyDescent="0.25">
      <c r="A29" s="88" t="s">
        <v>281</v>
      </c>
      <c r="B29" s="1022" t="s">
        <v>479</v>
      </c>
      <c r="C29" s="1023" t="s">
        <v>435</v>
      </c>
      <c r="D29" s="89" t="s">
        <v>435</v>
      </c>
      <c r="E29" s="89" t="s">
        <v>435</v>
      </c>
      <c r="F29" s="89" t="s">
        <v>435</v>
      </c>
      <c r="G29" s="89" t="s">
        <v>435</v>
      </c>
      <c r="H29" s="89" t="s">
        <v>435</v>
      </c>
      <c r="I29" s="89" t="s">
        <v>435</v>
      </c>
      <c r="J29" s="89" t="s">
        <v>435</v>
      </c>
    </row>
    <row r="30" spans="1:112" s="87" customFormat="1" ht="12.75" x14ac:dyDescent="0.2">
      <c r="A30" s="1019" t="s">
        <v>752</v>
      </c>
      <c r="B30" s="972"/>
      <c r="C30" s="972"/>
      <c r="D30" s="972"/>
      <c r="E30" s="972"/>
      <c r="F30" s="972"/>
      <c r="G30" s="9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972"/>
      <c r="AB30" s="972"/>
      <c r="AC30" s="972"/>
      <c r="AD30" s="972"/>
      <c r="AE30" s="972"/>
      <c r="AF30" s="972"/>
      <c r="AG30" s="972"/>
      <c r="AH30" s="972"/>
    </row>
    <row r="31" spans="1:112" s="87" customFormat="1" ht="13.15" customHeight="1" x14ac:dyDescent="0.25">
      <c r="A31" s="86" t="s">
        <v>435</v>
      </c>
      <c r="B31" s="1024" t="s">
        <v>478</v>
      </c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V31" s="1024"/>
      <c r="W31" s="1024"/>
      <c r="X31" s="1024"/>
      <c r="Y31" s="1024"/>
      <c r="Z31" s="1024"/>
      <c r="AA31" s="1024"/>
      <c r="AB31" s="1024"/>
      <c r="AC31" s="1024"/>
      <c r="AD31" s="1024"/>
      <c r="AE31" s="1024"/>
      <c r="AF31" s="1024"/>
      <c r="AG31" s="1024"/>
      <c r="AH31" s="1024"/>
      <c r="AI31" s="1024"/>
      <c r="AJ31" s="1024"/>
      <c r="AK31" s="1024"/>
      <c r="AL31" s="1024"/>
      <c r="AM31" s="1024"/>
      <c r="AN31" s="1024"/>
      <c r="AO31" s="1024"/>
      <c r="AP31" s="1024"/>
    </row>
    <row r="32" spans="1:112" s="87" customFormat="1" ht="15" customHeight="1" x14ac:dyDescent="0.2">
      <c r="A32" s="92" t="s">
        <v>477</v>
      </c>
      <c r="B32" s="93"/>
      <c r="C32" s="93"/>
      <c r="D32" s="93"/>
      <c r="E32" s="93"/>
      <c r="F32" s="93"/>
      <c r="G32" s="93"/>
      <c r="H32" s="93"/>
      <c r="I32" s="93"/>
      <c r="J32" s="93"/>
    </row>
    <row r="33" spans="1:83" s="87" customFormat="1" ht="24.75" customHeight="1" x14ac:dyDescent="0.2">
      <c r="A33" s="1020" t="s">
        <v>73</v>
      </c>
      <c r="B33" s="1020"/>
      <c r="C33" s="1020"/>
      <c r="D33" s="1020"/>
      <c r="E33" s="1020"/>
      <c r="F33" s="1025" t="s">
        <v>582</v>
      </c>
      <c r="G33" s="1026"/>
      <c r="H33" s="1026"/>
      <c r="I33" s="1026"/>
      <c r="J33" s="1026"/>
      <c r="K33" s="1026"/>
      <c r="L33" s="1026"/>
      <c r="M33" s="1026"/>
      <c r="N33" s="1026"/>
      <c r="O33" s="1026"/>
      <c r="P33" s="1027"/>
      <c r="Q33" s="1021" t="s">
        <v>476</v>
      </c>
      <c r="R33" s="1021"/>
      <c r="S33" s="1021"/>
      <c r="T33" s="1021"/>
      <c r="U33" s="1021"/>
      <c r="V33" s="1021"/>
      <c r="W33" s="1021"/>
      <c r="X33" s="1021"/>
      <c r="Y33" s="1021"/>
      <c r="Z33" s="1021"/>
      <c r="AA33" s="1021"/>
      <c r="AB33" s="1033" t="s">
        <v>475</v>
      </c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3"/>
      <c r="AM33" s="1033"/>
      <c r="AN33" s="1033"/>
      <c r="AO33" s="1033"/>
      <c r="AP33" s="1033"/>
      <c r="AQ33" s="1049" t="s">
        <v>1107</v>
      </c>
      <c r="AR33" s="1050"/>
      <c r="AS33" s="1050"/>
      <c r="AT33" s="1050"/>
      <c r="AU33" s="1050"/>
      <c r="AV33" s="1050"/>
      <c r="AW33" s="1050"/>
      <c r="AX33" s="1050"/>
      <c r="AY33" s="1050"/>
      <c r="AZ33" s="1050"/>
      <c r="BA33" s="1050"/>
      <c r="BB33" s="1050"/>
      <c r="BC33" s="1050"/>
      <c r="BD33" s="1050"/>
      <c r="BE33" s="1050"/>
      <c r="BF33" s="1050"/>
      <c r="BG33" s="1050"/>
      <c r="BH33" s="1050"/>
      <c r="BI33" s="1050"/>
      <c r="BJ33" s="1050"/>
      <c r="BK33" s="1050"/>
      <c r="BL33" s="1050"/>
      <c r="BM33" s="1050"/>
      <c r="BN33" s="1050"/>
      <c r="BO33" s="1050"/>
      <c r="BP33" s="1050"/>
      <c r="BQ33" s="1050"/>
      <c r="BR33" s="1051"/>
      <c r="BS33" s="1036" t="s">
        <v>0</v>
      </c>
      <c r="BT33" s="1036"/>
      <c r="BU33" s="1036"/>
      <c r="BV33" s="1036"/>
      <c r="BW33" s="1036"/>
      <c r="BX33" s="1036"/>
      <c r="BY33" s="1036"/>
      <c r="BZ33" s="1036"/>
      <c r="CA33" s="1036"/>
      <c r="CB33" s="1036"/>
      <c r="CC33" s="1036"/>
      <c r="CD33" s="1036"/>
      <c r="CE33" s="1036"/>
    </row>
    <row r="34" spans="1:83" s="87" customFormat="1" ht="37.15" customHeight="1" x14ac:dyDescent="0.2">
      <c r="A34" s="1020"/>
      <c r="B34" s="1020"/>
      <c r="C34" s="1020"/>
      <c r="D34" s="1020"/>
      <c r="E34" s="1020"/>
      <c r="F34" s="1028"/>
      <c r="G34" s="1029"/>
      <c r="H34" s="1029"/>
      <c r="I34" s="1029"/>
      <c r="J34" s="1029"/>
      <c r="K34" s="1029"/>
      <c r="L34" s="1029"/>
      <c r="M34" s="1029"/>
      <c r="N34" s="1029"/>
      <c r="O34" s="1029"/>
      <c r="P34" s="1030"/>
      <c r="Q34" s="1020" t="s">
        <v>474</v>
      </c>
      <c r="R34" s="1020"/>
      <c r="S34" s="1020"/>
      <c r="T34" s="1020"/>
      <c r="U34" s="1020"/>
      <c r="V34" s="1020"/>
      <c r="W34" s="1020"/>
      <c r="X34" s="1020"/>
      <c r="Y34" s="1020"/>
      <c r="Z34" s="1020"/>
      <c r="AA34" s="1020"/>
      <c r="AB34" s="1021" t="s">
        <v>473</v>
      </c>
      <c r="AC34" s="1021"/>
      <c r="AD34" s="1021"/>
      <c r="AE34" s="1021"/>
      <c r="AF34" s="1021"/>
      <c r="AG34" s="1021"/>
      <c r="AH34" s="1021" t="s">
        <v>472</v>
      </c>
      <c r="AI34" s="1021"/>
      <c r="AJ34" s="1021"/>
      <c r="AK34" s="1021"/>
      <c r="AL34" s="1021"/>
      <c r="AM34" s="1021"/>
      <c r="AN34" s="1021"/>
      <c r="AO34" s="1021"/>
      <c r="AP34" s="1021"/>
      <c r="AQ34" s="1036" t="s">
        <v>471</v>
      </c>
      <c r="AR34" s="1036"/>
      <c r="AS34" s="1036"/>
      <c r="AT34" s="1036"/>
      <c r="AU34" s="1036"/>
      <c r="AV34" s="1036"/>
      <c r="AW34" s="1036"/>
      <c r="AX34" s="1036" t="s">
        <v>470</v>
      </c>
      <c r="AY34" s="1036"/>
      <c r="AZ34" s="1036"/>
      <c r="BA34" s="1036"/>
      <c r="BB34" s="1036"/>
      <c r="BC34" s="1036"/>
      <c r="BD34" s="1036"/>
      <c r="BE34" s="1036" t="s">
        <v>469</v>
      </c>
      <c r="BF34" s="1036"/>
      <c r="BG34" s="1036"/>
      <c r="BH34" s="1036"/>
      <c r="BI34" s="1036"/>
      <c r="BJ34" s="1036"/>
      <c r="BK34" s="1036"/>
      <c r="BL34" s="1036" t="s">
        <v>468</v>
      </c>
      <c r="BM34" s="1036"/>
      <c r="BN34" s="1036"/>
      <c r="BO34" s="1036"/>
      <c r="BP34" s="1036"/>
      <c r="BQ34" s="1036"/>
      <c r="BR34" s="1036"/>
      <c r="BS34" s="1036"/>
      <c r="BT34" s="1036"/>
      <c r="BU34" s="1036"/>
      <c r="BV34" s="1036"/>
      <c r="BW34" s="1036"/>
      <c r="BX34" s="1036"/>
      <c r="BY34" s="1036"/>
      <c r="BZ34" s="1036"/>
      <c r="CA34" s="1036"/>
      <c r="CB34" s="1036"/>
      <c r="CC34" s="1036"/>
      <c r="CD34" s="1036"/>
      <c r="CE34" s="1036"/>
    </row>
    <row r="35" spans="1:83" s="87" customFormat="1" ht="15.6" customHeight="1" x14ac:dyDescent="0.2">
      <c r="A35" s="1039">
        <v>1</v>
      </c>
      <c r="B35" s="1040"/>
      <c r="C35" s="1040"/>
      <c r="D35" s="1040"/>
      <c r="E35" s="1041"/>
      <c r="F35" s="1032" t="s">
        <v>583</v>
      </c>
      <c r="G35" s="1032"/>
      <c r="H35" s="1032"/>
      <c r="I35" s="1032"/>
      <c r="J35" s="1032"/>
      <c r="K35" s="1032"/>
      <c r="L35" s="1032"/>
      <c r="M35" s="1032"/>
      <c r="N35" s="1032"/>
      <c r="O35" s="1032"/>
      <c r="P35" s="1032"/>
      <c r="Q35" s="1037" t="s">
        <v>101</v>
      </c>
      <c r="R35" s="1037"/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 t="s">
        <v>101</v>
      </c>
      <c r="AC35" s="1037"/>
      <c r="AD35" s="1037"/>
      <c r="AE35" s="1037"/>
      <c r="AF35" s="1037"/>
      <c r="AG35" s="1037"/>
      <c r="AH35" s="1034" t="s">
        <v>101</v>
      </c>
      <c r="AI35" s="1035"/>
      <c r="AJ35" s="1035"/>
      <c r="AK35" s="1035"/>
      <c r="AL35" s="1035"/>
      <c r="AM35" s="1035"/>
      <c r="AN35" s="1035"/>
      <c r="AO35" s="1035"/>
      <c r="AP35" s="1038"/>
      <c r="AQ35" s="1034" t="s">
        <v>587</v>
      </c>
      <c r="AR35" s="1035"/>
      <c r="AS35" s="1035"/>
      <c r="AT35" s="1035"/>
      <c r="AU35" s="1035"/>
      <c r="AV35" s="1035"/>
      <c r="AW35" s="1038"/>
      <c r="AX35" s="1032" t="s">
        <v>585</v>
      </c>
      <c r="AY35" s="1032"/>
      <c r="AZ35" s="1032"/>
      <c r="BA35" s="1032"/>
      <c r="BB35" s="1032"/>
      <c r="BC35" s="1032"/>
      <c r="BD35" s="1032"/>
      <c r="BE35" s="1032">
        <v>3</v>
      </c>
      <c r="BF35" s="1032"/>
      <c r="BG35" s="1032"/>
      <c r="BH35" s="1032"/>
      <c r="BI35" s="1032"/>
      <c r="BJ35" s="1032"/>
      <c r="BK35" s="1032"/>
      <c r="BL35" s="1032">
        <v>1</v>
      </c>
      <c r="BM35" s="1032"/>
      <c r="BN35" s="1032"/>
      <c r="BO35" s="1032"/>
      <c r="BP35" s="1032"/>
      <c r="BQ35" s="1032"/>
      <c r="BR35" s="1032"/>
      <c r="BS35" s="1037"/>
      <c r="BT35" s="1037"/>
      <c r="BU35" s="1037"/>
      <c r="BV35" s="1037"/>
      <c r="BW35" s="1037"/>
      <c r="BX35" s="1037"/>
      <c r="BY35" s="1037"/>
      <c r="BZ35" s="1037"/>
      <c r="CA35" s="1037"/>
      <c r="CB35" s="1037"/>
      <c r="CC35" s="1037"/>
      <c r="CD35" s="1037"/>
      <c r="CE35" s="1037"/>
    </row>
    <row r="36" spans="1:83" s="87" customFormat="1" ht="15.6" customHeight="1" x14ac:dyDescent="0.2">
      <c r="A36" s="1042"/>
      <c r="B36" s="1043"/>
      <c r="C36" s="1043"/>
      <c r="D36" s="1043"/>
      <c r="E36" s="1044"/>
      <c r="F36" s="1052" t="s">
        <v>584</v>
      </c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37" t="s">
        <v>101</v>
      </c>
      <c r="R36" s="1037"/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 t="s">
        <v>101</v>
      </c>
      <c r="AC36" s="1037"/>
      <c r="AD36" s="1037"/>
      <c r="AE36" s="1037"/>
      <c r="AF36" s="1037"/>
      <c r="AG36" s="1037"/>
      <c r="AH36" s="1034" t="s">
        <v>101</v>
      </c>
      <c r="AI36" s="1035"/>
      <c r="AJ36" s="1035"/>
      <c r="AK36" s="1035"/>
      <c r="AL36" s="1035"/>
      <c r="AM36" s="1035"/>
      <c r="AN36" s="1035"/>
      <c r="AO36" s="1035"/>
      <c r="AP36" s="1038"/>
      <c r="AQ36" s="1034" t="s">
        <v>333</v>
      </c>
      <c r="AR36" s="1035"/>
      <c r="AS36" s="1035"/>
      <c r="AT36" s="1035"/>
      <c r="AU36" s="1035"/>
      <c r="AV36" s="1035"/>
      <c r="AW36" s="1038"/>
      <c r="AX36" s="1032" t="s">
        <v>586</v>
      </c>
      <c r="AY36" s="1032"/>
      <c r="AZ36" s="1032"/>
      <c r="BA36" s="1032"/>
      <c r="BB36" s="1032"/>
      <c r="BC36" s="1032"/>
      <c r="BD36" s="1032"/>
      <c r="BE36" s="1032">
        <v>8.3000000000000007</v>
      </c>
      <c r="BF36" s="1032"/>
      <c r="BG36" s="1032"/>
      <c r="BH36" s="1032"/>
      <c r="BI36" s="1032"/>
      <c r="BJ36" s="1032"/>
      <c r="BK36" s="1032"/>
      <c r="BL36" s="1032"/>
      <c r="BM36" s="1032"/>
      <c r="BN36" s="1032"/>
      <c r="BO36" s="1032"/>
      <c r="BP36" s="1032"/>
      <c r="BQ36" s="1032"/>
      <c r="BR36" s="1032"/>
      <c r="BS36" s="1037"/>
      <c r="BT36" s="1037"/>
      <c r="BU36" s="1037"/>
      <c r="BV36" s="1037"/>
      <c r="BW36" s="1037"/>
      <c r="BX36" s="1037"/>
      <c r="BY36" s="1037"/>
      <c r="BZ36" s="1037"/>
      <c r="CA36" s="1037"/>
      <c r="CB36" s="1037"/>
      <c r="CC36" s="1037"/>
      <c r="CD36" s="1037"/>
      <c r="CE36" s="1037"/>
    </row>
    <row r="37" spans="1:83" s="87" customFormat="1" ht="15" customHeight="1" x14ac:dyDescent="0.2">
      <c r="A37" s="1045"/>
      <c r="B37" s="1046"/>
      <c r="C37" s="1046"/>
      <c r="D37" s="1046"/>
      <c r="E37" s="1047"/>
      <c r="F37" s="1032" t="s">
        <v>583</v>
      </c>
      <c r="G37" s="1032"/>
      <c r="H37" s="1032"/>
      <c r="I37" s="1032"/>
      <c r="J37" s="1032"/>
      <c r="K37" s="1032"/>
      <c r="L37" s="1032"/>
      <c r="M37" s="1032"/>
      <c r="N37" s="1032"/>
      <c r="O37" s="1032"/>
      <c r="P37" s="1032"/>
      <c r="Q37" s="1037" t="s">
        <v>101</v>
      </c>
      <c r="R37" s="1037"/>
      <c r="S37" s="1037"/>
      <c r="T37" s="1037"/>
      <c r="U37" s="1037"/>
      <c r="V37" s="1037"/>
      <c r="W37" s="1037"/>
      <c r="X37" s="1037"/>
      <c r="Y37" s="1037"/>
      <c r="Z37" s="1037"/>
      <c r="AA37" s="1037"/>
      <c r="AB37" s="1037" t="s">
        <v>101</v>
      </c>
      <c r="AC37" s="1037"/>
      <c r="AD37" s="1037"/>
      <c r="AE37" s="1037"/>
      <c r="AF37" s="1037"/>
      <c r="AG37" s="1037"/>
      <c r="AH37" s="1034" t="s">
        <v>101</v>
      </c>
      <c r="AI37" s="1035"/>
      <c r="AJ37" s="1035"/>
      <c r="AK37" s="1035"/>
      <c r="AL37" s="1035"/>
      <c r="AM37" s="1035"/>
      <c r="AN37" s="1035"/>
      <c r="AO37" s="1035"/>
      <c r="AP37" s="1038"/>
      <c r="AQ37" s="1034" t="s">
        <v>588</v>
      </c>
      <c r="AR37" s="1035"/>
      <c r="AS37" s="1035"/>
      <c r="AT37" s="1035"/>
      <c r="AU37" s="1035"/>
      <c r="AV37" s="1035"/>
      <c r="AW37" s="1038"/>
      <c r="AX37" s="1032">
        <v>10</v>
      </c>
      <c r="AY37" s="1032"/>
      <c r="AZ37" s="1032"/>
      <c r="BA37" s="1032"/>
      <c r="BB37" s="1032"/>
      <c r="BC37" s="1032"/>
      <c r="BD37" s="1032"/>
      <c r="BE37" s="1032">
        <v>8</v>
      </c>
      <c r="BF37" s="1032"/>
      <c r="BG37" s="1032"/>
      <c r="BH37" s="1032"/>
      <c r="BI37" s="1032"/>
      <c r="BJ37" s="1032"/>
      <c r="BK37" s="1032"/>
      <c r="BL37" s="1032"/>
      <c r="BM37" s="1032"/>
      <c r="BN37" s="1032"/>
      <c r="BO37" s="1032"/>
      <c r="BP37" s="1032"/>
      <c r="BQ37" s="1032"/>
      <c r="BR37" s="1032"/>
      <c r="BS37" s="1034" t="s">
        <v>589</v>
      </c>
      <c r="BT37" s="1035"/>
      <c r="BU37" s="1035"/>
      <c r="BV37" s="1035"/>
      <c r="BW37" s="1035"/>
      <c r="BX37" s="1035"/>
      <c r="BY37" s="1035"/>
      <c r="BZ37" s="1035"/>
      <c r="CA37" s="1035"/>
      <c r="CB37" s="1035"/>
      <c r="CC37" s="1035"/>
      <c r="CD37" s="1035"/>
      <c r="CE37" s="1035"/>
    </row>
    <row r="38" spans="1:83" s="87" customFormat="1" ht="19.149999999999999" customHeight="1" x14ac:dyDescent="0.25">
      <c r="A38" s="91"/>
      <c r="B38" s="86"/>
      <c r="C38" s="86"/>
      <c r="D38" s="86"/>
      <c r="E38" s="86"/>
      <c r="F38" s="86"/>
      <c r="G38" s="86"/>
      <c r="H38" s="86"/>
      <c r="I38" s="86"/>
      <c r="J38" s="86"/>
    </row>
    <row r="39" spans="1:83" s="87" customFormat="1" ht="15" customHeight="1" x14ac:dyDescent="0.2">
      <c r="A39" s="242" t="s">
        <v>457</v>
      </c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83" s="87" customFormat="1" ht="15" customHeight="1" x14ac:dyDescent="0.2">
      <c r="A40" s="100" t="s">
        <v>467</v>
      </c>
      <c r="B40" s="93"/>
      <c r="C40" s="93"/>
      <c r="D40" s="93"/>
      <c r="E40" s="93"/>
      <c r="F40" s="93"/>
      <c r="G40" s="93"/>
      <c r="H40" s="93"/>
      <c r="I40" s="93"/>
      <c r="J40" s="93"/>
    </row>
    <row r="41" spans="1:83" s="87" customFormat="1" ht="12.75" x14ac:dyDescent="0.2">
      <c r="A41" s="94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T41" s="95"/>
      <c r="U41" s="94"/>
      <c r="V41" s="94"/>
    </row>
    <row r="42" spans="1:83" s="2" customFormat="1" ht="12.75" x14ac:dyDescent="0.2">
      <c r="A42" s="11"/>
      <c r="B42" s="11"/>
      <c r="C42" s="11"/>
      <c r="D42" s="45" t="s">
        <v>59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855"/>
      <c r="AN42" s="855"/>
      <c r="AO42" s="855"/>
      <c r="AP42" s="855"/>
      <c r="AQ42" s="855"/>
      <c r="AR42" s="855"/>
      <c r="AS42" s="855"/>
      <c r="AT42" s="855"/>
      <c r="AU42" s="855"/>
      <c r="AV42" s="855"/>
      <c r="AW42" s="855"/>
      <c r="AX42" s="855"/>
      <c r="AY42" s="855"/>
      <c r="AZ42" s="11"/>
      <c r="BA42" s="11"/>
      <c r="BB42" s="11"/>
      <c r="BC42" s="893" t="str">
        <f>IF('Данные объект'!B42="","",'Данные объект'!B42)</f>
      </c>
      <c r="BD42" s="893"/>
      <c r="BE42" s="893"/>
      <c r="BF42" s="893"/>
      <c r="BG42" s="893"/>
      <c r="BH42" s="893"/>
      <c r="BI42" s="893"/>
      <c r="BJ42" s="893"/>
      <c r="BK42" s="893"/>
      <c r="BL42" s="893"/>
      <c r="BM42" s="893"/>
      <c r="BN42" s="893"/>
      <c r="BO42" s="893"/>
      <c r="BP42" s="893"/>
      <c r="BQ42" s="893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</row>
    <row r="43" spans="1:83" s="5" customFormat="1" ht="9.75" x14ac:dyDescent="0.2">
      <c r="C43" s="20"/>
      <c r="E43" s="21"/>
      <c r="F43" s="21"/>
      <c r="G43" s="20"/>
      <c r="H43" s="20"/>
      <c r="I43" s="20"/>
      <c r="J43" s="20"/>
      <c r="K43" s="20"/>
      <c r="L43" s="20"/>
      <c r="M43" s="20"/>
      <c r="AM43" s="858" t="s">
        <v>2</v>
      </c>
      <c r="AN43" s="858"/>
      <c r="AO43" s="858"/>
      <c r="AP43" s="858"/>
      <c r="AQ43" s="858"/>
      <c r="AR43" s="858"/>
      <c r="AS43" s="858"/>
      <c r="AT43" s="858"/>
      <c r="AU43" s="858"/>
      <c r="AV43" s="858"/>
      <c r="AW43" s="858"/>
      <c r="AX43" s="858"/>
      <c r="AY43" s="858"/>
    </row>
    <row r="44" spans="1:83" s="5" customFormat="1" ht="9.75" x14ac:dyDescent="0.2">
      <c r="C44" s="20"/>
      <c r="E44" s="21"/>
      <c r="F44" s="21"/>
      <c r="G44" s="20"/>
      <c r="H44" s="20"/>
      <c r="I44" s="20"/>
      <c r="J44" s="20"/>
      <c r="K44" s="20"/>
      <c r="L44" s="20"/>
      <c r="M44" s="20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</row>
    <row r="45" spans="1:83" s="2" customFormat="1" ht="12.75" x14ac:dyDescent="0.2">
      <c r="A45" s="11"/>
      <c r="B45" s="11"/>
      <c r="C45" s="11"/>
      <c r="D45" s="45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855"/>
      <c r="AN45" s="855"/>
      <c r="AO45" s="855"/>
      <c r="AP45" s="855"/>
      <c r="AQ45" s="855"/>
      <c r="AR45" s="855"/>
      <c r="AS45" s="855"/>
      <c r="AT45" s="855"/>
      <c r="AU45" s="855"/>
      <c r="AV45" s="855"/>
      <c r="AW45" s="855"/>
      <c r="AX45" s="855"/>
      <c r="AY45" s="855"/>
      <c r="AZ45" s="11"/>
      <c r="BA45" s="11"/>
      <c r="BB45" s="11"/>
      <c r="BC45" s="893" t="str">
        <f>IF('Данные объект'!B47="","",'Данные объект'!B47)</f>
      </c>
      <c r="BD45" s="893"/>
      <c r="BE45" s="893"/>
      <c r="BF45" s="893"/>
      <c r="BG45" s="893"/>
      <c r="BH45" s="893"/>
      <c r="BI45" s="893"/>
      <c r="BJ45" s="893"/>
      <c r="BK45" s="893"/>
      <c r="BL45" s="893"/>
      <c r="BM45" s="893"/>
      <c r="BN45" s="893"/>
      <c r="BO45" s="893"/>
      <c r="BP45" s="893"/>
      <c r="BQ45" s="893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</row>
    <row r="46" spans="1:83" s="5" customFormat="1" ht="9.75" x14ac:dyDescent="0.2">
      <c r="C46" s="20"/>
      <c r="E46" s="21"/>
      <c r="F46" s="21"/>
      <c r="G46" s="20"/>
      <c r="H46" s="20"/>
      <c r="I46" s="20"/>
      <c r="J46" s="20"/>
      <c r="K46" s="20"/>
      <c r="L46" s="20"/>
      <c r="M46" s="20"/>
      <c r="AM46" s="858" t="s">
        <v>2</v>
      </c>
      <c r="AN46" s="858"/>
      <c r="AO46" s="858"/>
      <c r="AP46" s="858"/>
      <c r="AQ46" s="858"/>
      <c r="AR46" s="858"/>
      <c r="AS46" s="858"/>
      <c r="AT46" s="858"/>
      <c r="AU46" s="858"/>
      <c r="AV46" s="858"/>
      <c r="AW46" s="858"/>
      <c r="AX46" s="858"/>
      <c r="AY46" s="858"/>
    </row>
    <row r="47" spans="1:83" s="5" customFormat="1" ht="12.75" outlineLevel="1" x14ac:dyDescent="0.2">
      <c r="C47" s="20"/>
      <c r="D47" s="21"/>
      <c r="E47" s="21"/>
      <c r="F47" s="21"/>
      <c r="G47" s="20"/>
      <c r="H47" s="20"/>
      <c r="I47" s="20"/>
      <c r="J47" s="20"/>
      <c r="K47" s="20"/>
      <c r="L47" s="20"/>
      <c r="M47" s="20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83" s="11" customFormat="1" ht="11.25" x14ac:dyDescent="0.2">
      <c r="C48" s="57"/>
      <c r="D48" s="45" t="s">
        <v>61</v>
      </c>
      <c r="E48" s="45"/>
      <c r="F48" s="45"/>
      <c r="G48" s="57"/>
      <c r="H48" s="57"/>
      <c r="I48" s="57"/>
      <c r="J48" s="57"/>
      <c r="K48" s="57"/>
      <c r="L48" s="57"/>
      <c r="M48" s="57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93" t="str">
        <f>IF('Данные объект'!B28="","",'Данные объект'!B28)</f>
      </c>
      <c r="BD48" s="893"/>
      <c r="BE48" s="893"/>
      <c r="BF48" s="893"/>
      <c r="BG48" s="893"/>
      <c r="BH48" s="893"/>
      <c r="BI48" s="893"/>
      <c r="BJ48" s="893"/>
      <c r="BK48" s="893"/>
      <c r="BL48" s="893"/>
      <c r="BM48" s="893"/>
      <c r="BN48" s="893"/>
      <c r="BO48" s="893"/>
      <c r="BP48" s="893"/>
      <c r="BQ48" s="893"/>
    </row>
    <row r="49" spans="1:172" s="5" customFormat="1" ht="9.75" x14ac:dyDescent="0.2">
      <c r="C49" s="20"/>
      <c r="E49" s="21"/>
      <c r="F49" s="21"/>
      <c r="G49" s="20"/>
      <c r="H49" s="20"/>
      <c r="I49" s="20"/>
      <c r="J49" s="20"/>
      <c r="K49" s="20"/>
      <c r="L49" s="20"/>
      <c r="M49" s="20"/>
      <c r="AM49" s="858" t="s">
        <v>2</v>
      </c>
      <c r="AN49" s="858"/>
      <c r="AO49" s="858"/>
      <c r="AP49" s="858"/>
      <c r="AQ49" s="858"/>
      <c r="AR49" s="858"/>
      <c r="AS49" s="858"/>
      <c r="AT49" s="858"/>
      <c r="AU49" s="858"/>
      <c r="AV49" s="858"/>
      <c r="AW49" s="858"/>
      <c r="AX49" s="858"/>
      <c r="AY49" s="858"/>
    </row>
    <row r="50" spans="1:172" s="87" customFormat="1" ht="15" customHeight="1" x14ac:dyDescent="0.2">
      <c r="A50" s="92"/>
      <c r="B50" s="93"/>
      <c r="C50" s="93"/>
      <c r="D50" s="93"/>
    </row>
    <row r="51" spans="1:172" s="87" customFormat="1" ht="15" customHeight="1" x14ac:dyDescent="0.2">
      <c r="A51" s="92"/>
      <c r="B51" s="93"/>
      <c r="C51" s="93"/>
      <c r="D51" s="93"/>
    </row>
    <row r="52" spans="1:172" s="87" customFormat="1" ht="15" customHeight="1" x14ac:dyDescent="0.2">
      <c r="A52" s="95"/>
      <c r="B52" s="93"/>
      <c r="C52" s="93"/>
      <c r="D52" s="93"/>
    </row>
    <row r="53" spans="1:172" s="87" customFormat="1" ht="13.15" customHeight="1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N53" s="106"/>
    </row>
    <row r="54" spans="1:172" s="87" customFormat="1" ht="16.899999999999999" customHeight="1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N54" s="101"/>
    </row>
    <row r="55" spans="1:172" s="87" customFormat="1" ht="16.899999999999999" customHeight="1" x14ac:dyDescent="0.2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N55" s="101"/>
    </row>
    <row r="56" spans="1:172" s="2" customFormat="1" ht="13.5" x14ac:dyDescent="0.25">
      <c r="F56" s="10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</row>
    <row r="57" spans="1:172" s="2" customFormat="1" ht="12.75" x14ac:dyDescent="0.2"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</row>
    <row r="58" spans="1:172" s="5" customFormat="1" ht="7.9" hidden="1" customHeight="1" x14ac:dyDescent="0.15"/>
    <row r="59" spans="1:172" s="70" customFormat="1" ht="11.2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</row>
    <row r="61" spans="1:172" s="41" customFormat="1" ht="8.25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</row>
    <row r="62" spans="1:172" s="70" customFormat="1" ht="10.15" hidden="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</row>
    <row r="63" spans="1:172" ht="14.45" hidden="1" customHeight="1" x14ac:dyDescent="0.25"/>
    <row r="64" spans="1:172" s="41" customFormat="1" ht="8.4499999999999993" hidden="1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</row>
    <row r="65" spans="1:172" ht="14.45" hidden="1" customHeight="1" x14ac:dyDescent="0.25"/>
    <row r="66" spans="1:172" s="70" customFormat="1" ht="10.15" hidden="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</row>
    <row r="67" spans="1:172" ht="14.45" hidden="1" customHeight="1" x14ac:dyDescent="0.25"/>
    <row r="68" spans="1:172" s="70" customFormat="1" ht="10.15" hidden="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02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</row>
    <row r="71" spans="1:172" s="42" customFormat="1" ht="15" customHeight="1" x14ac:dyDescent="0.25">
      <c r="A71" s="103"/>
      <c r="B71" s="103"/>
      <c r="C71" s="103"/>
      <c r="D71" s="103"/>
      <c r="E71" s="103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3"/>
      <c r="BF71" s="103"/>
      <c r="BG71" s="103"/>
      <c r="BH71" s="103"/>
      <c r="BI71" s="103"/>
      <c r="BJ71" s="103"/>
      <c r="BK71" s="103"/>
      <c r="BL71" s="103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3"/>
      <c r="BZ71" s="103"/>
      <c r="CA71" s="103"/>
      <c r="CB71" s="103"/>
      <c r="CC71" s="71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</row>
    <row r="72" spans="1:172" s="42" customFormat="1" x14ac:dyDescent="0.25">
      <c r="A72" s="103"/>
      <c r="B72" s="103"/>
      <c r="C72" s="103"/>
      <c r="D72" s="103"/>
      <c r="E72" s="103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3"/>
      <c r="BF72" s="103"/>
      <c r="BG72" s="103"/>
      <c r="BH72" s="103"/>
      <c r="BI72" s="103"/>
      <c r="BJ72" s="103"/>
      <c r="BK72" s="103"/>
      <c r="BL72" s="103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3"/>
      <c r="BZ72" s="103"/>
      <c r="CA72" s="103"/>
      <c r="CB72" s="103"/>
      <c r="CC72" s="71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</row>
    <row r="73" spans="1:172" s="42" customFormat="1" x14ac:dyDescent="0.25">
      <c r="A73" s="103"/>
      <c r="B73" s="103"/>
      <c r="C73" s="103"/>
      <c r="D73" s="103"/>
      <c r="E73" s="103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3"/>
      <c r="BF73" s="103"/>
      <c r="BG73" s="103"/>
      <c r="BH73" s="103"/>
      <c r="BI73" s="103"/>
      <c r="BJ73" s="103"/>
      <c r="BK73" s="103"/>
      <c r="BL73" s="103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3"/>
      <c r="BZ73" s="103"/>
      <c r="CA73" s="103"/>
      <c r="CB73" s="103"/>
      <c r="CC73" s="71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</row>
    <row r="74" spans="1:172" x14ac:dyDescent="0.25">
      <c r="A74" s="103"/>
      <c r="B74" s="103"/>
      <c r="C74" s="103"/>
      <c r="D74" s="103"/>
      <c r="E74" s="103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3"/>
      <c r="BF74" s="103"/>
      <c r="BG74" s="103"/>
      <c r="BH74" s="103"/>
      <c r="BI74" s="103"/>
      <c r="BJ74" s="103"/>
      <c r="BK74" s="103"/>
      <c r="BL74" s="103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3"/>
      <c r="BZ74" s="103"/>
      <c r="CA74" s="103"/>
      <c r="CB74" s="103"/>
      <c r="CC74" s="11"/>
    </row>
    <row r="75" spans="1:172" x14ac:dyDescent="0.25">
      <c r="A75" s="103"/>
      <c r="B75" s="103"/>
      <c r="C75" s="103"/>
      <c r="D75" s="103"/>
      <c r="E75" s="103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3"/>
      <c r="BF75" s="103"/>
      <c r="BG75" s="103"/>
      <c r="BH75" s="103"/>
      <c r="BI75" s="103"/>
      <c r="BJ75" s="103"/>
      <c r="BK75" s="103"/>
      <c r="BL75" s="103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3"/>
      <c r="BZ75" s="103"/>
      <c r="CA75" s="103"/>
      <c r="CB75" s="103"/>
      <c r="CC75" s="11"/>
    </row>
    <row r="76" spans="1:17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70"/>
      <c r="BZ76" s="70"/>
      <c r="CA76" s="70"/>
      <c r="CB76" s="70"/>
      <c r="CC76" s="11"/>
    </row>
    <row r="77" spans="1:17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11"/>
    </row>
    <row r="78" spans="1:17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11"/>
    </row>
    <row r="79" spans="1:172" ht="14.45" hidden="1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11"/>
    </row>
    <row r="80" spans="1:172" ht="14.45" hidden="1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11"/>
    </row>
    <row r="81" spans="1:81" ht="14.45" hidden="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11"/>
    </row>
    <row r="82" spans="1:81" ht="14.45" hidden="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11"/>
    </row>
    <row r="83" spans="1:81" ht="14.45" hidden="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11"/>
    </row>
    <row r="84" spans="1:81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1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1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1" ht="14.45" hidden="1" customHeight="1" x14ac:dyDescent="0.25"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1" ht="14.45" hidden="1" customHeight="1" x14ac:dyDescent="0.25"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1" ht="14.45" hidden="1" customHeight="1" x14ac:dyDescent="0.25"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1" ht="14.45" hidden="1" customHeight="1" x14ac:dyDescent="0.25"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1" ht="14.45" hidden="1" customHeight="1" x14ac:dyDescent="0.25"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pans="1:81" ht="14.45" hidden="1" customHeight="1" x14ac:dyDescent="0.25"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pans="1:81" x14ac:dyDescent="0.25">
      <c r="AN93"/>
      <c r="AO93"/>
      <c r="AP93"/>
      <c r="AQ93"/>
      <c r="AR93"/>
      <c r="AS93"/>
      <c r="AT93"/>
      <c r="AU93"/>
      <c r="AV93"/>
      <c r="AW93"/>
      <c r="AX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1:81" ht="6.6" customHeight="1" x14ac:dyDescent="0.25">
      <c r="AN94"/>
      <c r="AO94"/>
      <c r="AP94"/>
      <c r="AQ94"/>
      <c r="AR94"/>
      <c r="AS94"/>
      <c r="AT94"/>
      <c r="AU94"/>
      <c r="AV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1:81" x14ac:dyDescent="0.25">
      <c r="A95" s="11"/>
      <c r="B95" s="11"/>
      <c r="C95" s="5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ht="7.9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x14ac:dyDescent="0.25">
      <c r="A98" s="11"/>
      <c r="B98" s="11"/>
      <c r="C98" s="5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s="2" customFormat="1" ht="12.75" x14ac:dyDescent="0.2">
      <c r="A102" s="11"/>
      <c r="B102" s="11"/>
      <c r="C102" s="11"/>
      <c r="D102" s="4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s="5" customFormat="1" ht="9.75" x14ac:dyDescent="0.2">
      <c r="C103" s="20"/>
      <c r="E103" s="21"/>
      <c r="F103" s="21"/>
      <c r="G103" s="20"/>
      <c r="H103" s="20"/>
      <c r="I103" s="20"/>
      <c r="J103" s="20"/>
      <c r="K103" s="20"/>
      <c r="L103" s="20"/>
      <c r="M103" s="20"/>
    </row>
    <row r="104" spans="1:80" s="5" customFormat="1" ht="12.75" outlineLevel="1" x14ac:dyDescent="0.2">
      <c r="C104" s="20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</row>
    <row r="105" spans="1:80" s="11" customFormat="1" ht="11.25" x14ac:dyDescent="0.2">
      <c r="C105" s="57"/>
      <c r="D105" s="45"/>
      <c r="E105" s="45"/>
      <c r="F105" s="45"/>
      <c r="G105" s="57"/>
      <c r="H105" s="57"/>
      <c r="I105" s="57"/>
      <c r="J105" s="57"/>
      <c r="K105" s="57"/>
      <c r="L105" s="57"/>
      <c r="M105" s="57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80" s="5" customFormat="1" ht="9.75" x14ac:dyDescent="0.2">
      <c r="C106" s="20"/>
      <c r="E106" s="21"/>
      <c r="F106" s="21"/>
      <c r="G106" s="20"/>
      <c r="H106" s="20"/>
      <c r="I106" s="20"/>
      <c r="J106" s="20"/>
      <c r="K106" s="20"/>
      <c r="L106" s="20"/>
      <c r="M106" s="20"/>
    </row>
  </sheetData>
  <mergeCells count="82">
    <mergeCell ref="A13:CE13"/>
    <mergeCell ref="A19:CB19"/>
    <mergeCell ref="A20:CB20"/>
    <mergeCell ref="AM48:AY48"/>
    <mergeCell ref="BC48:BQ48"/>
    <mergeCell ref="F37:P37"/>
    <mergeCell ref="Q37:AA37"/>
    <mergeCell ref="AB37:AG37"/>
    <mergeCell ref="A33:E34"/>
    <mergeCell ref="A28:Y28"/>
    <mergeCell ref="AQ34:AW34"/>
    <mergeCell ref="BS36:CE36"/>
    <mergeCell ref="BE36:BK36"/>
    <mergeCell ref="F36:P36"/>
    <mergeCell ref="Q36:AA36"/>
    <mergeCell ref="AB36:AG36"/>
    <mergeCell ref="A35:E37"/>
    <mergeCell ref="Z25:CE25"/>
    <mergeCell ref="AQ33:BR33"/>
    <mergeCell ref="AM49:AY49"/>
    <mergeCell ref="AM46:AY46"/>
    <mergeCell ref="BL36:BR36"/>
    <mergeCell ref="AM42:AY42"/>
    <mergeCell ref="BC42:BQ42"/>
    <mergeCell ref="AM43:AY43"/>
    <mergeCell ref="AM45:AY45"/>
    <mergeCell ref="BC45:BQ45"/>
    <mergeCell ref="AX37:BD37"/>
    <mergeCell ref="BE37:BK37"/>
    <mergeCell ref="BL37:BR37"/>
    <mergeCell ref="AH37:AP37"/>
    <mergeCell ref="AQ37:AW37"/>
    <mergeCell ref="F35:P35"/>
    <mergeCell ref="Q35:AA35"/>
    <mergeCell ref="AB35:AG35"/>
    <mergeCell ref="AH35:AP35"/>
    <mergeCell ref="AQ35:AW35"/>
    <mergeCell ref="AX35:BD35"/>
    <mergeCell ref="BE35:BK35"/>
    <mergeCell ref="AB33:AP33"/>
    <mergeCell ref="BS37:CE37"/>
    <mergeCell ref="AX34:BD34"/>
    <mergeCell ref="BE34:BK34"/>
    <mergeCell ref="BL34:BR34"/>
    <mergeCell ref="BL35:BR35"/>
    <mergeCell ref="BS35:CE35"/>
    <mergeCell ref="BS33:CE34"/>
    <mergeCell ref="AQ36:AW36"/>
    <mergeCell ref="AH36:AP36"/>
    <mergeCell ref="AX36:BD36"/>
    <mergeCell ref="A14:CE14"/>
    <mergeCell ref="A17:CB17"/>
    <mergeCell ref="A18:CB18"/>
    <mergeCell ref="A27:Z27"/>
    <mergeCell ref="AA27:AS27"/>
    <mergeCell ref="A22:CB22"/>
    <mergeCell ref="A23:CB23"/>
    <mergeCell ref="AT27:BX27"/>
    <mergeCell ref="A25:Y25"/>
    <mergeCell ref="A30:AH30"/>
    <mergeCell ref="Q34:AA34"/>
    <mergeCell ref="AB34:AG34"/>
    <mergeCell ref="AH34:AP34"/>
    <mergeCell ref="B29:C29"/>
    <mergeCell ref="B31:AP31"/>
    <mergeCell ref="Q33:AA33"/>
    <mergeCell ref="F33:P34"/>
    <mergeCell ref="A5:AI5"/>
    <mergeCell ref="AR5:BZ5"/>
    <mergeCell ref="AR6:BZ9"/>
    <mergeCell ref="A8:AI9"/>
    <mergeCell ref="AR1:BZ2"/>
    <mergeCell ref="A2:AI2"/>
    <mergeCell ref="A3:AI3"/>
    <mergeCell ref="AR3:BZ3"/>
    <mergeCell ref="A4:AI4"/>
    <mergeCell ref="AR4:BZ4"/>
    <mergeCell ref="AR12:BZ12"/>
    <mergeCell ref="A11:AI11"/>
    <mergeCell ref="AR11:BZ11"/>
    <mergeCell ref="A10:AI10"/>
    <mergeCell ref="AR10:BZ10"/>
  </mergeCells>
  <dataValidations disablePrompts="1" count="2">
    <dataValidation type="list" allowBlank="1" showInputMessage="1" showErrorMessage="1" sqref="P53:V53" xr:uid="{4133C41A-EB0A-4AD5-A03C-A6A84EB52C2D}">
      <formula1>ВЛ</formula1>
    </dataValidation>
    <dataValidation type="list" allowBlank="1" showInputMessage="1" showErrorMessage="1" sqref="O76:W78" xr:uid="{FB169076-E344-4505-8F21-454FCE50F6FC}">
      <formula1>стойка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C52E-17EC-478A-83FD-25E3E5EFFD83}">
  <sheetPr>
    <tabColor rgb="FFCCCCFF"/>
  </sheetPr>
  <dimension ref="A1:FP99"/>
  <sheetViews>
    <sheetView view="pageBreakPreview" zoomScaleNormal="100" zoomScaleSheetLayoutView="100" workbookViewId="0">
      <selection activeCell="A21" sqref="A21:G21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8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30.6" customHeight="1" x14ac:dyDescent="0.25">
      <c r="A13" s="931" t="s">
        <v>1254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1255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87" customFormat="1" ht="12.6" customHeight="1" x14ac:dyDescent="0.2">
      <c r="A16" s="95" t="s">
        <v>590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017" t="str">
        <f>IF('Данные объект'!B14="","",'Данные объект'!B14)</f>
      </c>
      <c r="T16" s="1017"/>
      <c r="U16" s="1017"/>
      <c r="V16" s="1017"/>
      <c r="W16" s="1017"/>
      <c r="X16" s="1017"/>
      <c r="Y16" s="1017"/>
      <c r="Z16" s="1017"/>
      <c r="AA16" s="1017"/>
      <c r="AB16" s="1017"/>
      <c r="AC16" s="1017"/>
      <c r="AD16" s="1017"/>
      <c r="AE16" s="1017"/>
      <c r="AF16" s="1017"/>
      <c r="AG16" s="1017"/>
      <c r="AH16" s="1017"/>
      <c r="AI16" s="1017"/>
      <c r="AJ16" s="1017"/>
      <c r="AK16" s="1017"/>
      <c r="AL16" s="1017"/>
      <c r="AM16" s="1017"/>
      <c r="AN16" s="1017"/>
      <c r="AO16" s="1017"/>
      <c r="AP16" s="1017"/>
      <c r="AQ16" s="1017"/>
      <c r="AR16" s="1017"/>
      <c r="AS16" s="1017"/>
      <c r="AT16" s="1017"/>
      <c r="AU16" s="1017"/>
      <c r="AV16" s="1017"/>
      <c r="AW16" s="1017"/>
      <c r="AX16" s="1017"/>
      <c r="AY16" s="1017"/>
      <c r="AZ16" s="1017"/>
      <c r="BA16" s="1017"/>
      <c r="BB16" s="1017"/>
      <c r="BC16" s="1017"/>
      <c r="BD16" s="1017"/>
      <c r="BE16" s="1017"/>
      <c r="BF16" s="1017"/>
      <c r="BG16" s="1017"/>
      <c r="BH16" s="1017"/>
      <c r="BI16" s="1017"/>
      <c r="BJ16" s="1017"/>
      <c r="BK16" s="1017"/>
      <c r="BL16" s="1017"/>
      <c r="BM16" s="1017"/>
      <c r="BN16" s="1017"/>
      <c r="BO16" s="1017"/>
      <c r="BP16" s="1017"/>
      <c r="BQ16" s="1017"/>
      <c r="BR16" s="1017"/>
      <c r="BS16" s="1017"/>
      <c r="BT16" s="1017"/>
      <c r="BU16" s="1017"/>
      <c r="BV16" s="1017"/>
      <c r="BW16" s="1017"/>
      <c r="BX16" s="1017"/>
      <c r="BY16" s="1017"/>
      <c r="BZ16" s="1017"/>
      <c r="CA16" s="1017"/>
      <c r="CB16" s="1017"/>
      <c r="CC16" s="1017"/>
      <c r="CD16" s="1017"/>
      <c r="CE16" s="1017"/>
    </row>
    <row r="17" spans="1:83" s="87" customFormat="1" ht="12.75" x14ac:dyDescent="0.2">
      <c r="A17" s="1019" t="s">
        <v>753</v>
      </c>
      <c r="B17" s="1054"/>
      <c r="C17" s="1054"/>
      <c r="D17" s="1054"/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  <c r="O17" s="1054"/>
      <c r="P17" s="1054"/>
      <c r="Q17" s="1054"/>
      <c r="R17" s="964"/>
      <c r="S17" s="964"/>
      <c r="T17" s="964"/>
      <c r="U17" s="964"/>
      <c r="V17" s="964"/>
      <c r="W17" s="964"/>
      <c r="X17" s="964"/>
      <c r="Y17" s="964"/>
      <c r="Z17" s="964"/>
      <c r="AA17" s="964"/>
      <c r="AC17" s="1053" t="s">
        <v>591</v>
      </c>
      <c r="AD17" s="1053"/>
      <c r="AE17" s="1053"/>
      <c r="AF17" s="1053"/>
      <c r="AG17" s="1053"/>
      <c r="AH17" s="1053"/>
      <c r="AI17" s="1053"/>
      <c r="AJ17" s="1053"/>
      <c r="AK17" s="1053"/>
      <c r="AL17" s="1055"/>
      <c r="AM17" s="1055"/>
      <c r="AN17" s="1055"/>
      <c r="AO17" s="1055"/>
      <c r="AP17" s="1055"/>
      <c r="AQ17" s="1055"/>
      <c r="AR17" s="1055"/>
      <c r="AS17" s="1055"/>
      <c r="AT17" s="1055"/>
      <c r="AU17" s="1055"/>
      <c r="AV17" s="1055"/>
    </row>
    <row r="18" spans="1:83" s="87" customFormat="1" ht="12.75" x14ac:dyDescent="0.2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9"/>
      <c r="O18" s="119"/>
      <c r="P18" s="119"/>
      <c r="Q18" s="119"/>
      <c r="R18" s="11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</row>
    <row r="19" spans="1:83" s="87" customFormat="1" ht="13.9" customHeight="1" x14ac:dyDescent="0.2">
      <c r="A19" s="1062" t="s">
        <v>505</v>
      </c>
      <c r="B19" s="1063"/>
      <c r="C19" s="1063"/>
      <c r="D19" s="1063"/>
      <c r="E19" s="1063"/>
      <c r="F19" s="1063"/>
      <c r="G19" s="1064"/>
      <c r="H19" s="1068" t="s">
        <v>187</v>
      </c>
      <c r="I19" s="1069"/>
      <c r="J19" s="1069"/>
      <c r="K19" s="1069"/>
      <c r="L19" s="1069"/>
      <c r="M19" s="1069"/>
      <c r="N19" s="1069"/>
      <c r="O19" s="1069"/>
      <c r="P19" s="1069"/>
      <c r="Q19" s="1069"/>
      <c r="R19" s="1069"/>
      <c r="S19" s="1069"/>
      <c r="T19" s="1069"/>
      <c r="U19" s="1069"/>
      <c r="V19" s="1069"/>
      <c r="W19" s="1069"/>
      <c r="X19" s="1069"/>
      <c r="Y19" s="1069"/>
      <c r="Z19" s="1069"/>
      <c r="AA19" s="1069"/>
      <c r="AB19" s="1069"/>
      <c r="AC19" s="1069"/>
      <c r="AD19" s="1069"/>
      <c r="AE19" s="1069"/>
      <c r="AF19" s="1069"/>
      <c r="AG19" s="1069"/>
      <c r="AH19" s="1069"/>
      <c r="AI19" s="1069"/>
      <c r="AJ19" s="1069"/>
      <c r="AK19" s="1069"/>
      <c r="AL19" s="1069"/>
      <c r="AM19" s="1069"/>
      <c r="AN19" s="1069"/>
      <c r="AO19" s="1069"/>
      <c r="AP19" s="1069"/>
      <c r="AQ19" s="1069"/>
      <c r="AR19" s="1069"/>
      <c r="AS19" s="1069"/>
      <c r="AT19" s="1069"/>
      <c r="AU19" s="1069"/>
      <c r="AV19" s="1069"/>
      <c r="AW19" s="1069"/>
      <c r="AX19" s="1069"/>
      <c r="AY19" s="1069"/>
      <c r="AZ19" s="1069"/>
      <c r="BA19" s="1069"/>
      <c r="BB19" s="1069"/>
      <c r="BC19" s="1069"/>
      <c r="BD19" s="1069"/>
      <c r="BE19" s="1069"/>
      <c r="BF19" s="1069"/>
      <c r="BG19" s="1069"/>
      <c r="BH19" s="1069"/>
      <c r="BI19" s="1069"/>
      <c r="BJ19" s="1069"/>
      <c r="BK19" s="1069"/>
      <c r="BL19" s="1069"/>
      <c r="BM19" s="1069"/>
      <c r="BN19" s="1069"/>
      <c r="BO19" s="1069"/>
      <c r="BP19" s="1069"/>
      <c r="BQ19" s="1069"/>
      <c r="BR19" s="1069"/>
      <c r="BS19" s="1069"/>
      <c r="BT19" s="1069"/>
      <c r="BU19" s="1069"/>
      <c r="BV19" s="1069"/>
      <c r="BW19" s="1069"/>
      <c r="BX19" s="1069"/>
      <c r="BY19" s="1069"/>
      <c r="BZ19" s="1069"/>
      <c r="CA19" s="1069"/>
      <c r="CB19" s="1069"/>
      <c r="CC19" s="1069"/>
      <c r="CD19" s="1069"/>
      <c r="CE19" s="1069"/>
    </row>
    <row r="20" spans="1:83" s="87" customFormat="1" ht="12.75" x14ac:dyDescent="0.2">
      <c r="A20" s="1065"/>
      <c r="B20" s="1066"/>
      <c r="C20" s="1066"/>
      <c r="D20" s="1066"/>
      <c r="E20" s="1066"/>
      <c r="F20" s="1066"/>
      <c r="G20" s="1067"/>
      <c r="H20" s="1057" t="s">
        <v>530</v>
      </c>
      <c r="I20" s="1056"/>
      <c r="J20" s="1056"/>
      <c r="K20" s="1056"/>
      <c r="L20" s="1056"/>
      <c r="M20" s="1056"/>
      <c r="N20" s="1056"/>
      <c r="O20" s="1056"/>
      <c r="P20" s="1056"/>
      <c r="Q20" s="1056"/>
      <c r="R20" s="1056"/>
      <c r="S20" s="1056" t="s">
        <v>529</v>
      </c>
      <c r="T20" s="1056"/>
      <c r="U20" s="1056"/>
      <c r="V20" s="1056"/>
      <c r="W20" s="1056"/>
      <c r="X20" s="1056"/>
      <c r="Y20" s="1056"/>
      <c r="Z20" s="1056"/>
      <c r="AA20" s="1056"/>
      <c r="AB20" s="1056"/>
      <c r="AC20" s="1056"/>
      <c r="AD20" s="1056"/>
      <c r="AE20" s="1056"/>
      <c r="AF20" s="1056"/>
      <c r="AG20" s="1056" t="s">
        <v>528</v>
      </c>
      <c r="AH20" s="1056"/>
      <c r="AI20" s="1056"/>
      <c r="AJ20" s="1056"/>
      <c r="AK20" s="1056"/>
      <c r="AL20" s="1056"/>
      <c r="AM20" s="1056"/>
      <c r="AN20" s="1056"/>
      <c r="AO20" s="1056"/>
      <c r="AP20" s="1056"/>
      <c r="AQ20" s="1056"/>
      <c r="AR20" s="1056"/>
      <c r="AS20" s="1056"/>
      <c r="AT20" s="1056"/>
      <c r="AU20" s="1056"/>
      <c r="AV20" s="1056"/>
      <c r="AW20" s="1056" t="s">
        <v>527</v>
      </c>
      <c r="AX20" s="1056"/>
      <c r="AY20" s="1056"/>
      <c r="AZ20" s="1056"/>
      <c r="BA20" s="1056"/>
      <c r="BB20" s="1056"/>
      <c r="BC20" s="1056"/>
      <c r="BD20" s="1056"/>
      <c r="BE20" s="1056"/>
      <c r="BF20" s="1056"/>
      <c r="BG20" s="1056"/>
      <c r="BH20" s="1056"/>
      <c r="BI20" s="1056" t="s">
        <v>526</v>
      </c>
      <c r="BJ20" s="1056"/>
      <c r="BK20" s="1056"/>
      <c r="BL20" s="1056"/>
      <c r="BM20" s="1056"/>
      <c r="BN20" s="1056"/>
      <c r="BO20" s="1056"/>
      <c r="BP20" s="1056"/>
      <c r="BQ20" s="1056"/>
      <c r="BR20" s="1056"/>
      <c r="BS20" s="1056"/>
      <c r="BT20" s="1056"/>
      <c r="BU20" s="1056"/>
      <c r="BV20" s="1056" t="s">
        <v>525</v>
      </c>
      <c r="BW20" s="1056"/>
      <c r="BX20" s="1056"/>
      <c r="BY20" s="1056"/>
      <c r="BZ20" s="1056"/>
      <c r="CA20" s="1056"/>
      <c r="CB20" s="1056"/>
      <c r="CC20" s="1056"/>
      <c r="CD20" s="1056"/>
      <c r="CE20" s="1056"/>
    </row>
    <row r="21" spans="1:83" s="87" customFormat="1" ht="12.75" x14ac:dyDescent="0.2">
      <c r="A21" s="1056"/>
      <c r="B21" s="1056"/>
      <c r="C21" s="1056"/>
      <c r="D21" s="1056"/>
      <c r="E21" s="1056"/>
      <c r="F21" s="1056"/>
      <c r="G21" s="1056"/>
      <c r="H21" s="1058" t="s">
        <v>524</v>
      </c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60" t="s">
        <v>524</v>
      </c>
      <c r="T21" s="1061"/>
      <c r="U21" s="1061"/>
      <c r="V21" s="1061"/>
      <c r="W21" s="1061"/>
      <c r="X21" s="1061"/>
      <c r="Y21" s="1061"/>
      <c r="Z21" s="1061"/>
      <c r="AA21" s="1061"/>
      <c r="AB21" s="1061"/>
      <c r="AC21" s="1061"/>
      <c r="AD21" s="1061"/>
      <c r="AE21" s="1061"/>
      <c r="AF21" s="1058"/>
      <c r="AG21" s="1060" t="s">
        <v>524</v>
      </c>
      <c r="AH21" s="1061"/>
      <c r="AI21" s="1061"/>
      <c r="AJ21" s="1061"/>
      <c r="AK21" s="1061"/>
      <c r="AL21" s="1061"/>
      <c r="AM21" s="1061"/>
      <c r="AN21" s="1061"/>
      <c r="AO21" s="1061"/>
      <c r="AP21" s="1061"/>
      <c r="AQ21" s="1061"/>
      <c r="AR21" s="1061"/>
      <c r="AS21" s="1061"/>
      <c r="AT21" s="1061"/>
      <c r="AU21" s="1061"/>
      <c r="AV21" s="1058"/>
      <c r="AW21" s="1060" t="s">
        <v>524</v>
      </c>
      <c r="AX21" s="1061"/>
      <c r="AY21" s="1061"/>
      <c r="AZ21" s="1061"/>
      <c r="BA21" s="1061"/>
      <c r="BB21" s="1061"/>
      <c r="BC21" s="1061"/>
      <c r="BD21" s="1061"/>
      <c r="BE21" s="1061"/>
      <c r="BF21" s="1061"/>
      <c r="BG21" s="1061"/>
      <c r="BH21" s="1061"/>
      <c r="BI21" s="1060" t="s">
        <v>524</v>
      </c>
      <c r="BJ21" s="1061"/>
      <c r="BK21" s="1061"/>
      <c r="BL21" s="1061"/>
      <c r="BM21" s="1061"/>
      <c r="BN21" s="1061"/>
      <c r="BO21" s="1061"/>
      <c r="BP21" s="1061"/>
      <c r="BQ21" s="1061"/>
      <c r="BR21" s="1061"/>
      <c r="BS21" s="1061"/>
      <c r="BT21" s="1061"/>
      <c r="BU21" s="1058"/>
      <c r="BV21" s="1060" t="s">
        <v>524</v>
      </c>
      <c r="BW21" s="1061"/>
      <c r="BX21" s="1061"/>
      <c r="BY21" s="1061"/>
      <c r="BZ21" s="1061"/>
      <c r="CA21" s="1061"/>
      <c r="CB21" s="1061"/>
      <c r="CC21" s="1061"/>
      <c r="CD21" s="1061"/>
      <c r="CE21" s="1061"/>
    </row>
    <row r="22" spans="1:83" s="87" customFormat="1" ht="12.75" x14ac:dyDescent="0.2">
      <c r="A22" s="1056"/>
      <c r="B22" s="1056"/>
      <c r="C22" s="1056"/>
      <c r="D22" s="1056"/>
      <c r="E22" s="1056"/>
      <c r="F22" s="1056"/>
      <c r="G22" s="1056"/>
      <c r="H22" s="1058" t="s">
        <v>524</v>
      </c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60" t="s">
        <v>524</v>
      </c>
      <c r="T22" s="1061"/>
      <c r="U22" s="1061"/>
      <c r="V22" s="1061"/>
      <c r="W22" s="1061"/>
      <c r="X22" s="1061"/>
      <c r="Y22" s="1061"/>
      <c r="Z22" s="1061"/>
      <c r="AA22" s="1061"/>
      <c r="AB22" s="1061"/>
      <c r="AC22" s="1061"/>
      <c r="AD22" s="1061"/>
      <c r="AE22" s="1061"/>
      <c r="AF22" s="1058"/>
      <c r="AG22" s="1060" t="s">
        <v>524</v>
      </c>
      <c r="AH22" s="1061"/>
      <c r="AI22" s="1061"/>
      <c r="AJ22" s="1061"/>
      <c r="AK22" s="1061"/>
      <c r="AL22" s="1061"/>
      <c r="AM22" s="1061"/>
      <c r="AN22" s="1061"/>
      <c r="AO22" s="1061"/>
      <c r="AP22" s="1061"/>
      <c r="AQ22" s="1061"/>
      <c r="AR22" s="1061"/>
      <c r="AS22" s="1061"/>
      <c r="AT22" s="1061"/>
      <c r="AU22" s="1061"/>
      <c r="AV22" s="1058"/>
      <c r="AW22" s="1060" t="s">
        <v>524</v>
      </c>
      <c r="AX22" s="1061"/>
      <c r="AY22" s="1061"/>
      <c r="AZ22" s="1061"/>
      <c r="BA22" s="1061"/>
      <c r="BB22" s="1061"/>
      <c r="BC22" s="1061"/>
      <c r="BD22" s="1061"/>
      <c r="BE22" s="1061"/>
      <c r="BF22" s="1061"/>
      <c r="BG22" s="1061"/>
      <c r="BH22" s="1061"/>
      <c r="BI22" s="1060" t="s">
        <v>524</v>
      </c>
      <c r="BJ22" s="1061"/>
      <c r="BK22" s="1061"/>
      <c r="BL22" s="1061"/>
      <c r="BM22" s="1061"/>
      <c r="BN22" s="1061"/>
      <c r="BO22" s="1061"/>
      <c r="BP22" s="1061"/>
      <c r="BQ22" s="1061"/>
      <c r="BR22" s="1061"/>
      <c r="BS22" s="1061"/>
      <c r="BT22" s="1061"/>
      <c r="BU22" s="1058"/>
      <c r="BV22" s="1060" t="s">
        <v>524</v>
      </c>
      <c r="BW22" s="1061"/>
      <c r="BX22" s="1061"/>
      <c r="BY22" s="1061"/>
      <c r="BZ22" s="1061"/>
      <c r="CA22" s="1061"/>
      <c r="CB22" s="1061"/>
      <c r="CC22" s="1061"/>
      <c r="CD22" s="1061"/>
      <c r="CE22" s="1061"/>
    </row>
    <row r="23" spans="1:83" s="87" customFormat="1" ht="12.75" x14ac:dyDescent="0.2">
      <c r="A23" s="1056"/>
      <c r="B23" s="1056"/>
      <c r="C23" s="1056"/>
      <c r="D23" s="1056"/>
      <c r="E23" s="1056"/>
      <c r="F23" s="1056"/>
      <c r="G23" s="1056"/>
      <c r="H23" s="1058" t="s">
        <v>524</v>
      </c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60" t="s">
        <v>524</v>
      </c>
      <c r="T23" s="1061"/>
      <c r="U23" s="1061"/>
      <c r="V23" s="1061"/>
      <c r="W23" s="1061"/>
      <c r="X23" s="1061"/>
      <c r="Y23" s="1061"/>
      <c r="Z23" s="1061"/>
      <c r="AA23" s="1061"/>
      <c r="AB23" s="1061"/>
      <c r="AC23" s="1061"/>
      <c r="AD23" s="1061"/>
      <c r="AE23" s="1061"/>
      <c r="AF23" s="1058"/>
      <c r="AG23" s="1060" t="s">
        <v>524</v>
      </c>
      <c r="AH23" s="1061"/>
      <c r="AI23" s="1061"/>
      <c r="AJ23" s="1061"/>
      <c r="AK23" s="1061"/>
      <c r="AL23" s="1061"/>
      <c r="AM23" s="1061"/>
      <c r="AN23" s="1061"/>
      <c r="AO23" s="1061"/>
      <c r="AP23" s="1061"/>
      <c r="AQ23" s="1061"/>
      <c r="AR23" s="1061"/>
      <c r="AS23" s="1061"/>
      <c r="AT23" s="1061"/>
      <c r="AU23" s="1061"/>
      <c r="AV23" s="1058"/>
      <c r="AW23" s="1060" t="s">
        <v>524</v>
      </c>
      <c r="AX23" s="1061"/>
      <c r="AY23" s="1061"/>
      <c r="AZ23" s="1061"/>
      <c r="BA23" s="1061"/>
      <c r="BB23" s="1061"/>
      <c r="BC23" s="1061"/>
      <c r="BD23" s="1061"/>
      <c r="BE23" s="1061"/>
      <c r="BF23" s="1061"/>
      <c r="BG23" s="1061"/>
      <c r="BH23" s="1061"/>
      <c r="BI23" s="1060" t="s">
        <v>524</v>
      </c>
      <c r="BJ23" s="1061"/>
      <c r="BK23" s="1061"/>
      <c r="BL23" s="1061"/>
      <c r="BM23" s="1061"/>
      <c r="BN23" s="1061"/>
      <c r="BO23" s="1061"/>
      <c r="BP23" s="1061"/>
      <c r="BQ23" s="1061"/>
      <c r="BR23" s="1061"/>
      <c r="BS23" s="1061"/>
      <c r="BT23" s="1061"/>
      <c r="BU23" s="1058"/>
      <c r="BV23" s="1060" t="s">
        <v>524</v>
      </c>
      <c r="BW23" s="1061"/>
      <c r="BX23" s="1061"/>
      <c r="BY23" s="1061"/>
      <c r="BZ23" s="1061"/>
      <c r="CA23" s="1061"/>
      <c r="CB23" s="1061"/>
      <c r="CC23" s="1061"/>
      <c r="CD23" s="1061"/>
      <c r="CE23" s="1061"/>
    </row>
    <row r="24" spans="1:83" s="87" customFormat="1" ht="12.75" x14ac:dyDescent="0.2">
      <c r="A24" s="1056"/>
      <c r="B24" s="1056"/>
      <c r="C24" s="1056"/>
      <c r="D24" s="1056"/>
      <c r="E24" s="1056"/>
      <c r="F24" s="1056"/>
      <c r="G24" s="1056"/>
      <c r="H24" s="1058" t="s">
        <v>524</v>
      </c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60" t="s">
        <v>524</v>
      </c>
      <c r="T24" s="1061"/>
      <c r="U24" s="1061"/>
      <c r="V24" s="1061"/>
      <c r="W24" s="1061"/>
      <c r="X24" s="1061"/>
      <c r="Y24" s="1061"/>
      <c r="Z24" s="1061"/>
      <c r="AA24" s="1061"/>
      <c r="AB24" s="1061"/>
      <c r="AC24" s="1061"/>
      <c r="AD24" s="1061"/>
      <c r="AE24" s="1061"/>
      <c r="AF24" s="1058"/>
      <c r="AG24" s="1060" t="s">
        <v>524</v>
      </c>
      <c r="AH24" s="1061"/>
      <c r="AI24" s="1061"/>
      <c r="AJ24" s="1061"/>
      <c r="AK24" s="1061"/>
      <c r="AL24" s="1061"/>
      <c r="AM24" s="1061"/>
      <c r="AN24" s="1061"/>
      <c r="AO24" s="1061"/>
      <c r="AP24" s="1061"/>
      <c r="AQ24" s="1061"/>
      <c r="AR24" s="1061"/>
      <c r="AS24" s="1061"/>
      <c r="AT24" s="1061"/>
      <c r="AU24" s="1061"/>
      <c r="AV24" s="1058"/>
      <c r="AW24" s="1060" t="s">
        <v>524</v>
      </c>
      <c r="AX24" s="1061"/>
      <c r="AY24" s="1061"/>
      <c r="AZ24" s="1061"/>
      <c r="BA24" s="1061"/>
      <c r="BB24" s="1061"/>
      <c r="BC24" s="1061"/>
      <c r="BD24" s="1061"/>
      <c r="BE24" s="1061"/>
      <c r="BF24" s="1061"/>
      <c r="BG24" s="1061"/>
      <c r="BH24" s="1061"/>
      <c r="BI24" s="1060" t="s">
        <v>524</v>
      </c>
      <c r="BJ24" s="1061"/>
      <c r="BK24" s="1061"/>
      <c r="BL24" s="1061"/>
      <c r="BM24" s="1061"/>
      <c r="BN24" s="1061"/>
      <c r="BO24" s="1061"/>
      <c r="BP24" s="1061"/>
      <c r="BQ24" s="1061"/>
      <c r="BR24" s="1061"/>
      <c r="BS24" s="1061"/>
      <c r="BT24" s="1061"/>
      <c r="BU24" s="1058"/>
      <c r="BV24" s="1060" t="s">
        <v>524</v>
      </c>
      <c r="BW24" s="1061"/>
      <c r="BX24" s="1061"/>
      <c r="BY24" s="1061"/>
      <c r="BZ24" s="1061"/>
      <c r="CA24" s="1061"/>
      <c r="CB24" s="1061"/>
      <c r="CC24" s="1061"/>
      <c r="CD24" s="1061"/>
      <c r="CE24" s="1061"/>
    </row>
    <row r="25" spans="1:83" s="87" customFormat="1" ht="12.75" x14ac:dyDescent="0.2">
      <c r="A25" s="1056"/>
      <c r="B25" s="1056"/>
      <c r="C25" s="1056"/>
      <c r="D25" s="1056"/>
      <c r="E25" s="1056"/>
      <c r="F25" s="1056"/>
      <c r="G25" s="1056"/>
      <c r="H25" s="1058" t="s">
        <v>524</v>
      </c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60" t="s">
        <v>524</v>
      </c>
      <c r="T25" s="1061"/>
      <c r="U25" s="1061"/>
      <c r="V25" s="1061"/>
      <c r="W25" s="1061"/>
      <c r="X25" s="1061"/>
      <c r="Y25" s="1061"/>
      <c r="Z25" s="1061"/>
      <c r="AA25" s="1061"/>
      <c r="AB25" s="1061"/>
      <c r="AC25" s="1061"/>
      <c r="AD25" s="1061"/>
      <c r="AE25" s="1061"/>
      <c r="AF25" s="1058"/>
      <c r="AG25" s="1060" t="s">
        <v>524</v>
      </c>
      <c r="AH25" s="1061"/>
      <c r="AI25" s="1061"/>
      <c r="AJ25" s="1061"/>
      <c r="AK25" s="1061"/>
      <c r="AL25" s="1061"/>
      <c r="AM25" s="1061"/>
      <c r="AN25" s="1061"/>
      <c r="AO25" s="1061"/>
      <c r="AP25" s="1061"/>
      <c r="AQ25" s="1061"/>
      <c r="AR25" s="1061"/>
      <c r="AS25" s="1061"/>
      <c r="AT25" s="1061"/>
      <c r="AU25" s="1061"/>
      <c r="AV25" s="1058"/>
      <c r="AW25" s="1060" t="s">
        <v>524</v>
      </c>
      <c r="AX25" s="1061"/>
      <c r="AY25" s="1061"/>
      <c r="AZ25" s="1061"/>
      <c r="BA25" s="1061"/>
      <c r="BB25" s="1061"/>
      <c r="BC25" s="1061"/>
      <c r="BD25" s="1061"/>
      <c r="BE25" s="1061"/>
      <c r="BF25" s="1061"/>
      <c r="BG25" s="1061"/>
      <c r="BH25" s="1061"/>
      <c r="BI25" s="1060" t="s">
        <v>524</v>
      </c>
      <c r="BJ25" s="1061"/>
      <c r="BK25" s="1061"/>
      <c r="BL25" s="1061"/>
      <c r="BM25" s="1061"/>
      <c r="BN25" s="1061"/>
      <c r="BO25" s="1061"/>
      <c r="BP25" s="1061"/>
      <c r="BQ25" s="1061"/>
      <c r="BR25" s="1061"/>
      <c r="BS25" s="1061"/>
      <c r="BT25" s="1061"/>
      <c r="BU25" s="1058"/>
      <c r="BV25" s="1060" t="s">
        <v>524</v>
      </c>
      <c r="BW25" s="1061"/>
      <c r="BX25" s="1061"/>
      <c r="BY25" s="1061"/>
      <c r="BZ25" s="1061"/>
      <c r="CA25" s="1061"/>
      <c r="CB25" s="1061"/>
      <c r="CC25" s="1061"/>
      <c r="CD25" s="1061"/>
      <c r="CE25" s="1061"/>
    </row>
    <row r="26" spans="1:83" s="87" customFormat="1" ht="12.75" x14ac:dyDescent="0.2">
      <c r="A26" s="1056"/>
      <c r="B26" s="1056"/>
      <c r="C26" s="1056"/>
      <c r="D26" s="1056"/>
      <c r="E26" s="1056"/>
      <c r="F26" s="1056"/>
      <c r="G26" s="1056"/>
      <c r="H26" s="1058" t="s">
        <v>524</v>
      </c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60" t="s">
        <v>524</v>
      </c>
      <c r="T26" s="1061"/>
      <c r="U26" s="1061"/>
      <c r="V26" s="1061"/>
      <c r="W26" s="1061"/>
      <c r="X26" s="1061"/>
      <c r="Y26" s="1061"/>
      <c r="Z26" s="1061"/>
      <c r="AA26" s="1061"/>
      <c r="AB26" s="1061"/>
      <c r="AC26" s="1061"/>
      <c r="AD26" s="1061"/>
      <c r="AE26" s="1061"/>
      <c r="AF26" s="1058"/>
      <c r="AG26" s="1060" t="s">
        <v>524</v>
      </c>
      <c r="AH26" s="1061"/>
      <c r="AI26" s="1061"/>
      <c r="AJ26" s="1061"/>
      <c r="AK26" s="1061"/>
      <c r="AL26" s="1061"/>
      <c r="AM26" s="1061"/>
      <c r="AN26" s="1061"/>
      <c r="AO26" s="1061"/>
      <c r="AP26" s="1061"/>
      <c r="AQ26" s="1061"/>
      <c r="AR26" s="1061"/>
      <c r="AS26" s="1061"/>
      <c r="AT26" s="1061"/>
      <c r="AU26" s="1061"/>
      <c r="AV26" s="1058"/>
      <c r="AW26" s="1060" t="s">
        <v>524</v>
      </c>
      <c r="AX26" s="1061"/>
      <c r="AY26" s="1061"/>
      <c r="AZ26" s="1061"/>
      <c r="BA26" s="1061"/>
      <c r="BB26" s="1061"/>
      <c r="BC26" s="1061"/>
      <c r="BD26" s="1061"/>
      <c r="BE26" s="1061"/>
      <c r="BF26" s="1061"/>
      <c r="BG26" s="1061"/>
      <c r="BH26" s="1061"/>
      <c r="BI26" s="1060" t="s">
        <v>524</v>
      </c>
      <c r="BJ26" s="1061"/>
      <c r="BK26" s="1061"/>
      <c r="BL26" s="1061"/>
      <c r="BM26" s="1061"/>
      <c r="BN26" s="1061"/>
      <c r="BO26" s="1061"/>
      <c r="BP26" s="1061"/>
      <c r="BQ26" s="1061"/>
      <c r="BR26" s="1061"/>
      <c r="BS26" s="1061"/>
      <c r="BT26" s="1061"/>
      <c r="BU26" s="1058"/>
      <c r="BV26" s="1060" t="s">
        <v>524</v>
      </c>
      <c r="BW26" s="1061"/>
      <c r="BX26" s="1061"/>
      <c r="BY26" s="1061"/>
      <c r="BZ26" s="1061"/>
      <c r="CA26" s="1061"/>
      <c r="CB26" s="1061"/>
      <c r="CC26" s="1061"/>
      <c r="CD26" s="1061"/>
      <c r="CE26" s="1061"/>
    </row>
    <row r="27" spans="1:83" s="87" customFormat="1" ht="12.75" x14ac:dyDescent="0.2">
      <c r="A27" s="1056"/>
      <c r="B27" s="1056"/>
      <c r="C27" s="1056"/>
      <c r="D27" s="1056"/>
      <c r="E27" s="1056"/>
      <c r="F27" s="1056"/>
      <c r="G27" s="1056"/>
      <c r="H27" s="1058" t="s">
        <v>524</v>
      </c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60" t="s">
        <v>524</v>
      </c>
      <c r="T27" s="1061"/>
      <c r="U27" s="1061"/>
      <c r="V27" s="1061"/>
      <c r="W27" s="1061"/>
      <c r="X27" s="1061"/>
      <c r="Y27" s="1061"/>
      <c r="Z27" s="1061"/>
      <c r="AA27" s="1061"/>
      <c r="AB27" s="1061"/>
      <c r="AC27" s="1061"/>
      <c r="AD27" s="1061"/>
      <c r="AE27" s="1061"/>
      <c r="AF27" s="1058"/>
      <c r="AG27" s="1060" t="s">
        <v>524</v>
      </c>
      <c r="AH27" s="1061"/>
      <c r="AI27" s="1061"/>
      <c r="AJ27" s="1061"/>
      <c r="AK27" s="1061"/>
      <c r="AL27" s="1061"/>
      <c r="AM27" s="1061"/>
      <c r="AN27" s="1061"/>
      <c r="AO27" s="1061"/>
      <c r="AP27" s="1061"/>
      <c r="AQ27" s="1061"/>
      <c r="AR27" s="1061"/>
      <c r="AS27" s="1061"/>
      <c r="AT27" s="1061"/>
      <c r="AU27" s="1061"/>
      <c r="AV27" s="1058"/>
      <c r="AW27" s="1060" t="s">
        <v>524</v>
      </c>
      <c r="AX27" s="1061"/>
      <c r="AY27" s="1061"/>
      <c r="AZ27" s="1061"/>
      <c r="BA27" s="1061"/>
      <c r="BB27" s="1061"/>
      <c r="BC27" s="1061"/>
      <c r="BD27" s="1061"/>
      <c r="BE27" s="1061"/>
      <c r="BF27" s="1061"/>
      <c r="BG27" s="1061"/>
      <c r="BH27" s="1061"/>
      <c r="BI27" s="1060" t="s">
        <v>524</v>
      </c>
      <c r="BJ27" s="1061"/>
      <c r="BK27" s="1061"/>
      <c r="BL27" s="1061"/>
      <c r="BM27" s="1061"/>
      <c r="BN27" s="1061"/>
      <c r="BO27" s="1061"/>
      <c r="BP27" s="1061"/>
      <c r="BQ27" s="1061"/>
      <c r="BR27" s="1061"/>
      <c r="BS27" s="1061"/>
      <c r="BT27" s="1061"/>
      <c r="BU27" s="1058"/>
      <c r="BV27" s="1060" t="s">
        <v>524</v>
      </c>
      <c r="BW27" s="1061"/>
      <c r="BX27" s="1061"/>
      <c r="BY27" s="1061"/>
      <c r="BZ27" s="1061"/>
      <c r="CA27" s="1061"/>
      <c r="CB27" s="1061"/>
      <c r="CC27" s="1061"/>
      <c r="CD27" s="1061"/>
      <c r="CE27" s="1061"/>
    </row>
    <row r="28" spans="1:83" s="87" customFormat="1" ht="12.75" x14ac:dyDescent="0.2">
      <c r="A28" s="1056"/>
      <c r="B28" s="1056"/>
      <c r="C28" s="1056"/>
      <c r="D28" s="1056"/>
      <c r="E28" s="1056"/>
      <c r="F28" s="1056"/>
      <c r="G28" s="1056"/>
      <c r="H28" s="1058" t="s">
        <v>524</v>
      </c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60" t="s">
        <v>524</v>
      </c>
      <c r="T28" s="1061"/>
      <c r="U28" s="1061"/>
      <c r="V28" s="1061"/>
      <c r="W28" s="1061"/>
      <c r="X28" s="1061"/>
      <c r="Y28" s="1061"/>
      <c r="Z28" s="1061"/>
      <c r="AA28" s="1061"/>
      <c r="AB28" s="1061"/>
      <c r="AC28" s="1061"/>
      <c r="AD28" s="1061"/>
      <c r="AE28" s="1061"/>
      <c r="AF28" s="1058"/>
      <c r="AG28" s="1060" t="s">
        <v>524</v>
      </c>
      <c r="AH28" s="1061"/>
      <c r="AI28" s="1061"/>
      <c r="AJ28" s="1061"/>
      <c r="AK28" s="1061"/>
      <c r="AL28" s="1061"/>
      <c r="AM28" s="1061"/>
      <c r="AN28" s="1061"/>
      <c r="AO28" s="1061"/>
      <c r="AP28" s="1061"/>
      <c r="AQ28" s="1061"/>
      <c r="AR28" s="1061"/>
      <c r="AS28" s="1061"/>
      <c r="AT28" s="1061"/>
      <c r="AU28" s="1061"/>
      <c r="AV28" s="1058"/>
      <c r="AW28" s="1060" t="s">
        <v>524</v>
      </c>
      <c r="AX28" s="1061"/>
      <c r="AY28" s="1061"/>
      <c r="AZ28" s="1061"/>
      <c r="BA28" s="1061"/>
      <c r="BB28" s="1061"/>
      <c r="BC28" s="1061"/>
      <c r="BD28" s="1061"/>
      <c r="BE28" s="1061"/>
      <c r="BF28" s="1061"/>
      <c r="BG28" s="1061"/>
      <c r="BH28" s="1061"/>
      <c r="BI28" s="1060" t="s">
        <v>524</v>
      </c>
      <c r="BJ28" s="1061"/>
      <c r="BK28" s="1061"/>
      <c r="BL28" s="1061"/>
      <c r="BM28" s="1061"/>
      <c r="BN28" s="1061"/>
      <c r="BO28" s="1061"/>
      <c r="BP28" s="1061"/>
      <c r="BQ28" s="1061"/>
      <c r="BR28" s="1061"/>
      <c r="BS28" s="1061"/>
      <c r="BT28" s="1061"/>
      <c r="BU28" s="1058"/>
      <c r="BV28" s="1060" t="s">
        <v>524</v>
      </c>
      <c r="BW28" s="1061"/>
      <c r="BX28" s="1061"/>
      <c r="BY28" s="1061"/>
      <c r="BZ28" s="1061"/>
      <c r="CA28" s="1061"/>
      <c r="CB28" s="1061"/>
      <c r="CC28" s="1061"/>
      <c r="CD28" s="1061"/>
      <c r="CE28" s="1061"/>
    </row>
    <row r="29" spans="1:83" s="87" customFormat="1" ht="12.75" x14ac:dyDescent="0.2">
      <c r="A29" s="1056"/>
      <c r="B29" s="1056"/>
      <c r="C29" s="1056"/>
      <c r="D29" s="1056"/>
      <c r="E29" s="1056"/>
      <c r="F29" s="1056"/>
      <c r="G29" s="1056"/>
      <c r="H29" s="1058" t="s">
        <v>524</v>
      </c>
      <c r="I29" s="1059"/>
      <c r="J29" s="1059"/>
      <c r="K29" s="1059"/>
      <c r="L29" s="1059"/>
      <c r="M29" s="1059"/>
      <c r="N29" s="1059"/>
      <c r="O29" s="1059"/>
      <c r="P29" s="1059"/>
      <c r="Q29" s="1059"/>
      <c r="R29" s="1059"/>
      <c r="S29" s="1060" t="s">
        <v>524</v>
      </c>
      <c r="T29" s="1061"/>
      <c r="U29" s="1061"/>
      <c r="V29" s="1061"/>
      <c r="W29" s="1061"/>
      <c r="X29" s="1061"/>
      <c r="Y29" s="1061"/>
      <c r="Z29" s="1061"/>
      <c r="AA29" s="1061"/>
      <c r="AB29" s="1061"/>
      <c r="AC29" s="1061"/>
      <c r="AD29" s="1061"/>
      <c r="AE29" s="1061"/>
      <c r="AF29" s="1058"/>
      <c r="AG29" s="1060" t="s">
        <v>524</v>
      </c>
      <c r="AH29" s="1061"/>
      <c r="AI29" s="1061"/>
      <c r="AJ29" s="1061"/>
      <c r="AK29" s="1061"/>
      <c r="AL29" s="1061"/>
      <c r="AM29" s="1061"/>
      <c r="AN29" s="1061"/>
      <c r="AO29" s="1061"/>
      <c r="AP29" s="1061"/>
      <c r="AQ29" s="1061"/>
      <c r="AR29" s="1061"/>
      <c r="AS29" s="1061"/>
      <c r="AT29" s="1061"/>
      <c r="AU29" s="1061"/>
      <c r="AV29" s="1058"/>
      <c r="AW29" s="1060" t="s">
        <v>524</v>
      </c>
      <c r="AX29" s="1061"/>
      <c r="AY29" s="1061"/>
      <c r="AZ29" s="1061"/>
      <c r="BA29" s="1061"/>
      <c r="BB29" s="1061"/>
      <c r="BC29" s="1061"/>
      <c r="BD29" s="1061"/>
      <c r="BE29" s="1061"/>
      <c r="BF29" s="1061"/>
      <c r="BG29" s="1061"/>
      <c r="BH29" s="1061"/>
      <c r="BI29" s="1060" t="s">
        <v>524</v>
      </c>
      <c r="BJ29" s="1061"/>
      <c r="BK29" s="1061"/>
      <c r="BL29" s="1061"/>
      <c r="BM29" s="1061"/>
      <c r="BN29" s="1061"/>
      <c r="BO29" s="1061"/>
      <c r="BP29" s="1061"/>
      <c r="BQ29" s="1061"/>
      <c r="BR29" s="1061"/>
      <c r="BS29" s="1061"/>
      <c r="BT29" s="1061"/>
      <c r="BU29" s="1058"/>
      <c r="BV29" s="1060" t="s">
        <v>524</v>
      </c>
      <c r="BW29" s="1061"/>
      <c r="BX29" s="1061"/>
      <c r="BY29" s="1061"/>
      <c r="BZ29" s="1061"/>
      <c r="CA29" s="1061"/>
      <c r="CB29" s="1061"/>
      <c r="CC29" s="1061"/>
      <c r="CD29" s="1061"/>
      <c r="CE29" s="1061"/>
    </row>
    <row r="30" spans="1:83" s="87" customFormat="1" ht="12.75" x14ac:dyDescent="0.2">
      <c r="A30" s="1056"/>
      <c r="B30" s="1056"/>
      <c r="C30" s="1056"/>
      <c r="D30" s="1056"/>
      <c r="E30" s="1056"/>
      <c r="F30" s="1056"/>
      <c r="G30" s="1056"/>
      <c r="H30" s="1058" t="s">
        <v>524</v>
      </c>
      <c r="I30" s="1059"/>
      <c r="J30" s="1059"/>
      <c r="K30" s="1059"/>
      <c r="L30" s="1059"/>
      <c r="M30" s="1059"/>
      <c r="N30" s="1059"/>
      <c r="O30" s="1059"/>
      <c r="P30" s="1059"/>
      <c r="Q30" s="1059"/>
      <c r="R30" s="1059"/>
      <c r="S30" s="1060" t="s">
        <v>524</v>
      </c>
      <c r="T30" s="1061"/>
      <c r="U30" s="1061"/>
      <c r="V30" s="1061"/>
      <c r="W30" s="1061"/>
      <c r="X30" s="1061"/>
      <c r="Y30" s="1061"/>
      <c r="Z30" s="1061"/>
      <c r="AA30" s="1061"/>
      <c r="AB30" s="1061"/>
      <c r="AC30" s="1061"/>
      <c r="AD30" s="1061"/>
      <c r="AE30" s="1061"/>
      <c r="AF30" s="1058"/>
      <c r="AG30" s="1060" t="s">
        <v>524</v>
      </c>
      <c r="AH30" s="1061"/>
      <c r="AI30" s="1061"/>
      <c r="AJ30" s="1061"/>
      <c r="AK30" s="1061"/>
      <c r="AL30" s="1061"/>
      <c r="AM30" s="1061"/>
      <c r="AN30" s="1061"/>
      <c r="AO30" s="1061"/>
      <c r="AP30" s="1061"/>
      <c r="AQ30" s="1061"/>
      <c r="AR30" s="1061"/>
      <c r="AS30" s="1061"/>
      <c r="AT30" s="1061"/>
      <c r="AU30" s="1061"/>
      <c r="AV30" s="1058"/>
      <c r="AW30" s="1060" t="s">
        <v>524</v>
      </c>
      <c r="AX30" s="1061"/>
      <c r="AY30" s="1061"/>
      <c r="AZ30" s="1061"/>
      <c r="BA30" s="1061"/>
      <c r="BB30" s="1061"/>
      <c r="BC30" s="1061"/>
      <c r="BD30" s="1061"/>
      <c r="BE30" s="1061"/>
      <c r="BF30" s="1061"/>
      <c r="BG30" s="1061"/>
      <c r="BH30" s="1061"/>
      <c r="BI30" s="1060" t="s">
        <v>524</v>
      </c>
      <c r="BJ30" s="1061"/>
      <c r="BK30" s="1061"/>
      <c r="BL30" s="1061"/>
      <c r="BM30" s="1061"/>
      <c r="BN30" s="1061"/>
      <c r="BO30" s="1061"/>
      <c r="BP30" s="1061"/>
      <c r="BQ30" s="1061"/>
      <c r="BR30" s="1061"/>
      <c r="BS30" s="1061"/>
      <c r="BT30" s="1061"/>
      <c r="BU30" s="1058"/>
      <c r="BV30" s="1060" t="s">
        <v>524</v>
      </c>
      <c r="BW30" s="1061"/>
      <c r="BX30" s="1061"/>
      <c r="BY30" s="1061"/>
      <c r="BZ30" s="1061"/>
      <c r="CA30" s="1061"/>
      <c r="CB30" s="1061"/>
      <c r="CC30" s="1061"/>
      <c r="CD30" s="1061"/>
      <c r="CE30" s="1061"/>
    </row>
    <row r="31" spans="1:83" s="87" customFormat="1" ht="12.75" x14ac:dyDescent="0.2">
      <c r="A31" s="1056"/>
      <c r="B31" s="1056"/>
      <c r="C31" s="1056"/>
      <c r="D31" s="1056"/>
      <c r="E31" s="1056"/>
      <c r="F31" s="1056"/>
      <c r="G31" s="1056"/>
      <c r="H31" s="1058" t="s">
        <v>524</v>
      </c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60" t="s">
        <v>524</v>
      </c>
      <c r="T31" s="1061"/>
      <c r="U31" s="1061"/>
      <c r="V31" s="1061"/>
      <c r="W31" s="1061"/>
      <c r="X31" s="1061"/>
      <c r="Y31" s="1061"/>
      <c r="Z31" s="1061"/>
      <c r="AA31" s="1061"/>
      <c r="AB31" s="1061"/>
      <c r="AC31" s="1061"/>
      <c r="AD31" s="1061"/>
      <c r="AE31" s="1061"/>
      <c r="AF31" s="1058"/>
      <c r="AG31" s="1060" t="s">
        <v>524</v>
      </c>
      <c r="AH31" s="1061"/>
      <c r="AI31" s="1061"/>
      <c r="AJ31" s="1061"/>
      <c r="AK31" s="1061"/>
      <c r="AL31" s="1061"/>
      <c r="AM31" s="1061"/>
      <c r="AN31" s="1061"/>
      <c r="AO31" s="1061"/>
      <c r="AP31" s="1061"/>
      <c r="AQ31" s="1061"/>
      <c r="AR31" s="1061"/>
      <c r="AS31" s="1061"/>
      <c r="AT31" s="1061"/>
      <c r="AU31" s="1061"/>
      <c r="AV31" s="1058"/>
      <c r="AW31" s="1060" t="s">
        <v>524</v>
      </c>
      <c r="AX31" s="1061"/>
      <c r="AY31" s="1061"/>
      <c r="AZ31" s="1061"/>
      <c r="BA31" s="1061"/>
      <c r="BB31" s="1061"/>
      <c r="BC31" s="1061"/>
      <c r="BD31" s="1061"/>
      <c r="BE31" s="1061"/>
      <c r="BF31" s="1061"/>
      <c r="BG31" s="1061"/>
      <c r="BH31" s="1061"/>
      <c r="BI31" s="1060" t="s">
        <v>524</v>
      </c>
      <c r="BJ31" s="1061"/>
      <c r="BK31" s="1061"/>
      <c r="BL31" s="1061"/>
      <c r="BM31" s="1061"/>
      <c r="BN31" s="1061"/>
      <c r="BO31" s="1061"/>
      <c r="BP31" s="1061"/>
      <c r="BQ31" s="1061"/>
      <c r="BR31" s="1061"/>
      <c r="BS31" s="1061"/>
      <c r="BT31" s="1061"/>
      <c r="BU31" s="1058"/>
      <c r="BV31" s="1060" t="s">
        <v>524</v>
      </c>
      <c r="BW31" s="1061"/>
      <c r="BX31" s="1061"/>
      <c r="BY31" s="1061"/>
      <c r="BZ31" s="1061"/>
      <c r="CA31" s="1061"/>
      <c r="CB31" s="1061"/>
      <c r="CC31" s="1061"/>
      <c r="CD31" s="1061"/>
      <c r="CE31" s="1061"/>
    </row>
    <row r="32" spans="1:83" s="87" customFormat="1" ht="12.75" x14ac:dyDescent="0.2">
      <c r="A32" s="1056"/>
      <c r="B32" s="1056"/>
      <c r="C32" s="1056"/>
      <c r="D32" s="1056"/>
      <c r="E32" s="1056"/>
      <c r="F32" s="1056"/>
      <c r="G32" s="1056"/>
      <c r="H32" s="1058" t="s">
        <v>524</v>
      </c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60" t="s">
        <v>524</v>
      </c>
      <c r="T32" s="1061"/>
      <c r="U32" s="1061"/>
      <c r="V32" s="1061"/>
      <c r="W32" s="1061"/>
      <c r="X32" s="1061"/>
      <c r="Y32" s="1061"/>
      <c r="Z32" s="1061"/>
      <c r="AA32" s="1061"/>
      <c r="AB32" s="1061"/>
      <c r="AC32" s="1061"/>
      <c r="AD32" s="1061"/>
      <c r="AE32" s="1061"/>
      <c r="AF32" s="1058"/>
      <c r="AG32" s="1060" t="s">
        <v>524</v>
      </c>
      <c r="AH32" s="1061"/>
      <c r="AI32" s="1061"/>
      <c r="AJ32" s="1061"/>
      <c r="AK32" s="1061"/>
      <c r="AL32" s="1061"/>
      <c r="AM32" s="1061"/>
      <c r="AN32" s="1061"/>
      <c r="AO32" s="1061"/>
      <c r="AP32" s="1061"/>
      <c r="AQ32" s="1061"/>
      <c r="AR32" s="1061"/>
      <c r="AS32" s="1061"/>
      <c r="AT32" s="1061"/>
      <c r="AU32" s="1061"/>
      <c r="AV32" s="1058"/>
      <c r="AW32" s="1060" t="s">
        <v>524</v>
      </c>
      <c r="AX32" s="1061"/>
      <c r="AY32" s="1061"/>
      <c r="AZ32" s="1061"/>
      <c r="BA32" s="1061"/>
      <c r="BB32" s="1061"/>
      <c r="BC32" s="1061"/>
      <c r="BD32" s="1061"/>
      <c r="BE32" s="1061"/>
      <c r="BF32" s="1061"/>
      <c r="BG32" s="1061"/>
      <c r="BH32" s="1061"/>
      <c r="BI32" s="1060" t="s">
        <v>524</v>
      </c>
      <c r="BJ32" s="1061"/>
      <c r="BK32" s="1061"/>
      <c r="BL32" s="1061"/>
      <c r="BM32" s="1061"/>
      <c r="BN32" s="1061"/>
      <c r="BO32" s="1061"/>
      <c r="BP32" s="1061"/>
      <c r="BQ32" s="1061"/>
      <c r="BR32" s="1061"/>
      <c r="BS32" s="1061"/>
      <c r="BT32" s="1061"/>
      <c r="BU32" s="1058"/>
      <c r="BV32" s="1060" t="s">
        <v>524</v>
      </c>
      <c r="BW32" s="1061"/>
      <c r="BX32" s="1061"/>
      <c r="BY32" s="1061"/>
      <c r="BZ32" s="1061"/>
      <c r="CA32" s="1061"/>
      <c r="CB32" s="1061"/>
      <c r="CC32" s="1061"/>
      <c r="CD32" s="1061"/>
      <c r="CE32" s="1061"/>
    </row>
    <row r="33" spans="1:92" s="87" customFormat="1" ht="12.75" x14ac:dyDescent="0.2">
      <c r="A33" s="1056"/>
      <c r="B33" s="1056"/>
      <c r="C33" s="1056"/>
      <c r="D33" s="1056"/>
      <c r="E33" s="1056"/>
      <c r="F33" s="1056"/>
      <c r="G33" s="1056"/>
      <c r="H33" s="1058" t="s">
        <v>524</v>
      </c>
      <c r="I33" s="1059"/>
      <c r="J33" s="1059"/>
      <c r="K33" s="1059"/>
      <c r="L33" s="1059"/>
      <c r="M33" s="1059"/>
      <c r="N33" s="1059"/>
      <c r="O33" s="1059"/>
      <c r="P33" s="1059"/>
      <c r="Q33" s="1059"/>
      <c r="R33" s="1059"/>
      <c r="S33" s="1060" t="s">
        <v>524</v>
      </c>
      <c r="T33" s="1061"/>
      <c r="U33" s="1061"/>
      <c r="V33" s="1061"/>
      <c r="W33" s="1061"/>
      <c r="X33" s="1061"/>
      <c r="Y33" s="1061"/>
      <c r="Z33" s="1061"/>
      <c r="AA33" s="1061"/>
      <c r="AB33" s="1061"/>
      <c r="AC33" s="1061"/>
      <c r="AD33" s="1061"/>
      <c r="AE33" s="1061"/>
      <c r="AF33" s="1058"/>
      <c r="AG33" s="1060" t="s">
        <v>524</v>
      </c>
      <c r="AH33" s="1061"/>
      <c r="AI33" s="1061"/>
      <c r="AJ33" s="1061"/>
      <c r="AK33" s="1061"/>
      <c r="AL33" s="1061"/>
      <c r="AM33" s="1061"/>
      <c r="AN33" s="1061"/>
      <c r="AO33" s="1061"/>
      <c r="AP33" s="1061"/>
      <c r="AQ33" s="1061"/>
      <c r="AR33" s="1061"/>
      <c r="AS33" s="1061"/>
      <c r="AT33" s="1061"/>
      <c r="AU33" s="1061"/>
      <c r="AV33" s="1058"/>
      <c r="AW33" s="1060" t="s">
        <v>524</v>
      </c>
      <c r="AX33" s="1061"/>
      <c r="AY33" s="1061"/>
      <c r="AZ33" s="1061"/>
      <c r="BA33" s="1061"/>
      <c r="BB33" s="1061"/>
      <c r="BC33" s="1061"/>
      <c r="BD33" s="1061"/>
      <c r="BE33" s="1061"/>
      <c r="BF33" s="1061"/>
      <c r="BG33" s="1061"/>
      <c r="BH33" s="1061"/>
      <c r="BI33" s="1060" t="s">
        <v>524</v>
      </c>
      <c r="BJ33" s="1061"/>
      <c r="BK33" s="1061"/>
      <c r="BL33" s="1061"/>
      <c r="BM33" s="1061"/>
      <c r="BN33" s="1061"/>
      <c r="BO33" s="1061"/>
      <c r="BP33" s="1061"/>
      <c r="BQ33" s="1061"/>
      <c r="BR33" s="1061"/>
      <c r="BS33" s="1061"/>
      <c r="BT33" s="1061"/>
      <c r="BU33" s="1058"/>
      <c r="BV33" s="1060" t="s">
        <v>524</v>
      </c>
      <c r="BW33" s="1061"/>
      <c r="BX33" s="1061"/>
      <c r="BY33" s="1061"/>
      <c r="BZ33" s="1061"/>
      <c r="CA33" s="1061"/>
      <c r="CB33" s="1061"/>
      <c r="CC33" s="1061"/>
      <c r="CD33" s="1061"/>
      <c r="CE33" s="1061"/>
    </row>
    <row r="34" spans="1:92" s="87" customFormat="1" ht="12.75" x14ac:dyDescent="0.2">
      <c r="A34" s="1056"/>
      <c r="B34" s="1056"/>
      <c r="C34" s="1056"/>
      <c r="D34" s="1056"/>
      <c r="E34" s="1056"/>
      <c r="F34" s="1056"/>
      <c r="G34" s="1056"/>
      <c r="H34" s="1058" t="s">
        <v>524</v>
      </c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60" t="s">
        <v>524</v>
      </c>
      <c r="T34" s="1061"/>
      <c r="U34" s="1061"/>
      <c r="V34" s="1061"/>
      <c r="W34" s="1061"/>
      <c r="X34" s="1061"/>
      <c r="Y34" s="1061"/>
      <c r="Z34" s="1061"/>
      <c r="AA34" s="1061"/>
      <c r="AB34" s="1061"/>
      <c r="AC34" s="1061"/>
      <c r="AD34" s="1061"/>
      <c r="AE34" s="1061"/>
      <c r="AF34" s="1058"/>
      <c r="AG34" s="1060" t="s">
        <v>524</v>
      </c>
      <c r="AH34" s="1061"/>
      <c r="AI34" s="1061"/>
      <c r="AJ34" s="1061"/>
      <c r="AK34" s="1061"/>
      <c r="AL34" s="1061"/>
      <c r="AM34" s="1061"/>
      <c r="AN34" s="1061"/>
      <c r="AO34" s="1061"/>
      <c r="AP34" s="1061"/>
      <c r="AQ34" s="1061"/>
      <c r="AR34" s="1061"/>
      <c r="AS34" s="1061"/>
      <c r="AT34" s="1061"/>
      <c r="AU34" s="1061"/>
      <c r="AV34" s="1058"/>
      <c r="AW34" s="1060" t="s">
        <v>524</v>
      </c>
      <c r="AX34" s="1061"/>
      <c r="AY34" s="1061"/>
      <c r="AZ34" s="1061"/>
      <c r="BA34" s="1061"/>
      <c r="BB34" s="1061"/>
      <c r="BC34" s="1061"/>
      <c r="BD34" s="1061"/>
      <c r="BE34" s="1061"/>
      <c r="BF34" s="1061"/>
      <c r="BG34" s="1061"/>
      <c r="BH34" s="1061"/>
      <c r="BI34" s="1060" t="s">
        <v>524</v>
      </c>
      <c r="BJ34" s="1061"/>
      <c r="BK34" s="1061"/>
      <c r="BL34" s="1061"/>
      <c r="BM34" s="1061"/>
      <c r="BN34" s="1061"/>
      <c r="BO34" s="1061"/>
      <c r="BP34" s="1061"/>
      <c r="BQ34" s="1061"/>
      <c r="BR34" s="1061"/>
      <c r="BS34" s="1061"/>
      <c r="BT34" s="1061"/>
      <c r="BU34" s="1058"/>
      <c r="BV34" s="1060" t="s">
        <v>524</v>
      </c>
      <c r="BW34" s="1061"/>
      <c r="BX34" s="1061"/>
      <c r="BY34" s="1061"/>
      <c r="BZ34" s="1061"/>
      <c r="CA34" s="1061"/>
      <c r="CB34" s="1061"/>
      <c r="CC34" s="1061"/>
      <c r="CD34" s="1061"/>
      <c r="CE34" s="1061"/>
    </row>
    <row r="35" spans="1:92" s="87" customFormat="1" ht="12.75" x14ac:dyDescent="0.2">
      <c r="A35" s="1056"/>
      <c r="B35" s="1056"/>
      <c r="C35" s="1056"/>
      <c r="D35" s="1056"/>
      <c r="E35" s="1056"/>
      <c r="F35" s="1056"/>
      <c r="G35" s="1056"/>
      <c r="H35" s="1058" t="s">
        <v>524</v>
      </c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60" t="s">
        <v>524</v>
      </c>
      <c r="T35" s="1061"/>
      <c r="U35" s="1061"/>
      <c r="V35" s="1061"/>
      <c r="W35" s="1061"/>
      <c r="X35" s="1061"/>
      <c r="Y35" s="1061"/>
      <c r="Z35" s="1061"/>
      <c r="AA35" s="1061"/>
      <c r="AB35" s="1061"/>
      <c r="AC35" s="1061"/>
      <c r="AD35" s="1061"/>
      <c r="AE35" s="1061"/>
      <c r="AF35" s="1058"/>
      <c r="AG35" s="1060" t="s">
        <v>524</v>
      </c>
      <c r="AH35" s="1061"/>
      <c r="AI35" s="1061"/>
      <c r="AJ35" s="1061"/>
      <c r="AK35" s="1061"/>
      <c r="AL35" s="1061"/>
      <c r="AM35" s="1061"/>
      <c r="AN35" s="1061"/>
      <c r="AO35" s="1061"/>
      <c r="AP35" s="1061"/>
      <c r="AQ35" s="1061"/>
      <c r="AR35" s="1061"/>
      <c r="AS35" s="1061"/>
      <c r="AT35" s="1061"/>
      <c r="AU35" s="1061"/>
      <c r="AV35" s="1058"/>
      <c r="AW35" s="1060" t="s">
        <v>524</v>
      </c>
      <c r="AX35" s="1061"/>
      <c r="AY35" s="1061"/>
      <c r="AZ35" s="1061"/>
      <c r="BA35" s="1061"/>
      <c r="BB35" s="1061"/>
      <c r="BC35" s="1061"/>
      <c r="BD35" s="1061"/>
      <c r="BE35" s="1061"/>
      <c r="BF35" s="1061"/>
      <c r="BG35" s="1061"/>
      <c r="BH35" s="1061"/>
      <c r="BI35" s="1060" t="s">
        <v>524</v>
      </c>
      <c r="BJ35" s="1061"/>
      <c r="BK35" s="1061"/>
      <c r="BL35" s="1061"/>
      <c r="BM35" s="1061"/>
      <c r="BN35" s="1061"/>
      <c r="BO35" s="1061"/>
      <c r="BP35" s="1061"/>
      <c r="BQ35" s="1061"/>
      <c r="BR35" s="1061"/>
      <c r="BS35" s="1061"/>
      <c r="BT35" s="1061"/>
      <c r="BU35" s="1058"/>
      <c r="BV35" s="1060" t="s">
        <v>524</v>
      </c>
      <c r="BW35" s="1061"/>
      <c r="BX35" s="1061"/>
      <c r="BY35" s="1061"/>
      <c r="BZ35" s="1061"/>
      <c r="CA35" s="1061"/>
      <c r="CB35" s="1061"/>
      <c r="CC35" s="1061"/>
      <c r="CD35" s="1061"/>
      <c r="CE35" s="1061"/>
    </row>
    <row r="36" spans="1:92" s="87" customFormat="1" ht="12.75" x14ac:dyDescent="0.2">
      <c r="A36" s="1056"/>
      <c r="B36" s="1056"/>
      <c r="C36" s="1056"/>
      <c r="D36" s="1056"/>
      <c r="E36" s="1056"/>
      <c r="F36" s="1056"/>
      <c r="G36" s="1056"/>
      <c r="H36" s="1058" t="s">
        <v>524</v>
      </c>
      <c r="I36" s="1059"/>
      <c r="J36" s="1059"/>
      <c r="K36" s="1059"/>
      <c r="L36" s="1059"/>
      <c r="M36" s="1059"/>
      <c r="N36" s="1059"/>
      <c r="O36" s="1059"/>
      <c r="P36" s="1059"/>
      <c r="Q36" s="1059"/>
      <c r="R36" s="1059"/>
      <c r="S36" s="1060" t="s">
        <v>524</v>
      </c>
      <c r="T36" s="1061"/>
      <c r="U36" s="1061"/>
      <c r="V36" s="1061"/>
      <c r="W36" s="1061"/>
      <c r="X36" s="1061"/>
      <c r="Y36" s="1061"/>
      <c r="Z36" s="1061"/>
      <c r="AA36" s="1061"/>
      <c r="AB36" s="1061"/>
      <c r="AC36" s="1061"/>
      <c r="AD36" s="1061"/>
      <c r="AE36" s="1061"/>
      <c r="AF36" s="1058"/>
      <c r="AG36" s="1060" t="s">
        <v>524</v>
      </c>
      <c r="AH36" s="1061"/>
      <c r="AI36" s="1061"/>
      <c r="AJ36" s="1061"/>
      <c r="AK36" s="1061"/>
      <c r="AL36" s="1061"/>
      <c r="AM36" s="1061"/>
      <c r="AN36" s="1061"/>
      <c r="AO36" s="1061"/>
      <c r="AP36" s="1061"/>
      <c r="AQ36" s="1061"/>
      <c r="AR36" s="1061"/>
      <c r="AS36" s="1061"/>
      <c r="AT36" s="1061"/>
      <c r="AU36" s="1061"/>
      <c r="AV36" s="1058"/>
      <c r="AW36" s="1060" t="s">
        <v>524</v>
      </c>
      <c r="AX36" s="1061"/>
      <c r="AY36" s="1061"/>
      <c r="AZ36" s="1061"/>
      <c r="BA36" s="1061"/>
      <c r="BB36" s="1061"/>
      <c r="BC36" s="1061"/>
      <c r="BD36" s="1061"/>
      <c r="BE36" s="1061"/>
      <c r="BF36" s="1061"/>
      <c r="BG36" s="1061"/>
      <c r="BH36" s="1061"/>
      <c r="BI36" s="1060" t="s">
        <v>524</v>
      </c>
      <c r="BJ36" s="1061"/>
      <c r="BK36" s="1061"/>
      <c r="BL36" s="1061"/>
      <c r="BM36" s="1061"/>
      <c r="BN36" s="1061"/>
      <c r="BO36" s="1061"/>
      <c r="BP36" s="1061"/>
      <c r="BQ36" s="1061"/>
      <c r="BR36" s="1061"/>
      <c r="BS36" s="1061"/>
      <c r="BT36" s="1061"/>
      <c r="BU36" s="1058"/>
      <c r="BV36" s="1060" t="s">
        <v>524</v>
      </c>
      <c r="BW36" s="1061"/>
      <c r="BX36" s="1061"/>
      <c r="BY36" s="1061"/>
      <c r="BZ36" s="1061"/>
      <c r="CA36" s="1061"/>
      <c r="CB36" s="1061"/>
      <c r="CC36" s="1061"/>
      <c r="CD36" s="1061"/>
      <c r="CE36" s="1061"/>
    </row>
    <row r="37" spans="1:92" s="5" customFormat="1" ht="12.75" outlineLevel="1" x14ac:dyDescent="0.2">
      <c r="C37" s="20"/>
      <c r="D37" s="21"/>
      <c r="E37" s="21"/>
      <c r="F37" s="21"/>
      <c r="G37" s="20"/>
      <c r="H37" s="20"/>
      <c r="I37" s="20"/>
      <c r="J37" s="20"/>
      <c r="K37" s="20"/>
      <c r="L37" s="20"/>
      <c r="M37" s="20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</row>
    <row r="38" spans="1:92" s="11" customFormat="1" ht="11.25" x14ac:dyDescent="0.2">
      <c r="C38" s="57"/>
      <c r="D38" s="45" t="s">
        <v>61</v>
      </c>
      <c r="E38" s="45"/>
      <c r="F38" s="45"/>
      <c r="G38" s="57"/>
      <c r="H38" s="57"/>
      <c r="I38" s="57"/>
      <c r="J38" s="57"/>
      <c r="K38" s="57"/>
      <c r="L38" s="57"/>
      <c r="M38" s="57"/>
      <c r="AM38" s="855"/>
      <c r="AN38" s="855"/>
      <c r="AO38" s="855"/>
      <c r="AP38" s="855"/>
      <c r="AQ38" s="855"/>
      <c r="AR38" s="855"/>
      <c r="AS38" s="855"/>
      <c r="AT38" s="855"/>
      <c r="AU38" s="855"/>
      <c r="AV38" s="855"/>
      <c r="AW38" s="855"/>
      <c r="AX38" s="855"/>
      <c r="AY38" s="855"/>
      <c r="BC38" s="893" t="str">
        <f>IF('Данные объект'!B28="","",'Данные объект'!B28)</f>
      </c>
      <c r="BD38" s="893"/>
      <c r="BE38" s="893"/>
      <c r="BF38" s="893"/>
      <c r="BG38" s="893"/>
      <c r="BH38" s="893"/>
      <c r="BI38" s="893"/>
      <c r="BJ38" s="893"/>
      <c r="BK38" s="893"/>
      <c r="BL38" s="893"/>
      <c r="BM38" s="893"/>
      <c r="BN38" s="893"/>
      <c r="BO38" s="893"/>
      <c r="BP38" s="893"/>
      <c r="BQ38" s="893"/>
    </row>
    <row r="39" spans="1:92" s="5" customFormat="1" ht="9.75" x14ac:dyDescent="0.2">
      <c r="C39" s="20"/>
      <c r="E39" s="21"/>
      <c r="F39" s="21"/>
      <c r="G39" s="20"/>
      <c r="H39" s="20"/>
      <c r="I39" s="20"/>
      <c r="J39" s="20"/>
      <c r="K39" s="20"/>
      <c r="L39" s="20"/>
      <c r="M39" s="20"/>
      <c r="AM39" s="858" t="s">
        <v>2</v>
      </c>
      <c r="AN39" s="858"/>
      <c r="AO39" s="858"/>
      <c r="AP39" s="858"/>
      <c r="AQ39" s="858"/>
      <c r="AR39" s="858"/>
      <c r="AS39" s="858"/>
      <c r="AT39" s="858"/>
      <c r="AU39" s="858"/>
      <c r="AV39" s="858"/>
      <c r="AW39" s="858"/>
      <c r="AX39" s="858"/>
      <c r="AY39" s="858"/>
    </row>
    <row r="40" spans="1:92" s="87" customFormat="1" ht="19.899999999999999" customHeight="1" x14ac:dyDescent="0.2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</row>
    <row r="41" spans="1:92" s="87" customFormat="1" ht="15" customHeight="1" x14ac:dyDescent="0.2">
      <c r="A41" s="92"/>
      <c r="B41" s="93"/>
      <c r="C41" s="93"/>
      <c r="D41" s="93"/>
    </row>
    <row r="42" spans="1:92" s="87" customFormat="1" ht="15" customHeight="1" x14ac:dyDescent="0.2">
      <c r="A42" s="92"/>
      <c r="B42" s="93"/>
      <c r="C42" s="93"/>
      <c r="D42" s="93"/>
    </row>
    <row r="43" spans="1:92" s="87" customFormat="1" ht="15" customHeight="1" x14ac:dyDescent="0.2">
      <c r="A43" s="92"/>
      <c r="B43" s="93"/>
      <c r="C43" s="93"/>
      <c r="D43" s="93"/>
    </row>
    <row r="44" spans="1:92" s="87" customFormat="1" ht="15" customHeight="1" x14ac:dyDescent="0.2">
      <c r="A44" s="92"/>
      <c r="B44" s="93"/>
      <c r="C44" s="93"/>
      <c r="D44" s="93"/>
    </row>
    <row r="45" spans="1:92" s="87" customFormat="1" ht="15" customHeight="1" x14ac:dyDescent="0.2">
      <c r="A45" s="95"/>
      <c r="B45" s="93"/>
      <c r="C45" s="93"/>
      <c r="D45" s="93"/>
    </row>
    <row r="46" spans="1:92" s="87" customFormat="1" ht="13.15" customHeight="1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N46" s="106"/>
    </row>
    <row r="47" spans="1:92" s="87" customFormat="1" ht="16.899999999999999" customHeight="1" x14ac:dyDescent="0.2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N47" s="101"/>
    </row>
    <row r="48" spans="1:92" s="87" customFormat="1" ht="16.899999999999999" customHeight="1" x14ac:dyDescent="0.2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N48" s="101"/>
    </row>
    <row r="49" spans="1:172" s="2" customFormat="1" ht="13.5" x14ac:dyDescent="0.25">
      <c r="F49" s="10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J49" s="110"/>
      <c r="BK49" s="110"/>
      <c r="BL49" s="110"/>
      <c r="BM49" s="110"/>
      <c r="BN49" s="110"/>
      <c r="BO49" s="110"/>
      <c r="BP49" s="110"/>
      <c r="BQ49" s="110"/>
      <c r="BR49" s="110"/>
      <c r="BS49" s="110"/>
      <c r="BT49" s="110"/>
      <c r="BU49" s="110"/>
      <c r="BV49" s="110"/>
      <c r="BW49" s="110"/>
      <c r="BX49" s="110"/>
      <c r="BY49" s="110"/>
      <c r="BZ49" s="110"/>
      <c r="CA49" s="110"/>
      <c r="CB49" s="110"/>
    </row>
    <row r="50" spans="1:172" s="2" customFormat="1" ht="12.75" x14ac:dyDescent="0.2"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</row>
    <row r="51" spans="1:172" s="5" customFormat="1" ht="7.9" hidden="1" customHeight="1" x14ac:dyDescent="0.15"/>
    <row r="52" spans="1:172" s="70" customFormat="1" ht="11.2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</row>
    <row r="54" spans="1:172" s="41" customFormat="1" ht="8.25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</row>
    <row r="55" spans="1:172" s="70" customFormat="1" ht="10.15" hidden="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</row>
    <row r="56" spans="1:172" ht="14.45" hidden="1" customHeight="1" x14ac:dyDescent="0.25"/>
    <row r="57" spans="1:172" s="41" customFormat="1" ht="8.4499999999999993" hidden="1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</row>
    <row r="58" spans="1:172" ht="14.45" hidden="1" customHeight="1" x14ac:dyDescent="0.25"/>
    <row r="59" spans="1:172" s="70" customFormat="1" ht="10.15" hidden="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</row>
    <row r="60" spans="1:172" ht="14.45" hidden="1" customHeight="1" x14ac:dyDescent="0.25"/>
    <row r="61" spans="1:172" s="70" customFormat="1" ht="10.15" hidden="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02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</row>
    <row r="63" spans="1:172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</row>
    <row r="64" spans="1:172" s="42" customFormat="1" ht="15" customHeight="1" x14ac:dyDescent="0.25">
      <c r="A64" s="103"/>
      <c r="B64" s="103"/>
      <c r="C64" s="103"/>
      <c r="D64" s="103"/>
      <c r="E64" s="103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3"/>
      <c r="BF64" s="103"/>
      <c r="BG64" s="103"/>
      <c r="BH64" s="103"/>
      <c r="BI64" s="103"/>
      <c r="BJ64" s="103"/>
      <c r="BK64" s="103"/>
      <c r="BL64" s="103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3"/>
      <c r="BZ64" s="103"/>
      <c r="CA64" s="103"/>
      <c r="CB64" s="103"/>
      <c r="CC64" s="71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</row>
    <row r="65" spans="1:172" s="42" customFormat="1" x14ac:dyDescent="0.25">
      <c r="A65" s="103"/>
      <c r="B65" s="103"/>
      <c r="C65" s="103"/>
      <c r="D65" s="103"/>
      <c r="E65" s="103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3"/>
      <c r="BF65" s="103"/>
      <c r="BG65" s="103"/>
      <c r="BH65" s="103"/>
      <c r="BI65" s="103"/>
      <c r="BJ65" s="103"/>
      <c r="BK65" s="103"/>
      <c r="BL65" s="103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3"/>
      <c r="BZ65" s="103"/>
      <c r="CA65" s="103"/>
      <c r="CB65" s="103"/>
      <c r="CC65" s="71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</row>
    <row r="66" spans="1:172" s="42" customFormat="1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71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</row>
    <row r="67" spans="1:172" x14ac:dyDescent="0.25">
      <c r="A67" s="103"/>
      <c r="B67" s="103"/>
      <c r="C67" s="103"/>
      <c r="D67" s="103"/>
      <c r="E67" s="103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3"/>
      <c r="BF67" s="103"/>
      <c r="BG67" s="103"/>
      <c r="BH67" s="103"/>
      <c r="BI67" s="103"/>
      <c r="BJ67" s="103"/>
      <c r="BK67" s="103"/>
      <c r="BL67" s="103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3"/>
      <c r="BZ67" s="103"/>
      <c r="CA67" s="103"/>
      <c r="CB67" s="103"/>
      <c r="CC67" s="11"/>
    </row>
    <row r="68" spans="1:172" x14ac:dyDescent="0.25">
      <c r="A68" s="103"/>
      <c r="B68" s="103"/>
      <c r="C68" s="103"/>
      <c r="D68" s="103"/>
      <c r="E68" s="103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3"/>
      <c r="BF68" s="103"/>
      <c r="BG68" s="103"/>
      <c r="BH68" s="103"/>
      <c r="BI68" s="103"/>
      <c r="BJ68" s="103"/>
      <c r="BK68" s="103"/>
      <c r="BL68" s="103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3"/>
      <c r="BZ68" s="103"/>
      <c r="CA68" s="103"/>
      <c r="CB68" s="103"/>
      <c r="CC68" s="11"/>
    </row>
    <row r="69" spans="1:17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70"/>
      <c r="BZ69" s="70"/>
      <c r="CA69" s="70"/>
      <c r="CB69" s="70"/>
      <c r="CC69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11"/>
    </row>
    <row r="71" spans="1:172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11"/>
    </row>
    <row r="72" spans="1:172" ht="14.45" hidden="1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172" ht="14.45" hidden="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172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172" ht="14.45" hidden="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11"/>
    </row>
    <row r="76" spans="1:172" ht="14.45" hidden="1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11"/>
    </row>
    <row r="77" spans="1:172" ht="14.45" hidden="1" customHeight="1" x14ac:dyDescent="0.25"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172" ht="14.45" hidden="1" customHeight="1" x14ac:dyDescent="0.25"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172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172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80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</row>
    <row r="86" spans="1:80" x14ac:dyDescent="0.25">
      <c r="AN86"/>
      <c r="AO86"/>
      <c r="AP86"/>
      <c r="AQ86"/>
      <c r="AR86"/>
      <c r="AS86"/>
      <c r="AT86"/>
      <c r="AU86"/>
      <c r="AV86"/>
      <c r="AW86"/>
      <c r="AX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1:80" ht="6.6" customHeight="1" x14ac:dyDescent="0.25">
      <c r="AN87"/>
      <c r="AO87"/>
      <c r="AP87"/>
      <c r="AQ87"/>
      <c r="AR87"/>
      <c r="AS87"/>
      <c r="AT87"/>
      <c r="AU87"/>
      <c r="AV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1:80" x14ac:dyDescent="0.25">
      <c r="A88" s="11"/>
      <c r="B88" s="11"/>
      <c r="C88" s="5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ht="7.9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57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2" customFormat="1" ht="12.75" x14ac:dyDescent="0.2">
      <c r="A95" s="11"/>
      <c r="B95" s="11"/>
      <c r="C95" s="11"/>
      <c r="D95" s="4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s="5" customFormat="1" ht="9.75" x14ac:dyDescent="0.2">
      <c r="C96" s="20"/>
      <c r="E96" s="21"/>
      <c r="F96" s="21"/>
      <c r="G96" s="20"/>
      <c r="H96" s="20"/>
      <c r="I96" s="20"/>
      <c r="J96" s="20"/>
      <c r="K96" s="20"/>
      <c r="L96" s="20"/>
      <c r="M96" s="20"/>
    </row>
    <row r="97" spans="3:69" s="5" customFormat="1" ht="12.75" outlineLevel="1" x14ac:dyDescent="0.2">
      <c r="C97" s="20"/>
      <c r="D97" s="21"/>
      <c r="E97" s="21"/>
      <c r="F97" s="21"/>
      <c r="G97" s="20"/>
      <c r="H97" s="20"/>
      <c r="I97" s="20"/>
      <c r="J97" s="20"/>
      <c r="K97" s="20"/>
      <c r="L97" s="20"/>
      <c r="M97" s="20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</row>
    <row r="98" spans="3:69" s="11" customFormat="1" ht="11.25" x14ac:dyDescent="0.2">
      <c r="C98" s="57"/>
      <c r="D98" s="45"/>
      <c r="E98" s="45"/>
      <c r="F98" s="45"/>
      <c r="G98" s="57"/>
      <c r="H98" s="57"/>
      <c r="I98" s="57"/>
      <c r="J98" s="57"/>
      <c r="K98" s="57"/>
      <c r="L98" s="57"/>
      <c r="M98" s="57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</row>
    <row r="99" spans="3:69" s="5" customFormat="1" ht="9.75" x14ac:dyDescent="0.2">
      <c r="C99" s="20"/>
      <c r="E99" s="21"/>
      <c r="F99" s="21"/>
      <c r="G99" s="20"/>
      <c r="H99" s="20"/>
      <c r="I99" s="20"/>
      <c r="J99" s="20"/>
      <c r="K99" s="20"/>
      <c r="L99" s="20"/>
      <c r="M99" s="20"/>
    </row>
  </sheetData>
  <mergeCells count="144">
    <mergeCell ref="BV36:CE36"/>
    <mergeCell ref="H35:R35"/>
    <mergeCell ref="S35:AF35"/>
    <mergeCell ref="AG35:AV35"/>
    <mergeCell ref="AW35:BH35"/>
    <mergeCell ref="BI35:BU35"/>
    <mergeCell ref="BV35:CE35"/>
    <mergeCell ref="BV31:CE31"/>
    <mergeCell ref="H32:R32"/>
    <mergeCell ref="S32:AF32"/>
    <mergeCell ref="AG32:AV32"/>
    <mergeCell ref="AW32:BH32"/>
    <mergeCell ref="BI32:BU32"/>
    <mergeCell ref="H34:R34"/>
    <mergeCell ref="S34:AF34"/>
    <mergeCell ref="AG34:AV34"/>
    <mergeCell ref="AW34:BH34"/>
    <mergeCell ref="BI34:BU34"/>
    <mergeCell ref="BV34:CE34"/>
    <mergeCell ref="BV32:CE32"/>
    <mergeCell ref="H33:R33"/>
    <mergeCell ref="S33:AF33"/>
    <mergeCell ref="AG33:AV33"/>
    <mergeCell ref="AW33:BH33"/>
    <mergeCell ref="BI33:BU33"/>
    <mergeCell ref="BV33:CE33"/>
    <mergeCell ref="BV28:CE28"/>
    <mergeCell ref="H27:R27"/>
    <mergeCell ref="S27:AF27"/>
    <mergeCell ref="AG27:AV27"/>
    <mergeCell ref="AW27:BH27"/>
    <mergeCell ref="BI27:BU27"/>
    <mergeCell ref="BV27:CE27"/>
    <mergeCell ref="AW30:BH30"/>
    <mergeCell ref="BI30:BU30"/>
    <mergeCell ref="BV30:CE30"/>
    <mergeCell ref="H29:R29"/>
    <mergeCell ref="S29:AF29"/>
    <mergeCell ref="AG29:AV29"/>
    <mergeCell ref="AW29:BH29"/>
    <mergeCell ref="BI29:BU29"/>
    <mergeCell ref="BV29:CE29"/>
    <mergeCell ref="AW26:BH26"/>
    <mergeCell ref="BI26:BU26"/>
    <mergeCell ref="BV26:CE26"/>
    <mergeCell ref="H25:R25"/>
    <mergeCell ref="S25:AF25"/>
    <mergeCell ref="AG25:AV25"/>
    <mergeCell ref="AW25:BH25"/>
    <mergeCell ref="BI25:BU25"/>
    <mergeCell ref="BV25:CE25"/>
    <mergeCell ref="A22:G22"/>
    <mergeCell ref="A23:G23"/>
    <mergeCell ref="A24:G24"/>
    <mergeCell ref="A25:G25"/>
    <mergeCell ref="AW20:BH20"/>
    <mergeCell ref="BI20:BU20"/>
    <mergeCell ref="A19:G20"/>
    <mergeCell ref="H19:CE19"/>
    <mergeCell ref="AG23:AV23"/>
    <mergeCell ref="AW23:BH23"/>
    <mergeCell ref="BI23:BU23"/>
    <mergeCell ref="BV23:CE23"/>
    <mergeCell ref="H24:R24"/>
    <mergeCell ref="S24:AF24"/>
    <mergeCell ref="AG24:AV24"/>
    <mergeCell ref="AW24:BH24"/>
    <mergeCell ref="BI24:BU24"/>
    <mergeCell ref="BV24:CE24"/>
    <mergeCell ref="BV22:CE22"/>
    <mergeCell ref="S23:AF23"/>
    <mergeCell ref="BV20:CE20"/>
    <mergeCell ref="AW21:BH21"/>
    <mergeCell ref="BI21:BU21"/>
    <mergeCell ref="BV21:CE21"/>
    <mergeCell ref="AM38:AY38"/>
    <mergeCell ref="BC38:BQ38"/>
    <mergeCell ref="AM39:AY39"/>
    <mergeCell ref="A33:G33"/>
    <mergeCell ref="H31:R31"/>
    <mergeCell ref="A26:G26"/>
    <mergeCell ref="AW22:BH22"/>
    <mergeCell ref="BI22:BU22"/>
    <mergeCell ref="A29:G29"/>
    <mergeCell ref="A30:G30"/>
    <mergeCell ref="A31:G31"/>
    <mergeCell ref="A32:G32"/>
    <mergeCell ref="AW28:BH28"/>
    <mergeCell ref="BI28:BU28"/>
    <mergeCell ref="S31:AF31"/>
    <mergeCell ref="AG31:AV31"/>
    <mergeCell ref="AW31:BH31"/>
    <mergeCell ref="BI31:BU31"/>
    <mergeCell ref="H36:R36"/>
    <mergeCell ref="S36:AF36"/>
    <mergeCell ref="AG36:AV36"/>
    <mergeCell ref="AW36:BH36"/>
    <mergeCell ref="BI36:BU36"/>
    <mergeCell ref="A34:G34"/>
    <mergeCell ref="A35:G35"/>
    <mergeCell ref="A36:G36"/>
    <mergeCell ref="H20:R20"/>
    <mergeCell ref="S20:AF20"/>
    <mergeCell ref="AG20:AV20"/>
    <mergeCell ref="H22:R22"/>
    <mergeCell ref="S22:AF22"/>
    <mergeCell ref="AG22:AV22"/>
    <mergeCell ref="H23:R23"/>
    <mergeCell ref="A27:G27"/>
    <mergeCell ref="A28:G28"/>
    <mergeCell ref="H21:R21"/>
    <mergeCell ref="S21:AF21"/>
    <mergeCell ref="AG21:AV21"/>
    <mergeCell ref="H26:R26"/>
    <mergeCell ref="S26:AF26"/>
    <mergeCell ref="AG26:AV26"/>
    <mergeCell ref="H28:R28"/>
    <mergeCell ref="S28:AF28"/>
    <mergeCell ref="AG28:AV28"/>
    <mergeCell ref="H30:R30"/>
    <mergeCell ref="S30:AF30"/>
    <mergeCell ref="AG30:AV30"/>
    <mergeCell ref="A21:G21"/>
    <mergeCell ref="A5:AI5"/>
    <mergeCell ref="AR5:BZ5"/>
    <mergeCell ref="AR6:BZ9"/>
    <mergeCell ref="A8:AI9"/>
    <mergeCell ref="A10:AI10"/>
    <mergeCell ref="AR10:BZ10"/>
    <mergeCell ref="AC17:AK17"/>
    <mergeCell ref="AR1:BZ2"/>
    <mergeCell ref="A2:AI2"/>
    <mergeCell ref="A3:AI3"/>
    <mergeCell ref="AR3:BZ3"/>
    <mergeCell ref="A4:AI4"/>
    <mergeCell ref="AR4:BZ4"/>
    <mergeCell ref="A11:AI11"/>
    <mergeCell ref="AR11:BZ11"/>
    <mergeCell ref="A13:CE13"/>
    <mergeCell ref="S16:CE16"/>
    <mergeCell ref="A17:Q17"/>
    <mergeCell ref="R17:AA17"/>
    <mergeCell ref="AL17:AV17"/>
    <mergeCell ref="A14:CE14"/>
  </mergeCells>
  <dataValidations disablePrompts="1" count="2">
    <dataValidation type="list" allowBlank="1" showInputMessage="1" showErrorMessage="1" sqref="O69:W71" xr:uid="{83425048-65EE-4B5E-B856-9B6552EB9FBE}">
      <formula1>стойка</formula1>
    </dataValidation>
    <dataValidation type="list" allowBlank="1" showInputMessage="1" showErrorMessage="1" sqref="P46:V46" xr:uid="{CA9D50C9-D9BC-4F43-9ADB-F4D6A7711BE0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CCCFF"/>
  </sheetPr>
  <dimension ref="A1:FG73"/>
  <sheetViews>
    <sheetView view="pageBreakPreview" topLeftCell="A45" zoomScaleNormal="100" zoomScaleSheetLayoutView="100" zoomScalePageLayoutView="85" workbookViewId="0">
      <selection activeCell="F71" sqref="F71:AE72"/>
    </sheetView>
  </sheetViews>
  <sheetFormatPr defaultColWidth="9.140625" defaultRowHeight="15" x14ac:dyDescent="0.25"/>
  <cols>
    <col min="1" max="163" width="1.140625" style="2" customWidth="1"/>
  </cols>
  <sheetData>
    <row r="1" spans="1:163" s="2" customFormat="1" ht="7.1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63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63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63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63" s="2" customFormat="1" ht="10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63" s="5" customFormat="1" ht="8.4499999999999993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63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63" s="2" customFormat="1" ht="0.6" customHeight="1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63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63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63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63" s="2" customFormat="1" ht="13.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63" s="40" customFormat="1" ht="15" customHeight="1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</row>
    <row r="14" spans="1:163" s="40" customFormat="1" ht="15" customHeight="1" x14ac:dyDescent="0.25">
      <c r="A14" s="1093" t="s">
        <v>1257</v>
      </c>
      <c r="B14" s="1093"/>
      <c r="C14" s="1093"/>
      <c r="D14" s="1093"/>
      <c r="E14" s="1093"/>
      <c r="F14" s="1093"/>
      <c r="G14" s="1093"/>
      <c r="H14" s="1093"/>
      <c r="I14" s="1093"/>
      <c r="J14" s="1093"/>
      <c r="K14" s="1093"/>
      <c r="L14" s="1093"/>
      <c r="M14" s="1093"/>
      <c r="N14" s="1093"/>
      <c r="O14" s="1093"/>
      <c r="P14" s="1093"/>
      <c r="Q14" s="1093"/>
      <c r="R14" s="1093"/>
      <c r="S14" s="1093"/>
      <c r="T14" s="1093"/>
      <c r="U14" s="1093"/>
      <c r="V14" s="1093"/>
      <c r="W14" s="1093"/>
      <c r="X14" s="1093"/>
      <c r="Y14" s="1093"/>
      <c r="Z14" s="1093"/>
      <c r="AA14" s="1093"/>
      <c r="AB14" s="1093"/>
      <c r="AC14" s="1093"/>
      <c r="AD14" s="1093"/>
      <c r="AE14" s="1093"/>
      <c r="AF14" s="1093"/>
      <c r="AG14" s="1093"/>
      <c r="AH14" s="1093"/>
      <c r="AI14" s="1093"/>
      <c r="AJ14" s="1093"/>
      <c r="AK14" s="1093"/>
      <c r="AL14" s="1093"/>
      <c r="AM14" s="1093"/>
      <c r="AN14" s="1093"/>
      <c r="AO14" s="1093"/>
      <c r="AP14" s="1093"/>
      <c r="AQ14" s="1093"/>
      <c r="AR14" s="1093"/>
      <c r="AS14" s="1093"/>
      <c r="AT14" s="1093"/>
      <c r="AU14" s="1093"/>
      <c r="AV14" s="1093"/>
      <c r="AW14" s="1093"/>
      <c r="AX14" s="1093"/>
      <c r="AY14" s="1093"/>
      <c r="AZ14" s="1093"/>
      <c r="BA14" s="1093"/>
      <c r="BB14" s="1093"/>
      <c r="BC14" s="1093"/>
      <c r="BD14" s="1093"/>
      <c r="BE14" s="1093"/>
      <c r="BF14" s="1093"/>
      <c r="BG14" s="1093"/>
      <c r="BH14" s="1093"/>
      <c r="BI14" s="1093"/>
      <c r="BJ14" s="1093"/>
      <c r="BK14" s="1093"/>
      <c r="BL14" s="1093"/>
      <c r="BM14" s="1093"/>
      <c r="BN14" s="1093"/>
      <c r="BO14" s="1093"/>
      <c r="BP14" s="1093"/>
      <c r="BQ14" s="1093"/>
      <c r="BR14" s="1093"/>
      <c r="BS14" s="1093"/>
      <c r="BT14" s="1093"/>
      <c r="BU14" s="1093"/>
      <c r="BV14" s="1093"/>
      <c r="BW14" s="1093"/>
      <c r="BX14" s="1093"/>
      <c r="BY14" s="1093"/>
      <c r="BZ14" s="1093"/>
      <c r="CA14" s="1093"/>
      <c r="CB14" s="1093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</row>
    <row r="15" spans="1:163" ht="6.6" customHeight="1" x14ac:dyDescent="0.25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  <c r="AW15" s="349"/>
      <c r="AX15" s="349"/>
      <c r="AY15" s="349"/>
      <c r="AZ15" s="349"/>
      <c r="BA15" s="349"/>
      <c r="BB15" s="349"/>
      <c r="BC15" s="349"/>
      <c r="BD15" s="349"/>
      <c r="BE15" s="349"/>
      <c r="BF15" s="349"/>
      <c r="BG15" s="349"/>
      <c r="BH15" s="349"/>
      <c r="BI15" s="349"/>
      <c r="BJ15" s="349"/>
      <c r="BK15" s="349"/>
      <c r="BL15" s="349"/>
      <c r="BM15" s="349"/>
      <c r="BN15" s="349"/>
      <c r="BO15" s="349"/>
      <c r="BP15" s="349"/>
      <c r="BQ15" s="349"/>
      <c r="BR15" s="349"/>
      <c r="BS15" s="349"/>
      <c r="BT15" s="349"/>
      <c r="BU15" s="349"/>
      <c r="BV15" s="349"/>
      <c r="BW15" s="349"/>
      <c r="BX15" s="349"/>
      <c r="BY15" s="349"/>
      <c r="BZ15" s="349"/>
      <c r="CA15" s="349"/>
      <c r="CB15" s="349"/>
    </row>
    <row r="16" spans="1:163" s="43" customFormat="1" x14ac:dyDescent="0.25">
      <c r="A16" s="355" t="s">
        <v>33</v>
      </c>
      <c r="B16" s="355"/>
      <c r="C16" s="355" t="s">
        <v>295</v>
      </c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5"/>
      <c r="AV16" s="355"/>
      <c r="AW16" s="355"/>
      <c r="AX16" s="355"/>
      <c r="AY16" s="355"/>
      <c r="AZ16" s="355"/>
      <c r="BA16" s="355"/>
      <c r="BB16" s="355"/>
      <c r="BC16" s="355"/>
      <c r="BD16" s="355"/>
      <c r="BE16" s="355"/>
      <c r="BF16" s="355"/>
      <c r="BG16" s="355"/>
      <c r="BH16" s="355"/>
      <c r="BI16" s="355"/>
      <c r="BJ16" s="355"/>
      <c r="BK16" s="355"/>
      <c r="BL16" s="355"/>
      <c r="BM16" s="355"/>
      <c r="BN16" s="355"/>
      <c r="BO16" s="355"/>
      <c r="BP16" s="355"/>
      <c r="BQ16" s="355"/>
      <c r="BR16" s="355"/>
      <c r="BS16" s="355"/>
      <c r="BT16" s="355"/>
      <c r="BU16" s="355"/>
      <c r="BV16" s="355"/>
      <c r="BW16" s="355"/>
      <c r="BX16" s="355"/>
      <c r="BY16" s="355"/>
      <c r="BZ16" s="355"/>
      <c r="CA16" s="355"/>
      <c r="CB16" s="355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</row>
    <row r="17" spans="1:163" ht="15" customHeight="1" x14ac:dyDescent="0.25">
      <c r="A17" s="1085" t="s">
        <v>300</v>
      </c>
      <c r="B17" s="1085"/>
      <c r="C17" s="1085"/>
      <c r="D17" s="1085"/>
      <c r="E17" s="1085"/>
      <c r="F17" s="1085"/>
      <c r="G17" s="1085"/>
      <c r="H17" s="1085"/>
      <c r="I17" s="1085"/>
      <c r="J17" s="1085"/>
      <c r="K17" s="1085"/>
      <c r="L17" s="1085"/>
      <c r="M17" s="1085"/>
      <c r="N17" s="1085"/>
      <c r="O17" s="1085"/>
      <c r="P17" s="1085"/>
      <c r="Q17" s="1085" t="s">
        <v>298</v>
      </c>
      <c r="R17" s="1085"/>
      <c r="S17" s="1085"/>
      <c r="T17" s="1085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5"/>
      <c r="AE17" s="1085"/>
      <c r="AF17" s="1085"/>
      <c r="AG17" s="1085" t="s">
        <v>297</v>
      </c>
      <c r="AH17" s="1085"/>
      <c r="AI17" s="1085"/>
      <c r="AJ17" s="1085"/>
      <c r="AK17" s="1085"/>
      <c r="AL17" s="1085"/>
      <c r="AM17" s="1085"/>
      <c r="AN17" s="1085"/>
      <c r="AO17" s="1085"/>
      <c r="AP17" s="1085"/>
      <c r="AQ17" s="1085"/>
      <c r="AR17" s="1085"/>
      <c r="AS17" s="1085"/>
      <c r="AT17" s="1085"/>
      <c r="AU17" s="1085"/>
      <c r="AV17" s="1085"/>
      <c r="AW17" s="1085" t="s">
        <v>299</v>
      </c>
      <c r="AX17" s="1085"/>
      <c r="AY17" s="1085"/>
      <c r="AZ17" s="1085"/>
      <c r="BA17" s="1085"/>
      <c r="BB17" s="1085"/>
      <c r="BC17" s="1085"/>
      <c r="BD17" s="1085"/>
      <c r="BE17" s="1085"/>
      <c r="BF17" s="1085"/>
      <c r="BG17" s="1085"/>
      <c r="BH17" s="1085"/>
      <c r="BI17" s="1085"/>
      <c r="BJ17" s="1085"/>
      <c r="BK17" s="1085"/>
      <c r="BL17" s="1085"/>
      <c r="BM17" s="1085" t="s">
        <v>296</v>
      </c>
      <c r="BN17" s="1085"/>
      <c r="BO17" s="1085"/>
      <c r="BP17" s="1085"/>
      <c r="BQ17" s="1085"/>
      <c r="BR17" s="1085"/>
      <c r="BS17" s="1085"/>
      <c r="BT17" s="1085"/>
      <c r="BU17" s="1085"/>
      <c r="BV17" s="1085"/>
      <c r="BW17" s="1085"/>
      <c r="BX17" s="1085"/>
      <c r="BY17" s="1085"/>
      <c r="BZ17" s="1085"/>
      <c r="CA17" s="1085"/>
      <c r="CB17" s="1085"/>
    </row>
    <row r="18" spans="1:163" x14ac:dyDescent="0.25">
      <c r="A18" s="1085"/>
      <c r="B18" s="1085"/>
      <c r="C18" s="1085"/>
      <c r="D18" s="1085"/>
      <c r="E18" s="1085"/>
      <c r="F18" s="1085"/>
      <c r="G18" s="1085"/>
      <c r="H18" s="1085"/>
      <c r="I18" s="1085"/>
      <c r="J18" s="1085"/>
      <c r="K18" s="1085"/>
      <c r="L18" s="1085"/>
      <c r="M18" s="1085"/>
      <c r="N18" s="1085"/>
      <c r="O18" s="1085"/>
      <c r="P18" s="1085"/>
      <c r="Q18" s="1085"/>
      <c r="R18" s="1085"/>
      <c r="S18" s="1085"/>
      <c r="T18" s="1085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5"/>
      <c r="AE18" s="1085"/>
      <c r="AF18" s="1085"/>
      <c r="AG18" s="1085"/>
      <c r="AH18" s="1085"/>
      <c r="AI18" s="1085"/>
      <c r="AJ18" s="1085"/>
      <c r="AK18" s="1085"/>
      <c r="AL18" s="1085"/>
      <c r="AM18" s="1085"/>
      <c r="AN18" s="1085"/>
      <c r="AO18" s="1085"/>
      <c r="AP18" s="1085"/>
      <c r="AQ18" s="1085"/>
      <c r="AR18" s="1085"/>
      <c r="AS18" s="1085"/>
      <c r="AT18" s="1085"/>
      <c r="AU18" s="1085"/>
      <c r="AV18" s="1085"/>
      <c r="AW18" s="1085"/>
      <c r="AX18" s="1085"/>
      <c r="AY18" s="1085"/>
      <c r="AZ18" s="1085"/>
      <c r="BA18" s="1085"/>
      <c r="BB18" s="1085"/>
      <c r="BC18" s="1085"/>
      <c r="BD18" s="1085"/>
      <c r="BE18" s="1085"/>
      <c r="BF18" s="1085"/>
      <c r="BG18" s="1085"/>
      <c r="BH18" s="1085"/>
      <c r="BI18" s="1085"/>
      <c r="BJ18" s="1085"/>
      <c r="BK18" s="1085"/>
      <c r="BL18" s="1085"/>
      <c r="BM18" s="1085"/>
      <c r="BN18" s="1085"/>
      <c r="BO18" s="1085"/>
      <c r="BP18" s="1085"/>
      <c r="BQ18" s="1085"/>
      <c r="BR18" s="1085"/>
      <c r="BS18" s="1085"/>
      <c r="BT18" s="1085"/>
      <c r="BU18" s="1085"/>
      <c r="BV18" s="1085"/>
      <c r="BW18" s="1085"/>
      <c r="BX18" s="1085"/>
      <c r="BY18" s="1085"/>
      <c r="BZ18" s="1085"/>
      <c r="CA18" s="1085"/>
      <c r="CB18" s="1085"/>
    </row>
    <row r="19" spans="1:163" ht="5.45" customHeight="1" x14ac:dyDescent="0.25">
      <c r="A19" s="1085"/>
      <c r="B19" s="1085"/>
      <c r="C19" s="1085"/>
      <c r="D19" s="1085"/>
      <c r="E19" s="1085"/>
      <c r="F19" s="1085"/>
      <c r="G19" s="1085"/>
      <c r="H19" s="1085"/>
      <c r="I19" s="1085"/>
      <c r="J19" s="1085"/>
      <c r="K19" s="1085"/>
      <c r="L19" s="1085"/>
      <c r="M19" s="1085"/>
      <c r="N19" s="1085"/>
      <c r="O19" s="1085"/>
      <c r="P19" s="1085"/>
      <c r="Q19" s="1085"/>
      <c r="R19" s="1085"/>
      <c r="S19" s="1085"/>
      <c r="T19" s="1085"/>
      <c r="U19" s="1085"/>
      <c r="V19" s="1085"/>
      <c r="W19" s="1085"/>
      <c r="X19" s="1085"/>
      <c r="Y19" s="1085"/>
      <c r="Z19" s="1085"/>
      <c r="AA19" s="1085"/>
      <c r="AB19" s="1085"/>
      <c r="AC19" s="1085"/>
      <c r="AD19" s="1085"/>
      <c r="AE19" s="1085"/>
      <c r="AF19" s="1085"/>
      <c r="AG19" s="1085"/>
      <c r="AH19" s="1085"/>
      <c r="AI19" s="1085"/>
      <c r="AJ19" s="1085"/>
      <c r="AK19" s="1085"/>
      <c r="AL19" s="1085"/>
      <c r="AM19" s="1085"/>
      <c r="AN19" s="1085"/>
      <c r="AO19" s="1085"/>
      <c r="AP19" s="1085"/>
      <c r="AQ19" s="1085"/>
      <c r="AR19" s="1085"/>
      <c r="AS19" s="1085"/>
      <c r="AT19" s="1085"/>
      <c r="AU19" s="1085"/>
      <c r="AV19" s="1085"/>
      <c r="AW19" s="1085"/>
      <c r="AX19" s="1085"/>
      <c r="AY19" s="1085"/>
      <c r="AZ19" s="1085"/>
      <c r="BA19" s="1085"/>
      <c r="BB19" s="1085"/>
      <c r="BC19" s="1085"/>
      <c r="BD19" s="1085"/>
      <c r="BE19" s="1085"/>
      <c r="BF19" s="1085"/>
      <c r="BG19" s="1085"/>
      <c r="BH19" s="1085"/>
      <c r="BI19" s="1085"/>
      <c r="BJ19" s="1085"/>
      <c r="BK19" s="1085"/>
      <c r="BL19" s="1085"/>
      <c r="BM19" s="1085"/>
      <c r="BN19" s="1085"/>
      <c r="BO19" s="1085"/>
      <c r="BP19" s="1085"/>
      <c r="BQ19" s="1085"/>
      <c r="BR19" s="1085"/>
      <c r="BS19" s="1085"/>
      <c r="BT19" s="1085"/>
      <c r="BU19" s="1085"/>
      <c r="BV19" s="1085"/>
      <c r="BW19" s="1085"/>
      <c r="BX19" s="1085"/>
      <c r="BY19" s="1085"/>
      <c r="BZ19" s="1085"/>
      <c r="CA19" s="1085"/>
      <c r="CB19" s="1085"/>
    </row>
    <row r="20" spans="1:163" x14ac:dyDescent="0.25">
      <c r="A20" s="1085"/>
      <c r="B20" s="1085"/>
      <c r="C20" s="1085"/>
      <c r="D20" s="1085"/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O20" s="1085"/>
      <c r="P20" s="1085"/>
      <c r="Q20" s="1085"/>
      <c r="R20" s="1085"/>
      <c r="S20" s="1085"/>
      <c r="T20" s="1085"/>
      <c r="U20" s="1085"/>
      <c r="V20" s="1085"/>
      <c r="W20" s="1085"/>
      <c r="X20" s="1085"/>
      <c r="Y20" s="1085"/>
      <c r="Z20" s="1085"/>
      <c r="AA20" s="1085"/>
      <c r="AB20" s="1085"/>
      <c r="AC20" s="1085"/>
      <c r="AD20" s="1085"/>
      <c r="AE20" s="1085"/>
      <c r="AF20" s="1085"/>
      <c r="AG20" s="1085"/>
      <c r="AH20" s="1085"/>
      <c r="AI20" s="1085"/>
      <c r="AJ20" s="1085"/>
      <c r="AK20" s="1085"/>
      <c r="AL20" s="1085"/>
      <c r="AM20" s="1085"/>
      <c r="AN20" s="1085"/>
      <c r="AO20" s="1085"/>
      <c r="AP20" s="1085"/>
      <c r="AQ20" s="1085"/>
      <c r="AR20" s="1085"/>
      <c r="AS20" s="1085"/>
      <c r="AT20" s="1085"/>
      <c r="AU20" s="1085"/>
      <c r="AV20" s="1085"/>
      <c r="AW20" s="1085"/>
      <c r="AX20" s="1085"/>
      <c r="AY20" s="1085"/>
      <c r="AZ20" s="1085"/>
      <c r="BA20" s="1085"/>
      <c r="BB20" s="1085"/>
      <c r="BC20" s="1085"/>
      <c r="BD20" s="1085"/>
      <c r="BE20" s="1085"/>
      <c r="BF20" s="1085"/>
      <c r="BG20" s="1085"/>
      <c r="BH20" s="1085"/>
      <c r="BI20" s="1085"/>
      <c r="BJ20" s="1085"/>
      <c r="BK20" s="1085"/>
      <c r="BL20" s="1085"/>
      <c r="BM20" s="1085"/>
      <c r="BN20" s="1085"/>
      <c r="BO20" s="1085"/>
      <c r="BP20" s="1085"/>
      <c r="BQ20" s="1085"/>
      <c r="BR20" s="1085"/>
      <c r="BS20" s="1085"/>
      <c r="BT20" s="1085"/>
      <c r="BU20" s="1085"/>
      <c r="BV20" s="1085"/>
      <c r="BW20" s="1085"/>
      <c r="BX20" s="1085"/>
      <c r="BY20" s="1085"/>
      <c r="BZ20" s="1085"/>
      <c r="CA20" s="1085"/>
      <c r="CB20" s="1085"/>
    </row>
    <row r="21" spans="1:163" x14ac:dyDescent="0.25">
      <c r="A21" s="1076" t="s">
        <v>301</v>
      </c>
      <c r="B21" s="1076"/>
      <c r="C21" s="1076"/>
      <c r="D21" s="1076"/>
      <c r="E21" s="1076"/>
      <c r="F21" s="1076"/>
      <c r="G21" s="1076"/>
      <c r="H21" s="1076"/>
      <c r="I21" s="1076"/>
      <c r="J21" s="1076"/>
      <c r="K21" s="1076"/>
      <c r="L21" s="1076"/>
      <c r="M21" s="1076"/>
      <c r="N21" s="1076"/>
      <c r="O21" s="1076"/>
      <c r="P21" s="1076"/>
      <c r="Q21" s="1086">
        <v>1</v>
      </c>
      <c r="R21" s="1086"/>
      <c r="S21" s="1086"/>
      <c r="T21" s="1086"/>
      <c r="U21" s="1086"/>
      <c r="V21" s="1086"/>
      <c r="W21" s="1086"/>
      <c r="X21" s="1086"/>
      <c r="Y21" s="1086"/>
      <c r="Z21" s="1086"/>
      <c r="AA21" s="1086"/>
      <c r="AB21" s="1086"/>
      <c r="AC21" s="1086"/>
      <c r="AD21" s="1086"/>
      <c r="AE21" s="1086"/>
      <c r="AF21" s="1086"/>
      <c r="AG21" s="1086" t="s">
        <v>421</v>
      </c>
      <c r="AH21" s="1086"/>
      <c r="AI21" s="1086"/>
      <c r="AJ21" s="1086"/>
      <c r="AK21" s="1086"/>
      <c r="AL21" s="1086"/>
      <c r="AM21" s="1086"/>
      <c r="AN21" s="1086"/>
      <c r="AO21" s="1086"/>
      <c r="AP21" s="1086"/>
      <c r="AQ21" s="1086"/>
      <c r="AR21" s="1086"/>
      <c r="AS21" s="1086"/>
      <c r="AT21" s="1086"/>
      <c r="AU21" s="1086"/>
      <c r="AV21" s="1086"/>
      <c r="AW21" s="1086" t="s">
        <v>751</v>
      </c>
      <c r="AX21" s="1086"/>
      <c r="AY21" s="1086"/>
      <c r="AZ21" s="1086"/>
      <c r="BA21" s="1086"/>
      <c r="BB21" s="1086"/>
      <c r="BC21" s="1086"/>
      <c r="BD21" s="1086"/>
      <c r="BE21" s="1086"/>
      <c r="BF21" s="1086"/>
      <c r="BG21" s="1086"/>
      <c r="BH21" s="1086"/>
      <c r="BI21" s="1086"/>
      <c r="BJ21" s="1086"/>
      <c r="BK21" s="1086"/>
      <c r="BL21" s="1086"/>
      <c r="BM21" s="1087" t="s">
        <v>754</v>
      </c>
      <c r="BN21" s="1087"/>
      <c r="BO21" s="1087"/>
      <c r="BP21" s="1087"/>
      <c r="BQ21" s="1087"/>
      <c r="BR21" s="1087"/>
      <c r="BS21" s="1087"/>
      <c r="BT21" s="1087"/>
      <c r="BU21" s="1087"/>
      <c r="BV21" s="1087"/>
      <c r="BW21" s="1087"/>
      <c r="BX21" s="1087"/>
      <c r="BY21" s="1087"/>
      <c r="BZ21" s="1087"/>
      <c r="CA21" s="1087"/>
      <c r="CB21" s="1087"/>
    </row>
    <row r="22" spans="1:163" x14ac:dyDescent="0.25">
      <c r="A22" s="1076" t="s">
        <v>302</v>
      </c>
      <c r="B22" s="1076"/>
      <c r="C22" s="1076"/>
      <c r="D22" s="1076"/>
      <c r="E22" s="1076"/>
      <c r="F22" s="1076"/>
      <c r="G22" s="1076"/>
      <c r="H22" s="1076"/>
      <c r="I22" s="1076"/>
      <c r="J22" s="1076"/>
      <c r="K22" s="1076"/>
      <c r="L22" s="1076"/>
      <c r="M22" s="1076"/>
      <c r="N22" s="1076"/>
      <c r="O22" s="1076"/>
      <c r="P22" s="1076"/>
      <c r="Q22" s="1086" t="s">
        <v>101</v>
      </c>
      <c r="R22" s="1086"/>
      <c r="S22" s="1086"/>
      <c r="T22" s="1086"/>
      <c r="U22" s="1086"/>
      <c r="V22" s="1086"/>
      <c r="W22" s="1086"/>
      <c r="X22" s="1086"/>
      <c r="Y22" s="1086"/>
      <c r="Z22" s="1086"/>
      <c r="AA22" s="1086"/>
      <c r="AB22" s="1086"/>
      <c r="AC22" s="1086"/>
      <c r="AD22" s="1086"/>
      <c r="AE22" s="1086"/>
      <c r="AF22" s="1086"/>
      <c r="AG22" s="1086" t="str">
        <f>IF(AG21="","",AG21)</f>
      </c>
      <c r="AH22" s="1086"/>
      <c r="AI22" s="1086"/>
      <c r="AJ22" s="1086"/>
      <c r="AK22" s="1086"/>
      <c r="AL22" s="1086"/>
      <c r="AM22" s="1086"/>
      <c r="AN22" s="1086"/>
      <c r="AO22" s="1086"/>
      <c r="AP22" s="1086"/>
      <c r="AQ22" s="1086"/>
      <c r="AR22" s="1086"/>
      <c r="AS22" s="1086"/>
      <c r="AT22" s="1086"/>
      <c r="AU22" s="1086"/>
      <c r="AV22" s="1086"/>
      <c r="AW22" s="1086" t="s">
        <v>751</v>
      </c>
      <c r="AX22" s="1086"/>
      <c r="AY22" s="1086"/>
      <c r="AZ22" s="1086"/>
      <c r="BA22" s="1086"/>
      <c r="BB22" s="1086"/>
      <c r="BC22" s="1086"/>
      <c r="BD22" s="1086"/>
      <c r="BE22" s="1086"/>
      <c r="BF22" s="1086"/>
      <c r="BG22" s="1086"/>
      <c r="BH22" s="1086"/>
      <c r="BI22" s="1086"/>
      <c r="BJ22" s="1086"/>
      <c r="BK22" s="1086"/>
      <c r="BL22" s="1086"/>
      <c r="BM22" s="1087" t="s">
        <v>754</v>
      </c>
      <c r="BN22" s="1087"/>
      <c r="BO22" s="1087"/>
      <c r="BP22" s="1087"/>
      <c r="BQ22" s="1087"/>
      <c r="BR22" s="1087"/>
      <c r="BS22" s="1087"/>
      <c r="BT22" s="1087"/>
      <c r="BU22" s="1087"/>
      <c r="BV22" s="1087"/>
      <c r="BW22" s="1087"/>
      <c r="BX22" s="1087"/>
      <c r="BY22" s="1087"/>
      <c r="BZ22" s="1087"/>
      <c r="CA22" s="1087"/>
      <c r="CB22" s="1087"/>
    </row>
    <row r="23" spans="1:163" x14ac:dyDescent="0.25">
      <c r="A23" s="1076" t="s">
        <v>303</v>
      </c>
      <c r="B23" s="1076"/>
      <c r="C23" s="1076"/>
      <c r="D23" s="1076"/>
      <c r="E23" s="1076"/>
      <c r="F23" s="1076"/>
      <c r="G23" s="1076"/>
      <c r="H23" s="1076"/>
      <c r="I23" s="1076"/>
      <c r="J23" s="1076"/>
      <c r="K23" s="1076"/>
      <c r="L23" s="1076"/>
      <c r="M23" s="1076"/>
      <c r="N23" s="1076"/>
      <c r="O23" s="1076"/>
      <c r="P23" s="1076"/>
      <c r="Q23" s="1086" t="s">
        <v>101</v>
      </c>
      <c r="R23" s="1086"/>
      <c r="S23" s="1086"/>
      <c r="T23" s="1086"/>
      <c r="U23" s="1086"/>
      <c r="V23" s="1086"/>
      <c r="W23" s="1086"/>
      <c r="X23" s="1086"/>
      <c r="Y23" s="1086"/>
      <c r="Z23" s="1086"/>
      <c r="AA23" s="1086"/>
      <c r="AB23" s="1086"/>
      <c r="AC23" s="1086"/>
      <c r="AD23" s="1086"/>
      <c r="AE23" s="1086"/>
      <c r="AF23" s="1086"/>
      <c r="AG23" s="1086" t="str">
        <f>IF(AG21="","",AG21)</f>
      </c>
      <c r="AH23" s="1086"/>
      <c r="AI23" s="1086"/>
      <c r="AJ23" s="1086"/>
      <c r="AK23" s="1086"/>
      <c r="AL23" s="1086"/>
      <c r="AM23" s="1086"/>
      <c r="AN23" s="1086"/>
      <c r="AO23" s="1086"/>
      <c r="AP23" s="1086"/>
      <c r="AQ23" s="1086"/>
      <c r="AR23" s="1086"/>
      <c r="AS23" s="1086"/>
      <c r="AT23" s="1086"/>
      <c r="AU23" s="1086"/>
      <c r="AV23" s="1086"/>
      <c r="AW23" s="1086" t="s">
        <v>751</v>
      </c>
      <c r="AX23" s="1086"/>
      <c r="AY23" s="1086"/>
      <c r="AZ23" s="1086"/>
      <c r="BA23" s="1086"/>
      <c r="BB23" s="1086"/>
      <c r="BC23" s="1086"/>
      <c r="BD23" s="1086"/>
      <c r="BE23" s="1086"/>
      <c r="BF23" s="1086"/>
      <c r="BG23" s="1086"/>
      <c r="BH23" s="1086"/>
      <c r="BI23" s="1086"/>
      <c r="BJ23" s="1086"/>
      <c r="BK23" s="1086"/>
      <c r="BL23" s="1086"/>
      <c r="BM23" s="1087" t="s">
        <v>754</v>
      </c>
      <c r="BN23" s="1087"/>
      <c r="BO23" s="1087"/>
      <c r="BP23" s="1087"/>
      <c r="BQ23" s="1087"/>
      <c r="BR23" s="1087"/>
      <c r="BS23" s="1087"/>
      <c r="BT23" s="1087"/>
      <c r="BU23" s="1087"/>
      <c r="BV23" s="1087"/>
      <c r="BW23" s="1087"/>
      <c r="BX23" s="1087"/>
      <c r="BY23" s="1087"/>
      <c r="BZ23" s="1087"/>
      <c r="CA23" s="1087"/>
      <c r="CB23" s="1087"/>
    </row>
    <row r="24" spans="1:163" ht="15" customHeight="1" x14ac:dyDescent="0.25">
      <c r="A24" s="1076" t="s">
        <v>304</v>
      </c>
      <c r="B24" s="1076"/>
      <c r="C24" s="1076"/>
      <c r="D24" s="1076"/>
      <c r="E24" s="1076"/>
      <c r="F24" s="1076"/>
      <c r="G24" s="1076"/>
      <c r="H24" s="1076"/>
      <c r="I24" s="1076"/>
      <c r="J24" s="1076"/>
      <c r="K24" s="1076"/>
      <c r="L24" s="1076"/>
      <c r="M24" s="1076"/>
      <c r="N24" s="1076"/>
      <c r="O24" s="1076"/>
      <c r="P24" s="1076"/>
      <c r="Q24" s="1086" t="s">
        <v>101</v>
      </c>
      <c r="R24" s="1086"/>
      <c r="S24" s="1086"/>
      <c r="T24" s="1086"/>
      <c r="U24" s="1086"/>
      <c r="V24" s="1086"/>
      <c r="W24" s="1086"/>
      <c r="X24" s="1086"/>
      <c r="Y24" s="1086"/>
      <c r="Z24" s="1086"/>
      <c r="AA24" s="1086"/>
      <c r="AB24" s="1086"/>
      <c r="AC24" s="1086"/>
      <c r="AD24" s="1086"/>
      <c r="AE24" s="1086"/>
      <c r="AF24" s="1086"/>
      <c r="AG24" s="1086" t="str">
        <f>IF(AG21="","",AG21)</f>
      </c>
      <c r="AH24" s="1086"/>
      <c r="AI24" s="1086"/>
      <c r="AJ24" s="1086"/>
      <c r="AK24" s="1086"/>
      <c r="AL24" s="1086"/>
      <c r="AM24" s="1086"/>
      <c r="AN24" s="1086"/>
      <c r="AO24" s="1086"/>
      <c r="AP24" s="1086"/>
      <c r="AQ24" s="1086"/>
      <c r="AR24" s="1086"/>
      <c r="AS24" s="1086"/>
      <c r="AT24" s="1086"/>
      <c r="AU24" s="1086"/>
      <c r="AV24" s="1086"/>
      <c r="AW24" s="1086" t="s">
        <v>751</v>
      </c>
      <c r="AX24" s="1086"/>
      <c r="AY24" s="1086"/>
      <c r="AZ24" s="1086"/>
      <c r="BA24" s="1086"/>
      <c r="BB24" s="1086"/>
      <c r="BC24" s="1086"/>
      <c r="BD24" s="1086"/>
      <c r="BE24" s="1086"/>
      <c r="BF24" s="1086"/>
      <c r="BG24" s="1086"/>
      <c r="BH24" s="1086"/>
      <c r="BI24" s="1086"/>
      <c r="BJ24" s="1086"/>
      <c r="BK24" s="1086"/>
      <c r="BL24" s="1086"/>
      <c r="BM24" s="1087" t="s">
        <v>754</v>
      </c>
      <c r="BN24" s="1087"/>
      <c r="BO24" s="1087"/>
      <c r="BP24" s="1087"/>
      <c r="BQ24" s="1087"/>
      <c r="BR24" s="1087"/>
      <c r="BS24" s="1087"/>
      <c r="BT24" s="1087"/>
      <c r="BU24" s="1087"/>
      <c r="BV24" s="1087"/>
      <c r="BW24" s="1087"/>
      <c r="BX24" s="1087"/>
      <c r="BY24" s="1087"/>
      <c r="BZ24" s="1087"/>
      <c r="CA24" s="1087"/>
      <c r="CB24" s="1087"/>
    </row>
    <row r="25" spans="1:163" x14ac:dyDescent="0.25">
      <c r="A25" s="1090" t="s">
        <v>305</v>
      </c>
      <c r="B25" s="1091"/>
      <c r="C25" s="1091"/>
      <c r="D25" s="1091"/>
      <c r="E25" s="1091"/>
      <c r="F25" s="1091"/>
      <c r="G25" s="1091"/>
      <c r="H25" s="1091"/>
      <c r="I25" s="1091"/>
      <c r="J25" s="1091"/>
      <c r="K25" s="1091"/>
      <c r="L25" s="1091"/>
      <c r="M25" s="1091"/>
      <c r="N25" s="1091"/>
      <c r="O25" s="1091"/>
      <c r="P25" s="1092"/>
      <c r="Q25" s="1088">
        <v>1</v>
      </c>
      <c r="R25" s="928"/>
      <c r="S25" s="928"/>
      <c r="T25" s="928"/>
      <c r="U25" s="928"/>
      <c r="V25" s="928"/>
      <c r="W25" s="928"/>
      <c r="X25" s="928"/>
      <c r="Y25" s="928"/>
      <c r="Z25" s="928"/>
      <c r="AA25" s="928"/>
      <c r="AB25" s="928"/>
      <c r="AC25" s="928"/>
      <c r="AD25" s="928"/>
      <c r="AE25" s="928"/>
      <c r="AF25" s="1089"/>
      <c r="AG25" s="1088"/>
      <c r="AH25" s="928"/>
      <c r="AI25" s="928"/>
      <c r="AJ25" s="928"/>
      <c r="AK25" s="928"/>
      <c r="AL25" s="928"/>
      <c r="AM25" s="928"/>
      <c r="AN25" s="928"/>
      <c r="AO25" s="928"/>
      <c r="AP25" s="928"/>
      <c r="AQ25" s="928"/>
      <c r="AR25" s="928"/>
      <c r="AS25" s="928"/>
      <c r="AT25" s="928"/>
      <c r="AU25" s="928"/>
      <c r="AV25" s="1089"/>
      <c r="AW25" s="1086"/>
      <c r="AX25" s="1086"/>
      <c r="AY25" s="1086"/>
      <c r="AZ25" s="1086"/>
      <c r="BA25" s="1086"/>
      <c r="BB25" s="1086"/>
      <c r="BC25" s="1086"/>
      <c r="BD25" s="1086"/>
      <c r="BE25" s="1086"/>
      <c r="BF25" s="1086"/>
      <c r="BG25" s="1086"/>
      <c r="BH25" s="1086"/>
      <c r="BI25" s="1086"/>
      <c r="BJ25" s="1086"/>
      <c r="BK25" s="1086"/>
      <c r="BL25" s="1086"/>
      <c r="BM25" s="1090"/>
      <c r="BN25" s="1091"/>
      <c r="BO25" s="1091"/>
      <c r="BP25" s="1091"/>
      <c r="BQ25" s="1091"/>
      <c r="BR25" s="1091"/>
      <c r="BS25" s="1091"/>
      <c r="BT25" s="1091"/>
      <c r="BU25" s="1091"/>
      <c r="BV25" s="1091"/>
      <c r="BW25" s="1091"/>
      <c r="BX25" s="1091"/>
      <c r="BY25" s="1091"/>
      <c r="BZ25" s="1091"/>
      <c r="CA25" s="1091"/>
      <c r="CB25" s="1092"/>
    </row>
    <row r="26" spans="1:163" ht="17.25" customHeight="1" x14ac:dyDescent="0.25">
      <c r="A26" s="347"/>
      <c r="B26" s="347"/>
      <c r="C26" s="1070" t="s">
        <v>380</v>
      </c>
      <c r="D26" s="1070"/>
      <c r="E26" s="1070"/>
      <c r="F26" s="1070"/>
      <c r="G26" s="1070"/>
      <c r="H26" s="1070"/>
      <c r="I26" s="1070"/>
      <c r="J26" s="1070"/>
      <c r="K26" s="1070"/>
      <c r="L26" s="1070"/>
      <c r="M26" s="1070"/>
      <c r="N26" s="1070"/>
      <c r="O26" s="1070"/>
      <c r="P26" s="1070"/>
      <c r="Q26" s="1070"/>
      <c r="R26" s="1070"/>
      <c r="S26" s="1070"/>
      <c r="T26" s="1070"/>
      <c r="U26" s="1070"/>
      <c r="V26" s="1070"/>
      <c r="W26" s="1070"/>
      <c r="X26" s="1071"/>
      <c r="Y26" s="1071"/>
      <c r="Z26" s="1071"/>
      <c r="AA26" s="1071"/>
      <c r="AB26" s="1071"/>
      <c r="AC26" s="1071"/>
      <c r="AD26" s="1071"/>
      <c r="AE26" s="1071"/>
      <c r="AF26" s="1071"/>
      <c r="AG26" s="1071"/>
      <c r="AH26" s="1071"/>
      <c r="AI26" s="1071"/>
      <c r="AJ26" s="1071"/>
      <c r="AK26" s="1071"/>
      <c r="AL26" s="1071"/>
      <c r="AM26" s="1071"/>
      <c r="AN26" s="1071"/>
      <c r="AO26" s="1071"/>
      <c r="AP26" s="1071"/>
      <c r="AQ26" s="1071"/>
      <c r="AR26" s="1071"/>
      <c r="AS26" s="1071"/>
      <c r="AT26" s="1071"/>
      <c r="AU26" s="1071"/>
      <c r="AV26" s="1071"/>
      <c r="AW26" s="1071"/>
      <c r="AX26" s="1071"/>
      <c r="AY26" s="1071"/>
      <c r="AZ26" s="1071"/>
      <c r="BA26" s="1071"/>
      <c r="BB26" s="1071"/>
      <c r="BC26" s="1071"/>
      <c r="BD26" s="1071"/>
      <c r="BE26" s="1071"/>
      <c r="BF26" s="1071"/>
      <c r="BG26" s="1071"/>
      <c r="BH26" s="1071"/>
      <c r="BI26" s="1071"/>
      <c r="BJ26" s="1071"/>
      <c r="BK26" s="1071"/>
      <c r="BL26" s="1071"/>
      <c r="BM26" s="1071"/>
      <c r="BN26" s="1071"/>
      <c r="BO26" s="1071"/>
      <c r="BP26" s="1071"/>
      <c r="BQ26" s="1071"/>
      <c r="BR26" s="1071"/>
      <c r="BS26" s="1071"/>
      <c r="BT26" s="1071"/>
      <c r="BU26" s="1071"/>
      <c r="BV26" s="1071"/>
      <c r="BW26" s="1071"/>
      <c r="BX26" s="1071"/>
      <c r="BY26" s="1071"/>
      <c r="BZ26" s="1071"/>
      <c r="CA26" s="1071"/>
      <c r="CB26" s="1071"/>
    </row>
    <row r="27" spans="1:163" ht="8.4499999999999993" customHeight="1" x14ac:dyDescent="0.25">
      <c r="A27" s="347"/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</row>
    <row r="28" spans="1:163" s="43" customFormat="1" x14ac:dyDescent="0.25">
      <c r="A28" s="355" t="s">
        <v>36</v>
      </c>
      <c r="B28" s="355"/>
      <c r="C28" s="355" t="s">
        <v>306</v>
      </c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357"/>
      <c r="O28" s="357"/>
      <c r="P28" s="357"/>
      <c r="Q28" s="357"/>
      <c r="R28" s="357"/>
      <c r="S28" s="357"/>
      <c r="T28" s="357"/>
      <c r="U28" s="357"/>
      <c r="V28" s="357"/>
      <c r="W28" s="357"/>
      <c r="X28" s="357"/>
      <c r="Y28" s="357"/>
      <c r="Z28" s="357"/>
      <c r="AA28" s="357"/>
      <c r="AB28" s="357"/>
      <c r="AC28" s="357"/>
      <c r="AD28" s="357"/>
      <c r="AE28" s="357"/>
      <c r="AF28" s="357"/>
      <c r="AG28" s="357"/>
      <c r="AH28" s="357"/>
      <c r="AI28" s="357"/>
      <c r="AJ28" s="357"/>
      <c r="AK28" s="357"/>
      <c r="AL28" s="357"/>
      <c r="AM28" s="357"/>
      <c r="AN28" s="357"/>
      <c r="AO28" s="357"/>
      <c r="AP28" s="357"/>
      <c r="AQ28" s="357"/>
      <c r="AR28" s="357"/>
      <c r="AS28" s="357"/>
      <c r="AT28" s="357"/>
      <c r="AU28" s="357"/>
      <c r="AV28" s="357"/>
      <c r="AW28" s="357"/>
      <c r="AX28" s="357"/>
      <c r="AY28" s="357"/>
      <c r="AZ28" s="357"/>
      <c r="BA28" s="357"/>
      <c r="BB28" s="357"/>
      <c r="BC28" s="357"/>
      <c r="BD28" s="357"/>
      <c r="BE28" s="357"/>
      <c r="BF28" s="357"/>
      <c r="BG28" s="357"/>
      <c r="BH28" s="357"/>
      <c r="BI28" s="357"/>
      <c r="BJ28" s="357"/>
      <c r="BK28" s="357"/>
      <c r="BL28" s="357"/>
      <c r="BM28" s="357"/>
      <c r="BN28" s="357"/>
      <c r="BO28" s="357"/>
      <c r="BP28" s="357"/>
      <c r="BQ28" s="357"/>
      <c r="BR28" s="357"/>
      <c r="BS28" s="357"/>
      <c r="BT28" s="357"/>
      <c r="BU28" s="357"/>
      <c r="BV28" s="357"/>
      <c r="BW28" s="357"/>
      <c r="BX28" s="357"/>
      <c r="BY28" s="357"/>
      <c r="BZ28" s="357"/>
      <c r="CA28" s="357"/>
      <c r="CB28" s="357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</row>
    <row r="29" spans="1:163" x14ac:dyDescent="0.25">
      <c r="A29" s="347"/>
      <c r="B29" s="347"/>
      <c r="C29" s="347" t="s">
        <v>755</v>
      </c>
      <c r="D29" s="347"/>
      <c r="E29" s="347"/>
      <c r="F29" s="347"/>
      <c r="G29" s="928" t="s">
        <v>1364</v>
      </c>
      <c r="H29" s="928"/>
      <c r="I29" s="928"/>
      <c r="J29" s="928"/>
      <c r="K29" s="928"/>
      <c r="L29" s="928"/>
      <c r="M29" s="928"/>
      <c r="N29" s="347" t="s">
        <v>756</v>
      </c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928" t="s">
        <v>1365</v>
      </c>
      <c r="AH29" s="928"/>
      <c r="AI29" s="928"/>
      <c r="AJ29" s="928"/>
      <c r="AK29" s="928"/>
      <c r="AL29" s="928"/>
      <c r="AM29" s="928"/>
      <c r="AN29" s="928"/>
      <c r="AO29" s="928"/>
      <c r="AP29" s="928"/>
      <c r="AQ29" s="928"/>
      <c r="AR29" s="928"/>
      <c r="AS29" s="928"/>
      <c r="AT29" s="928"/>
      <c r="AU29" s="928"/>
      <c r="AV29" s="928"/>
      <c r="AW29" s="928"/>
      <c r="AX29" s="928"/>
      <c r="AY29" s="928"/>
      <c r="AZ29" s="928"/>
      <c r="BA29" s="928"/>
      <c r="BB29" s="347" t="s">
        <v>307</v>
      </c>
      <c r="BC29" s="347"/>
      <c r="BD29" s="347"/>
      <c r="BE29" s="347"/>
      <c r="BF29" s="347"/>
      <c r="BG29" s="347"/>
      <c r="BH29" s="347"/>
      <c r="BI29" s="347"/>
      <c r="BJ29" s="347"/>
      <c r="BK29" s="347"/>
      <c r="BL29" s="347"/>
      <c r="BM29" s="347"/>
      <c r="BN29" s="347"/>
      <c r="BO29" s="347"/>
      <c r="BP29" s="347"/>
      <c r="BQ29" s="347"/>
      <c r="BR29" s="347"/>
      <c r="BS29" s="347"/>
      <c r="BT29" s="928">
        <v>70</v>
      </c>
      <c r="BU29" s="928"/>
      <c r="BV29" s="928"/>
      <c r="BW29" s="928"/>
      <c r="BX29" s="928"/>
      <c r="BY29" s="928"/>
      <c r="BZ29" s="928"/>
      <c r="CA29" s="347" t="s">
        <v>308</v>
      </c>
      <c r="CB29" s="347"/>
    </row>
    <row r="30" spans="1:163" s="70" customFormat="1" ht="19.5" customHeight="1" x14ac:dyDescent="0.2">
      <c r="A30" s="347"/>
      <c r="B30" s="347"/>
      <c r="C30" s="347" t="s">
        <v>309</v>
      </c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966" t="s">
        <v>101</v>
      </c>
      <c r="W30" s="966"/>
      <c r="X30" s="966"/>
      <c r="Y30" s="966"/>
      <c r="Z30" s="966"/>
      <c r="AA30" s="966"/>
      <c r="AB30" s="966"/>
      <c r="AC30" s="966"/>
      <c r="AD30" s="966"/>
      <c r="AE30" s="966"/>
      <c r="AF30" s="966"/>
      <c r="AG30" s="966"/>
      <c r="AH30" s="966"/>
      <c r="AI30" s="966"/>
      <c r="AJ30" s="966"/>
      <c r="AK30" s="966"/>
      <c r="AL30" s="966"/>
      <c r="AM30" s="966"/>
      <c r="AN30" s="966"/>
      <c r="AO30" s="966"/>
      <c r="AP30" s="966"/>
      <c r="AQ30" s="966"/>
      <c r="AR30" s="966"/>
      <c r="AS30" s="966"/>
      <c r="AT30" s="966"/>
      <c r="AU30" s="966"/>
      <c r="AV30" s="966"/>
      <c r="AW30" s="966"/>
      <c r="AX30" s="966"/>
      <c r="AY30" s="966"/>
      <c r="AZ30" s="347" t="s">
        <v>311</v>
      </c>
      <c r="BA30" s="347"/>
      <c r="BB30" s="347"/>
      <c r="BC30" s="347"/>
      <c r="BD30" s="347"/>
      <c r="BE30" s="347"/>
      <c r="BF30" s="347"/>
      <c r="BG30" s="347"/>
      <c r="BH30" s="347"/>
      <c r="BI30" s="347"/>
      <c r="BJ30" s="347"/>
      <c r="BK30" s="347"/>
      <c r="BL30" s="347"/>
      <c r="BM30" s="966" t="s">
        <v>101</v>
      </c>
      <c r="BN30" s="966"/>
      <c r="BO30" s="966"/>
      <c r="BP30" s="966"/>
      <c r="BQ30" s="966"/>
      <c r="BR30" s="966"/>
      <c r="BS30" s="966"/>
      <c r="BT30" s="966"/>
      <c r="BU30" s="966"/>
      <c r="BV30" s="966"/>
      <c r="BW30" s="966"/>
      <c r="BX30" s="966"/>
      <c r="BY30" s="966"/>
      <c r="BZ30" s="966"/>
      <c r="CA30" s="347" t="s">
        <v>310</v>
      </c>
      <c r="CB30" s="347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</row>
    <row r="31" spans="1:163" s="70" customFormat="1" ht="15" customHeight="1" x14ac:dyDescent="0.2">
      <c r="A31" s="347"/>
      <c r="B31" s="347"/>
      <c r="C31" s="1082" t="s">
        <v>312</v>
      </c>
      <c r="D31" s="1082"/>
      <c r="E31" s="1082"/>
      <c r="F31" s="1082"/>
      <c r="G31" s="1082"/>
      <c r="H31" s="1082"/>
      <c r="I31" s="1082"/>
      <c r="J31" s="1082"/>
      <c r="K31" s="1082"/>
      <c r="L31" s="1082"/>
      <c r="M31" s="1082"/>
      <c r="N31" s="1082"/>
      <c r="O31" s="1082"/>
      <c r="P31" s="1082"/>
      <c r="Q31" s="1082"/>
      <c r="R31" s="1082"/>
      <c r="S31" s="1082"/>
      <c r="T31" s="1082"/>
      <c r="U31" s="1082"/>
      <c r="V31" s="1082"/>
      <c r="W31" s="1082"/>
      <c r="X31" s="1082"/>
      <c r="Y31" s="1082"/>
      <c r="Z31" s="1082"/>
      <c r="AA31" s="1082"/>
      <c r="AB31" s="1082"/>
      <c r="AC31" s="1082"/>
      <c r="AD31" s="1082"/>
      <c r="AE31" s="1082"/>
      <c r="AF31" s="1082"/>
      <c r="AG31" s="1082"/>
      <c r="AH31" s="1082"/>
      <c r="AI31" s="1082"/>
      <c r="AJ31" s="1082"/>
      <c r="AK31" s="1082"/>
      <c r="AL31" s="1082"/>
      <c r="AM31" s="1082"/>
      <c r="AN31" s="1082"/>
      <c r="AO31" s="1082"/>
      <c r="AP31" s="1082"/>
      <c r="AQ31" s="1082"/>
      <c r="AR31" s="1082"/>
      <c r="AS31" s="1082"/>
      <c r="AT31" s="1082"/>
      <c r="AU31" s="1082"/>
      <c r="AV31" s="1082"/>
      <c r="AW31" s="1082"/>
      <c r="AX31" s="1082"/>
      <c r="AY31" s="1082"/>
      <c r="AZ31" s="1082"/>
      <c r="BA31" s="1082"/>
      <c r="BB31" s="1082"/>
      <c r="BC31" s="1082"/>
      <c r="BD31" s="1082"/>
      <c r="BE31" s="1082"/>
      <c r="BF31" s="1082"/>
      <c r="BG31" s="1082"/>
      <c r="BH31" s="1082"/>
      <c r="BI31" s="1082"/>
      <c r="BJ31" s="1082"/>
      <c r="BK31" s="1082"/>
      <c r="BL31" s="1082"/>
      <c r="BM31" s="1082"/>
      <c r="BN31" s="1082"/>
      <c r="BO31" s="1082"/>
      <c r="BP31" s="1082"/>
      <c r="BQ31" s="1082"/>
      <c r="BR31" s="1082"/>
      <c r="BS31" s="1082"/>
      <c r="BT31" s="1082"/>
      <c r="BU31" s="1082"/>
      <c r="BV31" s="1082"/>
      <c r="BW31" s="1082"/>
      <c r="BX31" s="1082"/>
      <c r="BY31" s="1082"/>
      <c r="BZ31" s="1082"/>
      <c r="CA31" s="1082"/>
      <c r="CB31" s="1082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</row>
    <row r="32" spans="1:163" s="70" customFormat="1" ht="11.25" x14ac:dyDescent="0.2">
      <c r="A32" s="347"/>
      <c r="B32" s="347"/>
      <c r="C32" s="1082"/>
      <c r="D32" s="1082"/>
      <c r="E32" s="1082"/>
      <c r="F32" s="1082"/>
      <c r="G32" s="1082"/>
      <c r="H32" s="1082"/>
      <c r="I32" s="1082"/>
      <c r="J32" s="1082"/>
      <c r="K32" s="1082"/>
      <c r="L32" s="1082"/>
      <c r="M32" s="1082"/>
      <c r="N32" s="1082"/>
      <c r="O32" s="1082"/>
      <c r="P32" s="1082"/>
      <c r="Q32" s="1082"/>
      <c r="R32" s="1082"/>
      <c r="S32" s="1082"/>
      <c r="T32" s="1082"/>
      <c r="U32" s="1082"/>
      <c r="V32" s="1082"/>
      <c r="W32" s="1082"/>
      <c r="X32" s="1082"/>
      <c r="Y32" s="1082"/>
      <c r="Z32" s="1082"/>
      <c r="AA32" s="1082"/>
      <c r="AB32" s="1082"/>
      <c r="AC32" s="1082"/>
      <c r="AD32" s="1082"/>
      <c r="AE32" s="1082"/>
      <c r="AF32" s="1082"/>
      <c r="AG32" s="1082"/>
      <c r="AH32" s="1082"/>
      <c r="AI32" s="1082"/>
      <c r="AJ32" s="1082"/>
      <c r="AK32" s="1082"/>
      <c r="AL32" s="1082"/>
      <c r="AM32" s="1082"/>
      <c r="AN32" s="1082"/>
      <c r="AO32" s="1082"/>
      <c r="AP32" s="1082"/>
      <c r="AQ32" s="1082"/>
      <c r="AR32" s="1082"/>
      <c r="AS32" s="1082"/>
      <c r="AT32" s="1082"/>
      <c r="AU32" s="1082"/>
      <c r="AV32" s="1082"/>
      <c r="AW32" s="1082"/>
      <c r="AX32" s="1082"/>
      <c r="AY32" s="1082"/>
      <c r="AZ32" s="1082"/>
      <c r="BA32" s="1082"/>
      <c r="BB32" s="1082"/>
      <c r="BC32" s="1082"/>
      <c r="BD32" s="1082"/>
      <c r="BE32" s="1082"/>
      <c r="BF32" s="1082"/>
      <c r="BG32" s="1082"/>
      <c r="BH32" s="1082"/>
      <c r="BI32" s="1082"/>
      <c r="BJ32" s="1082"/>
      <c r="BK32" s="1082"/>
      <c r="BL32" s="1082"/>
      <c r="BM32" s="1082"/>
      <c r="BN32" s="1082"/>
      <c r="BO32" s="1082"/>
      <c r="BP32" s="1082"/>
      <c r="BQ32" s="1082"/>
      <c r="BR32" s="1082"/>
      <c r="BS32" s="1082"/>
      <c r="BT32" s="1082"/>
      <c r="BU32" s="1082"/>
      <c r="BV32" s="1082"/>
      <c r="BW32" s="1082"/>
      <c r="BX32" s="1082"/>
      <c r="BY32" s="1082"/>
      <c r="BZ32" s="1082"/>
      <c r="CA32" s="1082"/>
      <c r="CB32" s="1082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</row>
    <row r="33" spans="1:163" s="70" customFormat="1" ht="15" customHeight="1" x14ac:dyDescent="0.2">
      <c r="A33" s="347"/>
      <c r="B33" s="347"/>
      <c r="C33" s="1082" t="s">
        <v>313</v>
      </c>
      <c r="D33" s="1082"/>
      <c r="E33" s="1082"/>
      <c r="F33" s="1082"/>
      <c r="G33" s="1082"/>
      <c r="H33" s="1082"/>
      <c r="I33" s="1082"/>
      <c r="J33" s="1082"/>
      <c r="K33" s="1082"/>
      <c r="L33" s="1082"/>
      <c r="M33" s="1082"/>
      <c r="N33" s="1082"/>
      <c r="O33" s="1082"/>
      <c r="P33" s="1082"/>
      <c r="Q33" s="1082"/>
      <c r="R33" s="1082"/>
      <c r="S33" s="1082"/>
      <c r="T33" s="1082"/>
      <c r="U33" s="1082"/>
      <c r="V33" s="1082"/>
      <c r="W33" s="1082"/>
      <c r="X33" s="1082"/>
      <c r="Y33" s="1082"/>
      <c r="Z33" s="1082"/>
      <c r="AA33" s="1082"/>
      <c r="AB33" s="1082"/>
      <c r="AC33" s="1082"/>
      <c r="AD33" s="1082"/>
      <c r="AE33" s="1082"/>
      <c r="AF33" s="1082"/>
      <c r="AG33" s="1082"/>
      <c r="AH33" s="1082"/>
      <c r="AI33" s="1082"/>
      <c r="AJ33" s="1082"/>
      <c r="AK33" s="1082"/>
      <c r="AL33" s="1082"/>
      <c r="AM33" s="1082"/>
      <c r="AN33" s="1082"/>
      <c r="AO33" s="1082"/>
      <c r="AP33" s="1082"/>
      <c r="AQ33" s="1082"/>
      <c r="AR33" s="1082"/>
      <c r="AS33" s="1082"/>
      <c r="AT33" s="1082"/>
      <c r="AU33" s="1082"/>
      <c r="AV33" s="1082"/>
      <c r="AW33" s="1082"/>
      <c r="AX33" s="1082"/>
      <c r="AY33" s="1082"/>
      <c r="AZ33" s="1082"/>
      <c r="BA33" s="1082"/>
      <c r="BB33" s="1082"/>
      <c r="BC33" s="1082"/>
      <c r="BD33" s="1082"/>
      <c r="BE33" s="1082"/>
      <c r="BF33" s="1082"/>
      <c r="BG33" s="1082"/>
      <c r="BH33" s="1082"/>
      <c r="BI33" s="1082"/>
      <c r="BJ33" s="1082"/>
      <c r="BK33" s="1082"/>
      <c r="BL33" s="1082"/>
      <c r="BM33" s="1082"/>
      <c r="BN33" s="1082"/>
      <c r="BO33" s="1082"/>
      <c r="BP33" s="1082"/>
      <c r="BQ33" s="1082"/>
      <c r="BR33" s="1082"/>
      <c r="BS33" s="1082"/>
      <c r="BT33" s="1082"/>
      <c r="BU33" s="1082"/>
      <c r="BV33" s="1082"/>
      <c r="BW33" s="1082"/>
      <c r="BX33" s="1082"/>
      <c r="BY33" s="1082"/>
      <c r="BZ33" s="1082"/>
      <c r="CA33" s="1082"/>
      <c r="CB33" s="1082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</row>
    <row r="34" spans="1:163" s="70" customFormat="1" ht="11.25" x14ac:dyDescent="0.2">
      <c r="A34" s="347"/>
      <c r="B34" s="347"/>
      <c r="C34" s="1082"/>
      <c r="D34" s="1082"/>
      <c r="E34" s="1082"/>
      <c r="F34" s="1082"/>
      <c r="G34" s="1082"/>
      <c r="H34" s="1082"/>
      <c r="I34" s="1082"/>
      <c r="J34" s="1082"/>
      <c r="K34" s="1082"/>
      <c r="L34" s="1082"/>
      <c r="M34" s="1082"/>
      <c r="N34" s="1082"/>
      <c r="O34" s="1082"/>
      <c r="P34" s="1082"/>
      <c r="Q34" s="1082"/>
      <c r="R34" s="1082"/>
      <c r="S34" s="1082"/>
      <c r="T34" s="1082"/>
      <c r="U34" s="1082"/>
      <c r="V34" s="1082"/>
      <c r="W34" s="1082"/>
      <c r="X34" s="1082"/>
      <c r="Y34" s="1082"/>
      <c r="Z34" s="1082"/>
      <c r="AA34" s="1082"/>
      <c r="AB34" s="1082"/>
      <c r="AC34" s="1082"/>
      <c r="AD34" s="1082"/>
      <c r="AE34" s="1082"/>
      <c r="AF34" s="1082"/>
      <c r="AG34" s="1082"/>
      <c r="AH34" s="1082"/>
      <c r="AI34" s="1082"/>
      <c r="AJ34" s="1082"/>
      <c r="AK34" s="1082"/>
      <c r="AL34" s="1082"/>
      <c r="AM34" s="1082"/>
      <c r="AN34" s="1082"/>
      <c r="AO34" s="1082"/>
      <c r="AP34" s="1082"/>
      <c r="AQ34" s="1082"/>
      <c r="AR34" s="1082"/>
      <c r="AS34" s="1082"/>
      <c r="AT34" s="1082"/>
      <c r="AU34" s="1082"/>
      <c r="AV34" s="1082"/>
      <c r="AW34" s="1082"/>
      <c r="AX34" s="1082"/>
      <c r="AY34" s="1082"/>
      <c r="AZ34" s="1082"/>
      <c r="BA34" s="1082"/>
      <c r="BB34" s="1082"/>
      <c r="BC34" s="1082"/>
      <c r="BD34" s="1082"/>
      <c r="BE34" s="1082"/>
      <c r="BF34" s="1082"/>
      <c r="BG34" s="1082"/>
      <c r="BH34" s="1082"/>
      <c r="BI34" s="1082"/>
      <c r="BJ34" s="1082"/>
      <c r="BK34" s="1082"/>
      <c r="BL34" s="1082"/>
      <c r="BM34" s="1082"/>
      <c r="BN34" s="1082"/>
      <c r="BO34" s="1082"/>
      <c r="BP34" s="1082"/>
      <c r="BQ34" s="1082"/>
      <c r="BR34" s="1082"/>
      <c r="BS34" s="1082"/>
      <c r="BT34" s="1082"/>
      <c r="BU34" s="1082"/>
      <c r="BV34" s="1082"/>
      <c r="BW34" s="1082"/>
      <c r="BX34" s="1082"/>
      <c r="BY34" s="1082"/>
      <c r="BZ34" s="1082"/>
      <c r="CA34" s="1082"/>
      <c r="CB34" s="1082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</row>
    <row r="35" spans="1:163" s="73" customFormat="1" ht="11.25" hidden="1" x14ac:dyDescent="0.2">
      <c r="A35" s="355" t="s">
        <v>39</v>
      </c>
      <c r="B35" s="355"/>
      <c r="C35" s="355" t="s">
        <v>314</v>
      </c>
      <c r="D35" s="355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355"/>
      <c r="Z35" s="355"/>
      <c r="AA35" s="355"/>
      <c r="AB35" s="355"/>
      <c r="AC35" s="355"/>
      <c r="AD35" s="355"/>
      <c r="AE35" s="355"/>
      <c r="AF35" s="355"/>
      <c r="AG35" s="355"/>
      <c r="AH35" s="355"/>
      <c r="AI35" s="355"/>
      <c r="AJ35" s="355"/>
      <c r="AK35" s="355"/>
      <c r="AL35" s="355"/>
      <c r="AM35" s="355"/>
      <c r="AN35" s="355"/>
      <c r="AO35" s="355"/>
      <c r="AP35" s="355"/>
      <c r="AQ35" s="355"/>
      <c r="AR35" s="355"/>
      <c r="AS35" s="355"/>
      <c r="AT35" s="355"/>
      <c r="AU35" s="355"/>
      <c r="AV35" s="355"/>
      <c r="AW35" s="355"/>
      <c r="AX35" s="355"/>
      <c r="AY35" s="355"/>
      <c r="AZ35" s="355"/>
      <c r="BA35" s="355"/>
      <c r="BB35" s="355"/>
      <c r="BC35" s="355"/>
      <c r="BD35" s="355"/>
      <c r="BE35" s="355"/>
      <c r="BF35" s="355"/>
      <c r="BG35" s="355"/>
      <c r="BH35" s="355"/>
      <c r="BI35" s="355"/>
      <c r="BJ35" s="355"/>
      <c r="BK35" s="355"/>
      <c r="BL35" s="355"/>
      <c r="BM35" s="355"/>
      <c r="BN35" s="355"/>
      <c r="BO35" s="355"/>
      <c r="BP35" s="355"/>
      <c r="BQ35" s="355"/>
      <c r="BR35" s="355"/>
      <c r="BS35" s="355"/>
      <c r="BT35" s="355"/>
      <c r="BU35" s="355"/>
      <c r="BV35" s="355"/>
      <c r="BW35" s="355"/>
      <c r="BX35" s="355"/>
      <c r="BY35" s="355"/>
      <c r="BZ35" s="355"/>
      <c r="CA35" s="355"/>
      <c r="CB35" s="355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</row>
    <row r="36" spans="1:163" s="70" customFormat="1" ht="15" hidden="1" customHeight="1" x14ac:dyDescent="0.2">
      <c r="A36" s="347"/>
      <c r="B36" s="347"/>
      <c r="C36" s="1085" t="s">
        <v>315</v>
      </c>
      <c r="D36" s="1085"/>
      <c r="E36" s="1085"/>
      <c r="F36" s="1085"/>
      <c r="G36" s="1085"/>
      <c r="H36" s="1085"/>
      <c r="I36" s="1085"/>
      <c r="J36" s="1085"/>
      <c r="K36" s="1085"/>
      <c r="L36" s="1085"/>
      <c r="M36" s="1085"/>
      <c r="N36" s="1085"/>
      <c r="O36" s="1085"/>
      <c r="P36" s="1085"/>
      <c r="Q36" s="1085"/>
      <c r="R36" s="1085"/>
      <c r="S36" s="1085"/>
      <c r="T36" s="1085"/>
      <c r="U36" s="1085"/>
      <c r="V36" s="1085"/>
      <c r="W36" s="1085" t="s">
        <v>316</v>
      </c>
      <c r="X36" s="1085"/>
      <c r="Y36" s="1085"/>
      <c r="Z36" s="1085"/>
      <c r="AA36" s="1085"/>
      <c r="AB36" s="1085"/>
      <c r="AC36" s="1085"/>
      <c r="AD36" s="1085"/>
      <c r="AE36" s="1085"/>
      <c r="AF36" s="1085"/>
      <c r="AG36" s="1085"/>
      <c r="AH36" s="1085"/>
      <c r="AI36" s="1085"/>
      <c r="AJ36" s="1085"/>
      <c r="AK36" s="1085"/>
      <c r="AL36" s="1085"/>
      <c r="AM36" s="1085" t="s">
        <v>317</v>
      </c>
      <c r="AN36" s="1085"/>
      <c r="AO36" s="1085"/>
      <c r="AP36" s="1085"/>
      <c r="AQ36" s="1085"/>
      <c r="AR36" s="1085"/>
      <c r="AS36" s="1085"/>
      <c r="AT36" s="1085"/>
      <c r="AU36" s="1085"/>
      <c r="AV36" s="1085"/>
      <c r="AW36" s="1085"/>
      <c r="AX36" s="1085"/>
      <c r="AY36" s="1085"/>
      <c r="AZ36" s="1085"/>
      <c r="BA36" s="1085"/>
      <c r="BB36" s="1085"/>
      <c r="BC36" s="1084" t="s">
        <v>233</v>
      </c>
      <c r="BD36" s="1084"/>
      <c r="BE36" s="1084"/>
      <c r="BF36" s="1084"/>
      <c r="BG36" s="1084"/>
      <c r="BH36" s="1084"/>
      <c r="BI36" s="1084"/>
      <c r="BJ36" s="1084"/>
      <c r="BK36" s="1084"/>
      <c r="BL36" s="1084"/>
      <c r="BM36" s="1084"/>
      <c r="BN36" s="1084"/>
      <c r="BO36" s="1084"/>
      <c r="BP36" s="1084"/>
      <c r="BQ36" s="1084"/>
      <c r="BR36" s="1084"/>
      <c r="BS36" s="1084"/>
      <c r="BT36" s="1084"/>
      <c r="BU36" s="1084"/>
      <c r="BV36" s="1084"/>
      <c r="BW36" s="1084"/>
      <c r="BX36" s="1084"/>
      <c r="BY36" s="1084"/>
      <c r="BZ36" s="1084"/>
      <c r="CA36" s="1084"/>
      <c r="CB36" s="1084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</row>
    <row r="37" spans="1:163" s="70" customFormat="1" ht="11.25" hidden="1" x14ac:dyDescent="0.2">
      <c r="A37" s="347"/>
      <c r="B37" s="347"/>
      <c r="C37" s="1085"/>
      <c r="D37" s="1085"/>
      <c r="E37" s="1085"/>
      <c r="F37" s="1085"/>
      <c r="G37" s="1085"/>
      <c r="H37" s="1085"/>
      <c r="I37" s="1085"/>
      <c r="J37" s="1085"/>
      <c r="K37" s="1085"/>
      <c r="L37" s="1085"/>
      <c r="M37" s="1085"/>
      <c r="N37" s="1085"/>
      <c r="O37" s="1085"/>
      <c r="P37" s="1085"/>
      <c r="Q37" s="1085"/>
      <c r="R37" s="1085"/>
      <c r="S37" s="1085"/>
      <c r="T37" s="1085"/>
      <c r="U37" s="1085"/>
      <c r="V37" s="1085"/>
      <c r="W37" s="1085"/>
      <c r="X37" s="1085"/>
      <c r="Y37" s="1085"/>
      <c r="Z37" s="1085"/>
      <c r="AA37" s="1085"/>
      <c r="AB37" s="1085"/>
      <c r="AC37" s="1085"/>
      <c r="AD37" s="1085"/>
      <c r="AE37" s="1085"/>
      <c r="AF37" s="1085"/>
      <c r="AG37" s="1085"/>
      <c r="AH37" s="1085"/>
      <c r="AI37" s="1085"/>
      <c r="AJ37" s="1085"/>
      <c r="AK37" s="1085"/>
      <c r="AL37" s="1085"/>
      <c r="AM37" s="1085"/>
      <c r="AN37" s="1085"/>
      <c r="AO37" s="1085"/>
      <c r="AP37" s="1085"/>
      <c r="AQ37" s="1085"/>
      <c r="AR37" s="1085"/>
      <c r="AS37" s="1085"/>
      <c r="AT37" s="1085"/>
      <c r="AU37" s="1085"/>
      <c r="AV37" s="1085"/>
      <c r="AW37" s="1085"/>
      <c r="AX37" s="1085"/>
      <c r="AY37" s="1085"/>
      <c r="AZ37" s="1085"/>
      <c r="BA37" s="1085"/>
      <c r="BB37" s="1085"/>
      <c r="BC37" s="1084" t="s">
        <v>318</v>
      </c>
      <c r="BD37" s="1084"/>
      <c r="BE37" s="1084"/>
      <c r="BF37" s="1084"/>
      <c r="BG37" s="1084"/>
      <c r="BH37" s="1084"/>
      <c r="BI37" s="1084"/>
      <c r="BJ37" s="1084"/>
      <c r="BK37" s="1084"/>
      <c r="BL37" s="1084"/>
      <c r="BM37" s="1084"/>
      <c r="BN37" s="1084"/>
      <c r="BO37" s="1084"/>
      <c r="BP37" s="1084" t="s">
        <v>234</v>
      </c>
      <c r="BQ37" s="1084"/>
      <c r="BR37" s="1084"/>
      <c r="BS37" s="1084"/>
      <c r="BT37" s="1084"/>
      <c r="BU37" s="1084"/>
      <c r="BV37" s="1084"/>
      <c r="BW37" s="1084"/>
      <c r="BX37" s="1084"/>
      <c r="BY37" s="1084"/>
      <c r="BZ37" s="1084"/>
      <c r="CA37" s="1084"/>
      <c r="CB37" s="1084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</row>
    <row r="38" spans="1:163" s="70" customFormat="1" ht="11.25" hidden="1" x14ac:dyDescent="0.2">
      <c r="A38" s="347"/>
      <c r="B38" s="347"/>
      <c r="C38" s="1085"/>
      <c r="D38" s="1085"/>
      <c r="E38" s="1085"/>
      <c r="F38" s="1085"/>
      <c r="G38" s="1085"/>
      <c r="H38" s="1085"/>
      <c r="I38" s="1085"/>
      <c r="J38" s="1085"/>
      <c r="K38" s="1085"/>
      <c r="L38" s="1085"/>
      <c r="M38" s="1085"/>
      <c r="N38" s="1085"/>
      <c r="O38" s="1085"/>
      <c r="P38" s="1085"/>
      <c r="Q38" s="1085"/>
      <c r="R38" s="1085"/>
      <c r="S38" s="1085"/>
      <c r="T38" s="1085"/>
      <c r="U38" s="1085"/>
      <c r="V38" s="1085"/>
      <c r="W38" s="1085"/>
      <c r="X38" s="1085"/>
      <c r="Y38" s="1085"/>
      <c r="Z38" s="1085"/>
      <c r="AA38" s="1085"/>
      <c r="AB38" s="1085"/>
      <c r="AC38" s="1085"/>
      <c r="AD38" s="1085"/>
      <c r="AE38" s="1085"/>
      <c r="AF38" s="1085"/>
      <c r="AG38" s="1085"/>
      <c r="AH38" s="1085"/>
      <c r="AI38" s="1085"/>
      <c r="AJ38" s="1085"/>
      <c r="AK38" s="1085"/>
      <c r="AL38" s="1085"/>
      <c r="AM38" s="1085"/>
      <c r="AN38" s="1085"/>
      <c r="AO38" s="1085"/>
      <c r="AP38" s="1085"/>
      <c r="AQ38" s="1085"/>
      <c r="AR38" s="1085"/>
      <c r="AS38" s="1085"/>
      <c r="AT38" s="1085"/>
      <c r="AU38" s="1085"/>
      <c r="AV38" s="1085"/>
      <c r="AW38" s="1085"/>
      <c r="AX38" s="1085"/>
      <c r="AY38" s="1085"/>
      <c r="AZ38" s="1085"/>
      <c r="BA38" s="1085"/>
      <c r="BB38" s="1085"/>
      <c r="BC38" s="1084"/>
      <c r="BD38" s="1084"/>
      <c r="BE38" s="1084"/>
      <c r="BF38" s="1084"/>
      <c r="BG38" s="1084"/>
      <c r="BH38" s="1084"/>
      <c r="BI38" s="1084"/>
      <c r="BJ38" s="1084"/>
      <c r="BK38" s="1084"/>
      <c r="BL38" s="1084"/>
      <c r="BM38" s="1084"/>
      <c r="BN38" s="1084"/>
      <c r="BO38" s="1084"/>
      <c r="BP38" s="1084"/>
      <c r="BQ38" s="1084"/>
      <c r="BR38" s="1084"/>
      <c r="BS38" s="1084"/>
      <c r="BT38" s="1084"/>
      <c r="BU38" s="1084"/>
      <c r="BV38" s="1084"/>
      <c r="BW38" s="1084"/>
      <c r="BX38" s="1084"/>
      <c r="BY38" s="1084"/>
      <c r="BZ38" s="1084"/>
      <c r="CA38" s="1084"/>
      <c r="CB38" s="1084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</row>
    <row r="39" spans="1:163" s="70" customFormat="1" ht="11.25" hidden="1" x14ac:dyDescent="0.2">
      <c r="A39" s="347"/>
      <c r="B39" s="347"/>
      <c r="C39" s="1076"/>
      <c r="D39" s="1076"/>
      <c r="E39" s="1076"/>
      <c r="F39" s="1076"/>
      <c r="G39" s="1076"/>
      <c r="H39" s="1076"/>
      <c r="I39" s="1076"/>
      <c r="J39" s="1076"/>
      <c r="K39" s="1076"/>
      <c r="L39" s="1076"/>
      <c r="M39" s="1076"/>
      <c r="N39" s="1076"/>
      <c r="O39" s="1076"/>
      <c r="P39" s="1076"/>
      <c r="Q39" s="1076"/>
      <c r="R39" s="1076"/>
      <c r="S39" s="1076"/>
      <c r="T39" s="1076"/>
      <c r="U39" s="1076"/>
      <c r="V39" s="1076"/>
      <c r="W39" s="1076"/>
      <c r="X39" s="1076"/>
      <c r="Y39" s="1076"/>
      <c r="Z39" s="1076"/>
      <c r="AA39" s="1076"/>
      <c r="AB39" s="1076"/>
      <c r="AC39" s="1076"/>
      <c r="AD39" s="1076"/>
      <c r="AE39" s="1076"/>
      <c r="AF39" s="1076"/>
      <c r="AG39" s="1076"/>
      <c r="AH39" s="1076"/>
      <c r="AI39" s="1076"/>
      <c r="AJ39" s="1076"/>
      <c r="AK39" s="1076"/>
      <c r="AL39" s="1076"/>
      <c r="AM39" s="1076"/>
      <c r="AN39" s="1076"/>
      <c r="AO39" s="1076"/>
      <c r="AP39" s="1076"/>
      <c r="AQ39" s="1076"/>
      <c r="AR39" s="1076"/>
      <c r="AS39" s="1076"/>
      <c r="AT39" s="1076"/>
      <c r="AU39" s="1076"/>
      <c r="AV39" s="1076"/>
      <c r="AW39" s="1076"/>
      <c r="AX39" s="1076"/>
      <c r="AY39" s="1076"/>
      <c r="AZ39" s="1076"/>
      <c r="BA39" s="1076"/>
      <c r="BB39" s="1076"/>
      <c r="BC39" s="1076"/>
      <c r="BD39" s="1076"/>
      <c r="BE39" s="1076"/>
      <c r="BF39" s="1076"/>
      <c r="BG39" s="1076"/>
      <c r="BH39" s="1076"/>
      <c r="BI39" s="1076"/>
      <c r="BJ39" s="1076"/>
      <c r="BK39" s="1076"/>
      <c r="BL39" s="1076"/>
      <c r="BM39" s="1076"/>
      <c r="BN39" s="1076"/>
      <c r="BO39" s="1076"/>
      <c r="BP39" s="1076"/>
      <c r="BQ39" s="1076"/>
      <c r="BR39" s="1076"/>
      <c r="BS39" s="1076"/>
      <c r="BT39" s="1076"/>
      <c r="BU39" s="1076"/>
      <c r="BV39" s="1076"/>
      <c r="BW39" s="1076"/>
      <c r="BX39" s="1076"/>
      <c r="BY39" s="1076"/>
      <c r="BZ39" s="1076"/>
      <c r="CA39" s="1076"/>
      <c r="CB39" s="1076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</row>
    <row r="40" spans="1:163" s="70" customFormat="1" ht="11.25" hidden="1" x14ac:dyDescent="0.2">
      <c r="A40" s="347"/>
      <c r="B40" s="347"/>
      <c r="C40" s="1073"/>
      <c r="D40" s="1074"/>
      <c r="E40" s="1074"/>
      <c r="F40" s="1074"/>
      <c r="G40" s="1074"/>
      <c r="H40" s="1074"/>
      <c r="I40" s="1074"/>
      <c r="J40" s="1074"/>
      <c r="K40" s="1074"/>
      <c r="L40" s="1074"/>
      <c r="M40" s="1074"/>
      <c r="N40" s="1074"/>
      <c r="O40" s="1074"/>
      <c r="P40" s="1074"/>
      <c r="Q40" s="1074"/>
      <c r="R40" s="1074"/>
      <c r="S40" s="1074"/>
      <c r="T40" s="1074"/>
      <c r="U40" s="1074"/>
      <c r="V40" s="1075"/>
      <c r="W40" s="1073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5"/>
      <c r="AM40" s="1073"/>
      <c r="AN40" s="1074"/>
      <c r="AO40" s="1074"/>
      <c r="AP40" s="1074"/>
      <c r="AQ40" s="1074"/>
      <c r="AR40" s="1074"/>
      <c r="AS40" s="1074"/>
      <c r="AT40" s="1074"/>
      <c r="AU40" s="1074"/>
      <c r="AV40" s="1074"/>
      <c r="AW40" s="1074"/>
      <c r="AX40" s="1074"/>
      <c r="AY40" s="1074"/>
      <c r="AZ40" s="1074"/>
      <c r="BA40" s="1074"/>
      <c r="BB40" s="1075"/>
      <c r="BC40" s="1073"/>
      <c r="BD40" s="1074"/>
      <c r="BE40" s="1074"/>
      <c r="BF40" s="1074"/>
      <c r="BG40" s="1074"/>
      <c r="BH40" s="1074"/>
      <c r="BI40" s="1074"/>
      <c r="BJ40" s="1074"/>
      <c r="BK40" s="1074"/>
      <c r="BL40" s="1074"/>
      <c r="BM40" s="1074"/>
      <c r="BN40" s="1074"/>
      <c r="BO40" s="1075"/>
      <c r="BP40" s="1073"/>
      <c r="BQ40" s="1074"/>
      <c r="BR40" s="1074"/>
      <c r="BS40" s="1074"/>
      <c r="BT40" s="1074"/>
      <c r="BU40" s="1074"/>
      <c r="BV40" s="1074"/>
      <c r="BW40" s="1074"/>
      <c r="BX40" s="1074"/>
      <c r="BY40" s="1074"/>
      <c r="BZ40" s="1074"/>
      <c r="CA40" s="1074"/>
      <c r="CB40" s="1075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</row>
    <row r="41" spans="1:163" s="70" customFormat="1" ht="11.25" hidden="1" x14ac:dyDescent="0.2">
      <c r="A41" s="347"/>
      <c r="B41" s="347"/>
      <c r="C41" s="1073"/>
      <c r="D41" s="1074"/>
      <c r="E41" s="1074"/>
      <c r="F41" s="1074"/>
      <c r="G41" s="1074"/>
      <c r="H41" s="1074"/>
      <c r="I41" s="1074"/>
      <c r="J41" s="1074"/>
      <c r="K41" s="1074"/>
      <c r="L41" s="1074"/>
      <c r="M41" s="1074"/>
      <c r="N41" s="1074"/>
      <c r="O41" s="1074"/>
      <c r="P41" s="1074"/>
      <c r="Q41" s="1074"/>
      <c r="R41" s="1074"/>
      <c r="S41" s="1074"/>
      <c r="T41" s="1074"/>
      <c r="U41" s="1074"/>
      <c r="V41" s="1075"/>
      <c r="W41" s="1073"/>
      <c r="X41" s="1074"/>
      <c r="Y41" s="1074"/>
      <c r="Z41" s="1074"/>
      <c r="AA41" s="1074"/>
      <c r="AB41" s="1074"/>
      <c r="AC41" s="1074"/>
      <c r="AD41" s="1074"/>
      <c r="AE41" s="1074"/>
      <c r="AF41" s="1074"/>
      <c r="AG41" s="1074"/>
      <c r="AH41" s="1074"/>
      <c r="AI41" s="1074"/>
      <c r="AJ41" s="1074"/>
      <c r="AK41" s="1074"/>
      <c r="AL41" s="1075"/>
      <c r="AM41" s="1073"/>
      <c r="AN41" s="1074"/>
      <c r="AO41" s="1074"/>
      <c r="AP41" s="1074"/>
      <c r="AQ41" s="1074"/>
      <c r="AR41" s="1074"/>
      <c r="AS41" s="1074"/>
      <c r="AT41" s="1074"/>
      <c r="AU41" s="1074"/>
      <c r="AV41" s="1074"/>
      <c r="AW41" s="1074"/>
      <c r="AX41" s="1074"/>
      <c r="AY41" s="1074"/>
      <c r="AZ41" s="1074"/>
      <c r="BA41" s="1074"/>
      <c r="BB41" s="1075"/>
      <c r="BC41" s="1073"/>
      <c r="BD41" s="1074"/>
      <c r="BE41" s="1074"/>
      <c r="BF41" s="1074"/>
      <c r="BG41" s="1074"/>
      <c r="BH41" s="1074"/>
      <c r="BI41" s="1074"/>
      <c r="BJ41" s="1074"/>
      <c r="BK41" s="1074"/>
      <c r="BL41" s="1074"/>
      <c r="BM41" s="1074"/>
      <c r="BN41" s="1074"/>
      <c r="BO41" s="1075"/>
      <c r="BP41" s="1073"/>
      <c r="BQ41" s="1074"/>
      <c r="BR41" s="1074"/>
      <c r="BS41" s="1074"/>
      <c r="BT41" s="1074"/>
      <c r="BU41" s="1074"/>
      <c r="BV41" s="1074"/>
      <c r="BW41" s="1074"/>
      <c r="BX41" s="1074"/>
      <c r="BY41" s="1074"/>
      <c r="BZ41" s="1074"/>
      <c r="CA41" s="1074"/>
      <c r="CB41" s="1075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</row>
    <row r="42" spans="1:163" s="70" customFormat="1" ht="11.25" hidden="1" x14ac:dyDescent="0.2">
      <c r="A42" s="347"/>
      <c r="B42" s="347"/>
      <c r="C42" s="1073"/>
      <c r="D42" s="1074"/>
      <c r="E42" s="1074"/>
      <c r="F42" s="1074"/>
      <c r="G42" s="1074"/>
      <c r="H42" s="1074"/>
      <c r="I42" s="1074"/>
      <c r="J42" s="1074"/>
      <c r="K42" s="1074"/>
      <c r="L42" s="1074"/>
      <c r="M42" s="1074"/>
      <c r="N42" s="1074"/>
      <c r="O42" s="1074"/>
      <c r="P42" s="1074"/>
      <c r="Q42" s="1074"/>
      <c r="R42" s="1074"/>
      <c r="S42" s="1074"/>
      <c r="T42" s="1074"/>
      <c r="U42" s="1074"/>
      <c r="V42" s="1075"/>
      <c r="W42" s="1073"/>
      <c r="X42" s="1074"/>
      <c r="Y42" s="1074"/>
      <c r="Z42" s="1074"/>
      <c r="AA42" s="1074"/>
      <c r="AB42" s="1074"/>
      <c r="AC42" s="1074"/>
      <c r="AD42" s="1074"/>
      <c r="AE42" s="1074"/>
      <c r="AF42" s="1074"/>
      <c r="AG42" s="1074"/>
      <c r="AH42" s="1074"/>
      <c r="AI42" s="1074"/>
      <c r="AJ42" s="1074"/>
      <c r="AK42" s="1074"/>
      <c r="AL42" s="1075"/>
      <c r="AM42" s="1073"/>
      <c r="AN42" s="1074"/>
      <c r="AO42" s="1074"/>
      <c r="AP42" s="1074"/>
      <c r="AQ42" s="1074"/>
      <c r="AR42" s="1074"/>
      <c r="AS42" s="1074"/>
      <c r="AT42" s="1074"/>
      <c r="AU42" s="1074"/>
      <c r="AV42" s="1074"/>
      <c r="AW42" s="1074"/>
      <c r="AX42" s="1074"/>
      <c r="AY42" s="1074"/>
      <c r="AZ42" s="1074"/>
      <c r="BA42" s="1074"/>
      <c r="BB42" s="1075"/>
      <c r="BC42" s="1073"/>
      <c r="BD42" s="1074"/>
      <c r="BE42" s="1074"/>
      <c r="BF42" s="1074"/>
      <c r="BG42" s="1074"/>
      <c r="BH42" s="1074"/>
      <c r="BI42" s="1074"/>
      <c r="BJ42" s="1074"/>
      <c r="BK42" s="1074"/>
      <c r="BL42" s="1074"/>
      <c r="BM42" s="1074"/>
      <c r="BN42" s="1074"/>
      <c r="BO42" s="1075"/>
      <c r="BP42" s="1073"/>
      <c r="BQ42" s="1074"/>
      <c r="BR42" s="1074"/>
      <c r="BS42" s="1074"/>
      <c r="BT42" s="1074"/>
      <c r="BU42" s="1074"/>
      <c r="BV42" s="1074"/>
      <c r="BW42" s="1074"/>
      <c r="BX42" s="1074"/>
      <c r="BY42" s="1074"/>
      <c r="BZ42" s="1074"/>
      <c r="CA42" s="1074"/>
      <c r="CB42" s="1075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</row>
    <row r="43" spans="1:163" s="70" customFormat="1" ht="11.25" hidden="1" x14ac:dyDescent="0.2">
      <c r="A43" s="347"/>
      <c r="B43" s="347"/>
      <c r="C43" s="1073"/>
      <c r="D43" s="1074"/>
      <c r="E43" s="1074"/>
      <c r="F43" s="1074"/>
      <c r="G43" s="1074"/>
      <c r="H43" s="1074"/>
      <c r="I43" s="1074"/>
      <c r="J43" s="1074"/>
      <c r="K43" s="1074"/>
      <c r="L43" s="1074"/>
      <c r="M43" s="1074"/>
      <c r="N43" s="1074"/>
      <c r="O43" s="1074"/>
      <c r="P43" s="1074"/>
      <c r="Q43" s="1074"/>
      <c r="R43" s="1074"/>
      <c r="S43" s="1074"/>
      <c r="T43" s="1074"/>
      <c r="U43" s="1074"/>
      <c r="V43" s="1075"/>
      <c r="W43" s="1073"/>
      <c r="X43" s="1074"/>
      <c r="Y43" s="1074"/>
      <c r="Z43" s="1074"/>
      <c r="AA43" s="1074"/>
      <c r="AB43" s="1074"/>
      <c r="AC43" s="1074"/>
      <c r="AD43" s="1074"/>
      <c r="AE43" s="1074"/>
      <c r="AF43" s="1074"/>
      <c r="AG43" s="1074"/>
      <c r="AH43" s="1074"/>
      <c r="AI43" s="1074"/>
      <c r="AJ43" s="1074"/>
      <c r="AK43" s="1074"/>
      <c r="AL43" s="1075"/>
      <c r="AM43" s="1073"/>
      <c r="AN43" s="1074"/>
      <c r="AO43" s="1074"/>
      <c r="AP43" s="1074"/>
      <c r="AQ43" s="1074"/>
      <c r="AR43" s="1074"/>
      <c r="AS43" s="1074"/>
      <c r="AT43" s="1074"/>
      <c r="AU43" s="1074"/>
      <c r="AV43" s="1074"/>
      <c r="AW43" s="1074"/>
      <c r="AX43" s="1074"/>
      <c r="AY43" s="1074"/>
      <c r="AZ43" s="1074"/>
      <c r="BA43" s="1074"/>
      <c r="BB43" s="1075"/>
      <c r="BC43" s="1073"/>
      <c r="BD43" s="1074"/>
      <c r="BE43" s="1074"/>
      <c r="BF43" s="1074"/>
      <c r="BG43" s="1074"/>
      <c r="BH43" s="1074"/>
      <c r="BI43" s="1074"/>
      <c r="BJ43" s="1074"/>
      <c r="BK43" s="1074"/>
      <c r="BL43" s="1074"/>
      <c r="BM43" s="1074"/>
      <c r="BN43" s="1074"/>
      <c r="BO43" s="1075"/>
      <c r="BP43" s="1073"/>
      <c r="BQ43" s="1074"/>
      <c r="BR43" s="1074"/>
      <c r="BS43" s="1074"/>
      <c r="BT43" s="1074"/>
      <c r="BU43" s="1074"/>
      <c r="BV43" s="1074"/>
      <c r="BW43" s="1074"/>
      <c r="BX43" s="1074"/>
      <c r="BY43" s="1074"/>
      <c r="BZ43" s="1074"/>
      <c r="CA43" s="1074"/>
      <c r="CB43" s="1075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</row>
    <row r="44" spans="1:163" s="70" customFormat="1" ht="11.25" hidden="1" x14ac:dyDescent="0.2">
      <c r="A44" s="347"/>
      <c r="B44" s="347"/>
      <c r="C44" s="1076"/>
      <c r="D44" s="1076"/>
      <c r="E44" s="1076"/>
      <c r="F44" s="1076"/>
      <c r="G44" s="1076"/>
      <c r="H44" s="1076"/>
      <c r="I44" s="1076"/>
      <c r="J44" s="1076"/>
      <c r="K44" s="1076"/>
      <c r="L44" s="1076"/>
      <c r="M44" s="1076"/>
      <c r="N44" s="1076"/>
      <c r="O44" s="1076"/>
      <c r="P44" s="1076"/>
      <c r="Q44" s="1076"/>
      <c r="R44" s="1076"/>
      <c r="S44" s="1076"/>
      <c r="T44" s="1076"/>
      <c r="U44" s="1076"/>
      <c r="V44" s="1076"/>
      <c r="W44" s="1076"/>
      <c r="X44" s="1076"/>
      <c r="Y44" s="1076"/>
      <c r="Z44" s="1076"/>
      <c r="AA44" s="1076"/>
      <c r="AB44" s="1076"/>
      <c r="AC44" s="1076"/>
      <c r="AD44" s="1076"/>
      <c r="AE44" s="1076"/>
      <c r="AF44" s="1076"/>
      <c r="AG44" s="1076"/>
      <c r="AH44" s="1076"/>
      <c r="AI44" s="1076"/>
      <c r="AJ44" s="1076"/>
      <c r="AK44" s="1076"/>
      <c r="AL44" s="1076"/>
      <c r="AM44" s="1076"/>
      <c r="AN44" s="1076"/>
      <c r="AO44" s="1076"/>
      <c r="AP44" s="1076"/>
      <c r="AQ44" s="1076"/>
      <c r="AR44" s="1076"/>
      <c r="AS44" s="1076"/>
      <c r="AT44" s="1076"/>
      <c r="AU44" s="1076"/>
      <c r="AV44" s="1076"/>
      <c r="AW44" s="1076"/>
      <c r="AX44" s="1076"/>
      <c r="AY44" s="1076"/>
      <c r="AZ44" s="1076"/>
      <c r="BA44" s="1076"/>
      <c r="BB44" s="1076"/>
      <c r="BC44" s="1076"/>
      <c r="BD44" s="1076"/>
      <c r="BE44" s="1076"/>
      <c r="BF44" s="1076"/>
      <c r="BG44" s="1076"/>
      <c r="BH44" s="1076"/>
      <c r="BI44" s="1076"/>
      <c r="BJ44" s="1076"/>
      <c r="BK44" s="1076"/>
      <c r="BL44" s="1076"/>
      <c r="BM44" s="1076"/>
      <c r="BN44" s="1076"/>
      <c r="BO44" s="1076"/>
      <c r="BP44" s="1076"/>
      <c r="BQ44" s="1076"/>
      <c r="BR44" s="1076"/>
      <c r="BS44" s="1076"/>
      <c r="BT44" s="1076"/>
      <c r="BU44" s="1076"/>
      <c r="BV44" s="1076"/>
      <c r="BW44" s="1076"/>
      <c r="BX44" s="1076"/>
      <c r="BY44" s="1076"/>
      <c r="BZ44" s="1076"/>
      <c r="CA44" s="1076"/>
      <c r="CB44" s="1076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</row>
    <row r="45" spans="1:163" s="70" customFormat="1" ht="15.75" customHeight="1" x14ac:dyDescent="0.2">
      <c r="A45" s="347"/>
      <c r="B45" s="347"/>
      <c r="C45" s="1083"/>
      <c r="D45" s="1083"/>
      <c r="E45" s="1083"/>
      <c r="F45" s="1083"/>
      <c r="G45" s="1083"/>
      <c r="H45" s="1083"/>
      <c r="I45" s="1083"/>
      <c r="J45" s="1083"/>
      <c r="K45" s="1083"/>
      <c r="L45" s="1083"/>
      <c r="M45" s="1083"/>
      <c r="N45" s="1083"/>
      <c r="O45" s="1083"/>
      <c r="P45" s="1083"/>
      <c r="Q45" s="1083"/>
      <c r="R45" s="1083"/>
      <c r="S45" s="1083"/>
      <c r="T45" s="1083"/>
      <c r="U45" s="1083"/>
      <c r="V45" s="1083"/>
      <c r="W45" s="1083"/>
      <c r="X45" s="1083"/>
      <c r="Y45" s="1083"/>
      <c r="Z45" s="1083"/>
      <c r="AA45" s="1083"/>
      <c r="AB45" s="1083"/>
      <c r="AC45" s="1083"/>
      <c r="AD45" s="1083"/>
      <c r="AE45" s="1083"/>
      <c r="AF45" s="1083"/>
      <c r="AG45" s="1083"/>
      <c r="AH45" s="1083"/>
      <c r="AI45" s="1083"/>
      <c r="AJ45" s="1083"/>
      <c r="AK45" s="1083"/>
      <c r="AL45" s="1083"/>
      <c r="AM45" s="1083"/>
      <c r="AN45" s="1083"/>
      <c r="AO45" s="1083"/>
      <c r="AP45" s="1083"/>
      <c r="AQ45" s="1083"/>
      <c r="AR45" s="1083"/>
      <c r="AS45" s="1083"/>
      <c r="AT45" s="1083"/>
      <c r="AU45" s="1083"/>
      <c r="AV45" s="1083"/>
      <c r="AW45" s="1083"/>
      <c r="AX45" s="1083"/>
      <c r="AY45" s="1083"/>
      <c r="AZ45" s="1083"/>
      <c r="BA45" s="1083"/>
      <c r="BB45" s="1083"/>
      <c r="BC45" s="1083"/>
      <c r="BD45" s="1083"/>
      <c r="BE45" s="1083"/>
      <c r="BF45" s="1083"/>
      <c r="BG45" s="1083"/>
      <c r="BH45" s="1083"/>
      <c r="BI45" s="1083"/>
      <c r="BJ45" s="1083"/>
      <c r="BK45" s="1083"/>
      <c r="BL45" s="1083"/>
      <c r="BM45" s="1083"/>
      <c r="BN45" s="1083"/>
      <c r="BO45" s="1083"/>
      <c r="BP45" s="1083"/>
      <c r="BQ45" s="1083"/>
      <c r="BR45" s="1083"/>
      <c r="BS45" s="1083"/>
      <c r="BT45" s="1083"/>
      <c r="BU45" s="1083"/>
      <c r="BV45" s="1083"/>
      <c r="BW45" s="1083"/>
      <c r="BX45" s="1083"/>
      <c r="BY45" s="1083"/>
      <c r="BZ45" s="1083"/>
      <c r="CA45" s="1083"/>
      <c r="CB45" s="1083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</row>
    <row r="46" spans="1:163" s="70" customFormat="1" ht="7.15" customHeight="1" x14ac:dyDescent="0.2">
      <c r="A46" s="347"/>
      <c r="B46" s="347"/>
      <c r="C46" s="1082"/>
      <c r="D46" s="1082"/>
      <c r="E46" s="1082"/>
      <c r="F46" s="1082"/>
      <c r="G46" s="1082"/>
      <c r="H46" s="1082"/>
      <c r="I46" s="1082"/>
      <c r="J46" s="1082"/>
      <c r="K46" s="1082"/>
      <c r="L46" s="1082"/>
      <c r="M46" s="1082"/>
      <c r="N46" s="1082"/>
      <c r="O46" s="1082"/>
      <c r="P46" s="1082"/>
      <c r="Q46" s="1082"/>
      <c r="R46" s="1082"/>
      <c r="S46" s="1082"/>
      <c r="T46" s="1082"/>
      <c r="U46" s="1082"/>
      <c r="V46" s="1082"/>
      <c r="W46" s="1082"/>
      <c r="X46" s="1082"/>
      <c r="Y46" s="1082"/>
      <c r="Z46" s="1082"/>
      <c r="AA46" s="1082"/>
      <c r="AB46" s="1082"/>
      <c r="AC46" s="1082"/>
      <c r="AD46" s="1082"/>
      <c r="AE46" s="1082"/>
      <c r="AF46" s="1082"/>
      <c r="AG46" s="1082"/>
      <c r="AH46" s="1082"/>
      <c r="AI46" s="1082"/>
      <c r="AJ46" s="1082"/>
      <c r="AK46" s="1082"/>
      <c r="AL46" s="1082"/>
      <c r="AM46" s="1082"/>
      <c r="AN46" s="1082"/>
      <c r="AO46" s="1082"/>
      <c r="AP46" s="1082"/>
      <c r="AQ46" s="1082"/>
      <c r="AR46" s="1082"/>
      <c r="AS46" s="1082"/>
      <c r="AT46" s="1082"/>
      <c r="AU46" s="1082"/>
      <c r="AV46" s="1082"/>
      <c r="AW46" s="1082"/>
      <c r="AX46" s="1082"/>
      <c r="AY46" s="1082"/>
      <c r="AZ46" s="1082"/>
      <c r="BA46" s="1082"/>
      <c r="BB46" s="1082"/>
      <c r="BC46" s="1082"/>
      <c r="BD46" s="1082"/>
      <c r="BE46" s="1082"/>
      <c r="BF46" s="1082"/>
      <c r="BG46" s="1082"/>
      <c r="BH46" s="1082"/>
      <c r="BI46" s="1082"/>
      <c r="BJ46" s="1082"/>
      <c r="BK46" s="1082"/>
      <c r="BL46" s="1082"/>
      <c r="BM46" s="1082"/>
      <c r="BN46" s="1082"/>
      <c r="BO46" s="1082"/>
      <c r="BP46" s="1082"/>
      <c r="BQ46" s="1082"/>
      <c r="BR46" s="1082"/>
      <c r="BS46" s="1082"/>
      <c r="BT46" s="1082"/>
      <c r="BU46" s="1082"/>
      <c r="BV46" s="1082"/>
      <c r="BW46" s="1082"/>
      <c r="BX46" s="1082"/>
      <c r="BY46" s="1082"/>
      <c r="BZ46" s="1082"/>
      <c r="CA46" s="1082"/>
      <c r="CB46" s="1082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</row>
    <row r="47" spans="1:163" s="70" customFormat="1" ht="14.45" customHeight="1" x14ac:dyDescent="0.2">
      <c r="A47" s="347"/>
      <c r="B47" s="347"/>
      <c r="C47" s="1082"/>
      <c r="D47" s="1082"/>
      <c r="E47" s="1082"/>
      <c r="F47" s="1082"/>
      <c r="G47" s="1082"/>
      <c r="H47" s="1082"/>
      <c r="I47" s="1082"/>
      <c r="J47" s="1082"/>
      <c r="K47" s="1082"/>
      <c r="L47" s="1082"/>
      <c r="M47" s="1082"/>
      <c r="N47" s="1082"/>
      <c r="O47" s="1082"/>
      <c r="P47" s="1082"/>
      <c r="Q47" s="1082"/>
      <c r="R47" s="1082"/>
      <c r="S47" s="1082"/>
      <c r="T47" s="1082"/>
      <c r="U47" s="1082"/>
      <c r="V47" s="1082"/>
      <c r="W47" s="1082"/>
      <c r="X47" s="1082"/>
      <c r="Y47" s="1082"/>
      <c r="Z47" s="1082"/>
      <c r="AA47" s="1082"/>
      <c r="AB47" s="1082"/>
      <c r="AC47" s="1082"/>
      <c r="AD47" s="1082"/>
      <c r="AE47" s="1082"/>
      <c r="AF47" s="1082"/>
      <c r="AG47" s="1082"/>
      <c r="AH47" s="1082"/>
      <c r="AI47" s="1082"/>
      <c r="AJ47" s="1082"/>
      <c r="AK47" s="1082"/>
      <c r="AL47" s="1082"/>
      <c r="AM47" s="1082"/>
      <c r="AN47" s="1082"/>
      <c r="AO47" s="1082"/>
      <c r="AP47" s="1082"/>
      <c r="AQ47" s="1082"/>
      <c r="AR47" s="1082"/>
      <c r="AS47" s="1082"/>
      <c r="AT47" s="1082"/>
      <c r="AU47" s="1082"/>
      <c r="AV47" s="1082"/>
      <c r="AW47" s="1082"/>
      <c r="AX47" s="1082"/>
      <c r="AY47" s="1082"/>
      <c r="AZ47" s="1082"/>
      <c r="BA47" s="1082"/>
      <c r="BB47" s="1082"/>
      <c r="BC47" s="1082"/>
      <c r="BD47" s="1082"/>
      <c r="BE47" s="1082"/>
      <c r="BF47" s="1082"/>
      <c r="BG47" s="1082"/>
      <c r="BH47" s="1082"/>
      <c r="BI47" s="1082"/>
      <c r="BJ47" s="1082"/>
      <c r="BK47" s="1082"/>
      <c r="BL47" s="1082"/>
      <c r="BM47" s="1082"/>
      <c r="BN47" s="1082"/>
      <c r="BO47" s="1082"/>
      <c r="BP47" s="1082"/>
      <c r="BQ47" s="1082"/>
      <c r="BR47" s="1082"/>
      <c r="BS47" s="1082"/>
      <c r="BT47" s="1082"/>
      <c r="BU47" s="1082"/>
      <c r="BV47" s="1082"/>
      <c r="BW47" s="1082"/>
      <c r="BX47" s="1082"/>
      <c r="BY47" s="1082"/>
      <c r="BZ47" s="1082"/>
      <c r="CA47" s="1082"/>
      <c r="CB47" s="1082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</row>
    <row r="48" spans="1:163" s="70" customFormat="1" ht="7.9" customHeight="1" x14ac:dyDescent="0.2">
      <c r="A48" s="347"/>
      <c r="B48" s="347"/>
      <c r="C48" s="1082"/>
      <c r="D48" s="1082"/>
      <c r="E48" s="1082"/>
      <c r="F48" s="1082"/>
      <c r="G48" s="1082"/>
      <c r="H48" s="1082"/>
      <c r="I48" s="1082"/>
      <c r="J48" s="1082"/>
      <c r="K48" s="1082"/>
      <c r="L48" s="1082"/>
      <c r="M48" s="1082"/>
      <c r="N48" s="1082"/>
      <c r="O48" s="1082"/>
      <c r="P48" s="1082"/>
      <c r="Q48" s="1082"/>
      <c r="R48" s="1082"/>
      <c r="S48" s="1082"/>
      <c r="T48" s="1082"/>
      <c r="U48" s="1082"/>
      <c r="V48" s="1082"/>
      <c r="W48" s="1082"/>
      <c r="X48" s="1082"/>
      <c r="Y48" s="1082"/>
      <c r="Z48" s="1082"/>
      <c r="AA48" s="1082"/>
      <c r="AB48" s="1082"/>
      <c r="AC48" s="1082"/>
      <c r="AD48" s="1082"/>
      <c r="AE48" s="1082"/>
      <c r="AF48" s="1082"/>
      <c r="AG48" s="1082"/>
      <c r="AH48" s="1082"/>
      <c r="AI48" s="1082"/>
      <c r="AJ48" s="1082"/>
      <c r="AK48" s="1082"/>
      <c r="AL48" s="1082"/>
      <c r="AM48" s="1082"/>
      <c r="AN48" s="1082"/>
      <c r="AO48" s="1082"/>
      <c r="AP48" s="1082"/>
      <c r="AQ48" s="1082"/>
      <c r="AR48" s="1082"/>
      <c r="AS48" s="1082"/>
      <c r="AT48" s="1082"/>
      <c r="AU48" s="1082"/>
      <c r="AV48" s="1082"/>
      <c r="AW48" s="1082"/>
      <c r="AX48" s="1082"/>
      <c r="AY48" s="1082"/>
      <c r="AZ48" s="1082"/>
      <c r="BA48" s="1082"/>
      <c r="BB48" s="1082"/>
      <c r="BC48" s="1082"/>
      <c r="BD48" s="1082"/>
      <c r="BE48" s="1082"/>
      <c r="BF48" s="1082"/>
      <c r="BG48" s="1082"/>
      <c r="BH48" s="1082"/>
      <c r="BI48" s="1082"/>
      <c r="BJ48" s="1082"/>
      <c r="BK48" s="1082"/>
      <c r="BL48" s="1082"/>
      <c r="BM48" s="1082"/>
      <c r="BN48" s="1082"/>
      <c r="BO48" s="1082"/>
      <c r="BP48" s="1082"/>
      <c r="BQ48" s="1082"/>
      <c r="BR48" s="1082"/>
      <c r="BS48" s="1082"/>
      <c r="BT48" s="1082"/>
      <c r="BU48" s="1082"/>
      <c r="BV48" s="1082"/>
      <c r="BW48" s="1082"/>
      <c r="BX48" s="1082"/>
      <c r="BY48" s="1082"/>
      <c r="BZ48" s="1082"/>
      <c r="CA48" s="1082"/>
      <c r="CB48" s="1082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</row>
    <row r="49" spans="1:163" s="73" customFormat="1" ht="15.75" customHeight="1" x14ac:dyDescent="0.2">
      <c r="A49" s="355" t="s">
        <v>39</v>
      </c>
      <c r="B49" s="355"/>
      <c r="C49" s="355" t="s">
        <v>319</v>
      </c>
      <c r="D49" s="355"/>
      <c r="E49" s="355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  <c r="AD49" s="355"/>
      <c r="AE49" s="355"/>
      <c r="AF49" s="355"/>
      <c r="AG49" s="355"/>
      <c r="AH49" s="355"/>
      <c r="AI49" s="355"/>
      <c r="AJ49" s="355"/>
      <c r="AK49" s="355"/>
      <c r="AL49" s="355"/>
      <c r="AM49" s="355"/>
      <c r="AN49" s="355"/>
      <c r="AO49" s="355"/>
      <c r="AP49" s="355"/>
      <c r="AQ49" s="355"/>
      <c r="AR49" s="355"/>
      <c r="AS49" s="355"/>
      <c r="AT49" s="355"/>
      <c r="AU49" s="355"/>
      <c r="AV49" s="355"/>
      <c r="AW49" s="355"/>
      <c r="AX49" s="355"/>
      <c r="AY49" s="355"/>
      <c r="AZ49" s="355"/>
      <c r="BA49" s="355"/>
      <c r="BB49" s="355"/>
      <c r="BC49" s="355"/>
      <c r="BD49" s="355"/>
      <c r="BE49" s="355"/>
      <c r="BF49" s="355"/>
      <c r="BG49" s="355"/>
      <c r="BH49" s="355"/>
      <c r="BI49" s="355"/>
      <c r="BJ49" s="355"/>
      <c r="BK49" s="355"/>
      <c r="BL49" s="355"/>
      <c r="BM49" s="355"/>
      <c r="BN49" s="355"/>
      <c r="BO49" s="355"/>
      <c r="BP49" s="355"/>
      <c r="BQ49" s="355"/>
      <c r="BR49" s="355"/>
      <c r="BS49" s="355"/>
      <c r="BT49" s="355"/>
      <c r="BU49" s="355"/>
      <c r="BV49" s="355"/>
      <c r="BW49" s="355"/>
      <c r="BX49" s="355"/>
      <c r="BY49" s="355"/>
      <c r="BZ49" s="355"/>
      <c r="CA49" s="355"/>
      <c r="CB49" s="355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</row>
    <row r="50" spans="1:163" s="70" customFormat="1" ht="15.75" customHeight="1" x14ac:dyDescent="0.2">
      <c r="A50" s="347"/>
      <c r="B50" s="347"/>
      <c r="C50" s="347" t="s">
        <v>755</v>
      </c>
      <c r="D50" s="347"/>
      <c r="E50" s="347"/>
      <c r="F50" s="347"/>
      <c r="G50" s="928" t="str">
        <f>IF(G29="","",G29)</f>
      </c>
      <c r="H50" s="928"/>
      <c r="I50" s="928"/>
      <c r="J50" s="928"/>
      <c r="K50" s="928"/>
      <c r="L50" s="928"/>
      <c r="M50" s="928"/>
      <c r="N50" s="928"/>
      <c r="O50" s="928"/>
      <c r="P50" s="1072" t="s">
        <v>757</v>
      </c>
      <c r="Q50" s="1072"/>
      <c r="R50" s="1072"/>
      <c r="S50" s="1072"/>
      <c r="T50" s="1072"/>
      <c r="U50" s="1072"/>
      <c r="V50" s="1072"/>
      <c r="W50" s="1072"/>
      <c r="X50" s="1072"/>
      <c r="Y50" s="1072"/>
      <c r="Z50" s="1072"/>
      <c r="AA50" s="1072"/>
      <c r="AB50" s="1072"/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/>
      <c r="AO50" s="347"/>
      <c r="AP50" s="347"/>
      <c r="AQ50" s="347"/>
      <c r="AR50" s="347"/>
      <c r="AS50" s="347"/>
      <c r="AT50" s="347"/>
      <c r="AU50" s="347"/>
      <c r="AV50" s="347"/>
      <c r="AW50" s="347"/>
      <c r="AX50" s="347"/>
      <c r="AY50" s="347"/>
      <c r="AZ50" s="347"/>
      <c r="BA50" s="347"/>
      <c r="BB50" s="347"/>
      <c r="BC50" s="347"/>
      <c r="BD50" s="347"/>
      <c r="BE50" s="347"/>
      <c r="BF50" s="347"/>
      <c r="BG50" s="347"/>
      <c r="BH50" s="347"/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  <c r="BS50" s="347"/>
      <c r="BT50" s="347"/>
      <c r="BU50" s="347"/>
      <c r="BV50" s="347"/>
      <c r="BW50" s="347"/>
      <c r="BX50" s="347"/>
      <c r="BY50" s="347"/>
      <c r="BZ50" s="347"/>
      <c r="CA50" s="347"/>
      <c r="CB50" s="347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</row>
    <row r="51" spans="1:163" s="70" customFormat="1" ht="15.75" customHeight="1" x14ac:dyDescent="0.25">
      <c r="A51" s="347" t="s">
        <v>55</v>
      </c>
      <c r="B51" s="347"/>
      <c r="C51" s="347" t="s">
        <v>320</v>
      </c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928" t="s">
        <v>646</v>
      </c>
      <c r="W51" s="928"/>
      <c r="X51" s="928"/>
      <c r="Y51" s="928"/>
      <c r="Z51" s="928"/>
      <c r="AA51" s="928"/>
      <c r="AB51" s="928"/>
      <c r="AC51" s="928"/>
      <c r="AD51" s="928"/>
      <c r="AE51" s="928"/>
      <c r="AF51" s="928"/>
      <c r="AG51" s="928"/>
      <c r="AH51" s="928"/>
      <c r="AI51" s="928"/>
      <c r="AJ51" s="928"/>
      <c r="AK51" s="928"/>
      <c r="AL51" s="928"/>
      <c r="AM51" s="928"/>
      <c r="AN51" s="928"/>
      <c r="AO51" s="347" t="s">
        <v>321</v>
      </c>
      <c r="AP51" s="347"/>
      <c r="AQ51" s="347"/>
      <c r="AR51" s="347"/>
      <c r="AS51" s="347"/>
      <c r="AT51" s="347"/>
      <c r="AU51" s="347"/>
      <c r="AV51" s="347"/>
      <c r="AW51" s="928" t="s">
        <v>1105</v>
      </c>
      <c r="AX51" s="928"/>
      <c r="AY51" s="928"/>
      <c r="AZ51" s="928"/>
      <c r="BA51" s="928"/>
      <c r="BB51" s="928"/>
      <c r="BC51" s="928"/>
      <c r="BD51" s="928"/>
      <c r="BE51" s="928"/>
      <c r="BF51" s="928"/>
      <c r="BG51" s="928"/>
      <c r="BH51" s="928"/>
      <c r="BI51" s="928"/>
      <c r="BJ51" s="928"/>
      <c r="BK51" s="928"/>
      <c r="BL51" s="928"/>
      <c r="BM51" s="928"/>
      <c r="BN51" s="928"/>
      <c r="BO51" s="928"/>
      <c r="BP51" s="928"/>
      <c r="BQ51" s="928"/>
      <c r="BR51" s="928"/>
      <c r="BS51" s="928"/>
      <c r="BT51" s="928"/>
      <c r="BU51" s="928"/>
      <c r="BV51" s="928"/>
      <c r="BW51" s="928"/>
      <c r="BX51" s="928"/>
      <c r="BY51" s="928"/>
      <c r="BZ51" s="928"/>
      <c r="CA51" s="928"/>
      <c r="CB51" s="928"/>
      <c r="CC51" s="11"/>
      <c r="CD51" s="11"/>
      <c r="CE51" s="11"/>
      <c r="CF51" s="11"/>
      <c r="CG51" s="11"/>
      <c r="CH51" s="11"/>
      <c r="CI51" s="11"/>
      <c r="CJ51" s="11"/>
      <c r="CK51" s="11"/>
      <c r="CL51" s="18" t="s">
        <v>759</v>
      </c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</row>
    <row r="52" spans="1:163" s="41" customFormat="1" ht="8.25" x14ac:dyDescent="0.15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50"/>
      <c r="AQ52" s="350"/>
      <c r="AR52" s="350"/>
      <c r="AS52" s="350"/>
      <c r="AT52" s="350"/>
      <c r="AU52" s="350"/>
      <c r="AV52" s="350"/>
      <c r="AW52" s="969" t="s">
        <v>257</v>
      </c>
      <c r="AX52" s="969"/>
      <c r="AY52" s="969"/>
      <c r="AZ52" s="969"/>
      <c r="BA52" s="969"/>
      <c r="BB52" s="969"/>
      <c r="BC52" s="969"/>
      <c r="BD52" s="969"/>
      <c r="BE52" s="969"/>
      <c r="BF52" s="969"/>
      <c r="BG52" s="969"/>
      <c r="BH52" s="969"/>
      <c r="BI52" s="969"/>
      <c r="BJ52" s="969"/>
      <c r="BK52" s="969"/>
      <c r="BL52" s="969"/>
      <c r="BM52" s="969"/>
      <c r="BN52" s="969"/>
      <c r="BO52" s="969"/>
      <c r="BP52" s="969"/>
      <c r="BQ52" s="969"/>
      <c r="BR52" s="969"/>
      <c r="BS52" s="969"/>
      <c r="BT52" s="969"/>
      <c r="BU52" s="969"/>
      <c r="BV52" s="969"/>
      <c r="BW52" s="969"/>
      <c r="BX52" s="969"/>
      <c r="BY52" s="969"/>
      <c r="BZ52" s="969"/>
      <c r="CA52" s="969"/>
      <c r="CB52" s="969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</row>
    <row r="53" spans="1:163" s="70" customFormat="1" ht="9" customHeight="1" x14ac:dyDescent="0.2">
      <c r="A53" s="347"/>
      <c r="B53" s="347"/>
      <c r="C53" s="1082"/>
      <c r="D53" s="1082"/>
      <c r="E53" s="1082"/>
      <c r="F53" s="1082"/>
      <c r="G53" s="1082"/>
      <c r="H53" s="1082"/>
      <c r="I53" s="1082"/>
      <c r="J53" s="1082"/>
      <c r="K53" s="1082"/>
      <c r="L53" s="1082"/>
      <c r="M53" s="1082"/>
      <c r="N53" s="1082"/>
      <c r="O53" s="1082"/>
      <c r="P53" s="1082"/>
      <c r="Q53" s="1082"/>
      <c r="R53" s="1082"/>
      <c r="S53" s="1082"/>
      <c r="T53" s="1082"/>
      <c r="U53" s="1082"/>
      <c r="V53" s="1082"/>
      <c r="W53" s="1082"/>
      <c r="X53" s="1082"/>
      <c r="Y53" s="1082"/>
      <c r="Z53" s="1082"/>
      <c r="AA53" s="1082"/>
      <c r="AB53" s="1082"/>
      <c r="AC53" s="1082"/>
      <c r="AD53" s="1082"/>
      <c r="AE53" s="1082"/>
      <c r="AF53" s="1082"/>
      <c r="AG53" s="1082"/>
      <c r="AH53" s="1082"/>
      <c r="AI53" s="1082"/>
      <c r="AJ53" s="1082"/>
      <c r="AK53" s="1082"/>
      <c r="AL53" s="1082"/>
      <c r="AM53" s="1082"/>
      <c r="AN53" s="1082"/>
      <c r="AO53" s="1082"/>
      <c r="AP53" s="1082"/>
      <c r="AQ53" s="1082"/>
      <c r="AR53" s="1082"/>
      <c r="AS53" s="1082"/>
      <c r="AT53" s="1082"/>
      <c r="AU53" s="1082"/>
      <c r="AV53" s="1082"/>
      <c r="AW53" s="1082"/>
      <c r="AX53" s="1082"/>
      <c r="AY53" s="1082"/>
      <c r="AZ53" s="1082"/>
      <c r="BA53" s="1082"/>
      <c r="BB53" s="1082"/>
      <c r="BC53" s="1082"/>
      <c r="BD53" s="1082"/>
      <c r="BE53" s="1082"/>
      <c r="BF53" s="1082"/>
      <c r="BG53" s="1082"/>
      <c r="BH53" s="1082"/>
      <c r="BI53" s="1082"/>
      <c r="BJ53" s="1082"/>
      <c r="BK53" s="1082"/>
      <c r="BL53" s="1082"/>
      <c r="BM53" s="1082"/>
      <c r="BN53" s="1082"/>
      <c r="BO53" s="1082"/>
      <c r="BP53" s="1082"/>
      <c r="BQ53" s="1082"/>
      <c r="BR53" s="1082"/>
      <c r="BS53" s="1082"/>
      <c r="BT53" s="1082"/>
      <c r="BU53" s="1082"/>
      <c r="BV53" s="1082"/>
      <c r="BW53" s="1082"/>
      <c r="BX53" s="1082"/>
      <c r="BY53" s="1082"/>
      <c r="BZ53" s="1082"/>
      <c r="CA53" s="1082"/>
      <c r="CB53" s="1082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</row>
    <row r="54" spans="1:163" s="70" customFormat="1" ht="17.25" customHeight="1" x14ac:dyDescent="0.2">
      <c r="A54" s="347"/>
      <c r="B54" s="347"/>
      <c r="C54" s="1082"/>
      <c r="D54" s="1082"/>
      <c r="E54" s="1082"/>
      <c r="F54" s="1082"/>
      <c r="G54" s="1082"/>
      <c r="H54" s="1082"/>
      <c r="I54" s="1082"/>
      <c r="J54" s="1082"/>
      <c r="K54" s="1082"/>
      <c r="L54" s="1082"/>
      <c r="M54" s="1082"/>
      <c r="N54" s="1082"/>
      <c r="O54" s="1082"/>
      <c r="P54" s="1082"/>
      <c r="Q54" s="1082"/>
      <c r="R54" s="1082"/>
      <c r="S54" s="1082"/>
      <c r="T54" s="1082"/>
      <c r="U54" s="1082"/>
      <c r="V54" s="1082"/>
      <c r="W54" s="1082"/>
      <c r="X54" s="1082"/>
      <c r="Y54" s="1082"/>
      <c r="Z54" s="1082"/>
      <c r="AA54" s="1082"/>
      <c r="AB54" s="1082"/>
      <c r="AC54" s="1082"/>
      <c r="AD54" s="1082"/>
      <c r="AE54" s="1082"/>
      <c r="AF54" s="1082"/>
      <c r="AG54" s="1082"/>
      <c r="AH54" s="1082"/>
      <c r="AI54" s="1082"/>
      <c r="AJ54" s="1082"/>
      <c r="AK54" s="1082"/>
      <c r="AL54" s="1082"/>
      <c r="AM54" s="1082"/>
      <c r="AN54" s="1082"/>
      <c r="AO54" s="1082"/>
      <c r="AP54" s="1082"/>
      <c r="AQ54" s="1082"/>
      <c r="AR54" s="1082"/>
      <c r="AS54" s="1082"/>
      <c r="AT54" s="1082"/>
      <c r="AU54" s="1082"/>
      <c r="AV54" s="1082"/>
      <c r="AW54" s="1082"/>
      <c r="AX54" s="1082"/>
      <c r="AY54" s="1082"/>
      <c r="AZ54" s="1082"/>
      <c r="BA54" s="1082"/>
      <c r="BB54" s="1082"/>
      <c r="BC54" s="1082"/>
      <c r="BD54" s="1082"/>
      <c r="BE54" s="1082"/>
      <c r="BF54" s="1082"/>
      <c r="BG54" s="1082"/>
      <c r="BH54" s="1082"/>
      <c r="BI54" s="1082"/>
      <c r="BJ54" s="1082"/>
      <c r="BK54" s="1082"/>
      <c r="BL54" s="1082"/>
      <c r="BM54" s="1082"/>
      <c r="BN54" s="1082"/>
      <c r="BO54" s="1082"/>
      <c r="BP54" s="1082"/>
      <c r="BQ54" s="1082"/>
      <c r="BR54" s="1082"/>
      <c r="BS54" s="1082"/>
      <c r="BT54" s="1082"/>
      <c r="BU54" s="1082"/>
      <c r="BV54" s="1082"/>
      <c r="BW54" s="1082"/>
      <c r="BX54" s="1082"/>
      <c r="BY54" s="1082"/>
      <c r="BZ54" s="1082"/>
      <c r="CA54" s="1082"/>
      <c r="CB54" s="1082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</row>
    <row r="55" spans="1:163" s="70" customFormat="1" ht="19.5" customHeight="1" x14ac:dyDescent="0.2">
      <c r="A55" s="11" t="s">
        <v>57</v>
      </c>
      <c r="B55" s="11"/>
      <c r="C55" s="11" t="s">
        <v>322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081" t="s">
        <v>645</v>
      </c>
      <c r="R55" s="1081"/>
      <c r="S55" s="1081"/>
      <c r="T55" s="1081"/>
      <c r="U55" s="1081"/>
      <c r="V55" s="1081"/>
      <c r="W55" s="1081"/>
      <c r="X55" s="1081"/>
      <c r="Y55" s="1081"/>
      <c r="Z55" s="1081"/>
      <c r="AA55" s="1081"/>
      <c r="AB55" s="1081"/>
      <c r="AC55" s="1081"/>
      <c r="AD55" s="1081"/>
      <c r="AE55" s="1081"/>
      <c r="AF55" s="1081"/>
      <c r="AG55" s="1081"/>
      <c r="AH55" s="1081"/>
      <c r="AI55" s="1081"/>
      <c r="AJ55" s="1081"/>
      <c r="AK55" s="1081"/>
      <c r="AL55" s="1081"/>
      <c r="AM55" s="1081"/>
      <c r="AN55" s="1081"/>
      <c r="AO55" s="11" t="s">
        <v>321</v>
      </c>
      <c r="AP55" s="11"/>
      <c r="AQ55" s="11"/>
      <c r="AR55" s="11"/>
      <c r="AS55" s="11"/>
      <c r="AT55" s="11"/>
      <c r="AU55" s="11"/>
      <c r="AV55" s="11"/>
      <c r="AW55" s="1081"/>
      <c r="AX55" s="1081"/>
      <c r="AY55" s="1081"/>
      <c r="AZ55" s="1081"/>
      <c r="BA55" s="1081"/>
      <c r="BB55" s="1081"/>
      <c r="BC55" s="1081"/>
      <c r="BD55" s="1081"/>
      <c r="BE55" s="1081"/>
      <c r="BF55" s="1081"/>
      <c r="BG55" s="1081"/>
      <c r="BH55" s="1081"/>
      <c r="BI55" s="1081"/>
      <c r="BJ55" s="1081"/>
      <c r="BK55" s="1081"/>
      <c r="BL55" s="1081"/>
      <c r="BM55" s="1081"/>
      <c r="BN55" s="1081"/>
      <c r="BO55" s="1081"/>
      <c r="BP55" s="1081"/>
      <c r="BQ55" s="1081"/>
      <c r="BR55" s="1081"/>
      <c r="BS55" s="1081"/>
      <c r="BT55" s="1081"/>
      <c r="BU55" s="1081"/>
      <c r="BV55" s="1081"/>
      <c r="BW55" s="1081"/>
      <c r="BX55" s="1081"/>
      <c r="BY55" s="1081"/>
      <c r="BZ55" s="1081"/>
      <c r="CA55" s="1081"/>
      <c r="CB55" s="108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</row>
    <row r="56" spans="1:163" s="41" customFormat="1" ht="8.25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858" t="s">
        <v>257</v>
      </c>
      <c r="AX56" s="858"/>
      <c r="AY56" s="858"/>
      <c r="AZ56" s="858"/>
      <c r="BA56" s="858"/>
      <c r="BB56" s="858"/>
      <c r="BC56" s="858"/>
      <c r="BD56" s="858"/>
      <c r="BE56" s="858"/>
      <c r="BF56" s="858"/>
      <c r="BG56" s="858"/>
      <c r="BH56" s="858"/>
      <c r="BI56" s="858"/>
      <c r="BJ56" s="858"/>
      <c r="BK56" s="858"/>
      <c r="BL56" s="858"/>
      <c r="BM56" s="858"/>
      <c r="BN56" s="858"/>
      <c r="BO56" s="858"/>
      <c r="BP56" s="858"/>
      <c r="BQ56" s="858"/>
      <c r="BR56" s="858"/>
      <c r="BS56" s="858"/>
      <c r="BT56" s="858"/>
      <c r="BU56" s="858"/>
      <c r="BV56" s="858"/>
      <c r="BW56" s="858"/>
      <c r="BX56" s="858"/>
      <c r="BY56" s="858"/>
      <c r="BZ56" s="858"/>
      <c r="CA56" s="858"/>
      <c r="CB56" s="858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</row>
    <row r="57" spans="1:163" s="70" customFormat="1" ht="9.6" customHeight="1" x14ac:dyDescent="0.2">
      <c r="A57" s="11"/>
      <c r="B57" s="11"/>
      <c r="C57" s="11" t="s">
        <v>323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</row>
    <row r="58" spans="1:163" s="70" customFormat="1" ht="11.45" customHeight="1" x14ac:dyDescent="0.2">
      <c r="A58" s="11"/>
      <c r="B58" s="11"/>
      <c r="C58" s="1080"/>
      <c r="D58" s="1080"/>
      <c r="E58" s="1080"/>
      <c r="F58" s="1080"/>
      <c r="G58" s="1080"/>
      <c r="H58" s="1080"/>
      <c r="I58" s="1080"/>
      <c r="J58" s="1080"/>
      <c r="K58" s="1080"/>
      <c r="L58" s="1080"/>
      <c r="M58" s="1080"/>
      <c r="N58" s="1080"/>
      <c r="O58" s="1080"/>
      <c r="P58" s="1080"/>
      <c r="Q58" s="1080"/>
      <c r="R58" s="1080"/>
      <c r="S58" s="1080"/>
      <c r="T58" s="1080"/>
      <c r="U58" s="1080"/>
      <c r="V58" s="1080"/>
      <c r="W58" s="1080"/>
      <c r="X58" s="1080"/>
      <c r="Y58" s="1080"/>
      <c r="Z58" s="1080"/>
      <c r="AA58" s="1080"/>
      <c r="AB58" s="1080"/>
      <c r="AC58" s="1080"/>
      <c r="AD58" s="1080"/>
      <c r="AE58" s="1080"/>
      <c r="AF58" s="1080"/>
      <c r="AG58" s="1080"/>
      <c r="AH58" s="1080"/>
      <c r="AI58" s="1080"/>
      <c r="AJ58" s="1080"/>
      <c r="AK58" s="1080"/>
      <c r="AL58" s="1080"/>
      <c r="AM58" s="1080"/>
      <c r="AN58" s="1080"/>
      <c r="AO58" s="1080"/>
      <c r="AP58" s="1080"/>
      <c r="AQ58" s="1080"/>
      <c r="AR58" s="1080"/>
      <c r="AS58" s="1080"/>
      <c r="AT58" s="1080"/>
      <c r="AU58" s="1080"/>
      <c r="AV58" s="1080"/>
      <c r="AW58" s="1080"/>
      <c r="AX58" s="1080"/>
      <c r="AY58" s="1080"/>
      <c r="AZ58" s="1080"/>
      <c r="BA58" s="1080"/>
      <c r="BB58" s="1080"/>
      <c r="BC58" s="1080"/>
      <c r="BD58" s="1080"/>
      <c r="BE58" s="1080"/>
      <c r="BF58" s="1080"/>
      <c r="BG58" s="1080"/>
      <c r="BH58" s="1080"/>
      <c r="BI58" s="1080"/>
      <c r="BJ58" s="1080"/>
      <c r="BK58" s="1080"/>
      <c r="BL58" s="1080"/>
      <c r="BM58" s="1080"/>
      <c r="BN58" s="1080"/>
      <c r="BO58" s="1080"/>
      <c r="BP58" s="1080"/>
      <c r="BQ58" s="1080"/>
      <c r="BR58" s="1080"/>
      <c r="BS58" s="1080"/>
      <c r="BT58" s="1080"/>
      <c r="BU58" s="1080"/>
      <c r="BV58" s="1080"/>
      <c r="BW58" s="1080"/>
      <c r="BX58" s="1080"/>
      <c r="BY58" s="1080"/>
      <c r="BZ58" s="1080"/>
      <c r="CA58" s="1080"/>
      <c r="CB58" s="1080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</row>
    <row r="59" spans="1:163" s="70" customFormat="1" ht="12" customHeight="1" x14ac:dyDescent="0.2">
      <c r="A59" s="11"/>
      <c r="B59" s="11"/>
      <c r="C59" s="1080"/>
      <c r="D59" s="1080"/>
      <c r="E59" s="1080"/>
      <c r="F59" s="1080"/>
      <c r="G59" s="1080"/>
      <c r="H59" s="1080"/>
      <c r="I59" s="1080"/>
      <c r="J59" s="1080"/>
      <c r="K59" s="1080"/>
      <c r="L59" s="1080"/>
      <c r="M59" s="1080"/>
      <c r="N59" s="1080"/>
      <c r="O59" s="1080"/>
      <c r="P59" s="1080"/>
      <c r="Q59" s="1080"/>
      <c r="R59" s="1080"/>
      <c r="S59" s="1080"/>
      <c r="T59" s="1080"/>
      <c r="U59" s="1080"/>
      <c r="V59" s="1080"/>
      <c r="W59" s="1080"/>
      <c r="X59" s="1080"/>
      <c r="Y59" s="1080"/>
      <c r="Z59" s="1080"/>
      <c r="AA59" s="1080"/>
      <c r="AB59" s="1080"/>
      <c r="AC59" s="1080"/>
      <c r="AD59" s="1080"/>
      <c r="AE59" s="1080"/>
      <c r="AF59" s="1080"/>
      <c r="AG59" s="1080"/>
      <c r="AH59" s="1080"/>
      <c r="AI59" s="1080"/>
      <c r="AJ59" s="1080"/>
      <c r="AK59" s="1080"/>
      <c r="AL59" s="1080"/>
      <c r="AM59" s="1080"/>
      <c r="AN59" s="1080"/>
      <c r="AO59" s="1080"/>
      <c r="AP59" s="1080"/>
      <c r="AQ59" s="1080"/>
      <c r="AR59" s="1080"/>
      <c r="AS59" s="1080"/>
      <c r="AT59" s="1080"/>
      <c r="AU59" s="1080"/>
      <c r="AV59" s="1080"/>
      <c r="AW59" s="1080"/>
      <c r="AX59" s="1080"/>
      <c r="AY59" s="1080"/>
      <c r="AZ59" s="1080"/>
      <c r="BA59" s="1080"/>
      <c r="BB59" s="1080"/>
      <c r="BC59" s="1080"/>
      <c r="BD59" s="1080"/>
      <c r="BE59" s="1080"/>
      <c r="BF59" s="1080"/>
      <c r="BG59" s="1080"/>
      <c r="BH59" s="1080"/>
      <c r="BI59" s="1080"/>
      <c r="BJ59" s="1080"/>
      <c r="BK59" s="1080"/>
      <c r="BL59" s="1080"/>
      <c r="BM59" s="1080"/>
      <c r="BN59" s="1080"/>
      <c r="BO59" s="1080"/>
      <c r="BP59" s="1080"/>
      <c r="BQ59" s="1080"/>
      <c r="BR59" s="1080"/>
      <c r="BS59" s="1080"/>
      <c r="BT59" s="1080"/>
      <c r="BU59" s="1080"/>
      <c r="BV59" s="1080"/>
      <c r="BW59" s="1080"/>
      <c r="BX59" s="1080"/>
      <c r="BY59" s="1080"/>
      <c r="BZ59" s="1080"/>
      <c r="CA59" s="1080"/>
      <c r="CB59" s="1080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</row>
    <row r="60" spans="1:163" s="73" customFormat="1" ht="15" customHeight="1" x14ac:dyDescent="0.2">
      <c r="A60" s="57" t="s">
        <v>41</v>
      </c>
      <c r="B60" s="57"/>
      <c r="C60" s="57" t="s">
        <v>324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</row>
    <row r="61" spans="1:163" s="70" customFormat="1" ht="15" customHeight="1" x14ac:dyDescent="0.2">
      <c r="A61" s="11"/>
      <c r="B61" s="11"/>
      <c r="C61" s="862" t="s">
        <v>758</v>
      </c>
      <c r="D61" s="862"/>
      <c r="E61" s="862"/>
      <c r="F61" s="862"/>
      <c r="G61" s="862"/>
      <c r="H61" s="862"/>
      <c r="I61" s="862"/>
      <c r="J61" s="862"/>
      <c r="K61" s="862"/>
      <c r="L61" s="862"/>
      <c r="M61" s="862"/>
      <c r="N61" s="862"/>
      <c r="O61" s="862"/>
      <c r="P61" s="862"/>
      <c r="Q61" s="862"/>
      <c r="R61" s="862"/>
      <c r="S61" s="862"/>
      <c r="T61" s="862"/>
      <c r="U61" s="862"/>
      <c r="V61" s="862"/>
      <c r="W61" s="862"/>
      <c r="X61" s="862"/>
      <c r="Y61" s="862"/>
      <c r="Z61" s="862"/>
      <c r="AA61" s="862"/>
      <c r="AB61" s="862"/>
      <c r="AD61" s="841" t="str">
        <f>IF(G29="","",G29)</f>
      </c>
      <c r="AE61" s="841"/>
      <c r="AF61" s="841"/>
      <c r="AG61" s="841"/>
      <c r="AH61" s="841"/>
      <c r="AI61" s="841"/>
      <c r="AJ61" s="841"/>
      <c r="AK61" s="841"/>
      <c r="AL61" s="841"/>
      <c r="AM61" s="841"/>
      <c r="AO61" s="11" t="s">
        <v>327</v>
      </c>
      <c r="AV61" s="11"/>
      <c r="AW61" s="11"/>
      <c r="AX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</row>
    <row r="62" spans="1:163" s="70" customFormat="1" ht="13.9" customHeight="1" x14ac:dyDescent="0.2">
      <c r="A62" s="11"/>
      <c r="B62" s="11"/>
      <c r="C62" s="11" t="s">
        <v>1290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</row>
    <row r="63" spans="1:163" s="70" customFormat="1" ht="1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</row>
    <row r="64" spans="1:163" s="70" customFormat="1" ht="10.9" customHeight="1" x14ac:dyDescent="0.2">
      <c r="A64" s="11"/>
      <c r="B64" s="11"/>
      <c r="C64" s="1080" t="s">
        <v>325</v>
      </c>
      <c r="D64" s="1080"/>
      <c r="E64" s="1080"/>
      <c r="F64" s="1080"/>
      <c r="G64" s="1080"/>
      <c r="H64" s="1080"/>
      <c r="I64" s="1080"/>
      <c r="J64" s="1080"/>
      <c r="K64" s="1080"/>
      <c r="L64" s="1080"/>
      <c r="M64" s="1080"/>
      <c r="N64" s="1080"/>
      <c r="O64" s="1080"/>
      <c r="P64" s="1080"/>
      <c r="Q64" s="1080"/>
      <c r="R64" s="1080"/>
      <c r="S64" s="1080"/>
      <c r="T64" s="1080"/>
      <c r="U64" s="1080"/>
      <c r="V64" s="1080"/>
      <c r="W64" s="1080"/>
      <c r="X64" s="1080"/>
      <c r="Y64" s="1080"/>
      <c r="Z64" s="1080"/>
      <c r="AA64" s="1080"/>
      <c r="AB64" s="1080"/>
      <c r="AC64" s="1080"/>
      <c r="AD64" s="1080"/>
      <c r="AE64" s="1080"/>
      <c r="AF64" s="1080"/>
      <c r="AG64" s="1080"/>
      <c r="AH64" s="1080"/>
      <c r="AI64" s="1080"/>
      <c r="AJ64" s="1080"/>
      <c r="AK64" s="1080"/>
      <c r="AL64" s="1080"/>
      <c r="AM64" s="1080"/>
      <c r="AN64" s="1080"/>
      <c r="AO64" s="1080"/>
      <c r="AP64" s="1080"/>
      <c r="AQ64" s="1080"/>
      <c r="AR64" s="1080"/>
      <c r="AS64" s="1080"/>
      <c r="AT64" s="1080"/>
      <c r="AU64" s="1080"/>
      <c r="AV64" s="1080"/>
      <c r="AW64" s="1080"/>
      <c r="AX64" s="1080"/>
      <c r="AY64" s="1080"/>
      <c r="AZ64" s="1080"/>
      <c r="BA64" s="1080"/>
      <c r="BB64" s="1080"/>
      <c r="BC64" s="1080"/>
      <c r="BD64" s="1080"/>
      <c r="BE64" s="1080"/>
      <c r="BF64" s="1080"/>
      <c r="BG64" s="1080"/>
      <c r="BH64" s="1080"/>
      <c r="BI64" s="1080"/>
      <c r="BJ64" s="1080"/>
      <c r="BK64" s="1080"/>
      <c r="BL64" s="1080"/>
      <c r="BM64" s="1080"/>
      <c r="BN64" s="1080"/>
      <c r="BO64" s="1080"/>
      <c r="BP64" s="1080"/>
      <c r="BQ64" s="1080"/>
      <c r="BR64" s="1080"/>
      <c r="BS64" s="1080"/>
      <c r="BT64" s="1080"/>
      <c r="BU64" s="1080"/>
      <c r="BV64" s="1080"/>
      <c r="BW64" s="1080"/>
      <c r="BX64" s="1080"/>
      <c r="BY64" s="1080"/>
      <c r="BZ64" s="1080"/>
      <c r="CA64" s="1080"/>
      <c r="CB64" s="1080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</row>
    <row r="65" spans="1:163" s="70" customFormat="1" ht="15" customHeight="1" x14ac:dyDescent="0.2">
      <c r="A65" s="11"/>
      <c r="B65" s="11"/>
      <c r="C65" s="1080"/>
      <c r="D65" s="1080"/>
      <c r="E65" s="1080"/>
      <c r="F65" s="1080"/>
      <c r="G65" s="1080"/>
      <c r="H65" s="1080"/>
      <c r="I65" s="1080"/>
      <c r="J65" s="1080"/>
      <c r="K65" s="1080"/>
      <c r="L65" s="1080"/>
      <c r="M65" s="1080"/>
      <c r="N65" s="1080"/>
      <c r="O65" s="1080"/>
      <c r="P65" s="1080"/>
      <c r="Q65" s="1080"/>
      <c r="R65" s="1080"/>
      <c r="S65" s="1080"/>
      <c r="T65" s="1080"/>
      <c r="U65" s="1080"/>
      <c r="V65" s="1080"/>
      <c r="W65" s="1080"/>
      <c r="X65" s="1080"/>
      <c r="Y65" s="1080"/>
      <c r="Z65" s="1080"/>
      <c r="AA65" s="1080"/>
      <c r="AB65" s="1080"/>
      <c r="AC65" s="1080"/>
      <c r="AD65" s="1080"/>
      <c r="AE65" s="1080"/>
      <c r="AF65" s="1080"/>
      <c r="AG65" s="1080"/>
      <c r="AH65" s="1080"/>
      <c r="AI65" s="1080"/>
      <c r="AJ65" s="1080"/>
      <c r="AK65" s="1080"/>
      <c r="AL65" s="1080"/>
      <c r="AM65" s="1080"/>
      <c r="AN65" s="1080"/>
      <c r="AO65" s="1080"/>
      <c r="AP65" s="1080"/>
      <c r="AQ65" s="1080"/>
      <c r="AR65" s="1080"/>
      <c r="AS65" s="1080"/>
      <c r="AT65" s="1080"/>
      <c r="AU65" s="1080"/>
      <c r="AV65" s="1080"/>
      <c r="AW65" s="1080"/>
      <c r="AX65" s="1080"/>
      <c r="AY65" s="1080"/>
      <c r="AZ65" s="1080"/>
      <c r="BA65" s="1080"/>
      <c r="BB65" s="1080"/>
      <c r="BC65" s="1080"/>
      <c r="BD65" s="1080"/>
      <c r="BE65" s="1080"/>
      <c r="BF65" s="1080"/>
      <c r="BG65" s="1080"/>
      <c r="BH65" s="1080"/>
      <c r="BI65" s="1080"/>
      <c r="BJ65" s="1080"/>
      <c r="BK65" s="1080"/>
      <c r="BL65" s="1080"/>
      <c r="BM65" s="1080"/>
      <c r="BN65" s="1080"/>
      <c r="BO65" s="1080"/>
      <c r="BP65" s="1080"/>
      <c r="BQ65" s="1080"/>
      <c r="BR65" s="1080"/>
      <c r="BS65" s="1080"/>
      <c r="BT65" s="1080"/>
      <c r="BU65" s="1080"/>
      <c r="BV65" s="1080"/>
      <c r="BW65" s="1080"/>
      <c r="BX65" s="1080"/>
      <c r="BY65" s="1080"/>
      <c r="BZ65" s="1080"/>
      <c r="CA65" s="1080"/>
      <c r="CB65" s="1080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</row>
    <row r="66" spans="1:163" s="73" customFormat="1" ht="15" customHeight="1" x14ac:dyDescent="0.2">
      <c r="A66" s="57" t="s">
        <v>326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</row>
    <row r="67" spans="1:163" ht="15" customHeight="1" x14ac:dyDescent="0.25">
      <c r="C67" s="1077" t="s">
        <v>101</v>
      </c>
      <c r="D67" s="1077"/>
      <c r="E67" s="1077"/>
      <c r="F67" s="1077"/>
      <c r="G67" s="1077"/>
      <c r="H67" s="1077"/>
      <c r="I67" s="1077"/>
      <c r="J67" s="1077"/>
      <c r="K67" s="1077"/>
      <c r="L67" s="1077"/>
      <c r="M67" s="1077"/>
      <c r="N67" s="1077"/>
      <c r="O67" s="1077"/>
      <c r="P67" s="1077"/>
      <c r="Q67" s="1077"/>
      <c r="R67" s="1077"/>
      <c r="S67" s="1077"/>
      <c r="T67" s="1077"/>
      <c r="U67" s="1077"/>
      <c r="V67" s="1077"/>
      <c r="W67" s="1077"/>
      <c r="X67" s="1077"/>
      <c r="Y67" s="1077"/>
      <c r="Z67" s="1077"/>
      <c r="AA67" s="1077"/>
      <c r="AB67" s="1077"/>
      <c r="AC67" s="1077"/>
      <c r="AD67" s="1077"/>
      <c r="AE67" s="1077"/>
      <c r="AF67" s="1077"/>
      <c r="AG67" s="1077"/>
      <c r="AH67" s="1077"/>
      <c r="AI67" s="1077"/>
      <c r="AJ67" s="1077"/>
      <c r="AK67" s="1077"/>
      <c r="AL67" s="1077"/>
      <c r="AM67" s="1077"/>
      <c r="AN67" s="1077"/>
      <c r="AO67" s="1077"/>
      <c r="AP67" s="1077"/>
      <c r="AQ67" s="1077"/>
      <c r="AR67" s="1077"/>
      <c r="AS67" s="1077"/>
      <c r="AT67" s="1077"/>
      <c r="AU67" s="1077"/>
      <c r="AV67" s="1077"/>
      <c r="AW67" s="1077"/>
      <c r="AX67" s="1077"/>
      <c r="AY67" s="1077"/>
      <c r="AZ67" s="1077"/>
      <c r="BA67" s="1077"/>
      <c r="BB67" s="1077"/>
      <c r="BC67" s="1077"/>
      <c r="BD67" s="1077"/>
      <c r="BE67" s="1077"/>
      <c r="BF67" s="1077"/>
      <c r="BG67" s="1077"/>
      <c r="BH67" s="1077"/>
      <c r="BI67" s="1077"/>
      <c r="BJ67" s="1077"/>
      <c r="BK67" s="1077"/>
      <c r="BL67" s="1077"/>
      <c r="BM67" s="1077"/>
      <c r="BN67" s="1077"/>
      <c r="BO67" s="1077"/>
      <c r="BP67" s="1077"/>
      <c r="BQ67" s="1077"/>
      <c r="BR67" s="1077"/>
      <c r="BS67" s="1077"/>
      <c r="BT67" s="1077"/>
      <c r="BU67" s="1077"/>
      <c r="BV67" s="1077"/>
      <c r="BW67" s="1077"/>
      <c r="BX67" s="1077"/>
      <c r="BY67" s="1077"/>
      <c r="BZ67" s="1077"/>
      <c r="CA67" s="1077"/>
      <c r="CB67" s="1077"/>
    </row>
    <row r="68" spans="1:163" x14ac:dyDescent="0.25">
      <c r="C68" s="1078" t="s">
        <v>101</v>
      </c>
      <c r="D68" s="1078"/>
      <c r="E68" s="1078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8"/>
      <c r="Z68" s="1078"/>
      <c r="AA68" s="1078"/>
      <c r="AB68" s="1078"/>
      <c r="AC68" s="1078"/>
      <c r="AD68" s="1078"/>
      <c r="AE68" s="1078"/>
      <c r="AF68" s="1078"/>
      <c r="AG68" s="1078"/>
      <c r="AH68" s="1078"/>
      <c r="AI68" s="1078"/>
      <c r="AJ68" s="1078"/>
      <c r="AK68" s="1078"/>
      <c r="AL68" s="1078"/>
      <c r="AM68" s="1078"/>
      <c r="AN68" s="1078"/>
      <c r="AO68" s="1078"/>
      <c r="AP68" s="1078"/>
      <c r="AQ68" s="1078"/>
      <c r="AR68" s="1078"/>
      <c r="AS68" s="1078"/>
      <c r="AT68" s="1078"/>
      <c r="AU68" s="1078"/>
      <c r="AV68" s="1078"/>
      <c r="AW68" s="1078"/>
      <c r="AX68" s="1078"/>
      <c r="AY68" s="1078"/>
      <c r="AZ68" s="1078"/>
      <c r="BA68" s="1078"/>
      <c r="BB68" s="1078"/>
      <c r="BC68" s="1078"/>
      <c r="BD68" s="1078"/>
      <c r="BE68" s="1078"/>
      <c r="BF68" s="1078"/>
      <c r="BG68" s="1078"/>
      <c r="BH68" s="1078"/>
      <c r="BI68" s="1078"/>
      <c r="BJ68" s="1078"/>
      <c r="BK68" s="1078"/>
      <c r="BL68" s="1078"/>
      <c r="BM68" s="1078"/>
      <c r="BN68" s="1078"/>
      <c r="BO68" s="1078"/>
      <c r="BP68" s="1078"/>
      <c r="BQ68" s="1078"/>
      <c r="BR68" s="1078"/>
      <c r="BS68" s="1078"/>
      <c r="BT68" s="1078"/>
      <c r="BU68" s="1078"/>
      <c r="BV68" s="1078"/>
      <c r="BW68" s="1078"/>
      <c r="BX68" s="1078"/>
      <c r="BY68" s="1078"/>
      <c r="BZ68" s="1078"/>
      <c r="CA68" s="1078"/>
      <c r="CB68" s="1078"/>
    </row>
    <row r="69" spans="1:163" ht="9" customHeight="1" x14ac:dyDescent="0.25"/>
    <row r="70" spans="1:163" s="2" customFormat="1" ht="15" customHeight="1" x14ac:dyDescent="0.2">
      <c r="C70" s="11" t="s">
        <v>107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163" s="2" customFormat="1" ht="15" customHeight="1" x14ac:dyDescent="0.2">
      <c r="D71" s="11"/>
      <c r="E71" s="11"/>
      <c r="F71" s="957" t="str">
        <f>IF('Данные объект'!C27="","",'Данные объект'!C27)</f>
      </c>
      <c r="G71" s="957"/>
      <c r="H71" s="957"/>
      <c r="I71" s="957"/>
      <c r="J71" s="957"/>
      <c r="K71" s="957"/>
      <c r="L71" s="957"/>
      <c r="M71" s="957"/>
      <c r="N71" s="957"/>
      <c r="O71" s="957"/>
      <c r="P71" s="957"/>
      <c r="Q71" s="957"/>
      <c r="R71" s="957"/>
      <c r="S71" s="957"/>
      <c r="T71" s="957"/>
      <c r="U71" s="957"/>
      <c r="V71" s="957"/>
      <c r="W71" s="957"/>
      <c r="X71" s="957"/>
      <c r="Y71" s="957"/>
      <c r="Z71" s="957"/>
      <c r="AA71" s="957"/>
      <c r="AB71" s="957"/>
      <c r="AC71" s="957"/>
      <c r="AD71" s="957"/>
      <c r="AE71" s="957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163" s="2" customFormat="1" ht="15" customHeight="1" x14ac:dyDescent="0.2">
      <c r="D72" s="11"/>
      <c r="E72" s="11"/>
      <c r="F72" s="841"/>
      <c r="G72" s="841"/>
      <c r="H72" s="841"/>
      <c r="I72" s="841"/>
      <c r="J72" s="841"/>
      <c r="K72" s="841"/>
      <c r="L72" s="841"/>
      <c r="M72" s="841"/>
      <c r="N72" s="841"/>
      <c r="O72" s="841"/>
      <c r="P72" s="841"/>
      <c r="Q72" s="841"/>
      <c r="R72" s="841"/>
      <c r="S72" s="841"/>
      <c r="T72" s="841"/>
      <c r="U72" s="841"/>
      <c r="V72" s="841"/>
      <c r="W72" s="841"/>
      <c r="X72" s="841"/>
      <c r="Y72" s="841"/>
      <c r="Z72" s="841"/>
      <c r="AA72" s="841"/>
      <c r="AB72" s="841"/>
      <c r="AC72" s="841"/>
      <c r="AD72" s="841"/>
      <c r="AE72" s="841"/>
      <c r="AF72" s="11"/>
      <c r="AG72" s="11"/>
      <c r="AH72" s="11"/>
      <c r="AI72" s="11"/>
      <c r="AJ72" s="991"/>
      <c r="AK72" s="991"/>
      <c r="AL72" s="991"/>
      <c r="AM72" s="991"/>
      <c r="AN72" s="991"/>
      <c r="AO72" s="991"/>
      <c r="AP72" s="991"/>
      <c r="AQ72" s="991"/>
      <c r="AR72" s="991"/>
      <c r="AS72" s="991"/>
      <c r="AT72" s="991"/>
      <c r="AU72" s="991"/>
      <c r="AV72" s="991"/>
      <c r="AW72" s="991"/>
      <c r="AX72" s="991"/>
      <c r="AY72" s="991"/>
      <c r="AZ72" s="991"/>
      <c r="BA72" s="991"/>
      <c r="BB72" s="991"/>
      <c r="BC72" s="991"/>
      <c r="BD72" s="991"/>
      <c r="BE72" s="991"/>
      <c r="BF72" s="991"/>
      <c r="BG72" s="991"/>
      <c r="BH72" s="991"/>
      <c r="BI72" s="11"/>
      <c r="BJ72" s="1079" t="str">
        <f>IF('Данные объект'!B28="","",'Данные объект'!B28)</f>
      </c>
      <c r="BK72" s="1079"/>
      <c r="BL72" s="1079"/>
      <c r="BM72" s="1079"/>
      <c r="BN72" s="1079"/>
      <c r="BO72" s="1079"/>
      <c r="BP72" s="1079"/>
      <c r="BQ72" s="1079"/>
      <c r="BR72" s="1079"/>
      <c r="BS72" s="1079"/>
      <c r="BT72" s="1079"/>
      <c r="BU72" s="1079"/>
      <c r="BV72" s="1079"/>
      <c r="BW72" s="1079"/>
      <c r="BX72" s="1079"/>
      <c r="BY72" s="1079"/>
      <c r="BZ72" s="1079"/>
      <c r="CA72" s="1079"/>
      <c r="CB72" s="1079"/>
    </row>
    <row r="73" spans="1:163" s="5" customFormat="1" ht="8.25" x14ac:dyDescent="0.15">
      <c r="AJ73" s="986" t="s">
        <v>2</v>
      </c>
      <c r="AK73" s="986"/>
      <c r="AL73" s="986"/>
      <c r="AM73" s="986"/>
      <c r="AN73" s="986"/>
      <c r="AO73" s="986"/>
      <c r="AP73" s="986"/>
      <c r="AQ73" s="986"/>
      <c r="AR73" s="986"/>
      <c r="AS73" s="986"/>
      <c r="AT73" s="986"/>
      <c r="AU73" s="986"/>
      <c r="AV73" s="986"/>
      <c r="AW73" s="986"/>
      <c r="AX73" s="986"/>
      <c r="AY73" s="986"/>
      <c r="AZ73" s="986"/>
      <c r="BA73" s="986"/>
      <c r="BB73" s="986"/>
      <c r="BC73" s="986"/>
      <c r="BD73" s="986"/>
      <c r="BE73" s="986"/>
      <c r="BF73" s="986"/>
      <c r="BG73" s="986"/>
      <c r="BH73" s="986"/>
      <c r="BJ73" s="986" t="s">
        <v>72</v>
      </c>
      <c r="BK73" s="986"/>
      <c r="BL73" s="986"/>
      <c r="BM73" s="986"/>
      <c r="BN73" s="986"/>
      <c r="BO73" s="986"/>
      <c r="BP73" s="986"/>
      <c r="BQ73" s="986"/>
      <c r="BR73" s="986"/>
      <c r="BS73" s="986"/>
      <c r="BT73" s="986"/>
      <c r="BU73" s="986"/>
      <c r="BV73" s="986"/>
      <c r="BW73" s="986"/>
      <c r="BX73" s="986"/>
      <c r="BY73" s="986"/>
      <c r="BZ73" s="986"/>
      <c r="CA73" s="986"/>
      <c r="CB73" s="986"/>
    </row>
  </sheetData>
  <mergeCells count="114">
    <mergeCell ref="A14:CB14"/>
    <mergeCell ref="AW24:BL24"/>
    <mergeCell ref="BM24:CB24"/>
    <mergeCell ref="AW25:BL25"/>
    <mergeCell ref="BM25:CB25"/>
    <mergeCell ref="AR11:BZ11"/>
    <mergeCell ref="AR1:BZ2"/>
    <mergeCell ref="AR3:BZ3"/>
    <mergeCell ref="A4:AI4"/>
    <mergeCell ref="AR4:BZ4"/>
    <mergeCell ref="A5:AI5"/>
    <mergeCell ref="AR5:BZ5"/>
    <mergeCell ref="AR6:BZ9"/>
    <mergeCell ref="BM17:CB20"/>
    <mergeCell ref="AW17:BL20"/>
    <mergeCell ref="AG17:AV20"/>
    <mergeCell ref="Q17:AF20"/>
    <mergeCell ref="A17:P20"/>
    <mergeCell ref="A2:AI2"/>
    <mergeCell ref="A3:AI3"/>
    <mergeCell ref="A10:AI10"/>
    <mergeCell ref="A11:AI11"/>
    <mergeCell ref="A13:CB13"/>
    <mergeCell ref="AG24:AV24"/>
    <mergeCell ref="AG25:AV25"/>
    <mergeCell ref="Q21:AF21"/>
    <mergeCell ref="Q22:AF22"/>
    <mergeCell ref="Q23:AF23"/>
    <mergeCell ref="Q24:AF24"/>
    <mergeCell ref="Q25:AF25"/>
    <mergeCell ref="A21:P21"/>
    <mergeCell ref="A22:P22"/>
    <mergeCell ref="A23:P23"/>
    <mergeCell ref="A24:P24"/>
    <mergeCell ref="A25:P25"/>
    <mergeCell ref="AW21:BL21"/>
    <mergeCell ref="BM21:CB21"/>
    <mergeCell ref="AW22:BL22"/>
    <mergeCell ref="BM22:CB22"/>
    <mergeCell ref="AW23:BL23"/>
    <mergeCell ref="BM23:CB23"/>
    <mergeCell ref="AG21:AV21"/>
    <mergeCell ref="AG22:AV22"/>
    <mergeCell ref="AG23:AV23"/>
    <mergeCell ref="C33:CB34"/>
    <mergeCell ref="BC36:CB36"/>
    <mergeCell ref="C36:V38"/>
    <mergeCell ref="BP37:CB38"/>
    <mergeCell ref="BC37:BO38"/>
    <mergeCell ref="AM36:BB38"/>
    <mergeCell ref="BT29:BZ29"/>
    <mergeCell ref="BM30:BZ30"/>
    <mergeCell ref="V30:AY30"/>
    <mergeCell ref="C31:CB32"/>
    <mergeCell ref="W36:AL38"/>
    <mergeCell ref="C47:CB48"/>
    <mergeCell ref="V51:AN51"/>
    <mergeCell ref="AW51:CB51"/>
    <mergeCell ref="AW52:CB52"/>
    <mergeCell ref="BP39:CB39"/>
    <mergeCell ref="BP40:CB40"/>
    <mergeCell ref="BP43:CB43"/>
    <mergeCell ref="BP44:CB44"/>
    <mergeCell ref="BC39:BO39"/>
    <mergeCell ref="BC40:BO40"/>
    <mergeCell ref="C45:CB46"/>
    <mergeCell ref="A8:AI9"/>
    <mergeCell ref="AR10:BZ10"/>
    <mergeCell ref="AJ73:BH73"/>
    <mergeCell ref="BJ73:CB73"/>
    <mergeCell ref="C67:CB67"/>
    <mergeCell ref="C68:CB68"/>
    <mergeCell ref="AJ72:BH72"/>
    <mergeCell ref="BJ72:CB72"/>
    <mergeCell ref="C58:CB59"/>
    <mergeCell ref="C64:CB65"/>
    <mergeCell ref="Q55:AN55"/>
    <mergeCell ref="AW55:CB55"/>
    <mergeCell ref="AW56:CB56"/>
    <mergeCell ref="BP41:CB41"/>
    <mergeCell ref="BP42:CB42"/>
    <mergeCell ref="BC41:BO41"/>
    <mergeCell ref="BC42:BO42"/>
    <mergeCell ref="AM41:BB41"/>
    <mergeCell ref="AM42:BB42"/>
    <mergeCell ref="W41:AL41"/>
    <mergeCell ref="W42:AL42"/>
    <mergeCell ref="C53:CB54"/>
    <mergeCell ref="C39:V39"/>
    <mergeCell ref="AR12:BZ12"/>
    <mergeCell ref="C26:W26"/>
    <mergeCell ref="X26:CB26"/>
    <mergeCell ref="AG29:BA29"/>
    <mergeCell ref="G50:O50"/>
    <mergeCell ref="P50:AB50"/>
    <mergeCell ref="C61:AB61"/>
    <mergeCell ref="AD61:AM61"/>
    <mergeCell ref="F71:AE72"/>
    <mergeCell ref="G29:M29"/>
    <mergeCell ref="C41:V41"/>
    <mergeCell ref="C42:V42"/>
    <mergeCell ref="BC43:BO43"/>
    <mergeCell ref="BC44:BO44"/>
    <mergeCell ref="C43:V43"/>
    <mergeCell ref="C44:V44"/>
    <mergeCell ref="W39:AL39"/>
    <mergeCell ref="W40:AL40"/>
    <mergeCell ref="W43:AL43"/>
    <mergeCell ref="W44:AL44"/>
    <mergeCell ref="AM39:BB39"/>
    <mergeCell ref="AM40:BB40"/>
    <mergeCell ref="AM43:BB43"/>
    <mergeCell ref="AM44:BB44"/>
    <mergeCell ref="C40:V40"/>
  </mergeCells>
  <pageMargins left="0.78740157480314965" right="0.19685039370078741" top="0.39370078740157483" bottom="0.39370078740157483" header="0.11811023622047245" footer="0.11811023622047245"/>
  <pageSetup paperSize="9" scale="97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F784405-C83E-4D95-96AF-5FFB8E9009EE}">
          <x14:formula1>
            <xm:f>'связ.данные(оборудование)'!$O$3:$O$11</xm:f>
          </x14:formula1>
          <xm:sqref>V51:AN51</xm:sqref>
        </x14:dataValidation>
        <x14:dataValidation type="list" allowBlank="1" showInputMessage="1" showErrorMessage="1" xr:uid="{DCD653C6-DDDF-4E8C-9128-A706C53CA0F0}">
          <x14:formula1>
            <xm:f>'связ.данные(оборудование)'!$N$3:$N$9</xm:f>
          </x14:formula1>
          <xm:sqref>Q55:AN55</xm:sqref>
        </x14:dataValidation>
        <x14:dataValidation type="list" allowBlank="1" showInputMessage="1" showErrorMessage="1" xr:uid="{04F8D3E1-1D1B-4798-86BF-0EF128EB5A30}">
          <x14:formula1>
            <xm:f>'связ.данные(оборудование)'!$C$3:$C$4</xm:f>
          </x14:formula1>
          <xm:sqref>AG21:AV21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CCCFF"/>
  </sheetPr>
  <dimension ref="A1:CB70"/>
  <sheetViews>
    <sheetView view="pageBreakPreview" zoomScale="90" zoomScaleNormal="100" zoomScaleSheetLayoutView="90" zoomScalePageLayoutView="115" workbookViewId="0">
      <selection activeCell="DN68" sqref="DN68"/>
    </sheetView>
  </sheetViews>
  <sheetFormatPr defaultColWidth="1.140625" defaultRowHeight="12.75" outlineLevelRow="1" x14ac:dyDescent="0.2"/>
  <cols>
    <col min="1" max="19" width="1.140625" style="2"/>
    <col min="20" max="34" width="1" style="2" customWidth="1"/>
    <col min="35" max="65" width="1.140625" style="2"/>
    <col min="66" max="66" width="0.7109375" style="2" customWidth="1"/>
    <col min="67" max="79" width="1.140625" style="2"/>
    <col min="80" max="80" width="10.28515625" style="2" customWidth="1"/>
    <col min="81" max="16384" width="1.140625" style="2"/>
  </cols>
  <sheetData>
    <row r="1" spans="1:80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9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74"/>
      <c r="CB7" s="74"/>
    </row>
    <row r="8" spans="1:80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74"/>
      <c r="CB8" s="74"/>
    </row>
    <row r="9" spans="1:80" ht="23.2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74"/>
      <c r="CB9" s="74"/>
    </row>
    <row r="10" spans="1:80" ht="11.45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74"/>
      <c r="CB10" s="7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x14ac:dyDescent="0.2"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</row>
    <row r="13" spans="1:80" s="18" customFormat="1" ht="15.75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</row>
    <row r="14" spans="1:80" s="18" customFormat="1" ht="15.75" x14ac:dyDescent="0.25">
      <c r="A14" s="886" t="s">
        <v>1258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</row>
    <row r="15" spans="1:80" s="18" customFormat="1" ht="10.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</row>
    <row r="16" spans="1:80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x14ac:dyDescent="0.2">
      <c r="A17" s="11" t="s">
        <v>345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x14ac:dyDescent="0.2">
      <c r="A18" s="926" t="str">
        <f>IF('Данные объект'!C42="","",'Данные объект'!C42)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8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80" hidden="1" outlineLevel="1" x14ac:dyDescent="0.2">
      <c r="A20" s="2" t="s">
        <v>29</v>
      </c>
    </row>
    <row r="21" spans="1:80" outlineLevel="1" x14ac:dyDescent="0.2">
      <c r="A21" s="926" t="str">
        <f>IF('Данные объект'!C45="","",'Данные объект'!C45)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80" s="5" customFormat="1" ht="8.25" outlineLevel="1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80" s="5" customFormat="1" ht="8.25" hidden="1" outlineLevel="1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spans="1:80" s="5" customFormat="1" ht="13.5" hidden="1" outlineLevel="1" x14ac:dyDescent="0.15">
      <c r="A24" s="1097"/>
      <c r="B24" s="1097"/>
      <c r="C24" s="1097"/>
      <c r="D24" s="1097"/>
      <c r="E24" s="1097"/>
      <c r="F24" s="1097"/>
      <c r="G24" s="1097"/>
      <c r="H24" s="1097"/>
      <c r="I24" s="1097"/>
      <c r="J24" s="1097"/>
      <c r="K24" s="1097"/>
      <c r="L24" s="1097"/>
      <c r="M24" s="1097"/>
      <c r="N24" s="1097"/>
      <c r="O24" s="1097"/>
      <c r="P24" s="1097"/>
      <c r="Q24" s="1097"/>
      <c r="R24" s="1097"/>
      <c r="S24" s="1097"/>
      <c r="T24" s="1097"/>
      <c r="U24" s="1097"/>
      <c r="V24" s="1097"/>
      <c r="W24" s="1097"/>
      <c r="X24" s="1097"/>
      <c r="Y24" s="1097"/>
      <c r="Z24" s="1097"/>
      <c r="AA24" s="1097"/>
      <c r="AB24" s="1097"/>
      <c r="AC24" s="1097"/>
      <c r="AD24" s="1097"/>
      <c r="AE24" s="1097"/>
      <c r="AF24" s="1097"/>
      <c r="AG24" s="1097"/>
      <c r="AH24" s="1097"/>
      <c r="AI24" s="1097"/>
      <c r="AJ24" s="1097"/>
      <c r="AK24" s="1097"/>
      <c r="AL24" s="1097"/>
      <c r="AM24" s="1097"/>
      <c r="AN24" s="1097"/>
      <c r="AO24" s="1097"/>
      <c r="AP24" s="1097"/>
      <c r="AQ24" s="1097"/>
      <c r="AR24" s="1097"/>
      <c r="AS24" s="1097"/>
      <c r="AT24" s="1097"/>
      <c r="AU24" s="1097"/>
      <c r="AV24" s="1097"/>
      <c r="AW24" s="1097"/>
      <c r="AX24" s="1097"/>
      <c r="AY24" s="1097"/>
      <c r="AZ24" s="1097"/>
      <c r="BA24" s="1097"/>
      <c r="BB24" s="1097"/>
      <c r="BC24" s="1097"/>
      <c r="BD24" s="1097"/>
      <c r="BE24" s="1097"/>
      <c r="BF24" s="1097"/>
      <c r="BG24" s="1097"/>
      <c r="BH24" s="1097"/>
      <c r="BI24" s="1097"/>
      <c r="BJ24" s="1097"/>
      <c r="BK24" s="1097"/>
      <c r="BL24" s="1097"/>
      <c r="BM24" s="1097"/>
      <c r="BN24" s="1097"/>
      <c r="BO24" s="1097"/>
      <c r="BP24" s="1097"/>
      <c r="BQ24" s="1097"/>
      <c r="BR24" s="1097"/>
      <c r="BS24" s="1097"/>
      <c r="BT24" s="1097"/>
      <c r="BU24" s="1097"/>
      <c r="BV24" s="1097"/>
      <c r="BW24" s="1097"/>
      <c r="BX24" s="1097"/>
      <c r="BY24" s="1097"/>
      <c r="BZ24" s="1097"/>
      <c r="CA24" s="1097"/>
      <c r="CB24" s="1097"/>
    </row>
    <row r="25" spans="1:80" s="5" customFormat="1" ht="8.25" hidden="1" outlineLevel="1" x14ac:dyDescent="0.15">
      <c r="A25" s="932" t="s">
        <v>31</v>
      </c>
      <c r="B25" s="932"/>
      <c r="C25" s="932"/>
      <c r="D25" s="932"/>
      <c r="E25" s="932"/>
      <c r="F25" s="932"/>
      <c r="G25" s="932"/>
      <c r="H25" s="932"/>
      <c r="I25" s="932"/>
      <c r="J25" s="932"/>
      <c r="K25" s="932"/>
      <c r="L25" s="932"/>
      <c r="M25" s="932"/>
      <c r="N25" s="932"/>
      <c r="O25" s="932"/>
      <c r="P25" s="932"/>
      <c r="Q25" s="932"/>
      <c r="R25" s="932"/>
      <c r="S25" s="932"/>
      <c r="T25" s="932"/>
      <c r="U25" s="932"/>
      <c r="V25" s="932"/>
      <c r="W25" s="932"/>
      <c r="X25" s="932"/>
      <c r="Y25" s="932"/>
      <c r="Z25" s="932"/>
      <c r="AA25" s="932"/>
      <c r="AB25" s="932"/>
      <c r="AC25" s="932"/>
      <c r="AD25" s="932"/>
      <c r="AE25" s="932"/>
      <c r="AF25" s="932"/>
      <c r="AG25" s="932"/>
      <c r="AH25" s="932"/>
      <c r="AI25" s="932"/>
      <c r="AJ25" s="932"/>
      <c r="AK25" s="932"/>
      <c r="AL25" s="932"/>
      <c r="AM25" s="932"/>
      <c r="AN25" s="932"/>
      <c r="AO25" s="932"/>
      <c r="AP25" s="932"/>
      <c r="AQ25" s="932"/>
      <c r="AR25" s="932"/>
      <c r="AS25" s="932"/>
      <c r="AT25" s="932"/>
      <c r="AU25" s="932"/>
      <c r="AV25" s="932"/>
      <c r="AW25" s="932"/>
      <c r="AX25" s="932"/>
      <c r="AY25" s="932"/>
      <c r="AZ25" s="932"/>
      <c r="BA25" s="932"/>
      <c r="BB25" s="932"/>
      <c r="BC25" s="932"/>
      <c r="BD25" s="932"/>
      <c r="BE25" s="932"/>
      <c r="BF25" s="932"/>
      <c r="BG25" s="932"/>
      <c r="BH25" s="932"/>
      <c r="BI25" s="932"/>
      <c r="BJ25" s="932"/>
      <c r="BK25" s="932"/>
      <c r="BL25" s="932"/>
      <c r="BM25" s="932"/>
      <c r="BN25" s="932"/>
      <c r="BO25" s="932"/>
      <c r="BP25" s="932"/>
      <c r="BQ25" s="932"/>
      <c r="BR25" s="932"/>
      <c r="BS25" s="932"/>
      <c r="BT25" s="932"/>
      <c r="BU25" s="932"/>
      <c r="BV25" s="932"/>
      <c r="BW25" s="932"/>
      <c r="BX25" s="932"/>
      <c r="BY25" s="932"/>
      <c r="BZ25" s="932"/>
      <c r="CA25" s="932"/>
      <c r="CB25" s="932"/>
    </row>
    <row r="26" spans="1:80" x14ac:dyDescent="0.2">
      <c r="A26" s="11" t="s">
        <v>30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926" t="str">
        <f>IF('Данные объект'!C28="","",'Данные объект'!C28)</f>
      </c>
      <c r="B27" s="926"/>
      <c r="C27" s="926"/>
      <c r="D27" s="926"/>
      <c r="E27" s="926"/>
      <c r="F27" s="926"/>
      <c r="G27" s="926"/>
      <c r="H27" s="926"/>
      <c r="I27" s="926"/>
      <c r="J27" s="926"/>
      <c r="K27" s="926"/>
      <c r="L27" s="926"/>
      <c r="M27" s="926"/>
      <c r="N27" s="926"/>
      <c r="O27" s="926"/>
      <c r="P27" s="926"/>
      <c r="Q27" s="926"/>
      <c r="R27" s="926"/>
      <c r="S27" s="926"/>
      <c r="T27" s="926"/>
      <c r="U27" s="926"/>
      <c r="V27" s="926"/>
      <c r="W27" s="926"/>
      <c r="X27" s="926"/>
      <c r="Y27" s="926"/>
      <c r="Z27" s="926"/>
      <c r="AA27" s="926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  <c r="CA27" s="926"/>
      <c r="CB27" s="926"/>
    </row>
    <row r="28" spans="1:80" s="5" customFormat="1" ht="8.25" x14ac:dyDescent="0.15">
      <c r="A28" s="932" t="s">
        <v>31</v>
      </c>
      <c r="B28" s="932"/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  <c r="W28" s="932"/>
      <c r="X28" s="932"/>
      <c r="Y28" s="932"/>
      <c r="Z28" s="932"/>
      <c r="AA28" s="932"/>
      <c r="AB28" s="932"/>
      <c r="AC28" s="932"/>
      <c r="AD28" s="932"/>
      <c r="AE28" s="932"/>
      <c r="AF28" s="932"/>
      <c r="AG28" s="932"/>
      <c r="AH28" s="932"/>
      <c r="AI28" s="932"/>
      <c r="AJ28" s="932"/>
      <c r="AK28" s="932"/>
      <c r="AL28" s="932"/>
      <c r="AM28" s="932"/>
      <c r="AN28" s="932"/>
      <c r="AO28" s="932"/>
      <c r="AP28" s="932"/>
      <c r="AQ28" s="932"/>
      <c r="AR28" s="932"/>
      <c r="AS28" s="932"/>
      <c r="AT28" s="932"/>
      <c r="AU28" s="932"/>
      <c r="AV28" s="932"/>
      <c r="AW28" s="932"/>
      <c r="AX28" s="932"/>
      <c r="AY28" s="932"/>
      <c r="AZ28" s="932"/>
      <c r="BA28" s="932"/>
      <c r="BB28" s="932"/>
      <c r="BC28" s="932"/>
      <c r="BD28" s="932"/>
      <c r="BE28" s="932"/>
      <c r="BF28" s="932"/>
      <c r="BG28" s="932"/>
      <c r="BH28" s="932"/>
      <c r="BI28" s="932"/>
      <c r="BJ28" s="932"/>
      <c r="BK28" s="932"/>
      <c r="BL28" s="932"/>
      <c r="BM28" s="932"/>
      <c r="BN28" s="932"/>
      <c r="BO28" s="932"/>
      <c r="BP28" s="932"/>
      <c r="BQ28" s="932"/>
      <c r="BR28" s="932"/>
      <c r="BS28" s="932"/>
      <c r="BT28" s="932"/>
      <c r="BU28" s="932"/>
      <c r="BV28" s="932"/>
      <c r="BW28" s="932"/>
      <c r="BX28" s="932"/>
      <c r="BY28" s="932"/>
      <c r="BZ28" s="932"/>
      <c r="CA28" s="932"/>
      <c r="CB28" s="932"/>
    </row>
    <row r="29" spans="1:80" x14ac:dyDescent="0.2">
      <c r="A29" s="11" t="s">
        <v>275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</row>
    <row r="30" spans="1:80" x14ac:dyDescent="0.2">
      <c r="A30" s="11"/>
      <c r="B30" s="11"/>
      <c r="C30" s="57" t="s">
        <v>276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1:80" x14ac:dyDescent="0.2">
      <c r="A31" s="11" t="s">
        <v>33</v>
      </c>
      <c r="B31" s="11"/>
      <c r="C31" s="11" t="s">
        <v>277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ht="13.15" customHeight="1" x14ac:dyDescent="0.2">
      <c r="A32" s="11"/>
      <c r="B32" s="11"/>
      <c r="C32" s="1096" t="str">
        <f>IF('Данные объект'!B56="","",'Данные объект'!B56)</f>
      </c>
      <c r="D32" s="1096"/>
      <c r="E32" s="1096"/>
      <c r="F32" s="1096"/>
      <c r="G32" s="1096"/>
      <c r="H32" s="1096"/>
      <c r="I32" s="1096"/>
      <c r="J32" s="1096"/>
      <c r="K32" s="1096"/>
      <c r="L32" s="1096"/>
      <c r="M32" s="1096"/>
      <c r="N32" s="1096"/>
      <c r="O32" s="1096"/>
      <c r="P32" s="1096"/>
      <c r="Q32" s="1096"/>
      <c r="R32" s="1096"/>
      <c r="S32" s="1096"/>
      <c r="T32" s="1096"/>
      <c r="U32" s="1096"/>
      <c r="V32" s="1096"/>
      <c r="W32" s="1096"/>
      <c r="X32" s="1096"/>
      <c r="Y32" s="1096"/>
      <c r="Z32" s="1096"/>
      <c r="AA32" s="1096"/>
      <c r="AB32" s="1096"/>
      <c r="AC32" s="1096"/>
      <c r="AD32" s="1096"/>
      <c r="AE32" s="1096"/>
      <c r="AF32" s="1096"/>
      <c r="AG32" s="1096"/>
      <c r="AH32" s="1096"/>
      <c r="AI32" s="1096"/>
      <c r="AJ32" s="1096"/>
      <c r="AK32" s="1096"/>
      <c r="AL32" s="1096"/>
      <c r="AM32" s="1096"/>
      <c r="AN32" s="1096"/>
      <c r="AO32" s="1096"/>
      <c r="AP32" s="1096"/>
      <c r="AQ32" s="1096"/>
      <c r="AR32" s="1096"/>
      <c r="AS32" s="1096"/>
      <c r="AT32" s="1096"/>
      <c r="AU32" s="1096"/>
      <c r="AV32" s="1096"/>
      <c r="AW32" s="1096"/>
      <c r="AX32" s="1096"/>
      <c r="AY32" s="1096"/>
      <c r="AZ32" s="1096"/>
      <c r="BA32" s="1096"/>
      <c r="BB32" s="1096"/>
      <c r="BC32" s="1096"/>
      <c r="BD32" s="1096"/>
      <c r="BE32" s="1096"/>
      <c r="BF32" s="1096"/>
      <c r="BG32" s="1096"/>
      <c r="BH32" s="1096"/>
      <c r="BI32" s="1096"/>
      <c r="BJ32" s="1096"/>
      <c r="BK32" s="1096"/>
      <c r="BL32" s="1096"/>
      <c r="BM32" s="1096"/>
      <c r="BN32" s="1096"/>
      <c r="BO32" s="1096"/>
      <c r="BP32" s="1096"/>
      <c r="BQ32" s="1096"/>
      <c r="BR32" s="1096"/>
      <c r="BS32" s="1096"/>
      <c r="BT32" s="1096"/>
      <c r="BU32" s="1096"/>
      <c r="BV32" s="1096"/>
      <c r="BW32" s="1096"/>
      <c r="BX32" s="1096"/>
      <c r="BY32" s="1096"/>
      <c r="BZ32" s="1096"/>
      <c r="CA32" s="1096"/>
      <c r="CB32" s="1096"/>
    </row>
    <row r="33" spans="1:80" s="5" customFormat="1" ht="8.25" x14ac:dyDescent="0.15">
      <c r="C33" s="838" t="s">
        <v>278</v>
      </c>
      <c r="D33" s="838"/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8"/>
      <c r="AI33" s="838"/>
      <c r="AJ33" s="838"/>
      <c r="AK33" s="838"/>
      <c r="AL33" s="838"/>
      <c r="AM33" s="838"/>
      <c r="AN33" s="838"/>
      <c r="AO33" s="838"/>
      <c r="AP33" s="838"/>
      <c r="AQ33" s="838"/>
      <c r="AR33" s="838"/>
      <c r="AS33" s="838"/>
      <c r="AT33" s="838"/>
      <c r="AU33" s="838"/>
      <c r="AV33" s="838"/>
      <c r="AW33" s="838"/>
      <c r="AX33" s="838"/>
      <c r="AY33" s="838"/>
      <c r="AZ33" s="838"/>
      <c r="BA33" s="838"/>
      <c r="BB33" s="838"/>
      <c r="BC33" s="838"/>
      <c r="BD33" s="838"/>
      <c r="BE33" s="838"/>
      <c r="BF33" s="838"/>
      <c r="BG33" s="838"/>
      <c r="BH33" s="838"/>
      <c r="BI33" s="838"/>
      <c r="BJ33" s="838"/>
      <c r="BK33" s="838"/>
      <c r="BL33" s="838"/>
      <c r="BM33" s="838"/>
      <c r="BN33" s="838"/>
      <c r="BO33" s="838"/>
      <c r="BP33" s="838"/>
      <c r="BQ33" s="838"/>
      <c r="BR33" s="838"/>
      <c r="BS33" s="838"/>
      <c r="BT33" s="838"/>
      <c r="BU33" s="838"/>
      <c r="BV33" s="838"/>
      <c r="BW33" s="838"/>
      <c r="BX33" s="838"/>
      <c r="BY33" s="838"/>
      <c r="BZ33" s="838"/>
      <c r="CA33" s="838"/>
    </row>
    <row r="34" spans="1:80" s="11" customFormat="1" ht="11.25" x14ac:dyDescent="0.2">
      <c r="C34" s="11" t="s">
        <v>117</v>
      </c>
      <c r="O34" s="841" t="str">
        <f>IF('Данные объект'!B52="","",'Данные объект'!B52)</f>
      </c>
      <c r="P34" s="841"/>
      <c r="Q34" s="841"/>
      <c r="R34" s="841"/>
      <c r="S34" s="841"/>
      <c r="T34" s="841"/>
      <c r="U34" s="841"/>
      <c r="V34" s="841"/>
      <c r="W34" s="841"/>
      <c r="X34" s="841"/>
      <c r="Y34" s="841"/>
      <c r="Z34" s="841"/>
      <c r="AA34" s="841"/>
      <c r="AB34" s="841"/>
      <c r="AC34" s="841"/>
      <c r="AD34" s="841"/>
      <c r="AE34" s="841"/>
      <c r="AF34" s="841"/>
      <c r="AG34" s="841"/>
      <c r="AH34" s="841"/>
      <c r="AI34" s="841"/>
      <c r="AJ34" s="841"/>
      <c r="AK34" s="841"/>
      <c r="AL34" s="841"/>
      <c r="AM34" s="841"/>
      <c r="AN34" s="841"/>
      <c r="AO34" s="841"/>
      <c r="AP34" s="841"/>
      <c r="AQ34" s="841"/>
      <c r="AR34" s="841"/>
      <c r="AS34" s="841"/>
      <c r="AT34" s="841"/>
      <c r="AU34" s="841"/>
      <c r="AV34" s="841"/>
      <c r="AW34" s="841"/>
      <c r="AX34" s="841"/>
      <c r="AY34" s="841"/>
      <c r="AZ34" s="841"/>
      <c r="BA34" s="841"/>
      <c r="BB34" s="841"/>
      <c r="BC34" s="841"/>
      <c r="BD34" s="841"/>
      <c r="BE34" s="11" t="s">
        <v>253</v>
      </c>
      <c r="BO34" s="841" t="str">
        <f>IF('Данные объект'!B56="","",'Данные объект'!B56)</f>
      </c>
      <c r="BP34" s="841"/>
      <c r="BQ34" s="841"/>
      <c r="BR34" s="841"/>
      <c r="BS34" s="841"/>
      <c r="BT34" s="841"/>
      <c r="BU34" s="841"/>
      <c r="BV34" s="841"/>
      <c r="BW34" s="841"/>
      <c r="BX34" s="841"/>
      <c r="BY34" s="841"/>
      <c r="BZ34" s="841"/>
      <c r="CA34" s="841"/>
      <c r="CB34" s="841"/>
    </row>
    <row r="35" spans="1:80" s="5" customFormat="1" ht="8.25" x14ac:dyDescent="0.15">
      <c r="O35" s="858" t="s">
        <v>38</v>
      </c>
      <c r="P35" s="858"/>
      <c r="Q35" s="858"/>
      <c r="R35" s="858"/>
      <c r="S35" s="858"/>
      <c r="T35" s="858"/>
      <c r="U35" s="858"/>
      <c r="V35" s="858"/>
      <c r="W35" s="858"/>
      <c r="X35" s="858"/>
      <c r="Y35" s="858"/>
      <c r="Z35" s="858"/>
      <c r="AA35" s="858"/>
      <c r="AB35" s="858"/>
      <c r="AC35" s="858"/>
      <c r="AD35" s="858"/>
      <c r="AE35" s="858"/>
      <c r="AF35" s="858"/>
      <c r="AG35" s="858"/>
      <c r="AH35" s="858"/>
      <c r="AI35" s="858"/>
      <c r="AJ35" s="858"/>
      <c r="AK35" s="858"/>
      <c r="AL35" s="858"/>
      <c r="AM35" s="858"/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  <c r="AZ35" s="858"/>
      <c r="BA35" s="858"/>
      <c r="BB35" s="858"/>
      <c r="BC35" s="858"/>
      <c r="BD35" s="858"/>
      <c r="BO35" s="858" t="s">
        <v>279</v>
      </c>
      <c r="BP35" s="858"/>
      <c r="BQ35" s="858"/>
      <c r="BR35" s="858"/>
      <c r="BS35" s="858"/>
      <c r="BT35" s="858"/>
      <c r="BU35" s="858"/>
      <c r="BV35" s="858"/>
      <c r="BW35" s="858"/>
      <c r="BX35" s="858"/>
      <c r="BY35" s="858"/>
      <c r="BZ35" s="858"/>
      <c r="CA35" s="858"/>
      <c r="CB35" s="858"/>
    </row>
    <row r="36" spans="1:80" s="11" customFormat="1" ht="11.25" x14ac:dyDescent="0.2">
      <c r="A36" s="11" t="s">
        <v>36</v>
      </c>
      <c r="C36" s="11" t="s">
        <v>280</v>
      </c>
      <c r="T36" s="1095" t="s">
        <v>340</v>
      </c>
      <c r="U36" s="855"/>
      <c r="V36" s="855"/>
      <c r="W36" s="855"/>
      <c r="X36" s="855"/>
      <c r="Y36" s="855"/>
      <c r="Z36" s="855"/>
      <c r="AA36" s="855"/>
      <c r="AB36" s="855"/>
      <c r="AC36" s="855"/>
      <c r="AD36" s="855"/>
      <c r="AE36" s="855"/>
      <c r="AF36" s="855"/>
      <c r="AG36" s="855"/>
      <c r="AH36" s="855"/>
      <c r="AI36" s="855"/>
      <c r="AJ36" s="855"/>
      <c r="AK36" s="855"/>
      <c r="AL36" s="855"/>
      <c r="AM36" s="855"/>
      <c r="AN36" s="855"/>
      <c r="AO36" s="855"/>
      <c r="AP36" s="855"/>
      <c r="AQ36" s="855"/>
      <c r="AR36" s="855"/>
      <c r="AS36" s="855"/>
      <c r="AT36" s="855"/>
      <c r="AU36" s="855"/>
      <c r="AV36" s="855"/>
      <c r="AW36" s="855"/>
      <c r="AX36" s="855"/>
      <c r="AY36" s="855"/>
      <c r="AZ36" s="855"/>
      <c r="BA36" s="855"/>
      <c r="BB36" s="855"/>
      <c r="BC36" s="855"/>
      <c r="BD36" s="855"/>
      <c r="BE36" s="855"/>
      <c r="BF36" s="855"/>
      <c r="BG36" s="855"/>
      <c r="BH36" s="855"/>
      <c r="BI36" s="855"/>
      <c r="BJ36" s="855"/>
      <c r="BK36" s="855"/>
      <c r="BL36" s="855"/>
      <c r="BM36" s="855"/>
      <c r="BN36" s="855"/>
      <c r="BO36" s="855"/>
      <c r="BP36" s="855"/>
      <c r="BQ36" s="855"/>
      <c r="BR36" s="855"/>
      <c r="BS36" s="855"/>
      <c r="BT36" s="855"/>
      <c r="BU36" s="855"/>
      <c r="BV36" s="855"/>
      <c r="BW36" s="855"/>
      <c r="BX36" s="855"/>
      <c r="BY36" s="855"/>
      <c r="BZ36" s="855"/>
      <c r="CA36" s="855"/>
      <c r="CB36" s="855"/>
    </row>
    <row r="37" spans="1:80" s="11" customFormat="1" ht="11.25" x14ac:dyDescent="0.2">
      <c r="C37" s="11" t="s">
        <v>281</v>
      </c>
      <c r="N37" s="1095" t="s">
        <v>340</v>
      </c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  <c r="AD37" s="855"/>
      <c r="AE37" s="855"/>
      <c r="AF37" s="855"/>
      <c r="AG37" s="855"/>
      <c r="AH37" s="855"/>
      <c r="AI37" s="855"/>
      <c r="AJ37" s="855"/>
      <c r="AK37" s="855"/>
      <c r="AL37" s="855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855"/>
      <c r="BA37" s="855"/>
      <c r="BB37" s="855"/>
      <c r="BC37" s="855"/>
      <c r="BD37" s="855"/>
      <c r="BE37" s="855"/>
      <c r="BF37" s="855"/>
      <c r="BG37" s="855"/>
      <c r="BH37" s="855"/>
      <c r="BI37" s="855"/>
      <c r="BJ37" s="855"/>
      <c r="BK37" s="855"/>
      <c r="BL37" s="855"/>
      <c r="BM37" s="855"/>
      <c r="BN37" s="855"/>
      <c r="BO37" s="855"/>
      <c r="BP37" s="855"/>
      <c r="BQ37" s="855"/>
      <c r="BR37" s="855"/>
      <c r="BS37" s="855"/>
      <c r="BT37" s="855"/>
      <c r="BU37" s="855"/>
      <c r="BV37" s="855"/>
      <c r="BW37" s="855"/>
      <c r="BX37" s="855"/>
      <c r="BY37" s="855"/>
      <c r="BZ37" s="855"/>
      <c r="CA37" s="855"/>
      <c r="CB37" s="855"/>
    </row>
    <row r="38" spans="1:80" s="5" customFormat="1" ht="8.25" x14ac:dyDescent="0.15">
      <c r="N38" s="858" t="s">
        <v>282</v>
      </c>
      <c r="O38" s="858"/>
      <c r="P38" s="858"/>
      <c r="Q38" s="858"/>
      <c r="R38" s="858"/>
      <c r="S38" s="858"/>
      <c r="T38" s="858"/>
      <c r="U38" s="858"/>
      <c r="V38" s="858"/>
      <c r="W38" s="858"/>
      <c r="X38" s="858"/>
      <c r="Y38" s="858"/>
      <c r="Z38" s="858"/>
      <c r="AA38" s="858"/>
      <c r="AB38" s="858"/>
      <c r="AC38" s="858"/>
      <c r="AD38" s="858"/>
      <c r="AE38" s="858"/>
      <c r="AF38" s="858"/>
      <c r="AG38" s="858"/>
      <c r="AH38" s="858"/>
      <c r="AI38" s="858"/>
      <c r="AJ38" s="858"/>
      <c r="AK38" s="858"/>
      <c r="AL38" s="858"/>
      <c r="AM38" s="858"/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  <c r="AZ38" s="858"/>
      <c r="BA38" s="858"/>
      <c r="BB38" s="858"/>
      <c r="BC38" s="858"/>
      <c r="BD38" s="858"/>
      <c r="BE38" s="858"/>
      <c r="BF38" s="858"/>
      <c r="BG38" s="858"/>
      <c r="BH38" s="858"/>
      <c r="BI38" s="858"/>
      <c r="BJ38" s="858"/>
      <c r="BK38" s="858"/>
      <c r="BL38" s="858"/>
      <c r="BM38" s="858"/>
      <c r="BN38" s="858"/>
      <c r="BO38" s="858"/>
      <c r="BP38" s="858"/>
      <c r="BQ38" s="858"/>
      <c r="BR38" s="858"/>
      <c r="BS38" s="858"/>
      <c r="BT38" s="858"/>
      <c r="BU38" s="858"/>
      <c r="BV38" s="858"/>
      <c r="BW38" s="858"/>
      <c r="BX38" s="858"/>
      <c r="BY38" s="858"/>
      <c r="BZ38" s="858"/>
      <c r="CA38" s="858"/>
      <c r="CB38" s="858"/>
    </row>
    <row r="39" spans="1:80" s="11" customFormat="1" ht="11.25" x14ac:dyDescent="0.2">
      <c r="C39" s="11" t="s">
        <v>283</v>
      </c>
      <c r="R39" s="1095" t="s">
        <v>340</v>
      </c>
      <c r="S39" s="855"/>
      <c r="T39" s="855"/>
      <c r="U39" s="855"/>
      <c r="V39" s="855"/>
      <c r="W39" s="855"/>
      <c r="X39" s="855"/>
      <c r="Y39" s="855"/>
      <c r="Z39" s="855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855"/>
      <c r="BL39" s="855"/>
      <c r="BM39" s="855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  <c r="BX39" s="855"/>
      <c r="BY39" s="855"/>
      <c r="BZ39" s="855"/>
      <c r="CA39" s="855"/>
      <c r="CB39" s="855"/>
    </row>
    <row r="40" spans="1:80" s="5" customFormat="1" ht="8.25" x14ac:dyDescent="0.15">
      <c r="R40" s="858" t="s">
        <v>279</v>
      </c>
      <c r="S40" s="858"/>
      <c r="T40" s="858"/>
      <c r="U40" s="858"/>
      <c r="V40" s="858"/>
      <c r="W40" s="858"/>
      <c r="X40" s="858"/>
      <c r="Y40" s="858"/>
      <c r="Z40" s="858"/>
      <c r="AA40" s="858"/>
      <c r="AB40" s="858"/>
      <c r="AC40" s="858"/>
      <c r="AD40" s="858"/>
      <c r="AE40" s="858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858"/>
      <c r="BC40" s="858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</row>
    <row r="41" spans="1:80" s="11" customFormat="1" ht="11.25" x14ac:dyDescent="0.2">
      <c r="A41" s="11" t="s">
        <v>39</v>
      </c>
      <c r="C41" s="11" t="s">
        <v>285</v>
      </c>
    </row>
    <row r="42" spans="1:80" s="11" customFormat="1" ht="12.75" customHeight="1" x14ac:dyDescent="0.2">
      <c r="A42" s="827" t="s">
        <v>286</v>
      </c>
      <c r="B42" s="827"/>
      <c r="C42" s="827"/>
      <c r="D42" s="827"/>
      <c r="E42" s="827" t="s">
        <v>287</v>
      </c>
      <c r="F42" s="827"/>
      <c r="G42" s="827"/>
      <c r="H42" s="827"/>
      <c r="I42" s="827"/>
      <c r="J42" s="827"/>
      <c r="K42" s="827"/>
      <c r="L42" s="827"/>
      <c r="M42" s="827"/>
      <c r="N42" s="827"/>
      <c r="O42" s="827"/>
      <c r="P42" s="827"/>
      <c r="Q42" s="827"/>
      <c r="R42" s="827"/>
      <c r="S42" s="827"/>
      <c r="T42" s="827"/>
      <c r="U42" s="827"/>
      <c r="V42" s="827"/>
      <c r="W42" s="827"/>
      <c r="X42" s="827"/>
      <c r="Y42" s="827"/>
      <c r="Z42" s="827"/>
      <c r="AA42" s="827"/>
      <c r="AB42" s="827"/>
      <c r="AC42" s="827"/>
      <c r="AD42" s="827"/>
      <c r="AE42" s="827"/>
      <c r="AF42" s="827"/>
      <c r="AG42" s="827"/>
      <c r="AH42" s="827"/>
      <c r="AI42" s="1085" t="s">
        <v>284</v>
      </c>
      <c r="AJ42" s="1085"/>
      <c r="AK42" s="1085"/>
      <c r="AL42" s="1085"/>
      <c r="AM42" s="1085"/>
      <c r="AN42" s="1085"/>
      <c r="AO42" s="1085"/>
      <c r="AP42" s="1085"/>
      <c r="AQ42" s="1085"/>
      <c r="AR42" s="1085"/>
      <c r="AS42" s="1085"/>
      <c r="AT42" s="1085"/>
      <c r="AU42" s="1085"/>
      <c r="AV42" s="1085"/>
      <c r="AW42" s="1085"/>
      <c r="AX42" s="1085"/>
      <c r="AY42" s="1085"/>
      <c r="AZ42" s="1085"/>
      <c r="BA42" s="1085"/>
      <c r="BB42" s="1085"/>
      <c r="BC42" s="1085"/>
      <c r="BD42" s="1085"/>
      <c r="BE42" s="1085"/>
      <c r="BF42" s="1085"/>
      <c r="BG42" s="1085"/>
      <c r="BH42" s="1085"/>
      <c r="BI42" s="1085"/>
      <c r="BJ42" s="1085"/>
      <c r="BK42" s="1085"/>
      <c r="BL42" s="1085"/>
      <c r="BM42" s="1085"/>
      <c r="BN42" s="1085"/>
      <c r="BO42" s="1085"/>
      <c r="BP42" s="1085"/>
      <c r="BQ42" s="1085"/>
      <c r="BR42" s="1085"/>
      <c r="BS42" s="1085" t="s">
        <v>0</v>
      </c>
      <c r="BT42" s="1085"/>
      <c r="BU42" s="1085"/>
      <c r="BV42" s="1085"/>
      <c r="BW42" s="1085"/>
      <c r="BX42" s="1085"/>
      <c r="BY42" s="1085"/>
      <c r="BZ42" s="1085"/>
      <c r="CA42" s="1085"/>
      <c r="CB42" s="1085"/>
    </row>
    <row r="43" spans="1:80" s="11" customFormat="1" ht="12.75" customHeight="1" x14ac:dyDescent="0.2">
      <c r="A43" s="827"/>
      <c r="B43" s="827"/>
      <c r="C43" s="827"/>
      <c r="D43" s="827"/>
      <c r="E43" s="827"/>
      <c r="F43" s="827"/>
      <c r="G43" s="827"/>
      <c r="H43" s="827"/>
      <c r="I43" s="827"/>
      <c r="J43" s="827"/>
      <c r="K43" s="827"/>
      <c r="L43" s="827"/>
      <c r="M43" s="827"/>
      <c r="N43" s="827"/>
      <c r="O43" s="827"/>
      <c r="P43" s="827"/>
      <c r="Q43" s="827"/>
      <c r="R43" s="827"/>
      <c r="S43" s="827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1085" t="s">
        <v>288</v>
      </c>
      <c r="AJ43" s="1085"/>
      <c r="AK43" s="1085"/>
      <c r="AL43" s="1085"/>
      <c r="AM43" s="1085"/>
      <c r="AN43" s="1085"/>
      <c r="AO43" s="1085"/>
      <c r="AP43" s="1085" t="s">
        <v>289</v>
      </c>
      <c r="AQ43" s="1085"/>
      <c r="AR43" s="1085"/>
      <c r="AS43" s="1085"/>
      <c r="AT43" s="1085"/>
      <c r="AU43" s="1085"/>
      <c r="AV43" s="1085"/>
      <c r="AW43" s="1085" t="s">
        <v>291</v>
      </c>
      <c r="AX43" s="1085"/>
      <c r="AY43" s="1085"/>
      <c r="AZ43" s="1085"/>
      <c r="BA43" s="1085"/>
      <c r="BB43" s="1085"/>
      <c r="BC43" s="1085"/>
      <c r="BD43" s="1085" t="s">
        <v>332</v>
      </c>
      <c r="BE43" s="1085"/>
      <c r="BF43" s="1085"/>
      <c r="BG43" s="1085"/>
      <c r="BH43" s="1085"/>
      <c r="BI43" s="1085" t="s">
        <v>290</v>
      </c>
      <c r="BJ43" s="1085"/>
      <c r="BK43" s="1085"/>
      <c r="BL43" s="1085"/>
      <c r="BM43" s="1085"/>
      <c r="BN43" s="1085"/>
      <c r="BO43" s="1085"/>
      <c r="BP43" s="1085"/>
      <c r="BQ43" s="1085"/>
      <c r="BR43" s="1085"/>
      <c r="BS43" s="1085"/>
      <c r="BT43" s="1085"/>
      <c r="BU43" s="1085"/>
      <c r="BV43" s="1085"/>
      <c r="BW43" s="1085"/>
      <c r="BX43" s="1085"/>
      <c r="BY43" s="1085"/>
      <c r="BZ43" s="1085"/>
      <c r="CA43" s="1085"/>
      <c r="CB43" s="1085"/>
    </row>
    <row r="44" spans="1:80" s="11" customFormat="1" ht="11.25" x14ac:dyDescent="0.2">
      <c r="A44" s="827"/>
      <c r="B44" s="827"/>
      <c r="C44" s="827"/>
      <c r="D44" s="827"/>
      <c r="E44" s="827"/>
      <c r="F44" s="827"/>
      <c r="G44" s="827"/>
      <c r="H44" s="827"/>
      <c r="I44" s="827"/>
      <c r="J44" s="827"/>
      <c r="K44" s="827"/>
      <c r="L44" s="827"/>
      <c r="M44" s="827"/>
      <c r="N44" s="827"/>
      <c r="O44" s="827"/>
      <c r="P44" s="827"/>
      <c r="Q44" s="827"/>
      <c r="R44" s="827"/>
      <c r="S44" s="827"/>
      <c r="T44" s="827"/>
      <c r="U44" s="827"/>
      <c r="V44" s="827"/>
      <c r="W44" s="827"/>
      <c r="X44" s="827"/>
      <c r="Y44" s="827"/>
      <c r="Z44" s="827"/>
      <c r="AA44" s="827"/>
      <c r="AB44" s="827"/>
      <c r="AC44" s="827"/>
      <c r="AD44" s="827"/>
      <c r="AE44" s="827"/>
      <c r="AF44" s="827"/>
      <c r="AG44" s="827"/>
      <c r="AH44" s="827"/>
      <c r="AI44" s="1085"/>
      <c r="AJ44" s="1085"/>
      <c r="AK44" s="1085"/>
      <c r="AL44" s="1085"/>
      <c r="AM44" s="1085"/>
      <c r="AN44" s="1085"/>
      <c r="AO44" s="1085"/>
      <c r="AP44" s="1085"/>
      <c r="AQ44" s="1085"/>
      <c r="AR44" s="1085"/>
      <c r="AS44" s="1085"/>
      <c r="AT44" s="1085"/>
      <c r="AU44" s="1085"/>
      <c r="AV44" s="1085"/>
      <c r="AW44" s="1085"/>
      <c r="AX44" s="1085"/>
      <c r="AY44" s="1085"/>
      <c r="AZ44" s="1085"/>
      <c r="BA44" s="1085"/>
      <c r="BB44" s="1085"/>
      <c r="BC44" s="1085"/>
      <c r="BD44" s="1085"/>
      <c r="BE44" s="1085"/>
      <c r="BF44" s="1085"/>
      <c r="BG44" s="1085"/>
      <c r="BH44" s="1085"/>
      <c r="BI44" s="1085"/>
      <c r="BJ44" s="1085"/>
      <c r="BK44" s="1085"/>
      <c r="BL44" s="1085"/>
      <c r="BM44" s="1085"/>
      <c r="BN44" s="1085"/>
      <c r="BO44" s="1085"/>
      <c r="BP44" s="1085"/>
      <c r="BQ44" s="1085"/>
      <c r="BR44" s="1085"/>
      <c r="BS44" s="1085"/>
      <c r="BT44" s="1085"/>
      <c r="BU44" s="1085"/>
      <c r="BV44" s="1085"/>
      <c r="BW44" s="1085"/>
      <c r="BX44" s="1085"/>
      <c r="BY44" s="1085"/>
      <c r="BZ44" s="1085"/>
      <c r="CA44" s="1085"/>
      <c r="CB44" s="1085"/>
    </row>
    <row r="45" spans="1:80" s="11" customFormat="1" ht="11.25" customHeight="1" x14ac:dyDescent="0.2">
      <c r="A45" s="898">
        <v>1</v>
      </c>
      <c r="B45" s="898"/>
      <c r="C45" s="898"/>
      <c r="D45" s="898"/>
      <c r="E45" s="1098" t="s">
        <v>346</v>
      </c>
      <c r="F45" s="1098"/>
      <c r="G45" s="1098"/>
      <c r="H45" s="1098"/>
      <c r="I45" s="1098"/>
      <c r="J45" s="1098"/>
      <c r="K45" s="1098"/>
      <c r="L45" s="1098"/>
      <c r="M45" s="1098"/>
      <c r="N45" s="1098"/>
      <c r="O45" s="1098"/>
      <c r="P45" s="1098"/>
      <c r="Q45" s="1098"/>
      <c r="R45" s="1098"/>
      <c r="S45" s="1098"/>
      <c r="T45" s="1098"/>
      <c r="U45" s="1098"/>
      <c r="V45" s="1098"/>
      <c r="W45" s="1098"/>
      <c r="X45" s="1098"/>
      <c r="Y45" s="1098"/>
      <c r="Z45" s="1098"/>
      <c r="AA45" s="1098"/>
      <c r="AB45" s="1098"/>
      <c r="AC45" s="1098"/>
      <c r="AD45" s="1098"/>
      <c r="AE45" s="1098"/>
      <c r="AF45" s="1098"/>
      <c r="AG45" s="1098"/>
      <c r="AH45" s="1098"/>
      <c r="AI45" s="901" t="s">
        <v>331</v>
      </c>
      <c r="AJ45" s="901"/>
      <c r="AK45" s="901"/>
      <c r="AL45" s="901"/>
      <c r="AM45" s="901"/>
      <c r="AN45" s="901"/>
      <c r="AO45" s="901"/>
      <c r="AP45" s="901" t="str">
        <f>IF('ВЛЗ-6'!AQ35="","",'ВЛЗ-6'!AQ35)</f>
      </c>
      <c r="AQ45" s="901"/>
      <c r="AR45" s="901"/>
      <c r="AS45" s="901"/>
      <c r="AT45" s="901"/>
      <c r="AU45" s="901"/>
      <c r="AV45" s="901"/>
      <c r="AW45" s="901" t="str">
        <f>IF('ВЛЗ-6'!AX35="","",'ВЛЗ-6'!AX35)</f>
      </c>
      <c r="AX45" s="901"/>
      <c r="AY45" s="901"/>
      <c r="AZ45" s="901"/>
      <c r="BA45" s="901"/>
      <c r="BB45" s="901"/>
      <c r="BC45" s="901"/>
      <c r="BD45" s="901" t="s">
        <v>1366</v>
      </c>
      <c r="BE45" s="901"/>
      <c r="BF45" s="901"/>
      <c r="BG45" s="901"/>
      <c r="BH45" s="901"/>
      <c r="BI45" s="901">
        <v>1</v>
      </c>
      <c r="BJ45" s="901"/>
      <c r="BK45" s="901"/>
      <c r="BL45" s="901"/>
      <c r="BM45" s="901"/>
      <c r="BN45" s="901"/>
      <c r="BO45" s="901"/>
      <c r="BP45" s="901"/>
      <c r="BQ45" s="901"/>
      <c r="BR45" s="901"/>
      <c r="BS45" s="901" t="s">
        <v>101</v>
      </c>
      <c r="BT45" s="901"/>
      <c r="BU45" s="901"/>
      <c r="BV45" s="901"/>
      <c r="BW45" s="901"/>
      <c r="BX45" s="901"/>
      <c r="BY45" s="901"/>
      <c r="BZ45" s="901"/>
      <c r="CA45" s="901"/>
      <c r="CB45" s="901"/>
    </row>
    <row r="46" spans="1:80" s="11" customFormat="1" ht="13.5" customHeight="1" x14ac:dyDescent="0.2">
      <c r="A46" s="898">
        <v>2</v>
      </c>
      <c r="B46" s="898"/>
      <c r="C46" s="898"/>
      <c r="D46" s="898"/>
      <c r="E46" s="1098" t="s">
        <v>353</v>
      </c>
      <c r="F46" s="1098"/>
      <c r="G46" s="1098"/>
      <c r="H46" s="1098"/>
      <c r="I46" s="1098"/>
      <c r="J46" s="1098"/>
      <c r="K46" s="1098"/>
      <c r="L46" s="1098"/>
      <c r="M46" s="1098"/>
      <c r="N46" s="1098"/>
      <c r="O46" s="1098"/>
      <c r="P46" s="1098"/>
      <c r="Q46" s="1098"/>
      <c r="R46" s="1098"/>
      <c r="S46" s="1098"/>
      <c r="T46" s="1098"/>
      <c r="U46" s="1098"/>
      <c r="V46" s="1098"/>
      <c r="W46" s="1098"/>
      <c r="X46" s="1098"/>
      <c r="Y46" s="1098"/>
      <c r="Z46" s="1098"/>
      <c r="AA46" s="1098"/>
      <c r="AB46" s="1098"/>
      <c r="AC46" s="1098"/>
      <c r="AD46" s="1098"/>
      <c r="AE46" s="1098"/>
      <c r="AF46" s="1098"/>
      <c r="AG46" s="1098"/>
      <c r="AH46" s="1098"/>
      <c r="AI46" s="901" t="s">
        <v>331</v>
      </c>
      <c r="AJ46" s="901"/>
      <c r="AK46" s="901"/>
      <c r="AL46" s="901"/>
      <c r="AM46" s="901"/>
      <c r="AN46" s="901"/>
      <c r="AO46" s="901"/>
      <c r="AP46" s="901" t="str">
        <f>IF('ВЛЗ-6'!AQ36="","",'ВЛЗ-6'!AQ36)</f>
      </c>
      <c r="AQ46" s="901"/>
      <c r="AR46" s="901"/>
      <c r="AS46" s="901"/>
      <c r="AT46" s="901"/>
      <c r="AU46" s="901"/>
      <c r="AV46" s="901"/>
      <c r="AW46" s="901" t="str">
        <f>IF('ВЛЗ-6'!AX36="","",'ВЛЗ-6'!AX36)</f>
      </c>
      <c r="AX46" s="901"/>
      <c r="AY46" s="901"/>
      <c r="AZ46" s="901"/>
      <c r="BA46" s="901"/>
      <c r="BB46" s="901"/>
      <c r="BC46" s="901"/>
      <c r="BD46" s="901" t="s">
        <v>1367</v>
      </c>
      <c r="BE46" s="901"/>
      <c r="BF46" s="901"/>
      <c r="BG46" s="901"/>
      <c r="BH46" s="901"/>
      <c r="BI46" s="1094" t="s">
        <v>465</v>
      </c>
      <c r="BJ46" s="1094"/>
      <c r="BK46" s="1094"/>
      <c r="BL46" s="1094"/>
      <c r="BM46" s="1094"/>
      <c r="BN46" s="1094"/>
      <c r="BO46" s="1094"/>
      <c r="BP46" s="1094"/>
      <c r="BQ46" s="1094"/>
      <c r="BR46" s="1094"/>
      <c r="BS46" s="901" t="s">
        <v>101</v>
      </c>
      <c r="BT46" s="901"/>
      <c r="BU46" s="901"/>
      <c r="BV46" s="901"/>
      <c r="BW46" s="901"/>
      <c r="BX46" s="901"/>
      <c r="BY46" s="901"/>
      <c r="BZ46" s="901"/>
      <c r="CA46" s="901"/>
      <c r="CB46" s="901"/>
    </row>
    <row r="47" spans="1:80" s="11" customFormat="1" ht="13.5" customHeight="1" x14ac:dyDescent="0.2">
      <c r="A47" s="898">
        <v>3</v>
      </c>
      <c r="B47" s="898"/>
      <c r="C47" s="898"/>
      <c r="D47" s="898"/>
      <c r="E47" s="1098" t="s">
        <v>346</v>
      </c>
      <c r="F47" s="1098"/>
      <c r="G47" s="1098"/>
      <c r="H47" s="1098"/>
      <c r="I47" s="1098"/>
      <c r="J47" s="1098"/>
      <c r="K47" s="1098"/>
      <c r="L47" s="1098"/>
      <c r="M47" s="1098"/>
      <c r="N47" s="1098"/>
      <c r="O47" s="1098"/>
      <c r="P47" s="1098"/>
      <c r="Q47" s="1098"/>
      <c r="R47" s="1098"/>
      <c r="S47" s="1098"/>
      <c r="T47" s="1098"/>
      <c r="U47" s="1098"/>
      <c r="V47" s="1098"/>
      <c r="W47" s="1098"/>
      <c r="X47" s="1098"/>
      <c r="Y47" s="1098"/>
      <c r="Z47" s="1098"/>
      <c r="AA47" s="1098"/>
      <c r="AB47" s="1098"/>
      <c r="AC47" s="1098"/>
      <c r="AD47" s="1098"/>
      <c r="AE47" s="1098"/>
      <c r="AF47" s="1098"/>
      <c r="AG47" s="1098"/>
      <c r="AH47" s="1098"/>
      <c r="AI47" s="901" t="s">
        <v>331</v>
      </c>
      <c r="AJ47" s="901"/>
      <c r="AK47" s="901"/>
      <c r="AL47" s="901"/>
      <c r="AM47" s="901"/>
      <c r="AN47" s="901"/>
      <c r="AO47" s="901"/>
      <c r="AP47" s="901" t="str">
        <f>IF('ВЛЗ-6'!AQ37="","",'ВЛЗ-6'!AQ37)</f>
      </c>
      <c r="AQ47" s="901"/>
      <c r="AR47" s="901"/>
      <c r="AS47" s="901"/>
      <c r="AT47" s="901"/>
      <c r="AU47" s="901"/>
      <c r="AV47" s="901"/>
      <c r="AW47" s="901">
        <f>IF('ВЛЗ-6'!AX37="","",'ВЛЗ-6'!AX37)</f>
      </c>
      <c r="AX47" s="901"/>
      <c r="AY47" s="901"/>
      <c r="AZ47" s="901"/>
      <c r="BA47" s="901"/>
      <c r="BB47" s="901"/>
      <c r="BC47" s="901"/>
      <c r="BD47" s="901" t="s">
        <v>1368</v>
      </c>
      <c r="BE47" s="901"/>
      <c r="BF47" s="901"/>
      <c r="BG47" s="901"/>
      <c r="BH47" s="901"/>
      <c r="BI47" s="1094" t="s">
        <v>101</v>
      </c>
      <c r="BJ47" s="1094"/>
      <c r="BK47" s="1094"/>
      <c r="BL47" s="1094"/>
      <c r="BM47" s="1094"/>
      <c r="BN47" s="1094"/>
      <c r="BO47" s="1094"/>
      <c r="BP47" s="1094"/>
      <c r="BQ47" s="1094"/>
      <c r="BR47" s="1094"/>
      <c r="BS47" s="901" t="str">
        <f>IF('ВЛЗ-6'!BS37="","",'ВЛЗ-6'!BS37)</f>
      </c>
      <c r="BT47" s="901"/>
      <c r="BU47" s="901"/>
      <c r="BV47" s="901"/>
      <c r="BW47" s="901"/>
      <c r="BX47" s="901"/>
      <c r="BY47" s="901"/>
      <c r="BZ47" s="901"/>
      <c r="CA47" s="901"/>
      <c r="CB47" s="901"/>
    </row>
    <row r="48" spans="1:80" s="11" customFormat="1" ht="11.25" x14ac:dyDescent="0.2">
      <c r="AI48" s="347"/>
      <c r="AJ48" s="347"/>
      <c r="AK48" s="347"/>
      <c r="AL48" s="347"/>
      <c r="AM48" s="347"/>
      <c r="AN48" s="347"/>
      <c r="AO48" s="347"/>
      <c r="AP48" s="347"/>
      <c r="AQ48" s="347"/>
      <c r="AR48" s="347"/>
      <c r="AS48" s="347"/>
      <c r="AT48" s="347"/>
      <c r="AU48" s="347"/>
      <c r="AV48" s="347"/>
      <c r="AW48" s="347"/>
      <c r="AX48" s="347"/>
      <c r="AY48" s="347"/>
      <c r="AZ48" s="347"/>
      <c r="BA48" s="347"/>
      <c r="BB48" s="347"/>
      <c r="BC48" s="347"/>
      <c r="BD48" s="347"/>
      <c r="BE48" s="347"/>
      <c r="BF48" s="347"/>
      <c r="BG48" s="347"/>
      <c r="BH48" s="347"/>
      <c r="BI48" s="347"/>
      <c r="BJ48" s="347"/>
      <c r="BK48" s="347"/>
      <c r="BL48" s="347"/>
      <c r="BM48" s="347"/>
      <c r="BN48" s="347"/>
      <c r="BO48" s="347"/>
      <c r="BP48" s="347"/>
      <c r="BQ48" s="347"/>
      <c r="BR48" s="347"/>
      <c r="BS48" s="347"/>
      <c r="BT48" s="347"/>
      <c r="BU48" s="347"/>
      <c r="BV48" s="347"/>
      <c r="BW48" s="347"/>
      <c r="BX48" s="347"/>
      <c r="BY48" s="347"/>
      <c r="BZ48" s="347"/>
      <c r="CA48" s="347"/>
      <c r="CB48" s="347"/>
    </row>
    <row r="49" spans="1:80" s="11" customFormat="1" ht="11.25" x14ac:dyDescent="0.2">
      <c r="A49" s="11" t="s">
        <v>41</v>
      </c>
      <c r="C49" s="11" t="s">
        <v>292</v>
      </c>
    </row>
    <row r="50" spans="1:80" s="11" customFormat="1" ht="13.5" customHeight="1" x14ac:dyDescent="0.2">
      <c r="C50" s="11" t="s">
        <v>293</v>
      </c>
      <c r="V50" s="1099" t="s">
        <v>1291</v>
      </c>
      <c r="W50" s="1099"/>
      <c r="X50" s="1099"/>
      <c r="Y50" s="1099"/>
      <c r="Z50" s="1099"/>
      <c r="AA50" s="1099"/>
      <c r="AB50" s="1099"/>
      <c r="AC50" s="1099"/>
      <c r="AD50" s="1099"/>
      <c r="AE50" s="1099"/>
      <c r="AF50" s="1099"/>
      <c r="AG50" s="1099"/>
      <c r="AH50" s="1099"/>
      <c r="AI50" s="1099"/>
      <c r="AJ50" s="1099"/>
      <c r="AK50" s="1099"/>
      <c r="AL50" s="1099"/>
      <c r="AM50" s="1099"/>
      <c r="AN50" s="1099"/>
      <c r="AO50" s="1099"/>
      <c r="AP50" s="1099"/>
      <c r="AQ50" s="1099"/>
      <c r="AR50" s="1099"/>
      <c r="AS50" s="1099"/>
      <c r="AT50" s="1099"/>
      <c r="AU50" s="1099"/>
      <c r="AV50" s="1099"/>
      <c r="AW50" s="1099"/>
      <c r="AX50" s="1099"/>
      <c r="AY50" s="1099"/>
      <c r="AZ50" s="1099"/>
      <c r="BA50" s="1099"/>
      <c r="BB50" s="1099"/>
      <c r="BC50" s="1099"/>
      <c r="BD50" s="1099"/>
      <c r="BE50" s="1099"/>
      <c r="BF50" s="1099"/>
      <c r="BG50" s="1099"/>
      <c r="BH50" s="1099"/>
      <c r="BI50" s="1099"/>
      <c r="BJ50" s="1099"/>
      <c r="BK50" s="1099"/>
      <c r="BL50" s="1099"/>
      <c r="BM50" s="1099"/>
      <c r="BN50" s="1099"/>
      <c r="BO50" s="1099"/>
      <c r="BP50" s="1099"/>
      <c r="BQ50" s="1099"/>
      <c r="BR50" s="1099"/>
      <c r="BS50" s="1099"/>
      <c r="BT50" s="1099"/>
      <c r="BU50" s="1099"/>
      <c r="BV50" s="1099"/>
      <c r="BW50" s="1099"/>
      <c r="BX50" s="1099"/>
      <c r="BY50" s="1099"/>
      <c r="BZ50" s="1099"/>
      <c r="CA50" s="1099"/>
      <c r="CB50" s="1099"/>
    </row>
    <row r="51" spans="1:80" s="11" customFormat="1" ht="9.75" customHeight="1" x14ac:dyDescent="0.2">
      <c r="V51" s="1099"/>
      <c r="W51" s="1099"/>
      <c r="X51" s="1099"/>
      <c r="Y51" s="1099"/>
      <c r="Z51" s="1099"/>
      <c r="AA51" s="1099"/>
      <c r="AB51" s="1099"/>
      <c r="AC51" s="1099"/>
      <c r="AD51" s="1099"/>
      <c r="AE51" s="1099"/>
      <c r="AF51" s="1099"/>
      <c r="AG51" s="1099"/>
      <c r="AH51" s="1099"/>
      <c r="AI51" s="1099"/>
      <c r="AJ51" s="1099"/>
      <c r="AK51" s="1099"/>
      <c r="AL51" s="1099"/>
      <c r="AM51" s="1099"/>
      <c r="AN51" s="1099"/>
      <c r="AO51" s="1099"/>
      <c r="AP51" s="1099"/>
      <c r="AQ51" s="1099"/>
      <c r="AR51" s="1099"/>
      <c r="AS51" s="1099"/>
      <c r="AT51" s="1099"/>
      <c r="AU51" s="1099"/>
      <c r="AV51" s="1099"/>
      <c r="AW51" s="1099"/>
      <c r="AX51" s="1099"/>
      <c r="AY51" s="1099"/>
      <c r="AZ51" s="1099"/>
      <c r="BA51" s="1099"/>
      <c r="BB51" s="1099"/>
      <c r="BC51" s="1099"/>
      <c r="BD51" s="1099"/>
      <c r="BE51" s="1099"/>
      <c r="BF51" s="1099"/>
      <c r="BG51" s="1099"/>
      <c r="BH51" s="1099"/>
      <c r="BI51" s="1099"/>
      <c r="BJ51" s="1099"/>
      <c r="BK51" s="1099"/>
      <c r="BL51" s="1099"/>
      <c r="BM51" s="1099"/>
      <c r="BN51" s="1099"/>
      <c r="BO51" s="1099"/>
      <c r="BP51" s="1099"/>
      <c r="BQ51" s="1099"/>
      <c r="BR51" s="1099"/>
      <c r="BS51" s="1099"/>
      <c r="BT51" s="1099"/>
      <c r="BU51" s="1099"/>
      <c r="BV51" s="1099"/>
      <c r="BW51" s="1099"/>
      <c r="BX51" s="1099"/>
      <c r="BY51" s="1099"/>
      <c r="BZ51" s="1099"/>
      <c r="CA51" s="1099"/>
      <c r="CB51" s="1099"/>
    </row>
    <row r="52" spans="1:80" s="11" customFormat="1" ht="11.25" x14ac:dyDescent="0.2">
      <c r="A52" s="11" t="s">
        <v>42</v>
      </c>
      <c r="C52" s="11" t="s">
        <v>294</v>
      </c>
      <c r="Q52" s="831" t="s">
        <v>330</v>
      </c>
      <c r="R52" s="831"/>
      <c r="S52" s="831"/>
      <c r="T52" s="831"/>
      <c r="U52" s="831"/>
      <c r="V52" s="831"/>
      <c r="W52" s="831"/>
      <c r="X52" s="831"/>
      <c r="Y52" s="831"/>
      <c r="Z52" s="831"/>
      <c r="AA52" s="831"/>
      <c r="AB52" s="831"/>
      <c r="AC52" s="831"/>
      <c r="AD52" s="831"/>
      <c r="AE52" s="831"/>
      <c r="AF52" s="831"/>
      <c r="AG52" s="831"/>
      <c r="AH52" s="831"/>
      <c r="AI52" s="831"/>
      <c r="AJ52" s="831"/>
      <c r="AK52" s="831"/>
      <c r="AL52" s="831"/>
      <c r="AM52" s="831"/>
      <c r="AN52" s="831"/>
      <c r="AO52" s="831"/>
      <c r="AP52" s="831"/>
      <c r="AQ52" s="831"/>
      <c r="AR52" s="831"/>
      <c r="AS52" s="831"/>
      <c r="AT52" s="831"/>
      <c r="AU52" s="831"/>
      <c r="AV52" s="831"/>
      <c r="AW52" s="831"/>
      <c r="AX52" s="831"/>
      <c r="AY52" s="831"/>
      <c r="AZ52" s="831"/>
      <c r="BA52" s="831"/>
      <c r="BB52" s="831"/>
      <c r="BC52" s="831"/>
      <c r="BD52" s="831"/>
      <c r="BE52" s="831"/>
      <c r="BF52" s="831"/>
      <c r="BG52" s="831"/>
      <c r="BH52" s="831"/>
      <c r="BI52" s="831"/>
      <c r="BJ52" s="831"/>
      <c r="BK52" s="831"/>
      <c r="BL52" s="831"/>
      <c r="BM52" s="831"/>
      <c r="BN52" s="831"/>
      <c r="BO52" s="831"/>
      <c r="BP52" s="831"/>
      <c r="BQ52" s="831"/>
      <c r="BR52" s="831"/>
      <c r="BS52" s="831"/>
      <c r="BT52" s="831"/>
      <c r="BU52" s="831"/>
      <c r="BV52" s="831"/>
      <c r="BW52" s="831"/>
      <c r="BX52" s="831"/>
      <c r="BY52" s="831"/>
      <c r="BZ52" s="831"/>
      <c r="CA52" s="831"/>
      <c r="CB52" s="831"/>
    </row>
    <row r="53" spans="1:80" s="11" customFormat="1" ht="11.25" x14ac:dyDescent="0.2">
      <c r="A53" s="11" t="s">
        <v>47</v>
      </c>
      <c r="C53" s="57" t="s">
        <v>53</v>
      </c>
      <c r="M53" s="831" t="s">
        <v>355</v>
      </c>
      <c r="N53" s="831"/>
      <c r="O53" s="831"/>
      <c r="P53" s="831"/>
      <c r="Q53" s="831"/>
      <c r="R53" s="831"/>
      <c r="S53" s="831"/>
      <c r="T53" s="831"/>
      <c r="U53" s="831"/>
      <c r="V53" s="831"/>
      <c r="W53" s="831"/>
      <c r="X53" s="831"/>
      <c r="Y53" s="831"/>
      <c r="Z53" s="831"/>
      <c r="AA53" s="831"/>
      <c r="AB53" s="831"/>
      <c r="AC53" s="831"/>
      <c r="AD53" s="831"/>
      <c r="AE53" s="831"/>
      <c r="AF53" s="831"/>
      <c r="AG53" s="831"/>
      <c r="AH53" s="831"/>
      <c r="AI53" s="831"/>
      <c r="AJ53" s="831"/>
      <c r="AK53" s="831"/>
      <c r="AL53" s="831"/>
      <c r="AM53" s="831"/>
      <c r="AN53" s="831"/>
      <c r="AO53" s="831"/>
      <c r="AP53" s="831"/>
      <c r="AQ53" s="831"/>
      <c r="AR53" s="831"/>
      <c r="AS53" s="831"/>
      <c r="AT53" s="831"/>
      <c r="AU53" s="831"/>
      <c r="AV53" s="831"/>
      <c r="AW53" s="831"/>
      <c r="AX53" s="831"/>
      <c r="AY53" s="831"/>
      <c r="AZ53" s="831"/>
      <c r="BA53" s="831"/>
      <c r="BB53" s="831"/>
      <c r="BC53" s="831"/>
      <c r="BD53" s="831"/>
      <c r="BE53" s="831"/>
      <c r="BF53" s="831"/>
      <c r="BG53" s="831"/>
      <c r="BH53" s="831"/>
      <c r="BI53" s="831"/>
      <c r="BJ53" s="831"/>
      <c r="BK53" s="831"/>
      <c r="BL53" s="831"/>
      <c r="BM53" s="831"/>
      <c r="BN53" s="831"/>
      <c r="BO53" s="831"/>
      <c r="BP53" s="831"/>
      <c r="BQ53" s="831"/>
      <c r="BR53" s="831"/>
      <c r="BS53" s="831"/>
      <c r="BT53" s="831"/>
      <c r="BU53" s="831"/>
      <c r="BV53" s="831"/>
      <c r="BW53" s="831"/>
      <c r="BX53" s="831"/>
      <c r="BY53" s="831"/>
      <c r="BZ53" s="831"/>
      <c r="CA53" s="831"/>
      <c r="CB53" s="831"/>
    </row>
    <row r="54" spans="1:80" s="11" customFormat="1" ht="11.25" x14ac:dyDescent="0.2"/>
    <row r="55" spans="1:80" s="11" customFormat="1" ht="11.25" x14ac:dyDescent="0.2"/>
    <row r="56" spans="1:80" x14ac:dyDescent="0.2">
      <c r="A56" s="862" t="s">
        <v>68</v>
      </c>
      <c r="B56" s="862"/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862"/>
      <c r="O56" s="862"/>
      <c r="P56" s="862"/>
      <c r="Q56" s="862"/>
      <c r="R56" s="862"/>
      <c r="S56" s="862"/>
      <c r="T56" s="862"/>
      <c r="U56" s="862"/>
      <c r="V56" s="862"/>
      <c r="W56" s="862"/>
      <c r="X56" s="862"/>
      <c r="Y56" s="862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7" spans="1:80" x14ac:dyDescent="0.2">
      <c r="A57" s="893" t="str">
        <f>IF('Данные объект'!C27="","",'Данные объект'!C27)</f>
      </c>
      <c r="B57" s="893"/>
      <c r="C57" s="893"/>
      <c r="D57" s="893"/>
      <c r="E57" s="893"/>
      <c r="F57" s="893"/>
      <c r="G57" s="893"/>
      <c r="H57" s="893"/>
      <c r="I57" s="893"/>
      <c r="J57" s="893"/>
      <c r="K57" s="893"/>
      <c r="L57" s="893"/>
      <c r="M57" s="893"/>
      <c r="N57" s="893"/>
      <c r="O57" s="893"/>
      <c r="P57" s="893"/>
      <c r="Q57" s="893"/>
      <c r="R57" s="893"/>
      <c r="S57" s="893"/>
      <c r="T57" s="893"/>
      <c r="U57" s="893"/>
      <c r="V57" s="893"/>
      <c r="W57" s="893"/>
      <c r="X57" s="893"/>
      <c r="Y57" s="893"/>
      <c r="Z57" s="893"/>
      <c r="AA57" s="893"/>
      <c r="AB57" s="893"/>
      <c r="AC57" s="893"/>
      <c r="AD57" s="893"/>
      <c r="AE57" s="893"/>
      <c r="AF57" s="893"/>
      <c r="AG57" s="893"/>
      <c r="AH57" s="893"/>
      <c r="AI57" s="893"/>
      <c r="AJ57" s="893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</row>
    <row r="58" spans="1:80" x14ac:dyDescent="0.2">
      <c r="A58" s="831"/>
      <c r="B58" s="831"/>
      <c r="C58" s="831"/>
      <c r="D58" s="831"/>
      <c r="E58" s="831"/>
      <c r="F58" s="831"/>
      <c r="G58" s="831"/>
      <c r="H58" s="831"/>
      <c r="I58" s="831"/>
      <c r="J58" s="831"/>
      <c r="K58" s="831"/>
      <c r="L58" s="831"/>
      <c r="M58" s="831"/>
      <c r="N58" s="831"/>
      <c r="O58" s="831"/>
      <c r="P58" s="831"/>
      <c r="Q58" s="831"/>
      <c r="R58" s="831"/>
      <c r="S58" s="831"/>
      <c r="T58" s="831"/>
      <c r="U58" s="831"/>
      <c r="V58" s="831"/>
      <c r="W58" s="831"/>
      <c r="X58" s="831"/>
      <c r="Y58" s="831"/>
      <c r="Z58" s="831"/>
      <c r="AA58" s="831"/>
      <c r="AB58" s="831"/>
      <c r="AC58" s="831"/>
      <c r="AD58" s="831"/>
      <c r="AE58" s="831"/>
      <c r="AF58" s="831"/>
      <c r="AG58" s="831"/>
      <c r="AH58" s="831"/>
      <c r="AI58" s="831"/>
      <c r="AJ58" s="831"/>
      <c r="AK58" s="11"/>
      <c r="AL58" s="11"/>
      <c r="AM58" s="881"/>
      <c r="AN58" s="881"/>
      <c r="AO58" s="881"/>
      <c r="AP58" s="881"/>
      <c r="AQ58" s="881"/>
      <c r="AR58" s="881"/>
      <c r="AS58" s="881"/>
      <c r="AT58" s="881"/>
      <c r="AU58" s="881"/>
      <c r="AV58" s="881"/>
      <c r="AW58" s="881"/>
      <c r="AX58" s="881"/>
      <c r="AY58" s="881"/>
      <c r="AZ58" s="881"/>
      <c r="BA58" s="881"/>
      <c r="BB58" s="881"/>
      <c r="BC58" s="881"/>
      <c r="BD58" s="881"/>
      <c r="BE58" s="881"/>
      <c r="BF58" s="881"/>
      <c r="BG58" s="11"/>
      <c r="BH58" s="11"/>
      <c r="BI58" s="831" t="str">
        <f>IF('Данные объект'!B28="","",'Данные объект'!B28)</f>
      </c>
      <c r="BJ58" s="831"/>
      <c r="BK58" s="831"/>
      <c r="BL58" s="831"/>
      <c r="BM58" s="831"/>
      <c r="BN58" s="831"/>
      <c r="BO58" s="831"/>
      <c r="BP58" s="831"/>
      <c r="BQ58" s="831"/>
      <c r="BR58" s="831"/>
      <c r="BS58" s="831"/>
      <c r="BT58" s="831"/>
      <c r="BU58" s="831"/>
      <c r="BV58" s="831"/>
      <c r="BW58" s="831"/>
      <c r="BX58" s="831"/>
      <c r="BY58" s="831"/>
      <c r="BZ58" s="831"/>
      <c r="CA58" s="831"/>
      <c r="CB58" s="831"/>
    </row>
    <row r="59" spans="1:80" s="5" customFormat="1" ht="8.25" x14ac:dyDescent="0.15">
      <c r="A59" s="838" t="s">
        <v>1</v>
      </c>
      <c r="B59" s="838"/>
      <c r="C59" s="838"/>
      <c r="D59" s="838"/>
      <c r="E59" s="838"/>
      <c r="F59" s="838"/>
      <c r="G59" s="838"/>
      <c r="H59" s="838"/>
      <c r="I59" s="838"/>
      <c r="J59" s="838"/>
      <c r="K59" s="838"/>
      <c r="L59" s="838"/>
      <c r="M59" s="838"/>
      <c r="N59" s="838"/>
      <c r="O59" s="838"/>
      <c r="P59" s="838"/>
      <c r="Q59" s="838"/>
      <c r="R59" s="838"/>
      <c r="S59" s="838"/>
      <c r="T59" s="838"/>
      <c r="U59" s="838"/>
      <c r="V59" s="838"/>
      <c r="W59" s="838"/>
      <c r="X59" s="838"/>
      <c r="Y59" s="838"/>
      <c r="Z59" s="838"/>
      <c r="AA59" s="838"/>
      <c r="AB59" s="838"/>
      <c r="AC59" s="838"/>
      <c r="AD59" s="838"/>
      <c r="AE59" s="838"/>
      <c r="AF59" s="838"/>
      <c r="AG59" s="838"/>
      <c r="AH59" s="838"/>
      <c r="AI59" s="838"/>
      <c r="AJ59" s="838"/>
      <c r="AM59" s="838" t="s">
        <v>2</v>
      </c>
      <c r="AN59" s="838"/>
      <c r="AO59" s="838"/>
      <c r="AP59" s="838"/>
      <c r="AQ59" s="838"/>
      <c r="AR59" s="838"/>
      <c r="AS59" s="838"/>
      <c r="AT59" s="838"/>
      <c r="AU59" s="838"/>
      <c r="AV59" s="838"/>
      <c r="AW59" s="838"/>
      <c r="AX59" s="838"/>
      <c r="AY59" s="838"/>
      <c r="AZ59" s="838"/>
      <c r="BA59" s="838"/>
      <c r="BB59" s="838"/>
      <c r="BC59" s="838"/>
      <c r="BD59" s="838"/>
      <c r="BE59" s="838"/>
      <c r="BF59" s="838"/>
      <c r="BI59" s="858" t="s">
        <v>3</v>
      </c>
      <c r="BJ59" s="858"/>
      <c r="BK59" s="858"/>
      <c r="BL59" s="858"/>
      <c r="BM59" s="858"/>
      <c r="BN59" s="858"/>
      <c r="BO59" s="858"/>
      <c r="BP59" s="858"/>
      <c r="BQ59" s="858"/>
      <c r="BR59" s="858"/>
      <c r="BS59" s="858"/>
      <c r="BT59" s="858"/>
      <c r="BU59" s="858"/>
      <c r="BV59" s="858"/>
      <c r="BW59" s="858"/>
      <c r="BX59" s="858"/>
      <c r="BY59" s="858"/>
      <c r="BZ59" s="858"/>
      <c r="CA59" s="858"/>
      <c r="CB59" s="858"/>
    </row>
    <row r="62" spans="1:80" outlineLevel="1" x14ac:dyDescent="0.2">
      <c r="A62" s="862" t="s">
        <v>344</v>
      </c>
      <c r="B62" s="862"/>
      <c r="C62" s="862"/>
      <c r="D62" s="862"/>
      <c r="E62" s="862"/>
      <c r="F62" s="862"/>
      <c r="G62" s="862"/>
      <c r="H62" s="862"/>
      <c r="I62" s="862"/>
      <c r="J62" s="862"/>
      <c r="K62" s="862"/>
      <c r="L62" s="862"/>
      <c r="M62" s="862"/>
      <c r="N62" s="862"/>
      <c r="O62" s="862"/>
      <c r="P62" s="862"/>
      <c r="Q62" s="862"/>
      <c r="R62" s="862"/>
      <c r="S62" s="862"/>
      <c r="T62" s="862"/>
      <c r="U62" s="862"/>
      <c r="V62" s="862"/>
      <c r="W62" s="862"/>
      <c r="X62" s="862"/>
      <c r="Y62" s="862"/>
      <c r="Z62" s="862"/>
      <c r="AA62" s="862"/>
      <c r="AB62" s="862"/>
      <c r="AC62" s="862"/>
      <c r="AD62" s="862"/>
      <c r="AE62" s="862"/>
      <c r="AF62" s="862"/>
      <c r="AG62" s="862"/>
      <c r="AH62" s="862"/>
      <c r="AI62" s="862"/>
      <c r="AJ62" s="862"/>
    </row>
    <row r="63" spans="1:80" ht="13.5" customHeight="1" outlineLevel="1" x14ac:dyDescent="0.2">
      <c r="A63" s="871" t="str">
        <f>IF('Данные объект'!C42="","",'Данные объект'!C42)</f>
      </c>
      <c r="B63" s="871"/>
      <c r="C63" s="871"/>
      <c r="D63" s="871"/>
      <c r="E63" s="871"/>
      <c r="F63" s="871"/>
      <c r="G63" s="871"/>
      <c r="H63" s="871"/>
      <c r="I63" s="871"/>
      <c r="J63" s="871"/>
      <c r="K63" s="871"/>
      <c r="L63" s="871"/>
      <c r="M63" s="871"/>
      <c r="N63" s="871"/>
      <c r="O63" s="871"/>
      <c r="P63" s="871"/>
      <c r="Q63" s="871"/>
      <c r="R63" s="871"/>
      <c r="S63" s="871"/>
      <c r="T63" s="871"/>
      <c r="U63" s="871"/>
      <c r="V63" s="871"/>
      <c r="W63" s="871"/>
      <c r="X63" s="871"/>
      <c r="Y63" s="871"/>
      <c r="Z63" s="871"/>
      <c r="AA63" s="871"/>
      <c r="AB63" s="871"/>
      <c r="AC63" s="871"/>
      <c r="AD63" s="871"/>
      <c r="AE63" s="871"/>
      <c r="AF63" s="871"/>
      <c r="AG63" s="871"/>
      <c r="AH63" s="871"/>
      <c r="AI63" s="871"/>
      <c r="AJ63" s="871"/>
    </row>
    <row r="64" spans="1:80" outlineLevel="1" x14ac:dyDescent="0.2">
      <c r="A64" s="825"/>
      <c r="B64" s="825"/>
      <c r="C64" s="825"/>
      <c r="D64" s="825"/>
      <c r="E64" s="825"/>
      <c r="F64" s="825"/>
      <c r="G64" s="825"/>
      <c r="H64" s="825"/>
      <c r="I64" s="825"/>
      <c r="J64" s="825"/>
      <c r="K64" s="825"/>
      <c r="L64" s="825"/>
      <c r="M64" s="825"/>
      <c r="N64" s="825"/>
      <c r="O64" s="825"/>
      <c r="P64" s="825"/>
      <c r="Q64" s="825"/>
      <c r="R64" s="825"/>
      <c r="S64" s="825"/>
      <c r="T64" s="825"/>
      <c r="U64" s="825"/>
      <c r="V64" s="825"/>
      <c r="W64" s="825"/>
      <c r="X64" s="825"/>
      <c r="Y64" s="825"/>
      <c r="Z64" s="825"/>
      <c r="AA64" s="825"/>
      <c r="AB64" s="825"/>
      <c r="AC64" s="825"/>
      <c r="AD64" s="825"/>
      <c r="AE64" s="825"/>
      <c r="AF64" s="825"/>
      <c r="AG64" s="825"/>
      <c r="AH64" s="825"/>
      <c r="AI64" s="825"/>
      <c r="AJ64" s="825"/>
      <c r="AM64" s="882"/>
      <c r="AN64" s="882"/>
      <c r="AO64" s="882"/>
      <c r="AP64" s="882"/>
      <c r="AQ64" s="882"/>
      <c r="AR64" s="882"/>
      <c r="AS64" s="882"/>
      <c r="AT64" s="882"/>
      <c r="AU64" s="882"/>
      <c r="AV64" s="882"/>
      <c r="AW64" s="882"/>
      <c r="AX64" s="882"/>
      <c r="AY64" s="882"/>
      <c r="AZ64" s="882"/>
      <c r="BA64" s="882"/>
      <c r="BB64" s="882"/>
      <c r="BC64" s="882"/>
      <c r="BD64" s="882"/>
      <c r="BE64" s="882"/>
      <c r="BF64" s="882"/>
      <c r="BI64" s="831" t="str">
        <f>IF('Данные объект'!B42="","",'Данные объект'!B42)</f>
      </c>
      <c r="BJ64" s="831"/>
      <c r="BK64" s="831"/>
      <c r="BL64" s="831"/>
      <c r="BM64" s="831"/>
      <c r="BN64" s="831"/>
      <c r="BO64" s="831"/>
      <c r="BP64" s="831"/>
      <c r="BQ64" s="831"/>
      <c r="BR64" s="831"/>
      <c r="BS64" s="831"/>
      <c r="BT64" s="831"/>
      <c r="BU64" s="831"/>
      <c r="BV64" s="831"/>
      <c r="BW64" s="831"/>
      <c r="BX64" s="831"/>
      <c r="BY64" s="831"/>
      <c r="BZ64" s="831"/>
      <c r="CA64" s="831"/>
      <c r="CB64" s="831"/>
    </row>
    <row r="65" spans="1:80" s="5" customFormat="1" ht="8.25" outlineLevel="1" x14ac:dyDescent="0.15">
      <c r="A65" s="838" t="s">
        <v>1</v>
      </c>
      <c r="B65" s="838"/>
      <c r="C65" s="838"/>
      <c r="D65" s="838"/>
      <c r="E65" s="838"/>
      <c r="F65" s="838"/>
      <c r="G65" s="838"/>
      <c r="H65" s="838"/>
      <c r="I65" s="838"/>
      <c r="J65" s="838"/>
      <c r="K65" s="838"/>
      <c r="L65" s="838"/>
      <c r="M65" s="838"/>
      <c r="N65" s="838"/>
      <c r="O65" s="838"/>
      <c r="P65" s="838"/>
      <c r="Q65" s="838"/>
      <c r="R65" s="838"/>
      <c r="S65" s="838"/>
      <c r="T65" s="838"/>
      <c r="U65" s="838"/>
      <c r="V65" s="838"/>
      <c r="W65" s="838"/>
      <c r="X65" s="838"/>
      <c r="Y65" s="838"/>
      <c r="Z65" s="838"/>
      <c r="AA65" s="838"/>
      <c r="AB65" s="838"/>
      <c r="AC65" s="838"/>
      <c r="AD65" s="838"/>
      <c r="AE65" s="838"/>
      <c r="AF65" s="838"/>
      <c r="AG65" s="838"/>
      <c r="AH65" s="838"/>
      <c r="AI65" s="838"/>
      <c r="AJ65" s="838"/>
      <c r="AM65" s="838" t="s">
        <v>2</v>
      </c>
      <c r="AN65" s="838"/>
      <c r="AO65" s="838"/>
      <c r="AP65" s="838"/>
      <c r="AQ65" s="838"/>
      <c r="AR65" s="838"/>
      <c r="AS65" s="838"/>
      <c r="AT65" s="838"/>
      <c r="AU65" s="838"/>
      <c r="AV65" s="838"/>
      <c r="AW65" s="838"/>
      <c r="AX65" s="838"/>
      <c r="AY65" s="838"/>
      <c r="AZ65" s="838"/>
      <c r="BA65" s="838"/>
      <c r="BB65" s="838"/>
      <c r="BC65" s="838"/>
      <c r="BD65" s="838"/>
      <c r="BE65" s="838"/>
      <c r="BF65" s="838"/>
      <c r="BI65" s="858" t="s">
        <v>3</v>
      </c>
      <c r="BJ65" s="858"/>
      <c r="BK65" s="858"/>
      <c r="BL65" s="858"/>
      <c r="BM65" s="858"/>
      <c r="BN65" s="858"/>
      <c r="BO65" s="858"/>
      <c r="BP65" s="858"/>
      <c r="BQ65" s="858"/>
      <c r="BR65" s="858"/>
      <c r="BS65" s="858"/>
      <c r="BT65" s="858"/>
      <c r="BU65" s="858"/>
      <c r="BV65" s="858"/>
      <c r="BW65" s="858"/>
      <c r="BX65" s="858"/>
      <c r="BY65" s="858"/>
      <c r="BZ65" s="858"/>
      <c r="CA65" s="858"/>
      <c r="CB65" s="858"/>
    </row>
    <row r="66" spans="1:80" outlineLevel="1" x14ac:dyDescent="0.2"/>
    <row r="67" spans="1:80" x14ac:dyDescent="0.2"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0" x14ac:dyDescent="0.2">
      <c r="A68" s="871" t="str">
        <f>IF('Данные объект'!C45="","",'Данные объект'!C45)</f>
      </c>
      <c r="B68" s="871"/>
      <c r="C68" s="871"/>
      <c r="D68" s="871"/>
      <c r="E68" s="871"/>
      <c r="F68" s="871"/>
      <c r="G68" s="871"/>
      <c r="H68" s="871"/>
      <c r="I68" s="871"/>
      <c r="J68" s="871"/>
      <c r="K68" s="871"/>
      <c r="L68" s="871"/>
      <c r="M68" s="871"/>
      <c r="N68" s="871"/>
      <c r="O68" s="871"/>
      <c r="P68" s="871"/>
      <c r="Q68" s="871"/>
      <c r="R68" s="871"/>
      <c r="S68" s="871"/>
      <c r="T68" s="871"/>
      <c r="U68" s="871"/>
      <c r="V68" s="871"/>
      <c r="W68" s="871"/>
      <c r="X68" s="871"/>
      <c r="Y68" s="871"/>
      <c r="Z68" s="871"/>
      <c r="AA68" s="871"/>
      <c r="AB68" s="871"/>
      <c r="AC68" s="871"/>
      <c r="AD68" s="871"/>
      <c r="AE68" s="871"/>
      <c r="AF68" s="871"/>
      <c r="AG68" s="871"/>
      <c r="AH68" s="871"/>
      <c r="AI68" s="871"/>
      <c r="AJ68" s="87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0" x14ac:dyDescent="0.2">
      <c r="A69" s="825"/>
      <c r="B69" s="825"/>
      <c r="C69" s="825"/>
      <c r="D69" s="825"/>
      <c r="E69" s="825"/>
      <c r="F69" s="825"/>
      <c r="G69" s="825"/>
      <c r="H69" s="825"/>
      <c r="I69" s="825"/>
      <c r="J69" s="825"/>
      <c r="K69" s="825"/>
      <c r="L69" s="825"/>
      <c r="M69" s="825"/>
      <c r="N69" s="825"/>
      <c r="O69" s="825"/>
      <c r="P69" s="825"/>
      <c r="Q69" s="825"/>
      <c r="R69" s="825"/>
      <c r="S69" s="825"/>
      <c r="T69" s="825"/>
      <c r="U69" s="825"/>
      <c r="V69" s="825"/>
      <c r="W69" s="825"/>
      <c r="X69" s="825"/>
      <c r="Y69" s="825"/>
      <c r="Z69" s="825"/>
      <c r="AA69" s="825"/>
      <c r="AB69" s="825"/>
      <c r="AC69" s="825"/>
      <c r="AD69" s="825"/>
      <c r="AE69" s="825"/>
      <c r="AF69" s="825"/>
      <c r="AG69" s="825"/>
      <c r="AH69" s="825"/>
      <c r="AI69" s="825"/>
      <c r="AJ69" s="825"/>
      <c r="AK69" s="11"/>
      <c r="AL69" s="11"/>
      <c r="AM69" s="881"/>
      <c r="AN69" s="881"/>
      <c r="AO69" s="881"/>
      <c r="AP69" s="881"/>
      <c r="AQ69" s="881"/>
      <c r="AR69" s="881"/>
      <c r="AS69" s="881"/>
      <c r="AT69" s="881"/>
      <c r="AU69" s="881"/>
      <c r="AV69" s="881"/>
      <c r="AW69" s="881"/>
      <c r="AX69" s="881"/>
      <c r="AY69" s="881"/>
      <c r="AZ69" s="881"/>
      <c r="BA69" s="881"/>
      <c r="BB69" s="881"/>
      <c r="BC69" s="881"/>
      <c r="BD69" s="881"/>
      <c r="BE69" s="881"/>
      <c r="BF69" s="881"/>
      <c r="BG69" s="11"/>
      <c r="BH69" s="11"/>
      <c r="BI69" s="831" t="str">
        <f>IF('Данные объект'!B47="","",'Данные объект'!B47)</f>
      </c>
      <c r="BJ69" s="831"/>
      <c r="BK69" s="831"/>
      <c r="BL69" s="831"/>
      <c r="BM69" s="831"/>
      <c r="BN69" s="831"/>
      <c r="BO69" s="831"/>
      <c r="BP69" s="831"/>
      <c r="BQ69" s="831"/>
      <c r="BR69" s="831"/>
      <c r="BS69" s="831"/>
      <c r="BT69" s="831"/>
      <c r="BU69" s="831"/>
      <c r="BV69" s="831"/>
      <c r="BW69" s="831"/>
      <c r="BX69" s="831"/>
      <c r="BY69" s="831"/>
      <c r="BZ69" s="831"/>
      <c r="CA69" s="831"/>
      <c r="CB69" s="831"/>
    </row>
    <row r="70" spans="1:80" s="5" customFormat="1" ht="8.25" x14ac:dyDescent="0.15">
      <c r="A70" s="838" t="s">
        <v>1</v>
      </c>
      <c r="B70" s="838"/>
      <c r="C70" s="838"/>
      <c r="D70" s="838"/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838"/>
      <c r="S70" s="838"/>
      <c r="T70" s="838"/>
      <c r="U70" s="838"/>
      <c r="V70" s="838"/>
      <c r="W70" s="838"/>
      <c r="X70" s="838"/>
      <c r="Y70" s="838"/>
      <c r="Z70" s="838"/>
      <c r="AA70" s="838"/>
      <c r="AB70" s="838"/>
      <c r="AC70" s="838"/>
      <c r="AD70" s="838"/>
      <c r="AE70" s="838"/>
      <c r="AF70" s="838"/>
      <c r="AG70" s="838"/>
      <c r="AH70" s="838"/>
      <c r="AI70" s="838"/>
      <c r="AJ70" s="838"/>
      <c r="AM70" s="838" t="s">
        <v>2</v>
      </c>
      <c r="AN70" s="838"/>
      <c r="AO70" s="838"/>
      <c r="AP70" s="838"/>
      <c r="AQ70" s="838"/>
      <c r="AR70" s="838"/>
      <c r="AS70" s="838"/>
      <c r="AT70" s="838"/>
      <c r="AU70" s="838"/>
      <c r="AV70" s="838"/>
      <c r="AW70" s="838"/>
      <c r="AX70" s="838"/>
      <c r="AY70" s="838"/>
      <c r="AZ70" s="838"/>
      <c r="BA70" s="838"/>
      <c r="BB70" s="838"/>
      <c r="BC70" s="838"/>
      <c r="BD70" s="838"/>
      <c r="BE70" s="838"/>
      <c r="BF70" s="838"/>
      <c r="BI70" s="858" t="s">
        <v>3</v>
      </c>
      <c r="BJ70" s="858"/>
      <c r="BK70" s="858"/>
      <c r="BL70" s="858"/>
      <c r="BM70" s="858"/>
      <c r="BN70" s="858"/>
      <c r="BO70" s="858"/>
      <c r="BP70" s="858"/>
      <c r="BQ70" s="858"/>
      <c r="BR70" s="858"/>
      <c r="BS70" s="858"/>
      <c r="BT70" s="858"/>
      <c r="BU70" s="858"/>
      <c r="BV70" s="858"/>
      <c r="BW70" s="858"/>
      <c r="BX70" s="858"/>
      <c r="BY70" s="858"/>
      <c r="BZ70" s="858"/>
      <c r="CA70" s="858"/>
      <c r="CB70" s="858"/>
    </row>
  </sheetData>
  <mergeCells count="92">
    <mergeCell ref="AM58:BF58"/>
    <mergeCell ref="BI58:CB58"/>
    <mergeCell ref="A59:AJ59"/>
    <mergeCell ref="AM59:BF59"/>
    <mergeCell ref="BI59:CB59"/>
    <mergeCell ref="A57:AJ58"/>
    <mergeCell ref="A62:AJ62"/>
    <mergeCell ref="A68:AJ69"/>
    <mergeCell ref="AM69:BF69"/>
    <mergeCell ref="BI69:CB69"/>
    <mergeCell ref="A70:AJ70"/>
    <mergeCell ref="AM70:BF70"/>
    <mergeCell ref="BI70:CB70"/>
    <mergeCell ref="A63:AJ64"/>
    <mergeCell ref="AM64:BF64"/>
    <mergeCell ref="BI64:CB64"/>
    <mergeCell ref="A65:AJ65"/>
    <mergeCell ref="AM65:BF65"/>
    <mergeCell ref="BI65:CB65"/>
    <mergeCell ref="Q52:CB52"/>
    <mergeCell ref="AW46:BC46"/>
    <mergeCell ref="V50:CB51"/>
    <mergeCell ref="M53:CB53"/>
    <mergeCell ref="A56:AJ56"/>
    <mergeCell ref="N38:CB38"/>
    <mergeCell ref="BI45:BR45"/>
    <mergeCell ref="A45:D45"/>
    <mergeCell ref="A46:D46"/>
    <mergeCell ref="A47:D47"/>
    <mergeCell ref="BD45:BH45"/>
    <mergeCell ref="BD46:BH46"/>
    <mergeCell ref="BD47:BH47"/>
    <mergeCell ref="AP45:AV45"/>
    <mergeCell ref="AI45:AO45"/>
    <mergeCell ref="AI46:AO46"/>
    <mergeCell ref="E45:AH45"/>
    <mergeCell ref="E46:AH46"/>
    <mergeCell ref="E47:AH47"/>
    <mergeCell ref="AI47:AO47"/>
    <mergeCell ref="AW45:BC45"/>
    <mergeCell ref="A5:AI5"/>
    <mergeCell ref="AR5:BZ5"/>
    <mergeCell ref="BS45:CB45"/>
    <mergeCell ref="BO34:CB34"/>
    <mergeCell ref="O34:BD34"/>
    <mergeCell ref="R40:CB40"/>
    <mergeCell ref="A42:D44"/>
    <mergeCell ref="BI43:BR44"/>
    <mergeCell ref="BS42:CB44"/>
    <mergeCell ref="R39:CB39"/>
    <mergeCell ref="BD43:BH44"/>
    <mergeCell ref="AP43:AV44"/>
    <mergeCell ref="AI42:BR42"/>
    <mergeCell ref="E42:AH44"/>
    <mergeCell ref="AW43:BC44"/>
    <mergeCell ref="N37:CB37"/>
    <mergeCell ref="A2:AI2"/>
    <mergeCell ref="A3:AI3"/>
    <mergeCell ref="AR1:BZ2"/>
    <mergeCell ref="AR3:BZ3"/>
    <mergeCell ref="A4:AI4"/>
    <mergeCell ref="AR4:BZ4"/>
    <mergeCell ref="T36:CB36"/>
    <mergeCell ref="A28:CB28"/>
    <mergeCell ref="C32:CB32"/>
    <mergeCell ref="C33:CA33"/>
    <mergeCell ref="A10:AI10"/>
    <mergeCell ref="A11:AI11"/>
    <mergeCell ref="A18:CB18"/>
    <mergeCell ref="A19:CB19"/>
    <mergeCell ref="A21:CB21"/>
    <mergeCell ref="A13:CB13"/>
    <mergeCell ref="A24:CB24"/>
    <mergeCell ref="A25:CB25"/>
    <mergeCell ref="A14:CB14"/>
    <mergeCell ref="AR12:BZ12"/>
    <mergeCell ref="AR6:BZ9"/>
    <mergeCell ref="A8:AI9"/>
    <mergeCell ref="AR10:BZ10"/>
    <mergeCell ref="AR11:BZ11"/>
    <mergeCell ref="AW47:BC47"/>
    <mergeCell ref="AI43:AO44"/>
    <mergeCell ref="BS46:CB46"/>
    <mergeCell ref="BS47:CB47"/>
    <mergeCell ref="BI46:BR46"/>
    <mergeCell ref="BI47:BR47"/>
    <mergeCell ref="AP46:AV46"/>
    <mergeCell ref="AP47:AV47"/>
    <mergeCell ref="A22:CB22"/>
    <mergeCell ref="A27:CB27"/>
    <mergeCell ref="O35:BD35"/>
    <mergeCell ref="BO35:CB35"/>
  </mergeCells>
  <pageMargins left="0.25362318840579712" right="0.19685039370078741" top="0.39370078740157483" bottom="0.39370078740157483" header="0.11811023622047245" footer="0.1181102362204724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FC3D-A132-4200-8175-5B27585D73CE}">
  <sheetPr>
    <tabColor rgb="FFCC99FF"/>
  </sheetPr>
  <dimension ref="A1:FP98"/>
  <sheetViews>
    <sheetView view="pageBreakPreview" zoomScaleNormal="100" zoomScaleSheetLayoutView="100" workbookViewId="0">
      <selection activeCell="DR30" sqref="DR30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9.6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72" s="40" customFormat="1" ht="20.45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x14ac:dyDescent="0.25">
      <c r="A14" s="931" t="s">
        <v>1253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3" s="2" customFormat="1" ht="12.75" x14ac:dyDescent="0.2">
      <c r="A17" s="926" t="str">
        <f>IF('Данные объект'!C42="","",'Данные объект'!C42)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83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83" s="2" customFormat="1" ht="12.75" x14ac:dyDescent="0.2">
      <c r="A19" s="926" t="str">
        <f>IF('Данные объект'!C45="","",'Данные объект'!C45)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83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83" s="11" customFormat="1" ht="11.25" x14ac:dyDescent="0.2">
      <c r="A21" s="11" t="s">
        <v>30</v>
      </c>
    </row>
    <row r="22" spans="1:83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83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83" s="310" customFormat="1" ht="15" customHeight="1" x14ac:dyDescent="0.2">
      <c r="A24" s="113" t="s">
        <v>460</v>
      </c>
    </row>
    <row r="25" spans="1:83" s="310" customFormat="1" ht="15" customHeight="1" x14ac:dyDescent="0.2">
      <c r="A25" s="1017" t="str">
        <f>IF('Данные объект'!B19="","",'Данные объект'!B19)</f>
      </c>
      <c r="B25" s="1017"/>
      <c r="C25" s="1017"/>
      <c r="D25" s="1017"/>
      <c r="E25" s="1017"/>
      <c r="F25" s="1017"/>
      <c r="G25" s="1017"/>
      <c r="H25" s="1017"/>
      <c r="I25" s="1017"/>
      <c r="J25" s="1017"/>
      <c r="K25" s="1017"/>
      <c r="L25" s="1017"/>
      <c r="M25" s="1017"/>
      <c r="N25" s="1017"/>
      <c r="O25" s="1017"/>
      <c r="P25" s="1017"/>
      <c r="Q25" s="1017"/>
      <c r="R25" s="1017"/>
      <c r="S25" s="1017"/>
      <c r="T25" s="1017"/>
      <c r="U25" s="1017"/>
      <c r="V25" s="1017"/>
      <c r="W25" s="1017"/>
      <c r="X25" s="1017"/>
      <c r="Y25" s="1017"/>
      <c r="Z25" s="1017"/>
      <c r="AA25" s="1017"/>
      <c r="AB25" s="1017"/>
      <c r="AC25" s="1017"/>
      <c r="AD25" s="1017"/>
      <c r="AE25" s="1017"/>
      <c r="AF25" s="1017"/>
      <c r="AG25" s="1017"/>
      <c r="AH25" s="1017"/>
      <c r="AI25" s="1017"/>
      <c r="AJ25" s="1017"/>
      <c r="AK25" s="1017"/>
      <c r="AL25" s="1017"/>
      <c r="AM25" s="1017"/>
      <c r="AN25" s="1017"/>
      <c r="AO25" s="1017"/>
      <c r="AP25" s="1017"/>
      <c r="AQ25" s="1017"/>
      <c r="AR25" s="1017"/>
      <c r="AS25" s="1017"/>
      <c r="AT25" s="1017"/>
      <c r="AU25" s="1017"/>
      <c r="AV25" s="1017"/>
      <c r="AW25" s="1017"/>
      <c r="AX25" s="1017"/>
      <c r="AY25" s="1017"/>
      <c r="AZ25" s="1017"/>
      <c r="BA25" s="1017"/>
      <c r="BB25" s="1017"/>
      <c r="BC25" s="1017"/>
      <c r="BD25" s="1017"/>
      <c r="BE25" s="1017"/>
      <c r="BF25" s="1017"/>
      <c r="BG25" s="1017"/>
      <c r="BH25" s="1017"/>
      <c r="BI25" s="1017"/>
      <c r="BJ25" s="1017"/>
      <c r="BK25" s="1017"/>
      <c r="BL25" s="1017"/>
      <c r="BM25" s="1017"/>
      <c r="BN25" s="1017"/>
      <c r="BO25" s="1017"/>
      <c r="BP25" s="1017"/>
      <c r="BQ25" s="1017"/>
      <c r="BR25" s="1017"/>
      <c r="BS25" s="1017"/>
      <c r="BT25" s="1017"/>
      <c r="BU25" s="1017"/>
      <c r="BV25" s="1017"/>
      <c r="BW25" s="1017"/>
      <c r="BX25" s="1017"/>
      <c r="BY25" s="1017"/>
    </row>
    <row r="26" spans="1:83" s="310" customFormat="1" ht="10.15" customHeight="1" x14ac:dyDescent="0.2">
      <c r="A26" s="112" t="s">
        <v>459</v>
      </c>
    </row>
    <row r="27" spans="1:83" s="310" customFormat="1" x14ac:dyDescent="0.25">
      <c r="A27" s="95" t="s">
        <v>576</v>
      </c>
      <c r="B27" s="311"/>
    </row>
    <row r="28" spans="1:83" s="310" customFormat="1" ht="15" customHeight="1" x14ac:dyDescent="0.2">
      <c r="A28" s="113" t="s">
        <v>458</v>
      </c>
    </row>
    <row r="29" spans="1:83" s="310" customFormat="1" ht="24.75" customHeight="1" x14ac:dyDescent="0.2">
      <c r="A29" s="1018" t="s">
        <v>577</v>
      </c>
      <c r="B29" s="1018"/>
      <c r="C29" s="1018"/>
      <c r="D29" s="1018"/>
      <c r="E29" s="1018"/>
      <c r="F29" s="1018"/>
      <c r="G29" s="1018"/>
      <c r="H29" s="1018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18"/>
      <c r="U29" s="1018"/>
      <c r="V29" s="1018"/>
      <c r="W29" s="1018"/>
      <c r="X29" s="1018"/>
      <c r="Y29" s="1018"/>
      <c r="Z29" s="1018"/>
      <c r="AA29" s="1018"/>
      <c r="AB29" s="1018"/>
      <c r="AC29" s="1018"/>
      <c r="AD29" s="1018"/>
      <c r="AE29" s="1018"/>
      <c r="AF29" s="1018"/>
      <c r="AG29" s="1018"/>
      <c r="AH29" s="1018"/>
      <c r="AI29" s="1018"/>
      <c r="AJ29" s="1018"/>
      <c r="AK29" s="1018"/>
      <c r="AL29" s="1018"/>
      <c r="AM29" s="1018"/>
      <c r="AN29" s="1018"/>
      <c r="AO29" s="1018"/>
      <c r="AP29" s="1018"/>
      <c r="AQ29" s="1018"/>
      <c r="AR29" s="1018"/>
      <c r="AS29" s="1018"/>
      <c r="AT29" s="1018"/>
      <c r="AU29" s="1018"/>
      <c r="AV29" s="1018"/>
      <c r="AW29" s="1018"/>
      <c r="AX29" s="1018"/>
      <c r="AY29" s="1018"/>
      <c r="AZ29" s="1018"/>
      <c r="BA29" s="1018"/>
      <c r="BB29" s="1018"/>
      <c r="BC29" s="1018"/>
      <c r="BD29" s="1018"/>
      <c r="BE29" s="1018"/>
      <c r="BF29" s="1018"/>
      <c r="BG29" s="1018"/>
      <c r="BH29" s="1018"/>
      <c r="BI29" s="1018"/>
      <c r="BJ29" s="1018"/>
      <c r="BK29" s="1018"/>
      <c r="BL29" s="1018"/>
      <c r="BM29" s="1018"/>
      <c r="BN29" s="1018"/>
      <c r="BO29" s="1018"/>
      <c r="BP29" s="1018"/>
      <c r="BQ29" s="1018"/>
      <c r="BR29" s="1018"/>
      <c r="BS29" s="1018"/>
      <c r="BT29" s="1018"/>
      <c r="BU29" s="1018"/>
      <c r="BV29" s="1018"/>
      <c r="BW29" s="1018"/>
      <c r="BX29" s="1018"/>
      <c r="BY29" s="1018"/>
      <c r="BZ29" s="1018"/>
      <c r="CA29" s="1018"/>
      <c r="CB29" s="1018"/>
      <c r="CC29" s="1018"/>
      <c r="CD29" s="1018"/>
      <c r="CE29" s="1018"/>
    </row>
    <row r="30" spans="1:83" s="310" customFormat="1" ht="15" customHeight="1" x14ac:dyDescent="0.2">
      <c r="A30" s="315" t="s">
        <v>457</v>
      </c>
      <c r="B30" s="316"/>
    </row>
    <row r="31" spans="1:83" s="310" customFormat="1" ht="15" customHeight="1" x14ac:dyDescent="0.2">
      <c r="A31" s="113" t="s">
        <v>456</v>
      </c>
      <c r="B31" s="113"/>
    </row>
    <row r="32" spans="1:83" s="310" customFormat="1" ht="15" customHeight="1" x14ac:dyDescent="0.2">
      <c r="A32" s="315" t="s">
        <v>455</v>
      </c>
      <c r="B32" s="316"/>
    </row>
    <row r="33" spans="1:92" s="310" customFormat="1" ht="12.75" x14ac:dyDescent="0.2">
      <c r="A33" s="94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T33" s="95"/>
      <c r="U33" s="94"/>
      <c r="V33" s="94"/>
    </row>
    <row r="34" spans="1:92" s="2" customFormat="1" ht="12.75" x14ac:dyDescent="0.2">
      <c r="A34" s="11"/>
      <c r="B34" s="11"/>
      <c r="C34" s="11"/>
      <c r="D34" s="45" t="s">
        <v>59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855"/>
      <c r="AN34" s="855"/>
      <c r="AO34" s="855"/>
      <c r="AP34" s="855"/>
      <c r="AQ34" s="855"/>
      <c r="AR34" s="855"/>
      <c r="AS34" s="855"/>
      <c r="AT34" s="855"/>
      <c r="AU34" s="855"/>
      <c r="AV34" s="855"/>
      <c r="AW34" s="855"/>
      <c r="AX34" s="855"/>
      <c r="AY34" s="855"/>
      <c r="AZ34" s="11"/>
      <c r="BA34" s="11"/>
      <c r="BB34" s="11"/>
      <c r="BC34" s="893" t="str">
        <f>IF('Данные объект'!B42="","",'Данные объект'!B42)</f>
      </c>
      <c r="BD34" s="893"/>
      <c r="BE34" s="893"/>
      <c r="BF34" s="893"/>
      <c r="BG34" s="893"/>
      <c r="BH34" s="893"/>
      <c r="BI34" s="893"/>
      <c r="BJ34" s="893"/>
      <c r="BK34" s="893"/>
      <c r="BL34" s="893"/>
      <c r="BM34" s="893"/>
      <c r="BN34" s="893"/>
      <c r="BO34" s="893"/>
      <c r="BP34" s="893"/>
      <c r="BQ34" s="893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</row>
    <row r="35" spans="1:92" s="5" customFormat="1" ht="9.75" x14ac:dyDescent="0.2">
      <c r="C35" s="20"/>
      <c r="E35" s="21"/>
      <c r="F35" s="21"/>
      <c r="G35" s="20"/>
      <c r="H35" s="20"/>
      <c r="I35" s="20"/>
      <c r="J35" s="20"/>
      <c r="K35" s="20"/>
      <c r="L35" s="20"/>
      <c r="M35" s="20"/>
      <c r="AM35" s="858" t="s">
        <v>2</v>
      </c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</row>
    <row r="36" spans="1:92" s="5" customFormat="1" ht="9.75" x14ac:dyDescent="0.2">
      <c r="C36" s="20"/>
      <c r="E36" s="21"/>
      <c r="F36" s="21"/>
      <c r="G36" s="20"/>
      <c r="H36" s="20"/>
      <c r="I36" s="20"/>
      <c r="J36" s="20"/>
      <c r="K36" s="20"/>
      <c r="L36" s="20"/>
      <c r="M36" s="20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</row>
    <row r="37" spans="1:92" s="2" customFormat="1" ht="12.75" x14ac:dyDescent="0.2">
      <c r="A37" s="11"/>
      <c r="B37" s="11"/>
      <c r="C37" s="11"/>
      <c r="D37" s="45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11"/>
      <c r="BA37" s="11"/>
      <c r="BB37" s="11"/>
      <c r="BC37" s="893" t="str">
        <f>IF('Данные объект'!B47="","",'Данные объект'!B47)</f>
      </c>
      <c r="BD37" s="893"/>
      <c r="BE37" s="893"/>
      <c r="BF37" s="893"/>
      <c r="BG37" s="893"/>
      <c r="BH37" s="893"/>
      <c r="BI37" s="893"/>
      <c r="BJ37" s="893"/>
      <c r="BK37" s="893"/>
      <c r="BL37" s="893"/>
      <c r="BM37" s="893"/>
      <c r="BN37" s="893"/>
      <c r="BO37" s="893"/>
      <c r="BP37" s="893"/>
      <c r="BQ37" s="893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</row>
    <row r="38" spans="1:92" s="5" customFormat="1" ht="9.75" x14ac:dyDescent="0.2">
      <c r="C38" s="20"/>
      <c r="E38" s="21"/>
      <c r="F38" s="21"/>
      <c r="G38" s="20"/>
      <c r="H38" s="20"/>
      <c r="I38" s="20"/>
      <c r="J38" s="20"/>
      <c r="K38" s="20"/>
      <c r="L38" s="20"/>
      <c r="M38" s="20"/>
      <c r="AM38" s="858" t="s">
        <v>2</v>
      </c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</row>
    <row r="39" spans="1:92" s="5" customFormat="1" ht="12.75" outlineLevel="1" x14ac:dyDescent="0.2">
      <c r="C39" s="20"/>
      <c r="D39" s="21"/>
      <c r="E39" s="21"/>
      <c r="F39" s="21"/>
      <c r="G39" s="20"/>
      <c r="H39" s="20"/>
      <c r="I39" s="20"/>
      <c r="J39" s="20"/>
      <c r="K39" s="20"/>
      <c r="L39" s="20"/>
      <c r="M39" s="20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</row>
    <row r="40" spans="1:92" s="11" customFormat="1" ht="11.25" x14ac:dyDescent="0.2">
      <c r="C40" s="57"/>
      <c r="D40" s="45" t="s">
        <v>61</v>
      </c>
      <c r="E40" s="45"/>
      <c r="F40" s="45"/>
      <c r="G40" s="57"/>
      <c r="H40" s="57"/>
      <c r="I40" s="57"/>
      <c r="J40" s="57"/>
      <c r="K40" s="57"/>
      <c r="L40" s="57"/>
      <c r="M40" s="57"/>
      <c r="AM40" s="855"/>
      <c r="AN40" s="855"/>
      <c r="AO40" s="855"/>
      <c r="AP40" s="855"/>
      <c r="AQ40" s="855"/>
      <c r="AR40" s="855"/>
      <c r="AS40" s="855"/>
      <c r="AT40" s="855"/>
      <c r="AU40" s="855"/>
      <c r="AV40" s="855"/>
      <c r="AW40" s="855"/>
      <c r="AX40" s="855"/>
      <c r="AY40" s="855"/>
      <c r="BC40" s="893" t="str">
        <f>IF('Данные объект'!B28="","",'Данные объект'!B28)</f>
      </c>
      <c r="BD40" s="893"/>
      <c r="BE40" s="893"/>
      <c r="BF40" s="893"/>
      <c r="BG40" s="893"/>
      <c r="BH40" s="893"/>
      <c r="BI40" s="893"/>
      <c r="BJ40" s="893"/>
      <c r="BK40" s="893"/>
      <c r="BL40" s="893"/>
      <c r="BM40" s="893"/>
      <c r="BN40" s="893"/>
      <c r="BO40" s="893"/>
      <c r="BP40" s="893"/>
      <c r="BQ40" s="893"/>
    </row>
    <row r="41" spans="1:92" s="5" customFormat="1" ht="9.75" x14ac:dyDescent="0.2">
      <c r="C41" s="20"/>
      <c r="E41" s="21"/>
      <c r="F41" s="21"/>
      <c r="G41" s="20"/>
      <c r="H41" s="20"/>
      <c r="I41" s="20"/>
      <c r="J41" s="20"/>
      <c r="K41" s="20"/>
      <c r="L41" s="20"/>
      <c r="M41" s="20"/>
      <c r="AM41" s="858" t="s">
        <v>2</v>
      </c>
      <c r="AN41" s="858"/>
      <c r="AO41" s="858"/>
      <c r="AP41" s="858"/>
      <c r="AQ41" s="858"/>
      <c r="AR41" s="858"/>
      <c r="AS41" s="858"/>
      <c r="AT41" s="858"/>
      <c r="AU41" s="858"/>
      <c r="AV41" s="858"/>
      <c r="AW41" s="858"/>
      <c r="AX41" s="858"/>
      <c r="AY41" s="858"/>
    </row>
    <row r="42" spans="1:92" s="310" customFormat="1" ht="15" customHeight="1" x14ac:dyDescent="0.2">
      <c r="A42" s="315"/>
      <c r="B42" s="316"/>
      <c r="C42" s="316"/>
      <c r="D42" s="316"/>
    </row>
    <row r="43" spans="1:92" s="310" customFormat="1" ht="15" customHeight="1" x14ac:dyDescent="0.2">
      <c r="A43" s="315"/>
      <c r="B43" s="316"/>
      <c r="C43" s="316"/>
      <c r="D43" s="316"/>
    </row>
    <row r="44" spans="1:92" s="310" customFormat="1" ht="15" customHeight="1" x14ac:dyDescent="0.2">
      <c r="A44" s="95"/>
      <c r="B44" s="316"/>
      <c r="C44" s="316"/>
      <c r="D44" s="316"/>
    </row>
    <row r="45" spans="1:92" s="310" customFormat="1" ht="13.15" customHeight="1" x14ac:dyDescent="0.2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N45" s="106"/>
    </row>
    <row r="46" spans="1:92" s="310" customFormat="1" ht="16.899999999999999" customHeight="1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N46" s="101"/>
    </row>
    <row r="47" spans="1:92" s="310" customFormat="1" ht="16.899999999999999" customHeight="1" x14ac:dyDescent="0.2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  <c r="AD47" s="308"/>
      <c r="AE47" s="308"/>
      <c r="AF47" s="308"/>
      <c r="AG47" s="308"/>
      <c r="AH47" s="308"/>
      <c r="AI47" s="308"/>
      <c r="AJ47" s="308"/>
      <c r="AK47" s="308"/>
      <c r="AL47" s="308"/>
      <c r="AM47" s="308"/>
      <c r="AN47" s="308"/>
      <c r="AO47" s="308"/>
      <c r="AP47" s="308"/>
      <c r="AQ47" s="308"/>
      <c r="AR47" s="308"/>
      <c r="AS47" s="308"/>
      <c r="AT47" s="308"/>
      <c r="AU47" s="308"/>
      <c r="AV47" s="308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  <c r="BG47" s="308"/>
      <c r="BH47" s="308"/>
      <c r="BI47" s="308"/>
      <c r="BJ47" s="308"/>
      <c r="BK47" s="308"/>
      <c r="BL47" s="308"/>
      <c r="BM47" s="308"/>
      <c r="BN47" s="308"/>
      <c r="BO47" s="308"/>
      <c r="BP47" s="308"/>
      <c r="BQ47" s="308"/>
      <c r="BR47" s="308"/>
      <c r="BS47" s="308"/>
      <c r="BT47" s="308"/>
      <c r="BU47" s="308"/>
      <c r="BV47" s="308"/>
      <c r="BW47" s="308"/>
      <c r="BX47" s="308"/>
      <c r="BY47" s="308"/>
      <c r="BZ47" s="308"/>
      <c r="CA47" s="308"/>
      <c r="CB47" s="308"/>
      <c r="CC47" s="308"/>
      <c r="CD47" s="308"/>
      <c r="CN47" s="101"/>
    </row>
    <row r="48" spans="1:92" s="2" customFormat="1" ht="13.5" x14ac:dyDescent="0.25">
      <c r="F48" s="10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10"/>
      <c r="BV48" s="110"/>
      <c r="BW48" s="110"/>
      <c r="BX48" s="110"/>
      <c r="BY48" s="110"/>
      <c r="BZ48" s="110"/>
      <c r="CA48" s="110"/>
      <c r="CB48" s="110"/>
    </row>
    <row r="49" spans="1:172" s="2" customFormat="1" ht="12.75" x14ac:dyDescent="0.2"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</row>
    <row r="50" spans="1:172" s="5" customFormat="1" ht="7.9" hidden="1" customHeight="1" x14ac:dyDescent="0.15"/>
    <row r="51" spans="1:172" s="70" customFormat="1" ht="11.2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</row>
    <row r="53" spans="1:172" s="41" customFormat="1" ht="8.25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</row>
    <row r="54" spans="1:172" s="70" customFormat="1" ht="10.15" hidden="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</row>
    <row r="55" spans="1:172" ht="14.45" hidden="1" customHeight="1" x14ac:dyDescent="0.25"/>
    <row r="56" spans="1:172" s="41" customFormat="1" ht="8.4499999999999993" hidden="1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</row>
    <row r="57" spans="1:172" ht="14.45" hidden="1" customHeight="1" x14ac:dyDescent="0.25"/>
    <row r="58" spans="1:172" s="70" customFormat="1" ht="10.15" hidden="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</row>
    <row r="59" spans="1:172" ht="14.45" hidden="1" customHeight="1" x14ac:dyDescent="0.25"/>
    <row r="60" spans="1:172" s="70" customFormat="1" ht="10.15" hidden="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02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</row>
    <row r="62" spans="1:17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1:172" s="42" customFormat="1" ht="15" customHeight="1" x14ac:dyDescent="0.25">
      <c r="A63" s="103"/>
      <c r="B63" s="103"/>
      <c r="C63" s="103"/>
      <c r="D63" s="103"/>
      <c r="E63" s="103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3"/>
      <c r="BF63" s="103"/>
      <c r="BG63" s="103"/>
      <c r="BH63" s="103"/>
      <c r="BI63" s="103"/>
      <c r="BJ63" s="103"/>
      <c r="BK63" s="103"/>
      <c r="BL63" s="103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3"/>
      <c r="BZ63" s="103"/>
      <c r="CA63" s="103"/>
      <c r="CB63" s="103"/>
      <c r="CC63" s="304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</row>
    <row r="64" spans="1:172" s="42" customFormat="1" x14ac:dyDescent="0.25">
      <c r="A64" s="103"/>
      <c r="B64" s="103"/>
      <c r="C64" s="103"/>
      <c r="D64" s="103"/>
      <c r="E64" s="103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3"/>
      <c r="BF64" s="103"/>
      <c r="BG64" s="103"/>
      <c r="BH64" s="103"/>
      <c r="BI64" s="103"/>
      <c r="BJ64" s="103"/>
      <c r="BK64" s="103"/>
      <c r="BL64" s="103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3"/>
      <c r="BZ64" s="103"/>
      <c r="CA64" s="103"/>
      <c r="CB64" s="103"/>
      <c r="CC64" s="304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</row>
    <row r="65" spans="1:172" s="42" customFormat="1" x14ac:dyDescent="0.25">
      <c r="A65" s="103"/>
      <c r="B65" s="103"/>
      <c r="C65" s="103"/>
      <c r="D65" s="103"/>
      <c r="E65" s="103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3"/>
      <c r="BF65" s="103"/>
      <c r="BG65" s="103"/>
      <c r="BH65" s="103"/>
      <c r="BI65" s="103"/>
      <c r="BJ65" s="103"/>
      <c r="BK65" s="103"/>
      <c r="BL65" s="103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3"/>
      <c r="BZ65" s="103"/>
      <c r="CA65" s="103"/>
      <c r="CB65" s="103"/>
      <c r="CC65" s="304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</row>
    <row r="66" spans="1:172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11"/>
    </row>
    <row r="67" spans="1:172" x14ac:dyDescent="0.25">
      <c r="A67" s="103"/>
      <c r="B67" s="103"/>
      <c r="C67" s="103"/>
      <c r="D67" s="103"/>
      <c r="E67" s="103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3"/>
      <c r="BF67" s="103"/>
      <c r="BG67" s="103"/>
      <c r="BH67" s="103"/>
      <c r="BI67" s="103"/>
      <c r="BJ67" s="103"/>
      <c r="BK67" s="103"/>
      <c r="BL67" s="103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3"/>
      <c r="BZ67" s="103"/>
      <c r="CA67" s="103"/>
      <c r="CB67" s="103"/>
      <c r="CC67" s="11"/>
    </row>
    <row r="68" spans="1:172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70"/>
      <c r="BZ68" s="70"/>
      <c r="CA68" s="70"/>
      <c r="CB68" s="70"/>
      <c r="CC68" s="11"/>
    </row>
    <row r="69" spans="1:17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11"/>
    </row>
    <row r="71" spans="1:172" ht="14.45" hidden="1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11"/>
    </row>
    <row r="72" spans="1:172" ht="14.45" hidden="1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172" ht="14.45" hidden="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172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172" ht="14.45" hidden="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11"/>
    </row>
    <row r="76" spans="1:172" ht="14.45" hidden="1" customHeight="1" x14ac:dyDescent="0.25"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172" ht="14.45" hidden="1" customHeight="1" x14ac:dyDescent="0.25"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172" ht="14.45" hidden="1" customHeight="1" x14ac:dyDescent="0.25"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172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172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80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pans="1:80" x14ac:dyDescent="0.25">
      <c r="AN85"/>
      <c r="AO85"/>
      <c r="AP85"/>
      <c r="AQ85"/>
      <c r="AR85"/>
      <c r="AS85"/>
      <c r="AT85"/>
      <c r="AU85"/>
      <c r="AV85"/>
      <c r="AW85"/>
      <c r="AX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1:80" ht="6.6" customHeight="1" x14ac:dyDescent="0.25">
      <c r="AN86"/>
      <c r="AO86"/>
      <c r="AP86"/>
      <c r="AQ86"/>
      <c r="AR86"/>
      <c r="AS86"/>
      <c r="AT86"/>
      <c r="AU86"/>
      <c r="AV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1:80" x14ac:dyDescent="0.25">
      <c r="A87" s="11"/>
      <c r="B87" s="11"/>
      <c r="C87" s="5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ht="7.9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x14ac:dyDescent="0.25">
      <c r="A90" s="11"/>
      <c r="B90" s="11"/>
      <c r="C90" s="5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2" customFormat="1" ht="12.75" x14ac:dyDescent="0.2">
      <c r="A94" s="11"/>
      <c r="B94" s="11"/>
      <c r="C94" s="11"/>
      <c r="D94" s="4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5" customFormat="1" ht="9.75" x14ac:dyDescent="0.2">
      <c r="C95" s="20"/>
      <c r="E95" s="21"/>
      <c r="F95" s="21"/>
      <c r="G95" s="20"/>
      <c r="H95" s="20"/>
      <c r="I95" s="20"/>
      <c r="J95" s="20"/>
      <c r="K95" s="20"/>
      <c r="L95" s="20"/>
      <c r="M95" s="20"/>
    </row>
    <row r="96" spans="1:80" s="5" customFormat="1" ht="12.75" outlineLevel="1" x14ac:dyDescent="0.2">
      <c r="C96" s="20"/>
      <c r="D96" s="21"/>
      <c r="E96" s="21"/>
      <c r="F96" s="21"/>
      <c r="G96" s="20"/>
      <c r="H96" s="20"/>
      <c r="I96" s="20"/>
      <c r="J96" s="20"/>
      <c r="K96" s="20"/>
      <c r="L96" s="20"/>
      <c r="M96" s="2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</row>
    <row r="97" spans="3:69" s="11" customFormat="1" ht="11.25" x14ac:dyDescent="0.2">
      <c r="C97" s="57"/>
      <c r="D97" s="45"/>
      <c r="E97" s="45"/>
      <c r="F97" s="45"/>
      <c r="G97" s="57"/>
      <c r="H97" s="57"/>
      <c r="I97" s="57"/>
      <c r="J97" s="57"/>
      <c r="K97" s="57"/>
      <c r="L97" s="57"/>
      <c r="M97" s="57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</row>
    <row r="98" spans="3:69" s="5" customFormat="1" ht="9.75" x14ac:dyDescent="0.2">
      <c r="C98" s="20"/>
      <c r="E98" s="21"/>
      <c r="F98" s="21"/>
      <c r="G98" s="20"/>
      <c r="H98" s="20"/>
      <c r="I98" s="20"/>
      <c r="J98" s="20"/>
      <c r="K98" s="20"/>
      <c r="L98" s="20"/>
      <c r="M98" s="20"/>
    </row>
  </sheetData>
  <mergeCells count="34">
    <mergeCell ref="AR1:BZ2"/>
    <mergeCell ref="A2:AI2"/>
    <mergeCell ref="A3:AI3"/>
    <mergeCell ref="AR3:BZ3"/>
    <mergeCell ref="A4:AI4"/>
    <mergeCell ref="AR4:BZ4"/>
    <mergeCell ref="A5:AI5"/>
    <mergeCell ref="AR5:BZ5"/>
    <mergeCell ref="AR6:BZ9"/>
    <mergeCell ref="A8:AI9"/>
    <mergeCell ref="A10:AI10"/>
    <mergeCell ref="AR10:BZ10"/>
    <mergeCell ref="A25:BY25"/>
    <mergeCell ref="A11:AI11"/>
    <mergeCell ref="AR11:BZ11"/>
    <mergeCell ref="AR12:BZ12"/>
    <mergeCell ref="A13:CE13"/>
    <mergeCell ref="A14:CE14"/>
    <mergeCell ref="A17:CB17"/>
    <mergeCell ref="A18:CB18"/>
    <mergeCell ref="A19:CB19"/>
    <mergeCell ref="A20:CB20"/>
    <mergeCell ref="A22:CB22"/>
    <mergeCell ref="A23:CB23"/>
    <mergeCell ref="AM38:AY38"/>
    <mergeCell ref="AM40:AY40"/>
    <mergeCell ref="BC40:BQ40"/>
    <mergeCell ref="AM41:AY41"/>
    <mergeCell ref="A29:CE29"/>
    <mergeCell ref="AM34:AY34"/>
    <mergeCell ref="BC34:BQ34"/>
    <mergeCell ref="AM35:AY35"/>
    <mergeCell ref="AM37:AY37"/>
    <mergeCell ref="BC37:BQ37"/>
  </mergeCells>
  <dataValidations count="2">
    <dataValidation type="list" allowBlank="1" showInputMessage="1" showErrorMessage="1" sqref="O68:W70" xr:uid="{5DECAAB6-A41B-4CCD-BFCB-F1AFAC08BC86}">
      <formula1>стойка</formula1>
    </dataValidation>
    <dataValidation type="list" allowBlank="1" showInputMessage="1" showErrorMessage="1" sqref="P45:V45" xr:uid="{01247DA1-FD29-4EF9-8BD8-D4686D48DA8E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23C3-B1A7-45E8-BC0C-88E18B587B0A}">
  <sheetPr>
    <tabColor rgb="FFCC99FF"/>
  </sheetPr>
  <dimension ref="A1:FP106"/>
  <sheetViews>
    <sheetView view="pageBreakPreview" zoomScaleNormal="100" zoomScaleSheetLayoutView="100" workbookViewId="0">
      <selection activeCell="DK30" sqref="DK30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tr">
        <f>'ВЛЗ-3 0,4'!A10:AI10</f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72" s="40" customFormat="1" ht="24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480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12" s="2" customFormat="1" ht="12.75" x14ac:dyDescent="0.2">
      <c r="A17" s="926" t="str">
        <f>IF('Данные объект'!C42="","",'Данные объект'!C42)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112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112" s="2" customFormat="1" ht="12.75" x14ac:dyDescent="0.2">
      <c r="A19" s="926" t="str">
        <f>IF('Данные объект'!C45="","",'Данные объект'!C45)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112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112" s="11" customFormat="1" ht="11.25" x14ac:dyDescent="0.2">
      <c r="A21" s="11" t="s">
        <v>30</v>
      </c>
    </row>
    <row r="22" spans="1:112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112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112" s="5" customFormat="1" ht="8.25" x14ac:dyDescent="0.15">
      <c r="A24" s="306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306"/>
      <c r="BK24" s="306"/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</row>
    <row r="25" spans="1:112" s="310" customFormat="1" ht="26.25" customHeight="1" x14ac:dyDescent="0.2">
      <c r="A25" s="1018" t="s">
        <v>578</v>
      </c>
      <c r="B25" s="1018"/>
      <c r="C25" s="1018"/>
      <c r="D25" s="1018"/>
      <c r="E25" s="1018"/>
      <c r="F25" s="1018"/>
      <c r="G25" s="1018"/>
      <c r="H25" s="1018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18"/>
      <c r="U25" s="1018"/>
      <c r="V25" s="1018"/>
      <c r="W25" s="1018"/>
      <c r="X25" s="1018"/>
      <c r="Y25" s="1018"/>
      <c r="Z25" s="1100"/>
      <c r="AA25" s="1100"/>
      <c r="AB25" s="1100"/>
      <c r="AC25" s="1100"/>
      <c r="AD25" s="1100"/>
      <c r="AE25" s="1100"/>
      <c r="AF25" s="1100"/>
      <c r="AG25" s="1100"/>
      <c r="AH25" s="1100"/>
      <c r="AI25" s="1100"/>
      <c r="AJ25" s="1100"/>
      <c r="AK25" s="1100"/>
      <c r="AL25" s="1100"/>
      <c r="AM25" s="1100"/>
      <c r="AN25" s="1100"/>
      <c r="AO25" s="1100"/>
      <c r="AP25" s="1100"/>
      <c r="AQ25" s="1100"/>
      <c r="AR25" s="1100"/>
      <c r="AS25" s="1100"/>
      <c r="AT25" s="1100"/>
      <c r="AU25" s="1100"/>
      <c r="AV25" s="1100"/>
      <c r="AW25" s="1100"/>
      <c r="AX25" s="1100"/>
      <c r="AY25" s="1100"/>
      <c r="AZ25" s="1100"/>
      <c r="BA25" s="1100"/>
      <c r="BB25" s="1100"/>
      <c r="BC25" s="1100"/>
      <c r="BD25" s="1100"/>
      <c r="BE25" s="1100"/>
      <c r="BF25" s="1100"/>
      <c r="BG25" s="1100"/>
      <c r="BH25" s="1100"/>
      <c r="BI25" s="1100"/>
      <c r="BJ25" s="1100"/>
      <c r="BK25" s="1100"/>
      <c r="BL25" s="1100"/>
      <c r="BM25" s="1100"/>
      <c r="BN25" s="1100"/>
      <c r="BO25" s="1100"/>
      <c r="BP25" s="1100"/>
      <c r="BQ25" s="1100"/>
      <c r="BR25" s="1100"/>
      <c r="BS25" s="1100"/>
      <c r="BT25" s="1100"/>
      <c r="BU25" s="1100"/>
      <c r="BV25" s="1100"/>
      <c r="BW25" s="1100"/>
      <c r="BX25" s="1100"/>
      <c r="BY25" s="1100"/>
      <c r="BZ25" s="1100"/>
      <c r="CA25" s="1100"/>
      <c r="CB25" s="1100"/>
      <c r="CC25" s="1100"/>
      <c r="CD25" s="1100"/>
      <c r="CE25" s="1100"/>
    </row>
    <row r="26" spans="1:112" s="310" customFormat="1" ht="15" customHeight="1" x14ac:dyDescent="0.2">
      <c r="A26" s="114" t="s">
        <v>276</v>
      </c>
    </row>
    <row r="27" spans="1:112" s="310" customFormat="1" ht="15.6" customHeight="1" x14ac:dyDescent="0.2">
      <c r="A27" s="947" t="s">
        <v>580</v>
      </c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7"/>
      <c r="V27" s="947"/>
      <c r="W27" s="947"/>
      <c r="X27" s="947"/>
      <c r="Y27" s="947"/>
      <c r="Z27" s="947"/>
      <c r="AA27" s="926" t="str">
        <f>IF('Данные объект'!B56="","",'Данные объект'!B56)</f>
      </c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1031" t="s">
        <v>581</v>
      </c>
      <c r="AU27" s="1031"/>
      <c r="AV27" s="1031"/>
      <c r="AW27" s="1031"/>
      <c r="AX27" s="1031"/>
      <c r="AY27" s="1031"/>
      <c r="AZ27" s="1031"/>
      <c r="BA27" s="1031"/>
      <c r="BB27" s="1031"/>
      <c r="BC27" s="1031"/>
      <c r="BD27" s="1031"/>
      <c r="BE27" s="1031"/>
      <c r="BF27" s="1031"/>
      <c r="BG27" s="1031"/>
      <c r="BH27" s="1031"/>
      <c r="BI27" s="1031"/>
      <c r="BJ27" s="1031"/>
      <c r="BK27" s="1031"/>
      <c r="BL27" s="1031"/>
      <c r="BM27" s="1031"/>
      <c r="BN27" s="1031"/>
      <c r="BO27" s="1031"/>
      <c r="BP27" s="1031"/>
      <c r="BQ27" s="1031"/>
      <c r="BR27" s="1031"/>
      <c r="BS27" s="1031"/>
      <c r="BT27" s="1031"/>
      <c r="BU27" s="1031"/>
      <c r="BV27" s="1031"/>
      <c r="BW27" s="1031"/>
      <c r="BX27" s="1031"/>
    </row>
    <row r="28" spans="1:112" s="310" customFormat="1" ht="13.9" customHeight="1" x14ac:dyDescent="0.2">
      <c r="A28" s="1018" t="s">
        <v>579</v>
      </c>
      <c r="B28" s="1018"/>
      <c r="C28" s="1018"/>
      <c r="D28" s="1018"/>
      <c r="E28" s="1018"/>
      <c r="F28" s="1018"/>
      <c r="G28" s="1018"/>
      <c r="H28" s="1018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18"/>
      <c r="U28" s="1018"/>
      <c r="V28" s="1018"/>
      <c r="W28" s="1018"/>
      <c r="X28" s="1018"/>
      <c r="Y28" s="1018"/>
      <c r="DH28" s="184"/>
    </row>
    <row r="29" spans="1:112" s="310" customFormat="1" hidden="1" x14ac:dyDescent="0.25">
      <c r="A29" s="311" t="s">
        <v>281</v>
      </c>
      <c r="B29" s="1022" t="s">
        <v>479</v>
      </c>
      <c r="C29" s="1023" t="s">
        <v>435</v>
      </c>
      <c r="D29" s="89" t="s">
        <v>435</v>
      </c>
      <c r="E29" s="89" t="s">
        <v>435</v>
      </c>
      <c r="F29" s="89" t="s">
        <v>435</v>
      </c>
      <c r="G29" s="89" t="s">
        <v>435</v>
      </c>
      <c r="H29" s="89" t="s">
        <v>435</v>
      </c>
      <c r="I29" s="89" t="s">
        <v>435</v>
      </c>
      <c r="J29" s="89" t="s">
        <v>435</v>
      </c>
    </row>
    <row r="30" spans="1:112" s="310" customFormat="1" ht="12.75" x14ac:dyDescent="0.2">
      <c r="A30" s="1019" t="s">
        <v>752</v>
      </c>
      <c r="B30" s="972"/>
      <c r="C30" s="972"/>
      <c r="D30" s="972"/>
      <c r="E30" s="972"/>
      <c r="F30" s="972"/>
      <c r="G30" s="9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972"/>
      <c r="AB30" s="972"/>
      <c r="AC30" s="972"/>
      <c r="AD30" s="972"/>
      <c r="AE30" s="972"/>
      <c r="AF30" s="972"/>
      <c r="AG30" s="972"/>
      <c r="AH30" s="972"/>
    </row>
    <row r="31" spans="1:112" s="310" customFormat="1" ht="13.15" customHeight="1" x14ac:dyDescent="0.25">
      <c r="A31" s="309" t="s">
        <v>435</v>
      </c>
      <c r="B31" s="1024" t="s">
        <v>478</v>
      </c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V31" s="1024"/>
      <c r="W31" s="1024"/>
      <c r="X31" s="1024"/>
      <c r="Y31" s="1024"/>
      <c r="Z31" s="1024"/>
      <c r="AA31" s="1024"/>
      <c r="AB31" s="1024"/>
      <c r="AC31" s="1024"/>
      <c r="AD31" s="1024"/>
      <c r="AE31" s="1024"/>
      <c r="AF31" s="1024"/>
      <c r="AG31" s="1024"/>
      <c r="AH31" s="1024"/>
      <c r="AI31" s="1024"/>
      <c r="AJ31" s="1024"/>
      <c r="AK31" s="1024"/>
      <c r="AL31" s="1024"/>
      <c r="AM31" s="1024"/>
      <c r="AN31" s="1024"/>
      <c r="AO31" s="1024"/>
      <c r="AP31" s="1024"/>
    </row>
    <row r="32" spans="1:112" s="310" customFormat="1" ht="15" customHeight="1" x14ac:dyDescent="0.2">
      <c r="A32" s="315" t="s">
        <v>477</v>
      </c>
      <c r="B32" s="316"/>
      <c r="C32" s="316"/>
      <c r="D32" s="316"/>
      <c r="E32" s="316"/>
      <c r="F32" s="316"/>
      <c r="G32" s="316"/>
      <c r="H32" s="316"/>
      <c r="I32" s="316"/>
      <c r="J32" s="316"/>
    </row>
    <row r="33" spans="1:83" s="310" customFormat="1" ht="24.75" customHeight="1" x14ac:dyDescent="0.2">
      <c r="A33" s="1020" t="s">
        <v>73</v>
      </c>
      <c r="B33" s="1020"/>
      <c r="C33" s="1020"/>
      <c r="D33" s="1020"/>
      <c r="E33" s="1020"/>
      <c r="F33" s="1025" t="s">
        <v>582</v>
      </c>
      <c r="G33" s="1026"/>
      <c r="H33" s="1026"/>
      <c r="I33" s="1026"/>
      <c r="J33" s="1026"/>
      <c r="K33" s="1026"/>
      <c r="L33" s="1026"/>
      <c r="M33" s="1026"/>
      <c r="N33" s="1026"/>
      <c r="O33" s="1026"/>
      <c r="P33" s="1027"/>
      <c r="Q33" s="1021" t="s">
        <v>476</v>
      </c>
      <c r="R33" s="1021"/>
      <c r="S33" s="1021"/>
      <c r="T33" s="1021"/>
      <c r="U33" s="1021"/>
      <c r="V33" s="1021"/>
      <c r="W33" s="1021"/>
      <c r="X33" s="1021"/>
      <c r="Y33" s="1021"/>
      <c r="Z33" s="1021"/>
      <c r="AA33" s="1021"/>
      <c r="AB33" s="1033" t="s">
        <v>475</v>
      </c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3"/>
      <c r="AM33" s="1033"/>
      <c r="AN33" s="1033"/>
      <c r="AO33" s="1033"/>
      <c r="AP33" s="1033"/>
      <c r="AQ33" s="1049" t="s">
        <v>1107</v>
      </c>
      <c r="AR33" s="1050"/>
      <c r="AS33" s="1050"/>
      <c r="AT33" s="1050"/>
      <c r="AU33" s="1050"/>
      <c r="AV33" s="1050"/>
      <c r="AW33" s="1050"/>
      <c r="AX33" s="1050"/>
      <c r="AY33" s="1050"/>
      <c r="AZ33" s="1050"/>
      <c r="BA33" s="1050"/>
      <c r="BB33" s="1050"/>
      <c r="BC33" s="1050"/>
      <c r="BD33" s="1050"/>
      <c r="BE33" s="1050"/>
      <c r="BF33" s="1050"/>
      <c r="BG33" s="1050"/>
      <c r="BH33" s="1050"/>
      <c r="BI33" s="1050"/>
      <c r="BJ33" s="1050"/>
      <c r="BK33" s="1050"/>
      <c r="BL33" s="1050"/>
      <c r="BM33" s="1050"/>
      <c r="BN33" s="1050"/>
      <c r="BO33" s="1050"/>
      <c r="BP33" s="1050"/>
      <c r="BQ33" s="1050"/>
      <c r="BR33" s="1051"/>
      <c r="BS33" s="1036" t="s">
        <v>0</v>
      </c>
      <c r="BT33" s="1036"/>
      <c r="BU33" s="1036"/>
      <c r="BV33" s="1036"/>
      <c r="BW33" s="1036"/>
      <c r="BX33" s="1036"/>
      <c r="BY33" s="1036"/>
      <c r="BZ33" s="1036"/>
      <c r="CA33" s="1036"/>
      <c r="CB33" s="1036"/>
      <c r="CC33" s="1036"/>
      <c r="CD33" s="1036"/>
      <c r="CE33" s="1036"/>
    </row>
    <row r="34" spans="1:83" s="310" customFormat="1" ht="37.15" customHeight="1" x14ac:dyDescent="0.2">
      <c r="A34" s="1020"/>
      <c r="B34" s="1020"/>
      <c r="C34" s="1020"/>
      <c r="D34" s="1020"/>
      <c r="E34" s="1020"/>
      <c r="F34" s="1028"/>
      <c r="G34" s="1029"/>
      <c r="H34" s="1029"/>
      <c r="I34" s="1029"/>
      <c r="J34" s="1029"/>
      <c r="K34" s="1029"/>
      <c r="L34" s="1029"/>
      <c r="M34" s="1029"/>
      <c r="N34" s="1029"/>
      <c r="O34" s="1029"/>
      <c r="P34" s="1030"/>
      <c r="Q34" s="1020" t="s">
        <v>474</v>
      </c>
      <c r="R34" s="1020"/>
      <c r="S34" s="1020"/>
      <c r="T34" s="1020"/>
      <c r="U34" s="1020"/>
      <c r="V34" s="1020"/>
      <c r="W34" s="1020"/>
      <c r="X34" s="1020"/>
      <c r="Y34" s="1020"/>
      <c r="Z34" s="1020"/>
      <c r="AA34" s="1020"/>
      <c r="AB34" s="1021" t="s">
        <v>473</v>
      </c>
      <c r="AC34" s="1021"/>
      <c r="AD34" s="1021"/>
      <c r="AE34" s="1021"/>
      <c r="AF34" s="1021"/>
      <c r="AG34" s="1021"/>
      <c r="AH34" s="1021" t="s">
        <v>472</v>
      </c>
      <c r="AI34" s="1021"/>
      <c r="AJ34" s="1021"/>
      <c r="AK34" s="1021"/>
      <c r="AL34" s="1021"/>
      <c r="AM34" s="1021"/>
      <c r="AN34" s="1021"/>
      <c r="AO34" s="1021"/>
      <c r="AP34" s="1021"/>
      <c r="AQ34" s="1036" t="s">
        <v>471</v>
      </c>
      <c r="AR34" s="1036"/>
      <c r="AS34" s="1036"/>
      <c r="AT34" s="1036"/>
      <c r="AU34" s="1036"/>
      <c r="AV34" s="1036"/>
      <c r="AW34" s="1036"/>
      <c r="AX34" s="1036" t="s">
        <v>470</v>
      </c>
      <c r="AY34" s="1036"/>
      <c r="AZ34" s="1036"/>
      <c r="BA34" s="1036"/>
      <c r="BB34" s="1036"/>
      <c r="BC34" s="1036"/>
      <c r="BD34" s="1036"/>
      <c r="BE34" s="1036" t="s">
        <v>469</v>
      </c>
      <c r="BF34" s="1036"/>
      <c r="BG34" s="1036"/>
      <c r="BH34" s="1036"/>
      <c r="BI34" s="1036"/>
      <c r="BJ34" s="1036"/>
      <c r="BK34" s="1036"/>
      <c r="BL34" s="1036" t="s">
        <v>468</v>
      </c>
      <c r="BM34" s="1036"/>
      <c r="BN34" s="1036"/>
      <c r="BO34" s="1036"/>
      <c r="BP34" s="1036"/>
      <c r="BQ34" s="1036"/>
      <c r="BR34" s="1036"/>
      <c r="BS34" s="1036"/>
      <c r="BT34" s="1036"/>
      <c r="BU34" s="1036"/>
      <c r="BV34" s="1036"/>
      <c r="BW34" s="1036"/>
      <c r="BX34" s="1036"/>
      <c r="BY34" s="1036"/>
      <c r="BZ34" s="1036"/>
      <c r="CA34" s="1036"/>
      <c r="CB34" s="1036"/>
      <c r="CC34" s="1036"/>
      <c r="CD34" s="1036"/>
      <c r="CE34" s="1036"/>
    </row>
    <row r="35" spans="1:83" s="310" customFormat="1" ht="15.6" customHeight="1" x14ac:dyDescent="0.2">
      <c r="A35" s="1039">
        <v>1</v>
      </c>
      <c r="B35" s="1040"/>
      <c r="C35" s="1040"/>
      <c r="D35" s="1040"/>
      <c r="E35" s="1041"/>
      <c r="F35" s="1032" t="s">
        <v>583</v>
      </c>
      <c r="G35" s="1032"/>
      <c r="H35" s="1032"/>
      <c r="I35" s="1032"/>
      <c r="J35" s="1032"/>
      <c r="K35" s="1032"/>
      <c r="L35" s="1032"/>
      <c r="M35" s="1032"/>
      <c r="N35" s="1032"/>
      <c r="O35" s="1032"/>
      <c r="P35" s="1032"/>
      <c r="Q35" s="1037" t="s">
        <v>101</v>
      </c>
      <c r="R35" s="1037"/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 t="s">
        <v>101</v>
      </c>
      <c r="AC35" s="1037"/>
      <c r="AD35" s="1037"/>
      <c r="AE35" s="1037"/>
      <c r="AF35" s="1037"/>
      <c r="AG35" s="1037"/>
      <c r="AH35" s="1034" t="s">
        <v>101</v>
      </c>
      <c r="AI35" s="1035"/>
      <c r="AJ35" s="1035"/>
      <c r="AK35" s="1035"/>
      <c r="AL35" s="1035"/>
      <c r="AM35" s="1035"/>
      <c r="AN35" s="1035"/>
      <c r="AO35" s="1035"/>
      <c r="AP35" s="1038"/>
      <c r="AQ35" s="1034" t="s">
        <v>587</v>
      </c>
      <c r="AR35" s="1035"/>
      <c r="AS35" s="1035"/>
      <c r="AT35" s="1035"/>
      <c r="AU35" s="1035"/>
      <c r="AV35" s="1035"/>
      <c r="AW35" s="1038"/>
      <c r="AX35" s="1032" t="s">
        <v>585</v>
      </c>
      <c r="AY35" s="1032"/>
      <c r="AZ35" s="1032"/>
      <c r="BA35" s="1032"/>
      <c r="BB35" s="1032"/>
      <c r="BC35" s="1032"/>
      <c r="BD35" s="1032"/>
      <c r="BE35" s="1032">
        <v>3</v>
      </c>
      <c r="BF35" s="1032"/>
      <c r="BG35" s="1032"/>
      <c r="BH35" s="1032"/>
      <c r="BI35" s="1032"/>
      <c r="BJ35" s="1032"/>
      <c r="BK35" s="1032"/>
      <c r="BL35" s="1032">
        <v>1</v>
      </c>
      <c r="BM35" s="1032"/>
      <c r="BN35" s="1032"/>
      <c r="BO35" s="1032"/>
      <c r="BP35" s="1032"/>
      <c r="BQ35" s="1032"/>
      <c r="BR35" s="1032"/>
      <c r="BS35" s="1037"/>
      <c r="BT35" s="1037"/>
      <c r="BU35" s="1037"/>
      <c r="BV35" s="1037"/>
      <c r="BW35" s="1037"/>
      <c r="BX35" s="1037"/>
      <c r="BY35" s="1037"/>
      <c r="BZ35" s="1037"/>
      <c r="CA35" s="1037"/>
      <c r="CB35" s="1037"/>
      <c r="CC35" s="1037"/>
      <c r="CD35" s="1037"/>
      <c r="CE35" s="1037"/>
    </row>
    <row r="36" spans="1:83" s="310" customFormat="1" ht="15.6" customHeight="1" x14ac:dyDescent="0.2">
      <c r="A36" s="1042"/>
      <c r="B36" s="1043"/>
      <c r="C36" s="1043"/>
      <c r="D36" s="1043"/>
      <c r="E36" s="1044"/>
      <c r="F36" s="1052" t="s">
        <v>584</v>
      </c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37" t="s">
        <v>101</v>
      </c>
      <c r="R36" s="1037"/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 t="s">
        <v>101</v>
      </c>
      <c r="AC36" s="1037"/>
      <c r="AD36" s="1037"/>
      <c r="AE36" s="1037"/>
      <c r="AF36" s="1037"/>
      <c r="AG36" s="1037"/>
      <c r="AH36" s="1034" t="s">
        <v>101</v>
      </c>
      <c r="AI36" s="1035"/>
      <c r="AJ36" s="1035"/>
      <c r="AK36" s="1035"/>
      <c r="AL36" s="1035"/>
      <c r="AM36" s="1035"/>
      <c r="AN36" s="1035"/>
      <c r="AO36" s="1035"/>
      <c r="AP36" s="1038"/>
      <c r="AQ36" s="1034" t="s">
        <v>333</v>
      </c>
      <c r="AR36" s="1035"/>
      <c r="AS36" s="1035"/>
      <c r="AT36" s="1035"/>
      <c r="AU36" s="1035"/>
      <c r="AV36" s="1035"/>
      <c r="AW36" s="1038"/>
      <c r="AX36" s="1032" t="s">
        <v>586</v>
      </c>
      <c r="AY36" s="1032"/>
      <c r="AZ36" s="1032"/>
      <c r="BA36" s="1032"/>
      <c r="BB36" s="1032"/>
      <c r="BC36" s="1032"/>
      <c r="BD36" s="1032"/>
      <c r="BE36" s="1032"/>
      <c r="BF36" s="1032"/>
      <c r="BG36" s="1032"/>
      <c r="BH36" s="1032"/>
      <c r="BI36" s="1032"/>
      <c r="BJ36" s="1032"/>
      <c r="BK36" s="1032"/>
      <c r="BL36" s="1032"/>
      <c r="BM36" s="1032"/>
      <c r="BN36" s="1032"/>
      <c r="BO36" s="1032"/>
      <c r="BP36" s="1032"/>
      <c r="BQ36" s="1032"/>
      <c r="BR36" s="1032"/>
      <c r="BS36" s="1037"/>
      <c r="BT36" s="1037"/>
      <c r="BU36" s="1037"/>
      <c r="BV36" s="1037"/>
      <c r="BW36" s="1037"/>
      <c r="BX36" s="1037"/>
      <c r="BY36" s="1037"/>
      <c r="BZ36" s="1037"/>
      <c r="CA36" s="1037"/>
      <c r="CB36" s="1037"/>
      <c r="CC36" s="1037"/>
      <c r="CD36" s="1037"/>
      <c r="CE36" s="1037"/>
    </row>
    <row r="37" spans="1:83" s="310" customFormat="1" ht="15" customHeight="1" x14ac:dyDescent="0.2">
      <c r="A37" s="1045"/>
      <c r="B37" s="1046"/>
      <c r="C37" s="1046"/>
      <c r="D37" s="1046"/>
      <c r="E37" s="1047"/>
      <c r="F37" s="1032" t="s">
        <v>583</v>
      </c>
      <c r="G37" s="1032"/>
      <c r="H37" s="1032"/>
      <c r="I37" s="1032"/>
      <c r="J37" s="1032"/>
      <c r="K37" s="1032"/>
      <c r="L37" s="1032"/>
      <c r="M37" s="1032"/>
      <c r="N37" s="1032"/>
      <c r="O37" s="1032"/>
      <c r="P37" s="1032"/>
      <c r="Q37" s="1037" t="s">
        <v>101</v>
      </c>
      <c r="R37" s="1037"/>
      <c r="S37" s="1037"/>
      <c r="T37" s="1037"/>
      <c r="U37" s="1037"/>
      <c r="V37" s="1037"/>
      <c r="W37" s="1037"/>
      <c r="X37" s="1037"/>
      <c r="Y37" s="1037"/>
      <c r="Z37" s="1037"/>
      <c r="AA37" s="1037"/>
      <c r="AB37" s="1037" t="s">
        <v>101</v>
      </c>
      <c r="AC37" s="1037"/>
      <c r="AD37" s="1037"/>
      <c r="AE37" s="1037"/>
      <c r="AF37" s="1037"/>
      <c r="AG37" s="1037"/>
      <c r="AH37" s="1034" t="s">
        <v>101</v>
      </c>
      <c r="AI37" s="1035"/>
      <c r="AJ37" s="1035"/>
      <c r="AK37" s="1035"/>
      <c r="AL37" s="1035"/>
      <c r="AM37" s="1035"/>
      <c r="AN37" s="1035"/>
      <c r="AO37" s="1035"/>
      <c r="AP37" s="1038"/>
      <c r="AQ37" s="1034" t="s">
        <v>588</v>
      </c>
      <c r="AR37" s="1035"/>
      <c r="AS37" s="1035"/>
      <c r="AT37" s="1035"/>
      <c r="AU37" s="1035"/>
      <c r="AV37" s="1035"/>
      <c r="AW37" s="1038"/>
      <c r="AX37" s="1032">
        <v>10</v>
      </c>
      <c r="AY37" s="1032"/>
      <c r="AZ37" s="1032"/>
      <c r="BA37" s="1032"/>
      <c r="BB37" s="1032"/>
      <c r="BC37" s="1032"/>
      <c r="BD37" s="1032"/>
      <c r="BE37" s="1032">
        <v>8.5</v>
      </c>
      <c r="BF37" s="1032"/>
      <c r="BG37" s="1032"/>
      <c r="BH37" s="1032"/>
      <c r="BI37" s="1032"/>
      <c r="BJ37" s="1032"/>
      <c r="BK37" s="1032"/>
      <c r="BL37" s="1032"/>
      <c r="BM37" s="1032"/>
      <c r="BN37" s="1032"/>
      <c r="BO37" s="1032"/>
      <c r="BP37" s="1032"/>
      <c r="BQ37" s="1032"/>
      <c r="BR37" s="1032"/>
      <c r="BS37" s="1034" t="s">
        <v>589</v>
      </c>
      <c r="BT37" s="1035"/>
      <c r="BU37" s="1035"/>
      <c r="BV37" s="1035"/>
      <c r="BW37" s="1035"/>
      <c r="BX37" s="1035"/>
      <c r="BY37" s="1035"/>
      <c r="BZ37" s="1035"/>
      <c r="CA37" s="1035"/>
      <c r="CB37" s="1035"/>
      <c r="CC37" s="1035"/>
      <c r="CD37" s="1035"/>
      <c r="CE37" s="1035"/>
    </row>
    <row r="38" spans="1:83" s="310" customFormat="1" ht="19.149999999999999" customHeight="1" x14ac:dyDescent="0.25">
      <c r="A38" s="313"/>
      <c r="B38" s="309"/>
      <c r="C38" s="309"/>
      <c r="D38" s="309"/>
      <c r="E38" s="309"/>
      <c r="F38" s="309"/>
      <c r="G38" s="309"/>
      <c r="H38" s="309"/>
      <c r="I38" s="309"/>
      <c r="J38" s="309"/>
    </row>
    <row r="39" spans="1:83" s="310" customFormat="1" ht="15" customHeight="1" x14ac:dyDescent="0.2">
      <c r="A39" s="242" t="s">
        <v>457</v>
      </c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83" s="310" customFormat="1" ht="15" customHeight="1" x14ac:dyDescent="0.2">
      <c r="A40" s="100" t="s">
        <v>467</v>
      </c>
      <c r="B40" s="316"/>
      <c r="C40" s="316"/>
      <c r="D40" s="316"/>
      <c r="E40" s="316"/>
      <c r="F40" s="316"/>
      <c r="G40" s="316"/>
      <c r="H40" s="316"/>
      <c r="I40" s="316"/>
      <c r="J40" s="316"/>
    </row>
    <row r="41" spans="1:83" s="310" customFormat="1" ht="12.75" x14ac:dyDescent="0.2">
      <c r="A41" s="94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T41" s="95"/>
      <c r="U41" s="94"/>
      <c r="V41" s="94"/>
    </row>
    <row r="42" spans="1:83" s="2" customFormat="1" ht="12.75" x14ac:dyDescent="0.2">
      <c r="A42" s="11"/>
      <c r="B42" s="11"/>
      <c r="C42" s="11"/>
      <c r="D42" s="45" t="s">
        <v>59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855"/>
      <c r="AN42" s="855"/>
      <c r="AO42" s="855"/>
      <c r="AP42" s="855"/>
      <c r="AQ42" s="855"/>
      <c r="AR42" s="855"/>
      <c r="AS42" s="855"/>
      <c r="AT42" s="855"/>
      <c r="AU42" s="855"/>
      <c r="AV42" s="855"/>
      <c r="AW42" s="855"/>
      <c r="AX42" s="855"/>
      <c r="AY42" s="855"/>
      <c r="AZ42" s="11"/>
      <c r="BA42" s="11"/>
      <c r="BB42" s="11"/>
      <c r="BC42" s="893" t="str">
        <f>IF('Данные объект'!B42="","",'Данные объект'!B42)</f>
      </c>
      <c r="BD42" s="893"/>
      <c r="BE42" s="893"/>
      <c r="BF42" s="893"/>
      <c r="BG42" s="893"/>
      <c r="BH42" s="893"/>
      <c r="BI42" s="893"/>
      <c r="BJ42" s="893"/>
      <c r="BK42" s="893"/>
      <c r="BL42" s="893"/>
      <c r="BM42" s="893"/>
      <c r="BN42" s="893"/>
      <c r="BO42" s="893"/>
      <c r="BP42" s="893"/>
      <c r="BQ42" s="893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</row>
    <row r="43" spans="1:83" s="5" customFormat="1" ht="9.75" x14ac:dyDescent="0.2">
      <c r="C43" s="20"/>
      <c r="E43" s="21"/>
      <c r="F43" s="21"/>
      <c r="G43" s="20"/>
      <c r="H43" s="20"/>
      <c r="I43" s="20"/>
      <c r="J43" s="20"/>
      <c r="K43" s="20"/>
      <c r="L43" s="20"/>
      <c r="M43" s="20"/>
      <c r="AM43" s="858" t="s">
        <v>2</v>
      </c>
      <c r="AN43" s="858"/>
      <c r="AO43" s="858"/>
      <c r="AP43" s="858"/>
      <c r="AQ43" s="858"/>
      <c r="AR43" s="858"/>
      <c r="AS43" s="858"/>
      <c r="AT43" s="858"/>
      <c r="AU43" s="858"/>
      <c r="AV43" s="858"/>
      <c r="AW43" s="858"/>
      <c r="AX43" s="858"/>
      <c r="AY43" s="858"/>
    </row>
    <row r="44" spans="1:83" s="5" customFormat="1" ht="9.75" x14ac:dyDescent="0.2">
      <c r="C44" s="20"/>
      <c r="E44" s="21"/>
      <c r="F44" s="21"/>
      <c r="G44" s="20"/>
      <c r="H44" s="20"/>
      <c r="I44" s="20"/>
      <c r="J44" s="20"/>
      <c r="K44" s="20"/>
      <c r="L44" s="20"/>
      <c r="M44" s="20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</row>
    <row r="45" spans="1:83" s="2" customFormat="1" ht="12.75" x14ac:dyDescent="0.2">
      <c r="A45" s="11"/>
      <c r="B45" s="11"/>
      <c r="C45" s="11"/>
      <c r="D45" s="45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855"/>
      <c r="AN45" s="855"/>
      <c r="AO45" s="855"/>
      <c r="AP45" s="855"/>
      <c r="AQ45" s="855"/>
      <c r="AR45" s="855"/>
      <c r="AS45" s="855"/>
      <c r="AT45" s="855"/>
      <c r="AU45" s="855"/>
      <c r="AV45" s="855"/>
      <c r="AW45" s="855"/>
      <c r="AX45" s="855"/>
      <c r="AY45" s="855"/>
      <c r="AZ45" s="11"/>
      <c r="BA45" s="11"/>
      <c r="BB45" s="11"/>
      <c r="BC45" s="893" t="str">
        <f>IF('Данные объект'!B47="","",'Данные объект'!B47)</f>
      </c>
      <c r="BD45" s="893"/>
      <c r="BE45" s="893"/>
      <c r="BF45" s="893"/>
      <c r="BG45" s="893"/>
      <c r="BH45" s="893"/>
      <c r="BI45" s="893"/>
      <c r="BJ45" s="893"/>
      <c r="BK45" s="893"/>
      <c r="BL45" s="893"/>
      <c r="BM45" s="893"/>
      <c r="BN45" s="893"/>
      <c r="BO45" s="893"/>
      <c r="BP45" s="893"/>
      <c r="BQ45" s="893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</row>
    <row r="46" spans="1:83" s="5" customFormat="1" ht="9.75" x14ac:dyDescent="0.2">
      <c r="C46" s="20"/>
      <c r="E46" s="21"/>
      <c r="F46" s="21"/>
      <c r="G46" s="20"/>
      <c r="H46" s="20"/>
      <c r="I46" s="20"/>
      <c r="J46" s="20"/>
      <c r="K46" s="20"/>
      <c r="L46" s="20"/>
      <c r="M46" s="20"/>
      <c r="AM46" s="858" t="s">
        <v>2</v>
      </c>
      <c r="AN46" s="858"/>
      <c r="AO46" s="858"/>
      <c r="AP46" s="858"/>
      <c r="AQ46" s="858"/>
      <c r="AR46" s="858"/>
      <c r="AS46" s="858"/>
      <c r="AT46" s="858"/>
      <c r="AU46" s="858"/>
      <c r="AV46" s="858"/>
      <c r="AW46" s="858"/>
      <c r="AX46" s="858"/>
      <c r="AY46" s="858"/>
    </row>
    <row r="47" spans="1:83" s="5" customFormat="1" ht="12.75" outlineLevel="1" x14ac:dyDescent="0.2">
      <c r="C47" s="20"/>
      <c r="D47" s="21"/>
      <c r="E47" s="21"/>
      <c r="F47" s="21"/>
      <c r="G47" s="20"/>
      <c r="H47" s="20"/>
      <c r="I47" s="20"/>
      <c r="J47" s="20"/>
      <c r="K47" s="20"/>
      <c r="L47" s="20"/>
      <c r="M47" s="20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83" s="11" customFormat="1" ht="11.25" x14ac:dyDescent="0.2">
      <c r="C48" s="57"/>
      <c r="D48" s="45" t="s">
        <v>61</v>
      </c>
      <c r="E48" s="45"/>
      <c r="F48" s="45"/>
      <c r="G48" s="57"/>
      <c r="H48" s="57"/>
      <c r="I48" s="57"/>
      <c r="J48" s="57"/>
      <c r="K48" s="57"/>
      <c r="L48" s="57"/>
      <c r="M48" s="57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93" t="str">
        <f>IF('Данные объект'!B28="","",'Данные объект'!B28)</f>
      </c>
      <c r="BD48" s="893"/>
      <c r="BE48" s="893"/>
      <c r="BF48" s="893"/>
      <c r="BG48" s="893"/>
      <c r="BH48" s="893"/>
      <c r="BI48" s="893"/>
      <c r="BJ48" s="893"/>
      <c r="BK48" s="893"/>
      <c r="BL48" s="893"/>
      <c r="BM48" s="893"/>
      <c r="BN48" s="893"/>
      <c r="BO48" s="893"/>
      <c r="BP48" s="893"/>
      <c r="BQ48" s="893"/>
    </row>
    <row r="49" spans="1:172" s="5" customFormat="1" ht="9.75" x14ac:dyDescent="0.2">
      <c r="C49" s="20"/>
      <c r="E49" s="21"/>
      <c r="F49" s="21"/>
      <c r="G49" s="20"/>
      <c r="H49" s="20"/>
      <c r="I49" s="20"/>
      <c r="J49" s="20"/>
      <c r="K49" s="20"/>
      <c r="L49" s="20"/>
      <c r="M49" s="20"/>
      <c r="AM49" s="858" t="s">
        <v>2</v>
      </c>
      <c r="AN49" s="858"/>
      <c r="AO49" s="858"/>
      <c r="AP49" s="858"/>
      <c r="AQ49" s="858"/>
      <c r="AR49" s="858"/>
      <c r="AS49" s="858"/>
      <c r="AT49" s="858"/>
      <c r="AU49" s="858"/>
      <c r="AV49" s="858"/>
      <c r="AW49" s="858"/>
      <c r="AX49" s="858"/>
      <c r="AY49" s="858"/>
    </row>
    <row r="50" spans="1:172" s="310" customFormat="1" ht="15" customHeight="1" x14ac:dyDescent="0.2">
      <c r="A50" s="315"/>
      <c r="B50" s="316"/>
      <c r="C50" s="316"/>
      <c r="D50" s="316"/>
    </row>
    <row r="51" spans="1:172" s="310" customFormat="1" ht="15" customHeight="1" x14ac:dyDescent="0.2">
      <c r="A51" s="315"/>
      <c r="B51" s="316"/>
      <c r="C51" s="316"/>
      <c r="D51" s="316"/>
    </row>
    <row r="52" spans="1:172" s="310" customFormat="1" ht="15" customHeight="1" x14ac:dyDescent="0.2">
      <c r="A52" s="95"/>
      <c r="B52" s="316"/>
      <c r="C52" s="316"/>
      <c r="D52" s="316"/>
    </row>
    <row r="53" spans="1:172" s="310" customFormat="1" ht="13.15" customHeight="1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N53" s="106"/>
    </row>
    <row r="54" spans="1:172" s="310" customFormat="1" ht="16.899999999999999" customHeight="1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N54" s="101"/>
    </row>
    <row r="55" spans="1:172" s="310" customFormat="1" ht="16.899999999999999" customHeight="1" x14ac:dyDescent="0.2">
      <c r="A55" s="30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08"/>
      <c r="AG55" s="308"/>
      <c r="AH55" s="308"/>
      <c r="AI55" s="308"/>
      <c r="AJ55" s="308"/>
      <c r="AK55" s="308"/>
      <c r="AL55" s="308"/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308"/>
      <c r="AY55" s="308"/>
      <c r="AZ55" s="308"/>
      <c r="BA55" s="308"/>
      <c r="BB55" s="308"/>
      <c r="BC55" s="308"/>
      <c r="BD55" s="308"/>
      <c r="BE55" s="308"/>
      <c r="BF55" s="308"/>
      <c r="BG55" s="308"/>
      <c r="BH55" s="308"/>
      <c r="BI55" s="308"/>
      <c r="BJ55" s="308"/>
      <c r="BK55" s="308"/>
      <c r="BL55" s="308"/>
      <c r="BM55" s="308"/>
      <c r="BN55" s="308"/>
      <c r="BO55" s="308"/>
      <c r="BP55" s="308"/>
      <c r="BQ55" s="308"/>
      <c r="BR55" s="308"/>
      <c r="BS55" s="308"/>
      <c r="BT55" s="308"/>
      <c r="BU55" s="308"/>
      <c r="BV55" s="308"/>
      <c r="BW55" s="308"/>
      <c r="BX55" s="308"/>
      <c r="BY55" s="308"/>
      <c r="BZ55" s="308"/>
      <c r="CA55" s="308"/>
      <c r="CB55" s="308"/>
      <c r="CC55" s="308"/>
      <c r="CD55" s="308"/>
      <c r="CN55" s="101"/>
    </row>
    <row r="56" spans="1:172" s="2" customFormat="1" ht="13.5" x14ac:dyDescent="0.25">
      <c r="F56" s="10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</row>
    <row r="57" spans="1:172" s="2" customFormat="1" ht="12.75" x14ac:dyDescent="0.2"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</row>
    <row r="58" spans="1:172" s="5" customFormat="1" ht="7.9" hidden="1" customHeight="1" x14ac:dyDescent="0.15"/>
    <row r="59" spans="1:172" s="70" customFormat="1" ht="11.2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</row>
    <row r="61" spans="1:172" s="41" customFormat="1" ht="8.25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</row>
    <row r="62" spans="1:172" s="70" customFormat="1" ht="10.15" hidden="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</row>
    <row r="63" spans="1:172" ht="14.45" hidden="1" customHeight="1" x14ac:dyDescent="0.25"/>
    <row r="64" spans="1:172" s="41" customFormat="1" ht="8.4499999999999993" hidden="1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</row>
    <row r="65" spans="1:172" ht="14.45" hidden="1" customHeight="1" x14ac:dyDescent="0.25"/>
    <row r="66" spans="1:172" s="70" customFormat="1" ht="10.15" hidden="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</row>
    <row r="67" spans="1:172" ht="14.45" hidden="1" customHeight="1" x14ac:dyDescent="0.25"/>
    <row r="68" spans="1:172" s="70" customFormat="1" ht="10.15" hidden="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02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</row>
    <row r="71" spans="1:172" s="42" customFormat="1" ht="15" customHeight="1" x14ac:dyDescent="0.25">
      <c r="A71" s="103"/>
      <c r="B71" s="103"/>
      <c r="C71" s="103"/>
      <c r="D71" s="103"/>
      <c r="E71" s="103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3"/>
      <c r="BF71" s="103"/>
      <c r="BG71" s="103"/>
      <c r="BH71" s="103"/>
      <c r="BI71" s="103"/>
      <c r="BJ71" s="103"/>
      <c r="BK71" s="103"/>
      <c r="BL71" s="103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3"/>
      <c r="BZ71" s="103"/>
      <c r="CA71" s="103"/>
      <c r="CB71" s="103"/>
      <c r="CC71" s="304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</row>
    <row r="72" spans="1:172" s="42" customFormat="1" x14ac:dyDescent="0.25">
      <c r="A72" s="103"/>
      <c r="B72" s="103"/>
      <c r="C72" s="103"/>
      <c r="D72" s="103"/>
      <c r="E72" s="103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3"/>
      <c r="BF72" s="103"/>
      <c r="BG72" s="103"/>
      <c r="BH72" s="103"/>
      <c r="BI72" s="103"/>
      <c r="BJ72" s="103"/>
      <c r="BK72" s="103"/>
      <c r="BL72" s="103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3"/>
      <c r="BZ72" s="103"/>
      <c r="CA72" s="103"/>
      <c r="CB72" s="103"/>
      <c r="CC72" s="304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</row>
    <row r="73" spans="1:172" s="42" customFormat="1" x14ac:dyDescent="0.25">
      <c r="A73" s="103"/>
      <c r="B73" s="103"/>
      <c r="C73" s="103"/>
      <c r="D73" s="103"/>
      <c r="E73" s="103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3"/>
      <c r="BF73" s="103"/>
      <c r="BG73" s="103"/>
      <c r="BH73" s="103"/>
      <c r="BI73" s="103"/>
      <c r="BJ73" s="103"/>
      <c r="BK73" s="103"/>
      <c r="BL73" s="103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3"/>
      <c r="BZ73" s="103"/>
      <c r="CA73" s="103"/>
      <c r="CB73" s="103"/>
      <c r="CC73" s="304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</row>
    <row r="74" spans="1:172" x14ac:dyDescent="0.25">
      <c r="A74" s="103"/>
      <c r="B74" s="103"/>
      <c r="C74" s="103"/>
      <c r="D74" s="103"/>
      <c r="E74" s="103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3"/>
      <c r="BF74" s="103"/>
      <c r="BG74" s="103"/>
      <c r="BH74" s="103"/>
      <c r="BI74" s="103"/>
      <c r="BJ74" s="103"/>
      <c r="BK74" s="103"/>
      <c r="BL74" s="103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3"/>
      <c r="BZ74" s="103"/>
      <c r="CA74" s="103"/>
      <c r="CB74" s="103"/>
      <c r="CC74" s="11"/>
    </row>
    <row r="75" spans="1:172" x14ac:dyDescent="0.25">
      <c r="A75" s="103"/>
      <c r="B75" s="103"/>
      <c r="C75" s="103"/>
      <c r="D75" s="103"/>
      <c r="E75" s="103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3"/>
      <c r="BF75" s="103"/>
      <c r="BG75" s="103"/>
      <c r="BH75" s="103"/>
      <c r="BI75" s="103"/>
      <c r="BJ75" s="103"/>
      <c r="BK75" s="103"/>
      <c r="BL75" s="103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3"/>
      <c r="BZ75" s="103"/>
      <c r="CA75" s="103"/>
      <c r="CB75" s="103"/>
      <c r="CC75" s="11"/>
    </row>
    <row r="76" spans="1:17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70"/>
      <c r="BZ76" s="70"/>
      <c r="CA76" s="70"/>
      <c r="CB76" s="70"/>
      <c r="CC76" s="11"/>
    </row>
    <row r="77" spans="1:17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11"/>
    </row>
    <row r="78" spans="1:17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11"/>
    </row>
    <row r="79" spans="1:172" ht="14.45" hidden="1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11"/>
    </row>
    <row r="80" spans="1:172" ht="14.45" hidden="1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11"/>
    </row>
    <row r="81" spans="1:81" ht="14.45" hidden="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11"/>
    </row>
    <row r="82" spans="1:81" ht="14.45" hidden="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11"/>
    </row>
    <row r="83" spans="1:81" ht="14.45" hidden="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11"/>
    </row>
    <row r="84" spans="1:81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1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1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1" ht="14.45" hidden="1" customHeight="1" x14ac:dyDescent="0.25"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1" ht="14.45" hidden="1" customHeight="1" x14ac:dyDescent="0.25"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1" ht="14.45" hidden="1" customHeight="1" x14ac:dyDescent="0.25"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1" ht="14.45" hidden="1" customHeight="1" x14ac:dyDescent="0.25"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1" ht="14.45" hidden="1" customHeight="1" x14ac:dyDescent="0.25"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pans="1:81" ht="14.45" hidden="1" customHeight="1" x14ac:dyDescent="0.25"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pans="1:81" x14ac:dyDescent="0.25">
      <c r="AN93"/>
      <c r="AO93"/>
      <c r="AP93"/>
      <c r="AQ93"/>
      <c r="AR93"/>
      <c r="AS93"/>
      <c r="AT93"/>
      <c r="AU93"/>
      <c r="AV93"/>
      <c r="AW93"/>
      <c r="AX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1:81" ht="6.6" customHeight="1" x14ac:dyDescent="0.25">
      <c r="AN94"/>
      <c r="AO94"/>
      <c r="AP94"/>
      <c r="AQ94"/>
      <c r="AR94"/>
      <c r="AS94"/>
      <c r="AT94"/>
      <c r="AU94"/>
      <c r="AV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1:81" x14ac:dyDescent="0.25">
      <c r="A95" s="11"/>
      <c r="B95" s="11"/>
      <c r="C95" s="5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ht="7.9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x14ac:dyDescent="0.25">
      <c r="A98" s="11"/>
      <c r="B98" s="11"/>
      <c r="C98" s="5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s="2" customFormat="1" ht="12.75" x14ac:dyDescent="0.2">
      <c r="A102" s="11"/>
      <c r="B102" s="11"/>
      <c r="C102" s="11"/>
      <c r="D102" s="4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s="5" customFormat="1" ht="9.75" x14ac:dyDescent="0.2">
      <c r="C103" s="20"/>
      <c r="E103" s="21"/>
      <c r="F103" s="21"/>
      <c r="G103" s="20"/>
      <c r="H103" s="20"/>
      <c r="I103" s="20"/>
      <c r="J103" s="20"/>
      <c r="K103" s="20"/>
      <c r="L103" s="20"/>
      <c r="M103" s="20"/>
    </row>
    <row r="104" spans="1:80" s="5" customFormat="1" ht="12.75" outlineLevel="1" x14ac:dyDescent="0.2">
      <c r="C104" s="20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</row>
    <row r="105" spans="1:80" s="11" customFormat="1" ht="11.25" x14ac:dyDescent="0.2">
      <c r="C105" s="57"/>
      <c r="D105" s="45"/>
      <c r="E105" s="45"/>
      <c r="F105" s="45"/>
      <c r="G105" s="57"/>
      <c r="H105" s="57"/>
      <c r="I105" s="57"/>
      <c r="J105" s="57"/>
      <c r="K105" s="57"/>
      <c r="L105" s="57"/>
      <c r="M105" s="57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80" s="5" customFormat="1" ht="9.75" x14ac:dyDescent="0.2">
      <c r="C106" s="20"/>
      <c r="E106" s="21"/>
      <c r="F106" s="21"/>
      <c r="G106" s="20"/>
      <c r="H106" s="20"/>
      <c r="I106" s="20"/>
      <c r="J106" s="20"/>
      <c r="K106" s="20"/>
      <c r="L106" s="20"/>
      <c r="M106" s="20"/>
    </row>
  </sheetData>
  <mergeCells count="82">
    <mergeCell ref="AR1:BZ2"/>
    <mergeCell ref="A2:AI2"/>
    <mergeCell ref="A3:AI3"/>
    <mergeCell ref="AR3:BZ3"/>
    <mergeCell ref="A4:AI4"/>
    <mergeCell ref="AR4:BZ4"/>
    <mergeCell ref="A17:CB17"/>
    <mergeCell ref="A5:AI5"/>
    <mergeCell ref="AR5:BZ5"/>
    <mergeCell ref="AR6:BZ9"/>
    <mergeCell ref="A8:AI9"/>
    <mergeCell ref="A10:AI10"/>
    <mergeCell ref="AR10:BZ10"/>
    <mergeCell ref="A11:AI11"/>
    <mergeCell ref="AR11:BZ11"/>
    <mergeCell ref="AR12:BZ12"/>
    <mergeCell ref="A13:CE13"/>
    <mergeCell ref="A14:CE14"/>
    <mergeCell ref="A30:AH30"/>
    <mergeCell ref="A18:CB18"/>
    <mergeCell ref="A19:CB19"/>
    <mergeCell ref="A20:CB20"/>
    <mergeCell ref="A22:CB22"/>
    <mergeCell ref="A23:CB23"/>
    <mergeCell ref="A25:Y25"/>
    <mergeCell ref="Z25:CE25"/>
    <mergeCell ref="A27:Z27"/>
    <mergeCell ref="AA27:AS27"/>
    <mergeCell ref="AT27:BX27"/>
    <mergeCell ref="A28:Y28"/>
    <mergeCell ref="B29:C29"/>
    <mergeCell ref="B31:AP31"/>
    <mergeCell ref="A33:E34"/>
    <mergeCell ref="F33:P34"/>
    <mergeCell ref="Q33:AA33"/>
    <mergeCell ref="AB33:AP33"/>
    <mergeCell ref="BS33:CE34"/>
    <mergeCell ref="Q34:AA34"/>
    <mergeCell ref="AB34:AG34"/>
    <mergeCell ref="AH34:AP34"/>
    <mergeCell ref="AQ34:AW34"/>
    <mergeCell ref="AX34:BD34"/>
    <mergeCell ref="BE34:BK34"/>
    <mergeCell ref="BL34:BR34"/>
    <mergeCell ref="AQ33:BR33"/>
    <mergeCell ref="A35:E37"/>
    <mergeCell ref="F35:P35"/>
    <mergeCell ref="Q35:AA35"/>
    <mergeCell ref="AB35:AG35"/>
    <mergeCell ref="AH35:AP35"/>
    <mergeCell ref="F37:P37"/>
    <mergeCell ref="Q37:AA37"/>
    <mergeCell ref="AB37:AG37"/>
    <mergeCell ref="AH37:AP37"/>
    <mergeCell ref="F36:P36"/>
    <mergeCell ref="Q36:AA36"/>
    <mergeCell ref="AB36:AG36"/>
    <mergeCell ref="AH36:AP36"/>
    <mergeCell ref="AQ36:AW36"/>
    <mergeCell ref="BS37:CE37"/>
    <mergeCell ref="AM42:AY42"/>
    <mergeCell ref="BC42:BQ42"/>
    <mergeCell ref="AX35:BD35"/>
    <mergeCell ref="BE35:BK35"/>
    <mergeCell ref="BL35:BR35"/>
    <mergeCell ref="BS35:CE35"/>
    <mergeCell ref="AX36:BD36"/>
    <mergeCell ref="AQ35:AW35"/>
    <mergeCell ref="BE36:BK36"/>
    <mergeCell ref="BL36:BR36"/>
    <mergeCell ref="BS36:CE36"/>
    <mergeCell ref="AM49:AY49"/>
    <mergeCell ref="BL37:BR37"/>
    <mergeCell ref="AM43:AY43"/>
    <mergeCell ref="AM45:AY45"/>
    <mergeCell ref="BC45:BQ45"/>
    <mergeCell ref="AM46:AY46"/>
    <mergeCell ref="AM48:AY48"/>
    <mergeCell ref="BC48:BQ48"/>
    <mergeCell ref="AQ37:AW37"/>
    <mergeCell ref="AX37:BD37"/>
    <mergeCell ref="BE37:BK37"/>
  </mergeCells>
  <dataValidations count="2">
    <dataValidation type="list" allowBlank="1" showInputMessage="1" showErrorMessage="1" sqref="O76:W78" xr:uid="{84F01DF1-1580-4848-A067-35B383574990}">
      <formula1>стойка</formula1>
    </dataValidation>
    <dataValidation type="list" allowBlank="1" showInputMessage="1" showErrorMessage="1" sqref="P53:V53" xr:uid="{9A813840-0C3B-4E98-A76A-2410794A4560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F3B1-DF35-41A3-B280-58168293E93B}">
  <sheetPr>
    <tabColor rgb="FFCC99FF"/>
  </sheetPr>
  <dimension ref="A1:FP100"/>
  <sheetViews>
    <sheetView view="pageBreakPreview" zoomScaleNormal="100" zoomScaleSheetLayoutView="100" workbookViewId="0">
      <selection activeCell="AG21" sqref="AG21:BH21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объект'!B30="","",'Данные объект'!B30)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7.100000000000001" customHeight="1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4.45" customHeight="1" x14ac:dyDescent="0.2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16.899999999999999" hidden="1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7.100000000000001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1104"/>
      <c r="AT12" s="1104"/>
      <c r="AU12" s="1104"/>
      <c r="AV12" s="1104"/>
      <c r="AW12" s="1104"/>
      <c r="AX12" s="1104"/>
      <c r="AY12" s="1104"/>
      <c r="AZ12" s="1104"/>
      <c r="BA12" s="1104"/>
      <c r="BB12" s="1104"/>
      <c r="BC12" s="1104"/>
      <c r="BD12" s="1104"/>
      <c r="BE12" s="1104"/>
      <c r="BF12" s="1104"/>
      <c r="BG12" s="1104"/>
      <c r="BH12" s="1104"/>
      <c r="BI12" s="1104"/>
      <c r="BJ12" s="1104"/>
      <c r="BK12" s="1104"/>
      <c r="BL12" s="1104"/>
      <c r="BM12" s="1104"/>
      <c r="BN12" s="1104"/>
      <c r="BO12" s="1104"/>
      <c r="BP12" s="1104"/>
      <c r="BQ12" s="1104"/>
      <c r="BR12" s="1104"/>
      <c r="BS12" s="1104"/>
      <c r="BT12" s="1104"/>
      <c r="BU12" s="1104"/>
      <c r="BV12" s="1104"/>
      <c r="BW12" s="1104"/>
      <c r="BX12" s="1104"/>
      <c r="BY12" s="1104"/>
      <c r="BZ12" s="1104"/>
      <c r="CA12" s="67"/>
      <c r="CB12" s="67"/>
    </row>
    <row r="13" spans="1:172" s="40" customFormat="1" ht="30.6" customHeight="1" x14ac:dyDescent="0.25">
      <c r="A13" s="931" t="s">
        <v>1254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1255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310" customFormat="1" ht="12.6" customHeight="1" x14ac:dyDescent="0.2">
      <c r="A16" s="95" t="s">
        <v>590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964"/>
      <c r="T16" s="964"/>
      <c r="U16" s="964"/>
      <c r="V16" s="964"/>
      <c r="W16" s="964"/>
      <c r="X16" s="964"/>
      <c r="Y16" s="964"/>
      <c r="Z16" s="964"/>
      <c r="AA16" s="964"/>
      <c r="AB16" s="964"/>
      <c r="AC16" s="964"/>
      <c r="AD16" s="964"/>
      <c r="AE16" s="964"/>
      <c r="AF16" s="964"/>
      <c r="AG16" s="964"/>
      <c r="AH16" s="964"/>
      <c r="AI16" s="964"/>
      <c r="AJ16" s="964"/>
      <c r="AK16" s="964"/>
      <c r="AL16" s="964"/>
      <c r="AM16" s="964"/>
      <c r="AN16" s="964"/>
      <c r="AO16" s="964"/>
      <c r="AP16" s="964"/>
      <c r="AQ16" s="964"/>
      <c r="AR16" s="964"/>
      <c r="AS16" s="964"/>
      <c r="AT16" s="964"/>
      <c r="AU16" s="964"/>
      <c r="AV16" s="964"/>
      <c r="AW16" s="964"/>
      <c r="AX16" s="964"/>
      <c r="AY16" s="964"/>
      <c r="AZ16" s="964"/>
      <c r="BA16" s="964"/>
      <c r="BB16" s="964"/>
      <c r="BC16" s="964"/>
      <c r="BD16" s="964"/>
      <c r="BE16" s="964"/>
      <c r="BF16" s="964"/>
      <c r="BG16" s="964"/>
      <c r="BH16" s="964"/>
      <c r="BI16" s="964"/>
      <c r="BJ16" s="964"/>
      <c r="BK16" s="964"/>
      <c r="BL16" s="964"/>
      <c r="BM16" s="964"/>
      <c r="BN16" s="964"/>
      <c r="BO16" s="964"/>
      <c r="BP16" s="964"/>
      <c r="BQ16" s="964"/>
      <c r="BR16" s="964"/>
      <c r="BS16" s="964"/>
      <c r="BT16" s="964"/>
      <c r="BU16" s="964"/>
      <c r="BV16" s="964"/>
      <c r="BW16" s="964"/>
      <c r="BX16" s="964"/>
      <c r="BY16" s="964"/>
      <c r="BZ16" s="964"/>
      <c r="CA16" s="964"/>
      <c r="CB16" s="964"/>
      <c r="CC16" s="964"/>
      <c r="CD16" s="964"/>
      <c r="CE16" s="964"/>
    </row>
    <row r="17" spans="1:83" s="310" customFormat="1" ht="12.75" x14ac:dyDescent="0.2">
      <c r="A17" s="1019" t="s">
        <v>753</v>
      </c>
      <c r="B17" s="1054"/>
      <c r="C17" s="1054"/>
      <c r="D17" s="1054"/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  <c r="O17" s="1054"/>
      <c r="P17" s="1054"/>
      <c r="Q17" s="1054"/>
      <c r="R17" s="964"/>
      <c r="S17" s="964"/>
      <c r="T17" s="964"/>
      <c r="U17" s="964"/>
      <c r="V17" s="964"/>
      <c r="W17" s="964"/>
      <c r="X17" s="964"/>
      <c r="Y17" s="964"/>
      <c r="Z17" s="964"/>
      <c r="AA17" s="964"/>
      <c r="AB17" s="294"/>
      <c r="AC17" s="1101" t="s">
        <v>591</v>
      </c>
      <c r="AD17" s="1101"/>
      <c r="AE17" s="1101"/>
      <c r="AF17" s="1101"/>
      <c r="AG17" s="1101"/>
      <c r="AH17" s="1101"/>
      <c r="AI17" s="1101"/>
      <c r="AJ17" s="1101"/>
      <c r="AK17" s="1101"/>
      <c r="AL17" s="1055"/>
      <c r="AM17" s="1055"/>
      <c r="AN17" s="1055"/>
      <c r="AO17" s="1055"/>
      <c r="AP17" s="1055"/>
      <c r="AQ17" s="1055"/>
      <c r="AR17" s="1055"/>
      <c r="AS17" s="1055"/>
      <c r="AT17" s="1055"/>
      <c r="AU17" s="1055"/>
      <c r="AV17" s="1055"/>
    </row>
    <row r="18" spans="1:83" s="310" customFormat="1" ht="12.75" x14ac:dyDescent="0.2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9"/>
      <c r="O18" s="119"/>
      <c r="P18" s="119"/>
      <c r="Q18" s="119"/>
      <c r="R18" s="11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</row>
    <row r="19" spans="1:83" s="310" customFormat="1" ht="13.9" customHeight="1" x14ac:dyDescent="0.2">
      <c r="A19" s="1062" t="s">
        <v>505</v>
      </c>
      <c r="B19" s="1063"/>
      <c r="C19" s="1063"/>
      <c r="D19" s="1063"/>
      <c r="E19" s="1063"/>
      <c r="F19" s="1063"/>
      <c r="G19" s="1064"/>
      <c r="H19" s="1068" t="s">
        <v>187</v>
      </c>
      <c r="I19" s="1069"/>
      <c r="J19" s="1069"/>
      <c r="K19" s="1069"/>
      <c r="L19" s="1069"/>
      <c r="M19" s="1069"/>
      <c r="N19" s="1069"/>
      <c r="O19" s="1069"/>
      <c r="P19" s="1069"/>
      <c r="Q19" s="1069"/>
      <c r="R19" s="1069"/>
      <c r="S19" s="1069"/>
      <c r="T19" s="1069"/>
      <c r="U19" s="1069"/>
      <c r="V19" s="1069"/>
      <c r="W19" s="1069"/>
      <c r="X19" s="1069"/>
      <c r="Y19" s="1069"/>
      <c r="Z19" s="1069"/>
      <c r="AA19" s="1069"/>
      <c r="AB19" s="1069"/>
      <c r="AC19" s="1069"/>
      <c r="AD19" s="1069"/>
      <c r="AE19" s="1069"/>
      <c r="AF19" s="1069"/>
      <c r="AG19" s="1069"/>
      <c r="AH19" s="1069"/>
      <c r="AI19" s="1069"/>
      <c r="AJ19" s="1069"/>
      <c r="AK19" s="1069"/>
      <c r="AL19" s="1069"/>
      <c r="AM19" s="1069"/>
      <c r="AN19" s="1069"/>
      <c r="AO19" s="1069"/>
      <c r="AP19" s="1069"/>
      <c r="AQ19" s="1069"/>
      <c r="AR19" s="1069"/>
      <c r="AS19" s="1069"/>
      <c r="AT19" s="1069"/>
      <c r="AU19" s="1069"/>
      <c r="AV19" s="1069"/>
      <c r="AW19" s="1069"/>
      <c r="AX19" s="1069"/>
      <c r="AY19" s="1069"/>
      <c r="AZ19" s="1069"/>
      <c r="BA19" s="1069"/>
      <c r="BB19" s="1069"/>
      <c r="BC19" s="1069"/>
      <c r="BD19" s="1069"/>
      <c r="BE19" s="1069"/>
      <c r="BF19" s="1069"/>
      <c r="BG19" s="1069"/>
      <c r="BH19" s="1069"/>
      <c r="BI19" s="1069"/>
      <c r="BJ19" s="1069"/>
      <c r="BK19" s="1069"/>
      <c r="BL19" s="1069"/>
      <c r="BM19" s="1069"/>
      <c r="BN19" s="1069"/>
      <c r="BO19" s="1069"/>
      <c r="BP19" s="1069"/>
      <c r="BQ19" s="1069"/>
      <c r="BR19" s="1069"/>
      <c r="BS19" s="1069"/>
      <c r="BT19" s="1069"/>
      <c r="BU19" s="1069"/>
      <c r="BV19" s="1069"/>
      <c r="BW19" s="1069"/>
      <c r="BX19" s="1069"/>
      <c r="BY19" s="1069"/>
      <c r="BZ19" s="1069"/>
      <c r="CA19" s="1069"/>
      <c r="CB19" s="1069"/>
      <c r="CC19" s="1069"/>
      <c r="CD19" s="1069"/>
      <c r="CE19" s="1069"/>
    </row>
    <row r="20" spans="1:83" s="310" customFormat="1" ht="15" customHeight="1" x14ac:dyDescent="0.2">
      <c r="A20" s="1065"/>
      <c r="B20" s="1066"/>
      <c r="C20" s="1066"/>
      <c r="D20" s="1066"/>
      <c r="E20" s="1066"/>
      <c r="F20" s="1066"/>
      <c r="G20" s="1067"/>
      <c r="H20" s="1102" t="s">
        <v>529</v>
      </c>
      <c r="I20" s="1103"/>
      <c r="J20" s="1103"/>
      <c r="K20" s="1103"/>
      <c r="L20" s="1103"/>
      <c r="M20" s="1103"/>
      <c r="N20" s="1103"/>
      <c r="O20" s="1103"/>
      <c r="P20" s="1103"/>
      <c r="Q20" s="1103"/>
      <c r="R20" s="1103"/>
      <c r="S20" s="1103"/>
      <c r="T20" s="1103"/>
      <c r="U20" s="1103"/>
      <c r="V20" s="1103"/>
      <c r="W20" s="1103"/>
      <c r="X20" s="1103"/>
      <c r="Y20" s="1103"/>
      <c r="Z20" s="1103"/>
      <c r="AA20" s="1103"/>
      <c r="AB20" s="1103"/>
      <c r="AC20" s="1103"/>
      <c r="AD20" s="1103"/>
      <c r="AE20" s="1103"/>
      <c r="AF20" s="1057"/>
      <c r="AG20" s="1102" t="s">
        <v>527</v>
      </c>
      <c r="AH20" s="1103"/>
      <c r="AI20" s="1103"/>
      <c r="AJ20" s="1103"/>
      <c r="AK20" s="1103"/>
      <c r="AL20" s="1103"/>
      <c r="AM20" s="1103"/>
      <c r="AN20" s="1103"/>
      <c r="AO20" s="1103"/>
      <c r="AP20" s="1103"/>
      <c r="AQ20" s="1103"/>
      <c r="AR20" s="1103"/>
      <c r="AS20" s="1103"/>
      <c r="AT20" s="1103"/>
      <c r="AU20" s="1103"/>
      <c r="AV20" s="1103"/>
      <c r="AW20" s="1103"/>
      <c r="AX20" s="1103"/>
      <c r="AY20" s="1103"/>
      <c r="AZ20" s="1103"/>
      <c r="BA20" s="1103"/>
      <c r="BB20" s="1103"/>
      <c r="BC20" s="1103"/>
      <c r="BD20" s="1103"/>
      <c r="BE20" s="1103"/>
      <c r="BF20" s="1103"/>
      <c r="BG20" s="1103"/>
      <c r="BH20" s="1057"/>
      <c r="BI20" s="1102" t="s">
        <v>526</v>
      </c>
      <c r="BJ20" s="1103"/>
      <c r="BK20" s="1103"/>
      <c r="BL20" s="1103"/>
      <c r="BM20" s="1103"/>
      <c r="BN20" s="1103"/>
      <c r="BO20" s="1103"/>
      <c r="BP20" s="1103"/>
      <c r="BQ20" s="1103"/>
      <c r="BR20" s="1103"/>
      <c r="BS20" s="1103"/>
      <c r="BT20" s="1103"/>
      <c r="BU20" s="1103"/>
      <c r="BV20" s="1103"/>
      <c r="BW20" s="1103"/>
      <c r="BX20" s="1103"/>
      <c r="BY20" s="1103"/>
      <c r="BZ20" s="1103"/>
      <c r="CA20" s="1103"/>
      <c r="CB20" s="1103"/>
      <c r="CC20" s="1103"/>
      <c r="CD20" s="1103"/>
      <c r="CE20" s="1057"/>
    </row>
    <row r="21" spans="1:83" s="310" customFormat="1" ht="15" customHeight="1" x14ac:dyDescent="0.2">
      <c r="A21" s="1056"/>
      <c r="B21" s="1056"/>
      <c r="C21" s="1056"/>
      <c r="D21" s="1056"/>
      <c r="E21" s="1056"/>
      <c r="F21" s="1056"/>
      <c r="G21" s="1056"/>
      <c r="H21" s="1060" t="s">
        <v>524</v>
      </c>
      <c r="I21" s="1061"/>
      <c r="J21" s="1061"/>
      <c r="K21" s="1061"/>
      <c r="L21" s="1061"/>
      <c r="M21" s="1061"/>
      <c r="N21" s="1061"/>
      <c r="O21" s="1061"/>
      <c r="P21" s="1061"/>
      <c r="Q21" s="1061"/>
      <c r="R21" s="1061"/>
      <c r="S21" s="1061"/>
      <c r="T21" s="1061"/>
      <c r="U21" s="1061"/>
      <c r="V21" s="1061"/>
      <c r="W21" s="1061"/>
      <c r="X21" s="1061"/>
      <c r="Y21" s="1061"/>
      <c r="Z21" s="1061"/>
      <c r="AA21" s="1061"/>
      <c r="AB21" s="1061"/>
      <c r="AC21" s="1061"/>
      <c r="AD21" s="1061"/>
      <c r="AE21" s="1061"/>
      <c r="AF21" s="1058"/>
      <c r="AG21" s="1060" t="s">
        <v>524</v>
      </c>
      <c r="AH21" s="1061"/>
      <c r="AI21" s="1061"/>
      <c r="AJ21" s="1061"/>
      <c r="AK21" s="1061"/>
      <c r="AL21" s="1061"/>
      <c r="AM21" s="1061"/>
      <c r="AN21" s="1061"/>
      <c r="AO21" s="1061"/>
      <c r="AP21" s="1061"/>
      <c r="AQ21" s="1061"/>
      <c r="AR21" s="1061"/>
      <c r="AS21" s="1061"/>
      <c r="AT21" s="1061"/>
      <c r="AU21" s="1061"/>
      <c r="AV21" s="1061"/>
      <c r="AW21" s="1061"/>
      <c r="AX21" s="1061"/>
      <c r="AY21" s="1061"/>
      <c r="AZ21" s="1061"/>
      <c r="BA21" s="1061"/>
      <c r="BB21" s="1061"/>
      <c r="BC21" s="1061"/>
      <c r="BD21" s="1061"/>
      <c r="BE21" s="1061"/>
      <c r="BF21" s="1061"/>
      <c r="BG21" s="1061"/>
      <c r="BH21" s="1058"/>
      <c r="BI21" s="1060" t="s">
        <v>524</v>
      </c>
      <c r="BJ21" s="1061"/>
      <c r="BK21" s="1061"/>
      <c r="BL21" s="1061"/>
      <c r="BM21" s="1061"/>
      <c r="BN21" s="1061"/>
      <c r="BO21" s="1061"/>
      <c r="BP21" s="1061"/>
      <c r="BQ21" s="1061"/>
      <c r="BR21" s="1061"/>
      <c r="BS21" s="1061"/>
      <c r="BT21" s="1061"/>
      <c r="BU21" s="1061"/>
      <c r="BV21" s="1061"/>
      <c r="BW21" s="1061"/>
      <c r="BX21" s="1061"/>
      <c r="BY21" s="1061"/>
      <c r="BZ21" s="1061"/>
      <c r="CA21" s="1061"/>
      <c r="CB21" s="1061"/>
      <c r="CC21" s="1061"/>
      <c r="CD21" s="1061"/>
      <c r="CE21" s="1061"/>
    </row>
    <row r="22" spans="1:83" s="310" customFormat="1" ht="15" customHeight="1" x14ac:dyDescent="0.2">
      <c r="A22" s="1056"/>
      <c r="B22" s="1056"/>
      <c r="C22" s="1056"/>
      <c r="D22" s="1056"/>
      <c r="E22" s="1056"/>
      <c r="F22" s="1056"/>
      <c r="G22" s="1056"/>
      <c r="H22" s="1060" t="s">
        <v>524</v>
      </c>
      <c r="I22" s="1061"/>
      <c r="J22" s="1061"/>
      <c r="K22" s="1061"/>
      <c r="L22" s="1061"/>
      <c r="M22" s="1061"/>
      <c r="N22" s="1061"/>
      <c r="O22" s="1061"/>
      <c r="P22" s="1061"/>
      <c r="Q22" s="1061"/>
      <c r="R22" s="1061"/>
      <c r="S22" s="1061"/>
      <c r="T22" s="1061"/>
      <c r="U22" s="1061"/>
      <c r="V22" s="1061"/>
      <c r="W22" s="1061"/>
      <c r="X22" s="1061"/>
      <c r="Y22" s="1061"/>
      <c r="Z22" s="1061"/>
      <c r="AA22" s="1061"/>
      <c r="AB22" s="1061"/>
      <c r="AC22" s="1061"/>
      <c r="AD22" s="1061"/>
      <c r="AE22" s="1061"/>
      <c r="AF22" s="1058"/>
      <c r="AG22" s="1060" t="s">
        <v>524</v>
      </c>
      <c r="AH22" s="1061"/>
      <c r="AI22" s="1061"/>
      <c r="AJ22" s="1061"/>
      <c r="AK22" s="1061"/>
      <c r="AL22" s="1061"/>
      <c r="AM22" s="1061"/>
      <c r="AN22" s="1061"/>
      <c r="AO22" s="1061"/>
      <c r="AP22" s="1061"/>
      <c r="AQ22" s="1061"/>
      <c r="AR22" s="1061"/>
      <c r="AS22" s="1061"/>
      <c r="AT22" s="1061"/>
      <c r="AU22" s="1061"/>
      <c r="AV22" s="1061"/>
      <c r="AW22" s="1061"/>
      <c r="AX22" s="1061"/>
      <c r="AY22" s="1061"/>
      <c r="AZ22" s="1061"/>
      <c r="BA22" s="1061"/>
      <c r="BB22" s="1061"/>
      <c r="BC22" s="1061"/>
      <c r="BD22" s="1061"/>
      <c r="BE22" s="1061"/>
      <c r="BF22" s="1061"/>
      <c r="BG22" s="1061"/>
      <c r="BH22" s="1058"/>
      <c r="BI22" s="1060" t="s">
        <v>524</v>
      </c>
      <c r="BJ22" s="1061"/>
      <c r="BK22" s="1061"/>
      <c r="BL22" s="1061"/>
      <c r="BM22" s="1061"/>
      <c r="BN22" s="1061"/>
      <c r="BO22" s="1061"/>
      <c r="BP22" s="1061"/>
      <c r="BQ22" s="1061"/>
      <c r="BR22" s="1061"/>
      <c r="BS22" s="1061"/>
      <c r="BT22" s="1061"/>
      <c r="BU22" s="1061"/>
      <c r="BV22" s="1061"/>
      <c r="BW22" s="1061"/>
      <c r="BX22" s="1061"/>
      <c r="BY22" s="1061"/>
      <c r="BZ22" s="1061"/>
      <c r="CA22" s="1061"/>
      <c r="CB22" s="1061"/>
      <c r="CC22" s="1061"/>
      <c r="CD22" s="1061"/>
      <c r="CE22" s="1061"/>
    </row>
    <row r="23" spans="1:83" s="310" customFormat="1" ht="15" customHeight="1" x14ac:dyDescent="0.2">
      <c r="A23" s="1056"/>
      <c r="B23" s="1056"/>
      <c r="C23" s="1056"/>
      <c r="D23" s="1056"/>
      <c r="E23" s="1056"/>
      <c r="F23" s="1056"/>
      <c r="G23" s="1056"/>
      <c r="H23" s="1060" t="s">
        <v>524</v>
      </c>
      <c r="I23" s="1061"/>
      <c r="J23" s="1061"/>
      <c r="K23" s="1061"/>
      <c r="L23" s="1061"/>
      <c r="M23" s="1061"/>
      <c r="N23" s="1061"/>
      <c r="O23" s="1061"/>
      <c r="P23" s="1061"/>
      <c r="Q23" s="1061"/>
      <c r="R23" s="1061"/>
      <c r="S23" s="1061"/>
      <c r="T23" s="1061"/>
      <c r="U23" s="1061"/>
      <c r="V23" s="1061"/>
      <c r="W23" s="1061"/>
      <c r="X23" s="1061"/>
      <c r="Y23" s="1061"/>
      <c r="Z23" s="1061"/>
      <c r="AA23" s="1061"/>
      <c r="AB23" s="1061"/>
      <c r="AC23" s="1061"/>
      <c r="AD23" s="1061"/>
      <c r="AE23" s="1061"/>
      <c r="AF23" s="1058"/>
      <c r="AG23" s="1060" t="s">
        <v>524</v>
      </c>
      <c r="AH23" s="1061"/>
      <c r="AI23" s="1061"/>
      <c r="AJ23" s="1061"/>
      <c r="AK23" s="1061"/>
      <c r="AL23" s="1061"/>
      <c r="AM23" s="1061"/>
      <c r="AN23" s="1061"/>
      <c r="AO23" s="1061"/>
      <c r="AP23" s="1061"/>
      <c r="AQ23" s="1061"/>
      <c r="AR23" s="1061"/>
      <c r="AS23" s="1061"/>
      <c r="AT23" s="1061"/>
      <c r="AU23" s="1061"/>
      <c r="AV23" s="1061"/>
      <c r="AW23" s="1061"/>
      <c r="AX23" s="1061"/>
      <c r="AY23" s="1061"/>
      <c r="AZ23" s="1061"/>
      <c r="BA23" s="1061"/>
      <c r="BB23" s="1061"/>
      <c r="BC23" s="1061"/>
      <c r="BD23" s="1061"/>
      <c r="BE23" s="1061"/>
      <c r="BF23" s="1061"/>
      <c r="BG23" s="1061"/>
      <c r="BH23" s="1058"/>
      <c r="BI23" s="1060" t="s">
        <v>524</v>
      </c>
      <c r="BJ23" s="1061"/>
      <c r="BK23" s="1061"/>
      <c r="BL23" s="1061"/>
      <c r="BM23" s="1061"/>
      <c r="BN23" s="1061"/>
      <c r="BO23" s="1061"/>
      <c r="BP23" s="1061"/>
      <c r="BQ23" s="1061"/>
      <c r="BR23" s="1061"/>
      <c r="BS23" s="1061"/>
      <c r="BT23" s="1061"/>
      <c r="BU23" s="1061"/>
      <c r="BV23" s="1061"/>
      <c r="BW23" s="1061"/>
      <c r="BX23" s="1061"/>
      <c r="BY23" s="1061"/>
      <c r="BZ23" s="1061"/>
      <c r="CA23" s="1061"/>
      <c r="CB23" s="1061"/>
      <c r="CC23" s="1061"/>
      <c r="CD23" s="1061"/>
      <c r="CE23" s="1061"/>
    </row>
    <row r="24" spans="1:83" s="310" customFormat="1" ht="15" customHeight="1" x14ac:dyDescent="0.2">
      <c r="A24" s="1056"/>
      <c r="B24" s="1056"/>
      <c r="C24" s="1056"/>
      <c r="D24" s="1056"/>
      <c r="E24" s="1056"/>
      <c r="F24" s="1056"/>
      <c r="G24" s="1056"/>
      <c r="H24" s="1060" t="s">
        <v>524</v>
      </c>
      <c r="I24" s="1061"/>
      <c r="J24" s="1061"/>
      <c r="K24" s="1061"/>
      <c r="L24" s="1061"/>
      <c r="M24" s="1061"/>
      <c r="N24" s="1061"/>
      <c r="O24" s="1061"/>
      <c r="P24" s="1061"/>
      <c r="Q24" s="1061"/>
      <c r="R24" s="1061"/>
      <c r="S24" s="1061"/>
      <c r="T24" s="1061"/>
      <c r="U24" s="1061"/>
      <c r="V24" s="1061"/>
      <c r="W24" s="1061"/>
      <c r="X24" s="1061"/>
      <c r="Y24" s="1061"/>
      <c r="Z24" s="1061"/>
      <c r="AA24" s="1061"/>
      <c r="AB24" s="1061"/>
      <c r="AC24" s="1061"/>
      <c r="AD24" s="1061"/>
      <c r="AE24" s="1061"/>
      <c r="AF24" s="1058"/>
      <c r="AG24" s="1060" t="s">
        <v>524</v>
      </c>
      <c r="AH24" s="1061"/>
      <c r="AI24" s="1061"/>
      <c r="AJ24" s="1061"/>
      <c r="AK24" s="1061"/>
      <c r="AL24" s="1061"/>
      <c r="AM24" s="1061"/>
      <c r="AN24" s="1061"/>
      <c r="AO24" s="1061"/>
      <c r="AP24" s="1061"/>
      <c r="AQ24" s="1061"/>
      <c r="AR24" s="1061"/>
      <c r="AS24" s="1061"/>
      <c r="AT24" s="1061"/>
      <c r="AU24" s="1061"/>
      <c r="AV24" s="1061"/>
      <c r="AW24" s="1061"/>
      <c r="AX24" s="1061"/>
      <c r="AY24" s="1061"/>
      <c r="AZ24" s="1061"/>
      <c r="BA24" s="1061"/>
      <c r="BB24" s="1061"/>
      <c r="BC24" s="1061"/>
      <c r="BD24" s="1061"/>
      <c r="BE24" s="1061"/>
      <c r="BF24" s="1061"/>
      <c r="BG24" s="1061"/>
      <c r="BH24" s="1058"/>
      <c r="BI24" s="1060" t="s">
        <v>524</v>
      </c>
      <c r="BJ24" s="1061"/>
      <c r="BK24" s="1061"/>
      <c r="BL24" s="1061"/>
      <c r="BM24" s="1061"/>
      <c r="BN24" s="1061"/>
      <c r="BO24" s="1061"/>
      <c r="BP24" s="1061"/>
      <c r="BQ24" s="1061"/>
      <c r="BR24" s="1061"/>
      <c r="BS24" s="1061"/>
      <c r="BT24" s="1061"/>
      <c r="BU24" s="1061"/>
      <c r="BV24" s="1061"/>
      <c r="BW24" s="1061"/>
      <c r="BX24" s="1061"/>
      <c r="BY24" s="1061"/>
      <c r="BZ24" s="1061"/>
      <c r="CA24" s="1061"/>
      <c r="CB24" s="1061"/>
      <c r="CC24" s="1061"/>
      <c r="CD24" s="1061"/>
      <c r="CE24" s="1061"/>
    </row>
    <row r="25" spans="1:83" s="310" customFormat="1" ht="15" customHeight="1" x14ac:dyDescent="0.2">
      <c r="A25" s="1056"/>
      <c r="B25" s="1056"/>
      <c r="C25" s="1056"/>
      <c r="D25" s="1056"/>
      <c r="E25" s="1056"/>
      <c r="F25" s="1056"/>
      <c r="G25" s="1056"/>
      <c r="H25" s="1060" t="s">
        <v>524</v>
      </c>
      <c r="I25" s="1061"/>
      <c r="J25" s="1061"/>
      <c r="K25" s="1061"/>
      <c r="L25" s="1061"/>
      <c r="M25" s="1061"/>
      <c r="N25" s="1061"/>
      <c r="O25" s="1061"/>
      <c r="P25" s="1061"/>
      <c r="Q25" s="1061"/>
      <c r="R25" s="1061"/>
      <c r="S25" s="1061"/>
      <c r="T25" s="1061"/>
      <c r="U25" s="1061"/>
      <c r="V25" s="1061"/>
      <c r="W25" s="1061"/>
      <c r="X25" s="1061"/>
      <c r="Y25" s="1061"/>
      <c r="Z25" s="1061"/>
      <c r="AA25" s="1061"/>
      <c r="AB25" s="1061"/>
      <c r="AC25" s="1061"/>
      <c r="AD25" s="1061"/>
      <c r="AE25" s="1061"/>
      <c r="AF25" s="1058"/>
      <c r="AG25" s="1060" t="s">
        <v>524</v>
      </c>
      <c r="AH25" s="1061"/>
      <c r="AI25" s="1061"/>
      <c r="AJ25" s="1061"/>
      <c r="AK25" s="1061"/>
      <c r="AL25" s="1061"/>
      <c r="AM25" s="1061"/>
      <c r="AN25" s="1061"/>
      <c r="AO25" s="1061"/>
      <c r="AP25" s="1061"/>
      <c r="AQ25" s="1061"/>
      <c r="AR25" s="1061"/>
      <c r="AS25" s="1061"/>
      <c r="AT25" s="1061"/>
      <c r="AU25" s="1061"/>
      <c r="AV25" s="1061"/>
      <c r="AW25" s="1061"/>
      <c r="AX25" s="1061"/>
      <c r="AY25" s="1061"/>
      <c r="AZ25" s="1061"/>
      <c r="BA25" s="1061"/>
      <c r="BB25" s="1061"/>
      <c r="BC25" s="1061"/>
      <c r="BD25" s="1061"/>
      <c r="BE25" s="1061"/>
      <c r="BF25" s="1061"/>
      <c r="BG25" s="1061"/>
      <c r="BH25" s="1058"/>
      <c r="BI25" s="1060" t="s">
        <v>524</v>
      </c>
      <c r="BJ25" s="1061"/>
      <c r="BK25" s="1061"/>
      <c r="BL25" s="1061"/>
      <c r="BM25" s="1061"/>
      <c r="BN25" s="1061"/>
      <c r="BO25" s="1061"/>
      <c r="BP25" s="1061"/>
      <c r="BQ25" s="1061"/>
      <c r="BR25" s="1061"/>
      <c r="BS25" s="1061"/>
      <c r="BT25" s="1061"/>
      <c r="BU25" s="1061"/>
      <c r="BV25" s="1061"/>
      <c r="BW25" s="1061"/>
      <c r="BX25" s="1061"/>
      <c r="BY25" s="1061"/>
      <c r="BZ25" s="1061"/>
      <c r="CA25" s="1061"/>
      <c r="CB25" s="1061"/>
      <c r="CC25" s="1061"/>
      <c r="CD25" s="1061"/>
      <c r="CE25" s="1061"/>
    </row>
    <row r="26" spans="1:83" s="310" customFormat="1" ht="15" customHeight="1" x14ac:dyDescent="0.2">
      <c r="A26" s="1056"/>
      <c r="B26" s="1056"/>
      <c r="C26" s="1056"/>
      <c r="D26" s="1056"/>
      <c r="E26" s="1056"/>
      <c r="F26" s="1056"/>
      <c r="G26" s="1056"/>
      <c r="H26" s="1060" t="s">
        <v>524</v>
      </c>
      <c r="I26" s="1061"/>
      <c r="J26" s="1061"/>
      <c r="K26" s="1061"/>
      <c r="L26" s="1061"/>
      <c r="M26" s="1061"/>
      <c r="N26" s="1061"/>
      <c r="O26" s="1061"/>
      <c r="P26" s="1061"/>
      <c r="Q26" s="1061"/>
      <c r="R26" s="1061"/>
      <c r="S26" s="1061"/>
      <c r="T26" s="1061"/>
      <c r="U26" s="1061"/>
      <c r="V26" s="1061"/>
      <c r="W26" s="1061"/>
      <c r="X26" s="1061"/>
      <c r="Y26" s="1061"/>
      <c r="Z26" s="1061"/>
      <c r="AA26" s="1061"/>
      <c r="AB26" s="1061"/>
      <c r="AC26" s="1061"/>
      <c r="AD26" s="1061"/>
      <c r="AE26" s="1061"/>
      <c r="AF26" s="1058"/>
      <c r="AG26" s="1060" t="s">
        <v>524</v>
      </c>
      <c r="AH26" s="1061"/>
      <c r="AI26" s="1061"/>
      <c r="AJ26" s="1061"/>
      <c r="AK26" s="1061"/>
      <c r="AL26" s="1061"/>
      <c r="AM26" s="1061"/>
      <c r="AN26" s="1061"/>
      <c r="AO26" s="1061"/>
      <c r="AP26" s="1061"/>
      <c r="AQ26" s="1061"/>
      <c r="AR26" s="1061"/>
      <c r="AS26" s="1061"/>
      <c r="AT26" s="1061"/>
      <c r="AU26" s="1061"/>
      <c r="AV26" s="1061"/>
      <c r="AW26" s="1061"/>
      <c r="AX26" s="1061"/>
      <c r="AY26" s="1061"/>
      <c r="AZ26" s="1061"/>
      <c r="BA26" s="1061"/>
      <c r="BB26" s="1061"/>
      <c r="BC26" s="1061"/>
      <c r="BD26" s="1061"/>
      <c r="BE26" s="1061"/>
      <c r="BF26" s="1061"/>
      <c r="BG26" s="1061"/>
      <c r="BH26" s="1058"/>
      <c r="BI26" s="1060" t="s">
        <v>524</v>
      </c>
      <c r="BJ26" s="1061"/>
      <c r="BK26" s="1061"/>
      <c r="BL26" s="1061"/>
      <c r="BM26" s="1061"/>
      <c r="BN26" s="1061"/>
      <c r="BO26" s="1061"/>
      <c r="BP26" s="1061"/>
      <c r="BQ26" s="1061"/>
      <c r="BR26" s="1061"/>
      <c r="BS26" s="1061"/>
      <c r="BT26" s="1061"/>
      <c r="BU26" s="1061"/>
      <c r="BV26" s="1061"/>
      <c r="BW26" s="1061"/>
      <c r="BX26" s="1061"/>
      <c r="BY26" s="1061"/>
      <c r="BZ26" s="1061"/>
      <c r="CA26" s="1061"/>
      <c r="CB26" s="1061"/>
      <c r="CC26" s="1061"/>
      <c r="CD26" s="1061"/>
      <c r="CE26" s="1061"/>
    </row>
    <row r="27" spans="1:83" s="310" customFormat="1" ht="15" customHeight="1" x14ac:dyDescent="0.2">
      <c r="A27" s="1056"/>
      <c r="B27" s="1056"/>
      <c r="C27" s="1056"/>
      <c r="D27" s="1056"/>
      <c r="E27" s="1056"/>
      <c r="F27" s="1056"/>
      <c r="G27" s="1056"/>
      <c r="H27" s="1060" t="s">
        <v>524</v>
      </c>
      <c r="I27" s="1061"/>
      <c r="J27" s="1061"/>
      <c r="K27" s="1061"/>
      <c r="L27" s="1061"/>
      <c r="M27" s="1061"/>
      <c r="N27" s="1061"/>
      <c r="O27" s="1061"/>
      <c r="P27" s="1061"/>
      <c r="Q27" s="1061"/>
      <c r="R27" s="1061"/>
      <c r="S27" s="1061"/>
      <c r="T27" s="1061"/>
      <c r="U27" s="1061"/>
      <c r="V27" s="1061"/>
      <c r="W27" s="1061"/>
      <c r="X27" s="1061"/>
      <c r="Y27" s="1061"/>
      <c r="Z27" s="1061"/>
      <c r="AA27" s="1061"/>
      <c r="AB27" s="1061"/>
      <c r="AC27" s="1061"/>
      <c r="AD27" s="1061"/>
      <c r="AE27" s="1061"/>
      <c r="AF27" s="1058"/>
      <c r="AG27" s="1060" t="s">
        <v>524</v>
      </c>
      <c r="AH27" s="1061"/>
      <c r="AI27" s="1061"/>
      <c r="AJ27" s="1061"/>
      <c r="AK27" s="1061"/>
      <c r="AL27" s="1061"/>
      <c r="AM27" s="1061"/>
      <c r="AN27" s="1061"/>
      <c r="AO27" s="1061"/>
      <c r="AP27" s="1061"/>
      <c r="AQ27" s="1061"/>
      <c r="AR27" s="1061"/>
      <c r="AS27" s="1061"/>
      <c r="AT27" s="1061"/>
      <c r="AU27" s="1061"/>
      <c r="AV27" s="1061"/>
      <c r="AW27" s="1061"/>
      <c r="AX27" s="1061"/>
      <c r="AY27" s="1061"/>
      <c r="AZ27" s="1061"/>
      <c r="BA27" s="1061"/>
      <c r="BB27" s="1061"/>
      <c r="BC27" s="1061"/>
      <c r="BD27" s="1061"/>
      <c r="BE27" s="1061"/>
      <c r="BF27" s="1061"/>
      <c r="BG27" s="1061"/>
      <c r="BH27" s="1058"/>
      <c r="BI27" s="1060" t="s">
        <v>524</v>
      </c>
      <c r="BJ27" s="1061"/>
      <c r="BK27" s="1061"/>
      <c r="BL27" s="1061"/>
      <c r="BM27" s="1061"/>
      <c r="BN27" s="1061"/>
      <c r="BO27" s="1061"/>
      <c r="BP27" s="1061"/>
      <c r="BQ27" s="1061"/>
      <c r="BR27" s="1061"/>
      <c r="BS27" s="1061"/>
      <c r="BT27" s="1061"/>
      <c r="BU27" s="1061"/>
      <c r="BV27" s="1061"/>
      <c r="BW27" s="1061"/>
      <c r="BX27" s="1061"/>
      <c r="BY27" s="1061"/>
      <c r="BZ27" s="1061"/>
      <c r="CA27" s="1061"/>
      <c r="CB27" s="1061"/>
      <c r="CC27" s="1061"/>
      <c r="CD27" s="1061"/>
      <c r="CE27" s="1061"/>
    </row>
    <row r="28" spans="1:83" s="310" customFormat="1" ht="15" customHeight="1" x14ac:dyDescent="0.2">
      <c r="A28" s="1056"/>
      <c r="B28" s="1056"/>
      <c r="C28" s="1056"/>
      <c r="D28" s="1056"/>
      <c r="E28" s="1056"/>
      <c r="F28" s="1056"/>
      <c r="G28" s="1056"/>
      <c r="H28" s="1060" t="s">
        <v>524</v>
      </c>
      <c r="I28" s="1061"/>
      <c r="J28" s="1061"/>
      <c r="K28" s="1061"/>
      <c r="L28" s="1061"/>
      <c r="M28" s="1061"/>
      <c r="N28" s="1061"/>
      <c r="O28" s="1061"/>
      <c r="P28" s="1061"/>
      <c r="Q28" s="1061"/>
      <c r="R28" s="1061"/>
      <c r="S28" s="1061"/>
      <c r="T28" s="1061"/>
      <c r="U28" s="1061"/>
      <c r="V28" s="1061"/>
      <c r="W28" s="1061"/>
      <c r="X28" s="1061"/>
      <c r="Y28" s="1061"/>
      <c r="Z28" s="1061"/>
      <c r="AA28" s="1061"/>
      <c r="AB28" s="1061"/>
      <c r="AC28" s="1061"/>
      <c r="AD28" s="1061"/>
      <c r="AE28" s="1061"/>
      <c r="AF28" s="1058"/>
      <c r="AG28" s="1060" t="s">
        <v>524</v>
      </c>
      <c r="AH28" s="1061"/>
      <c r="AI28" s="1061"/>
      <c r="AJ28" s="1061"/>
      <c r="AK28" s="1061"/>
      <c r="AL28" s="1061"/>
      <c r="AM28" s="1061"/>
      <c r="AN28" s="1061"/>
      <c r="AO28" s="1061"/>
      <c r="AP28" s="1061"/>
      <c r="AQ28" s="1061"/>
      <c r="AR28" s="1061"/>
      <c r="AS28" s="1061"/>
      <c r="AT28" s="1061"/>
      <c r="AU28" s="1061"/>
      <c r="AV28" s="1061"/>
      <c r="AW28" s="1061"/>
      <c r="AX28" s="1061"/>
      <c r="AY28" s="1061"/>
      <c r="AZ28" s="1061"/>
      <c r="BA28" s="1061"/>
      <c r="BB28" s="1061"/>
      <c r="BC28" s="1061"/>
      <c r="BD28" s="1061"/>
      <c r="BE28" s="1061"/>
      <c r="BF28" s="1061"/>
      <c r="BG28" s="1061"/>
      <c r="BH28" s="1058"/>
      <c r="BI28" s="1060" t="s">
        <v>524</v>
      </c>
      <c r="BJ28" s="1061"/>
      <c r="BK28" s="1061"/>
      <c r="BL28" s="1061"/>
      <c r="BM28" s="1061"/>
      <c r="BN28" s="1061"/>
      <c r="BO28" s="1061"/>
      <c r="BP28" s="1061"/>
      <c r="BQ28" s="1061"/>
      <c r="BR28" s="1061"/>
      <c r="BS28" s="1061"/>
      <c r="BT28" s="1061"/>
      <c r="BU28" s="1061"/>
      <c r="BV28" s="1061"/>
      <c r="BW28" s="1061"/>
      <c r="BX28" s="1061"/>
      <c r="BY28" s="1061"/>
      <c r="BZ28" s="1061"/>
      <c r="CA28" s="1061"/>
      <c r="CB28" s="1061"/>
      <c r="CC28" s="1061"/>
      <c r="CD28" s="1061"/>
      <c r="CE28" s="1061"/>
    </row>
    <row r="29" spans="1:83" s="310" customFormat="1" x14ac:dyDescent="0.25">
      <c r="A29" s="311"/>
      <c r="B29" s="309" t="s">
        <v>435</v>
      </c>
      <c r="C29" s="309" t="s">
        <v>435</v>
      </c>
      <c r="D29" s="309" t="s">
        <v>435</v>
      </c>
      <c r="E29" s="309" t="s">
        <v>435</v>
      </c>
      <c r="F29" s="309" t="s">
        <v>435</v>
      </c>
      <c r="G29" s="309" t="s">
        <v>435</v>
      </c>
    </row>
    <row r="30" spans="1:83" s="310" customFormat="1" ht="13.9" hidden="1" customHeight="1" x14ac:dyDescent="0.25">
      <c r="A30" s="312"/>
      <c r="B30" s="312"/>
      <c r="C30" s="312"/>
      <c r="D30" s="312"/>
      <c r="E30" s="312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</row>
    <row r="31" spans="1:83" s="310" customFormat="1" ht="13.15" hidden="1" customHeight="1" x14ac:dyDescent="0.25">
      <c r="A31" s="312"/>
      <c r="B31" s="312"/>
      <c r="C31" s="312"/>
      <c r="D31" s="312"/>
      <c r="E31" s="312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</row>
    <row r="32" spans="1:83" s="310" customFormat="1" ht="19.149999999999999" hidden="1" customHeight="1" x14ac:dyDescent="0.25">
      <c r="A32" s="313"/>
      <c r="B32" s="309"/>
      <c r="C32" s="309"/>
      <c r="D32" s="309"/>
      <c r="E32" s="309"/>
      <c r="F32" s="309"/>
      <c r="G32" s="309"/>
      <c r="H32" s="309"/>
      <c r="I32" s="309"/>
      <c r="J32" s="309"/>
    </row>
    <row r="33" spans="1:92" s="310" customFormat="1" ht="15" hidden="1" customHeight="1" x14ac:dyDescent="0.2">
      <c r="A33" s="115"/>
      <c r="B33" s="116"/>
      <c r="C33" s="116"/>
      <c r="D33" s="116"/>
      <c r="E33" s="116"/>
      <c r="F33" s="116"/>
      <c r="G33" s="116"/>
      <c r="H33" s="116"/>
      <c r="I33" s="116"/>
      <c r="J33" s="116"/>
    </row>
    <row r="34" spans="1:92" s="310" customFormat="1" ht="15" hidden="1" customHeight="1" x14ac:dyDescent="0.2">
      <c r="A34" s="100"/>
      <c r="B34" s="316"/>
      <c r="C34" s="316"/>
      <c r="D34" s="316"/>
      <c r="E34" s="316"/>
      <c r="F34" s="316"/>
      <c r="G34" s="316"/>
      <c r="H34" s="316"/>
      <c r="I34" s="316"/>
      <c r="J34" s="316"/>
    </row>
    <row r="35" spans="1:92" s="310" customFormat="1" ht="12.75" hidden="1" x14ac:dyDescent="0.2">
      <c r="A35" s="94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T35" s="95"/>
      <c r="U35" s="94"/>
      <c r="V35" s="94"/>
    </row>
    <row r="36" spans="1:92" s="2" customFormat="1" ht="12.75" hidden="1" x14ac:dyDescent="0.2">
      <c r="A36" s="11"/>
      <c r="B36" s="11"/>
      <c r="C36" s="11"/>
      <c r="D36" s="45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</row>
    <row r="37" spans="1:92" s="5" customFormat="1" ht="9.75" x14ac:dyDescent="0.2">
      <c r="C37" s="20"/>
      <c r="E37" s="21"/>
      <c r="F37" s="21"/>
      <c r="G37" s="20"/>
      <c r="H37" s="20"/>
      <c r="I37" s="20"/>
      <c r="J37" s="20"/>
      <c r="K37" s="20"/>
      <c r="L37" s="20"/>
      <c r="M37" s="20"/>
    </row>
    <row r="38" spans="1:92" s="5" customFormat="1" ht="12.75" outlineLevel="1" x14ac:dyDescent="0.2">
      <c r="C38" s="20"/>
      <c r="D38" s="21"/>
      <c r="E38" s="21"/>
      <c r="F38" s="21"/>
      <c r="G38" s="20"/>
      <c r="H38" s="20"/>
      <c r="I38" s="20"/>
      <c r="J38" s="20"/>
      <c r="K38" s="20"/>
      <c r="L38" s="20"/>
      <c r="M38" s="20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</row>
    <row r="39" spans="1:92" s="11" customFormat="1" ht="11.25" x14ac:dyDescent="0.2">
      <c r="C39" s="57"/>
      <c r="D39" s="45" t="s">
        <v>61</v>
      </c>
      <c r="E39" s="45"/>
      <c r="F39" s="45"/>
      <c r="G39" s="57"/>
      <c r="H39" s="57"/>
      <c r="I39" s="57"/>
      <c r="J39" s="57"/>
      <c r="K39" s="57"/>
      <c r="L39" s="57"/>
      <c r="M39" s="57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BC39" s="893" t="str">
        <f>IF('Данные объект'!B28="","",'Данные объект'!B28)</f>
      </c>
      <c r="BD39" s="893"/>
      <c r="BE39" s="893"/>
      <c r="BF39" s="893"/>
      <c r="BG39" s="893"/>
      <c r="BH39" s="893"/>
      <c r="BI39" s="893"/>
      <c r="BJ39" s="893"/>
      <c r="BK39" s="893"/>
      <c r="BL39" s="893"/>
      <c r="BM39" s="893"/>
      <c r="BN39" s="893"/>
      <c r="BO39" s="893"/>
      <c r="BP39" s="893"/>
      <c r="BQ39" s="893"/>
    </row>
    <row r="40" spans="1:92" s="5" customFormat="1" ht="9.75" x14ac:dyDescent="0.2">
      <c r="C40" s="20"/>
      <c r="E40" s="21"/>
      <c r="F40" s="21"/>
      <c r="G40" s="20"/>
      <c r="H40" s="20"/>
      <c r="I40" s="20"/>
      <c r="J40" s="20"/>
      <c r="K40" s="20"/>
      <c r="L40" s="20"/>
      <c r="M40" s="20"/>
      <c r="AM40" s="858" t="s">
        <v>2</v>
      </c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</row>
    <row r="41" spans="1:92" s="310" customFormat="1" ht="19.899999999999999" customHeight="1" x14ac:dyDescent="0.2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</row>
    <row r="42" spans="1:92" s="310" customFormat="1" ht="15" customHeight="1" x14ac:dyDescent="0.2">
      <c r="A42" s="266"/>
      <c r="B42" s="316"/>
      <c r="C42" s="316"/>
      <c r="D42" s="316"/>
    </row>
    <row r="43" spans="1:92" s="310" customFormat="1" ht="15" customHeight="1" x14ac:dyDescent="0.2">
      <c r="A43" s="266"/>
      <c r="B43" s="316"/>
      <c r="C43" s="316"/>
      <c r="D43" s="316"/>
    </row>
    <row r="44" spans="1:92" s="310" customFormat="1" ht="15" customHeight="1" x14ac:dyDescent="0.2">
      <c r="A44" s="266"/>
      <c r="B44" s="316"/>
      <c r="C44" s="316"/>
      <c r="D44" s="316"/>
    </row>
    <row r="45" spans="1:92" s="310" customFormat="1" ht="15" customHeight="1" x14ac:dyDescent="0.2">
      <c r="A45" s="266"/>
      <c r="B45" s="316"/>
      <c r="C45" s="316"/>
      <c r="D45" s="316"/>
    </row>
    <row r="46" spans="1:92" s="310" customFormat="1" ht="15" customHeight="1" x14ac:dyDescent="0.2">
      <c r="A46" s="95"/>
      <c r="B46" s="316"/>
      <c r="C46" s="316"/>
      <c r="D46" s="316"/>
    </row>
    <row r="47" spans="1:92" s="310" customFormat="1" ht="13.15" customHeight="1" x14ac:dyDescent="0.2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N47" s="106"/>
    </row>
    <row r="48" spans="1:92" s="310" customFormat="1" ht="16.899999999999999" customHeight="1" x14ac:dyDescent="0.2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N48" s="295"/>
    </row>
    <row r="49" spans="1:172" s="310" customFormat="1" ht="16.899999999999999" customHeight="1" x14ac:dyDescent="0.2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  <c r="R49" s="308"/>
      <c r="S49" s="308"/>
      <c r="T49" s="308"/>
      <c r="U49" s="308"/>
      <c r="V49" s="308"/>
      <c r="W49" s="308"/>
      <c r="X49" s="308"/>
      <c r="Y49" s="308"/>
      <c r="Z49" s="308"/>
      <c r="AA49" s="308"/>
      <c r="AB49" s="308"/>
      <c r="AC49" s="308"/>
      <c r="AD49" s="308"/>
      <c r="AE49" s="308"/>
      <c r="AF49" s="308"/>
      <c r="AG49" s="308"/>
      <c r="AH49" s="308"/>
      <c r="AI49" s="308"/>
      <c r="AJ49" s="308"/>
      <c r="AK49" s="308"/>
      <c r="AL49" s="308"/>
      <c r="AM49" s="308"/>
      <c r="AN49" s="308"/>
      <c r="AO49" s="308"/>
      <c r="AP49" s="308"/>
      <c r="AQ49" s="308"/>
      <c r="AR49" s="308"/>
      <c r="AS49" s="308"/>
      <c r="AT49" s="308"/>
      <c r="AU49" s="308"/>
      <c r="AV49" s="308"/>
      <c r="AW49" s="308"/>
      <c r="AX49" s="308"/>
      <c r="AY49" s="308"/>
      <c r="AZ49" s="308"/>
      <c r="BA49" s="308"/>
      <c r="BB49" s="308"/>
      <c r="BC49" s="308"/>
      <c r="BD49" s="308"/>
      <c r="BE49" s="308"/>
      <c r="BF49" s="308"/>
      <c r="BG49" s="308"/>
      <c r="BH49" s="308"/>
      <c r="BI49" s="308"/>
      <c r="BJ49" s="308"/>
      <c r="BK49" s="308"/>
      <c r="BL49" s="308"/>
      <c r="BM49" s="308"/>
      <c r="BN49" s="308"/>
      <c r="BO49" s="308"/>
      <c r="BP49" s="308"/>
      <c r="BQ49" s="308"/>
      <c r="BR49" s="308"/>
      <c r="BS49" s="308"/>
      <c r="BT49" s="308"/>
      <c r="BU49" s="308"/>
      <c r="BV49" s="308"/>
      <c r="BW49" s="308"/>
      <c r="BX49" s="308"/>
      <c r="BY49" s="308"/>
      <c r="BZ49" s="308"/>
      <c r="CA49" s="308"/>
      <c r="CB49" s="308"/>
      <c r="CC49" s="308"/>
      <c r="CD49" s="308"/>
      <c r="CN49" s="295"/>
    </row>
    <row r="50" spans="1:172" s="2" customFormat="1" ht="13.5" x14ac:dyDescent="0.25">
      <c r="F50" s="10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J50" s="110"/>
      <c r="BK50" s="110"/>
      <c r="BL50" s="110"/>
      <c r="BM50" s="110"/>
      <c r="BN50" s="110"/>
      <c r="BO50" s="110"/>
      <c r="BP50" s="110"/>
      <c r="BQ50" s="110"/>
      <c r="BR50" s="110"/>
      <c r="BS50" s="110"/>
      <c r="BT50" s="110"/>
      <c r="BU50" s="110"/>
      <c r="BV50" s="110"/>
      <c r="BW50" s="110"/>
      <c r="BX50" s="110"/>
      <c r="BY50" s="110"/>
      <c r="BZ50" s="110"/>
      <c r="CA50" s="110"/>
      <c r="CB50" s="110"/>
    </row>
    <row r="51" spans="1:172" s="2" customFormat="1" ht="12.75" x14ac:dyDescent="0.2"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</row>
    <row r="52" spans="1:172" s="5" customFormat="1" ht="7.9" hidden="1" customHeight="1" x14ac:dyDescent="0.15"/>
    <row r="53" spans="1:172" s="70" customFormat="1" ht="11.2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</row>
    <row r="55" spans="1:172" s="41" customFormat="1" ht="8.25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</row>
    <row r="56" spans="1:172" s="70" customFormat="1" ht="10.15" hidden="1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</row>
    <row r="57" spans="1:172" ht="14.45" hidden="1" customHeight="1" x14ac:dyDescent="0.25"/>
    <row r="58" spans="1:172" s="41" customFormat="1" ht="8.4499999999999993" hidden="1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</row>
    <row r="59" spans="1:172" ht="14.45" hidden="1" customHeight="1" x14ac:dyDescent="0.25"/>
    <row r="60" spans="1:172" s="70" customFormat="1" ht="10.15" hidden="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</row>
    <row r="61" spans="1:172" ht="14.45" hidden="1" customHeight="1" x14ac:dyDescent="0.25"/>
    <row r="62" spans="1:172" s="70" customFormat="1" ht="10.15" hidden="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02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</row>
    <row r="64" spans="1:172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</row>
    <row r="65" spans="1:172" s="42" customFormat="1" ht="15" customHeight="1" x14ac:dyDescent="0.25">
      <c r="A65" s="103"/>
      <c r="B65" s="103"/>
      <c r="C65" s="103"/>
      <c r="D65" s="103"/>
      <c r="E65" s="103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3"/>
      <c r="BF65" s="103"/>
      <c r="BG65" s="103"/>
      <c r="BH65" s="103"/>
      <c r="BI65" s="103"/>
      <c r="BJ65" s="103"/>
      <c r="BK65" s="103"/>
      <c r="BL65" s="103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3"/>
      <c r="BZ65" s="103"/>
      <c r="CA65" s="103"/>
      <c r="CB65" s="103"/>
      <c r="CC65" s="304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</row>
    <row r="66" spans="1:172" s="42" customFormat="1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304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</row>
    <row r="67" spans="1:172" s="42" customFormat="1" x14ac:dyDescent="0.25">
      <c r="A67" s="103"/>
      <c r="B67" s="103"/>
      <c r="C67" s="103"/>
      <c r="D67" s="103"/>
      <c r="E67" s="103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3"/>
      <c r="BF67" s="103"/>
      <c r="BG67" s="103"/>
      <c r="BH67" s="103"/>
      <c r="BI67" s="103"/>
      <c r="BJ67" s="103"/>
      <c r="BK67" s="103"/>
      <c r="BL67" s="103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3"/>
      <c r="BZ67" s="103"/>
      <c r="CA67" s="103"/>
      <c r="CB67" s="103"/>
      <c r="CC67" s="304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</row>
    <row r="68" spans="1:172" x14ac:dyDescent="0.25">
      <c r="A68" s="103"/>
      <c r="B68" s="103"/>
      <c r="C68" s="103"/>
      <c r="D68" s="103"/>
      <c r="E68" s="103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3"/>
      <c r="BF68" s="103"/>
      <c r="BG68" s="103"/>
      <c r="BH68" s="103"/>
      <c r="BI68" s="103"/>
      <c r="BJ68" s="103"/>
      <c r="BK68" s="103"/>
      <c r="BL68" s="103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3"/>
      <c r="BZ68" s="103"/>
      <c r="CA68" s="103"/>
      <c r="CB68" s="103"/>
      <c r="CC68" s="11"/>
    </row>
    <row r="69" spans="1:172" x14ac:dyDescent="0.25">
      <c r="A69" s="103"/>
      <c r="B69" s="103"/>
      <c r="C69" s="103"/>
      <c r="D69" s="103"/>
      <c r="E69" s="103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3"/>
      <c r="BF69" s="103"/>
      <c r="BG69" s="103"/>
      <c r="BH69" s="103"/>
      <c r="BI69" s="103"/>
      <c r="BJ69" s="103"/>
      <c r="BK69" s="103"/>
      <c r="BL69" s="103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3"/>
      <c r="BZ69" s="103"/>
      <c r="CA69" s="103"/>
      <c r="CB69" s="103"/>
      <c r="CC69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70"/>
      <c r="BZ70" s="70"/>
      <c r="CA70" s="70"/>
      <c r="CB70" s="70"/>
      <c r="CC70" s="11"/>
    </row>
    <row r="71" spans="1:172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11"/>
    </row>
    <row r="72" spans="1:17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172" ht="14.45" hidden="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172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172" ht="14.45" hidden="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11"/>
    </row>
    <row r="76" spans="1:172" ht="14.45" hidden="1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11"/>
    </row>
    <row r="77" spans="1:172" ht="14.45" hidden="1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11"/>
    </row>
    <row r="78" spans="1:172" ht="14.45" hidden="1" customHeight="1" x14ac:dyDescent="0.25"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172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172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0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</row>
    <row r="86" spans="1:80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</row>
    <row r="87" spans="1:80" x14ac:dyDescent="0.25">
      <c r="AN87"/>
      <c r="AO87"/>
      <c r="AP87"/>
      <c r="AQ87"/>
      <c r="AR87"/>
      <c r="AS87"/>
      <c r="AT87"/>
      <c r="AU87"/>
      <c r="AV87"/>
      <c r="AW87"/>
      <c r="AX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1:80" ht="6.6" customHeight="1" x14ac:dyDescent="0.25">
      <c r="AN88"/>
      <c r="AO88"/>
      <c r="AP88"/>
      <c r="AQ88"/>
      <c r="AR88"/>
      <c r="AS88"/>
      <c r="AT88"/>
      <c r="AU88"/>
      <c r="AV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1:80" x14ac:dyDescent="0.25">
      <c r="A89" s="11"/>
      <c r="B89" s="11"/>
      <c r="C89" s="57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ht="7.9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57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s="2" customFormat="1" ht="12.75" x14ac:dyDescent="0.2">
      <c r="A96" s="11"/>
      <c r="B96" s="11"/>
      <c r="C96" s="11"/>
      <c r="D96" s="4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3:69" s="5" customFormat="1" ht="9.75" x14ac:dyDescent="0.2">
      <c r="C97" s="20"/>
      <c r="E97" s="21"/>
      <c r="F97" s="21"/>
      <c r="G97" s="20"/>
      <c r="H97" s="20"/>
      <c r="I97" s="20"/>
      <c r="J97" s="20"/>
      <c r="K97" s="20"/>
      <c r="L97" s="20"/>
      <c r="M97" s="20"/>
    </row>
    <row r="98" spans="3:69" s="5" customFormat="1" ht="12.75" outlineLevel="1" x14ac:dyDescent="0.2">
      <c r="C98" s="20"/>
      <c r="D98" s="21"/>
      <c r="E98" s="21"/>
      <c r="F98" s="21"/>
      <c r="G98" s="20"/>
      <c r="H98" s="20"/>
      <c r="I98" s="20"/>
      <c r="J98" s="20"/>
      <c r="K98" s="20"/>
      <c r="L98" s="20"/>
      <c r="M98" s="2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</row>
    <row r="99" spans="3:69" s="11" customFormat="1" ht="11.25" x14ac:dyDescent="0.2">
      <c r="C99" s="57"/>
      <c r="D99" s="45"/>
      <c r="E99" s="45"/>
      <c r="F99" s="45"/>
      <c r="G99" s="57"/>
      <c r="H99" s="57"/>
      <c r="I99" s="57"/>
      <c r="J99" s="57"/>
      <c r="K99" s="57"/>
      <c r="L99" s="57"/>
      <c r="M99" s="57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</row>
    <row r="100" spans="3:69" s="5" customFormat="1" ht="9.75" x14ac:dyDescent="0.2">
      <c r="C100" s="20"/>
      <c r="E100" s="21"/>
      <c r="F100" s="21"/>
      <c r="G100" s="20"/>
      <c r="H100" s="20"/>
      <c r="I100" s="20"/>
      <c r="J100" s="20"/>
      <c r="K100" s="20"/>
      <c r="L100" s="20"/>
      <c r="M100" s="20"/>
    </row>
  </sheetData>
  <mergeCells count="62">
    <mergeCell ref="AR1:BZ2"/>
    <mergeCell ref="A2:AI2"/>
    <mergeCell ref="A3:AI3"/>
    <mergeCell ref="AR3:BZ3"/>
    <mergeCell ref="A4:AI4"/>
    <mergeCell ref="AR4:BZ4"/>
    <mergeCell ref="S16:CE16"/>
    <mergeCell ref="A5:AI5"/>
    <mergeCell ref="AR5:BZ5"/>
    <mergeCell ref="AR6:BZ9"/>
    <mergeCell ref="A8:AI9"/>
    <mergeCell ref="A10:AI10"/>
    <mergeCell ref="AR10:BZ10"/>
    <mergeCell ref="A11:AI11"/>
    <mergeCell ref="AR11:BZ11"/>
    <mergeCell ref="AR12:BZ12"/>
    <mergeCell ref="A13:CE13"/>
    <mergeCell ref="A14:CE14"/>
    <mergeCell ref="A17:Q17"/>
    <mergeCell ref="R17:AA17"/>
    <mergeCell ref="AC17:AK17"/>
    <mergeCell ref="AL17:AV17"/>
    <mergeCell ref="A19:G20"/>
    <mergeCell ref="H19:CE19"/>
    <mergeCell ref="H20:AF20"/>
    <mergeCell ref="AG20:BH20"/>
    <mergeCell ref="BI20:CE20"/>
    <mergeCell ref="A21:G21"/>
    <mergeCell ref="H21:AF21"/>
    <mergeCell ref="AG21:BH21"/>
    <mergeCell ref="BI21:CE21"/>
    <mergeCell ref="A22:G22"/>
    <mergeCell ref="H22:AF22"/>
    <mergeCell ref="AG22:BH22"/>
    <mergeCell ref="BI22:CE22"/>
    <mergeCell ref="A23:G23"/>
    <mergeCell ref="H23:AF23"/>
    <mergeCell ref="AG23:BH23"/>
    <mergeCell ref="BI23:CE23"/>
    <mergeCell ref="A24:G24"/>
    <mergeCell ref="H24:AF24"/>
    <mergeCell ref="AG24:BH24"/>
    <mergeCell ref="BI24:CE24"/>
    <mergeCell ref="A25:G25"/>
    <mergeCell ref="H25:AF25"/>
    <mergeCell ref="AG25:BH25"/>
    <mergeCell ref="BI25:CE25"/>
    <mergeCell ref="A26:G26"/>
    <mergeCell ref="H26:AF26"/>
    <mergeCell ref="AG26:BH26"/>
    <mergeCell ref="BI26:CE26"/>
    <mergeCell ref="AM39:AY39"/>
    <mergeCell ref="BC39:BQ39"/>
    <mergeCell ref="AM40:AY40"/>
    <mergeCell ref="A27:G27"/>
    <mergeCell ref="H27:AF27"/>
    <mergeCell ref="AG27:BH27"/>
    <mergeCell ref="BI27:CE27"/>
    <mergeCell ref="A28:G28"/>
    <mergeCell ref="H28:AF28"/>
    <mergeCell ref="AG28:BH28"/>
    <mergeCell ref="BI28:CE28"/>
  </mergeCells>
  <dataValidations count="2">
    <dataValidation type="list" allowBlank="1" showInputMessage="1" showErrorMessage="1" sqref="P47:V47" xr:uid="{1EBB69A0-3098-4C0E-B982-B943C7B109B8}">
      <formula1>ВЛ</formula1>
    </dataValidation>
    <dataValidation type="list" allowBlank="1" showInputMessage="1" showErrorMessage="1" sqref="O70:W72" xr:uid="{4A344285-759C-4AF1-AB85-88E4BB571F80}">
      <formula1>стойка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3612-011D-4BF1-A5BB-6F05E4C8FF17}">
  <sheetPr>
    <tabColor rgb="FFCC99FF"/>
  </sheetPr>
  <dimension ref="A1:FG73"/>
  <sheetViews>
    <sheetView view="pageBreakPreview" zoomScaleNormal="100" zoomScaleSheetLayoutView="100" zoomScalePageLayoutView="85" workbookViewId="0">
      <selection activeCell="DD71" sqref="DD71"/>
    </sheetView>
  </sheetViews>
  <sheetFormatPr defaultColWidth="9.140625" defaultRowHeight="15" x14ac:dyDescent="0.25"/>
  <cols>
    <col min="1" max="163" width="1.140625" style="2" customWidth="1"/>
  </cols>
  <sheetData>
    <row r="1" spans="1:163" s="2" customFormat="1" ht="7.1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63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63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63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63" s="2" customFormat="1" ht="10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63" s="5" customFormat="1" ht="8.4499999999999993" customHeight="1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63" s="2" customFormat="1" ht="13.15" customHeight="1" x14ac:dyDescent="0.2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63" s="2" customFormat="1" ht="0.6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63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63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63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63" s="2" customFormat="1" ht="13.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63" s="40" customFormat="1" ht="15" customHeight="1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</row>
    <row r="14" spans="1:163" s="40" customFormat="1" ht="15" customHeight="1" x14ac:dyDescent="0.25">
      <c r="A14" s="886" t="s">
        <v>1257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</row>
    <row r="15" spans="1:163" ht="6.6" customHeight="1" x14ac:dyDescent="0.25"/>
    <row r="16" spans="1:163" s="43" customFormat="1" x14ac:dyDescent="0.25">
      <c r="A16" s="57" t="s">
        <v>33</v>
      </c>
      <c r="B16" s="57"/>
      <c r="C16" s="57" t="s">
        <v>295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</row>
    <row r="17" spans="1:163" ht="15" customHeight="1" x14ac:dyDescent="0.25">
      <c r="A17" s="827" t="s">
        <v>300</v>
      </c>
      <c r="B17" s="827"/>
      <c r="C17" s="827"/>
      <c r="D17" s="827"/>
      <c r="E17" s="827"/>
      <c r="F17" s="827"/>
      <c r="G17" s="827"/>
      <c r="H17" s="827"/>
      <c r="I17" s="827"/>
      <c r="J17" s="827"/>
      <c r="K17" s="827"/>
      <c r="L17" s="827"/>
      <c r="M17" s="827"/>
      <c r="N17" s="827"/>
      <c r="O17" s="827"/>
      <c r="P17" s="827"/>
      <c r="Q17" s="827" t="s">
        <v>298</v>
      </c>
      <c r="R17" s="827"/>
      <c r="S17" s="827"/>
      <c r="T17" s="827"/>
      <c r="U17" s="827"/>
      <c r="V17" s="827"/>
      <c r="W17" s="827"/>
      <c r="X17" s="827"/>
      <c r="Y17" s="827"/>
      <c r="Z17" s="827"/>
      <c r="AA17" s="827"/>
      <c r="AB17" s="827"/>
      <c r="AC17" s="827"/>
      <c r="AD17" s="827"/>
      <c r="AE17" s="827"/>
      <c r="AF17" s="827"/>
      <c r="AG17" s="827" t="s">
        <v>297</v>
      </c>
      <c r="AH17" s="827"/>
      <c r="AI17" s="827"/>
      <c r="AJ17" s="827"/>
      <c r="AK17" s="827"/>
      <c r="AL17" s="827"/>
      <c r="AM17" s="827"/>
      <c r="AN17" s="827"/>
      <c r="AO17" s="827"/>
      <c r="AP17" s="827"/>
      <c r="AQ17" s="827"/>
      <c r="AR17" s="827"/>
      <c r="AS17" s="827"/>
      <c r="AT17" s="827"/>
      <c r="AU17" s="827"/>
      <c r="AV17" s="827"/>
      <c r="AW17" s="827" t="s">
        <v>299</v>
      </c>
      <c r="AX17" s="827"/>
      <c r="AY17" s="827"/>
      <c r="AZ17" s="827"/>
      <c r="BA17" s="827"/>
      <c r="BB17" s="827"/>
      <c r="BC17" s="827"/>
      <c r="BD17" s="827"/>
      <c r="BE17" s="827"/>
      <c r="BF17" s="827"/>
      <c r="BG17" s="827"/>
      <c r="BH17" s="827"/>
      <c r="BI17" s="827"/>
      <c r="BJ17" s="827"/>
      <c r="BK17" s="827"/>
      <c r="BL17" s="827"/>
      <c r="BM17" s="827" t="s">
        <v>296</v>
      </c>
      <c r="BN17" s="827"/>
      <c r="BO17" s="827"/>
      <c r="BP17" s="827"/>
      <c r="BQ17" s="827"/>
      <c r="BR17" s="827"/>
      <c r="BS17" s="827"/>
      <c r="BT17" s="827"/>
      <c r="BU17" s="827"/>
      <c r="BV17" s="827"/>
      <c r="BW17" s="827"/>
      <c r="BX17" s="827"/>
      <c r="BY17" s="827"/>
      <c r="BZ17" s="827"/>
      <c r="CA17" s="827"/>
      <c r="CB17" s="827"/>
    </row>
    <row r="18" spans="1:163" x14ac:dyDescent="0.25">
      <c r="A18" s="827"/>
      <c r="B18" s="827"/>
      <c r="C18" s="827"/>
      <c r="D18" s="827"/>
      <c r="E18" s="827"/>
      <c r="F18" s="827"/>
      <c r="G18" s="827"/>
      <c r="H18" s="827"/>
      <c r="I18" s="827"/>
      <c r="J18" s="827"/>
      <c r="K18" s="827"/>
      <c r="L18" s="827"/>
      <c r="M18" s="827"/>
      <c r="N18" s="827"/>
      <c r="O18" s="827"/>
      <c r="P18" s="827"/>
      <c r="Q18" s="827"/>
      <c r="R18" s="827"/>
      <c r="S18" s="827"/>
      <c r="T18" s="827"/>
      <c r="U18" s="827"/>
      <c r="V18" s="827"/>
      <c r="W18" s="827"/>
      <c r="X18" s="827"/>
      <c r="Y18" s="827"/>
      <c r="Z18" s="827"/>
      <c r="AA18" s="827"/>
      <c r="AB18" s="827"/>
      <c r="AC18" s="827"/>
      <c r="AD18" s="827"/>
      <c r="AE18" s="827"/>
      <c r="AF18" s="827"/>
      <c r="AG18" s="827"/>
      <c r="AH18" s="827"/>
      <c r="AI18" s="827"/>
      <c r="AJ18" s="827"/>
      <c r="AK18" s="827"/>
      <c r="AL18" s="827"/>
      <c r="AM18" s="827"/>
      <c r="AN18" s="827"/>
      <c r="AO18" s="827"/>
      <c r="AP18" s="827"/>
      <c r="AQ18" s="827"/>
      <c r="AR18" s="827"/>
      <c r="AS18" s="827"/>
      <c r="AT18" s="827"/>
      <c r="AU18" s="827"/>
      <c r="AV18" s="827"/>
      <c r="AW18" s="827"/>
      <c r="AX18" s="827"/>
      <c r="AY18" s="827"/>
      <c r="AZ18" s="827"/>
      <c r="BA18" s="827"/>
      <c r="BB18" s="827"/>
      <c r="BC18" s="827"/>
      <c r="BD18" s="827"/>
      <c r="BE18" s="827"/>
      <c r="BF18" s="827"/>
      <c r="BG18" s="827"/>
      <c r="BH18" s="827"/>
      <c r="BI18" s="827"/>
      <c r="BJ18" s="827"/>
      <c r="BK18" s="827"/>
      <c r="BL18" s="827"/>
      <c r="BM18" s="827"/>
      <c r="BN18" s="827"/>
      <c r="BO18" s="827"/>
      <c r="BP18" s="827"/>
      <c r="BQ18" s="827"/>
      <c r="BR18" s="827"/>
      <c r="BS18" s="827"/>
      <c r="BT18" s="827"/>
      <c r="BU18" s="827"/>
      <c r="BV18" s="827"/>
      <c r="BW18" s="827"/>
      <c r="BX18" s="827"/>
      <c r="BY18" s="827"/>
      <c r="BZ18" s="827"/>
      <c r="CA18" s="827"/>
      <c r="CB18" s="827"/>
    </row>
    <row r="19" spans="1:163" ht="5.45" customHeight="1" x14ac:dyDescent="0.25">
      <c r="A19" s="827"/>
      <c r="B19" s="827"/>
      <c r="C19" s="827"/>
      <c r="D19" s="827"/>
      <c r="E19" s="827"/>
      <c r="F19" s="827"/>
      <c r="G19" s="827"/>
      <c r="H19" s="827"/>
      <c r="I19" s="827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827"/>
      <c r="AH19" s="827"/>
      <c r="AI19" s="827"/>
      <c r="AJ19" s="827"/>
      <c r="AK19" s="827"/>
      <c r="AL19" s="827"/>
      <c r="AM19" s="827"/>
      <c r="AN19" s="827"/>
      <c r="AO19" s="827"/>
      <c r="AP19" s="827"/>
      <c r="AQ19" s="827"/>
      <c r="AR19" s="827"/>
      <c r="AS19" s="827"/>
      <c r="AT19" s="827"/>
      <c r="AU19" s="827"/>
      <c r="AV19" s="827"/>
      <c r="AW19" s="827"/>
      <c r="AX19" s="827"/>
      <c r="AY19" s="827"/>
      <c r="AZ19" s="827"/>
      <c r="BA19" s="827"/>
      <c r="BB19" s="827"/>
      <c r="BC19" s="827"/>
      <c r="BD19" s="827"/>
      <c r="BE19" s="827"/>
      <c r="BF19" s="827"/>
      <c r="BG19" s="827"/>
      <c r="BH19" s="827"/>
      <c r="BI19" s="827"/>
      <c r="BJ19" s="827"/>
      <c r="BK19" s="827"/>
      <c r="BL19" s="827"/>
      <c r="BM19" s="827"/>
      <c r="BN19" s="827"/>
      <c r="BO19" s="827"/>
      <c r="BP19" s="827"/>
      <c r="BQ19" s="827"/>
      <c r="BR19" s="827"/>
      <c r="BS19" s="827"/>
      <c r="BT19" s="827"/>
      <c r="BU19" s="827"/>
      <c r="BV19" s="827"/>
      <c r="BW19" s="827"/>
      <c r="BX19" s="827"/>
      <c r="BY19" s="827"/>
      <c r="BZ19" s="827"/>
      <c r="CA19" s="827"/>
      <c r="CB19" s="827"/>
    </row>
    <row r="20" spans="1:163" x14ac:dyDescent="0.25">
      <c r="A20" s="827"/>
      <c r="B20" s="827"/>
      <c r="C20" s="827"/>
      <c r="D20" s="827"/>
      <c r="E20" s="827"/>
      <c r="F20" s="827"/>
      <c r="G20" s="827"/>
      <c r="H20" s="827"/>
      <c r="I20" s="827"/>
      <c r="J20" s="827"/>
      <c r="K20" s="827"/>
      <c r="L20" s="827"/>
      <c r="M20" s="827"/>
      <c r="N20" s="827"/>
      <c r="O20" s="827"/>
      <c r="P20" s="827"/>
      <c r="Q20" s="827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827"/>
      <c r="AH20" s="827"/>
      <c r="AI20" s="827"/>
      <c r="AJ20" s="827"/>
      <c r="AK20" s="827"/>
      <c r="AL20" s="827"/>
      <c r="AM20" s="827"/>
      <c r="AN20" s="827"/>
      <c r="AO20" s="827"/>
      <c r="AP20" s="827"/>
      <c r="AQ20" s="827"/>
      <c r="AR20" s="827"/>
      <c r="AS20" s="827"/>
      <c r="AT20" s="827"/>
      <c r="AU20" s="827"/>
      <c r="AV20" s="827"/>
      <c r="AW20" s="827"/>
      <c r="AX20" s="827"/>
      <c r="AY20" s="827"/>
      <c r="AZ20" s="827"/>
      <c r="BA20" s="827"/>
      <c r="BB20" s="827"/>
      <c r="BC20" s="827"/>
      <c r="BD20" s="827"/>
      <c r="BE20" s="827"/>
      <c r="BF20" s="827"/>
      <c r="BG20" s="827"/>
      <c r="BH20" s="827"/>
      <c r="BI20" s="827"/>
      <c r="BJ20" s="827"/>
      <c r="BK20" s="827"/>
      <c r="BL20" s="827"/>
      <c r="BM20" s="827"/>
      <c r="BN20" s="827"/>
      <c r="BO20" s="827"/>
      <c r="BP20" s="827"/>
      <c r="BQ20" s="827"/>
      <c r="BR20" s="827"/>
      <c r="BS20" s="827"/>
      <c r="BT20" s="827"/>
      <c r="BU20" s="827"/>
      <c r="BV20" s="827"/>
      <c r="BW20" s="827"/>
      <c r="BX20" s="827"/>
      <c r="BY20" s="827"/>
      <c r="BZ20" s="827"/>
      <c r="CA20" s="827"/>
      <c r="CB20" s="827"/>
    </row>
    <row r="21" spans="1:163" x14ac:dyDescent="0.25">
      <c r="A21" s="894" t="s">
        <v>301</v>
      </c>
      <c r="B21" s="894"/>
      <c r="C21" s="894"/>
      <c r="D21" s="894"/>
      <c r="E21" s="894"/>
      <c r="F21" s="894"/>
      <c r="G21" s="894"/>
      <c r="H21" s="894"/>
      <c r="I21" s="894"/>
      <c r="J21" s="894"/>
      <c r="K21" s="894"/>
      <c r="L21" s="894"/>
      <c r="M21" s="894"/>
      <c r="N21" s="894"/>
      <c r="O21" s="894"/>
      <c r="P21" s="894"/>
      <c r="Q21" s="993">
        <f>IF('ВЛ-1'!AB30="","",'ВЛ-1'!AB30)</f>
      </c>
      <c r="R21" s="993"/>
      <c r="S21" s="993"/>
      <c r="T21" s="993"/>
      <c r="U21" s="993"/>
      <c r="V21" s="993"/>
      <c r="W21" s="993"/>
      <c r="X21" s="993"/>
      <c r="Y21" s="993"/>
      <c r="Z21" s="993"/>
      <c r="AA21" s="993"/>
      <c r="AB21" s="993"/>
      <c r="AC21" s="993"/>
      <c r="AD21" s="993"/>
      <c r="AE21" s="993"/>
      <c r="AF21" s="993"/>
      <c r="AG21" s="990" t="s">
        <v>421</v>
      </c>
      <c r="AH21" s="990"/>
      <c r="AI21" s="990"/>
      <c r="AJ21" s="990"/>
      <c r="AK21" s="990"/>
      <c r="AL21" s="990"/>
      <c r="AM21" s="990"/>
      <c r="AN21" s="990"/>
      <c r="AO21" s="990"/>
      <c r="AP21" s="990"/>
      <c r="AQ21" s="990"/>
      <c r="AR21" s="990"/>
      <c r="AS21" s="990"/>
      <c r="AT21" s="990"/>
      <c r="AU21" s="990"/>
      <c r="AV21" s="990"/>
      <c r="AW21" s="990" t="s">
        <v>751</v>
      </c>
      <c r="AX21" s="990"/>
      <c r="AY21" s="990"/>
      <c r="AZ21" s="990"/>
      <c r="BA21" s="990"/>
      <c r="BB21" s="990"/>
      <c r="BC21" s="990"/>
      <c r="BD21" s="990"/>
      <c r="BE21" s="990"/>
      <c r="BF21" s="990"/>
      <c r="BG21" s="990"/>
      <c r="BH21" s="990"/>
      <c r="BI21" s="990"/>
      <c r="BJ21" s="990"/>
      <c r="BK21" s="990"/>
      <c r="BL21" s="990"/>
      <c r="BM21" s="1116" t="s">
        <v>754</v>
      </c>
      <c r="BN21" s="1116"/>
      <c r="BO21" s="1116"/>
      <c r="BP21" s="1116"/>
      <c r="BQ21" s="1116"/>
      <c r="BR21" s="1116"/>
      <c r="BS21" s="1116"/>
      <c r="BT21" s="1116"/>
      <c r="BU21" s="1116"/>
      <c r="BV21" s="1116"/>
      <c r="BW21" s="1116"/>
      <c r="BX21" s="1116"/>
      <c r="BY21" s="1116"/>
      <c r="BZ21" s="1116"/>
      <c r="CA21" s="1116"/>
      <c r="CB21" s="1116"/>
    </row>
    <row r="22" spans="1:163" x14ac:dyDescent="0.25">
      <c r="A22" s="894" t="s">
        <v>302</v>
      </c>
      <c r="B22" s="894"/>
      <c r="C22" s="894"/>
      <c r="D22" s="894"/>
      <c r="E22" s="894"/>
      <c r="F22" s="894"/>
      <c r="G22" s="894"/>
      <c r="H22" s="894"/>
      <c r="I22" s="894"/>
      <c r="J22" s="894"/>
      <c r="K22" s="894"/>
      <c r="L22" s="894"/>
      <c r="M22" s="894"/>
      <c r="N22" s="894"/>
      <c r="O22" s="894"/>
      <c r="P22" s="894"/>
      <c r="Q22" s="993">
        <f>IF('ВЛ-1'!AU30="","",'ВЛ-1'!AU30)</f>
      </c>
      <c r="R22" s="993"/>
      <c r="S22" s="993"/>
      <c r="T22" s="993"/>
      <c r="U22" s="993"/>
      <c r="V22" s="993"/>
      <c r="W22" s="993"/>
      <c r="X22" s="993"/>
      <c r="Y22" s="993"/>
      <c r="Z22" s="993"/>
      <c r="AA22" s="993"/>
      <c r="AB22" s="993"/>
      <c r="AC22" s="993"/>
      <c r="AD22" s="993"/>
      <c r="AE22" s="993"/>
      <c r="AF22" s="993"/>
      <c r="AG22" s="990" t="str">
        <f>IF(AG21="","",AG21)</f>
      </c>
      <c r="AH22" s="990"/>
      <c r="AI22" s="990"/>
      <c r="AJ22" s="990"/>
      <c r="AK22" s="990"/>
      <c r="AL22" s="990"/>
      <c r="AM22" s="990"/>
      <c r="AN22" s="990"/>
      <c r="AO22" s="990"/>
      <c r="AP22" s="990"/>
      <c r="AQ22" s="990"/>
      <c r="AR22" s="990"/>
      <c r="AS22" s="990"/>
      <c r="AT22" s="990"/>
      <c r="AU22" s="990"/>
      <c r="AV22" s="990"/>
      <c r="AW22" s="990" t="s">
        <v>751</v>
      </c>
      <c r="AX22" s="990"/>
      <c r="AY22" s="990"/>
      <c r="AZ22" s="990"/>
      <c r="BA22" s="990"/>
      <c r="BB22" s="990"/>
      <c r="BC22" s="990"/>
      <c r="BD22" s="990"/>
      <c r="BE22" s="990"/>
      <c r="BF22" s="990"/>
      <c r="BG22" s="990"/>
      <c r="BH22" s="990"/>
      <c r="BI22" s="990"/>
      <c r="BJ22" s="990"/>
      <c r="BK22" s="990"/>
      <c r="BL22" s="990"/>
      <c r="BM22" s="1116" t="s">
        <v>754</v>
      </c>
      <c r="BN22" s="1116"/>
      <c r="BO22" s="1116"/>
      <c r="BP22" s="1116"/>
      <c r="BQ22" s="1116"/>
      <c r="BR22" s="1116"/>
      <c r="BS22" s="1116"/>
      <c r="BT22" s="1116"/>
      <c r="BU22" s="1116"/>
      <c r="BV22" s="1116"/>
      <c r="BW22" s="1116"/>
      <c r="BX22" s="1116"/>
      <c r="BY22" s="1116"/>
      <c r="BZ22" s="1116"/>
      <c r="CA22" s="1116"/>
      <c r="CB22" s="1116"/>
    </row>
    <row r="23" spans="1:163" x14ac:dyDescent="0.25">
      <c r="A23" s="894" t="s">
        <v>303</v>
      </c>
      <c r="B23" s="894"/>
      <c r="C23" s="894"/>
      <c r="D23" s="894"/>
      <c r="E23" s="894"/>
      <c r="F23" s="894"/>
      <c r="G23" s="894"/>
      <c r="H23" s="894"/>
      <c r="I23" s="894"/>
      <c r="J23" s="894"/>
      <c r="K23" s="894"/>
      <c r="L23" s="894"/>
      <c r="M23" s="894"/>
      <c r="N23" s="894"/>
      <c r="O23" s="894"/>
      <c r="P23" s="894"/>
      <c r="Q23" s="993">
        <f>IF('ВЛ-1'!AB32="","",'ВЛ-1'!AB32)</f>
      </c>
      <c r="R23" s="993"/>
      <c r="S23" s="993"/>
      <c r="T23" s="993"/>
      <c r="U23" s="993"/>
      <c r="V23" s="993"/>
      <c r="W23" s="993"/>
      <c r="X23" s="993"/>
      <c r="Y23" s="993"/>
      <c r="Z23" s="993"/>
      <c r="AA23" s="993"/>
      <c r="AB23" s="993"/>
      <c r="AC23" s="993"/>
      <c r="AD23" s="993"/>
      <c r="AE23" s="993"/>
      <c r="AF23" s="993"/>
      <c r="AG23" s="990" t="str">
        <f>IF(AG21="","",AG21)</f>
      </c>
      <c r="AH23" s="990"/>
      <c r="AI23" s="990"/>
      <c r="AJ23" s="990"/>
      <c r="AK23" s="990"/>
      <c r="AL23" s="990"/>
      <c r="AM23" s="990"/>
      <c r="AN23" s="990"/>
      <c r="AO23" s="990"/>
      <c r="AP23" s="990"/>
      <c r="AQ23" s="990"/>
      <c r="AR23" s="990"/>
      <c r="AS23" s="990"/>
      <c r="AT23" s="990"/>
      <c r="AU23" s="990"/>
      <c r="AV23" s="990"/>
      <c r="AW23" s="990" t="s">
        <v>751</v>
      </c>
      <c r="AX23" s="990"/>
      <c r="AY23" s="990"/>
      <c r="AZ23" s="990"/>
      <c r="BA23" s="990"/>
      <c r="BB23" s="990"/>
      <c r="BC23" s="990"/>
      <c r="BD23" s="990"/>
      <c r="BE23" s="990"/>
      <c r="BF23" s="990"/>
      <c r="BG23" s="990"/>
      <c r="BH23" s="990"/>
      <c r="BI23" s="990"/>
      <c r="BJ23" s="990"/>
      <c r="BK23" s="990"/>
      <c r="BL23" s="990"/>
      <c r="BM23" s="1116" t="s">
        <v>754</v>
      </c>
      <c r="BN23" s="1116"/>
      <c r="BO23" s="1116"/>
      <c r="BP23" s="1116"/>
      <c r="BQ23" s="1116"/>
      <c r="BR23" s="1116"/>
      <c r="BS23" s="1116"/>
      <c r="BT23" s="1116"/>
      <c r="BU23" s="1116"/>
      <c r="BV23" s="1116"/>
      <c r="BW23" s="1116"/>
      <c r="BX23" s="1116"/>
      <c r="BY23" s="1116"/>
      <c r="BZ23" s="1116"/>
      <c r="CA23" s="1116"/>
      <c r="CB23" s="1116"/>
    </row>
    <row r="24" spans="1:163" ht="15" customHeight="1" x14ac:dyDescent="0.25">
      <c r="A24" s="894" t="s">
        <v>304</v>
      </c>
      <c r="B24" s="894"/>
      <c r="C24" s="894"/>
      <c r="D24" s="894"/>
      <c r="E24" s="894"/>
      <c r="F24" s="894"/>
      <c r="G24" s="894"/>
      <c r="H24" s="894"/>
      <c r="I24" s="894"/>
      <c r="J24" s="894"/>
      <c r="K24" s="894"/>
      <c r="L24" s="894"/>
      <c r="M24" s="894"/>
      <c r="N24" s="894"/>
      <c r="O24" s="894"/>
      <c r="P24" s="894"/>
      <c r="Q24" s="993">
        <f>IF('ВЛ-1'!AU32="","",'ВЛ-1'!AU32)</f>
      </c>
      <c r="R24" s="993"/>
      <c r="S24" s="993"/>
      <c r="T24" s="993"/>
      <c r="U24" s="993"/>
      <c r="V24" s="993"/>
      <c r="W24" s="993"/>
      <c r="X24" s="993"/>
      <c r="Y24" s="993"/>
      <c r="Z24" s="993"/>
      <c r="AA24" s="993"/>
      <c r="AB24" s="993"/>
      <c r="AC24" s="993"/>
      <c r="AD24" s="993"/>
      <c r="AE24" s="993"/>
      <c r="AF24" s="993"/>
      <c r="AG24" s="990" t="str">
        <f>IF(AG21="","",AG21)</f>
      </c>
      <c r="AH24" s="990"/>
      <c r="AI24" s="990"/>
      <c r="AJ24" s="990"/>
      <c r="AK24" s="990"/>
      <c r="AL24" s="990"/>
      <c r="AM24" s="990"/>
      <c r="AN24" s="990"/>
      <c r="AO24" s="990"/>
      <c r="AP24" s="990"/>
      <c r="AQ24" s="990"/>
      <c r="AR24" s="990"/>
      <c r="AS24" s="990"/>
      <c r="AT24" s="990"/>
      <c r="AU24" s="990"/>
      <c r="AV24" s="990"/>
      <c r="AW24" s="990" t="s">
        <v>751</v>
      </c>
      <c r="AX24" s="990"/>
      <c r="AY24" s="990"/>
      <c r="AZ24" s="990"/>
      <c r="BA24" s="990"/>
      <c r="BB24" s="990"/>
      <c r="BC24" s="990"/>
      <c r="BD24" s="990"/>
      <c r="BE24" s="990"/>
      <c r="BF24" s="990"/>
      <c r="BG24" s="990"/>
      <c r="BH24" s="990"/>
      <c r="BI24" s="990"/>
      <c r="BJ24" s="990"/>
      <c r="BK24" s="990"/>
      <c r="BL24" s="990"/>
      <c r="BM24" s="1116" t="s">
        <v>754</v>
      </c>
      <c r="BN24" s="1116"/>
      <c r="BO24" s="1116"/>
      <c r="BP24" s="1116"/>
      <c r="BQ24" s="1116"/>
      <c r="BR24" s="1116"/>
      <c r="BS24" s="1116"/>
      <c r="BT24" s="1116"/>
      <c r="BU24" s="1116"/>
      <c r="BV24" s="1116"/>
      <c r="BW24" s="1116"/>
      <c r="BX24" s="1116"/>
      <c r="BY24" s="1116"/>
      <c r="BZ24" s="1116"/>
      <c r="CA24" s="1116"/>
      <c r="CB24" s="1116"/>
    </row>
    <row r="25" spans="1:163" x14ac:dyDescent="0.25">
      <c r="A25" s="1109" t="s">
        <v>305</v>
      </c>
      <c r="B25" s="881"/>
      <c r="C25" s="881"/>
      <c r="D25" s="881"/>
      <c r="E25" s="881"/>
      <c r="F25" s="881"/>
      <c r="G25" s="881"/>
      <c r="H25" s="881"/>
      <c r="I25" s="881"/>
      <c r="J25" s="881"/>
      <c r="K25" s="881"/>
      <c r="L25" s="881"/>
      <c r="M25" s="881"/>
      <c r="N25" s="881"/>
      <c r="O25" s="881"/>
      <c r="P25" s="1110"/>
      <c r="Q25" s="1111">
        <f>IF('ВЛ-1'!AS28="","",'ВЛ-1'!AS28)</f>
      </c>
      <c r="R25" s="1081"/>
      <c r="S25" s="1081"/>
      <c r="T25" s="1081"/>
      <c r="U25" s="1081"/>
      <c r="V25" s="1081"/>
      <c r="W25" s="1081"/>
      <c r="X25" s="1081"/>
      <c r="Y25" s="1081"/>
      <c r="Z25" s="1081"/>
      <c r="AA25" s="1081"/>
      <c r="AB25" s="1081"/>
      <c r="AC25" s="1081"/>
      <c r="AD25" s="1081"/>
      <c r="AE25" s="1081"/>
      <c r="AF25" s="1112"/>
      <c r="AG25" s="1113"/>
      <c r="AH25" s="841"/>
      <c r="AI25" s="841"/>
      <c r="AJ25" s="841"/>
      <c r="AK25" s="841"/>
      <c r="AL25" s="841"/>
      <c r="AM25" s="841"/>
      <c r="AN25" s="841"/>
      <c r="AO25" s="841"/>
      <c r="AP25" s="841"/>
      <c r="AQ25" s="841"/>
      <c r="AR25" s="841"/>
      <c r="AS25" s="841"/>
      <c r="AT25" s="841"/>
      <c r="AU25" s="841"/>
      <c r="AV25" s="1114"/>
      <c r="AW25" s="990"/>
      <c r="AX25" s="990"/>
      <c r="AY25" s="990"/>
      <c r="AZ25" s="990"/>
      <c r="BA25" s="990"/>
      <c r="BB25" s="990"/>
      <c r="BC25" s="990"/>
      <c r="BD25" s="990"/>
      <c r="BE25" s="990"/>
      <c r="BF25" s="990"/>
      <c r="BG25" s="990"/>
      <c r="BH25" s="990"/>
      <c r="BI25" s="990"/>
      <c r="BJ25" s="990"/>
      <c r="BK25" s="990"/>
      <c r="BL25" s="990"/>
      <c r="BM25" s="1109"/>
      <c r="BN25" s="881"/>
      <c r="BO25" s="881"/>
      <c r="BP25" s="881"/>
      <c r="BQ25" s="881"/>
      <c r="BR25" s="881"/>
      <c r="BS25" s="881"/>
      <c r="BT25" s="881"/>
      <c r="BU25" s="881"/>
      <c r="BV25" s="881"/>
      <c r="BW25" s="881"/>
      <c r="BX25" s="881"/>
      <c r="BY25" s="881"/>
      <c r="BZ25" s="881"/>
      <c r="CA25" s="881"/>
      <c r="CB25" s="1110"/>
    </row>
    <row r="26" spans="1:163" ht="17.25" customHeight="1" x14ac:dyDescent="0.25">
      <c r="A26" s="11"/>
      <c r="B26" s="11"/>
      <c r="C26" s="490" t="s">
        <v>380</v>
      </c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90"/>
      <c r="T26" s="490"/>
      <c r="U26" s="490"/>
      <c r="V26" s="490"/>
      <c r="W26" s="490"/>
      <c r="X26" s="1115"/>
      <c r="Y26" s="1115"/>
      <c r="Z26" s="1115"/>
      <c r="AA26" s="1115"/>
      <c r="AB26" s="1115"/>
      <c r="AC26" s="1115"/>
      <c r="AD26" s="1115"/>
      <c r="AE26" s="1115"/>
      <c r="AF26" s="1115"/>
      <c r="AG26" s="1115"/>
      <c r="AH26" s="1115"/>
      <c r="AI26" s="1115"/>
      <c r="AJ26" s="1115"/>
      <c r="AK26" s="1115"/>
      <c r="AL26" s="1115"/>
      <c r="AM26" s="1115"/>
      <c r="AN26" s="1115"/>
      <c r="AO26" s="1115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1115"/>
      <c r="AZ26" s="1115"/>
      <c r="BA26" s="1115"/>
      <c r="BB26" s="1115"/>
      <c r="BC26" s="1115"/>
      <c r="BD26" s="1115"/>
      <c r="BE26" s="1115"/>
      <c r="BF26" s="1115"/>
      <c r="BG26" s="1115"/>
      <c r="BH26" s="1115"/>
      <c r="BI26" s="1115"/>
      <c r="BJ26" s="1115"/>
      <c r="BK26" s="1115"/>
      <c r="BL26" s="1115"/>
      <c r="BM26" s="1115"/>
      <c r="BN26" s="1115"/>
      <c r="BO26" s="1115"/>
      <c r="BP26" s="1115"/>
      <c r="BQ26" s="1115"/>
      <c r="BR26" s="1115"/>
      <c r="BS26" s="1115"/>
      <c r="BT26" s="1115"/>
      <c r="BU26" s="1115"/>
      <c r="BV26" s="1115"/>
      <c r="BW26" s="1115"/>
      <c r="BX26" s="1115"/>
      <c r="BY26" s="1115"/>
      <c r="BZ26" s="1115"/>
      <c r="CA26" s="1115"/>
      <c r="CB26" s="1115"/>
    </row>
    <row r="27" spans="1:163" ht="8.4499999999999993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</row>
    <row r="28" spans="1:163" s="43" customFormat="1" x14ac:dyDescent="0.25">
      <c r="A28" s="57" t="s">
        <v>36</v>
      </c>
      <c r="B28" s="57"/>
      <c r="C28" s="57" t="s">
        <v>306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</row>
    <row r="29" spans="1:163" x14ac:dyDescent="0.25">
      <c r="A29" s="11"/>
      <c r="B29" s="11"/>
      <c r="C29" s="11" t="s">
        <v>755</v>
      </c>
      <c r="D29" s="11"/>
      <c r="E29" s="11"/>
      <c r="F29" s="11"/>
      <c r="G29" s="1081" t="s">
        <v>1355</v>
      </c>
      <c r="H29" s="1081"/>
      <c r="I29" s="1081"/>
      <c r="J29" s="1081"/>
      <c r="K29" s="1081"/>
      <c r="L29" s="1081"/>
      <c r="M29" s="1081"/>
      <c r="N29" s="11" t="s">
        <v>756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081"/>
      <c r="AH29" s="1081"/>
      <c r="AI29" s="1081"/>
      <c r="AJ29" s="1081"/>
      <c r="AK29" s="1081"/>
      <c r="AL29" s="1081"/>
      <c r="AM29" s="1081"/>
      <c r="AN29" s="1081"/>
      <c r="AO29" s="1081"/>
      <c r="AP29" s="1081"/>
      <c r="AQ29" s="1081"/>
      <c r="AR29" s="1081"/>
      <c r="AS29" s="1081"/>
      <c r="AT29" s="1081"/>
      <c r="AU29" s="1081"/>
      <c r="AV29" s="1081"/>
      <c r="AW29" s="1081"/>
      <c r="AX29" s="1081"/>
      <c r="AY29" s="1081"/>
      <c r="AZ29" s="1081"/>
      <c r="BA29" s="1081"/>
      <c r="BB29" s="11" t="s">
        <v>307</v>
      </c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081"/>
      <c r="BU29" s="1081"/>
      <c r="BV29" s="1081"/>
      <c r="BW29" s="1081"/>
      <c r="BX29" s="1081"/>
      <c r="BY29" s="1081"/>
      <c r="BZ29" s="1081"/>
      <c r="CA29" s="11" t="s">
        <v>308</v>
      </c>
      <c r="CB29" s="11"/>
    </row>
    <row r="30" spans="1:163" s="70" customFormat="1" ht="19.5" customHeight="1" x14ac:dyDescent="0.2">
      <c r="A30" s="11"/>
      <c r="B30" s="11"/>
      <c r="C30" s="11" t="s">
        <v>309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855" t="s">
        <v>101</v>
      </c>
      <c r="W30" s="855"/>
      <c r="X30" s="855"/>
      <c r="Y30" s="855"/>
      <c r="Z30" s="855"/>
      <c r="AA30" s="855"/>
      <c r="AB30" s="855"/>
      <c r="AC30" s="855"/>
      <c r="AD30" s="855"/>
      <c r="AE30" s="855"/>
      <c r="AF30" s="855"/>
      <c r="AG30" s="855"/>
      <c r="AH30" s="855"/>
      <c r="AI30" s="855"/>
      <c r="AJ30" s="855"/>
      <c r="AK30" s="855"/>
      <c r="AL30" s="855"/>
      <c r="AM30" s="855"/>
      <c r="AN30" s="855"/>
      <c r="AO30" s="855"/>
      <c r="AP30" s="855"/>
      <c r="AQ30" s="855"/>
      <c r="AR30" s="855"/>
      <c r="AS30" s="855"/>
      <c r="AT30" s="855"/>
      <c r="AU30" s="855"/>
      <c r="AV30" s="855"/>
      <c r="AW30" s="855"/>
      <c r="AX30" s="855"/>
      <c r="AY30" s="855"/>
      <c r="AZ30" s="11" t="s">
        <v>311</v>
      </c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855" t="s">
        <v>101</v>
      </c>
      <c r="BN30" s="855"/>
      <c r="BO30" s="855"/>
      <c r="BP30" s="855"/>
      <c r="BQ30" s="855"/>
      <c r="BR30" s="855"/>
      <c r="BS30" s="855"/>
      <c r="BT30" s="855"/>
      <c r="BU30" s="855"/>
      <c r="BV30" s="855"/>
      <c r="BW30" s="855"/>
      <c r="BX30" s="855"/>
      <c r="BY30" s="855"/>
      <c r="BZ30" s="855"/>
      <c r="CA30" s="11" t="s">
        <v>310</v>
      </c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</row>
    <row r="31" spans="1:163" s="70" customFormat="1" ht="15" customHeight="1" x14ac:dyDescent="0.2">
      <c r="A31" s="11"/>
      <c r="B31" s="11"/>
      <c r="C31" s="1080" t="s">
        <v>312</v>
      </c>
      <c r="D31" s="1080"/>
      <c r="E31" s="1080"/>
      <c r="F31" s="1080"/>
      <c r="G31" s="1080"/>
      <c r="H31" s="1080"/>
      <c r="I31" s="1080"/>
      <c r="J31" s="1080"/>
      <c r="K31" s="1080"/>
      <c r="L31" s="1080"/>
      <c r="M31" s="1080"/>
      <c r="N31" s="1080"/>
      <c r="O31" s="1080"/>
      <c r="P31" s="1080"/>
      <c r="Q31" s="1080"/>
      <c r="R31" s="1080"/>
      <c r="S31" s="1080"/>
      <c r="T31" s="1080"/>
      <c r="U31" s="1080"/>
      <c r="V31" s="1080"/>
      <c r="W31" s="1080"/>
      <c r="X31" s="1080"/>
      <c r="Y31" s="1080"/>
      <c r="Z31" s="1080"/>
      <c r="AA31" s="1080"/>
      <c r="AB31" s="1080"/>
      <c r="AC31" s="1080"/>
      <c r="AD31" s="1080"/>
      <c r="AE31" s="1080"/>
      <c r="AF31" s="1080"/>
      <c r="AG31" s="1080"/>
      <c r="AH31" s="1080"/>
      <c r="AI31" s="1080"/>
      <c r="AJ31" s="1080"/>
      <c r="AK31" s="1080"/>
      <c r="AL31" s="1080"/>
      <c r="AM31" s="1080"/>
      <c r="AN31" s="1080"/>
      <c r="AO31" s="1080"/>
      <c r="AP31" s="1080"/>
      <c r="AQ31" s="1080"/>
      <c r="AR31" s="1080"/>
      <c r="AS31" s="1080"/>
      <c r="AT31" s="1080"/>
      <c r="AU31" s="1080"/>
      <c r="AV31" s="1080"/>
      <c r="AW31" s="1080"/>
      <c r="AX31" s="1080"/>
      <c r="AY31" s="1080"/>
      <c r="AZ31" s="1080"/>
      <c r="BA31" s="1080"/>
      <c r="BB31" s="1080"/>
      <c r="BC31" s="1080"/>
      <c r="BD31" s="1080"/>
      <c r="BE31" s="1080"/>
      <c r="BF31" s="1080"/>
      <c r="BG31" s="1080"/>
      <c r="BH31" s="1080"/>
      <c r="BI31" s="1080"/>
      <c r="BJ31" s="1080"/>
      <c r="BK31" s="1080"/>
      <c r="BL31" s="1080"/>
      <c r="BM31" s="1080"/>
      <c r="BN31" s="1080"/>
      <c r="BO31" s="1080"/>
      <c r="BP31" s="1080"/>
      <c r="BQ31" s="1080"/>
      <c r="BR31" s="1080"/>
      <c r="BS31" s="1080"/>
      <c r="BT31" s="1080"/>
      <c r="BU31" s="1080"/>
      <c r="BV31" s="1080"/>
      <c r="BW31" s="1080"/>
      <c r="BX31" s="1080"/>
      <c r="BY31" s="1080"/>
      <c r="BZ31" s="1080"/>
      <c r="CA31" s="1080"/>
      <c r="CB31" s="1080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</row>
    <row r="32" spans="1:163" s="70" customFormat="1" ht="11.25" x14ac:dyDescent="0.2">
      <c r="A32" s="11"/>
      <c r="B32" s="11"/>
      <c r="C32" s="1080"/>
      <c r="D32" s="1080"/>
      <c r="E32" s="1080"/>
      <c r="F32" s="1080"/>
      <c r="G32" s="1080"/>
      <c r="H32" s="1080"/>
      <c r="I32" s="1080"/>
      <c r="J32" s="1080"/>
      <c r="K32" s="1080"/>
      <c r="L32" s="1080"/>
      <c r="M32" s="1080"/>
      <c r="N32" s="1080"/>
      <c r="O32" s="1080"/>
      <c r="P32" s="1080"/>
      <c r="Q32" s="1080"/>
      <c r="R32" s="1080"/>
      <c r="S32" s="1080"/>
      <c r="T32" s="1080"/>
      <c r="U32" s="1080"/>
      <c r="V32" s="1080"/>
      <c r="W32" s="1080"/>
      <c r="X32" s="1080"/>
      <c r="Y32" s="1080"/>
      <c r="Z32" s="1080"/>
      <c r="AA32" s="1080"/>
      <c r="AB32" s="1080"/>
      <c r="AC32" s="1080"/>
      <c r="AD32" s="1080"/>
      <c r="AE32" s="1080"/>
      <c r="AF32" s="1080"/>
      <c r="AG32" s="1080"/>
      <c r="AH32" s="1080"/>
      <c r="AI32" s="1080"/>
      <c r="AJ32" s="1080"/>
      <c r="AK32" s="1080"/>
      <c r="AL32" s="1080"/>
      <c r="AM32" s="1080"/>
      <c r="AN32" s="1080"/>
      <c r="AO32" s="1080"/>
      <c r="AP32" s="1080"/>
      <c r="AQ32" s="1080"/>
      <c r="AR32" s="1080"/>
      <c r="AS32" s="1080"/>
      <c r="AT32" s="1080"/>
      <c r="AU32" s="1080"/>
      <c r="AV32" s="1080"/>
      <c r="AW32" s="1080"/>
      <c r="AX32" s="1080"/>
      <c r="AY32" s="1080"/>
      <c r="AZ32" s="1080"/>
      <c r="BA32" s="1080"/>
      <c r="BB32" s="1080"/>
      <c r="BC32" s="1080"/>
      <c r="BD32" s="1080"/>
      <c r="BE32" s="1080"/>
      <c r="BF32" s="1080"/>
      <c r="BG32" s="1080"/>
      <c r="BH32" s="1080"/>
      <c r="BI32" s="1080"/>
      <c r="BJ32" s="1080"/>
      <c r="BK32" s="1080"/>
      <c r="BL32" s="1080"/>
      <c r="BM32" s="1080"/>
      <c r="BN32" s="1080"/>
      <c r="BO32" s="1080"/>
      <c r="BP32" s="1080"/>
      <c r="BQ32" s="1080"/>
      <c r="BR32" s="1080"/>
      <c r="BS32" s="1080"/>
      <c r="BT32" s="1080"/>
      <c r="BU32" s="1080"/>
      <c r="BV32" s="1080"/>
      <c r="BW32" s="1080"/>
      <c r="BX32" s="1080"/>
      <c r="BY32" s="1080"/>
      <c r="BZ32" s="1080"/>
      <c r="CA32" s="1080"/>
      <c r="CB32" s="1080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</row>
    <row r="33" spans="1:163" s="70" customFormat="1" ht="15" customHeight="1" x14ac:dyDescent="0.2">
      <c r="A33" s="11"/>
      <c r="B33" s="11"/>
      <c r="C33" s="1080" t="s">
        <v>313</v>
      </c>
      <c r="D33" s="1080"/>
      <c r="E33" s="1080"/>
      <c r="F33" s="1080"/>
      <c r="G33" s="1080"/>
      <c r="H33" s="1080"/>
      <c r="I33" s="1080"/>
      <c r="J33" s="1080"/>
      <c r="K33" s="1080"/>
      <c r="L33" s="1080"/>
      <c r="M33" s="1080"/>
      <c r="N33" s="1080"/>
      <c r="O33" s="1080"/>
      <c r="P33" s="1080"/>
      <c r="Q33" s="1080"/>
      <c r="R33" s="1080"/>
      <c r="S33" s="1080"/>
      <c r="T33" s="1080"/>
      <c r="U33" s="1080"/>
      <c r="V33" s="1080"/>
      <c r="W33" s="1080"/>
      <c r="X33" s="1080"/>
      <c r="Y33" s="1080"/>
      <c r="Z33" s="1080"/>
      <c r="AA33" s="1080"/>
      <c r="AB33" s="1080"/>
      <c r="AC33" s="1080"/>
      <c r="AD33" s="1080"/>
      <c r="AE33" s="1080"/>
      <c r="AF33" s="1080"/>
      <c r="AG33" s="1080"/>
      <c r="AH33" s="1080"/>
      <c r="AI33" s="1080"/>
      <c r="AJ33" s="1080"/>
      <c r="AK33" s="1080"/>
      <c r="AL33" s="1080"/>
      <c r="AM33" s="1080"/>
      <c r="AN33" s="1080"/>
      <c r="AO33" s="1080"/>
      <c r="AP33" s="1080"/>
      <c r="AQ33" s="1080"/>
      <c r="AR33" s="1080"/>
      <c r="AS33" s="1080"/>
      <c r="AT33" s="1080"/>
      <c r="AU33" s="1080"/>
      <c r="AV33" s="1080"/>
      <c r="AW33" s="1080"/>
      <c r="AX33" s="1080"/>
      <c r="AY33" s="1080"/>
      <c r="AZ33" s="1080"/>
      <c r="BA33" s="1080"/>
      <c r="BB33" s="1080"/>
      <c r="BC33" s="1080"/>
      <c r="BD33" s="1080"/>
      <c r="BE33" s="1080"/>
      <c r="BF33" s="1080"/>
      <c r="BG33" s="1080"/>
      <c r="BH33" s="1080"/>
      <c r="BI33" s="1080"/>
      <c r="BJ33" s="1080"/>
      <c r="BK33" s="1080"/>
      <c r="BL33" s="1080"/>
      <c r="BM33" s="1080"/>
      <c r="BN33" s="1080"/>
      <c r="BO33" s="1080"/>
      <c r="BP33" s="1080"/>
      <c r="BQ33" s="1080"/>
      <c r="BR33" s="1080"/>
      <c r="BS33" s="1080"/>
      <c r="BT33" s="1080"/>
      <c r="BU33" s="1080"/>
      <c r="BV33" s="1080"/>
      <c r="BW33" s="1080"/>
      <c r="BX33" s="1080"/>
      <c r="BY33" s="1080"/>
      <c r="BZ33" s="1080"/>
      <c r="CA33" s="1080"/>
      <c r="CB33" s="1080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</row>
    <row r="34" spans="1:163" s="70" customFormat="1" ht="11.25" x14ac:dyDescent="0.2">
      <c r="A34" s="11"/>
      <c r="B34" s="11"/>
      <c r="C34" s="1080"/>
      <c r="D34" s="1080"/>
      <c r="E34" s="1080"/>
      <c r="F34" s="1080"/>
      <c r="G34" s="1080"/>
      <c r="H34" s="1080"/>
      <c r="I34" s="1080"/>
      <c r="J34" s="1080"/>
      <c r="K34" s="1080"/>
      <c r="L34" s="1080"/>
      <c r="M34" s="1080"/>
      <c r="N34" s="1080"/>
      <c r="O34" s="1080"/>
      <c r="P34" s="1080"/>
      <c r="Q34" s="1080"/>
      <c r="R34" s="1080"/>
      <c r="S34" s="1080"/>
      <c r="T34" s="1080"/>
      <c r="U34" s="1080"/>
      <c r="V34" s="1080"/>
      <c r="W34" s="1080"/>
      <c r="X34" s="1080"/>
      <c r="Y34" s="1080"/>
      <c r="Z34" s="1080"/>
      <c r="AA34" s="1080"/>
      <c r="AB34" s="1080"/>
      <c r="AC34" s="1080"/>
      <c r="AD34" s="1080"/>
      <c r="AE34" s="1080"/>
      <c r="AF34" s="1080"/>
      <c r="AG34" s="1080"/>
      <c r="AH34" s="1080"/>
      <c r="AI34" s="1080"/>
      <c r="AJ34" s="1080"/>
      <c r="AK34" s="1080"/>
      <c r="AL34" s="1080"/>
      <c r="AM34" s="1080"/>
      <c r="AN34" s="1080"/>
      <c r="AO34" s="1080"/>
      <c r="AP34" s="1080"/>
      <c r="AQ34" s="1080"/>
      <c r="AR34" s="1080"/>
      <c r="AS34" s="1080"/>
      <c r="AT34" s="1080"/>
      <c r="AU34" s="1080"/>
      <c r="AV34" s="1080"/>
      <c r="AW34" s="1080"/>
      <c r="AX34" s="1080"/>
      <c r="AY34" s="1080"/>
      <c r="AZ34" s="1080"/>
      <c r="BA34" s="1080"/>
      <c r="BB34" s="1080"/>
      <c r="BC34" s="1080"/>
      <c r="BD34" s="1080"/>
      <c r="BE34" s="1080"/>
      <c r="BF34" s="1080"/>
      <c r="BG34" s="1080"/>
      <c r="BH34" s="1080"/>
      <c r="BI34" s="1080"/>
      <c r="BJ34" s="1080"/>
      <c r="BK34" s="1080"/>
      <c r="BL34" s="1080"/>
      <c r="BM34" s="1080"/>
      <c r="BN34" s="1080"/>
      <c r="BO34" s="1080"/>
      <c r="BP34" s="1080"/>
      <c r="BQ34" s="1080"/>
      <c r="BR34" s="1080"/>
      <c r="BS34" s="1080"/>
      <c r="BT34" s="1080"/>
      <c r="BU34" s="1080"/>
      <c r="BV34" s="1080"/>
      <c r="BW34" s="1080"/>
      <c r="BX34" s="1080"/>
      <c r="BY34" s="1080"/>
      <c r="BZ34" s="1080"/>
      <c r="CA34" s="1080"/>
      <c r="CB34" s="1080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</row>
    <row r="35" spans="1:163" s="73" customFormat="1" ht="11.25" hidden="1" x14ac:dyDescent="0.2">
      <c r="A35" s="57" t="s">
        <v>39</v>
      </c>
      <c r="B35" s="57"/>
      <c r="C35" s="57" t="s">
        <v>314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</row>
    <row r="36" spans="1:163" s="70" customFormat="1" ht="15" hidden="1" customHeight="1" x14ac:dyDescent="0.2">
      <c r="A36" s="11"/>
      <c r="B36" s="11"/>
      <c r="C36" s="827" t="s">
        <v>315</v>
      </c>
      <c r="D36" s="827"/>
      <c r="E36" s="827"/>
      <c r="F36" s="827"/>
      <c r="G36" s="827"/>
      <c r="H36" s="827"/>
      <c r="I36" s="827"/>
      <c r="J36" s="827"/>
      <c r="K36" s="827"/>
      <c r="L36" s="827"/>
      <c r="M36" s="827"/>
      <c r="N36" s="827"/>
      <c r="O36" s="827"/>
      <c r="P36" s="827"/>
      <c r="Q36" s="827"/>
      <c r="R36" s="827"/>
      <c r="S36" s="827"/>
      <c r="T36" s="827"/>
      <c r="U36" s="827"/>
      <c r="V36" s="827"/>
      <c r="W36" s="827" t="s">
        <v>316</v>
      </c>
      <c r="X36" s="827"/>
      <c r="Y36" s="827"/>
      <c r="Z36" s="827"/>
      <c r="AA36" s="827"/>
      <c r="AB36" s="827"/>
      <c r="AC36" s="827"/>
      <c r="AD36" s="827"/>
      <c r="AE36" s="827"/>
      <c r="AF36" s="827"/>
      <c r="AG36" s="827"/>
      <c r="AH36" s="827"/>
      <c r="AI36" s="827"/>
      <c r="AJ36" s="827"/>
      <c r="AK36" s="827"/>
      <c r="AL36" s="827"/>
      <c r="AM36" s="827" t="s">
        <v>317</v>
      </c>
      <c r="AN36" s="827"/>
      <c r="AO36" s="827"/>
      <c r="AP36" s="827"/>
      <c r="AQ36" s="827"/>
      <c r="AR36" s="827"/>
      <c r="AS36" s="827"/>
      <c r="AT36" s="827"/>
      <c r="AU36" s="827"/>
      <c r="AV36" s="827"/>
      <c r="AW36" s="827"/>
      <c r="AX36" s="827"/>
      <c r="AY36" s="827"/>
      <c r="AZ36" s="827"/>
      <c r="BA36" s="827"/>
      <c r="BB36" s="827"/>
      <c r="BC36" s="826" t="s">
        <v>233</v>
      </c>
      <c r="BD36" s="826"/>
      <c r="BE36" s="826"/>
      <c r="BF36" s="826"/>
      <c r="BG36" s="826"/>
      <c r="BH36" s="826"/>
      <c r="BI36" s="826"/>
      <c r="BJ36" s="826"/>
      <c r="BK36" s="826"/>
      <c r="BL36" s="826"/>
      <c r="BM36" s="826"/>
      <c r="BN36" s="826"/>
      <c r="BO36" s="826"/>
      <c r="BP36" s="826"/>
      <c r="BQ36" s="826"/>
      <c r="BR36" s="826"/>
      <c r="BS36" s="826"/>
      <c r="BT36" s="826"/>
      <c r="BU36" s="826"/>
      <c r="BV36" s="826"/>
      <c r="BW36" s="826"/>
      <c r="BX36" s="826"/>
      <c r="BY36" s="826"/>
      <c r="BZ36" s="826"/>
      <c r="CA36" s="826"/>
      <c r="CB36" s="826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</row>
    <row r="37" spans="1:163" s="70" customFormat="1" ht="11.25" hidden="1" x14ac:dyDescent="0.2">
      <c r="A37" s="11"/>
      <c r="B37" s="11"/>
      <c r="C37" s="827"/>
      <c r="D37" s="827"/>
      <c r="E37" s="827"/>
      <c r="F37" s="827"/>
      <c r="G37" s="827"/>
      <c r="H37" s="827"/>
      <c r="I37" s="827"/>
      <c r="J37" s="827"/>
      <c r="K37" s="827"/>
      <c r="L37" s="827"/>
      <c r="M37" s="827"/>
      <c r="N37" s="827"/>
      <c r="O37" s="827"/>
      <c r="P37" s="827"/>
      <c r="Q37" s="827"/>
      <c r="R37" s="827"/>
      <c r="S37" s="827"/>
      <c r="T37" s="827"/>
      <c r="U37" s="827"/>
      <c r="V37" s="827"/>
      <c r="W37" s="827"/>
      <c r="X37" s="827"/>
      <c r="Y37" s="827"/>
      <c r="Z37" s="827"/>
      <c r="AA37" s="827"/>
      <c r="AB37" s="827"/>
      <c r="AC37" s="827"/>
      <c r="AD37" s="827"/>
      <c r="AE37" s="827"/>
      <c r="AF37" s="827"/>
      <c r="AG37" s="827"/>
      <c r="AH37" s="827"/>
      <c r="AI37" s="827"/>
      <c r="AJ37" s="827"/>
      <c r="AK37" s="827"/>
      <c r="AL37" s="827"/>
      <c r="AM37" s="827"/>
      <c r="AN37" s="827"/>
      <c r="AO37" s="827"/>
      <c r="AP37" s="827"/>
      <c r="AQ37" s="827"/>
      <c r="AR37" s="827"/>
      <c r="AS37" s="827"/>
      <c r="AT37" s="827"/>
      <c r="AU37" s="827"/>
      <c r="AV37" s="827"/>
      <c r="AW37" s="827"/>
      <c r="AX37" s="827"/>
      <c r="AY37" s="827"/>
      <c r="AZ37" s="827"/>
      <c r="BA37" s="827"/>
      <c r="BB37" s="827"/>
      <c r="BC37" s="826" t="s">
        <v>318</v>
      </c>
      <c r="BD37" s="826"/>
      <c r="BE37" s="826"/>
      <c r="BF37" s="826"/>
      <c r="BG37" s="826"/>
      <c r="BH37" s="826"/>
      <c r="BI37" s="826"/>
      <c r="BJ37" s="826"/>
      <c r="BK37" s="826"/>
      <c r="BL37" s="826"/>
      <c r="BM37" s="826"/>
      <c r="BN37" s="826"/>
      <c r="BO37" s="826"/>
      <c r="BP37" s="826" t="s">
        <v>234</v>
      </c>
      <c r="BQ37" s="826"/>
      <c r="BR37" s="826"/>
      <c r="BS37" s="826"/>
      <c r="BT37" s="826"/>
      <c r="BU37" s="826"/>
      <c r="BV37" s="826"/>
      <c r="BW37" s="826"/>
      <c r="BX37" s="826"/>
      <c r="BY37" s="826"/>
      <c r="BZ37" s="826"/>
      <c r="CA37" s="826"/>
      <c r="CB37" s="826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</row>
    <row r="38" spans="1:163" s="70" customFormat="1" ht="11.25" hidden="1" x14ac:dyDescent="0.2">
      <c r="A38" s="11"/>
      <c r="B38" s="11"/>
      <c r="C38" s="827"/>
      <c r="D38" s="827"/>
      <c r="E38" s="827"/>
      <c r="F38" s="827"/>
      <c r="G38" s="827"/>
      <c r="H38" s="827"/>
      <c r="I38" s="827"/>
      <c r="J38" s="827"/>
      <c r="K38" s="827"/>
      <c r="L38" s="827"/>
      <c r="M38" s="827"/>
      <c r="N38" s="827"/>
      <c r="O38" s="827"/>
      <c r="P38" s="827"/>
      <c r="Q38" s="827"/>
      <c r="R38" s="827"/>
      <c r="S38" s="827"/>
      <c r="T38" s="827"/>
      <c r="U38" s="827"/>
      <c r="V38" s="827"/>
      <c r="W38" s="827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827"/>
      <c r="AL38" s="827"/>
      <c r="AM38" s="827"/>
      <c r="AN38" s="827"/>
      <c r="AO38" s="827"/>
      <c r="AP38" s="827"/>
      <c r="AQ38" s="827"/>
      <c r="AR38" s="827"/>
      <c r="AS38" s="827"/>
      <c r="AT38" s="827"/>
      <c r="AU38" s="827"/>
      <c r="AV38" s="827"/>
      <c r="AW38" s="827"/>
      <c r="AX38" s="827"/>
      <c r="AY38" s="827"/>
      <c r="AZ38" s="827"/>
      <c r="BA38" s="827"/>
      <c r="BB38" s="827"/>
      <c r="BC38" s="826"/>
      <c r="BD38" s="826"/>
      <c r="BE38" s="826"/>
      <c r="BF38" s="826"/>
      <c r="BG38" s="826"/>
      <c r="BH38" s="826"/>
      <c r="BI38" s="826"/>
      <c r="BJ38" s="826"/>
      <c r="BK38" s="826"/>
      <c r="BL38" s="826"/>
      <c r="BM38" s="826"/>
      <c r="BN38" s="826"/>
      <c r="BO38" s="826"/>
      <c r="BP38" s="826"/>
      <c r="BQ38" s="826"/>
      <c r="BR38" s="826"/>
      <c r="BS38" s="826"/>
      <c r="BT38" s="826"/>
      <c r="BU38" s="826"/>
      <c r="BV38" s="826"/>
      <c r="BW38" s="826"/>
      <c r="BX38" s="826"/>
      <c r="BY38" s="826"/>
      <c r="BZ38" s="826"/>
      <c r="CA38" s="826"/>
      <c r="CB38" s="826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</row>
    <row r="39" spans="1:163" s="70" customFormat="1" ht="11.25" hidden="1" x14ac:dyDescent="0.2">
      <c r="A39" s="11"/>
      <c r="B39" s="11"/>
      <c r="C39" s="894"/>
      <c r="D39" s="894"/>
      <c r="E39" s="894"/>
      <c r="F39" s="894"/>
      <c r="G39" s="894"/>
      <c r="H39" s="894"/>
      <c r="I39" s="894"/>
      <c r="J39" s="894"/>
      <c r="K39" s="894"/>
      <c r="L39" s="894"/>
      <c r="M39" s="894"/>
      <c r="N39" s="894"/>
      <c r="O39" s="894"/>
      <c r="P39" s="894"/>
      <c r="Q39" s="894"/>
      <c r="R39" s="894"/>
      <c r="S39" s="894"/>
      <c r="T39" s="894"/>
      <c r="U39" s="894"/>
      <c r="V39" s="894"/>
      <c r="W39" s="894"/>
      <c r="X39" s="894"/>
      <c r="Y39" s="894"/>
      <c r="Z39" s="894"/>
      <c r="AA39" s="894"/>
      <c r="AB39" s="894"/>
      <c r="AC39" s="894"/>
      <c r="AD39" s="894"/>
      <c r="AE39" s="894"/>
      <c r="AF39" s="894"/>
      <c r="AG39" s="894"/>
      <c r="AH39" s="894"/>
      <c r="AI39" s="894"/>
      <c r="AJ39" s="894"/>
      <c r="AK39" s="894"/>
      <c r="AL39" s="894"/>
      <c r="AM39" s="894"/>
      <c r="AN39" s="894"/>
      <c r="AO39" s="894"/>
      <c r="AP39" s="894"/>
      <c r="AQ39" s="894"/>
      <c r="AR39" s="894"/>
      <c r="AS39" s="894"/>
      <c r="AT39" s="894"/>
      <c r="AU39" s="894"/>
      <c r="AV39" s="894"/>
      <c r="AW39" s="894"/>
      <c r="AX39" s="894"/>
      <c r="AY39" s="894"/>
      <c r="AZ39" s="894"/>
      <c r="BA39" s="894"/>
      <c r="BB39" s="894"/>
      <c r="BC39" s="894"/>
      <c r="BD39" s="894"/>
      <c r="BE39" s="894"/>
      <c r="BF39" s="894"/>
      <c r="BG39" s="894"/>
      <c r="BH39" s="894"/>
      <c r="BI39" s="894"/>
      <c r="BJ39" s="894"/>
      <c r="BK39" s="894"/>
      <c r="BL39" s="894"/>
      <c r="BM39" s="894"/>
      <c r="BN39" s="894"/>
      <c r="BO39" s="894"/>
      <c r="BP39" s="894"/>
      <c r="BQ39" s="894"/>
      <c r="BR39" s="894"/>
      <c r="BS39" s="894"/>
      <c r="BT39" s="894"/>
      <c r="BU39" s="894"/>
      <c r="BV39" s="894"/>
      <c r="BW39" s="894"/>
      <c r="BX39" s="894"/>
      <c r="BY39" s="894"/>
      <c r="BZ39" s="894"/>
      <c r="CA39" s="894"/>
      <c r="CB39" s="894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</row>
    <row r="40" spans="1:163" s="70" customFormat="1" ht="11.25" hidden="1" x14ac:dyDescent="0.2">
      <c r="A40" s="11"/>
      <c r="B40" s="11"/>
      <c r="C40" s="1106"/>
      <c r="D40" s="1107"/>
      <c r="E40" s="1107"/>
      <c r="F40" s="1107"/>
      <c r="G40" s="1107"/>
      <c r="H40" s="1107"/>
      <c r="I40" s="1107"/>
      <c r="J40" s="1107"/>
      <c r="K40" s="1107"/>
      <c r="L40" s="1107"/>
      <c r="M40" s="1107"/>
      <c r="N40" s="1107"/>
      <c r="O40" s="1107"/>
      <c r="P40" s="1107"/>
      <c r="Q40" s="1107"/>
      <c r="R40" s="1107"/>
      <c r="S40" s="1107"/>
      <c r="T40" s="1107"/>
      <c r="U40" s="1107"/>
      <c r="V40" s="1108"/>
      <c r="W40" s="1106"/>
      <c r="X40" s="1107"/>
      <c r="Y40" s="1107"/>
      <c r="Z40" s="1107"/>
      <c r="AA40" s="1107"/>
      <c r="AB40" s="1107"/>
      <c r="AC40" s="1107"/>
      <c r="AD40" s="1107"/>
      <c r="AE40" s="1107"/>
      <c r="AF40" s="1107"/>
      <c r="AG40" s="1107"/>
      <c r="AH40" s="1107"/>
      <c r="AI40" s="1107"/>
      <c r="AJ40" s="1107"/>
      <c r="AK40" s="1107"/>
      <c r="AL40" s="1108"/>
      <c r="AM40" s="1106"/>
      <c r="AN40" s="1107"/>
      <c r="AO40" s="1107"/>
      <c r="AP40" s="1107"/>
      <c r="AQ40" s="1107"/>
      <c r="AR40" s="1107"/>
      <c r="AS40" s="1107"/>
      <c r="AT40" s="1107"/>
      <c r="AU40" s="1107"/>
      <c r="AV40" s="1107"/>
      <c r="AW40" s="1107"/>
      <c r="AX40" s="1107"/>
      <c r="AY40" s="1107"/>
      <c r="AZ40" s="1107"/>
      <c r="BA40" s="1107"/>
      <c r="BB40" s="1108"/>
      <c r="BC40" s="1106"/>
      <c r="BD40" s="1107"/>
      <c r="BE40" s="1107"/>
      <c r="BF40" s="1107"/>
      <c r="BG40" s="1107"/>
      <c r="BH40" s="1107"/>
      <c r="BI40" s="1107"/>
      <c r="BJ40" s="1107"/>
      <c r="BK40" s="1107"/>
      <c r="BL40" s="1107"/>
      <c r="BM40" s="1107"/>
      <c r="BN40" s="1107"/>
      <c r="BO40" s="1108"/>
      <c r="BP40" s="1106"/>
      <c r="BQ40" s="1107"/>
      <c r="BR40" s="1107"/>
      <c r="BS40" s="1107"/>
      <c r="BT40" s="1107"/>
      <c r="BU40" s="1107"/>
      <c r="BV40" s="1107"/>
      <c r="BW40" s="1107"/>
      <c r="BX40" s="1107"/>
      <c r="BY40" s="1107"/>
      <c r="BZ40" s="1107"/>
      <c r="CA40" s="1107"/>
      <c r="CB40" s="1108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</row>
    <row r="41" spans="1:163" s="70" customFormat="1" ht="11.25" hidden="1" x14ac:dyDescent="0.2">
      <c r="A41" s="11"/>
      <c r="B41" s="11"/>
      <c r="C41" s="1106"/>
      <c r="D41" s="1107"/>
      <c r="E41" s="1107"/>
      <c r="F41" s="1107"/>
      <c r="G41" s="1107"/>
      <c r="H41" s="1107"/>
      <c r="I41" s="1107"/>
      <c r="J41" s="1107"/>
      <c r="K41" s="1107"/>
      <c r="L41" s="1107"/>
      <c r="M41" s="1107"/>
      <c r="N41" s="1107"/>
      <c r="O41" s="1107"/>
      <c r="P41" s="1107"/>
      <c r="Q41" s="1107"/>
      <c r="R41" s="1107"/>
      <c r="S41" s="1107"/>
      <c r="T41" s="1107"/>
      <c r="U41" s="1107"/>
      <c r="V41" s="1108"/>
      <c r="W41" s="1106"/>
      <c r="X41" s="1107"/>
      <c r="Y41" s="1107"/>
      <c r="Z41" s="1107"/>
      <c r="AA41" s="1107"/>
      <c r="AB41" s="1107"/>
      <c r="AC41" s="1107"/>
      <c r="AD41" s="1107"/>
      <c r="AE41" s="1107"/>
      <c r="AF41" s="1107"/>
      <c r="AG41" s="1107"/>
      <c r="AH41" s="1107"/>
      <c r="AI41" s="1107"/>
      <c r="AJ41" s="1107"/>
      <c r="AK41" s="1107"/>
      <c r="AL41" s="1108"/>
      <c r="AM41" s="1106"/>
      <c r="AN41" s="1107"/>
      <c r="AO41" s="1107"/>
      <c r="AP41" s="1107"/>
      <c r="AQ41" s="1107"/>
      <c r="AR41" s="1107"/>
      <c r="AS41" s="1107"/>
      <c r="AT41" s="1107"/>
      <c r="AU41" s="1107"/>
      <c r="AV41" s="1107"/>
      <c r="AW41" s="1107"/>
      <c r="AX41" s="1107"/>
      <c r="AY41" s="1107"/>
      <c r="AZ41" s="1107"/>
      <c r="BA41" s="1107"/>
      <c r="BB41" s="1108"/>
      <c r="BC41" s="1106"/>
      <c r="BD41" s="1107"/>
      <c r="BE41" s="1107"/>
      <c r="BF41" s="1107"/>
      <c r="BG41" s="1107"/>
      <c r="BH41" s="1107"/>
      <c r="BI41" s="1107"/>
      <c r="BJ41" s="1107"/>
      <c r="BK41" s="1107"/>
      <c r="BL41" s="1107"/>
      <c r="BM41" s="1107"/>
      <c r="BN41" s="1107"/>
      <c r="BO41" s="1108"/>
      <c r="BP41" s="1106"/>
      <c r="BQ41" s="1107"/>
      <c r="BR41" s="1107"/>
      <c r="BS41" s="1107"/>
      <c r="BT41" s="1107"/>
      <c r="BU41" s="1107"/>
      <c r="BV41" s="1107"/>
      <c r="BW41" s="1107"/>
      <c r="BX41" s="1107"/>
      <c r="BY41" s="1107"/>
      <c r="BZ41" s="1107"/>
      <c r="CA41" s="1107"/>
      <c r="CB41" s="1108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</row>
    <row r="42" spans="1:163" s="70" customFormat="1" ht="11.25" hidden="1" x14ac:dyDescent="0.2">
      <c r="A42" s="11"/>
      <c r="B42" s="11"/>
      <c r="C42" s="1106"/>
      <c r="D42" s="1107"/>
      <c r="E42" s="1107"/>
      <c r="F42" s="1107"/>
      <c r="G42" s="1107"/>
      <c r="H42" s="1107"/>
      <c r="I42" s="1107"/>
      <c r="J42" s="1107"/>
      <c r="K42" s="1107"/>
      <c r="L42" s="1107"/>
      <c r="M42" s="1107"/>
      <c r="N42" s="1107"/>
      <c r="O42" s="1107"/>
      <c r="P42" s="1107"/>
      <c r="Q42" s="1107"/>
      <c r="R42" s="1107"/>
      <c r="S42" s="1107"/>
      <c r="T42" s="1107"/>
      <c r="U42" s="1107"/>
      <c r="V42" s="1108"/>
      <c r="W42" s="1106"/>
      <c r="X42" s="1107"/>
      <c r="Y42" s="1107"/>
      <c r="Z42" s="1107"/>
      <c r="AA42" s="1107"/>
      <c r="AB42" s="1107"/>
      <c r="AC42" s="1107"/>
      <c r="AD42" s="1107"/>
      <c r="AE42" s="1107"/>
      <c r="AF42" s="1107"/>
      <c r="AG42" s="1107"/>
      <c r="AH42" s="1107"/>
      <c r="AI42" s="1107"/>
      <c r="AJ42" s="1107"/>
      <c r="AK42" s="1107"/>
      <c r="AL42" s="1108"/>
      <c r="AM42" s="1106"/>
      <c r="AN42" s="1107"/>
      <c r="AO42" s="1107"/>
      <c r="AP42" s="1107"/>
      <c r="AQ42" s="1107"/>
      <c r="AR42" s="1107"/>
      <c r="AS42" s="1107"/>
      <c r="AT42" s="1107"/>
      <c r="AU42" s="1107"/>
      <c r="AV42" s="1107"/>
      <c r="AW42" s="1107"/>
      <c r="AX42" s="1107"/>
      <c r="AY42" s="1107"/>
      <c r="AZ42" s="1107"/>
      <c r="BA42" s="1107"/>
      <c r="BB42" s="1108"/>
      <c r="BC42" s="1106"/>
      <c r="BD42" s="1107"/>
      <c r="BE42" s="1107"/>
      <c r="BF42" s="1107"/>
      <c r="BG42" s="1107"/>
      <c r="BH42" s="1107"/>
      <c r="BI42" s="1107"/>
      <c r="BJ42" s="1107"/>
      <c r="BK42" s="1107"/>
      <c r="BL42" s="1107"/>
      <c r="BM42" s="1107"/>
      <c r="BN42" s="1107"/>
      <c r="BO42" s="1108"/>
      <c r="BP42" s="1106"/>
      <c r="BQ42" s="1107"/>
      <c r="BR42" s="1107"/>
      <c r="BS42" s="1107"/>
      <c r="BT42" s="1107"/>
      <c r="BU42" s="1107"/>
      <c r="BV42" s="1107"/>
      <c r="BW42" s="1107"/>
      <c r="BX42" s="1107"/>
      <c r="BY42" s="1107"/>
      <c r="BZ42" s="1107"/>
      <c r="CA42" s="1107"/>
      <c r="CB42" s="1108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</row>
    <row r="43" spans="1:163" s="70" customFormat="1" ht="11.25" hidden="1" x14ac:dyDescent="0.2">
      <c r="A43" s="11"/>
      <c r="B43" s="11"/>
      <c r="C43" s="1106"/>
      <c r="D43" s="1107"/>
      <c r="E43" s="1107"/>
      <c r="F43" s="1107"/>
      <c r="G43" s="1107"/>
      <c r="H43" s="1107"/>
      <c r="I43" s="1107"/>
      <c r="J43" s="1107"/>
      <c r="K43" s="1107"/>
      <c r="L43" s="1107"/>
      <c r="M43" s="1107"/>
      <c r="N43" s="1107"/>
      <c r="O43" s="1107"/>
      <c r="P43" s="1107"/>
      <c r="Q43" s="1107"/>
      <c r="R43" s="1107"/>
      <c r="S43" s="1107"/>
      <c r="T43" s="1107"/>
      <c r="U43" s="1107"/>
      <c r="V43" s="1108"/>
      <c r="W43" s="1106"/>
      <c r="X43" s="1107"/>
      <c r="Y43" s="1107"/>
      <c r="Z43" s="1107"/>
      <c r="AA43" s="1107"/>
      <c r="AB43" s="1107"/>
      <c r="AC43" s="1107"/>
      <c r="AD43" s="1107"/>
      <c r="AE43" s="1107"/>
      <c r="AF43" s="1107"/>
      <c r="AG43" s="1107"/>
      <c r="AH43" s="1107"/>
      <c r="AI43" s="1107"/>
      <c r="AJ43" s="1107"/>
      <c r="AK43" s="1107"/>
      <c r="AL43" s="1108"/>
      <c r="AM43" s="1106"/>
      <c r="AN43" s="1107"/>
      <c r="AO43" s="1107"/>
      <c r="AP43" s="1107"/>
      <c r="AQ43" s="1107"/>
      <c r="AR43" s="1107"/>
      <c r="AS43" s="1107"/>
      <c r="AT43" s="1107"/>
      <c r="AU43" s="1107"/>
      <c r="AV43" s="1107"/>
      <c r="AW43" s="1107"/>
      <c r="AX43" s="1107"/>
      <c r="AY43" s="1107"/>
      <c r="AZ43" s="1107"/>
      <c r="BA43" s="1107"/>
      <c r="BB43" s="1108"/>
      <c r="BC43" s="1106"/>
      <c r="BD43" s="1107"/>
      <c r="BE43" s="1107"/>
      <c r="BF43" s="1107"/>
      <c r="BG43" s="1107"/>
      <c r="BH43" s="1107"/>
      <c r="BI43" s="1107"/>
      <c r="BJ43" s="1107"/>
      <c r="BK43" s="1107"/>
      <c r="BL43" s="1107"/>
      <c r="BM43" s="1107"/>
      <c r="BN43" s="1107"/>
      <c r="BO43" s="1108"/>
      <c r="BP43" s="1106"/>
      <c r="BQ43" s="1107"/>
      <c r="BR43" s="1107"/>
      <c r="BS43" s="1107"/>
      <c r="BT43" s="1107"/>
      <c r="BU43" s="1107"/>
      <c r="BV43" s="1107"/>
      <c r="BW43" s="1107"/>
      <c r="BX43" s="1107"/>
      <c r="BY43" s="1107"/>
      <c r="BZ43" s="1107"/>
      <c r="CA43" s="1107"/>
      <c r="CB43" s="1108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</row>
    <row r="44" spans="1:163" s="70" customFormat="1" ht="11.25" hidden="1" x14ac:dyDescent="0.2">
      <c r="A44" s="11"/>
      <c r="B44" s="11"/>
      <c r="C44" s="894"/>
      <c r="D44" s="894"/>
      <c r="E44" s="894"/>
      <c r="F44" s="894"/>
      <c r="G44" s="894"/>
      <c r="H44" s="894"/>
      <c r="I44" s="894"/>
      <c r="J44" s="894"/>
      <c r="K44" s="894"/>
      <c r="L44" s="894"/>
      <c r="M44" s="894"/>
      <c r="N44" s="894"/>
      <c r="O44" s="894"/>
      <c r="P44" s="894"/>
      <c r="Q44" s="894"/>
      <c r="R44" s="894"/>
      <c r="S44" s="894"/>
      <c r="T44" s="894"/>
      <c r="U44" s="894"/>
      <c r="V44" s="894"/>
      <c r="W44" s="894"/>
      <c r="X44" s="894"/>
      <c r="Y44" s="894"/>
      <c r="Z44" s="894"/>
      <c r="AA44" s="894"/>
      <c r="AB44" s="894"/>
      <c r="AC44" s="894"/>
      <c r="AD44" s="894"/>
      <c r="AE44" s="894"/>
      <c r="AF44" s="894"/>
      <c r="AG44" s="894"/>
      <c r="AH44" s="894"/>
      <c r="AI44" s="894"/>
      <c r="AJ44" s="894"/>
      <c r="AK44" s="894"/>
      <c r="AL44" s="894"/>
      <c r="AM44" s="894"/>
      <c r="AN44" s="894"/>
      <c r="AO44" s="894"/>
      <c r="AP44" s="894"/>
      <c r="AQ44" s="894"/>
      <c r="AR44" s="894"/>
      <c r="AS44" s="894"/>
      <c r="AT44" s="894"/>
      <c r="AU44" s="894"/>
      <c r="AV44" s="894"/>
      <c r="AW44" s="894"/>
      <c r="AX44" s="894"/>
      <c r="AY44" s="894"/>
      <c r="AZ44" s="894"/>
      <c r="BA44" s="894"/>
      <c r="BB44" s="894"/>
      <c r="BC44" s="894"/>
      <c r="BD44" s="894"/>
      <c r="BE44" s="894"/>
      <c r="BF44" s="894"/>
      <c r="BG44" s="894"/>
      <c r="BH44" s="894"/>
      <c r="BI44" s="894"/>
      <c r="BJ44" s="894"/>
      <c r="BK44" s="894"/>
      <c r="BL44" s="894"/>
      <c r="BM44" s="894"/>
      <c r="BN44" s="894"/>
      <c r="BO44" s="894"/>
      <c r="BP44" s="894"/>
      <c r="BQ44" s="894"/>
      <c r="BR44" s="894"/>
      <c r="BS44" s="894"/>
      <c r="BT44" s="894"/>
      <c r="BU44" s="894"/>
      <c r="BV44" s="894"/>
      <c r="BW44" s="894"/>
      <c r="BX44" s="894"/>
      <c r="BY44" s="894"/>
      <c r="BZ44" s="894"/>
      <c r="CA44" s="894"/>
      <c r="CB44" s="894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</row>
    <row r="45" spans="1:163" s="70" customFormat="1" ht="15.75" customHeight="1" x14ac:dyDescent="0.2">
      <c r="A45" s="11"/>
      <c r="B45" s="11"/>
      <c r="C45" s="1105"/>
      <c r="D45" s="1105"/>
      <c r="E45" s="1105"/>
      <c r="F45" s="1105"/>
      <c r="G45" s="1105"/>
      <c r="H45" s="1105"/>
      <c r="I45" s="1105"/>
      <c r="J45" s="1105"/>
      <c r="K45" s="1105"/>
      <c r="L45" s="1105"/>
      <c r="M45" s="1105"/>
      <c r="N45" s="1105"/>
      <c r="O45" s="1105"/>
      <c r="P45" s="1105"/>
      <c r="Q45" s="1105"/>
      <c r="R45" s="1105"/>
      <c r="S45" s="1105"/>
      <c r="T45" s="1105"/>
      <c r="U45" s="1105"/>
      <c r="V45" s="1105"/>
      <c r="W45" s="1105"/>
      <c r="X45" s="1105"/>
      <c r="Y45" s="1105"/>
      <c r="Z45" s="1105"/>
      <c r="AA45" s="1105"/>
      <c r="AB45" s="1105"/>
      <c r="AC45" s="1105"/>
      <c r="AD45" s="1105"/>
      <c r="AE45" s="1105"/>
      <c r="AF45" s="1105"/>
      <c r="AG45" s="1105"/>
      <c r="AH45" s="1105"/>
      <c r="AI45" s="1105"/>
      <c r="AJ45" s="1105"/>
      <c r="AK45" s="1105"/>
      <c r="AL45" s="1105"/>
      <c r="AM45" s="1105"/>
      <c r="AN45" s="1105"/>
      <c r="AO45" s="1105"/>
      <c r="AP45" s="1105"/>
      <c r="AQ45" s="1105"/>
      <c r="AR45" s="1105"/>
      <c r="AS45" s="1105"/>
      <c r="AT45" s="1105"/>
      <c r="AU45" s="1105"/>
      <c r="AV45" s="1105"/>
      <c r="AW45" s="1105"/>
      <c r="AX45" s="1105"/>
      <c r="AY45" s="1105"/>
      <c r="AZ45" s="1105"/>
      <c r="BA45" s="1105"/>
      <c r="BB45" s="1105"/>
      <c r="BC45" s="1105"/>
      <c r="BD45" s="1105"/>
      <c r="BE45" s="1105"/>
      <c r="BF45" s="1105"/>
      <c r="BG45" s="1105"/>
      <c r="BH45" s="1105"/>
      <c r="BI45" s="1105"/>
      <c r="BJ45" s="1105"/>
      <c r="BK45" s="1105"/>
      <c r="BL45" s="1105"/>
      <c r="BM45" s="1105"/>
      <c r="BN45" s="1105"/>
      <c r="BO45" s="1105"/>
      <c r="BP45" s="1105"/>
      <c r="BQ45" s="1105"/>
      <c r="BR45" s="1105"/>
      <c r="BS45" s="1105"/>
      <c r="BT45" s="1105"/>
      <c r="BU45" s="1105"/>
      <c r="BV45" s="1105"/>
      <c r="BW45" s="1105"/>
      <c r="BX45" s="1105"/>
      <c r="BY45" s="1105"/>
      <c r="BZ45" s="1105"/>
      <c r="CA45" s="1105"/>
      <c r="CB45" s="1105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</row>
    <row r="46" spans="1:163" s="70" customFormat="1" ht="7.15" customHeight="1" x14ac:dyDescent="0.2">
      <c r="A46" s="11"/>
      <c r="B46" s="11"/>
      <c r="C46" s="1080"/>
      <c r="D46" s="1080"/>
      <c r="E46" s="1080"/>
      <c r="F46" s="1080"/>
      <c r="G46" s="1080"/>
      <c r="H46" s="1080"/>
      <c r="I46" s="1080"/>
      <c r="J46" s="1080"/>
      <c r="K46" s="1080"/>
      <c r="L46" s="1080"/>
      <c r="M46" s="1080"/>
      <c r="N46" s="1080"/>
      <c r="O46" s="1080"/>
      <c r="P46" s="1080"/>
      <c r="Q46" s="1080"/>
      <c r="R46" s="1080"/>
      <c r="S46" s="1080"/>
      <c r="T46" s="1080"/>
      <c r="U46" s="1080"/>
      <c r="V46" s="1080"/>
      <c r="W46" s="1080"/>
      <c r="X46" s="1080"/>
      <c r="Y46" s="1080"/>
      <c r="Z46" s="1080"/>
      <c r="AA46" s="1080"/>
      <c r="AB46" s="1080"/>
      <c r="AC46" s="1080"/>
      <c r="AD46" s="1080"/>
      <c r="AE46" s="1080"/>
      <c r="AF46" s="1080"/>
      <c r="AG46" s="1080"/>
      <c r="AH46" s="1080"/>
      <c r="AI46" s="1080"/>
      <c r="AJ46" s="1080"/>
      <c r="AK46" s="1080"/>
      <c r="AL46" s="1080"/>
      <c r="AM46" s="1080"/>
      <c r="AN46" s="1080"/>
      <c r="AO46" s="1080"/>
      <c r="AP46" s="1080"/>
      <c r="AQ46" s="1080"/>
      <c r="AR46" s="1080"/>
      <c r="AS46" s="1080"/>
      <c r="AT46" s="1080"/>
      <c r="AU46" s="1080"/>
      <c r="AV46" s="1080"/>
      <c r="AW46" s="1080"/>
      <c r="AX46" s="1080"/>
      <c r="AY46" s="1080"/>
      <c r="AZ46" s="1080"/>
      <c r="BA46" s="1080"/>
      <c r="BB46" s="1080"/>
      <c r="BC46" s="1080"/>
      <c r="BD46" s="1080"/>
      <c r="BE46" s="1080"/>
      <c r="BF46" s="1080"/>
      <c r="BG46" s="1080"/>
      <c r="BH46" s="1080"/>
      <c r="BI46" s="1080"/>
      <c r="BJ46" s="1080"/>
      <c r="BK46" s="1080"/>
      <c r="BL46" s="1080"/>
      <c r="BM46" s="1080"/>
      <c r="BN46" s="1080"/>
      <c r="BO46" s="1080"/>
      <c r="BP46" s="1080"/>
      <c r="BQ46" s="1080"/>
      <c r="BR46" s="1080"/>
      <c r="BS46" s="1080"/>
      <c r="BT46" s="1080"/>
      <c r="BU46" s="1080"/>
      <c r="BV46" s="1080"/>
      <c r="BW46" s="1080"/>
      <c r="BX46" s="1080"/>
      <c r="BY46" s="1080"/>
      <c r="BZ46" s="1080"/>
      <c r="CA46" s="1080"/>
      <c r="CB46" s="1080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</row>
    <row r="47" spans="1:163" s="70" customFormat="1" ht="14.45" customHeight="1" x14ac:dyDescent="0.2">
      <c r="A47" s="11"/>
      <c r="B47" s="11"/>
      <c r="C47" s="1080"/>
      <c r="D47" s="1080"/>
      <c r="E47" s="1080"/>
      <c r="F47" s="1080"/>
      <c r="G47" s="1080"/>
      <c r="H47" s="1080"/>
      <c r="I47" s="1080"/>
      <c r="J47" s="1080"/>
      <c r="K47" s="1080"/>
      <c r="L47" s="1080"/>
      <c r="M47" s="1080"/>
      <c r="N47" s="1080"/>
      <c r="O47" s="1080"/>
      <c r="P47" s="1080"/>
      <c r="Q47" s="1080"/>
      <c r="R47" s="1080"/>
      <c r="S47" s="1080"/>
      <c r="T47" s="1080"/>
      <c r="U47" s="1080"/>
      <c r="V47" s="1080"/>
      <c r="W47" s="1080"/>
      <c r="X47" s="1080"/>
      <c r="Y47" s="1080"/>
      <c r="Z47" s="1080"/>
      <c r="AA47" s="1080"/>
      <c r="AB47" s="1080"/>
      <c r="AC47" s="1080"/>
      <c r="AD47" s="1080"/>
      <c r="AE47" s="1080"/>
      <c r="AF47" s="1080"/>
      <c r="AG47" s="1080"/>
      <c r="AH47" s="1080"/>
      <c r="AI47" s="1080"/>
      <c r="AJ47" s="1080"/>
      <c r="AK47" s="1080"/>
      <c r="AL47" s="1080"/>
      <c r="AM47" s="1080"/>
      <c r="AN47" s="1080"/>
      <c r="AO47" s="1080"/>
      <c r="AP47" s="1080"/>
      <c r="AQ47" s="1080"/>
      <c r="AR47" s="1080"/>
      <c r="AS47" s="1080"/>
      <c r="AT47" s="1080"/>
      <c r="AU47" s="1080"/>
      <c r="AV47" s="1080"/>
      <c r="AW47" s="1080"/>
      <c r="AX47" s="1080"/>
      <c r="AY47" s="1080"/>
      <c r="AZ47" s="1080"/>
      <c r="BA47" s="1080"/>
      <c r="BB47" s="1080"/>
      <c r="BC47" s="1080"/>
      <c r="BD47" s="1080"/>
      <c r="BE47" s="1080"/>
      <c r="BF47" s="1080"/>
      <c r="BG47" s="1080"/>
      <c r="BH47" s="1080"/>
      <c r="BI47" s="1080"/>
      <c r="BJ47" s="1080"/>
      <c r="BK47" s="1080"/>
      <c r="BL47" s="1080"/>
      <c r="BM47" s="1080"/>
      <c r="BN47" s="1080"/>
      <c r="BO47" s="1080"/>
      <c r="BP47" s="1080"/>
      <c r="BQ47" s="1080"/>
      <c r="BR47" s="1080"/>
      <c r="BS47" s="1080"/>
      <c r="BT47" s="1080"/>
      <c r="BU47" s="1080"/>
      <c r="BV47" s="1080"/>
      <c r="BW47" s="1080"/>
      <c r="BX47" s="1080"/>
      <c r="BY47" s="1080"/>
      <c r="BZ47" s="1080"/>
      <c r="CA47" s="1080"/>
      <c r="CB47" s="1080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</row>
    <row r="48" spans="1:163" s="70" customFormat="1" ht="7.9" customHeight="1" x14ac:dyDescent="0.2">
      <c r="A48" s="11"/>
      <c r="B48" s="11"/>
      <c r="C48" s="1080"/>
      <c r="D48" s="1080"/>
      <c r="E48" s="1080"/>
      <c r="F48" s="1080"/>
      <c r="G48" s="1080"/>
      <c r="H48" s="1080"/>
      <c r="I48" s="1080"/>
      <c r="J48" s="1080"/>
      <c r="K48" s="1080"/>
      <c r="L48" s="1080"/>
      <c r="M48" s="1080"/>
      <c r="N48" s="1080"/>
      <c r="O48" s="1080"/>
      <c r="P48" s="1080"/>
      <c r="Q48" s="1080"/>
      <c r="R48" s="1080"/>
      <c r="S48" s="1080"/>
      <c r="T48" s="1080"/>
      <c r="U48" s="1080"/>
      <c r="V48" s="1080"/>
      <c r="W48" s="1080"/>
      <c r="X48" s="1080"/>
      <c r="Y48" s="1080"/>
      <c r="Z48" s="1080"/>
      <c r="AA48" s="1080"/>
      <c r="AB48" s="1080"/>
      <c r="AC48" s="1080"/>
      <c r="AD48" s="1080"/>
      <c r="AE48" s="1080"/>
      <c r="AF48" s="1080"/>
      <c r="AG48" s="1080"/>
      <c r="AH48" s="1080"/>
      <c r="AI48" s="1080"/>
      <c r="AJ48" s="1080"/>
      <c r="AK48" s="1080"/>
      <c r="AL48" s="1080"/>
      <c r="AM48" s="1080"/>
      <c r="AN48" s="1080"/>
      <c r="AO48" s="1080"/>
      <c r="AP48" s="1080"/>
      <c r="AQ48" s="1080"/>
      <c r="AR48" s="1080"/>
      <c r="AS48" s="1080"/>
      <c r="AT48" s="1080"/>
      <c r="AU48" s="1080"/>
      <c r="AV48" s="1080"/>
      <c r="AW48" s="1080"/>
      <c r="AX48" s="1080"/>
      <c r="AY48" s="1080"/>
      <c r="AZ48" s="1080"/>
      <c r="BA48" s="1080"/>
      <c r="BB48" s="1080"/>
      <c r="BC48" s="1080"/>
      <c r="BD48" s="1080"/>
      <c r="BE48" s="1080"/>
      <c r="BF48" s="1080"/>
      <c r="BG48" s="1080"/>
      <c r="BH48" s="1080"/>
      <c r="BI48" s="1080"/>
      <c r="BJ48" s="1080"/>
      <c r="BK48" s="1080"/>
      <c r="BL48" s="1080"/>
      <c r="BM48" s="1080"/>
      <c r="BN48" s="1080"/>
      <c r="BO48" s="1080"/>
      <c r="BP48" s="1080"/>
      <c r="BQ48" s="1080"/>
      <c r="BR48" s="1080"/>
      <c r="BS48" s="1080"/>
      <c r="BT48" s="1080"/>
      <c r="BU48" s="1080"/>
      <c r="BV48" s="1080"/>
      <c r="BW48" s="1080"/>
      <c r="BX48" s="1080"/>
      <c r="BY48" s="1080"/>
      <c r="BZ48" s="1080"/>
      <c r="CA48" s="1080"/>
      <c r="CB48" s="1080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</row>
    <row r="49" spans="1:163" s="73" customFormat="1" ht="15.75" customHeight="1" x14ac:dyDescent="0.2">
      <c r="A49" s="57" t="s">
        <v>39</v>
      </c>
      <c r="B49" s="57"/>
      <c r="C49" s="57" t="s">
        <v>319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</row>
    <row r="50" spans="1:163" s="70" customFormat="1" ht="15.75" customHeight="1" x14ac:dyDescent="0.2">
      <c r="A50" s="11"/>
      <c r="B50" s="11"/>
      <c r="C50" s="11" t="s">
        <v>755</v>
      </c>
      <c r="D50" s="11"/>
      <c r="E50" s="11"/>
      <c r="F50" s="11"/>
      <c r="G50" s="841" t="str">
        <f>IF(G29="","",G29)</f>
      </c>
      <c r="H50" s="841"/>
      <c r="I50" s="841"/>
      <c r="J50" s="841"/>
      <c r="K50" s="841"/>
      <c r="L50" s="841"/>
      <c r="M50" s="841"/>
      <c r="N50" s="841"/>
      <c r="O50" s="841"/>
      <c r="P50" s="494" t="s">
        <v>757</v>
      </c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</row>
    <row r="51" spans="1:163" s="70" customFormat="1" ht="15.75" customHeight="1" x14ac:dyDescent="0.25">
      <c r="A51" s="11" t="s">
        <v>55</v>
      </c>
      <c r="B51" s="11"/>
      <c r="C51" s="11" t="s">
        <v>320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081" t="s">
        <v>646</v>
      </c>
      <c r="W51" s="1081"/>
      <c r="X51" s="1081"/>
      <c r="Y51" s="1081"/>
      <c r="Z51" s="1081"/>
      <c r="AA51" s="1081"/>
      <c r="AB51" s="1081"/>
      <c r="AC51" s="1081"/>
      <c r="AD51" s="1081"/>
      <c r="AE51" s="1081"/>
      <c r="AF51" s="1081"/>
      <c r="AG51" s="1081"/>
      <c r="AH51" s="1081"/>
      <c r="AI51" s="1081"/>
      <c r="AJ51" s="1081"/>
      <c r="AK51" s="1081"/>
      <c r="AL51" s="1081"/>
      <c r="AM51" s="1081"/>
      <c r="AN51" s="1081"/>
      <c r="AO51" s="11" t="s">
        <v>321</v>
      </c>
      <c r="AP51" s="11"/>
      <c r="AQ51" s="11"/>
      <c r="AR51" s="11"/>
      <c r="AS51" s="11"/>
      <c r="AT51" s="11"/>
      <c r="AU51" s="11"/>
      <c r="AV51" s="11"/>
      <c r="AW51" s="1081"/>
      <c r="AX51" s="1081"/>
      <c r="AY51" s="1081"/>
      <c r="AZ51" s="1081"/>
      <c r="BA51" s="1081"/>
      <c r="BB51" s="1081"/>
      <c r="BC51" s="1081"/>
      <c r="BD51" s="1081"/>
      <c r="BE51" s="1081"/>
      <c r="BF51" s="1081"/>
      <c r="BG51" s="1081"/>
      <c r="BH51" s="1081"/>
      <c r="BI51" s="1081"/>
      <c r="BJ51" s="1081"/>
      <c r="BK51" s="1081"/>
      <c r="BL51" s="1081"/>
      <c r="BM51" s="1081"/>
      <c r="BN51" s="1081"/>
      <c r="BO51" s="1081"/>
      <c r="BP51" s="1081"/>
      <c r="BQ51" s="1081"/>
      <c r="BR51" s="1081"/>
      <c r="BS51" s="1081"/>
      <c r="BT51" s="1081"/>
      <c r="BU51" s="1081"/>
      <c r="BV51" s="1081"/>
      <c r="BW51" s="1081"/>
      <c r="BX51" s="1081"/>
      <c r="BY51" s="1081"/>
      <c r="BZ51" s="1081"/>
      <c r="CA51" s="1081"/>
      <c r="CB51" s="1081"/>
      <c r="CC51" s="11"/>
      <c r="CD51" s="11"/>
      <c r="CE51" s="11"/>
      <c r="CF51" s="11"/>
      <c r="CG51" s="11"/>
      <c r="CH51" s="11"/>
      <c r="CI51" s="11"/>
      <c r="CJ51" s="11"/>
      <c r="CK51" s="11"/>
      <c r="CL51" s="18" t="s">
        <v>759</v>
      </c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</row>
    <row r="52" spans="1:163" s="41" customFormat="1" ht="8.25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858" t="s">
        <v>257</v>
      </c>
      <c r="AX52" s="858"/>
      <c r="AY52" s="858"/>
      <c r="AZ52" s="858"/>
      <c r="BA52" s="858"/>
      <c r="BB52" s="858"/>
      <c r="BC52" s="858"/>
      <c r="BD52" s="858"/>
      <c r="BE52" s="858"/>
      <c r="BF52" s="858"/>
      <c r="BG52" s="858"/>
      <c r="BH52" s="858"/>
      <c r="BI52" s="858"/>
      <c r="BJ52" s="858"/>
      <c r="BK52" s="858"/>
      <c r="BL52" s="858"/>
      <c r="BM52" s="858"/>
      <c r="BN52" s="858"/>
      <c r="BO52" s="858"/>
      <c r="BP52" s="858"/>
      <c r="BQ52" s="858"/>
      <c r="BR52" s="858"/>
      <c r="BS52" s="858"/>
      <c r="BT52" s="858"/>
      <c r="BU52" s="858"/>
      <c r="BV52" s="858"/>
      <c r="BW52" s="858"/>
      <c r="BX52" s="858"/>
      <c r="BY52" s="858"/>
      <c r="BZ52" s="858"/>
      <c r="CA52" s="858"/>
      <c r="CB52" s="858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</row>
    <row r="53" spans="1:163" s="70" customFormat="1" ht="9" customHeight="1" x14ac:dyDescent="0.2">
      <c r="A53" s="11"/>
      <c r="B53" s="11"/>
      <c r="C53" s="1080"/>
      <c r="D53" s="1080"/>
      <c r="E53" s="1080"/>
      <c r="F53" s="1080"/>
      <c r="G53" s="1080"/>
      <c r="H53" s="1080"/>
      <c r="I53" s="1080"/>
      <c r="J53" s="1080"/>
      <c r="K53" s="1080"/>
      <c r="L53" s="1080"/>
      <c r="M53" s="1080"/>
      <c r="N53" s="1080"/>
      <c r="O53" s="1080"/>
      <c r="P53" s="1080"/>
      <c r="Q53" s="1080"/>
      <c r="R53" s="1080"/>
      <c r="S53" s="1080"/>
      <c r="T53" s="1080"/>
      <c r="U53" s="1080"/>
      <c r="V53" s="1080"/>
      <c r="W53" s="1080"/>
      <c r="X53" s="1080"/>
      <c r="Y53" s="1080"/>
      <c r="Z53" s="1080"/>
      <c r="AA53" s="1080"/>
      <c r="AB53" s="1080"/>
      <c r="AC53" s="1080"/>
      <c r="AD53" s="1080"/>
      <c r="AE53" s="1080"/>
      <c r="AF53" s="1080"/>
      <c r="AG53" s="1080"/>
      <c r="AH53" s="1080"/>
      <c r="AI53" s="1080"/>
      <c r="AJ53" s="1080"/>
      <c r="AK53" s="1080"/>
      <c r="AL53" s="1080"/>
      <c r="AM53" s="1080"/>
      <c r="AN53" s="1080"/>
      <c r="AO53" s="1080"/>
      <c r="AP53" s="1080"/>
      <c r="AQ53" s="1080"/>
      <c r="AR53" s="1080"/>
      <c r="AS53" s="1080"/>
      <c r="AT53" s="1080"/>
      <c r="AU53" s="1080"/>
      <c r="AV53" s="1080"/>
      <c r="AW53" s="1080"/>
      <c r="AX53" s="1080"/>
      <c r="AY53" s="1080"/>
      <c r="AZ53" s="1080"/>
      <c r="BA53" s="1080"/>
      <c r="BB53" s="1080"/>
      <c r="BC53" s="1080"/>
      <c r="BD53" s="1080"/>
      <c r="BE53" s="1080"/>
      <c r="BF53" s="1080"/>
      <c r="BG53" s="1080"/>
      <c r="BH53" s="1080"/>
      <c r="BI53" s="1080"/>
      <c r="BJ53" s="1080"/>
      <c r="BK53" s="1080"/>
      <c r="BL53" s="1080"/>
      <c r="BM53" s="1080"/>
      <c r="BN53" s="1080"/>
      <c r="BO53" s="1080"/>
      <c r="BP53" s="1080"/>
      <c r="BQ53" s="1080"/>
      <c r="BR53" s="1080"/>
      <c r="BS53" s="1080"/>
      <c r="BT53" s="1080"/>
      <c r="BU53" s="1080"/>
      <c r="BV53" s="1080"/>
      <c r="BW53" s="1080"/>
      <c r="BX53" s="1080"/>
      <c r="BY53" s="1080"/>
      <c r="BZ53" s="1080"/>
      <c r="CA53" s="1080"/>
      <c r="CB53" s="1080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</row>
    <row r="54" spans="1:163" s="70" customFormat="1" ht="17.25" customHeight="1" x14ac:dyDescent="0.2">
      <c r="A54" s="11"/>
      <c r="B54" s="11"/>
      <c r="C54" s="1080"/>
      <c r="D54" s="1080"/>
      <c r="E54" s="1080"/>
      <c r="F54" s="1080"/>
      <c r="G54" s="1080"/>
      <c r="H54" s="1080"/>
      <c r="I54" s="1080"/>
      <c r="J54" s="1080"/>
      <c r="K54" s="1080"/>
      <c r="L54" s="1080"/>
      <c r="M54" s="1080"/>
      <c r="N54" s="1080"/>
      <c r="O54" s="1080"/>
      <c r="P54" s="1080"/>
      <c r="Q54" s="1080"/>
      <c r="R54" s="1080"/>
      <c r="S54" s="1080"/>
      <c r="T54" s="1080"/>
      <c r="U54" s="1080"/>
      <c r="V54" s="1080"/>
      <c r="W54" s="1080"/>
      <c r="X54" s="1080"/>
      <c r="Y54" s="1080"/>
      <c r="Z54" s="1080"/>
      <c r="AA54" s="1080"/>
      <c r="AB54" s="1080"/>
      <c r="AC54" s="1080"/>
      <c r="AD54" s="1080"/>
      <c r="AE54" s="1080"/>
      <c r="AF54" s="1080"/>
      <c r="AG54" s="1080"/>
      <c r="AH54" s="1080"/>
      <c r="AI54" s="1080"/>
      <c r="AJ54" s="1080"/>
      <c r="AK54" s="1080"/>
      <c r="AL54" s="1080"/>
      <c r="AM54" s="1080"/>
      <c r="AN54" s="1080"/>
      <c r="AO54" s="1080"/>
      <c r="AP54" s="1080"/>
      <c r="AQ54" s="1080"/>
      <c r="AR54" s="1080"/>
      <c r="AS54" s="1080"/>
      <c r="AT54" s="1080"/>
      <c r="AU54" s="1080"/>
      <c r="AV54" s="1080"/>
      <c r="AW54" s="1080"/>
      <c r="AX54" s="1080"/>
      <c r="AY54" s="1080"/>
      <c r="AZ54" s="1080"/>
      <c r="BA54" s="1080"/>
      <c r="BB54" s="1080"/>
      <c r="BC54" s="1080"/>
      <c r="BD54" s="1080"/>
      <c r="BE54" s="1080"/>
      <c r="BF54" s="1080"/>
      <c r="BG54" s="1080"/>
      <c r="BH54" s="1080"/>
      <c r="BI54" s="1080"/>
      <c r="BJ54" s="1080"/>
      <c r="BK54" s="1080"/>
      <c r="BL54" s="1080"/>
      <c r="BM54" s="1080"/>
      <c r="BN54" s="1080"/>
      <c r="BO54" s="1080"/>
      <c r="BP54" s="1080"/>
      <c r="BQ54" s="1080"/>
      <c r="BR54" s="1080"/>
      <c r="BS54" s="1080"/>
      <c r="BT54" s="1080"/>
      <c r="BU54" s="1080"/>
      <c r="BV54" s="1080"/>
      <c r="BW54" s="1080"/>
      <c r="BX54" s="1080"/>
      <c r="BY54" s="1080"/>
      <c r="BZ54" s="1080"/>
      <c r="CA54" s="1080"/>
      <c r="CB54" s="1080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</row>
    <row r="55" spans="1:163" s="70" customFormat="1" ht="19.5" customHeight="1" x14ac:dyDescent="0.2">
      <c r="A55" s="11" t="s">
        <v>57</v>
      </c>
      <c r="B55" s="11"/>
      <c r="C55" s="11" t="s">
        <v>322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081" t="s">
        <v>645</v>
      </c>
      <c r="R55" s="1081"/>
      <c r="S55" s="1081"/>
      <c r="T55" s="1081"/>
      <c r="U55" s="1081"/>
      <c r="V55" s="1081"/>
      <c r="W55" s="1081"/>
      <c r="X55" s="1081"/>
      <c r="Y55" s="1081"/>
      <c r="Z55" s="1081"/>
      <c r="AA55" s="1081"/>
      <c r="AB55" s="1081"/>
      <c r="AC55" s="1081"/>
      <c r="AD55" s="1081"/>
      <c r="AE55" s="1081"/>
      <c r="AF55" s="1081"/>
      <c r="AG55" s="1081"/>
      <c r="AH55" s="1081"/>
      <c r="AI55" s="1081"/>
      <c r="AJ55" s="1081"/>
      <c r="AK55" s="1081"/>
      <c r="AL55" s="1081"/>
      <c r="AM55" s="1081"/>
      <c r="AN55" s="1081"/>
      <c r="AO55" s="11" t="s">
        <v>321</v>
      </c>
      <c r="AP55" s="11"/>
      <c r="AQ55" s="11"/>
      <c r="AR55" s="11"/>
      <c r="AS55" s="11"/>
      <c r="AT55" s="11"/>
      <c r="AU55" s="11"/>
      <c r="AV55" s="11"/>
      <c r="AW55" s="1081"/>
      <c r="AX55" s="1081"/>
      <c r="AY55" s="1081"/>
      <c r="AZ55" s="1081"/>
      <c r="BA55" s="1081"/>
      <c r="BB55" s="1081"/>
      <c r="BC55" s="1081"/>
      <c r="BD55" s="1081"/>
      <c r="BE55" s="1081"/>
      <c r="BF55" s="1081"/>
      <c r="BG55" s="1081"/>
      <c r="BH55" s="1081"/>
      <c r="BI55" s="1081"/>
      <c r="BJ55" s="1081"/>
      <c r="BK55" s="1081"/>
      <c r="BL55" s="1081"/>
      <c r="BM55" s="1081"/>
      <c r="BN55" s="1081"/>
      <c r="BO55" s="1081"/>
      <c r="BP55" s="1081"/>
      <c r="BQ55" s="1081"/>
      <c r="BR55" s="1081"/>
      <c r="BS55" s="1081"/>
      <c r="BT55" s="1081"/>
      <c r="BU55" s="1081"/>
      <c r="BV55" s="1081"/>
      <c r="BW55" s="1081"/>
      <c r="BX55" s="1081"/>
      <c r="BY55" s="1081"/>
      <c r="BZ55" s="1081"/>
      <c r="CA55" s="1081"/>
      <c r="CB55" s="108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</row>
    <row r="56" spans="1:163" s="41" customFormat="1" ht="8.25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858" t="s">
        <v>257</v>
      </c>
      <c r="AX56" s="858"/>
      <c r="AY56" s="858"/>
      <c r="AZ56" s="858"/>
      <c r="BA56" s="858"/>
      <c r="BB56" s="858"/>
      <c r="BC56" s="858"/>
      <c r="BD56" s="858"/>
      <c r="BE56" s="858"/>
      <c r="BF56" s="858"/>
      <c r="BG56" s="858"/>
      <c r="BH56" s="858"/>
      <c r="BI56" s="858"/>
      <c r="BJ56" s="858"/>
      <c r="BK56" s="858"/>
      <c r="BL56" s="858"/>
      <c r="BM56" s="858"/>
      <c r="BN56" s="858"/>
      <c r="BO56" s="858"/>
      <c r="BP56" s="858"/>
      <c r="BQ56" s="858"/>
      <c r="BR56" s="858"/>
      <c r="BS56" s="858"/>
      <c r="BT56" s="858"/>
      <c r="BU56" s="858"/>
      <c r="BV56" s="858"/>
      <c r="BW56" s="858"/>
      <c r="BX56" s="858"/>
      <c r="BY56" s="858"/>
      <c r="BZ56" s="858"/>
      <c r="CA56" s="858"/>
      <c r="CB56" s="858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</row>
    <row r="57" spans="1:163" s="70" customFormat="1" ht="9.6" customHeight="1" x14ac:dyDescent="0.2">
      <c r="A57" s="11"/>
      <c r="B57" s="11"/>
      <c r="C57" s="11" t="s">
        <v>323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</row>
    <row r="58" spans="1:163" s="70" customFormat="1" ht="11.45" customHeight="1" x14ac:dyDescent="0.2">
      <c r="A58" s="11"/>
      <c r="B58" s="11"/>
      <c r="C58" s="1080"/>
      <c r="D58" s="1080"/>
      <c r="E58" s="1080"/>
      <c r="F58" s="1080"/>
      <c r="G58" s="1080"/>
      <c r="H58" s="1080"/>
      <c r="I58" s="1080"/>
      <c r="J58" s="1080"/>
      <c r="K58" s="1080"/>
      <c r="L58" s="1080"/>
      <c r="M58" s="1080"/>
      <c r="N58" s="1080"/>
      <c r="O58" s="1080"/>
      <c r="P58" s="1080"/>
      <c r="Q58" s="1080"/>
      <c r="R58" s="1080"/>
      <c r="S58" s="1080"/>
      <c r="T58" s="1080"/>
      <c r="U58" s="1080"/>
      <c r="V58" s="1080"/>
      <c r="W58" s="1080"/>
      <c r="X58" s="1080"/>
      <c r="Y58" s="1080"/>
      <c r="Z58" s="1080"/>
      <c r="AA58" s="1080"/>
      <c r="AB58" s="1080"/>
      <c r="AC58" s="1080"/>
      <c r="AD58" s="1080"/>
      <c r="AE58" s="1080"/>
      <c r="AF58" s="1080"/>
      <c r="AG58" s="1080"/>
      <c r="AH58" s="1080"/>
      <c r="AI58" s="1080"/>
      <c r="AJ58" s="1080"/>
      <c r="AK58" s="1080"/>
      <c r="AL58" s="1080"/>
      <c r="AM58" s="1080"/>
      <c r="AN58" s="1080"/>
      <c r="AO58" s="1080"/>
      <c r="AP58" s="1080"/>
      <c r="AQ58" s="1080"/>
      <c r="AR58" s="1080"/>
      <c r="AS58" s="1080"/>
      <c r="AT58" s="1080"/>
      <c r="AU58" s="1080"/>
      <c r="AV58" s="1080"/>
      <c r="AW58" s="1080"/>
      <c r="AX58" s="1080"/>
      <c r="AY58" s="1080"/>
      <c r="AZ58" s="1080"/>
      <c r="BA58" s="1080"/>
      <c r="BB58" s="1080"/>
      <c r="BC58" s="1080"/>
      <c r="BD58" s="1080"/>
      <c r="BE58" s="1080"/>
      <c r="BF58" s="1080"/>
      <c r="BG58" s="1080"/>
      <c r="BH58" s="1080"/>
      <c r="BI58" s="1080"/>
      <c r="BJ58" s="1080"/>
      <c r="BK58" s="1080"/>
      <c r="BL58" s="1080"/>
      <c r="BM58" s="1080"/>
      <c r="BN58" s="1080"/>
      <c r="BO58" s="1080"/>
      <c r="BP58" s="1080"/>
      <c r="BQ58" s="1080"/>
      <c r="BR58" s="1080"/>
      <c r="BS58" s="1080"/>
      <c r="BT58" s="1080"/>
      <c r="BU58" s="1080"/>
      <c r="BV58" s="1080"/>
      <c r="BW58" s="1080"/>
      <c r="BX58" s="1080"/>
      <c r="BY58" s="1080"/>
      <c r="BZ58" s="1080"/>
      <c r="CA58" s="1080"/>
      <c r="CB58" s="1080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</row>
    <row r="59" spans="1:163" s="70" customFormat="1" ht="12" customHeight="1" x14ac:dyDescent="0.2">
      <c r="A59" s="11"/>
      <c r="B59" s="11"/>
      <c r="C59" s="1080"/>
      <c r="D59" s="1080"/>
      <c r="E59" s="1080"/>
      <c r="F59" s="1080"/>
      <c r="G59" s="1080"/>
      <c r="H59" s="1080"/>
      <c r="I59" s="1080"/>
      <c r="J59" s="1080"/>
      <c r="K59" s="1080"/>
      <c r="L59" s="1080"/>
      <c r="M59" s="1080"/>
      <c r="N59" s="1080"/>
      <c r="O59" s="1080"/>
      <c r="P59" s="1080"/>
      <c r="Q59" s="1080"/>
      <c r="R59" s="1080"/>
      <c r="S59" s="1080"/>
      <c r="T59" s="1080"/>
      <c r="U59" s="1080"/>
      <c r="V59" s="1080"/>
      <c r="W59" s="1080"/>
      <c r="X59" s="1080"/>
      <c r="Y59" s="1080"/>
      <c r="Z59" s="1080"/>
      <c r="AA59" s="1080"/>
      <c r="AB59" s="1080"/>
      <c r="AC59" s="1080"/>
      <c r="AD59" s="1080"/>
      <c r="AE59" s="1080"/>
      <c r="AF59" s="1080"/>
      <c r="AG59" s="1080"/>
      <c r="AH59" s="1080"/>
      <c r="AI59" s="1080"/>
      <c r="AJ59" s="1080"/>
      <c r="AK59" s="1080"/>
      <c r="AL59" s="1080"/>
      <c r="AM59" s="1080"/>
      <c r="AN59" s="1080"/>
      <c r="AO59" s="1080"/>
      <c r="AP59" s="1080"/>
      <c r="AQ59" s="1080"/>
      <c r="AR59" s="1080"/>
      <c r="AS59" s="1080"/>
      <c r="AT59" s="1080"/>
      <c r="AU59" s="1080"/>
      <c r="AV59" s="1080"/>
      <c r="AW59" s="1080"/>
      <c r="AX59" s="1080"/>
      <c r="AY59" s="1080"/>
      <c r="AZ59" s="1080"/>
      <c r="BA59" s="1080"/>
      <c r="BB59" s="1080"/>
      <c r="BC59" s="1080"/>
      <c r="BD59" s="1080"/>
      <c r="BE59" s="1080"/>
      <c r="BF59" s="1080"/>
      <c r="BG59" s="1080"/>
      <c r="BH59" s="1080"/>
      <c r="BI59" s="1080"/>
      <c r="BJ59" s="1080"/>
      <c r="BK59" s="1080"/>
      <c r="BL59" s="1080"/>
      <c r="BM59" s="1080"/>
      <c r="BN59" s="1080"/>
      <c r="BO59" s="1080"/>
      <c r="BP59" s="1080"/>
      <c r="BQ59" s="1080"/>
      <c r="BR59" s="1080"/>
      <c r="BS59" s="1080"/>
      <c r="BT59" s="1080"/>
      <c r="BU59" s="1080"/>
      <c r="BV59" s="1080"/>
      <c r="BW59" s="1080"/>
      <c r="BX59" s="1080"/>
      <c r="BY59" s="1080"/>
      <c r="BZ59" s="1080"/>
      <c r="CA59" s="1080"/>
      <c r="CB59" s="1080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</row>
    <row r="60" spans="1:163" s="73" customFormat="1" ht="15" customHeight="1" x14ac:dyDescent="0.2">
      <c r="A60" s="57" t="s">
        <v>41</v>
      </c>
      <c r="B60" s="57"/>
      <c r="C60" s="57" t="s">
        <v>324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</row>
    <row r="61" spans="1:163" s="70" customFormat="1" ht="15" customHeight="1" x14ac:dyDescent="0.2">
      <c r="A61" s="11"/>
      <c r="B61" s="11"/>
      <c r="C61" s="862" t="s">
        <v>758</v>
      </c>
      <c r="D61" s="862"/>
      <c r="E61" s="862"/>
      <c r="F61" s="862"/>
      <c r="G61" s="862"/>
      <c r="H61" s="862"/>
      <c r="I61" s="862"/>
      <c r="J61" s="862"/>
      <c r="K61" s="862"/>
      <c r="L61" s="862"/>
      <c r="M61" s="862"/>
      <c r="N61" s="862"/>
      <c r="O61" s="862"/>
      <c r="P61" s="862"/>
      <c r="Q61" s="862"/>
      <c r="R61" s="862"/>
      <c r="S61" s="862"/>
      <c r="T61" s="862"/>
      <c r="U61" s="862"/>
      <c r="V61" s="862"/>
      <c r="W61" s="862"/>
      <c r="X61" s="862"/>
      <c r="Y61" s="862"/>
      <c r="Z61" s="862"/>
      <c r="AA61" s="862"/>
      <c r="AB61" s="862"/>
      <c r="AD61" s="841" t="str">
        <f>IF(G29="","",G29)</f>
      </c>
      <c r="AE61" s="841"/>
      <c r="AF61" s="841"/>
      <c r="AG61" s="841"/>
      <c r="AH61" s="841"/>
      <c r="AI61" s="841"/>
      <c r="AJ61" s="841"/>
      <c r="AK61" s="841"/>
      <c r="AL61" s="841"/>
      <c r="AM61" s="841"/>
      <c r="AO61" s="11" t="s">
        <v>327</v>
      </c>
      <c r="AV61" s="11"/>
      <c r="AW61" s="11"/>
      <c r="AX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</row>
    <row r="62" spans="1:163" s="70" customFormat="1" ht="13.9" customHeight="1" x14ac:dyDescent="0.2">
      <c r="A62" s="11"/>
      <c r="B62" s="11"/>
      <c r="C62" s="11" t="s">
        <v>1290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</row>
    <row r="63" spans="1:163" s="70" customFormat="1" ht="1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</row>
    <row r="64" spans="1:163" s="70" customFormat="1" ht="10.9" customHeight="1" x14ac:dyDescent="0.2">
      <c r="A64" s="11"/>
      <c r="B64" s="11"/>
      <c r="C64" s="1080" t="s">
        <v>325</v>
      </c>
      <c r="D64" s="1080"/>
      <c r="E64" s="1080"/>
      <c r="F64" s="1080"/>
      <c r="G64" s="1080"/>
      <c r="H64" s="1080"/>
      <c r="I64" s="1080"/>
      <c r="J64" s="1080"/>
      <c r="K64" s="1080"/>
      <c r="L64" s="1080"/>
      <c r="M64" s="1080"/>
      <c r="N64" s="1080"/>
      <c r="O64" s="1080"/>
      <c r="P64" s="1080"/>
      <c r="Q64" s="1080"/>
      <c r="R64" s="1080"/>
      <c r="S64" s="1080"/>
      <c r="T64" s="1080"/>
      <c r="U64" s="1080"/>
      <c r="V64" s="1080"/>
      <c r="W64" s="1080"/>
      <c r="X64" s="1080"/>
      <c r="Y64" s="1080"/>
      <c r="Z64" s="1080"/>
      <c r="AA64" s="1080"/>
      <c r="AB64" s="1080"/>
      <c r="AC64" s="1080"/>
      <c r="AD64" s="1080"/>
      <c r="AE64" s="1080"/>
      <c r="AF64" s="1080"/>
      <c r="AG64" s="1080"/>
      <c r="AH64" s="1080"/>
      <c r="AI64" s="1080"/>
      <c r="AJ64" s="1080"/>
      <c r="AK64" s="1080"/>
      <c r="AL64" s="1080"/>
      <c r="AM64" s="1080"/>
      <c r="AN64" s="1080"/>
      <c r="AO64" s="1080"/>
      <c r="AP64" s="1080"/>
      <c r="AQ64" s="1080"/>
      <c r="AR64" s="1080"/>
      <c r="AS64" s="1080"/>
      <c r="AT64" s="1080"/>
      <c r="AU64" s="1080"/>
      <c r="AV64" s="1080"/>
      <c r="AW64" s="1080"/>
      <c r="AX64" s="1080"/>
      <c r="AY64" s="1080"/>
      <c r="AZ64" s="1080"/>
      <c r="BA64" s="1080"/>
      <c r="BB64" s="1080"/>
      <c r="BC64" s="1080"/>
      <c r="BD64" s="1080"/>
      <c r="BE64" s="1080"/>
      <c r="BF64" s="1080"/>
      <c r="BG64" s="1080"/>
      <c r="BH64" s="1080"/>
      <c r="BI64" s="1080"/>
      <c r="BJ64" s="1080"/>
      <c r="BK64" s="1080"/>
      <c r="BL64" s="1080"/>
      <c r="BM64" s="1080"/>
      <c r="BN64" s="1080"/>
      <c r="BO64" s="1080"/>
      <c r="BP64" s="1080"/>
      <c r="BQ64" s="1080"/>
      <c r="BR64" s="1080"/>
      <c r="BS64" s="1080"/>
      <c r="BT64" s="1080"/>
      <c r="BU64" s="1080"/>
      <c r="BV64" s="1080"/>
      <c r="BW64" s="1080"/>
      <c r="BX64" s="1080"/>
      <c r="BY64" s="1080"/>
      <c r="BZ64" s="1080"/>
      <c r="CA64" s="1080"/>
      <c r="CB64" s="1080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</row>
    <row r="65" spans="1:163" s="70" customFormat="1" ht="15" customHeight="1" x14ac:dyDescent="0.2">
      <c r="A65" s="11"/>
      <c r="B65" s="11"/>
      <c r="C65" s="1080"/>
      <c r="D65" s="1080"/>
      <c r="E65" s="1080"/>
      <c r="F65" s="1080"/>
      <c r="G65" s="1080"/>
      <c r="H65" s="1080"/>
      <c r="I65" s="1080"/>
      <c r="J65" s="1080"/>
      <c r="K65" s="1080"/>
      <c r="L65" s="1080"/>
      <c r="M65" s="1080"/>
      <c r="N65" s="1080"/>
      <c r="O65" s="1080"/>
      <c r="P65" s="1080"/>
      <c r="Q65" s="1080"/>
      <c r="R65" s="1080"/>
      <c r="S65" s="1080"/>
      <c r="T65" s="1080"/>
      <c r="U65" s="1080"/>
      <c r="V65" s="1080"/>
      <c r="W65" s="1080"/>
      <c r="X65" s="1080"/>
      <c r="Y65" s="1080"/>
      <c r="Z65" s="1080"/>
      <c r="AA65" s="1080"/>
      <c r="AB65" s="1080"/>
      <c r="AC65" s="1080"/>
      <c r="AD65" s="1080"/>
      <c r="AE65" s="1080"/>
      <c r="AF65" s="1080"/>
      <c r="AG65" s="1080"/>
      <c r="AH65" s="1080"/>
      <c r="AI65" s="1080"/>
      <c r="AJ65" s="1080"/>
      <c r="AK65" s="1080"/>
      <c r="AL65" s="1080"/>
      <c r="AM65" s="1080"/>
      <c r="AN65" s="1080"/>
      <c r="AO65" s="1080"/>
      <c r="AP65" s="1080"/>
      <c r="AQ65" s="1080"/>
      <c r="AR65" s="1080"/>
      <c r="AS65" s="1080"/>
      <c r="AT65" s="1080"/>
      <c r="AU65" s="1080"/>
      <c r="AV65" s="1080"/>
      <c r="AW65" s="1080"/>
      <c r="AX65" s="1080"/>
      <c r="AY65" s="1080"/>
      <c r="AZ65" s="1080"/>
      <c r="BA65" s="1080"/>
      <c r="BB65" s="1080"/>
      <c r="BC65" s="1080"/>
      <c r="BD65" s="1080"/>
      <c r="BE65" s="1080"/>
      <c r="BF65" s="1080"/>
      <c r="BG65" s="1080"/>
      <c r="BH65" s="1080"/>
      <c r="BI65" s="1080"/>
      <c r="BJ65" s="1080"/>
      <c r="BK65" s="1080"/>
      <c r="BL65" s="1080"/>
      <c r="BM65" s="1080"/>
      <c r="BN65" s="1080"/>
      <c r="BO65" s="1080"/>
      <c r="BP65" s="1080"/>
      <c r="BQ65" s="1080"/>
      <c r="BR65" s="1080"/>
      <c r="BS65" s="1080"/>
      <c r="BT65" s="1080"/>
      <c r="BU65" s="1080"/>
      <c r="BV65" s="1080"/>
      <c r="BW65" s="1080"/>
      <c r="BX65" s="1080"/>
      <c r="BY65" s="1080"/>
      <c r="BZ65" s="1080"/>
      <c r="CA65" s="1080"/>
      <c r="CB65" s="1080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</row>
    <row r="66" spans="1:163" s="73" customFormat="1" ht="15" customHeight="1" x14ac:dyDescent="0.2">
      <c r="A66" s="57" t="s">
        <v>326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</row>
    <row r="67" spans="1:163" ht="15" customHeight="1" x14ac:dyDescent="0.25">
      <c r="C67" s="1077" t="s">
        <v>101</v>
      </c>
      <c r="D67" s="1077"/>
      <c r="E67" s="1077"/>
      <c r="F67" s="1077"/>
      <c r="G67" s="1077"/>
      <c r="H67" s="1077"/>
      <c r="I67" s="1077"/>
      <c r="J67" s="1077"/>
      <c r="K67" s="1077"/>
      <c r="L67" s="1077"/>
      <c r="M67" s="1077"/>
      <c r="N67" s="1077"/>
      <c r="O67" s="1077"/>
      <c r="P67" s="1077"/>
      <c r="Q67" s="1077"/>
      <c r="R67" s="1077"/>
      <c r="S67" s="1077"/>
      <c r="T67" s="1077"/>
      <c r="U67" s="1077"/>
      <c r="V67" s="1077"/>
      <c r="W67" s="1077"/>
      <c r="X67" s="1077"/>
      <c r="Y67" s="1077"/>
      <c r="Z67" s="1077"/>
      <c r="AA67" s="1077"/>
      <c r="AB67" s="1077"/>
      <c r="AC67" s="1077"/>
      <c r="AD67" s="1077"/>
      <c r="AE67" s="1077"/>
      <c r="AF67" s="1077"/>
      <c r="AG67" s="1077"/>
      <c r="AH67" s="1077"/>
      <c r="AI67" s="1077"/>
      <c r="AJ67" s="1077"/>
      <c r="AK67" s="1077"/>
      <c r="AL67" s="1077"/>
      <c r="AM67" s="1077"/>
      <c r="AN67" s="1077"/>
      <c r="AO67" s="1077"/>
      <c r="AP67" s="1077"/>
      <c r="AQ67" s="1077"/>
      <c r="AR67" s="1077"/>
      <c r="AS67" s="1077"/>
      <c r="AT67" s="1077"/>
      <c r="AU67" s="1077"/>
      <c r="AV67" s="1077"/>
      <c r="AW67" s="1077"/>
      <c r="AX67" s="1077"/>
      <c r="AY67" s="1077"/>
      <c r="AZ67" s="1077"/>
      <c r="BA67" s="1077"/>
      <c r="BB67" s="1077"/>
      <c r="BC67" s="1077"/>
      <c r="BD67" s="1077"/>
      <c r="BE67" s="1077"/>
      <c r="BF67" s="1077"/>
      <c r="BG67" s="1077"/>
      <c r="BH67" s="1077"/>
      <c r="BI67" s="1077"/>
      <c r="BJ67" s="1077"/>
      <c r="BK67" s="1077"/>
      <c r="BL67" s="1077"/>
      <c r="BM67" s="1077"/>
      <c r="BN67" s="1077"/>
      <c r="BO67" s="1077"/>
      <c r="BP67" s="1077"/>
      <c r="BQ67" s="1077"/>
      <c r="BR67" s="1077"/>
      <c r="BS67" s="1077"/>
      <c r="BT67" s="1077"/>
      <c r="BU67" s="1077"/>
      <c r="BV67" s="1077"/>
      <c r="BW67" s="1077"/>
      <c r="BX67" s="1077"/>
      <c r="BY67" s="1077"/>
      <c r="BZ67" s="1077"/>
      <c r="CA67" s="1077"/>
      <c r="CB67" s="1077"/>
    </row>
    <row r="68" spans="1:163" x14ac:dyDescent="0.25">
      <c r="C68" s="1078" t="s">
        <v>101</v>
      </c>
      <c r="D68" s="1078"/>
      <c r="E68" s="1078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8"/>
      <c r="Z68" s="1078"/>
      <c r="AA68" s="1078"/>
      <c r="AB68" s="1078"/>
      <c r="AC68" s="1078"/>
      <c r="AD68" s="1078"/>
      <c r="AE68" s="1078"/>
      <c r="AF68" s="1078"/>
      <c r="AG68" s="1078"/>
      <c r="AH68" s="1078"/>
      <c r="AI68" s="1078"/>
      <c r="AJ68" s="1078"/>
      <c r="AK68" s="1078"/>
      <c r="AL68" s="1078"/>
      <c r="AM68" s="1078"/>
      <c r="AN68" s="1078"/>
      <c r="AO68" s="1078"/>
      <c r="AP68" s="1078"/>
      <c r="AQ68" s="1078"/>
      <c r="AR68" s="1078"/>
      <c r="AS68" s="1078"/>
      <c r="AT68" s="1078"/>
      <c r="AU68" s="1078"/>
      <c r="AV68" s="1078"/>
      <c r="AW68" s="1078"/>
      <c r="AX68" s="1078"/>
      <c r="AY68" s="1078"/>
      <c r="AZ68" s="1078"/>
      <c r="BA68" s="1078"/>
      <c r="BB68" s="1078"/>
      <c r="BC68" s="1078"/>
      <c r="BD68" s="1078"/>
      <c r="BE68" s="1078"/>
      <c r="BF68" s="1078"/>
      <c r="BG68" s="1078"/>
      <c r="BH68" s="1078"/>
      <c r="BI68" s="1078"/>
      <c r="BJ68" s="1078"/>
      <c r="BK68" s="1078"/>
      <c r="BL68" s="1078"/>
      <c r="BM68" s="1078"/>
      <c r="BN68" s="1078"/>
      <c r="BO68" s="1078"/>
      <c r="BP68" s="1078"/>
      <c r="BQ68" s="1078"/>
      <c r="BR68" s="1078"/>
      <c r="BS68" s="1078"/>
      <c r="BT68" s="1078"/>
      <c r="BU68" s="1078"/>
      <c r="BV68" s="1078"/>
      <c r="BW68" s="1078"/>
      <c r="BX68" s="1078"/>
      <c r="BY68" s="1078"/>
      <c r="BZ68" s="1078"/>
      <c r="CA68" s="1078"/>
      <c r="CB68" s="1078"/>
    </row>
    <row r="69" spans="1:163" ht="9" customHeight="1" x14ac:dyDescent="0.25"/>
    <row r="70" spans="1:163" s="2" customFormat="1" ht="15" customHeight="1" x14ac:dyDescent="0.2">
      <c r="C70" s="11" t="s">
        <v>107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163" s="2" customFormat="1" ht="15" customHeight="1" x14ac:dyDescent="0.2">
      <c r="D71" s="11"/>
      <c r="E71" s="11"/>
      <c r="F71" s="997" t="str">
        <f>IF('Данные объект'!C27="","",'Данные объект'!C27)</f>
      </c>
      <c r="G71" s="997"/>
      <c r="H71" s="997"/>
      <c r="I71" s="997"/>
      <c r="J71" s="997"/>
      <c r="K71" s="997"/>
      <c r="L71" s="997"/>
      <c r="M71" s="997"/>
      <c r="N71" s="997"/>
      <c r="O71" s="997"/>
      <c r="P71" s="997"/>
      <c r="Q71" s="997"/>
      <c r="R71" s="997"/>
      <c r="S71" s="997"/>
      <c r="T71" s="997"/>
      <c r="U71" s="997"/>
      <c r="V71" s="997"/>
      <c r="W71" s="997"/>
      <c r="X71" s="997"/>
      <c r="Y71" s="997"/>
      <c r="Z71" s="997"/>
      <c r="AA71" s="997"/>
      <c r="AB71" s="997"/>
      <c r="AC71" s="997"/>
      <c r="AD71" s="997"/>
      <c r="AE71" s="997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163" s="2" customFormat="1" ht="15" customHeight="1" x14ac:dyDescent="0.2">
      <c r="D72" s="11"/>
      <c r="E72" s="11"/>
      <c r="F72" s="831"/>
      <c r="G72" s="831"/>
      <c r="H72" s="831"/>
      <c r="I72" s="831"/>
      <c r="J72" s="831"/>
      <c r="K72" s="831"/>
      <c r="L72" s="831"/>
      <c r="M72" s="831"/>
      <c r="N72" s="831"/>
      <c r="O72" s="831"/>
      <c r="P72" s="831"/>
      <c r="Q72" s="831"/>
      <c r="R72" s="831"/>
      <c r="S72" s="831"/>
      <c r="T72" s="831"/>
      <c r="U72" s="831"/>
      <c r="V72" s="831"/>
      <c r="W72" s="831"/>
      <c r="X72" s="831"/>
      <c r="Y72" s="831"/>
      <c r="Z72" s="831"/>
      <c r="AA72" s="831"/>
      <c r="AB72" s="831"/>
      <c r="AC72" s="831"/>
      <c r="AD72" s="831"/>
      <c r="AE72" s="831"/>
      <c r="AF72" s="11"/>
      <c r="AG72" s="11"/>
      <c r="AH72" s="11"/>
      <c r="AI72" s="11"/>
      <c r="AJ72" s="991"/>
      <c r="AK72" s="991"/>
      <c r="AL72" s="991"/>
      <c r="AM72" s="991"/>
      <c r="AN72" s="991"/>
      <c r="AO72" s="991"/>
      <c r="AP72" s="991"/>
      <c r="AQ72" s="991"/>
      <c r="AR72" s="991"/>
      <c r="AS72" s="991"/>
      <c r="AT72" s="991"/>
      <c r="AU72" s="991"/>
      <c r="AV72" s="991"/>
      <c r="AW72" s="991"/>
      <c r="AX72" s="991"/>
      <c r="AY72" s="991"/>
      <c r="AZ72" s="991"/>
      <c r="BA72" s="991"/>
      <c r="BB72" s="991"/>
      <c r="BC72" s="991"/>
      <c r="BD72" s="991"/>
      <c r="BE72" s="991"/>
      <c r="BF72" s="991"/>
      <c r="BG72" s="991"/>
      <c r="BH72" s="991"/>
      <c r="BI72" s="11"/>
      <c r="BJ72" s="1079" t="str">
        <f>IF('Данные объект'!B28="","",'Данные объект'!B28)</f>
      </c>
      <c r="BK72" s="1079"/>
      <c r="BL72" s="1079"/>
      <c r="BM72" s="1079"/>
      <c r="BN72" s="1079"/>
      <c r="BO72" s="1079"/>
      <c r="BP72" s="1079"/>
      <c r="BQ72" s="1079"/>
      <c r="BR72" s="1079"/>
      <c r="BS72" s="1079"/>
      <c r="BT72" s="1079"/>
      <c r="BU72" s="1079"/>
      <c r="BV72" s="1079"/>
      <c r="BW72" s="1079"/>
      <c r="BX72" s="1079"/>
      <c r="BY72" s="1079"/>
      <c r="BZ72" s="1079"/>
      <c r="CA72" s="1079"/>
      <c r="CB72" s="1079"/>
    </row>
    <row r="73" spans="1:163" s="5" customFormat="1" ht="8.25" x14ac:dyDescent="0.15">
      <c r="AJ73" s="986" t="s">
        <v>2</v>
      </c>
      <c r="AK73" s="986"/>
      <c r="AL73" s="986"/>
      <c r="AM73" s="986"/>
      <c r="AN73" s="986"/>
      <c r="AO73" s="986"/>
      <c r="AP73" s="986"/>
      <c r="AQ73" s="986"/>
      <c r="AR73" s="986"/>
      <c r="AS73" s="986"/>
      <c r="AT73" s="986"/>
      <c r="AU73" s="986"/>
      <c r="AV73" s="986"/>
      <c r="AW73" s="986"/>
      <c r="AX73" s="986"/>
      <c r="AY73" s="986"/>
      <c r="AZ73" s="986"/>
      <c r="BA73" s="986"/>
      <c r="BB73" s="986"/>
      <c r="BC73" s="986"/>
      <c r="BD73" s="986"/>
      <c r="BE73" s="986"/>
      <c r="BF73" s="986"/>
      <c r="BG73" s="986"/>
      <c r="BH73" s="986"/>
      <c r="BJ73" s="986" t="s">
        <v>72</v>
      </c>
      <c r="BK73" s="986"/>
      <c r="BL73" s="986"/>
      <c r="BM73" s="986"/>
      <c r="BN73" s="986"/>
      <c r="BO73" s="986"/>
      <c r="BP73" s="986"/>
      <c r="BQ73" s="986"/>
      <c r="BR73" s="986"/>
      <c r="BS73" s="986"/>
      <c r="BT73" s="986"/>
      <c r="BU73" s="986"/>
      <c r="BV73" s="986"/>
      <c r="BW73" s="986"/>
      <c r="BX73" s="986"/>
      <c r="BY73" s="986"/>
      <c r="BZ73" s="986"/>
      <c r="CA73" s="986"/>
      <c r="CB73" s="986"/>
    </row>
  </sheetData>
  <mergeCells count="114">
    <mergeCell ref="A5:AI5"/>
    <mergeCell ref="AR5:BZ5"/>
    <mergeCell ref="AR6:BZ9"/>
    <mergeCell ref="A8:AI9"/>
    <mergeCell ref="A10:AI10"/>
    <mergeCell ref="AR10:BZ10"/>
    <mergeCell ref="AR1:BZ2"/>
    <mergeCell ref="A2:AI2"/>
    <mergeCell ref="A3:AI3"/>
    <mergeCell ref="AR3:BZ3"/>
    <mergeCell ref="A4:AI4"/>
    <mergeCell ref="AR4:BZ4"/>
    <mergeCell ref="A11:AI11"/>
    <mergeCell ref="AR11:BZ11"/>
    <mergeCell ref="AR12:BZ12"/>
    <mergeCell ref="A13:CB13"/>
    <mergeCell ref="A14:CB14"/>
    <mergeCell ref="A17:P20"/>
    <mergeCell ref="Q17:AF20"/>
    <mergeCell ref="AG17:AV20"/>
    <mergeCell ref="AW17:BL20"/>
    <mergeCell ref="BM17:CB20"/>
    <mergeCell ref="A21:P21"/>
    <mergeCell ref="Q21:AF21"/>
    <mergeCell ref="AG21:AV21"/>
    <mergeCell ref="AW21:BL21"/>
    <mergeCell ref="BM21:CB21"/>
    <mergeCell ref="A22:P22"/>
    <mergeCell ref="Q22:AF22"/>
    <mergeCell ref="AG22:AV22"/>
    <mergeCell ref="AW22:BL22"/>
    <mergeCell ref="BM22:CB22"/>
    <mergeCell ref="A25:P25"/>
    <mergeCell ref="Q25:AF25"/>
    <mergeCell ref="AG25:AV25"/>
    <mergeCell ref="AW25:BL25"/>
    <mergeCell ref="BM25:CB25"/>
    <mergeCell ref="C26:W26"/>
    <mergeCell ref="X26:CB26"/>
    <mergeCell ref="A23:P23"/>
    <mergeCell ref="Q23:AF23"/>
    <mergeCell ref="AG23:AV23"/>
    <mergeCell ref="AW23:BL23"/>
    <mergeCell ref="BM23:CB23"/>
    <mergeCell ref="A24:P24"/>
    <mergeCell ref="Q24:AF24"/>
    <mergeCell ref="AG24:AV24"/>
    <mergeCell ref="AW24:BL24"/>
    <mergeCell ref="BM24:CB24"/>
    <mergeCell ref="C33:CB34"/>
    <mergeCell ref="C36:V38"/>
    <mergeCell ref="W36:AL38"/>
    <mergeCell ref="AM36:BB38"/>
    <mergeCell ref="BC36:CB36"/>
    <mergeCell ref="BC37:BO38"/>
    <mergeCell ref="BP37:CB38"/>
    <mergeCell ref="G29:M29"/>
    <mergeCell ref="AG29:BA29"/>
    <mergeCell ref="BT29:BZ29"/>
    <mergeCell ref="V30:AY30"/>
    <mergeCell ref="BM30:BZ30"/>
    <mergeCell ref="C31:CB32"/>
    <mergeCell ref="C39:V39"/>
    <mergeCell ref="W39:AL39"/>
    <mergeCell ref="AM39:BB39"/>
    <mergeCell ref="BC39:BO39"/>
    <mergeCell ref="BP39:CB39"/>
    <mergeCell ref="C40:V40"/>
    <mergeCell ref="W40:AL40"/>
    <mergeCell ref="AM40:BB40"/>
    <mergeCell ref="BC40:BO40"/>
    <mergeCell ref="BP40:CB40"/>
    <mergeCell ref="C41:V41"/>
    <mergeCell ref="W41:AL41"/>
    <mergeCell ref="AM41:BB41"/>
    <mergeCell ref="BC41:BO41"/>
    <mergeCell ref="BP41:CB41"/>
    <mergeCell ref="C42:V42"/>
    <mergeCell ref="W42:AL42"/>
    <mergeCell ref="AM42:BB42"/>
    <mergeCell ref="BC42:BO42"/>
    <mergeCell ref="BP42:CB42"/>
    <mergeCell ref="C43:V43"/>
    <mergeCell ref="W43:AL43"/>
    <mergeCell ref="AM43:BB43"/>
    <mergeCell ref="BC43:BO43"/>
    <mergeCell ref="BP43:CB43"/>
    <mergeCell ref="C44:V44"/>
    <mergeCell ref="W44:AL44"/>
    <mergeCell ref="AM44:BB44"/>
    <mergeCell ref="BC44:BO44"/>
    <mergeCell ref="BP44:CB44"/>
    <mergeCell ref="AW52:CB52"/>
    <mergeCell ref="C53:CB54"/>
    <mergeCell ref="Q55:AN55"/>
    <mergeCell ref="AW55:CB55"/>
    <mergeCell ref="AW56:CB56"/>
    <mergeCell ref="C58:CB59"/>
    <mergeCell ref="C45:CB46"/>
    <mergeCell ref="C47:CB48"/>
    <mergeCell ref="G50:O50"/>
    <mergeCell ref="P50:AB50"/>
    <mergeCell ref="V51:AN51"/>
    <mergeCell ref="AW51:CB51"/>
    <mergeCell ref="AJ73:BH73"/>
    <mergeCell ref="BJ73:CB73"/>
    <mergeCell ref="C61:AB61"/>
    <mergeCell ref="AD61:AM61"/>
    <mergeCell ref="C64:CB65"/>
    <mergeCell ref="C67:CB67"/>
    <mergeCell ref="C68:CB68"/>
    <mergeCell ref="F71:AE72"/>
    <mergeCell ref="AJ72:BH72"/>
    <mergeCell ref="BJ72:CB72"/>
  </mergeCells>
  <pageMargins left="0.78740157480314965" right="0.19685039370078741" top="0.39370078740157483" bottom="0.39370078740157483" header="0.11811023622047245" footer="0.11811023622047245"/>
  <pageSetup paperSize="9" scale="97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8A9469-EFB5-4989-9781-69A6EDD1A8B8}">
          <x14:formula1>
            <xm:f>'связ.данные(оборудование)'!$N$3:$N$9</xm:f>
          </x14:formula1>
          <xm:sqref>Q55:AN55</xm:sqref>
        </x14:dataValidation>
        <x14:dataValidation type="list" allowBlank="1" showInputMessage="1" showErrorMessage="1" xr:uid="{5D20CB0C-D37A-4E7D-9AAC-0D7B995BD0CE}">
          <x14:formula1>
            <xm:f>'связ.данные(оборудование)'!$O$3:$O$11</xm:f>
          </x14:formula1>
          <xm:sqref>V51:AN51</xm:sqref>
        </x14:dataValidation>
        <x14:dataValidation type="list" allowBlank="1" showInputMessage="1" showErrorMessage="1" xr:uid="{CEE9F6D2-5487-4E7D-B52C-B92F6A7FD03B}">
          <x14:formula1>
            <xm:f>'связ.данные(оборудование)'!$C$3:$C$4</xm:f>
          </x14:formula1>
          <xm:sqref>AG21:AV21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F8FE-9D04-4BF7-BA55-B1FABB002DBA}">
  <sheetPr>
    <tabColor rgb="FFCC99FF"/>
  </sheetPr>
  <dimension ref="A1:CB70"/>
  <sheetViews>
    <sheetView view="pageBreakPreview" topLeftCell="A19" zoomScale="90" zoomScaleNormal="100" zoomScaleSheetLayoutView="90" zoomScalePageLayoutView="115" workbookViewId="0">
      <selection activeCell="DG55" sqref="DG55"/>
    </sheetView>
  </sheetViews>
  <sheetFormatPr defaultColWidth="1.140625" defaultRowHeight="12.75" outlineLevelRow="1" x14ac:dyDescent="0.2"/>
  <cols>
    <col min="1" max="19" width="1.140625" style="2"/>
    <col min="20" max="34" width="1" style="2" customWidth="1"/>
    <col min="35" max="65" width="1.140625" style="2"/>
    <col min="66" max="66" width="0.7109375" style="2" customWidth="1"/>
    <col min="67" max="79" width="1.140625" style="2"/>
    <col min="80" max="80" width="10.28515625" style="2" customWidth="1"/>
    <col min="81" max="16384" width="1.140625" style="2"/>
  </cols>
  <sheetData>
    <row r="1" spans="1:80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9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74"/>
      <c r="CB7" s="74"/>
    </row>
    <row r="8" spans="1:80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74"/>
      <c r="CB8" s="74"/>
    </row>
    <row r="9" spans="1:80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74"/>
      <c r="CB9" s="74"/>
    </row>
    <row r="10" spans="1:80" ht="11.45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74"/>
      <c r="CB10" s="7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x14ac:dyDescent="0.2"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</row>
    <row r="13" spans="1:80" s="18" customFormat="1" ht="15.75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</row>
    <row r="14" spans="1:80" s="18" customFormat="1" ht="15.75" x14ac:dyDescent="0.25">
      <c r="A14" s="886" t="s">
        <v>1258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</row>
    <row r="15" spans="1:80" s="18" customFormat="1" ht="10.5" customHeight="1" x14ac:dyDescent="0.25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314"/>
      <c r="BS15" s="314"/>
      <c r="BT15" s="314"/>
      <c r="BU15" s="314"/>
      <c r="BV15" s="314"/>
      <c r="BW15" s="314"/>
      <c r="BX15" s="314"/>
      <c r="BY15" s="314"/>
      <c r="BZ15" s="314"/>
      <c r="CA15" s="314"/>
      <c r="CB15" s="314"/>
    </row>
    <row r="16" spans="1:80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x14ac:dyDescent="0.2">
      <c r="A17" s="11" t="s">
        <v>345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x14ac:dyDescent="0.2">
      <c r="A18" s="926" t="str">
        <f>IF('Данные объект'!C42="","",'Данные объект'!C42)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8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80" hidden="1" outlineLevel="1" x14ac:dyDescent="0.2">
      <c r="A20" s="2" t="s">
        <v>29</v>
      </c>
    </row>
    <row r="21" spans="1:80" outlineLevel="1" x14ac:dyDescent="0.2">
      <c r="A21" s="926" t="str">
        <f>IF('Данные объект'!C45="","",'Данные объект'!C45)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80" s="5" customFormat="1" ht="8.25" outlineLevel="1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80" s="5" customFormat="1" ht="8.25" hidden="1" outlineLevel="1" x14ac:dyDescent="0.15">
      <c r="A23" s="306"/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</row>
    <row r="24" spans="1:80" s="5" customFormat="1" ht="13.5" hidden="1" outlineLevel="1" x14ac:dyDescent="0.15">
      <c r="A24" s="1097"/>
      <c r="B24" s="1097"/>
      <c r="C24" s="1097"/>
      <c r="D24" s="1097"/>
      <c r="E24" s="1097"/>
      <c r="F24" s="1097"/>
      <c r="G24" s="1097"/>
      <c r="H24" s="1097"/>
      <c r="I24" s="1097"/>
      <c r="J24" s="1097"/>
      <c r="K24" s="1097"/>
      <c r="L24" s="1097"/>
      <c r="M24" s="1097"/>
      <c r="N24" s="1097"/>
      <c r="O24" s="1097"/>
      <c r="P24" s="1097"/>
      <c r="Q24" s="1097"/>
      <c r="R24" s="1097"/>
      <c r="S24" s="1097"/>
      <c r="T24" s="1097"/>
      <c r="U24" s="1097"/>
      <c r="V24" s="1097"/>
      <c r="W24" s="1097"/>
      <c r="X24" s="1097"/>
      <c r="Y24" s="1097"/>
      <c r="Z24" s="1097"/>
      <c r="AA24" s="1097"/>
      <c r="AB24" s="1097"/>
      <c r="AC24" s="1097"/>
      <c r="AD24" s="1097"/>
      <c r="AE24" s="1097"/>
      <c r="AF24" s="1097"/>
      <c r="AG24" s="1097"/>
      <c r="AH24" s="1097"/>
      <c r="AI24" s="1097"/>
      <c r="AJ24" s="1097"/>
      <c r="AK24" s="1097"/>
      <c r="AL24" s="1097"/>
      <c r="AM24" s="1097"/>
      <c r="AN24" s="1097"/>
      <c r="AO24" s="1097"/>
      <c r="AP24" s="1097"/>
      <c r="AQ24" s="1097"/>
      <c r="AR24" s="1097"/>
      <c r="AS24" s="1097"/>
      <c r="AT24" s="1097"/>
      <c r="AU24" s="1097"/>
      <c r="AV24" s="1097"/>
      <c r="AW24" s="1097"/>
      <c r="AX24" s="1097"/>
      <c r="AY24" s="1097"/>
      <c r="AZ24" s="1097"/>
      <c r="BA24" s="1097"/>
      <c r="BB24" s="1097"/>
      <c r="BC24" s="1097"/>
      <c r="BD24" s="1097"/>
      <c r="BE24" s="1097"/>
      <c r="BF24" s="1097"/>
      <c r="BG24" s="1097"/>
      <c r="BH24" s="1097"/>
      <c r="BI24" s="1097"/>
      <c r="BJ24" s="1097"/>
      <c r="BK24" s="1097"/>
      <c r="BL24" s="1097"/>
      <c r="BM24" s="1097"/>
      <c r="BN24" s="1097"/>
      <c r="BO24" s="1097"/>
      <c r="BP24" s="1097"/>
      <c r="BQ24" s="1097"/>
      <c r="BR24" s="1097"/>
      <c r="BS24" s="1097"/>
      <c r="BT24" s="1097"/>
      <c r="BU24" s="1097"/>
      <c r="BV24" s="1097"/>
      <c r="BW24" s="1097"/>
      <c r="BX24" s="1097"/>
      <c r="BY24" s="1097"/>
      <c r="BZ24" s="1097"/>
      <c r="CA24" s="1097"/>
      <c r="CB24" s="1097"/>
    </row>
    <row r="25" spans="1:80" s="5" customFormat="1" ht="8.25" hidden="1" outlineLevel="1" x14ac:dyDescent="0.15">
      <c r="A25" s="932" t="s">
        <v>31</v>
      </c>
      <c r="B25" s="932"/>
      <c r="C25" s="932"/>
      <c r="D25" s="932"/>
      <c r="E25" s="932"/>
      <c r="F25" s="932"/>
      <c r="G25" s="932"/>
      <c r="H25" s="932"/>
      <c r="I25" s="932"/>
      <c r="J25" s="932"/>
      <c r="K25" s="932"/>
      <c r="L25" s="932"/>
      <c r="M25" s="932"/>
      <c r="N25" s="932"/>
      <c r="O25" s="932"/>
      <c r="P25" s="932"/>
      <c r="Q25" s="932"/>
      <c r="R25" s="932"/>
      <c r="S25" s="932"/>
      <c r="T25" s="932"/>
      <c r="U25" s="932"/>
      <c r="V25" s="932"/>
      <c r="W25" s="932"/>
      <c r="X25" s="932"/>
      <c r="Y25" s="932"/>
      <c r="Z25" s="932"/>
      <c r="AA25" s="932"/>
      <c r="AB25" s="932"/>
      <c r="AC25" s="932"/>
      <c r="AD25" s="932"/>
      <c r="AE25" s="932"/>
      <c r="AF25" s="932"/>
      <c r="AG25" s="932"/>
      <c r="AH25" s="932"/>
      <c r="AI25" s="932"/>
      <c r="AJ25" s="932"/>
      <c r="AK25" s="932"/>
      <c r="AL25" s="932"/>
      <c r="AM25" s="932"/>
      <c r="AN25" s="932"/>
      <c r="AO25" s="932"/>
      <c r="AP25" s="932"/>
      <c r="AQ25" s="932"/>
      <c r="AR25" s="932"/>
      <c r="AS25" s="932"/>
      <c r="AT25" s="932"/>
      <c r="AU25" s="932"/>
      <c r="AV25" s="932"/>
      <c r="AW25" s="932"/>
      <c r="AX25" s="932"/>
      <c r="AY25" s="932"/>
      <c r="AZ25" s="932"/>
      <c r="BA25" s="932"/>
      <c r="BB25" s="932"/>
      <c r="BC25" s="932"/>
      <c r="BD25" s="932"/>
      <c r="BE25" s="932"/>
      <c r="BF25" s="932"/>
      <c r="BG25" s="932"/>
      <c r="BH25" s="932"/>
      <c r="BI25" s="932"/>
      <c r="BJ25" s="932"/>
      <c r="BK25" s="932"/>
      <c r="BL25" s="932"/>
      <c r="BM25" s="932"/>
      <c r="BN25" s="932"/>
      <c r="BO25" s="932"/>
      <c r="BP25" s="932"/>
      <c r="BQ25" s="932"/>
      <c r="BR25" s="932"/>
      <c r="BS25" s="932"/>
      <c r="BT25" s="932"/>
      <c r="BU25" s="932"/>
      <c r="BV25" s="932"/>
      <c r="BW25" s="932"/>
      <c r="BX25" s="932"/>
      <c r="BY25" s="932"/>
      <c r="BZ25" s="932"/>
      <c r="CA25" s="932"/>
      <c r="CB25" s="932"/>
    </row>
    <row r="26" spans="1:80" x14ac:dyDescent="0.2">
      <c r="A26" s="11" t="s">
        <v>30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926" t="str">
        <f>IF('Данные объект'!C28="","",'Данные объект'!C28)</f>
      </c>
      <c r="B27" s="926"/>
      <c r="C27" s="926"/>
      <c r="D27" s="926"/>
      <c r="E27" s="926"/>
      <c r="F27" s="926"/>
      <c r="G27" s="926"/>
      <c r="H27" s="926"/>
      <c r="I27" s="926"/>
      <c r="J27" s="926"/>
      <c r="K27" s="926"/>
      <c r="L27" s="926"/>
      <c r="M27" s="926"/>
      <c r="N27" s="926"/>
      <c r="O27" s="926"/>
      <c r="P27" s="926"/>
      <c r="Q27" s="926"/>
      <c r="R27" s="926"/>
      <c r="S27" s="926"/>
      <c r="T27" s="926"/>
      <c r="U27" s="926"/>
      <c r="V27" s="926"/>
      <c r="W27" s="926"/>
      <c r="X27" s="926"/>
      <c r="Y27" s="926"/>
      <c r="Z27" s="926"/>
      <c r="AA27" s="926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  <c r="CA27" s="926"/>
      <c r="CB27" s="926"/>
    </row>
    <row r="28" spans="1:80" s="5" customFormat="1" ht="8.25" x14ac:dyDescent="0.15">
      <c r="A28" s="932" t="s">
        <v>31</v>
      </c>
      <c r="B28" s="932"/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  <c r="W28" s="932"/>
      <c r="X28" s="932"/>
      <c r="Y28" s="932"/>
      <c r="Z28" s="932"/>
      <c r="AA28" s="932"/>
      <c r="AB28" s="932"/>
      <c r="AC28" s="932"/>
      <c r="AD28" s="932"/>
      <c r="AE28" s="932"/>
      <c r="AF28" s="932"/>
      <c r="AG28" s="932"/>
      <c r="AH28" s="932"/>
      <c r="AI28" s="932"/>
      <c r="AJ28" s="932"/>
      <c r="AK28" s="932"/>
      <c r="AL28" s="932"/>
      <c r="AM28" s="932"/>
      <c r="AN28" s="932"/>
      <c r="AO28" s="932"/>
      <c r="AP28" s="932"/>
      <c r="AQ28" s="932"/>
      <c r="AR28" s="932"/>
      <c r="AS28" s="932"/>
      <c r="AT28" s="932"/>
      <c r="AU28" s="932"/>
      <c r="AV28" s="932"/>
      <c r="AW28" s="932"/>
      <c r="AX28" s="932"/>
      <c r="AY28" s="932"/>
      <c r="AZ28" s="932"/>
      <c r="BA28" s="932"/>
      <c r="BB28" s="932"/>
      <c r="BC28" s="932"/>
      <c r="BD28" s="932"/>
      <c r="BE28" s="932"/>
      <c r="BF28" s="932"/>
      <c r="BG28" s="932"/>
      <c r="BH28" s="932"/>
      <c r="BI28" s="932"/>
      <c r="BJ28" s="932"/>
      <c r="BK28" s="932"/>
      <c r="BL28" s="932"/>
      <c r="BM28" s="932"/>
      <c r="BN28" s="932"/>
      <c r="BO28" s="932"/>
      <c r="BP28" s="932"/>
      <c r="BQ28" s="932"/>
      <c r="BR28" s="932"/>
      <c r="BS28" s="932"/>
      <c r="BT28" s="932"/>
      <c r="BU28" s="932"/>
      <c r="BV28" s="932"/>
      <c r="BW28" s="932"/>
      <c r="BX28" s="932"/>
      <c r="BY28" s="932"/>
      <c r="BZ28" s="932"/>
      <c r="CA28" s="932"/>
      <c r="CB28" s="932"/>
    </row>
    <row r="29" spans="1:80" x14ac:dyDescent="0.2">
      <c r="A29" s="11" t="s">
        <v>275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</row>
    <row r="30" spans="1:80" x14ac:dyDescent="0.2">
      <c r="A30" s="11"/>
      <c r="B30" s="11"/>
      <c r="C30" s="57" t="s">
        <v>276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1:80" x14ac:dyDescent="0.2">
      <c r="A31" s="11" t="s">
        <v>33</v>
      </c>
      <c r="B31" s="11"/>
      <c r="C31" s="11" t="s">
        <v>277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ht="13.15" customHeight="1" x14ac:dyDescent="0.2">
      <c r="A32" s="11"/>
      <c r="B32" s="11"/>
      <c r="C32" s="1096" t="str">
        <f>IF('Данные объект'!B56="","",'Данные объект'!B56)</f>
      </c>
      <c r="D32" s="1096"/>
      <c r="E32" s="1096"/>
      <c r="F32" s="1096"/>
      <c r="G32" s="1096"/>
      <c r="H32" s="1096"/>
      <c r="I32" s="1096"/>
      <c r="J32" s="1096"/>
      <c r="K32" s="1096"/>
      <c r="L32" s="1096"/>
      <c r="M32" s="1096"/>
      <c r="N32" s="1096"/>
      <c r="O32" s="1096"/>
      <c r="P32" s="1096"/>
      <c r="Q32" s="1096"/>
      <c r="R32" s="1096"/>
      <c r="S32" s="1096"/>
      <c r="T32" s="1096"/>
      <c r="U32" s="1096"/>
      <c r="V32" s="1096"/>
      <c r="W32" s="1096"/>
      <c r="X32" s="1096"/>
      <c r="Y32" s="1096"/>
      <c r="Z32" s="1096"/>
      <c r="AA32" s="1096"/>
      <c r="AB32" s="1096"/>
      <c r="AC32" s="1096"/>
      <c r="AD32" s="1096"/>
      <c r="AE32" s="1096"/>
      <c r="AF32" s="1096"/>
      <c r="AG32" s="1096"/>
      <c r="AH32" s="1096"/>
      <c r="AI32" s="1096"/>
      <c r="AJ32" s="1096"/>
      <c r="AK32" s="1096"/>
      <c r="AL32" s="1096"/>
      <c r="AM32" s="1096"/>
      <c r="AN32" s="1096"/>
      <c r="AO32" s="1096"/>
      <c r="AP32" s="1096"/>
      <c r="AQ32" s="1096"/>
      <c r="AR32" s="1096"/>
      <c r="AS32" s="1096"/>
      <c r="AT32" s="1096"/>
      <c r="AU32" s="1096"/>
      <c r="AV32" s="1096"/>
      <c r="AW32" s="1096"/>
      <c r="AX32" s="1096"/>
      <c r="AY32" s="1096"/>
      <c r="AZ32" s="1096"/>
      <c r="BA32" s="1096"/>
      <c r="BB32" s="1096"/>
      <c r="BC32" s="1096"/>
      <c r="BD32" s="1096"/>
      <c r="BE32" s="1096"/>
      <c r="BF32" s="1096"/>
      <c r="BG32" s="1096"/>
      <c r="BH32" s="1096"/>
      <c r="BI32" s="1096"/>
      <c r="BJ32" s="1096"/>
      <c r="BK32" s="1096"/>
      <c r="BL32" s="1096"/>
      <c r="BM32" s="1096"/>
      <c r="BN32" s="1096"/>
      <c r="BO32" s="1096"/>
      <c r="BP32" s="1096"/>
      <c r="BQ32" s="1096"/>
      <c r="BR32" s="1096"/>
      <c r="BS32" s="1096"/>
      <c r="BT32" s="1096"/>
      <c r="BU32" s="1096"/>
      <c r="BV32" s="1096"/>
      <c r="BW32" s="1096"/>
      <c r="BX32" s="1096"/>
      <c r="BY32" s="1096"/>
      <c r="BZ32" s="1096"/>
      <c r="CA32" s="1096"/>
      <c r="CB32" s="1096"/>
    </row>
    <row r="33" spans="1:80" s="5" customFormat="1" ht="8.25" x14ac:dyDescent="0.15">
      <c r="C33" s="838" t="s">
        <v>278</v>
      </c>
      <c r="D33" s="838"/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8"/>
      <c r="AI33" s="838"/>
      <c r="AJ33" s="838"/>
      <c r="AK33" s="838"/>
      <c r="AL33" s="838"/>
      <c r="AM33" s="838"/>
      <c r="AN33" s="838"/>
      <c r="AO33" s="838"/>
      <c r="AP33" s="838"/>
      <c r="AQ33" s="838"/>
      <c r="AR33" s="838"/>
      <c r="AS33" s="838"/>
      <c r="AT33" s="838"/>
      <c r="AU33" s="838"/>
      <c r="AV33" s="838"/>
      <c r="AW33" s="838"/>
      <c r="AX33" s="838"/>
      <c r="AY33" s="838"/>
      <c r="AZ33" s="838"/>
      <c r="BA33" s="838"/>
      <c r="BB33" s="838"/>
      <c r="BC33" s="838"/>
      <c r="BD33" s="838"/>
      <c r="BE33" s="838"/>
      <c r="BF33" s="838"/>
      <c r="BG33" s="838"/>
      <c r="BH33" s="838"/>
      <c r="BI33" s="838"/>
      <c r="BJ33" s="838"/>
      <c r="BK33" s="838"/>
      <c r="BL33" s="838"/>
      <c r="BM33" s="838"/>
      <c r="BN33" s="838"/>
      <c r="BO33" s="838"/>
      <c r="BP33" s="838"/>
      <c r="BQ33" s="838"/>
      <c r="BR33" s="838"/>
      <c r="BS33" s="838"/>
      <c r="BT33" s="838"/>
      <c r="BU33" s="838"/>
      <c r="BV33" s="838"/>
      <c r="BW33" s="838"/>
      <c r="BX33" s="838"/>
      <c r="BY33" s="838"/>
      <c r="BZ33" s="838"/>
      <c r="CA33" s="838"/>
    </row>
    <row r="34" spans="1:80" s="11" customFormat="1" ht="11.25" x14ac:dyDescent="0.2">
      <c r="C34" s="11" t="s">
        <v>117</v>
      </c>
      <c r="O34" s="841" t="str">
        <f>IF('Данные объект'!B52="","",'Данные объект'!B52)</f>
      </c>
      <c r="P34" s="841"/>
      <c r="Q34" s="841"/>
      <c r="R34" s="841"/>
      <c r="S34" s="841"/>
      <c r="T34" s="841"/>
      <c r="U34" s="841"/>
      <c r="V34" s="841"/>
      <c r="W34" s="841"/>
      <c r="X34" s="841"/>
      <c r="Y34" s="841"/>
      <c r="Z34" s="841"/>
      <c r="AA34" s="841"/>
      <c r="AB34" s="841"/>
      <c r="AC34" s="841"/>
      <c r="AD34" s="841"/>
      <c r="AE34" s="841"/>
      <c r="AF34" s="841"/>
      <c r="AG34" s="841"/>
      <c r="AH34" s="841"/>
      <c r="AI34" s="841"/>
      <c r="AJ34" s="841"/>
      <c r="AK34" s="841"/>
      <c r="AL34" s="841"/>
      <c r="AM34" s="841"/>
      <c r="AN34" s="841"/>
      <c r="AO34" s="841"/>
      <c r="AP34" s="841"/>
      <c r="AQ34" s="841"/>
      <c r="AR34" s="841"/>
      <c r="AS34" s="841"/>
      <c r="AT34" s="841"/>
      <c r="AU34" s="841"/>
      <c r="AV34" s="841"/>
      <c r="AW34" s="841"/>
      <c r="AX34" s="841"/>
      <c r="AY34" s="841"/>
      <c r="AZ34" s="841"/>
      <c r="BA34" s="841"/>
      <c r="BB34" s="841"/>
      <c r="BC34" s="841"/>
      <c r="BD34" s="841"/>
      <c r="BE34" s="11" t="s">
        <v>253</v>
      </c>
      <c r="BO34" s="841" t="str">
        <f>IF('Данные объект'!B56="","",'Данные объект'!B56)</f>
      </c>
      <c r="BP34" s="841"/>
      <c r="BQ34" s="841"/>
      <c r="BR34" s="841"/>
      <c r="BS34" s="841"/>
      <c r="BT34" s="841"/>
      <c r="BU34" s="841"/>
      <c r="BV34" s="841"/>
      <c r="BW34" s="841"/>
      <c r="BX34" s="841"/>
      <c r="BY34" s="841"/>
      <c r="BZ34" s="841"/>
      <c r="CA34" s="841"/>
      <c r="CB34" s="841"/>
    </row>
    <row r="35" spans="1:80" s="5" customFormat="1" ht="8.25" x14ac:dyDescent="0.15">
      <c r="O35" s="858" t="s">
        <v>38</v>
      </c>
      <c r="P35" s="858"/>
      <c r="Q35" s="858"/>
      <c r="R35" s="858"/>
      <c r="S35" s="858"/>
      <c r="T35" s="858"/>
      <c r="U35" s="858"/>
      <c r="V35" s="858"/>
      <c r="W35" s="858"/>
      <c r="X35" s="858"/>
      <c r="Y35" s="858"/>
      <c r="Z35" s="858"/>
      <c r="AA35" s="858"/>
      <c r="AB35" s="858"/>
      <c r="AC35" s="858"/>
      <c r="AD35" s="858"/>
      <c r="AE35" s="858"/>
      <c r="AF35" s="858"/>
      <c r="AG35" s="858"/>
      <c r="AH35" s="858"/>
      <c r="AI35" s="858"/>
      <c r="AJ35" s="858"/>
      <c r="AK35" s="858"/>
      <c r="AL35" s="858"/>
      <c r="AM35" s="858"/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  <c r="AZ35" s="858"/>
      <c r="BA35" s="858"/>
      <c r="BB35" s="858"/>
      <c r="BC35" s="858"/>
      <c r="BD35" s="858"/>
      <c r="BO35" s="858" t="s">
        <v>279</v>
      </c>
      <c r="BP35" s="858"/>
      <c r="BQ35" s="858"/>
      <c r="BR35" s="858"/>
      <c r="BS35" s="858"/>
      <c r="BT35" s="858"/>
      <c r="BU35" s="858"/>
      <c r="BV35" s="858"/>
      <c r="BW35" s="858"/>
      <c r="BX35" s="858"/>
      <c r="BY35" s="858"/>
      <c r="BZ35" s="858"/>
      <c r="CA35" s="858"/>
      <c r="CB35" s="858"/>
    </row>
    <row r="36" spans="1:80" s="11" customFormat="1" ht="11.25" x14ac:dyDescent="0.2">
      <c r="A36" s="11" t="s">
        <v>36</v>
      </c>
      <c r="C36" s="11" t="s">
        <v>280</v>
      </c>
      <c r="T36" s="1095" t="s">
        <v>340</v>
      </c>
      <c r="U36" s="855"/>
      <c r="V36" s="855"/>
      <c r="W36" s="855"/>
      <c r="X36" s="855"/>
      <c r="Y36" s="855"/>
      <c r="Z36" s="855"/>
      <c r="AA36" s="855"/>
      <c r="AB36" s="855"/>
      <c r="AC36" s="855"/>
      <c r="AD36" s="855"/>
      <c r="AE36" s="855"/>
      <c r="AF36" s="855"/>
      <c r="AG36" s="855"/>
      <c r="AH36" s="855"/>
      <c r="AI36" s="855"/>
      <c r="AJ36" s="855"/>
      <c r="AK36" s="855"/>
      <c r="AL36" s="855"/>
      <c r="AM36" s="855"/>
      <c r="AN36" s="855"/>
      <c r="AO36" s="855"/>
      <c r="AP36" s="855"/>
      <c r="AQ36" s="855"/>
      <c r="AR36" s="855"/>
      <c r="AS36" s="855"/>
      <c r="AT36" s="855"/>
      <c r="AU36" s="855"/>
      <c r="AV36" s="855"/>
      <c r="AW36" s="855"/>
      <c r="AX36" s="855"/>
      <c r="AY36" s="855"/>
      <c r="AZ36" s="855"/>
      <c r="BA36" s="855"/>
      <c r="BB36" s="855"/>
      <c r="BC36" s="855"/>
      <c r="BD36" s="855"/>
      <c r="BE36" s="855"/>
      <c r="BF36" s="855"/>
      <c r="BG36" s="855"/>
      <c r="BH36" s="855"/>
      <c r="BI36" s="855"/>
      <c r="BJ36" s="855"/>
      <c r="BK36" s="855"/>
      <c r="BL36" s="855"/>
      <c r="BM36" s="855"/>
      <c r="BN36" s="855"/>
      <c r="BO36" s="855"/>
      <c r="BP36" s="855"/>
      <c r="BQ36" s="855"/>
      <c r="BR36" s="855"/>
      <c r="BS36" s="855"/>
      <c r="BT36" s="855"/>
      <c r="BU36" s="855"/>
      <c r="BV36" s="855"/>
      <c r="BW36" s="855"/>
      <c r="BX36" s="855"/>
      <c r="BY36" s="855"/>
      <c r="BZ36" s="855"/>
      <c r="CA36" s="855"/>
      <c r="CB36" s="855"/>
    </row>
    <row r="37" spans="1:80" s="11" customFormat="1" ht="11.25" x14ac:dyDescent="0.2">
      <c r="C37" s="11" t="s">
        <v>281</v>
      </c>
      <c r="N37" s="1095" t="s">
        <v>340</v>
      </c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  <c r="AD37" s="855"/>
      <c r="AE37" s="855"/>
      <c r="AF37" s="855"/>
      <c r="AG37" s="855"/>
      <c r="AH37" s="855"/>
      <c r="AI37" s="855"/>
      <c r="AJ37" s="855"/>
      <c r="AK37" s="855"/>
      <c r="AL37" s="855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855"/>
      <c r="BA37" s="855"/>
      <c r="BB37" s="855"/>
      <c r="BC37" s="855"/>
      <c r="BD37" s="855"/>
      <c r="BE37" s="855"/>
      <c r="BF37" s="855"/>
      <c r="BG37" s="855"/>
      <c r="BH37" s="855"/>
      <c r="BI37" s="855"/>
      <c r="BJ37" s="855"/>
      <c r="BK37" s="855"/>
      <c r="BL37" s="855"/>
      <c r="BM37" s="855"/>
      <c r="BN37" s="855"/>
      <c r="BO37" s="855"/>
      <c r="BP37" s="855"/>
      <c r="BQ37" s="855"/>
      <c r="BR37" s="855"/>
      <c r="BS37" s="855"/>
      <c r="BT37" s="855"/>
      <c r="BU37" s="855"/>
      <c r="BV37" s="855"/>
      <c r="BW37" s="855"/>
      <c r="BX37" s="855"/>
      <c r="BY37" s="855"/>
      <c r="BZ37" s="855"/>
      <c r="CA37" s="855"/>
      <c r="CB37" s="855"/>
    </row>
    <row r="38" spans="1:80" s="5" customFormat="1" ht="8.25" x14ac:dyDescent="0.15">
      <c r="N38" s="858" t="s">
        <v>282</v>
      </c>
      <c r="O38" s="858"/>
      <c r="P38" s="858"/>
      <c r="Q38" s="858"/>
      <c r="R38" s="858"/>
      <c r="S38" s="858"/>
      <c r="T38" s="858"/>
      <c r="U38" s="858"/>
      <c r="V38" s="858"/>
      <c r="W38" s="858"/>
      <c r="X38" s="858"/>
      <c r="Y38" s="858"/>
      <c r="Z38" s="858"/>
      <c r="AA38" s="858"/>
      <c r="AB38" s="858"/>
      <c r="AC38" s="858"/>
      <c r="AD38" s="858"/>
      <c r="AE38" s="858"/>
      <c r="AF38" s="858"/>
      <c r="AG38" s="858"/>
      <c r="AH38" s="858"/>
      <c r="AI38" s="858"/>
      <c r="AJ38" s="858"/>
      <c r="AK38" s="858"/>
      <c r="AL38" s="858"/>
      <c r="AM38" s="858"/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  <c r="AZ38" s="858"/>
      <c r="BA38" s="858"/>
      <c r="BB38" s="858"/>
      <c r="BC38" s="858"/>
      <c r="BD38" s="858"/>
      <c r="BE38" s="858"/>
      <c r="BF38" s="858"/>
      <c r="BG38" s="858"/>
      <c r="BH38" s="858"/>
      <c r="BI38" s="858"/>
      <c r="BJ38" s="858"/>
      <c r="BK38" s="858"/>
      <c r="BL38" s="858"/>
      <c r="BM38" s="858"/>
      <c r="BN38" s="858"/>
      <c r="BO38" s="858"/>
      <c r="BP38" s="858"/>
      <c r="BQ38" s="858"/>
      <c r="BR38" s="858"/>
      <c r="BS38" s="858"/>
      <c r="BT38" s="858"/>
      <c r="BU38" s="858"/>
      <c r="BV38" s="858"/>
      <c r="BW38" s="858"/>
      <c r="BX38" s="858"/>
      <c r="BY38" s="858"/>
      <c r="BZ38" s="858"/>
      <c r="CA38" s="858"/>
      <c r="CB38" s="858"/>
    </row>
    <row r="39" spans="1:80" s="11" customFormat="1" ht="11.25" x14ac:dyDescent="0.2">
      <c r="C39" s="11" t="s">
        <v>283</v>
      </c>
      <c r="R39" s="1095" t="s">
        <v>340</v>
      </c>
      <c r="S39" s="855"/>
      <c r="T39" s="855"/>
      <c r="U39" s="855"/>
      <c r="V39" s="855"/>
      <c r="W39" s="855"/>
      <c r="X39" s="855"/>
      <c r="Y39" s="855"/>
      <c r="Z39" s="855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855"/>
      <c r="BL39" s="855"/>
      <c r="BM39" s="855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  <c r="BX39" s="855"/>
      <c r="BY39" s="855"/>
      <c r="BZ39" s="855"/>
      <c r="CA39" s="855"/>
      <c r="CB39" s="855"/>
    </row>
    <row r="40" spans="1:80" s="5" customFormat="1" ht="8.25" x14ac:dyDescent="0.15">
      <c r="R40" s="858" t="s">
        <v>279</v>
      </c>
      <c r="S40" s="858"/>
      <c r="T40" s="858"/>
      <c r="U40" s="858"/>
      <c r="V40" s="858"/>
      <c r="W40" s="858"/>
      <c r="X40" s="858"/>
      <c r="Y40" s="858"/>
      <c r="Z40" s="858"/>
      <c r="AA40" s="858"/>
      <c r="AB40" s="858"/>
      <c r="AC40" s="858"/>
      <c r="AD40" s="858"/>
      <c r="AE40" s="858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858"/>
      <c r="BC40" s="858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</row>
    <row r="41" spans="1:80" s="11" customFormat="1" ht="11.25" x14ac:dyDescent="0.2">
      <c r="A41" s="11" t="s">
        <v>39</v>
      </c>
      <c r="C41" s="11" t="s">
        <v>285</v>
      </c>
    </row>
    <row r="42" spans="1:80" s="11" customFormat="1" ht="12.75" customHeight="1" x14ac:dyDescent="0.2">
      <c r="A42" s="827" t="s">
        <v>286</v>
      </c>
      <c r="B42" s="827"/>
      <c r="C42" s="827"/>
      <c r="D42" s="827"/>
      <c r="E42" s="827" t="s">
        <v>287</v>
      </c>
      <c r="F42" s="827"/>
      <c r="G42" s="827"/>
      <c r="H42" s="827"/>
      <c r="I42" s="827"/>
      <c r="J42" s="827"/>
      <c r="K42" s="827"/>
      <c r="L42" s="827"/>
      <c r="M42" s="827"/>
      <c r="N42" s="827"/>
      <c r="O42" s="827"/>
      <c r="P42" s="827"/>
      <c r="Q42" s="827"/>
      <c r="R42" s="827"/>
      <c r="S42" s="827"/>
      <c r="T42" s="827"/>
      <c r="U42" s="827"/>
      <c r="V42" s="827"/>
      <c r="W42" s="827"/>
      <c r="X42" s="827"/>
      <c r="Y42" s="827"/>
      <c r="Z42" s="827"/>
      <c r="AA42" s="827"/>
      <c r="AB42" s="827"/>
      <c r="AC42" s="827"/>
      <c r="AD42" s="827"/>
      <c r="AE42" s="827"/>
      <c r="AF42" s="827"/>
      <c r="AG42" s="827"/>
      <c r="AH42" s="827"/>
      <c r="AI42" s="827" t="s">
        <v>284</v>
      </c>
      <c r="AJ42" s="827"/>
      <c r="AK42" s="827"/>
      <c r="AL42" s="827"/>
      <c r="AM42" s="827"/>
      <c r="AN42" s="827"/>
      <c r="AO42" s="827"/>
      <c r="AP42" s="827"/>
      <c r="AQ42" s="827"/>
      <c r="AR42" s="827"/>
      <c r="AS42" s="827"/>
      <c r="AT42" s="827"/>
      <c r="AU42" s="827"/>
      <c r="AV42" s="827"/>
      <c r="AW42" s="827"/>
      <c r="AX42" s="827"/>
      <c r="AY42" s="827"/>
      <c r="AZ42" s="827"/>
      <c r="BA42" s="827"/>
      <c r="BB42" s="827"/>
      <c r="BC42" s="827"/>
      <c r="BD42" s="827"/>
      <c r="BE42" s="827"/>
      <c r="BF42" s="827"/>
      <c r="BG42" s="827"/>
      <c r="BH42" s="827"/>
      <c r="BI42" s="827"/>
      <c r="BJ42" s="827"/>
      <c r="BK42" s="827"/>
      <c r="BL42" s="827"/>
      <c r="BM42" s="827"/>
      <c r="BN42" s="827"/>
      <c r="BO42" s="827"/>
      <c r="BP42" s="827"/>
      <c r="BQ42" s="827"/>
      <c r="BR42" s="827"/>
      <c r="BS42" s="827" t="s">
        <v>0</v>
      </c>
      <c r="BT42" s="827"/>
      <c r="BU42" s="827"/>
      <c r="BV42" s="827"/>
      <c r="BW42" s="827"/>
      <c r="BX42" s="827"/>
      <c r="BY42" s="827"/>
      <c r="BZ42" s="827"/>
      <c r="CA42" s="827"/>
      <c r="CB42" s="827"/>
    </row>
    <row r="43" spans="1:80" s="11" customFormat="1" ht="12.75" customHeight="1" x14ac:dyDescent="0.2">
      <c r="A43" s="827"/>
      <c r="B43" s="827"/>
      <c r="C43" s="827"/>
      <c r="D43" s="827"/>
      <c r="E43" s="827"/>
      <c r="F43" s="827"/>
      <c r="G43" s="827"/>
      <c r="H43" s="827"/>
      <c r="I43" s="827"/>
      <c r="J43" s="827"/>
      <c r="K43" s="827"/>
      <c r="L43" s="827"/>
      <c r="M43" s="827"/>
      <c r="N43" s="827"/>
      <c r="O43" s="827"/>
      <c r="P43" s="827"/>
      <c r="Q43" s="827"/>
      <c r="R43" s="827"/>
      <c r="S43" s="827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 t="s">
        <v>288</v>
      </c>
      <c r="AJ43" s="827"/>
      <c r="AK43" s="827"/>
      <c r="AL43" s="827"/>
      <c r="AM43" s="827"/>
      <c r="AN43" s="827"/>
      <c r="AO43" s="827"/>
      <c r="AP43" s="827" t="s">
        <v>289</v>
      </c>
      <c r="AQ43" s="827"/>
      <c r="AR43" s="827"/>
      <c r="AS43" s="827"/>
      <c r="AT43" s="827"/>
      <c r="AU43" s="827"/>
      <c r="AV43" s="827"/>
      <c r="AW43" s="827" t="s">
        <v>291</v>
      </c>
      <c r="AX43" s="827"/>
      <c r="AY43" s="827"/>
      <c r="AZ43" s="827"/>
      <c r="BA43" s="827"/>
      <c r="BB43" s="827"/>
      <c r="BC43" s="827"/>
      <c r="BD43" s="827" t="s">
        <v>332</v>
      </c>
      <c r="BE43" s="827"/>
      <c r="BF43" s="827"/>
      <c r="BG43" s="827"/>
      <c r="BH43" s="827"/>
      <c r="BI43" s="827" t="s">
        <v>290</v>
      </c>
      <c r="BJ43" s="827"/>
      <c r="BK43" s="827"/>
      <c r="BL43" s="827"/>
      <c r="BM43" s="827"/>
      <c r="BN43" s="827"/>
      <c r="BO43" s="827"/>
      <c r="BP43" s="827"/>
      <c r="BQ43" s="827"/>
      <c r="BR43" s="827"/>
      <c r="BS43" s="827"/>
      <c r="BT43" s="827"/>
      <c r="BU43" s="827"/>
      <c r="BV43" s="827"/>
      <c r="BW43" s="827"/>
      <c r="BX43" s="827"/>
      <c r="BY43" s="827"/>
      <c r="BZ43" s="827"/>
      <c r="CA43" s="827"/>
      <c r="CB43" s="827"/>
    </row>
    <row r="44" spans="1:80" s="11" customFormat="1" ht="11.25" x14ac:dyDescent="0.2">
      <c r="A44" s="827"/>
      <c r="B44" s="827"/>
      <c r="C44" s="827"/>
      <c r="D44" s="827"/>
      <c r="E44" s="827"/>
      <c r="F44" s="827"/>
      <c r="G44" s="827"/>
      <c r="H44" s="827"/>
      <c r="I44" s="827"/>
      <c r="J44" s="827"/>
      <c r="K44" s="827"/>
      <c r="L44" s="827"/>
      <c r="M44" s="827"/>
      <c r="N44" s="827"/>
      <c r="O44" s="827"/>
      <c r="P44" s="827"/>
      <c r="Q44" s="827"/>
      <c r="R44" s="827"/>
      <c r="S44" s="827"/>
      <c r="T44" s="827"/>
      <c r="U44" s="827"/>
      <c r="V44" s="827"/>
      <c r="W44" s="827"/>
      <c r="X44" s="827"/>
      <c r="Y44" s="827"/>
      <c r="Z44" s="827"/>
      <c r="AA44" s="827"/>
      <c r="AB44" s="827"/>
      <c r="AC44" s="827"/>
      <c r="AD44" s="827"/>
      <c r="AE44" s="827"/>
      <c r="AF44" s="827"/>
      <c r="AG44" s="827"/>
      <c r="AH44" s="827"/>
      <c r="AI44" s="827"/>
      <c r="AJ44" s="827"/>
      <c r="AK44" s="827"/>
      <c r="AL44" s="827"/>
      <c r="AM44" s="827"/>
      <c r="AN44" s="827"/>
      <c r="AO44" s="827"/>
      <c r="AP44" s="827"/>
      <c r="AQ44" s="827"/>
      <c r="AR44" s="827"/>
      <c r="AS44" s="827"/>
      <c r="AT44" s="827"/>
      <c r="AU44" s="827"/>
      <c r="AV44" s="827"/>
      <c r="AW44" s="827"/>
      <c r="AX44" s="827"/>
      <c r="AY44" s="827"/>
      <c r="AZ44" s="827"/>
      <c r="BA44" s="827"/>
      <c r="BB44" s="827"/>
      <c r="BC44" s="827"/>
      <c r="BD44" s="827"/>
      <c r="BE44" s="827"/>
      <c r="BF44" s="827"/>
      <c r="BG44" s="827"/>
      <c r="BH44" s="827"/>
      <c r="BI44" s="827"/>
      <c r="BJ44" s="827"/>
      <c r="BK44" s="827"/>
      <c r="BL44" s="827"/>
      <c r="BM44" s="827"/>
      <c r="BN44" s="827"/>
      <c r="BO44" s="827"/>
      <c r="BP44" s="827"/>
      <c r="BQ44" s="827"/>
      <c r="BR44" s="827"/>
      <c r="BS44" s="827"/>
      <c r="BT44" s="827"/>
      <c r="BU44" s="827"/>
      <c r="BV44" s="827"/>
      <c r="BW44" s="827"/>
      <c r="BX44" s="827"/>
      <c r="BY44" s="827"/>
      <c r="BZ44" s="827"/>
      <c r="CA44" s="827"/>
      <c r="CB44" s="827"/>
    </row>
    <row r="45" spans="1:80" s="11" customFormat="1" ht="11.25" customHeight="1" x14ac:dyDescent="0.2">
      <c r="A45" s="990">
        <v>1</v>
      </c>
      <c r="B45" s="990"/>
      <c r="C45" s="990"/>
      <c r="D45" s="990"/>
      <c r="E45" s="1118" t="s">
        <v>346</v>
      </c>
      <c r="F45" s="1118"/>
      <c r="G45" s="1118"/>
      <c r="H45" s="1118"/>
      <c r="I45" s="1118"/>
      <c r="J45" s="1118"/>
      <c r="K45" s="1118"/>
      <c r="L45" s="1118"/>
      <c r="M45" s="1118"/>
      <c r="N45" s="1118"/>
      <c r="O45" s="1118"/>
      <c r="P45" s="1118"/>
      <c r="Q45" s="1118"/>
      <c r="R45" s="1118"/>
      <c r="S45" s="1118"/>
      <c r="T45" s="1118"/>
      <c r="U45" s="1118"/>
      <c r="V45" s="1118"/>
      <c r="W45" s="1118"/>
      <c r="X45" s="1118"/>
      <c r="Y45" s="1118"/>
      <c r="Z45" s="1118"/>
      <c r="AA45" s="1118"/>
      <c r="AB45" s="1118"/>
      <c r="AC45" s="1118"/>
      <c r="AD45" s="1118"/>
      <c r="AE45" s="1118"/>
      <c r="AF45" s="1118"/>
      <c r="AG45" s="1118"/>
      <c r="AH45" s="1118"/>
      <c r="AI45" s="990" t="s">
        <v>331</v>
      </c>
      <c r="AJ45" s="990"/>
      <c r="AK45" s="990"/>
      <c r="AL45" s="990"/>
      <c r="AM45" s="990"/>
      <c r="AN45" s="990"/>
      <c r="AO45" s="990"/>
      <c r="AP45" s="990" t="str">
        <f>IF('ВЛЗ-6 0,4'!AQ35="","",'ВЛЗ-6 0,4'!AQ35)</f>
      </c>
      <c r="AQ45" s="990"/>
      <c r="AR45" s="990"/>
      <c r="AS45" s="990"/>
      <c r="AT45" s="990"/>
      <c r="AU45" s="990"/>
      <c r="AV45" s="990"/>
      <c r="AW45" s="990" t="str">
        <f>IF('ВЛЗ-6 0,4'!AX35="","",'ВЛЗ-6 0,4'!AX35)</f>
      </c>
      <c r="AX45" s="990"/>
      <c r="AY45" s="990"/>
      <c r="AZ45" s="990"/>
      <c r="BA45" s="990"/>
      <c r="BB45" s="990"/>
      <c r="BC45" s="990"/>
      <c r="BD45" s="993" t="s">
        <v>362</v>
      </c>
      <c r="BE45" s="993"/>
      <c r="BF45" s="993"/>
      <c r="BG45" s="993"/>
      <c r="BH45" s="993"/>
      <c r="BI45" s="990">
        <v>1</v>
      </c>
      <c r="BJ45" s="990"/>
      <c r="BK45" s="990"/>
      <c r="BL45" s="990"/>
      <c r="BM45" s="990"/>
      <c r="BN45" s="990"/>
      <c r="BO45" s="990"/>
      <c r="BP45" s="990"/>
      <c r="BQ45" s="990"/>
      <c r="BR45" s="990"/>
      <c r="BS45" s="990" t="s">
        <v>101</v>
      </c>
      <c r="BT45" s="990"/>
      <c r="BU45" s="990"/>
      <c r="BV45" s="990"/>
      <c r="BW45" s="990"/>
      <c r="BX45" s="990"/>
      <c r="BY45" s="990"/>
      <c r="BZ45" s="990"/>
      <c r="CA45" s="990"/>
      <c r="CB45" s="990"/>
    </row>
    <row r="46" spans="1:80" s="11" customFormat="1" ht="13.5" customHeight="1" x14ac:dyDescent="0.2">
      <c r="A46" s="990">
        <v>2</v>
      </c>
      <c r="B46" s="990"/>
      <c r="C46" s="990"/>
      <c r="D46" s="990"/>
      <c r="E46" s="1118" t="s">
        <v>353</v>
      </c>
      <c r="F46" s="1118"/>
      <c r="G46" s="1118"/>
      <c r="H46" s="1118"/>
      <c r="I46" s="1118"/>
      <c r="J46" s="1118"/>
      <c r="K46" s="1118"/>
      <c r="L46" s="1118"/>
      <c r="M46" s="1118"/>
      <c r="N46" s="1118"/>
      <c r="O46" s="1118"/>
      <c r="P46" s="1118"/>
      <c r="Q46" s="1118"/>
      <c r="R46" s="1118"/>
      <c r="S46" s="1118"/>
      <c r="T46" s="1118"/>
      <c r="U46" s="1118"/>
      <c r="V46" s="1118"/>
      <c r="W46" s="1118"/>
      <c r="X46" s="1118"/>
      <c r="Y46" s="1118"/>
      <c r="Z46" s="1118"/>
      <c r="AA46" s="1118"/>
      <c r="AB46" s="1118"/>
      <c r="AC46" s="1118"/>
      <c r="AD46" s="1118"/>
      <c r="AE46" s="1118"/>
      <c r="AF46" s="1118"/>
      <c r="AG46" s="1118"/>
      <c r="AH46" s="1118"/>
      <c r="AI46" s="990" t="s">
        <v>331</v>
      </c>
      <c r="AJ46" s="990"/>
      <c r="AK46" s="990"/>
      <c r="AL46" s="990"/>
      <c r="AM46" s="990"/>
      <c r="AN46" s="990"/>
      <c r="AO46" s="990"/>
      <c r="AP46" s="990" t="str">
        <f>IF('ВЛЗ-6 0,4'!AQ36="","",'ВЛЗ-6 0,4'!AQ36)</f>
      </c>
      <c r="AQ46" s="990"/>
      <c r="AR46" s="990"/>
      <c r="AS46" s="990"/>
      <c r="AT46" s="990"/>
      <c r="AU46" s="990"/>
      <c r="AV46" s="990"/>
      <c r="AW46" s="990" t="str">
        <f>IF('ВЛЗ-6 0,4'!AX36="","",'ВЛЗ-6 0,4'!AX36)</f>
      </c>
      <c r="AX46" s="990"/>
      <c r="AY46" s="990"/>
      <c r="AZ46" s="990"/>
      <c r="BA46" s="990"/>
      <c r="BB46" s="990"/>
      <c r="BC46" s="990"/>
      <c r="BD46" s="993" t="s">
        <v>363</v>
      </c>
      <c r="BE46" s="993"/>
      <c r="BF46" s="993"/>
      <c r="BG46" s="993"/>
      <c r="BH46" s="993"/>
      <c r="BI46" s="1119" t="s">
        <v>482</v>
      </c>
      <c r="BJ46" s="1119"/>
      <c r="BK46" s="1119"/>
      <c r="BL46" s="1119"/>
      <c r="BM46" s="1119"/>
      <c r="BN46" s="1119"/>
      <c r="BO46" s="1119"/>
      <c r="BP46" s="1119"/>
      <c r="BQ46" s="1119"/>
      <c r="BR46" s="1119"/>
      <c r="BS46" s="990" t="s">
        <v>101</v>
      </c>
      <c r="BT46" s="990"/>
      <c r="BU46" s="990"/>
      <c r="BV46" s="990"/>
      <c r="BW46" s="990"/>
      <c r="BX46" s="990"/>
      <c r="BY46" s="990"/>
      <c r="BZ46" s="990"/>
      <c r="CA46" s="990"/>
      <c r="CB46" s="990"/>
    </row>
    <row r="47" spans="1:80" s="11" customFormat="1" ht="13.5" customHeight="1" x14ac:dyDescent="0.2">
      <c r="A47" s="990">
        <v>3</v>
      </c>
      <c r="B47" s="990"/>
      <c r="C47" s="990"/>
      <c r="D47" s="990"/>
      <c r="E47" s="1118" t="s">
        <v>346</v>
      </c>
      <c r="F47" s="1118"/>
      <c r="G47" s="1118"/>
      <c r="H47" s="1118"/>
      <c r="I47" s="1118"/>
      <c r="J47" s="1118"/>
      <c r="K47" s="1118"/>
      <c r="L47" s="1118"/>
      <c r="M47" s="1118"/>
      <c r="N47" s="1118"/>
      <c r="O47" s="1118"/>
      <c r="P47" s="1118"/>
      <c r="Q47" s="1118"/>
      <c r="R47" s="1118"/>
      <c r="S47" s="1118"/>
      <c r="T47" s="1118"/>
      <c r="U47" s="1118"/>
      <c r="V47" s="1118"/>
      <c r="W47" s="1118"/>
      <c r="X47" s="1118"/>
      <c r="Y47" s="1118"/>
      <c r="Z47" s="1118"/>
      <c r="AA47" s="1118"/>
      <c r="AB47" s="1118"/>
      <c r="AC47" s="1118"/>
      <c r="AD47" s="1118"/>
      <c r="AE47" s="1118"/>
      <c r="AF47" s="1118"/>
      <c r="AG47" s="1118"/>
      <c r="AH47" s="1118"/>
      <c r="AI47" s="990" t="s">
        <v>331</v>
      </c>
      <c r="AJ47" s="990"/>
      <c r="AK47" s="990"/>
      <c r="AL47" s="990"/>
      <c r="AM47" s="990"/>
      <c r="AN47" s="990"/>
      <c r="AO47" s="990"/>
      <c r="AP47" s="990" t="str">
        <f>IF('ВЛЗ-6 0,4'!AQ37="","",'ВЛЗ-6 0,4'!AQ37)</f>
      </c>
      <c r="AQ47" s="990"/>
      <c r="AR47" s="990"/>
      <c r="AS47" s="990"/>
      <c r="AT47" s="990"/>
      <c r="AU47" s="990"/>
      <c r="AV47" s="990"/>
      <c r="AW47" s="990">
        <f>IF('ВЛЗ-6 0,4'!AX37="","",'ВЛЗ-6 0,4'!AX37)</f>
      </c>
      <c r="AX47" s="990"/>
      <c r="AY47" s="990"/>
      <c r="AZ47" s="990"/>
      <c r="BA47" s="990"/>
      <c r="BB47" s="990"/>
      <c r="BC47" s="990"/>
      <c r="BD47" s="993" t="s">
        <v>361</v>
      </c>
      <c r="BE47" s="993"/>
      <c r="BF47" s="993"/>
      <c r="BG47" s="993"/>
      <c r="BH47" s="993"/>
      <c r="BI47" s="1117" t="s">
        <v>101</v>
      </c>
      <c r="BJ47" s="1117"/>
      <c r="BK47" s="1117"/>
      <c r="BL47" s="1117"/>
      <c r="BM47" s="1117"/>
      <c r="BN47" s="1117"/>
      <c r="BO47" s="1117"/>
      <c r="BP47" s="1117"/>
      <c r="BQ47" s="1117"/>
      <c r="BR47" s="1117"/>
      <c r="BS47" s="990" t="str">
        <f>IF('ВЛЗ-6 0,4'!BS37="","",'ВЛЗ-6 0,4'!BS37)</f>
      </c>
      <c r="BT47" s="990"/>
      <c r="BU47" s="990"/>
      <c r="BV47" s="990"/>
      <c r="BW47" s="990"/>
      <c r="BX47" s="990"/>
      <c r="BY47" s="990"/>
      <c r="BZ47" s="990"/>
      <c r="CA47" s="990"/>
      <c r="CB47" s="990"/>
    </row>
    <row r="48" spans="1:80" s="11" customFormat="1" ht="11.25" x14ac:dyDescent="0.2"/>
    <row r="49" spans="1:80" s="11" customFormat="1" ht="11.25" x14ac:dyDescent="0.2">
      <c r="A49" s="11" t="s">
        <v>41</v>
      </c>
      <c r="C49" s="11" t="s">
        <v>292</v>
      </c>
    </row>
    <row r="50" spans="1:80" s="11" customFormat="1" ht="13.5" customHeight="1" x14ac:dyDescent="0.2">
      <c r="C50" s="11" t="s">
        <v>293</v>
      </c>
      <c r="V50" s="1099" t="s">
        <v>1291</v>
      </c>
      <c r="W50" s="1099"/>
      <c r="X50" s="1099"/>
      <c r="Y50" s="1099"/>
      <c r="Z50" s="1099"/>
      <c r="AA50" s="1099"/>
      <c r="AB50" s="1099"/>
      <c r="AC50" s="1099"/>
      <c r="AD50" s="1099"/>
      <c r="AE50" s="1099"/>
      <c r="AF50" s="1099"/>
      <c r="AG50" s="1099"/>
      <c r="AH50" s="1099"/>
      <c r="AI50" s="1099"/>
      <c r="AJ50" s="1099"/>
      <c r="AK50" s="1099"/>
      <c r="AL50" s="1099"/>
      <c r="AM50" s="1099"/>
      <c r="AN50" s="1099"/>
      <c r="AO50" s="1099"/>
      <c r="AP50" s="1099"/>
      <c r="AQ50" s="1099"/>
      <c r="AR50" s="1099"/>
      <c r="AS50" s="1099"/>
      <c r="AT50" s="1099"/>
      <c r="AU50" s="1099"/>
      <c r="AV50" s="1099"/>
      <c r="AW50" s="1099"/>
      <c r="AX50" s="1099"/>
      <c r="AY50" s="1099"/>
      <c r="AZ50" s="1099"/>
      <c r="BA50" s="1099"/>
      <c r="BB50" s="1099"/>
      <c r="BC50" s="1099"/>
      <c r="BD50" s="1099"/>
      <c r="BE50" s="1099"/>
      <c r="BF50" s="1099"/>
      <c r="BG50" s="1099"/>
      <c r="BH50" s="1099"/>
      <c r="BI50" s="1099"/>
      <c r="BJ50" s="1099"/>
      <c r="BK50" s="1099"/>
      <c r="BL50" s="1099"/>
      <c r="BM50" s="1099"/>
      <c r="BN50" s="1099"/>
      <c r="BO50" s="1099"/>
      <c r="BP50" s="1099"/>
      <c r="BQ50" s="1099"/>
      <c r="BR50" s="1099"/>
      <c r="BS50" s="1099"/>
      <c r="BT50" s="1099"/>
      <c r="BU50" s="1099"/>
      <c r="BV50" s="1099"/>
      <c r="BW50" s="1099"/>
      <c r="BX50" s="1099"/>
      <c r="BY50" s="1099"/>
      <c r="BZ50" s="1099"/>
      <c r="CA50" s="1099"/>
      <c r="CB50" s="1099"/>
    </row>
    <row r="51" spans="1:80" s="11" customFormat="1" ht="9.75" customHeight="1" x14ac:dyDescent="0.2">
      <c r="V51" s="1099"/>
      <c r="W51" s="1099"/>
      <c r="X51" s="1099"/>
      <c r="Y51" s="1099"/>
      <c r="Z51" s="1099"/>
      <c r="AA51" s="1099"/>
      <c r="AB51" s="1099"/>
      <c r="AC51" s="1099"/>
      <c r="AD51" s="1099"/>
      <c r="AE51" s="1099"/>
      <c r="AF51" s="1099"/>
      <c r="AG51" s="1099"/>
      <c r="AH51" s="1099"/>
      <c r="AI51" s="1099"/>
      <c r="AJ51" s="1099"/>
      <c r="AK51" s="1099"/>
      <c r="AL51" s="1099"/>
      <c r="AM51" s="1099"/>
      <c r="AN51" s="1099"/>
      <c r="AO51" s="1099"/>
      <c r="AP51" s="1099"/>
      <c r="AQ51" s="1099"/>
      <c r="AR51" s="1099"/>
      <c r="AS51" s="1099"/>
      <c r="AT51" s="1099"/>
      <c r="AU51" s="1099"/>
      <c r="AV51" s="1099"/>
      <c r="AW51" s="1099"/>
      <c r="AX51" s="1099"/>
      <c r="AY51" s="1099"/>
      <c r="AZ51" s="1099"/>
      <c r="BA51" s="1099"/>
      <c r="BB51" s="1099"/>
      <c r="BC51" s="1099"/>
      <c r="BD51" s="1099"/>
      <c r="BE51" s="1099"/>
      <c r="BF51" s="1099"/>
      <c r="BG51" s="1099"/>
      <c r="BH51" s="1099"/>
      <c r="BI51" s="1099"/>
      <c r="BJ51" s="1099"/>
      <c r="BK51" s="1099"/>
      <c r="BL51" s="1099"/>
      <c r="BM51" s="1099"/>
      <c r="BN51" s="1099"/>
      <c r="BO51" s="1099"/>
      <c r="BP51" s="1099"/>
      <c r="BQ51" s="1099"/>
      <c r="BR51" s="1099"/>
      <c r="BS51" s="1099"/>
      <c r="BT51" s="1099"/>
      <c r="BU51" s="1099"/>
      <c r="BV51" s="1099"/>
      <c r="BW51" s="1099"/>
      <c r="BX51" s="1099"/>
      <c r="BY51" s="1099"/>
      <c r="BZ51" s="1099"/>
      <c r="CA51" s="1099"/>
      <c r="CB51" s="1099"/>
    </row>
    <row r="52" spans="1:80" s="11" customFormat="1" ht="11.25" x14ac:dyDescent="0.2">
      <c r="A52" s="11" t="s">
        <v>42</v>
      </c>
      <c r="C52" s="11" t="s">
        <v>294</v>
      </c>
      <c r="Q52" s="831" t="s">
        <v>330</v>
      </c>
      <c r="R52" s="831"/>
      <c r="S52" s="831"/>
      <c r="T52" s="831"/>
      <c r="U52" s="831"/>
      <c r="V52" s="831"/>
      <c r="W52" s="831"/>
      <c r="X52" s="831"/>
      <c r="Y52" s="831"/>
      <c r="Z52" s="831"/>
      <c r="AA52" s="831"/>
      <c r="AB52" s="831"/>
      <c r="AC52" s="831"/>
      <c r="AD52" s="831"/>
      <c r="AE52" s="831"/>
      <c r="AF52" s="831"/>
      <c r="AG52" s="831"/>
      <c r="AH52" s="831"/>
      <c r="AI52" s="831"/>
      <c r="AJ52" s="831"/>
      <c r="AK52" s="831"/>
      <c r="AL52" s="831"/>
      <c r="AM52" s="831"/>
      <c r="AN52" s="831"/>
      <c r="AO52" s="831"/>
      <c r="AP52" s="831"/>
      <c r="AQ52" s="831"/>
      <c r="AR52" s="831"/>
      <c r="AS52" s="831"/>
      <c r="AT52" s="831"/>
      <c r="AU52" s="831"/>
      <c r="AV52" s="831"/>
      <c r="AW52" s="831"/>
      <c r="AX52" s="831"/>
      <c r="AY52" s="831"/>
      <c r="AZ52" s="831"/>
      <c r="BA52" s="831"/>
      <c r="BB52" s="831"/>
      <c r="BC52" s="831"/>
      <c r="BD52" s="831"/>
      <c r="BE52" s="831"/>
      <c r="BF52" s="831"/>
      <c r="BG52" s="831"/>
      <c r="BH52" s="831"/>
      <c r="BI52" s="831"/>
      <c r="BJ52" s="831"/>
      <c r="BK52" s="831"/>
      <c r="BL52" s="831"/>
      <c r="BM52" s="831"/>
      <c r="BN52" s="831"/>
      <c r="BO52" s="831"/>
      <c r="BP52" s="831"/>
      <c r="BQ52" s="831"/>
      <c r="BR52" s="831"/>
      <c r="BS52" s="831"/>
      <c r="BT52" s="831"/>
      <c r="BU52" s="831"/>
      <c r="BV52" s="831"/>
      <c r="BW52" s="831"/>
      <c r="BX52" s="831"/>
      <c r="BY52" s="831"/>
      <c r="BZ52" s="831"/>
      <c r="CA52" s="831"/>
      <c r="CB52" s="831"/>
    </row>
    <row r="53" spans="1:80" s="11" customFormat="1" ht="11.25" x14ac:dyDescent="0.2">
      <c r="A53" s="11" t="s">
        <v>47</v>
      </c>
      <c r="C53" s="57" t="s">
        <v>53</v>
      </c>
      <c r="M53" s="831" t="s">
        <v>355</v>
      </c>
      <c r="N53" s="831"/>
      <c r="O53" s="831"/>
      <c r="P53" s="831"/>
      <c r="Q53" s="831"/>
      <c r="R53" s="831"/>
      <c r="S53" s="831"/>
      <c r="T53" s="831"/>
      <c r="U53" s="831"/>
      <c r="V53" s="831"/>
      <c r="W53" s="831"/>
      <c r="X53" s="831"/>
      <c r="Y53" s="831"/>
      <c r="Z53" s="831"/>
      <c r="AA53" s="831"/>
      <c r="AB53" s="831"/>
      <c r="AC53" s="831"/>
      <c r="AD53" s="831"/>
      <c r="AE53" s="831"/>
      <c r="AF53" s="831"/>
      <c r="AG53" s="831"/>
      <c r="AH53" s="831"/>
      <c r="AI53" s="831"/>
      <c r="AJ53" s="831"/>
      <c r="AK53" s="831"/>
      <c r="AL53" s="831"/>
      <c r="AM53" s="831"/>
      <c r="AN53" s="831"/>
      <c r="AO53" s="831"/>
      <c r="AP53" s="831"/>
      <c r="AQ53" s="831"/>
      <c r="AR53" s="831"/>
      <c r="AS53" s="831"/>
      <c r="AT53" s="831"/>
      <c r="AU53" s="831"/>
      <c r="AV53" s="831"/>
      <c r="AW53" s="831"/>
      <c r="AX53" s="831"/>
      <c r="AY53" s="831"/>
      <c r="AZ53" s="831"/>
      <c r="BA53" s="831"/>
      <c r="BB53" s="831"/>
      <c r="BC53" s="831"/>
      <c r="BD53" s="831"/>
      <c r="BE53" s="831"/>
      <c r="BF53" s="831"/>
      <c r="BG53" s="831"/>
      <c r="BH53" s="831"/>
      <c r="BI53" s="831"/>
      <c r="BJ53" s="831"/>
      <c r="BK53" s="831"/>
      <c r="BL53" s="831"/>
      <c r="BM53" s="831"/>
      <c r="BN53" s="831"/>
      <c r="BO53" s="831"/>
      <c r="BP53" s="831"/>
      <c r="BQ53" s="831"/>
      <c r="BR53" s="831"/>
      <c r="BS53" s="831"/>
      <c r="BT53" s="831"/>
      <c r="BU53" s="831"/>
      <c r="BV53" s="831"/>
      <c r="BW53" s="831"/>
      <c r="BX53" s="831"/>
      <c r="BY53" s="831"/>
      <c r="BZ53" s="831"/>
      <c r="CA53" s="831"/>
      <c r="CB53" s="831"/>
    </row>
    <row r="54" spans="1:80" s="11" customFormat="1" ht="11.25" x14ac:dyDescent="0.2"/>
    <row r="55" spans="1:80" s="11" customFormat="1" ht="11.25" x14ac:dyDescent="0.2"/>
    <row r="56" spans="1:80" x14ac:dyDescent="0.2">
      <c r="A56" s="862" t="s">
        <v>68</v>
      </c>
      <c r="B56" s="862"/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862"/>
      <c r="O56" s="862"/>
      <c r="P56" s="862"/>
      <c r="Q56" s="862"/>
      <c r="R56" s="862"/>
      <c r="S56" s="862"/>
      <c r="T56" s="862"/>
      <c r="U56" s="862"/>
      <c r="V56" s="862"/>
      <c r="W56" s="862"/>
      <c r="X56" s="862"/>
      <c r="Y56" s="862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7" spans="1:80" x14ac:dyDescent="0.2">
      <c r="A57" s="893" t="str">
        <f>IF('Данные объект'!C27="","",'Данные объект'!C27)</f>
      </c>
      <c r="B57" s="893"/>
      <c r="C57" s="893"/>
      <c r="D57" s="893"/>
      <c r="E57" s="893"/>
      <c r="F57" s="893"/>
      <c r="G57" s="893"/>
      <c r="H57" s="893"/>
      <c r="I57" s="893"/>
      <c r="J57" s="893"/>
      <c r="K57" s="893"/>
      <c r="L57" s="893"/>
      <c r="M57" s="893"/>
      <c r="N57" s="893"/>
      <c r="O57" s="893"/>
      <c r="P57" s="893"/>
      <c r="Q57" s="893"/>
      <c r="R57" s="893"/>
      <c r="S57" s="893"/>
      <c r="T57" s="893"/>
      <c r="U57" s="893"/>
      <c r="V57" s="893"/>
      <c r="W57" s="893"/>
      <c r="X57" s="893"/>
      <c r="Y57" s="893"/>
      <c r="Z57" s="893"/>
      <c r="AA57" s="893"/>
      <c r="AB57" s="893"/>
      <c r="AC57" s="893"/>
      <c r="AD57" s="893"/>
      <c r="AE57" s="893"/>
      <c r="AF57" s="893"/>
      <c r="AG57" s="893"/>
      <c r="AH57" s="893"/>
      <c r="AI57" s="893"/>
      <c r="AJ57" s="893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</row>
    <row r="58" spans="1:80" x14ac:dyDescent="0.2">
      <c r="A58" s="831"/>
      <c r="B58" s="831"/>
      <c r="C58" s="831"/>
      <c r="D58" s="831"/>
      <c r="E58" s="831"/>
      <c r="F58" s="831"/>
      <c r="G58" s="831"/>
      <c r="H58" s="831"/>
      <c r="I58" s="831"/>
      <c r="J58" s="831"/>
      <c r="K58" s="831"/>
      <c r="L58" s="831"/>
      <c r="M58" s="831"/>
      <c r="N58" s="831"/>
      <c r="O58" s="831"/>
      <c r="P58" s="831"/>
      <c r="Q58" s="831"/>
      <c r="R58" s="831"/>
      <c r="S58" s="831"/>
      <c r="T58" s="831"/>
      <c r="U58" s="831"/>
      <c r="V58" s="831"/>
      <c r="W58" s="831"/>
      <c r="X58" s="831"/>
      <c r="Y58" s="831"/>
      <c r="Z58" s="831"/>
      <c r="AA58" s="831"/>
      <c r="AB58" s="831"/>
      <c r="AC58" s="831"/>
      <c r="AD58" s="831"/>
      <c r="AE58" s="831"/>
      <c r="AF58" s="831"/>
      <c r="AG58" s="831"/>
      <c r="AH58" s="831"/>
      <c r="AI58" s="831"/>
      <c r="AJ58" s="831"/>
      <c r="AK58" s="11"/>
      <c r="AL58" s="11"/>
      <c r="AM58" s="881"/>
      <c r="AN58" s="881"/>
      <c r="AO58" s="881"/>
      <c r="AP58" s="881"/>
      <c r="AQ58" s="881"/>
      <c r="AR58" s="881"/>
      <c r="AS58" s="881"/>
      <c r="AT58" s="881"/>
      <c r="AU58" s="881"/>
      <c r="AV58" s="881"/>
      <c r="AW58" s="881"/>
      <c r="AX58" s="881"/>
      <c r="AY58" s="881"/>
      <c r="AZ58" s="881"/>
      <c r="BA58" s="881"/>
      <c r="BB58" s="881"/>
      <c r="BC58" s="881"/>
      <c r="BD58" s="881"/>
      <c r="BE58" s="881"/>
      <c r="BF58" s="881"/>
      <c r="BG58" s="11"/>
      <c r="BH58" s="11"/>
      <c r="BI58" s="831" t="str">
        <f>IF('Данные объект'!B28="","",'Данные объект'!B28)</f>
      </c>
      <c r="BJ58" s="831"/>
      <c r="BK58" s="831"/>
      <c r="BL58" s="831"/>
      <c r="BM58" s="831"/>
      <c r="BN58" s="831"/>
      <c r="BO58" s="831"/>
      <c r="BP58" s="831"/>
      <c r="BQ58" s="831"/>
      <c r="BR58" s="831"/>
      <c r="BS58" s="831"/>
      <c r="BT58" s="831"/>
      <c r="BU58" s="831"/>
      <c r="BV58" s="831"/>
      <c r="BW58" s="831"/>
      <c r="BX58" s="831"/>
      <c r="BY58" s="831"/>
      <c r="BZ58" s="831"/>
      <c r="CA58" s="831"/>
      <c r="CB58" s="831"/>
    </row>
    <row r="59" spans="1:80" s="5" customFormat="1" ht="8.25" x14ac:dyDescent="0.15">
      <c r="A59" s="838" t="s">
        <v>1</v>
      </c>
      <c r="B59" s="838"/>
      <c r="C59" s="838"/>
      <c r="D59" s="838"/>
      <c r="E59" s="838"/>
      <c r="F59" s="838"/>
      <c r="G59" s="838"/>
      <c r="H59" s="838"/>
      <c r="I59" s="838"/>
      <c r="J59" s="838"/>
      <c r="K59" s="838"/>
      <c r="L59" s="838"/>
      <c r="M59" s="838"/>
      <c r="N59" s="838"/>
      <c r="O59" s="838"/>
      <c r="P59" s="838"/>
      <c r="Q59" s="838"/>
      <c r="R59" s="838"/>
      <c r="S59" s="838"/>
      <c r="T59" s="838"/>
      <c r="U59" s="838"/>
      <c r="V59" s="838"/>
      <c r="W59" s="838"/>
      <c r="X59" s="838"/>
      <c r="Y59" s="838"/>
      <c r="Z59" s="838"/>
      <c r="AA59" s="838"/>
      <c r="AB59" s="838"/>
      <c r="AC59" s="838"/>
      <c r="AD59" s="838"/>
      <c r="AE59" s="838"/>
      <c r="AF59" s="838"/>
      <c r="AG59" s="838"/>
      <c r="AH59" s="838"/>
      <c r="AI59" s="838"/>
      <c r="AJ59" s="838"/>
      <c r="AM59" s="838" t="s">
        <v>2</v>
      </c>
      <c r="AN59" s="838"/>
      <c r="AO59" s="838"/>
      <c r="AP59" s="838"/>
      <c r="AQ59" s="838"/>
      <c r="AR59" s="838"/>
      <c r="AS59" s="838"/>
      <c r="AT59" s="838"/>
      <c r="AU59" s="838"/>
      <c r="AV59" s="838"/>
      <c r="AW59" s="838"/>
      <c r="AX59" s="838"/>
      <c r="AY59" s="838"/>
      <c r="AZ59" s="838"/>
      <c r="BA59" s="838"/>
      <c r="BB59" s="838"/>
      <c r="BC59" s="838"/>
      <c r="BD59" s="838"/>
      <c r="BE59" s="838"/>
      <c r="BF59" s="838"/>
      <c r="BI59" s="858" t="s">
        <v>3</v>
      </c>
      <c r="BJ59" s="858"/>
      <c r="BK59" s="858"/>
      <c r="BL59" s="858"/>
      <c r="BM59" s="858"/>
      <c r="BN59" s="858"/>
      <c r="BO59" s="858"/>
      <c r="BP59" s="858"/>
      <c r="BQ59" s="858"/>
      <c r="BR59" s="858"/>
      <c r="BS59" s="858"/>
      <c r="BT59" s="858"/>
      <c r="BU59" s="858"/>
      <c r="BV59" s="858"/>
      <c r="BW59" s="858"/>
      <c r="BX59" s="858"/>
      <c r="BY59" s="858"/>
      <c r="BZ59" s="858"/>
      <c r="CA59" s="858"/>
      <c r="CB59" s="858"/>
    </row>
    <row r="62" spans="1:80" outlineLevel="1" x14ac:dyDescent="0.2">
      <c r="A62" s="862" t="s">
        <v>344</v>
      </c>
      <c r="B62" s="862"/>
      <c r="C62" s="862"/>
      <c r="D62" s="862"/>
      <c r="E62" s="862"/>
      <c r="F62" s="862"/>
      <c r="G62" s="862"/>
      <c r="H62" s="862"/>
      <c r="I62" s="862"/>
      <c r="J62" s="862"/>
      <c r="K62" s="862"/>
      <c r="L62" s="862"/>
      <c r="M62" s="862"/>
      <c r="N62" s="862"/>
      <c r="O62" s="862"/>
      <c r="P62" s="862"/>
      <c r="Q62" s="862"/>
      <c r="R62" s="862"/>
      <c r="S62" s="862"/>
      <c r="T62" s="862"/>
      <c r="U62" s="862"/>
      <c r="V62" s="862"/>
      <c r="W62" s="862"/>
      <c r="X62" s="862"/>
      <c r="Y62" s="862"/>
      <c r="Z62" s="862"/>
      <c r="AA62" s="862"/>
      <c r="AB62" s="862"/>
      <c r="AC62" s="862"/>
      <c r="AD62" s="862"/>
      <c r="AE62" s="862"/>
      <c r="AF62" s="862"/>
      <c r="AG62" s="862"/>
      <c r="AH62" s="862"/>
      <c r="AI62" s="862"/>
      <c r="AJ62" s="862"/>
    </row>
    <row r="63" spans="1:80" ht="13.5" customHeight="1" outlineLevel="1" x14ac:dyDescent="0.2">
      <c r="A63" s="871" t="str">
        <f>IF('Данные объект'!B39="","",'Данные объект'!B39)</f>
      </c>
      <c r="B63" s="871"/>
      <c r="C63" s="871"/>
      <c r="D63" s="871"/>
      <c r="E63" s="871"/>
      <c r="F63" s="871"/>
      <c r="G63" s="871"/>
      <c r="H63" s="871"/>
      <c r="I63" s="871"/>
      <c r="J63" s="871"/>
      <c r="K63" s="871"/>
      <c r="L63" s="871"/>
      <c r="M63" s="871"/>
      <c r="N63" s="871"/>
      <c r="O63" s="871"/>
      <c r="P63" s="871"/>
      <c r="Q63" s="871"/>
      <c r="R63" s="871"/>
      <c r="S63" s="871"/>
      <c r="T63" s="871"/>
      <c r="U63" s="871"/>
      <c r="V63" s="871"/>
      <c r="W63" s="871"/>
      <c r="X63" s="871"/>
      <c r="Y63" s="871"/>
      <c r="Z63" s="871"/>
      <c r="AA63" s="871"/>
      <c r="AB63" s="871"/>
      <c r="AC63" s="871"/>
      <c r="AD63" s="871"/>
      <c r="AE63" s="871"/>
      <c r="AF63" s="871"/>
      <c r="AG63" s="871"/>
      <c r="AH63" s="871"/>
      <c r="AI63" s="871"/>
      <c r="AJ63" s="871"/>
    </row>
    <row r="64" spans="1:80" outlineLevel="1" x14ac:dyDescent="0.2">
      <c r="A64" s="825"/>
      <c r="B64" s="825"/>
      <c r="C64" s="825"/>
      <c r="D64" s="825"/>
      <c r="E64" s="825"/>
      <c r="F64" s="825"/>
      <c r="G64" s="825"/>
      <c r="H64" s="825"/>
      <c r="I64" s="825"/>
      <c r="J64" s="825"/>
      <c r="K64" s="825"/>
      <c r="L64" s="825"/>
      <c r="M64" s="825"/>
      <c r="N64" s="825"/>
      <c r="O64" s="825"/>
      <c r="P64" s="825"/>
      <c r="Q64" s="825"/>
      <c r="R64" s="825"/>
      <c r="S64" s="825"/>
      <c r="T64" s="825"/>
      <c r="U64" s="825"/>
      <c r="V64" s="825"/>
      <c r="W64" s="825"/>
      <c r="X64" s="825"/>
      <c r="Y64" s="825"/>
      <c r="Z64" s="825"/>
      <c r="AA64" s="825"/>
      <c r="AB64" s="825"/>
      <c r="AC64" s="825"/>
      <c r="AD64" s="825"/>
      <c r="AE64" s="825"/>
      <c r="AF64" s="825"/>
      <c r="AG64" s="825"/>
      <c r="AH64" s="825"/>
      <c r="AI64" s="825"/>
      <c r="AJ64" s="825"/>
      <c r="AM64" s="882"/>
      <c r="AN64" s="882"/>
      <c r="AO64" s="882"/>
      <c r="AP64" s="882"/>
      <c r="AQ64" s="882"/>
      <c r="AR64" s="882"/>
      <c r="AS64" s="882"/>
      <c r="AT64" s="882"/>
      <c r="AU64" s="882"/>
      <c r="AV64" s="882"/>
      <c r="AW64" s="882"/>
      <c r="AX64" s="882"/>
      <c r="AY64" s="882"/>
      <c r="AZ64" s="882"/>
      <c r="BA64" s="882"/>
      <c r="BB64" s="882"/>
      <c r="BC64" s="882"/>
      <c r="BD64" s="882"/>
      <c r="BE64" s="882"/>
      <c r="BF64" s="882"/>
      <c r="BI64" s="831" t="str">
        <f>IF('Данные объект'!B42="","",'Данные объект'!B42)</f>
      </c>
      <c r="BJ64" s="831"/>
      <c r="BK64" s="831"/>
      <c r="BL64" s="831"/>
      <c r="BM64" s="831"/>
      <c r="BN64" s="831"/>
      <c r="BO64" s="831"/>
      <c r="BP64" s="831"/>
      <c r="BQ64" s="831"/>
      <c r="BR64" s="831"/>
      <c r="BS64" s="831"/>
      <c r="BT64" s="831"/>
      <c r="BU64" s="831"/>
      <c r="BV64" s="831"/>
      <c r="BW64" s="831"/>
      <c r="BX64" s="831"/>
      <c r="BY64" s="831"/>
      <c r="BZ64" s="831"/>
      <c r="CA64" s="831"/>
      <c r="CB64" s="831"/>
    </row>
    <row r="65" spans="1:80" s="5" customFormat="1" ht="8.25" outlineLevel="1" x14ac:dyDescent="0.15">
      <c r="A65" s="838" t="s">
        <v>1</v>
      </c>
      <c r="B65" s="838"/>
      <c r="C65" s="838"/>
      <c r="D65" s="838"/>
      <c r="E65" s="838"/>
      <c r="F65" s="838"/>
      <c r="G65" s="838"/>
      <c r="H65" s="838"/>
      <c r="I65" s="838"/>
      <c r="J65" s="838"/>
      <c r="K65" s="838"/>
      <c r="L65" s="838"/>
      <c r="M65" s="838"/>
      <c r="N65" s="838"/>
      <c r="O65" s="838"/>
      <c r="P65" s="838"/>
      <c r="Q65" s="838"/>
      <c r="R65" s="838"/>
      <c r="S65" s="838"/>
      <c r="T65" s="838"/>
      <c r="U65" s="838"/>
      <c r="V65" s="838"/>
      <c r="W65" s="838"/>
      <c r="X65" s="838"/>
      <c r="Y65" s="838"/>
      <c r="Z65" s="838"/>
      <c r="AA65" s="838"/>
      <c r="AB65" s="838"/>
      <c r="AC65" s="838"/>
      <c r="AD65" s="838"/>
      <c r="AE65" s="838"/>
      <c r="AF65" s="838"/>
      <c r="AG65" s="838"/>
      <c r="AH65" s="838"/>
      <c r="AI65" s="838"/>
      <c r="AJ65" s="838"/>
      <c r="AM65" s="838" t="s">
        <v>2</v>
      </c>
      <c r="AN65" s="838"/>
      <c r="AO65" s="838"/>
      <c r="AP65" s="838"/>
      <c r="AQ65" s="838"/>
      <c r="AR65" s="838"/>
      <c r="AS65" s="838"/>
      <c r="AT65" s="838"/>
      <c r="AU65" s="838"/>
      <c r="AV65" s="838"/>
      <c r="AW65" s="838"/>
      <c r="AX65" s="838"/>
      <c r="AY65" s="838"/>
      <c r="AZ65" s="838"/>
      <c r="BA65" s="838"/>
      <c r="BB65" s="838"/>
      <c r="BC65" s="838"/>
      <c r="BD65" s="838"/>
      <c r="BE65" s="838"/>
      <c r="BF65" s="838"/>
      <c r="BI65" s="858" t="s">
        <v>3</v>
      </c>
      <c r="BJ65" s="858"/>
      <c r="BK65" s="858"/>
      <c r="BL65" s="858"/>
      <c r="BM65" s="858"/>
      <c r="BN65" s="858"/>
      <c r="BO65" s="858"/>
      <c r="BP65" s="858"/>
      <c r="BQ65" s="858"/>
      <c r="BR65" s="858"/>
      <c r="BS65" s="858"/>
      <c r="BT65" s="858"/>
      <c r="BU65" s="858"/>
      <c r="BV65" s="858"/>
      <c r="BW65" s="858"/>
      <c r="BX65" s="858"/>
      <c r="BY65" s="858"/>
      <c r="BZ65" s="858"/>
      <c r="CA65" s="858"/>
      <c r="CB65" s="858"/>
    </row>
    <row r="66" spans="1:80" outlineLevel="1" x14ac:dyDescent="0.2"/>
    <row r="67" spans="1:80" x14ac:dyDescent="0.2"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0" x14ac:dyDescent="0.2">
      <c r="A68" s="871" t="str">
        <f>IF('Данные объект'!C45="","",'Данные объект'!C45)</f>
      </c>
      <c r="B68" s="871"/>
      <c r="C68" s="871"/>
      <c r="D68" s="871"/>
      <c r="E68" s="871"/>
      <c r="F68" s="871"/>
      <c r="G68" s="871"/>
      <c r="H68" s="871"/>
      <c r="I68" s="871"/>
      <c r="J68" s="871"/>
      <c r="K68" s="871"/>
      <c r="L68" s="871"/>
      <c r="M68" s="871"/>
      <c r="N68" s="871"/>
      <c r="O68" s="871"/>
      <c r="P68" s="871"/>
      <c r="Q68" s="871"/>
      <c r="R68" s="871"/>
      <c r="S68" s="871"/>
      <c r="T68" s="871"/>
      <c r="U68" s="871"/>
      <c r="V68" s="871"/>
      <c r="W68" s="871"/>
      <c r="X68" s="871"/>
      <c r="Y68" s="871"/>
      <c r="Z68" s="871"/>
      <c r="AA68" s="871"/>
      <c r="AB68" s="871"/>
      <c r="AC68" s="871"/>
      <c r="AD68" s="871"/>
      <c r="AE68" s="871"/>
      <c r="AF68" s="871"/>
      <c r="AG68" s="871"/>
      <c r="AH68" s="871"/>
      <c r="AI68" s="871"/>
      <c r="AJ68" s="87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0" x14ac:dyDescent="0.2">
      <c r="A69" s="825"/>
      <c r="B69" s="825"/>
      <c r="C69" s="825"/>
      <c r="D69" s="825"/>
      <c r="E69" s="825"/>
      <c r="F69" s="825"/>
      <c r="G69" s="825"/>
      <c r="H69" s="825"/>
      <c r="I69" s="825"/>
      <c r="J69" s="825"/>
      <c r="K69" s="825"/>
      <c r="L69" s="825"/>
      <c r="M69" s="825"/>
      <c r="N69" s="825"/>
      <c r="O69" s="825"/>
      <c r="P69" s="825"/>
      <c r="Q69" s="825"/>
      <c r="R69" s="825"/>
      <c r="S69" s="825"/>
      <c r="T69" s="825"/>
      <c r="U69" s="825"/>
      <c r="V69" s="825"/>
      <c r="W69" s="825"/>
      <c r="X69" s="825"/>
      <c r="Y69" s="825"/>
      <c r="Z69" s="825"/>
      <c r="AA69" s="825"/>
      <c r="AB69" s="825"/>
      <c r="AC69" s="825"/>
      <c r="AD69" s="825"/>
      <c r="AE69" s="825"/>
      <c r="AF69" s="825"/>
      <c r="AG69" s="825"/>
      <c r="AH69" s="825"/>
      <c r="AI69" s="825"/>
      <c r="AJ69" s="825"/>
      <c r="AK69" s="11"/>
      <c r="AL69" s="11"/>
      <c r="AM69" s="881"/>
      <c r="AN69" s="881"/>
      <c r="AO69" s="881"/>
      <c r="AP69" s="881"/>
      <c r="AQ69" s="881"/>
      <c r="AR69" s="881"/>
      <c r="AS69" s="881"/>
      <c r="AT69" s="881"/>
      <c r="AU69" s="881"/>
      <c r="AV69" s="881"/>
      <c r="AW69" s="881"/>
      <c r="AX69" s="881"/>
      <c r="AY69" s="881"/>
      <c r="AZ69" s="881"/>
      <c r="BA69" s="881"/>
      <c r="BB69" s="881"/>
      <c r="BC69" s="881"/>
      <c r="BD69" s="881"/>
      <c r="BE69" s="881"/>
      <c r="BF69" s="881"/>
      <c r="BG69" s="11"/>
      <c r="BH69" s="11"/>
      <c r="BI69" s="831" t="str">
        <f>IF('Данные объект'!B47="","",'Данные объект'!B47)</f>
      </c>
      <c r="BJ69" s="831"/>
      <c r="BK69" s="831"/>
      <c r="BL69" s="831"/>
      <c r="BM69" s="831"/>
      <c r="BN69" s="831"/>
      <c r="BO69" s="831"/>
      <c r="BP69" s="831"/>
      <c r="BQ69" s="831"/>
      <c r="BR69" s="831"/>
      <c r="BS69" s="831"/>
      <c r="BT69" s="831"/>
      <c r="BU69" s="831"/>
      <c r="BV69" s="831"/>
      <c r="BW69" s="831"/>
      <c r="BX69" s="831"/>
      <c r="BY69" s="831"/>
      <c r="BZ69" s="831"/>
      <c r="CA69" s="831"/>
      <c r="CB69" s="831"/>
    </row>
    <row r="70" spans="1:80" s="5" customFormat="1" ht="8.25" x14ac:dyDescent="0.15">
      <c r="A70" s="838" t="s">
        <v>1</v>
      </c>
      <c r="B70" s="838"/>
      <c r="C70" s="838"/>
      <c r="D70" s="838"/>
      <c r="E70" s="838"/>
      <c r="F70" s="838"/>
      <c r="G70" s="838"/>
      <c r="H70" s="838"/>
      <c r="I70" s="838"/>
      <c r="J70" s="838"/>
      <c r="K70" s="838"/>
      <c r="L70" s="838"/>
      <c r="M70" s="838"/>
      <c r="N70" s="838"/>
      <c r="O70" s="838"/>
      <c r="P70" s="838"/>
      <c r="Q70" s="838"/>
      <c r="R70" s="838"/>
      <c r="S70" s="838"/>
      <c r="T70" s="838"/>
      <c r="U70" s="838"/>
      <c r="V70" s="838"/>
      <c r="W70" s="838"/>
      <c r="X70" s="838"/>
      <c r="Y70" s="838"/>
      <c r="Z70" s="838"/>
      <c r="AA70" s="838"/>
      <c r="AB70" s="838"/>
      <c r="AC70" s="838"/>
      <c r="AD70" s="838"/>
      <c r="AE70" s="838"/>
      <c r="AF70" s="838"/>
      <c r="AG70" s="838"/>
      <c r="AH70" s="838"/>
      <c r="AI70" s="838"/>
      <c r="AJ70" s="838"/>
      <c r="AM70" s="838" t="s">
        <v>2</v>
      </c>
      <c r="AN70" s="838"/>
      <c r="AO70" s="838"/>
      <c r="AP70" s="838"/>
      <c r="AQ70" s="838"/>
      <c r="AR70" s="838"/>
      <c r="AS70" s="838"/>
      <c r="AT70" s="838"/>
      <c r="AU70" s="838"/>
      <c r="AV70" s="838"/>
      <c r="AW70" s="838"/>
      <c r="AX70" s="838"/>
      <c r="AY70" s="838"/>
      <c r="AZ70" s="838"/>
      <c r="BA70" s="838"/>
      <c r="BB70" s="838"/>
      <c r="BC70" s="838"/>
      <c r="BD70" s="838"/>
      <c r="BE70" s="838"/>
      <c r="BF70" s="838"/>
      <c r="BI70" s="858" t="s">
        <v>3</v>
      </c>
      <c r="BJ70" s="858"/>
      <c r="BK70" s="858"/>
      <c r="BL70" s="858"/>
      <c r="BM70" s="858"/>
      <c r="BN70" s="858"/>
      <c r="BO70" s="858"/>
      <c r="BP70" s="858"/>
      <c r="BQ70" s="858"/>
      <c r="BR70" s="858"/>
      <c r="BS70" s="858"/>
      <c r="BT70" s="858"/>
      <c r="BU70" s="858"/>
      <c r="BV70" s="858"/>
      <c r="BW70" s="858"/>
      <c r="BX70" s="858"/>
      <c r="BY70" s="858"/>
      <c r="BZ70" s="858"/>
      <c r="CA70" s="858"/>
      <c r="CB70" s="858"/>
    </row>
  </sheetData>
  <mergeCells count="92">
    <mergeCell ref="AR1:BZ2"/>
    <mergeCell ref="A2:AI2"/>
    <mergeCell ref="A3:AI3"/>
    <mergeCell ref="AR3:BZ3"/>
    <mergeCell ref="A4:AI4"/>
    <mergeCell ref="AR4:BZ4"/>
    <mergeCell ref="A5:AI5"/>
    <mergeCell ref="AR5:BZ5"/>
    <mergeCell ref="AR6:BZ9"/>
    <mergeCell ref="A8:AI9"/>
    <mergeCell ref="A10:AI10"/>
    <mergeCell ref="AR10:BZ10"/>
    <mergeCell ref="A27:CB27"/>
    <mergeCell ref="A11:AI11"/>
    <mergeCell ref="AR11:BZ11"/>
    <mergeCell ref="AR12:BZ12"/>
    <mergeCell ref="A13:CB13"/>
    <mergeCell ref="A14:CB14"/>
    <mergeCell ref="A18:CB18"/>
    <mergeCell ref="A19:CB19"/>
    <mergeCell ref="A21:CB21"/>
    <mergeCell ref="A22:CB22"/>
    <mergeCell ref="A24:CB24"/>
    <mergeCell ref="A25:CB25"/>
    <mergeCell ref="BS42:CB44"/>
    <mergeCell ref="AI43:AO44"/>
    <mergeCell ref="A28:CB28"/>
    <mergeCell ref="C32:CB32"/>
    <mergeCell ref="C33:CA33"/>
    <mergeCell ref="O34:BD34"/>
    <mergeCell ref="BO34:CB34"/>
    <mergeCell ref="O35:BD35"/>
    <mergeCell ref="BO35:CB35"/>
    <mergeCell ref="T36:CB36"/>
    <mergeCell ref="N37:CB37"/>
    <mergeCell ref="N38:CB38"/>
    <mergeCell ref="R39:CB39"/>
    <mergeCell ref="R40:CB40"/>
    <mergeCell ref="AP43:AV44"/>
    <mergeCell ref="AW43:BC44"/>
    <mergeCell ref="BD43:BH44"/>
    <mergeCell ref="BI43:BR44"/>
    <mergeCell ref="A45:D45"/>
    <mergeCell ref="E45:AH45"/>
    <mergeCell ref="AI45:AO45"/>
    <mergeCell ref="AP45:AV45"/>
    <mergeCell ref="AW45:BC45"/>
    <mergeCell ref="BD45:BH45"/>
    <mergeCell ref="A42:D44"/>
    <mergeCell ref="E42:AH44"/>
    <mergeCell ref="AI42:BR42"/>
    <mergeCell ref="BI45:BR45"/>
    <mergeCell ref="BS45:CB45"/>
    <mergeCell ref="A46:D46"/>
    <mergeCell ref="E46:AH46"/>
    <mergeCell ref="AI46:AO46"/>
    <mergeCell ref="AP46:AV46"/>
    <mergeCell ref="AW46:BC46"/>
    <mergeCell ref="BD46:BH46"/>
    <mergeCell ref="BI46:BR46"/>
    <mergeCell ref="BS46:CB46"/>
    <mergeCell ref="A56:AJ56"/>
    <mergeCell ref="A47:D47"/>
    <mergeCell ref="E47:AH47"/>
    <mergeCell ref="AI47:AO47"/>
    <mergeCell ref="AP47:AV47"/>
    <mergeCell ref="BI47:BR47"/>
    <mergeCell ref="BS47:CB47"/>
    <mergeCell ref="V50:CB51"/>
    <mergeCell ref="Q52:CB52"/>
    <mergeCell ref="M53:CB53"/>
    <mergeCell ref="AW47:BC47"/>
    <mergeCell ref="BD47:BH47"/>
    <mergeCell ref="A57:AJ58"/>
    <mergeCell ref="AM58:BF58"/>
    <mergeCell ref="BI58:CB58"/>
    <mergeCell ref="A59:AJ59"/>
    <mergeCell ref="AM59:BF59"/>
    <mergeCell ref="BI59:CB59"/>
    <mergeCell ref="A62:AJ62"/>
    <mergeCell ref="A63:AJ64"/>
    <mergeCell ref="AM64:BF64"/>
    <mergeCell ref="BI64:CB64"/>
    <mergeCell ref="A65:AJ65"/>
    <mergeCell ref="AM65:BF65"/>
    <mergeCell ref="BI65:CB65"/>
    <mergeCell ref="A68:AJ69"/>
    <mergeCell ref="AM69:BF69"/>
    <mergeCell ref="BI69:CB69"/>
    <mergeCell ref="A70:AJ70"/>
    <mergeCell ref="AM70:BF70"/>
    <mergeCell ref="BI70:CB70"/>
  </mergeCells>
  <pageMargins left="0.25362318840579712" right="0.19685039370078741" top="0.39370078740157483" bottom="0.39370078740157483" header="0.11811023622047245" footer="0.11811023622047245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105B-67C4-47E8-BC8F-EA8D8F2CC044}">
  <sheetPr>
    <tabColor theme="9" tint="0.59999389629810485"/>
  </sheetPr>
  <dimension ref="A1:FP108"/>
  <sheetViews>
    <sheetView view="pageBreakPreview" zoomScaleNormal="100" zoomScaleSheetLayoutView="100" workbookViewId="0">
      <selection activeCell="DG32" sqref="DG32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Q1" s="836" t="str">
        <f>IF('Данные объект'!B4="","",'Данные объект'!B4)</f>
      </c>
      <c r="AR1" s="836"/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Q2" s="837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Q3" s="838" t="s">
        <v>22</v>
      </c>
      <c r="AR3" s="838"/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Q4" s="837" t="str">
        <f>IF('Данные объект'!B33="","",'Данные объект'!B33)</f>
      </c>
      <c r="AR4" s="837"/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838" t="s">
        <v>23</v>
      </c>
      <c r="AR5" s="838"/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836" t="str">
        <f>IF('Данные объект'!B3="","",'Данные объект'!B3)</f>
      </c>
      <c r="AR6" s="836"/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2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Q7" s="836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15" customHeight="1" x14ac:dyDescent="0.2">
      <c r="A8" s="836" t="str">
        <f>IF('Данные объект'!B17="","",'Данные объект'!B17)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Q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Q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838" t="s">
        <v>24</v>
      </c>
      <c r="AR10" s="838"/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842" t="str">
        <f>IF('Данные объект'!B8="","",'Данные объект'!B8)</f>
      </c>
      <c r="AR11" s="842"/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Q12" s="911" t="s">
        <v>1345</v>
      </c>
      <c r="AR12" s="911"/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172" s="40" customFormat="1" ht="30.6" customHeight="1" x14ac:dyDescent="0.25">
      <c r="A13" s="931" t="s">
        <v>1357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2" customFormat="1" ht="12.75" x14ac:dyDescent="0.2">
      <c r="A14" s="57" t="s">
        <v>27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</row>
    <row r="15" spans="1:172" s="2" customFormat="1" ht="12.75" x14ac:dyDescent="0.2">
      <c r="A15" s="11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926" t="str">
        <f>IF('Данные объект'!C42="","",'Данные объект'!C42)</f>
      </c>
      <c r="B16" s="926"/>
      <c r="C16" s="926"/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6"/>
      <c r="V16" s="926"/>
      <c r="W16" s="926"/>
      <c r="X16" s="926"/>
      <c r="Y16" s="926"/>
      <c r="Z16" s="926"/>
      <c r="AA16" s="926"/>
      <c r="AB16" s="926"/>
      <c r="AC16" s="926"/>
      <c r="AD16" s="926"/>
      <c r="AE16" s="926"/>
      <c r="AF16" s="926"/>
      <c r="AG16" s="926"/>
      <c r="AH16" s="926"/>
      <c r="AI16" s="926"/>
      <c r="AJ16" s="926"/>
      <c r="AK16" s="926"/>
      <c r="AL16" s="926"/>
      <c r="AM16" s="926"/>
      <c r="AN16" s="926"/>
      <c r="AO16" s="926"/>
      <c r="AP16" s="926"/>
      <c r="AQ16" s="926"/>
      <c r="AR16" s="926"/>
      <c r="AS16" s="926"/>
      <c r="AT16" s="926"/>
      <c r="AU16" s="926"/>
      <c r="AV16" s="926"/>
      <c r="AW16" s="926"/>
      <c r="AX16" s="926"/>
      <c r="AY16" s="926"/>
      <c r="AZ16" s="926"/>
      <c r="BA16" s="926"/>
      <c r="BB16" s="926"/>
      <c r="BC16" s="926"/>
      <c r="BD16" s="926"/>
      <c r="BE16" s="926"/>
      <c r="BF16" s="926"/>
      <c r="BG16" s="926"/>
      <c r="BH16" s="926"/>
      <c r="BI16" s="926"/>
      <c r="BJ16" s="926"/>
      <c r="BK16" s="926"/>
      <c r="BL16" s="926"/>
      <c r="BM16" s="926"/>
      <c r="BN16" s="926"/>
      <c r="BO16" s="926"/>
      <c r="BP16" s="926"/>
      <c r="BQ16" s="926"/>
      <c r="BR16" s="926"/>
      <c r="BS16" s="926"/>
      <c r="BT16" s="926"/>
      <c r="BU16" s="926"/>
      <c r="BV16" s="926"/>
      <c r="BW16" s="926"/>
      <c r="BX16" s="926"/>
      <c r="BY16" s="926"/>
      <c r="BZ16" s="926"/>
      <c r="CA16" s="926"/>
      <c r="CB16" s="926"/>
    </row>
    <row r="17" spans="1:112" s="5" customFormat="1" ht="8.25" x14ac:dyDescent="0.15">
      <c r="A17" s="932" t="s">
        <v>31</v>
      </c>
      <c r="B17" s="932"/>
      <c r="C17" s="932"/>
      <c r="D17" s="932"/>
      <c r="E17" s="932"/>
      <c r="F17" s="932"/>
      <c r="G17" s="932"/>
      <c r="H17" s="932"/>
      <c r="I17" s="932"/>
      <c r="J17" s="932"/>
      <c r="K17" s="932"/>
      <c r="L17" s="932"/>
      <c r="M17" s="932"/>
      <c r="N17" s="932"/>
      <c r="O17" s="932"/>
      <c r="P17" s="932"/>
      <c r="Q17" s="932"/>
      <c r="R17" s="932"/>
      <c r="S17" s="932"/>
      <c r="T17" s="932"/>
      <c r="U17" s="932"/>
      <c r="V17" s="932"/>
      <c r="W17" s="932"/>
      <c r="X17" s="932"/>
      <c r="Y17" s="932"/>
      <c r="Z17" s="932"/>
      <c r="AA17" s="932"/>
      <c r="AB17" s="932"/>
      <c r="AC17" s="932"/>
      <c r="AD17" s="932"/>
      <c r="AE17" s="932"/>
      <c r="AF17" s="932"/>
      <c r="AG17" s="932"/>
      <c r="AH17" s="932"/>
      <c r="AI17" s="932"/>
      <c r="AJ17" s="932"/>
      <c r="AK17" s="932"/>
      <c r="AL17" s="932"/>
      <c r="AM17" s="932"/>
      <c r="AN17" s="932"/>
      <c r="AO17" s="932"/>
      <c r="AP17" s="932"/>
      <c r="AQ17" s="932"/>
      <c r="AR17" s="932"/>
      <c r="AS17" s="932"/>
      <c r="AT17" s="932"/>
      <c r="AU17" s="932"/>
      <c r="AV17" s="932"/>
      <c r="AW17" s="932"/>
      <c r="AX17" s="932"/>
      <c r="AY17" s="932"/>
      <c r="AZ17" s="932"/>
      <c r="BA17" s="932"/>
      <c r="BB17" s="932"/>
      <c r="BC17" s="932"/>
      <c r="BD17" s="932"/>
      <c r="BE17" s="932"/>
      <c r="BF17" s="932"/>
      <c r="BG17" s="932"/>
      <c r="BH17" s="932"/>
      <c r="BI17" s="932"/>
      <c r="BJ17" s="932"/>
      <c r="BK17" s="932"/>
      <c r="BL17" s="932"/>
      <c r="BM17" s="932"/>
      <c r="BN17" s="932"/>
      <c r="BO17" s="932"/>
      <c r="BP17" s="932"/>
      <c r="BQ17" s="932"/>
      <c r="BR17" s="932"/>
      <c r="BS17" s="932"/>
      <c r="BT17" s="932"/>
      <c r="BU17" s="932"/>
      <c r="BV17" s="932"/>
      <c r="BW17" s="932"/>
      <c r="BX17" s="932"/>
      <c r="BY17" s="932"/>
      <c r="BZ17" s="932"/>
      <c r="CA17" s="932"/>
      <c r="CB17" s="932"/>
    </row>
    <row r="18" spans="1:112" s="5" customFormat="1" ht="11.25" x14ac:dyDescent="0.2">
      <c r="A18" s="926" t="str">
        <f>IF('Данные объект'!C45="","",'Данные объект'!C45)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112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112" s="11" customFormat="1" ht="11.25" x14ac:dyDescent="0.2">
      <c r="A20" s="11" t="s">
        <v>30</v>
      </c>
    </row>
    <row r="21" spans="1:112" s="11" customFormat="1" ht="11.25" x14ac:dyDescent="0.2">
      <c r="A21" s="926" t="str">
        <f>IF('Данные объект'!C28="","",'Данные объект'!C28)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112" s="5" customFormat="1" ht="8.25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112" s="5" customFormat="1" ht="8.25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spans="1:112" s="87" customFormat="1" ht="12.75" customHeight="1" x14ac:dyDescent="0.2">
      <c r="A24" s="1018" t="s">
        <v>1124</v>
      </c>
      <c r="B24" s="1018"/>
      <c r="C24" s="1018"/>
      <c r="D24" s="1018"/>
      <c r="E24" s="1018"/>
      <c r="F24" s="1018"/>
      <c r="G24" s="1018"/>
      <c r="H24" s="1018"/>
      <c r="I24" s="1018"/>
      <c r="J24" s="1018"/>
      <c r="K24" s="1018"/>
      <c r="L24" s="1018"/>
      <c r="M24" s="1018"/>
      <c r="N24" s="1018"/>
      <c r="O24" s="1018"/>
      <c r="P24" s="1018"/>
      <c r="Q24" s="1018"/>
      <c r="R24" s="1018"/>
      <c r="S24" s="1018"/>
      <c r="T24" s="1018"/>
      <c r="U24" s="1018"/>
      <c r="V24" s="1018"/>
      <c r="W24" s="1018"/>
      <c r="X24" s="1018"/>
      <c r="Y24" s="1018"/>
      <c r="Z24" s="1018"/>
      <c r="AA24" s="1129" t="s">
        <v>399</v>
      </c>
      <c r="AB24" s="1129"/>
      <c r="AC24" s="1129"/>
      <c r="AD24" s="1129"/>
      <c r="AE24" s="1129"/>
      <c r="AF24" s="1129"/>
      <c r="AG24" s="1129"/>
      <c r="AH24" s="1129"/>
      <c r="AI24" s="1129"/>
      <c r="AJ24" s="1129"/>
      <c r="AK24" s="1129"/>
      <c r="AL24" s="1129"/>
      <c r="AM24" s="1129"/>
      <c r="AN24" s="1129"/>
      <c r="AO24" s="1129"/>
      <c r="AP24" s="1129"/>
      <c r="AQ24" s="1129"/>
      <c r="AR24" s="1129"/>
      <c r="AS24" s="1129"/>
      <c r="AT24" s="1129"/>
      <c r="AU24" s="1129"/>
      <c r="AV24" s="1129"/>
      <c r="AW24" s="1129"/>
      <c r="AX24" s="1129"/>
      <c r="AY24" s="1129"/>
      <c r="AZ24" s="1129"/>
      <c r="BA24" s="1129"/>
      <c r="BB24" s="1129"/>
      <c r="BC24" s="1129"/>
      <c r="BD24" s="1129"/>
      <c r="BE24" s="1129"/>
      <c r="BF24" s="1129"/>
      <c r="BG24" s="1129"/>
      <c r="BH24" s="1129"/>
      <c r="BI24" s="1129"/>
      <c r="BJ24" s="1129"/>
      <c r="BK24" s="1129"/>
      <c r="BL24" s="1129"/>
      <c r="BM24" s="1129"/>
      <c r="BN24" s="1129"/>
      <c r="BO24" s="1129"/>
      <c r="BP24" s="1129"/>
      <c r="BQ24" s="1129"/>
      <c r="BR24" s="1129"/>
      <c r="BS24" s="1129"/>
      <c r="BT24" s="1129"/>
      <c r="BU24" s="1129"/>
      <c r="BV24" s="1129"/>
      <c r="BW24" s="1129"/>
      <c r="BX24" s="1129"/>
      <c r="BY24" s="1129"/>
      <c r="BZ24" s="1129"/>
      <c r="CA24" s="1129"/>
      <c r="CB24" s="1129"/>
      <c r="CC24" s="1129"/>
      <c r="CD24" s="1129"/>
      <c r="CE24" s="1129"/>
    </row>
    <row r="25" spans="1:112" s="87" customFormat="1" ht="15" customHeight="1" x14ac:dyDescent="0.2">
      <c r="A25" s="114" t="s">
        <v>276</v>
      </c>
    </row>
    <row r="26" spans="1:112" s="87" customFormat="1" ht="15.6" customHeight="1" x14ac:dyDescent="0.2">
      <c r="A26" s="947" t="s">
        <v>580</v>
      </c>
      <c r="B26" s="947"/>
      <c r="C26" s="947"/>
      <c r="D26" s="947"/>
      <c r="E26" s="947"/>
      <c r="F26" s="947"/>
      <c r="G26" s="947"/>
      <c r="H26" s="947"/>
      <c r="I26" s="947"/>
      <c r="J26" s="947"/>
      <c r="K26" s="947"/>
      <c r="L26" s="947"/>
      <c r="M26" s="947"/>
      <c r="N26" s="947"/>
      <c r="O26" s="947"/>
      <c r="P26" s="947"/>
      <c r="Q26" s="947"/>
      <c r="R26" s="947"/>
      <c r="S26" s="947"/>
      <c r="T26" s="947"/>
      <c r="U26" s="947"/>
      <c r="V26" s="947"/>
      <c r="W26" s="947"/>
      <c r="X26" s="947"/>
      <c r="Y26" s="947"/>
      <c r="Z26" s="947"/>
      <c r="AA26" s="947"/>
      <c r="AB26" s="926" t="str">
        <f>IF('Данные объект'!B56="","",'Данные объект'!B56)</f>
      </c>
      <c r="AC26" s="926"/>
      <c r="AD26" s="926"/>
      <c r="AE26" s="926"/>
      <c r="AF26" s="926"/>
      <c r="AG26" s="926"/>
      <c r="AH26" s="926"/>
      <c r="AI26" s="926"/>
      <c r="AJ26" s="926"/>
      <c r="AK26" s="926"/>
      <c r="AL26" s="926"/>
      <c r="AM26" s="926"/>
      <c r="AN26" s="926"/>
      <c r="AO26" s="926"/>
      <c r="AP26" s="926"/>
      <c r="AQ26" s="926"/>
      <c r="AR26" s="926"/>
      <c r="AS26" s="1031" t="s">
        <v>581</v>
      </c>
      <c r="AT26" s="1031"/>
      <c r="AU26" s="1031"/>
      <c r="AV26" s="1031"/>
      <c r="AW26" s="1031"/>
      <c r="AX26" s="1031"/>
      <c r="AY26" s="1031"/>
      <c r="AZ26" s="1031"/>
      <c r="BA26" s="1031"/>
      <c r="BB26" s="1031"/>
      <c r="BC26" s="1031"/>
      <c r="BD26" s="1031"/>
      <c r="BE26" s="1031"/>
      <c r="BF26" s="1031"/>
      <c r="BG26" s="1031"/>
      <c r="BH26" s="1031"/>
      <c r="BI26" s="1031"/>
      <c r="BJ26" s="1031"/>
      <c r="BK26" s="1031"/>
      <c r="BL26" s="1031"/>
      <c r="BM26" s="1031"/>
      <c r="BN26" s="1031"/>
      <c r="BO26" s="1031"/>
      <c r="BP26" s="1031"/>
      <c r="BQ26" s="1031"/>
      <c r="BR26" s="1031"/>
      <c r="BS26" s="1031"/>
      <c r="BT26" s="1031"/>
      <c r="BU26" s="1031"/>
      <c r="BV26" s="1031"/>
      <c r="BW26" s="1031"/>
      <c r="BX26" s="1031"/>
    </row>
    <row r="27" spans="1:112" s="87" customFormat="1" ht="13.9" customHeight="1" x14ac:dyDescent="0.2">
      <c r="A27" s="1018" t="s">
        <v>1354</v>
      </c>
      <c r="B27" s="1018"/>
      <c r="C27" s="1018"/>
      <c r="D27" s="1018"/>
      <c r="E27" s="1018"/>
      <c r="F27" s="1018"/>
      <c r="G27" s="1018"/>
      <c r="H27" s="1018"/>
      <c r="I27" s="1018"/>
      <c r="J27" s="1018"/>
      <c r="K27" s="1018"/>
      <c r="L27" s="1018"/>
      <c r="M27" s="1018"/>
      <c r="N27" s="1018"/>
      <c r="O27" s="1018"/>
      <c r="P27" s="1018"/>
      <c r="Q27" s="1018"/>
      <c r="R27" s="1018"/>
      <c r="S27" s="1018"/>
      <c r="T27" s="1018"/>
      <c r="U27" s="1018"/>
      <c r="V27" s="1018"/>
      <c r="W27" s="1018"/>
      <c r="X27" s="1018"/>
      <c r="Y27" s="1018"/>
      <c r="Z27" s="1018"/>
      <c r="DH27" s="184"/>
    </row>
    <row r="28" spans="1:112" s="87" customFormat="1" hidden="1" x14ac:dyDescent="0.25">
      <c r="A28" s="88" t="s">
        <v>281</v>
      </c>
      <c r="B28" s="1022" t="s">
        <v>479</v>
      </c>
      <c r="C28" s="1023" t="s">
        <v>435</v>
      </c>
      <c r="D28" s="89" t="s">
        <v>435</v>
      </c>
      <c r="E28" s="89" t="s">
        <v>435</v>
      </c>
      <c r="F28" s="89" t="s">
        <v>435</v>
      </c>
      <c r="G28" s="89" t="s">
        <v>435</v>
      </c>
      <c r="H28" s="89" t="s">
        <v>435</v>
      </c>
      <c r="I28" s="89" t="s">
        <v>435</v>
      </c>
      <c r="J28" s="89" t="s">
        <v>435</v>
      </c>
    </row>
    <row r="29" spans="1:112" s="87" customFormat="1" ht="12.75" hidden="1" x14ac:dyDescent="0.2">
      <c r="A29" s="1019" t="s">
        <v>1125</v>
      </c>
      <c r="B29" s="972"/>
      <c r="C29" s="972"/>
      <c r="D29" s="972"/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972"/>
      <c r="AC29" s="972"/>
      <c r="AD29" s="972"/>
      <c r="AE29" s="972"/>
      <c r="AF29" s="972"/>
      <c r="AG29" s="972"/>
      <c r="AH29" s="972"/>
    </row>
    <row r="30" spans="1:112" s="87" customFormat="1" ht="13.15" hidden="1" customHeight="1" x14ac:dyDescent="0.25">
      <c r="A30" s="86" t="s">
        <v>435</v>
      </c>
      <c r="B30" s="1024" t="s">
        <v>478</v>
      </c>
      <c r="C30" s="1024"/>
      <c r="D30" s="1024"/>
      <c r="E30" s="1024"/>
      <c r="F30" s="1024"/>
      <c r="G30" s="1024"/>
      <c r="H30" s="1024"/>
      <c r="I30" s="1024"/>
      <c r="J30" s="1024"/>
      <c r="K30" s="1024"/>
      <c r="L30" s="1024"/>
      <c r="M30" s="1024"/>
      <c r="N30" s="1024"/>
      <c r="O30" s="1024"/>
      <c r="P30" s="1024"/>
      <c r="Q30" s="1024"/>
      <c r="R30" s="1024"/>
      <c r="S30" s="1024"/>
      <c r="T30" s="1024"/>
      <c r="U30" s="1024"/>
      <c r="V30" s="1024"/>
      <c r="W30" s="1024"/>
      <c r="X30" s="1024"/>
      <c r="Y30" s="1024"/>
      <c r="Z30" s="1024"/>
      <c r="AA30" s="1024"/>
      <c r="AB30" s="1024"/>
      <c r="AC30" s="1024"/>
      <c r="AD30" s="1024"/>
      <c r="AE30" s="1024"/>
      <c r="AF30" s="1024"/>
      <c r="AG30" s="1024"/>
      <c r="AH30" s="1024"/>
      <c r="AI30" s="1024"/>
      <c r="AJ30" s="1024"/>
      <c r="AK30" s="1024"/>
      <c r="AL30" s="1024"/>
      <c r="AM30" s="1024"/>
      <c r="AN30" s="1024"/>
      <c r="AO30" s="1024"/>
    </row>
    <row r="31" spans="1:112" s="87" customFormat="1" ht="15" customHeight="1" x14ac:dyDescent="0.2">
      <c r="A31" s="292" t="s">
        <v>1126</v>
      </c>
      <c r="B31" s="293"/>
      <c r="C31" s="293"/>
      <c r="D31" s="293"/>
      <c r="E31" s="293"/>
      <c r="F31" s="293"/>
      <c r="G31" s="293"/>
      <c r="H31" s="293"/>
      <c r="I31" s="293"/>
      <c r="J31" s="293"/>
    </row>
    <row r="32" spans="1:112" s="93" customFormat="1" ht="22.5" customHeight="1" x14ac:dyDescent="0.2">
      <c r="A32" s="1120" t="s">
        <v>73</v>
      </c>
      <c r="B32" s="1120"/>
      <c r="C32" s="1120"/>
      <c r="D32" s="1120"/>
      <c r="E32" s="1120"/>
      <c r="F32" s="1121" t="s">
        <v>582</v>
      </c>
      <c r="G32" s="1122"/>
      <c r="H32" s="1122"/>
      <c r="I32" s="1122"/>
      <c r="J32" s="1122"/>
      <c r="K32" s="1122"/>
      <c r="L32" s="1122"/>
      <c r="M32" s="1122"/>
      <c r="N32" s="1122"/>
      <c r="O32" s="1122"/>
      <c r="P32" s="1122"/>
      <c r="Q32" s="1123"/>
      <c r="R32" s="1127" t="s">
        <v>476</v>
      </c>
      <c r="S32" s="1127"/>
      <c r="T32" s="1127"/>
      <c r="U32" s="1127"/>
      <c r="V32" s="1127"/>
      <c r="W32" s="1127"/>
      <c r="X32" s="1127"/>
      <c r="Y32" s="1127"/>
      <c r="Z32" s="1127"/>
      <c r="AA32" s="1127"/>
      <c r="AB32" s="1128" t="s">
        <v>475</v>
      </c>
      <c r="AC32" s="1128"/>
      <c r="AD32" s="1128"/>
      <c r="AE32" s="1128"/>
      <c r="AF32" s="1128"/>
      <c r="AG32" s="1128"/>
      <c r="AH32" s="1128"/>
      <c r="AI32" s="1128"/>
      <c r="AJ32" s="1128"/>
      <c r="AK32" s="1128"/>
      <c r="AL32" s="1128"/>
      <c r="AM32" s="1128"/>
      <c r="AN32" s="1128"/>
      <c r="AO32" s="1128"/>
      <c r="AP32" s="1130" t="s">
        <v>1128</v>
      </c>
      <c r="AQ32" s="1131"/>
      <c r="AR32" s="1131"/>
      <c r="AS32" s="1131"/>
      <c r="AT32" s="1131"/>
      <c r="AU32" s="1131"/>
      <c r="AV32" s="1131"/>
      <c r="AW32" s="1131"/>
      <c r="AX32" s="1131"/>
      <c r="AY32" s="1131"/>
      <c r="AZ32" s="1131"/>
      <c r="BA32" s="1131"/>
      <c r="BB32" s="1131"/>
      <c r="BC32" s="1131"/>
      <c r="BD32" s="1131"/>
      <c r="BE32" s="1131"/>
      <c r="BF32" s="1131"/>
      <c r="BG32" s="1131"/>
      <c r="BH32" s="1131"/>
      <c r="BI32" s="1131"/>
      <c r="BJ32" s="1131"/>
      <c r="BK32" s="1131"/>
      <c r="BL32" s="1131"/>
      <c r="BM32" s="1131"/>
      <c r="BN32" s="1131"/>
      <c r="BO32" s="1131"/>
      <c r="BP32" s="1131"/>
      <c r="BQ32" s="1131"/>
      <c r="BR32" s="1132"/>
      <c r="BS32" s="1133" t="s">
        <v>0</v>
      </c>
      <c r="BT32" s="1133"/>
      <c r="BU32" s="1133"/>
      <c r="BV32" s="1133"/>
      <c r="BW32" s="1133"/>
      <c r="BX32" s="1133"/>
      <c r="BY32" s="1133"/>
      <c r="BZ32" s="1133"/>
      <c r="CA32" s="1133"/>
      <c r="CB32" s="1133"/>
      <c r="CC32" s="1133"/>
      <c r="CD32" s="1133"/>
      <c r="CE32" s="1133"/>
    </row>
    <row r="33" spans="1:83" s="93" customFormat="1" ht="33.75" customHeight="1" x14ac:dyDescent="0.2">
      <c r="A33" s="1120"/>
      <c r="B33" s="1120"/>
      <c r="C33" s="1120"/>
      <c r="D33" s="1120"/>
      <c r="E33" s="1120"/>
      <c r="F33" s="1124"/>
      <c r="G33" s="1125"/>
      <c r="H33" s="1125"/>
      <c r="I33" s="1125"/>
      <c r="J33" s="1125"/>
      <c r="K33" s="1125"/>
      <c r="L33" s="1125"/>
      <c r="M33" s="1125"/>
      <c r="N33" s="1125"/>
      <c r="O33" s="1125"/>
      <c r="P33" s="1125"/>
      <c r="Q33" s="1126"/>
      <c r="R33" s="1133" t="s">
        <v>1192</v>
      </c>
      <c r="S33" s="1120"/>
      <c r="T33" s="1120"/>
      <c r="U33" s="1120"/>
      <c r="V33" s="1120"/>
      <c r="W33" s="1120"/>
      <c r="X33" s="1120"/>
      <c r="Y33" s="1120"/>
      <c r="Z33" s="1120"/>
      <c r="AA33" s="1120"/>
      <c r="AB33" s="1127" t="s">
        <v>473</v>
      </c>
      <c r="AC33" s="1127"/>
      <c r="AD33" s="1127"/>
      <c r="AE33" s="1127"/>
      <c r="AF33" s="1127"/>
      <c r="AG33" s="1127"/>
      <c r="AH33" s="1127" t="s">
        <v>472</v>
      </c>
      <c r="AI33" s="1127"/>
      <c r="AJ33" s="1127"/>
      <c r="AK33" s="1127"/>
      <c r="AL33" s="1127"/>
      <c r="AM33" s="1127"/>
      <c r="AN33" s="1127"/>
      <c r="AO33" s="1127"/>
      <c r="AP33" s="1133" t="s">
        <v>471</v>
      </c>
      <c r="AQ33" s="1133"/>
      <c r="AR33" s="1133"/>
      <c r="AS33" s="1133"/>
      <c r="AT33" s="1133"/>
      <c r="AU33" s="1133"/>
      <c r="AV33" s="1133"/>
      <c r="AW33" s="1133"/>
      <c r="AX33" s="1133" t="s">
        <v>470</v>
      </c>
      <c r="AY33" s="1133"/>
      <c r="AZ33" s="1133"/>
      <c r="BA33" s="1133"/>
      <c r="BB33" s="1133"/>
      <c r="BC33" s="1133"/>
      <c r="BD33" s="1133"/>
      <c r="BE33" s="1133" t="s">
        <v>469</v>
      </c>
      <c r="BF33" s="1133"/>
      <c r="BG33" s="1133"/>
      <c r="BH33" s="1133"/>
      <c r="BI33" s="1133"/>
      <c r="BJ33" s="1133"/>
      <c r="BK33" s="1133"/>
      <c r="BL33" s="1133" t="s">
        <v>468</v>
      </c>
      <c r="BM33" s="1133"/>
      <c r="BN33" s="1133"/>
      <c r="BO33" s="1133"/>
      <c r="BP33" s="1133"/>
      <c r="BQ33" s="1133"/>
      <c r="BR33" s="1133"/>
      <c r="BS33" s="1133"/>
      <c r="BT33" s="1133"/>
      <c r="BU33" s="1133"/>
      <c r="BV33" s="1133"/>
      <c r="BW33" s="1133"/>
      <c r="BX33" s="1133"/>
      <c r="BY33" s="1133"/>
      <c r="BZ33" s="1133"/>
      <c r="CA33" s="1133"/>
      <c r="CB33" s="1133"/>
      <c r="CC33" s="1133"/>
      <c r="CD33" s="1133"/>
      <c r="CE33" s="1133"/>
    </row>
    <row r="34" spans="1:83" s="87" customFormat="1" ht="23.25" customHeight="1" x14ac:dyDescent="0.2">
      <c r="A34" s="1134">
        <v>1</v>
      </c>
      <c r="B34" s="1135"/>
      <c r="C34" s="1135"/>
      <c r="D34" s="1135"/>
      <c r="E34" s="1136"/>
      <c r="F34" s="1143" t="s">
        <v>1190</v>
      </c>
      <c r="G34" s="1144"/>
      <c r="H34" s="1144"/>
      <c r="I34" s="1144"/>
      <c r="J34" s="1144"/>
      <c r="K34" s="1144"/>
      <c r="L34" s="1144"/>
      <c r="M34" s="1144"/>
      <c r="N34" s="1144"/>
      <c r="O34" s="1144"/>
      <c r="P34" s="1144"/>
      <c r="Q34" s="1144"/>
      <c r="R34" s="1037" t="s">
        <v>101</v>
      </c>
      <c r="S34" s="1037"/>
      <c r="T34" s="1037"/>
      <c r="U34" s="1037"/>
      <c r="V34" s="1037"/>
      <c r="W34" s="1037"/>
      <c r="X34" s="1037"/>
      <c r="Y34" s="1037"/>
      <c r="Z34" s="1037"/>
      <c r="AA34" s="1037"/>
      <c r="AB34" s="1037" t="s">
        <v>101</v>
      </c>
      <c r="AC34" s="1037"/>
      <c r="AD34" s="1037"/>
      <c r="AE34" s="1037"/>
      <c r="AF34" s="1037"/>
      <c r="AG34" s="1037"/>
      <c r="AH34" s="1034" t="s">
        <v>101</v>
      </c>
      <c r="AI34" s="1035"/>
      <c r="AJ34" s="1035"/>
      <c r="AK34" s="1035"/>
      <c r="AL34" s="1035"/>
      <c r="AM34" s="1035"/>
      <c r="AN34" s="1035"/>
      <c r="AO34" s="1035"/>
      <c r="AP34" s="1145" t="s">
        <v>1193</v>
      </c>
      <c r="AQ34" s="1146"/>
      <c r="AR34" s="1146"/>
      <c r="AS34" s="1146"/>
      <c r="AT34" s="1146"/>
      <c r="AU34" s="1146"/>
      <c r="AV34" s="1146"/>
      <c r="AW34" s="1147"/>
      <c r="AX34" s="1032" t="s">
        <v>585</v>
      </c>
      <c r="AY34" s="1032"/>
      <c r="AZ34" s="1032"/>
      <c r="BA34" s="1032"/>
      <c r="BB34" s="1032"/>
      <c r="BC34" s="1032"/>
      <c r="BD34" s="1032"/>
      <c r="BE34" s="1032">
        <v>9</v>
      </c>
      <c r="BF34" s="1032"/>
      <c r="BG34" s="1032"/>
      <c r="BH34" s="1032"/>
      <c r="BI34" s="1032"/>
      <c r="BJ34" s="1032"/>
      <c r="BK34" s="1032"/>
      <c r="BL34" s="1032">
        <v>1</v>
      </c>
      <c r="BM34" s="1032"/>
      <c r="BN34" s="1032"/>
      <c r="BO34" s="1032"/>
      <c r="BP34" s="1032"/>
      <c r="BQ34" s="1032"/>
      <c r="BR34" s="1032"/>
      <c r="BS34" s="1032"/>
      <c r="BT34" s="1032"/>
      <c r="BU34" s="1032"/>
      <c r="BV34" s="1032"/>
      <c r="BW34" s="1032"/>
      <c r="BX34" s="1032"/>
      <c r="BY34" s="1032"/>
      <c r="BZ34" s="1032"/>
      <c r="CA34" s="1032"/>
      <c r="CB34" s="1032"/>
      <c r="CC34" s="1032"/>
      <c r="CD34" s="1032"/>
      <c r="CE34" s="1032"/>
    </row>
    <row r="35" spans="1:83" s="87" customFormat="1" ht="26.25" customHeight="1" x14ac:dyDescent="0.2">
      <c r="A35" s="1137"/>
      <c r="B35" s="1138"/>
      <c r="C35" s="1138"/>
      <c r="D35" s="1138"/>
      <c r="E35" s="1139"/>
      <c r="F35" s="1143" t="s">
        <v>1191</v>
      </c>
      <c r="G35" s="1143"/>
      <c r="H35" s="1143"/>
      <c r="I35" s="1143"/>
      <c r="J35" s="1143"/>
      <c r="K35" s="1143"/>
      <c r="L35" s="1143"/>
      <c r="M35" s="1143"/>
      <c r="N35" s="1143"/>
      <c r="O35" s="1143"/>
      <c r="P35" s="1143"/>
      <c r="Q35" s="1143"/>
      <c r="R35" s="1037" t="s">
        <v>101</v>
      </c>
      <c r="S35" s="1037"/>
      <c r="T35" s="1037"/>
      <c r="U35" s="1037"/>
      <c r="V35" s="1037"/>
      <c r="W35" s="1037"/>
      <c r="X35" s="1037"/>
      <c r="Y35" s="1037"/>
      <c r="Z35" s="1037"/>
      <c r="AA35" s="1037"/>
      <c r="AB35" s="1037" t="s">
        <v>101</v>
      </c>
      <c r="AC35" s="1037"/>
      <c r="AD35" s="1037"/>
      <c r="AE35" s="1037"/>
      <c r="AF35" s="1037"/>
      <c r="AG35" s="1037"/>
      <c r="AH35" s="1034" t="s">
        <v>101</v>
      </c>
      <c r="AI35" s="1035"/>
      <c r="AJ35" s="1035"/>
      <c r="AK35" s="1035"/>
      <c r="AL35" s="1035"/>
      <c r="AM35" s="1035"/>
      <c r="AN35" s="1035"/>
      <c r="AO35" s="1035"/>
      <c r="AP35" s="1145" t="s">
        <v>1194</v>
      </c>
      <c r="AQ35" s="1146"/>
      <c r="AR35" s="1146"/>
      <c r="AS35" s="1146"/>
      <c r="AT35" s="1146"/>
      <c r="AU35" s="1146"/>
      <c r="AV35" s="1146"/>
      <c r="AW35" s="1147"/>
      <c r="AX35" s="1032" t="s">
        <v>586</v>
      </c>
      <c r="AY35" s="1032"/>
      <c r="AZ35" s="1032"/>
      <c r="BA35" s="1032"/>
      <c r="BB35" s="1032"/>
      <c r="BC35" s="1032"/>
      <c r="BD35" s="1032"/>
      <c r="BE35" s="1032">
        <v>8.3000000000000007</v>
      </c>
      <c r="BF35" s="1032"/>
      <c r="BG35" s="1032"/>
      <c r="BH35" s="1032"/>
      <c r="BI35" s="1032"/>
      <c r="BJ35" s="1032"/>
      <c r="BK35" s="1032"/>
      <c r="BL35" s="1032">
        <v>1</v>
      </c>
      <c r="BM35" s="1032"/>
      <c r="BN35" s="1032"/>
      <c r="BO35" s="1032"/>
      <c r="BP35" s="1032"/>
      <c r="BQ35" s="1032"/>
      <c r="BR35" s="1032"/>
      <c r="BS35" s="1037" t="s">
        <v>101</v>
      </c>
      <c r="BT35" s="1037"/>
      <c r="BU35" s="1037"/>
      <c r="BV35" s="1037"/>
      <c r="BW35" s="1037"/>
      <c r="BX35" s="1037"/>
      <c r="BY35" s="1037"/>
      <c r="BZ35" s="1037"/>
      <c r="CA35" s="1037"/>
      <c r="CB35" s="1037"/>
      <c r="CC35" s="1037"/>
      <c r="CD35" s="1037"/>
      <c r="CE35" s="1037"/>
    </row>
    <row r="36" spans="1:83" s="87" customFormat="1" ht="21.75" customHeight="1" x14ac:dyDescent="0.2">
      <c r="A36" s="1140"/>
      <c r="B36" s="1141"/>
      <c r="C36" s="1141"/>
      <c r="D36" s="1141"/>
      <c r="E36" s="1142"/>
      <c r="F36" s="1144" t="s">
        <v>359</v>
      </c>
      <c r="G36" s="1144"/>
      <c r="H36" s="1144"/>
      <c r="I36" s="1144"/>
      <c r="J36" s="1144"/>
      <c r="K36" s="1144"/>
      <c r="L36" s="1144"/>
      <c r="M36" s="1144"/>
      <c r="N36" s="1144"/>
      <c r="O36" s="1144"/>
      <c r="P36" s="1144"/>
      <c r="Q36" s="1144"/>
      <c r="R36" s="1037" t="s">
        <v>101</v>
      </c>
      <c r="S36" s="1037"/>
      <c r="T36" s="1037"/>
      <c r="U36" s="1037"/>
      <c r="V36" s="1037"/>
      <c r="W36" s="1037"/>
      <c r="X36" s="1037"/>
      <c r="Y36" s="1037"/>
      <c r="Z36" s="1037"/>
      <c r="AA36" s="1037"/>
      <c r="AB36" s="1037" t="s">
        <v>101</v>
      </c>
      <c r="AC36" s="1037"/>
      <c r="AD36" s="1037"/>
      <c r="AE36" s="1037"/>
      <c r="AF36" s="1037"/>
      <c r="AG36" s="1037"/>
      <c r="AH36" s="1034" t="s">
        <v>101</v>
      </c>
      <c r="AI36" s="1035"/>
      <c r="AJ36" s="1035"/>
      <c r="AK36" s="1035"/>
      <c r="AL36" s="1035"/>
      <c r="AM36" s="1035"/>
      <c r="AN36" s="1035"/>
      <c r="AO36" s="1035"/>
      <c r="AP36" s="1034" t="s">
        <v>1363</v>
      </c>
      <c r="AQ36" s="1035"/>
      <c r="AR36" s="1035"/>
      <c r="AS36" s="1035"/>
      <c r="AT36" s="1035"/>
      <c r="AU36" s="1035"/>
      <c r="AV36" s="1035"/>
      <c r="AW36" s="1038"/>
      <c r="AX36" s="1032" t="s">
        <v>1129</v>
      </c>
      <c r="AY36" s="1032"/>
      <c r="AZ36" s="1032"/>
      <c r="BA36" s="1032"/>
      <c r="BB36" s="1032"/>
      <c r="BC36" s="1032"/>
      <c r="BD36" s="1032"/>
      <c r="BE36" s="1032">
        <v>2</v>
      </c>
      <c r="BF36" s="1032"/>
      <c r="BG36" s="1032"/>
      <c r="BH36" s="1032"/>
      <c r="BI36" s="1032"/>
      <c r="BJ36" s="1032"/>
      <c r="BK36" s="1032"/>
      <c r="BL36" s="1032"/>
      <c r="BM36" s="1032"/>
      <c r="BN36" s="1032"/>
      <c r="BO36" s="1032"/>
      <c r="BP36" s="1032"/>
      <c r="BQ36" s="1032"/>
      <c r="BR36" s="1032"/>
      <c r="BS36" s="1145" t="s">
        <v>1127</v>
      </c>
      <c r="BT36" s="1146"/>
      <c r="BU36" s="1146"/>
      <c r="BV36" s="1146"/>
      <c r="BW36" s="1146"/>
      <c r="BX36" s="1146"/>
      <c r="BY36" s="1146"/>
      <c r="BZ36" s="1146"/>
      <c r="CA36" s="1146"/>
      <c r="CB36" s="1146"/>
      <c r="CC36" s="1146"/>
      <c r="CD36" s="1146"/>
      <c r="CE36" s="1146"/>
    </row>
    <row r="37" spans="1:83" s="87" customFormat="1" ht="19.149999999999999" customHeight="1" x14ac:dyDescent="0.25">
      <c r="A37" s="91"/>
      <c r="B37" s="86"/>
      <c r="C37" s="86"/>
      <c r="D37" s="86"/>
      <c r="E37" s="86"/>
      <c r="F37" s="86"/>
      <c r="G37" s="86"/>
      <c r="H37" s="86"/>
      <c r="I37" s="86"/>
      <c r="J37" s="86"/>
    </row>
    <row r="38" spans="1:83" s="87" customFormat="1" ht="15" customHeight="1" x14ac:dyDescent="0.2">
      <c r="A38" s="242" t="s">
        <v>457</v>
      </c>
      <c r="B38" s="116"/>
      <c r="C38" s="116"/>
      <c r="D38" s="116"/>
      <c r="E38" s="116"/>
      <c r="F38" s="116"/>
      <c r="G38" s="116"/>
      <c r="H38" s="116"/>
      <c r="I38" s="116"/>
      <c r="J38" s="116"/>
    </row>
    <row r="39" spans="1:83" s="87" customFormat="1" ht="15" customHeight="1" x14ac:dyDescent="0.2">
      <c r="A39" s="100" t="s">
        <v>467</v>
      </c>
      <c r="B39" s="93"/>
      <c r="C39" s="93"/>
      <c r="D39" s="93"/>
      <c r="E39" s="93"/>
      <c r="F39" s="93"/>
      <c r="G39" s="93"/>
      <c r="H39" s="93"/>
      <c r="I39" s="93"/>
      <c r="J39" s="93"/>
    </row>
    <row r="40" spans="1:83" s="87" customFormat="1" ht="12.75" x14ac:dyDescent="0.2">
      <c r="A40" s="94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U40" s="95"/>
      <c r="V40" s="94"/>
      <c r="W40" s="94"/>
    </row>
    <row r="41" spans="1:83" s="2" customFormat="1" ht="12.75" x14ac:dyDescent="0.2">
      <c r="A41" s="11"/>
      <c r="B41" s="11"/>
      <c r="C41" s="11"/>
      <c r="D41" s="45" t="s">
        <v>59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855"/>
      <c r="AN41" s="855"/>
      <c r="AO41" s="855"/>
      <c r="AP41" s="855"/>
      <c r="AQ41" s="855"/>
      <c r="AR41" s="855"/>
      <c r="AS41" s="855"/>
      <c r="AT41" s="855"/>
      <c r="AU41" s="855"/>
      <c r="AV41" s="855"/>
      <c r="AW41" s="855"/>
      <c r="AX41" s="855"/>
      <c r="AY41" s="855"/>
      <c r="AZ41" s="11"/>
      <c r="BA41" s="11"/>
      <c r="BB41" s="11"/>
      <c r="BC41" s="893" t="str">
        <f>IF('Данные объект'!B42="","",'Данные объект'!B42)</f>
      </c>
      <c r="BD41" s="893"/>
      <c r="BE41" s="893"/>
      <c r="BF41" s="893"/>
      <c r="BG41" s="893"/>
      <c r="BH41" s="893"/>
      <c r="BI41" s="893"/>
      <c r="BJ41" s="893"/>
      <c r="BK41" s="893"/>
      <c r="BL41" s="893"/>
      <c r="BM41" s="893"/>
      <c r="BN41" s="893"/>
      <c r="BO41" s="893"/>
      <c r="BP41" s="893"/>
      <c r="BQ41" s="893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</row>
    <row r="42" spans="1:83" s="5" customFormat="1" ht="9.75" x14ac:dyDescent="0.2">
      <c r="C42" s="20"/>
      <c r="E42" s="21"/>
      <c r="F42" s="21"/>
      <c r="G42" s="20"/>
      <c r="H42" s="20"/>
      <c r="I42" s="20"/>
      <c r="J42" s="20"/>
      <c r="K42" s="20"/>
      <c r="L42" s="20"/>
      <c r="M42" s="20"/>
      <c r="AM42" s="858" t="s">
        <v>2</v>
      </c>
      <c r="AN42" s="858"/>
      <c r="AO42" s="858"/>
      <c r="AP42" s="858"/>
      <c r="AQ42" s="858"/>
      <c r="AR42" s="858"/>
      <c r="AS42" s="858"/>
      <c r="AT42" s="858"/>
      <c r="AU42" s="858"/>
      <c r="AV42" s="858"/>
      <c r="AW42" s="858"/>
      <c r="AX42" s="858"/>
      <c r="AY42" s="858"/>
    </row>
    <row r="43" spans="1:83" s="5" customFormat="1" ht="9.75" x14ac:dyDescent="0.2">
      <c r="C43" s="20"/>
      <c r="E43" s="21"/>
      <c r="F43" s="21"/>
      <c r="G43" s="20"/>
      <c r="H43" s="20"/>
      <c r="I43" s="20"/>
      <c r="J43" s="20"/>
      <c r="K43" s="20"/>
      <c r="L43" s="20"/>
      <c r="M43" s="20"/>
      <c r="AM43" s="317"/>
      <c r="AN43" s="317"/>
      <c r="AO43" s="317"/>
      <c r="AP43" s="317"/>
      <c r="AQ43" s="317"/>
      <c r="AR43" s="317"/>
      <c r="AS43" s="317"/>
      <c r="AT43" s="317"/>
      <c r="AU43" s="317"/>
      <c r="AV43" s="317"/>
      <c r="AW43" s="317"/>
      <c r="AX43" s="317"/>
      <c r="AY43" s="317"/>
    </row>
    <row r="44" spans="1:83" s="5" customFormat="1" ht="11.25" x14ac:dyDescent="0.2">
      <c r="C44" s="20"/>
      <c r="E44" s="21"/>
      <c r="F44" s="21"/>
      <c r="G44" s="20"/>
      <c r="H44" s="20"/>
      <c r="I44" s="20"/>
      <c r="J44" s="20"/>
      <c r="K44" s="20"/>
      <c r="L44" s="20"/>
      <c r="M44" s="20"/>
      <c r="AM44" s="855"/>
      <c r="AN44" s="855"/>
      <c r="AO44" s="855"/>
      <c r="AP44" s="855"/>
      <c r="AQ44" s="855"/>
      <c r="AR44" s="855"/>
      <c r="AS44" s="855"/>
      <c r="AT44" s="855"/>
      <c r="AU44" s="855"/>
      <c r="AV44" s="855"/>
      <c r="AW44" s="855"/>
      <c r="AX44" s="855"/>
      <c r="AY44" s="855"/>
      <c r="BC44" s="893" t="str">
        <f>IF('Данные объект'!$B$47="","",'Данные объект'!$B$47)</f>
      </c>
      <c r="BD44" s="893"/>
      <c r="BE44" s="893"/>
      <c r="BF44" s="893"/>
      <c r="BG44" s="893"/>
      <c r="BH44" s="893"/>
      <c r="BI44" s="893"/>
      <c r="BJ44" s="893"/>
      <c r="BK44" s="893"/>
      <c r="BL44" s="893"/>
      <c r="BM44" s="893"/>
      <c r="BN44" s="893"/>
      <c r="BO44" s="893"/>
      <c r="BP44" s="893"/>
      <c r="BQ44" s="893"/>
    </row>
    <row r="45" spans="1:83" s="5" customFormat="1" ht="9.75" x14ac:dyDescent="0.2">
      <c r="C45" s="20"/>
      <c r="E45" s="21"/>
      <c r="F45" s="21"/>
      <c r="G45" s="20"/>
      <c r="H45" s="20"/>
      <c r="I45" s="20"/>
      <c r="J45" s="20"/>
      <c r="K45" s="20"/>
      <c r="L45" s="20"/>
      <c r="M45" s="20"/>
      <c r="AM45" s="858" t="s">
        <v>2</v>
      </c>
      <c r="AN45" s="858"/>
      <c r="AO45" s="858"/>
      <c r="AP45" s="858"/>
      <c r="AQ45" s="858"/>
      <c r="AR45" s="858"/>
      <c r="AS45" s="858"/>
      <c r="AT45" s="858"/>
      <c r="AU45" s="858"/>
      <c r="AV45" s="858"/>
      <c r="AW45" s="858"/>
      <c r="AX45" s="858"/>
      <c r="AY45" s="858"/>
    </row>
    <row r="46" spans="1:83" s="5" customFormat="1" ht="12.75" outlineLevel="1" x14ac:dyDescent="0.2">
      <c r="C46" s="20"/>
      <c r="D46" s="21"/>
      <c r="E46" s="21"/>
      <c r="F46" s="21"/>
      <c r="G46" s="20"/>
      <c r="H46" s="20"/>
      <c r="I46" s="20"/>
      <c r="J46" s="20"/>
      <c r="K46" s="20"/>
      <c r="L46" s="20"/>
      <c r="M46" s="20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</row>
    <row r="47" spans="1:83" s="11" customFormat="1" ht="11.25" x14ac:dyDescent="0.2">
      <c r="C47" s="57"/>
      <c r="D47" s="45" t="s">
        <v>61</v>
      </c>
      <c r="E47" s="45"/>
      <c r="F47" s="45"/>
      <c r="G47" s="57"/>
      <c r="H47" s="57"/>
      <c r="I47" s="57"/>
      <c r="J47" s="57"/>
      <c r="K47" s="57"/>
      <c r="L47" s="57"/>
      <c r="M47" s="57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BC47" s="893" t="str">
        <f>IF('Данные объект'!B28="","",'Данные объект'!B28)</f>
      </c>
      <c r="BD47" s="893"/>
      <c r="BE47" s="893"/>
      <c r="BF47" s="893"/>
      <c r="BG47" s="893"/>
      <c r="BH47" s="893"/>
      <c r="BI47" s="893"/>
      <c r="BJ47" s="893"/>
      <c r="BK47" s="893"/>
      <c r="BL47" s="893"/>
      <c r="BM47" s="893"/>
      <c r="BN47" s="893"/>
      <c r="BO47" s="893"/>
      <c r="BP47" s="893"/>
      <c r="BQ47" s="893"/>
    </row>
    <row r="48" spans="1:83" s="5" customFormat="1" ht="9.75" x14ac:dyDescent="0.2">
      <c r="C48" s="20"/>
      <c r="E48" s="21"/>
      <c r="F48" s="21"/>
      <c r="G48" s="20"/>
      <c r="H48" s="20"/>
      <c r="I48" s="20"/>
      <c r="J48" s="20"/>
      <c r="K48" s="20"/>
      <c r="L48" s="20"/>
      <c r="M48" s="20"/>
      <c r="AM48" s="858" t="s">
        <v>2</v>
      </c>
      <c r="AN48" s="858"/>
      <c r="AO48" s="858"/>
      <c r="AP48" s="858"/>
      <c r="AQ48" s="858"/>
      <c r="AR48" s="858"/>
      <c r="AS48" s="858"/>
      <c r="AT48" s="858"/>
      <c r="AU48" s="858"/>
      <c r="AV48" s="858"/>
      <c r="AW48" s="858"/>
      <c r="AX48" s="858"/>
      <c r="AY48" s="858"/>
    </row>
    <row r="49" spans="1:172" s="87" customFormat="1" ht="19.899999999999999" customHeight="1" x14ac:dyDescent="0.2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</row>
    <row r="50" spans="1:172" s="87" customFormat="1" ht="15" customHeight="1" x14ac:dyDescent="0.2">
      <c r="A50" s="92"/>
      <c r="B50" s="93"/>
      <c r="C50" s="93"/>
      <c r="D50" s="93"/>
    </row>
    <row r="51" spans="1:172" s="87" customFormat="1" ht="15" customHeight="1" x14ac:dyDescent="0.2">
      <c r="A51" s="92"/>
      <c r="B51" s="93"/>
      <c r="C51" s="93"/>
      <c r="D51" s="93"/>
    </row>
    <row r="52" spans="1:172" s="87" customFormat="1" ht="15" customHeight="1" x14ac:dyDescent="0.2">
      <c r="A52" s="92"/>
      <c r="B52" s="93"/>
      <c r="C52" s="93"/>
      <c r="D52" s="93"/>
    </row>
    <row r="53" spans="1:172" s="87" customFormat="1" ht="15" customHeight="1" x14ac:dyDescent="0.2">
      <c r="A53" s="92"/>
      <c r="B53" s="93"/>
      <c r="C53" s="93"/>
      <c r="D53" s="93"/>
    </row>
    <row r="54" spans="1:172" s="87" customFormat="1" ht="15" customHeight="1" x14ac:dyDescent="0.2">
      <c r="A54" s="95"/>
      <c r="B54" s="93"/>
      <c r="C54" s="93"/>
      <c r="D54" s="93"/>
    </row>
    <row r="55" spans="1:172" s="87" customFormat="1" ht="13.15" customHeight="1" x14ac:dyDescent="0.2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N55" s="106"/>
    </row>
    <row r="56" spans="1:172" s="87" customFormat="1" ht="16.899999999999999" customHeight="1" x14ac:dyDescent="0.2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N56" s="101"/>
    </row>
    <row r="57" spans="1:172" s="87" customFormat="1" ht="16.899999999999999" customHeight="1" x14ac:dyDescent="0.2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N57" s="101"/>
    </row>
    <row r="58" spans="1:172" s="2" customFormat="1" ht="13.5" x14ac:dyDescent="0.25">
      <c r="F58" s="10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</row>
    <row r="59" spans="1:172" s="2" customFormat="1" ht="12.75" x14ac:dyDescent="0.2"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</row>
    <row r="60" spans="1:172" s="5" customFormat="1" ht="7.9" hidden="1" customHeight="1" x14ac:dyDescent="0.15"/>
    <row r="61" spans="1:172" s="70" customFormat="1" ht="11.2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</row>
    <row r="63" spans="1:172" s="41" customFormat="1" ht="8.25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</row>
    <row r="64" spans="1:172" s="70" customFormat="1" ht="10.15" hidden="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</row>
    <row r="65" spans="1:172" ht="14.45" hidden="1" customHeight="1" x14ac:dyDescent="0.25"/>
    <row r="66" spans="1:172" s="41" customFormat="1" ht="8.4499999999999993" hidden="1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</row>
    <row r="67" spans="1:172" ht="14.45" hidden="1" customHeight="1" x14ac:dyDescent="0.25"/>
    <row r="68" spans="1:172" s="70" customFormat="1" ht="10.15" hidden="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</row>
    <row r="69" spans="1:172" ht="14.45" hidden="1" customHeight="1" x14ac:dyDescent="0.25"/>
    <row r="70" spans="1:172" s="70" customFormat="1" ht="10.15" hidden="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02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</row>
    <row r="72" spans="1:17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</row>
    <row r="73" spans="1:172" s="42" customFormat="1" ht="15" customHeight="1" x14ac:dyDescent="0.25">
      <c r="A73" s="103"/>
      <c r="B73" s="103"/>
      <c r="C73" s="103"/>
      <c r="D73" s="103"/>
      <c r="E73" s="103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3"/>
      <c r="BF73" s="103"/>
      <c r="BG73" s="103"/>
      <c r="BH73" s="103"/>
      <c r="BI73" s="103"/>
      <c r="BJ73" s="103"/>
      <c r="BK73" s="103"/>
      <c r="BL73" s="103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3"/>
      <c r="BZ73" s="103"/>
      <c r="CA73" s="103"/>
      <c r="CB73" s="103"/>
      <c r="CC73" s="71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</row>
    <row r="74" spans="1:172" s="42" customFormat="1" x14ac:dyDescent="0.25">
      <c r="A74" s="103"/>
      <c r="B74" s="103"/>
      <c r="C74" s="103"/>
      <c r="D74" s="103"/>
      <c r="E74" s="103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3"/>
      <c r="BF74" s="103"/>
      <c r="BG74" s="103"/>
      <c r="BH74" s="103"/>
      <c r="BI74" s="103"/>
      <c r="BJ74" s="103"/>
      <c r="BK74" s="103"/>
      <c r="BL74" s="103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3"/>
      <c r="BZ74" s="103"/>
      <c r="CA74" s="103"/>
      <c r="CB74" s="103"/>
      <c r="CC74" s="71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</row>
    <row r="75" spans="1:172" s="42" customFormat="1" x14ac:dyDescent="0.25">
      <c r="A75" s="103"/>
      <c r="B75" s="103"/>
      <c r="C75" s="103"/>
      <c r="D75" s="103"/>
      <c r="E75" s="103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3"/>
      <c r="BF75" s="103"/>
      <c r="BG75" s="103"/>
      <c r="BH75" s="103"/>
      <c r="BI75" s="103"/>
      <c r="BJ75" s="103"/>
      <c r="BK75" s="103"/>
      <c r="BL75" s="103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3"/>
      <c r="BZ75" s="103"/>
      <c r="CA75" s="103"/>
      <c r="CB75" s="103"/>
      <c r="CC75" s="71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</row>
    <row r="76" spans="1:172" x14ac:dyDescent="0.25">
      <c r="A76" s="103"/>
      <c r="B76" s="103"/>
      <c r="C76" s="103"/>
      <c r="D76" s="103"/>
      <c r="E76" s="103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3"/>
      <c r="BF76" s="103"/>
      <c r="BG76" s="103"/>
      <c r="BH76" s="103"/>
      <c r="BI76" s="103"/>
      <c r="BJ76" s="103"/>
      <c r="BK76" s="103"/>
      <c r="BL76" s="103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3"/>
      <c r="BZ76" s="103"/>
      <c r="CA76" s="103"/>
      <c r="CB76" s="103"/>
      <c r="CC76" s="11"/>
    </row>
    <row r="77" spans="1:172" x14ac:dyDescent="0.25">
      <c r="A77" s="103"/>
      <c r="B77" s="103"/>
      <c r="C77" s="103"/>
      <c r="D77" s="103"/>
      <c r="E77" s="103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3"/>
      <c r="BF77" s="103"/>
      <c r="BG77" s="103"/>
      <c r="BH77" s="103"/>
      <c r="BI77" s="103"/>
      <c r="BJ77" s="103"/>
      <c r="BK77" s="103"/>
      <c r="BL77" s="103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3"/>
      <c r="BZ77" s="103"/>
      <c r="CA77" s="103"/>
      <c r="CB77" s="103"/>
      <c r="CC77" s="11"/>
    </row>
    <row r="78" spans="1:17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70"/>
      <c r="BZ78" s="70"/>
      <c r="CA78" s="70"/>
      <c r="CB78" s="70"/>
      <c r="CC78" s="11"/>
    </row>
    <row r="79" spans="1:172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11"/>
    </row>
    <row r="80" spans="1:172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11"/>
    </row>
    <row r="81" spans="1:81" ht="14.45" hidden="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11"/>
    </row>
    <row r="82" spans="1:81" ht="14.45" hidden="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11"/>
    </row>
    <row r="83" spans="1:81" ht="14.45" hidden="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11"/>
    </row>
    <row r="84" spans="1:81" ht="14.45" hidden="1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11"/>
    </row>
    <row r="85" spans="1:81" ht="14.45" hidden="1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11"/>
    </row>
    <row r="86" spans="1:81" ht="14.45" hidden="1" customHeight="1" x14ac:dyDescent="0.25"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1" ht="14.45" hidden="1" customHeight="1" x14ac:dyDescent="0.25"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1" ht="14.45" hidden="1" customHeight="1" x14ac:dyDescent="0.25"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1" ht="14.45" hidden="1" customHeight="1" x14ac:dyDescent="0.25"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1" ht="14.45" hidden="1" customHeight="1" x14ac:dyDescent="0.25"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1" ht="14.45" hidden="1" customHeight="1" x14ac:dyDescent="0.25"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1" ht="14.45" hidden="1" customHeight="1" x14ac:dyDescent="0.25"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1" ht="14.45" hidden="1" customHeight="1" x14ac:dyDescent="0.25"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</row>
    <row r="94" spans="1:81" ht="14.45" hidden="1" customHeight="1" x14ac:dyDescent="0.25"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</row>
    <row r="95" spans="1:81" x14ac:dyDescent="0.25">
      <c r="AN95"/>
      <c r="AO95"/>
      <c r="AP95"/>
      <c r="AQ95"/>
      <c r="AR95"/>
      <c r="AS95"/>
      <c r="AT95"/>
      <c r="AU95"/>
      <c r="AV95"/>
      <c r="AW95"/>
      <c r="AX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1:81" ht="6.6" customHeight="1" x14ac:dyDescent="0.25">
      <c r="AN96"/>
      <c r="AO96"/>
      <c r="AP96"/>
      <c r="AQ96"/>
      <c r="AR96"/>
      <c r="AS96"/>
      <c r="AT96"/>
      <c r="AU96"/>
      <c r="AV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1:80" x14ac:dyDescent="0.25">
      <c r="A97" s="11"/>
      <c r="B97" s="11"/>
      <c r="C97" s="57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ht="7.9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x14ac:dyDescent="0.25">
      <c r="A100" s="11"/>
      <c r="B100" s="11"/>
      <c r="C100" s="57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0" s="2" customFormat="1" ht="12.75" x14ac:dyDescent="0.2">
      <c r="A104" s="11"/>
      <c r="B104" s="11"/>
      <c r="C104" s="11"/>
      <c r="D104" s="4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0" s="5" customFormat="1" ht="9.75" x14ac:dyDescent="0.2">
      <c r="C105" s="20"/>
      <c r="E105" s="21"/>
      <c r="F105" s="21"/>
      <c r="G105" s="20"/>
      <c r="H105" s="20"/>
      <c r="I105" s="20"/>
      <c r="J105" s="20"/>
      <c r="K105" s="20"/>
      <c r="L105" s="20"/>
      <c r="M105" s="20"/>
    </row>
    <row r="106" spans="1:80" s="5" customFormat="1" ht="12.75" outlineLevel="1" x14ac:dyDescent="0.2">
      <c r="C106" s="20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</row>
    <row r="107" spans="1:80" s="11" customFormat="1" ht="11.25" x14ac:dyDescent="0.2">
      <c r="C107" s="57"/>
      <c r="D107" s="45"/>
      <c r="E107" s="45"/>
      <c r="F107" s="45"/>
      <c r="G107" s="57"/>
      <c r="H107" s="57"/>
      <c r="I107" s="57"/>
      <c r="J107" s="57"/>
      <c r="K107" s="57"/>
      <c r="L107" s="57"/>
      <c r="M107" s="57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</row>
    <row r="108" spans="1:80" s="5" customFormat="1" ht="9.75" x14ac:dyDescent="0.2">
      <c r="C108" s="20"/>
      <c r="E108" s="21"/>
      <c r="F108" s="21"/>
      <c r="G108" s="20"/>
      <c r="H108" s="20"/>
      <c r="I108" s="20"/>
      <c r="J108" s="20"/>
      <c r="K108" s="20"/>
      <c r="L108" s="20"/>
      <c r="M108" s="20"/>
    </row>
  </sheetData>
  <mergeCells count="81">
    <mergeCell ref="BS36:CE36"/>
    <mergeCell ref="AM41:AY41"/>
    <mergeCell ref="BC41:BQ41"/>
    <mergeCell ref="AM42:AY42"/>
    <mergeCell ref="AM47:AY47"/>
    <mergeCell ref="BC47:BQ47"/>
    <mergeCell ref="AP36:AW36"/>
    <mergeCell ref="AX36:BD36"/>
    <mergeCell ref="BE36:BK36"/>
    <mergeCell ref="AM44:AY44"/>
    <mergeCell ref="AM45:AY45"/>
    <mergeCell ref="BC44:BQ44"/>
    <mergeCell ref="AM48:AY48"/>
    <mergeCell ref="BL36:BR36"/>
    <mergeCell ref="AX34:BD34"/>
    <mergeCell ref="BE34:BK34"/>
    <mergeCell ref="BL34:BR34"/>
    <mergeCell ref="BS34:CE34"/>
    <mergeCell ref="F35:Q35"/>
    <mergeCell ref="R35:AA35"/>
    <mergeCell ref="AB35:AG35"/>
    <mergeCell ref="AH35:AO35"/>
    <mergeCell ref="AP35:AW35"/>
    <mergeCell ref="AX35:BD35"/>
    <mergeCell ref="AP34:AW34"/>
    <mergeCell ref="BE35:BK35"/>
    <mergeCell ref="BL35:BR35"/>
    <mergeCell ref="BS35:CE35"/>
    <mergeCell ref="BE33:BK33"/>
    <mergeCell ref="BL33:BR33"/>
    <mergeCell ref="A34:E36"/>
    <mergeCell ref="F34:Q34"/>
    <mergeCell ref="R34:AA34"/>
    <mergeCell ref="AB34:AG34"/>
    <mergeCell ref="AH34:AO34"/>
    <mergeCell ref="F36:Q36"/>
    <mergeCell ref="R36:AA36"/>
    <mergeCell ref="AB36:AG36"/>
    <mergeCell ref="AH36:AO36"/>
    <mergeCell ref="R33:AA33"/>
    <mergeCell ref="AB33:AG33"/>
    <mergeCell ref="AH33:AO33"/>
    <mergeCell ref="AP33:AW33"/>
    <mergeCell ref="AX33:BD33"/>
    <mergeCell ref="A32:E33"/>
    <mergeCell ref="F32:Q33"/>
    <mergeCell ref="R32:AA32"/>
    <mergeCell ref="AB32:AO32"/>
    <mergeCell ref="A22:CB22"/>
    <mergeCell ref="A24:Z24"/>
    <mergeCell ref="AA24:CE24"/>
    <mergeCell ref="A26:AA26"/>
    <mergeCell ref="AB26:AR26"/>
    <mergeCell ref="AS26:BX26"/>
    <mergeCell ref="A27:Z27"/>
    <mergeCell ref="B28:C28"/>
    <mergeCell ref="A29:AH29"/>
    <mergeCell ref="B30:AO30"/>
    <mergeCell ref="AP32:BR32"/>
    <mergeCell ref="BS32:CE33"/>
    <mergeCell ref="A21:CB21"/>
    <mergeCell ref="A5:AI5"/>
    <mergeCell ref="AQ5:BZ5"/>
    <mergeCell ref="AQ6:BZ9"/>
    <mergeCell ref="A8:AI9"/>
    <mergeCell ref="A10:AI10"/>
    <mergeCell ref="AQ10:BZ10"/>
    <mergeCell ref="A11:AI11"/>
    <mergeCell ref="AQ11:BZ11"/>
    <mergeCell ref="A13:CE13"/>
    <mergeCell ref="A16:CB16"/>
    <mergeCell ref="A17:CB17"/>
    <mergeCell ref="AQ12:BZ12"/>
    <mergeCell ref="A19:CB19"/>
    <mergeCell ref="A18:CB18"/>
    <mergeCell ref="AQ1:BZ2"/>
    <mergeCell ref="A2:AI2"/>
    <mergeCell ref="A3:AI3"/>
    <mergeCell ref="AQ3:BZ3"/>
    <mergeCell ref="A4:AI4"/>
    <mergeCell ref="AQ4:BZ4"/>
  </mergeCells>
  <dataValidations disablePrompts="1" count="2">
    <dataValidation type="list" allowBlank="1" showInputMessage="1" showErrorMessage="1" sqref="O78:X80" xr:uid="{3B00C36B-DB28-42BF-AAA8-9BC5F5CDA7F9}">
      <formula1>стойка</formula1>
    </dataValidation>
    <dataValidation type="list" allowBlank="1" showInputMessage="1" showErrorMessage="1" sqref="Q55:W55" xr:uid="{7C1B84C3-4638-40C7-B4EE-30DFCF3EDD78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0863-DFC0-4F8C-ABC8-B4677AA42EDB}">
  <sheetPr>
    <tabColor theme="9" tint="0.59999389629810485"/>
  </sheetPr>
  <dimension ref="A1:CC66"/>
  <sheetViews>
    <sheetView view="pageBreakPreview" topLeftCell="A10" zoomScale="90" zoomScaleNormal="100" zoomScaleSheetLayoutView="90" zoomScalePageLayoutView="115" workbookViewId="0">
      <selection activeCell="DU49" sqref="DU49"/>
    </sheetView>
  </sheetViews>
  <sheetFormatPr defaultColWidth="1.140625" defaultRowHeight="12.75" outlineLevelRow="1" x14ac:dyDescent="0.2"/>
  <cols>
    <col min="1" max="19" width="1.140625" style="2"/>
    <col min="20" max="34" width="1" style="2" customWidth="1"/>
    <col min="35" max="66" width="1.140625" style="2"/>
    <col min="67" max="67" width="0.7109375" style="2" customWidth="1"/>
    <col min="68" max="80" width="1.140625" style="2"/>
    <col min="81" max="81" width="10.28515625" style="2" customWidth="1"/>
    <col min="82" max="16384" width="1.140625" style="2"/>
  </cols>
  <sheetData>
    <row r="1" spans="1:8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836"/>
      <c r="CB1" s="64"/>
      <c r="CC1" s="64"/>
    </row>
    <row r="2" spans="1:8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837"/>
      <c r="CB2" s="64"/>
      <c r="CC2" s="64"/>
    </row>
    <row r="3" spans="1:81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  <c r="CA3" s="838"/>
    </row>
    <row r="4" spans="1:8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837"/>
      <c r="CB4" s="64"/>
      <c r="CC4" s="64"/>
    </row>
    <row r="5" spans="1:81" ht="9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838"/>
      <c r="CB5" s="64"/>
      <c r="CC5" s="64"/>
    </row>
    <row r="6" spans="1:81" s="5" customFormat="1" ht="24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940" t="str">
        <f>IF('Данные объект'!B3="","",'Данные объект'!B3)</f>
      </c>
      <c r="AS6" s="940"/>
      <c r="AT6" s="940"/>
      <c r="AU6" s="940"/>
      <c r="AV6" s="940"/>
      <c r="AW6" s="940"/>
      <c r="AX6" s="940"/>
      <c r="AY6" s="940"/>
      <c r="AZ6" s="940"/>
      <c r="BA6" s="940"/>
      <c r="BB6" s="940"/>
      <c r="BC6" s="940"/>
      <c r="BD6" s="940"/>
      <c r="BE6" s="940"/>
      <c r="BF6" s="940"/>
      <c r="BG6" s="940"/>
      <c r="BH6" s="940"/>
      <c r="BI6" s="940"/>
      <c r="BJ6" s="940"/>
      <c r="BK6" s="940"/>
      <c r="BL6" s="940"/>
      <c r="BM6" s="940"/>
      <c r="BN6" s="940"/>
      <c r="BO6" s="940"/>
      <c r="BP6" s="940"/>
      <c r="BQ6" s="940"/>
      <c r="BR6" s="940"/>
      <c r="BS6" s="940"/>
      <c r="BT6" s="940"/>
      <c r="BU6" s="940"/>
      <c r="BV6" s="940"/>
      <c r="BW6" s="940"/>
      <c r="BX6" s="940"/>
      <c r="BY6" s="940"/>
      <c r="BZ6" s="940"/>
      <c r="CA6" s="940"/>
    </row>
    <row r="7" spans="1:81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940"/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940"/>
      <c r="CB7" s="74"/>
      <c r="CC7" s="74"/>
    </row>
    <row r="8" spans="1:81" ht="2.25" customHeight="1" x14ac:dyDescent="0.2">
      <c r="A8" s="836" t="str">
        <f>IF('Данные объект'!B17="","",'Данные объект'!B17)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940"/>
      <c r="CB8" s="74"/>
      <c r="CC8" s="74"/>
    </row>
    <row r="9" spans="1:81" ht="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941"/>
      <c r="CB9" s="74"/>
      <c r="CC9" s="74"/>
    </row>
    <row r="10" spans="1:81" ht="11.45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838"/>
      <c r="CB10" s="74"/>
      <c r="CC10" s="74"/>
    </row>
    <row r="11" spans="1:81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  <c r="CA11" s="842"/>
    </row>
    <row r="12" spans="1:81" x14ac:dyDescent="0.2"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911"/>
    </row>
    <row r="13" spans="1:81" s="18" customFormat="1" ht="15.75" x14ac:dyDescent="0.25">
      <c r="A13" s="886" t="s">
        <v>1358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  <c r="CC13" s="886"/>
    </row>
    <row r="14" spans="1:81" s="18" customFormat="1" ht="10.5" customHeight="1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</row>
    <row r="15" spans="1:81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</row>
    <row r="16" spans="1:81" x14ac:dyDescent="0.2">
      <c r="A16" s="11" t="s">
        <v>345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</row>
    <row r="17" spans="1:81" x14ac:dyDescent="0.2">
      <c r="A17" s="926" t="str">
        <f>IF('Данные объект'!C42="","",'Данные объект'!C42)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  <c r="CC17" s="926"/>
    </row>
    <row r="18" spans="1:81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  <c r="CC18" s="932"/>
    </row>
    <row r="19" spans="1:81" hidden="1" outlineLevel="1" x14ac:dyDescent="0.2">
      <c r="A19" s="2" t="s">
        <v>29</v>
      </c>
    </row>
    <row r="20" spans="1:81" outlineLevel="1" x14ac:dyDescent="0.2">
      <c r="A20" s="926" t="str">
        <f>IF('Данные объект'!C45="","",'Данные объект'!C45)</f>
      </c>
      <c r="B20" s="926"/>
      <c r="C20" s="926"/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6"/>
      <c r="V20" s="926"/>
      <c r="W20" s="926"/>
      <c r="X20" s="926"/>
      <c r="Y20" s="926"/>
      <c r="Z20" s="926"/>
      <c r="AA20" s="926"/>
      <c r="AB20" s="926"/>
      <c r="AC20" s="926"/>
      <c r="AD20" s="926"/>
      <c r="AE20" s="926"/>
      <c r="AF20" s="926"/>
      <c r="AG20" s="926"/>
      <c r="AH20" s="926"/>
      <c r="AI20" s="926"/>
      <c r="AJ20" s="926"/>
      <c r="AK20" s="926"/>
      <c r="AL20" s="926"/>
      <c r="AM20" s="926"/>
      <c r="AN20" s="926"/>
      <c r="AO20" s="926"/>
      <c r="AP20" s="926"/>
      <c r="AQ20" s="926"/>
      <c r="AR20" s="926"/>
      <c r="AS20" s="926"/>
      <c r="AT20" s="926"/>
      <c r="AU20" s="926"/>
      <c r="AV20" s="926"/>
      <c r="AW20" s="926"/>
      <c r="AX20" s="926"/>
      <c r="AY20" s="926"/>
      <c r="AZ20" s="926"/>
      <c r="BA20" s="926"/>
      <c r="BB20" s="926"/>
      <c r="BC20" s="926"/>
      <c r="BD20" s="926"/>
      <c r="BE20" s="926"/>
      <c r="BF20" s="926"/>
      <c r="BG20" s="926"/>
      <c r="BH20" s="926"/>
      <c r="BI20" s="926"/>
      <c r="BJ20" s="926"/>
      <c r="BK20" s="926"/>
      <c r="BL20" s="926"/>
      <c r="BM20" s="926"/>
      <c r="BN20" s="926"/>
      <c r="BO20" s="926"/>
      <c r="BP20" s="926"/>
      <c r="BQ20" s="926"/>
      <c r="BR20" s="926"/>
      <c r="BS20" s="926"/>
      <c r="BT20" s="926"/>
      <c r="BU20" s="926"/>
      <c r="BV20" s="926"/>
      <c r="BW20" s="926"/>
      <c r="BX20" s="926"/>
      <c r="BY20" s="926"/>
      <c r="BZ20" s="926"/>
      <c r="CA20" s="926"/>
      <c r="CB20" s="926"/>
      <c r="CC20" s="926"/>
    </row>
    <row r="21" spans="1:81" s="5" customFormat="1" ht="8.25" outlineLevel="1" x14ac:dyDescent="0.15">
      <c r="A21" s="932" t="s">
        <v>31</v>
      </c>
      <c r="B21" s="932"/>
      <c r="C21" s="932"/>
      <c r="D21" s="932"/>
      <c r="E21" s="932"/>
      <c r="F21" s="932"/>
      <c r="G21" s="932"/>
      <c r="H21" s="932"/>
      <c r="I21" s="932"/>
      <c r="J21" s="932"/>
      <c r="K21" s="932"/>
      <c r="L21" s="932"/>
      <c r="M21" s="932"/>
      <c r="N21" s="932"/>
      <c r="O21" s="932"/>
      <c r="P21" s="932"/>
      <c r="Q21" s="932"/>
      <c r="R21" s="932"/>
      <c r="S21" s="932"/>
      <c r="T21" s="932"/>
      <c r="U21" s="932"/>
      <c r="V21" s="932"/>
      <c r="W21" s="932"/>
      <c r="X21" s="932"/>
      <c r="Y21" s="932"/>
      <c r="Z21" s="932"/>
      <c r="AA21" s="932"/>
      <c r="AB21" s="932"/>
      <c r="AC21" s="932"/>
      <c r="AD21" s="932"/>
      <c r="AE21" s="932"/>
      <c r="AF21" s="932"/>
      <c r="AG21" s="932"/>
      <c r="AH21" s="932"/>
      <c r="AI21" s="932"/>
      <c r="AJ21" s="932"/>
      <c r="AK21" s="932"/>
      <c r="AL21" s="932"/>
      <c r="AM21" s="932"/>
      <c r="AN21" s="932"/>
      <c r="AO21" s="932"/>
      <c r="AP21" s="932"/>
      <c r="AQ21" s="932"/>
      <c r="AR21" s="932"/>
      <c r="AS21" s="932"/>
      <c r="AT21" s="932"/>
      <c r="AU21" s="932"/>
      <c r="AV21" s="932"/>
      <c r="AW21" s="932"/>
      <c r="AX21" s="932"/>
      <c r="AY21" s="932"/>
      <c r="AZ21" s="932"/>
      <c r="BA21" s="932"/>
      <c r="BB21" s="932"/>
      <c r="BC21" s="932"/>
      <c r="BD21" s="932"/>
      <c r="BE21" s="932"/>
      <c r="BF21" s="932"/>
      <c r="BG21" s="932"/>
      <c r="BH21" s="932"/>
      <c r="BI21" s="932"/>
      <c r="BJ21" s="932"/>
      <c r="BK21" s="932"/>
      <c r="BL21" s="932"/>
      <c r="BM21" s="932"/>
      <c r="BN21" s="932"/>
      <c r="BO21" s="932"/>
      <c r="BP21" s="932"/>
      <c r="BQ21" s="932"/>
      <c r="BR21" s="932"/>
      <c r="BS21" s="932"/>
      <c r="BT21" s="932"/>
      <c r="BU21" s="932"/>
      <c r="BV21" s="932"/>
      <c r="BW21" s="932"/>
      <c r="BX21" s="932"/>
      <c r="BY21" s="932"/>
      <c r="BZ21" s="932"/>
      <c r="CA21" s="932"/>
      <c r="CB21" s="932"/>
      <c r="CC21" s="932"/>
    </row>
    <row r="22" spans="1:81" s="5" customFormat="1" ht="8.25" hidden="1" outlineLevel="1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</row>
    <row r="23" spans="1:81" s="5" customFormat="1" ht="13.5" hidden="1" outlineLevel="1" x14ac:dyDescent="0.15">
      <c r="A23" s="1097"/>
      <c r="B23" s="1097"/>
      <c r="C23" s="1097"/>
      <c r="D23" s="1097"/>
      <c r="E23" s="1097"/>
      <c r="F23" s="1097"/>
      <c r="G23" s="1097"/>
      <c r="H23" s="1097"/>
      <c r="I23" s="1097"/>
      <c r="J23" s="1097"/>
      <c r="K23" s="1097"/>
      <c r="L23" s="1097"/>
      <c r="M23" s="1097"/>
      <c r="N23" s="1097"/>
      <c r="O23" s="1097"/>
      <c r="P23" s="1097"/>
      <c r="Q23" s="1097"/>
      <c r="R23" s="1097"/>
      <c r="S23" s="1097"/>
      <c r="T23" s="1097"/>
      <c r="U23" s="1097"/>
      <c r="V23" s="1097"/>
      <c r="W23" s="1097"/>
      <c r="X23" s="1097"/>
      <c r="Y23" s="1097"/>
      <c r="Z23" s="1097"/>
      <c r="AA23" s="1097"/>
      <c r="AB23" s="1097"/>
      <c r="AC23" s="1097"/>
      <c r="AD23" s="1097"/>
      <c r="AE23" s="1097"/>
      <c r="AF23" s="1097"/>
      <c r="AG23" s="1097"/>
      <c r="AH23" s="1097"/>
      <c r="AI23" s="1097"/>
      <c r="AJ23" s="1097"/>
      <c r="AK23" s="1097"/>
      <c r="AL23" s="1097"/>
      <c r="AM23" s="1097"/>
      <c r="AN23" s="1097"/>
      <c r="AO23" s="1097"/>
      <c r="AP23" s="1097"/>
      <c r="AQ23" s="1097"/>
      <c r="AR23" s="1097"/>
      <c r="AS23" s="1097"/>
      <c r="AT23" s="1097"/>
      <c r="AU23" s="1097"/>
      <c r="AV23" s="1097"/>
      <c r="AW23" s="1097"/>
      <c r="AX23" s="1097"/>
      <c r="AY23" s="1097"/>
      <c r="AZ23" s="1097"/>
      <c r="BA23" s="1097"/>
      <c r="BB23" s="1097"/>
      <c r="BC23" s="1097"/>
      <c r="BD23" s="1097"/>
      <c r="BE23" s="1097"/>
      <c r="BF23" s="1097"/>
      <c r="BG23" s="1097"/>
      <c r="BH23" s="1097"/>
      <c r="BI23" s="1097"/>
      <c r="BJ23" s="1097"/>
      <c r="BK23" s="1097"/>
      <c r="BL23" s="1097"/>
      <c r="BM23" s="1097"/>
      <c r="BN23" s="1097"/>
      <c r="BO23" s="1097"/>
      <c r="BP23" s="1097"/>
      <c r="BQ23" s="1097"/>
      <c r="BR23" s="1097"/>
      <c r="BS23" s="1097"/>
      <c r="BT23" s="1097"/>
      <c r="BU23" s="1097"/>
      <c r="BV23" s="1097"/>
      <c r="BW23" s="1097"/>
      <c r="BX23" s="1097"/>
      <c r="BY23" s="1097"/>
      <c r="BZ23" s="1097"/>
      <c r="CA23" s="1097"/>
      <c r="CB23" s="1097"/>
      <c r="CC23" s="1097"/>
    </row>
    <row r="24" spans="1:81" s="5" customFormat="1" ht="8.25" hidden="1" outlineLevel="1" x14ac:dyDescent="0.15">
      <c r="A24" s="932" t="s">
        <v>31</v>
      </c>
      <c r="B24" s="932"/>
      <c r="C24" s="932"/>
      <c r="D24" s="932"/>
      <c r="E24" s="932"/>
      <c r="F24" s="932"/>
      <c r="G24" s="932"/>
      <c r="H24" s="932"/>
      <c r="I24" s="932"/>
      <c r="J24" s="932"/>
      <c r="K24" s="932"/>
      <c r="L24" s="932"/>
      <c r="M24" s="932"/>
      <c r="N24" s="932"/>
      <c r="O24" s="932"/>
      <c r="P24" s="932"/>
      <c r="Q24" s="932"/>
      <c r="R24" s="932"/>
      <c r="S24" s="932"/>
      <c r="T24" s="932"/>
      <c r="U24" s="932"/>
      <c r="V24" s="932"/>
      <c r="W24" s="932"/>
      <c r="X24" s="932"/>
      <c r="Y24" s="932"/>
      <c r="Z24" s="932"/>
      <c r="AA24" s="932"/>
      <c r="AB24" s="932"/>
      <c r="AC24" s="932"/>
      <c r="AD24" s="932"/>
      <c r="AE24" s="932"/>
      <c r="AF24" s="932"/>
      <c r="AG24" s="932"/>
      <c r="AH24" s="932"/>
      <c r="AI24" s="932"/>
      <c r="AJ24" s="932"/>
      <c r="AK24" s="932"/>
      <c r="AL24" s="932"/>
      <c r="AM24" s="932"/>
      <c r="AN24" s="932"/>
      <c r="AO24" s="932"/>
      <c r="AP24" s="932"/>
      <c r="AQ24" s="932"/>
      <c r="AR24" s="932"/>
      <c r="AS24" s="932"/>
      <c r="AT24" s="932"/>
      <c r="AU24" s="932"/>
      <c r="AV24" s="932"/>
      <c r="AW24" s="932"/>
      <c r="AX24" s="932"/>
      <c r="AY24" s="932"/>
      <c r="AZ24" s="932"/>
      <c r="BA24" s="932"/>
      <c r="BB24" s="932"/>
      <c r="BC24" s="932"/>
      <c r="BD24" s="932"/>
      <c r="BE24" s="932"/>
      <c r="BF24" s="932"/>
      <c r="BG24" s="932"/>
      <c r="BH24" s="932"/>
      <c r="BI24" s="932"/>
      <c r="BJ24" s="932"/>
      <c r="BK24" s="932"/>
      <c r="BL24" s="932"/>
      <c r="BM24" s="932"/>
      <c r="BN24" s="932"/>
      <c r="BO24" s="932"/>
      <c r="BP24" s="932"/>
      <c r="BQ24" s="932"/>
      <c r="BR24" s="932"/>
      <c r="BS24" s="932"/>
      <c r="BT24" s="932"/>
      <c r="BU24" s="932"/>
      <c r="BV24" s="932"/>
      <c r="BW24" s="932"/>
      <c r="BX24" s="932"/>
      <c r="BY24" s="932"/>
      <c r="BZ24" s="932"/>
      <c r="CA24" s="932"/>
      <c r="CB24" s="932"/>
      <c r="CC24" s="932"/>
    </row>
    <row r="25" spans="1:81" x14ac:dyDescent="0.2">
      <c r="A25" s="11" t="s">
        <v>30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1:81" x14ac:dyDescent="0.2">
      <c r="A26" s="926" t="str">
        <f>IF('Данные объект'!C28="","",'Данные объект'!C28)</f>
      </c>
      <c r="B26" s="926"/>
      <c r="C26" s="926"/>
      <c r="D26" s="926"/>
      <c r="E26" s="926"/>
      <c r="F26" s="926"/>
      <c r="G26" s="926"/>
      <c r="H26" s="926"/>
      <c r="I26" s="926"/>
      <c r="J26" s="926"/>
      <c r="K26" s="926"/>
      <c r="L26" s="926"/>
      <c r="M26" s="926"/>
      <c r="N26" s="926"/>
      <c r="O26" s="926"/>
      <c r="P26" s="926"/>
      <c r="Q26" s="926"/>
      <c r="R26" s="926"/>
      <c r="S26" s="926"/>
      <c r="T26" s="926"/>
      <c r="U26" s="926"/>
      <c r="V26" s="926"/>
      <c r="W26" s="926"/>
      <c r="X26" s="926"/>
      <c r="Y26" s="926"/>
      <c r="Z26" s="926"/>
      <c r="AA26" s="926"/>
      <c r="AB26" s="926"/>
      <c r="AC26" s="926"/>
      <c r="AD26" s="926"/>
      <c r="AE26" s="926"/>
      <c r="AF26" s="926"/>
      <c r="AG26" s="926"/>
      <c r="AH26" s="926"/>
      <c r="AI26" s="926"/>
      <c r="AJ26" s="926"/>
      <c r="AK26" s="926"/>
      <c r="AL26" s="926"/>
      <c r="AM26" s="926"/>
      <c r="AN26" s="926"/>
      <c r="AO26" s="926"/>
      <c r="AP26" s="926"/>
      <c r="AQ26" s="926"/>
      <c r="AR26" s="926"/>
      <c r="AS26" s="926"/>
      <c r="AT26" s="926"/>
      <c r="AU26" s="926"/>
      <c r="AV26" s="926"/>
      <c r="AW26" s="926"/>
      <c r="AX26" s="926"/>
      <c r="AY26" s="926"/>
      <c r="AZ26" s="926"/>
      <c r="BA26" s="926"/>
      <c r="BB26" s="926"/>
      <c r="BC26" s="926"/>
      <c r="BD26" s="926"/>
      <c r="BE26" s="926"/>
      <c r="BF26" s="926"/>
      <c r="BG26" s="926"/>
      <c r="BH26" s="926"/>
      <c r="BI26" s="926"/>
      <c r="BJ26" s="926"/>
      <c r="BK26" s="926"/>
      <c r="BL26" s="926"/>
      <c r="BM26" s="926"/>
      <c r="BN26" s="926"/>
      <c r="BO26" s="926"/>
      <c r="BP26" s="926"/>
      <c r="BQ26" s="926"/>
      <c r="BR26" s="926"/>
      <c r="BS26" s="926"/>
      <c r="BT26" s="926"/>
      <c r="BU26" s="926"/>
      <c r="BV26" s="926"/>
      <c r="BW26" s="926"/>
      <c r="BX26" s="926"/>
      <c r="BY26" s="926"/>
      <c r="BZ26" s="926"/>
      <c r="CA26" s="926"/>
      <c r="CB26" s="926"/>
      <c r="CC26" s="926"/>
    </row>
    <row r="27" spans="1:81" s="5" customFormat="1" ht="8.25" x14ac:dyDescent="0.15">
      <c r="A27" s="932" t="s">
        <v>31</v>
      </c>
      <c r="B27" s="932"/>
      <c r="C27" s="932"/>
      <c r="D27" s="932"/>
      <c r="E27" s="932"/>
      <c r="F27" s="932"/>
      <c r="G27" s="932"/>
      <c r="H27" s="932"/>
      <c r="I27" s="932"/>
      <c r="J27" s="932"/>
      <c r="K27" s="932"/>
      <c r="L27" s="932"/>
      <c r="M27" s="932"/>
      <c r="N27" s="932"/>
      <c r="O27" s="932"/>
      <c r="P27" s="932"/>
      <c r="Q27" s="932"/>
      <c r="R27" s="932"/>
      <c r="S27" s="932"/>
      <c r="T27" s="932"/>
      <c r="U27" s="932"/>
      <c r="V27" s="932"/>
      <c r="W27" s="932"/>
      <c r="X27" s="932"/>
      <c r="Y27" s="932"/>
      <c r="Z27" s="932"/>
      <c r="AA27" s="932"/>
      <c r="AB27" s="932"/>
      <c r="AC27" s="932"/>
      <c r="AD27" s="932"/>
      <c r="AE27" s="932"/>
      <c r="AF27" s="932"/>
      <c r="AG27" s="932"/>
      <c r="AH27" s="932"/>
      <c r="AI27" s="932"/>
      <c r="AJ27" s="932"/>
      <c r="AK27" s="932"/>
      <c r="AL27" s="932"/>
      <c r="AM27" s="932"/>
      <c r="AN27" s="932"/>
      <c r="AO27" s="932"/>
      <c r="AP27" s="932"/>
      <c r="AQ27" s="932"/>
      <c r="AR27" s="932"/>
      <c r="AS27" s="932"/>
      <c r="AT27" s="932"/>
      <c r="AU27" s="932"/>
      <c r="AV27" s="932"/>
      <c r="AW27" s="932"/>
      <c r="AX27" s="932"/>
      <c r="AY27" s="932"/>
      <c r="AZ27" s="932"/>
      <c r="BA27" s="932"/>
      <c r="BB27" s="932"/>
      <c r="BC27" s="932"/>
      <c r="BD27" s="932"/>
      <c r="BE27" s="932"/>
      <c r="BF27" s="932"/>
      <c r="BG27" s="932"/>
      <c r="BH27" s="932"/>
      <c r="BI27" s="932"/>
      <c r="BJ27" s="932"/>
      <c r="BK27" s="932"/>
      <c r="BL27" s="932"/>
      <c r="BM27" s="932"/>
      <c r="BN27" s="932"/>
      <c r="BO27" s="932"/>
      <c r="BP27" s="932"/>
      <c r="BQ27" s="932"/>
      <c r="BR27" s="932"/>
      <c r="BS27" s="932"/>
      <c r="BT27" s="932"/>
      <c r="BU27" s="932"/>
      <c r="BV27" s="932"/>
      <c r="BW27" s="932"/>
      <c r="BX27" s="932"/>
      <c r="BY27" s="932"/>
      <c r="BZ27" s="932"/>
      <c r="CA27" s="932"/>
      <c r="CB27" s="932"/>
      <c r="CC27" s="932"/>
    </row>
    <row r="28" spans="1:81" x14ac:dyDescent="0.2">
      <c r="A28" s="11" t="s">
        <v>275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</row>
    <row r="29" spans="1:81" x14ac:dyDescent="0.2">
      <c r="A29" s="11"/>
      <c r="B29" s="11"/>
      <c r="C29" s="57" t="s">
        <v>276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</row>
    <row r="30" spans="1:81" x14ac:dyDescent="0.2">
      <c r="A30" s="11" t="s">
        <v>33</v>
      </c>
      <c r="B30" s="11"/>
      <c r="C30" s="11" t="s">
        <v>277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</row>
    <row r="31" spans="1:81" ht="13.15" customHeight="1" x14ac:dyDescent="0.2">
      <c r="A31" s="11"/>
      <c r="B31" s="11"/>
      <c r="C31" s="1096" t="str">
        <f>IF('Данные объект'!B56="","",'Данные объект'!B56)</f>
      </c>
      <c r="D31" s="1096"/>
      <c r="E31" s="1096"/>
      <c r="F31" s="1096"/>
      <c r="G31" s="1096"/>
      <c r="H31" s="1096"/>
      <c r="I31" s="1096"/>
      <c r="J31" s="1096"/>
      <c r="K31" s="1096"/>
      <c r="L31" s="1096"/>
      <c r="M31" s="1096"/>
      <c r="N31" s="1096"/>
      <c r="O31" s="1096"/>
      <c r="P31" s="1096"/>
      <c r="Q31" s="1096"/>
      <c r="R31" s="1096"/>
      <c r="S31" s="1096"/>
      <c r="T31" s="1096"/>
      <c r="U31" s="1096"/>
      <c r="V31" s="1096"/>
      <c r="W31" s="1096"/>
      <c r="X31" s="1096"/>
      <c r="Y31" s="1096"/>
      <c r="Z31" s="1096"/>
      <c r="AA31" s="1096"/>
      <c r="AB31" s="1096"/>
      <c r="AC31" s="1096"/>
      <c r="AD31" s="1096"/>
      <c r="AE31" s="1096"/>
      <c r="AF31" s="1096"/>
      <c r="AG31" s="1096"/>
      <c r="AH31" s="1096"/>
      <c r="AI31" s="1096"/>
      <c r="AJ31" s="1096"/>
      <c r="AK31" s="1096"/>
      <c r="AL31" s="1096"/>
      <c r="AM31" s="1096"/>
      <c r="AN31" s="1096"/>
      <c r="AO31" s="1096"/>
      <c r="AP31" s="1096"/>
      <c r="AQ31" s="1096"/>
      <c r="AR31" s="1096"/>
      <c r="AS31" s="1096"/>
      <c r="AT31" s="1096"/>
      <c r="AU31" s="1096"/>
      <c r="AV31" s="1096"/>
      <c r="AW31" s="1096"/>
      <c r="AX31" s="1096"/>
      <c r="AY31" s="1096"/>
      <c r="AZ31" s="1096"/>
      <c r="BA31" s="1096"/>
      <c r="BB31" s="1096"/>
      <c r="BC31" s="1096"/>
      <c r="BD31" s="1096"/>
      <c r="BE31" s="1096"/>
      <c r="BF31" s="1096"/>
      <c r="BG31" s="1096"/>
      <c r="BH31" s="1096"/>
      <c r="BI31" s="1096"/>
      <c r="BJ31" s="1096"/>
      <c r="BK31" s="1096"/>
      <c r="BL31" s="1096"/>
      <c r="BM31" s="1096"/>
      <c r="BN31" s="1096"/>
      <c r="BO31" s="1096"/>
      <c r="BP31" s="1096"/>
      <c r="BQ31" s="1096"/>
      <c r="BR31" s="1096"/>
      <c r="BS31" s="1096"/>
      <c r="BT31" s="1096"/>
      <c r="BU31" s="1096"/>
      <c r="BV31" s="1096"/>
      <c r="BW31" s="1096"/>
      <c r="BX31" s="1096"/>
      <c r="BY31" s="1096"/>
      <c r="BZ31" s="1096"/>
      <c r="CA31" s="1096"/>
      <c r="CB31" s="1096"/>
      <c r="CC31" s="1096"/>
    </row>
    <row r="32" spans="1:81" s="5" customFormat="1" ht="8.25" x14ac:dyDescent="0.15">
      <c r="C32" s="838" t="s">
        <v>278</v>
      </c>
      <c r="D32" s="838"/>
      <c r="E32" s="838"/>
      <c r="F32" s="838"/>
      <c r="G32" s="838"/>
      <c r="H32" s="838"/>
      <c r="I32" s="838"/>
      <c r="J32" s="838"/>
      <c r="K32" s="838"/>
      <c r="L32" s="838"/>
      <c r="M32" s="838"/>
      <c r="N32" s="838"/>
      <c r="O32" s="838"/>
      <c r="P32" s="838"/>
      <c r="Q32" s="838"/>
      <c r="R32" s="838"/>
      <c r="S32" s="838"/>
      <c r="T32" s="838"/>
      <c r="U32" s="838"/>
      <c r="V32" s="838"/>
      <c r="W32" s="838"/>
      <c r="X32" s="838"/>
      <c r="Y32" s="838"/>
      <c r="Z32" s="838"/>
      <c r="AA32" s="838"/>
      <c r="AB32" s="838"/>
      <c r="AC32" s="838"/>
      <c r="AD32" s="838"/>
      <c r="AE32" s="838"/>
      <c r="AF32" s="838"/>
      <c r="AG32" s="838"/>
      <c r="AH32" s="838"/>
      <c r="AI32" s="838"/>
      <c r="AJ32" s="838"/>
      <c r="AK32" s="838"/>
      <c r="AL32" s="838"/>
      <c r="AM32" s="838"/>
      <c r="AN32" s="838"/>
      <c r="AO32" s="838"/>
      <c r="AP32" s="838"/>
      <c r="AQ32" s="838"/>
      <c r="AR32" s="838"/>
      <c r="AS32" s="838"/>
      <c r="AT32" s="838"/>
      <c r="AU32" s="838"/>
      <c r="AV32" s="838"/>
      <c r="AW32" s="838"/>
      <c r="AX32" s="838"/>
      <c r="AY32" s="838"/>
      <c r="AZ32" s="838"/>
      <c r="BA32" s="838"/>
      <c r="BB32" s="838"/>
      <c r="BC32" s="838"/>
      <c r="BD32" s="838"/>
      <c r="BE32" s="838"/>
      <c r="BF32" s="838"/>
      <c r="BG32" s="838"/>
      <c r="BH32" s="838"/>
      <c r="BI32" s="838"/>
      <c r="BJ32" s="838"/>
      <c r="BK32" s="838"/>
      <c r="BL32" s="838"/>
      <c r="BM32" s="838"/>
      <c r="BN32" s="838"/>
      <c r="BO32" s="838"/>
      <c r="BP32" s="838"/>
      <c r="BQ32" s="838"/>
      <c r="BR32" s="838"/>
      <c r="BS32" s="838"/>
      <c r="BT32" s="838"/>
      <c r="BU32" s="838"/>
      <c r="BV32" s="838"/>
      <c r="BW32" s="838"/>
      <c r="BX32" s="838"/>
      <c r="BY32" s="838"/>
      <c r="BZ32" s="838"/>
      <c r="CA32" s="838"/>
      <c r="CB32" s="838"/>
    </row>
    <row r="33" spans="1:81" s="11" customFormat="1" ht="11.25" x14ac:dyDescent="0.2">
      <c r="C33" s="11" t="s">
        <v>117</v>
      </c>
      <c r="O33" s="841" t="str">
        <f>IF('Данные объект'!B52="","",'Данные объект'!B52)</f>
      </c>
      <c r="P33" s="841"/>
      <c r="Q33" s="841"/>
      <c r="R33" s="841"/>
      <c r="S33" s="841"/>
      <c r="T33" s="841"/>
      <c r="U33" s="841"/>
      <c r="V33" s="841"/>
      <c r="W33" s="841"/>
      <c r="X33" s="841"/>
      <c r="Y33" s="841"/>
      <c r="Z33" s="841"/>
      <c r="AA33" s="841"/>
      <c r="AB33" s="841"/>
      <c r="AC33" s="841"/>
      <c r="AD33" s="841"/>
      <c r="AE33" s="841"/>
      <c r="AF33" s="841"/>
      <c r="AG33" s="841"/>
      <c r="AH33" s="841"/>
      <c r="AI33" s="841"/>
      <c r="AJ33" s="841"/>
      <c r="AK33" s="841"/>
      <c r="AL33" s="841"/>
      <c r="AM33" s="841"/>
      <c r="AN33" s="841"/>
      <c r="AO33" s="841"/>
      <c r="AP33" s="841"/>
      <c r="AQ33" s="841"/>
      <c r="AR33" s="841"/>
      <c r="AS33" s="841"/>
      <c r="AT33" s="841"/>
      <c r="AU33" s="841"/>
      <c r="AV33" s="841"/>
      <c r="AW33" s="841"/>
      <c r="AX33" s="841"/>
      <c r="AY33" s="841"/>
      <c r="AZ33" s="841"/>
      <c r="BA33" s="841"/>
      <c r="BB33" s="841"/>
      <c r="BC33" s="841"/>
      <c r="BD33" s="841"/>
      <c r="BE33" s="841"/>
      <c r="BF33" s="11" t="s">
        <v>253</v>
      </c>
      <c r="BP33" s="841"/>
      <c r="BQ33" s="841"/>
      <c r="BR33" s="841"/>
      <c r="BS33" s="841"/>
      <c r="BT33" s="841"/>
      <c r="BU33" s="841"/>
      <c r="BV33" s="841"/>
      <c r="BW33" s="841"/>
      <c r="BX33" s="841"/>
      <c r="BY33" s="841"/>
      <c r="BZ33" s="841"/>
      <c r="CA33" s="841"/>
      <c r="CB33" s="841"/>
      <c r="CC33" s="841"/>
    </row>
    <row r="34" spans="1:81" s="5" customFormat="1" ht="8.25" x14ac:dyDescent="0.15">
      <c r="O34" s="858" t="s">
        <v>38</v>
      </c>
      <c r="P34" s="858"/>
      <c r="Q34" s="858"/>
      <c r="R34" s="858"/>
      <c r="S34" s="858"/>
      <c r="T34" s="858"/>
      <c r="U34" s="858"/>
      <c r="V34" s="858"/>
      <c r="W34" s="858"/>
      <c r="X34" s="858"/>
      <c r="Y34" s="858"/>
      <c r="Z34" s="858"/>
      <c r="AA34" s="858"/>
      <c r="AB34" s="858"/>
      <c r="AC34" s="858"/>
      <c r="AD34" s="858"/>
      <c r="AE34" s="858"/>
      <c r="AF34" s="858"/>
      <c r="AG34" s="858"/>
      <c r="AH34" s="858"/>
      <c r="AI34" s="858"/>
      <c r="AJ34" s="858"/>
      <c r="AK34" s="858"/>
      <c r="AL34" s="858"/>
      <c r="AM34" s="858"/>
      <c r="AN34" s="858"/>
      <c r="AO34" s="858"/>
      <c r="AP34" s="858"/>
      <c r="AQ34" s="858"/>
      <c r="AR34" s="858"/>
      <c r="AS34" s="858"/>
      <c r="AT34" s="858"/>
      <c r="AU34" s="858"/>
      <c r="AV34" s="858"/>
      <c r="AW34" s="858"/>
      <c r="AX34" s="858"/>
      <c r="AY34" s="858"/>
      <c r="AZ34" s="858"/>
      <c r="BA34" s="858"/>
      <c r="BB34" s="858"/>
      <c r="BC34" s="858"/>
      <c r="BD34" s="858"/>
      <c r="BE34" s="858"/>
      <c r="BP34" s="858" t="s">
        <v>279</v>
      </c>
      <c r="BQ34" s="858"/>
      <c r="BR34" s="858"/>
      <c r="BS34" s="858"/>
      <c r="BT34" s="858"/>
      <c r="BU34" s="858"/>
      <c r="BV34" s="858"/>
      <c r="BW34" s="858"/>
      <c r="BX34" s="858"/>
      <c r="BY34" s="858"/>
      <c r="BZ34" s="858"/>
      <c r="CA34" s="858"/>
      <c r="CB34" s="858"/>
      <c r="CC34" s="858"/>
    </row>
    <row r="35" spans="1:81" s="11" customFormat="1" ht="11.25" x14ac:dyDescent="0.2">
      <c r="A35" s="11" t="s">
        <v>36</v>
      </c>
      <c r="C35" s="11" t="s">
        <v>280</v>
      </c>
      <c r="T35" s="1095" t="s">
        <v>340</v>
      </c>
      <c r="U35" s="855"/>
      <c r="V35" s="855"/>
      <c r="W35" s="855"/>
      <c r="X35" s="855"/>
      <c r="Y35" s="855"/>
      <c r="Z35" s="855"/>
      <c r="AA35" s="855"/>
      <c r="AB35" s="855"/>
      <c r="AC35" s="855"/>
      <c r="AD35" s="855"/>
      <c r="AE35" s="855"/>
      <c r="AF35" s="855"/>
      <c r="AG35" s="855"/>
      <c r="AH35" s="855"/>
      <c r="AI35" s="855"/>
      <c r="AJ35" s="855"/>
      <c r="AK35" s="855"/>
      <c r="AL35" s="855"/>
      <c r="AM35" s="855"/>
      <c r="AN35" s="855"/>
      <c r="AO35" s="855"/>
      <c r="AP35" s="855"/>
      <c r="AQ35" s="855"/>
      <c r="AR35" s="855"/>
      <c r="AS35" s="855"/>
      <c r="AT35" s="855"/>
      <c r="AU35" s="855"/>
      <c r="AV35" s="855"/>
      <c r="AW35" s="855"/>
      <c r="AX35" s="855"/>
      <c r="AY35" s="855"/>
      <c r="AZ35" s="855"/>
      <c r="BA35" s="855"/>
      <c r="BB35" s="855"/>
      <c r="BC35" s="855"/>
      <c r="BD35" s="855"/>
      <c r="BE35" s="855"/>
      <c r="BF35" s="855"/>
      <c r="BG35" s="855"/>
      <c r="BH35" s="855"/>
      <c r="BI35" s="855"/>
      <c r="BJ35" s="855"/>
      <c r="BK35" s="855"/>
      <c r="BL35" s="855"/>
      <c r="BM35" s="855"/>
      <c r="BN35" s="855"/>
      <c r="BO35" s="855"/>
      <c r="BP35" s="855"/>
      <c r="BQ35" s="855"/>
      <c r="BR35" s="855"/>
      <c r="BS35" s="855"/>
      <c r="BT35" s="855"/>
      <c r="BU35" s="855"/>
      <c r="BV35" s="855"/>
      <c r="BW35" s="855"/>
      <c r="BX35" s="855"/>
      <c r="BY35" s="855"/>
      <c r="BZ35" s="855"/>
      <c r="CA35" s="855"/>
      <c r="CB35" s="855"/>
      <c r="CC35" s="855"/>
    </row>
    <row r="36" spans="1:81" s="11" customFormat="1" ht="11.25" x14ac:dyDescent="0.2">
      <c r="C36" s="11" t="s">
        <v>281</v>
      </c>
      <c r="N36" s="1095" t="s">
        <v>340</v>
      </c>
      <c r="O36" s="855"/>
      <c r="P36" s="855"/>
      <c r="Q36" s="855"/>
      <c r="R36" s="855"/>
      <c r="S36" s="855"/>
      <c r="T36" s="855"/>
      <c r="U36" s="855"/>
      <c r="V36" s="855"/>
      <c r="W36" s="855"/>
      <c r="X36" s="855"/>
      <c r="Y36" s="855"/>
      <c r="Z36" s="855"/>
      <c r="AA36" s="855"/>
      <c r="AB36" s="855"/>
      <c r="AC36" s="855"/>
      <c r="AD36" s="855"/>
      <c r="AE36" s="855"/>
      <c r="AF36" s="855"/>
      <c r="AG36" s="855"/>
      <c r="AH36" s="855"/>
      <c r="AI36" s="855"/>
      <c r="AJ36" s="855"/>
      <c r="AK36" s="855"/>
      <c r="AL36" s="855"/>
      <c r="AM36" s="855"/>
      <c r="AN36" s="855"/>
      <c r="AO36" s="855"/>
      <c r="AP36" s="855"/>
      <c r="AQ36" s="855"/>
      <c r="AR36" s="855"/>
      <c r="AS36" s="855"/>
      <c r="AT36" s="855"/>
      <c r="AU36" s="855"/>
      <c r="AV36" s="855"/>
      <c r="AW36" s="855"/>
      <c r="AX36" s="855"/>
      <c r="AY36" s="855"/>
      <c r="AZ36" s="855"/>
      <c r="BA36" s="855"/>
      <c r="BB36" s="855"/>
      <c r="BC36" s="855"/>
      <c r="BD36" s="855"/>
      <c r="BE36" s="855"/>
      <c r="BF36" s="855"/>
      <c r="BG36" s="855"/>
      <c r="BH36" s="855"/>
      <c r="BI36" s="855"/>
      <c r="BJ36" s="855"/>
      <c r="BK36" s="855"/>
      <c r="BL36" s="855"/>
      <c r="BM36" s="855"/>
      <c r="BN36" s="855"/>
      <c r="BO36" s="855"/>
      <c r="BP36" s="855"/>
      <c r="BQ36" s="855"/>
      <c r="BR36" s="855"/>
      <c r="BS36" s="855"/>
      <c r="BT36" s="855"/>
      <c r="BU36" s="855"/>
      <c r="BV36" s="855"/>
      <c r="BW36" s="855"/>
      <c r="BX36" s="855"/>
      <c r="BY36" s="855"/>
      <c r="BZ36" s="855"/>
      <c r="CA36" s="855"/>
      <c r="CB36" s="855"/>
      <c r="CC36" s="855"/>
    </row>
    <row r="37" spans="1:81" s="5" customFormat="1" ht="8.25" x14ac:dyDescent="0.15">
      <c r="N37" s="858" t="s">
        <v>282</v>
      </c>
      <c r="O37" s="858"/>
      <c r="P37" s="858"/>
      <c r="Q37" s="858"/>
      <c r="R37" s="858"/>
      <c r="S37" s="858"/>
      <c r="T37" s="858"/>
      <c r="U37" s="858"/>
      <c r="V37" s="858"/>
      <c r="W37" s="858"/>
      <c r="X37" s="858"/>
      <c r="Y37" s="858"/>
      <c r="Z37" s="858"/>
      <c r="AA37" s="858"/>
      <c r="AB37" s="858"/>
      <c r="AC37" s="858"/>
      <c r="AD37" s="858"/>
      <c r="AE37" s="858"/>
      <c r="AF37" s="858"/>
      <c r="AG37" s="858"/>
      <c r="AH37" s="858"/>
      <c r="AI37" s="858"/>
      <c r="AJ37" s="858"/>
      <c r="AK37" s="858"/>
      <c r="AL37" s="858"/>
      <c r="AM37" s="858"/>
      <c r="AN37" s="858"/>
      <c r="AO37" s="858"/>
      <c r="AP37" s="858"/>
      <c r="AQ37" s="858"/>
      <c r="AR37" s="858"/>
      <c r="AS37" s="858"/>
      <c r="AT37" s="858"/>
      <c r="AU37" s="858"/>
      <c r="AV37" s="858"/>
      <c r="AW37" s="858"/>
      <c r="AX37" s="858"/>
      <c r="AY37" s="858"/>
      <c r="AZ37" s="858"/>
      <c r="BA37" s="858"/>
      <c r="BB37" s="858"/>
      <c r="BC37" s="858"/>
      <c r="BD37" s="858"/>
      <c r="BE37" s="858"/>
      <c r="BF37" s="858"/>
      <c r="BG37" s="858"/>
      <c r="BH37" s="858"/>
      <c r="BI37" s="858"/>
      <c r="BJ37" s="858"/>
      <c r="BK37" s="858"/>
      <c r="BL37" s="858"/>
      <c r="BM37" s="858"/>
      <c r="BN37" s="858"/>
      <c r="BO37" s="858"/>
      <c r="BP37" s="858"/>
      <c r="BQ37" s="858"/>
      <c r="BR37" s="858"/>
      <c r="BS37" s="858"/>
      <c r="BT37" s="858"/>
      <c r="BU37" s="858"/>
      <c r="BV37" s="858"/>
      <c r="BW37" s="858"/>
      <c r="BX37" s="858"/>
      <c r="BY37" s="858"/>
      <c r="BZ37" s="858"/>
      <c r="CA37" s="858"/>
      <c r="CB37" s="858"/>
      <c r="CC37" s="858"/>
    </row>
    <row r="38" spans="1:81" s="11" customFormat="1" ht="11.25" x14ac:dyDescent="0.2">
      <c r="C38" s="11" t="s">
        <v>283</v>
      </c>
      <c r="R38" s="1095" t="s">
        <v>340</v>
      </c>
      <c r="S38" s="855"/>
      <c r="T38" s="855"/>
      <c r="U38" s="855"/>
      <c r="V38" s="855"/>
      <c r="W38" s="855"/>
      <c r="X38" s="855"/>
      <c r="Y38" s="855"/>
      <c r="Z38" s="855"/>
      <c r="AA38" s="855"/>
      <c r="AB38" s="855"/>
      <c r="AC38" s="855"/>
      <c r="AD38" s="855"/>
      <c r="AE38" s="855"/>
      <c r="AF38" s="855"/>
      <c r="AG38" s="855"/>
      <c r="AH38" s="855"/>
      <c r="AI38" s="855"/>
      <c r="AJ38" s="855"/>
      <c r="AK38" s="855"/>
      <c r="AL38" s="855"/>
      <c r="AM38" s="855"/>
      <c r="AN38" s="855"/>
      <c r="AO38" s="855"/>
      <c r="AP38" s="855"/>
      <c r="AQ38" s="855"/>
      <c r="AR38" s="855"/>
      <c r="AS38" s="855"/>
      <c r="AT38" s="855"/>
      <c r="AU38" s="855"/>
      <c r="AV38" s="855"/>
      <c r="AW38" s="855"/>
      <c r="AX38" s="855"/>
      <c r="AY38" s="855"/>
      <c r="AZ38" s="855"/>
      <c r="BA38" s="855"/>
      <c r="BB38" s="855"/>
      <c r="BC38" s="855"/>
      <c r="BD38" s="855"/>
      <c r="BE38" s="855"/>
      <c r="BF38" s="855"/>
      <c r="BG38" s="855"/>
      <c r="BH38" s="855"/>
      <c r="BI38" s="855"/>
      <c r="BJ38" s="855"/>
      <c r="BK38" s="855"/>
      <c r="BL38" s="855"/>
      <c r="BM38" s="855"/>
      <c r="BN38" s="855"/>
      <c r="BO38" s="855"/>
      <c r="BP38" s="855"/>
      <c r="BQ38" s="855"/>
      <c r="BR38" s="855"/>
      <c r="BS38" s="855"/>
      <c r="BT38" s="855"/>
      <c r="BU38" s="855"/>
      <c r="BV38" s="855"/>
      <c r="BW38" s="855"/>
      <c r="BX38" s="855"/>
      <c r="BY38" s="855"/>
      <c r="BZ38" s="855"/>
      <c r="CA38" s="855"/>
      <c r="CB38" s="855"/>
      <c r="CC38" s="855"/>
    </row>
    <row r="39" spans="1:81" s="5" customFormat="1" ht="8.25" x14ac:dyDescent="0.15">
      <c r="R39" s="858" t="s">
        <v>279</v>
      </c>
      <c r="S39" s="858"/>
      <c r="T39" s="858"/>
      <c r="U39" s="858"/>
      <c r="V39" s="858"/>
      <c r="W39" s="858"/>
      <c r="X39" s="858"/>
      <c r="Y39" s="858"/>
      <c r="Z39" s="858"/>
      <c r="AA39" s="858"/>
      <c r="AB39" s="858"/>
      <c r="AC39" s="858"/>
      <c r="AD39" s="858"/>
      <c r="AE39" s="858"/>
      <c r="AF39" s="858"/>
      <c r="AG39" s="858"/>
      <c r="AH39" s="858"/>
      <c r="AI39" s="858"/>
      <c r="AJ39" s="858"/>
      <c r="AK39" s="858"/>
      <c r="AL39" s="858"/>
      <c r="AM39" s="858"/>
      <c r="AN39" s="858"/>
      <c r="AO39" s="858"/>
      <c r="AP39" s="858"/>
      <c r="AQ39" s="858"/>
      <c r="AR39" s="858"/>
      <c r="AS39" s="858"/>
      <c r="AT39" s="858"/>
      <c r="AU39" s="858"/>
      <c r="AV39" s="858"/>
      <c r="AW39" s="858"/>
      <c r="AX39" s="858"/>
      <c r="AY39" s="858"/>
      <c r="AZ39" s="858"/>
      <c r="BA39" s="858"/>
      <c r="BB39" s="858"/>
      <c r="BC39" s="858"/>
      <c r="BD39" s="858"/>
      <c r="BE39" s="858"/>
      <c r="BF39" s="858"/>
      <c r="BG39" s="858"/>
      <c r="BH39" s="858"/>
      <c r="BI39" s="858"/>
      <c r="BJ39" s="858"/>
      <c r="BK39" s="858"/>
      <c r="BL39" s="858"/>
      <c r="BM39" s="858"/>
      <c r="BN39" s="858"/>
      <c r="BO39" s="858"/>
      <c r="BP39" s="858"/>
      <c r="BQ39" s="858"/>
      <c r="BR39" s="858"/>
      <c r="BS39" s="858"/>
      <c r="BT39" s="858"/>
      <c r="BU39" s="858"/>
      <c r="BV39" s="858"/>
      <c r="BW39" s="858"/>
      <c r="BX39" s="858"/>
      <c r="BY39" s="858"/>
      <c r="BZ39" s="858"/>
      <c r="CA39" s="858"/>
      <c r="CB39" s="858"/>
      <c r="CC39" s="858"/>
    </row>
    <row r="40" spans="1:81" s="11" customFormat="1" ht="11.25" x14ac:dyDescent="0.2">
      <c r="A40" s="11" t="s">
        <v>39</v>
      </c>
      <c r="C40" s="11" t="s">
        <v>285</v>
      </c>
    </row>
    <row r="41" spans="1:81" s="11" customFormat="1" ht="12.75" customHeight="1" x14ac:dyDescent="0.2">
      <c r="A41" s="827" t="s">
        <v>286</v>
      </c>
      <c r="B41" s="827"/>
      <c r="C41" s="827"/>
      <c r="D41" s="827"/>
      <c r="E41" s="827" t="s">
        <v>287</v>
      </c>
      <c r="F41" s="827"/>
      <c r="G41" s="827"/>
      <c r="H41" s="827"/>
      <c r="I41" s="827"/>
      <c r="J41" s="827"/>
      <c r="K41" s="827"/>
      <c r="L41" s="827"/>
      <c r="M41" s="827"/>
      <c r="N41" s="827"/>
      <c r="O41" s="827"/>
      <c r="P41" s="827"/>
      <c r="Q41" s="827"/>
      <c r="R41" s="827"/>
      <c r="S41" s="827"/>
      <c r="T41" s="827"/>
      <c r="U41" s="827"/>
      <c r="V41" s="827"/>
      <c r="W41" s="827"/>
      <c r="X41" s="827"/>
      <c r="Y41" s="827"/>
      <c r="Z41" s="827"/>
      <c r="AA41" s="827"/>
      <c r="AB41" s="827"/>
      <c r="AC41" s="827"/>
      <c r="AD41" s="827"/>
      <c r="AE41" s="827"/>
      <c r="AF41" s="827"/>
      <c r="AG41" s="827"/>
      <c r="AH41" s="827"/>
      <c r="AI41" s="1085" t="s">
        <v>284</v>
      </c>
      <c r="AJ41" s="1085"/>
      <c r="AK41" s="1085"/>
      <c r="AL41" s="1085"/>
      <c r="AM41" s="1085"/>
      <c r="AN41" s="1085"/>
      <c r="AO41" s="1085"/>
      <c r="AP41" s="1085"/>
      <c r="AQ41" s="1085"/>
      <c r="AR41" s="1085"/>
      <c r="AS41" s="1085"/>
      <c r="AT41" s="1085"/>
      <c r="AU41" s="1085"/>
      <c r="AV41" s="1085"/>
      <c r="AW41" s="1085"/>
      <c r="AX41" s="1085"/>
      <c r="AY41" s="1085"/>
      <c r="AZ41" s="1085"/>
      <c r="BA41" s="1085"/>
      <c r="BB41" s="1085"/>
      <c r="BC41" s="1085"/>
      <c r="BD41" s="1085"/>
      <c r="BE41" s="1085"/>
      <c r="BF41" s="1085"/>
      <c r="BG41" s="1085"/>
      <c r="BH41" s="1085"/>
      <c r="BI41" s="1085"/>
      <c r="BJ41" s="1085"/>
      <c r="BK41" s="1085"/>
      <c r="BL41" s="1085"/>
      <c r="BM41" s="1085"/>
      <c r="BN41" s="1085"/>
      <c r="BO41" s="1085"/>
      <c r="BP41" s="1085"/>
      <c r="BQ41" s="1085"/>
      <c r="BR41" s="1085"/>
      <c r="BS41" s="1085"/>
      <c r="BT41" s="827" t="s">
        <v>0</v>
      </c>
      <c r="BU41" s="827"/>
      <c r="BV41" s="827"/>
      <c r="BW41" s="827"/>
      <c r="BX41" s="827"/>
      <c r="BY41" s="827"/>
      <c r="BZ41" s="827"/>
      <c r="CA41" s="827"/>
      <c r="CB41" s="827"/>
      <c r="CC41" s="827"/>
    </row>
    <row r="42" spans="1:81" s="11" customFormat="1" ht="12.75" customHeight="1" x14ac:dyDescent="0.2">
      <c r="A42" s="827"/>
      <c r="B42" s="827"/>
      <c r="C42" s="827"/>
      <c r="D42" s="827"/>
      <c r="E42" s="827"/>
      <c r="F42" s="827"/>
      <c r="G42" s="827"/>
      <c r="H42" s="827"/>
      <c r="I42" s="827"/>
      <c r="J42" s="827"/>
      <c r="K42" s="827"/>
      <c r="L42" s="827"/>
      <c r="M42" s="827"/>
      <c r="N42" s="827"/>
      <c r="O42" s="827"/>
      <c r="P42" s="827"/>
      <c r="Q42" s="827"/>
      <c r="R42" s="827"/>
      <c r="S42" s="827"/>
      <c r="T42" s="827"/>
      <c r="U42" s="827"/>
      <c r="V42" s="827"/>
      <c r="W42" s="827"/>
      <c r="X42" s="827"/>
      <c r="Y42" s="827"/>
      <c r="Z42" s="827"/>
      <c r="AA42" s="827"/>
      <c r="AB42" s="827"/>
      <c r="AC42" s="827"/>
      <c r="AD42" s="827"/>
      <c r="AE42" s="827"/>
      <c r="AF42" s="827"/>
      <c r="AG42" s="827"/>
      <c r="AH42" s="827"/>
      <c r="AI42" s="1085" t="s">
        <v>288</v>
      </c>
      <c r="AJ42" s="1085"/>
      <c r="AK42" s="1085"/>
      <c r="AL42" s="1085"/>
      <c r="AM42" s="1085"/>
      <c r="AN42" s="1085"/>
      <c r="AO42" s="1085"/>
      <c r="AP42" s="1085" t="s">
        <v>289</v>
      </c>
      <c r="AQ42" s="1085"/>
      <c r="AR42" s="1085"/>
      <c r="AS42" s="1085"/>
      <c r="AT42" s="1085"/>
      <c r="AU42" s="1085"/>
      <c r="AV42" s="1085"/>
      <c r="AW42" s="1085"/>
      <c r="AX42" s="1085" t="s">
        <v>291</v>
      </c>
      <c r="AY42" s="1085"/>
      <c r="AZ42" s="1085"/>
      <c r="BA42" s="1085"/>
      <c r="BB42" s="1085"/>
      <c r="BC42" s="1085"/>
      <c r="BD42" s="1085"/>
      <c r="BE42" s="1085" t="s">
        <v>332</v>
      </c>
      <c r="BF42" s="1085"/>
      <c r="BG42" s="1085"/>
      <c r="BH42" s="1085"/>
      <c r="BI42" s="1085"/>
      <c r="BJ42" s="1085" t="s">
        <v>290</v>
      </c>
      <c r="BK42" s="1085"/>
      <c r="BL42" s="1085"/>
      <c r="BM42" s="1085"/>
      <c r="BN42" s="1085"/>
      <c r="BO42" s="1085"/>
      <c r="BP42" s="1085"/>
      <c r="BQ42" s="1085"/>
      <c r="BR42" s="1085"/>
      <c r="BS42" s="1085"/>
      <c r="BT42" s="827"/>
      <c r="BU42" s="827"/>
      <c r="BV42" s="827"/>
      <c r="BW42" s="827"/>
      <c r="BX42" s="827"/>
      <c r="BY42" s="827"/>
      <c r="BZ42" s="827"/>
      <c r="CA42" s="827"/>
      <c r="CB42" s="827"/>
      <c r="CC42" s="827"/>
    </row>
    <row r="43" spans="1:81" s="11" customFormat="1" ht="11.25" x14ac:dyDescent="0.2">
      <c r="A43" s="827"/>
      <c r="B43" s="827"/>
      <c r="C43" s="827"/>
      <c r="D43" s="827"/>
      <c r="E43" s="827"/>
      <c r="F43" s="827"/>
      <c r="G43" s="827"/>
      <c r="H43" s="827"/>
      <c r="I43" s="827"/>
      <c r="J43" s="827"/>
      <c r="K43" s="827"/>
      <c r="L43" s="827"/>
      <c r="M43" s="827"/>
      <c r="N43" s="827"/>
      <c r="O43" s="827"/>
      <c r="P43" s="827"/>
      <c r="Q43" s="827"/>
      <c r="R43" s="827"/>
      <c r="S43" s="827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1085"/>
      <c r="AJ43" s="1085"/>
      <c r="AK43" s="1085"/>
      <c r="AL43" s="1085"/>
      <c r="AM43" s="1085"/>
      <c r="AN43" s="1085"/>
      <c r="AO43" s="1085"/>
      <c r="AP43" s="1085"/>
      <c r="AQ43" s="1085"/>
      <c r="AR43" s="1085"/>
      <c r="AS43" s="1085"/>
      <c r="AT43" s="1085"/>
      <c r="AU43" s="1085"/>
      <c r="AV43" s="1085"/>
      <c r="AW43" s="1085"/>
      <c r="AX43" s="1085"/>
      <c r="AY43" s="1085"/>
      <c r="AZ43" s="1085"/>
      <c r="BA43" s="1085"/>
      <c r="BB43" s="1085"/>
      <c r="BC43" s="1085"/>
      <c r="BD43" s="1085"/>
      <c r="BE43" s="1085"/>
      <c r="BF43" s="1085"/>
      <c r="BG43" s="1085"/>
      <c r="BH43" s="1085"/>
      <c r="BI43" s="1085"/>
      <c r="BJ43" s="1085"/>
      <c r="BK43" s="1085"/>
      <c r="BL43" s="1085"/>
      <c r="BM43" s="1085"/>
      <c r="BN43" s="1085"/>
      <c r="BO43" s="1085"/>
      <c r="BP43" s="1085"/>
      <c r="BQ43" s="1085"/>
      <c r="BR43" s="1085"/>
      <c r="BS43" s="1085"/>
      <c r="BT43" s="827"/>
      <c r="BU43" s="827"/>
      <c r="BV43" s="827"/>
      <c r="BW43" s="827"/>
      <c r="BX43" s="827"/>
      <c r="BY43" s="827"/>
      <c r="BZ43" s="827"/>
      <c r="CA43" s="827"/>
      <c r="CB43" s="827"/>
      <c r="CC43" s="827"/>
    </row>
    <row r="44" spans="1:81" s="11" customFormat="1" ht="23.25" hidden="1" customHeight="1" x14ac:dyDescent="0.2">
      <c r="A44" s="990">
        <v>1</v>
      </c>
      <c r="B44" s="990"/>
      <c r="C44" s="990"/>
      <c r="D44" s="990"/>
      <c r="E44" s="1118" t="s">
        <v>346</v>
      </c>
      <c r="F44" s="1118"/>
      <c r="G44" s="1118"/>
      <c r="H44" s="1118"/>
      <c r="I44" s="1118"/>
      <c r="J44" s="1118"/>
      <c r="K44" s="1118"/>
      <c r="L44" s="1118"/>
      <c r="M44" s="1118"/>
      <c r="N44" s="1118"/>
      <c r="O44" s="1118"/>
      <c r="P44" s="1118"/>
      <c r="Q44" s="1118"/>
      <c r="R44" s="1118"/>
      <c r="S44" s="1118"/>
      <c r="T44" s="1118"/>
      <c r="U44" s="1118"/>
      <c r="V44" s="1118"/>
      <c r="W44" s="1118"/>
      <c r="X44" s="1118"/>
      <c r="Y44" s="1118"/>
      <c r="Z44" s="1118"/>
      <c r="AA44" s="1118"/>
      <c r="AB44" s="1118"/>
      <c r="AC44" s="1118"/>
      <c r="AD44" s="1118"/>
      <c r="AE44" s="1118"/>
      <c r="AF44" s="1118"/>
      <c r="AG44" s="1118"/>
      <c r="AH44" s="1118"/>
      <c r="AI44" s="1086" t="s">
        <v>331</v>
      </c>
      <c r="AJ44" s="1086"/>
      <c r="AK44" s="1086"/>
      <c r="AL44" s="1086"/>
      <c r="AM44" s="1086"/>
      <c r="AN44" s="1086"/>
      <c r="AO44" s="1086"/>
      <c r="AP44" s="1148" t="s">
        <v>1193</v>
      </c>
      <c r="AQ44" s="1149"/>
      <c r="AR44" s="1149"/>
      <c r="AS44" s="1149"/>
      <c r="AT44" s="1149"/>
      <c r="AU44" s="1149"/>
      <c r="AV44" s="1149"/>
      <c r="AW44" s="1150"/>
      <c r="AX44" s="1151" t="s">
        <v>585</v>
      </c>
      <c r="AY44" s="1071"/>
      <c r="AZ44" s="1071"/>
      <c r="BA44" s="1071"/>
      <c r="BB44" s="1071"/>
      <c r="BC44" s="1071"/>
      <c r="BD44" s="1152"/>
      <c r="BE44" s="1086">
        <v>9</v>
      </c>
      <c r="BF44" s="1086"/>
      <c r="BG44" s="1086"/>
      <c r="BH44" s="1086"/>
      <c r="BI44" s="1086"/>
      <c r="BJ44" s="1086">
        <v>1</v>
      </c>
      <c r="BK44" s="1086"/>
      <c r="BL44" s="1086"/>
      <c r="BM44" s="1086"/>
      <c r="BN44" s="1086"/>
      <c r="BO44" s="1086"/>
      <c r="BP44" s="1086"/>
      <c r="BQ44" s="1086"/>
      <c r="BR44" s="1086"/>
      <c r="BS44" s="1086"/>
      <c r="BT44" s="990"/>
      <c r="BU44" s="990"/>
      <c r="BV44" s="990"/>
      <c r="BW44" s="990"/>
      <c r="BX44" s="990"/>
      <c r="BY44" s="990"/>
      <c r="BZ44" s="990"/>
      <c r="CA44" s="990"/>
      <c r="CB44" s="990"/>
      <c r="CC44" s="990"/>
    </row>
    <row r="45" spans="1:81" s="11" customFormat="1" ht="22.5" hidden="1" customHeight="1" x14ac:dyDescent="0.2">
      <c r="A45" s="990">
        <v>2</v>
      </c>
      <c r="B45" s="990"/>
      <c r="C45" s="990"/>
      <c r="D45" s="990"/>
      <c r="E45" s="1118" t="s">
        <v>353</v>
      </c>
      <c r="F45" s="1118"/>
      <c r="G45" s="1118"/>
      <c r="H45" s="1118"/>
      <c r="I45" s="1118"/>
      <c r="J45" s="1118"/>
      <c r="K45" s="1118"/>
      <c r="L45" s="1118"/>
      <c r="M45" s="1118"/>
      <c r="N45" s="1118"/>
      <c r="O45" s="1118"/>
      <c r="P45" s="1118"/>
      <c r="Q45" s="1118"/>
      <c r="R45" s="1118"/>
      <c r="S45" s="1118"/>
      <c r="T45" s="1118"/>
      <c r="U45" s="1118"/>
      <c r="V45" s="1118"/>
      <c r="W45" s="1118"/>
      <c r="X45" s="1118"/>
      <c r="Y45" s="1118"/>
      <c r="Z45" s="1118"/>
      <c r="AA45" s="1118"/>
      <c r="AB45" s="1118"/>
      <c r="AC45" s="1118"/>
      <c r="AD45" s="1118"/>
      <c r="AE45" s="1118"/>
      <c r="AF45" s="1118"/>
      <c r="AG45" s="1118"/>
      <c r="AH45" s="1118"/>
      <c r="AI45" s="1086" t="s">
        <v>331</v>
      </c>
      <c r="AJ45" s="1086"/>
      <c r="AK45" s="1086"/>
      <c r="AL45" s="1086"/>
      <c r="AM45" s="1086"/>
      <c r="AN45" s="1086"/>
      <c r="AO45" s="1086"/>
      <c r="AP45" s="1148" t="s">
        <v>1194</v>
      </c>
      <c r="AQ45" s="1149"/>
      <c r="AR45" s="1149"/>
      <c r="AS45" s="1149"/>
      <c r="AT45" s="1149"/>
      <c r="AU45" s="1149"/>
      <c r="AV45" s="1149"/>
      <c r="AW45" s="1150"/>
      <c r="AX45" s="1151" t="s">
        <v>586</v>
      </c>
      <c r="AY45" s="1071"/>
      <c r="AZ45" s="1071"/>
      <c r="BA45" s="1071"/>
      <c r="BB45" s="1071"/>
      <c r="BC45" s="1071"/>
      <c r="BD45" s="1152"/>
      <c r="BE45" s="1086">
        <v>8.3000000000000007</v>
      </c>
      <c r="BF45" s="1086"/>
      <c r="BG45" s="1086"/>
      <c r="BH45" s="1086"/>
      <c r="BI45" s="1086"/>
      <c r="BJ45" s="1153" t="s">
        <v>465</v>
      </c>
      <c r="BK45" s="1153"/>
      <c r="BL45" s="1153"/>
      <c r="BM45" s="1153"/>
      <c r="BN45" s="1153"/>
      <c r="BO45" s="1153"/>
      <c r="BP45" s="1153"/>
      <c r="BQ45" s="1153"/>
      <c r="BR45" s="1153"/>
      <c r="BS45" s="1153"/>
      <c r="BT45" s="990" t="s">
        <v>101</v>
      </c>
      <c r="BU45" s="990"/>
      <c r="BV45" s="990"/>
      <c r="BW45" s="990"/>
      <c r="BX45" s="990"/>
      <c r="BY45" s="990"/>
      <c r="BZ45" s="990"/>
      <c r="CA45" s="990"/>
      <c r="CB45" s="990"/>
      <c r="CC45" s="990"/>
    </row>
    <row r="46" spans="1:81" s="11" customFormat="1" ht="13.5" customHeight="1" x14ac:dyDescent="0.2">
      <c r="A46" s="990">
        <v>1</v>
      </c>
      <c r="B46" s="990"/>
      <c r="C46" s="990"/>
      <c r="D46" s="990"/>
      <c r="E46" s="1118" t="s">
        <v>346</v>
      </c>
      <c r="F46" s="1118"/>
      <c r="G46" s="1118"/>
      <c r="H46" s="1118"/>
      <c r="I46" s="1118"/>
      <c r="J46" s="1118"/>
      <c r="K46" s="1118"/>
      <c r="L46" s="1118"/>
      <c r="M46" s="1118"/>
      <c r="N46" s="1118"/>
      <c r="O46" s="1118"/>
      <c r="P46" s="1118"/>
      <c r="Q46" s="1118"/>
      <c r="R46" s="1118"/>
      <c r="S46" s="1118"/>
      <c r="T46" s="1118"/>
      <c r="U46" s="1118"/>
      <c r="V46" s="1118"/>
      <c r="W46" s="1118"/>
      <c r="X46" s="1118"/>
      <c r="Y46" s="1118"/>
      <c r="Z46" s="1118"/>
      <c r="AA46" s="1118"/>
      <c r="AB46" s="1118"/>
      <c r="AC46" s="1118"/>
      <c r="AD46" s="1118"/>
      <c r="AE46" s="1118"/>
      <c r="AF46" s="1118"/>
      <c r="AG46" s="1118"/>
      <c r="AH46" s="1118"/>
      <c r="AI46" s="1086" t="s">
        <v>1130</v>
      </c>
      <c r="AJ46" s="1086"/>
      <c r="AK46" s="1086"/>
      <c r="AL46" s="1086"/>
      <c r="AM46" s="1086"/>
      <c r="AN46" s="1086"/>
      <c r="AO46" s="1086"/>
      <c r="AP46" s="1151" t="s">
        <v>1363</v>
      </c>
      <c r="AQ46" s="1071"/>
      <c r="AR46" s="1071"/>
      <c r="AS46" s="1071"/>
      <c r="AT46" s="1071"/>
      <c r="AU46" s="1071"/>
      <c r="AV46" s="1071"/>
      <c r="AW46" s="1152"/>
      <c r="AX46" s="1151" t="s">
        <v>1129</v>
      </c>
      <c r="AY46" s="1071"/>
      <c r="AZ46" s="1071"/>
      <c r="BA46" s="1071"/>
      <c r="BB46" s="1071"/>
      <c r="BC46" s="1071"/>
      <c r="BD46" s="1152"/>
      <c r="BE46" s="1086">
        <v>2</v>
      </c>
      <c r="BF46" s="1086"/>
      <c r="BG46" s="1086"/>
      <c r="BH46" s="1086"/>
      <c r="BI46" s="1086"/>
      <c r="BJ46" s="1153" t="s">
        <v>101</v>
      </c>
      <c r="BK46" s="1153"/>
      <c r="BL46" s="1153"/>
      <c r="BM46" s="1153"/>
      <c r="BN46" s="1153"/>
      <c r="BO46" s="1153"/>
      <c r="BP46" s="1153"/>
      <c r="BQ46" s="1153"/>
      <c r="BR46" s="1153"/>
      <c r="BS46" s="1153"/>
      <c r="BT46" s="990"/>
      <c r="BU46" s="990"/>
      <c r="BV46" s="990"/>
      <c r="BW46" s="990"/>
      <c r="BX46" s="990"/>
      <c r="BY46" s="990"/>
      <c r="BZ46" s="990"/>
      <c r="CA46" s="990"/>
      <c r="CB46" s="990"/>
      <c r="CC46" s="990"/>
    </row>
    <row r="47" spans="1:81" s="11" customFormat="1" ht="11.25" x14ac:dyDescent="0.2"/>
    <row r="48" spans="1:81" s="11" customFormat="1" ht="11.25" x14ac:dyDescent="0.2">
      <c r="A48" s="11" t="s">
        <v>41</v>
      </c>
      <c r="C48" s="11" t="s">
        <v>292</v>
      </c>
    </row>
    <row r="49" spans="1:81" s="11" customFormat="1" ht="13.5" customHeight="1" x14ac:dyDescent="0.2">
      <c r="C49" s="11" t="s">
        <v>293</v>
      </c>
      <c r="V49" s="1099" t="s">
        <v>358</v>
      </c>
      <c r="W49" s="1099"/>
      <c r="X49" s="1099"/>
      <c r="Y49" s="1099"/>
      <c r="Z49" s="1099"/>
      <c r="AA49" s="1099"/>
      <c r="AB49" s="1099"/>
      <c r="AC49" s="1099"/>
      <c r="AD49" s="1099"/>
      <c r="AE49" s="1099"/>
      <c r="AF49" s="1099"/>
      <c r="AG49" s="1099"/>
      <c r="AH49" s="1099"/>
      <c r="AI49" s="1099"/>
      <c r="AJ49" s="1099"/>
      <c r="AK49" s="1099"/>
      <c r="AL49" s="1099"/>
      <c r="AM49" s="1099"/>
      <c r="AN49" s="1099"/>
      <c r="AO49" s="1099"/>
      <c r="AP49" s="1099"/>
      <c r="AQ49" s="1099"/>
      <c r="AR49" s="1099"/>
      <c r="AS49" s="1099"/>
      <c r="AT49" s="1099"/>
      <c r="AU49" s="1099"/>
      <c r="AV49" s="1099"/>
      <c r="AW49" s="1099"/>
      <c r="AX49" s="1099"/>
      <c r="AY49" s="1099"/>
      <c r="AZ49" s="1099"/>
      <c r="BA49" s="1099"/>
      <c r="BB49" s="1099"/>
      <c r="BC49" s="1099"/>
      <c r="BD49" s="1099"/>
      <c r="BE49" s="1099"/>
      <c r="BF49" s="1099"/>
      <c r="BG49" s="1099"/>
      <c r="BH49" s="1099"/>
      <c r="BI49" s="1099"/>
      <c r="BJ49" s="1099"/>
      <c r="BK49" s="1099"/>
      <c r="BL49" s="1099"/>
      <c r="BM49" s="1099"/>
      <c r="BN49" s="1099"/>
      <c r="BO49" s="1099"/>
      <c r="BP49" s="1099"/>
      <c r="BQ49" s="1099"/>
      <c r="BR49" s="1099"/>
      <c r="BS49" s="1099"/>
      <c r="BT49" s="1099"/>
      <c r="BU49" s="1099"/>
      <c r="BV49" s="1099"/>
      <c r="BW49" s="1099"/>
      <c r="BX49" s="1099"/>
      <c r="BY49" s="1099"/>
      <c r="BZ49" s="1099"/>
      <c r="CA49" s="1099"/>
      <c r="CB49" s="1099"/>
      <c r="CC49" s="1099"/>
    </row>
    <row r="50" spans="1:81" s="11" customFormat="1" ht="9.75" customHeight="1" x14ac:dyDescent="0.2">
      <c r="V50" s="1099"/>
      <c r="W50" s="1099"/>
      <c r="X50" s="1099"/>
      <c r="Y50" s="1099"/>
      <c r="Z50" s="1099"/>
      <c r="AA50" s="1099"/>
      <c r="AB50" s="1099"/>
      <c r="AC50" s="1099"/>
      <c r="AD50" s="1099"/>
      <c r="AE50" s="1099"/>
      <c r="AF50" s="1099"/>
      <c r="AG50" s="1099"/>
      <c r="AH50" s="1099"/>
      <c r="AI50" s="1099"/>
      <c r="AJ50" s="1099"/>
      <c r="AK50" s="1099"/>
      <c r="AL50" s="1099"/>
      <c r="AM50" s="1099"/>
      <c r="AN50" s="1099"/>
      <c r="AO50" s="1099"/>
      <c r="AP50" s="1099"/>
      <c r="AQ50" s="1099"/>
      <c r="AR50" s="1099"/>
      <c r="AS50" s="1099"/>
      <c r="AT50" s="1099"/>
      <c r="AU50" s="1099"/>
      <c r="AV50" s="1099"/>
      <c r="AW50" s="1099"/>
      <c r="AX50" s="1099"/>
      <c r="AY50" s="1099"/>
      <c r="AZ50" s="1099"/>
      <c r="BA50" s="1099"/>
      <c r="BB50" s="1099"/>
      <c r="BC50" s="1099"/>
      <c r="BD50" s="1099"/>
      <c r="BE50" s="1099"/>
      <c r="BF50" s="1099"/>
      <c r="BG50" s="1099"/>
      <c r="BH50" s="1099"/>
      <c r="BI50" s="1099"/>
      <c r="BJ50" s="1099"/>
      <c r="BK50" s="1099"/>
      <c r="BL50" s="1099"/>
      <c r="BM50" s="1099"/>
      <c r="BN50" s="1099"/>
      <c r="BO50" s="1099"/>
      <c r="BP50" s="1099"/>
      <c r="BQ50" s="1099"/>
      <c r="BR50" s="1099"/>
      <c r="BS50" s="1099"/>
      <c r="BT50" s="1099"/>
      <c r="BU50" s="1099"/>
      <c r="BV50" s="1099"/>
      <c r="BW50" s="1099"/>
      <c r="BX50" s="1099"/>
      <c r="BY50" s="1099"/>
      <c r="BZ50" s="1099"/>
      <c r="CA50" s="1099"/>
      <c r="CB50" s="1099"/>
      <c r="CC50" s="1099"/>
    </row>
    <row r="51" spans="1:81" s="11" customFormat="1" ht="11.25" x14ac:dyDescent="0.2">
      <c r="A51" s="11" t="s">
        <v>42</v>
      </c>
      <c r="C51" s="11" t="s">
        <v>294</v>
      </c>
      <c r="Q51" s="831" t="s">
        <v>330</v>
      </c>
      <c r="R51" s="831"/>
      <c r="S51" s="831"/>
      <c r="T51" s="831"/>
      <c r="U51" s="831"/>
      <c r="V51" s="831"/>
      <c r="W51" s="831"/>
      <c r="X51" s="831"/>
      <c r="Y51" s="831"/>
      <c r="Z51" s="831"/>
      <c r="AA51" s="831"/>
      <c r="AB51" s="831"/>
      <c r="AC51" s="831"/>
      <c r="AD51" s="831"/>
      <c r="AE51" s="831"/>
      <c r="AF51" s="831"/>
      <c r="AG51" s="831"/>
      <c r="AH51" s="831"/>
      <c r="AI51" s="831"/>
      <c r="AJ51" s="831"/>
      <c r="AK51" s="831"/>
      <c r="AL51" s="831"/>
      <c r="AM51" s="831"/>
      <c r="AN51" s="831"/>
      <c r="AO51" s="831"/>
      <c r="AP51" s="831"/>
      <c r="AQ51" s="831"/>
      <c r="AR51" s="831"/>
      <c r="AS51" s="831"/>
      <c r="AT51" s="831"/>
      <c r="AU51" s="831"/>
      <c r="AV51" s="831"/>
      <c r="AW51" s="831"/>
      <c r="AX51" s="831"/>
      <c r="AY51" s="831"/>
      <c r="AZ51" s="831"/>
      <c r="BA51" s="831"/>
      <c r="BB51" s="831"/>
      <c r="BC51" s="831"/>
      <c r="BD51" s="831"/>
      <c r="BE51" s="831"/>
      <c r="BF51" s="831"/>
      <c r="BG51" s="831"/>
      <c r="BH51" s="831"/>
      <c r="BI51" s="831"/>
      <c r="BJ51" s="831"/>
      <c r="BK51" s="831"/>
      <c r="BL51" s="831"/>
      <c r="BM51" s="831"/>
      <c r="BN51" s="831"/>
      <c r="BO51" s="831"/>
      <c r="BP51" s="831"/>
      <c r="BQ51" s="831"/>
      <c r="BR51" s="831"/>
      <c r="BS51" s="831"/>
      <c r="BT51" s="831"/>
      <c r="BU51" s="831"/>
      <c r="BV51" s="831"/>
      <c r="BW51" s="831"/>
      <c r="BX51" s="831"/>
      <c r="BY51" s="831"/>
      <c r="BZ51" s="831"/>
      <c r="CA51" s="831"/>
      <c r="CB51" s="831"/>
      <c r="CC51" s="831"/>
    </row>
    <row r="52" spans="1:81" s="11" customFormat="1" ht="11.25" x14ac:dyDescent="0.2">
      <c r="A52" s="11" t="s">
        <v>47</v>
      </c>
      <c r="C52" s="57" t="s">
        <v>53</v>
      </c>
      <c r="M52" s="831" t="s">
        <v>355</v>
      </c>
      <c r="N52" s="831"/>
      <c r="O52" s="831"/>
      <c r="P52" s="831"/>
      <c r="Q52" s="831"/>
      <c r="R52" s="831"/>
      <c r="S52" s="831"/>
      <c r="T52" s="831"/>
      <c r="U52" s="831"/>
      <c r="V52" s="831"/>
      <c r="W52" s="831"/>
      <c r="X52" s="831"/>
      <c r="Y52" s="831"/>
      <c r="Z52" s="831"/>
      <c r="AA52" s="831"/>
      <c r="AB52" s="831"/>
      <c r="AC52" s="831"/>
      <c r="AD52" s="831"/>
      <c r="AE52" s="831"/>
      <c r="AF52" s="831"/>
      <c r="AG52" s="831"/>
      <c r="AH52" s="831"/>
      <c r="AI52" s="831"/>
      <c r="AJ52" s="831"/>
      <c r="AK52" s="831"/>
      <c r="AL52" s="831"/>
      <c r="AM52" s="831"/>
      <c r="AN52" s="831"/>
      <c r="AO52" s="831"/>
      <c r="AP52" s="831"/>
      <c r="AQ52" s="831"/>
      <c r="AR52" s="831"/>
      <c r="AS52" s="831"/>
      <c r="AT52" s="831"/>
      <c r="AU52" s="831"/>
      <c r="AV52" s="831"/>
      <c r="AW52" s="831"/>
      <c r="AX52" s="831"/>
      <c r="AY52" s="831"/>
      <c r="AZ52" s="831"/>
      <c r="BA52" s="831"/>
      <c r="BB52" s="831"/>
      <c r="BC52" s="831"/>
      <c r="BD52" s="831"/>
      <c r="BE52" s="831"/>
      <c r="BF52" s="831"/>
      <c r="BG52" s="831"/>
      <c r="BH52" s="831"/>
      <c r="BI52" s="831"/>
      <c r="BJ52" s="831"/>
      <c r="BK52" s="831"/>
      <c r="BL52" s="831"/>
      <c r="BM52" s="831"/>
      <c r="BN52" s="831"/>
      <c r="BO52" s="831"/>
      <c r="BP52" s="831"/>
      <c r="BQ52" s="831"/>
      <c r="BR52" s="831"/>
      <c r="BS52" s="831"/>
      <c r="BT52" s="831"/>
      <c r="BU52" s="831"/>
      <c r="BV52" s="831"/>
      <c r="BW52" s="831"/>
      <c r="BX52" s="831"/>
      <c r="BY52" s="831"/>
      <c r="BZ52" s="831"/>
      <c r="CA52" s="831"/>
      <c r="CB52" s="831"/>
      <c r="CC52" s="831"/>
    </row>
    <row r="53" spans="1:81" s="11" customFormat="1" ht="11.25" x14ac:dyDescent="0.2"/>
    <row r="54" spans="1:81" s="11" customFormat="1" ht="11.25" x14ac:dyDescent="0.2"/>
    <row r="55" spans="1:81" s="11" customFormat="1" ht="11.25" x14ac:dyDescent="0.2">
      <c r="D55" s="45" t="s">
        <v>344</v>
      </c>
      <c r="AM55" s="855"/>
      <c r="AN55" s="855"/>
      <c r="AO55" s="855"/>
      <c r="AP55" s="855"/>
      <c r="AQ55" s="855"/>
      <c r="AR55" s="855"/>
      <c r="AS55" s="855"/>
      <c r="AT55" s="855"/>
      <c r="AU55" s="855"/>
      <c r="AV55" s="855"/>
      <c r="AW55" s="855"/>
      <c r="AX55" s="855"/>
      <c r="AY55" s="855"/>
      <c r="AZ55" s="855"/>
      <c r="BD55" s="893" t="str">
        <f>IF('Данные объект'!B42="","",'Данные объект'!B42)</f>
      </c>
      <c r="BE55" s="893"/>
      <c r="BF55" s="893"/>
      <c r="BG55" s="893"/>
      <c r="BH55" s="893"/>
      <c r="BI55" s="893"/>
      <c r="BJ55" s="893"/>
      <c r="BK55" s="893"/>
      <c r="BL55" s="893"/>
      <c r="BM55" s="893"/>
      <c r="BN55" s="893"/>
      <c r="BO55" s="893"/>
      <c r="BP55" s="893"/>
      <c r="BQ55" s="893"/>
      <c r="BR55" s="893"/>
    </row>
    <row r="56" spans="1:81" s="5" customFormat="1" ht="9.75" x14ac:dyDescent="0.2">
      <c r="C56" s="20"/>
      <c r="E56" s="21"/>
      <c r="F56" s="21"/>
      <c r="G56" s="20"/>
      <c r="H56" s="20"/>
      <c r="I56" s="20"/>
      <c r="J56" s="20"/>
      <c r="K56" s="20"/>
      <c r="L56" s="20"/>
      <c r="M56" s="20"/>
      <c r="AM56" s="858" t="s">
        <v>2</v>
      </c>
      <c r="AN56" s="858"/>
      <c r="AO56" s="858"/>
      <c r="AP56" s="858"/>
      <c r="AQ56" s="858"/>
      <c r="AR56" s="858"/>
      <c r="AS56" s="858"/>
      <c r="AT56" s="858"/>
      <c r="AU56" s="858"/>
      <c r="AV56" s="858"/>
      <c r="AW56" s="858"/>
      <c r="AX56" s="858"/>
      <c r="AY56" s="858"/>
      <c r="AZ56" s="858"/>
    </row>
    <row r="57" spans="1:81" s="5" customFormat="1" ht="9.75" x14ac:dyDescent="0.2">
      <c r="C57" s="20"/>
      <c r="E57" s="21"/>
      <c r="F57" s="21"/>
      <c r="G57" s="20"/>
      <c r="H57" s="20"/>
      <c r="I57" s="20"/>
      <c r="J57" s="20"/>
      <c r="K57" s="20"/>
      <c r="L57" s="20"/>
      <c r="M57" s="20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81" s="5" customFormat="1" ht="9.75" x14ac:dyDescent="0.2">
      <c r="C58" s="20"/>
      <c r="E58" s="21"/>
      <c r="F58" s="21"/>
      <c r="G58" s="20"/>
      <c r="H58" s="20"/>
      <c r="I58" s="20"/>
      <c r="J58" s="20"/>
      <c r="K58" s="20"/>
      <c r="L58" s="20"/>
      <c r="M58" s="20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81" s="5" customFormat="1" ht="11.25" x14ac:dyDescent="0.2">
      <c r="C59" s="20"/>
      <c r="E59" s="21"/>
      <c r="F59" s="21"/>
      <c r="G59" s="20"/>
      <c r="H59" s="20"/>
      <c r="I59" s="20"/>
      <c r="J59" s="20"/>
      <c r="K59" s="20"/>
      <c r="L59" s="20"/>
      <c r="M59" s="20"/>
      <c r="AM59" s="1154"/>
      <c r="AN59" s="1154"/>
      <c r="AO59" s="1154"/>
      <c r="AP59" s="1154"/>
      <c r="AQ59" s="1154"/>
      <c r="AR59" s="1154"/>
      <c r="AS59" s="1154"/>
      <c r="AT59" s="1154"/>
      <c r="AU59" s="1154"/>
      <c r="AV59" s="1154"/>
      <c r="AW59" s="1154"/>
      <c r="AX59" s="1154"/>
      <c r="AY59" s="1154"/>
      <c r="AZ59" s="1154"/>
      <c r="BD59" s="893" t="str">
        <f>IF('Данные объект'!B47="","",'Данные объект'!B47)</f>
      </c>
      <c r="BE59" s="893"/>
      <c r="BF59" s="893"/>
      <c r="BG59" s="893"/>
      <c r="BH59" s="893"/>
      <c r="BI59" s="893"/>
      <c r="BJ59" s="893"/>
      <c r="BK59" s="893"/>
      <c r="BL59" s="893"/>
      <c r="BM59" s="893"/>
      <c r="BN59" s="893"/>
      <c r="BO59" s="893"/>
      <c r="BP59" s="893"/>
      <c r="BQ59" s="893"/>
      <c r="BR59" s="893"/>
      <c r="BS59" s="394"/>
    </row>
    <row r="60" spans="1:81" s="5" customFormat="1" ht="9.75" x14ac:dyDescent="0.2">
      <c r="C60" s="20"/>
      <c r="E60" s="21"/>
      <c r="F60" s="21"/>
      <c r="G60" s="20"/>
      <c r="H60" s="20"/>
      <c r="I60" s="20"/>
      <c r="J60" s="20"/>
      <c r="K60" s="20"/>
      <c r="L60" s="20"/>
      <c r="M60" s="20"/>
      <c r="AM60" s="858" t="s">
        <v>2</v>
      </c>
      <c r="AN60" s="858"/>
      <c r="AO60" s="858"/>
      <c r="AP60" s="858"/>
      <c r="AQ60" s="858"/>
      <c r="AR60" s="858"/>
      <c r="AS60" s="858"/>
      <c r="AT60" s="858"/>
      <c r="AU60" s="858"/>
      <c r="AV60" s="858"/>
      <c r="AW60" s="858"/>
      <c r="AX60" s="858"/>
      <c r="AY60" s="858"/>
      <c r="AZ60" s="858"/>
    </row>
    <row r="61" spans="1:81" s="5" customFormat="1" x14ac:dyDescent="0.2">
      <c r="C61" s="20"/>
      <c r="D61" s="21"/>
      <c r="E61" s="21"/>
      <c r="F61" s="21"/>
      <c r="G61" s="20"/>
      <c r="H61" s="20"/>
      <c r="I61" s="20"/>
      <c r="J61" s="20"/>
      <c r="K61" s="20"/>
      <c r="L61" s="20"/>
      <c r="M61" s="20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</row>
    <row r="62" spans="1:81" ht="13.5" hidden="1" outlineLevel="1" x14ac:dyDescent="0.25">
      <c r="C62" s="3"/>
      <c r="D62" s="10" t="s">
        <v>60</v>
      </c>
      <c r="E62" s="10"/>
      <c r="F62" s="10"/>
      <c r="G62" s="3"/>
      <c r="H62" s="3"/>
      <c r="I62" s="3"/>
      <c r="J62" s="3"/>
      <c r="K62" s="3"/>
      <c r="L62" s="3"/>
      <c r="M62" s="3"/>
      <c r="AM62" s="857"/>
      <c r="AN62" s="857"/>
      <c r="AO62" s="857"/>
      <c r="AP62" s="857"/>
      <c r="AQ62" s="857"/>
      <c r="AR62" s="857"/>
      <c r="AS62" s="857"/>
      <c r="AT62" s="857"/>
      <c r="AU62" s="857"/>
      <c r="AV62" s="857"/>
      <c r="AW62" s="857"/>
      <c r="AX62" s="857"/>
      <c r="AY62" s="857"/>
      <c r="AZ62" s="857"/>
      <c r="BD62" s="917" t="str">
        <f>IF('Данные объект'!B42="","",'Данные объект'!B42)</f>
      </c>
      <c r="BE62" s="917"/>
      <c r="BF62" s="917"/>
      <c r="BG62" s="917"/>
      <c r="BH62" s="917"/>
      <c r="BI62" s="917"/>
      <c r="BJ62" s="917"/>
      <c r="BK62" s="917"/>
      <c r="BL62" s="917"/>
      <c r="BM62" s="917"/>
      <c r="BN62" s="917"/>
      <c r="BO62" s="917"/>
      <c r="BP62" s="917"/>
      <c r="BQ62" s="917"/>
      <c r="BR62" s="917"/>
    </row>
    <row r="63" spans="1:81" s="5" customFormat="1" ht="9.75" hidden="1" outlineLevel="1" x14ac:dyDescent="0.2">
      <c r="C63" s="20"/>
      <c r="E63" s="21"/>
      <c r="F63" s="21"/>
      <c r="G63" s="20"/>
      <c r="H63" s="20"/>
      <c r="I63" s="20"/>
      <c r="J63" s="20"/>
      <c r="K63" s="20"/>
      <c r="L63" s="20"/>
      <c r="M63" s="20"/>
      <c r="AM63" s="858" t="s">
        <v>2</v>
      </c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</row>
    <row r="64" spans="1:81" s="5" customFormat="1" hidden="1" outlineLevel="1" x14ac:dyDescent="0.2">
      <c r="C64" s="20"/>
      <c r="D64" s="21"/>
      <c r="E64" s="21"/>
      <c r="F64" s="21"/>
      <c r="G64" s="20"/>
      <c r="H64" s="20"/>
      <c r="I64" s="20"/>
      <c r="J64" s="20"/>
      <c r="K64" s="20"/>
      <c r="L64" s="20"/>
      <c r="M64" s="20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</row>
    <row r="65" spans="3:70" s="11" customFormat="1" ht="11.25" collapsed="1" x14ac:dyDescent="0.2">
      <c r="C65" s="57"/>
      <c r="D65" s="45" t="s">
        <v>61</v>
      </c>
      <c r="E65" s="45"/>
      <c r="F65" s="45"/>
      <c r="G65" s="57"/>
      <c r="H65" s="57"/>
      <c r="I65" s="57"/>
      <c r="J65" s="57"/>
      <c r="K65" s="57"/>
      <c r="L65" s="57"/>
      <c r="M65" s="57"/>
      <c r="AM65" s="855"/>
      <c r="AN65" s="855"/>
      <c r="AO65" s="855"/>
      <c r="AP65" s="855"/>
      <c r="AQ65" s="855"/>
      <c r="AR65" s="855"/>
      <c r="AS65" s="855"/>
      <c r="AT65" s="855"/>
      <c r="AU65" s="855"/>
      <c r="AV65" s="855"/>
      <c r="AW65" s="855"/>
      <c r="AX65" s="855"/>
      <c r="AY65" s="855"/>
      <c r="AZ65" s="855"/>
      <c r="BD65" s="893" t="str">
        <f>IF('Данные объект'!B28="","",'Данные объект'!B28)</f>
      </c>
      <c r="BE65" s="893"/>
      <c r="BF65" s="893"/>
      <c r="BG65" s="893"/>
      <c r="BH65" s="893"/>
      <c r="BI65" s="893"/>
      <c r="BJ65" s="893"/>
      <c r="BK65" s="893"/>
      <c r="BL65" s="893"/>
      <c r="BM65" s="893"/>
      <c r="BN65" s="893"/>
      <c r="BO65" s="893"/>
      <c r="BP65" s="893"/>
      <c r="BQ65" s="893"/>
      <c r="BR65" s="893"/>
    </row>
    <row r="66" spans="3:70" s="5" customFormat="1" ht="9.75" x14ac:dyDescent="0.2">
      <c r="C66" s="20"/>
      <c r="E66" s="21"/>
      <c r="F66" s="21"/>
      <c r="G66" s="20"/>
      <c r="H66" s="20"/>
      <c r="I66" s="20"/>
      <c r="J66" s="20"/>
      <c r="K66" s="20"/>
      <c r="L66" s="20"/>
      <c r="M66" s="20"/>
      <c r="AM66" s="858" t="s">
        <v>2</v>
      </c>
      <c r="AN66" s="858"/>
      <c r="AO66" s="858"/>
      <c r="AP66" s="858"/>
      <c r="AQ66" s="858"/>
      <c r="AR66" s="858"/>
      <c r="AS66" s="858"/>
      <c r="AT66" s="858"/>
      <c r="AU66" s="858"/>
      <c r="AV66" s="858"/>
      <c r="AW66" s="858"/>
      <c r="AX66" s="858"/>
      <c r="AY66" s="858"/>
      <c r="AZ66" s="858"/>
    </row>
  </sheetData>
  <mergeCells count="83">
    <mergeCell ref="AM65:AZ65"/>
    <mergeCell ref="BD65:BR65"/>
    <mergeCell ref="AM66:AZ66"/>
    <mergeCell ref="AM56:AZ56"/>
    <mergeCell ref="AM59:AZ59"/>
    <mergeCell ref="AM60:AZ60"/>
    <mergeCell ref="AM62:AZ62"/>
    <mergeCell ref="BD62:BR62"/>
    <mergeCell ref="BT46:CC46"/>
    <mergeCell ref="V49:CC50"/>
    <mergeCell ref="Q51:CC51"/>
    <mergeCell ref="M52:CC52"/>
    <mergeCell ref="AM63:AZ63"/>
    <mergeCell ref="AM55:AZ55"/>
    <mergeCell ref="BD55:BR55"/>
    <mergeCell ref="BE46:BI46"/>
    <mergeCell ref="BJ46:BS46"/>
    <mergeCell ref="BD59:BR59"/>
    <mergeCell ref="A46:D46"/>
    <mergeCell ref="E46:AH46"/>
    <mergeCell ref="AI46:AO46"/>
    <mergeCell ref="AP46:AW46"/>
    <mergeCell ref="AX46:BD46"/>
    <mergeCell ref="BE44:BI44"/>
    <mergeCell ref="BJ44:BS44"/>
    <mergeCell ref="BT44:CC44"/>
    <mergeCell ref="A45:D45"/>
    <mergeCell ref="E45:AH45"/>
    <mergeCell ref="AI45:AO45"/>
    <mergeCell ref="AP45:AW45"/>
    <mergeCell ref="AX45:BD45"/>
    <mergeCell ref="BE45:BI45"/>
    <mergeCell ref="BJ45:BS45"/>
    <mergeCell ref="BT45:CC45"/>
    <mergeCell ref="A44:D44"/>
    <mergeCell ref="E44:AH44"/>
    <mergeCell ref="AI44:AO44"/>
    <mergeCell ref="AP44:AW44"/>
    <mergeCell ref="AX44:BD44"/>
    <mergeCell ref="N36:CC36"/>
    <mergeCell ref="N37:CC37"/>
    <mergeCell ref="R38:CC38"/>
    <mergeCell ref="R39:CC39"/>
    <mergeCell ref="A41:D43"/>
    <mergeCell ref="E41:AH43"/>
    <mergeCell ref="AI41:BS41"/>
    <mergeCell ref="BT41:CC43"/>
    <mergeCell ref="AI42:AO43"/>
    <mergeCell ref="AP42:AW43"/>
    <mergeCell ref="AX42:BD43"/>
    <mergeCell ref="BE42:BI43"/>
    <mergeCell ref="BJ42:BS43"/>
    <mergeCell ref="T35:CC35"/>
    <mergeCell ref="A21:CC21"/>
    <mergeCell ref="A23:CC23"/>
    <mergeCell ref="A24:CC24"/>
    <mergeCell ref="A26:CC26"/>
    <mergeCell ref="A27:CC27"/>
    <mergeCell ref="C31:CC31"/>
    <mergeCell ref="C32:CB32"/>
    <mergeCell ref="O33:BE33"/>
    <mergeCell ref="BP33:CC33"/>
    <mergeCell ref="O34:BE34"/>
    <mergeCell ref="BP34:CC34"/>
    <mergeCell ref="A20:CC20"/>
    <mergeCell ref="A5:AI5"/>
    <mergeCell ref="AR5:CA5"/>
    <mergeCell ref="AR6:CA9"/>
    <mergeCell ref="A8:AI9"/>
    <mergeCell ref="A10:AI10"/>
    <mergeCell ref="AR10:CA10"/>
    <mergeCell ref="A11:AI11"/>
    <mergeCell ref="AR11:CA11"/>
    <mergeCell ref="A13:CC13"/>
    <mergeCell ref="A17:CC17"/>
    <mergeCell ref="A18:CC18"/>
    <mergeCell ref="AR12:CA12"/>
    <mergeCell ref="AR1:CA2"/>
    <mergeCell ref="A2:AI2"/>
    <mergeCell ref="A3:AI3"/>
    <mergeCell ref="AR3:CA3"/>
    <mergeCell ref="A4:AI4"/>
    <mergeCell ref="AR4:CA4"/>
  </mergeCells>
  <pageMargins left="0.25362318840579712" right="0.19685039370078741" top="0.39370078740157483" bottom="0.39370078740157483" header="0.11811023622047245" footer="0.11811023622047245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C3D7-8B49-4573-95FB-4C790DB99153}">
  <sheetPr>
    <tabColor rgb="FFCCFFFF"/>
  </sheetPr>
  <dimension ref="A1:CB230"/>
  <sheetViews>
    <sheetView view="pageBreakPreview" topLeftCell="A4" zoomScaleNormal="100" zoomScaleSheetLayoutView="100" workbookViewId="0">
      <selection activeCell="CV29" sqref="CV29"/>
    </sheetView>
  </sheetViews>
  <sheetFormatPr defaultColWidth="9.140625" defaultRowHeight="15" x14ac:dyDescent="0.25"/>
  <cols>
    <col min="1" max="99" width="1.140625" customWidth="1"/>
  </cols>
  <sheetData>
    <row r="1" spans="1:80" s="2" customFormat="1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s="2" customFormat="1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s="2" customFormat="1" ht="13.15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ht="12.75" x14ac:dyDescent="0.2">
      <c r="A6" s="305"/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2"/>
      <c r="AK6" s="2"/>
      <c r="AL6" s="2"/>
      <c r="AM6" s="2"/>
      <c r="AN6" s="2"/>
      <c r="AO6" s="2"/>
      <c r="AP6" s="2"/>
      <c r="AQ6" s="2"/>
      <c r="AR6" s="940" t="str">
        <f>IF('Данные объект'!B3="","",'Данные объект'!B3)</f>
      </c>
      <c r="AS6" s="940"/>
      <c r="AT6" s="940"/>
      <c r="AU6" s="940"/>
      <c r="AV6" s="940"/>
      <c r="AW6" s="940"/>
      <c r="AX6" s="940"/>
      <c r="AY6" s="940"/>
      <c r="AZ6" s="940"/>
      <c r="BA6" s="940"/>
      <c r="BB6" s="940"/>
      <c r="BC6" s="940"/>
      <c r="BD6" s="940"/>
      <c r="BE6" s="940"/>
      <c r="BF6" s="940"/>
      <c r="BG6" s="940"/>
      <c r="BH6" s="940"/>
      <c r="BI6" s="940"/>
      <c r="BJ6" s="940"/>
      <c r="BK6" s="940"/>
      <c r="BL6" s="940"/>
      <c r="BM6" s="940"/>
      <c r="BN6" s="940"/>
      <c r="BO6" s="940"/>
      <c r="BP6" s="940"/>
      <c r="BQ6" s="940"/>
      <c r="BR6" s="940"/>
      <c r="BS6" s="940"/>
      <c r="BT6" s="940"/>
      <c r="BU6" s="940"/>
      <c r="BV6" s="940"/>
      <c r="BW6" s="940"/>
      <c r="BX6" s="940"/>
      <c r="BY6" s="940"/>
      <c r="BZ6" s="940"/>
    </row>
    <row r="7" spans="1:80" s="2" customFormat="1" ht="12.75" customHeight="1" x14ac:dyDescent="0.25">
      <c r="A7" s="305"/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R7" s="940"/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64"/>
      <c r="CB7" s="64"/>
    </row>
    <row r="8" spans="1:80" s="2" customFormat="1" ht="13.15" customHeight="1" x14ac:dyDescent="0.25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64"/>
      <c r="CB8" s="64"/>
    </row>
    <row r="9" spans="1:80" s="2" customFormat="1" ht="8.25" customHeight="1" x14ac:dyDescent="0.25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64"/>
      <c r="CB9" s="64"/>
    </row>
    <row r="10" spans="1:80" s="2" customFormat="1" ht="9" customHeight="1" x14ac:dyDescent="0.25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4"/>
      <c r="CB10" s="64"/>
    </row>
    <row r="11" spans="1:80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80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R12" s="911" t="s">
        <v>1345</v>
      </c>
      <c r="AS12" s="911"/>
      <c r="AT12" s="911"/>
      <c r="AU12" s="911"/>
      <c r="AV12" s="911"/>
      <c r="AW12" s="911"/>
      <c r="AX12" s="911"/>
      <c r="AY12" s="911"/>
      <c r="AZ12" s="911"/>
      <c r="BA12" s="911"/>
      <c r="BB12" s="911"/>
      <c r="BC12" s="911"/>
      <c r="BD12" s="911"/>
      <c r="BE12" s="911"/>
      <c r="BF12" s="911"/>
      <c r="BG12" s="911"/>
      <c r="BH12" s="911"/>
      <c r="BI12" s="911"/>
      <c r="BJ12" s="911"/>
      <c r="BK12" s="911"/>
      <c r="BL12" s="911"/>
      <c r="BM12" s="911"/>
      <c r="BN12" s="911"/>
      <c r="BO12" s="911"/>
      <c r="BP12" s="911"/>
      <c r="BQ12" s="911"/>
      <c r="BR12" s="911"/>
      <c r="BS12" s="911"/>
      <c r="BT12" s="911"/>
      <c r="BU12" s="911"/>
      <c r="BV12" s="911"/>
      <c r="BW12" s="911"/>
      <c r="BX12" s="911"/>
      <c r="BY12" s="911"/>
      <c r="BZ12" s="911"/>
      <c r="CA12" s="67"/>
      <c r="CB12" s="67"/>
    </row>
    <row r="13" spans="1:80" s="19" customFormat="1" ht="15.75" customHeight="1" x14ac:dyDescent="0.25">
      <c r="A13" s="931" t="s">
        <v>1250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</row>
    <row r="14" spans="1:80" s="19" customFormat="1" ht="15.75" x14ac:dyDescent="0.25">
      <c r="A14" s="851" t="s">
        <v>1240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80" s="19" customFormat="1" ht="9.6" customHeight="1" x14ac:dyDescent="0.25">
      <c r="A15" s="307"/>
      <c r="B15" s="307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  <c r="BL15" s="307"/>
      <c r="BM15" s="307"/>
      <c r="BN15" s="307"/>
      <c r="BO15" s="307"/>
      <c r="BP15" s="307"/>
      <c r="BQ15" s="307"/>
      <c r="BR15" s="307"/>
      <c r="BS15" s="307"/>
      <c r="BT15" s="307"/>
      <c r="BU15" s="307"/>
      <c r="BV15" s="307"/>
      <c r="BW15" s="307"/>
      <c r="BX15" s="307"/>
      <c r="BY15" s="307"/>
      <c r="BZ15" s="307"/>
      <c r="CA15" s="307"/>
      <c r="CB15" s="307"/>
    </row>
    <row r="16" spans="1:80" s="2" customFormat="1" ht="12.75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s="2" customFormat="1" ht="12.75" x14ac:dyDescent="0.2">
      <c r="A17" s="11" t="s">
        <v>89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s="2" customFormat="1" ht="12.75" x14ac:dyDescent="0.2">
      <c r="A18" s="831" t="str">
        <f>IF('Данные объект'!C59="","",'Данные объект'!C59)</f>
      </c>
      <c r="B18" s="831"/>
      <c r="C18" s="831"/>
      <c r="D18" s="831"/>
      <c r="E18" s="831"/>
      <c r="F18" s="831"/>
      <c r="G18" s="831"/>
      <c r="H18" s="831"/>
      <c r="I18" s="831"/>
      <c r="J18" s="831"/>
      <c r="K18" s="831"/>
      <c r="L18" s="831"/>
      <c r="M18" s="831"/>
      <c r="N18" s="831"/>
      <c r="O18" s="831"/>
      <c r="P18" s="831"/>
      <c r="Q18" s="831"/>
      <c r="R18" s="831"/>
      <c r="S18" s="831"/>
      <c r="T18" s="831"/>
      <c r="U18" s="831"/>
      <c r="V18" s="831"/>
      <c r="W18" s="831"/>
      <c r="X18" s="831"/>
      <c r="Y18" s="831"/>
      <c r="Z18" s="831"/>
      <c r="AA18" s="831"/>
      <c r="AB18" s="831"/>
      <c r="AC18" s="831"/>
      <c r="AD18" s="831"/>
      <c r="AE18" s="831"/>
      <c r="AF18" s="831"/>
      <c r="AG18" s="831"/>
      <c r="AH18" s="831"/>
      <c r="AI18" s="831"/>
      <c r="AJ18" s="831"/>
      <c r="AK18" s="831"/>
      <c r="AL18" s="831"/>
      <c r="AM18" s="831"/>
      <c r="AN18" s="831"/>
      <c r="AO18" s="831"/>
      <c r="AP18" s="831"/>
      <c r="AQ18" s="831"/>
      <c r="AR18" s="831"/>
      <c r="AS18" s="831"/>
      <c r="AT18" s="831"/>
      <c r="AU18" s="831"/>
      <c r="AV18" s="831"/>
      <c r="AW18" s="831"/>
      <c r="AX18" s="831"/>
      <c r="AY18" s="831"/>
      <c r="AZ18" s="831"/>
      <c r="BA18" s="831"/>
      <c r="BB18" s="831"/>
      <c r="BC18" s="831"/>
      <c r="BD18" s="831"/>
      <c r="BE18" s="831"/>
      <c r="BF18" s="831"/>
      <c r="BG18" s="831"/>
      <c r="BH18" s="831"/>
      <c r="BI18" s="831"/>
      <c r="BJ18" s="831"/>
      <c r="BK18" s="831"/>
      <c r="BL18" s="831"/>
      <c r="BM18" s="831"/>
      <c r="BN18" s="831"/>
      <c r="BO18" s="831"/>
      <c r="BP18" s="831"/>
      <c r="BQ18" s="831"/>
      <c r="BR18" s="831"/>
      <c r="BS18" s="831"/>
      <c r="BT18" s="831"/>
      <c r="BU18" s="831"/>
      <c r="BV18" s="831"/>
      <c r="BW18" s="831"/>
      <c r="BX18" s="831"/>
      <c r="BY18" s="831"/>
      <c r="BZ18" s="831"/>
      <c r="CA18" s="831"/>
      <c r="CB18" s="831"/>
    </row>
    <row r="19" spans="1:8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80" s="2" customFormat="1" ht="12.75" x14ac:dyDescent="0.2">
      <c r="A20" s="11" t="s">
        <v>90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</row>
    <row r="21" spans="1:80" s="2" customFormat="1" ht="12.75" x14ac:dyDescent="0.2">
      <c r="A21" s="926" t="str">
        <f>IF('Данные объект'!C28="","",'Данные объект'!C28)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80" s="5" customFormat="1" ht="8.25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80" s="2" customFormat="1" ht="12.75" x14ac:dyDescent="0.2">
      <c r="A23" s="11" t="s">
        <v>32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</row>
    <row r="24" spans="1:80" s="2" customFormat="1" ht="12.75" x14ac:dyDescent="0.2">
      <c r="A24" s="11" t="s">
        <v>33</v>
      </c>
      <c r="B24" s="11"/>
      <c r="C24" s="11" t="s">
        <v>34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</row>
    <row r="25" spans="1:80" s="2" customFormat="1" ht="12.75" x14ac:dyDescent="0.2">
      <c r="A25" s="1156" t="str">
        <f>IF('1 '!G41="","",'1 '!G41)</f>
      </c>
      <c r="B25" s="1156"/>
      <c r="C25" s="1156"/>
      <c r="D25" s="1156"/>
      <c r="E25" s="1156"/>
      <c r="F25" s="1156"/>
      <c r="G25" s="1156"/>
      <c r="H25" s="1156"/>
      <c r="I25" s="1156"/>
      <c r="J25" s="1156"/>
      <c r="K25" s="1156"/>
      <c r="L25" s="1156"/>
      <c r="M25" s="1156"/>
      <c r="N25" s="1156"/>
      <c r="O25" s="1156"/>
      <c r="P25" s="1156"/>
      <c r="Q25" s="1156"/>
      <c r="R25" s="1156"/>
      <c r="S25" s="1156"/>
      <c r="T25" s="1156"/>
      <c r="U25" s="1156"/>
      <c r="V25" s="1156"/>
      <c r="W25" s="1156"/>
      <c r="X25" s="1156"/>
      <c r="Y25" s="1156"/>
      <c r="Z25" s="1156"/>
      <c r="AA25" s="1156"/>
      <c r="AB25" s="1156"/>
      <c r="AC25" s="1156"/>
      <c r="AD25" s="1156"/>
      <c r="AE25" s="1156"/>
      <c r="AF25" s="1156"/>
      <c r="AG25" s="1156"/>
      <c r="AH25" s="1156"/>
      <c r="AI25" s="1156"/>
      <c r="AJ25" s="1156"/>
      <c r="AK25" s="1156"/>
      <c r="AL25" s="1156"/>
      <c r="AM25" s="1156"/>
      <c r="AN25" s="1156"/>
      <c r="AO25" s="1156"/>
      <c r="AP25" s="1156"/>
      <c r="AQ25" s="1156"/>
      <c r="AR25" s="1156"/>
      <c r="AS25" s="1156"/>
      <c r="AT25" s="1156"/>
      <c r="AU25" s="1156"/>
      <c r="AV25" s="1156"/>
      <c r="AW25" s="1156"/>
      <c r="AX25" s="1156"/>
      <c r="AY25" s="1156"/>
      <c r="AZ25" s="1156"/>
      <c r="BA25" s="1156"/>
      <c r="BB25" s="1156"/>
      <c r="BC25" s="1156"/>
      <c r="BD25" s="1156"/>
      <c r="BE25" s="1156"/>
      <c r="BF25" s="1156"/>
      <c r="BG25" s="1156"/>
      <c r="BH25" s="1156"/>
      <c r="BI25" s="1156"/>
      <c r="BJ25" s="1156"/>
      <c r="BK25" s="1156"/>
      <c r="BL25" s="1156"/>
      <c r="BM25" s="1156"/>
      <c r="BN25" s="1156"/>
      <c r="BO25" s="1156"/>
      <c r="BP25" s="1156"/>
      <c r="BQ25" s="1156"/>
      <c r="BR25" s="1156"/>
      <c r="BS25" s="1156"/>
      <c r="BT25" s="1156"/>
      <c r="BU25" s="1156"/>
      <c r="BV25" s="1156"/>
      <c r="BW25" s="1156"/>
      <c r="BX25" s="1156"/>
      <c r="BY25" s="1156"/>
      <c r="BZ25" s="1156"/>
      <c r="CA25" s="1156"/>
      <c r="CB25" s="1156"/>
    </row>
    <row r="26" spans="1:80" s="2" customFormat="1" ht="12.75" customHeight="1" x14ac:dyDescent="0.2">
      <c r="A26" s="1156" t="str">
        <f>IF('1 '!G42="","",'1 '!G42)</f>
      </c>
      <c r="B26" s="1156"/>
      <c r="C26" s="1156"/>
      <c r="D26" s="1156"/>
      <c r="E26" s="1156"/>
      <c r="F26" s="1156"/>
      <c r="G26" s="1156"/>
      <c r="H26" s="1156"/>
      <c r="I26" s="1156"/>
      <c r="J26" s="1156"/>
      <c r="K26" s="1156"/>
      <c r="L26" s="1156"/>
      <c r="M26" s="1156"/>
      <c r="N26" s="1156"/>
      <c r="O26" s="1156"/>
      <c r="P26" s="1156"/>
      <c r="Q26" s="1156"/>
      <c r="R26" s="1156"/>
      <c r="S26" s="1156"/>
      <c r="T26" s="1156"/>
      <c r="U26" s="1156"/>
      <c r="V26" s="1156"/>
      <c r="W26" s="1156"/>
      <c r="X26" s="1156"/>
      <c r="Y26" s="1156"/>
      <c r="Z26" s="1156"/>
      <c r="AA26" s="1156"/>
      <c r="AB26" s="1156"/>
      <c r="AC26" s="1156"/>
      <c r="AD26" s="1156"/>
      <c r="AE26" s="1156"/>
      <c r="AF26" s="1156"/>
      <c r="AG26" s="1156"/>
      <c r="AH26" s="1156"/>
      <c r="AI26" s="1156"/>
      <c r="AJ26" s="1156"/>
      <c r="AK26" s="1156"/>
      <c r="AL26" s="1156"/>
      <c r="AM26" s="1156"/>
      <c r="AN26" s="1156"/>
      <c r="AO26" s="1156"/>
      <c r="AP26" s="1156"/>
      <c r="AQ26" s="1156"/>
      <c r="AR26" s="1156"/>
      <c r="AS26" s="1156"/>
      <c r="AT26" s="1156"/>
      <c r="AU26" s="1156"/>
      <c r="AV26" s="1156"/>
      <c r="AW26" s="1156"/>
      <c r="AX26" s="1156"/>
      <c r="AY26" s="1156"/>
      <c r="AZ26" s="1156"/>
      <c r="BA26" s="1156"/>
      <c r="BB26" s="1156"/>
      <c r="BC26" s="1156"/>
      <c r="BD26" s="1156"/>
      <c r="BE26" s="1156"/>
      <c r="BF26" s="1156"/>
      <c r="BG26" s="1156"/>
      <c r="BH26" s="1156"/>
      <c r="BI26" s="1156"/>
      <c r="BJ26" s="1156"/>
      <c r="BK26" s="1156"/>
      <c r="BL26" s="1156"/>
      <c r="BM26" s="1156"/>
      <c r="BN26" s="1156"/>
      <c r="BO26" s="1156"/>
      <c r="BP26" s="1156"/>
      <c r="BQ26" s="1156"/>
      <c r="BR26" s="1156"/>
      <c r="BS26" s="1156"/>
      <c r="BT26" s="1156"/>
      <c r="BU26" s="1156"/>
      <c r="BV26" s="1156"/>
      <c r="BW26" s="1156"/>
      <c r="BX26" s="1156"/>
      <c r="BY26" s="1156"/>
      <c r="BZ26" s="1156"/>
      <c r="CA26" s="1156"/>
      <c r="CB26" s="1156"/>
    </row>
    <row r="27" spans="1:80" s="2" customFormat="1" ht="12.75" customHeight="1" x14ac:dyDescent="0.2">
      <c r="A27" s="1155" t="str">
        <f>IF('1 '!G43="","",'1 '!G43)</f>
      </c>
      <c r="B27" s="1155"/>
      <c r="C27" s="1155"/>
      <c r="D27" s="1155"/>
      <c r="E27" s="1155"/>
      <c r="F27" s="1155"/>
      <c r="G27" s="1155"/>
      <c r="H27" s="1155"/>
      <c r="I27" s="1155"/>
      <c r="J27" s="1155"/>
      <c r="K27" s="1155"/>
      <c r="L27" s="1155"/>
      <c r="M27" s="1155"/>
      <c r="N27" s="1155"/>
      <c r="O27" s="1155"/>
      <c r="P27" s="1155"/>
      <c r="Q27" s="1155"/>
      <c r="R27" s="1155"/>
      <c r="S27" s="1155"/>
      <c r="T27" s="1155"/>
      <c r="U27" s="1155"/>
      <c r="V27" s="1155"/>
      <c r="W27" s="1155"/>
      <c r="X27" s="1155"/>
      <c r="Y27" s="1155"/>
      <c r="Z27" s="1155"/>
      <c r="AA27" s="1155"/>
      <c r="AB27" s="1155"/>
      <c r="AC27" s="1155"/>
      <c r="AD27" s="1155"/>
      <c r="AE27" s="1155"/>
      <c r="AF27" s="1155"/>
      <c r="AG27" s="1155"/>
      <c r="AH27" s="1155"/>
      <c r="AI27" s="1155"/>
      <c r="AJ27" s="1155"/>
      <c r="AK27" s="1155"/>
      <c r="AL27" s="1155"/>
      <c r="AM27" s="1155"/>
      <c r="AN27" s="1155"/>
      <c r="AO27" s="1155"/>
      <c r="AP27" s="1155"/>
      <c r="AQ27" s="1155"/>
      <c r="AR27" s="1155"/>
      <c r="AS27" s="1155"/>
      <c r="AT27" s="1155"/>
      <c r="AU27" s="1155"/>
      <c r="AV27" s="1155"/>
      <c r="AW27" s="1155"/>
      <c r="AX27" s="1155"/>
      <c r="AY27" s="1155"/>
      <c r="AZ27" s="1155"/>
      <c r="BA27" s="1155"/>
      <c r="BB27" s="1155"/>
      <c r="BC27" s="1155"/>
      <c r="BD27" s="1155"/>
      <c r="BE27" s="1155"/>
      <c r="BF27" s="1155"/>
      <c r="BG27" s="1155"/>
      <c r="BH27" s="1155"/>
      <c r="BI27" s="1155"/>
      <c r="BJ27" s="1155"/>
      <c r="BK27" s="1155"/>
      <c r="BL27" s="1155"/>
      <c r="BM27" s="1155"/>
      <c r="BN27" s="1155"/>
      <c r="BO27" s="1155"/>
      <c r="BP27" s="1155"/>
      <c r="BQ27" s="1155"/>
      <c r="BR27" s="1155"/>
      <c r="BS27" s="1155"/>
      <c r="BT27" s="1155"/>
      <c r="BU27" s="1155"/>
      <c r="BV27" s="1155"/>
      <c r="BW27" s="1155"/>
      <c r="BX27" s="1155"/>
      <c r="BY27" s="1155"/>
      <c r="BZ27" s="1155"/>
      <c r="CA27" s="1155"/>
      <c r="CB27" s="1155"/>
    </row>
    <row r="28" spans="1:80" s="2" customFormat="1" ht="12.75" customHeight="1" x14ac:dyDescent="0.2">
      <c r="A28" s="1155" t="str">
        <f>IF('1 '!G44="","",'1 '!G44)</f>
      </c>
      <c r="B28" s="1155"/>
      <c r="C28" s="1155"/>
      <c r="D28" s="1155"/>
      <c r="E28" s="1155"/>
      <c r="F28" s="1155"/>
      <c r="G28" s="1155"/>
      <c r="H28" s="1155"/>
      <c r="I28" s="1155"/>
      <c r="J28" s="1155"/>
      <c r="K28" s="1155"/>
      <c r="L28" s="1155"/>
      <c r="M28" s="1155"/>
      <c r="N28" s="1155"/>
      <c r="O28" s="1155"/>
      <c r="P28" s="1155"/>
      <c r="Q28" s="1155"/>
      <c r="R28" s="1155"/>
      <c r="S28" s="1155"/>
      <c r="T28" s="1155"/>
      <c r="U28" s="1155"/>
      <c r="V28" s="1155"/>
      <c r="W28" s="1155"/>
      <c r="X28" s="1155"/>
      <c r="Y28" s="1155"/>
      <c r="Z28" s="1155"/>
      <c r="AA28" s="1155"/>
      <c r="AB28" s="1155"/>
      <c r="AC28" s="1155"/>
      <c r="AD28" s="1155"/>
      <c r="AE28" s="1155"/>
      <c r="AF28" s="1155"/>
      <c r="AG28" s="1155"/>
      <c r="AH28" s="1155"/>
      <c r="AI28" s="1155"/>
      <c r="AJ28" s="1155"/>
      <c r="AK28" s="1155"/>
      <c r="AL28" s="1155"/>
      <c r="AM28" s="1155"/>
      <c r="AN28" s="1155"/>
      <c r="AO28" s="1155"/>
      <c r="AP28" s="1155"/>
      <c r="AQ28" s="1155"/>
      <c r="AR28" s="1155"/>
      <c r="AS28" s="1155"/>
      <c r="AT28" s="1155"/>
      <c r="AU28" s="1155"/>
      <c r="AV28" s="1155"/>
      <c r="AW28" s="1155"/>
      <c r="AX28" s="1155"/>
      <c r="AY28" s="1155"/>
      <c r="AZ28" s="1155"/>
      <c r="BA28" s="1155"/>
      <c r="BB28" s="1155"/>
      <c r="BC28" s="1155"/>
      <c r="BD28" s="1155"/>
      <c r="BE28" s="1155"/>
      <c r="BF28" s="1155"/>
      <c r="BG28" s="1155"/>
      <c r="BH28" s="1155"/>
      <c r="BI28" s="1155"/>
      <c r="BJ28" s="1155"/>
      <c r="BK28" s="1155"/>
      <c r="BL28" s="1155"/>
      <c r="BM28" s="1155"/>
      <c r="BN28" s="1155"/>
      <c r="BO28" s="1155"/>
      <c r="BP28" s="1155"/>
      <c r="BQ28" s="1155"/>
      <c r="BR28" s="1155"/>
      <c r="BS28" s="1155"/>
      <c r="BT28" s="1155"/>
      <c r="BU28" s="1155"/>
      <c r="BV28" s="1155"/>
      <c r="BW28" s="1155"/>
      <c r="BX28" s="1155"/>
      <c r="BY28" s="1155"/>
      <c r="BZ28" s="1155"/>
      <c r="CA28" s="1155"/>
      <c r="CB28" s="1155"/>
    </row>
    <row r="29" spans="1:80" s="2" customFormat="1" ht="12.75" customHeight="1" x14ac:dyDescent="0.2">
      <c r="A29" s="1155" t="str">
        <f>IF('1 '!G45="","",'1 '!G45)</f>
      </c>
      <c r="B29" s="1155"/>
      <c r="C29" s="1155"/>
      <c r="D29" s="1155"/>
      <c r="E29" s="1155"/>
      <c r="F29" s="1155"/>
      <c r="G29" s="1155"/>
      <c r="H29" s="1155"/>
      <c r="I29" s="1155"/>
      <c r="J29" s="1155"/>
      <c r="K29" s="1155"/>
      <c r="L29" s="1155"/>
      <c r="M29" s="1155"/>
      <c r="N29" s="1155"/>
      <c r="O29" s="1155"/>
      <c r="P29" s="1155"/>
      <c r="Q29" s="1155"/>
      <c r="R29" s="1155"/>
      <c r="S29" s="1155"/>
      <c r="T29" s="1155"/>
      <c r="U29" s="1155"/>
      <c r="V29" s="1155"/>
      <c r="W29" s="1155"/>
      <c r="X29" s="1155"/>
      <c r="Y29" s="1155"/>
      <c r="Z29" s="1155"/>
      <c r="AA29" s="1155"/>
      <c r="AB29" s="1155"/>
      <c r="AC29" s="1155"/>
      <c r="AD29" s="1155"/>
      <c r="AE29" s="1155"/>
      <c r="AF29" s="1155"/>
      <c r="AG29" s="1155"/>
      <c r="AH29" s="1155"/>
      <c r="AI29" s="1155"/>
      <c r="AJ29" s="1155"/>
      <c r="AK29" s="1155"/>
      <c r="AL29" s="1155"/>
      <c r="AM29" s="1155"/>
      <c r="AN29" s="1155"/>
      <c r="AO29" s="1155"/>
      <c r="AP29" s="1155"/>
      <c r="AQ29" s="1155"/>
      <c r="AR29" s="1155"/>
      <c r="AS29" s="1155"/>
      <c r="AT29" s="1155"/>
      <c r="AU29" s="1155"/>
      <c r="AV29" s="1155"/>
      <c r="AW29" s="1155"/>
      <c r="AX29" s="1155"/>
      <c r="AY29" s="1155"/>
      <c r="AZ29" s="1155"/>
      <c r="BA29" s="1155"/>
      <c r="BB29" s="1155"/>
      <c r="BC29" s="1155"/>
      <c r="BD29" s="1155"/>
      <c r="BE29" s="1155"/>
      <c r="BF29" s="1155"/>
      <c r="BG29" s="1155"/>
      <c r="BH29" s="1155"/>
      <c r="BI29" s="1155"/>
      <c r="BJ29" s="1155"/>
      <c r="BK29" s="1155"/>
      <c r="BL29" s="1155"/>
      <c r="BM29" s="1155"/>
      <c r="BN29" s="1155"/>
      <c r="BO29" s="1155"/>
      <c r="BP29" s="1155"/>
      <c r="BQ29" s="1155"/>
      <c r="BR29" s="1155"/>
      <c r="BS29" s="1155"/>
      <c r="BT29" s="1155"/>
      <c r="BU29" s="1155"/>
      <c r="BV29" s="1155"/>
      <c r="BW29" s="1155"/>
      <c r="BX29" s="1155"/>
      <c r="BY29" s="1155"/>
      <c r="BZ29" s="1155"/>
      <c r="CA29" s="1155"/>
      <c r="CB29" s="1155"/>
    </row>
    <row r="30" spans="1:80" s="2" customFormat="1" ht="12.75" customHeight="1" x14ac:dyDescent="0.2">
      <c r="A30" s="1155" t="str">
        <f>IF('1 '!G46="","",'1 '!G46)</f>
      </c>
      <c r="B30" s="1155"/>
      <c r="C30" s="1155"/>
      <c r="D30" s="1155"/>
      <c r="E30" s="1155"/>
      <c r="F30" s="1155"/>
      <c r="G30" s="1155"/>
      <c r="H30" s="1155"/>
      <c r="I30" s="1155"/>
      <c r="J30" s="1155"/>
      <c r="K30" s="1155"/>
      <c r="L30" s="1155"/>
      <c r="M30" s="1155"/>
      <c r="N30" s="1155"/>
      <c r="O30" s="1155"/>
      <c r="P30" s="1155"/>
      <c r="Q30" s="1155"/>
      <c r="R30" s="1155"/>
      <c r="S30" s="1155"/>
      <c r="T30" s="1155"/>
      <c r="U30" s="1155"/>
      <c r="V30" s="1155"/>
      <c r="W30" s="1155"/>
      <c r="X30" s="1155"/>
      <c r="Y30" s="1155"/>
      <c r="Z30" s="1155"/>
      <c r="AA30" s="1155"/>
      <c r="AB30" s="1155"/>
      <c r="AC30" s="1155"/>
      <c r="AD30" s="1155"/>
      <c r="AE30" s="1155"/>
      <c r="AF30" s="1155"/>
      <c r="AG30" s="1155"/>
      <c r="AH30" s="1155"/>
      <c r="AI30" s="1155"/>
      <c r="AJ30" s="1155"/>
      <c r="AK30" s="1155"/>
      <c r="AL30" s="1155"/>
      <c r="AM30" s="1155"/>
      <c r="AN30" s="1155"/>
      <c r="AO30" s="1155"/>
      <c r="AP30" s="1155"/>
      <c r="AQ30" s="1155"/>
      <c r="AR30" s="1155"/>
      <c r="AS30" s="1155"/>
      <c r="AT30" s="1155"/>
      <c r="AU30" s="1155"/>
      <c r="AV30" s="1155"/>
      <c r="AW30" s="1155"/>
      <c r="AX30" s="1155"/>
      <c r="AY30" s="1155"/>
      <c r="AZ30" s="1155"/>
      <c r="BA30" s="1155"/>
      <c r="BB30" s="1155"/>
      <c r="BC30" s="1155"/>
      <c r="BD30" s="1155"/>
      <c r="BE30" s="1155"/>
      <c r="BF30" s="1155"/>
      <c r="BG30" s="1155"/>
      <c r="BH30" s="1155"/>
      <c r="BI30" s="1155"/>
      <c r="BJ30" s="1155"/>
      <c r="BK30" s="1155"/>
      <c r="BL30" s="1155"/>
      <c r="BM30" s="1155"/>
      <c r="BN30" s="1155"/>
      <c r="BO30" s="1155"/>
      <c r="BP30" s="1155"/>
      <c r="BQ30" s="1155"/>
      <c r="BR30" s="1155"/>
      <c r="BS30" s="1155"/>
      <c r="BT30" s="1155"/>
      <c r="BU30" s="1155"/>
      <c r="BV30" s="1155"/>
      <c r="BW30" s="1155"/>
      <c r="BX30" s="1155"/>
      <c r="BY30" s="1155"/>
      <c r="BZ30" s="1155"/>
      <c r="CA30" s="1155"/>
      <c r="CB30" s="1155"/>
    </row>
    <row r="31" spans="1:80" s="2" customFormat="1" ht="12.75" customHeight="1" x14ac:dyDescent="0.2">
      <c r="A31" s="1155" t="str">
        <f>IF('1 '!G47="","",'1 '!G47)</f>
      </c>
      <c r="B31" s="1155"/>
      <c r="C31" s="1155"/>
      <c r="D31" s="1155"/>
      <c r="E31" s="1155"/>
      <c r="F31" s="1155"/>
      <c r="G31" s="1155"/>
      <c r="H31" s="1155"/>
      <c r="I31" s="1155"/>
      <c r="J31" s="1155"/>
      <c r="K31" s="1155"/>
      <c r="L31" s="1155"/>
      <c r="M31" s="1155"/>
      <c r="N31" s="1155"/>
      <c r="O31" s="1155"/>
      <c r="P31" s="1155"/>
      <c r="Q31" s="1155"/>
      <c r="R31" s="1155"/>
      <c r="S31" s="1155"/>
      <c r="T31" s="1155"/>
      <c r="U31" s="1155"/>
      <c r="V31" s="1155"/>
      <c r="W31" s="1155"/>
      <c r="X31" s="1155"/>
      <c r="Y31" s="1155"/>
      <c r="Z31" s="1155"/>
      <c r="AA31" s="1155"/>
      <c r="AB31" s="1155"/>
      <c r="AC31" s="1155"/>
      <c r="AD31" s="1155"/>
      <c r="AE31" s="1155"/>
      <c r="AF31" s="1155"/>
      <c r="AG31" s="1155"/>
      <c r="AH31" s="1155"/>
      <c r="AI31" s="1155"/>
      <c r="AJ31" s="1155"/>
      <c r="AK31" s="1155"/>
      <c r="AL31" s="1155"/>
      <c r="AM31" s="1155"/>
      <c r="AN31" s="1155"/>
      <c r="AO31" s="1155"/>
      <c r="AP31" s="1155"/>
      <c r="AQ31" s="1155"/>
      <c r="AR31" s="1155"/>
      <c r="AS31" s="1155"/>
      <c r="AT31" s="1155"/>
      <c r="AU31" s="1155"/>
      <c r="AV31" s="1155"/>
      <c r="AW31" s="1155"/>
      <c r="AX31" s="1155"/>
      <c r="AY31" s="1155"/>
      <c r="AZ31" s="1155"/>
      <c r="BA31" s="1155"/>
      <c r="BB31" s="1155"/>
      <c r="BC31" s="1155"/>
      <c r="BD31" s="1155"/>
      <c r="BE31" s="1155"/>
      <c r="BF31" s="1155"/>
      <c r="BG31" s="1155"/>
      <c r="BH31" s="1155"/>
      <c r="BI31" s="1155"/>
      <c r="BJ31" s="1155"/>
      <c r="BK31" s="1155"/>
      <c r="BL31" s="1155"/>
      <c r="BM31" s="1155"/>
      <c r="BN31" s="1155"/>
      <c r="BO31" s="1155"/>
      <c r="BP31" s="1155"/>
      <c r="BQ31" s="1155"/>
      <c r="BR31" s="1155"/>
      <c r="BS31" s="1155"/>
      <c r="BT31" s="1155"/>
      <c r="BU31" s="1155"/>
      <c r="BV31" s="1155"/>
      <c r="BW31" s="1155"/>
      <c r="BX31" s="1155"/>
      <c r="BY31" s="1155"/>
      <c r="BZ31" s="1155"/>
      <c r="CA31" s="1155"/>
      <c r="CB31" s="1155"/>
    </row>
    <row r="32" spans="1:80" s="2" customFormat="1" ht="12.75" customHeight="1" x14ac:dyDescent="0.2">
      <c r="A32" s="1155" t="str">
        <f>IF('1 '!G48="","",'1 '!G48)</f>
      </c>
      <c r="B32" s="1155"/>
      <c r="C32" s="1155"/>
      <c r="D32" s="1155"/>
      <c r="E32" s="1155"/>
      <c r="F32" s="1155"/>
      <c r="G32" s="1155"/>
      <c r="H32" s="1155"/>
      <c r="I32" s="1155"/>
      <c r="J32" s="1155"/>
      <c r="K32" s="1155"/>
      <c r="L32" s="1155"/>
      <c r="M32" s="1155"/>
      <c r="N32" s="1155"/>
      <c r="O32" s="1155"/>
      <c r="P32" s="1155"/>
      <c r="Q32" s="1155"/>
      <c r="R32" s="1155"/>
      <c r="S32" s="1155"/>
      <c r="T32" s="1155"/>
      <c r="U32" s="1155"/>
      <c r="V32" s="1155"/>
      <c r="W32" s="1155"/>
      <c r="X32" s="1155"/>
      <c r="Y32" s="1155"/>
      <c r="Z32" s="1155"/>
      <c r="AA32" s="1155"/>
      <c r="AB32" s="1155"/>
      <c r="AC32" s="1155"/>
      <c r="AD32" s="1155"/>
      <c r="AE32" s="1155"/>
      <c r="AF32" s="1155"/>
      <c r="AG32" s="1155"/>
      <c r="AH32" s="1155"/>
      <c r="AI32" s="1155"/>
      <c r="AJ32" s="1155"/>
      <c r="AK32" s="1155"/>
      <c r="AL32" s="1155"/>
      <c r="AM32" s="1155"/>
      <c r="AN32" s="1155"/>
      <c r="AO32" s="1155"/>
      <c r="AP32" s="1155"/>
      <c r="AQ32" s="1155"/>
      <c r="AR32" s="1155"/>
      <c r="AS32" s="1155"/>
      <c r="AT32" s="1155"/>
      <c r="AU32" s="1155"/>
      <c r="AV32" s="1155"/>
      <c r="AW32" s="1155"/>
      <c r="AX32" s="1155"/>
      <c r="AY32" s="1155"/>
      <c r="AZ32" s="1155"/>
      <c r="BA32" s="1155"/>
      <c r="BB32" s="1155"/>
      <c r="BC32" s="1155"/>
      <c r="BD32" s="1155"/>
      <c r="BE32" s="1155"/>
      <c r="BF32" s="1155"/>
      <c r="BG32" s="1155"/>
      <c r="BH32" s="1155"/>
      <c r="BI32" s="1155"/>
      <c r="BJ32" s="1155"/>
      <c r="BK32" s="1155"/>
      <c r="BL32" s="1155"/>
      <c r="BM32" s="1155"/>
      <c r="BN32" s="1155"/>
      <c r="BO32" s="1155"/>
      <c r="BP32" s="1155"/>
      <c r="BQ32" s="1155"/>
      <c r="BR32" s="1155"/>
      <c r="BS32" s="1155"/>
      <c r="BT32" s="1155"/>
      <c r="BU32" s="1155"/>
      <c r="BV32" s="1155"/>
      <c r="BW32" s="1155"/>
      <c r="BX32" s="1155"/>
      <c r="BY32" s="1155"/>
      <c r="BZ32" s="1155"/>
      <c r="CA32" s="1155"/>
      <c r="CB32" s="1155"/>
    </row>
    <row r="33" spans="1:80" s="5" customFormat="1" ht="8.25" x14ac:dyDescent="0.15">
      <c r="A33" s="838" t="s">
        <v>35</v>
      </c>
      <c r="B33" s="838"/>
      <c r="C33" s="838"/>
      <c r="D33" s="838"/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8"/>
      <c r="AI33" s="838"/>
      <c r="AJ33" s="838"/>
      <c r="AK33" s="838"/>
      <c r="AL33" s="838"/>
      <c r="AM33" s="838"/>
      <c r="AN33" s="838"/>
      <c r="AO33" s="838"/>
      <c r="AP33" s="838"/>
      <c r="AQ33" s="838"/>
      <c r="AR33" s="838"/>
      <c r="AS33" s="838"/>
      <c r="AT33" s="838"/>
      <c r="AU33" s="838"/>
      <c r="AV33" s="838"/>
      <c r="AW33" s="838"/>
      <c r="AX33" s="838"/>
      <c r="AY33" s="838"/>
      <c r="AZ33" s="838"/>
      <c r="BA33" s="838"/>
      <c r="BB33" s="838"/>
      <c r="BC33" s="838"/>
      <c r="BD33" s="838"/>
      <c r="BE33" s="838"/>
      <c r="BF33" s="838"/>
      <c r="BG33" s="838"/>
      <c r="BH33" s="838"/>
      <c r="BI33" s="838"/>
      <c r="BJ33" s="838"/>
      <c r="BK33" s="838"/>
      <c r="BL33" s="838"/>
      <c r="BM33" s="838"/>
      <c r="BN33" s="838"/>
      <c r="BO33" s="838"/>
      <c r="BP33" s="838"/>
      <c r="BQ33" s="838"/>
      <c r="BR33" s="838"/>
      <c r="BS33" s="838"/>
      <c r="BT33" s="838"/>
      <c r="BU33" s="838"/>
      <c r="BV33" s="838"/>
      <c r="BW33" s="838"/>
      <c r="BX33" s="838"/>
      <c r="BY33" s="838"/>
      <c r="BZ33" s="838"/>
      <c r="CA33" s="838"/>
      <c r="CB33" s="838"/>
    </row>
    <row r="34" spans="1:80" s="11" customFormat="1" ht="11.25" x14ac:dyDescent="0.2">
      <c r="A34" s="11" t="s">
        <v>36</v>
      </c>
      <c r="C34" s="11" t="s">
        <v>91</v>
      </c>
    </row>
    <row r="35" spans="1:80" s="11" customFormat="1" ht="11.25" x14ac:dyDescent="0.2">
      <c r="A35" s="836" t="str">
        <f>IF('Данные объект'!B52="","",'Данные объект'!B52)</f>
      </c>
      <c r="B35" s="836"/>
      <c r="C35" s="836"/>
      <c r="D35" s="836"/>
      <c r="E35" s="836"/>
      <c r="F35" s="836"/>
      <c r="G35" s="836"/>
      <c r="H35" s="836"/>
      <c r="I35" s="836"/>
      <c r="J35" s="836"/>
      <c r="K35" s="836"/>
      <c r="L35" s="836"/>
      <c r="M35" s="836"/>
      <c r="N35" s="836"/>
      <c r="O35" s="836"/>
      <c r="P35" s="836"/>
      <c r="Q35" s="836"/>
      <c r="R35" s="836"/>
      <c r="S35" s="836"/>
      <c r="T35" s="836"/>
      <c r="U35" s="836"/>
      <c r="V35" s="836"/>
      <c r="W35" s="836"/>
      <c r="X35" s="836"/>
      <c r="Y35" s="836"/>
      <c r="Z35" s="836"/>
      <c r="AA35" s="836"/>
      <c r="AB35" s="836"/>
      <c r="AC35" s="836"/>
      <c r="AD35" s="836"/>
      <c r="AE35" s="836"/>
      <c r="AF35" s="836"/>
      <c r="AG35" s="836"/>
      <c r="AH35" s="836"/>
      <c r="AI35" s="836"/>
      <c r="AJ35" s="836"/>
      <c r="AK35" s="836"/>
      <c r="AL35" s="836"/>
      <c r="AM35" s="836"/>
      <c r="AN35" s="836"/>
      <c r="AO35" s="836"/>
      <c r="AP35" s="836"/>
      <c r="AQ35" s="836"/>
      <c r="AR35" s="836"/>
      <c r="AS35" s="836"/>
      <c r="AT35" s="836"/>
      <c r="AU35" s="836"/>
      <c r="AV35" s="836"/>
      <c r="AW35" s="836"/>
      <c r="AX35" s="836"/>
      <c r="AY35" s="836"/>
      <c r="AZ35" s="836"/>
      <c r="BA35" s="836"/>
      <c r="BB35" s="836"/>
      <c r="BC35" s="836"/>
      <c r="BD35" s="836"/>
      <c r="BE35" s="836"/>
      <c r="BF35" s="836"/>
      <c r="BG35" s="836"/>
      <c r="BH35" s="836"/>
      <c r="BI35" s="836"/>
      <c r="BJ35" s="836"/>
      <c r="BK35" s="836"/>
      <c r="BL35" s="836"/>
      <c r="BM35" s="836"/>
      <c r="BN35" s="836"/>
      <c r="BO35" s="836"/>
      <c r="BP35" s="836"/>
      <c r="BQ35" s="836"/>
      <c r="BR35" s="836"/>
      <c r="BS35" s="836"/>
      <c r="BT35" s="836"/>
      <c r="BU35" s="836"/>
      <c r="BV35" s="836"/>
      <c r="BW35" s="836"/>
      <c r="BX35" s="836"/>
      <c r="BY35" s="836"/>
      <c r="BZ35" s="836"/>
      <c r="CA35" s="836"/>
      <c r="CB35" s="836"/>
    </row>
    <row r="36" spans="1:80" s="5" customFormat="1" ht="8.25" x14ac:dyDescent="0.15">
      <c r="A36" s="858" t="s">
        <v>38</v>
      </c>
      <c r="B36" s="858"/>
      <c r="C36" s="858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O36" s="858"/>
      <c r="P36" s="858"/>
      <c r="Q36" s="858"/>
      <c r="R36" s="858"/>
      <c r="S36" s="858"/>
      <c r="T36" s="858"/>
      <c r="U36" s="858"/>
      <c r="V36" s="858"/>
      <c r="W36" s="858"/>
      <c r="X36" s="858"/>
      <c r="Y36" s="858"/>
      <c r="Z36" s="858"/>
      <c r="AA36" s="858"/>
      <c r="AB36" s="858"/>
      <c r="AC36" s="858"/>
      <c r="AD36" s="858"/>
      <c r="AE36" s="858"/>
      <c r="AF36" s="858"/>
      <c r="AG36" s="858"/>
      <c r="AH36" s="858"/>
      <c r="AI36" s="858"/>
      <c r="AJ36" s="858"/>
      <c r="AK36" s="858"/>
      <c r="AL36" s="858"/>
      <c r="AM36" s="858"/>
      <c r="AN36" s="858"/>
      <c r="AO36" s="858"/>
      <c r="AP36" s="858"/>
      <c r="AQ36" s="858"/>
      <c r="AR36" s="858"/>
      <c r="AS36" s="858"/>
      <c r="AT36" s="858"/>
      <c r="AU36" s="858"/>
      <c r="AV36" s="858"/>
      <c r="AW36" s="858"/>
      <c r="AX36" s="858"/>
      <c r="AY36" s="858"/>
      <c r="AZ36" s="858"/>
      <c r="BA36" s="858"/>
      <c r="BB36" s="858"/>
      <c r="BC36" s="858"/>
      <c r="BD36" s="858"/>
      <c r="BE36" s="858"/>
      <c r="BF36" s="858"/>
      <c r="BG36" s="858"/>
      <c r="BH36" s="858"/>
      <c r="BI36" s="858"/>
      <c r="BJ36" s="858"/>
      <c r="BK36" s="858"/>
      <c r="BL36" s="858"/>
      <c r="BM36" s="858"/>
      <c r="BN36" s="858"/>
      <c r="BO36" s="858"/>
      <c r="BP36" s="858"/>
      <c r="BQ36" s="858"/>
      <c r="BR36" s="858"/>
      <c r="BS36" s="858"/>
      <c r="BT36" s="858"/>
      <c r="BU36" s="858"/>
      <c r="BV36" s="858"/>
      <c r="BW36" s="858"/>
      <c r="BX36" s="858"/>
      <c r="BY36" s="858"/>
      <c r="BZ36" s="858"/>
      <c r="CA36" s="858"/>
      <c r="CB36" s="858"/>
    </row>
    <row r="37" spans="1:80" s="11" customFormat="1" ht="11.25" x14ac:dyDescent="0.2">
      <c r="A37" s="75" t="s">
        <v>39</v>
      </c>
      <c r="C37" s="11" t="s">
        <v>40</v>
      </c>
    </row>
    <row r="38" spans="1:80" s="11" customFormat="1" ht="11.25" x14ac:dyDescent="0.2">
      <c r="A38" s="75" t="s">
        <v>41</v>
      </c>
      <c r="C38" s="853" t="s">
        <v>1195</v>
      </c>
      <c r="D38" s="853"/>
      <c r="E38" s="853"/>
      <c r="F38" s="853"/>
      <c r="G38" s="853"/>
      <c r="H38" s="853"/>
      <c r="I38" s="853"/>
      <c r="J38" s="853"/>
      <c r="K38" s="853"/>
      <c r="L38" s="853"/>
      <c r="M38" s="853"/>
      <c r="N38" s="853"/>
      <c r="O38" s="853"/>
      <c r="P38" s="853"/>
      <c r="Q38" s="853"/>
      <c r="R38" s="853"/>
      <c r="S38" s="853"/>
      <c r="T38" s="853"/>
      <c r="U38" s="853"/>
      <c r="V38" s="853"/>
      <c r="W38" s="853"/>
      <c r="X38" s="853"/>
      <c r="Y38" s="853"/>
      <c r="Z38" s="853"/>
      <c r="AA38" s="853"/>
      <c r="AB38" s="853"/>
      <c r="AC38" s="853"/>
      <c r="AD38" s="853"/>
      <c r="AE38" s="853"/>
      <c r="AF38" s="853"/>
      <c r="AG38" s="853"/>
      <c r="AH38" s="853"/>
      <c r="AI38" s="853"/>
      <c r="AJ38" s="853"/>
      <c r="AK38" s="853"/>
      <c r="AL38" s="853"/>
      <c r="AM38" s="853"/>
      <c r="AN38" s="853"/>
      <c r="AO38" s="853"/>
      <c r="AP38" s="853"/>
      <c r="AQ38" s="853"/>
      <c r="AR38" s="853"/>
      <c r="AS38" s="853"/>
      <c r="AT38" s="853"/>
      <c r="AU38" s="853"/>
      <c r="AV38" s="853"/>
      <c r="AW38" s="853"/>
      <c r="AX38" s="853"/>
      <c r="AY38" s="853"/>
      <c r="AZ38" s="853"/>
      <c r="BA38" s="853"/>
      <c r="BB38" s="853"/>
      <c r="BC38" s="853"/>
      <c r="BD38" s="853"/>
      <c r="BE38" s="853"/>
      <c r="BF38" s="853"/>
      <c r="BG38" s="853"/>
      <c r="BH38" s="853"/>
      <c r="BI38" s="853"/>
      <c r="BJ38" s="853"/>
      <c r="BK38" s="853"/>
      <c r="BL38" s="853"/>
      <c r="BM38" s="853"/>
      <c r="BN38" s="853"/>
      <c r="BO38" s="853"/>
      <c r="BP38" s="853"/>
      <c r="BQ38" s="853"/>
      <c r="BR38" s="853"/>
      <c r="BS38" s="853"/>
      <c r="BT38" s="853"/>
      <c r="BU38" s="853"/>
      <c r="BV38" s="853"/>
      <c r="BW38" s="853"/>
      <c r="BX38" s="853"/>
      <c r="BY38" s="853"/>
      <c r="BZ38" s="853"/>
      <c r="CA38" s="853"/>
      <c r="CB38" s="853"/>
    </row>
    <row r="39" spans="1:80" s="11" customFormat="1" ht="11.25" x14ac:dyDescent="0.2">
      <c r="A39" s="75"/>
      <c r="C39" s="853"/>
      <c r="D39" s="853"/>
      <c r="E39" s="853"/>
      <c r="F39" s="853"/>
      <c r="G39" s="853"/>
      <c r="H39" s="853"/>
      <c r="I39" s="853"/>
      <c r="J39" s="853"/>
      <c r="K39" s="853"/>
      <c r="L39" s="853"/>
      <c r="M39" s="853"/>
      <c r="N39" s="853"/>
      <c r="O39" s="853"/>
      <c r="P39" s="853"/>
      <c r="Q39" s="853"/>
      <c r="R39" s="853"/>
      <c r="S39" s="853"/>
      <c r="T39" s="853"/>
      <c r="U39" s="853"/>
      <c r="V39" s="853"/>
      <c r="W39" s="853"/>
      <c r="X39" s="853"/>
      <c r="Y39" s="853"/>
      <c r="Z39" s="853"/>
      <c r="AA39" s="853"/>
      <c r="AB39" s="853"/>
      <c r="AC39" s="853"/>
      <c r="AD39" s="853"/>
      <c r="AE39" s="853"/>
      <c r="AF39" s="853"/>
      <c r="AG39" s="853"/>
      <c r="AH39" s="853"/>
      <c r="AI39" s="853"/>
      <c r="AJ39" s="853"/>
      <c r="AK39" s="853"/>
      <c r="AL39" s="853"/>
      <c r="AM39" s="853"/>
      <c r="AN39" s="853"/>
      <c r="AO39" s="853"/>
      <c r="AP39" s="853"/>
      <c r="AQ39" s="853"/>
      <c r="AR39" s="853"/>
      <c r="AS39" s="853"/>
      <c r="AT39" s="853"/>
      <c r="AU39" s="853"/>
      <c r="AV39" s="853"/>
      <c r="AW39" s="853"/>
      <c r="AX39" s="853"/>
      <c r="AY39" s="853"/>
      <c r="AZ39" s="853"/>
      <c r="BA39" s="853"/>
      <c r="BB39" s="853"/>
      <c r="BC39" s="853"/>
      <c r="BD39" s="853"/>
      <c r="BE39" s="853"/>
      <c r="BF39" s="853"/>
      <c r="BG39" s="853"/>
      <c r="BH39" s="853"/>
      <c r="BI39" s="853"/>
      <c r="BJ39" s="853"/>
      <c r="BK39" s="853"/>
      <c r="BL39" s="853"/>
      <c r="BM39" s="853"/>
      <c r="BN39" s="853"/>
      <c r="BO39" s="853"/>
      <c r="BP39" s="853"/>
      <c r="BQ39" s="853"/>
      <c r="BR39" s="853"/>
      <c r="BS39" s="853"/>
      <c r="BT39" s="853"/>
      <c r="BU39" s="853"/>
      <c r="BV39" s="853"/>
      <c r="BW39" s="853"/>
      <c r="BX39" s="853"/>
      <c r="BY39" s="853"/>
      <c r="BZ39" s="853"/>
      <c r="CA39" s="853"/>
      <c r="CB39" s="853"/>
    </row>
    <row r="40" spans="1:80" s="11" customFormat="1" ht="11.25" x14ac:dyDescent="0.2">
      <c r="A40" s="75" t="s">
        <v>42</v>
      </c>
      <c r="C40" s="57" t="s">
        <v>53</v>
      </c>
    </row>
    <row r="41" spans="1:80" s="11" customFormat="1" ht="11.25" x14ac:dyDescent="0.2"/>
    <row r="42" spans="1:80" s="11" customFormat="1" ht="11.25" x14ac:dyDescent="0.2">
      <c r="A42" s="854" t="s">
        <v>92</v>
      </c>
      <c r="B42" s="854"/>
      <c r="C42" s="854"/>
      <c r="D42" s="11" t="s">
        <v>1188</v>
      </c>
    </row>
    <row r="43" spans="1:80" s="11" customFormat="1" ht="11.25" x14ac:dyDescent="0.2">
      <c r="A43" s="854" t="s">
        <v>93</v>
      </c>
      <c r="B43" s="854"/>
      <c r="C43" s="854"/>
      <c r="D43" s="856" t="s">
        <v>94</v>
      </c>
      <c r="E43" s="856"/>
      <c r="F43" s="856"/>
      <c r="G43" s="856"/>
      <c r="H43" s="856"/>
      <c r="I43" s="856"/>
      <c r="J43" s="856"/>
      <c r="K43" s="856"/>
      <c r="L43" s="856"/>
      <c r="M43" s="856"/>
      <c r="N43" s="856"/>
      <c r="O43" s="856"/>
      <c r="P43" s="856"/>
      <c r="Q43" s="856"/>
      <c r="R43" s="856"/>
      <c r="S43" s="856"/>
      <c r="T43" s="856"/>
      <c r="U43" s="856"/>
      <c r="V43" s="856"/>
      <c r="W43" s="856"/>
      <c r="X43" s="856"/>
      <c r="Y43" s="856"/>
      <c r="Z43" s="856"/>
      <c r="AA43" s="856"/>
      <c r="AB43" s="856"/>
      <c r="AC43" s="856"/>
      <c r="AD43" s="856"/>
      <c r="AE43" s="856"/>
      <c r="AF43" s="856"/>
      <c r="AG43" s="856"/>
      <c r="AH43" s="856"/>
      <c r="AI43" s="856"/>
      <c r="AJ43" s="856"/>
      <c r="AK43" s="856"/>
      <c r="AL43" s="856"/>
      <c r="AM43" s="856"/>
      <c r="AN43" s="856"/>
      <c r="AO43" s="856"/>
      <c r="AP43" s="856"/>
      <c r="AQ43" s="856"/>
      <c r="AR43" s="856"/>
      <c r="AS43" s="856"/>
      <c r="AT43" s="856"/>
      <c r="AU43" s="856"/>
      <c r="AV43" s="856"/>
      <c r="AW43" s="856"/>
      <c r="AX43" s="856"/>
      <c r="AY43" s="856"/>
      <c r="AZ43" s="856"/>
      <c r="BA43" s="856"/>
      <c r="BB43" s="856"/>
      <c r="BC43" s="856"/>
      <c r="BD43" s="856"/>
      <c r="BE43" s="856"/>
      <c r="BF43" s="856"/>
      <c r="BG43" s="856"/>
      <c r="BH43" s="856"/>
      <c r="BI43" s="856"/>
      <c r="BJ43" s="856"/>
      <c r="BK43" s="856"/>
      <c r="BL43" s="856"/>
      <c r="BM43" s="856"/>
      <c r="BN43" s="856"/>
      <c r="BO43" s="856"/>
      <c r="BP43" s="856"/>
      <c r="BQ43" s="856"/>
      <c r="BR43" s="856"/>
      <c r="BS43" s="856"/>
      <c r="BT43" s="856"/>
      <c r="BU43" s="856"/>
      <c r="BV43" s="856"/>
      <c r="BW43" s="856"/>
      <c r="BX43" s="856"/>
      <c r="BY43" s="856"/>
      <c r="BZ43" s="856"/>
      <c r="CA43" s="856"/>
      <c r="CB43" s="856"/>
    </row>
    <row r="44" spans="1:80" s="11" customFormat="1" ht="11.25" x14ac:dyDescent="0.2">
      <c r="D44" s="856"/>
      <c r="E44" s="856"/>
      <c r="F44" s="856"/>
      <c r="G44" s="856"/>
      <c r="H44" s="856"/>
      <c r="I44" s="856"/>
      <c r="J44" s="856"/>
      <c r="K44" s="856"/>
      <c r="L44" s="856"/>
      <c r="M44" s="856"/>
      <c r="N44" s="856"/>
      <c r="O44" s="856"/>
      <c r="P44" s="856"/>
      <c r="Q44" s="856"/>
      <c r="R44" s="856"/>
      <c r="S44" s="856"/>
      <c r="T44" s="856"/>
      <c r="U44" s="856"/>
      <c r="V44" s="856"/>
      <c r="W44" s="856"/>
      <c r="X44" s="856"/>
      <c r="Y44" s="856"/>
      <c r="Z44" s="856"/>
      <c r="AA44" s="856"/>
      <c r="AB44" s="856"/>
      <c r="AC44" s="856"/>
      <c r="AD44" s="856"/>
      <c r="AE44" s="856"/>
      <c r="AF44" s="856"/>
      <c r="AG44" s="856"/>
      <c r="AH44" s="856"/>
      <c r="AI44" s="856"/>
      <c r="AJ44" s="856"/>
      <c r="AK44" s="856"/>
      <c r="AL44" s="856"/>
      <c r="AM44" s="856"/>
      <c r="AN44" s="856"/>
      <c r="AO44" s="856"/>
      <c r="AP44" s="856"/>
      <c r="AQ44" s="856"/>
      <c r="AR44" s="856"/>
      <c r="AS44" s="856"/>
      <c r="AT44" s="856"/>
      <c r="AU44" s="856"/>
      <c r="AV44" s="856"/>
      <c r="AW44" s="856"/>
      <c r="AX44" s="856"/>
      <c r="AY44" s="856"/>
      <c r="AZ44" s="856"/>
      <c r="BA44" s="856"/>
      <c r="BB44" s="856"/>
      <c r="BC44" s="856"/>
      <c r="BD44" s="856"/>
      <c r="BE44" s="856"/>
      <c r="BF44" s="856"/>
      <c r="BG44" s="856"/>
      <c r="BH44" s="856"/>
      <c r="BI44" s="856"/>
      <c r="BJ44" s="856"/>
      <c r="BK44" s="856"/>
      <c r="BL44" s="856"/>
      <c r="BM44" s="856"/>
      <c r="BN44" s="856"/>
      <c r="BO44" s="856"/>
      <c r="BP44" s="856"/>
      <c r="BQ44" s="856"/>
      <c r="BR44" s="856"/>
      <c r="BS44" s="856"/>
      <c r="BT44" s="856"/>
      <c r="BU44" s="856"/>
      <c r="BV44" s="856"/>
      <c r="BW44" s="856"/>
      <c r="BX44" s="856"/>
      <c r="BY44" s="856"/>
      <c r="BZ44" s="856"/>
      <c r="CA44" s="856"/>
      <c r="CB44" s="856"/>
    </row>
    <row r="45" spans="1:80" s="11" customFormat="1" ht="11.25" x14ac:dyDescent="0.2"/>
    <row r="46" spans="1:80" s="11" customFormat="1" ht="11.25" x14ac:dyDescent="0.2"/>
    <row r="47" spans="1:80" s="11" customFormat="1" ht="11.25" x14ac:dyDescent="0.2">
      <c r="C47" s="11" t="s">
        <v>95</v>
      </c>
    </row>
    <row r="48" spans="1:80" s="11" customFormat="1" ht="11.25" x14ac:dyDescent="0.2">
      <c r="D48" s="45" t="s">
        <v>61</v>
      </c>
      <c r="E48" s="45"/>
      <c r="F48" s="45"/>
      <c r="G48" s="45"/>
      <c r="H48" s="45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31" t="str">
        <f>IF('Данные объект'!B28="","",'Данные объект'!B28)</f>
      </c>
      <c r="BD48" s="831"/>
      <c r="BE48" s="831"/>
      <c r="BF48" s="831"/>
      <c r="BG48" s="831"/>
      <c r="BH48" s="831"/>
      <c r="BI48" s="831"/>
      <c r="BJ48" s="831"/>
      <c r="BK48" s="831"/>
      <c r="BL48" s="831"/>
      <c r="BM48" s="831"/>
      <c r="BN48" s="831"/>
      <c r="BO48" s="831"/>
      <c r="BP48" s="831"/>
      <c r="BQ48" s="831"/>
    </row>
    <row r="49" spans="3:69" s="2" customFormat="1" ht="13.5" x14ac:dyDescent="0.25">
      <c r="F49" s="10"/>
      <c r="G49" s="10"/>
      <c r="H49" s="10"/>
      <c r="AM49" s="858" t="s">
        <v>2</v>
      </c>
      <c r="AN49" s="858"/>
      <c r="AO49" s="858"/>
      <c r="AP49" s="858"/>
      <c r="AQ49" s="858"/>
      <c r="AR49" s="858"/>
      <c r="AS49" s="858"/>
      <c r="AT49" s="858"/>
      <c r="AU49" s="858"/>
      <c r="AV49" s="858"/>
      <c r="AW49" s="858"/>
      <c r="AX49" s="858"/>
      <c r="AY49" s="858"/>
    </row>
    <row r="50" spans="3:69" s="2" customFormat="1" ht="12.75" x14ac:dyDescent="0.2">
      <c r="D50" s="2" t="s">
        <v>62</v>
      </c>
    </row>
    <row r="51" spans="3:69" s="2" customFormat="1" ht="12.75" x14ac:dyDescent="0.2"/>
    <row r="52" spans="3:69" s="2" customFormat="1" ht="12.75" x14ac:dyDescent="0.2">
      <c r="C52" s="11" t="s">
        <v>96</v>
      </c>
      <c r="D52" s="11"/>
    </row>
    <row r="53" spans="3:69" s="2" customFormat="1" ht="12.75" x14ac:dyDescent="0.2">
      <c r="C53" s="11"/>
      <c r="D53" s="45" t="s">
        <v>97</v>
      </c>
      <c r="AM53" s="857"/>
      <c r="AN53" s="857"/>
      <c r="AO53" s="857"/>
      <c r="AP53" s="857"/>
      <c r="AQ53" s="857"/>
      <c r="AR53" s="857"/>
      <c r="AS53" s="857"/>
      <c r="AT53" s="857"/>
      <c r="AU53" s="857"/>
      <c r="AV53" s="857"/>
      <c r="AW53" s="857"/>
      <c r="AX53" s="857"/>
      <c r="AY53" s="857"/>
      <c r="BC53" s="930" t="str">
        <f>IF('Данные объект'!B65="","",'Данные объект'!B65)</f>
      </c>
      <c r="BD53" s="930"/>
      <c r="BE53" s="930"/>
      <c r="BF53" s="930"/>
      <c r="BG53" s="930"/>
      <c r="BH53" s="930"/>
      <c r="BI53" s="930"/>
      <c r="BJ53" s="930"/>
      <c r="BK53" s="930"/>
      <c r="BL53" s="930"/>
      <c r="BM53" s="930"/>
      <c r="BN53" s="930"/>
      <c r="BO53" s="930"/>
      <c r="BP53" s="930"/>
      <c r="BQ53" s="930"/>
    </row>
    <row r="54" spans="3:69" s="2" customFormat="1" ht="12.75" x14ac:dyDescent="0.2">
      <c r="C54" s="11"/>
      <c r="D54" s="11"/>
      <c r="AM54" s="858" t="s">
        <v>2</v>
      </c>
      <c r="AN54" s="858"/>
      <c r="AO54" s="858"/>
      <c r="AP54" s="858"/>
      <c r="AQ54" s="858"/>
      <c r="AR54" s="858"/>
      <c r="AS54" s="858"/>
      <c r="AT54" s="858"/>
      <c r="AU54" s="858"/>
      <c r="AV54" s="858"/>
      <c r="AW54" s="858"/>
      <c r="AX54" s="858"/>
      <c r="AY54" s="858"/>
    </row>
    <row r="55" spans="3:69" s="2" customFormat="1" ht="12.75" x14ac:dyDescent="0.2">
      <c r="C55" s="11"/>
      <c r="D55" s="11" t="s">
        <v>62</v>
      </c>
    </row>
    <row r="56" spans="3:69" s="2" customFormat="1" ht="12.75" x14ac:dyDescent="0.2"/>
    <row r="57" spans="3:69" s="2" customFormat="1" ht="12.75" x14ac:dyDescent="0.2"/>
    <row r="58" spans="3:69" s="2" customFormat="1" ht="12.75" x14ac:dyDescent="0.2"/>
    <row r="59" spans="3:69" s="2" customFormat="1" ht="12.75" x14ac:dyDescent="0.2"/>
    <row r="60" spans="3:69" s="2" customFormat="1" ht="12.75" x14ac:dyDescent="0.2"/>
    <row r="61" spans="3:69" s="2" customFormat="1" ht="12.75" x14ac:dyDescent="0.2"/>
    <row r="62" spans="3:69" s="2" customFormat="1" ht="12.75" x14ac:dyDescent="0.2"/>
    <row r="63" spans="3:69" s="2" customFormat="1" ht="12.75" x14ac:dyDescent="0.2"/>
    <row r="64" spans="3:69" s="2" customFormat="1" ht="12.75" x14ac:dyDescent="0.2"/>
    <row r="65" s="2" customFormat="1" ht="12.75" x14ac:dyDescent="0.2"/>
    <row r="66" s="2" customFormat="1" ht="12.75" x14ac:dyDescent="0.2"/>
    <row r="67" s="2" customFormat="1" ht="12.75" x14ac:dyDescent="0.2"/>
    <row r="68" s="2" customFormat="1" ht="12.75" x14ac:dyDescent="0.2"/>
    <row r="69" s="2" customFormat="1" ht="12.75" x14ac:dyDescent="0.2"/>
    <row r="70" s="2" customFormat="1" ht="12.75" x14ac:dyDescent="0.2"/>
    <row r="71" s="2" customFormat="1" ht="12.75" x14ac:dyDescent="0.2"/>
    <row r="72" s="2" customFormat="1" ht="12.75" x14ac:dyDescent="0.2"/>
    <row r="73" s="2" customFormat="1" ht="12.75" x14ac:dyDescent="0.2"/>
    <row r="74" s="2" customFormat="1" ht="12.75" x14ac:dyDescent="0.2"/>
    <row r="75" s="2" customFormat="1" ht="12.75" x14ac:dyDescent="0.2"/>
    <row r="76" s="2" customFormat="1" ht="12.75" x14ac:dyDescent="0.2"/>
    <row r="77" s="2" customFormat="1" ht="12.75" x14ac:dyDescent="0.2"/>
    <row r="78" s="2" customFormat="1" ht="12.75" x14ac:dyDescent="0.2"/>
    <row r="79" s="2" customFormat="1" ht="12.75" x14ac:dyDescent="0.2"/>
    <row r="80" s="2" customFormat="1" ht="12.75" x14ac:dyDescent="0.2"/>
    <row r="81" s="2" customFormat="1" ht="12.75" x14ac:dyDescent="0.2"/>
    <row r="82" s="2" customFormat="1" ht="12.75" x14ac:dyDescent="0.2"/>
    <row r="83" s="2" customFormat="1" ht="12.75" x14ac:dyDescent="0.2"/>
    <row r="84" s="2" customFormat="1" ht="12.75" x14ac:dyDescent="0.2"/>
    <row r="85" s="2" customFormat="1" ht="12.75" x14ac:dyDescent="0.2"/>
    <row r="86" s="2" customFormat="1" ht="12.75" x14ac:dyDescent="0.2"/>
    <row r="87" s="2" customFormat="1" ht="12.75" x14ac:dyDescent="0.2"/>
    <row r="88" s="2" customFormat="1" ht="12.75" x14ac:dyDescent="0.2"/>
    <row r="89" s="2" customFormat="1" ht="12.75" x14ac:dyDescent="0.2"/>
    <row r="90" s="2" customFormat="1" ht="12.75" x14ac:dyDescent="0.2"/>
    <row r="91" s="2" customFormat="1" ht="12.75" x14ac:dyDescent="0.2"/>
    <row r="92" s="2" customFormat="1" ht="12.75" x14ac:dyDescent="0.2"/>
    <row r="93" s="2" customFormat="1" ht="12.75" x14ac:dyDescent="0.2"/>
    <row r="94" s="2" customFormat="1" ht="12.75" x14ac:dyDescent="0.2"/>
    <row r="95" s="2" customFormat="1" ht="12.75" x14ac:dyDescent="0.2"/>
    <row r="96" s="2" customFormat="1" ht="12.75" x14ac:dyDescent="0.2"/>
    <row r="97" s="2" customFormat="1" ht="12.75" x14ac:dyDescent="0.2"/>
    <row r="98" s="2" customFormat="1" ht="12.75" x14ac:dyDescent="0.2"/>
    <row r="99" s="2" customFormat="1" ht="12.75" x14ac:dyDescent="0.2"/>
    <row r="100" s="2" customFormat="1" ht="12.75" x14ac:dyDescent="0.2"/>
    <row r="101" s="2" customFormat="1" ht="12.75" x14ac:dyDescent="0.2"/>
    <row r="102" s="2" customFormat="1" ht="12.75" x14ac:dyDescent="0.2"/>
    <row r="103" s="2" customFormat="1" ht="12.75" x14ac:dyDescent="0.2"/>
    <row r="104" s="2" customFormat="1" ht="12.75" x14ac:dyDescent="0.2"/>
    <row r="105" s="2" customFormat="1" ht="12.75" x14ac:dyDescent="0.2"/>
    <row r="106" s="2" customFormat="1" ht="12.75" x14ac:dyDescent="0.2"/>
    <row r="107" s="2" customFormat="1" ht="12.75" x14ac:dyDescent="0.2"/>
    <row r="108" s="2" customFormat="1" ht="12.75" x14ac:dyDescent="0.2"/>
    <row r="109" s="2" customFormat="1" ht="12.75" x14ac:dyDescent="0.2"/>
    <row r="110" s="2" customFormat="1" ht="12.75" x14ac:dyDescent="0.2"/>
    <row r="111" s="2" customFormat="1" ht="12.75" x14ac:dyDescent="0.2"/>
    <row r="112" s="2" customFormat="1" ht="12.75" x14ac:dyDescent="0.2"/>
    <row r="113" s="2" customFormat="1" ht="12.75" x14ac:dyDescent="0.2"/>
    <row r="114" s="2" customFormat="1" ht="12.75" x14ac:dyDescent="0.2"/>
    <row r="115" s="2" customFormat="1" ht="12.75" x14ac:dyDescent="0.2"/>
    <row r="116" s="2" customFormat="1" ht="12.75" x14ac:dyDescent="0.2"/>
    <row r="117" s="2" customFormat="1" ht="12.75" x14ac:dyDescent="0.2"/>
    <row r="118" s="2" customFormat="1" ht="12.75" x14ac:dyDescent="0.2"/>
    <row r="119" s="2" customFormat="1" ht="12.75" x14ac:dyDescent="0.2"/>
    <row r="120" s="2" customFormat="1" ht="12.75" x14ac:dyDescent="0.2"/>
    <row r="121" s="2" customFormat="1" ht="12.75" x14ac:dyDescent="0.2"/>
    <row r="122" s="2" customFormat="1" ht="12.75" x14ac:dyDescent="0.2"/>
    <row r="123" s="2" customFormat="1" ht="12.75" x14ac:dyDescent="0.2"/>
    <row r="124" s="2" customFormat="1" ht="12.75" x14ac:dyDescent="0.2"/>
    <row r="125" s="2" customFormat="1" ht="12.75" x14ac:dyDescent="0.2"/>
    <row r="126" s="2" customFormat="1" ht="12.75" x14ac:dyDescent="0.2"/>
    <row r="127" s="2" customFormat="1" ht="12.75" x14ac:dyDescent="0.2"/>
    <row r="128" s="2" customFormat="1" ht="12.75" x14ac:dyDescent="0.2"/>
    <row r="129" s="2" customFormat="1" ht="12.75" x14ac:dyDescent="0.2"/>
    <row r="130" s="2" customFormat="1" ht="12.75" x14ac:dyDescent="0.2"/>
    <row r="131" s="2" customFormat="1" ht="12.75" x14ac:dyDescent="0.2"/>
    <row r="132" s="2" customFormat="1" ht="12.75" x14ac:dyDescent="0.2"/>
    <row r="133" s="2" customFormat="1" ht="12.75" x14ac:dyDescent="0.2"/>
    <row r="134" s="2" customFormat="1" ht="12.75" x14ac:dyDescent="0.2"/>
    <row r="135" s="2" customFormat="1" ht="12.75" x14ac:dyDescent="0.2"/>
    <row r="136" s="2" customFormat="1" ht="12.75" x14ac:dyDescent="0.2"/>
    <row r="137" s="2" customFormat="1" ht="12.75" x14ac:dyDescent="0.2"/>
    <row r="138" s="2" customFormat="1" ht="12.75" x14ac:dyDescent="0.2"/>
    <row r="139" s="2" customFormat="1" ht="12.75" x14ac:dyDescent="0.2"/>
    <row r="140" s="2" customFormat="1" ht="12.75" x14ac:dyDescent="0.2"/>
    <row r="141" s="2" customFormat="1" ht="12.75" x14ac:dyDescent="0.2"/>
    <row r="142" s="2" customFormat="1" ht="12.75" x14ac:dyDescent="0.2"/>
    <row r="143" s="2" customFormat="1" ht="12.75" x14ac:dyDescent="0.2"/>
    <row r="144" s="2" customFormat="1" ht="12.75" x14ac:dyDescent="0.2"/>
    <row r="145" s="2" customFormat="1" ht="12.75" x14ac:dyDescent="0.2"/>
    <row r="146" s="2" customFormat="1" ht="12.75" x14ac:dyDescent="0.2"/>
    <row r="147" s="2" customFormat="1" ht="12.75" x14ac:dyDescent="0.2"/>
    <row r="148" s="2" customFormat="1" ht="12.75" x14ac:dyDescent="0.2"/>
    <row r="149" s="2" customFormat="1" ht="12.75" x14ac:dyDescent="0.2"/>
    <row r="150" s="2" customFormat="1" ht="12.75" x14ac:dyDescent="0.2"/>
    <row r="151" s="2" customFormat="1" ht="12.75" x14ac:dyDescent="0.2"/>
    <row r="152" s="2" customFormat="1" ht="12.75" x14ac:dyDescent="0.2"/>
    <row r="153" s="2" customFormat="1" ht="12.75" x14ac:dyDescent="0.2"/>
    <row r="154" s="2" customFormat="1" ht="12.75" x14ac:dyDescent="0.2"/>
    <row r="155" s="2" customFormat="1" ht="12.75" x14ac:dyDescent="0.2"/>
    <row r="156" s="2" customFormat="1" ht="12.75" x14ac:dyDescent="0.2"/>
    <row r="157" s="2" customFormat="1" ht="12.75" x14ac:dyDescent="0.2"/>
    <row r="158" s="2" customFormat="1" ht="12.75" x14ac:dyDescent="0.2"/>
    <row r="159" s="2" customFormat="1" ht="12.75" x14ac:dyDescent="0.2"/>
    <row r="160" s="2" customFormat="1" ht="12.75" x14ac:dyDescent="0.2"/>
    <row r="161" s="2" customFormat="1" ht="12.75" x14ac:dyDescent="0.2"/>
    <row r="162" s="2" customFormat="1" ht="12.75" x14ac:dyDescent="0.2"/>
    <row r="163" s="2" customFormat="1" ht="12.75" x14ac:dyDescent="0.2"/>
    <row r="164" s="2" customFormat="1" ht="12.75" x14ac:dyDescent="0.2"/>
    <row r="165" s="2" customFormat="1" ht="12.75" x14ac:dyDescent="0.2"/>
    <row r="166" s="2" customFormat="1" ht="12.75" x14ac:dyDescent="0.2"/>
    <row r="167" s="2" customFormat="1" ht="12.75" x14ac:dyDescent="0.2"/>
    <row r="168" s="2" customFormat="1" ht="12.75" x14ac:dyDescent="0.2"/>
    <row r="169" s="2" customFormat="1" ht="12.75" x14ac:dyDescent="0.2"/>
    <row r="170" s="2" customFormat="1" ht="12.75" x14ac:dyDescent="0.2"/>
    <row r="171" s="2" customFormat="1" ht="12.75" x14ac:dyDescent="0.2"/>
    <row r="172" s="2" customFormat="1" ht="12.75" x14ac:dyDescent="0.2"/>
    <row r="173" s="2" customFormat="1" ht="12.75" x14ac:dyDescent="0.2"/>
    <row r="174" s="2" customFormat="1" ht="12.75" x14ac:dyDescent="0.2"/>
    <row r="175" s="2" customFormat="1" ht="12.75" x14ac:dyDescent="0.2"/>
    <row r="176" s="2" customFormat="1" ht="12.75" x14ac:dyDescent="0.2"/>
    <row r="177" s="2" customFormat="1" ht="12.75" x14ac:dyDescent="0.2"/>
    <row r="178" s="2" customFormat="1" ht="12.75" x14ac:dyDescent="0.2"/>
    <row r="179" s="2" customFormat="1" ht="12.75" x14ac:dyDescent="0.2"/>
    <row r="180" s="2" customFormat="1" ht="12.75" x14ac:dyDescent="0.2"/>
    <row r="181" s="2" customFormat="1" ht="12.75" x14ac:dyDescent="0.2"/>
    <row r="182" s="2" customFormat="1" ht="12.75" x14ac:dyDescent="0.2"/>
    <row r="183" s="2" customFormat="1" ht="12.75" x14ac:dyDescent="0.2"/>
    <row r="184" s="2" customFormat="1" ht="12.75" x14ac:dyDescent="0.2"/>
    <row r="185" s="2" customFormat="1" ht="12.75" x14ac:dyDescent="0.2"/>
    <row r="186" s="2" customFormat="1" ht="12.75" x14ac:dyDescent="0.2"/>
    <row r="187" s="2" customFormat="1" ht="12.75" x14ac:dyDescent="0.2"/>
    <row r="188" s="2" customFormat="1" ht="12.75" x14ac:dyDescent="0.2"/>
    <row r="189" s="2" customFormat="1" ht="12.75" x14ac:dyDescent="0.2"/>
    <row r="190" s="2" customFormat="1" ht="12.75" x14ac:dyDescent="0.2"/>
    <row r="191" s="2" customFormat="1" ht="12.75" x14ac:dyDescent="0.2"/>
    <row r="192" s="2" customFormat="1" ht="12.75" x14ac:dyDescent="0.2"/>
    <row r="193" s="2" customFormat="1" ht="12.75" x14ac:dyDescent="0.2"/>
    <row r="194" s="2" customFormat="1" ht="12.75" x14ac:dyDescent="0.2"/>
    <row r="195" s="2" customFormat="1" ht="12.75" x14ac:dyDescent="0.2"/>
    <row r="196" s="2" customFormat="1" ht="12.75" x14ac:dyDescent="0.2"/>
    <row r="197" s="2" customFormat="1" ht="12.75" x14ac:dyDescent="0.2"/>
    <row r="198" s="2" customFormat="1" ht="12.75" x14ac:dyDescent="0.2"/>
    <row r="199" s="2" customFormat="1" ht="12.75" x14ac:dyDescent="0.2"/>
    <row r="200" s="2" customFormat="1" ht="12.75" x14ac:dyDescent="0.2"/>
    <row r="201" s="2" customFormat="1" ht="12.75" x14ac:dyDescent="0.2"/>
    <row r="202" s="2" customFormat="1" ht="12.75" x14ac:dyDescent="0.2"/>
    <row r="203" s="2" customFormat="1" ht="12.75" x14ac:dyDescent="0.2"/>
    <row r="204" s="2" customFormat="1" ht="12.75" x14ac:dyDescent="0.2"/>
    <row r="205" s="2" customFormat="1" ht="12.75" x14ac:dyDescent="0.2"/>
    <row r="206" s="2" customFormat="1" ht="12.75" x14ac:dyDescent="0.2"/>
    <row r="207" s="2" customFormat="1" ht="12.75" x14ac:dyDescent="0.2"/>
    <row r="208" s="2" customFormat="1" ht="12.75" x14ac:dyDescent="0.2"/>
    <row r="209" s="2" customFormat="1" ht="12.75" x14ac:dyDescent="0.2"/>
    <row r="210" s="2" customFormat="1" ht="12.75" x14ac:dyDescent="0.2"/>
    <row r="211" s="2" customFormat="1" ht="12.75" x14ac:dyDescent="0.2"/>
    <row r="212" s="2" customFormat="1" ht="12.75" x14ac:dyDescent="0.2"/>
    <row r="213" s="2" customFormat="1" ht="12.75" x14ac:dyDescent="0.2"/>
    <row r="214" s="2" customFormat="1" ht="12.75" x14ac:dyDescent="0.2"/>
    <row r="215" s="2" customFormat="1" ht="12.75" x14ac:dyDescent="0.2"/>
    <row r="216" s="2" customFormat="1" ht="12.75" x14ac:dyDescent="0.2"/>
    <row r="217" s="2" customFormat="1" ht="12.75" x14ac:dyDescent="0.2"/>
    <row r="218" s="2" customFormat="1" ht="12.75" x14ac:dyDescent="0.2"/>
    <row r="219" s="2" customFormat="1" ht="12.75" x14ac:dyDescent="0.2"/>
    <row r="220" s="2" customFormat="1" ht="12.75" x14ac:dyDescent="0.2"/>
    <row r="221" s="2" customFormat="1" ht="12.75" x14ac:dyDescent="0.2"/>
    <row r="222" s="2" customFormat="1" ht="12.75" x14ac:dyDescent="0.2"/>
    <row r="223" s="2" customFormat="1" ht="12.75" x14ac:dyDescent="0.2"/>
    <row r="224" s="2" customFormat="1" ht="12.75" x14ac:dyDescent="0.2"/>
    <row r="225" s="2" customFormat="1" ht="12.75" x14ac:dyDescent="0.2"/>
    <row r="226" s="2" customFormat="1" ht="12.75" x14ac:dyDescent="0.2"/>
    <row r="227" s="2" customFormat="1" ht="12.75" x14ac:dyDescent="0.2"/>
    <row r="228" s="2" customFormat="1" ht="12.75" x14ac:dyDescent="0.2"/>
    <row r="229" s="2" customFormat="1" ht="12.75" x14ac:dyDescent="0.2"/>
    <row r="230" s="2" customFormat="1" ht="12.75" x14ac:dyDescent="0.2"/>
  </sheetData>
  <mergeCells count="42">
    <mergeCell ref="AR1:BZ2"/>
    <mergeCell ref="A2:AI2"/>
    <mergeCell ref="A3:AI3"/>
    <mergeCell ref="AR3:BZ3"/>
    <mergeCell ref="A4:AI4"/>
    <mergeCell ref="AR4:BZ4"/>
    <mergeCell ref="A18:CB18"/>
    <mergeCell ref="A5:AI5"/>
    <mergeCell ref="AR5:BZ5"/>
    <mergeCell ref="AR6:BZ9"/>
    <mergeCell ref="A8:AI9"/>
    <mergeCell ref="A10:AI10"/>
    <mergeCell ref="AR10:BZ10"/>
    <mergeCell ref="A11:AI11"/>
    <mergeCell ref="AR11:BZ11"/>
    <mergeCell ref="AR12:BZ12"/>
    <mergeCell ref="A13:CB13"/>
    <mergeCell ref="A14:CB14"/>
    <mergeCell ref="A27:CB27"/>
    <mergeCell ref="A31:CB31"/>
    <mergeCell ref="A32:CB32"/>
    <mergeCell ref="A19:CB19"/>
    <mergeCell ref="A21:CB21"/>
    <mergeCell ref="A22:CB22"/>
    <mergeCell ref="A25:CB25"/>
    <mergeCell ref="A26:CB26"/>
    <mergeCell ref="A28:CB28"/>
    <mergeCell ref="A29:CB29"/>
    <mergeCell ref="A30:CB30"/>
    <mergeCell ref="AM54:AY54"/>
    <mergeCell ref="A33:CB33"/>
    <mergeCell ref="A35:CB35"/>
    <mergeCell ref="A36:CB36"/>
    <mergeCell ref="C38:CB39"/>
    <mergeCell ref="A42:C42"/>
    <mergeCell ref="A43:C43"/>
    <mergeCell ref="D43:CB44"/>
    <mergeCell ref="AM48:AY48"/>
    <mergeCell ref="BC48:BQ48"/>
    <mergeCell ref="AM49:AY49"/>
    <mergeCell ref="AM53:AY53"/>
    <mergeCell ref="BC53:BQ53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CCCFF"/>
  </sheetPr>
  <dimension ref="A1:FP101"/>
  <sheetViews>
    <sheetView view="pageBreakPreview" zoomScaleNormal="100" zoomScaleSheetLayoutView="100" workbookViewId="0">
      <selection activeCell="A14" sqref="A14:CB14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объект'!B14="","",'Данные объект'!B14)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15.75" x14ac:dyDescent="0.25">
      <c r="A13" s="931" t="s">
        <v>1236</v>
      </c>
      <c r="B13" s="851"/>
      <c r="C13" s="851"/>
      <c r="D13" s="851"/>
      <c r="E13" s="851"/>
      <c r="F13" s="851"/>
      <c r="G13" s="851"/>
      <c r="H13" s="851"/>
      <c r="I13" s="851"/>
      <c r="J13" s="851"/>
      <c r="K13" s="851"/>
      <c r="L13" s="851"/>
      <c r="M13" s="851"/>
      <c r="N13" s="851"/>
      <c r="O13" s="851"/>
      <c r="P13" s="851"/>
      <c r="Q13" s="851"/>
      <c r="R13" s="851"/>
      <c r="S13" s="851"/>
      <c r="T13" s="851"/>
      <c r="U13" s="851"/>
      <c r="V13" s="851"/>
      <c r="W13" s="851"/>
      <c r="X13" s="851"/>
      <c r="Y13" s="851"/>
      <c r="Z13" s="851"/>
      <c r="AA13" s="851"/>
      <c r="AB13" s="851"/>
      <c r="AC13" s="851"/>
      <c r="AD13" s="851"/>
      <c r="AE13" s="851"/>
      <c r="AF13" s="851"/>
      <c r="AG13" s="851"/>
      <c r="AH13" s="851"/>
      <c r="AI13" s="851"/>
      <c r="AJ13" s="851"/>
      <c r="AK13" s="851"/>
      <c r="AL13" s="851"/>
      <c r="AM13" s="851"/>
      <c r="AN13" s="851"/>
      <c r="AO13" s="851"/>
      <c r="AP13" s="851"/>
      <c r="AQ13" s="851"/>
      <c r="AR13" s="851"/>
      <c r="AS13" s="851"/>
      <c r="AT13" s="851"/>
      <c r="AU13" s="851"/>
      <c r="AV13" s="851"/>
      <c r="AW13" s="851"/>
      <c r="AX13" s="851"/>
      <c r="AY13" s="851"/>
      <c r="AZ13" s="851"/>
      <c r="BA13" s="851"/>
      <c r="BB13" s="851"/>
      <c r="BC13" s="851"/>
      <c r="BD13" s="851"/>
      <c r="BE13" s="851"/>
      <c r="BF13" s="851"/>
      <c r="BG13" s="851"/>
      <c r="BH13" s="851"/>
      <c r="BI13" s="851"/>
      <c r="BJ13" s="851"/>
      <c r="BK13" s="851"/>
      <c r="BL13" s="851"/>
      <c r="BM13" s="851"/>
      <c r="BN13" s="851"/>
      <c r="BO13" s="851"/>
      <c r="BP13" s="851"/>
      <c r="BQ13" s="851"/>
      <c r="BR13" s="851"/>
      <c r="BS13" s="851"/>
      <c r="BT13" s="851"/>
      <c r="BU13" s="851"/>
      <c r="BV13" s="851"/>
      <c r="BW13" s="851"/>
      <c r="BX13" s="851"/>
      <c r="BY13" s="851"/>
      <c r="BZ13" s="851"/>
      <c r="CA13" s="851"/>
      <c r="CB13" s="851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1252</v>
      </c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ht="9.6" customHeight="1" x14ac:dyDescent="0.25"/>
    <row r="16" spans="1:172" s="2" customFormat="1" ht="12.75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72" s="2" customFormat="1" ht="12.75" x14ac:dyDescent="0.2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172" s="2" customFormat="1" ht="12.75" x14ac:dyDescent="0.2">
      <c r="A18" s="926" t="str">
        <f>IF('Данные объект'!C43="","",'Данные объект'!C43)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172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172" s="2" customFormat="1" ht="12.75" x14ac:dyDescent="0.2">
      <c r="A20" s="926">
        <f>IF('Данные объект'!C46="","",'Данные объект'!C46)</f>
      </c>
      <c r="B20" s="926"/>
      <c r="C20" s="926"/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6"/>
      <c r="V20" s="926"/>
      <c r="W20" s="926"/>
      <c r="X20" s="926"/>
      <c r="Y20" s="926"/>
      <c r="Z20" s="926"/>
      <c r="AA20" s="926"/>
      <c r="AB20" s="926"/>
      <c r="AC20" s="926"/>
      <c r="AD20" s="926"/>
      <c r="AE20" s="926"/>
      <c r="AF20" s="926"/>
      <c r="AG20" s="926"/>
      <c r="AH20" s="926"/>
      <c r="AI20" s="926"/>
      <c r="AJ20" s="926"/>
      <c r="AK20" s="926"/>
      <c r="AL20" s="926"/>
      <c r="AM20" s="926"/>
      <c r="AN20" s="926"/>
      <c r="AO20" s="926"/>
      <c r="AP20" s="926"/>
      <c r="AQ20" s="926"/>
      <c r="AR20" s="926"/>
      <c r="AS20" s="926"/>
      <c r="AT20" s="926"/>
      <c r="AU20" s="926"/>
      <c r="AV20" s="926"/>
      <c r="AW20" s="926"/>
      <c r="AX20" s="926"/>
      <c r="AY20" s="926"/>
      <c r="AZ20" s="926"/>
      <c r="BA20" s="926"/>
      <c r="BB20" s="926"/>
      <c r="BC20" s="926"/>
      <c r="BD20" s="926"/>
      <c r="BE20" s="926"/>
      <c r="BF20" s="926"/>
      <c r="BG20" s="926"/>
      <c r="BH20" s="926"/>
      <c r="BI20" s="926"/>
      <c r="BJ20" s="926"/>
      <c r="BK20" s="926"/>
      <c r="BL20" s="926"/>
      <c r="BM20" s="926"/>
      <c r="BN20" s="926"/>
      <c r="BO20" s="926"/>
      <c r="BP20" s="926"/>
      <c r="BQ20" s="926"/>
      <c r="BR20" s="926"/>
      <c r="BS20" s="926"/>
      <c r="BT20" s="926"/>
      <c r="BU20" s="926"/>
      <c r="BV20" s="926"/>
      <c r="BW20" s="926"/>
      <c r="BX20" s="926"/>
      <c r="BY20" s="926"/>
      <c r="BZ20" s="926"/>
      <c r="CA20" s="926"/>
      <c r="CB20" s="926"/>
    </row>
    <row r="21" spans="1:172" s="5" customFormat="1" ht="8.25" x14ac:dyDescent="0.15">
      <c r="A21" s="932" t="s">
        <v>31</v>
      </c>
      <c r="B21" s="932"/>
      <c r="C21" s="932"/>
      <c r="D21" s="932"/>
      <c r="E21" s="932"/>
      <c r="F21" s="932"/>
      <c r="G21" s="932"/>
      <c r="H21" s="932"/>
      <c r="I21" s="932"/>
      <c r="J21" s="932"/>
      <c r="K21" s="932"/>
      <c r="L21" s="932"/>
      <c r="M21" s="932"/>
      <c r="N21" s="932"/>
      <c r="O21" s="932"/>
      <c r="P21" s="932"/>
      <c r="Q21" s="932"/>
      <c r="R21" s="932"/>
      <c r="S21" s="932"/>
      <c r="T21" s="932"/>
      <c r="U21" s="932"/>
      <c r="V21" s="932"/>
      <c r="W21" s="932"/>
      <c r="X21" s="932"/>
      <c r="Y21" s="932"/>
      <c r="Z21" s="932"/>
      <c r="AA21" s="932"/>
      <c r="AB21" s="932"/>
      <c r="AC21" s="932"/>
      <c r="AD21" s="932"/>
      <c r="AE21" s="932"/>
      <c r="AF21" s="932"/>
      <c r="AG21" s="932"/>
      <c r="AH21" s="932"/>
      <c r="AI21" s="932"/>
      <c r="AJ21" s="932"/>
      <c r="AK21" s="932"/>
      <c r="AL21" s="932"/>
      <c r="AM21" s="932"/>
      <c r="AN21" s="932"/>
      <c r="AO21" s="932"/>
      <c r="AP21" s="932"/>
      <c r="AQ21" s="932"/>
      <c r="AR21" s="932"/>
      <c r="AS21" s="932"/>
      <c r="AT21" s="932"/>
      <c r="AU21" s="932"/>
      <c r="AV21" s="932"/>
      <c r="AW21" s="932"/>
      <c r="AX21" s="932"/>
      <c r="AY21" s="932"/>
      <c r="AZ21" s="932"/>
      <c r="BA21" s="932"/>
      <c r="BB21" s="932"/>
      <c r="BC21" s="932"/>
      <c r="BD21" s="932"/>
      <c r="BE21" s="932"/>
      <c r="BF21" s="932"/>
      <c r="BG21" s="932"/>
      <c r="BH21" s="932"/>
      <c r="BI21" s="932"/>
      <c r="BJ21" s="932"/>
      <c r="BK21" s="932"/>
      <c r="BL21" s="932"/>
      <c r="BM21" s="932"/>
      <c r="BN21" s="932"/>
      <c r="BO21" s="932"/>
      <c r="BP21" s="932"/>
      <c r="BQ21" s="932"/>
      <c r="BR21" s="932"/>
      <c r="BS21" s="932"/>
      <c r="BT21" s="932"/>
      <c r="BU21" s="932"/>
      <c r="BV21" s="932"/>
      <c r="BW21" s="932"/>
      <c r="BX21" s="932"/>
      <c r="BY21" s="932"/>
      <c r="BZ21" s="932"/>
      <c r="CA21" s="932"/>
      <c r="CB21" s="932"/>
    </row>
    <row r="22" spans="1:172" s="11" customFormat="1" ht="11.25" x14ac:dyDescent="0.2">
      <c r="A22" s="11" t="s">
        <v>30</v>
      </c>
    </row>
    <row r="23" spans="1:172" s="11" customFormat="1" ht="11.25" x14ac:dyDescent="0.2">
      <c r="A23" s="926" t="str">
        <f>IF('Данные объект'!C28="","",'Данные объект'!C28)</f>
      </c>
      <c r="B23" s="926"/>
      <c r="C23" s="926"/>
      <c r="D23" s="926"/>
      <c r="E23" s="926"/>
      <c r="F23" s="926"/>
      <c r="G23" s="926"/>
      <c r="H23" s="926"/>
      <c r="I23" s="926"/>
      <c r="J23" s="926"/>
      <c r="K23" s="926"/>
      <c r="L23" s="926"/>
      <c r="M23" s="926"/>
      <c r="N23" s="926"/>
      <c r="O23" s="926"/>
      <c r="P23" s="926"/>
      <c r="Q23" s="926"/>
      <c r="R23" s="926"/>
      <c r="S23" s="926"/>
      <c r="T23" s="926"/>
      <c r="U23" s="926"/>
      <c r="V23" s="926"/>
      <c r="W23" s="926"/>
      <c r="X23" s="926"/>
      <c r="Y23" s="926"/>
      <c r="Z23" s="926"/>
      <c r="AA23" s="926"/>
      <c r="AB23" s="926"/>
      <c r="AC23" s="926"/>
      <c r="AD23" s="926"/>
      <c r="AE23" s="926"/>
      <c r="AF23" s="926"/>
      <c r="AG23" s="926"/>
      <c r="AH23" s="926"/>
      <c r="AI23" s="926"/>
      <c r="AJ23" s="926"/>
      <c r="AK23" s="926"/>
      <c r="AL23" s="926"/>
      <c r="AM23" s="926"/>
      <c r="AN23" s="926"/>
      <c r="AO23" s="926"/>
      <c r="AP23" s="926"/>
      <c r="AQ23" s="926"/>
      <c r="AR23" s="926"/>
      <c r="AS23" s="926"/>
      <c r="AT23" s="926"/>
      <c r="AU23" s="926"/>
      <c r="AV23" s="926"/>
      <c r="AW23" s="926"/>
      <c r="AX23" s="926"/>
      <c r="AY23" s="926"/>
      <c r="AZ23" s="926"/>
      <c r="BA23" s="926"/>
      <c r="BB23" s="926"/>
      <c r="BC23" s="926"/>
      <c r="BD23" s="926"/>
      <c r="BE23" s="926"/>
      <c r="BF23" s="926"/>
      <c r="BG23" s="926"/>
      <c r="BH23" s="926"/>
      <c r="BI23" s="926"/>
      <c r="BJ23" s="926"/>
      <c r="BK23" s="926"/>
      <c r="BL23" s="926"/>
      <c r="BM23" s="926"/>
      <c r="BN23" s="926"/>
      <c r="BO23" s="926"/>
      <c r="BP23" s="926"/>
      <c r="BQ23" s="926"/>
      <c r="BR23" s="926"/>
      <c r="BS23" s="926"/>
      <c r="BT23" s="926"/>
      <c r="BU23" s="926"/>
      <c r="BV23" s="926"/>
      <c r="BW23" s="926"/>
      <c r="BX23" s="926"/>
      <c r="BY23" s="926"/>
      <c r="BZ23" s="926"/>
      <c r="CA23" s="926"/>
      <c r="CB23" s="926"/>
    </row>
    <row r="24" spans="1:172" s="5" customFormat="1" ht="8.25" x14ac:dyDescent="0.15">
      <c r="A24" s="932" t="s">
        <v>31</v>
      </c>
      <c r="B24" s="932"/>
      <c r="C24" s="932"/>
      <c r="D24" s="932"/>
      <c r="E24" s="932"/>
      <c r="F24" s="932"/>
      <c r="G24" s="932"/>
      <c r="H24" s="932"/>
      <c r="I24" s="932"/>
      <c r="J24" s="932"/>
      <c r="K24" s="932"/>
      <c r="L24" s="932"/>
      <c r="M24" s="932"/>
      <c r="N24" s="932"/>
      <c r="O24" s="932"/>
      <c r="P24" s="932"/>
      <c r="Q24" s="932"/>
      <c r="R24" s="932"/>
      <c r="S24" s="932"/>
      <c r="T24" s="932"/>
      <c r="U24" s="932"/>
      <c r="V24" s="932"/>
      <c r="W24" s="932"/>
      <c r="X24" s="932"/>
      <c r="Y24" s="932"/>
      <c r="Z24" s="932"/>
      <c r="AA24" s="932"/>
      <c r="AB24" s="932"/>
      <c r="AC24" s="932"/>
      <c r="AD24" s="932"/>
      <c r="AE24" s="932"/>
      <c r="AF24" s="932"/>
      <c r="AG24" s="932"/>
      <c r="AH24" s="932"/>
      <c r="AI24" s="932"/>
      <c r="AJ24" s="932"/>
      <c r="AK24" s="932"/>
      <c r="AL24" s="932"/>
      <c r="AM24" s="932"/>
      <c r="AN24" s="932"/>
      <c r="AO24" s="932"/>
      <c r="AP24" s="932"/>
      <c r="AQ24" s="932"/>
      <c r="AR24" s="932"/>
      <c r="AS24" s="932"/>
      <c r="AT24" s="932"/>
      <c r="AU24" s="932"/>
      <c r="AV24" s="932"/>
      <c r="AW24" s="932"/>
      <c r="AX24" s="932"/>
      <c r="AY24" s="932"/>
      <c r="AZ24" s="932"/>
      <c r="BA24" s="932"/>
      <c r="BB24" s="932"/>
      <c r="BC24" s="932"/>
      <c r="BD24" s="932"/>
      <c r="BE24" s="932"/>
      <c r="BF24" s="932"/>
      <c r="BG24" s="932"/>
      <c r="BH24" s="932"/>
      <c r="BI24" s="932"/>
      <c r="BJ24" s="932"/>
      <c r="BK24" s="932"/>
      <c r="BL24" s="932"/>
      <c r="BM24" s="932"/>
      <c r="BN24" s="932"/>
      <c r="BO24" s="932"/>
      <c r="BP24" s="932"/>
      <c r="BQ24" s="932"/>
      <c r="BR24" s="932"/>
      <c r="BS24" s="932"/>
      <c r="BT24" s="932"/>
      <c r="BU24" s="932"/>
      <c r="BV24" s="932"/>
      <c r="BW24" s="932"/>
      <c r="BX24" s="932"/>
      <c r="BY24" s="932"/>
      <c r="BZ24" s="932"/>
      <c r="CA24" s="932"/>
      <c r="CB24" s="932"/>
    </row>
    <row r="25" spans="1:172" s="70" customFormat="1" ht="11.25" x14ac:dyDescent="0.2">
      <c r="A25" s="862" t="s">
        <v>750</v>
      </c>
      <c r="B25" s="862"/>
      <c r="C25" s="862"/>
      <c r="D25" s="862"/>
      <c r="E25" s="862"/>
      <c r="F25" s="862"/>
      <c r="G25" s="862"/>
      <c r="H25" s="862"/>
      <c r="I25" s="862"/>
      <c r="J25" s="862"/>
      <c r="K25" s="862"/>
      <c r="L25" s="862"/>
      <c r="M25" s="862"/>
      <c r="N25" s="862"/>
      <c r="O25" s="862"/>
      <c r="P25" s="862"/>
      <c r="Q25" s="862"/>
      <c r="R25" s="862"/>
      <c r="S25" s="862"/>
      <c r="T25" s="862"/>
      <c r="U25" s="862"/>
      <c r="V25" s="862"/>
      <c r="W25" s="862"/>
      <c r="X25" s="862"/>
      <c r="Y25" s="862"/>
      <c r="Z25" s="862"/>
      <c r="AA25" s="862"/>
      <c r="AB25" s="862"/>
      <c r="AC25" s="862"/>
      <c r="AD25" s="862"/>
      <c r="AE25" s="862"/>
      <c r="AF25" s="862"/>
      <c r="AG25" s="862"/>
      <c r="AH25" s="862"/>
      <c r="AI25" s="862"/>
      <c r="AJ25" s="862"/>
      <c r="AK25" s="862"/>
      <c r="AL25" s="862"/>
      <c r="AM25" s="862"/>
      <c r="AN25" s="862"/>
      <c r="AO25" s="862"/>
      <c r="AP25" s="862"/>
      <c r="AQ25" s="862"/>
      <c r="AR25" s="862"/>
      <c r="AS25" s="862"/>
      <c r="AT25" s="862"/>
      <c r="AU25" s="862"/>
      <c r="AV25" s="862"/>
      <c r="AW25" s="862"/>
      <c r="AX25" s="862"/>
      <c r="AY25" s="862"/>
      <c r="AZ25" s="862"/>
      <c r="BA25" s="862"/>
      <c r="BB25" s="862"/>
      <c r="BC25" s="862"/>
      <c r="BD25" s="11"/>
      <c r="BE25" s="11"/>
      <c r="BF25" s="11"/>
      <c r="BG25" s="841"/>
      <c r="BH25" s="841"/>
      <c r="BI25" s="841"/>
      <c r="BJ25" s="841"/>
      <c r="BK25" s="841"/>
      <c r="BL25" s="841"/>
      <c r="BM25" s="841"/>
      <c r="BN25" s="841"/>
      <c r="BO25" s="841"/>
      <c r="BP25" s="841"/>
      <c r="BQ25" s="841"/>
      <c r="BR25" s="841"/>
      <c r="BS25" s="841"/>
      <c r="BT25" s="841"/>
      <c r="BU25" s="841"/>
      <c r="BV25" s="841"/>
      <c r="BW25" s="841"/>
      <c r="BX25" s="841"/>
      <c r="BY25" s="841"/>
      <c r="BZ25" s="841"/>
      <c r="CA25" s="841"/>
      <c r="CB25" s="84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</row>
    <row r="26" spans="1:172" s="70" customFormat="1" ht="11.25" x14ac:dyDescent="0.2">
      <c r="A26" s="11" t="s">
        <v>242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</row>
    <row r="27" spans="1:172" s="70" customFormat="1" ht="11.2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</row>
    <row r="28" spans="1:172" s="70" customFormat="1" ht="11.25" x14ac:dyDescent="0.2">
      <c r="A28" s="11" t="s">
        <v>33</v>
      </c>
      <c r="B28" s="11"/>
      <c r="C28" s="862" t="s">
        <v>243</v>
      </c>
      <c r="D28" s="862"/>
      <c r="E28" s="862"/>
      <c r="F28" s="862"/>
      <c r="G28" s="862"/>
      <c r="H28" s="862"/>
      <c r="I28" s="862"/>
      <c r="J28" s="862"/>
      <c r="K28" s="862"/>
      <c r="L28" s="862"/>
      <c r="M28" s="862"/>
      <c r="N28" s="862"/>
      <c r="O28" s="862"/>
      <c r="P28" s="862"/>
      <c r="Q28" s="862"/>
      <c r="R28" s="862"/>
      <c r="S28" s="862"/>
      <c r="T28" s="862"/>
      <c r="U28" s="862"/>
      <c r="V28" s="862"/>
      <c r="W28" s="862"/>
      <c r="X28" s="862"/>
      <c r="Y28" s="862"/>
      <c r="Z28" s="862"/>
      <c r="AA28" s="862"/>
      <c r="AB28" s="862"/>
      <c r="AC28" s="862"/>
      <c r="AD28" s="862"/>
      <c r="AE28" s="862"/>
      <c r="AF28" s="862"/>
      <c r="AG28" s="862"/>
      <c r="AH28" s="862"/>
      <c r="AI28" s="862"/>
      <c r="AJ28" s="862"/>
      <c r="AK28" s="862"/>
      <c r="AL28" s="862"/>
      <c r="AM28" s="862"/>
      <c r="AN28" s="862"/>
      <c r="AO28" s="862"/>
      <c r="AP28" s="862"/>
      <c r="AQ28" s="862"/>
      <c r="AR28" s="862"/>
      <c r="AS28" s="1081">
        <f>AB30+AU30+AB32+AU32</f>
      </c>
      <c r="AT28" s="1081"/>
      <c r="AU28" s="1081"/>
      <c r="AV28" s="1081"/>
      <c r="AW28" s="1081"/>
      <c r="AX28" s="1081"/>
      <c r="AY28" s="1081"/>
      <c r="AZ28" s="1081"/>
      <c r="BA28" s="1081"/>
      <c r="BB28" s="1081"/>
      <c r="BC28" s="862" t="s">
        <v>244</v>
      </c>
      <c r="BD28" s="862"/>
      <c r="BE28" s="862"/>
      <c r="BF28" s="862"/>
      <c r="BG28" s="862"/>
      <c r="BH28" s="862"/>
      <c r="BI28" s="862"/>
      <c r="BJ28" s="862"/>
      <c r="BK28" s="862"/>
      <c r="BL28" s="862"/>
      <c r="BM28" s="862"/>
      <c r="BN28" s="862"/>
      <c r="BO28" s="862"/>
      <c r="BP28" s="862"/>
      <c r="BQ28" s="862"/>
      <c r="BR28" s="862"/>
      <c r="BS28" s="862"/>
      <c r="BT28" s="862"/>
      <c r="BU28" s="862"/>
      <c r="BV28" s="862"/>
      <c r="BW28" s="862"/>
      <c r="BX28" s="862"/>
      <c r="BY28" s="862"/>
      <c r="BZ28" s="862"/>
      <c r="CA28" s="862"/>
      <c r="CB28" s="862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</row>
    <row r="29" spans="1:172" s="41" customFormat="1" ht="8.25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858" t="s">
        <v>245</v>
      </c>
      <c r="AT29" s="858"/>
      <c r="AU29" s="858"/>
      <c r="AV29" s="858"/>
      <c r="AW29" s="858"/>
      <c r="AX29" s="858"/>
      <c r="AY29" s="858"/>
      <c r="AZ29" s="858"/>
      <c r="BA29" s="858"/>
      <c r="BB29" s="858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</row>
    <row r="30" spans="1:172" s="70" customFormat="1" ht="11.25" x14ac:dyDescent="0.2">
      <c r="A30" s="11"/>
      <c r="B30" s="11"/>
      <c r="C30" s="11" t="s">
        <v>246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 t="s">
        <v>247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081">
        <v>10</v>
      </c>
      <c r="AC30" s="1081"/>
      <c r="AD30" s="1081"/>
      <c r="AE30" s="1081"/>
      <c r="AF30" s="1081"/>
      <c r="AG30" s="1081"/>
      <c r="AH30" s="1081"/>
      <c r="AI30" s="1081"/>
      <c r="AJ30" s="1081"/>
      <c r="AK30" s="1081"/>
      <c r="AL30" s="11"/>
      <c r="AM30" s="11" t="s">
        <v>248</v>
      </c>
      <c r="AN30" s="11"/>
      <c r="AO30" s="11"/>
      <c r="AP30" s="11"/>
      <c r="AQ30" s="11"/>
      <c r="AR30" s="11"/>
      <c r="AS30" s="11"/>
      <c r="AT30" s="11"/>
      <c r="AU30" s="1081">
        <v>3</v>
      </c>
      <c r="AV30" s="1081"/>
      <c r="AW30" s="1081"/>
      <c r="AX30" s="1081"/>
      <c r="AY30" s="1081"/>
      <c r="AZ30" s="1081"/>
      <c r="BA30" s="1081"/>
      <c r="BB30" s="1081"/>
      <c r="BC30" s="1081"/>
      <c r="BD30" s="108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</row>
    <row r="31" spans="1:172" s="41" customFormat="1" ht="8.25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858" t="s">
        <v>245</v>
      </c>
      <c r="AC31" s="858"/>
      <c r="AD31" s="858"/>
      <c r="AE31" s="858"/>
      <c r="AF31" s="858"/>
      <c r="AG31" s="858"/>
      <c r="AH31" s="858"/>
      <c r="AI31" s="858"/>
      <c r="AJ31" s="858"/>
      <c r="AK31" s="858"/>
      <c r="AL31" s="5"/>
      <c r="AM31" s="5"/>
      <c r="AN31" s="5"/>
      <c r="AO31" s="5"/>
      <c r="AP31" s="5"/>
      <c r="AQ31" s="5"/>
      <c r="AR31" s="5"/>
      <c r="AS31" s="5"/>
      <c r="AT31" s="5"/>
      <c r="AU31" s="858" t="s">
        <v>245</v>
      </c>
      <c r="AV31" s="858"/>
      <c r="AW31" s="858"/>
      <c r="AX31" s="858"/>
      <c r="AY31" s="858"/>
      <c r="AZ31" s="858"/>
      <c r="BA31" s="858"/>
      <c r="BB31" s="858"/>
      <c r="BC31" s="858"/>
      <c r="BD31" s="858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</row>
    <row r="32" spans="1:172" s="70" customFormat="1" ht="11.2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 t="s">
        <v>249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081">
        <v>4</v>
      </c>
      <c r="AC32" s="1081"/>
      <c r="AD32" s="1081"/>
      <c r="AE32" s="1081"/>
      <c r="AF32" s="1081"/>
      <c r="AG32" s="1081"/>
      <c r="AH32" s="1081"/>
      <c r="AI32" s="1081"/>
      <c r="AJ32" s="1081"/>
      <c r="AK32" s="1081"/>
      <c r="AL32" s="11"/>
      <c r="AM32" s="11" t="s">
        <v>250</v>
      </c>
      <c r="AN32" s="11"/>
      <c r="AO32" s="11"/>
      <c r="AP32" s="11"/>
      <c r="AQ32" s="11"/>
      <c r="AR32" s="11"/>
      <c r="AS32" s="11"/>
      <c r="AT32" s="11"/>
      <c r="AU32" s="841">
        <v>0</v>
      </c>
      <c r="AV32" s="841"/>
      <c r="AW32" s="841"/>
      <c r="AX32" s="841"/>
      <c r="AY32" s="841"/>
      <c r="AZ32" s="841"/>
      <c r="BA32" s="841"/>
      <c r="BB32" s="841"/>
      <c r="BC32" s="841"/>
      <c r="BD32" s="841"/>
      <c r="BE32" s="11"/>
      <c r="BF32" s="11" t="s">
        <v>251</v>
      </c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</row>
    <row r="33" spans="1:172" s="41" customFormat="1" ht="8.25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858" t="s">
        <v>245</v>
      </c>
      <c r="AC33" s="858"/>
      <c r="AD33" s="858"/>
      <c r="AE33" s="858"/>
      <c r="AF33" s="858"/>
      <c r="AG33" s="858"/>
      <c r="AH33" s="858"/>
      <c r="AI33" s="858"/>
      <c r="AJ33" s="858"/>
      <c r="AK33" s="858"/>
      <c r="AL33" s="5"/>
      <c r="AM33" s="5"/>
      <c r="AN33" s="5"/>
      <c r="AO33" s="5"/>
      <c r="AP33" s="5"/>
      <c r="AQ33" s="5"/>
      <c r="AR33" s="5"/>
      <c r="AS33" s="5"/>
      <c r="AT33" s="5"/>
      <c r="AU33" s="858" t="s">
        <v>245</v>
      </c>
      <c r="AV33" s="858"/>
      <c r="AW33" s="858"/>
      <c r="AX33" s="858"/>
      <c r="AY33" s="858"/>
      <c r="AZ33" s="858"/>
      <c r="BA33" s="858"/>
      <c r="BB33" s="858"/>
      <c r="BC33" s="858"/>
      <c r="BD33" s="858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</row>
    <row r="34" spans="1:172" s="70" customFormat="1" ht="11.25" x14ac:dyDescent="0.2">
      <c r="A34" s="11" t="s">
        <v>36</v>
      </c>
      <c r="B34" s="11"/>
      <c r="C34" s="11" t="s">
        <v>252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841" t="str">
        <f>IF('Данные объект'!B52="","",'Данные объект'!B52)</f>
      </c>
      <c r="AN34" s="841"/>
      <c r="AO34" s="841"/>
      <c r="AP34" s="841"/>
      <c r="AQ34" s="841"/>
      <c r="AR34" s="841"/>
      <c r="AS34" s="841"/>
      <c r="AT34" s="841"/>
      <c r="AU34" s="841"/>
      <c r="AV34" s="841"/>
      <c r="AW34" s="841"/>
      <c r="AX34" s="841"/>
      <c r="AY34" s="841"/>
      <c r="AZ34" s="841"/>
      <c r="BA34" s="841"/>
      <c r="BB34" s="841"/>
      <c r="BC34" s="841"/>
      <c r="BD34" s="841"/>
      <c r="BE34" s="841"/>
      <c r="BF34" s="841"/>
      <c r="BG34" s="841"/>
      <c r="BH34" s="841"/>
      <c r="BI34" s="841"/>
      <c r="BJ34" s="841"/>
      <c r="BK34" s="841"/>
      <c r="BL34" s="841"/>
      <c r="BM34" s="841"/>
      <c r="BN34" s="841"/>
      <c r="BO34" s="841"/>
      <c r="BP34" s="841"/>
      <c r="BQ34" s="841"/>
      <c r="BR34" s="841"/>
      <c r="BS34" s="841"/>
      <c r="BT34" s="841"/>
      <c r="BU34" s="841"/>
      <c r="BV34" s="841"/>
      <c r="BW34" s="841"/>
      <c r="BX34" s="841"/>
      <c r="BY34" s="841"/>
      <c r="BZ34" s="841"/>
      <c r="CA34" s="841"/>
      <c r="CB34" s="84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</row>
    <row r="35" spans="1:172" s="41" customFormat="1" ht="8.25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858" t="s">
        <v>118</v>
      </c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  <c r="AZ35" s="858"/>
      <c r="BA35" s="858"/>
      <c r="BB35" s="858"/>
      <c r="BC35" s="858"/>
      <c r="BD35" s="858"/>
      <c r="BE35" s="858"/>
      <c r="BF35" s="858"/>
      <c r="BG35" s="858"/>
      <c r="BH35" s="858"/>
      <c r="BI35" s="858"/>
      <c r="BJ35" s="858"/>
      <c r="BK35" s="858"/>
      <c r="BL35" s="858"/>
      <c r="BM35" s="858"/>
      <c r="BN35" s="858"/>
      <c r="BO35" s="858"/>
      <c r="BP35" s="858"/>
      <c r="BQ35" s="858"/>
      <c r="BR35" s="858"/>
      <c r="BS35" s="858"/>
      <c r="BT35" s="858"/>
      <c r="BU35" s="858"/>
      <c r="BV35" s="858"/>
      <c r="BW35" s="858"/>
      <c r="BX35" s="858"/>
      <c r="BY35" s="858"/>
      <c r="BZ35" s="858"/>
      <c r="CA35" s="858"/>
      <c r="CB35" s="858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</row>
    <row r="36" spans="1:172" s="70" customFormat="1" ht="11.25" x14ac:dyDescent="0.2">
      <c r="A36" s="11"/>
      <c r="B36" s="11"/>
      <c r="C36" s="11" t="s">
        <v>253</v>
      </c>
      <c r="D36" s="11"/>
      <c r="E36" s="11"/>
      <c r="F36" s="11"/>
      <c r="G36" s="11"/>
      <c r="H36" s="11"/>
      <c r="I36" s="11"/>
      <c r="J36" s="11"/>
      <c r="K36" s="11"/>
      <c r="L36" s="11"/>
      <c r="M36" s="841" t="str">
        <f>IF('Данные объект'!B56="","",'Данные объект'!B56)</f>
      </c>
      <c r="N36" s="841"/>
      <c r="O36" s="841"/>
      <c r="P36" s="841"/>
      <c r="Q36" s="841"/>
      <c r="R36" s="841"/>
      <c r="S36" s="841"/>
      <c r="T36" s="841"/>
      <c r="U36" s="841"/>
      <c r="V36" s="841"/>
      <c r="W36" s="841"/>
      <c r="X36" s="841"/>
      <c r="Y36" s="841"/>
      <c r="Z36" s="841"/>
      <c r="AA36" s="841"/>
      <c r="AB36" s="841"/>
      <c r="AC36" s="841"/>
      <c r="AD36" s="841"/>
      <c r="AE36" s="841"/>
      <c r="AF36" s="841"/>
      <c r="AG36" s="841"/>
      <c r="AH36" s="841"/>
      <c r="AI36" s="841"/>
      <c r="AJ36" s="841"/>
      <c r="AK36" s="841"/>
      <c r="AL36" s="841"/>
      <c r="AM36" s="841"/>
      <c r="AN36" s="841"/>
      <c r="AO36" s="841"/>
      <c r="AP36" s="841"/>
      <c r="AQ36" s="841"/>
      <c r="AR36" s="841"/>
      <c r="AS36" s="841"/>
      <c r="AT36" s="841"/>
      <c r="AU36" s="841"/>
      <c r="AV36" s="841"/>
      <c r="AW36" s="841"/>
      <c r="AX36" s="841"/>
      <c r="AY36" s="841"/>
      <c r="AZ36" s="841"/>
      <c r="BA36" s="841"/>
      <c r="BB36" s="841"/>
      <c r="BC36" s="841"/>
      <c r="BD36" s="841"/>
      <c r="BE36" s="841"/>
      <c r="BF36" s="841"/>
      <c r="BG36" s="841"/>
      <c r="BH36" s="841"/>
      <c r="BI36" s="841"/>
      <c r="BJ36" s="841"/>
      <c r="BK36" s="841"/>
      <c r="BL36" s="841"/>
      <c r="BM36" s="841"/>
      <c r="BN36" s="841"/>
      <c r="BO36" s="841"/>
      <c r="BP36" s="841"/>
      <c r="BQ36" s="841"/>
      <c r="BR36" s="841"/>
      <c r="BS36" s="841"/>
      <c r="BT36" s="841"/>
      <c r="BU36" s="841"/>
      <c r="BV36" s="841"/>
      <c r="BW36" s="841"/>
      <c r="BX36" s="841"/>
      <c r="BY36" s="841"/>
      <c r="BZ36" s="841"/>
      <c r="CA36" s="841"/>
      <c r="CB36" s="84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</row>
    <row r="37" spans="1:172" s="41" customFormat="1" ht="8.25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58" t="s">
        <v>254</v>
      </c>
      <c r="N37" s="858"/>
      <c r="O37" s="858"/>
      <c r="P37" s="858"/>
      <c r="Q37" s="858"/>
      <c r="R37" s="858"/>
      <c r="S37" s="858"/>
      <c r="T37" s="858"/>
      <c r="U37" s="858"/>
      <c r="V37" s="858"/>
      <c r="W37" s="858"/>
      <c r="X37" s="858"/>
      <c r="Y37" s="858"/>
      <c r="Z37" s="858"/>
      <c r="AA37" s="858"/>
      <c r="AB37" s="858"/>
      <c r="AC37" s="858"/>
      <c r="AD37" s="858"/>
      <c r="AE37" s="858"/>
      <c r="AF37" s="858"/>
      <c r="AG37" s="858"/>
      <c r="AH37" s="858"/>
      <c r="AI37" s="858"/>
      <c r="AJ37" s="858"/>
      <c r="AK37" s="858"/>
      <c r="AL37" s="858"/>
      <c r="AM37" s="858"/>
      <c r="AN37" s="858"/>
      <c r="AO37" s="858"/>
      <c r="AP37" s="858"/>
      <c r="AQ37" s="858"/>
      <c r="AR37" s="858"/>
      <c r="AS37" s="858"/>
      <c r="AT37" s="858"/>
      <c r="AU37" s="858"/>
      <c r="AV37" s="858"/>
      <c r="AW37" s="858"/>
      <c r="AX37" s="858"/>
      <c r="AY37" s="858"/>
      <c r="AZ37" s="858"/>
      <c r="BA37" s="858"/>
      <c r="BB37" s="858"/>
      <c r="BC37" s="858"/>
      <c r="BD37" s="858"/>
      <c r="BE37" s="858"/>
      <c r="BF37" s="858"/>
      <c r="BG37" s="858"/>
      <c r="BH37" s="858"/>
      <c r="BI37" s="858"/>
      <c r="BJ37" s="858"/>
      <c r="BK37" s="858"/>
      <c r="BL37" s="858"/>
      <c r="BM37" s="858"/>
      <c r="BN37" s="858"/>
      <c r="BO37" s="858"/>
      <c r="BP37" s="858"/>
      <c r="BQ37" s="858"/>
      <c r="BR37" s="858"/>
      <c r="BS37" s="858"/>
      <c r="BT37" s="858"/>
      <c r="BU37" s="858"/>
      <c r="BV37" s="858"/>
      <c r="BW37" s="858"/>
      <c r="BX37" s="858"/>
      <c r="BY37" s="858"/>
      <c r="BZ37" s="858"/>
      <c r="CA37" s="858"/>
      <c r="CB37" s="858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</row>
    <row r="38" spans="1:172" s="70" customFormat="1" ht="11.25" x14ac:dyDescent="0.2">
      <c r="A38" s="11"/>
      <c r="B38" s="11"/>
      <c r="C38" s="11" t="s">
        <v>1198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</row>
    <row r="39" spans="1:172" s="70" customFormat="1" ht="11.25" x14ac:dyDescent="0.2">
      <c r="A39" s="11" t="s">
        <v>39</v>
      </c>
      <c r="B39" s="11"/>
      <c r="C39" s="1080" t="s">
        <v>255</v>
      </c>
      <c r="D39" s="1080"/>
      <c r="E39" s="1080"/>
      <c r="F39" s="1080"/>
      <c r="G39" s="1080"/>
      <c r="H39" s="1080"/>
      <c r="I39" s="1080"/>
      <c r="J39" s="1080"/>
      <c r="K39" s="1080"/>
      <c r="L39" s="1080"/>
      <c r="M39" s="1080"/>
      <c r="N39" s="1080"/>
      <c r="O39" s="1080"/>
      <c r="P39" s="1080"/>
      <c r="Q39" s="1080"/>
      <c r="R39" s="1080"/>
      <c r="S39" s="1080"/>
      <c r="T39" s="1080"/>
      <c r="U39" s="1080"/>
      <c r="V39" s="1080"/>
      <c r="W39" s="1080"/>
      <c r="X39" s="1080"/>
      <c r="Y39" s="1080"/>
      <c r="Z39" s="1080"/>
      <c r="AA39" s="1080"/>
      <c r="AB39" s="1080"/>
      <c r="AC39" s="1080"/>
      <c r="AD39" s="1080"/>
      <c r="AE39" s="1080"/>
      <c r="AF39" s="1080"/>
      <c r="AG39" s="1080"/>
      <c r="AH39" s="1080"/>
      <c r="AI39" s="1080"/>
      <c r="AJ39" s="1080"/>
      <c r="AK39" s="1080"/>
      <c r="AL39" s="1080"/>
      <c r="AM39" s="1080"/>
      <c r="AN39" s="1080"/>
      <c r="AO39" s="1080"/>
      <c r="AP39" s="1080"/>
      <c r="AQ39" s="1080"/>
      <c r="AR39" s="1080"/>
      <c r="AS39" s="1080"/>
      <c r="AT39" s="1080"/>
      <c r="AU39" s="1080"/>
      <c r="AV39" s="1080"/>
      <c r="AW39" s="1080"/>
      <c r="AX39" s="1080"/>
      <c r="AY39" s="1080"/>
      <c r="AZ39" s="1080"/>
      <c r="BA39" s="1080"/>
      <c r="BB39" s="1080"/>
      <c r="BC39" s="1080"/>
      <c r="BD39" s="1080"/>
      <c r="BE39" s="1080"/>
      <c r="BF39" s="1080"/>
      <c r="BG39" s="1080"/>
      <c r="BH39" s="1080"/>
      <c r="BI39" s="1080"/>
      <c r="BJ39" s="1080"/>
      <c r="BK39" s="1080"/>
      <c r="BL39" s="1080"/>
      <c r="BM39" s="1080"/>
      <c r="BN39" s="1080"/>
      <c r="BO39" s="1080"/>
      <c r="BP39" s="1080"/>
      <c r="BQ39" s="1080"/>
      <c r="BR39" s="1080"/>
      <c r="BS39" s="1080"/>
      <c r="BT39" s="1080"/>
      <c r="BU39" s="1080"/>
      <c r="BV39" s="1080"/>
      <c r="BW39" s="1080"/>
      <c r="BX39" s="1080"/>
      <c r="BY39" s="1080"/>
      <c r="BZ39" s="1080"/>
      <c r="CA39" s="1080"/>
      <c r="CB39" s="1080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</row>
    <row r="40" spans="1:172" s="70" customFormat="1" ht="11.25" x14ac:dyDescent="0.2">
      <c r="A40" s="11"/>
      <c r="B40" s="11"/>
      <c r="C40" s="1080"/>
      <c r="D40" s="1080"/>
      <c r="E40" s="1080"/>
      <c r="F40" s="1080"/>
      <c r="G40" s="1080"/>
      <c r="H40" s="1080"/>
      <c r="I40" s="1080"/>
      <c r="J40" s="1080"/>
      <c r="K40" s="1080"/>
      <c r="L40" s="1080"/>
      <c r="M40" s="1080"/>
      <c r="N40" s="1080"/>
      <c r="O40" s="1080"/>
      <c r="P40" s="1080"/>
      <c r="Q40" s="1080"/>
      <c r="R40" s="1080"/>
      <c r="S40" s="1080"/>
      <c r="T40" s="1080"/>
      <c r="U40" s="1080"/>
      <c r="V40" s="1080"/>
      <c r="W40" s="1080"/>
      <c r="X40" s="1080"/>
      <c r="Y40" s="1080"/>
      <c r="Z40" s="1080"/>
      <c r="AA40" s="1080"/>
      <c r="AB40" s="1080"/>
      <c r="AC40" s="1080"/>
      <c r="AD40" s="1080"/>
      <c r="AE40" s="1080"/>
      <c r="AF40" s="1080"/>
      <c r="AG40" s="1080"/>
      <c r="AH40" s="1080"/>
      <c r="AI40" s="1080"/>
      <c r="AJ40" s="1080"/>
      <c r="AK40" s="1080"/>
      <c r="AL40" s="1080"/>
      <c r="AM40" s="1080"/>
      <c r="AN40" s="1080"/>
      <c r="AO40" s="1080"/>
      <c r="AP40" s="1080"/>
      <c r="AQ40" s="1080"/>
      <c r="AR40" s="1080"/>
      <c r="AS40" s="1080"/>
      <c r="AT40" s="1080"/>
      <c r="AU40" s="1080"/>
      <c r="AV40" s="1080"/>
      <c r="AW40" s="1080"/>
      <c r="AX40" s="1080"/>
      <c r="AY40" s="1080"/>
      <c r="AZ40" s="1080"/>
      <c r="BA40" s="1080"/>
      <c r="BB40" s="1080"/>
      <c r="BC40" s="1080"/>
      <c r="BD40" s="1080"/>
      <c r="BE40" s="1080"/>
      <c r="BF40" s="1080"/>
      <c r="BG40" s="1080"/>
      <c r="BH40" s="1080"/>
      <c r="BI40" s="1080"/>
      <c r="BJ40" s="1080"/>
      <c r="BK40" s="1080"/>
      <c r="BL40" s="1080"/>
      <c r="BM40" s="1080"/>
      <c r="BN40" s="1080"/>
      <c r="BO40" s="1080"/>
      <c r="BP40" s="1080"/>
      <c r="BQ40" s="1080"/>
      <c r="BR40" s="1080"/>
      <c r="BS40" s="1080"/>
      <c r="BT40" s="1080"/>
      <c r="BU40" s="1080"/>
      <c r="BV40" s="1080"/>
      <c r="BW40" s="1080"/>
      <c r="BX40" s="1080"/>
      <c r="BY40" s="1080"/>
      <c r="BZ40" s="1080"/>
      <c r="CA40" s="1080"/>
      <c r="CB40" s="1080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</row>
    <row r="41" spans="1:172" s="11" customFormat="1" ht="11.25" x14ac:dyDescent="0.2">
      <c r="A41" s="11" t="s">
        <v>41</v>
      </c>
      <c r="C41" s="11" t="s">
        <v>151</v>
      </c>
      <c r="T41" s="855" t="s">
        <v>378</v>
      </c>
      <c r="U41" s="855"/>
      <c r="V41" s="855"/>
      <c r="W41" s="855"/>
      <c r="X41" s="855"/>
      <c r="Y41" s="855"/>
      <c r="Z41" s="855"/>
      <c r="AA41" s="855"/>
      <c r="AB41" s="855"/>
      <c r="AC41" s="855"/>
      <c r="AD41" s="855"/>
      <c r="AE41" s="855"/>
      <c r="AF41" s="855"/>
      <c r="AG41" s="855"/>
      <c r="AH41" s="855"/>
      <c r="AI41" s="855"/>
      <c r="AJ41" s="855"/>
      <c r="AK41" s="855"/>
      <c r="AL41" s="855"/>
      <c r="AM41" s="855"/>
      <c r="AN41" s="855"/>
      <c r="AO41" s="855"/>
      <c r="AP41" s="855"/>
      <c r="AQ41" s="855"/>
      <c r="AR41" s="855"/>
      <c r="AS41" s="855"/>
      <c r="AT41" s="855"/>
      <c r="AU41" s="855"/>
      <c r="AV41" s="855"/>
      <c r="AW41" s="855"/>
      <c r="AX41" s="855"/>
      <c r="AY41" s="855"/>
      <c r="AZ41" s="855"/>
      <c r="BA41" s="855"/>
      <c r="BB41" s="855"/>
      <c r="BC41" s="855"/>
      <c r="BD41" s="855"/>
      <c r="BE41" s="855"/>
      <c r="BF41" s="855"/>
      <c r="BG41" s="855"/>
      <c r="BH41" s="855"/>
      <c r="BI41" s="855"/>
      <c r="BJ41" s="855"/>
      <c r="BK41" s="855"/>
      <c r="BL41" s="855"/>
      <c r="BM41" s="855"/>
      <c r="BN41" s="855"/>
      <c r="BO41" s="855"/>
      <c r="BP41" s="855"/>
      <c r="BQ41" s="855"/>
      <c r="BR41" s="855"/>
      <c r="BS41" s="855"/>
      <c r="BT41" s="855"/>
      <c r="BU41" s="855"/>
      <c r="BV41" s="855"/>
      <c r="BW41" s="855"/>
      <c r="BX41" s="855"/>
      <c r="BY41" s="855"/>
      <c r="BZ41" s="855"/>
      <c r="CA41" s="855"/>
      <c r="CB41" s="855"/>
    </row>
    <row r="42" spans="1:172" s="5" customFormat="1" ht="8.25" x14ac:dyDescent="0.15">
      <c r="T42" s="858" t="s">
        <v>236</v>
      </c>
      <c r="U42" s="858"/>
      <c r="V42" s="858"/>
      <c r="W42" s="858"/>
      <c r="X42" s="858"/>
      <c r="Y42" s="858"/>
      <c r="Z42" s="858"/>
      <c r="AA42" s="858"/>
      <c r="AB42" s="858"/>
      <c r="AC42" s="858"/>
      <c r="AD42" s="858"/>
      <c r="AE42" s="858"/>
      <c r="AF42" s="858"/>
      <c r="AG42" s="858"/>
      <c r="AH42" s="858"/>
      <c r="AI42" s="858"/>
      <c r="AJ42" s="858"/>
      <c r="AK42" s="858"/>
      <c r="AL42" s="858"/>
      <c r="AM42" s="858"/>
      <c r="AN42" s="858"/>
      <c r="AO42" s="858"/>
      <c r="AP42" s="858"/>
      <c r="AQ42" s="858"/>
      <c r="AR42" s="858"/>
      <c r="AS42" s="858"/>
      <c r="AT42" s="858"/>
      <c r="AU42" s="858"/>
      <c r="AV42" s="858"/>
      <c r="AW42" s="858"/>
      <c r="AX42" s="858"/>
      <c r="AY42" s="858"/>
      <c r="AZ42" s="858"/>
      <c r="BA42" s="858"/>
      <c r="BB42" s="858"/>
      <c r="BC42" s="858"/>
      <c r="BD42" s="858"/>
      <c r="BE42" s="858"/>
      <c r="BF42" s="858"/>
      <c r="BG42" s="858"/>
      <c r="BH42" s="858"/>
      <c r="BI42" s="858"/>
      <c r="BJ42" s="858"/>
      <c r="BK42" s="858"/>
      <c r="BL42" s="858"/>
      <c r="BM42" s="858"/>
      <c r="BN42" s="858"/>
      <c r="BO42" s="858"/>
      <c r="BP42" s="858"/>
      <c r="BQ42" s="858"/>
      <c r="BR42" s="858"/>
      <c r="BS42" s="858"/>
      <c r="BT42" s="858"/>
      <c r="BU42" s="858"/>
      <c r="BV42" s="858"/>
      <c r="BW42" s="858"/>
      <c r="BX42" s="858"/>
      <c r="BY42" s="858"/>
      <c r="BZ42" s="858"/>
      <c r="CA42" s="858"/>
      <c r="CB42" s="858"/>
    </row>
    <row r="43" spans="1:172" s="2" customFormat="1" ht="12.75" hidden="1" x14ac:dyDescent="0.2">
      <c r="C43" s="857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857"/>
      <c r="O43" s="857"/>
      <c r="P43" s="857"/>
      <c r="Q43" s="857"/>
      <c r="R43" s="857"/>
      <c r="S43" s="857"/>
      <c r="T43" s="857"/>
      <c r="U43" s="857"/>
      <c r="V43" s="857"/>
      <c r="W43" s="857"/>
      <c r="X43" s="857"/>
      <c r="Y43" s="857"/>
      <c r="Z43" s="857"/>
      <c r="AA43" s="857"/>
      <c r="AB43" s="857"/>
      <c r="AC43" s="857"/>
      <c r="AD43" s="857"/>
      <c r="AE43" s="857"/>
      <c r="AF43" s="857"/>
      <c r="AG43" s="857"/>
      <c r="AH43" s="857"/>
      <c r="AI43" s="857"/>
      <c r="AJ43" s="857"/>
      <c r="AK43" s="857"/>
      <c r="AL43" s="857"/>
      <c r="AM43" s="857"/>
      <c r="AN43" s="857"/>
      <c r="AO43" s="857"/>
      <c r="AP43" s="857"/>
      <c r="AQ43" s="857"/>
      <c r="AR43" s="857"/>
      <c r="AS43" s="857"/>
      <c r="AT43" s="857"/>
      <c r="AU43" s="857"/>
      <c r="AV43" s="857"/>
      <c r="AW43" s="857"/>
      <c r="AX43" s="857"/>
      <c r="AY43" s="857"/>
      <c r="AZ43" s="857"/>
      <c r="BA43" s="857"/>
      <c r="BB43" s="857"/>
      <c r="BC43" s="857"/>
      <c r="BD43" s="857"/>
      <c r="BE43" s="857"/>
      <c r="BF43" s="857"/>
      <c r="BG43" s="857"/>
      <c r="BH43" s="857"/>
      <c r="BI43" s="857"/>
      <c r="BJ43" s="857"/>
      <c r="BK43" s="857"/>
      <c r="BL43" s="857"/>
      <c r="BM43" s="857"/>
      <c r="BN43" s="857"/>
      <c r="BO43" s="857"/>
      <c r="BP43" s="857"/>
      <c r="BQ43" s="857"/>
      <c r="BR43" s="857"/>
      <c r="BS43" s="857"/>
      <c r="BT43" s="857"/>
      <c r="BU43" s="857"/>
      <c r="BV43" s="857"/>
      <c r="BW43" s="857"/>
      <c r="BX43" s="857"/>
      <c r="BY43" s="857"/>
      <c r="BZ43" s="857"/>
      <c r="CA43" s="857"/>
      <c r="CB43" s="857"/>
    </row>
    <row r="44" spans="1:172" s="11" customFormat="1" ht="11.25" hidden="1" x14ac:dyDescent="0.2">
      <c r="C44" s="11" t="s">
        <v>237</v>
      </c>
      <c r="Z44" s="896"/>
      <c r="AA44" s="896"/>
      <c r="AB44" s="896"/>
      <c r="AC44" s="896"/>
      <c r="AD44" s="896"/>
      <c r="AE44" s="896"/>
      <c r="AF44" s="896"/>
      <c r="AG44" s="896"/>
      <c r="AH44" s="896"/>
      <c r="AI44" s="896"/>
      <c r="AJ44" s="896"/>
      <c r="AK44" s="896"/>
      <c r="AL44" s="896"/>
      <c r="AM44" s="896"/>
      <c r="AN44" s="896"/>
      <c r="AO44" s="896"/>
      <c r="AP44" s="896"/>
      <c r="AQ44" s="896"/>
      <c r="AR44" s="896"/>
      <c r="AS44" s="896"/>
      <c r="AT44" s="896"/>
      <c r="AU44" s="896"/>
      <c r="AV44" s="896"/>
      <c r="AW44" s="896"/>
      <c r="AX44" s="896"/>
      <c r="AY44" s="896"/>
      <c r="AZ44" s="896"/>
      <c r="BA44" s="896"/>
      <c r="BB44" s="896"/>
      <c r="BC44" s="896"/>
      <c r="BD44" s="896"/>
      <c r="BE44" s="896"/>
      <c r="BF44" s="896"/>
      <c r="BG44" s="896"/>
      <c r="BH44" s="896"/>
      <c r="BI44" s="896"/>
      <c r="BJ44" s="896"/>
      <c r="BK44" s="896"/>
      <c r="BL44" s="896"/>
      <c r="BM44" s="896"/>
      <c r="BN44" s="896"/>
      <c r="BO44" s="896"/>
      <c r="BP44" s="896"/>
      <c r="BQ44" s="896"/>
      <c r="BR44" s="896"/>
      <c r="BS44" s="896"/>
      <c r="BT44" s="896"/>
      <c r="BU44" s="896"/>
      <c r="BV44" s="896"/>
      <c r="BW44" s="896"/>
      <c r="BX44" s="896"/>
      <c r="BY44" s="896"/>
      <c r="BZ44" s="896"/>
      <c r="CA44" s="896"/>
      <c r="CB44" s="896"/>
    </row>
    <row r="45" spans="1:172" s="5" customFormat="1" ht="8.25" hidden="1" x14ac:dyDescent="0.15">
      <c r="Z45" s="858" t="s">
        <v>238</v>
      </c>
      <c r="AA45" s="858"/>
      <c r="AB45" s="858"/>
      <c r="AC45" s="858"/>
      <c r="AD45" s="858"/>
      <c r="AE45" s="858"/>
      <c r="AF45" s="858"/>
      <c r="AG45" s="858"/>
      <c r="AH45" s="858"/>
      <c r="AI45" s="858"/>
      <c r="AJ45" s="858"/>
      <c r="AK45" s="858"/>
      <c r="AL45" s="858"/>
      <c r="AM45" s="858"/>
      <c r="AN45" s="858"/>
      <c r="AO45" s="858"/>
      <c r="AP45" s="858"/>
      <c r="AQ45" s="858"/>
      <c r="AR45" s="858"/>
      <c r="AS45" s="858"/>
      <c r="AT45" s="858"/>
      <c r="AU45" s="858"/>
      <c r="AV45" s="858"/>
      <c r="AW45" s="858"/>
      <c r="AX45" s="858"/>
      <c r="AY45" s="858"/>
      <c r="AZ45" s="858"/>
      <c r="BA45" s="858"/>
      <c r="BB45" s="858"/>
      <c r="BC45" s="858"/>
      <c r="BD45" s="858"/>
      <c r="BE45" s="858"/>
      <c r="BF45" s="858"/>
      <c r="BG45" s="858"/>
      <c r="BH45" s="858"/>
      <c r="BI45" s="858"/>
      <c r="BJ45" s="858"/>
      <c r="BK45" s="858"/>
      <c r="BL45" s="858"/>
      <c r="BM45" s="858"/>
      <c r="BN45" s="858"/>
      <c r="BO45" s="858"/>
      <c r="BP45" s="858"/>
      <c r="BQ45" s="858"/>
      <c r="BR45" s="858"/>
      <c r="BS45" s="858"/>
      <c r="BT45" s="858"/>
      <c r="BU45" s="858"/>
      <c r="BV45" s="858"/>
      <c r="BW45" s="858"/>
      <c r="BX45" s="858"/>
      <c r="BY45" s="858"/>
      <c r="BZ45" s="858"/>
      <c r="CA45" s="858"/>
      <c r="CB45" s="858"/>
    </row>
    <row r="46" spans="1:172" s="11" customFormat="1" ht="11.25" hidden="1" x14ac:dyDescent="0.2">
      <c r="C46" s="11" t="s">
        <v>239</v>
      </c>
      <c r="Z46" s="855"/>
      <c r="AA46" s="855"/>
      <c r="AB46" s="855"/>
      <c r="AC46" s="855"/>
      <c r="AD46" s="855"/>
      <c r="AE46" s="855"/>
      <c r="AF46" s="855"/>
      <c r="AG46" s="855"/>
      <c r="AH46" s="855"/>
      <c r="AI46" s="855"/>
      <c r="AJ46" s="855"/>
      <c r="AK46" s="855"/>
      <c r="AL46" s="855"/>
      <c r="AM46" s="855"/>
      <c r="AN46" s="855"/>
      <c r="AO46" s="855"/>
      <c r="AP46" s="855"/>
      <c r="AQ46" s="855"/>
      <c r="AR46" s="855"/>
      <c r="AS46" s="855"/>
      <c r="AT46" s="855"/>
      <c r="AU46" s="855"/>
      <c r="AV46" s="855"/>
      <c r="AW46" s="855"/>
      <c r="AX46" s="855"/>
      <c r="AY46" s="855"/>
      <c r="AZ46" s="855"/>
      <c r="BA46" s="855"/>
      <c r="BB46" s="855"/>
      <c r="BC46" s="855"/>
      <c r="BD46" s="855"/>
      <c r="BE46" s="855"/>
      <c r="BF46" s="855"/>
      <c r="BG46" s="855"/>
      <c r="BH46" s="855"/>
      <c r="BI46" s="855"/>
      <c r="BJ46" s="855"/>
      <c r="BK46" s="855"/>
      <c r="BL46" s="855"/>
      <c r="BM46" s="855"/>
      <c r="BN46" s="855"/>
      <c r="BO46" s="855"/>
      <c r="BP46" s="855"/>
      <c r="BQ46" s="855"/>
      <c r="BR46" s="855"/>
      <c r="BS46" s="855"/>
      <c r="BT46" s="855"/>
      <c r="BU46" s="855"/>
      <c r="BV46" s="855"/>
      <c r="BW46" s="855"/>
      <c r="BX46" s="855"/>
      <c r="BY46" s="855"/>
      <c r="BZ46" s="855"/>
      <c r="CA46" s="855"/>
      <c r="CB46" s="855"/>
    </row>
    <row r="47" spans="1:172" s="5" customFormat="1" ht="8.25" hidden="1" x14ac:dyDescent="0.15">
      <c r="Z47" s="858" t="s">
        <v>238</v>
      </c>
      <c r="AA47" s="858"/>
      <c r="AB47" s="858"/>
      <c r="AC47" s="858"/>
      <c r="AD47" s="858"/>
      <c r="AE47" s="858"/>
      <c r="AF47" s="858"/>
      <c r="AG47" s="858"/>
      <c r="AH47" s="858"/>
      <c r="AI47" s="858"/>
      <c r="AJ47" s="858"/>
      <c r="AK47" s="858"/>
      <c r="AL47" s="858"/>
      <c r="AM47" s="858"/>
      <c r="AN47" s="858"/>
      <c r="AO47" s="858"/>
      <c r="AP47" s="858"/>
      <c r="AQ47" s="858"/>
      <c r="AR47" s="858"/>
      <c r="AS47" s="858"/>
      <c r="AT47" s="858"/>
      <c r="AU47" s="858"/>
      <c r="AV47" s="858"/>
      <c r="AW47" s="858"/>
      <c r="AX47" s="858"/>
      <c r="AY47" s="858"/>
      <c r="AZ47" s="858"/>
      <c r="BA47" s="858"/>
      <c r="BB47" s="858"/>
      <c r="BC47" s="858"/>
      <c r="BD47" s="858"/>
      <c r="BE47" s="858"/>
      <c r="BF47" s="858"/>
      <c r="BG47" s="858"/>
      <c r="BH47" s="858"/>
      <c r="BI47" s="858"/>
      <c r="BJ47" s="858"/>
      <c r="BK47" s="858"/>
      <c r="BL47" s="858"/>
      <c r="BM47" s="858"/>
      <c r="BN47" s="858"/>
      <c r="BO47" s="858"/>
      <c r="BP47" s="858"/>
      <c r="BQ47" s="858"/>
      <c r="BR47" s="858"/>
      <c r="BS47" s="858"/>
      <c r="BT47" s="858"/>
      <c r="BU47" s="858"/>
      <c r="BV47" s="858"/>
      <c r="BW47" s="858"/>
      <c r="BX47" s="858"/>
      <c r="BY47" s="858"/>
      <c r="BZ47" s="858"/>
      <c r="CA47" s="858"/>
      <c r="CB47" s="858"/>
    </row>
    <row r="48" spans="1:172" s="11" customFormat="1" ht="11.25" hidden="1" x14ac:dyDescent="0.2">
      <c r="C48" s="11" t="s">
        <v>240</v>
      </c>
      <c r="BA48" s="855"/>
      <c r="BB48" s="855"/>
      <c r="BC48" s="855"/>
      <c r="BD48" s="855"/>
      <c r="BE48" s="855"/>
      <c r="BF48" s="855"/>
      <c r="BG48" s="855"/>
      <c r="BH48" s="855"/>
      <c r="BI48" s="855"/>
      <c r="BJ48" s="855"/>
      <c r="BK48" s="855"/>
      <c r="BL48" s="855"/>
      <c r="BM48" s="855"/>
      <c r="BN48" s="855"/>
      <c r="BO48" s="855"/>
      <c r="BP48" s="855"/>
      <c r="BQ48" s="855"/>
      <c r="BR48" s="855"/>
      <c r="BS48" s="855"/>
      <c r="BT48" s="855"/>
      <c r="BU48" s="855"/>
      <c r="BV48" s="855"/>
      <c r="BW48" s="855"/>
      <c r="BX48" s="855"/>
      <c r="BY48" s="855"/>
      <c r="BZ48" s="855"/>
      <c r="CA48" s="855"/>
      <c r="CB48" s="855"/>
    </row>
    <row r="49" spans="1:172" s="2" customFormat="1" ht="12.75" hidden="1" x14ac:dyDescent="0.2">
      <c r="C49" s="857"/>
      <c r="D49" s="857"/>
      <c r="E49" s="857"/>
      <c r="F49" s="857"/>
      <c r="G49" s="857"/>
      <c r="H49" s="857"/>
      <c r="I49" s="857"/>
      <c r="J49" s="857"/>
      <c r="K49" s="857"/>
      <c r="L49" s="857"/>
      <c r="M49" s="857"/>
      <c r="N49" s="857"/>
      <c r="O49" s="857"/>
      <c r="P49" s="857"/>
      <c r="Q49" s="857"/>
      <c r="R49" s="857"/>
      <c r="S49" s="857"/>
      <c r="T49" s="857"/>
      <c r="U49" s="857"/>
      <c r="V49" s="857"/>
      <c r="W49" s="857"/>
      <c r="X49" s="857"/>
      <c r="Y49" s="857"/>
      <c r="Z49" s="857"/>
      <c r="AA49" s="857"/>
      <c r="AB49" s="857"/>
      <c r="AC49" s="857"/>
      <c r="AD49" s="857"/>
      <c r="AE49" s="857"/>
      <c r="AF49" s="857"/>
      <c r="AG49" s="857"/>
      <c r="AH49" s="857"/>
      <c r="AI49" s="857"/>
      <c r="AJ49" s="857"/>
      <c r="AK49" s="857"/>
      <c r="AL49" s="857"/>
      <c r="AM49" s="857"/>
      <c r="AN49" s="857"/>
      <c r="AO49" s="857"/>
      <c r="AP49" s="857"/>
      <c r="AQ49" s="857"/>
      <c r="AR49" s="857"/>
      <c r="AS49" s="857"/>
      <c r="AT49" s="857"/>
      <c r="AU49" s="857"/>
      <c r="AV49" s="857"/>
      <c r="AW49" s="857"/>
      <c r="AX49" s="857"/>
      <c r="AY49" s="857"/>
      <c r="AZ49" s="857"/>
      <c r="BA49" s="857"/>
      <c r="BB49" s="857"/>
      <c r="BC49" s="857"/>
      <c r="BD49" s="857"/>
      <c r="BE49" s="857"/>
      <c r="BF49" s="857"/>
      <c r="BG49" s="857"/>
      <c r="BH49" s="857"/>
      <c r="BI49" s="857"/>
      <c r="BJ49" s="857"/>
      <c r="BK49" s="857"/>
      <c r="BL49" s="857"/>
      <c r="BM49" s="857"/>
      <c r="BN49" s="857"/>
      <c r="BO49" s="857"/>
      <c r="BP49" s="857"/>
      <c r="BQ49" s="857"/>
      <c r="BR49" s="857"/>
      <c r="BS49" s="857"/>
      <c r="BT49" s="857"/>
      <c r="BU49" s="857"/>
      <c r="BV49" s="857"/>
      <c r="BW49" s="857"/>
      <c r="BX49" s="857"/>
      <c r="BY49" s="857"/>
      <c r="BZ49" s="857"/>
      <c r="CA49" s="857"/>
      <c r="CB49" s="857"/>
    </row>
    <row r="50" spans="1:172" s="5" customFormat="1" ht="8.25" hidden="1" x14ac:dyDescent="0.15">
      <c r="C50" s="858" t="s">
        <v>241</v>
      </c>
      <c r="D50" s="858"/>
      <c r="E50" s="858"/>
      <c r="F50" s="858"/>
      <c r="G50" s="858"/>
      <c r="H50" s="858"/>
      <c r="I50" s="858"/>
      <c r="J50" s="858"/>
      <c r="K50" s="858"/>
      <c r="L50" s="858"/>
      <c r="M50" s="858"/>
      <c r="N50" s="858"/>
      <c r="O50" s="858"/>
      <c r="P50" s="858"/>
      <c r="Q50" s="858"/>
      <c r="R50" s="858"/>
      <c r="S50" s="858"/>
      <c r="T50" s="858"/>
      <c r="U50" s="858"/>
      <c r="V50" s="858"/>
      <c r="W50" s="858"/>
      <c r="X50" s="858"/>
      <c r="Y50" s="858"/>
      <c r="Z50" s="858"/>
      <c r="AA50" s="858"/>
      <c r="AB50" s="858"/>
      <c r="AC50" s="858"/>
      <c r="AD50" s="858"/>
      <c r="AE50" s="858"/>
      <c r="AF50" s="858"/>
      <c r="AG50" s="858"/>
      <c r="AH50" s="858"/>
      <c r="AI50" s="858"/>
      <c r="AJ50" s="858"/>
      <c r="AK50" s="858"/>
      <c r="AL50" s="858"/>
      <c r="AM50" s="858"/>
      <c r="AN50" s="858"/>
      <c r="AO50" s="858"/>
      <c r="AP50" s="858"/>
      <c r="AQ50" s="858"/>
      <c r="AR50" s="858"/>
      <c r="AS50" s="858"/>
      <c r="AT50" s="858"/>
      <c r="AU50" s="858"/>
      <c r="AV50" s="858"/>
      <c r="AW50" s="858"/>
      <c r="AX50" s="858"/>
      <c r="AY50" s="858"/>
      <c r="AZ50" s="858"/>
      <c r="BA50" s="858"/>
      <c r="BB50" s="858"/>
      <c r="BC50" s="858"/>
      <c r="BD50" s="858"/>
      <c r="BE50" s="858"/>
      <c r="BF50" s="858"/>
      <c r="BG50" s="858"/>
      <c r="BH50" s="858"/>
      <c r="BI50" s="858"/>
      <c r="BJ50" s="858"/>
      <c r="BK50" s="858"/>
      <c r="BL50" s="858"/>
      <c r="BM50" s="858"/>
      <c r="BN50" s="858"/>
      <c r="BO50" s="858"/>
      <c r="BP50" s="858"/>
      <c r="BQ50" s="858"/>
      <c r="BR50" s="858"/>
      <c r="BS50" s="858"/>
      <c r="BT50" s="858"/>
      <c r="BU50" s="858"/>
      <c r="BV50" s="858"/>
      <c r="BW50" s="858"/>
      <c r="BX50" s="858"/>
      <c r="BY50" s="858"/>
      <c r="BZ50" s="858"/>
      <c r="CA50" s="858"/>
      <c r="CB50" s="858"/>
    </row>
    <row r="51" spans="1:172" s="70" customFormat="1" ht="11.25" x14ac:dyDescent="0.2">
      <c r="A51" s="11" t="s">
        <v>42</v>
      </c>
      <c r="B51" s="11"/>
      <c r="C51" s="11" t="s">
        <v>256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081"/>
      <c r="AK51" s="1081"/>
      <c r="AL51" s="1081"/>
      <c r="AM51" s="1081"/>
      <c r="AN51" s="1081"/>
      <c r="AO51" s="1081"/>
      <c r="AP51" s="1081"/>
      <c r="AQ51" s="1081"/>
      <c r="AR51" s="1081"/>
      <c r="AS51" s="1081"/>
      <c r="AT51" s="1081"/>
      <c r="AU51" s="1081"/>
      <c r="AV51" s="1081"/>
      <c r="AW51" s="1081"/>
      <c r="AX51" s="1081"/>
      <c r="AY51" s="1081"/>
      <c r="AZ51" s="1081"/>
      <c r="BA51" s="1081"/>
      <c r="BB51" s="1081"/>
      <c r="BC51" s="1081"/>
      <c r="BD51" s="1081"/>
      <c r="BE51" s="1081"/>
      <c r="BF51" s="1081"/>
      <c r="BG51" s="1081"/>
      <c r="BH51" s="1081"/>
      <c r="BI51" s="1081"/>
      <c r="BJ51" s="1081"/>
      <c r="BK51" s="1081"/>
      <c r="BL51" s="1081"/>
      <c r="BM51" s="1081"/>
      <c r="BN51" s="1081"/>
      <c r="BO51" s="1081"/>
      <c r="BP51" s="1081"/>
      <c r="BQ51" s="1081"/>
      <c r="BR51" s="1081"/>
      <c r="BS51" s="1081"/>
      <c r="BT51" s="1081"/>
      <c r="BU51" s="1081"/>
      <c r="BV51" s="1081"/>
      <c r="BW51" s="1081"/>
      <c r="BX51" s="1081"/>
      <c r="BY51" s="1081"/>
      <c r="BZ51" s="1081"/>
      <c r="CA51" s="1081"/>
      <c r="CB51" s="108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</row>
    <row r="52" spans="1:172" x14ac:dyDescent="0.25">
      <c r="C52" s="841"/>
      <c r="D52" s="841"/>
      <c r="E52" s="841"/>
      <c r="F52" s="841"/>
      <c r="G52" s="841"/>
      <c r="H52" s="841"/>
      <c r="I52" s="841"/>
      <c r="J52" s="841"/>
      <c r="K52" s="841"/>
      <c r="L52" s="841"/>
      <c r="M52" s="841"/>
      <c r="N52" s="841"/>
      <c r="O52" s="841"/>
      <c r="P52" s="841"/>
      <c r="Q52" s="841"/>
      <c r="R52" s="841"/>
      <c r="S52" s="841"/>
      <c r="T52" s="841"/>
      <c r="U52" s="841"/>
      <c r="V52" s="841"/>
      <c r="W52" s="841"/>
      <c r="X52" s="841"/>
      <c r="Y52" s="841"/>
      <c r="Z52" s="841"/>
      <c r="AA52" s="841"/>
      <c r="AB52" s="841"/>
      <c r="AC52" s="841"/>
      <c r="AD52" s="841"/>
      <c r="AE52" s="841"/>
      <c r="AF52" s="841"/>
      <c r="AG52" s="841"/>
      <c r="AH52" s="841"/>
      <c r="AI52" s="841"/>
      <c r="AJ52" s="841"/>
      <c r="AK52" s="841"/>
      <c r="AL52" s="841"/>
      <c r="AM52" s="841"/>
      <c r="AN52" s="841"/>
      <c r="AO52" s="841"/>
      <c r="AP52" s="841"/>
      <c r="AQ52" s="841"/>
      <c r="AR52" s="841"/>
      <c r="AS52" s="841"/>
      <c r="AT52" s="841"/>
      <c r="AU52" s="841"/>
      <c r="AV52" s="841"/>
      <c r="AW52" s="841"/>
      <c r="AX52" s="841"/>
      <c r="AY52" s="841"/>
      <c r="AZ52" s="841"/>
      <c r="BA52" s="841"/>
      <c r="BB52" s="841"/>
      <c r="BC52" s="841"/>
      <c r="BD52" s="841"/>
      <c r="BE52" s="841"/>
      <c r="BF52" s="841"/>
      <c r="BG52" s="841"/>
      <c r="BH52" s="841"/>
      <c r="BI52" s="841"/>
      <c r="BJ52" s="841"/>
      <c r="BK52" s="841"/>
      <c r="BL52" s="841"/>
      <c r="BM52" s="841"/>
      <c r="BN52" s="841"/>
      <c r="BO52" s="841"/>
      <c r="BP52" s="841"/>
      <c r="BQ52" s="841"/>
      <c r="BR52" s="841"/>
      <c r="BS52" s="841"/>
      <c r="BT52" s="841"/>
      <c r="BU52" s="841"/>
      <c r="BV52" s="841"/>
      <c r="BW52" s="841"/>
      <c r="BX52" s="841"/>
      <c r="BY52" s="841"/>
      <c r="BZ52" s="841"/>
      <c r="CA52" s="841"/>
      <c r="CB52" s="841"/>
    </row>
    <row r="53" spans="1:172" s="41" customFormat="1" ht="8.25" x14ac:dyDescent="0.15">
      <c r="A53" s="5"/>
      <c r="B53" s="5"/>
      <c r="C53" s="838" t="s">
        <v>257</v>
      </c>
      <c r="D53" s="838"/>
      <c r="E53" s="838"/>
      <c r="F53" s="838"/>
      <c r="G53" s="838"/>
      <c r="H53" s="838"/>
      <c r="I53" s="838"/>
      <c r="J53" s="838"/>
      <c r="K53" s="838"/>
      <c r="L53" s="838"/>
      <c r="M53" s="838"/>
      <c r="N53" s="838"/>
      <c r="O53" s="838"/>
      <c r="P53" s="838"/>
      <c r="Q53" s="838"/>
      <c r="R53" s="838"/>
      <c r="S53" s="838"/>
      <c r="T53" s="838"/>
      <c r="U53" s="838"/>
      <c r="V53" s="838"/>
      <c r="W53" s="838"/>
      <c r="X53" s="838"/>
      <c r="Y53" s="838"/>
      <c r="Z53" s="838"/>
      <c r="AA53" s="838"/>
      <c r="AB53" s="838"/>
      <c r="AC53" s="838"/>
      <c r="AD53" s="838"/>
      <c r="AE53" s="838"/>
      <c r="AF53" s="838"/>
      <c r="AG53" s="838"/>
      <c r="AH53" s="838"/>
      <c r="AI53" s="838"/>
      <c r="AJ53" s="838"/>
      <c r="AK53" s="838"/>
      <c r="AL53" s="838"/>
      <c r="AM53" s="838"/>
      <c r="AN53" s="838"/>
      <c r="AO53" s="838"/>
      <c r="AP53" s="838"/>
      <c r="AQ53" s="838"/>
      <c r="AR53" s="838"/>
      <c r="AS53" s="838"/>
      <c r="AT53" s="838"/>
      <c r="AU53" s="838"/>
      <c r="AV53" s="838"/>
      <c r="AW53" s="838"/>
      <c r="AX53" s="838"/>
      <c r="AY53" s="838"/>
      <c r="AZ53" s="838"/>
      <c r="BA53" s="838"/>
      <c r="BB53" s="838"/>
      <c r="BC53" s="838"/>
      <c r="BD53" s="838"/>
      <c r="BE53" s="838"/>
      <c r="BF53" s="838"/>
      <c r="BG53" s="838"/>
      <c r="BH53" s="838"/>
      <c r="BI53" s="838"/>
      <c r="BJ53" s="838"/>
      <c r="BK53" s="838"/>
      <c r="BL53" s="838"/>
      <c r="BM53" s="838"/>
      <c r="BN53" s="838"/>
      <c r="BO53" s="838"/>
      <c r="BP53" s="838"/>
      <c r="BQ53" s="838"/>
      <c r="BR53" s="838"/>
      <c r="BS53" s="838"/>
      <c r="BT53" s="838"/>
      <c r="BU53" s="838"/>
      <c r="BV53" s="838"/>
      <c r="BW53" s="838"/>
      <c r="BX53" s="838"/>
      <c r="BY53" s="838"/>
      <c r="BZ53" s="838"/>
      <c r="CA53" s="838"/>
      <c r="CB53" s="838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</row>
    <row r="54" spans="1:172" s="70" customFormat="1" ht="11.25" hidden="1" x14ac:dyDescent="0.2">
      <c r="A54" s="11"/>
      <c r="B54" s="11"/>
      <c r="C54" s="11" t="s">
        <v>258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855"/>
      <c r="AB54" s="855"/>
      <c r="AC54" s="855"/>
      <c r="AD54" s="855"/>
      <c r="AE54" s="855"/>
      <c r="AF54" s="855"/>
      <c r="AG54" s="855"/>
      <c r="AH54" s="855"/>
      <c r="AI54" s="855"/>
      <c r="AJ54" s="855"/>
      <c r="AK54" s="855"/>
      <c r="AL54" s="855"/>
      <c r="AM54" s="855"/>
      <c r="AN54" s="855"/>
      <c r="AO54" s="855"/>
      <c r="AP54" s="855"/>
      <c r="AQ54" s="855"/>
      <c r="AR54" s="855"/>
      <c r="AS54" s="855"/>
      <c r="AT54" s="855"/>
      <c r="AU54" s="855"/>
      <c r="AV54" s="855"/>
      <c r="AW54" s="855"/>
      <c r="AX54" s="855"/>
      <c r="AY54" s="855"/>
      <c r="AZ54" s="855"/>
      <c r="BA54" s="855"/>
      <c r="BB54" s="855"/>
      <c r="BC54" s="855"/>
      <c r="BD54" s="855"/>
      <c r="BE54" s="855"/>
      <c r="BF54" s="855"/>
      <c r="BG54" s="855"/>
      <c r="BH54" s="855"/>
      <c r="BI54" s="855"/>
      <c r="BJ54" s="855"/>
      <c r="BK54" s="855"/>
      <c r="BL54" s="855"/>
      <c r="BM54" s="855"/>
      <c r="BN54" s="855"/>
      <c r="BO54" s="855"/>
      <c r="BP54" s="855"/>
      <c r="BQ54" s="855"/>
      <c r="BR54" s="855"/>
      <c r="BS54" s="855"/>
      <c r="BT54" s="855"/>
      <c r="BU54" s="855"/>
      <c r="BV54" s="855"/>
      <c r="BW54" s="855"/>
      <c r="BX54" s="855"/>
      <c r="BY54" s="855"/>
      <c r="BZ54" s="855"/>
      <c r="CA54" s="855"/>
      <c r="CB54" s="855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</row>
    <row r="55" spans="1:172" hidden="1" x14ac:dyDescent="0.25">
      <c r="C55" s="857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O55" s="857"/>
      <c r="P55" s="857"/>
      <c r="Q55" s="857"/>
      <c r="R55" s="857"/>
      <c r="S55" s="857"/>
      <c r="T55" s="857"/>
      <c r="U55" s="857"/>
      <c r="V55" s="857"/>
      <c r="W55" s="857"/>
      <c r="X55" s="857"/>
      <c r="Y55" s="857"/>
      <c r="Z55" s="857"/>
      <c r="AA55" s="857"/>
      <c r="AB55" s="857"/>
      <c r="AC55" s="857"/>
      <c r="AD55" s="857"/>
      <c r="AE55" s="857"/>
      <c r="AF55" s="857"/>
      <c r="AG55" s="857"/>
      <c r="AH55" s="857"/>
      <c r="AI55" s="857"/>
      <c r="AJ55" s="857"/>
      <c r="AK55" s="857"/>
      <c r="AL55" s="857"/>
      <c r="AM55" s="857"/>
      <c r="AN55" s="857"/>
      <c r="AO55" s="857"/>
      <c r="AP55" s="857"/>
      <c r="AQ55" s="857"/>
      <c r="AR55" s="857"/>
      <c r="AS55" s="857"/>
      <c r="AT55" s="857"/>
      <c r="AU55" s="857"/>
      <c r="AV55" s="857"/>
      <c r="AW55" s="857"/>
      <c r="AX55" s="857"/>
      <c r="AY55" s="857"/>
      <c r="AZ55" s="857"/>
      <c r="BA55" s="857"/>
      <c r="BB55" s="857"/>
      <c r="BC55" s="857"/>
      <c r="BD55" s="857"/>
      <c r="BE55" s="857"/>
      <c r="BF55" s="857"/>
      <c r="BG55" s="857"/>
      <c r="BH55" s="857"/>
      <c r="BI55" s="857"/>
      <c r="BJ55" s="857"/>
      <c r="BK55" s="857"/>
      <c r="BL55" s="857"/>
      <c r="BM55" s="857"/>
      <c r="BN55" s="857"/>
      <c r="BO55" s="857"/>
      <c r="BP55" s="857"/>
      <c r="BQ55" s="857"/>
      <c r="BR55" s="857"/>
      <c r="BS55" s="857"/>
      <c r="BT55" s="857"/>
      <c r="BU55" s="857"/>
      <c r="BV55" s="857"/>
      <c r="BW55" s="857"/>
      <c r="BX55" s="857"/>
      <c r="BY55" s="857"/>
      <c r="BZ55" s="857"/>
      <c r="CA55" s="857"/>
      <c r="CB55" s="857"/>
    </row>
    <row r="56" spans="1:172" s="41" customFormat="1" ht="8.25" hidden="1" x14ac:dyDescent="0.15">
      <c r="A56" s="5"/>
      <c r="B56" s="5"/>
      <c r="C56" s="858" t="s">
        <v>259</v>
      </c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O56" s="858"/>
      <c r="P56" s="858"/>
      <c r="Q56" s="858"/>
      <c r="R56" s="858"/>
      <c r="S56" s="858"/>
      <c r="T56" s="858"/>
      <c r="U56" s="858"/>
      <c r="V56" s="858"/>
      <c r="W56" s="858"/>
      <c r="X56" s="858"/>
      <c r="Y56" s="858"/>
      <c r="Z56" s="858"/>
      <c r="AA56" s="858"/>
      <c r="AB56" s="858"/>
      <c r="AC56" s="858"/>
      <c r="AD56" s="858"/>
      <c r="AE56" s="858"/>
      <c r="AF56" s="858"/>
      <c r="AG56" s="858"/>
      <c r="AH56" s="858"/>
      <c r="AI56" s="858"/>
      <c r="AJ56" s="858"/>
      <c r="AK56" s="858"/>
      <c r="AL56" s="858"/>
      <c r="AM56" s="858"/>
      <c r="AN56" s="858"/>
      <c r="AO56" s="858"/>
      <c r="AP56" s="858"/>
      <c r="AQ56" s="858"/>
      <c r="AR56" s="858"/>
      <c r="AS56" s="858"/>
      <c r="AT56" s="858"/>
      <c r="AU56" s="858"/>
      <c r="AV56" s="858"/>
      <c r="AW56" s="858"/>
      <c r="AX56" s="858"/>
      <c r="AY56" s="858"/>
      <c r="AZ56" s="858"/>
      <c r="BA56" s="858"/>
      <c r="BB56" s="858"/>
      <c r="BC56" s="858"/>
      <c r="BD56" s="858"/>
      <c r="BE56" s="858"/>
      <c r="BF56" s="858"/>
      <c r="BG56" s="858"/>
      <c r="BH56" s="858"/>
      <c r="BI56" s="858"/>
      <c r="BJ56" s="858"/>
      <c r="BK56" s="858"/>
      <c r="BL56" s="858"/>
      <c r="BM56" s="858"/>
      <c r="BN56" s="858"/>
      <c r="BO56" s="858"/>
      <c r="BP56" s="858"/>
      <c r="BQ56" s="858"/>
      <c r="BR56" s="858"/>
      <c r="BS56" s="858"/>
      <c r="BT56" s="858"/>
      <c r="BU56" s="858"/>
      <c r="BV56" s="858"/>
      <c r="BW56" s="858"/>
      <c r="BX56" s="858"/>
      <c r="BY56" s="858"/>
      <c r="BZ56" s="858"/>
      <c r="CA56" s="858"/>
      <c r="CB56" s="858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</row>
    <row r="57" spans="1:172" hidden="1" x14ac:dyDescent="0.25">
      <c r="C57" s="882"/>
      <c r="D57" s="882"/>
      <c r="E57" s="882"/>
      <c r="F57" s="882"/>
      <c r="G57" s="882"/>
      <c r="H57" s="882"/>
      <c r="I57" s="882"/>
      <c r="J57" s="882"/>
      <c r="K57" s="882"/>
      <c r="L57" s="882"/>
      <c r="M57" s="882"/>
      <c r="N57" s="882"/>
      <c r="O57" s="882"/>
      <c r="P57" s="882"/>
      <c r="Q57" s="882"/>
      <c r="R57" s="882"/>
      <c r="S57" s="882"/>
      <c r="T57" s="882"/>
      <c r="U57" s="882"/>
      <c r="V57" s="882"/>
      <c r="W57" s="882"/>
      <c r="X57" s="882"/>
      <c r="Y57" s="882"/>
      <c r="Z57" s="882"/>
      <c r="AA57" s="882"/>
      <c r="AB57" s="882"/>
      <c r="AC57" s="882"/>
      <c r="AD57" s="882"/>
      <c r="AE57" s="882"/>
      <c r="AF57" s="882"/>
      <c r="AG57" s="882"/>
      <c r="AH57" s="882"/>
      <c r="AI57" s="882"/>
      <c r="AJ57" s="882"/>
      <c r="AK57" s="882"/>
      <c r="AL57" s="882"/>
      <c r="AM57" s="882"/>
      <c r="AN57" s="882"/>
      <c r="AO57" s="882"/>
      <c r="AP57" s="882"/>
      <c r="AQ57" s="882"/>
      <c r="AR57" s="882"/>
      <c r="AS57" s="882"/>
      <c r="AT57" s="882"/>
      <c r="AU57" s="882"/>
      <c r="AV57" s="882"/>
      <c r="AW57" s="882"/>
      <c r="AX57" s="882"/>
      <c r="AY57" s="882"/>
      <c r="AZ57" s="882"/>
      <c r="BA57" s="882"/>
      <c r="BB57" s="882"/>
      <c r="BC57" s="882"/>
      <c r="BD57" s="882"/>
      <c r="BE57" s="882"/>
      <c r="BF57" s="882"/>
      <c r="BG57" s="882"/>
      <c r="BH57" s="882"/>
      <c r="BI57" s="882"/>
      <c r="BJ57" s="882"/>
      <c r="BK57" s="882"/>
      <c r="BL57" s="882"/>
      <c r="BM57" s="882"/>
      <c r="BN57" s="882"/>
      <c r="BO57" s="882"/>
      <c r="BP57" s="882"/>
      <c r="BQ57" s="882"/>
      <c r="BR57" s="882"/>
      <c r="BS57" s="882"/>
      <c r="BT57" s="882"/>
      <c r="BU57" s="882"/>
      <c r="BV57" s="882"/>
      <c r="BW57" s="882"/>
      <c r="BX57" s="882"/>
      <c r="BY57" s="882"/>
      <c r="BZ57" s="882"/>
      <c r="CA57" s="882"/>
      <c r="CB57" s="882"/>
    </row>
    <row r="58" spans="1:172" s="70" customFormat="1" ht="11.25" hidden="1" x14ac:dyDescent="0.2">
      <c r="A58" s="11"/>
      <c r="B58" s="11"/>
      <c r="C58" s="11" t="s">
        <v>260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</row>
    <row r="59" spans="1:172" hidden="1" x14ac:dyDescent="0.25"/>
    <row r="60" spans="1:172" s="70" customFormat="1" ht="11.25" hidden="1" x14ac:dyDescent="0.2">
      <c r="A60" s="11"/>
      <c r="B60" s="11"/>
      <c r="C60" s="11" t="s">
        <v>261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57">
        <f>AT12+14</f>
      </c>
      <c r="BJ60" s="855"/>
      <c r="BK60" s="855"/>
      <c r="BL60" s="855"/>
      <c r="BM60" s="855"/>
      <c r="BN60" s="855"/>
      <c r="BO60" s="855"/>
      <c r="BP60" s="855"/>
      <c r="BQ60" s="855"/>
      <c r="BR60" s="855"/>
      <c r="BS60" s="855"/>
      <c r="BT60" s="855"/>
      <c r="BU60" s="855"/>
      <c r="BV60" s="855"/>
      <c r="BW60" s="855"/>
      <c r="BX60" s="855"/>
      <c r="BY60" s="855"/>
      <c r="BZ60" s="855"/>
      <c r="CA60" s="855"/>
      <c r="CB60" s="855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</row>
    <row r="62" spans="1:172" x14ac:dyDescent="0.25">
      <c r="A62" s="11" t="s">
        <v>47</v>
      </c>
      <c r="B62" s="11"/>
      <c r="C62" s="11" t="s">
        <v>262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1:172" s="42" customFormat="1" ht="15" customHeight="1" x14ac:dyDescent="0.25">
      <c r="A63" s="999" t="s">
        <v>263</v>
      </c>
      <c r="B63" s="999"/>
      <c r="C63" s="999"/>
      <c r="D63" s="999"/>
      <c r="E63" s="999"/>
      <c r="F63" s="827" t="s">
        <v>264</v>
      </c>
      <c r="G63" s="827"/>
      <c r="H63" s="827"/>
      <c r="I63" s="827"/>
      <c r="J63" s="827"/>
      <c r="K63" s="827"/>
      <c r="L63" s="827"/>
      <c r="M63" s="827"/>
      <c r="N63" s="827"/>
      <c r="O63" s="827" t="s">
        <v>265</v>
      </c>
      <c r="P63" s="827"/>
      <c r="Q63" s="827"/>
      <c r="R63" s="827"/>
      <c r="S63" s="827"/>
      <c r="T63" s="827"/>
      <c r="U63" s="827"/>
      <c r="V63" s="827"/>
      <c r="W63" s="827"/>
      <c r="X63" s="827" t="s">
        <v>268</v>
      </c>
      <c r="Y63" s="827"/>
      <c r="Z63" s="827"/>
      <c r="AA63" s="827"/>
      <c r="AB63" s="827"/>
      <c r="AC63" s="827"/>
      <c r="AD63" s="827"/>
      <c r="AE63" s="827"/>
      <c r="AF63" s="827"/>
      <c r="AG63" s="827"/>
      <c r="AH63" s="827"/>
      <c r="AI63" s="827"/>
      <c r="AJ63" s="827"/>
      <c r="AK63" s="827"/>
      <c r="AL63" s="827"/>
      <c r="AM63" s="827" t="s">
        <v>266</v>
      </c>
      <c r="AN63" s="827"/>
      <c r="AO63" s="827"/>
      <c r="AP63" s="827"/>
      <c r="AQ63" s="827"/>
      <c r="AR63" s="827"/>
      <c r="AS63" s="827"/>
      <c r="AT63" s="827"/>
      <c r="AU63" s="827"/>
      <c r="AV63" s="827" t="s">
        <v>269</v>
      </c>
      <c r="AW63" s="827"/>
      <c r="AX63" s="827"/>
      <c r="AY63" s="827"/>
      <c r="AZ63" s="827"/>
      <c r="BA63" s="827"/>
      <c r="BB63" s="827"/>
      <c r="BC63" s="827"/>
      <c r="BD63" s="827"/>
      <c r="BE63" s="999" t="s">
        <v>267</v>
      </c>
      <c r="BF63" s="999"/>
      <c r="BG63" s="999"/>
      <c r="BH63" s="999"/>
      <c r="BI63" s="999"/>
      <c r="BJ63" s="999"/>
      <c r="BK63" s="999"/>
      <c r="BL63" s="999"/>
      <c r="BM63" s="827" t="s">
        <v>270</v>
      </c>
      <c r="BN63" s="827"/>
      <c r="BO63" s="827"/>
      <c r="BP63" s="827"/>
      <c r="BQ63" s="827"/>
      <c r="BR63" s="827"/>
      <c r="BS63" s="827"/>
      <c r="BT63" s="827"/>
      <c r="BU63" s="827"/>
      <c r="BV63" s="827"/>
      <c r="BW63" s="827"/>
      <c r="BX63" s="827"/>
      <c r="BY63" s="999" t="s">
        <v>0</v>
      </c>
      <c r="BZ63" s="999"/>
      <c r="CA63" s="999"/>
      <c r="CB63" s="999"/>
      <c r="CC63" s="71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</row>
    <row r="64" spans="1:172" s="42" customFormat="1" x14ac:dyDescent="0.25">
      <c r="A64" s="999"/>
      <c r="B64" s="999"/>
      <c r="C64" s="999"/>
      <c r="D64" s="999"/>
      <c r="E64" s="999"/>
      <c r="F64" s="827"/>
      <c r="G64" s="827"/>
      <c r="H64" s="827"/>
      <c r="I64" s="827"/>
      <c r="J64" s="827"/>
      <c r="K64" s="827"/>
      <c r="L64" s="827"/>
      <c r="M64" s="827"/>
      <c r="N64" s="827"/>
      <c r="O64" s="827"/>
      <c r="P64" s="827"/>
      <c r="Q64" s="827"/>
      <c r="R64" s="827"/>
      <c r="S64" s="827"/>
      <c r="T64" s="827"/>
      <c r="U64" s="827"/>
      <c r="V64" s="827"/>
      <c r="W64" s="827"/>
      <c r="X64" s="827"/>
      <c r="Y64" s="827"/>
      <c r="Z64" s="827"/>
      <c r="AA64" s="827"/>
      <c r="AB64" s="827"/>
      <c r="AC64" s="827"/>
      <c r="AD64" s="827"/>
      <c r="AE64" s="827"/>
      <c r="AF64" s="827"/>
      <c r="AG64" s="827"/>
      <c r="AH64" s="827"/>
      <c r="AI64" s="827"/>
      <c r="AJ64" s="827"/>
      <c r="AK64" s="827"/>
      <c r="AL64" s="827"/>
      <c r="AM64" s="827"/>
      <c r="AN64" s="827"/>
      <c r="AO64" s="827"/>
      <c r="AP64" s="827"/>
      <c r="AQ64" s="827"/>
      <c r="AR64" s="827"/>
      <c r="AS64" s="827"/>
      <c r="AT64" s="827"/>
      <c r="AU64" s="827"/>
      <c r="AV64" s="827"/>
      <c r="AW64" s="827"/>
      <c r="AX64" s="827"/>
      <c r="AY64" s="827"/>
      <c r="AZ64" s="827"/>
      <c r="BA64" s="827"/>
      <c r="BB64" s="827"/>
      <c r="BC64" s="827"/>
      <c r="BD64" s="827"/>
      <c r="BE64" s="999"/>
      <c r="BF64" s="999"/>
      <c r="BG64" s="999"/>
      <c r="BH64" s="999"/>
      <c r="BI64" s="999"/>
      <c r="BJ64" s="999"/>
      <c r="BK64" s="999"/>
      <c r="BL64" s="999"/>
      <c r="BM64" s="827"/>
      <c r="BN64" s="827"/>
      <c r="BO64" s="827"/>
      <c r="BP64" s="827"/>
      <c r="BQ64" s="827"/>
      <c r="BR64" s="827"/>
      <c r="BS64" s="827"/>
      <c r="BT64" s="827"/>
      <c r="BU64" s="827"/>
      <c r="BV64" s="827"/>
      <c r="BW64" s="827"/>
      <c r="BX64" s="827"/>
      <c r="BY64" s="999"/>
      <c r="BZ64" s="999"/>
      <c r="CA64" s="999"/>
      <c r="CB64" s="999"/>
      <c r="CC64" s="71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</row>
    <row r="65" spans="1:172" s="42" customFormat="1" x14ac:dyDescent="0.25">
      <c r="A65" s="999"/>
      <c r="B65" s="999"/>
      <c r="C65" s="999"/>
      <c r="D65" s="999"/>
      <c r="E65" s="999"/>
      <c r="F65" s="827"/>
      <c r="G65" s="827"/>
      <c r="H65" s="827"/>
      <c r="I65" s="827"/>
      <c r="J65" s="827"/>
      <c r="K65" s="827"/>
      <c r="L65" s="827"/>
      <c r="M65" s="827"/>
      <c r="N65" s="827"/>
      <c r="O65" s="827"/>
      <c r="P65" s="827"/>
      <c r="Q65" s="827"/>
      <c r="R65" s="827"/>
      <c r="S65" s="827"/>
      <c r="T65" s="827"/>
      <c r="U65" s="827"/>
      <c r="V65" s="827"/>
      <c r="W65" s="827"/>
      <c r="X65" s="827"/>
      <c r="Y65" s="827"/>
      <c r="Z65" s="827"/>
      <c r="AA65" s="827"/>
      <c r="AB65" s="827"/>
      <c r="AC65" s="827"/>
      <c r="AD65" s="827"/>
      <c r="AE65" s="827"/>
      <c r="AF65" s="827"/>
      <c r="AG65" s="827"/>
      <c r="AH65" s="827"/>
      <c r="AI65" s="827"/>
      <c r="AJ65" s="827"/>
      <c r="AK65" s="827"/>
      <c r="AL65" s="827"/>
      <c r="AM65" s="827"/>
      <c r="AN65" s="827"/>
      <c r="AO65" s="827"/>
      <c r="AP65" s="827"/>
      <c r="AQ65" s="827"/>
      <c r="AR65" s="827"/>
      <c r="AS65" s="827"/>
      <c r="AT65" s="827"/>
      <c r="AU65" s="827"/>
      <c r="AV65" s="827"/>
      <c r="AW65" s="827"/>
      <c r="AX65" s="827"/>
      <c r="AY65" s="827"/>
      <c r="AZ65" s="827"/>
      <c r="BA65" s="827"/>
      <c r="BB65" s="827"/>
      <c r="BC65" s="827"/>
      <c r="BD65" s="827"/>
      <c r="BE65" s="999"/>
      <c r="BF65" s="999"/>
      <c r="BG65" s="999"/>
      <c r="BH65" s="999"/>
      <c r="BI65" s="999"/>
      <c r="BJ65" s="999"/>
      <c r="BK65" s="999"/>
      <c r="BL65" s="999"/>
      <c r="BM65" s="827"/>
      <c r="BN65" s="827"/>
      <c r="BO65" s="827"/>
      <c r="BP65" s="827"/>
      <c r="BQ65" s="827"/>
      <c r="BR65" s="827"/>
      <c r="BS65" s="827"/>
      <c r="BT65" s="827"/>
      <c r="BU65" s="827"/>
      <c r="BV65" s="827"/>
      <c r="BW65" s="827"/>
      <c r="BX65" s="827"/>
      <c r="BY65" s="999"/>
      <c r="BZ65" s="999"/>
      <c r="CA65" s="999"/>
      <c r="CB65" s="999"/>
      <c r="CC65" s="71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</row>
    <row r="66" spans="1:172" x14ac:dyDescent="0.25">
      <c r="A66" s="999"/>
      <c r="B66" s="999"/>
      <c r="C66" s="999"/>
      <c r="D66" s="999"/>
      <c r="E66" s="999"/>
      <c r="F66" s="827"/>
      <c r="G66" s="827"/>
      <c r="H66" s="827"/>
      <c r="I66" s="827"/>
      <c r="J66" s="827"/>
      <c r="K66" s="827"/>
      <c r="L66" s="827"/>
      <c r="M66" s="827"/>
      <c r="N66" s="827"/>
      <c r="O66" s="827"/>
      <c r="P66" s="827"/>
      <c r="Q66" s="827"/>
      <c r="R66" s="827"/>
      <c r="S66" s="827"/>
      <c r="T66" s="827"/>
      <c r="U66" s="827"/>
      <c r="V66" s="827"/>
      <c r="W66" s="827"/>
      <c r="X66" s="827"/>
      <c r="Y66" s="827"/>
      <c r="Z66" s="827"/>
      <c r="AA66" s="827"/>
      <c r="AB66" s="827"/>
      <c r="AC66" s="827"/>
      <c r="AD66" s="827"/>
      <c r="AE66" s="827"/>
      <c r="AF66" s="827"/>
      <c r="AG66" s="827"/>
      <c r="AH66" s="827"/>
      <c r="AI66" s="827"/>
      <c r="AJ66" s="827"/>
      <c r="AK66" s="827"/>
      <c r="AL66" s="827"/>
      <c r="AM66" s="827"/>
      <c r="AN66" s="827"/>
      <c r="AO66" s="827"/>
      <c r="AP66" s="827"/>
      <c r="AQ66" s="827"/>
      <c r="AR66" s="827"/>
      <c r="AS66" s="827"/>
      <c r="AT66" s="827"/>
      <c r="AU66" s="827"/>
      <c r="AV66" s="827"/>
      <c r="AW66" s="827"/>
      <c r="AX66" s="827"/>
      <c r="AY66" s="827"/>
      <c r="AZ66" s="827"/>
      <c r="BA66" s="827"/>
      <c r="BB66" s="827"/>
      <c r="BC66" s="827"/>
      <c r="BD66" s="827"/>
      <c r="BE66" s="999"/>
      <c r="BF66" s="999"/>
      <c r="BG66" s="999"/>
      <c r="BH66" s="999"/>
      <c r="BI66" s="999"/>
      <c r="BJ66" s="999"/>
      <c r="BK66" s="999"/>
      <c r="BL66" s="999"/>
      <c r="BM66" s="827"/>
      <c r="BN66" s="827"/>
      <c r="BO66" s="827"/>
      <c r="BP66" s="827"/>
      <c r="BQ66" s="827"/>
      <c r="BR66" s="827"/>
      <c r="BS66" s="827"/>
      <c r="BT66" s="827"/>
      <c r="BU66" s="827"/>
      <c r="BV66" s="827"/>
      <c r="BW66" s="827"/>
      <c r="BX66" s="827"/>
      <c r="BY66" s="999"/>
      <c r="BZ66" s="999"/>
      <c r="CA66" s="999"/>
      <c r="CB66" s="999"/>
      <c r="CC66" s="11"/>
    </row>
    <row r="67" spans="1:172" x14ac:dyDescent="0.25">
      <c r="A67" s="999"/>
      <c r="B67" s="999"/>
      <c r="C67" s="999"/>
      <c r="D67" s="999"/>
      <c r="E67" s="999"/>
      <c r="F67" s="827"/>
      <c r="G67" s="827"/>
      <c r="H67" s="827"/>
      <c r="I67" s="827"/>
      <c r="J67" s="827"/>
      <c r="K67" s="827"/>
      <c r="L67" s="827"/>
      <c r="M67" s="827"/>
      <c r="N67" s="827"/>
      <c r="O67" s="827"/>
      <c r="P67" s="827"/>
      <c r="Q67" s="827"/>
      <c r="R67" s="827"/>
      <c r="S67" s="827"/>
      <c r="T67" s="827"/>
      <c r="U67" s="827"/>
      <c r="V67" s="827"/>
      <c r="W67" s="827"/>
      <c r="X67" s="827"/>
      <c r="Y67" s="827"/>
      <c r="Z67" s="827"/>
      <c r="AA67" s="827"/>
      <c r="AB67" s="827"/>
      <c r="AC67" s="827"/>
      <c r="AD67" s="827"/>
      <c r="AE67" s="827"/>
      <c r="AF67" s="827"/>
      <c r="AG67" s="827"/>
      <c r="AH67" s="827"/>
      <c r="AI67" s="827"/>
      <c r="AJ67" s="827"/>
      <c r="AK67" s="827"/>
      <c r="AL67" s="827"/>
      <c r="AM67" s="827"/>
      <c r="AN67" s="827"/>
      <c r="AO67" s="827"/>
      <c r="AP67" s="827"/>
      <c r="AQ67" s="827"/>
      <c r="AR67" s="827"/>
      <c r="AS67" s="827"/>
      <c r="AT67" s="827"/>
      <c r="AU67" s="827"/>
      <c r="AV67" s="827"/>
      <c r="AW67" s="827"/>
      <c r="AX67" s="827"/>
      <c r="AY67" s="827"/>
      <c r="AZ67" s="827"/>
      <c r="BA67" s="827"/>
      <c r="BB67" s="827"/>
      <c r="BC67" s="827"/>
      <c r="BD67" s="827"/>
      <c r="BE67" s="999"/>
      <c r="BF67" s="999"/>
      <c r="BG67" s="999"/>
      <c r="BH67" s="999"/>
      <c r="BI67" s="999"/>
      <c r="BJ67" s="999"/>
      <c r="BK67" s="999"/>
      <c r="BL67" s="999"/>
      <c r="BM67" s="827"/>
      <c r="BN67" s="827"/>
      <c r="BO67" s="827"/>
      <c r="BP67" s="827"/>
      <c r="BQ67" s="827"/>
      <c r="BR67" s="827"/>
      <c r="BS67" s="827"/>
      <c r="BT67" s="827"/>
      <c r="BU67" s="827"/>
      <c r="BV67" s="827"/>
      <c r="BW67" s="827"/>
      <c r="BX67" s="827"/>
      <c r="BY67" s="999"/>
      <c r="BZ67" s="999"/>
      <c r="CA67" s="999"/>
      <c r="CB67" s="999"/>
      <c r="CC67" s="11"/>
    </row>
    <row r="68" spans="1:172" x14ac:dyDescent="0.25">
      <c r="A68" s="1158"/>
      <c r="B68" s="1158"/>
      <c r="C68" s="1158"/>
      <c r="D68" s="1158"/>
      <c r="E68" s="1158"/>
      <c r="F68" s="990" t="e">
        <f>IF(BG25="","",BG25)</f>
      </c>
      <c r="G68" s="990"/>
      <c r="H68" s="990"/>
      <c r="I68" s="990"/>
      <c r="J68" s="990"/>
      <c r="K68" s="990"/>
      <c r="L68" s="990"/>
      <c r="M68" s="990"/>
      <c r="N68" s="990"/>
      <c r="O68" s="990" t="s">
        <v>751</v>
      </c>
      <c r="P68" s="990"/>
      <c r="Q68" s="990"/>
      <c r="R68" s="990"/>
      <c r="S68" s="990"/>
      <c r="T68" s="990"/>
      <c r="U68" s="990"/>
      <c r="V68" s="990"/>
      <c r="W68" s="990"/>
      <c r="X68" s="1163"/>
      <c r="Y68" s="1163"/>
      <c r="Z68" s="1163"/>
      <c r="AA68" s="1163"/>
      <c r="AB68" s="1163"/>
      <c r="AC68" s="1163"/>
      <c r="AD68" s="1163"/>
      <c r="AE68" s="1163"/>
      <c r="AF68" s="1163"/>
      <c r="AG68" s="1163"/>
      <c r="AH68" s="1163"/>
      <c r="AI68" s="1163"/>
      <c r="AJ68" s="1163"/>
      <c r="AK68" s="1163"/>
      <c r="AL68" s="1163"/>
      <c r="AM68" s="1162"/>
      <c r="AN68" s="1162"/>
      <c r="AO68" s="1162"/>
      <c r="AP68" s="1162"/>
      <c r="AQ68" s="1162"/>
      <c r="AR68" s="1162"/>
      <c r="AS68" s="1162"/>
      <c r="AT68" s="1162"/>
      <c r="AU68" s="1162"/>
      <c r="AV68" s="1161" t="s">
        <v>101</v>
      </c>
      <c r="AW68" s="1161"/>
      <c r="AX68" s="1161"/>
      <c r="AY68" s="1161"/>
      <c r="AZ68" s="1161"/>
      <c r="BA68" s="1161"/>
      <c r="BB68" s="1161"/>
      <c r="BC68" s="1161"/>
      <c r="BD68" s="1161"/>
      <c r="BE68" s="1160" t="str">
        <f>IF('Данные объект'!B7="","",'Данные объект'!B7)</f>
      </c>
      <c r="BF68" s="1160"/>
      <c r="BG68" s="1160"/>
      <c r="BH68" s="1160"/>
      <c r="BI68" s="1160"/>
      <c r="BJ68" s="1160"/>
      <c r="BK68" s="1160"/>
      <c r="BL68" s="1160"/>
      <c r="BM68" s="1116" t="str">
        <f>IF('Данные объект'!B28="","",'Данные объект'!B28)</f>
      </c>
      <c r="BN68" s="1116"/>
      <c r="BO68" s="1116"/>
      <c r="BP68" s="1116"/>
      <c r="BQ68" s="1116"/>
      <c r="BR68" s="1116"/>
      <c r="BS68" s="1116"/>
      <c r="BT68" s="1116"/>
      <c r="BU68" s="1116"/>
      <c r="BV68" s="1116"/>
      <c r="BW68" s="1116"/>
      <c r="BX68" s="1116"/>
      <c r="BY68" s="1159"/>
      <c r="BZ68" s="1159"/>
      <c r="CA68" s="1159"/>
      <c r="CB68" s="1159"/>
      <c r="CC68" s="11"/>
    </row>
    <row r="69" spans="1:172" x14ac:dyDescent="0.25">
      <c r="A69" s="1158"/>
      <c r="B69" s="1158"/>
      <c r="C69" s="1158"/>
      <c r="D69" s="1158"/>
      <c r="E69" s="1158"/>
      <c r="F69" s="990" t="e">
        <f>IF(BG25="","",BG25)</f>
      </c>
      <c r="G69" s="990"/>
      <c r="H69" s="990"/>
      <c r="I69" s="990"/>
      <c r="J69" s="990"/>
      <c r="K69" s="990"/>
      <c r="L69" s="990"/>
      <c r="M69" s="990"/>
      <c r="N69" s="990"/>
      <c r="O69" s="990" t="s">
        <v>751</v>
      </c>
      <c r="P69" s="990"/>
      <c r="Q69" s="990"/>
      <c r="R69" s="990"/>
      <c r="S69" s="990"/>
      <c r="T69" s="990"/>
      <c r="U69" s="990"/>
      <c r="V69" s="990"/>
      <c r="W69" s="990"/>
      <c r="X69" s="1163"/>
      <c r="Y69" s="1163"/>
      <c r="Z69" s="1163"/>
      <c r="AA69" s="1163"/>
      <c r="AB69" s="1163"/>
      <c r="AC69" s="1163"/>
      <c r="AD69" s="1163"/>
      <c r="AE69" s="1163"/>
      <c r="AF69" s="1163"/>
      <c r="AG69" s="1163"/>
      <c r="AH69" s="1163"/>
      <c r="AI69" s="1163"/>
      <c r="AJ69" s="1163"/>
      <c r="AK69" s="1163"/>
      <c r="AL69" s="1163"/>
      <c r="AM69" s="1162"/>
      <c r="AN69" s="1162"/>
      <c r="AO69" s="1162"/>
      <c r="AP69" s="1162"/>
      <c r="AQ69" s="1162"/>
      <c r="AR69" s="1162"/>
      <c r="AS69" s="1162"/>
      <c r="AT69" s="1162"/>
      <c r="AU69" s="1162"/>
      <c r="AV69" s="1161" t="s">
        <v>101</v>
      </c>
      <c r="AW69" s="1161"/>
      <c r="AX69" s="1161"/>
      <c r="AY69" s="1161"/>
      <c r="AZ69" s="1161"/>
      <c r="BA69" s="1161"/>
      <c r="BB69" s="1161"/>
      <c r="BC69" s="1161"/>
      <c r="BD69" s="1161"/>
      <c r="BE69" s="1160" t="str">
        <f>IF('Данные объект'!B7="","",'Данные объект'!B7)</f>
      </c>
      <c r="BF69" s="1160"/>
      <c r="BG69" s="1160"/>
      <c r="BH69" s="1160"/>
      <c r="BI69" s="1160"/>
      <c r="BJ69" s="1160"/>
      <c r="BK69" s="1160"/>
      <c r="BL69" s="1160"/>
      <c r="BM69" s="1116" t="str">
        <f>IF('Данные объект'!B28="","",'Данные объект'!B28)</f>
      </c>
      <c r="BN69" s="1116"/>
      <c r="BO69" s="1116"/>
      <c r="BP69" s="1116"/>
      <c r="BQ69" s="1116"/>
      <c r="BR69" s="1116"/>
      <c r="BS69" s="1116"/>
      <c r="BT69" s="1116"/>
      <c r="BU69" s="1116"/>
      <c r="BV69" s="1116"/>
      <c r="BW69" s="1116"/>
      <c r="BX69" s="1116"/>
      <c r="BY69" s="1159"/>
      <c r="BZ69" s="1159"/>
      <c r="CA69" s="1159"/>
      <c r="CB69" s="1159"/>
      <c r="CC69" s="11"/>
    </row>
    <row r="70" spans="1:172" x14ac:dyDescent="0.25">
      <c r="A70" s="1158"/>
      <c r="B70" s="1158"/>
      <c r="C70" s="1158"/>
      <c r="D70" s="1158"/>
      <c r="E70" s="1158"/>
      <c r="F70" s="990" t="e">
        <f>IF(BG25="","",BG25)</f>
      </c>
      <c r="G70" s="990"/>
      <c r="H70" s="990"/>
      <c r="I70" s="990"/>
      <c r="J70" s="990"/>
      <c r="K70" s="990"/>
      <c r="L70" s="990"/>
      <c r="M70" s="990"/>
      <c r="N70" s="990"/>
      <c r="O70" s="990" t="s">
        <v>751</v>
      </c>
      <c r="P70" s="990"/>
      <c r="Q70" s="990"/>
      <c r="R70" s="990"/>
      <c r="S70" s="990"/>
      <c r="T70" s="990"/>
      <c r="U70" s="990"/>
      <c r="V70" s="990"/>
      <c r="W70" s="990"/>
      <c r="X70" s="1163"/>
      <c r="Y70" s="1163"/>
      <c r="Z70" s="1163"/>
      <c r="AA70" s="1163"/>
      <c r="AB70" s="1163"/>
      <c r="AC70" s="1163"/>
      <c r="AD70" s="1163"/>
      <c r="AE70" s="1163"/>
      <c r="AF70" s="1163"/>
      <c r="AG70" s="1163"/>
      <c r="AH70" s="1163"/>
      <c r="AI70" s="1163"/>
      <c r="AJ70" s="1163"/>
      <c r="AK70" s="1163"/>
      <c r="AL70" s="1163"/>
      <c r="AM70" s="1162"/>
      <c r="AN70" s="1162"/>
      <c r="AO70" s="1162"/>
      <c r="AP70" s="1162"/>
      <c r="AQ70" s="1162"/>
      <c r="AR70" s="1162"/>
      <c r="AS70" s="1162"/>
      <c r="AT70" s="1162"/>
      <c r="AU70" s="1162"/>
      <c r="AV70" s="1161" t="s">
        <v>101</v>
      </c>
      <c r="AW70" s="1161"/>
      <c r="AX70" s="1161"/>
      <c r="AY70" s="1161"/>
      <c r="AZ70" s="1161"/>
      <c r="BA70" s="1161"/>
      <c r="BB70" s="1161"/>
      <c r="BC70" s="1161"/>
      <c r="BD70" s="1161"/>
      <c r="BE70" s="1160" t="str">
        <f>IF('Данные объект'!B7="","",'Данные объект'!B7)</f>
      </c>
      <c r="BF70" s="1160"/>
      <c r="BG70" s="1160"/>
      <c r="BH70" s="1160"/>
      <c r="BI70" s="1160"/>
      <c r="BJ70" s="1160"/>
      <c r="BK70" s="1160"/>
      <c r="BL70" s="1160"/>
      <c r="BM70" s="1116" t="str">
        <f>IF('Данные объект'!B28="","",'Данные объект'!B28)</f>
      </c>
      <c r="BN70" s="1116"/>
      <c r="BO70" s="1116"/>
      <c r="BP70" s="1116"/>
      <c r="BQ70" s="1116"/>
      <c r="BR70" s="1116"/>
      <c r="BS70" s="1116"/>
      <c r="BT70" s="1116"/>
      <c r="BU70" s="1116"/>
      <c r="BV70" s="1116"/>
      <c r="BW70" s="1116"/>
      <c r="BX70" s="1116"/>
      <c r="BY70" s="1159"/>
      <c r="BZ70" s="1159"/>
      <c r="CA70" s="1159"/>
      <c r="CB70" s="1159"/>
      <c r="CC70" s="11"/>
    </row>
    <row r="71" spans="1:172" x14ac:dyDescent="0.25">
      <c r="A71" s="1158"/>
      <c r="B71" s="1158"/>
      <c r="C71" s="1158"/>
      <c r="D71" s="1158"/>
      <c r="E71" s="1158"/>
      <c r="F71" s="990" t="e">
        <f>IF(BG25="","",BG25)</f>
      </c>
      <c r="G71" s="990"/>
      <c r="H71" s="990"/>
      <c r="I71" s="990"/>
      <c r="J71" s="990"/>
      <c r="K71" s="990"/>
      <c r="L71" s="990"/>
      <c r="M71" s="990"/>
      <c r="N71" s="990"/>
      <c r="O71" s="990" t="s">
        <v>751</v>
      </c>
      <c r="P71" s="990"/>
      <c r="Q71" s="990"/>
      <c r="R71" s="990"/>
      <c r="S71" s="990"/>
      <c r="T71" s="990"/>
      <c r="U71" s="990"/>
      <c r="V71" s="990"/>
      <c r="W71" s="990"/>
      <c r="X71" s="1163"/>
      <c r="Y71" s="1163"/>
      <c r="Z71" s="1163"/>
      <c r="AA71" s="1163"/>
      <c r="AB71" s="1163"/>
      <c r="AC71" s="1163"/>
      <c r="AD71" s="1163"/>
      <c r="AE71" s="1163"/>
      <c r="AF71" s="1163"/>
      <c r="AG71" s="1163"/>
      <c r="AH71" s="1163"/>
      <c r="AI71" s="1163"/>
      <c r="AJ71" s="1163"/>
      <c r="AK71" s="1163"/>
      <c r="AL71" s="1163"/>
      <c r="AM71" s="1162"/>
      <c r="AN71" s="1162"/>
      <c r="AO71" s="1162"/>
      <c r="AP71" s="1162"/>
      <c r="AQ71" s="1162"/>
      <c r="AR71" s="1162"/>
      <c r="AS71" s="1162"/>
      <c r="AT71" s="1162"/>
      <c r="AU71" s="1162"/>
      <c r="AV71" s="1161" t="s">
        <v>101</v>
      </c>
      <c r="AW71" s="1161"/>
      <c r="AX71" s="1161"/>
      <c r="AY71" s="1161"/>
      <c r="AZ71" s="1161"/>
      <c r="BA71" s="1161"/>
      <c r="BB71" s="1161"/>
      <c r="BC71" s="1161"/>
      <c r="BD71" s="1161"/>
      <c r="BE71" s="1160" t="str">
        <f>IF('Данные объект'!B7="","",'Данные объект'!B7)</f>
      </c>
      <c r="BF71" s="1160"/>
      <c r="BG71" s="1160"/>
      <c r="BH71" s="1160"/>
      <c r="BI71" s="1160"/>
      <c r="BJ71" s="1160"/>
      <c r="BK71" s="1160"/>
      <c r="BL71" s="1160"/>
      <c r="BM71" s="1116" t="str">
        <f>IF('Данные объект'!B28="","",'Данные объект'!B28)</f>
      </c>
      <c r="BN71" s="1116"/>
      <c r="BO71" s="1116"/>
      <c r="BP71" s="1116"/>
      <c r="BQ71" s="1116"/>
      <c r="BR71" s="1116"/>
      <c r="BS71" s="1116"/>
      <c r="BT71" s="1116"/>
      <c r="BU71" s="1116"/>
      <c r="BV71" s="1116"/>
      <c r="BW71" s="1116"/>
      <c r="BX71" s="1116"/>
      <c r="BY71" s="1159"/>
      <c r="BZ71" s="1159"/>
      <c r="CA71" s="1159"/>
      <c r="CB71" s="1159"/>
      <c r="CC71" s="11"/>
    </row>
    <row r="72" spans="1:172" x14ac:dyDescent="0.25">
      <c r="A72" s="1158"/>
      <c r="B72" s="1158"/>
      <c r="C72" s="1158"/>
      <c r="D72" s="1158"/>
      <c r="E72" s="1158"/>
      <c r="F72" s="990" t="e">
        <f>IF(BG25="","",BG25)</f>
      </c>
      <c r="G72" s="990"/>
      <c r="H72" s="990"/>
      <c r="I72" s="990"/>
      <c r="J72" s="990"/>
      <c r="K72" s="990"/>
      <c r="L72" s="990"/>
      <c r="M72" s="990"/>
      <c r="N72" s="990"/>
      <c r="O72" s="990" t="s">
        <v>751</v>
      </c>
      <c r="P72" s="990"/>
      <c r="Q72" s="990"/>
      <c r="R72" s="990"/>
      <c r="S72" s="990"/>
      <c r="T72" s="990"/>
      <c r="U72" s="990"/>
      <c r="V72" s="990"/>
      <c r="W72" s="990"/>
      <c r="X72" s="1163"/>
      <c r="Y72" s="1163"/>
      <c r="Z72" s="1163"/>
      <c r="AA72" s="1163"/>
      <c r="AB72" s="1163"/>
      <c r="AC72" s="1163"/>
      <c r="AD72" s="1163"/>
      <c r="AE72" s="1163"/>
      <c r="AF72" s="1163"/>
      <c r="AG72" s="1163"/>
      <c r="AH72" s="1163"/>
      <c r="AI72" s="1163"/>
      <c r="AJ72" s="1163"/>
      <c r="AK72" s="1163"/>
      <c r="AL72" s="1163"/>
      <c r="AM72" s="1162"/>
      <c r="AN72" s="1162"/>
      <c r="AO72" s="1162"/>
      <c r="AP72" s="1162"/>
      <c r="AQ72" s="1162"/>
      <c r="AR72" s="1162"/>
      <c r="AS72" s="1162"/>
      <c r="AT72" s="1162"/>
      <c r="AU72" s="1162"/>
      <c r="AV72" s="1161" t="s">
        <v>101</v>
      </c>
      <c r="AW72" s="1161"/>
      <c r="AX72" s="1161"/>
      <c r="AY72" s="1161"/>
      <c r="AZ72" s="1161"/>
      <c r="BA72" s="1161"/>
      <c r="BB72" s="1161"/>
      <c r="BC72" s="1161"/>
      <c r="BD72" s="1161"/>
      <c r="BE72" s="1160" t="str">
        <f>IF('Данные объект'!B7="","",'Данные объект'!B7)</f>
      </c>
      <c r="BF72" s="1160"/>
      <c r="BG72" s="1160"/>
      <c r="BH72" s="1160"/>
      <c r="BI72" s="1160"/>
      <c r="BJ72" s="1160"/>
      <c r="BK72" s="1160"/>
      <c r="BL72" s="1160"/>
      <c r="BM72" s="1116" t="str">
        <f>IF('Данные объект'!B28="","",'Данные объект'!B28)</f>
      </c>
      <c r="BN72" s="1116"/>
      <c r="BO72" s="1116"/>
      <c r="BP72" s="1116"/>
      <c r="BQ72" s="1116"/>
      <c r="BR72" s="1116"/>
      <c r="BS72" s="1116"/>
      <c r="BT72" s="1116"/>
      <c r="BU72" s="1116"/>
      <c r="BV72" s="1116"/>
      <c r="BW72" s="1116"/>
      <c r="BX72" s="1116"/>
      <c r="BY72" s="1159"/>
      <c r="BZ72" s="1159"/>
      <c r="CA72" s="1159"/>
      <c r="CB72" s="1159"/>
      <c r="CC72" s="11"/>
    </row>
    <row r="73" spans="1:172" x14ac:dyDescent="0.25">
      <c r="A73" s="1158"/>
      <c r="B73" s="1158"/>
      <c r="C73" s="1158"/>
      <c r="D73" s="1158"/>
      <c r="E73" s="1158"/>
      <c r="F73" s="990" t="e">
        <f>IF(BG25="","",BG25)</f>
      </c>
      <c r="G73" s="990"/>
      <c r="H73" s="990"/>
      <c r="I73" s="990"/>
      <c r="J73" s="990"/>
      <c r="K73" s="990"/>
      <c r="L73" s="990"/>
      <c r="M73" s="990"/>
      <c r="N73" s="990"/>
      <c r="O73" s="990" t="s">
        <v>751</v>
      </c>
      <c r="P73" s="990"/>
      <c r="Q73" s="990"/>
      <c r="R73" s="990"/>
      <c r="S73" s="990"/>
      <c r="T73" s="990"/>
      <c r="U73" s="990"/>
      <c r="V73" s="990"/>
      <c r="W73" s="990"/>
      <c r="X73" s="1163"/>
      <c r="Y73" s="1163"/>
      <c r="Z73" s="1163"/>
      <c r="AA73" s="1163"/>
      <c r="AB73" s="1163"/>
      <c r="AC73" s="1163"/>
      <c r="AD73" s="1163"/>
      <c r="AE73" s="1163"/>
      <c r="AF73" s="1163"/>
      <c r="AG73" s="1163"/>
      <c r="AH73" s="1163"/>
      <c r="AI73" s="1163"/>
      <c r="AJ73" s="1163"/>
      <c r="AK73" s="1163"/>
      <c r="AL73" s="1163"/>
      <c r="AM73" s="1162"/>
      <c r="AN73" s="1162"/>
      <c r="AO73" s="1162"/>
      <c r="AP73" s="1162"/>
      <c r="AQ73" s="1162"/>
      <c r="AR73" s="1162"/>
      <c r="AS73" s="1162"/>
      <c r="AT73" s="1162"/>
      <c r="AU73" s="1162"/>
      <c r="AV73" s="1161" t="s">
        <v>101</v>
      </c>
      <c r="AW73" s="1161"/>
      <c r="AX73" s="1161"/>
      <c r="AY73" s="1161"/>
      <c r="AZ73" s="1161"/>
      <c r="BA73" s="1161"/>
      <c r="BB73" s="1161"/>
      <c r="BC73" s="1161"/>
      <c r="BD73" s="1161"/>
      <c r="BE73" s="1160" t="str">
        <f>IF('Данные объект'!B7="","",'Данные объект'!B7)</f>
      </c>
      <c r="BF73" s="1160"/>
      <c r="BG73" s="1160"/>
      <c r="BH73" s="1160"/>
      <c r="BI73" s="1160"/>
      <c r="BJ73" s="1160"/>
      <c r="BK73" s="1160"/>
      <c r="BL73" s="1160"/>
      <c r="BM73" s="1116" t="str">
        <f>IF('Данные объект'!B28="","",'Данные объект'!B28)</f>
      </c>
      <c r="BN73" s="1116"/>
      <c r="BO73" s="1116"/>
      <c r="BP73" s="1116"/>
      <c r="BQ73" s="1116"/>
      <c r="BR73" s="1116"/>
      <c r="BS73" s="1116"/>
      <c r="BT73" s="1116"/>
      <c r="BU73" s="1116"/>
      <c r="BV73" s="1116"/>
      <c r="BW73" s="1116"/>
      <c r="BX73" s="1116"/>
      <c r="BY73" s="1159"/>
      <c r="BZ73" s="1159"/>
      <c r="CA73" s="1159"/>
      <c r="CB73" s="1159"/>
      <c r="CC73" s="11"/>
    </row>
    <row r="74" spans="1:172" x14ac:dyDescent="0.25">
      <c r="A74" s="1158"/>
      <c r="B74" s="1158"/>
      <c r="C74" s="1158"/>
      <c r="D74" s="1158"/>
      <c r="E74" s="1158"/>
      <c r="F74" s="990" t="e">
        <f>IF(BG25="","",BG25)</f>
      </c>
      <c r="G74" s="990"/>
      <c r="H74" s="990"/>
      <c r="I74" s="990"/>
      <c r="J74" s="990"/>
      <c r="K74" s="990"/>
      <c r="L74" s="990"/>
      <c r="M74" s="990"/>
      <c r="N74" s="990"/>
      <c r="O74" s="990" t="s">
        <v>751</v>
      </c>
      <c r="P74" s="990"/>
      <c r="Q74" s="990"/>
      <c r="R74" s="990"/>
      <c r="S74" s="990"/>
      <c r="T74" s="990"/>
      <c r="U74" s="990"/>
      <c r="V74" s="990"/>
      <c r="W74" s="990"/>
      <c r="X74" s="1163"/>
      <c r="Y74" s="1163"/>
      <c r="Z74" s="1163"/>
      <c r="AA74" s="1163"/>
      <c r="AB74" s="1163"/>
      <c r="AC74" s="1163"/>
      <c r="AD74" s="1163"/>
      <c r="AE74" s="1163"/>
      <c r="AF74" s="1163"/>
      <c r="AG74" s="1163"/>
      <c r="AH74" s="1163"/>
      <c r="AI74" s="1163"/>
      <c r="AJ74" s="1163"/>
      <c r="AK74" s="1163"/>
      <c r="AL74" s="1163"/>
      <c r="AM74" s="1162"/>
      <c r="AN74" s="1162"/>
      <c r="AO74" s="1162"/>
      <c r="AP74" s="1162"/>
      <c r="AQ74" s="1162"/>
      <c r="AR74" s="1162"/>
      <c r="AS74" s="1162"/>
      <c r="AT74" s="1162"/>
      <c r="AU74" s="1162"/>
      <c r="AV74" s="1161" t="s">
        <v>101</v>
      </c>
      <c r="AW74" s="1161"/>
      <c r="AX74" s="1161"/>
      <c r="AY74" s="1161"/>
      <c r="AZ74" s="1161"/>
      <c r="BA74" s="1161"/>
      <c r="BB74" s="1161"/>
      <c r="BC74" s="1161"/>
      <c r="BD74" s="1161"/>
      <c r="BE74" s="1160" t="str">
        <f>IF('Данные объект'!B7="","",'Данные объект'!B7)</f>
      </c>
      <c r="BF74" s="1160"/>
      <c r="BG74" s="1160"/>
      <c r="BH74" s="1160"/>
      <c r="BI74" s="1160"/>
      <c r="BJ74" s="1160"/>
      <c r="BK74" s="1160"/>
      <c r="BL74" s="1160"/>
      <c r="BM74" s="1116" t="str">
        <f>IF('Данные объект'!B28="","",'Данные объект'!B28)</f>
      </c>
      <c r="BN74" s="1116"/>
      <c r="BO74" s="1116"/>
      <c r="BP74" s="1116"/>
      <c r="BQ74" s="1116"/>
      <c r="BR74" s="1116"/>
      <c r="BS74" s="1116"/>
      <c r="BT74" s="1116"/>
      <c r="BU74" s="1116"/>
      <c r="BV74" s="1116"/>
      <c r="BW74" s="1116"/>
      <c r="BX74" s="1116"/>
      <c r="BY74" s="1159"/>
      <c r="BZ74" s="1159"/>
      <c r="CA74" s="1159"/>
      <c r="CB74" s="1159"/>
      <c r="CC74" s="11"/>
    </row>
    <row r="75" spans="1:172" x14ac:dyDescent="0.25">
      <c r="A75" s="1158"/>
      <c r="B75" s="1158"/>
      <c r="C75" s="1158"/>
      <c r="D75" s="1158"/>
      <c r="E75" s="1158"/>
      <c r="F75" s="990" t="e">
        <f>IF(BG25="","",BG25)</f>
      </c>
      <c r="G75" s="990"/>
      <c r="H75" s="990"/>
      <c r="I75" s="990"/>
      <c r="J75" s="990"/>
      <c r="K75" s="990"/>
      <c r="L75" s="990"/>
      <c r="M75" s="990"/>
      <c r="N75" s="990"/>
      <c r="O75" s="990" t="s">
        <v>751</v>
      </c>
      <c r="P75" s="990"/>
      <c r="Q75" s="990"/>
      <c r="R75" s="990"/>
      <c r="S75" s="990"/>
      <c r="T75" s="990"/>
      <c r="U75" s="990"/>
      <c r="V75" s="990"/>
      <c r="W75" s="990"/>
      <c r="X75" s="1163"/>
      <c r="Y75" s="1163"/>
      <c r="Z75" s="1163"/>
      <c r="AA75" s="1163"/>
      <c r="AB75" s="1163"/>
      <c r="AC75" s="1163"/>
      <c r="AD75" s="1163"/>
      <c r="AE75" s="1163"/>
      <c r="AF75" s="1163"/>
      <c r="AG75" s="1163"/>
      <c r="AH75" s="1163"/>
      <c r="AI75" s="1163"/>
      <c r="AJ75" s="1163"/>
      <c r="AK75" s="1163"/>
      <c r="AL75" s="1163"/>
      <c r="AM75" s="1162"/>
      <c r="AN75" s="1162"/>
      <c r="AO75" s="1162"/>
      <c r="AP75" s="1162"/>
      <c r="AQ75" s="1162"/>
      <c r="AR75" s="1162"/>
      <c r="AS75" s="1162"/>
      <c r="AT75" s="1162"/>
      <c r="AU75" s="1162"/>
      <c r="AV75" s="1161" t="s">
        <v>101</v>
      </c>
      <c r="AW75" s="1161"/>
      <c r="AX75" s="1161"/>
      <c r="AY75" s="1161"/>
      <c r="AZ75" s="1161"/>
      <c r="BA75" s="1161"/>
      <c r="BB75" s="1161"/>
      <c r="BC75" s="1161"/>
      <c r="BD75" s="1161"/>
      <c r="BE75" s="1160" t="str">
        <f>IF('Данные объект'!B7="","",'Данные объект'!B7)</f>
      </c>
      <c r="BF75" s="1160"/>
      <c r="BG75" s="1160"/>
      <c r="BH75" s="1160"/>
      <c r="BI75" s="1160"/>
      <c r="BJ75" s="1160"/>
      <c r="BK75" s="1160"/>
      <c r="BL75" s="1160"/>
      <c r="BM75" s="1116" t="str">
        <f>IF('Данные объект'!B28="","",'Данные объект'!B28)</f>
      </c>
      <c r="BN75" s="1116"/>
      <c r="BO75" s="1116"/>
      <c r="BP75" s="1116"/>
      <c r="BQ75" s="1116"/>
      <c r="BR75" s="1116"/>
      <c r="BS75" s="1116"/>
      <c r="BT75" s="1116"/>
      <c r="BU75" s="1116"/>
      <c r="BV75" s="1116"/>
      <c r="BW75" s="1116"/>
      <c r="BX75" s="1116"/>
      <c r="BY75" s="1159"/>
      <c r="BZ75" s="1159"/>
      <c r="CA75" s="1159"/>
      <c r="CB75" s="1159"/>
      <c r="CC75" s="11"/>
    </row>
    <row r="76" spans="1:172" x14ac:dyDescent="0.25">
      <c r="A76" s="1158"/>
      <c r="B76" s="1158"/>
      <c r="C76" s="1158"/>
      <c r="D76" s="1158"/>
      <c r="E76" s="1158"/>
      <c r="F76" s="990" t="e">
        <f>IF(BG25="","",BG25)</f>
      </c>
      <c r="G76" s="990"/>
      <c r="H76" s="990"/>
      <c r="I76" s="990"/>
      <c r="J76" s="990"/>
      <c r="K76" s="990"/>
      <c r="L76" s="990"/>
      <c r="M76" s="990"/>
      <c r="N76" s="990"/>
      <c r="O76" s="990" t="s">
        <v>751</v>
      </c>
      <c r="P76" s="990"/>
      <c r="Q76" s="990"/>
      <c r="R76" s="990"/>
      <c r="S76" s="990"/>
      <c r="T76" s="990"/>
      <c r="U76" s="990"/>
      <c r="V76" s="990"/>
      <c r="W76" s="990"/>
      <c r="X76" s="1163"/>
      <c r="Y76" s="1163"/>
      <c r="Z76" s="1163"/>
      <c r="AA76" s="1163"/>
      <c r="AB76" s="1163"/>
      <c r="AC76" s="1163"/>
      <c r="AD76" s="1163"/>
      <c r="AE76" s="1163"/>
      <c r="AF76" s="1163"/>
      <c r="AG76" s="1163"/>
      <c r="AH76" s="1163"/>
      <c r="AI76" s="1163"/>
      <c r="AJ76" s="1163"/>
      <c r="AK76" s="1163"/>
      <c r="AL76" s="1163"/>
      <c r="AM76" s="1162"/>
      <c r="AN76" s="1162"/>
      <c r="AO76" s="1162"/>
      <c r="AP76" s="1162"/>
      <c r="AQ76" s="1162"/>
      <c r="AR76" s="1162"/>
      <c r="AS76" s="1162"/>
      <c r="AT76" s="1162"/>
      <c r="AU76" s="1162"/>
      <c r="AV76" s="1161" t="s">
        <v>101</v>
      </c>
      <c r="AW76" s="1161"/>
      <c r="AX76" s="1161"/>
      <c r="AY76" s="1161"/>
      <c r="AZ76" s="1161"/>
      <c r="BA76" s="1161"/>
      <c r="BB76" s="1161"/>
      <c r="BC76" s="1161"/>
      <c r="BD76" s="1161"/>
      <c r="BE76" s="1160" t="str">
        <f>IF('Данные объект'!B7="","",'Данные объект'!B7)</f>
      </c>
      <c r="BF76" s="1160"/>
      <c r="BG76" s="1160"/>
      <c r="BH76" s="1160"/>
      <c r="BI76" s="1160"/>
      <c r="BJ76" s="1160"/>
      <c r="BK76" s="1160"/>
      <c r="BL76" s="1160"/>
      <c r="BM76" s="1116" t="str">
        <f>IF('Данные объект'!B28="","",'Данные объект'!B28)</f>
      </c>
      <c r="BN76" s="1116"/>
      <c r="BO76" s="1116"/>
      <c r="BP76" s="1116"/>
      <c r="BQ76" s="1116"/>
      <c r="BR76" s="1116"/>
      <c r="BS76" s="1116"/>
      <c r="BT76" s="1116"/>
      <c r="BU76" s="1116"/>
      <c r="BV76" s="1116"/>
      <c r="BW76" s="1116"/>
      <c r="BX76" s="1116"/>
      <c r="BY76" s="1164"/>
      <c r="BZ76" s="1164"/>
      <c r="CA76" s="1164"/>
      <c r="CB76" s="1164"/>
    </row>
    <row r="77" spans="1:172" x14ac:dyDescent="0.25">
      <c r="A77" s="1158"/>
      <c r="B77" s="1158"/>
      <c r="C77" s="1158"/>
      <c r="D77" s="1158"/>
      <c r="E77" s="1158"/>
      <c r="F77" s="990" t="e">
        <f>IF(BG25="","",BG25)</f>
      </c>
      <c r="G77" s="990"/>
      <c r="H77" s="990"/>
      <c r="I77" s="990"/>
      <c r="J77" s="990"/>
      <c r="K77" s="990"/>
      <c r="L77" s="990"/>
      <c r="M77" s="990"/>
      <c r="N77" s="990"/>
      <c r="O77" s="990" t="s">
        <v>751</v>
      </c>
      <c r="P77" s="990"/>
      <c r="Q77" s="990"/>
      <c r="R77" s="990"/>
      <c r="S77" s="990"/>
      <c r="T77" s="990"/>
      <c r="U77" s="990"/>
      <c r="V77" s="990"/>
      <c r="W77" s="990"/>
      <c r="X77" s="1163"/>
      <c r="Y77" s="1163"/>
      <c r="Z77" s="1163"/>
      <c r="AA77" s="1163"/>
      <c r="AB77" s="1163"/>
      <c r="AC77" s="1163"/>
      <c r="AD77" s="1163"/>
      <c r="AE77" s="1163"/>
      <c r="AF77" s="1163"/>
      <c r="AG77" s="1163"/>
      <c r="AH77" s="1163"/>
      <c r="AI77" s="1163"/>
      <c r="AJ77" s="1163"/>
      <c r="AK77" s="1163"/>
      <c r="AL77" s="1163"/>
      <c r="AM77" s="1162"/>
      <c r="AN77" s="1162"/>
      <c r="AO77" s="1162"/>
      <c r="AP77" s="1162"/>
      <c r="AQ77" s="1162"/>
      <c r="AR77" s="1162"/>
      <c r="AS77" s="1162"/>
      <c r="AT77" s="1162"/>
      <c r="AU77" s="1162"/>
      <c r="AV77" s="1161" t="s">
        <v>101</v>
      </c>
      <c r="AW77" s="1161"/>
      <c r="AX77" s="1161"/>
      <c r="AY77" s="1161"/>
      <c r="AZ77" s="1161"/>
      <c r="BA77" s="1161"/>
      <c r="BB77" s="1161"/>
      <c r="BC77" s="1161"/>
      <c r="BD77" s="1161"/>
      <c r="BE77" s="1160" t="str">
        <f>IF('Данные объект'!B7="","",'Данные объект'!B7)</f>
      </c>
      <c r="BF77" s="1160"/>
      <c r="BG77" s="1160"/>
      <c r="BH77" s="1160"/>
      <c r="BI77" s="1160"/>
      <c r="BJ77" s="1160"/>
      <c r="BK77" s="1160"/>
      <c r="BL77" s="1160"/>
      <c r="BM77" s="1116" t="str">
        <f>IF('Данные объект'!B28="","",'Данные объект'!B28)</f>
      </c>
      <c r="BN77" s="1116"/>
      <c r="BO77" s="1116"/>
      <c r="BP77" s="1116"/>
      <c r="BQ77" s="1116"/>
      <c r="BR77" s="1116"/>
      <c r="BS77" s="1116"/>
      <c r="BT77" s="1116"/>
      <c r="BU77" s="1116"/>
      <c r="BV77" s="1116"/>
      <c r="BW77" s="1116"/>
      <c r="BX77" s="1116"/>
      <c r="BY77" s="1164"/>
      <c r="BZ77" s="1164"/>
      <c r="CA77" s="1164"/>
      <c r="CB77" s="1164"/>
    </row>
    <row r="78" spans="1:172" x14ac:dyDescent="0.25">
      <c r="A78" s="1158"/>
      <c r="B78" s="1158"/>
      <c r="C78" s="1158"/>
      <c r="D78" s="1158"/>
      <c r="E78" s="1158"/>
      <c r="F78" s="990" t="e">
        <f>IF(BG25="","",BG25)</f>
      </c>
      <c r="G78" s="990"/>
      <c r="H78" s="990"/>
      <c r="I78" s="990"/>
      <c r="J78" s="990"/>
      <c r="K78" s="990"/>
      <c r="L78" s="990"/>
      <c r="M78" s="990"/>
      <c r="N78" s="990"/>
      <c r="O78" s="990" t="s">
        <v>751</v>
      </c>
      <c r="P78" s="990"/>
      <c r="Q78" s="990"/>
      <c r="R78" s="990"/>
      <c r="S78" s="990"/>
      <c r="T78" s="990"/>
      <c r="U78" s="990"/>
      <c r="V78" s="990"/>
      <c r="W78" s="990"/>
      <c r="X78" s="1163"/>
      <c r="Y78" s="1163"/>
      <c r="Z78" s="1163"/>
      <c r="AA78" s="1163"/>
      <c r="AB78" s="1163"/>
      <c r="AC78" s="1163"/>
      <c r="AD78" s="1163"/>
      <c r="AE78" s="1163"/>
      <c r="AF78" s="1163"/>
      <c r="AG78" s="1163"/>
      <c r="AH78" s="1163"/>
      <c r="AI78" s="1163"/>
      <c r="AJ78" s="1163"/>
      <c r="AK78" s="1163"/>
      <c r="AL78" s="1163"/>
      <c r="AM78" s="1162"/>
      <c r="AN78" s="1162"/>
      <c r="AO78" s="1162"/>
      <c r="AP78" s="1162"/>
      <c r="AQ78" s="1162"/>
      <c r="AR78" s="1162"/>
      <c r="AS78" s="1162"/>
      <c r="AT78" s="1162"/>
      <c r="AU78" s="1162"/>
      <c r="AV78" s="1161" t="s">
        <v>101</v>
      </c>
      <c r="AW78" s="1161"/>
      <c r="AX78" s="1161"/>
      <c r="AY78" s="1161"/>
      <c r="AZ78" s="1161"/>
      <c r="BA78" s="1161"/>
      <c r="BB78" s="1161"/>
      <c r="BC78" s="1161"/>
      <c r="BD78" s="1161"/>
      <c r="BE78" s="1160" t="str">
        <f>IF('Данные объект'!B7="","",'Данные объект'!B7)</f>
      </c>
      <c r="BF78" s="1160"/>
      <c r="BG78" s="1160"/>
      <c r="BH78" s="1160"/>
      <c r="BI78" s="1160"/>
      <c r="BJ78" s="1160"/>
      <c r="BK78" s="1160"/>
      <c r="BL78" s="1160"/>
      <c r="BM78" s="1116" t="str">
        <f>IF('Данные объект'!B28="","",'Данные объект'!B28)</f>
      </c>
      <c r="BN78" s="1116"/>
      <c r="BO78" s="1116"/>
      <c r="BP78" s="1116"/>
      <c r="BQ78" s="1116"/>
      <c r="BR78" s="1116"/>
      <c r="BS78" s="1116"/>
      <c r="BT78" s="1116"/>
      <c r="BU78" s="1116"/>
      <c r="BV78" s="1116"/>
      <c r="BW78" s="1116"/>
      <c r="BX78" s="1116"/>
      <c r="BY78" s="1164"/>
      <c r="BZ78" s="1164"/>
      <c r="CA78" s="1164"/>
      <c r="CB78" s="1164"/>
    </row>
    <row r="79" spans="1:172" x14ac:dyDescent="0.25">
      <c r="A79" s="1158"/>
      <c r="B79" s="1158"/>
      <c r="C79" s="1158"/>
      <c r="D79" s="1158"/>
      <c r="E79" s="1158"/>
      <c r="F79" s="990" t="e">
        <f>IF(BG25="","",BG25)</f>
      </c>
      <c r="G79" s="990"/>
      <c r="H79" s="990"/>
      <c r="I79" s="990"/>
      <c r="J79" s="990"/>
      <c r="K79" s="990"/>
      <c r="L79" s="990"/>
      <c r="M79" s="990"/>
      <c r="N79" s="990"/>
      <c r="O79" s="990" t="s">
        <v>751</v>
      </c>
      <c r="P79" s="990"/>
      <c r="Q79" s="990"/>
      <c r="R79" s="990"/>
      <c r="S79" s="990"/>
      <c r="T79" s="990"/>
      <c r="U79" s="990"/>
      <c r="V79" s="990"/>
      <c r="W79" s="990"/>
      <c r="X79" s="1163"/>
      <c r="Y79" s="1163"/>
      <c r="Z79" s="1163"/>
      <c r="AA79" s="1163"/>
      <c r="AB79" s="1163"/>
      <c r="AC79" s="1163"/>
      <c r="AD79" s="1163"/>
      <c r="AE79" s="1163"/>
      <c r="AF79" s="1163"/>
      <c r="AG79" s="1163"/>
      <c r="AH79" s="1163"/>
      <c r="AI79" s="1163"/>
      <c r="AJ79" s="1163"/>
      <c r="AK79" s="1163"/>
      <c r="AL79" s="1163"/>
      <c r="AM79" s="1162"/>
      <c r="AN79" s="1162"/>
      <c r="AO79" s="1162"/>
      <c r="AP79" s="1162"/>
      <c r="AQ79" s="1162"/>
      <c r="AR79" s="1162"/>
      <c r="AS79" s="1162"/>
      <c r="AT79" s="1162"/>
      <c r="AU79" s="1162"/>
      <c r="AV79" s="1161" t="s">
        <v>101</v>
      </c>
      <c r="AW79" s="1161"/>
      <c r="AX79" s="1161"/>
      <c r="AY79" s="1161"/>
      <c r="AZ79" s="1161"/>
      <c r="BA79" s="1161"/>
      <c r="BB79" s="1161"/>
      <c r="BC79" s="1161"/>
      <c r="BD79" s="1161"/>
      <c r="BE79" s="1160" t="str">
        <f>IF('Данные объект'!B7="","",'Данные объект'!B7)</f>
      </c>
      <c r="BF79" s="1160"/>
      <c r="BG79" s="1160"/>
      <c r="BH79" s="1160"/>
      <c r="BI79" s="1160"/>
      <c r="BJ79" s="1160"/>
      <c r="BK79" s="1160"/>
      <c r="BL79" s="1160"/>
      <c r="BM79" s="1116" t="str">
        <f>IF('Данные объект'!B28="","",'Данные объект'!B28)</f>
      </c>
      <c r="BN79" s="1116"/>
      <c r="BO79" s="1116"/>
      <c r="BP79" s="1116"/>
      <c r="BQ79" s="1116"/>
      <c r="BR79" s="1116"/>
      <c r="BS79" s="1116"/>
      <c r="BT79" s="1116"/>
      <c r="BU79" s="1116"/>
      <c r="BV79" s="1116"/>
      <c r="BW79" s="1116"/>
      <c r="BX79" s="1116"/>
      <c r="BY79" s="1164"/>
      <c r="BZ79" s="1164"/>
      <c r="CA79" s="1164"/>
      <c r="CB79" s="1164"/>
    </row>
    <row r="80" spans="1:172" x14ac:dyDescent="0.25">
      <c r="A80" s="1158"/>
      <c r="B80" s="1158"/>
      <c r="C80" s="1158"/>
      <c r="D80" s="1158"/>
      <c r="E80" s="1158"/>
      <c r="F80" s="990" t="e">
        <f>IF(BG25="","",BG25)</f>
      </c>
      <c r="G80" s="990"/>
      <c r="H80" s="990"/>
      <c r="I80" s="990"/>
      <c r="J80" s="990"/>
      <c r="K80" s="990"/>
      <c r="L80" s="990"/>
      <c r="M80" s="990"/>
      <c r="N80" s="990"/>
      <c r="O80" s="990" t="s">
        <v>751</v>
      </c>
      <c r="P80" s="990"/>
      <c r="Q80" s="990"/>
      <c r="R80" s="990"/>
      <c r="S80" s="990"/>
      <c r="T80" s="990"/>
      <c r="U80" s="990"/>
      <c r="V80" s="990"/>
      <c r="W80" s="990"/>
      <c r="X80" s="1163"/>
      <c r="Y80" s="1163"/>
      <c r="Z80" s="1163"/>
      <c r="AA80" s="1163"/>
      <c r="AB80" s="1163"/>
      <c r="AC80" s="1163"/>
      <c r="AD80" s="1163"/>
      <c r="AE80" s="1163"/>
      <c r="AF80" s="1163"/>
      <c r="AG80" s="1163"/>
      <c r="AH80" s="1163"/>
      <c r="AI80" s="1163"/>
      <c r="AJ80" s="1163"/>
      <c r="AK80" s="1163"/>
      <c r="AL80" s="1163"/>
      <c r="AM80" s="1162"/>
      <c r="AN80" s="1162"/>
      <c r="AO80" s="1162"/>
      <c r="AP80" s="1162"/>
      <c r="AQ80" s="1162"/>
      <c r="AR80" s="1162"/>
      <c r="AS80" s="1162"/>
      <c r="AT80" s="1162"/>
      <c r="AU80" s="1162"/>
      <c r="AV80" s="1161" t="s">
        <v>101</v>
      </c>
      <c r="AW80" s="1161"/>
      <c r="AX80" s="1161"/>
      <c r="AY80" s="1161"/>
      <c r="AZ80" s="1161"/>
      <c r="BA80" s="1161"/>
      <c r="BB80" s="1161"/>
      <c r="BC80" s="1161"/>
      <c r="BD80" s="1161"/>
      <c r="BE80" s="1160" t="str">
        <f>IF('Данные объект'!B7="","",'Данные объект'!B7)</f>
      </c>
      <c r="BF80" s="1160"/>
      <c r="BG80" s="1160"/>
      <c r="BH80" s="1160"/>
      <c r="BI80" s="1160"/>
      <c r="BJ80" s="1160"/>
      <c r="BK80" s="1160"/>
      <c r="BL80" s="1160"/>
      <c r="BM80" s="1116" t="str">
        <f>IF('Данные объект'!B28="","",'Данные объект'!B28)</f>
      </c>
      <c r="BN80" s="1116"/>
      <c r="BO80" s="1116"/>
      <c r="BP80" s="1116"/>
      <c r="BQ80" s="1116"/>
      <c r="BR80" s="1116"/>
      <c r="BS80" s="1116"/>
      <c r="BT80" s="1116"/>
      <c r="BU80" s="1116"/>
      <c r="BV80" s="1116"/>
      <c r="BW80" s="1116"/>
      <c r="BX80" s="1116"/>
      <c r="BY80" s="1164"/>
      <c r="BZ80" s="1164"/>
      <c r="CA80" s="1164"/>
      <c r="CB80" s="1164"/>
    </row>
    <row r="81" spans="1:80" x14ac:dyDescent="0.25">
      <c r="A81" s="1158"/>
      <c r="B81" s="1158"/>
      <c r="C81" s="1158"/>
      <c r="D81" s="1158"/>
      <c r="E81" s="1158"/>
      <c r="F81" s="990" t="e">
        <f>IF(BG25="","",BG25)</f>
      </c>
      <c r="G81" s="990"/>
      <c r="H81" s="990"/>
      <c r="I81" s="990"/>
      <c r="J81" s="990"/>
      <c r="K81" s="990"/>
      <c r="L81" s="990"/>
      <c r="M81" s="990"/>
      <c r="N81" s="990"/>
      <c r="O81" s="990" t="s">
        <v>751</v>
      </c>
      <c r="P81" s="990"/>
      <c r="Q81" s="990"/>
      <c r="R81" s="990"/>
      <c r="S81" s="990"/>
      <c r="T81" s="990"/>
      <c r="U81" s="990"/>
      <c r="V81" s="990"/>
      <c r="W81" s="990"/>
      <c r="X81" s="1163"/>
      <c r="Y81" s="1163"/>
      <c r="Z81" s="1163"/>
      <c r="AA81" s="1163"/>
      <c r="AB81" s="1163"/>
      <c r="AC81" s="1163"/>
      <c r="AD81" s="1163"/>
      <c r="AE81" s="1163"/>
      <c r="AF81" s="1163"/>
      <c r="AG81" s="1163"/>
      <c r="AH81" s="1163"/>
      <c r="AI81" s="1163"/>
      <c r="AJ81" s="1163"/>
      <c r="AK81" s="1163"/>
      <c r="AL81" s="1163"/>
      <c r="AM81" s="1162"/>
      <c r="AN81" s="1162"/>
      <c r="AO81" s="1162"/>
      <c r="AP81" s="1162"/>
      <c r="AQ81" s="1162"/>
      <c r="AR81" s="1162"/>
      <c r="AS81" s="1162"/>
      <c r="AT81" s="1162"/>
      <c r="AU81" s="1162"/>
      <c r="AV81" s="1161" t="s">
        <v>101</v>
      </c>
      <c r="AW81" s="1161"/>
      <c r="AX81" s="1161"/>
      <c r="AY81" s="1161"/>
      <c r="AZ81" s="1161"/>
      <c r="BA81" s="1161"/>
      <c r="BB81" s="1161"/>
      <c r="BC81" s="1161"/>
      <c r="BD81" s="1161"/>
      <c r="BE81" s="1160" t="str">
        <f>IF('Данные объект'!B7="","",'Данные объект'!B7)</f>
      </c>
      <c r="BF81" s="1160"/>
      <c r="BG81" s="1160"/>
      <c r="BH81" s="1160"/>
      <c r="BI81" s="1160"/>
      <c r="BJ81" s="1160"/>
      <c r="BK81" s="1160"/>
      <c r="BL81" s="1160"/>
      <c r="BM81" s="1116" t="str">
        <f>IF('Данные объект'!B28="","",'Данные объект'!B28)</f>
      </c>
      <c r="BN81" s="1116"/>
      <c r="BO81" s="1116"/>
      <c r="BP81" s="1116"/>
      <c r="BQ81" s="1116"/>
      <c r="BR81" s="1116"/>
      <c r="BS81" s="1116"/>
      <c r="BT81" s="1116"/>
      <c r="BU81" s="1116"/>
      <c r="BV81" s="1116"/>
      <c r="BW81" s="1116"/>
      <c r="BX81" s="1116"/>
      <c r="BY81" s="1164"/>
      <c r="BZ81" s="1164"/>
      <c r="CA81" s="1164"/>
      <c r="CB81" s="1164"/>
    </row>
    <row r="82" spans="1:80" x14ac:dyDescent="0.25">
      <c r="A82" s="1158"/>
      <c r="B82" s="1158"/>
      <c r="C82" s="1158"/>
      <c r="D82" s="1158"/>
      <c r="E82" s="1158"/>
      <c r="F82" s="990" t="e">
        <f>IF(BG25="","",BG25)</f>
      </c>
      <c r="G82" s="990"/>
      <c r="H82" s="990"/>
      <c r="I82" s="990"/>
      <c r="J82" s="990"/>
      <c r="K82" s="990"/>
      <c r="L82" s="990"/>
      <c r="M82" s="990"/>
      <c r="N82" s="990"/>
      <c r="O82" s="990" t="s">
        <v>751</v>
      </c>
      <c r="P82" s="990"/>
      <c r="Q82" s="990"/>
      <c r="R82" s="990"/>
      <c r="S82" s="990"/>
      <c r="T82" s="990"/>
      <c r="U82" s="990"/>
      <c r="V82" s="990"/>
      <c r="W82" s="990"/>
      <c r="X82" s="1163"/>
      <c r="Y82" s="1163"/>
      <c r="Z82" s="1163"/>
      <c r="AA82" s="1163"/>
      <c r="AB82" s="1163"/>
      <c r="AC82" s="1163"/>
      <c r="AD82" s="1163"/>
      <c r="AE82" s="1163"/>
      <c r="AF82" s="1163"/>
      <c r="AG82" s="1163"/>
      <c r="AH82" s="1163"/>
      <c r="AI82" s="1163"/>
      <c r="AJ82" s="1163"/>
      <c r="AK82" s="1163"/>
      <c r="AL82" s="1163"/>
      <c r="AM82" s="1162"/>
      <c r="AN82" s="1162"/>
      <c r="AO82" s="1162"/>
      <c r="AP82" s="1162"/>
      <c r="AQ82" s="1162"/>
      <c r="AR82" s="1162"/>
      <c r="AS82" s="1162"/>
      <c r="AT82" s="1162"/>
      <c r="AU82" s="1162"/>
      <c r="AV82" s="1161" t="s">
        <v>101</v>
      </c>
      <c r="AW82" s="1161"/>
      <c r="AX82" s="1161"/>
      <c r="AY82" s="1161"/>
      <c r="AZ82" s="1161"/>
      <c r="BA82" s="1161"/>
      <c r="BB82" s="1161"/>
      <c r="BC82" s="1161"/>
      <c r="BD82" s="1161"/>
      <c r="BE82" s="1160" t="str">
        <f>IF('Данные объект'!B7="","",'Данные объект'!B7)</f>
      </c>
      <c r="BF82" s="1160"/>
      <c r="BG82" s="1160"/>
      <c r="BH82" s="1160"/>
      <c r="BI82" s="1160"/>
      <c r="BJ82" s="1160"/>
      <c r="BK82" s="1160"/>
      <c r="BL82" s="1160"/>
      <c r="BM82" s="1116" t="str">
        <f>IF('Данные объект'!B28="","",'Данные объект'!B28)</f>
      </c>
      <c r="BN82" s="1116"/>
      <c r="BO82" s="1116"/>
      <c r="BP82" s="1116"/>
      <c r="BQ82" s="1116"/>
      <c r="BR82" s="1116"/>
      <c r="BS82" s="1116"/>
      <c r="BT82" s="1116"/>
      <c r="BU82" s="1116"/>
      <c r="BV82" s="1116"/>
      <c r="BW82" s="1116"/>
      <c r="BX82" s="1116"/>
      <c r="BY82" s="1164"/>
      <c r="BZ82" s="1164"/>
      <c r="CA82" s="1164"/>
      <c r="CB82" s="1164"/>
    </row>
    <row r="83" spans="1:80" x14ac:dyDescent="0.25">
      <c r="A83" s="1158"/>
      <c r="B83" s="1158"/>
      <c r="C83" s="1158"/>
      <c r="D83" s="1158"/>
      <c r="E83" s="1158"/>
      <c r="F83" s="990" t="e">
        <f>IF(BG25="","",BG25)</f>
      </c>
      <c r="G83" s="990"/>
      <c r="H83" s="990"/>
      <c r="I83" s="990"/>
      <c r="J83" s="990"/>
      <c r="K83" s="990"/>
      <c r="L83" s="990"/>
      <c r="M83" s="990"/>
      <c r="N83" s="990"/>
      <c r="O83" s="990" t="s">
        <v>751</v>
      </c>
      <c r="P83" s="990"/>
      <c r="Q83" s="990"/>
      <c r="R83" s="990"/>
      <c r="S83" s="990"/>
      <c r="T83" s="990"/>
      <c r="U83" s="990"/>
      <c r="V83" s="990"/>
      <c r="W83" s="990"/>
      <c r="X83" s="1163"/>
      <c r="Y83" s="1163"/>
      <c r="Z83" s="1163"/>
      <c r="AA83" s="1163"/>
      <c r="AB83" s="1163"/>
      <c r="AC83" s="1163"/>
      <c r="AD83" s="1163"/>
      <c r="AE83" s="1163"/>
      <c r="AF83" s="1163"/>
      <c r="AG83" s="1163"/>
      <c r="AH83" s="1163"/>
      <c r="AI83" s="1163"/>
      <c r="AJ83" s="1163"/>
      <c r="AK83" s="1163"/>
      <c r="AL83" s="1163"/>
      <c r="AM83" s="1162"/>
      <c r="AN83" s="1162"/>
      <c r="AO83" s="1162"/>
      <c r="AP83" s="1162"/>
      <c r="AQ83" s="1162"/>
      <c r="AR83" s="1162"/>
      <c r="AS83" s="1162"/>
      <c r="AT83" s="1162"/>
      <c r="AU83" s="1162"/>
      <c r="AV83" s="1161" t="s">
        <v>101</v>
      </c>
      <c r="AW83" s="1161"/>
      <c r="AX83" s="1161"/>
      <c r="AY83" s="1161"/>
      <c r="AZ83" s="1161"/>
      <c r="BA83" s="1161"/>
      <c r="BB83" s="1161"/>
      <c r="BC83" s="1161"/>
      <c r="BD83" s="1161"/>
      <c r="BE83" s="1160" t="str">
        <f>IF('Данные объект'!B7="","",'Данные объект'!B7)</f>
      </c>
      <c r="BF83" s="1160"/>
      <c r="BG83" s="1160"/>
      <c r="BH83" s="1160"/>
      <c r="BI83" s="1160"/>
      <c r="BJ83" s="1160"/>
      <c r="BK83" s="1160"/>
      <c r="BL83" s="1160"/>
      <c r="BM83" s="1116" t="str">
        <f>IF('Данные объект'!B28="","",'Данные объект'!B28)</f>
      </c>
      <c r="BN83" s="1116"/>
      <c r="BO83" s="1116"/>
      <c r="BP83" s="1116"/>
      <c r="BQ83" s="1116"/>
      <c r="BR83" s="1116"/>
      <c r="BS83" s="1116"/>
      <c r="BT83" s="1116"/>
      <c r="BU83" s="1116"/>
      <c r="BV83" s="1116"/>
      <c r="BW83" s="1116"/>
      <c r="BX83" s="1116"/>
      <c r="BY83" s="872"/>
      <c r="BZ83" s="872"/>
      <c r="CA83" s="872"/>
      <c r="CB83" s="872"/>
    </row>
    <row r="84" spans="1:80" x14ac:dyDescent="0.25">
      <c r="A84" s="1158"/>
      <c r="B84" s="1158"/>
      <c r="C84" s="1158"/>
      <c r="D84" s="1158"/>
      <c r="E84" s="1158"/>
      <c r="F84" s="990" t="e">
        <f>IF(BG25="","",BG25)</f>
      </c>
      <c r="G84" s="990"/>
      <c r="H84" s="990"/>
      <c r="I84" s="990"/>
      <c r="J84" s="990"/>
      <c r="K84" s="990"/>
      <c r="L84" s="990"/>
      <c r="M84" s="990"/>
      <c r="N84" s="990"/>
      <c r="O84" s="990" t="s">
        <v>751</v>
      </c>
      <c r="P84" s="990"/>
      <c r="Q84" s="990"/>
      <c r="R84" s="990"/>
      <c r="S84" s="990"/>
      <c r="T84" s="990"/>
      <c r="U84" s="990"/>
      <c r="V84" s="990"/>
      <c r="W84" s="990"/>
      <c r="X84" s="1163"/>
      <c r="Y84" s="1163"/>
      <c r="Z84" s="1163"/>
      <c r="AA84" s="1163"/>
      <c r="AB84" s="1163"/>
      <c r="AC84" s="1163"/>
      <c r="AD84" s="1163"/>
      <c r="AE84" s="1163"/>
      <c r="AF84" s="1163"/>
      <c r="AG84" s="1163"/>
      <c r="AH84" s="1163"/>
      <c r="AI84" s="1163"/>
      <c r="AJ84" s="1163"/>
      <c r="AK84" s="1163"/>
      <c r="AL84" s="1163"/>
      <c r="AM84" s="1162"/>
      <c r="AN84" s="1162"/>
      <c r="AO84" s="1162"/>
      <c r="AP84" s="1162"/>
      <c r="AQ84" s="1162"/>
      <c r="AR84" s="1162"/>
      <c r="AS84" s="1162"/>
      <c r="AT84" s="1162"/>
      <c r="AU84" s="1162"/>
      <c r="AV84" s="1161" t="s">
        <v>101</v>
      </c>
      <c r="AW84" s="1161"/>
      <c r="AX84" s="1161"/>
      <c r="AY84" s="1161"/>
      <c r="AZ84" s="1161"/>
      <c r="BA84" s="1161"/>
      <c r="BB84" s="1161"/>
      <c r="BC84" s="1161"/>
      <c r="BD84" s="1161"/>
      <c r="BE84" s="1160" t="str">
        <f>IF('Данные объект'!B7="","",'Данные объект'!B7)</f>
      </c>
      <c r="BF84" s="1160"/>
      <c r="BG84" s="1160"/>
      <c r="BH84" s="1160"/>
      <c r="BI84" s="1160"/>
      <c r="BJ84" s="1160"/>
      <c r="BK84" s="1160"/>
      <c r="BL84" s="1160"/>
      <c r="BM84" s="1116" t="str">
        <f>IF('Данные объект'!B28="","",'Данные объект'!B28)</f>
      </c>
      <c r="BN84" s="1116"/>
      <c r="BO84" s="1116"/>
      <c r="BP84" s="1116"/>
      <c r="BQ84" s="1116"/>
      <c r="BR84" s="1116"/>
      <c r="BS84" s="1116"/>
      <c r="BT84" s="1116"/>
      <c r="BU84" s="1116"/>
      <c r="BV84" s="1116"/>
      <c r="BW84" s="1116"/>
      <c r="BX84" s="1116"/>
      <c r="BY84" s="872"/>
      <c r="BZ84" s="872"/>
      <c r="CA84" s="872"/>
      <c r="CB84" s="872"/>
    </row>
    <row r="85" spans="1:80" x14ac:dyDescent="0.25">
      <c r="AN85"/>
      <c r="AO85"/>
      <c r="AP85"/>
      <c r="AQ85"/>
      <c r="AR85"/>
      <c r="AS85"/>
      <c r="AT85"/>
      <c r="AU85"/>
      <c r="AV85"/>
      <c r="AW85"/>
      <c r="AX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1:80" ht="6.6" customHeight="1" x14ac:dyDescent="0.25">
      <c r="AN86"/>
      <c r="AO86"/>
      <c r="AP86"/>
      <c r="AQ86"/>
      <c r="AR86"/>
      <c r="AS86"/>
      <c r="AT86"/>
      <c r="AU86"/>
      <c r="AV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1:80" x14ac:dyDescent="0.25">
      <c r="A87" s="11" t="s">
        <v>50</v>
      </c>
      <c r="B87" s="11"/>
      <c r="C87" s="57" t="s">
        <v>271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x14ac:dyDescent="0.25">
      <c r="A88" s="11"/>
      <c r="B88" s="11"/>
      <c r="C88" s="11"/>
      <c r="D88" s="11"/>
      <c r="E88" s="11" t="s">
        <v>272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ht="7.9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x14ac:dyDescent="0.25">
      <c r="A90" s="11"/>
      <c r="B90" s="11"/>
      <c r="C90" s="57" t="s">
        <v>273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11"/>
      <c r="D91" s="11"/>
      <c r="E91" s="11" t="s">
        <v>274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2" customFormat="1" ht="12.75" x14ac:dyDescent="0.2">
      <c r="A94" s="11"/>
      <c r="B94" s="11"/>
      <c r="C94" s="11"/>
      <c r="D94" s="45" t="s">
        <v>59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855"/>
      <c r="AN94" s="855"/>
      <c r="AO94" s="855"/>
      <c r="AP94" s="855"/>
      <c r="AQ94" s="855"/>
      <c r="AR94" s="855"/>
      <c r="AS94" s="855"/>
      <c r="AT94" s="855"/>
      <c r="AU94" s="855"/>
      <c r="AV94" s="855"/>
      <c r="AW94" s="855"/>
      <c r="AX94" s="855"/>
      <c r="AY94" s="855"/>
      <c r="AZ94" s="11"/>
      <c r="BA94" s="11"/>
      <c r="BB94" s="11"/>
      <c r="BC94" s="893" t="str">
        <f>IF('Данные объект'!B44="","",'Данные объект'!B44)</f>
      </c>
      <c r="BD94" s="893"/>
      <c r="BE94" s="893"/>
      <c r="BF94" s="893"/>
      <c r="BG94" s="893"/>
      <c r="BH94" s="893"/>
      <c r="BI94" s="893"/>
      <c r="BJ94" s="893"/>
      <c r="BK94" s="893"/>
      <c r="BL94" s="893"/>
      <c r="BM94" s="893"/>
      <c r="BN94" s="893"/>
      <c r="BO94" s="893"/>
      <c r="BP94" s="893"/>
      <c r="BQ94" s="893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5" customFormat="1" ht="9.75" x14ac:dyDescent="0.2">
      <c r="C95" s="20"/>
      <c r="E95" s="21"/>
      <c r="F95" s="21"/>
      <c r="G95" s="20"/>
      <c r="H95" s="20"/>
      <c r="I95" s="20"/>
      <c r="J95" s="20"/>
      <c r="K95" s="20"/>
      <c r="L95" s="20"/>
      <c r="M95" s="20"/>
      <c r="AM95" s="858" t="s">
        <v>2</v>
      </c>
      <c r="AN95" s="858"/>
      <c r="AO95" s="858"/>
      <c r="AP95" s="858"/>
      <c r="AQ95" s="858"/>
      <c r="AR95" s="858"/>
      <c r="AS95" s="858"/>
      <c r="AT95" s="858"/>
      <c r="AU95" s="858"/>
      <c r="AV95" s="858"/>
      <c r="AW95" s="858"/>
      <c r="AX95" s="858"/>
      <c r="AY95" s="858"/>
    </row>
    <row r="96" spans="1:80" s="5" customFormat="1" ht="9.75" x14ac:dyDescent="0.2">
      <c r="C96" s="20"/>
      <c r="E96" s="21"/>
      <c r="F96" s="21"/>
      <c r="G96" s="20"/>
      <c r="H96" s="20"/>
      <c r="I96" s="20"/>
      <c r="J96" s="20"/>
      <c r="K96" s="20"/>
      <c r="L96" s="20"/>
      <c r="M96" s="20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</row>
    <row r="97" spans="1:80" s="2" customFormat="1" ht="12.75" x14ac:dyDescent="0.2">
      <c r="A97" s="11"/>
      <c r="B97" s="11"/>
      <c r="C97" s="11"/>
      <c r="D97" s="4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855"/>
      <c r="AN97" s="855"/>
      <c r="AO97" s="855"/>
      <c r="AP97" s="855"/>
      <c r="AQ97" s="855"/>
      <c r="AR97" s="855"/>
      <c r="AS97" s="855"/>
      <c r="AT97" s="855"/>
      <c r="AU97" s="855"/>
      <c r="AV97" s="855"/>
      <c r="AW97" s="855"/>
      <c r="AX97" s="855"/>
      <c r="AY97" s="855"/>
      <c r="AZ97" s="11"/>
      <c r="BA97" s="11"/>
      <c r="BB97" s="11"/>
      <c r="BC97" s="893" t="str">
        <f>IF('Данные объект'!B47="","",'Данные объект'!B47)</f>
      </c>
      <c r="BD97" s="893"/>
      <c r="BE97" s="893"/>
      <c r="BF97" s="893"/>
      <c r="BG97" s="893"/>
      <c r="BH97" s="893"/>
      <c r="BI97" s="893"/>
      <c r="BJ97" s="893"/>
      <c r="BK97" s="893"/>
      <c r="BL97" s="893"/>
      <c r="BM97" s="893"/>
      <c r="BN97" s="893"/>
      <c r="BO97" s="893"/>
      <c r="BP97" s="893"/>
      <c r="BQ97" s="893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s="5" customFormat="1" ht="9.75" x14ac:dyDescent="0.2">
      <c r="C98" s="20"/>
      <c r="E98" s="21"/>
      <c r="F98" s="21"/>
      <c r="G98" s="20"/>
      <c r="H98" s="20"/>
      <c r="I98" s="20"/>
      <c r="J98" s="20"/>
      <c r="K98" s="20"/>
      <c r="L98" s="20"/>
      <c r="M98" s="20"/>
      <c r="AM98" s="858" t="s">
        <v>2</v>
      </c>
      <c r="AN98" s="858"/>
      <c r="AO98" s="858"/>
      <c r="AP98" s="858"/>
      <c r="AQ98" s="858"/>
      <c r="AR98" s="858"/>
      <c r="AS98" s="858"/>
      <c r="AT98" s="858"/>
      <c r="AU98" s="858"/>
      <c r="AV98" s="858"/>
      <c r="AW98" s="858"/>
      <c r="AX98" s="858"/>
      <c r="AY98" s="858"/>
    </row>
    <row r="99" spans="1:80" s="5" customFormat="1" ht="12.75" outlineLevel="1" x14ac:dyDescent="0.2">
      <c r="C99" s="20"/>
      <c r="D99" s="21"/>
      <c r="E99" s="21"/>
      <c r="F99" s="21"/>
      <c r="G99" s="20"/>
      <c r="H99" s="20"/>
      <c r="I99" s="20"/>
      <c r="J99" s="20"/>
      <c r="K99" s="20"/>
      <c r="L99" s="20"/>
      <c r="M99" s="2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</row>
    <row r="100" spans="1:80" s="11" customFormat="1" ht="11.25" x14ac:dyDescent="0.2">
      <c r="C100" s="57"/>
      <c r="D100" s="45" t="s">
        <v>61</v>
      </c>
      <c r="E100" s="45"/>
      <c r="F100" s="45"/>
      <c r="G100" s="57"/>
      <c r="H100" s="57"/>
      <c r="I100" s="57"/>
      <c r="J100" s="57"/>
      <c r="K100" s="57"/>
      <c r="L100" s="57"/>
      <c r="M100" s="57"/>
      <c r="AM100" s="855"/>
      <c r="AN100" s="855"/>
      <c r="AO100" s="855"/>
      <c r="AP100" s="855"/>
      <c r="AQ100" s="855"/>
      <c r="AR100" s="855"/>
      <c r="AS100" s="855"/>
      <c r="AT100" s="855"/>
      <c r="AU100" s="855"/>
      <c r="AV100" s="855"/>
      <c r="AW100" s="855"/>
      <c r="AX100" s="855"/>
      <c r="AY100" s="855"/>
      <c r="BC100" s="893" t="str">
        <f>IF('Данные объект'!B28="","",'Данные объект'!B28)</f>
      </c>
      <c r="BD100" s="893"/>
      <c r="BE100" s="893"/>
      <c r="BF100" s="893"/>
      <c r="BG100" s="893"/>
      <c r="BH100" s="893"/>
      <c r="BI100" s="893"/>
      <c r="BJ100" s="893"/>
      <c r="BK100" s="893"/>
      <c r="BL100" s="893"/>
      <c r="BM100" s="893"/>
      <c r="BN100" s="893"/>
      <c r="BO100" s="893"/>
      <c r="BP100" s="893"/>
      <c r="BQ100" s="893"/>
    </row>
    <row r="101" spans="1:80" s="5" customFormat="1" ht="9.75" x14ac:dyDescent="0.2">
      <c r="C101" s="20"/>
      <c r="E101" s="21"/>
      <c r="F101" s="21"/>
      <c r="G101" s="20"/>
      <c r="H101" s="20"/>
      <c r="I101" s="20"/>
      <c r="J101" s="20"/>
      <c r="K101" s="20"/>
      <c r="L101" s="20"/>
      <c r="M101" s="20"/>
      <c r="AM101" s="858" t="s">
        <v>2</v>
      </c>
      <c r="AN101" s="858"/>
      <c r="AO101" s="858"/>
      <c r="AP101" s="858"/>
      <c r="AQ101" s="858"/>
      <c r="AR101" s="858"/>
      <c r="AS101" s="858"/>
      <c r="AT101" s="858"/>
      <c r="AU101" s="858"/>
      <c r="AV101" s="858"/>
      <c r="AW101" s="858"/>
      <c r="AX101" s="858"/>
      <c r="AY101" s="858"/>
    </row>
  </sheetData>
  <mergeCells count="230">
    <mergeCell ref="AM97:AY97"/>
    <mergeCell ref="BC97:BQ97"/>
    <mergeCell ref="AM98:AY98"/>
    <mergeCell ref="AV69:BD69"/>
    <mergeCell ref="AV70:BD70"/>
    <mergeCell ref="AV71:BD71"/>
    <mergeCell ref="AV72:BD72"/>
    <mergeCell ref="AV73:BD73"/>
    <mergeCell ref="AV74:BD74"/>
    <mergeCell ref="AV75:BD75"/>
    <mergeCell ref="AV76:BD76"/>
    <mergeCell ref="AV77:BD77"/>
    <mergeCell ref="BM80:BX80"/>
    <mergeCell ref="BM81:BX81"/>
    <mergeCell ref="BM82:BX82"/>
    <mergeCell ref="BM83:BX83"/>
    <mergeCell ref="AV84:BD84"/>
    <mergeCell ref="AV78:BD78"/>
    <mergeCell ref="AV79:BD79"/>
    <mergeCell ref="AV80:BD80"/>
    <mergeCell ref="AV81:BD81"/>
    <mergeCell ref="AV82:BD82"/>
    <mergeCell ref="AV83:BD83"/>
    <mergeCell ref="BE84:BL84"/>
    <mergeCell ref="BE81:BL81"/>
    <mergeCell ref="BE82:BL82"/>
    <mergeCell ref="BE83:BL83"/>
    <mergeCell ref="BE71:BL71"/>
    <mergeCell ref="BE72:BL72"/>
    <mergeCell ref="BE73:BL73"/>
    <mergeCell ref="BE74:BL74"/>
    <mergeCell ref="BE75:BL75"/>
    <mergeCell ref="BE76:BL76"/>
    <mergeCell ref="BE77:BL77"/>
    <mergeCell ref="BE69:BL69"/>
    <mergeCell ref="BE70:BL70"/>
    <mergeCell ref="BY69:CB69"/>
    <mergeCell ref="BY70:CB70"/>
    <mergeCell ref="BY71:CB71"/>
    <mergeCell ref="BY72:CB72"/>
    <mergeCell ref="BY73:CB73"/>
    <mergeCell ref="BY74:CB74"/>
    <mergeCell ref="BY75:CB75"/>
    <mergeCell ref="BM69:BX69"/>
    <mergeCell ref="BM70:BX70"/>
    <mergeCell ref="BM71:BX71"/>
    <mergeCell ref="BM72:BX72"/>
    <mergeCell ref="BM73:BX73"/>
    <mergeCell ref="BM74:BX74"/>
    <mergeCell ref="BM75:BX75"/>
    <mergeCell ref="BY76:CB76"/>
    <mergeCell ref="BY77:CB77"/>
    <mergeCell ref="X84:AL84"/>
    <mergeCell ref="X78:AL78"/>
    <mergeCell ref="X79:AL79"/>
    <mergeCell ref="X80:AL80"/>
    <mergeCell ref="X81:AL81"/>
    <mergeCell ref="X82:AL82"/>
    <mergeCell ref="X83:AL83"/>
    <mergeCell ref="BM78:BX78"/>
    <mergeCell ref="BM79:BX79"/>
    <mergeCell ref="BY84:CB84"/>
    <mergeCell ref="BM76:BX76"/>
    <mergeCell ref="BM77:BX77"/>
    <mergeCell ref="BY78:CB78"/>
    <mergeCell ref="BY79:CB79"/>
    <mergeCell ref="BY80:CB80"/>
    <mergeCell ref="BY81:CB81"/>
    <mergeCell ref="BY82:CB82"/>
    <mergeCell ref="BY83:CB83"/>
    <mergeCell ref="BM84:BX84"/>
    <mergeCell ref="BE78:BL78"/>
    <mergeCell ref="BE79:BL79"/>
    <mergeCell ref="BE80:BL80"/>
    <mergeCell ref="F84:N84"/>
    <mergeCell ref="F78:N78"/>
    <mergeCell ref="F79:N79"/>
    <mergeCell ref="F80:N80"/>
    <mergeCell ref="F81:N81"/>
    <mergeCell ref="F82:N82"/>
    <mergeCell ref="F83:N83"/>
    <mergeCell ref="O84:W84"/>
    <mergeCell ref="AM75:AU75"/>
    <mergeCell ref="F75:N75"/>
    <mergeCell ref="F76:N76"/>
    <mergeCell ref="F77:N77"/>
    <mergeCell ref="O78:W78"/>
    <mergeCell ref="O79:W79"/>
    <mergeCell ref="O80:W80"/>
    <mergeCell ref="O81:W81"/>
    <mergeCell ref="O82:W82"/>
    <mergeCell ref="O83:W83"/>
    <mergeCell ref="F70:N70"/>
    <mergeCell ref="F71:N71"/>
    <mergeCell ref="F72:N72"/>
    <mergeCell ref="F73:N73"/>
    <mergeCell ref="F74:N74"/>
    <mergeCell ref="AM76:AU76"/>
    <mergeCell ref="AM77:AU77"/>
    <mergeCell ref="O69:W69"/>
    <mergeCell ref="O70:W70"/>
    <mergeCell ref="O71:W71"/>
    <mergeCell ref="O72:W72"/>
    <mergeCell ref="O73:W73"/>
    <mergeCell ref="O74:W74"/>
    <mergeCell ref="O75:W75"/>
    <mergeCell ref="O76:W76"/>
    <mergeCell ref="O77:W77"/>
    <mergeCell ref="AM71:AU71"/>
    <mergeCell ref="AM69:AU69"/>
    <mergeCell ref="AM70:AU70"/>
    <mergeCell ref="A80:E80"/>
    <mergeCell ref="A81:E81"/>
    <mergeCell ref="A82:E82"/>
    <mergeCell ref="AM84:AU84"/>
    <mergeCell ref="X69:AL69"/>
    <mergeCell ref="X70:AL70"/>
    <mergeCell ref="X71:AL71"/>
    <mergeCell ref="X72:AL72"/>
    <mergeCell ref="X73:AL73"/>
    <mergeCell ref="X74:AL74"/>
    <mergeCell ref="X75:AL75"/>
    <mergeCell ref="X76:AL76"/>
    <mergeCell ref="X77:AL77"/>
    <mergeCell ref="AM78:AU78"/>
    <mergeCell ref="AM79:AU79"/>
    <mergeCell ref="AM80:AU80"/>
    <mergeCell ref="AM81:AU81"/>
    <mergeCell ref="AM82:AU82"/>
    <mergeCell ref="AM83:AU83"/>
    <mergeCell ref="AM72:AU72"/>
    <mergeCell ref="AM73:AU73"/>
    <mergeCell ref="AM74:AU74"/>
    <mergeCell ref="A83:E83"/>
    <mergeCell ref="F69:N69"/>
    <mergeCell ref="X63:AL67"/>
    <mergeCell ref="AM63:AU67"/>
    <mergeCell ref="AV63:BD67"/>
    <mergeCell ref="A84:E84"/>
    <mergeCell ref="BY68:CB68"/>
    <mergeCell ref="BM68:BX68"/>
    <mergeCell ref="BE68:BL68"/>
    <mergeCell ref="AV68:BD68"/>
    <mergeCell ref="AM68:AU68"/>
    <mergeCell ref="A74:E74"/>
    <mergeCell ref="A75:E75"/>
    <mergeCell ref="A76:E76"/>
    <mergeCell ref="A77:E77"/>
    <mergeCell ref="A78:E78"/>
    <mergeCell ref="A79:E79"/>
    <mergeCell ref="A68:E68"/>
    <mergeCell ref="A69:E69"/>
    <mergeCell ref="A70:E70"/>
    <mergeCell ref="A71:E71"/>
    <mergeCell ref="A72:E72"/>
    <mergeCell ref="A73:E73"/>
    <mergeCell ref="X68:AL68"/>
    <mergeCell ref="O68:W68"/>
    <mergeCell ref="F68:N68"/>
    <mergeCell ref="AM101:AY101"/>
    <mergeCell ref="BG25:CB25"/>
    <mergeCell ref="AS28:BB28"/>
    <mergeCell ref="C28:AR28"/>
    <mergeCell ref="BC28:CB28"/>
    <mergeCell ref="AS29:BB29"/>
    <mergeCell ref="AB30:AK30"/>
    <mergeCell ref="AM95:AY95"/>
    <mergeCell ref="AM100:AY100"/>
    <mergeCell ref="BC100:BQ100"/>
    <mergeCell ref="T42:CB42"/>
    <mergeCell ref="C43:CB43"/>
    <mergeCell ref="Z44:CB44"/>
    <mergeCell ref="Z45:CB45"/>
    <mergeCell ref="Z46:CB46"/>
    <mergeCell ref="Z47:CB47"/>
    <mergeCell ref="AM34:CB34"/>
    <mergeCell ref="M36:CB36"/>
    <mergeCell ref="AM35:CB35"/>
    <mergeCell ref="M37:CB37"/>
    <mergeCell ref="C39:CB40"/>
    <mergeCell ref="C53:CB53"/>
    <mergeCell ref="BM63:BX67"/>
    <mergeCell ref="O63:W67"/>
    <mergeCell ref="AM94:AY94"/>
    <mergeCell ref="BC94:BQ94"/>
    <mergeCell ref="AU30:BD30"/>
    <mergeCell ref="AB32:AK32"/>
    <mergeCell ref="AU32:BD32"/>
    <mergeCell ref="AB31:AK31"/>
    <mergeCell ref="AU31:BD31"/>
    <mergeCell ref="AU33:BD33"/>
    <mergeCell ref="AB33:AK33"/>
    <mergeCell ref="T41:CB41"/>
    <mergeCell ref="AA54:CB54"/>
    <mergeCell ref="C55:CB55"/>
    <mergeCell ref="C56:CB56"/>
    <mergeCell ref="C57:CB57"/>
    <mergeCell ref="BI60:CB60"/>
    <mergeCell ref="BA48:CB48"/>
    <mergeCell ref="C49:CB49"/>
    <mergeCell ref="C50:CB50"/>
    <mergeCell ref="AJ51:CB51"/>
    <mergeCell ref="C52:CB52"/>
    <mergeCell ref="A63:E67"/>
    <mergeCell ref="F63:N67"/>
    <mergeCell ref="BY63:CB67"/>
    <mergeCell ref="BE63:BL67"/>
    <mergeCell ref="A25:BC25"/>
    <mergeCell ref="A2:AI2"/>
    <mergeCell ref="A3:AI3"/>
    <mergeCell ref="AR1:BZ2"/>
    <mergeCell ref="AR3:BZ3"/>
    <mergeCell ref="A4:AI4"/>
    <mergeCell ref="AR4:BZ4"/>
    <mergeCell ref="A5:AI5"/>
    <mergeCell ref="AR5:BZ5"/>
    <mergeCell ref="AR6:BZ9"/>
    <mergeCell ref="A8:AI9"/>
    <mergeCell ref="AR10:BZ10"/>
    <mergeCell ref="AR11:BZ11"/>
    <mergeCell ref="A13:CB13"/>
    <mergeCell ref="A18:CB18"/>
    <mergeCell ref="A10:AI10"/>
    <mergeCell ref="A11:AI11"/>
    <mergeCell ref="A19:CB19"/>
    <mergeCell ref="A23:CB23"/>
    <mergeCell ref="A24:CB24"/>
    <mergeCell ref="A20:CB20"/>
    <mergeCell ref="A21:CB21"/>
    <mergeCell ref="A14:CB14"/>
  </mergeCells>
  <pageMargins left="0.78740157480314965" right="0.19685039370078741" top="0.39370078740157483" bottom="0.39370078740157483" header="0.11811023622047245" footer="0.11811023622047245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D181-4126-43C8-8932-B21EA90802A3}">
  <sheetPr>
    <tabColor rgb="FFFF0000"/>
  </sheetPr>
  <dimension ref="A1:FP97"/>
  <sheetViews>
    <sheetView view="pageBreakPreview" topLeftCell="A16" zoomScaleNormal="100" zoomScaleSheetLayoutView="100" workbookViewId="0">
      <selection activeCell="A14" sqref="A14:CB14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940" t="str">
        <f>IF('Данные объект'!B3="","",'Данные объект'!B3)</f>
      </c>
      <c r="AS6" s="940"/>
      <c r="AT6" s="940"/>
      <c r="AU6" s="940"/>
      <c r="AV6" s="940"/>
      <c r="AW6" s="940"/>
      <c r="AX6" s="940"/>
      <c r="AY6" s="940"/>
      <c r="AZ6" s="940"/>
      <c r="BA6" s="940"/>
      <c r="BB6" s="940"/>
      <c r="BC6" s="940"/>
      <c r="BD6" s="940"/>
      <c r="BE6" s="940"/>
      <c r="BF6" s="940"/>
      <c r="BG6" s="940"/>
      <c r="BH6" s="940"/>
      <c r="BI6" s="940"/>
      <c r="BJ6" s="940"/>
      <c r="BK6" s="940"/>
      <c r="BL6" s="940"/>
      <c r="BM6" s="940"/>
      <c r="BN6" s="940"/>
      <c r="BO6" s="940"/>
      <c r="BP6" s="940"/>
      <c r="BQ6" s="940"/>
      <c r="BR6" s="940"/>
      <c r="BS6" s="940"/>
      <c r="BT6" s="940"/>
      <c r="BU6" s="940"/>
      <c r="BV6" s="940"/>
      <c r="BW6" s="940"/>
      <c r="BX6" s="940"/>
      <c r="BY6" s="940"/>
      <c r="BZ6" s="940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940"/>
      <c r="AS7" s="940"/>
      <c r="AT7" s="940"/>
      <c r="AU7" s="940"/>
      <c r="AV7" s="940"/>
      <c r="AW7" s="940"/>
      <c r="AX7" s="940"/>
      <c r="AY7" s="940"/>
      <c r="AZ7" s="940"/>
      <c r="BA7" s="940"/>
      <c r="BB7" s="940"/>
      <c r="BC7" s="940"/>
      <c r="BD7" s="940"/>
      <c r="BE7" s="940"/>
      <c r="BF7" s="940"/>
      <c r="BG7" s="940"/>
      <c r="BH7" s="940"/>
      <c r="BI7" s="940"/>
      <c r="BJ7" s="940"/>
      <c r="BK7" s="940"/>
      <c r="BL7" s="940"/>
      <c r="BM7" s="940"/>
      <c r="BN7" s="940"/>
      <c r="BO7" s="940"/>
      <c r="BP7" s="940"/>
      <c r="BQ7" s="940"/>
      <c r="BR7" s="940"/>
      <c r="BS7" s="940"/>
      <c r="BT7" s="940"/>
      <c r="BU7" s="940"/>
      <c r="BV7" s="940"/>
      <c r="BW7" s="940"/>
      <c r="BX7" s="940"/>
      <c r="BY7" s="940"/>
      <c r="BZ7" s="940"/>
      <c r="CA7" s="65"/>
      <c r="CB7" s="65"/>
    </row>
    <row r="8" spans="1:172" s="2" customFormat="1" ht="4.1500000000000004" customHeight="1" x14ac:dyDescent="0.2">
      <c r="A8" s="836"/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940"/>
      <c r="AS8" s="940"/>
      <c r="AT8" s="940"/>
      <c r="AU8" s="940"/>
      <c r="AV8" s="940"/>
      <c r="AW8" s="940"/>
      <c r="AX8" s="940"/>
      <c r="AY8" s="940"/>
      <c r="AZ8" s="940"/>
      <c r="BA8" s="940"/>
      <c r="BB8" s="940"/>
      <c r="BC8" s="940"/>
      <c r="BD8" s="940"/>
      <c r="BE8" s="940"/>
      <c r="BF8" s="940"/>
      <c r="BG8" s="940"/>
      <c r="BH8" s="940"/>
      <c r="BI8" s="940"/>
      <c r="BJ8" s="940"/>
      <c r="BK8" s="940"/>
      <c r="BL8" s="940"/>
      <c r="BM8" s="940"/>
      <c r="BN8" s="940"/>
      <c r="BO8" s="940"/>
      <c r="BP8" s="940"/>
      <c r="BQ8" s="940"/>
      <c r="BR8" s="940"/>
      <c r="BS8" s="940"/>
      <c r="BT8" s="940"/>
      <c r="BU8" s="940"/>
      <c r="BV8" s="940"/>
      <c r="BW8" s="940"/>
      <c r="BX8" s="940"/>
      <c r="BY8" s="940"/>
      <c r="BZ8" s="940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941"/>
      <c r="AS9" s="941"/>
      <c r="AT9" s="941"/>
      <c r="AU9" s="941"/>
      <c r="AV9" s="941"/>
      <c r="AW9" s="941"/>
      <c r="AX9" s="941"/>
      <c r="AY9" s="941"/>
      <c r="AZ9" s="941"/>
      <c r="BA9" s="941"/>
      <c r="BB9" s="941"/>
      <c r="BC9" s="941"/>
      <c r="BD9" s="941"/>
      <c r="BE9" s="941"/>
      <c r="BF9" s="941"/>
      <c r="BG9" s="941"/>
      <c r="BH9" s="941"/>
      <c r="BI9" s="941"/>
      <c r="BJ9" s="941"/>
      <c r="BK9" s="941"/>
      <c r="BL9" s="941"/>
      <c r="BM9" s="941"/>
      <c r="BN9" s="941"/>
      <c r="BO9" s="941"/>
      <c r="BP9" s="941"/>
      <c r="BQ9" s="941"/>
      <c r="BR9" s="941"/>
      <c r="BS9" s="941"/>
      <c r="BT9" s="941"/>
      <c r="BU9" s="941"/>
      <c r="BV9" s="941"/>
      <c r="BW9" s="941"/>
      <c r="BX9" s="941"/>
      <c r="BY9" s="941"/>
      <c r="BZ9" s="941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1171" t="str">
        <f>IF('Данные объект'!B8="","",'Данные объект'!B8)</f>
      </c>
      <c r="AS11" s="1171"/>
      <c r="AT11" s="1171"/>
      <c r="AU11" s="1171"/>
      <c r="AV11" s="1171"/>
      <c r="AW11" s="1171"/>
      <c r="AX11" s="1171"/>
      <c r="AY11" s="1171"/>
      <c r="AZ11" s="1171"/>
      <c r="BA11" s="1171"/>
      <c r="BB11" s="1171"/>
      <c r="BC11" s="1171"/>
      <c r="BD11" s="1171"/>
      <c r="BE11" s="1171"/>
      <c r="BF11" s="1171"/>
      <c r="BG11" s="1171"/>
      <c r="BH11" s="1171"/>
      <c r="BI11" s="1171"/>
      <c r="BJ11" s="1171"/>
      <c r="BK11" s="1171"/>
      <c r="BL11" s="1171"/>
      <c r="BM11" s="1171"/>
      <c r="BN11" s="1171"/>
      <c r="BO11" s="1171"/>
      <c r="BP11" s="1171"/>
      <c r="BQ11" s="1171"/>
      <c r="BR11" s="1171"/>
      <c r="BS11" s="1171"/>
      <c r="BT11" s="1171"/>
      <c r="BU11" s="1171"/>
      <c r="BV11" s="1171"/>
      <c r="BW11" s="1171"/>
      <c r="BX11" s="1171"/>
      <c r="BY11" s="1171"/>
      <c r="BZ11" s="1171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15.75" x14ac:dyDescent="0.25">
      <c r="A13" s="931" t="s">
        <v>565</v>
      </c>
      <c r="B13" s="851"/>
      <c r="C13" s="851"/>
      <c r="D13" s="851"/>
      <c r="E13" s="851"/>
      <c r="F13" s="851"/>
      <c r="G13" s="851"/>
      <c r="H13" s="851"/>
      <c r="I13" s="851"/>
      <c r="J13" s="851"/>
      <c r="K13" s="851"/>
      <c r="L13" s="851"/>
      <c r="M13" s="851"/>
      <c r="N13" s="851"/>
      <c r="O13" s="851"/>
      <c r="P13" s="851"/>
      <c r="Q13" s="851"/>
      <c r="R13" s="851"/>
      <c r="S13" s="851"/>
      <c r="T13" s="851"/>
      <c r="U13" s="851"/>
      <c r="V13" s="851"/>
      <c r="W13" s="851"/>
      <c r="X13" s="851"/>
      <c r="Y13" s="851"/>
      <c r="Z13" s="851"/>
      <c r="AA13" s="851"/>
      <c r="AB13" s="851"/>
      <c r="AC13" s="851"/>
      <c r="AD13" s="851"/>
      <c r="AE13" s="851"/>
      <c r="AF13" s="851"/>
      <c r="AG13" s="851"/>
      <c r="AH13" s="851"/>
      <c r="AI13" s="851"/>
      <c r="AJ13" s="851"/>
      <c r="AK13" s="851"/>
      <c r="AL13" s="851"/>
      <c r="AM13" s="851"/>
      <c r="AN13" s="851"/>
      <c r="AO13" s="851"/>
      <c r="AP13" s="851"/>
      <c r="AQ13" s="851"/>
      <c r="AR13" s="851"/>
      <c r="AS13" s="851"/>
      <c r="AT13" s="851"/>
      <c r="AU13" s="851"/>
      <c r="AV13" s="851"/>
      <c r="AW13" s="851"/>
      <c r="AX13" s="851"/>
      <c r="AY13" s="851"/>
      <c r="AZ13" s="851"/>
      <c r="BA13" s="851"/>
      <c r="BB13" s="851"/>
      <c r="BC13" s="851"/>
      <c r="BD13" s="851"/>
      <c r="BE13" s="851"/>
      <c r="BF13" s="851"/>
      <c r="BG13" s="851"/>
      <c r="BH13" s="851"/>
      <c r="BI13" s="851"/>
      <c r="BJ13" s="851"/>
      <c r="BK13" s="851"/>
      <c r="BL13" s="851"/>
      <c r="BM13" s="851"/>
      <c r="BN13" s="851"/>
      <c r="BO13" s="851"/>
      <c r="BP13" s="851"/>
      <c r="BQ13" s="851"/>
      <c r="BR13" s="851"/>
      <c r="BS13" s="851"/>
      <c r="BT13" s="851"/>
      <c r="BU13" s="851"/>
      <c r="BV13" s="851"/>
      <c r="BW13" s="851"/>
      <c r="BX13" s="851"/>
      <c r="BY13" s="851"/>
      <c r="BZ13" s="851"/>
      <c r="CA13" s="851"/>
      <c r="CB13" s="851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x14ac:dyDescent="0.25">
      <c r="A14" s="851"/>
      <c r="B14" s="851"/>
      <c r="C14" s="851"/>
      <c r="D14" s="851"/>
      <c r="E14" s="851"/>
      <c r="F14" s="851"/>
      <c r="G14" s="851"/>
      <c r="H14" s="851"/>
      <c r="I14" s="851"/>
      <c r="J14" s="851"/>
      <c r="K14" s="851"/>
      <c r="L14" s="851"/>
      <c r="M14" s="851"/>
      <c r="N14" s="851"/>
      <c r="O14" s="851"/>
      <c r="P14" s="851"/>
      <c r="Q14" s="851"/>
      <c r="R14" s="851"/>
      <c r="S14" s="851"/>
      <c r="T14" s="851"/>
      <c r="U14" s="851"/>
      <c r="V14" s="851"/>
      <c r="W14" s="851"/>
      <c r="X14" s="851"/>
      <c r="Y14" s="851"/>
      <c r="Z14" s="851"/>
      <c r="AA14" s="851"/>
      <c r="AB14" s="851"/>
      <c r="AC14" s="851"/>
      <c r="AD14" s="851"/>
      <c r="AE14" s="851"/>
      <c r="AF14" s="851"/>
      <c r="AG14" s="851"/>
      <c r="AH14" s="851"/>
      <c r="AI14" s="851"/>
      <c r="AJ14" s="851"/>
      <c r="AK14" s="851"/>
      <c r="AL14" s="851"/>
      <c r="AM14" s="851"/>
      <c r="AN14" s="851"/>
      <c r="AO14" s="851"/>
      <c r="AP14" s="851"/>
      <c r="AQ14" s="851"/>
      <c r="AR14" s="851"/>
      <c r="AS14" s="851"/>
      <c r="AT14" s="851"/>
      <c r="AU14" s="851"/>
      <c r="AV14" s="851"/>
      <c r="AW14" s="851"/>
      <c r="AX14" s="851"/>
      <c r="AY14" s="851"/>
      <c r="AZ14" s="851"/>
      <c r="BA14" s="851"/>
      <c r="BB14" s="851"/>
      <c r="BC14" s="851"/>
      <c r="BD14" s="851"/>
      <c r="BE14" s="851"/>
      <c r="BF14" s="851"/>
      <c r="BG14" s="851"/>
      <c r="BH14" s="851"/>
      <c r="BI14" s="851"/>
      <c r="BJ14" s="851"/>
      <c r="BK14" s="851"/>
      <c r="BL14" s="851"/>
      <c r="BM14" s="851"/>
      <c r="BN14" s="851"/>
      <c r="BO14" s="851"/>
      <c r="BP14" s="851"/>
      <c r="BQ14" s="851"/>
      <c r="BR14" s="851"/>
      <c r="BS14" s="851"/>
      <c r="BT14" s="851"/>
      <c r="BU14" s="851"/>
      <c r="BV14" s="851"/>
      <c r="BW14" s="851"/>
      <c r="BX14" s="851"/>
      <c r="BY14" s="851"/>
      <c r="BZ14" s="851"/>
      <c r="CA14" s="851"/>
      <c r="CB14" s="851"/>
    </row>
    <row r="15" spans="1:172" s="87" customFormat="1" ht="15" customHeight="1" x14ac:dyDescent="0.2">
      <c r="A15" s="97"/>
      <c r="B15" s="93"/>
      <c r="C15" s="93"/>
      <c r="D15" s="93"/>
    </row>
    <row r="16" spans="1:172" s="87" customFormat="1" ht="20.45" customHeight="1" x14ac:dyDescent="0.2">
      <c r="A16" s="1006" t="s">
        <v>437</v>
      </c>
      <c r="B16" s="1006"/>
      <c r="C16" s="1006"/>
      <c r="D16" s="1006"/>
      <c r="E16" s="1006"/>
      <c r="F16" s="1006"/>
      <c r="G16" s="1006"/>
      <c r="H16" s="1006"/>
      <c r="I16" s="1006"/>
      <c r="J16" s="1006"/>
      <c r="K16" s="1006"/>
      <c r="L16" s="1006"/>
      <c r="M16" s="1006"/>
      <c r="N16" s="1006"/>
      <c r="O16" s="1006"/>
      <c r="P16" s="1006"/>
      <c r="Q16" s="1006"/>
      <c r="R16" s="1006"/>
      <c r="S16" s="1006"/>
      <c r="T16" s="1006"/>
      <c r="U16" s="1006"/>
      <c r="V16" s="1006"/>
      <c r="W16" s="1006"/>
      <c r="X16" s="1006"/>
      <c r="Y16" s="1006"/>
      <c r="Z16" s="1006"/>
      <c r="AA16" s="1006"/>
      <c r="AB16" s="1006"/>
      <c r="AC16" s="1006"/>
      <c r="AD16" s="1006"/>
      <c r="AE16" s="1006"/>
      <c r="AF16" s="1006"/>
      <c r="AG16" s="1006"/>
      <c r="AH16" s="1006"/>
      <c r="AI16" s="1006"/>
      <c r="AJ16" s="1006"/>
      <c r="AK16" s="1006"/>
      <c r="AL16" s="1006"/>
      <c r="AM16" s="1006"/>
      <c r="AN16" s="1006"/>
      <c r="AO16" s="1006"/>
      <c r="AP16" s="1006"/>
      <c r="AQ16" s="1006"/>
      <c r="AR16" s="1006"/>
      <c r="AS16" s="1006"/>
      <c r="AT16" s="1006"/>
      <c r="AU16" s="1006"/>
      <c r="AV16" s="1006"/>
      <c r="AW16" s="1006"/>
      <c r="AX16" s="1006"/>
      <c r="AY16" s="1006"/>
      <c r="AZ16" s="1006"/>
      <c r="BA16" s="1006"/>
      <c r="BB16" s="1006"/>
      <c r="BC16" s="1006"/>
      <c r="BD16" s="1006"/>
      <c r="BE16" s="1006"/>
      <c r="BF16" s="1006"/>
      <c r="BG16" s="1006"/>
      <c r="BH16" s="1006"/>
      <c r="BI16" s="1006"/>
      <c r="BJ16" s="1006"/>
      <c r="BK16" s="1006"/>
      <c r="BL16" s="1006"/>
      <c r="BM16" s="1006"/>
      <c r="BN16" s="1006"/>
      <c r="BO16" s="1006"/>
      <c r="BP16" s="1006"/>
      <c r="BQ16" s="1006"/>
      <c r="BR16" s="1006"/>
      <c r="BS16" s="1006"/>
      <c r="BT16" s="1006"/>
      <c r="BU16" s="1006"/>
      <c r="BV16" s="1006"/>
      <c r="BW16" s="1006"/>
      <c r="BX16" s="1006"/>
      <c r="BY16" s="1006"/>
      <c r="BZ16" s="1006"/>
      <c r="CA16" s="1006"/>
      <c r="CB16" s="1006"/>
    </row>
    <row r="17" spans="1:80" s="87" customFormat="1" ht="15" customHeight="1" x14ac:dyDescent="0.2">
      <c r="A17" s="1053" t="s">
        <v>568</v>
      </c>
      <c r="B17" s="1169"/>
      <c r="C17" s="1169"/>
      <c r="D17" s="1169"/>
      <c r="E17" s="1169"/>
      <c r="F17" s="1170"/>
      <c r="G17" s="1170"/>
      <c r="H17" s="1170"/>
      <c r="I17" s="1170"/>
      <c r="J17" s="1170"/>
      <c r="K17" s="1170"/>
      <c r="L17" s="1170"/>
      <c r="M17" s="1170"/>
      <c r="N17" s="1170"/>
      <c r="O17" s="1170"/>
      <c r="P17" s="1170"/>
      <c r="Q17" s="94"/>
      <c r="R17" s="94"/>
      <c r="S17" s="94"/>
      <c r="T17" s="94"/>
      <c r="U17" s="95"/>
      <c r="V17" s="94"/>
      <c r="W17" s="94"/>
      <c r="X17" s="94"/>
      <c r="Y17" s="94"/>
      <c r="Z17" s="95"/>
      <c r="AA17" s="94"/>
      <c r="AB17" s="94"/>
      <c r="AC17" s="94"/>
    </row>
    <row r="18" spans="1:80" s="87" customFormat="1" ht="15" customHeight="1" x14ac:dyDescent="0.2">
      <c r="A18" s="1031" t="s">
        <v>569</v>
      </c>
      <c r="B18" s="1169"/>
      <c r="C18" s="1169"/>
      <c r="D18" s="1169"/>
      <c r="E18" s="1169"/>
      <c r="F18" s="1169"/>
      <c r="G18" s="1170" t="s">
        <v>570</v>
      </c>
      <c r="H18" s="1170"/>
      <c r="I18" s="1170"/>
      <c r="J18" s="1170"/>
      <c r="K18" s="1170"/>
      <c r="L18" s="1170"/>
      <c r="M18" s="1170"/>
      <c r="N18" s="1170"/>
      <c r="O18" s="1170"/>
      <c r="P18" s="1170"/>
      <c r="Q18" s="1170"/>
      <c r="R18" s="1170"/>
      <c r="S18" s="1170"/>
      <c r="T18" s="1170"/>
      <c r="U18" s="1170"/>
      <c r="V18" s="1170"/>
      <c r="W18" s="1170"/>
    </row>
    <row r="19" spans="1:80" s="87" customFormat="1" ht="15" customHeight="1" x14ac:dyDescent="0.2">
      <c r="A19" s="1019" t="s">
        <v>571</v>
      </c>
      <c r="B19" s="1166"/>
      <c r="C19" s="1166"/>
      <c r="D19" s="1166"/>
      <c r="E19" s="1166"/>
      <c r="F19" s="1166"/>
      <c r="G19" s="1170" t="s">
        <v>393</v>
      </c>
      <c r="H19" s="1170"/>
      <c r="I19" s="1170"/>
      <c r="J19" s="1170"/>
      <c r="K19" s="1170"/>
      <c r="L19" s="1170"/>
      <c r="M19" s="1170"/>
      <c r="N19" s="1170"/>
      <c r="O19" s="1170"/>
      <c r="P19" s="1170"/>
      <c r="Q19" s="1170"/>
      <c r="R19" s="1170"/>
      <c r="S19" s="1170"/>
      <c r="T19" s="1170"/>
      <c r="U19" s="1170"/>
      <c r="V19" s="1170"/>
    </row>
    <row r="20" spans="1:80" s="87" customFormat="1" ht="15" customHeight="1" x14ac:dyDescent="0.2">
      <c r="A20" s="1019" t="s">
        <v>572</v>
      </c>
      <c r="B20" s="1166"/>
      <c r="C20" s="1166"/>
      <c r="D20" s="1166"/>
      <c r="E20" s="1166"/>
      <c r="F20" s="1166"/>
      <c r="G20" s="1166"/>
      <c r="H20" s="1166"/>
      <c r="I20" s="1166"/>
      <c r="J20" s="1166"/>
      <c r="K20" s="1166"/>
      <c r="L20" s="1166"/>
      <c r="M20" s="1166"/>
      <c r="N20" s="1166"/>
      <c r="O20" s="1170"/>
      <c r="P20" s="1170"/>
      <c r="Q20" s="1170"/>
      <c r="R20" s="1170"/>
      <c r="S20" s="1170"/>
      <c r="T20" s="1170"/>
      <c r="U20" s="1170"/>
      <c r="V20" s="1170"/>
      <c r="W20" s="1170"/>
      <c r="X20" s="1170"/>
      <c r="Y20" s="1170"/>
      <c r="Z20" s="1170"/>
      <c r="AA20" s="1170"/>
      <c r="AB20" s="1170"/>
      <c r="AC20" s="1170"/>
      <c r="AD20" s="1170"/>
      <c r="AE20" s="1170"/>
      <c r="AF20" s="1170"/>
      <c r="AG20" s="1170"/>
      <c r="AH20" s="1170"/>
      <c r="AI20" s="1170"/>
    </row>
    <row r="21" spans="1:80" s="87" customFormat="1" ht="15" customHeight="1" x14ac:dyDescent="0.2">
      <c r="A21" s="92" t="s">
        <v>438</v>
      </c>
      <c r="B21" s="93"/>
      <c r="C21" s="93"/>
      <c r="D21" s="93"/>
    </row>
    <row r="22" spans="1:80" s="87" customFormat="1" ht="15" customHeight="1" x14ac:dyDescent="0.2">
      <c r="A22" s="1053" t="s">
        <v>574</v>
      </c>
      <c r="B22" s="974"/>
      <c r="C22" s="974"/>
      <c r="D22" s="974"/>
      <c r="E22" s="974"/>
      <c r="F22" s="974"/>
      <c r="G22" s="974"/>
      <c r="H22" s="974"/>
      <c r="I22" s="974"/>
      <c r="J22" s="1017"/>
      <c r="K22" s="1017"/>
      <c r="L22" s="1017"/>
      <c r="M22" s="1017"/>
      <c r="N22" s="1017"/>
      <c r="O22" s="1017"/>
      <c r="P22" s="1017"/>
      <c r="Q22" s="1017"/>
      <c r="R22" s="1017"/>
      <c r="S22" s="1017"/>
      <c r="T22" s="1017"/>
      <c r="U22" s="1017"/>
      <c r="V22" s="1017"/>
      <c r="W22" s="1017"/>
      <c r="X22" s="1017"/>
      <c r="Y22" s="1017"/>
      <c r="Z22" s="1017"/>
      <c r="AA22" s="1017"/>
      <c r="AB22" s="1017"/>
      <c r="AC22" s="1017"/>
      <c r="AD22" s="1017"/>
      <c r="AE22" s="1017"/>
      <c r="AF22" s="1017"/>
      <c r="AG22" s="1017"/>
      <c r="AH22" s="1017"/>
      <c r="AI22" s="1017"/>
      <c r="AJ22" s="1017"/>
      <c r="AK22" s="1017"/>
      <c r="AL22" s="1017"/>
      <c r="AM22" s="1017"/>
      <c r="AN22" s="1017"/>
      <c r="AO22" s="1017"/>
      <c r="AP22" s="1017"/>
      <c r="AQ22" s="1017"/>
      <c r="AR22" s="1017"/>
      <c r="AS22" s="1017"/>
      <c r="AT22" s="1017"/>
      <c r="AU22" s="1017"/>
      <c r="AV22" s="1017"/>
      <c r="AW22" s="1017"/>
      <c r="AX22" s="1017"/>
      <c r="AY22" s="1017"/>
      <c r="AZ22" s="1017"/>
      <c r="BA22" s="1017"/>
      <c r="BB22" s="1017"/>
      <c r="BC22" s="1017"/>
      <c r="BD22" s="1017"/>
      <c r="BE22" s="1017"/>
      <c r="BF22" s="1017"/>
      <c r="BG22" s="1017"/>
      <c r="BH22" s="1017"/>
      <c r="BI22" s="1017"/>
      <c r="BJ22" s="1017"/>
      <c r="BK22" s="1017"/>
      <c r="BL22" s="1017"/>
      <c r="BM22" s="1017"/>
      <c r="BN22" s="1017"/>
      <c r="BO22" s="1017"/>
      <c r="BP22" s="1017"/>
      <c r="BQ22" s="1017"/>
      <c r="BR22" s="1017"/>
      <c r="BS22" s="1017"/>
      <c r="BT22" s="1017"/>
      <c r="BU22" s="1017"/>
      <c r="BV22" s="1017"/>
      <c r="BW22" s="1017"/>
      <c r="BX22" s="1017"/>
      <c r="BY22" s="1017"/>
      <c r="BZ22" s="1017"/>
      <c r="CA22" s="1017"/>
      <c r="CB22" s="1017"/>
    </row>
    <row r="23" spans="1:80" s="87" customFormat="1" ht="15" customHeight="1" x14ac:dyDescent="0.2">
      <c r="A23" s="1019" t="s">
        <v>573</v>
      </c>
      <c r="B23" s="1009"/>
      <c r="C23" s="1009"/>
      <c r="D23" s="1009"/>
      <c r="E23" s="1009"/>
      <c r="F23" s="1009"/>
      <c r="G23" s="1009"/>
      <c r="H23" s="1009"/>
      <c r="I23" s="1009"/>
      <c r="J23" s="1009"/>
      <c r="K23" s="1170" t="s">
        <v>421</v>
      </c>
      <c r="L23" s="1170"/>
      <c r="M23" s="1170"/>
      <c r="N23" s="1170"/>
      <c r="O23" s="1170"/>
      <c r="P23" s="1170"/>
      <c r="Q23" s="1170"/>
      <c r="R23" s="1170"/>
      <c r="S23" s="1170"/>
      <c r="T23" s="1170"/>
      <c r="U23" s="1170"/>
      <c r="V23" s="1170"/>
    </row>
    <row r="24" spans="1:80" s="87" customFormat="1" ht="15" customHeight="1" x14ac:dyDescent="0.2">
      <c r="A24" s="92" t="s">
        <v>566</v>
      </c>
      <c r="B24" s="93"/>
      <c r="C24" s="93"/>
      <c r="D24" s="93"/>
    </row>
    <row r="25" spans="1:80" s="87" customFormat="1" ht="15" customHeight="1" x14ac:dyDescent="0.2">
      <c r="A25" s="96" t="s">
        <v>439</v>
      </c>
      <c r="B25" s="93"/>
      <c r="C25" s="93"/>
      <c r="D25" s="93"/>
    </row>
    <row r="26" spans="1:80" s="87" customFormat="1" ht="15" customHeight="1" x14ac:dyDescent="0.2">
      <c r="A26" s="97"/>
      <c r="B26" s="93"/>
      <c r="C26" s="93"/>
      <c r="D26" s="93"/>
    </row>
    <row r="27" spans="1:80" s="87" customFormat="1" ht="15" customHeight="1" x14ac:dyDescent="0.2">
      <c r="A27" s="92" t="s">
        <v>440</v>
      </c>
      <c r="B27" s="93"/>
      <c r="C27" s="93"/>
      <c r="D27" s="93"/>
    </row>
    <row r="28" spans="1:80" s="87" customFormat="1" ht="15" customHeight="1" x14ac:dyDescent="0.2">
      <c r="A28" s="92" t="s">
        <v>567</v>
      </c>
      <c r="B28" s="93"/>
      <c r="C28" s="93"/>
      <c r="D28" s="93"/>
    </row>
    <row r="29" spans="1:80" s="87" customFormat="1" ht="13.15" customHeight="1" x14ac:dyDescent="0.2">
      <c r="A29" s="96" t="s">
        <v>441</v>
      </c>
      <c r="B29" s="93"/>
      <c r="C29" s="93"/>
      <c r="D29" s="93"/>
    </row>
    <row r="30" spans="1:80" s="87" customFormat="1" ht="12.75" x14ac:dyDescent="0.2">
      <c r="A30" s="92" t="s">
        <v>36</v>
      </c>
      <c r="B30" s="92" t="s">
        <v>442</v>
      </c>
      <c r="C30" s="105"/>
      <c r="D30" s="92"/>
      <c r="V30" s="1165"/>
      <c r="W30" s="1165"/>
      <c r="X30" s="1165"/>
      <c r="Y30" s="1165"/>
      <c r="Z30" s="1165"/>
      <c r="AA30" s="1165"/>
      <c r="AB30" s="1165"/>
      <c r="AC30" s="1165"/>
      <c r="AD30" s="1165"/>
    </row>
    <row r="31" spans="1:80" s="87" customFormat="1" ht="12.75" x14ac:dyDescent="0.2">
      <c r="A31" s="1009" t="s">
        <v>443</v>
      </c>
      <c r="B31" s="1009"/>
      <c r="C31" s="1009"/>
      <c r="D31" s="1009"/>
      <c r="E31" s="1009"/>
      <c r="F31" s="1009"/>
      <c r="G31" s="1009"/>
      <c r="H31" s="1009"/>
      <c r="I31" s="1009"/>
      <c r="J31" s="1009"/>
      <c r="K31" s="1009"/>
      <c r="L31" s="1009"/>
      <c r="M31" s="1009"/>
      <c r="N31" s="1009"/>
      <c r="O31" s="1009"/>
      <c r="P31" s="1009"/>
      <c r="Q31" s="1009"/>
      <c r="R31" s="1009"/>
      <c r="S31" s="1009"/>
      <c r="T31" s="1009"/>
      <c r="U31" s="1009"/>
      <c r="V31" s="1009"/>
      <c r="W31" s="1009"/>
      <c r="X31" s="1009"/>
      <c r="Y31" s="1009"/>
      <c r="Z31" s="1009"/>
      <c r="AA31" s="1009"/>
      <c r="AB31" s="1009"/>
      <c r="AC31" s="1009"/>
      <c r="AD31" s="1009"/>
    </row>
    <row r="32" spans="1:80" s="87" customFormat="1" ht="12.75" x14ac:dyDescent="0.2">
      <c r="A32" s="94" t="s">
        <v>435</v>
      </c>
      <c r="B32" s="1009" t="s">
        <v>444</v>
      </c>
      <c r="C32" s="1009"/>
      <c r="D32" s="1009"/>
      <c r="E32" s="1009"/>
      <c r="F32" s="1009"/>
      <c r="G32" s="1009"/>
      <c r="H32" s="1009"/>
      <c r="I32" s="1009"/>
      <c r="J32" s="1009"/>
      <c r="K32" s="1009"/>
      <c r="L32" s="1009"/>
      <c r="M32" s="1009"/>
      <c r="N32" s="1009"/>
      <c r="O32" s="1165"/>
      <c r="P32" s="1165"/>
      <c r="Q32" s="1165"/>
      <c r="R32" s="1165"/>
      <c r="S32" s="1165"/>
      <c r="T32" s="1019" t="s">
        <v>445</v>
      </c>
      <c r="U32" s="1166"/>
      <c r="V32" s="1166"/>
    </row>
    <row r="33" spans="1:92" s="87" customFormat="1" ht="15" customHeight="1" x14ac:dyDescent="0.2">
      <c r="A33" s="94" t="s">
        <v>435</v>
      </c>
      <c r="B33" s="92" t="s">
        <v>446</v>
      </c>
      <c r="C33" s="93"/>
      <c r="D33" s="93"/>
    </row>
    <row r="34" spans="1:92" s="87" customFormat="1" ht="34.9" customHeight="1" x14ac:dyDescent="0.2">
      <c r="A34" s="1006" t="s">
        <v>447</v>
      </c>
      <c r="B34" s="1006"/>
      <c r="C34" s="1006"/>
      <c r="D34" s="1006"/>
      <c r="E34" s="1006"/>
      <c r="F34" s="1006"/>
      <c r="G34" s="1006"/>
      <c r="H34" s="1006"/>
      <c r="I34" s="1006"/>
      <c r="J34" s="1006"/>
      <c r="K34" s="1006"/>
      <c r="L34" s="1006"/>
      <c r="M34" s="1006"/>
      <c r="N34" s="1006"/>
      <c r="O34" s="1006"/>
      <c r="P34" s="1006"/>
      <c r="Q34" s="1006"/>
      <c r="R34" s="1006"/>
      <c r="S34" s="1006"/>
      <c r="T34" s="1006"/>
      <c r="U34" s="1006"/>
      <c r="V34" s="1006"/>
      <c r="W34" s="1006"/>
      <c r="X34" s="1006"/>
      <c r="Y34" s="1006"/>
      <c r="Z34" s="1006"/>
      <c r="AA34" s="1006"/>
      <c r="AB34" s="1006"/>
      <c r="AC34" s="1006"/>
      <c r="AD34" s="1006"/>
      <c r="AE34" s="1006"/>
      <c r="AF34" s="1006"/>
      <c r="AG34" s="1006"/>
      <c r="AH34" s="1006"/>
      <c r="AI34" s="1006"/>
      <c r="AJ34" s="1006"/>
      <c r="AK34" s="1006"/>
      <c r="AL34" s="1006"/>
      <c r="AM34" s="1006"/>
      <c r="AN34" s="1006"/>
      <c r="AO34" s="1006"/>
      <c r="AP34" s="1006"/>
      <c r="AQ34" s="1006"/>
      <c r="AR34" s="1006"/>
      <c r="AS34" s="1006"/>
      <c r="AT34" s="1006"/>
      <c r="AU34" s="1006"/>
      <c r="AV34" s="1006"/>
      <c r="AW34" s="1006"/>
      <c r="AX34" s="1006"/>
      <c r="AY34" s="1006"/>
      <c r="AZ34" s="1006"/>
      <c r="BA34" s="1006"/>
      <c r="BB34" s="1006"/>
      <c r="BC34" s="1006"/>
      <c r="BD34" s="1006"/>
      <c r="BE34" s="1006"/>
      <c r="BF34" s="1006"/>
      <c r="BG34" s="1006"/>
      <c r="BH34" s="1006"/>
      <c r="BI34" s="1006"/>
      <c r="BJ34" s="1006"/>
      <c r="BK34" s="1006"/>
      <c r="BL34" s="1006"/>
      <c r="BM34" s="1006"/>
      <c r="BN34" s="1006"/>
      <c r="BO34" s="1006"/>
      <c r="BP34" s="1006"/>
      <c r="BQ34" s="1006"/>
      <c r="BR34" s="1006"/>
      <c r="BS34" s="1006"/>
      <c r="BT34" s="1006"/>
      <c r="BU34" s="1006"/>
      <c r="BV34" s="1006"/>
      <c r="BW34" s="1006"/>
      <c r="BX34" s="1006"/>
      <c r="BY34" s="1006"/>
      <c r="BZ34" s="1006"/>
      <c r="CA34" s="1006"/>
    </row>
    <row r="35" spans="1:92" s="87" customFormat="1" ht="15" customHeight="1" x14ac:dyDescent="0.2">
      <c r="A35" s="92" t="s">
        <v>448</v>
      </c>
      <c r="B35" s="93"/>
      <c r="C35" s="93"/>
      <c r="D35" s="93"/>
    </row>
    <row r="36" spans="1:92" s="87" customFormat="1" ht="12.75" x14ac:dyDescent="0.2">
      <c r="A36" s="94" t="s">
        <v>435</v>
      </c>
      <c r="B36" s="1009" t="s">
        <v>444</v>
      </c>
      <c r="C36" s="1009"/>
      <c r="D36" s="1009"/>
      <c r="E36" s="1009"/>
      <c r="F36" s="1009"/>
      <c r="G36" s="1009"/>
      <c r="H36" s="1009"/>
      <c r="I36" s="1009"/>
      <c r="J36" s="1009"/>
      <c r="K36" s="1009"/>
      <c r="L36" s="1009"/>
      <c r="M36" s="1009"/>
      <c r="N36" s="1009"/>
      <c r="O36" s="1165"/>
      <c r="P36" s="1165"/>
      <c r="Q36" s="1165"/>
      <c r="R36" s="1165"/>
      <c r="S36" s="1165"/>
      <c r="T36" s="1019" t="s">
        <v>445</v>
      </c>
      <c r="U36" s="1166"/>
      <c r="V36" s="1166"/>
    </row>
    <row r="37" spans="1:92" s="87" customFormat="1" ht="15" customHeight="1" x14ac:dyDescent="0.2">
      <c r="A37" s="94" t="s">
        <v>435</v>
      </c>
      <c r="B37" s="92" t="s">
        <v>446</v>
      </c>
      <c r="C37" s="93"/>
      <c r="D37" s="93"/>
    </row>
    <row r="38" spans="1:92" s="87" customFormat="1" ht="19.899999999999999" customHeight="1" x14ac:dyDescent="0.2">
      <c r="A38" s="1006" t="s">
        <v>449</v>
      </c>
      <c r="B38" s="1006"/>
      <c r="C38" s="1006"/>
      <c r="D38" s="1006"/>
      <c r="E38" s="1006"/>
      <c r="F38" s="1006"/>
      <c r="G38" s="1006"/>
      <c r="H38" s="1006"/>
      <c r="I38" s="1006"/>
      <c r="J38" s="1006"/>
      <c r="K38" s="1006"/>
      <c r="L38" s="1006"/>
      <c r="M38" s="1006"/>
      <c r="N38" s="1006"/>
      <c r="O38" s="1006"/>
      <c r="P38" s="1006"/>
      <c r="Q38" s="1006"/>
      <c r="R38" s="1006"/>
      <c r="S38" s="1006"/>
      <c r="T38" s="1006"/>
      <c r="U38" s="1006"/>
      <c r="V38" s="1006"/>
      <c r="W38" s="1006"/>
      <c r="X38" s="1006"/>
      <c r="Y38" s="1006"/>
      <c r="Z38" s="1006"/>
      <c r="AA38" s="1006"/>
      <c r="AB38" s="1006"/>
      <c r="AC38" s="1006"/>
      <c r="AD38" s="1006"/>
      <c r="AE38" s="1006"/>
      <c r="AF38" s="1006"/>
      <c r="AG38" s="1006"/>
      <c r="AH38" s="1006"/>
      <c r="AI38" s="1006"/>
      <c r="AJ38" s="1006"/>
      <c r="AK38" s="1006"/>
      <c r="AL38" s="1006"/>
      <c r="AM38" s="1006"/>
      <c r="AN38" s="1006"/>
      <c r="AO38" s="1006"/>
      <c r="AP38" s="1006"/>
      <c r="AQ38" s="1006"/>
      <c r="AR38" s="1006"/>
      <c r="AS38" s="1006"/>
      <c r="AT38" s="1006"/>
      <c r="AU38" s="1006"/>
      <c r="AV38" s="1006"/>
      <c r="AW38" s="1006"/>
      <c r="AX38" s="1006"/>
      <c r="AY38" s="1006"/>
      <c r="AZ38" s="1006"/>
      <c r="BA38" s="1006"/>
      <c r="BB38" s="1006"/>
      <c r="BC38" s="1006"/>
      <c r="BD38" s="1006"/>
      <c r="BE38" s="1006"/>
      <c r="BF38" s="1006"/>
      <c r="BG38" s="1006"/>
      <c r="BH38" s="1006"/>
      <c r="BI38" s="1006"/>
      <c r="BJ38" s="1006"/>
      <c r="BK38" s="1006"/>
      <c r="BL38" s="1006"/>
      <c r="BM38" s="1006"/>
      <c r="BN38" s="1006"/>
      <c r="BO38" s="1006"/>
      <c r="BP38" s="1006"/>
      <c r="BQ38" s="1006"/>
      <c r="BR38" s="1006"/>
      <c r="BS38" s="1006"/>
      <c r="BT38" s="1006"/>
      <c r="BU38" s="1006"/>
      <c r="BV38" s="1006"/>
      <c r="BW38" s="1006"/>
      <c r="BX38" s="1006"/>
      <c r="BY38" s="1006"/>
      <c r="BZ38" s="1006"/>
      <c r="CA38" s="1006"/>
      <c r="CB38" s="1006"/>
    </row>
    <row r="39" spans="1:92" s="87" customFormat="1" ht="15" customHeight="1" x14ac:dyDescent="0.2">
      <c r="A39" s="92" t="s">
        <v>450</v>
      </c>
      <c r="B39" s="93"/>
      <c r="C39" s="93"/>
      <c r="D39" s="93"/>
    </row>
    <row r="40" spans="1:92" s="87" customFormat="1" ht="15" customHeight="1" x14ac:dyDescent="0.2">
      <c r="A40" s="92" t="s">
        <v>451</v>
      </c>
      <c r="B40" s="93"/>
      <c r="C40" s="93"/>
      <c r="D40" s="93"/>
    </row>
    <row r="41" spans="1:92" s="87" customFormat="1" ht="15" customHeight="1" x14ac:dyDescent="0.2">
      <c r="A41" s="92" t="s">
        <v>452</v>
      </c>
      <c r="B41" s="93"/>
      <c r="C41" s="93"/>
      <c r="D41" s="93"/>
    </row>
    <row r="42" spans="1:92" s="87" customFormat="1" ht="15" customHeight="1" x14ac:dyDescent="0.2">
      <c r="A42" s="92" t="s">
        <v>453</v>
      </c>
      <c r="B42" s="93"/>
      <c r="C42" s="93"/>
      <c r="D42" s="93"/>
    </row>
    <row r="43" spans="1:92" s="87" customFormat="1" ht="15" customHeight="1" x14ac:dyDescent="0.2">
      <c r="A43" s="95"/>
      <c r="B43" s="93"/>
      <c r="C43" s="93"/>
      <c r="D43" s="93"/>
    </row>
    <row r="44" spans="1:92" s="87" customFormat="1" ht="13.15" customHeight="1" x14ac:dyDescent="0.2">
      <c r="A44" s="1019" t="s">
        <v>575</v>
      </c>
      <c r="B44" s="1019"/>
      <c r="C44" s="1019"/>
      <c r="D44" s="1019"/>
      <c r="E44" s="1019"/>
      <c r="F44" s="1019"/>
      <c r="G44" s="1019"/>
      <c r="H44" s="1019"/>
      <c r="I44" s="1019"/>
      <c r="J44" s="1019"/>
      <c r="K44" s="1019"/>
      <c r="L44" s="1019"/>
      <c r="M44" s="1019"/>
      <c r="N44" s="1019"/>
      <c r="O44" s="1019"/>
      <c r="P44" s="1167" t="s">
        <v>393</v>
      </c>
      <c r="Q44" s="1167"/>
      <c r="R44" s="1167"/>
      <c r="S44" s="1167"/>
      <c r="T44" s="1167"/>
      <c r="U44" s="1167"/>
      <c r="V44" s="1167"/>
      <c r="W44" s="1168" t="s">
        <v>505</v>
      </c>
      <c r="X44" s="1168"/>
      <c r="Y44" s="1168"/>
      <c r="Z44" s="1168"/>
      <c r="AA44" s="1168"/>
      <c r="AB44" s="1168"/>
      <c r="AC44" s="1168"/>
      <c r="AD44" s="1168"/>
      <c r="AE44" s="1168"/>
      <c r="AF44" s="1168"/>
      <c r="AG44" s="1168"/>
      <c r="AH44" s="1168"/>
      <c r="AI44" s="1168"/>
      <c r="AJ44" s="1168"/>
      <c r="AK44" s="1168"/>
      <c r="AL44" s="1168"/>
      <c r="AM44" s="1168"/>
      <c r="AN44" s="1168"/>
      <c r="AO44" s="1168"/>
      <c r="AP44" s="1168"/>
      <c r="AQ44" s="1168"/>
      <c r="AR44" s="1168"/>
      <c r="AS44" s="1168"/>
      <c r="AT44" s="1168"/>
      <c r="AU44" s="1168"/>
      <c r="AV44" s="1168"/>
      <c r="AW44" s="1168"/>
      <c r="AX44" s="1168"/>
      <c r="AY44" s="1168"/>
      <c r="AZ44" s="1168"/>
      <c r="BA44" s="1168"/>
      <c r="BB44" s="1168"/>
      <c r="BC44" s="1168"/>
      <c r="BD44" s="1168"/>
      <c r="BE44" s="1168"/>
      <c r="BF44" s="1168"/>
      <c r="BG44" s="1168"/>
      <c r="BH44" s="1168"/>
      <c r="BI44" s="1168"/>
      <c r="BJ44" s="1168"/>
      <c r="BK44" s="1168"/>
      <c r="BL44" s="1168"/>
      <c r="BM44" s="1168"/>
      <c r="BN44" s="1168"/>
      <c r="BO44" s="1168"/>
      <c r="BP44" s="1168"/>
      <c r="BQ44" s="1168"/>
      <c r="BR44" s="1168"/>
      <c r="BS44" s="1168"/>
      <c r="BT44" s="1168"/>
      <c r="BU44" s="1168"/>
      <c r="BV44" s="1168"/>
      <c r="BW44" s="1168"/>
      <c r="BX44" s="1168"/>
      <c r="BY44" s="1168"/>
      <c r="BZ44" s="1168"/>
      <c r="CA44" s="1168"/>
      <c r="CB44" s="1168"/>
      <c r="CC44" s="1168"/>
      <c r="CD44" s="1168"/>
      <c r="CN44" s="106"/>
    </row>
    <row r="45" spans="1:92" s="87" customFormat="1" ht="16.899999999999999" customHeight="1" x14ac:dyDescent="0.2">
      <c r="A45" s="1018"/>
      <c r="B45" s="1018"/>
      <c r="C45" s="1018"/>
      <c r="D45" s="1018"/>
      <c r="E45" s="1018"/>
      <c r="F45" s="1018"/>
      <c r="G45" s="1018"/>
      <c r="H45" s="1018"/>
      <c r="I45" s="1018"/>
      <c r="J45" s="1018"/>
      <c r="K45" s="1018"/>
      <c r="L45" s="1018"/>
      <c r="M45" s="1018"/>
      <c r="N45" s="1018"/>
      <c r="O45" s="1018"/>
      <c r="P45" s="1018"/>
      <c r="Q45" s="1018"/>
      <c r="R45" s="1018"/>
      <c r="S45" s="1018"/>
      <c r="T45" s="1018"/>
      <c r="U45" s="1018"/>
      <c r="V45" s="1018"/>
      <c r="W45" s="1018"/>
      <c r="X45" s="1018"/>
      <c r="Y45" s="1018"/>
      <c r="Z45" s="1018"/>
      <c r="AA45" s="1018"/>
      <c r="AB45" s="1018"/>
      <c r="AC45" s="1018"/>
      <c r="AD45" s="1018"/>
      <c r="AE45" s="1018"/>
      <c r="AF45" s="1018"/>
      <c r="AG45" s="1018"/>
      <c r="AH45" s="1018"/>
      <c r="AI45" s="1018"/>
      <c r="AJ45" s="1018"/>
      <c r="AK45" s="1018"/>
      <c r="AL45" s="1018"/>
      <c r="AM45" s="1018"/>
      <c r="AN45" s="1018"/>
      <c r="AO45" s="1018"/>
      <c r="AP45" s="1018"/>
      <c r="AQ45" s="1018"/>
      <c r="AR45" s="1018"/>
      <c r="AS45" s="1018"/>
      <c r="AT45" s="1018"/>
      <c r="AU45" s="1018"/>
      <c r="AV45" s="1018"/>
      <c r="AW45" s="1018"/>
      <c r="AX45" s="1018"/>
      <c r="AY45" s="1018"/>
      <c r="AZ45" s="1018"/>
      <c r="BA45" s="1018"/>
      <c r="BB45" s="1018"/>
      <c r="BC45" s="1018"/>
      <c r="BD45" s="1018"/>
      <c r="BE45" s="1018"/>
      <c r="BF45" s="1018"/>
      <c r="BG45" s="1018"/>
      <c r="BH45" s="1018"/>
      <c r="BI45" s="1018"/>
      <c r="BJ45" s="1018"/>
      <c r="BK45" s="1018"/>
      <c r="BL45" s="1018"/>
      <c r="BM45" s="1018"/>
      <c r="BN45" s="1018"/>
      <c r="BO45" s="1018"/>
      <c r="BP45" s="1018"/>
      <c r="BQ45" s="1018"/>
      <c r="BR45" s="1018"/>
      <c r="BS45" s="1018"/>
      <c r="BT45" s="1018"/>
      <c r="BU45" s="1018"/>
      <c r="BV45" s="1018"/>
      <c r="BW45" s="1018"/>
      <c r="BX45" s="1018"/>
      <c r="BY45" s="1018"/>
      <c r="BZ45" s="1018"/>
      <c r="CA45" s="1018"/>
      <c r="CB45" s="1018"/>
      <c r="CC45" s="1018"/>
      <c r="CD45" s="1018"/>
      <c r="CN45" s="101"/>
    </row>
    <row r="46" spans="1:92" s="87" customFormat="1" ht="16.899999999999999" customHeight="1" x14ac:dyDescent="0.2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07"/>
      <c r="CB46" s="107"/>
      <c r="CC46" s="107"/>
      <c r="CD46" s="107"/>
      <c r="CN46" s="101"/>
    </row>
    <row r="47" spans="1:92" s="2" customFormat="1" ht="13.5" x14ac:dyDescent="0.25">
      <c r="F47" s="10">
        <f>IF('Данные объект'!B32="","",'Данные объект'!B32)</f>
      </c>
      <c r="AJ47" s="987"/>
      <c r="AK47" s="987"/>
      <c r="AL47" s="987"/>
      <c r="AM47" s="987"/>
      <c r="AN47" s="987"/>
      <c r="AO47" s="987"/>
      <c r="AP47" s="987"/>
      <c r="AQ47" s="987"/>
      <c r="AR47" s="987"/>
      <c r="AS47" s="987"/>
      <c r="AT47" s="987"/>
      <c r="AU47" s="987"/>
      <c r="AV47" s="987"/>
      <c r="AW47" s="987"/>
      <c r="AX47" s="987"/>
      <c r="AY47" s="987"/>
      <c r="AZ47" s="987"/>
      <c r="BA47" s="987"/>
      <c r="BB47" s="987"/>
      <c r="BC47" s="987"/>
      <c r="BD47" s="987"/>
      <c r="BE47" s="987"/>
      <c r="BF47" s="987"/>
      <c r="BG47" s="987"/>
      <c r="BH47" s="987"/>
      <c r="BJ47" s="988" t="str">
        <f>IF('Данные объект'!B25="","",'Данные объект'!B25)</f>
      </c>
      <c r="BK47" s="988"/>
      <c r="BL47" s="988"/>
      <c r="BM47" s="988"/>
      <c r="BN47" s="988"/>
      <c r="BO47" s="988"/>
      <c r="BP47" s="988"/>
      <c r="BQ47" s="988"/>
      <c r="BR47" s="988"/>
      <c r="BS47" s="988"/>
      <c r="BT47" s="988"/>
      <c r="BU47" s="988"/>
      <c r="BV47" s="988"/>
      <c r="BW47" s="988"/>
      <c r="BX47" s="988"/>
      <c r="BY47" s="988"/>
      <c r="BZ47" s="988"/>
      <c r="CA47" s="988"/>
      <c r="CB47" s="988"/>
    </row>
    <row r="48" spans="1:92" s="2" customFormat="1" ht="12.75" x14ac:dyDescent="0.2">
      <c r="AJ48" s="986" t="s">
        <v>2</v>
      </c>
      <c r="AK48" s="986"/>
      <c r="AL48" s="986"/>
      <c r="AM48" s="986"/>
      <c r="AN48" s="986"/>
      <c r="AO48" s="986"/>
      <c r="AP48" s="986"/>
      <c r="AQ48" s="986"/>
      <c r="AR48" s="986"/>
      <c r="AS48" s="986"/>
      <c r="AT48" s="986"/>
      <c r="AU48" s="986"/>
      <c r="AV48" s="986"/>
      <c r="AW48" s="986"/>
      <c r="AX48" s="986"/>
      <c r="AY48" s="986"/>
      <c r="AZ48" s="986"/>
      <c r="BA48" s="986"/>
      <c r="BB48" s="986"/>
      <c r="BC48" s="986"/>
      <c r="BD48" s="986"/>
      <c r="BE48" s="986"/>
      <c r="BF48" s="986"/>
      <c r="BG48" s="986"/>
      <c r="BH48" s="986"/>
      <c r="BJ48" s="986" t="s">
        <v>72</v>
      </c>
      <c r="BK48" s="986"/>
      <c r="BL48" s="986"/>
      <c r="BM48" s="986"/>
      <c r="BN48" s="986"/>
      <c r="BO48" s="986"/>
      <c r="BP48" s="986"/>
      <c r="BQ48" s="986"/>
      <c r="BR48" s="986"/>
      <c r="BS48" s="986"/>
      <c r="BT48" s="986"/>
      <c r="BU48" s="986"/>
      <c r="BV48" s="986"/>
      <c r="BW48" s="986"/>
      <c r="BX48" s="986"/>
      <c r="BY48" s="986"/>
      <c r="BZ48" s="986"/>
      <c r="CA48" s="986"/>
      <c r="CB48" s="986"/>
    </row>
    <row r="49" spans="1:172" s="5" customFormat="1" ht="7.9" hidden="1" customHeight="1" x14ac:dyDescent="0.15"/>
    <row r="50" spans="1:172" s="70" customFormat="1" ht="11.2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</row>
    <row r="52" spans="1:172" s="41" customFormat="1" ht="8.25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</row>
    <row r="53" spans="1:172" s="70" customFormat="1" ht="10.15" hidden="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</row>
    <row r="54" spans="1:172" ht="14.45" hidden="1" customHeight="1" x14ac:dyDescent="0.25"/>
    <row r="55" spans="1:172" s="41" customFormat="1" ht="8.4499999999999993" hidden="1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</row>
    <row r="56" spans="1:172" ht="14.45" hidden="1" customHeight="1" x14ac:dyDescent="0.25"/>
    <row r="57" spans="1:172" s="70" customFormat="1" ht="10.15" hidden="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</row>
    <row r="58" spans="1:172" ht="14.45" hidden="1" customHeight="1" x14ac:dyDescent="0.25"/>
    <row r="59" spans="1:172" s="70" customFormat="1" ht="10.15" hidden="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02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</row>
    <row r="61" spans="1:172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</row>
    <row r="62" spans="1:172" s="42" customFormat="1" ht="15" customHeight="1" x14ac:dyDescent="0.25">
      <c r="A62" s="103"/>
      <c r="B62" s="103"/>
      <c r="C62" s="103"/>
      <c r="D62" s="103"/>
      <c r="E62" s="103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3"/>
      <c r="BF62" s="103"/>
      <c r="BG62" s="103"/>
      <c r="BH62" s="103"/>
      <c r="BI62" s="103"/>
      <c r="BJ62" s="103"/>
      <c r="BK62" s="103"/>
      <c r="BL62" s="103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3"/>
      <c r="BZ62" s="103"/>
      <c r="CA62" s="103"/>
      <c r="CB62" s="103"/>
      <c r="CC62" s="71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</row>
    <row r="63" spans="1:172" s="42" customFormat="1" x14ac:dyDescent="0.25">
      <c r="A63" s="103"/>
      <c r="B63" s="103"/>
      <c r="C63" s="103"/>
      <c r="D63" s="103"/>
      <c r="E63" s="103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3"/>
      <c r="BF63" s="103"/>
      <c r="BG63" s="103"/>
      <c r="BH63" s="103"/>
      <c r="BI63" s="103"/>
      <c r="BJ63" s="103"/>
      <c r="BK63" s="103"/>
      <c r="BL63" s="103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3"/>
      <c r="BZ63" s="103"/>
      <c r="CA63" s="103"/>
      <c r="CB63" s="103"/>
      <c r="CC63" s="71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</row>
    <row r="64" spans="1:172" s="42" customFormat="1" x14ac:dyDescent="0.25">
      <c r="A64" s="103"/>
      <c r="B64" s="103"/>
      <c r="C64" s="103"/>
      <c r="D64" s="103"/>
      <c r="E64" s="103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3"/>
      <c r="BF64" s="103"/>
      <c r="BG64" s="103"/>
      <c r="BH64" s="103"/>
      <c r="BI64" s="103"/>
      <c r="BJ64" s="103"/>
      <c r="BK64" s="103"/>
      <c r="BL64" s="103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3"/>
      <c r="BZ64" s="103"/>
      <c r="CA64" s="103"/>
      <c r="CB64" s="103"/>
      <c r="CC64" s="71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</row>
    <row r="65" spans="1:81" x14ac:dyDescent="0.25">
      <c r="A65" s="103"/>
      <c r="B65" s="103"/>
      <c r="C65" s="103"/>
      <c r="D65" s="103"/>
      <c r="E65" s="103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3"/>
      <c r="BF65" s="103"/>
      <c r="BG65" s="103"/>
      <c r="BH65" s="103"/>
      <c r="BI65" s="103"/>
      <c r="BJ65" s="103"/>
      <c r="BK65" s="103"/>
      <c r="BL65" s="103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3"/>
      <c r="BZ65" s="103"/>
      <c r="CA65" s="103"/>
      <c r="CB65" s="103"/>
      <c r="CC65" s="11"/>
    </row>
    <row r="66" spans="1:81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11"/>
    </row>
    <row r="67" spans="1:8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70"/>
      <c r="BZ67" s="70"/>
      <c r="CA67" s="70"/>
      <c r="CB67" s="70"/>
      <c r="CC67" s="11"/>
    </row>
    <row r="68" spans="1:8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11"/>
    </row>
    <row r="69" spans="1:8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11"/>
    </row>
    <row r="70" spans="1:81" ht="14.45" hidden="1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11"/>
    </row>
    <row r="71" spans="1:81" ht="14.45" hidden="1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11"/>
    </row>
    <row r="72" spans="1:81" ht="14.45" hidden="1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81" ht="14.45" hidden="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81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81" ht="14.45" hidden="1" customHeight="1" x14ac:dyDescent="0.25"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spans="1:81" ht="14.45" hidden="1" customHeight="1" x14ac:dyDescent="0.25"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spans="1:81" ht="14.45" hidden="1" customHeight="1" x14ac:dyDescent="0.25"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spans="1:81" ht="14.45" hidden="1" customHeight="1" x14ac:dyDescent="0.25"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spans="1:81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81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80" x14ac:dyDescent="0.25">
      <c r="AN84"/>
      <c r="AO84"/>
      <c r="AP84"/>
      <c r="AQ84"/>
      <c r="AR84"/>
      <c r="AS84"/>
      <c r="AT84"/>
      <c r="AU84"/>
      <c r="AV84"/>
      <c r="AW84"/>
      <c r="AX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1:80" ht="6.6" customHeight="1" x14ac:dyDescent="0.25">
      <c r="AN85"/>
      <c r="AO85"/>
      <c r="AP85"/>
      <c r="AQ85"/>
      <c r="AR85"/>
      <c r="AS85"/>
      <c r="AT85"/>
      <c r="AU85"/>
      <c r="AV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1:80" x14ac:dyDescent="0.25">
      <c r="A86" s="11"/>
      <c r="B86" s="11"/>
      <c r="C86" s="5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0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ht="7.9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x14ac:dyDescent="0.25">
      <c r="A89" s="11"/>
      <c r="B89" s="11"/>
      <c r="C89" s="57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s="2" customFormat="1" ht="12.75" x14ac:dyDescent="0.2">
      <c r="A93" s="11"/>
      <c r="B93" s="11"/>
      <c r="C93" s="11"/>
      <c r="D93" s="4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5" customFormat="1" ht="9.75" x14ac:dyDescent="0.2">
      <c r="C94" s="20"/>
      <c r="E94" s="21"/>
      <c r="F94" s="21"/>
      <c r="G94" s="20"/>
      <c r="H94" s="20"/>
      <c r="I94" s="20"/>
      <c r="J94" s="20"/>
      <c r="K94" s="20"/>
      <c r="L94" s="20"/>
      <c r="M94" s="20"/>
    </row>
    <row r="95" spans="1:80" s="5" customFormat="1" ht="12.75" outlineLevel="1" x14ac:dyDescent="0.2">
      <c r="C95" s="20"/>
      <c r="D95" s="21"/>
      <c r="E95" s="21"/>
      <c r="F95" s="21"/>
      <c r="G95" s="20"/>
      <c r="H95" s="20"/>
      <c r="I95" s="20"/>
      <c r="J95" s="20"/>
      <c r="K95" s="20"/>
      <c r="L95" s="20"/>
      <c r="M95" s="20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</row>
    <row r="96" spans="1:80" s="11" customFormat="1" ht="11.25" x14ac:dyDescent="0.2">
      <c r="C96" s="57"/>
      <c r="D96" s="45"/>
      <c r="E96" s="45"/>
      <c r="F96" s="45"/>
      <c r="G96" s="57"/>
      <c r="H96" s="57"/>
      <c r="I96" s="57"/>
      <c r="J96" s="57"/>
      <c r="K96" s="57"/>
      <c r="L96" s="57"/>
      <c r="M96" s="57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</row>
    <row r="97" spans="3:13" s="5" customFormat="1" ht="9.75" x14ac:dyDescent="0.2">
      <c r="C97" s="20"/>
      <c r="E97" s="21"/>
      <c r="F97" s="21"/>
      <c r="G97" s="20"/>
      <c r="H97" s="20"/>
      <c r="I97" s="20"/>
      <c r="J97" s="20"/>
      <c r="K97" s="20"/>
      <c r="L97" s="20"/>
      <c r="M97" s="20"/>
    </row>
  </sheetData>
  <mergeCells count="46">
    <mergeCell ref="AR1:BZ2"/>
    <mergeCell ref="A2:AI2"/>
    <mergeCell ref="A3:AI3"/>
    <mergeCell ref="AR3:BZ3"/>
    <mergeCell ref="A4:AI4"/>
    <mergeCell ref="AR4:BZ4"/>
    <mergeCell ref="A5:AI5"/>
    <mergeCell ref="AR5:BZ5"/>
    <mergeCell ref="AR6:BZ9"/>
    <mergeCell ref="A8:AI9"/>
    <mergeCell ref="A10:AI10"/>
    <mergeCell ref="AR10:BZ10"/>
    <mergeCell ref="A11:AI11"/>
    <mergeCell ref="AR11:BZ11"/>
    <mergeCell ref="A13:CB14"/>
    <mergeCell ref="A16:CB16"/>
    <mergeCell ref="A17:E17"/>
    <mergeCell ref="F17:P17"/>
    <mergeCell ref="A18:F18"/>
    <mergeCell ref="G18:W18"/>
    <mergeCell ref="B36:N36"/>
    <mergeCell ref="B32:N32"/>
    <mergeCell ref="A34:CA34"/>
    <mergeCell ref="O32:S32"/>
    <mergeCell ref="T32:V32"/>
    <mergeCell ref="A31:AD31"/>
    <mergeCell ref="A19:F19"/>
    <mergeCell ref="G19:V19"/>
    <mergeCell ref="A20:N20"/>
    <mergeCell ref="O20:AI20"/>
    <mergeCell ref="A23:J23"/>
    <mergeCell ref="K23:V23"/>
    <mergeCell ref="A22:I22"/>
    <mergeCell ref="J22:CB22"/>
    <mergeCell ref="V30:AD30"/>
    <mergeCell ref="O36:S36"/>
    <mergeCell ref="T36:V36"/>
    <mergeCell ref="A38:CB38"/>
    <mergeCell ref="A44:O44"/>
    <mergeCell ref="P44:V44"/>
    <mergeCell ref="W44:CD44"/>
    <mergeCell ref="AJ48:BH48"/>
    <mergeCell ref="BJ48:CB48"/>
    <mergeCell ref="A45:CD45"/>
    <mergeCell ref="AJ47:BH47"/>
    <mergeCell ref="BJ47:CB47"/>
  </mergeCells>
  <dataValidations count="2">
    <dataValidation type="list" allowBlank="1" showInputMessage="1" showErrorMessage="1" sqref="O67:W69 K23:V23" xr:uid="{B0DBADD3-C09A-49C0-9133-BA1BB46C52C6}">
      <formula1>стойка</formula1>
    </dataValidation>
    <dataValidation type="list" allowBlank="1" showInputMessage="1" showErrorMessage="1" sqref="G19:V19 P44:V44" xr:uid="{12B9449C-EF7B-41CF-BC6F-9EAAF4A9E958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  <headerFooter>
    <oddHeader>&amp;L&amp;"Monotype Corsiva,обычный"Инструкция И 1.13-07&amp;R&amp;"Monotype Corsiva,обычный"Форма 21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1104-EE47-4BC8-8CC7-1FFE2EBE3059}">
  <sheetPr>
    <tabColor rgb="FFCC99FF"/>
  </sheetPr>
  <dimension ref="A1:FP101"/>
  <sheetViews>
    <sheetView view="pageBreakPreview" zoomScaleNormal="100" zoomScaleSheetLayoutView="100" workbookViewId="0">
      <selection activeCell="A14" sqref="A14:CB14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30.6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x14ac:dyDescent="0.25">
      <c r="A14" s="931" t="s">
        <v>1253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3" s="2" customFormat="1" ht="12.75" x14ac:dyDescent="0.2">
      <c r="A17" s="926" t="str">
        <f>IF('Данные объект'!C43="","",'Данные объект'!C43)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83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83" s="2" customFormat="1" ht="12.75" x14ac:dyDescent="0.2">
      <c r="A19" s="926">
        <f>IF('Данные объект'!C46="","",'Данные объект'!C46)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83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83" s="11" customFormat="1" ht="11.25" x14ac:dyDescent="0.2">
      <c r="A21" s="11" t="s">
        <v>30</v>
      </c>
    </row>
    <row r="22" spans="1:83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83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83" s="87" customFormat="1" ht="15" customHeight="1" x14ac:dyDescent="0.2">
      <c r="A24" s="113" t="s">
        <v>460</v>
      </c>
    </row>
    <row r="25" spans="1:83" s="87" customFormat="1" ht="15" customHeight="1" x14ac:dyDescent="0.2">
      <c r="A25" s="1017" t="str">
        <f>IF('Данные объект'!B19="","",'Данные объект'!B19)</f>
      </c>
      <c r="B25" s="1017"/>
      <c r="C25" s="1017"/>
      <c r="D25" s="1017"/>
      <c r="E25" s="1017"/>
      <c r="F25" s="1017"/>
      <c r="G25" s="1017"/>
      <c r="H25" s="1017"/>
      <c r="I25" s="1017"/>
      <c r="J25" s="1017"/>
      <c r="K25" s="1017"/>
      <c r="L25" s="1017"/>
      <c r="M25" s="1017"/>
      <c r="N25" s="1017"/>
      <c r="O25" s="1017"/>
      <c r="P25" s="1017"/>
      <c r="Q25" s="1017"/>
      <c r="R25" s="1017"/>
      <c r="S25" s="1017"/>
      <c r="T25" s="1017"/>
      <c r="U25" s="1017"/>
      <c r="V25" s="1017"/>
      <c r="W25" s="1017"/>
      <c r="X25" s="1017"/>
      <c r="Y25" s="1017"/>
      <c r="Z25" s="1017"/>
      <c r="AA25" s="1017"/>
      <c r="AB25" s="1017"/>
      <c r="AC25" s="1017"/>
      <c r="AD25" s="1017"/>
      <c r="AE25" s="1017"/>
      <c r="AF25" s="1017"/>
      <c r="AG25" s="1017"/>
      <c r="AH25" s="1017"/>
      <c r="AI25" s="1017"/>
      <c r="AJ25" s="1017"/>
      <c r="AK25" s="1017"/>
      <c r="AL25" s="1017"/>
      <c r="AM25" s="1017"/>
      <c r="AN25" s="1017"/>
      <c r="AO25" s="1017"/>
      <c r="AP25" s="1017"/>
      <c r="AQ25" s="1017"/>
      <c r="AR25" s="1017"/>
      <c r="AS25" s="1017"/>
      <c r="AT25" s="1017"/>
      <c r="AU25" s="1017"/>
      <c r="AV25" s="1017"/>
      <c r="AW25" s="1017"/>
      <c r="AX25" s="1017"/>
      <c r="AY25" s="1017"/>
      <c r="AZ25" s="1017"/>
      <c r="BA25" s="1017"/>
      <c r="BB25" s="1017"/>
      <c r="BC25" s="1017"/>
      <c r="BD25" s="1017"/>
      <c r="BE25" s="1017"/>
      <c r="BF25" s="1017"/>
      <c r="BG25" s="1017"/>
      <c r="BH25" s="1017"/>
      <c r="BI25" s="1017"/>
      <c r="BJ25" s="1017"/>
      <c r="BK25" s="1017"/>
      <c r="BL25" s="1017"/>
      <c r="BM25" s="1017"/>
      <c r="BN25" s="1017"/>
      <c r="BO25" s="1017"/>
      <c r="BP25" s="1017"/>
      <c r="BQ25" s="1017"/>
      <c r="BR25" s="1017"/>
      <c r="BS25" s="1017"/>
      <c r="BT25" s="1017"/>
      <c r="BU25" s="1017"/>
      <c r="BV25" s="1017"/>
      <c r="BW25" s="1017"/>
      <c r="BX25" s="1017"/>
      <c r="BY25" s="1017"/>
    </row>
    <row r="26" spans="1:83" s="87" customFormat="1" ht="10.15" customHeight="1" x14ac:dyDescent="0.2">
      <c r="A26" s="112" t="s">
        <v>459</v>
      </c>
    </row>
    <row r="27" spans="1:83" s="87" customFormat="1" x14ac:dyDescent="0.25">
      <c r="A27" s="95" t="s">
        <v>576</v>
      </c>
      <c r="B27" s="88"/>
    </row>
    <row r="28" spans="1:83" s="87" customFormat="1" ht="15" customHeight="1" x14ac:dyDescent="0.2">
      <c r="A28" s="113" t="s">
        <v>458</v>
      </c>
    </row>
    <row r="29" spans="1:83" s="87" customFormat="1" ht="24.75" customHeight="1" x14ac:dyDescent="0.2">
      <c r="A29" s="1018" t="s">
        <v>577</v>
      </c>
      <c r="B29" s="1018"/>
      <c r="C29" s="1018"/>
      <c r="D29" s="1018"/>
      <c r="E29" s="1018"/>
      <c r="F29" s="1018"/>
      <c r="G29" s="1018"/>
      <c r="H29" s="1018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18"/>
      <c r="U29" s="1018"/>
      <c r="V29" s="1018"/>
      <c r="W29" s="1018"/>
      <c r="X29" s="1018"/>
      <c r="Y29" s="1018"/>
      <c r="Z29" s="1018"/>
      <c r="AA29" s="1018"/>
      <c r="AB29" s="1018"/>
      <c r="AC29" s="1018"/>
      <c r="AD29" s="1018"/>
      <c r="AE29" s="1018"/>
      <c r="AF29" s="1018"/>
      <c r="AG29" s="1018"/>
      <c r="AH29" s="1018"/>
      <c r="AI29" s="1018"/>
      <c r="AJ29" s="1018"/>
      <c r="AK29" s="1018"/>
      <c r="AL29" s="1018"/>
      <c r="AM29" s="1018"/>
      <c r="AN29" s="1018"/>
      <c r="AO29" s="1018"/>
      <c r="AP29" s="1018"/>
      <c r="AQ29" s="1018"/>
      <c r="AR29" s="1018"/>
      <c r="AS29" s="1018"/>
      <c r="AT29" s="1018"/>
      <c r="AU29" s="1018"/>
      <c r="AV29" s="1018"/>
      <c r="AW29" s="1018"/>
      <c r="AX29" s="1018"/>
      <c r="AY29" s="1018"/>
      <c r="AZ29" s="1018"/>
      <c r="BA29" s="1018"/>
      <c r="BB29" s="1018"/>
      <c r="BC29" s="1018"/>
      <c r="BD29" s="1018"/>
      <c r="BE29" s="1018"/>
      <c r="BF29" s="1018"/>
      <c r="BG29" s="1018"/>
      <c r="BH29" s="1018"/>
      <c r="BI29" s="1018"/>
      <c r="BJ29" s="1018"/>
      <c r="BK29" s="1018"/>
      <c r="BL29" s="1018"/>
      <c r="BM29" s="1018"/>
      <c r="BN29" s="1018"/>
      <c r="BO29" s="1018"/>
      <c r="BP29" s="1018"/>
      <c r="BQ29" s="1018"/>
      <c r="BR29" s="1018"/>
      <c r="BS29" s="1018"/>
      <c r="BT29" s="1018"/>
      <c r="BU29" s="1018"/>
      <c r="BV29" s="1018"/>
      <c r="BW29" s="1018"/>
      <c r="BX29" s="1018"/>
      <c r="BY29" s="1018"/>
      <c r="BZ29" s="1018"/>
      <c r="CA29" s="1018"/>
      <c r="CB29" s="1018"/>
      <c r="CC29" s="1018"/>
      <c r="CD29" s="1018"/>
      <c r="CE29" s="1018"/>
    </row>
    <row r="30" spans="1:83" s="87" customFormat="1" ht="15" customHeight="1" x14ac:dyDescent="0.2">
      <c r="A30" s="92" t="s">
        <v>457</v>
      </c>
      <c r="B30" s="93"/>
    </row>
    <row r="31" spans="1:83" s="87" customFormat="1" ht="15" customHeight="1" x14ac:dyDescent="0.2">
      <c r="A31" s="113" t="s">
        <v>456</v>
      </c>
      <c r="B31" s="113"/>
    </row>
    <row r="32" spans="1:83" s="87" customFormat="1" ht="15" customHeight="1" x14ac:dyDescent="0.2">
      <c r="A32" s="92" t="s">
        <v>455</v>
      </c>
      <c r="B32" s="93"/>
    </row>
    <row r="33" spans="1:92" s="87" customFormat="1" ht="12.75" x14ac:dyDescent="0.2">
      <c r="A33" s="94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T33" s="95"/>
      <c r="U33" s="94"/>
      <c r="V33" s="94"/>
    </row>
    <row r="34" spans="1:92" s="2" customFormat="1" ht="12.75" x14ac:dyDescent="0.2">
      <c r="A34" s="11"/>
      <c r="B34" s="11"/>
      <c r="C34" s="11"/>
      <c r="D34" s="45" t="s">
        <v>59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855"/>
      <c r="AN34" s="855"/>
      <c r="AO34" s="855"/>
      <c r="AP34" s="855"/>
      <c r="AQ34" s="855"/>
      <c r="AR34" s="855"/>
      <c r="AS34" s="855"/>
      <c r="AT34" s="855"/>
      <c r="AU34" s="855"/>
      <c r="AV34" s="855"/>
      <c r="AW34" s="855"/>
      <c r="AX34" s="855"/>
      <c r="AY34" s="855"/>
      <c r="AZ34" s="11"/>
      <c r="BA34" s="11"/>
      <c r="BB34" s="11"/>
      <c r="BC34" s="893" t="str">
        <f>IF('Данные объект'!B44="","",'Данные объект'!B44)</f>
      </c>
      <c r="BD34" s="893"/>
      <c r="BE34" s="893"/>
      <c r="BF34" s="893"/>
      <c r="BG34" s="893"/>
      <c r="BH34" s="893"/>
      <c r="BI34" s="893"/>
      <c r="BJ34" s="893"/>
      <c r="BK34" s="893"/>
      <c r="BL34" s="893"/>
      <c r="BM34" s="893"/>
      <c r="BN34" s="893"/>
      <c r="BO34" s="893"/>
      <c r="BP34" s="893"/>
      <c r="BQ34" s="893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</row>
    <row r="35" spans="1:92" s="5" customFormat="1" ht="9.75" x14ac:dyDescent="0.2">
      <c r="C35" s="20"/>
      <c r="E35" s="21"/>
      <c r="F35" s="21"/>
      <c r="G35" s="20"/>
      <c r="H35" s="20"/>
      <c r="I35" s="20"/>
      <c r="J35" s="20"/>
      <c r="K35" s="20"/>
      <c r="L35" s="20"/>
      <c r="M35" s="20"/>
      <c r="AM35" s="858" t="s">
        <v>2</v>
      </c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</row>
    <row r="36" spans="1:92" s="5" customFormat="1" ht="12.75" outlineLevel="1" x14ac:dyDescent="0.2">
      <c r="C36" s="20"/>
      <c r="D36" s="21"/>
      <c r="E36" s="21"/>
      <c r="F36" s="21"/>
      <c r="G36" s="20"/>
      <c r="H36" s="20"/>
      <c r="I36" s="20"/>
      <c r="J36" s="20"/>
      <c r="K36" s="20"/>
      <c r="L36" s="20"/>
      <c r="M36" s="20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</row>
    <row r="37" spans="1:92" s="2" customFormat="1" ht="12.75" x14ac:dyDescent="0.2">
      <c r="A37" s="11"/>
      <c r="B37" s="11"/>
      <c r="C37" s="11"/>
      <c r="D37" s="45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11"/>
      <c r="BA37" s="11"/>
      <c r="BB37" s="11"/>
      <c r="BC37" s="893" t="str">
        <f>IF('Данные объект'!B47="","",'Данные объект'!B47)</f>
      </c>
      <c r="BD37" s="893"/>
      <c r="BE37" s="893"/>
      <c r="BF37" s="893"/>
      <c r="BG37" s="893"/>
      <c r="BH37" s="893"/>
      <c r="BI37" s="893"/>
      <c r="BJ37" s="893"/>
      <c r="BK37" s="893"/>
      <c r="BL37" s="893"/>
      <c r="BM37" s="893"/>
      <c r="BN37" s="893"/>
      <c r="BO37" s="893"/>
      <c r="BP37" s="893"/>
      <c r="BQ37" s="893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</row>
    <row r="38" spans="1:92" s="5" customFormat="1" ht="9.75" x14ac:dyDescent="0.2">
      <c r="C38" s="20"/>
      <c r="E38" s="21"/>
      <c r="F38" s="21"/>
      <c r="G38" s="20"/>
      <c r="H38" s="20"/>
      <c r="I38" s="20"/>
      <c r="J38" s="20"/>
      <c r="K38" s="20"/>
      <c r="L38" s="20"/>
      <c r="M38" s="20"/>
      <c r="AM38" s="858" t="s">
        <v>2</v>
      </c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</row>
    <row r="39" spans="1:92" s="5" customFormat="1" ht="12.75" outlineLevel="1" x14ac:dyDescent="0.2">
      <c r="C39" s="20"/>
      <c r="D39" s="21"/>
      <c r="E39" s="21"/>
      <c r="F39" s="21"/>
      <c r="G39" s="20"/>
      <c r="H39" s="20"/>
      <c r="I39" s="20"/>
      <c r="J39" s="20"/>
      <c r="K39" s="20"/>
      <c r="L39" s="20"/>
      <c r="M39" s="20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</row>
    <row r="40" spans="1:92" s="11" customFormat="1" ht="11.25" x14ac:dyDescent="0.2">
      <c r="C40" s="57"/>
      <c r="D40" s="45" t="s">
        <v>61</v>
      </c>
      <c r="E40" s="45"/>
      <c r="F40" s="45"/>
      <c r="G40" s="57"/>
      <c r="H40" s="57"/>
      <c r="I40" s="57"/>
      <c r="J40" s="57"/>
      <c r="K40" s="57"/>
      <c r="L40" s="57"/>
      <c r="M40" s="57"/>
      <c r="AM40" s="855"/>
      <c r="AN40" s="855"/>
      <c r="AO40" s="855"/>
      <c r="AP40" s="855"/>
      <c r="AQ40" s="855"/>
      <c r="AR40" s="855"/>
      <c r="AS40" s="855"/>
      <c r="AT40" s="855"/>
      <c r="AU40" s="855"/>
      <c r="AV40" s="855"/>
      <c r="AW40" s="855"/>
      <c r="AX40" s="855"/>
      <c r="AY40" s="855"/>
      <c r="BC40" s="893" t="str">
        <f>IF('Данные объект'!B28="","",'Данные объект'!B28)</f>
      </c>
      <c r="BD40" s="893"/>
      <c r="BE40" s="893"/>
      <c r="BF40" s="893"/>
      <c r="BG40" s="893"/>
      <c r="BH40" s="893"/>
      <c r="BI40" s="893"/>
      <c r="BJ40" s="893"/>
      <c r="BK40" s="893"/>
      <c r="BL40" s="893"/>
      <c r="BM40" s="893"/>
      <c r="BN40" s="893"/>
      <c r="BO40" s="893"/>
      <c r="BP40" s="893"/>
      <c r="BQ40" s="893"/>
    </row>
    <row r="41" spans="1:92" s="5" customFormat="1" ht="9.75" x14ac:dyDescent="0.2">
      <c r="C41" s="20"/>
      <c r="E41" s="21"/>
      <c r="F41" s="21"/>
      <c r="G41" s="20"/>
      <c r="H41" s="20"/>
      <c r="I41" s="20"/>
      <c r="J41" s="20"/>
      <c r="K41" s="20"/>
      <c r="L41" s="20"/>
      <c r="M41" s="20"/>
      <c r="AM41" s="858" t="s">
        <v>2</v>
      </c>
      <c r="AN41" s="858"/>
      <c r="AO41" s="858"/>
      <c r="AP41" s="858"/>
      <c r="AQ41" s="858"/>
      <c r="AR41" s="858"/>
      <c r="AS41" s="858"/>
      <c r="AT41" s="858"/>
      <c r="AU41" s="858"/>
      <c r="AV41" s="858"/>
      <c r="AW41" s="858"/>
      <c r="AX41" s="858"/>
      <c r="AY41" s="858"/>
    </row>
    <row r="42" spans="1:92" s="87" customFormat="1" ht="19.899999999999999" customHeight="1" x14ac:dyDescent="0.2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</row>
    <row r="43" spans="1:92" s="87" customFormat="1" ht="15" customHeight="1" x14ac:dyDescent="0.2">
      <c r="A43" s="92"/>
      <c r="B43" s="93"/>
      <c r="C43" s="93"/>
      <c r="D43" s="93"/>
    </row>
    <row r="44" spans="1:92" s="87" customFormat="1" ht="15" customHeight="1" x14ac:dyDescent="0.2">
      <c r="A44" s="92"/>
      <c r="B44" s="93"/>
      <c r="C44" s="93"/>
      <c r="D44" s="93"/>
    </row>
    <row r="45" spans="1:92" s="87" customFormat="1" ht="15" customHeight="1" x14ac:dyDescent="0.2">
      <c r="A45" s="92"/>
      <c r="B45" s="93"/>
      <c r="C45" s="93"/>
      <c r="D45" s="93"/>
    </row>
    <row r="46" spans="1:92" s="87" customFormat="1" ht="15" customHeight="1" x14ac:dyDescent="0.2">
      <c r="A46" s="92"/>
      <c r="B46" s="93"/>
      <c r="C46" s="93"/>
      <c r="D46" s="93"/>
    </row>
    <row r="47" spans="1:92" s="87" customFormat="1" ht="15" customHeight="1" x14ac:dyDescent="0.2">
      <c r="A47" s="95"/>
      <c r="B47" s="93"/>
      <c r="C47" s="93"/>
      <c r="D47" s="93"/>
    </row>
    <row r="48" spans="1:92" s="87" customFormat="1" ht="13.15" customHeight="1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N48" s="106"/>
    </row>
    <row r="49" spans="1:172" s="87" customFormat="1" ht="16.899999999999999" customHeight="1" x14ac:dyDescent="0.2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N49" s="101"/>
    </row>
    <row r="50" spans="1:172" s="87" customFormat="1" ht="16.899999999999999" customHeight="1" x14ac:dyDescent="0.2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N50" s="101"/>
    </row>
    <row r="51" spans="1:172" s="2" customFormat="1" ht="13.5" x14ac:dyDescent="0.25">
      <c r="F51" s="10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J51" s="110"/>
      <c r="BK51" s="110"/>
      <c r="BL51" s="110"/>
      <c r="BM51" s="110"/>
      <c r="BN51" s="110"/>
      <c r="BO51" s="110"/>
      <c r="BP51" s="110"/>
      <c r="BQ51" s="110"/>
      <c r="BR51" s="110"/>
      <c r="BS51" s="110"/>
      <c r="BT51" s="110"/>
      <c r="BU51" s="110"/>
      <c r="BV51" s="110"/>
      <c r="BW51" s="110"/>
      <c r="BX51" s="110"/>
      <c r="BY51" s="110"/>
      <c r="BZ51" s="110"/>
      <c r="CA51" s="110"/>
      <c r="CB51" s="110"/>
    </row>
    <row r="52" spans="1:172" s="2" customFormat="1" ht="12.75" x14ac:dyDescent="0.2"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</row>
    <row r="53" spans="1:172" s="5" customFormat="1" ht="7.9" hidden="1" customHeight="1" x14ac:dyDescent="0.15"/>
    <row r="54" spans="1:172" s="70" customFormat="1" ht="11.2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</row>
    <row r="56" spans="1:172" s="41" customFormat="1" ht="8.25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</row>
    <row r="57" spans="1:172" s="70" customFormat="1" ht="10.15" hidden="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</row>
    <row r="58" spans="1:172" ht="14.45" hidden="1" customHeight="1" x14ac:dyDescent="0.25"/>
    <row r="59" spans="1:172" s="41" customFormat="1" ht="8.4499999999999993" hidden="1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</row>
    <row r="60" spans="1:172" ht="14.45" hidden="1" customHeight="1" x14ac:dyDescent="0.25"/>
    <row r="61" spans="1:172" s="70" customFormat="1" ht="10.15" hidden="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</row>
    <row r="62" spans="1:172" ht="14.45" hidden="1" customHeight="1" x14ac:dyDescent="0.25"/>
    <row r="63" spans="1:172" s="70" customFormat="1" ht="10.15" hidden="1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02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</row>
    <row r="65" spans="1:172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</row>
    <row r="66" spans="1:172" s="42" customFormat="1" ht="15" customHeight="1" x14ac:dyDescent="0.25">
      <c r="A66" s="103"/>
      <c r="B66" s="103"/>
      <c r="C66" s="103"/>
      <c r="D66" s="103"/>
      <c r="E66" s="103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3"/>
      <c r="BF66" s="103"/>
      <c r="BG66" s="103"/>
      <c r="BH66" s="103"/>
      <c r="BI66" s="103"/>
      <c r="BJ66" s="103"/>
      <c r="BK66" s="103"/>
      <c r="BL66" s="103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3"/>
      <c r="BZ66" s="103"/>
      <c r="CA66" s="103"/>
      <c r="CB66" s="103"/>
      <c r="CC66" s="71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</row>
    <row r="67" spans="1:172" s="42" customFormat="1" x14ac:dyDescent="0.25">
      <c r="A67" s="103"/>
      <c r="B67" s="103"/>
      <c r="C67" s="103"/>
      <c r="D67" s="103"/>
      <c r="E67" s="103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3"/>
      <c r="BF67" s="103"/>
      <c r="BG67" s="103"/>
      <c r="BH67" s="103"/>
      <c r="BI67" s="103"/>
      <c r="BJ67" s="103"/>
      <c r="BK67" s="103"/>
      <c r="BL67" s="103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3"/>
      <c r="BZ67" s="103"/>
      <c r="CA67" s="103"/>
      <c r="CB67" s="103"/>
      <c r="CC67" s="71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</row>
    <row r="68" spans="1:172" s="42" customFormat="1" x14ac:dyDescent="0.25">
      <c r="A68" s="103"/>
      <c r="B68" s="103"/>
      <c r="C68" s="103"/>
      <c r="D68" s="103"/>
      <c r="E68" s="103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3"/>
      <c r="BF68" s="103"/>
      <c r="BG68" s="103"/>
      <c r="BH68" s="103"/>
      <c r="BI68" s="103"/>
      <c r="BJ68" s="103"/>
      <c r="BK68" s="103"/>
      <c r="BL68" s="103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3"/>
      <c r="BZ68" s="103"/>
      <c r="CA68" s="103"/>
      <c r="CB68" s="103"/>
      <c r="CC68" s="71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</row>
    <row r="69" spans="1:172" x14ac:dyDescent="0.25">
      <c r="A69" s="103"/>
      <c r="B69" s="103"/>
      <c r="C69" s="103"/>
      <c r="D69" s="103"/>
      <c r="E69" s="103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3"/>
      <c r="BF69" s="103"/>
      <c r="BG69" s="103"/>
      <c r="BH69" s="103"/>
      <c r="BI69" s="103"/>
      <c r="BJ69" s="103"/>
      <c r="BK69" s="103"/>
      <c r="BL69" s="103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3"/>
      <c r="BZ69" s="103"/>
      <c r="CA69" s="103"/>
      <c r="CB69" s="103"/>
      <c r="CC69" s="11"/>
    </row>
    <row r="70" spans="1:172" x14ac:dyDescent="0.25">
      <c r="A70" s="103"/>
      <c r="B70" s="103"/>
      <c r="C70" s="103"/>
      <c r="D70" s="103"/>
      <c r="E70" s="103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3"/>
      <c r="BF70" s="103"/>
      <c r="BG70" s="103"/>
      <c r="BH70" s="103"/>
      <c r="BI70" s="103"/>
      <c r="BJ70" s="103"/>
      <c r="BK70" s="103"/>
      <c r="BL70" s="103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3"/>
      <c r="BZ70" s="103"/>
      <c r="CA70" s="103"/>
      <c r="CB70" s="103"/>
      <c r="CC70" s="11"/>
    </row>
    <row r="71" spans="1:172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70"/>
      <c r="BZ71" s="70"/>
      <c r="CA71" s="70"/>
      <c r="CB71" s="70"/>
      <c r="CC71" s="11"/>
    </row>
    <row r="72" spans="1:17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11"/>
    </row>
    <row r="73" spans="1:172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11"/>
    </row>
    <row r="74" spans="1:172" ht="14.45" hidden="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11"/>
    </row>
    <row r="75" spans="1:172" ht="14.45" hidden="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11"/>
    </row>
    <row r="76" spans="1:172" ht="14.45" hidden="1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11"/>
    </row>
    <row r="77" spans="1:172" ht="14.45" hidden="1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11"/>
    </row>
    <row r="78" spans="1:172" ht="14.45" hidden="1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11"/>
    </row>
    <row r="79" spans="1:172" ht="14.45" hidden="1" customHeight="1" x14ac:dyDescent="0.25"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spans="1:172" ht="14.45" hidden="1" customHeight="1" x14ac:dyDescent="0.25"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spans="1:80" ht="14.45" hidden="1" customHeight="1" x14ac:dyDescent="0.25"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spans="1:80" ht="14.45" hidden="1" customHeight="1" x14ac:dyDescent="0.25"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spans="1:80" ht="14.45" hidden="1" customHeight="1" x14ac:dyDescent="0.25"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spans="1:80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0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0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</row>
    <row r="87" spans="1:80" ht="14.45" hidden="1" customHeight="1" x14ac:dyDescent="0.25"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</row>
    <row r="88" spans="1:80" x14ac:dyDescent="0.25">
      <c r="AN88"/>
      <c r="AO88"/>
      <c r="AP88"/>
      <c r="AQ88"/>
      <c r="AR88"/>
      <c r="AS88"/>
      <c r="AT88"/>
      <c r="AU88"/>
      <c r="AV88"/>
      <c r="AW88"/>
      <c r="AX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1:80" ht="6.6" customHeight="1" x14ac:dyDescent="0.25">
      <c r="AN89"/>
      <c r="AO89"/>
      <c r="AP89"/>
      <c r="AQ89"/>
      <c r="AR89"/>
      <c r="AS89"/>
      <c r="AT89"/>
      <c r="AU89"/>
      <c r="AV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1:80" x14ac:dyDescent="0.25">
      <c r="A90" s="11"/>
      <c r="B90" s="11"/>
      <c r="C90" s="57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ht="7.9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x14ac:dyDescent="0.25">
      <c r="A93" s="11"/>
      <c r="B93" s="11"/>
      <c r="C93" s="57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s="2" customFormat="1" ht="12.75" x14ac:dyDescent="0.2">
      <c r="A97" s="11"/>
      <c r="B97" s="11"/>
      <c r="C97" s="11"/>
      <c r="D97" s="4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s="5" customFormat="1" ht="9.75" x14ac:dyDescent="0.2">
      <c r="C98" s="20"/>
      <c r="E98" s="21"/>
      <c r="F98" s="21"/>
      <c r="G98" s="20"/>
      <c r="H98" s="20"/>
      <c r="I98" s="20"/>
      <c r="J98" s="20"/>
      <c r="K98" s="20"/>
      <c r="L98" s="20"/>
      <c r="M98" s="20"/>
    </row>
    <row r="99" spans="1:80" s="5" customFormat="1" ht="12.75" outlineLevel="1" x14ac:dyDescent="0.2">
      <c r="C99" s="20"/>
      <c r="D99" s="21"/>
      <c r="E99" s="21"/>
      <c r="F99" s="21"/>
      <c r="G99" s="20"/>
      <c r="H99" s="20"/>
      <c r="I99" s="20"/>
      <c r="J99" s="20"/>
      <c r="K99" s="20"/>
      <c r="L99" s="20"/>
      <c r="M99" s="2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</row>
    <row r="100" spans="1:80" s="11" customFormat="1" ht="11.25" x14ac:dyDescent="0.2">
      <c r="C100" s="57"/>
      <c r="D100" s="45"/>
      <c r="E100" s="45"/>
      <c r="F100" s="45"/>
      <c r="G100" s="57"/>
      <c r="H100" s="57"/>
      <c r="I100" s="57"/>
      <c r="J100" s="57"/>
      <c r="K100" s="57"/>
      <c r="L100" s="57"/>
      <c r="M100" s="57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</row>
    <row r="101" spans="1:80" s="5" customFormat="1" ht="9.75" x14ac:dyDescent="0.2">
      <c r="C101" s="20"/>
      <c r="E101" s="21"/>
      <c r="F101" s="21"/>
      <c r="G101" s="20"/>
      <c r="H101" s="20"/>
      <c r="I101" s="20"/>
      <c r="J101" s="20"/>
      <c r="K101" s="20"/>
      <c r="L101" s="20"/>
      <c r="M101" s="20"/>
    </row>
  </sheetData>
  <mergeCells count="33">
    <mergeCell ref="A5:AI5"/>
    <mergeCell ref="AR5:BZ5"/>
    <mergeCell ref="AR6:BZ9"/>
    <mergeCell ref="A8:AI9"/>
    <mergeCell ref="A10:AI10"/>
    <mergeCell ref="AR10:BZ10"/>
    <mergeCell ref="AR1:BZ2"/>
    <mergeCell ref="A2:AI2"/>
    <mergeCell ref="A3:AI3"/>
    <mergeCell ref="AR3:BZ3"/>
    <mergeCell ref="A4:AI4"/>
    <mergeCell ref="AR4:BZ4"/>
    <mergeCell ref="AR11:BZ11"/>
    <mergeCell ref="A13:CE13"/>
    <mergeCell ref="A14:CE14"/>
    <mergeCell ref="A17:CB17"/>
    <mergeCell ref="AM35:AY35"/>
    <mergeCell ref="A19:CB19"/>
    <mergeCell ref="A20:CB20"/>
    <mergeCell ref="A18:CB18"/>
    <mergeCell ref="A11:AI11"/>
    <mergeCell ref="AM40:AY40"/>
    <mergeCell ref="BC40:BQ40"/>
    <mergeCell ref="AM41:AY41"/>
    <mergeCell ref="A22:CB22"/>
    <mergeCell ref="A23:CB23"/>
    <mergeCell ref="A25:BY25"/>
    <mergeCell ref="A29:CE29"/>
    <mergeCell ref="AM34:AY34"/>
    <mergeCell ref="BC34:BQ34"/>
    <mergeCell ref="AM37:AY37"/>
    <mergeCell ref="BC37:BQ37"/>
    <mergeCell ref="AM38:AY38"/>
  </mergeCells>
  <dataValidations disablePrompts="1" count="2">
    <dataValidation type="list" allowBlank="1" showInputMessage="1" showErrorMessage="1" sqref="O71:W73" xr:uid="{1BF2A150-CFCE-42F1-A6B6-2684C687E7C3}">
      <formula1>стойка</formula1>
    </dataValidation>
    <dataValidation type="list" allowBlank="1" showInputMessage="1" showErrorMessage="1" sqref="P48:V48" xr:uid="{89AD156C-A484-496F-AA3D-A10B0C4FABDE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D013-4494-49FE-BA73-4DF8C42D1C9D}">
  <sheetPr>
    <tabColor rgb="FFCC99FF"/>
  </sheetPr>
  <dimension ref="A1:FP106"/>
  <sheetViews>
    <sheetView view="pageBreakPreview" zoomScaleNormal="100" zoomScaleSheetLayoutView="100" workbookViewId="0">
      <selection activeCell="A14" sqref="A14:CB14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tr">
        <f>IF('Данные объект'!B14="","",'Данные объект'!B14)</f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30.6" customHeight="1" x14ac:dyDescent="0.25">
      <c r="A13" s="931" t="s">
        <v>1236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480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 t="s">
        <v>27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2" customFormat="1" ht="12.75" x14ac:dyDescent="0.2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112" s="2" customFormat="1" ht="12.75" x14ac:dyDescent="0.2">
      <c r="A17" s="926" t="str">
        <f>IF('Данные объект'!C43="","",'Данные объект'!C43)</f>
      </c>
      <c r="B17" s="926"/>
      <c r="C17" s="926"/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6"/>
      <c r="V17" s="926"/>
      <c r="W17" s="926"/>
      <c r="X17" s="926"/>
      <c r="Y17" s="926"/>
      <c r="Z17" s="926"/>
      <c r="AA17" s="926"/>
      <c r="AB17" s="926"/>
      <c r="AC17" s="926"/>
      <c r="AD17" s="926"/>
      <c r="AE17" s="926"/>
      <c r="AF17" s="926"/>
      <c r="AG17" s="926"/>
      <c r="AH17" s="926"/>
      <c r="AI17" s="926"/>
      <c r="AJ17" s="926"/>
      <c r="AK17" s="926"/>
      <c r="AL17" s="926"/>
      <c r="AM17" s="926"/>
      <c r="AN17" s="926"/>
      <c r="AO17" s="926"/>
      <c r="AP17" s="926"/>
      <c r="AQ17" s="926"/>
      <c r="AR17" s="926"/>
      <c r="AS17" s="926"/>
      <c r="AT17" s="926"/>
      <c r="AU17" s="926"/>
      <c r="AV17" s="926"/>
      <c r="AW17" s="926"/>
      <c r="AX17" s="926"/>
      <c r="AY17" s="926"/>
      <c r="AZ17" s="926"/>
      <c r="BA17" s="926"/>
      <c r="BB17" s="926"/>
      <c r="BC17" s="926"/>
      <c r="BD17" s="926"/>
      <c r="BE17" s="926"/>
      <c r="BF17" s="926"/>
      <c r="BG17" s="926"/>
      <c r="BH17" s="926"/>
      <c r="BI17" s="926"/>
      <c r="BJ17" s="926"/>
      <c r="BK17" s="926"/>
      <c r="BL17" s="926"/>
      <c r="BM17" s="926"/>
      <c r="BN17" s="926"/>
      <c r="BO17" s="926"/>
      <c r="BP17" s="926"/>
      <c r="BQ17" s="926"/>
      <c r="BR17" s="926"/>
      <c r="BS17" s="926"/>
      <c r="BT17" s="926"/>
      <c r="BU17" s="926"/>
      <c r="BV17" s="926"/>
      <c r="BW17" s="926"/>
      <c r="BX17" s="926"/>
      <c r="BY17" s="926"/>
      <c r="BZ17" s="926"/>
      <c r="CA17" s="926"/>
      <c r="CB17" s="926"/>
    </row>
    <row r="18" spans="1:112" s="5" customFormat="1" ht="8.25" x14ac:dyDescent="0.15">
      <c r="A18" s="932" t="s">
        <v>31</v>
      </c>
      <c r="B18" s="932"/>
      <c r="C18" s="932"/>
      <c r="D18" s="932"/>
      <c r="E18" s="932"/>
      <c r="F18" s="932"/>
      <c r="G18" s="932"/>
      <c r="H18" s="932"/>
      <c r="I18" s="932"/>
      <c r="J18" s="932"/>
      <c r="K18" s="932"/>
      <c r="L18" s="932"/>
      <c r="M18" s="932"/>
      <c r="N18" s="932"/>
      <c r="O18" s="932"/>
      <c r="P18" s="932"/>
      <c r="Q18" s="932"/>
      <c r="R18" s="932"/>
      <c r="S18" s="932"/>
      <c r="T18" s="932"/>
      <c r="U18" s="932"/>
      <c r="V18" s="932"/>
      <c r="W18" s="932"/>
      <c r="X18" s="932"/>
      <c r="Y18" s="932"/>
      <c r="Z18" s="932"/>
      <c r="AA18" s="932"/>
      <c r="AB18" s="932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2"/>
      <c r="BA18" s="932"/>
      <c r="BB18" s="932"/>
      <c r="BC18" s="932"/>
      <c r="BD18" s="932"/>
      <c r="BE18" s="932"/>
      <c r="BF18" s="932"/>
      <c r="BG18" s="932"/>
      <c r="BH18" s="932"/>
      <c r="BI18" s="932"/>
      <c r="BJ18" s="932"/>
      <c r="BK18" s="932"/>
      <c r="BL18" s="932"/>
      <c r="BM18" s="932"/>
      <c r="BN18" s="932"/>
      <c r="BO18" s="932"/>
      <c r="BP18" s="932"/>
      <c r="BQ18" s="932"/>
      <c r="BR18" s="932"/>
      <c r="BS18" s="932"/>
      <c r="BT18" s="932"/>
      <c r="BU18" s="932"/>
      <c r="BV18" s="932"/>
      <c r="BW18" s="932"/>
      <c r="BX18" s="932"/>
      <c r="BY18" s="932"/>
      <c r="BZ18" s="932"/>
      <c r="CA18" s="932"/>
      <c r="CB18" s="932"/>
    </row>
    <row r="19" spans="1:112" s="2" customFormat="1" ht="12.75" x14ac:dyDescent="0.2">
      <c r="A19" s="926">
        <f>IF('Данные объект'!C46="","",'Данные объект'!C46)</f>
      </c>
      <c r="B19" s="926"/>
      <c r="C19" s="926"/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6"/>
      <c r="V19" s="926"/>
      <c r="W19" s="926"/>
      <c r="X19" s="926"/>
      <c r="Y19" s="926"/>
      <c r="Z19" s="926"/>
      <c r="AA19" s="926"/>
      <c r="AB19" s="926"/>
      <c r="AC19" s="926"/>
      <c r="AD19" s="926"/>
      <c r="AE19" s="926"/>
      <c r="AF19" s="926"/>
      <c r="AG19" s="926"/>
      <c r="AH19" s="926"/>
      <c r="AI19" s="926"/>
      <c r="AJ19" s="926"/>
      <c r="AK19" s="926"/>
      <c r="AL19" s="926"/>
      <c r="AM19" s="926"/>
      <c r="AN19" s="926"/>
      <c r="AO19" s="926"/>
      <c r="AP19" s="926"/>
      <c r="AQ19" s="926"/>
      <c r="AR19" s="926"/>
      <c r="AS19" s="926"/>
      <c r="AT19" s="926"/>
      <c r="AU19" s="926"/>
      <c r="AV19" s="926"/>
      <c r="AW19" s="926"/>
      <c r="AX19" s="926"/>
      <c r="AY19" s="926"/>
      <c r="AZ19" s="926"/>
      <c r="BA19" s="926"/>
      <c r="BB19" s="926"/>
      <c r="BC19" s="926"/>
      <c r="BD19" s="926"/>
      <c r="BE19" s="926"/>
      <c r="BF19" s="926"/>
      <c r="BG19" s="926"/>
      <c r="BH19" s="926"/>
      <c r="BI19" s="926"/>
      <c r="BJ19" s="926"/>
      <c r="BK19" s="926"/>
      <c r="BL19" s="926"/>
      <c r="BM19" s="926"/>
      <c r="BN19" s="926"/>
      <c r="BO19" s="926"/>
      <c r="BP19" s="926"/>
      <c r="BQ19" s="926"/>
      <c r="BR19" s="926"/>
      <c r="BS19" s="926"/>
      <c r="BT19" s="926"/>
      <c r="BU19" s="926"/>
      <c r="BV19" s="926"/>
      <c r="BW19" s="926"/>
      <c r="BX19" s="926"/>
      <c r="BY19" s="926"/>
      <c r="BZ19" s="926"/>
      <c r="CA19" s="926"/>
      <c r="CB19" s="926"/>
    </row>
    <row r="20" spans="1:112" s="5" customFormat="1" ht="8.25" x14ac:dyDescent="0.15">
      <c r="A20" s="932" t="s">
        <v>31</v>
      </c>
      <c r="B20" s="932"/>
      <c r="C20" s="932"/>
      <c r="D20" s="932"/>
      <c r="E20" s="932"/>
      <c r="F20" s="932"/>
      <c r="G20" s="932"/>
      <c r="H20" s="932"/>
      <c r="I20" s="932"/>
      <c r="J20" s="932"/>
      <c r="K20" s="932"/>
      <c r="L20" s="932"/>
      <c r="M20" s="932"/>
      <c r="N20" s="932"/>
      <c r="O20" s="932"/>
      <c r="P20" s="932"/>
      <c r="Q20" s="932"/>
      <c r="R20" s="932"/>
      <c r="S20" s="932"/>
      <c r="T20" s="932"/>
      <c r="U20" s="932"/>
      <c r="V20" s="932"/>
      <c r="W20" s="932"/>
      <c r="X20" s="932"/>
      <c r="Y20" s="932"/>
      <c r="Z20" s="932"/>
      <c r="AA20" s="932"/>
      <c r="AB20" s="932"/>
      <c r="AC20" s="932"/>
      <c r="AD20" s="932"/>
      <c r="AE20" s="932"/>
      <c r="AF20" s="932"/>
      <c r="AG20" s="932"/>
      <c r="AH20" s="932"/>
      <c r="AI20" s="932"/>
      <c r="AJ20" s="932"/>
      <c r="AK20" s="932"/>
      <c r="AL20" s="932"/>
      <c r="AM20" s="932"/>
      <c r="AN20" s="932"/>
      <c r="AO20" s="932"/>
      <c r="AP20" s="932"/>
      <c r="AQ20" s="932"/>
      <c r="AR20" s="932"/>
      <c r="AS20" s="932"/>
      <c r="AT20" s="932"/>
      <c r="AU20" s="932"/>
      <c r="AV20" s="932"/>
      <c r="AW20" s="932"/>
      <c r="AX20" s="932"/>
      <c r="AY20" s="932"/>
      <c r="AZ20" s="932"/>
      <c r="BA20" s="932"/>
      <c r="BB20" s="932"/>
      <c r="BC20" s="932"/>
      <c r="BD20" s="932"/>
      <c r="BE20" s="932"/>
      <c r="BF20" s="932"/>
      <c r="BG20" s="932"/>
      <c r="BH20" s="932"/>
      <c r="BI20" s="932"/>
      <c r="BJ20" s="932"/>
      <c r="BK20" s="932"/>
      <c r="BL20" s="932"/>
      <c r="BM20" s="932"/>
      <c r="BN20" s="932"/>
      <c r="BO20" s="932"/>
      <c r="BP20" s="932"/>
      <c r="BQ20" s="932"/>
      <c r="BR20" s="932"/>
      <c r="BS20" s="932"/>
      <c r="BT20" s="932"/>
      <c r="BU20" s="932"/>
      <c r="BV20" s="932"/>
      <c r="BW20" s="932"/>
      <c r="BX20" s="932"/>
      <c r="BY20" s="932"/>
      <c r="BZ20" s="932"/>
      <c r="CA20" s="932"/>
      <c r="CB20" s="932"/>
    </row>
    <row r="21" spans="1:112" s="11" customFormat="1" ht="11.25" x14ac:dyDescent="0.2">
      <c r="A21" s="11" t="s">
        <v>30</v>
      </c>
    </row>
    <row r="22" spans="1:112" s="11" customFormat="1" ht="11.25" x14ac:dyDescent="0.2">
      <c r="A22" s="926" t="str">
        <f>IF('Данные объект'!C28="","",'Данные объект'!C28)</f>
      </c>
      <c r="B22" s="926"/>
      <c r="C22" s="926"/>
      <c r="D22" s="926"/>
      <c r="E22" s="926"/>
      <c r="F22" s="926"/>
      <c r="G22" s="926"/>
      <c r="H22" s="926"/>
      <c r="I22" s="926"/>
      <c r="J22" s="926"/>
      <c r="K22" s="926"/>
      <c r="L22" s="926"/>
      <c r="M22" s="926"/>
      <c r="N22" s="926"/>
      <c r="O22" s="926"/>
      <c r="P22" s="926"/>
      <c r="Q22" s="926"/>
      <c r="R22" s="926"/>
      <c r="S22" s="926"/>
      <c r="T22" s="926"/>
      <c r="U22" s="926"/>
      <c r="V22" s="926"/>
      <c r="W22" s="926"/>
      <c r="X22" s="926"/>
      <c r="Y22" s="926"/>
      <c r="Z22" s="926"/>
      <c r="AA22" s="926"/>
      <c r="AB22" s="926"/>
      <c r="AC22" s="926"/>
      <c r="AD22" s="926"/>
      <c r="AE22" s="926"/>
      <c r="AF22" s="926"/>
      <c r="AG22" s="926"/>
      <c r="AH22" s="926"/>
      <c r="AI22" s="926"/>
      <c r="AJ22" s="926"/>
      <c r="AK22" s="926"/>
      <c r="AL22" s="926"/>
      <c r="AM22" s="926"/>
      <c r="AN22" s="926"/>
      <c r="AO22" s="926"/>
      <c r="AP22" s="926"/>
      <c r="AQ22" s="926"/>
      <c r="AR22" s="926"/>
      <c r="AS22" s="926"/>
      <c r="AT22" s="926"/>
      <c r="AU22" s="926"/>
      <c r="AV22" s="926"/>
      <c r="AW22" s="926"/>
      <c r="AX22" s="926"/>
      <c r="AY22" s="926"/>
      <c r="AZ22" s="926"/>
      <c r="BA22" s="926"/>
      <c r="BB22" s="926"/>
      <c r="BC22" s="926"/>
      <c r="BD22" s="926"/>
      <c r="BE22" s="926"/>
      <c r="BF22" s="926"/>
      <c r="BG22" s="926"/>
      <c r="BH22" s="926"/>
      <c r="BI22" s="926"/>
      <c r="BJ22" s="926"/>
      <c r="BK22" s="926"/>
      <c r="BL22" s="926"/>
      <c r="BM22" s="926"/>
      <c r="BN22" s="926"/>
      <c r="BO22" s="926"/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</row>
    <row r="23" spans="1:112" s="5" customFormat="1" ht="8.25" x14ac:dyDescent="0.15">
      <c r="A23" s="932" t="s">
        <v>31</v>
      </c>
      <c r="B23" s="932"/>
      <c r="C23" s="932"/>
      <c r="D23" s="932"/>
      <c r="E23" s="932"/>
      <c r="F23" s="932"/>
      <c r="G23" s="932"/>
      <c r="H23" s="932"/>
      <c r="I23" s="932"/>
      <c r="J23" s="932"/>
      <c r="K23" s="932"/>
      <c r="L23" s="932"/>
      <c r="M23" s="932"/>
      <c r="N23" s="932"/>
      <c r="O23" s="932"/>
      <c r="P23" s="932"/>
      <c r="Q23" s="932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932"/>
      <c r="AC23" s="932"/>
      <c r="AD23" s="932"/>
      <c r="AE23" s="932"/>
      <c r="AF23" s="932"/>
      <c r="AG23" s="932"/>
      <c r="AH23" s="932"/>
      <c r="AI23" s="932"/>
      <c r="AJ23" s="932"/>
      <c r="AK23" s="932"/>
      <c r="AL23" s="932"/>
      <c r="AM23" s="932"/>
      <c r="AN23" s="932"/>
      <c r="AO23" s="932"/>
      <c r="AP23" s="932"/>
      <c r="AQ23" s="932"/>
      <c r="AR23" s="932"/>
      <c r="AS23" s="932"/>
      <c r="AT23" s="932"/>
      <c r="AU23" s="932"/>
      <c r="AV23" s="932"/>
      <c r="AW23" s="932"/>
      <c r="AX23" s="932"/>
      <c r="AY23" s="932"/>
      <c r="AZ23" s="932"/>
      <c r="BA23" s="932"/>
      <c r="BB23" s="932"/>
      <c r="BC23" s="932"/>
      <c r="BD23" s="932"/>
      <c r="BE23" s="932"/>
      <c r="BF23" s="932"/>
      <c r="BG23" s="932"/>
      <c r="BH23" s="932"/>
      <c r="BI23" s="932"/>
      <c r="BJ23" s="932"/>
      <c r="BK23" s="932"/>
      <c r="BL23" s="932"/>
      <c r="BM23" s="932"/>
      <c r="BN23" s="932"/>
      <c r="BO23" s="932"/>
      <c r="BP23" s="932"/>
      <c r="BQ23" s="932"/>
      <c r="BR23" s="932"/>
      <c r="BS23" s="932"/>
      <c r="BT23" s="932"/>
      <c r="BU23" s="932"/>
      <c r="BV23" s="932"/>
      <c r="BW23" s="932"/>
      <c r="BX23" s="932"/>
      <c r="BY23" s="932"/>
      <c r="BZ23" s="932"/>
      <c r="CA23" s="932"/>
      <c r="CB23" s="932"/>
    </row>
    <row r="24" spans="1:112" s="5" customFormat="1" ht="8.25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 spans="1:112" s="87" customFormat="1" ht="26.25" customHeight="1" x14ac:dyDescent="0.2">
      <c r="A25" s="1018" t="s">
        <v>578</v>
      </c>
      <c r="B25" s="1018"/>
      <c r="C25" s="1018"/>
      <c r="D25" s="1018"/>
      <c r="E25" s="1018"/>
      <c r="F25" s="1018"/>
      <c r="G25" s="1018"/>
      <c r="H25" s="1018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18"/>
      <c r="U25" s="1018"/>
      <c r="V25" s="1018"/>
      <c r="W25" s="1018"/>
      <c r="X25" s="1018"/>
      <c r="Y25" s="1018"/>
      <c r="Z25" s="1100"/>
      <c r="AA25" s="1100"/>
      <c r="AB25" s="1100"/>
      <c r="AC25" s="1100"/>
      <c r="AD25" s="1100"/>
      <c r="AE25" s="1100"/>
      <c r="AF25" s="1100"/>
      <c r="AG25" s="1100"/>
      <c r="AH25" s="1100"/>
      <c r="AI25" s="1100"/>
      <c r="AJ25" s="1100"/>
      <c r="AK25" s="1100"/>
      <c r="AL25" s="1100"/>
      <c r="AM25" s="1100"/>
      <c r="AN25" s="1100"/>
      <c r="AO25" s="1100"/>
      <c r="AP25" s="1100"/>
      <c r="AQ25" s="1100"/>
      <c r="AR25" s="1100"/>
      <c r="AS25" s="1100"/>
      <c r="AT25" s="1100"/>
      <c r="AU25" s="1100"/>
      <c r="AV25" s="1100"/>
      <c r="AW25" s="1100"/>
      <c r="AX25" s="1100"/>
      <c r="AY25" s="1100"/>
      <c r="AZ25" s="1100"/>
      <c r="BA25" s="1100"/>
      <c r="BB25" s="1100"/>
      <c r="BC25" s="1100"/>
      <c r="BD25" s="1100"/>
      <c r="BE25" s="1100"/>
      <c r="BF25" s="1100"/>
      <c r="BG25" s="1100"/>
      <c r="BH25" s="1100"/>
      <c r="BI25" s="1100"/>
      <c r="BJ25" s="1100"/>
      <c r="BK25" s="1100"/>
      <c r="BL25" s="1100"/>
      <c r="BM25" s="1100"/>
      <c r="BN25" s="1100"/>
      <c r="BO25" s="1100"/>
      <c r="BP25" s="1100"/>
      <c r="BQ25" s="1100"/>
      <c r="BR25" s="1100"/>
      <c r="BS25" s="1100"/>
      <c r="BT25" s="1100"/>
      <c r="BU25" s="1100"/>
      <c r="BV25" s="1100"/>
      <c r="BW25" s="1100"/>
      <c r="BX25" s="1100"/>
      <c r="BY25" s="1100"/>
      <c r="BZ25" s="1100"/>
      <c r="CA25" s="1100"/>
      <c r="CB25" s="1100"/>
      <c r="CC25" s="1100"/>
      <c r="CD25" s="1100"/>
      <c r="CE25" s="1100"/>
    </row>
    <row r="26" spans="1:112" s="87" customFormat="1" ht="15" customHeight="1" x14ac:dyDescent="0.2">
      <c r="A26" s="114" t="s">
        <v>276</v>
      </c>
    </row>
    <row r="27" spans="1:112" s="87" customFormat="1" ht="15.6" customHeight="1" x14ac:dyDescent="0.2">
      <c r="A27" s="947" t="s">
        <v>580</v>
      </c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7"/>
      <c r="V27" s="947"/>
      <c r="W27" s="947"/>
      <c r="X27" s="947"/>
      <c r="Y27" s="947"/>
      <c r="Z27" s="947"/>
      <c r="AA27" s="926" t="str">
        <f>IF('Данные объект'!B56="","",'Данные объект'!B56)</f>
      </c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1031" t="s">
        <v>581</v>
      </c>
      <c r="AU27" s="1031"/>
      <c r="AV27" s="1031"/>
      <c r="AW27" s="1031"/>
      <c r="AX27" s="1031"/>
      <c r="AY27" s="1031"/>
      <c r="AZ27" s="1031"/>
      <c r="BA27" s="1031"/>
      <c r="BB27" s="1031"/>
      <c r="BC27" s="1031"/>
      <c r="BD27" s="1031"/>
      <c r="BE27" s="1031"/>
      <c r="BF27" s="1031"/>
      <c r="BG27" s="1031"/>
      <c r="BH27" s="1031"/>
      <c r="BI27" s="1031"/>
      <c r="BJ27" s="1031"/>
      <c r="BK27" s="1031"/>
      <c r="BL27" s="1031"/>
      <c r="BM27" s="1031"/>
      <c r="BN27" s="1031"/>
      <c r="BO27" s="1031"/>
      <c r="BP27" s="1031"/>
      <c r="BQ27" s="1031"/>
      <c r="BR27" s="1031"/>
      <c r="BS27" s="1031"/>
      <c r="BT27" s="1031"/>
      <c r="BU27" s="1031"/>
      <c r="BV27" s="1031"/>
      <c r="BW27" s="1031"/>
      <c r="BX27" s="1031"/>
    </row>
    <row r="28" spans="1:112" s="87" customFormat="1" ht="13.9" customHeight="1" x14ac:dyDescent="0.2">
      <c r="A28" s="1018" t="s">
        <v>579</v>
      </c>
      <c r="B28" s="1018"/>
      <c r="C28" s="1018"/>
      <c r="D28" s="1018"/>
      <c r="E28" s="1018"/>
      <c r="F28" s="1018"/>
      <c r="G28" s="1018"/>
      <c r="H28" s="1018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18"/>
      <c r="U28" s="1018"/>
      <c r="V28" s="1018"/>
      <c r="W28" s="1018"/>
      <c r="X28" s="1018"/>
      <c r="Y28" s="1018"/>
      <c r="DH28" s="184"/>
    </row>
    <row r="29" spans="1:112" s="87" customFormat="1" hidden="1" x14ac:dyDescent="0.25">
      <c r="A29" s="88" t="s">
        <v>281</v>
      </c>
      <c r="B29" s="1022" t="s">
        <v>479</v>
      </c>
      <c r="C29" s="1023" t="s">
        <v>435</v>
      </c>
      <c r="D29" s="89" t="s">
        <v>435</v>
      </c>
      <c r="E29" s="89" t="s">
        <v>435</v>
      </c>
      <c r="F29" s="89" t="s">
        <v>435</v>
      </c>
      <c r="G29" s="89" t="s">
        <v>435</v>
      </c>
      <c r="H29" s="89" t="s">
        <v>435</v>
      </c>
      <c r="I29" s="89" t="s">
        <v>435</v>
      </c>
      <c r="J29" s="89" t="s">
        <v>435</v>
      </c>
    </row>
    <row r="30" spans="1:112" s="87" customFormat="1" ht="12.75" x14ac:dyDescent="0.2">
      <c r="A30" s="1019" t="s">
        <v>752</v>
      </c>
      <c r="B30" s="972"/>
      <c r="C30" s="972"/>
      <c r="D30" s="972"/>
      <c r="E30" s="972"/>
      <c r="F30" s="972"/>
      <c r="G30" s="9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972"/>
      <c r="AB30" s="972"/>
      <c r="AC30" s="972"/>
      <c r="AD30" s="972"/>
      <c r="AE30" s="972"/>
      <c r="AF30" s="972"/>
      <c r="AG30" s="972"/>
      <c r="AH30" s="972"/>
    </row>
    <row r="31" spans="1:112" s="87" customFormat="1" ht="13.15" customHeight="1" x14ac:dyDescent="0.25">
      <c r="A31" s="86" t="s">
        <v>435</v>
      </c>
      <c r="B31" s="1024" t="s">
        <v>478</v>
      </c>
      <c r="C31" s="1024"/>
      <c r="D31" s="1024"/>
      <c r="E31" s="1024"/>
      <c r="F31" s="1024"/>
      <c r="G31" s="1024"/>
      <c r="H31" s="1024"/>
      <c r="I31" s="1024"/>
      <c r="J31" s="1024"/>
      <c r="K31" s="1024"/>
      <c r="L31" s="1024"/>
      <c r="M31" s="1024"/>
      <c r="N31" s="1024"/>
      <c r="O31" s="1024"/>
      <c r="P31" s="1024"/>
      <c r="Q31" s="1024"/>
      <c r="R31" s="1024"/>
      <c r="S31" s="1024"/>
      <c r="T31" s="1024"/>
      <c r="U31" s="1024"/>
      <c r="V31" s="1024"/>
      <c r="W31" s="1024"/>
      <c r="X31" s="1024"/>
      <c r="Y31" s="1024"/>
      <c r="Z31" s="1024"/>
      <c r="AA31" s="1024"/>
      <c r="AB31" s="1024"/>
      <c r="AC31" s="1024"/>
      <c r="AD31" s="1024"/>
      <c r="AE31" s="1024"/>
      <c r="AF31" s="1024"/>
      <c r="AG31" s="1024"/>
      <c r="AH31" s="1024"/>
      <c r="AI31" s="1024"/>
      <c r="AJ31" s="1024"/>
      <c r="AK31" s="1024"/>
      <c r="AL31" s="1024"/>
      <c r="AM31" s="1024"/>
      <c r="AN31" s="1024"/>
      <c r="AO31" s="1024"/>
      <c r="AP31" s="1024"/>
    </row>
    <row r="32" spans="1:112" s="87" customFormat="1" ht="15" customHeight="1" x14ac:dyDescent="0.2">
      <c r="A32" s="1182" t="s">
        <v>477</v>
      </c>
      <c r="B32" s="1183"/>
      <c r="C32" s="1183"/>
      <c r="D32" s="1183"/>
      <c r="E32" s="1183"/>
      <c r="F32" s="1183"/>
      <c r="G32" s="1183"/>
      <c r="H32" s="1183"/>
      <c r="I32" s="1183"/>
      <c r="J32" s="1183"/>
    </row>
    <row r="33" spans="1:83" s="87" customFormat="1" ht="21" customHeight="1" x14ac:dyDescent="0.2">
      <c r="A33" s="1020" t="s">
        <v>73</v>
      </c>
      <c r="B33" s="1020"/>
      <c r="C33" s="1020"/>
      <c r="D33" s="1020"/>
      <c r="E33" s="1020"/>
      <c r="F33" s="1025" t="s">
        <v>582</v>
      </c>
      <c r="G33" s="1026"/>
      <c r="H33" s="1026"/>
      <c r="I33" s="1026"/>
      <c r="J33" s="1026"/>
      <c r="K33" s="1026"/>
      <c r="L33" s="1026"/>
      <c r="M33" s="1026"/>
      <c r="N33" s="1026"/>
      <c r="O33" s="1026"/>
      <c r="P33" s="1027"/>
      <c r="Q33" s="1021" t="s">
        <v>476</v>
      </c>
      <c r="R33" s="1021"/>
      <c r="S33" s="1021"/>
      <c r="T33" s="1021"/>
      <c r="U33" s="1021"/>
      <c r="V33" s="1021"/>
      <c r="W33" s="1021"/>
      <c r="X33" s="1021"/>
      <c r="Y33" s="1021"/>
      <c r="Z33" s="1021"/>
      <c r="AA33" s="1021"/>
      <c r="AB33" s="1033" t="s">
        <v>475</v>
      </c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3"/>
      <c r="AM33" s="1033"/>
      <c r="AN33" s="1033"/>
      <c r="AO33" s="1033"/>
      <c r="AP33" s="1033"/>
      <c r="AQ33" s="1049" t="s">
        <v>1107</v>
      </c>
      <c r="AR33" s="1050"/>
      <c r="AS33" s="1050"/>
      <c r="AT33" s="1050"/>
      <c r="AU33" s="1050"/>
      <c r="AV33" s="1050"/>
      <c r="AW33" s="1050"/>
      <c r="AX33" s="1050"/>
      <c r="AY33" s="1050"/>
      <c r="AZ33" s="1050"/>
      <c r="BA33" s="1050"/>
      <c r="BB33" s="1050"/>
      <c r="BC33" s="1050"/>
      <c r="BD33" s="1050"/>
      <c r="BE33" s="1050"/>
      <c r="BF33" s="1050"/>
      <c r="BG33" s="1050"/>
      <c r="BH33" s="1050"/>
      <c r="BI33" s="1050"/>
      <c r="BJ33" s="1050"/>
      <c r="BK33" s="1050"/>
      <c r="BL33" s="1050"/>
      <c r="BM33" s="1050"/>
      <c r="BN33" s="1050"/>
      <c r="BO33" s="1050"/>
      <c r="BP33" s="1050"/>
      <c r="BQ33" s="1050"/>
      <c r="BR33" s="1051"/>
      <c r="BS33" s="1036" t="s">
        <v>0</v>
      </c>
      <c r="BT33" s="1036"/>
      <c r="BU33" s="1036"/>
      <c r="BV33" s="1036"/>
      <c r="BW33" s="1036"/>
      <c r="BX33" s="1036"/>
      <c r="BY33" s="1036"/>
      <c r="BZ33" s="1036"/>
      <c r="CA33" s="1036"/>
      <c r="CB33" s="1036"/>
      <c r="CC33" s="1036"/>
      <c r="CD33" s="1036"/>
      <c r="CE33" s="1036"/>
    </row>
    <row r="34" spans="1:83" s="87" customFormat="1" ht="37.15" customHeight="1" x14ac:dyDescent="0.2">
      <c r="A34" s="1020"/>
      <c r="B34" s="1020"/>
      <c r="C34" s="1020"/>
      <c r="D34" s="1020"/>
      <c r="E34" s="1020"/>
      <c r="F34" s="1028"/>
      <c r="G34" s="1029"/>
      <c r="H34" s="1029"/>
      <c r="I34" s="1029"/>
      <c r="J34" s="1029"/>
      <c r="K34" s="1029"/>
      <c r="L34" s="1029"/>
      <c r="M34" s="1029"/>
      <c r="N34" s="1029"/>
      <c r="O34" s="1029"/>
      <c r="P34" s="1030"/>
      <c r="Q34" s="1020" t="s">
        <v>474</v>
      </c>
      <c r="R34" s="1020"/>
      <c r="S34" s="1020"/>
      <c r="T34" s="1020"/>
      <c r="U34" s="1020"/>
      <c r="V34" s="1020"/>
      <c r="W34" s="1020"/>
      <c r="X34" s="1020"/>
      <c r="Y34" s="1020"/>
      <c r="Z34" s="1020"/>
      <c r="AA34" s="1020"/>
      <c r="AB34" s="1021" t="s">
        <v>473</v>
      </c>
      <c r="AC34" s="1021"/>
      <c r="AD34" s="1021"/>
      <c r="AE34" s="1021"/>
      <c r="AF34" s="1021"/>
      <c r="AG34" s="1021"/>
      <c r="AH34" s="1021" t="s">
        <v>472</v>
      </c>
      <c r="AI34" s="1021"/>
      <c r="AJ34" s="1021"/>
      <c r="AK34" s="1021"/>
      <c r="AL34" s="1021"/>
      <c r="AM34" s="1021"/>
      <c r="AN34" s="1021"/>
      <c r="AO34" s="1021"/>
      <c r="AP34" s="1021"/>
      <c r="AQ34" s="1036" t="s">
        <v>471</v>
      </c>
      <c r="AR34" s="1036"/>
      <c r="AS34" s="1036"/>
      <c r="AT34" s="1036"/>
      <c r="AU34" s="1036"/>
      <c r="AV34" s="1036"/>
      <c r="AW34" s="1036"/>
      <c r="AX34" s="1036" t="s">
        <v>470</v>
      </c>
      <c r="AY34" s="1036"/>
      <c r="AZ34" s="1036"/>
      <c r="BA34" s="1036"/>
      <c r="BB34" s="1036"/>
      <c r="BC34" s="1036"/>
      <c r="BD34" s="1036"/>
      <c r="BE34" s="1036" t="s">
        <v>469</v>
      </c>
      <c r="BF34" s="1036"/>
      <c r="BG34" s="1036"/>
      <c r="BH34" s="1036"/>
      <c r="BI34" s="1036"/>
      <c r="BJ34" s="1036"/>
      <c r="BK34" s="1036"/>
      <c r="BL34" s="1036" t="s">
        <v>468</v>
      </c>
      <c r="BM34" s="1036"/>
      <c r="BN34" s="1036"/>
      <c r="BO34" s="1036"/>
      <c r="BP34" s="1036"/>
      <c r="BQ34" s="1036"/>
      <c r="BR34" s="1036"/>
      <c r="BS34" s="1036"/>
      <c r="BT34" s="1036"/>
      <c r="BU34" s="1036"/>
      <c r="BV34" s="1036"/>
      <c r="BW34" s="1036"/>
      <c r="BX34" s="1036"/>
      <c r="BY34" s="1036"/>
      <c r="BZ34" s="1036"/>
      <c r="CA34" s="1036"/>
      <c r="CB34" s="1036"/>
      <c r="CC34" s="1036"/>
      <c r="CD34" s="1036"/>
      <c r="CE34" s="1036"/>
    </row>
    <row r="35" spans="1:83" s="87" customFormat="1" ht="15.6" customHeight="1" x14ac:dyDescent="0.2">
      <c r="A35" s="1174"/>
      <c r="B35" s="1175"/>
      <c r="C35" s="1175"/>
      <c r="D35" s="1175"/>
      <c r="E35" s="1176"/>
      <c r="F35" s="1059" t="s">
        <v>583</v>
      </c>
      <c r="G35" s="1059"/>
      <c r="H35" s="1059"/>
      <c r="I35" s="1059"/>
      <c r="J35" s="1059"/>
      <c r="K35" s="1059"/>
      <c r="L35" s="1059"/>
      <c r="M35" s="1059"/>
      <c r="N35" s="1059"/>
      <c r="O35" s="1059"/>
      <c r="P35" s="1059"/>
      <c r="Q35" s="1172" t="s">
        <v>101</v>
      </c>
      <c r="R35" s="1172"/>
      <c r="S35" s="1172"/>
      <c r="T35" s="1172"/>
      <c r="U35" s="1172"/>
      <c r="V35" s="1172"/>
      <c r="W35" s="1172"/>
      <c r="X35" s="1172"/>
      <c r="Y35" s="1172"/>
      <c r="Z35" s="1172"/>
      <c r="AA35" s="1172"/>
      <c r="AB35" s="1172" t="s">
        <v>101</v>
      </c>
      <c r="AC35" s="1172"/>
      <c r="AD35" s="1172"/>
      <c r="AE35" s="1172"/>
      <c r="AF35" s="1172"/>
      <c r="AG35" s="1172"/>
      <c r="AH35" s="1060" t="s">
        <v>101</v>
      </c>
      <c r="AI35" s="1061"/>
      <c r="AJ35" s="1061"/>
      <c r="AK35" s="1061"/>
      <c r="AL35" s="1061"/>
      <c r="AM35" s="1061"/>
      <c r="AN35" s="1061"/>
      <c r="AO35" s="1061"/>
      <c r="AP35" s="1058"/>
      <c r="AQ35" s="1060" t="s">
        <v>587</v>
      </c>
      <c r="AR35" s="1061"/>
      <c r="AS35" s="1061"/>
      <c r="AT35" s="1061"/>
      <c r="AU35" s="1061"/>
      <c r="AV35" s="1061"/>
      <c r="AW35" s="1058"/>
      <c r="AX35" s="1059" t="s">
        <v>585</v>
      </c>
      <c r="AY35" s="1059"/>
      <c r="AZ35" s="1059"/>
      <c r="BA35" s="1059"/>
      <c r="BB35" s="1059"/>
      <c r="BC35" s="1059"/>
      <c r="BD35" s="1059"/>
      <c r="BE35" s="1059">
        <v>3</v>
      </c>
      <c r="BF35" s="1059"/>
      <c r="BG35" s="1059"/>
      <c r="BH35" s="1059"/>
      <c r="BI35" s="1059"/>
      <c r="BJ35" s="1059"/>
      <c r="BK35" s="1059"/>
      <c r="BL35" s="1059">
        <v>3</v>
      </c>
      <c r="BM35" s="1059"/>
      <c r="BN35" s="1059"/>
      <c r="BO35" s="1059"/>
      <c r="BP35" s="1059"/>
      <c r="BQ35" s="1059"/>
      <c r="BR35" s="1059"/>
      <c r="BS35" s="1172"/>
      <c r="BT35" s="1172"/>
      <c r="BU35" s="1172"/>
      <c r="BV35" s="1172"/>
      <c r="BW35" s="1172"/>
      <c r="BX35" s="1172"/>
      <c r="BY35" s="1172"/>
      <c r="BZ35" s="1172"/>
      <c r="CA35" s="1172"/>
      <c r="CB35" s="1172"/>
      <c r="CC35" s="1172"/>
      <c r="CD35" s="1172"/>
      <c r="CE35" s="1172"/>
    </row>
    <row r="36" spans="1:83" s="87" customFormat="1" ht="15.6" customHeight="1" x14ac:dyDescent="0.2">
      <c r="A36" s="1177"/>
      <c r="B36" s="1178"/>
      <c r="C36" s="1178"/>
      <c r="D36" s="1178"/>
      <c r="E36" s="1179"/>
      <c r="F36" s="1173" t="s">
        <v>584</v>
      </c>
      <c r="G36" s="1173"/>
      <c r="H36" s="1173"/>
      <c r="I36" s="1173"/>
      <c r="J36" s="1173"/>
      <c r="K36" s="1173"/>
      <c r="L36" s="1173"/>
      <c r="M36" s="1173"/>
      <c r="N36" s="1173"/>
      <c r="O36" s="1173"/>
      <c r="P36" s="1173"/>
      <c r="Q36" s="1172" t="s">
        <v>101</v>
      </c>
      <c r="R36" s="1172"/>
      <c r="S36" s="1172"/>
      <c r="T36" s="1172"/>
      <c r="U36" s="1172"/>
      <c r="V36" s="1172"/>
      <c r="W36" s="1172"/>
      <c r="X36" s="1172"/>
      <c r="Y36" s="1172"/>
      <c r="Z36" s="1172"/>
      <c r="AA36" s="1172"/>
      <c r="AB36" s="1172" t="s">
        <v>101</v>
      </c>
      <c r="AC36" s="1172"/>
      <c r="AD36" s="1172"/>
      <c r="AE36" s="1172"/>
      <c r="AF36" s="1172"/>
      <c r="AG36" s="1172"/>
      <c r="AH36" s="1060" t="s">
        <v>101</v>
      </c>
      <c r="AI36" s="1061"/>
      <c r="AJ36" s="1061"/>
      <c r="AK36" s="1061"/>
      <c r="AL36" s="1061"/>
      <c r="AM36" s="1061"/>
      <c r="AN36" s="1061"/>
      <c r="AO36" s="1061"/>
      <c r="AP36" s="1058"/>
      <c r="AQ36" s="1060" t="s">
        <v>333</v>
      </c>
      <c r="AR36" s="1061"/>
      <c r="AS36" s="1061"/>
      <c r="AT36" s="1061"/>
      <c r="AU36" s="1061"/>
      <c r="AV36" s="1061"/>
      <c r="AW36" s="1058"/>
      <c r="AX36" s="1059" t="s">
        <v>586</v>
      </c>
      <c r="AY36" s="1059"/>
      <c r="AZ36" s="1059"/>
      <c r="BA36" s="1059"/>
      <c r="BB36" s="1059"/>
      <c r="BC36" s="1059"/>
      <c r="BD36" s="1059"/>
      <c r="BE36" s="1059"/>
      <c r="BF36" s="1059"/>
      <c r="BG36" s="1059"/>
      <c r="BH36" s="1059"/>
      <c r="BI36" s="1059"/>
      <c r="BJ36" s="1059"/>
      <c r="BK36" s="1059"/>
      <c r="BL36" s="1059"/>
      <c r="BM36" s="1059"/>
      <c r="BN36" s="1059"/>
      <c r="BO36" s="1059"/>
      <c r="BP36" s="1059"/>
      <c r="BQ36" s="1059"/>
      <c r="BR36" s="1059"/>
      <c r="BS36" s="1172"/>
      <c r="BT36" s="1172"/>
      <c r="BU36" s="1172"/>
      <c r="BV36" s="1172"/>
      <c r="BW36" s="1172"/>
      <c r="BX36" s="1172"/>
      <c r="BY36" s="1172"/>
      <c r="BZ36" s="1172"/>
      <c r="CA36" s="1172"/>
      <c r="CB36" s="1172"/>
      <c r="CC36" s="1172"/>
      <c r="CD36" s="1172"/>
      <c r="CE36" s="1172"/>
    </row>
    <row r="37" spans="1:83" s="87" customFormat="1" ht="15" customHeight="1" x14ac:dyDescent="0.2">
      <c r="A37" s="1180"/>
      <c r="B37" s="1017"/>
      <c r="C37" s="1017"/>
      <c r="D37" s="1017"/>
      <c r="E37" s="1181"/>
      <c r="F37" s="1059" t="s">
        <v>583</v>
      </c>
      <c r="G37" s="1059"/>
      <c r="H37" s="1059"/>
      <c r="I37" s="1059"/>
      <c r="J37" s="1059"/>
      <c r="K37" s="1059"/>
      <c r="L37" s="1059"/>
      <c r="M37" s="1059"/>
      <c r="N37" s="1059"/>
      <c r="O37" s="1059"/>
      <c r="P37" s="1059"/>
      <c r="Q37" s="1172" t="s">
        <v>101</v>
      </c>
      <c r="R37" s="1172"/>
      <c r="S37" s="1172"/>
      <c r="T37" s="1172"/>
      <c r="U37" s="1172"/>
      <c r="V37" s="1172"/>
      <c r="W37" s="1172"/>
      <c r="X37" s="1172"/>
      <c r="Y37" s="1172"/>
      <c r="Z37" s="1172"/>
      <c r="AA37" s="1172"/>
      <c r="AB37" s="1172" t="s">
        <v>101</v>
      </c>
      <c r="AC37" s="1172"/>
      <c r="AD37" s="1172"/>
      <c r="AE37" s="1172"/>
      <c r="AF37" s="1172"/>
      <c r="AG37" s="1172"/>
      <c r="AH37" s="1060" t="s">
        <v>101</v>
      </c>
      <c r="AI37" s="1061"/>
      <c r="AJ37" s="1061"/>
      <c r="AK37" s="1061"/>
      <c r="AL37" s="1061"/>
      <c r="AM37" s="1061"/>
      <c r="AN37" s="1061"/>
      <c r="AO37" s="1061"/>
      <c r="AP37" s="1058"/>
      <c r="AQ37" s="1060" t="s">
        <v>588</v>
      </c>
      <c r="AR37" s="1061"/>
      <c r="AS37" s="1061"/>
      <c r="AT37" s="1061"/>
      <c r="AU37" s="1061"/>
      <c r="AV37" s="1061"/>
      <c r="AW37" s="1058"/>
      <c r="AX37" s="1059">
        <v>10</v>
      </c>
      <c r="AY37" s="1059"/>
      <c r="AZ37" s="1059"/>
      <c r="BA37" s="1059"/>
      <c r="BB37" s="1059"/>
      <c r="BC37" s="1059"/>
      <c r="BD37" s="1059"/>
      <c r="BE37" s="1059">
        <v>8.5</v>
      </c>
      <c r="BF37" s="1059"/>
      <c r="BG37" s="1059"/>
      <c r="BH37" s="1059"/>
      <c r="BI37" s="1059"/>
      <c r="BJ37" s="1059"/>
      <c r="BK37" s="1059"/>
      <c r="BL37" s="1059"/>
      <c r="BM37" s="1059"/>
      <c r="BN37" s="1059"/>
      <c r="BO37" s="1059"/>
      <c r="BP37" s="1059"/>
      <c r="BQ37" s="1059"/>
      <c r="BR37" s="1059"/>
      <c r="BS37" s="1060" t="s">
        <v>589</v>
      </c>
      <c r="BT37" s="1061"/>
      <c r="BU37" s="1061"/>
      <c r="BV37" s="1061"/>
      <c r="BW37" s="1061"/>
      <c r="BX37" s="1061"/>
      <c r="BY37" s="1061"/>
      <c r="BZ37" s="1061"/>
      <c r="CA37" s="1061"/>
      <c r="CB37" s="1061"/>
      <c r="CC37" s="1061"/>
      <c r="CD37" s="1061"/>
      <c r="CE37" s="1061"/>
    </row>
    <row r="38" spans="1:83" s="87" customFormat="1" ht="19.149999999999999" customHeight="1" x14ac:dyDescent="0.25">
      <c r="A38" s="91"/>
      <c r="B38" s="86"/>
      <c r="C38" s="86"/>
      <c r="D38" s="86"/>
      <c r="E38" s="86"/>
      <c r="F38" s="86"/>
      <c r="G38" s="86"/>
      <c r="H38" s="86"/>
      <c r="I38" s="86"/>
      <c r="J38" s="86"/>
    </row>
    <row r="39" spans="1:83" s="87" customFormat="1" ht="15" customHeight="1" x14ac:dyDescent="0.2">
      <c r="A39" s="242" t="s">
        <v>457</v>
      </c>
      <c r="B39" s="116"/>
      <c r="C39" s="116"/>
      <c r="D39" s="116"/>
      <c r="E39" s="116"/>
      <c r="F39" s="116"/>
      <c r="G39" s="116"/>
      <c r="H39" s="116"/>
      <c r="I39" s="116"/>
      <c r="J39" s="116"/>
    </row>
    <row r="40" spans="1:83" s="87" customFormat="1" ht="15" customHeight="1" x14ac:dyDescent="0.2">
      <c r="A40" s="100" t="s">
        <v>467</v>
      </c>
      <c r="B40" s="93"/>
      <c r="C40" s="93"/>
      <c r="D40" s="93"/>
      <c r="E40" s="93"/>
      <c r="F40" s="93"/>
      <c r="G40" s="93"/>
      <c r="H40" s="93"/>
      <c r="I40" s="93"/>
      <c r="J40" s="93"/>
    </row>
    <row r="41" spans="1:83" s="87" customFormat="1" ht="12.75" x14ac:dyDescent="0.2">
      <c r="A41" s="94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T41" s="95"/>
      <c r="U41" s="94"/>
      <c r="V41" s="94"/>
    </row>
    <row r="42" spans="1:83" s="2" customFormat="1" ht="12.75" x14ac:dyDescent="0.2">
      <c r="A42" s="11"/>
      <c r="B42" s="11"/>
      <c r="C42" s="11"/>
      <c r="D42" s="45" t="s">
        <v>59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855"/>
      <c r="AN42" s="855"/>
      <c r="AO42" s="855"/>
      <c r="AP42" s="855"/>
      <c r="AQ42" s="855"/>
      <c r="AR42" s="855"/>
      <c r="AS42" s="855"/>
      <c r="AT42" s="855"/>
      <c r="AU42" s="855"/>
      <c r="AV42" s="855"/>
      <c r="AW42" s="855"/>
      <c r="AX42" s="855"/>
      <c r="AY42" s="855"/>
      <c r="AZ42" s="11"/>
      <c r="BA42" s="11"/>
      <c r="BB42" s="11"/>
      <c r="BC42" s="893" t="str">
        <f>IF('Данные объект'!B44="","",'Данные объект'!B44)</f>
      </c>
      <c r="BD42" s="893"/>
      <c r="BE42" s="893"/>
      <c r="BF42" s="893"/>
      <c r="BG42" s="893"/>
      <c r="BH42" s="893"/>
      <c r="BI42" s="893"/>
      <c r="BJ42" s="893"/>
      <c r="BK42" s="893"/>
      <c r="BL42" s="893"/>
      <c r="BM42" s="893"/>
      <c r="BN42" s="893"/>
      <c r="BO42" s="893"/>
      <c r="BP42" s="893"/>
      <c r="BQ42" s="893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</row>
    <row r="43" spans="1:83" s="5" customFormat="1" ht="9.75" x14ac:dyDescent="0.2">
      <c r="C43" s="20"/>
      <c r="E43" s="21"/>
      <c r="F43" s="21"/>
      <c r="G43" s="20"/>
      <c r="H43" s="20"/>
      <c r="I43" s="20"/>
      <c r="J43" s="20"/>
      <c r="K43" s="20"/>
      <c r="L43" s="20"/>
      <c r="M43" s="20"/>
      <c r="AM43" s="858" t="s">
        <v>2</v>
      </c>
      <c r="AN43" s="858"/>
      <c r="AO43" s="858"/>
      <c r="AP43" s="858"/>
      <c r="AQ43" s="858"/>
      <c r="AR43" s="858"/>
      <c r="AS43" s="858"/>
      <c r="AT43" s="858"/>
      <c r="AU43" s="858"/>
      <c r="AV43" s="858"/>
      <c r="AW43" s="858"/>
      <c r="AX43" s="858"/>
      <c r="AY43" s="858"/>
    </row>
    <row r="44" spans="1:83" s="5" customFormat="1" ht="9.75" x14ac:dyDescent="0.2">
      <c r="C44" s="20"/>
      <c r="E44" s="21"/>
      <c r="F44" s="21"/>
      <c r="G44" s="20"/>
      <c r="H44" s="20"/>
      <c r="I44" s="20"/>
      <c r="J44" s="20"/>
      <c r="K44" s="20"/>
      <c r="L44" s="20"/>
      <c r="M44" s="20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</row>
    <row r="45" spans="1:83" s="2" customFormat="1" ht="12.75" x14ac:dyDescent="0.2">
      <c r="A45" s="11"/>
      <c r="B45" s="11"/>
      <c r="C45" s="11"/>
      <c r="D45" s="45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855"/>
      <c r="AN45" s="855"/>
      <c r="AO45" s="855"/>
      <c r="AP45" s="855"/>
      <c r="AQ45" s="855"/>
      <c r="AR45" s="855"/>
      <c r="AS45" s="855"/>
      <c r="AT45" s="855"/>
      <c r="AU45" s="855"/>
      <c r="AV45" s="855"/>
      <c r="AW45" s="855"/>
      <c r="AX45" s="855"/>
      <c r="AY45" s="855"/>
      <c r="AZ45" s="11"/>
      <c r="BA45" s="11"/>
      <c r="BB45" s="11"/>
      <c r="BC45" s="893" t="str">
        <f>IF('Данные объект'!B47="","",'Данные объект'!B47)</f>
      </c>
      <c r="BD45" s="893"/>
      <c r="BE45" s="893"/>
      <c r="BF45" s="893"/>
      <c r="BG45" s="893"/>
      <c r="BH45" s="893"/>
      <c r="BI45" s="893"/>
      <c r="BJ45" s="893"/>
      <c r="BK45" s="893"/>
      <c r="BL45" s="893"/>
      <c r="BM45" s="893"/>
      <c r="BN45" s="893"/>
      <c r="BO45" s="893"/>
      <c r="BP45" s="893"/>
      <c r="BQ45" s="893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</row>
    <row r="46" spans="1:83" s="5" customFormat="1" ht="9.75" x14ac:dyDescent="0.2">
      <c r="C46" s="20"/>
      <c r="E46" s="21"/>
      <c r="F46" s="21"/>
      <c r="G46" s="20"/>
      <c r="H46" s="20"/>
      <c r="I46" s="20"/>
      <c r="J46" s="20"/>
      <c r="K46" s="20"/>
      <c r="L46" s="20"/>
      <c r="M46" s="20"/>
      <c r="AM46" s="858" t="s">
        <v>2</v>
      </c>
      <c r="AN46" s="858"/>
      <c r="AO46" s="858"/>
      <c r="AP46" s="858"/>
      <c r="AQ46" s="858"/>
      <c r="AR46" s="858"/>
      <c r="AS46" s="858"/>
      <c r="AT46" s="858"/>
      <c r="AU46" s="858"/>
      <c r="AV46" s="858"/>
      <c r="AW46" s="858"/>
      <c r="AX46" s="858"/>
      <c r="AY46" s="858"/>
    </row>
    <row r="47" spans="1:83" s="5" customFormat="1" ht="12.75" outlineLevel="1" x14ac:dyDescent="0.2">
      <c r="C47" s="20"/>
      <c r="D47" s="21"/>
      <c r="E47" s="21"/>
      <c r="F47" s="21"/>
      <c r="G47" s="20"/>
      <c r="H47" s="20"/>
      <c r="I47" s="20"/>
      <c r="J47" s="20"/>
      <c r="K47" s="20"/>
      <c r="L47" s="20"/>
      <c r="M47" s="20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83" s="11" customFormat="1" ht="11.25" x14ac:dyDescent="0.2">
      <c r="C48" s="57"/>
      <c r="D48" s="45" t="s">
        <v>61</v>
      </c>
      <c r="E48" s="45"/>
      <c r="F48" s="45"/>
      <c r="G48" s="57"/>
      <c r="H48" s="57"/>
      <c r="I48" s="57"/>
      <c r="J48" s="57"/>
      <c r="K48" s="57"/>
      <c r="L48" s="57"/>
      <c r="M48" s="57"/>
      <c r="AM48" s="855"/>
      <c r="AN48" s="855"/>
      <c r="AO48" s="855"/>
      <c r="AP48" s="855"/>
      <c r="AQ48" s="855"/>
      <c r="AR48" s="855"/>
      <c r="AS48" s="855"/>
      <c r="AT48" s="855"/>
      <c r="AU48" s="855"/>
      <c r="AV48" s="855"/>
      <c r="AW48" s="855"/>
      <c r="AX48" s="855"/>
      <c r="AY48" s="855"/>
      <c r="BC48" s="893" t="str">
        <f>IF('Данные объект'!B28="","",'Данные объект'!B28)</f>
      </c>
      <c r="BD48" s="893"/>
      <c r="BE48" s="893"/>
      <c r="BF48" s="893"/>
      <c r="BG48" s="893"/>
      <c r="BH48" s="893"/>
      <c r="BI48" s="893"/>
      <c r="BJ48" s="893"/>
      <c r="BK48" s="893"/>
      <c r="BL48" s="893"/>
      <c r="BM48" s="893"/>
      <c r="BN48" s="893"/>
      <c r="BO48" s="893"/>
      <c r="BP48" s="893"/>
      <c r="BQ48" s="893"/>
    </row>
    <row r="49" spans="1:172" s="5" customFormat="1" ht="9.75" x14ac:dyDescent="0.2">
      <c r="C49" s="20"/>
      <c r="E49" s="21"/>
      <c r="F49" s="21"/>
      <c r="G49" s="20"/>
      <c r="H49" s="20"/>
      <c r="I49" s="20"/>
      <c r="J49" s="20"/>
      <c r="K49" s="20"/>
      <c r="L49" s="20"/>
      <c r="M49" s="20"/>
      <c r="AM49" s="858" t="s">
        <v>2</v>
      </c>
      <c r="AN49" s="858"/>
      <c r="AO49" s="858"/>
      <c r="AP49" s="858"/>
      <c r="AQ49" s="858"/>
      <c r="AR49" s="858"/>
      <c r="AS49" s="858"/>
      <c r="AT49" s="858"/>
      <c r="AU49" s="858"/>
      <c r="AV49" s="858"/>
      <c r="AW49" s="858"/>
      <c r="AX49" s="858"/>
      <c r="AY49" s="858"/>
    </row>
    <row r="50" spans="1:172" s="87" customFormat="1" ht="15" customHeight="1" x14ac:dyDescent="0.2">
      <c r="A50" s="92"/>
      <c r="B50" s="93"/>
      <c r="C50" s="93"/>
      <c r="D50" s="93"/>
    </row>
    <row r="51" spans="1:172" s="87" customFormat="1" ht="15" customHeight="1" x14ac:dyDescent="0.2">
      <c r="A51" s="92"/>
      <c r="B51" s="93"/>
      <c r="C51" s="93"/>
      <c r="D51" s="93"/>
    </row>
    <row r="52" spans="1:172" s="87" customFormat="1" ht="15" customHeight="1" x14ac:dyDescent="0.2">
      <c r="A52" s="95"/>
      <c r="B52" s="93"/>
      <c r="C52" s="93"/>
      <c r="D52" s="93"/>
    </row>
    <row r="53" spans="1:172" s="87" customFormat="1" ht="13.15" customHeight="1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N53" s="106"/>
    </row>
    <row r="54" spans="1:172" s="87" customFormat="1" ht="16.899999999999999" customHeight="1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N54" s="101"/>
    </row>
    <row r="55" spans="1:172" s="87" customFormat="1" ht="16.899999999999999" customHeight="1" x14ac:dyDescent="0.2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107"/>
      <c r="CN55" s="101"/>
    </row>
    <row r="56" spans="1:172" s="2" customFormat="1" ht="13.5" x14ac:dyDescent="0.25">
      <c r="F56" s="10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</row>
    <row r="57" spans="1:172" s="2" customFormat="1" ht="12.75" x14ac:dyDescent="0.2"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</row>
    <row r="58" spans="1:172" s="5" customFormat="1" ht="7.9" hidden="1" customHeight="1" x14ac:dyDescent="0.15"/>
    <row r="59" spans="1:172" s="70" customFormat="1" ht="11.2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</row>
    <row r="61" spans="1:172" s="41" customFormat="1" ht="8.25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</row>
    <row r="62" spans="1:172" s="70" customFormat="1" ht="10.15" hidden="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</row>
    <row r="63" spans="1:172" ht="14.45" hidden="1" customHeight="1" x14ac:dyDescent="0.25"/>
    <row r="64" spans="1:172" s="41" customFormat="1" ht="8.4499999999999993" hidden="1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</row>
    <row r="65" spans="1:172" ht="14.45" hidden="1" customHeight="1" x14ac:dyDescent="0.25"/>
    <row r="66" spans="1:172" s="70" customFormat="1" ht="10.15" hidden="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</row>
    <row r="67" spans="1:172" ht="14.45" hidden="1" customHeight="1" x14ac:dyDescent="0.25"/>
    <row r="68" spans="1:172" s="70" customFormat="1" ht="10.15" hidden="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02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</row>
    <row r="70" spans="1:17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</row>
    <row r="71" spans="1:172" s="42" customFormat="1" ht="15" customHeight="1" x14ac:dyDescent="0.25">
      <c r="A71" s="103"/>
      <c r="B71" s="103"/>
      <c r="C71" s="103"/>
      <c r="D71" s="103"/>
      <c r="E71" s="103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3"/>
      <c r="BF71" s="103"/>
      <c r="BG71" s="103"/>
      <c r="BH71" s="103"/>
      <c r="BI71" s="103"/>
      <c r="BJ71" s="103"/>
      <c r="BK71" s="103"/>
      <c r="BL71" s="103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3"/>
      <c r="BZ71" s="103"/>
      <c r="CA71" s="103"/>
      <c r="CB71" s="103"/>
      <c r="CC71" s="71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</row>
    <row r="72" spans="1:172" s="42" customFormat="1" x14ac:dyDescent="0.25">
      <c r="A72" s="103"/>
      <c r="B72" s="103"/>
      <c r="C72" s="103"/>
      <c r="D72" s="103"/>
      <c r="E72" s="103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3"/>
      <c r="BF72" s="103"/>
      <c r="BG72" s="103"/>
      <c r="BH72" s="103"/>
      <c r="BI72" s="103"/>
      <c r="BJ72" s="103"/>
      <c r="BK72" s="103"/>
      <c r="BL72" s="103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3"/>
      <c r="BZ72" s="103"/>
      <c r="CA72" s="103"/>
      <c r="CB72" s="103"/>
      <c r="CC72" s="71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</row>
    <row r="73" spans="1:172" s="42" customFormat="1" x14ac:dyDescent="0.25">
      <c r="A73" s="103"/>
      <c r="B73" s="103"/>
      <c r="C73" s="103"/>
      <c r="D73" s="103"/>
      <c r="E73" s="103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3"/>
      <c r="BF73" s="103"/>
      <c r="BG73" s="103"/>
      <c r="BH73" s="103"/>
      <c r="BI73" s="103"/>
      <c r="BJ73" s="103"/>
      <c r="BK73" s="103"/>
      <c r="BL73" s="103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3"/>
      <c r="BZ73" s="103"/>
      <c r="CA73" s="103"/>
      <c r="CB73" s="103"/>
      <c r="CC73" s="71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</row>
    <row r="74" spans="1:172" x14ac:dyDescent="0.25">
      <c r="A74" s="103"/>
      <c r="B74" s="103"/>
      <c r="C74" s="103"/>
      <c r="D74" s="103"/>
      <c r="E74" s="103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3"/>
      <c r="BF74" s="103"/>
      <c r="BG74" s="103"/>
      <c r="BH74" s="103"/>
      <c r="BI74" s="103"/>
      <c r="BJ74" s="103"/>
      <c r="BK74" s="103"/>
      <c r="BL74" s="103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3"/>
      <c r="BZ74" s="103"/>
      <c r="CA74" s="103"/>
      <c r="CB74" s="103"/>
      <c r="CC74" s="11"/>
    </row>
    <row r="75" spans="1:172" x14ac:dyDescent="0.25">
      <c r="A75" s="103"/>
      <c r="B75" s="103"/>
      <c r="C75" s="103"/>
      <c r="D75" s="103"/>
      <c r="E75" s="103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3"/>
      <c r="BF75" s="103"/>
      <c r="BG75" s="103"/>
      <c r="BH75" s="103"/>
      <c r="BI75" s="103"/>
      <c r="BJ75" s="103"/>
      <c r="BK75" s="103"/>
      <c r="BL75" s="103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3"/>
      <c r="BZ75" s="103"/>
      <c r="CA75" s="103"/>
      <c r="CB75" s="103"/>
      <c r="CC75" s="11"/>
    </row>
    <row r="76" spans="1:17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70"/>
      <c r="BZ76" s="70"/>
      <c r="CA76" s="70"/>
      <c r="CB76" s="70"/>
      <c r="CC76" s="11"/>
    </row>
    <row r="77" spans="1:17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11"/>
    </row>
    <row r="78" spans="1:17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11"/>
    </row>
    <row r="79" spans="1:172" ht="14.45" hidden="1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11"/>
    </row>
    <row r="80" spans="1:172" ht="14.45" hidden="1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11"/>
    </row>
    <row r="81" spans="1:81" ht="14.45" hidden="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11"/>
    </row>
    <row r="82" spans="1:81" ht="14.45" hidden="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11"/>
    </row>
    <row r="83" spans="1:81" ht="14.45" hidden="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11"/>
    </row>
    <row r="84" spans="1:81" ht="14.45" hidden="1" customHeight="1" x14ac:dyDescent="0.25"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spans="1:81" ht="14.45" hidden="1" customHeight="1" x14ac:dyDescent="0.25"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spans="1:81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1" ht="14.45" hidden="1" customHeight="1" x14ac:dyDescent="0.25"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1" ht="14.45" hidden="1" customHeight="1" x14ac:dyDescent="0.25"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1" ht="14.45" hidden="1" customHeight="1" x14ac:dyDescent="0.25"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1" ht="14.45" hidden="1" customHeight="1" x14ac:dyDescent="0.25"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1" ht="14.45" hidden="1" customHeight="1" x14ac:dyDescent="0.25"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pans="1:81" ht="14.45" hidden="1" customHeight="1" x14ac:dyDescent="0.25"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pans="1:81" x14ac:dyDescent="0.25">
      <c r="AN93"/>
      <c r="AO93"/>
      <c r="AP93"/>
      <c r="AQ93"/>
      <c r="AR93"/>
      <c r="AS93"/>
      <c r="AT93"/>
      <c r="AU93"/>
      <c r="AV93"/>
      <c r="AW93"/>
      <c r="AX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1:81" ht="6.6" customHeight="1" x14ac:dyDescent="0.25">
      <c r="AN94"/>
      <c r="AO94"/>
      <c r="AP94"/>
      <c r="AQ94"/>
      <c r="AR94"/>
      <c r="AS94"/>
      <c r="AT94"/>
      <c r="AU94"/>
      <c r="AV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1:81" x14ac:dyDescent="0.25">
      <c r="A95" s="11"/>
      <c r="B95" s="11"/>
      <c r="C95" s="57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ht="7.9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x14ac:dyDescent="0.25">
      <c r="A98" s="11"/>
      <c r="B98" s="11"/>
      <c r="C98" s="57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s="2" customFormat="1" ht="12.75" x14ac:dyDescent="0.2">
      <c r="A102" s="11"/>
      <c r="B102" s="11"/>
      <c r="C102" s="11"/>
      <c r="D102" s="4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s="5" customFormat="1" ht="9.75" x14ac:dyDescent="0.2">
      <c r="C103" s="20"/>
      <c r="E103" s="21"/>
      <c r="F103" s="21"/>
      <c r="G103" s="20"/>
      <c r="H103" s="20"/>
      <c r="I103" s="20"/>
      <c r="J103" s="20"/>
      <c r="K103" s="20"/>
      <c r="L103" s="20"/>
      <c r="M103" s="20"/>
    </row>
    <row r="104" spans="1:80" s="5" customFormat="1" ht="12.75" outlineLevel="1" x14ac:dyDescent="0.2">
      <c r="C104" s="20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</row>
    <row r="105" spans="1:80" s="11" customFormat="1" ht="11.25" x14ac:dyDescent="0.2">
      <c r="C105" s="57"/>
      <c r="D105" s="45"/>
      <c r="E105" s="45"/>
      <c r="F105" s="45"/>
      <c r="G105" s="57"/>
      <c r="H105" s="57"/>
      <c r="I105" s="57"/>
      <c r="J105" s="57"/>
      <c r="K105" s="57"/>
      <c r="L105" s="57"/>
      <c r="M105" s="57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80" s="5" customFormat="1" ht="9.75" x14ac:dyDescent="0.2">
      <c r="C106" s="20"/>
      <c r="E106" s="21"/>
      <c r="F106" s="21"/>
      <c r="G106" s="20"/>
      <c r="H106" s="20"/>
      <c r="I106" s="20"/>
      <c r="J106" s="20"/>
      <c r="K106" s="20"/>
      <c r="L106" s="20"/>
      <c r="M106" s="20"/>
    </row>
  </sheetData>
  <mergeCells count="82">
    <mergeCell ref="AM48:AY48"/>
    <mergeCell ref="BC48:BQ48"/>
    <mergeCell ref="AM49:AY49"/>
    <mergeCell ref="AR1:BZ2"/>
    <mergeCell ref="A2:AI2"/>
    <mergeCell ref="A3:AI3"/>
    <mergeCell ref="AR3:BZ3"/>
    <mergeCell ref="A4:AI4"/>
    <mergeCell ref="AR4:BZ4"/>
    <mergeCell ref="A22:CB22"/>
    <mergeCell ref="A5:AI5"/>
    <mergeCell ref="AR5:BZ5"/>
    <mergeCell ref="AR6:BZ9"/>
    <mergeCell ref="A8:AI9"/>
    <mergeCell ref="A10:AI10"/>
    <mergeCell ref="AR10:BZ10"/>
    <mergeCell ref="A11:AI11"/>
    <mergeCell ref="AR11:BZ11"/>
    <mergeCell ref="A13:CE13"/>
    <mergeCell ref="A17:CB17"/>
    <mergeCell ref="A18:CB18"/>
    <mergeCell ref="A14:CE14"/>
    <mergeCell ref="A19:CB19"/>
    <mergeCell ref="A20:CB20"/>
    <mergeCell ref="A33:E34"/>
    <mergeCell ref="F33:P34"/>
    <mergeCell ref="Q33:AA33"/>
    <mergeCell ref="AB33:AP33"/>
    <mergeCell ref="A23:CB23"/>
    <mergeCell ref="A25:Y25"/>
    <mergeCell ref="Z25:CE25"/>
    <mergeCell ref="A27:Z27"/>
    <mergeCell ref="AA27:AS27"/>
    <mergeCell ref="AT27:BX27"/>
    <mergeCell ref="A28:Y28"/>
    <mergeCell ref="B29:C29"/>
    <mergeCell ref="A30:AH30"/>
    <mergeCell ref="B31:AP31"/>
    <mergeCell ref="A32:J32"/>
    <mergeCell ref="AQ33:BR33"/>
    <mergeCell ref="BS33:CE34"/>
    <mergeCell ref="Q34:AA34"/>
    <mergeCell ref="AB34:AG34"/>
    <mergeCell ref="AH34:AP34"/>
    <mergeCell ref="AQ34:AW34"/>
    <mergeCell ref="AX34:BD34"/>
    <mergeCell ref="BE34:BK34"/>
    <mergeCell ref="BL34:BR34"/>
    <mergeCell ref="A35:E37"/>
    <mergeCell ref="F35:P35"/>
    <mergeCell ref="Q35:AA35"/>
    <mergeCell ref="AB35:AG35"/>
    <mergeCell ref="AH35:AP35"/>
    <mergeCell ref="F37:P37"/>
    <mergeCell ref="Q37:AA37"/>
    <mergeCell ref="AB37:AG37"/>
    <mergeCell ref="AH37:AP37"/>
    <mergeCell ref="BS35:CE35"/>
    <mergeCell ref="F36:P36"/>
    <mergeCell ref="Q36:AA36"/>
    <mergeCell ref="AB36:AG36"/>
    <mergeCell ref="AH36:AP36"/>
    <mergeCell ref="AQ36:AW36"/>
    <mergeCell ref="AX36:BD36"/>
    <mergeCell ref="AQ35:AW35"/>
    <mergeCell ref="BE36:BK36"/>
    <mergeCell ref="BL36:BR36"/>
    <mergeCell ref="BS36:CE36"/>
    <mergeCell ref="AM46:AY46"/>
    <mergeCell ref="BL37:BR37"/>
    <mergeCell ref="AX35:BD35"/>
    <mergeCell ref="BE35:BK35"/>
    <mergeCell ref="BL35:BR35"/>
    <mergeCell ref="BS37:CE37"/>
    <mergeCell ref="AM42:AY42"/>
    <mergeCell ref="BC42:BQ42"/>
    <mergeCell ref="AM43:AY43"/>
    <mergeCell ref="AM45:AY45"/>
    <mergeCell ref="BC45:BQ45"/>
    <mergeCell ref="AQ37:AW37"/>
    <mergeCell ref="AX37:BD37"/>
    <mergeCell ref="BE37:BK37"/>
  </mergeCells>
  <dataValidations disablePrompts="1" count="2">
    <dataValidation type="list" allowBlank="1" showInputMessage="1" showErrorMessage="1" sqref="O76:W78" xr:uid="{9CAA11DC-FB61-4B3A-AC01-8A1AB3C48578}">
      <formula1>стойка</formula1>
    </dataValidation>
    <dataValidation type="list" allowBlank="1" showInputMessage="1" showErrorMessage="1" sqref="P53:V53" xr:uid="{69D8E207-9218-4712-B5CD-C421793F5255}">
      <formula1>ВЛ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47CC-B100-43C8-B3AF-02BC946F9A19}">
  <sheetPr>
    <tabColor rgb="FFCC99FF"/>
  </sheetPr>
  <dimension ref="A1:FP108"/>
  <sheetViews>
    <sheetView view="pageBreakPreview" zoomScaleNormal="100" zoomScaleSheetLayoutView="100" workbookViewId="0">
      <selection activeCell="A14" sqref="A14:CB14"/>
    </sheetView>
  </sheetViews>
  <sheetFormatPr defaultColWidth="9.140625" defaultRowHeight="15" outlineLevelRow="1" x14ac:dyDescent="0.25"/>
  <cols>
    <col min="1" max="172" width="1.140625" style="2" customWidth="1"/>
  </cols>
  <sheetData>
    <row r="1" spans="1:172" s="2" customFormat="1" ht="6.6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72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72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72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72" s="2" customFormat="1" ht="7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72" s="5" customFormat="1" ht="12.7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72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72" s="2" customFormat="1" ht="4.1500000000000004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72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72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72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72" s="2" customFormat="1" ht="13.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72" s="40" customFormat="1" ht="30.6" customHeight="1" x14ac:dyDescent="0.25">
      <c r="A13" s="931" t="s">
        <v>1254</v>
      </c>
      <c r="B13" s="931"/>
      <c r="C13" s="931"/>
      <c r="D13" s="931"/>
      <c r="E13" s="931"/>
      <c r="F13" s="931"/>
      <c r="G13" s="931"/>
      <c r="H13" s="931"/>
      <c r="I13" s="931"/>
      <c r="J13" s="931"/>
      <c r="K13" s="931"/>
      <c r="L13" s="931"/>
      <c r="M13" s="931"/>
      <c r="N13" s="931"/>
      <c r="O13" s="931"/>
      <c r="P13" s="931"/>
      <c r="Q13" s="931"/>
      <c r="R13" s="931"/>
      <c r="S13" s="931"/>
      <c r="T13" s="931"/>
      <c r="U13" s="931"/>
      <c r="V13" s="931"/>
      <c r="W13" s="931"/>
      <c r="X13" s="931"/>
      <c r="Y13" s="931"/>
      <c r="Z13" s="931"/>
      <c r="AA13" s="931"/>
      <c r="AB13" s="931"/>
      <c r="AC13" s="931"/>
      <c r="AD13" s="931"/>
      <c r="AE13" s="931"/>
      <c r="AF13" s="931"/>
      <c r="AG13" s="931"/>
      <c r="AH13" s="931"/>
      <c r="AI13" s="931"/>
      <c r="AJ13" s="931"/>
      <c r="AK13" s="931"/>
      <c r="AL13" s="931"/>
      <c r="AM13" s="931"/>
      <c r="AN13" s="931"/>
      <c r="AO13" s="931"/>
      <c r="AP13" s="931"/>
      <c r="AQ13" s="931"/>
      <c r="AR13" s="931"/>
      <c r="AS13" s="931"/>
      <c r="AT13" s="931"/>
      <c r="AU13" s="931"/>
      <c r="AV13" s="931"/>
      <c r="AW13" s="931"/>
      <c r="AX13" s="931"/>
      <c r="AY13" s="931"/>
      <c r="AZ13" s="931"/>
      <c r="BA13" s="931"/>
      <c r="BB13" s="931"/>
      <c r="BC13" s="931"/>
      <c r="BD13" s="931"/>
      <c r="BE13" s="931"/>
      <c r="BF13" s="931"/>
      <c r="BG13" s="931"/>
      <c r="BH13" s="931"/>
      <c r="BI13" s="931"/>
      <c r="BJ13" s="931"/>
      <c r="BK13" s="931"/>
      <c r="BL13" s="931"/>
      <c r="BM13" s="931"/>
      <c r="BN13" s="931"/>
      <c r="BO13" s="931"/>
      <c r="BP13" s="931"/>
      <c r="BQ13" s="931"/>
      <c r="BR13" s="931"/>
      <c r="BS13" s="931"/>
      <c r="BT13" s="931"/>
      <c r="BU13" s="931"/>
      <c r="BV13" s="931"/>
      <c r="BW13" s="931"/>
      <c r="BX13" s="931"/>
      <c r="BY13" s="931"/>
      <c r="BZ13" s="931"/>
      <c r="CA13" s="931"/>
      <c r="CB13" s="931"/>
      <c r="CC13" s="931"/>
      <c r="CD13" s="931"/>
      <c r="CE13" s="931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</row>
    <row r="14" spans="1:172" s="40" customFormat="1" ht="15.75" x14ac:dyDescent="0.25">
      <c r="A14" s="931" t="s">
        <v>1255</v>
      </c>
      <c r="B14" s="931"/>
      <c r="C14" s="931"/>
      <c r="D14" s="931"/>
      <c r="E14" s="931"/>
      <c r="F14" s="931"/>
      <c r="G14" s="931"/>
      <c r="H14" s="931"/>
      <c r="I14" s="931"/>
      <c r="J14" s="931"/>
      <c r="K14" s="931"/>
      <c r="L14" s="931"/>
      <c r="M14" s="931"/>
      <c r="N14" s="931"/>
      <c r="O14" s="931"/>
      <c r="P14" s="931"/>
      <c r="Q14" s="931"/>
      <c r="R14" s="931"/>
      <c r="S14" s="931"/>
      <c r="T14" s="931"/>
      <c r="U14" s="931"/>
      <c r="V14" s="931"/>
      <c r="W14" s="931"/>
      <c r="X14" s="931"/>
      <c r="Y14" s="931"/>
      <c r="Z14" s="931"/>
      <c r="AA14" s="931"/>
      <c r="AB14" s="931"/>
      <c r="AC14" s="931"/>
      <c r="AD14" s="931"/>
      <c r="AE14" s="931"/>
      <c r="AF14" s="931"/>
      <c r="AG14" s="931"/>
      <c r="AH14" s="931"/>
      <c r="AI14" s="931"/>
      <c r="AJ14" s="931"/>
      <c r="AK14" s="931"/>
      <c r="AL14" s="931"/>
      <c r="AM14" s="931"/>
      <c r="AN14" s="931"/>
      <c r="AO14" s="931"/>
      <c r="AP14" s="931"/>
      <c r="AQ14" s="931"/>
      <c r="AR14" s="931"/>
      <c r="AS14" s="931"/>
      <c r="AT14" s="931"/>
      <c r="AU14" s="931"/>
      <c r="AV14" s="931"/>
      <c r="AW14" s="931"/>
      <c r="AX14" s="931"/>
      <c r="AY14" s="931"/>
      <c r="AZ14" s="931"/>
      <c r="BA14" s="931"/>
      <c r="BB14" s="931"/>
      <c r="BC14" s="931"/>
      <c r="BD14" s="931"/>
      <c r="BE14" s="931"/>
      <c r="BF14" s="931"/>
      <c r="BG14" s="931"/>
      <c r="BH14" s="931"/>
      <c r="BI14" s="931"/>
      <c r="BJ14" s="931"/>
      <c r="BK14" s="931"/>
      <c r="BL14" s="931"/>
      <c r="BM14" s="931"/>
      <c r="BN14" s="931"/>
      <c r="BO14" s="931"/>
      <c r="BP14" s="931"/>
      <c r="BQ14" s="931"/>
      <c r="BR14" s="931"/>
      <c r="BS14" s="931"/>
      <c r="BT14" s="931"/>
      <c r="BU14" s="931"/>
      <c r="BV14" s="931"/>
      <c r="BW14" s="931"/>
      <c r="BX14" s="931"/>
      <c r="BY14" s="931"/>
      <c r="BZ14" s="931"/>
      <c r="CA14" s="931"/>
      <c r="CB14" s="931"/>
      <c r="CC14" s="931"/>
      <c r="CD14" s="931"/>
      <c r="CE14" s="931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</row>
    <row r="15" spans="1:172" s="2" customFormat="1" ht="12.75" x14ac:dyDescent="0.2">
      <c r="A15" s="5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</row>
    <row r="16" spans="1:172" s="87" customFormat="1" ht="12.6" customHeight="1" x14ac:dyDescent="0.2">
      <c r="A16" s="95" t="s">
        <v>590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017" t="str">
        <f>IF('Данные объект'!B14="","",'Данные объект'!B14)</f>
      </c>
      <c r="T16" s="1017"/>
      <c r="U16" s="1017"/>
      <c r="V16" s="1017"/>
      <c r="W16" s="1017"/>
      <c r="X16" s="1017"/>
      <c r="Y16" s="1017"/>
      <c r="Z16" s="1017"/>
      <c r="AA16" s="1017"/>
      <c r="AB16" s="1017"/>
      <c r="AC16" s="1017"/>
      <c r="AD16" s="1017"/>
      <c r="AE16" s="1017"/>
      <c r="AF16" s="1017"/>
      <c r="AG16" s="1017"/>
      <c r="AH16" s="1017"/>
      <c r="AI16" s="1017"/>
      <c r="AJ16" s="1017"/>
      <c r="AK16" s="1017"/>
      <c r="AL16" s="1017"/>
      <c r="AM16" s="1017"/>
      <c r="AN16" s="1017"/>
      <c r="AO16" s="1017"/>
      <c r="AP16" s="1017"/>
      <c r="AQ16" s="1017"/>
      <c r="AR16" s="1017"/>
      <c r="AS16" s="1017"/>
      <c r="AT16" s="1017"/>
      <c r="AU16" s="1017"/>
      <c r="AV16" s="1017"/>
      <c r="AW16" s="1017"/>
      <c r="AX16" s="1017"/>
      <c r="AY16" s="1017"/>
      <c r="AZ16" s="1017"/>
      <c r="BA16" s="1017"/>
      <c r="BB16" s="1017"/>
      <c r="BC16" s="1017"/>
      <c r="BD16" s="1017"/>
      <c r="BE16" s="1017"/>
      <c r="BF16" s="1017"/>
      <c r="BG16" s="1017"/>
      <c r="BH16" s="1017"/>
      <c r="BI16" s="1017"/>
      <c r="BJ16" s="1017"/>
      <c r="BK16" s="1017"/>
      <c r="BL16" s="1017"/>
      <c r="BM16" s="1017"/>
      <c r="BN16" s="1017"/>
      <c r="BO16" s="1017"/>
      <c r="BP16" s="1017"/>
      <c r="BQ16" s="1017"/>
      <c r="BR16" s="1017"/>
      <c r="BS16" s="1017"/>
      <c r="BT16" s="1017"/>
      <c r="BU16" s="1017"/>
      <c r="BV16" s="1017"/>
      <c r="BW16" s="1017"/>
      <c r="BX16" s="1017"/>
      <c r="BY16" s="1017"/>
      <c r="BZ16" s="1017"/>
      <c r="CA16" s="1017"/>
      <c r="CB16" s="1017"/>
      <c r="CC16" s="1017"/>
      <c r="CD16" s="1017"/>
      <c r="CE16" s="1017"/>
    </row>
    <row r="17" spans="1:83" s="87" customFormat="1" ht="12.75" x14ac:dyDescent="0.2">
      <c r="A17" s="1019" t="s">
        <v>753</v>
      </c>
      <c r="B17" s="1054"/>
      <c r="C17" s="1054"/>
      <c r="D17" s="1054"/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  <c r="O17" s="1054"/>
      <c r="P17" s="1054"/>
      <c r="Q17" s="1054"/>
      <c r="R17" s="964"/>
      <c r="S17" s="964"/>
      <c r="T17" s="964"/>
      <c r="U17" s="964"/>
      <c r="V17" s="964"/>
      <c r="W17" s="964"/>
      <c r="X17" s="964"/>
      <c r="Y17" s="964"/>
      <c r="Z17" s="964"/>
      <c r="AA17" s="964"/>
      <c r="AC17" s="1053" t="s">
        <v>591</v>
      </c>
      <c r="AD17" s="1053"/>
      <c r="AE17" s="1053"/>
      <c r="AF17" s="1053"/>
      <c r="AG17" s="1053"/>
      <c r="AH17" s="1053"/>
      <c r="AI17" s="1053"/>
      <c r="AJ17" s="1053"/>
      <c r="AK17" s="1053"/>
      <c r="AL17" s="1055"/>
      <c r="AM17" s="1055"/>
      <c r="AN17" s="1055"/>
      <c r="AO17" s="1055"/>
      <c r="AP17" s="1055"/>
      <c r="AQ17" s="1055"/>
      <c r="AR17" s="1055"/>
      <c r="AS17" s="1055"/>
      <c r="AT17" s="1055"/>
      <c r="AU17" s="1055"/>
      <c r="AV17" s="1055"/>
    </row>
    <row r="18" spans="1:83" s="87" customFormat="1" ht="12.75" x14ac:dyDescent="0.2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9"/>
      <c r="O18" s="119"/>
      <c r="P18" s="119"/>
      <c r="Q18" s="119"/>
      <c r="R18" s="119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</row>
    <row r="19" spans="1:83" s="87" customFormat="1" ht="13.9" customHeight="1" x14ac:dyDescent="0.2">
      <c r="A19" s="1062" t="s">
        <v>505</v>
      </c>
      <c r="B19" s="1063"/>
      <c r="C19" s="1063"/>
      <c r="D19" s="1063"/>
      <c r="E19" s="1063"/>
      <c r="F19" s="1063"/>
      <c r="G19" s="1064"/>
      <c r="H19" s="1068" t="s">
        <v>187</v>
      </c>
      <c r="I19" s="1069"/>
      <c r="J19" s="1069"/>
      <c r="K19" s="1069"/>
      <c r="L19" s="1069"/>
      <c r="M19" s="1069"/>
      <c r="N19" s="1069"/>
      <c r="O19" s="1069"/>
      <c r="P19" s="1069"/>
      <c r="Q19" s="1069"/>
      <c r="R19" s="1069"/>
      <c r="S19" s="1069"/>
      <c r="T19" s="1069"/>
      <c r="U19" s="1069"/>
      <c r="V19" s="1069"/>
      <c r="W19" s="1069"/>
      <c r="X19" s="1069"/>
      <c r="Y19" s="1069"/>
      <c r="Z19" s="1069"/>
      <c r="AA19" s="1069"/>
      <c r="AB19" s="1069"/>
      <c r="AC19" s="1069"/>
      <c r="AD19" s="1069"/>
      <c r="AE19" s="1069"/>
      <c r="AF19" s="1069"/>
      <c r="AG19" s="1069"/>
      <c r="AH19" s="1069"/>
      <c r="AI19" s="1069"/>
      <c r="AJ19" s="1069"/>
      <c r="AK19" s="1069"/>
      <c r="AL19" s="1069"/>
      <c r="AM19" s="1069"/>
      <c r="AN19" s="1069"/>
      <c r="AO19" s="1069"/>
      <c r="AP19" s="1069"/>
      <c r="AQ19" s="1069"/>
      <c r="AR19" s="1069"/>
      <c r="AS19" s="1069"/>
      <c r="AT19" s="1069"/>
      <c r="AU19" s="1069"/>
      <c r="AV19" s="1069"/>
      <c r="AW19" s="1069"/>
      <c r="AX19" s="1069"/>
      <c r="AY19" s="1069"/>
      <c r="AZ19" s="1069"/>
      <c r="BA19" s="1069"/>
      <c r="BB19" s="1069"/>
      <c r="BC19" s="1069"/>
      <c r="BD19" s="1069"/>
      <c r="BE19" s="1069"/>
      <c r="BF19" s="1069"/>
      <c r="BG19" s="1069"/>
      <c r="BH19" s="1069"/>
      <c r="BI19" s="1069"/>
      <c r="BJ19" s="1069"/>
      <c r="BK19" s="1069"/>
      <c r="BL19" s="1069"/>
      <c r="BM19" s="1069"/>
      <c r="BN19" s="1069"/>
      <c r="BO19" s="1069"/>
      <c r="BP19" s="1069"/>
      <c r="BQ19" s="1069"/>
      <c r="BR19" s="1069"/>
      <c r="BS19" s="1069"/>
      <c r="BT19" s="1069"/>
      <c r="BU19" s="1069"/>
      <c r="BV19" s="1069"/>
      <c r="BW19" s="1069"/>
      <c r="BX19" s="1069"/>
      <c r="BY19" s="1069"/>
      <c r="BZ19" s="1069"/>
      <c r="CA19" s="1069"/>
      <c r="CB19" s="1069"/>
      <c r="CC19" s="1069"/>
      <c r="CD19" s="1069"/>
      <c r="CE19" s="1069"/>
    </row>
    <row r="20" spans="1:83" s="87" customFormat="1" ht="12.75" x14ac:dyDescent="0.2">
      <c r="A20" s="1065"/>
      <c r="B20" s="1066"/>
      <c r="C20" s="1066"/>
      <c r="D20" s="1066"/>
      <c r="E20" s="1066"/>
      <c r="F20" s="1066"/>
      <c r="G20" s="1067"/>
      <c r="H20" s="1057" t="s">
        <v>530</v>
      </c>
      <c r="I20" s="1056"/>
      <c r="J20" s="1056"/>
      <c r="K20" s="1056"/>
      <c r="L20" s="1056"/>
      <c r="M20" s="1056"/>
      <c r="N20" s="1056"/>
      <c r="O20" s="1056"/>
      <c r="P20" s="1056"/>
      <c r="Q20" s="1056"/>
      <c r="R20" s="1056"/>
      <c r="S20" s="1056" t="s">
        <v>529</v>
      </c>
      <c r="T20" s="1056"/>
      <c r="U20" s="1056"/>
      <c r="V20" s="1056"/>
      <c r="W20" s="1056"/>
      <c r="X20" s="1056"/>
      <c r="Y20" s="1056"/>
      <c r="Z20" s="1056"/>
      <c r="AA20" s="1056"/>
      <c r="AB20" s="1056"/>
      <c r="AC20" s="1056"/>
      <c r="AD20" s="1056"/>
      <c r="AE20" s="1056"/>
      <c r="AF20" s="1056"/>
      <c r="AG20" s="1056" t="s">
        <v>528</v>
      </c>
      <c r="AH20" s="1056"/>
      <c r="AI20" s="1056"/>
      <c r="AJ20" s="1056"/>
      <c r="AK20" s="1056"/>
      <c r="AL20" s="1056"/>
      <c r="AM20" s="1056"/>
      <c r="AN20" s="1056"/>
      <c r="AO20" s="1056"/>
      <c r="AP20" s="1056"/>
      <c r="AQ20" s="1056"/>
      <c r="AR20" s="1056"/>
      <c r="AS20" s="1056"/>
      <c r="AT20" s="1056"/>
      <c r="AU20" s="1056"/>
      <c r="AV20" s="1056"/>
      <c r="AW20" s="1056" t="s">
        <v>527</v>
      </c>
      <c r="AX20" s="1056"/>
      <c r="AY20" s="1056"/>
      <c r="AZ20" s="1056"/>
      <c r="BA20" s="1056"/>
      <c r="BB20" s="1056"/>
      <c r="BC20" s="1056"/>
      <c r="BD20" s="1056"/>
      <c r="BE20" s="1056"/>
      <c r="BF20" s="1056"/>
      <c r="BG20" s="1056"/>
      <c r="BH20" s="1056"/>
      <c r="BI20" s="1056" t="s">
        <v>526</v>
      </c>
      <c r="BJ20" s="1056"/>
      <c r="BK20" s="1056"/>
      <c r="BL20" s="1056"/>
      <c r="BM20" s="1056"/>
      <c r="BN20" s="1056"/>
      <c r="BO20" s="1056"/>
      <c r="BP20" s="1056"/>
      <c r="BQ20" s="1056"/>
      <c r="BR20" s="1056"/>
      <c r="BS20" s="1056"/>
      <c r="BT20" s="1056"/>
      <c r="BU20" s="1056"/>
      <c r="BV20" s="1056" t="s">
        <v>525</v>
      </c>
      <c r="BW20" s="1056"/>
      <c r="BX20" s="1056"/>
      <c r="BY20" s="1056"/>
      <c r="BZ20" s="1056"/>
      <c r="CA20" s="1056"/>
      <c r="CB20" s="1056"/>
      <c r="CC20" s="1056"/>
      <c r="CD20" s="1056"/>
      <c r="CE20" s="1056"/>
    </row>
    <row r="21" spans="1:83" s="87" customFormat="1" ht="12.75" x14ac:dyDescent="0.2">
      <c r="A21" s="1056"/>
      <c r="B21" s="1056"/>
      <c r="C21" s="1056"/>
      <c r="D21" s="1056"/>
      <c r="E21" s="1056"/>
      <c r="F21" s="1056"/>
      <c r="G21" s="1056"/>
      <c r="H21" s="1058" t="s">
        <v>524</v>
      </c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60" t="s">
        <v>524</v>
      </c>
      <c r="T21" s="1061"/>
      <c r="U21" s="1061"/>
      <c r="V21" s="1061"/>
      <c r="W21" s="1061"/>
      <c r="X21" s="1061"/>
      <c r="Y21" s="1061"/>
      <c r="Z21" s="1061"/>
      <c r="AA21" s="1061"/>
      <c r="AB21" s="1061"/>
      <c r="AC21" s="1061"/>
      <c r="AD21" s="1061"/>
      <c r="AE21" s="1061"/>
      <c r="AF21" s="1058"/>
      <c r="AG21" s="1060" t="s">
        <v>524</v>
      </c>
      <c r="AH21" s="1061"/>
      <c r="AI21" s="1061"/>
      <c r="AJ21" s="1061"/>
      <c r="AK21" s="1061"/>
      <c r="AL21" s="1061"/>
      <c r="AM21" s="1061"/>
      <c r="AN21" s="1061"/>
      <c r="AO21" s="1061"/>
      <c r="AP21" s="1061"/>
      <c r="AQ21" s="1061"/>
      <c r="AR21" s="1061"/>
      <c r="AS21" s="1061"/>
      <c r="AT21" s="1061"/>
      <c r="AU21" s="1061"/>
      <c r="AV21" s="1058"/>
      <c r="AW21" s="1060" t="s">
        <v>524</v>
      </c>
      <c r="AX21" s="1061"/>
      <c r="AY21" s="1061"/>
      <c r="AZ21" s="1061"/>
      <c r="BA21" s="1061"/>
      <c r="BB21" s="1061"/>
      <c r="BC21" s="1061"/>
      <c r="BD21" s="1061"/>
      <c r="BE21" s="1061"/>
      <c r="BF21" s="1061"/>
      <c r="BG21" s="1061"/>
      <c r="BH21" s="1061"/>
      <c r="BI21" s="1060" t="s">
        <v>524</v>
      </c>
      <c r="BJ21" s="1061"/>
      <c r="BK21" s="1061"/>
      <c r="BL21" s="1061"/>
      <c r="BM21" s="1061"/>
      <c r="BN21" s="1061"/>
      <c r="BO21" s="1061"/>
      <c r="BP21" s="1061"/>
      <c r="BQ21" s="1061"/>
      <c r="BR21" s="1061"/>
      <c r="BS21" s="1061"/>
      <c r="BT21" s="1061"/>
      <c r="BU21" s="1058"/>
      <c r="BV21" s="1060" t="s">
        <v>101</v>
      </c>
      <c r="BW21" s="1061"/>
      <c r="BX21" s="1061"/>
      <c r="BY21" s="1061"/>
      <c r="BZ21" s="1061"/>
      <c r="CA21" s="1061"/>
      <c r="CB21" s="1061"/>
      <c r="CC21" s="1061"/>
      <c r="CD21" s="1061"/>
      <c r="CE21" s="1061"/>
    </row>
    <row r="22" spans="1:83" s="87" customFormat="1" ht="12.75" x14ac:dyDescent="0.2">
      <c r="A22" s="1056"/>
      <c r="B22" s="1056"/>
      <c r="C22" s="1056"/>
      <c r="D22" s="1056"/>
      <c r="E22" s="1056"/>
      <c r="F22" s="1056"/>
      <c r="G22" s="1056"/>
      <c r="H22" s="1058" t="s">
        <v>524</v>
      </c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60" t="s">
        <v>524</v>
      </c>
      <c r="T22" s="1061"/>
      <c r="U22" s="1061"/>
      <c r="V22" s="1061"/>
      <c r="W22" s="1061"/>
      <c r="X22" s="1061"/>
      <c r="Y22" s="1061"/>
      <c r="Z22" s="1061"/>
      <c r="AA22" s="1061"/>
      <c r="AB22" s="1061"/>
      <c r="AC22" s="1061"/>
      <c r="AD22" s="1061"/>
      <c r="AE22" s="1061"/>
      <c r="AF22" s="1058"/>
      <c r="AG22" s="1060" t="s">
        <v>524</v>
      </c>
      <c r="AH22" s="1061"/>
      <c r="AI22" s="1061"/>
      <c r="AJ22" s="1061"/>
      <c r="AK22" s="1061"/>
      <c r="AL22" s="1061"/>
      <c r="AM22" s="1061"/>
      <c r="AN22" s="1061"/>
      <c r="AO22" s="1061"/>
      <c r="AP22" s="1061"/>
      <c r="AQ22" s="1061"/>
      <c r="AR22" s="1061"/>
      <c r="AS22" s="1061"/>
      <c r="AT22" s="1061"/>
      <c r="AU22" s="1061"/>
      <c r="AV22" s="1058"/>
      <c r="AW22" s="1060" t="s">
        <v>524</v>
      </c>
      <c r="AX22" s="1061"/>
      <c r="AY22" s="1061"/>
      <c r="AZ22" s="1061"/>
      <c r="BA22" s="1061"/>
      <c r="BB22" s="1061"/>
      <c r="BC22" s="1061"/>
      <c r="BD22" s="1061"/>
      <c r="BE22" s="1061"/>
      <c r="BF22" s="1061"/>
      <c r="BG22" s="1061"/>
      <c r="BH22" s="1061"/>
      <c r="BI22" s="1060" t="s">
        <v>524</v>
      </c>
      <c r="BJ22" s="1061"/>
      <c r="BK22" s="1061"/>
      <c r="BL22" s="1061"/>
      <c r="BM22" s="1061"/>
      <c r="BN22" s="1061"/>
      <c r="BO22" s="1061"/>
      <c r="BP22" s="1061"/>
      <c r="BQ22" s="1061"/>
      <c r="BR22" s="1061"/>
      <c r="BS22" s="1061"/>
      <c r="BT22" s="1061"/>
      <c r="BU22" s="1058"/>
      <c r="BV22" s="1060" t="s">
        <v>101</v>
      </c>
      <c r="BW22" s="1061"/>
      <c r="BX22" s="1061"/>
      <c r="BY22" s="1061"/>
      <c r="BZ22" s="1061"/>
      <c r="CA22" s="1061"/>
      <c r="CB22" s="1061"/>
      <c r="CC22" s="1061"/>
      <c r="CD22" s="1061"/>
      <c r="CE22" s="1061"/>
    </row>
    <row r="23" spans="1:83" s="87" customFormat="1" ht="12.75" x14ac:dyDescent="0.2">
      <c r="A23" s="1056"/>
      <c r="B23" s="1056"/>
      <c r="C23" s="1056"/>
      <c r="D23" s="1056"/>
      <c r="E23" s="1056"/>
      <c r="F23" s="1056"/>
      <c r="G23" s="1056"/>
      <c r="H23" s="1058" t="s">
        <v>524</v>
      </c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60" t="s">
        <v>524</v>
      </c>
      <c r="T23" s="1061"/>
      <c r="U23" s="1061"/>
      <c r="V23" s="1061"/>
      <c r="W23" s="1061"/>
      <c r="X23" s="1061"/>
      <c r="Y23" s="1061"/>
      <c r="Z23" s="1061"/>
      <c r="AA23" s="1061"/>
      <c r="AB23" s="1061"/>
      <c r="AC23" s="1061"/>
      <c r="AD23" s="1061"/>
      <c r="AE23" s="1061"/>
      <c r="AF23" s="1058"/>
      <c r="AG23" s="1060" t="s">
        <v>524</v>
      </c>
      <c r="AH23" s="1061"/>
      <c r="AI23" s="1061"/>
      <c r="AJ23" s="1061"/>
      <c r="AK23" s="1061"/>
      <c r="AL23" s="1061"/>
      <c r="AM23" s="1061"/>
      <c r="AN23" s="1061"/>
      <c r="AO23" s="1061"/>
      <c r="AP23" s="1061"/>
      <c r="AQ23" s="1061"/>
      <c r="AR23" s="1061"/>
      <c r="AS23" s="1061"/>
      <c r="AT23" s="1061"/>
      <c r="AU23" s="1061"/>
      <c r="AV23" s="1058"/>
      <c r="AW23" s="1060" t="s">
        <v>524</v>
      </c>
      <c r="AX23" s="1061"/>
      <c r="AY23" s="1061"/>
      <c r="AZ23" s="1061"/>
      <c r="BA23" s="1061"/>
      <c r="BB23" s="1061"/>
      <c r="BC23" s="1061"/>
      <c r="BD23" s="1061"/>
      <c r="BE23" s="1061"/>
      <c r="BF23" s="1061"/>
      <c r="BG23" s="1061"/>
      <c r="BH23" s="1061"/>
      <c r="BI23" s="1060" t="s">
        <v>524</v>
      </c>
      <c r="BJ23" s="1061"/>
      <c r="BK23" s="1061"/>
      <c r="BL23" s="1061"/>
      <c r="BM23" s="1061"/>
      <c r="BN23" s="1061"/>
      <c r="BO23" s="1061"/>
      <c r="BP23" s="1061"/>
      <c r="BQ23" s="1061"/>
      <c r="BR23" s="1061"/>
      <c r="BS23" s="1061"/>
      <c r="BT23" s="1061"/>
      <c r="BU23" s="1058"/>
      <c r="BV23" s="1060" t="s">
        <v>101</v>
      </c>
      <c r="BW23" s="1061"/>
      <c r="BX23" s="1061"/>
      <c r="BY23" s="1061"/>
      <c r="BZ23" s="1061"/>
      <c r="CA23" s="1061"/>
      <c r="CB23" s="1061"/>
      <c r="CC23" s="1061"/>
      <c r="CD23" s="1061"/>
      <c r="CE23" s="1061"/>
    </row>
    <row r="24" spans="1:83" s="87" customFormat="1" ht="12.75" x14ac:dyDescent="0.2">
      <c r="A24" s="1056"/>
      <c r="B24" s="1056"/>
      <c r="C24" s="1056"/>
      <c r="D24" s="1056"/>
      <c r="E24" s="1056"/>
      <c r="F24" s="1056"/>
      <c r="G24" s="1056"/>
      <c r="H24" s="1058" t="s">
        <v>524</v>
      </c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60" t="s">
        <v>524</v>
      </c>
      <c r="T24" s="1061"/>
      <c r="U24" s="1061"/>
      <c r="V24" s="1061"/>
      <c r="W24" s="1061"/>
      <c r="X24" s="1061"/>
      <c r="Y24" s="1061"/>
      <c r="Z24" s="1061"/>
      <c r="AA24" s="1061"/>
      <c r="AB24" s="1061"/>
      <c r="AC24" s="1061"/>
      <c r="AD24" s="1061"/>
      <c r="AE24" s="1061"/>
      <c r="AF24" s="1058"/>
      <c r="AG24" s="1060" t="s">
        <v>524</v>
      </c>
      <c r="AH24" s="1061"/>
      <c r="AI24" s="1061"/>
      <c r="AJ24" s="1061"/>
      <c r="AK24" s="1061"/>
      <c r="AL24" s="1061"/>
      <c r="AM24" s="1061"/>
      <c r="AN24" s="1061"/>
      <c r="AO24" s="1061"/>
      <c r="AP24" s="1061"/>
      <c r="AQ24" s="1061"/>
      <c r="AR24" s="1061"/>
      <c r="AS24" s="1061"/>
      <c r="AT24" s="1061"/>
      <c r="AU24" s="1061"/>
      <c r="AV24" s="1058"/>
      <c r="AW24" s="1060" t="s">
        <v>524</v>
      </c>
      <c r="AX24" s="1061"/>
      <c r="AY24" s="1061"/>
      <c r="AZ24" s="1061"/>
      <c r="BA24" s="1061"/>
      <c r="BB24" s="1061"/>
      <c r="BC24" s="1061"/>
      <c r="BD24" s="1061"/>
      <c r="BE24" s="1061"/>
      <c r="BF24" s="1061"/>
      <c r="BG24" s="1061"/>
      <c r="BH24" s="1061"/>
      <c r="BI24" s="1060" t="s">
        <v>524</v>
      </c>
      <c r="BJ24" s="1061"/>
      <c r="BK24" s="1061"/>
      <c r="BL24" s="1061"/>
      <c r="BM24" s="1061"/>
      <c r="BN24" s="1061"/>
      <c r="BO24" s="1061"/>
      <c r="BP24" s="1061"/>
      <c r="BQ24" s="1061"/>
      <c r="BR24" s="1061"/>
      <c r="BS24" s="1061"/>
      <c r="BT24" s="1061"/>
      <c r="BU24" s="1058"/>
      <c r="BV24" s="1060" t="s">
        <v>101</v>
      </c>
      <c r="BW24" s="1061"/>
      <c r="BX24" s="1061"/>
      <c r="BY24" s="1061"/>
      <c r="BZ24" s="1061"/>
      <c r="CA24" s="1061"/>
      <c r="CB24" s="1061"/>
      <c r="CC24" s="1061"/>
      <c r="CD24" s="1061"/>
      <c r="CE24" s="1061"/>
    </row>
    <row r="25" spans="1:83" s="87" customFormat="1" ht="12.75" x14ac:dyDescent="0.2">
      <c r="A25" s="1056"/>
      <c r="B25" s="1056"/>
      <c r="C25" s="1056"/>
      <c r="D25" s="1056"/>
      <c r="E25" s="1056"/>
      <c r="F25" s="1056"/>
      <c r="G25" s="1056"/>
      <c r="H25" s="1058" t="s">
        <v>524</v>
      </c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60" t="s">
        <v>524</v>
      </c>
      <c r="T25" s="1061"/>
      <c r="U25" s="1061"/>
      <c r="V25" s="1061"/>
      <c r="W25" s="1061"/>
      <c r="X25" s="1061"/>
      <c r="Y25" s="1061"/>
      <c r="Z25" s="1061"/>
      <c r="AA25" s="1061"/>
      <c r="AB25" s="1061"/>
      <c r="AC25" s="1061"/>
      <c r="AD25" s="1061"/>
      <c r="AE25" s="1061"/>
      <c r="AF25" s="1058"/>
      <c r="AG25" s="1060" t="s">
        <v>524</v>
      </c>
      <c r="AH25" s="1061"/>
      <c r="AI25" s="1061"/>
      <c r="AJ25" s="1061"/>
      <c r="AK25" s="1061"/>
      <c r="AL25" s="1061"/>
      <c r="AM25" s="1061"/>
      <c r="AN25" s="1061"/>
      <c r="AO25" s="1061"/>
      <c r="AP25" s="1061"/>
      <c r="AQ25" s="1061"/>
      <c r="AR25" s="1061"/>
      <c r="AS25" s="1061"/>
      <c r="AT25" s="1061"/>
      <c r="AU25" s="1061"/>
      <c r="AV25" s="1058"/>
      <c r="AW25" s="1060" t="s">
        <v>524</v>
      </c>
      <c r="AX25" s="1061"/>
      <c r="AY25" s="1061"/>
      <c r="AZ25" s="1061"/>
      <c r="BA25" s="1061"/>
      <c r="BB25" s="1061"/>
      <c r="BC25" s="1061"/>
      <c r="BD25" s="1061"/>
      <c r="BE25" s="1061"/>
      <c r="BF25" s="1061"/>
      <c r="BG25" s="1061"/>
      <c r="BH25" s="1061"/>
      <c r="BI25" s="1060" t="s">
        <v>524</v>
      </c>
      <c r="BJ25" s="1061"/>
      <c r="BK25" s="1061"/>
      <c r="BL25" s="1061"/>
      <c r="BM25" s="1061"/>
      <c r="BN25" s="1061"/>
      <c r="BO25" s="1061"/>
      <c r="BP25" s="1061"/>
      <c r="BQ25" s="1061"/>
      <c r="BR25" s="1061"/>
      <c r="BS25" s="1061"/>
      <c r="BT25" s="1061"/>
      <c r="BU25" s="1058"/>
      <c r="BV25" s="1060" t="s">
        <v>101</v>
      </c>
      <c r="BW25" s="1061"/>
      <c r="BX25" s="1061"/>
      <c r="BY25" s="1061"/>
      <c r="BZ25" s="1061"/>
      <c r="CA25" s="1061"/>
      <c r="CB25" s="1061"/>
      <c r="CC25" s="1061"/>
      <c r="CD25" s="1061"/>
      <c r="CE25" s="1061"/>
    </row>
    <row r="26" spans="1:83" s="87" customFormat="1" ht="12.75" x14ac:dyDescent="0.2">
      <c r="A26" s="1056"/>
      <c r="B26" s="1056"/>
      <c r="C26" s="1056"/>
      <c r="D26" s="1056"/>
      <c r="E26" s="1056"/>
      <c r="F26" s="1056"/>
      <c r="G26" s="1056"/>
      <c r="H26" s="1058" t="s">
        <v>524</v>
      </c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60" t="s">
        <v>524</v>
      </c>
      <c r="T26" s="1061"/>
      <c r="U26" s="1061"/>
      <c r="V26" s="1061"/>
      <c r="W26" s="1061"/>
      <c r="X26" s="1061"/>
      <c r="Y26" s="1061"/>
      <c r="Z26" s="1061"/>
      <c r="AA26" s="1061"/>
      <c r="AB26" s="1061"/>
      <c r="AC26" s="1061"/>
      <c r="AD26" s="1061"/>
      <c r="AE26" s="1061"/>
      <c r="AF26" s="1058"/>
      <c r="AG26" s="1060" t="s">
        <v>524</v>
      </c>
      <c r="AH26" s="1061"/>
      <c r="AI26" s="1061"/>
      <c r="AJ26" s="1061"/>
      <c r="AK26" s="1061"/>
      <c r="AL26" s="1061"/>
      <c r="AM26" s="1061"/>
      <c r="AN26" s="1061"/>
      <c r="AO26" s="1061"/>
      <c r="AP26" s="1061"/>
      <c r="AQ26" s="1061"/>
      <c r="AR26" s="1061"/>
      <c r="AS26" s="1061"/>
      <c r="AT26" s="1061"/>
      <c r="AU26" s="1061"/>
      <c r="AV26" s="1058"/>
      <c r="AW26" s="1060" t="s">
        <v>524</v>
      </c>
      <c r="AX26" s="1061"/>
      <c r="AY26" s="1061"/>
      <c r="AZ26" s="1061"/>
      <c r="BA26" s="1061"/>
      <c r="BB26" s="1061"/>
      <c r="BC26" s="1061"/>
      <c r="BD26" s="1061"/>
      <c r="BE26" s="1061"/>
      <c r="BF26" s="1061"/>
      <c r="BG26" s="1061"/>
      <c r="BH26" s="1061"/>
      <c r="BI26" s="1060" t="s">
        <v>524</v>
      </c>
      <c r="BJ26" s="1061"/>
      <c r="BK26" s="1061"/>
      <c r="BL26" s="1061"/>
      <c r="BM26" s="1061"/>
      <c r="BN26" s="1061"/>
      <c r="BO26" s="1061"/>
      <c r="BP26" s="1061"/>
      <c r="BQ26" s="1061"/>
      <c r="BR26" s="1061"/>
      <c r="BS26" s="1061"/>
      <c r="BT26" s="1061"/>
      <c r="BU26" s="1058"/>
      <c r="BV26" s="1060" t="s">
        <v>101</v>
      </c>
      <c r="BW26" s="1061"/>
      <c r="BX26" s="1061"/>
      <c r="BY26" s="1061"/>
      <c r="BZ26" s="1061"/>
      <c r="CA26" s="1061"/>
      <c r="CB26" s="1061"/>
      <c r="CC26" s="1061"/>
      <c r="CD26" s="1061"/>
      <c r="CE26" s="1061"/>
    </row>
    <row r="27" spans="1:83" s="87" customFormat="1" ht="12.75" x14ac:dyDescent="0.2">
      <c r="A27" s="1056"/>
      <c r="B27" s="1056"/>
      <c r="C27" s="1056"/>
      <c r="D27" s="1056"/>
      <c r="E27" s="1056"/>
      <c r="F27" s="1056"/>
      <c r="G27" s="1056"/>
      <c r="H27" s="1058" t="s">
        <v>524</v>
      </c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60" t="s">
        <v>524</v>
      </c>
      <c r="T27" s="1061"/>
      <c r="U27" s="1061"/>
      <c r="V27" s="1061"/>
      <c r="W27" s="1061"/>
      <c r="X27" s="1061"/>
      <c r="Y27" s="1061"/>
      <c r="Z27" s="1061"/>
      <c r="AA27" s="1061"/>
      <c r="AB27" s="1061"/>
      <c r="AC27" s="1061"/>
      <c r="AD27" s="1061"/>
      <c r="AE27" s="1061"/>
      <c r="AF27" s="1058"/>
      <c r="AG27" s="1060" t="s">
        <v>524</v>
      </c>
      <c r="AH27" s="1061"/>
      <c r="AI27" s="1061"/>
      <c r="AJ27" s="1061"/>
      <c r="AK27" s="1061"/>
      <c r="AL27" s="1061"/>
      <c r="AM27" s="1061"/>
      <c r="AN27" s="1061"/>
      <c r="AO27" s="1061"/>
      <c r="AP27" s="1061"/>
      <c r="AQ27" s="1061"/>
      <c r="AR27" s="1061"/>
      <c r="AS27" s="1061"/>
      <c r="AT27" s="1061"/>
      <c r="AU27" s="1061"/>
      <c r="AV27" s="1058"/>
      <c r="AW27" s="1060" t="s">
        <v>524</v>
      </c>
      <c r="AX27" s="1061"/>
      <c r="AY27" s="1061"/>
      <c r="AZ27" s="1061"/>
      <c r="BA27" s="1061"/>
      <c r="BB27" s="1061"/>
      <c r="BC27" s="1061"/>
      <c r="BD27" s="1061"/>
      <c r="BE27" s="1061"/>
      <c r="BF27" s="1061"/>
      <c r="BG27" s="1061"/>
      <c r="BH27" s="1061"/>
      <c r="BI27" s="1060" t="s">
        <v>524</v>
      </c>
      <c r="BJ27" s="1061"/>
      <c r="BK27" s="1061"/>
      <c r="BL27" s="1061"/>
      <c r="BM27" s="1061"/>
      <c r="BN27" s="1061"/>
      <c r="BO27" s="1061"/>
      <c r="BP27" s="1061"/>
      <c r="BQ27" s="1061"/>
      <c r="BR27" s="1061"/>
      <c r="BS27" s="1061"/>
      <c r="BT27" s="1061"/>
      <c r="BU27" s="1058"/>
      <c r="BV27" s="1060" t="s">
        <v>101</v>
      </c>
      <c r="BW27" s="1061"/>
      <c r="BX27" s="1061"/>
      <c r="BY27" s="1061"/>
      <c r="BZ27" s="1061"/>
      <c r="CA27" s="1061"/>
      <c r="CB27" s="1061"/>
      <c r="CC27" s="1061"/>
      <c r="CD27" s="1061"/>
      <c r="CE27" s="1061"/>
    </row>
    <row r="28" spans="1:83" s="87" customFormat="1" ht="12.75" x14ac:dyDescent="0.2">
      <c r="A28" s="1056"/>
      <c r="B28" s="1056"/>
      <c r="C28" s="1056"/>
      <c r="D28" s="1056"/>
      <c r="E28" s="1056"/>
      <c r="F28" s="1056"/>
      <c r="G28" s="1056"/>
      <c r="H28" s="1058" t="s">
        <v>524</v>
      </c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60" t="s">
        <v>524</v>
      </c>
      <c r="T28" s="1061"/>
      <c r="U28" s="1061"/>
      <c r="V28" s="1061"/>
      <c r="W28" s="1061"/>
      <c r="X28" s="1061"/>
      <c r="Y28" s="1061"/>
      <c r="Z28" s="1061"/>
      <c r="AA28" s="1061"/>
      <c r="AB28" s="1061"/>
      <c r="AC28" s="1061"/>
      <c r="AD28" s="1061"/>
      <c r="AE28" s="1061"/>
      <c r="AF28" s="1058"/>
      <c r="AG28" s="1060" t="s">
        <v>524</v>
      </c>
      <c r="AH28" s="1061"/>
      <c r="AI28" s="1061"/>
      <c r="AJ28" s="1061"/>
      <c r="AK28" s="1061"/>
      <c r="AL28" s="1061"/>
      <c r="AM28" s="1061"/>
      <c r="AN28" s="1061"/>
      <c r="AO28" s="1061"/>
      <c r="AP28" s="1061"/>
      <c r="AQ28" s="1061"/>
      <c r="AR28" s="1061"/>
      <c r="AS28" s="1061"/>
      <c r="AT28" s="1061"/>
      <c r="AU28" s="1061"/>
      <c r="AV28" s="1058"/>
      <c r="AW28" s="1060" t="s">
        <v>524</v>
      </c>
      <c r="AX28" s="1061"/>
      <c r="AY28" s="1061"/>
      <c r="AZ28" s="1061"/>
      <c r="BA28" s="1061"/>
      <c r="BB28" s="1061"/>
      <c r="BC28" s="1061"/>
      <c r="BD28" s="1061"/>
      <c r="BE28" s="1061"/>
      <c r="BF28" s="1061"/>
      <c r="BG28" s="1061"/>
      <c r="BH28" s="1061"/>
      <c r="BI28" s="1060" t="s">
        <v>524</v>
      </c>
      <c r="BJ28" s="1061"/>
      <c r="BK28" s="1061"/>
      <c r="BL28" s="1061"/>
      <c r="BM28" s="1061"/>
      <c r="BN28" s="1061"/>
      <c r="BO28" s="1061"/>
      <c r="BP28" s="1061"/>
      <c r="BQ28" s="1061"/>
      <c r="BR28" s="1061"/>
      <c r="BS28" s="1061"/>
      <c r="BT28" s="1061"/>
      <c r="BU28" s="1058"/>
      <c r="BV28" s="1060" t="s">
        <v>101</v>
      </c>
      <c r="BW28" s="1061"/>
      <c r="BX28" s="1061"/>
      <c r="BY28" s="1061"/>
      <c r="BZ28" s="1061"/>
      <c r="CA28" s="1061"/>
      <c r="CB28" s="1061"/>
      <c r="CC28" s="1061"/>
      <c r="CD28" s="1061"/>
      <c r="CE28" s="1061"/>
    </row>
    <row r="29" spans="1:83" s="87" customFormat="1" ht="12.75" x14ac:dyDescent="0.2">
      <c r="A29" s="1056"/>
      <c r="B29" s="1056"/>
      <c r="C29" s="1056"/>
      <c r="D29" s="1056"/>
      <c r="E29" s="1056"/>
      <c r="F29" s="1056"/>
      <c r="G29" s="1056"/>
      <c r="H29" s="1058" t="s">
        <v>524</v>
      </c>
      <c r="I29" s="1059"/>
      <c r="J29" s="1059"/>
      <c r="K29" s="1059"/>
      <c r="L29" s="1059"/>
      <c r="M29" s="1059"/>
      <c r="N29" s="1059"/>
      <c r="O29" s="1059"/>
      <c r="P29" s="1059"/>
      <c r="Q29" s="1059"/>
      <c r="R29" s="1059"/>
      <c r="S29" s="1060" t="s">
        <v>524</v>
      </c>
      <c r="T29" s="1061"/>
      <c r="U29" s="1061"/>
      <c r="V29" s="1061"/>
      <c r="W29" s="1061"/>
      <c r="X29" s="1061"/>
      <c r="Y29" s="1061"/>
      <c r="Z29" s="1061"/>
      <c r="AA29" s="1061"/>
      <c r="AB29" s="1061"/>
      <c r="AC29" s="1061"/>
      <c r="AD29" s="1061"/>
      <c r="AE29" s="1061"/>
      <c r="AF29" s="1058"/>
      <c r="AG29" s="1060" t="s">
        <v>524</v>
      </c>
      <c r="AH29" s="1061"/>
      <c r="AI29" s="1061"/>
      <c r="AJ29" s="1061"/>
      <c r="AK29" s="1061"/>
      <c r="AL29" s="1061"/>
      <c r="AM29" s="1061"/>
      <c r="AN29" s="1061"/>
      <c r="AO29" s="1061"/>
      <c r="AP29" s="1061"/>
      <c r="AQ29" s="1061"/>
      <c r="AR29" s="1061"/>
      <c r="AS29" s="1061"/>
      <c r="AT29" s="1061"/>
      <c r="AU29" s="1061"/>
      <c r="AV29" s="1058"/>
      <c r="AW29" s="1060" t="s">
        <v>524</v>
      </c>
      <c r="AX29" s="1061"/>
      <c r="AY29" s="1061"/>
      <c r="AZ29" s="1061"/>
      <c r="BA29" s="1061"/>
      <c r="BB29" s="1061"/>
      <c r="BC29" s="1061"/>
      <c r="BD29" s="1061"/>
      <c r="BE29" s="1061"/>
      <c r="BF29" s="1061"/>
      <c r="BG29" s="1061"/>
      <c r="BH29" s="1061"/>
      <c r="BI29" s="1060" t="s">
        <v>524</v>
      </c>
      <c r="BJ29" s="1061"/>
      <c r="BK29" s="1061"/>
      <c r="BL29" s="1061"/>
      <c r="BM29" s="1061"/>
      <c r="BN29" s="1061"/>
      <c r="BO29" s="1061"/>
      <c r="BP29" s="1061"/>
      <c r="BQ29" s="1061"/>
      <c r="BR29" s="1061"/>
      <c r="BS29" s="1061"/>
      <c r="BT29" s="1061"/>
      <c r="BU29" s="1058"/>
      <c r="BV29" s="1060" t="s">
        <v>101</v>
      </c>
      <c r="BW29" s="1061"/>
      <c r="BX29" s="1061"/>
      <c r="BY29" s="1061"/>
      <c r="BZ29" s="1061"/>
      <c r="CA29" s="1061"/>
      <c r="CB29" s="1061"/>
      <c r="CC29" s="1061"/>
      <c r="CD29" s="1061"/>
      <c r="CE29" s="1061"/>
    </row>
    <row r="30" spans="1:83" s="87" customFormat="1" ht="12.75" x14ac:dyDescent="0.2">
      <c r="A30" s="1056"/>
      <c r="B30" s="1056"/>
      <c r="C30" s="1056"/>
      <c r="D30" s="1056"/>
      <c r="E30" s="1056"/>
      <c r="F30" s="1056"/>
      <c r="G30" s="1056"/>
      <c r="H30" s="1058" t="s">
        <v>524</v>
      </c>
      <c r="I30" s="1059"/>
      <c r="J30" s="1059"/>
      <c r="K30" s="1059"/>
      <c r="L30" s="1059"/>
      <c r="M30" s="1059"/>
      <c r="N30" s="1059"/>
      <c r="O30" s="1059"/>
      <c r="P30" s="1059"/>
      <c r="Q30" s="1059"/>
      <c r="R30" s="1059"/>
      <c r="S30" s="1060" t="s">
        <v>524</v>
      </c>
      <c r="T30" s="1061"/>
      <c r="U30" s="1061"/>
      <c r="V30" s="1061"/>
      <c r="W30" s="1061"/>
      <c r="X30" s="1061"/>
      <c r="Y30" s="1061"/>
      <c r="Z30" s="1061"/>
      <c r="AA30" s="1061"/>
      <c r="AB30" s="1061"/>
      <c r="AC30" s="1061"/>
      <c r="AD30" s="1061"/>
      <c r="AE30" s="1061"/>
      <c r="AF30" s="1058"/>
      <c r="AG30" s="1060" t="s">
        <v>524</v>
      </c>
      <c r="AH30" s="1061"/>
      <c r="AI30" s="1061"/>
      <c r="AJ30" s="1061"/>
      <c r="AK30" s="1061"/>
      <c r="AL30" s="1061"/>
      <c r="AM30" s="1061"/>
      <c r="AN30" s="1061"/>
      <c r="AO30" s="1061"/>
      <c r="AP30" s="1061"/>
      <c r="AQ30" s="1061"/>
      <c r="AR30" s="1061"/>
      <c r="AS30" s="1061"/>
      <c r="AT30" s="1061"/>
      <c r="AU30" s="1061"/>
      <c r="AV30" s="1058"/>
      <c r="AW30" s="1060" t="s">
        <v>524</v>
      </c>
      <c r="AX30" s="1061"/>
      <c r="AY30" s="1061"/>
      <c r="AZ30" s="1061"/>
      <c r="BA30" s="1061"/>
      <c r="BB30" s="1061"/>
      <c r="BC30" s="1061"/>
      <c r="BD30" s="1061"/>
      <c r="BE30" s="1061"/>
      <c r="BF30" s="1061"/>
      <c r="BG30" s="1061"/>
      <c r="BH30" s="1061"/>
      <c r="BI30" s="1060" t="s">
        <v>524</v>
      </c>
      <c r="BJ30" s="1061"/>
      <c r="BK30" s="1061"/>
      <c r="BL30" s="1061"/>
      <c r="BM30" s="1061"/>
      <c r="BN30" s="1061"/>
      <c r="BO30" s="1061"/>
      <c r="BP30" s="1061"/>
      <c r="BQ30" s="1061"/>
      <c r="BR30" s="1061"/>
      <c r="BS30" s="1061"/>
      <c r="BT30" s="1061"/>
      <c r="BU30" s="1058"/>
      <c r="BV30" s="1060" t="s">
        <v>101</v>
      </c>
      <c r="BW30" s="1061"/>
      <c r="BX30" s="1061"/>
      <c r="BY30" s="1061"/>
      <c r="BZ30" s="1061"/>
      <c r="CA30" s="1061"/>
      <c r="CB30" s="1061"/>
      <c r="CC30" s="1061"/>
      <c r="CD30" s="1061"/>
      <c r="CE30" s="1061"/>
    </row>
    <row r="31" spans="1:83" s="87" customFormat="1" ht="12.75" x14ac:dyDescent="0.2">
      <c r="A31" s="1056"/>
      <c r="B31" s="1056"/>
      <c r="C31" s="1056"/>
      <c r="D31" s="1056"/>
      <c r="E31" s="1056"/>
      <c r="F31" s="1056"/>
      <c r="G31" s="1056"/>
      <c r="H31" s="1058" t="s">
        <v>524</v>
      </c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60" t="s">
        <v>524</v>
      </c>
      <c r="T31" s="1061"/>
      <c r="U31" s="1061"/>
      <c r="V31" s="1061"/>
      <c r="W31" s="1061"/>
      <c r="X31" s="1061"/>
      <c r="Y31" s="1061"/>
      <c r="Z31" s="1061"/>
      <c r="AA31" s="1061"/>
      <c r="AB31" s="1061"/>
      <c r="AC31" s="1061"/>
      <c r="AD31" s="1061"/>
      <c r="AE31" s="1061"/>
      <c r="AF31" s="1058"/>
      <c r="AG31" s="1060" t="s">
        <v>524</v>
      </c>
      <c r="AH31" s="1061"/>
      <c r="AI31" s="1061"/>
      <c r="AJ31" s="1061"/>
      <c r="AK31" s="1061"/>
      <c r="AL31" s="1061"/>
      <c r="AM31" s="1061"/>
      <c r="AN31" s="1061"/>
      <c r="AO31" s="1061"/>
      <c r="AP31" s="1061"/>
      <c r="AQ31" s="1061"/>
      <c r="AR31" s="1061"/>
      <c r="AS31" s="1061"/>
      <c r="AT31" s="1061"/>
      <c r="AU31" s="1061"/>
      <c r="AV31" s="1058"/>
      <c r="AW31" s="1060" t="s">
        <v>524</v>
      </c>
      <c r="AX31" s="1061"/>
      <c r="AY31" s="1061"/>
      <c r="AZ31" s="1061"/>
      <c r="BA31" s="1061"/>
      <c r="BB31" s="1061"/>
      <c r="BC31" s="1061"/>
      <c r="BD31" s="1061"/>
      <c r="BE31" s="1061"/>
      <c r="BF31" s="1061"/>
      <c r="BG31" s="1061"/>
      <c r="BH31" s="1061"/>
      <c r="BI31" s="1060" t="s">
        <v>524</v>
      </c>
      <c r="BJ31" s="1061"/>
      <c r="BK31" s="1061"/>
      <c r="BL31" s="1061"/>
      <c r="BM31" s="1061"/>
      <c r="BN31" s="1061"/>
      <c r="BO31" s="1061"/>
      <c r="BP31" s="1061"/>
      <c r="BQ31" s="1061"/>
      <c r="BR31" s="1061"/>
      <c r="BS31" s="1061"/>
      <c r="BT31" s="1061"/>
      <c r="BU31" s="1058"/>
      <c r="BV31" s="1060" t="s">
        <v>101</v>
      </c>
      <c r="BW31" s="1061"/>
      <c r="BX31" s="1061"/>
      <c r="BY31" s="1061"/>
      <c r="BZ31" s="1061"/>
      <c r="CA31" s="1061"/>
      <c r="CB31" s="1061"/>
      <c r="CC31" s="1061"/>
      <c r="CD31" s="1061"/>
      <c r="CE31" s="1061"/>
    </row>
    <row r="32" spans="1:83" s="87" customFormat="1" ht="12.75" x14ac:dyDescent="0.2">
      <c r="A32" s="1056"/>
      <c r="B32" s="1056"/>
      <c r="C32" s="1056"/>
      <c r="D32" s="1056"/>
      <c r="E32" s="1056"/>
      <c r="F32" s="1056"/>
      <c r="G32" s="1056"/>
      <c r="H32" s="1058" t="s">
        <v>524</v>
      </c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60" t="s">
        <v>524</v>
      </c>
      <c r="T32" s="1061"/>
      <c r="U32" s="1061"/>
      <c r="V32" s="1061"/>
      <c r="W32" s="1061"/>
      <c r="X32" s="1061"/>
      <c r="Y32" s="1061"/>
      <c r="Z32" s="1061"/>
      <c r="AA32" s="1061"/>
      <c r="AB32" s="1061"/>
      <c r="AC32" s="1061"/>
      <c r="AD32" s="1061"/>
      <c r="AE32" s="1061"/>
      <c r="AF32" s="1058"/>
      <c r="AG32" s="1060" t="s">
        <v>524</v>
      </c>
      <c r="AH32" s="1061"/>
      <c r="AI32" s="1061"/>
      <c r="AJ32" s="1061"/>
      <c r="AK32" s="1061"/>
      <c r="AL32" s="1061"/>
      <c r="AM32" s="1061"/>
      <c r="AN32" s="1061"/>
      <c r="AO32" s="1061"/>
      <c r="AP32" s="1061"/>
      <c r="AQ32" s="1061"/>
      <c r="AR32" s="1061"/>
      <c r="AS32" s="1061"/>
      <c r="AT32" s="1061"/>
      <c r="AU32" s="1061"/>
      <c r="AV32" s="1058"/>
      <c r="AW32" s="1060" t="s">
        <v>524</v>
      </c>
      <c r="AX32" s="1061"/>
      <c r="AY32" s="1061"/>
      <c r="AZ32" s="1061"/>
      <c r="BA32" s="1061"/>
      <c r="BB32" s="1061"/>
      <c r="BC32" s="1061"/>
      <c r="BD32" s="1061"/>
      <c r="BE32" s="1061"/>
      <c r="BF32" s="1061"/>
      <c r="BG32" s="1061"/>
      <c r="BH32" s="1061"/>
      <c r="BI32" s="1060" t="s">
        <v>524</v>
      </c>
      <c r="BJ32" s="1061"/>
      <c r="BK32" s="1061"/>
      <c r="BL32" s="1061"/>
      <c r="BM32" s="1061"/>
      <c r="BN32" s="1061"/>
      <c r="BO32" s="1061"/>
      <c r="BP32" s="1061"/>
      <c r="BQ32" s="1061"/>
      <c r="BR32" s="1061"/>
      <c r="BS32" s="1061"/>
      <c r="BT32" s="1061"/>
      <c r="BU32" s="1058"/>
      <c r="BV32" s="1060" t="s">
        <v>101</v>
      </c>
      <c r="BW32" s="1061"/>
      <c r="BX32" s="1061"/>
      <c r="BY32" s="1061"/>
      <c r="BZ32" s="1061"/>
      <c r="CA32" s="1061"/>
      <c r="CB32" s="1061"/>
      <c r="CC32" s="1061"/>
      <c r="CD32" s="1061"/>
      <c r="CE32" s="1061"/>
    </row>
    <row r="33" spans="1:83" s="87" customFormat="1" ht="12.75" x14ac:dyDescent="0.2">
      <c r="A33" s="1056"/>
      <c r="B33" s="1056"/>
      <c r="C33" s="1056"/>
      <c r="D33" s="1056"/>
      <c r="E33" s="1056"/>
      <c r="F33" s="1056"/>
      <c r="G33" s="1056"/>
      <c r="H33" s="1058" t="s">
        <v>524</v>
      </c>
      <c r="I33" s="1059"/>
      <c r="J33" s="1059"/>
      <c r="K33" s="1059"/>
      <c r="L33" s="1059"/>
      <c r="M33" s="1059"/>
      <c r="N33" s="1059"/>
      <c r="O33" s="1059"/>
      <c r="P33" s="1059"/>
      <c r="Q33" s="1059"/>
      <c r="R33" s="1059"/>
      <c r="S33" s="1060" t="s">
        <v>524</v>
      </c>
      <c r="T33" s="1061"/>
      <c r="U33" s="1061"/>
      <c r="V33" s="1061"/>
      <c r="W33" s="1061"/>
      <c r="X33" s="1061"/>
      <c r="Y33" s="1061"/>
      <c r="Z33" s="1061"/>
      <c r="AA33" s="1061"/>
      <c r="AB33" s="1061"/>
      <c r="AC33" s="1061"/>
      <c r="AD33" s="1061"/>
      <c r="AE33" s="1061"/>
      <c r="AF33" s="1058"/>
      <c r="AG33" s="1060" t="s">
        <v>524</v>
      </c>
      <c r="AH33" s="1061"/>
      <c r="AI33" s="1061"/>
      <c r="AJ33" s="1061"/>
      <c r="AK33" s="1061"/>
      <c r="AL33" s="1061"/>
      <c r="AM33" s="1061"/>
      <c r="AN33" s="1061"/>
      <c r="AO33" s="1061"/>
      <c r="AP33" s="1061"/>
      <c r="AQ33" s="1061"/>
      <c r="AR33" s="1061"/>
      <c r="AS33" s="1061"/>
      <c r="AT33" s="1061"/>
      <c r="AU33" s="1061"/>
      <c r="AV33" s="1058"/>
      <c r="AW33" s="1060" t="s">
        <v>524</v>
      </c>
      <c r="AX33" s="1061"/>
      <c r="AY33" s="1061"/>
      <c r="AZ33" s="1061"/>
      <c r="BA33" s="1061"/>
      <c r="BB33" s="1061"/>
      <c r="BC33" s="1061"/>
      <c r="BD33" s="1061"/>
      <c r="BE33" s="1061"/>
      <c r="BF33" s="1061"/>
      <c r="BG33" s="1061"/>
      <c r="BH33" s="1061"/>
      <c r="BI33" s="1060" t="s">
        <v>524</v>
      </c>
      <c r="BJ33" s="1061"/>
      <c r="BK33" s="1061"/>
      <c r="BL33" s="1061"/>
      <c r="BM33" s="1061"/>
      <c r="BN33" s="1061"/>
      <c r="BO33" s="1061"/>
      <c r="BP33" s="1061"/>
      <c r="BQ33" s="1061"/>
      <c r="BR33" s="1061"/>
      <c r="BS33" s="1061"/>
      <c r="BT33" s="1061"/>
      <c r="BU33" s="1058"/>
      <c r="BV33" s="1060" t="s">
        <v>101</v>
      </c>
      <c r="BW33" s="1061"/>
      <c r="BX33" s="1061"/>
      <c r="BY33" s="1061"/>
      <c r="BZ33" s="1061"/>
      <c r="CA33" s="1061"/>
      <c r="CB33" s="1061"/>
      <c r="CC33" s="1061"/>
      <c r="CD33" s="1061"/>
      <c r="CE33" s="1061"/>
    </row>
    <row r="34" spans="1:83" s="87" customFormat="1" ht="12.75" x14ac:dyDescent="0.2">
      <c r="A34" s="1056"/>
      <c r="B34" s="1056"/>
      <c r="C34" s="1056"/>
      <c r="D34" s="1056"/>
      <c r="E34" s="1056"/>
      <c r="F34" s="1056"/>
      <c r="G34" s="1056"/>
      <c r="H34" s="1058" t="s">
        <v>524</v>
      </c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60" t="s">
        <v>524</v>
      </c>
      <c r="T34" s="1061"/>
      <c r="U34" s="1061"/>
      <c r="V34" s="1061"/>
      <c r="W34" s="1061"/>
      <c r="X34" s="1061"/>
      <c r="Y34" s="1061"/>
      <c r="Z34" s="1061"/>
      <c r="AA34" s="1061"/>
      <c r="AB34" s="1061"/>
      <c r="AC34" s="1061"/>
      <c r="AD34" s="1061"/>
      <c r="AE34" s="1061"/>
      <c r="AF34" s="1058"/>
      <c r="AG34" s="1060" t="s">
        <v>524</v>
      </c>
      <c r="AH34" s="1061"/>
      <c r="AI34" s="1061"/>
      <c r="AJ34" s="1061"/>
      <c r="AK34" s="1061"/>
      <c r="AL34" s="1061"/>
      <c r="AM34" s="1061"/>
      <c r="AN34" s="1061"/>
      <c r="AO34" s="1061"/>
      <c r="AP34" s="1061"/>
      <c r="AQ34" s="1061"/>
      <c r="AR34" s="1061"/>
      <c r="AS34" s="1061"/>
      <c r="AT34" s="1061"/>
      <c r="AU34" s="1061"/>
      <c r="AV34" s="1058"/>
      <c r="AW34" s="1060" t="s">
        <v>524</v>
      </c>
      <c r="AX34" s="1061"/>
      <c r="AY34" s="1061"/>
      <c r="AZ34" s="1061"/>
      <c r="BA34" s="1061"/>
      <c r="BB34" s="1061"/>
      <c r="BC34" s="1061"/>
      <c r="BD34" s="1061"/>
      <c r="BE34" s="1061"/>
      <c r="BF34" s="1061"/>
      <c r="BG34" s="1061"/>
      <c r="BH34" s="1061"/>
      <c r="BI34" s="1060" t="s">
        <v>524</v>
      </c>
      <c r="BJ34" s="1061"/>
      <c r="BK34" s="1061"/>
      <c r="BL34" s="1061"/>
      <c r="BM34" s="1061"/>
      <c r="BN34" s="1061"/>
      <c r="BO34" s="1061"/>
      <c r="BP34" s="1061"/>
      <c r="BQ34" s="1061"/>
      <c r="BR34" s="1061"/>
      <c r="BS34" s="1061"/>
      <c r="BT34" s="1061"/>
      <c r="BU34" s="1058"/>
      <c r="BV34" s="1060" t="s">
        <v>101</v>
      </c>
      <c r="BW34" s="1061"/>
      <c r="BX34" s="1061"/>
      <c r="BY34" s="1061"/>
      <c r="BZ34" s="1061"/>
      <c r="CA34" s="1061"/>
      <c r="CB34" s="1061"/>
      <c r="CC34" s="1061"/>
      <c r="CD34" s="1061"/>
      <c r="CE34" s="1061"/>
    </row>
    <row r="35" spans="1:83" s="87" customFormat="1" ht="12.75" x14ac:dyDescent="0.2">
      <c r="A35" s="1056"/>
      <c r="B35" s="1056"/>
      <c r="C35" s="1056"/>
      <c r="D35" s="1056"/>
      <c r="E35" s="1056"/>
      <c r="F35" s="1056"/>
      <c r="G35" s="1056"/>
      <c r="H35" s="1058" t="s">
        <v>524</v>
      </c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60" t="s">
        <v>524</v>
      </c>
      <c r="T35" s="1061"/>
      <c r="U35" s="1061"/>
      <c r="V35" s="1061"/>
      <c r="W35" s="1061"/>
      <c r="X35" s="1061"/>
      <c r="Y35" s="1061"/>
      <c r="Z35" s="1061"/>
      <c r="AA35" s="1061"/>
      <c r="AB35" s="1061"/>
      <c r="AC35" s="1061"/>
      <c r="AD35" s="1061"/>
      <c r="AE35" s="1061"/>
      <c r="AF35" s="1058"/>
      <c r="AG35" s="1060" t="s">
        <v>524</v>
      </c>
      <c r="AH35" s="1061"/>
      <c r="AI35" s="1061"/>
      <c r="AJ35" s="1061"/>
      <c r="AK35" s="1061"/>
      <c r="AL35" s="1061"/>
      <c r="AM35" s="1061"/>
      <c r="AN35" s="1061"/>
      <c r="AO35" s="1061"/>
      <c r="AP35" s="1061"/>
      <c r="AQ35" s="1061"/>
      <c r="AR35" s="1061"/>
      <c r="AS35" s="1061"/>
      <c r="AT35" s="1061"/>
      <c r="AU35" s="1061"/>
      <c r="AV35" s="1058"/>
      <c r="AW35" s="1060" t="s">
        <v>524</v>
      </c>
      <c r="AX35" s="1061"/>
      <c r="AY35" s="1061"/>
      <c r="AZ35" s="1061"/>
      <c r="BA35" s="1061"/>
      <c r="BB35" s="1061"/>
      <c r="BC35" s="1061"/>
      <c r="BD35" s="1061"/>
      <c r="BE35" s="1061"/>
      <c r="BF35" s="1061"/>
      <c r="BG35" s="1061"/>
      <c r="BH35" s="1061"/>
      <c r="BI35" s="1060" t="s">
        <v>524</v>
      </c>
      <c r="BJ35" s="1061"/>
      <c r="BK35" s="1061"/>
      <c r="BL35" s="1061"/>
      <c r="BM35" s="1061"/>
      <c r="BN35" s="1061"/>
      <c r="BO35" s="1061"/>
      <c r="BP35" s="1061"/>
      <c r="BQ35" s="1061"/>
      <c r="BR35" s="1061"/>
      <c r="BS35" s="1061"/>
      <c r="BT35" s="1061"/>
      <c r="BU35" s="1058"/>
      <c r="BV35" s="1060" t="s">
        <v>101</v>
      </c>
      <c r="BW35" s="1061"/>
      <c r="BX35" s="1061"/>
      <c r="BY35" s="1061"/>
      <c r="BZ35" s="1061"/>
      <c r="CA35" s="1061"/>
      <c r="CB35" s="1061"/>
      <c r="CC35" s="1061"/>
      <c r="CD35" s="1061"/>
      <c r="CE35" s="1061"/>
    </row>
    <row r="36" spans="1:83" s="87" customFormat="1" ht="12.75" x14ac:dyDescent="0.2">
      <c r="A36" s="1056"/>
      <c r="B36" s="1056"/>
      <c r="C36" s="1056"/>
      <c r="D36" s="1056"/>
      <c r="E36" s="1056"/>
      <c r="F36" s="1056"/>
      <c r="G36" s="1056"/>
      <c r="H36" s="1058" t="s">
        <v>524</v>
      </c>
      <c r="I36" s="1059"/>
      <c r="J36" s="1059"/>
      <c r="K36" s="1059"/>
      <c r="L36" s="1059"/>
      <c r="M36" s="1059"/>
      <c r="N36" s="1059"/>
      <c r="O36" s="1059"/>
      <c r="P36" s="1059"/>
      <c r="Q36" s="1059"/>
      <c r="R36" s="1059"/>
      <c r="S36" s="1060" t="s">
        <v>524</v>
      </c>
      <c r="T36" s="1061"/>
      <c r="U36" s="1061"/>
      <c r="V36" s="1061"/>
      <c r="W36" s="1061"/>
      <c r="X36" s="1061"/>
      <c r="Y36" s="1061"/>
      <c r="Z36" s="1061"/>
      <c r="AA36" s="1061"/>
      <c r="AB36" s="1061"/>
      <c r="AC36" s="1061"/>
      <c r="AD36" s="1061"/>
      <c r="AE36" s="1061"/>
      <c r="AF36" s="1058"/>
      <c r="AG36" s="1060" t="s">
        <v>524</v>
      </c>
      <c r="AH36" s="1061"/>
      <c r="AI36" s="1061"/>
      <c r="AJ36" s="1061"/>
      <c r="AK36" s="1061"/>
      <c r="AL36" s="1061"/>
      <c r="AM36" s="1061"/>
      <c r="AN36" s="1061"/>
      <c r="AO36" s="1061"/>
      <c r="AP36" s="1061"/>
      <c r="AQ36" s="1061"/>
      <c r="AR36" s="1061"/>
      <c r="AS36" s="1061"/>
      <c r="AT36" s="1061"/>
      <c r="AU36" s="1061"/>
      <c r="AV36" s="1058"/>
      <c r="AW36" s="1060" t="s">
        <v>524</v>
      </c>
      <c r="AX36" s="1061"/>
      <c r="AY36" s="1061"/>
      <c r="AZ36" s="1061"/>
      <c r="BA36" s="1061"/>
      <c r="BB36" s="1061"/>
      <c r="BC36" s="1061"/>
      <c r="BD36" s="1061"/>
      <c r="BE36" s="1061"/>
      <c r="BF36" s="1061"/>
      <c r="BG36" s="1061"/>
      <c r="BH36" s="1061"/>
      <c r="BI36" s="1060" t="s">
        <v>524</v>
      </c>
      <c r="BJ36" s="1061"/>
      <c r="BK36" s="1061"/>
      <c r="BL36" s="1061"/>
      <c r="BM36" s="1061"/>
      <c r="BN36" s="1061"/>
      <c r="BO36" s="1061"/>
      <c r="BP36" s="1061"/>
      <c r="BQ36" s="1061"/>
      <c r="BR36" s="1061"/>
      <c r="BS36" s="1061"/>
      <c r="BT36" s="1061"/>
      <c r="BU36" s="1058"/>
      <c r="BV36" s="1060" t="s">
        <v>101</v>
      </c>
      <c r="BW36" s="1061"/>
      <c r="BX36" s="1061"/>
      <c r="BY36" s="1061"/>
      <c r="BZ36" s="1061"/>
      <c r="CA36" s="1061"/>
      <c r="CB36" s="1061"/>
      <c r="CC36" s="1061"/>
      <c r="CD36" s="1061"/>
      <c r="CE36" s="1061"/>
    </row>
    <row r="37" spans="1:83" s="87" customFormat="1" x14ac:dyDescent="0.25">
      <c r="A37" s="88"/>
      <c r="B37" s="86" t="s">
        <v>435</v>
      </c>
      <c r="C37" s="86" t="s">
        <v>435</v>
      </c>
      <c r="D37" s="86" t="s">
        <v>435</v>
      </c>
      <c r="E37" s="86" t="s">
        <v>435</v>
      </c>
      <c r="F37" s="86" t="s">
        <v>435</v>
      </c>
      <c r="G37" s="86" t="s">
        <v>435</v>
      </c>
    </row>
    <row r="38" spans="1:83" s="87" customFormat="1" ht="13.9" hidden="1" customHeight="1" x14ac:dyDescent="0.25">
      <c r="A38" s="90"/>
      <c r="B38" s="90"/>
      <c r="C38" s="90"/>
      <c r="D38" s="90"/>
      <c r="E38" s="90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</row>
    <row r="39" spans="1:83" s="87" customFormat="1" ht="13.15" hidden="1" customHeight="1" x14ac:dyDescent="0.25">
      <c r="A39" s="90"/>
      <c r="B39" s="90"/>
      <c r="C39" s="90"/>
      <c r="D39" s="90"/>
      <c r="E39" s="90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</row>
    <row r="40" spans="1:83" s="87" customFormat="1" ht="19.149999999999999" hidden="1" customHeight="1" x14ac:dyDescent="0.25">
      <c r="A40" s="91"/>
      <c r="B40" s="86"/>
      <c r="C40" s="86"/>
      <c r="D40" s="86"/>
      <c r="E40" s="86"/>
      <c r="F40" s="86"/>
      <c r="G40" s="86"/>
      <c r="H40" s="86"/>
      <c r="I40" s="86"/>
      <c r="J40" s="86"/>
    </row>
    <row r="41" spans="1:83" s="87" customFormat="1" ht="15" hidden="1" customHeight="1" x14ac:dyDescent="0.2">
      <c r="A41" s="115"/>
      <c r="B41" s="116"/>
      <c r="C41" s="116"/>
      <c r="D41" s="116"/>
      <c r="E41" s="116"/>
      <c r="F41" s="116"/>
      <c r="G41" s="116"/>
      <c r="H41" s="116"/>
      <c r="I41" s="116"/>
      <c r="J41" s="116"/>
    </row>
    <row r="42" spans="1:83" s="87" customFormat="1" ht="15" hidden="1" customHeight="1" x14ac:dyDescent="0.2">
      <c r="A42" s="100"/>
      <c r="B42" s="93"/>
      <c r="C42" s="93"/>
      <c r="D42" s="93"/>
      <c r="E42" s="93"/>
      <c r="F42" s="93"/>
      <c r="G42" s="93"/>
      <c r="H42" s="93"/>
      <c r="I42" s="93"/>
      <c r="J42" s="93"/>
    </row>
    <row r="43" spans="1:83" s="87" customFormat="1" ht="12.75" hidden="1" x14ac:dyDescent="0.2">
      <c r="A43" s="94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T43" s="95"/>
      <c r="U43" s="94"/>
      <c r="V43" s="94"/>
    </row>
    <row r="44" spans="1:83" s="2" customFormat="1" ht="12.75" hidden="1" x14ac:dyDescent="0.2">
      <c r="A44" s="11"/>
      <c r="B44" s="11"/>
      <c r="C44" s="11"/>
      <c r="D44" s="45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</row>
    <row r="45" spans="1:83" s="5" customFormat="1" ht="9.75" x14ac:dyDescent="0.2">
      <c r="C45" s="20"/>
      <c r="E45" s="21"/>
      <c r="F45" s="21"/>
      <c r="G45" s="20"/>
      <c r="H45" s="20"/>
      <c r="I45" s="20"/>
      <c r="J45" s="20"/>
      <c r="K45" s="20"/>
      <c r="L45" s="20"/>
      <c r="M45" s="20"/>
    </row>
    <row r="46" spans="1:83" s="5" customFormat="1" ht="12.75" outlineLevel="1" x14ac:dyDescent="0.2">
      <c r="C46" s="20"/>
      <c r="D46" s="21"/>
      <c r="E46" s="21"/>
      <c r="F46" s="21"/>
      <c r="G46" s="20"/>
      <c r="H46" s="20"/>
      <c r="I46" s="20"/>
      <c r="J46" s="20"/>
      <c r="K46" s="20"/>
      <c r="L46" s="20"/>
      <c r="M46" s="20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</row>
    <row r="47" spans="1:83" s="11" customFormat="1" ht="11.25" x14ac:dyDescent="0.2">
      <c r="C47" s="57"/>
      <c r="D47" s="45" t="s">
        <v>61</v>
      </c>
      <c r="E47" s="45"/>
      <c r="F47" s="45"/>
      <c r="G47" s="57"/>
      <c r="H47" s="57"/>
      <c r="I47" s="57"/>
      <c r="J47" s="57"/>
      <c r="K47" s="57"/>
      <c r="L47" s="57"/>
      <c r="M47" s="57"/>
      <c r="AM47" s="855"/>
      <c r="AN47" s="855"/>
      <c r="AO47" s="855"/>
      <c r="AP47" s="855"/>
      <c r="AQ47" s="855"/>
      <c r="AR47" s="855"/>
      <c r="AS47" s="855"/>
      <c r="AT47" s="855"/>
      <c r="AU47" s="855"/>
      <c r="AV47" s="855"/>
      <c r="AW47" s="855"/>
      <c r="AX47" s="855"/>
      <c r="AY47" s="855"/>
      <c r="BC47" s="893" t="str">
        <f>IF('Данные объект'!B28="","",'Данные объект'!B28)</f>
      </c>
      <c r="BD47" s="893"/>
      <c r="BE47" s="893"/>
      <c r="BF47" s="893"/>
      <c r="BG47" s="893"/>
      <c r="BH47" s="893"/>
      <c r="BI47" s="893"/>
      <c r="BJ47" s="893"/>
      <c r="BK47" s="893"/>
      <c r="BL47" s="893"/>
      <c r="BM47" s="893"/>
      <c r="BN47" s="893"/>
      <c r="BO47" s="893"/>
      <c r="BP47" s="893"/>
      <c r="BQ47" s="893"/>
    </row>
    <row r="48" spans="1:83" s="5" customFormat="1" ht="9.75" x14ac:dyDescent="0.2">
      <c r="C48" s="20"/>
      <c r="E48" s="21"/>
      <c r="F48" s="21"/>
      <c r="G48" s="20"/>
      <c r="H48" s="20"/>
      <c r="I48" s="20"/>
      <c r="J48" s="20"/>
      <c r="K48" s="20"/>
      <c r="L48" s="20"/>
      <c r="M48" s="20"/>
      <c r="AM48" s="858" t="s">
        <v>2</v>
      </c>
      <c r="AN48" s="858"/>
      <c r="AO48" s="858"/>
      <c r="AP48" s="858"/>
      <c r="AQ48" s="858"/>
      <c r="AR48" s="858"/>
      <c r="AS48" s="858"/>
      <c r="AT48" s="858"/>
      <c r="AU48" s="858"/>
      <c r="AV48" s="858"/>
      <c r="AW48" s="858"/>
      <c r="AX48" s="858"/>
      <c r="AY48" s="858"/>
    </row>
    <row r="49" spans="1:172" s="87" customFormat="1" ht="19.899999999999999" customHeight="1" x14ac:dyDescent="0.2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</row>
    <row r="50" spans="1:172" s="87" customFormat="1" ht="15" customHeight="1" x14ac:dyDescent="0.2">
      <c r="A50" s="92"/>
      <c r="B50" s="93"/>
      <c r="C50" s="93"/>
      <c r="D50" s="93"/>
    </row>
    <row r="51" spans="1:172" s="87" customFormat="1" ht="15" customHeight="1" x14ac:dyDescent="0.2">
      <c r="A51" s="92"/>
      <c r="B51" s="93"/>
      <c r="C51" s="93"/>
      <c r="D51" s="93"/>
    </row>
    <row r="52" spans="1:172" s="87" customFormat="1" ht="15" customHeight="1" x14ac:dyDescent="0.2">
      <c r="A52" s="92"/>
      <c r="B52" s="93"/>
      <c r="C52" s="93"/>
      <c r="D52" s="93"/>
    </row>
    <row r="53" spans="1:172" s="87" customFormat="1" ht="15" customHeight="1" x14ac:dyDescent="0.2">
      <c r="A53" s="92"/>
      <c r="B53" s="93"/>
      <c r="C53" s="93"/>
      <c r="D53" s="93"/>
    </row>
    <row r="54" spans="1:172" s="87" customFormat="1" ht="15" customHeight="1" x14ac:dyDescent="0.2">
      <c r="A54" s="95"/>
      <c r="B54" s="93"/>
      <c r="C54" s="93"/>
      <c r="D54" s="93"/>
    </row>
    <row r="55" spans="1:172" s="87" customFormat="1" ht="13.15" customHeight="1" x14ac:dyDescent="0.2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N55" s="106"/>
    </row>
    <row r="56" spans="1:172" s="87" customFormat="1" ht="16.899999999999999" customHeight="1" x14ac:dyDescent="0.2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N56" s="101"/>
    </row>
    <row r="57" spans="1:172" s="87" customFormat="1" ht="16.899999999999999" customHeight="1" x14ac:dyDescent="0.2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N57" s="101"/>
    </row>
    <row r="58" spans="1:172" s="2" customFormat="1" ht="13.5" x14ac:dyDescent="0.25">
      <c r="F58" s="10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</row>
    <row r="59" spans="1:172" s="2" customFormat="1" ht="12.75" x14ac:dyDescent="0.2"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</row>
    <row r="60" spans="1:172" s="5" customFormat="1" ht="7.9" hidden="1" customHeight="1" x14ac:dyDescent="0.15"/>
    <row r="61" spans="1:172" s="70" customFormat="1" ht="11.2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</row>
    <row r="63" spans="1:172" s="41" customFormat="1" ht="8.25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</row>
    <row r="64" spans="1:172" s="70" customFormat="1" ht="10.15" hidden="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</row>
    <row r="65" spans="1:172" ht="14.45" hidden="1" customHeight="1" x14ac:dyDescent="0.25"/>
    <row r="66" spans="1:172" s="41" customFormat="1" ht="8.4499999999999993" hidden="1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</row>
    <row r="67" spans="1:172" ht="14.45" hidden="1" customHeight="1" x14ac:dyDescent="0.25"/>
    <row r="68" spans="1:172" s="70" customFormat="1" ht="10.15" hidden="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</row>
    <row r="69" spans="1:172" ht="14.45" hidden="1" customHeight="1" x14ac:dyDescent="0.25"/>
    <row r="70" spans="1:172" s="70" customFormat="1" ht="10.15" hidden="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02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</row>
    <row r="72" spans="1:17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</row>
    <row r="73" spans="1:172" s="42" customFormat="1" ht="15" customHeight="1" x14ac:dyDescent="0.25">
      <c r="A73" s="103"/>
      <c r="B73" s="103"/>
      <c r="C73" s="103"/>
      <c r="D73" s="103"/>
      <c r="E73" s="103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3"/>
      <c r="BF73" s="103"/>
      <c r="BG73" s="103"/>
      <c r="BH73" s="103"/>
      <c r="BI73" s="103"/>
      <c r="BJ73" s="103"/>
      <c r="BK73" s="103"/>
      <c r="BL73" s="103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3"/>
      <c r="BZ73" s="103"/>
      <c r="CA73" s="103"/>
      <c r="CB73" s="103"/>
      <c r="CC73" s="71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</row>
    <row r="74" spans="1:172" s="42" customFormat="1" x14ac:dyDescent="0.25">
      <c r="A74" s="103"/>
      <c r="B74" s="103"/>
      <c r="C74" s="103"/>
      <c r="D74" s="103"/>
      <c r="E74" s="103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3"/>
      <c r="BF74" s="103"/>
      <c r="BG74" s="103"/>
      <c r="BH74" s="103"/>
      <c r="BI74" s="103"/>
      <c r="BJ74" s="103"/>
      <c r="BK74" s="103"/>
      <c r="BL74" s="103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3"/>
      <c r="BZ74" s="103"/>
      <c r="CA74" s="103"/>
      <c r="CB74" s="103"/>
      <c r="CC74" s="71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</row>
    <row r="75" spans="1:172" s="42" customFormat="1" x14ac:dyDescent="0.25">
      <c r="A75" s="103"/>
      <c r="B75" s="103"/>
      <c r="C75" s="103"/>
      <c r="D75" s="103"/>
      <c r="E75" s="103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3"/>
      <c r="BF75" s="103"/>
      <c r="BG75" s="103"/>
      <c r="BH75" s="103"/>
      <c r="BI75" s="103"/>
      <c r="BJ75" s="103"/>
      <c r="BK75" s="103"/>
      <c r="BL75" s="103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3"/>
      <c r="BZ75" s="103"/>
      <c r="CA75" s="103"/>
      <c r="CB75" s="103"/>
      <c r="CC75" s="71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</row>
    <row r="76" spans="1:172" x14ac:dyDescent="0.25">
      <c r="A76" s="103"/>
      <c r="B76" s="103"/>
      <c r="C76" s="103"/>
      <c r="D76" s="103"/>
      <c r="E76" s="103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3"/>
      <c r="BF76" s="103"/>
      <c r="BG76" s="103"/>
      <c r="BH76" s="103"/>
      <c r="BI76" s="103"/>
      <c r="BJ76" s="103"/>
      <c r="BK76" s="103"/>
      <c r="BL76" s="103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3"/>
      <c r="BZ76" s="103"/>
      <c r="CA76" s="103"/>
      <c r="CB76" s="103"/>
      <c r="CC76" s="11"/>
    </row>
    <row r="77" spans="1:172" x14ac:dyDescent="0.25">
      <c r="A77" s="103"/>
      <c r="B77" s="103"/>
      <c r="C77" s="103"/>
      <c r="D77" s="103"/>
      <c r="E77" s="103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3"/>
      <c r="BF77" s="103"/>
      <c r="BG77" s="103"/>
      <c r="BH77" s="103"/>
      <c r="BI77" s="103"/>
      <c r="BJ77" s="103"/>
      <c r="BK77" s="103"/>
      <c r="BL77" s="103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3"/>
      <c r="BZ77" s="103"/>
      <c r="CA77" s="103"/>
      <c r="CB77" s="103"/>
      <c r="CC77" s="11"/>
    </row>
    <row r="78" spans="1:17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70"/>
      <c r="BZ78" s="70"/>
      <c r="CA78" s="70"/>
      <c r="CB78" s="70"/>
      <c r="CC78" s="11"/>
    </row>
    <row r="79" spans="1:172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11"/>
    </row>
    <row r="80" spans="1:172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11"/>
    </row>
    <row r="81" spans="1:81" ht="14.45" hidden="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11"/>
    </row>
    <row r="82" spans="1:81" ht="14.45" hidden="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11"/>
    </row>
    <row r="83" spans="1:81" ht="14.45" hidden="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11"/>
    </row>
    <row r="84" spans="1:81" ht="14.45" hidden="1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11"/>
    </row>
    <row r="85" spans="1:81" ht="14.45" hidden="1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11"/>
    </row>
    <row r="86" spans="1:81" ht="14.45" hidden="1" customHeight="1" x14ac:dyDescent="0.25"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spans="1:81" ht="14.45" hidden="1" customHeight="1" x14ac:dyDescent="0.25"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spans="1:81" ht="14.45" hidden="1" customHeight="1" x14ac:dyDescent="0.25"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spans="1:81" ht="14.45" hidden="1" customHeight="1" x14ac:dyDescent="0.25"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spans="1:81" ht="14.45" hidden="1" customHeight="1" x14ac:dyDescent="0.25"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spans="1:81" ht="14.45" hidden="1" customHeight="1" x14ac:dyDescent="0.25"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spans="1:81" ht="14.45" hidden="1" customHeight="1" x14ac:dyDescent="0.25"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1" ht="14.45" hidden="1" customHeight="1" x14ac:dyDescent="0.25"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</row>
    <row r="94" spans="1:81" ht="14.45" hidden="1" customHeight="1" x14ac:dyDescent="0.25"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</row>
    <row r="95" spans="1:81" x14ac:dyDescent="0.25">
      <c r="AN95"/>
      <c r="AO95"/>
      <c r="AP95"/>
      <c r="AQ95"/>
      <c r="AR95"/>
      <c r="AS95"/>
      <c r="AT95"/>
      <c r="AU95"/>
      <c r="AV95"/>
      <c r="AW95"/>
      <c r="AX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1:81" ht="6.6" customHeight="1" x14ac:dyDescent="0.25">
      <c r="AN96"/>
      <c r="AO96"/>
      <c r="AP96"/>
      <c r="AQ96"/>
      <c r="AR96"/>
      <c r="AS96"/>
      <c r="AT96"/>
      <c r="AU96"/>
      <c r="AV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1:80" x14ac:dyDescent="0.25">
      <c r="A97" s="11"/>
      <c r="B97" s="11"/>
      <c r="C97" s="57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ht="7.9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x14ac:dyDescent="0.25">
      <c r="A100" s="11"/>
      <c r="B100" s="11"/>
      <c r="C100" s="57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</row>
    <row r="102" spans="1:80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0" s="2" customFormat="1" ht="12.75" x14ac:dyDescent="0.2">
      <c r="A104" s="11"/>
      <c r="B104" s="11"/>
      <c r="C104" s="11"/>
      <c r="D104" s="4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0" s="5" customFormat="1" ht="9.75" x14ac:dyDescent="0.2">
      <c r="C105" s="20"/>
      <c r="E105" s="21"/>
      <c r="F105" s="21"/>
      <c r="G105" s="20"/>
      <c r="H105" s="20"/>
      <c r="I105" s="20"/>
      <c r="J105" s="20"/>
      <c r="K105" s="20"/>
      <c r="L105" s="20"/>
      <c r="M105" s="20"/>
    </row>
    <row r="106" spans="1:80" s="5" customFormat="1" ht="12.75" outlineLevel="1" x14ac:dyDescent="0.2">
      <c r="C106" s="20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</row>
    <row r="107" spans="1:80" s="11" customFormat="1" ht="11.25" x14ac:dyDescent="0.2">
      <c r="C107" s="57"/>
      <c r="D107" s="45"/>
      <c r="E107" s="45"/>
      <c r="F107" s="45"/>
      <c r="G107" s="57"/>
      <c r="H107" s="57"/>
      <c r="I107" s="57"/>
      <c r="J107" s="57"/>
      <c r="K107" s="57"/>
      <c r="L107" s="57"/>
      <c r="M107" s="57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</row>
    <row r="108" spans="1:80" s="5" customFormat="1" ht="9.75" x14ac:dyDescent="0.2">
      <c r="C108" s="20"/>
      <c r="E108" s="21"/>
      <c r="F108" s="21"/>
      <c r="G108" s="20"/>
      <c r="H108" s="20"/>
      <c r="I108" s="20"/>
      <c r="J108" s="20"/>
      <c r="K108" s="20"/>
      <c r="L108" s="20"/>
      <c r="M108" s="20"/>
    </row>
  </sheetData>
  <mergeCells count="144">
    <mergeCell ref="A5:AI5"/>
    <mergeCell ref="AR5:BZ5"/>
    <mergeCell ref="AR6:BZ9"/>
    <mergeCell ref="A8:AI9"/>
    <mergeCell ref="A10:AI10"/>
    <mergeCell ref="AR10:BZ10"/>
    <mergeCell ref="AR1:BZ2"/>
    <mergeCell ref="A2:AI2"/>
    <mergeCell ref="A3:AI3"/>
    <mergeCell ref="AR3:BZ3"/>
    <mergeCell ref="A4:AI4"/>
    <mergeCell ref="AR4:BZ4"/>
    <mergeCell ref="A19:G20"/>
    <mergeCell ref="H19:CE19"/>
    <mergeCell ref="H20:R20"/>
    <mergeCell ref="S20:AF20"/>
    <mergeCell ref="AG20:AV20"/>
    <mergeCell ref="AW20:BH20"/>
    <mergeCell ref="BI20:BU20"/>
    <mergeCell ref="BV20:CE20"/>
    <mergeCell ref="A11:AI11"/>
    <mergeCell ref="AR11:BZ11"/>
    <mergeCell ref="A13:CE13"/>
    <mergeCell ref="S16:CE16"/>
    <mergeCell ref="A17:Q17"/>
    <mergeCell ref="R17:AA17"/>
    <mergeCell ref="AC17:AK17"/>
    <mergeCell ref="AL17:AV17"/>
    <mergeCell ref="A14:CE14"/>
    <mergeCell ref="BV21:CE21"/>
    <mergeCell ref="A22:G22"/>
    <mergeCell ref="H22:R22"/>
    <mergeCell ref="S22:AF22"/>
    <mergeCell ref="AG22:AV22"/>
    <mergeCell ref="AW22:BH22"/>
    <mergeCell ref="BI22:BU22"/>
    <mergeCell ref="BV22:CE22"/>
    <mergeCell ref="A21:G21"/>
    <mergeCell ref="H21:R21"/>
    <mergeCell ref="S21:AF21"/>
    <mergeCell ref="AG21:AV21"/>
    <mergeCell ref="AW21:BH21"/>
    <mergeCell ref="BI21:BU21"/>
    <mergeCell ref="BV23:CE23"/>
    <mergeCell ref="A24:G24"/>
    <mergeCell ref="H24:R24"/>
    <mergeCell ref="S24:AF24"/>
    <mergeCell ref="AG24:AV24"/>
    <mergeCell ref="AW24:BH24"/>
    <mergeCell ref="BI24:BU24"/>
    <mergeCell ref="BV24:CE24"/>
    <mergeCell ref="A23:G23"/>
    <mergeCell ref="H23:R23"/>
    <mergeCell ref="S23:AF23"/>
    <mergeCell ref="AG23:AV23"/>
    <mergeCell ref="AW23:BH23"/>
    <mergeCell ref="BI23:BU23"/>
    <mergeCell ref="BV25:CE25"/>
    <mergeCell ref="A26:G26"/>
    <mergeCell ref="H26:R26"/>
    <mergeCell ref="S26:AF26"/>
    <mergeCell ref="AG26:AV26"/>
    <mergeCell ref="AW26:BH26"/>
    <mergeCell ref="BI26:BU26"/>
    <mergeCell ref="BV26:CE26"/>
    <mergeCell ref="A25:G25"/>
    <mergeCell ref="H25:R25"/>
    <mergeCell ref="S25:AF25"/>
    <mergeCell ref="AG25:AV25"/>
    <mergeCell ref="AW25:BH25"/>
    <mergeCell ref="BI25:BU25"/>
    <mergeCell ref="BV27:CE27"/>
    <mergeCell ref="A28:G28"/>
    <mergeCell ref="H28:R28"/>
    <mergeCell ref="S28:AF28"/>
    <mergeCell ref="AG28:AV28"/>
    <mergeCell ref="AW28:BH28"/>
    <mergeCell ref="BI28:BU28"/>
    <mergeCell ref="BV28:CE28"/>
    <mergeCell ref="A27:G27"/>
    <mergeCell ref="H27:R27"/>
    <mergeCell ref="S27:AF27"/>
    <mergeCell ref="AG27:AV27"/>
    <mergeCell ref="AW27:BH27"/>
    <mergeCell ref="BI27:BU27"/>
    <mergeCell ref="BV29:CE29"/>
    <mergeCell ref="A30:G30"/>
    <mergeCell ref="H30:R30"/>
    <mergeCell ref="S30:AF30"/>
    <mergeCell ref="AG30:AV30"/>
    <mergeCell ref="AW30:BH30"/>
    <mergeCell ref="BI30:BU30"/>
    <mergeCell ref="BV30:CE30"/>
    <mergeCell ref="A29:G29"/>
    <mergeCell ref="H29:R29"/>
    <mergeCell ref="S29:AF29"/>
    <mergeCell ref="AG29:AV29"/>
    <mergeCell ref="AW29:BH29"/>
    <mergeCell ref="BI29:BU29"/>
    <mergeCell ref="BV31:CE31"/>
    <mergeCell ref="A32:G32"/>
    <mergeCell ref="H32:R32"/>
    <mergeCell ref="S32:AF32"/>
    <mergeCell ref="AG32:AV32"/>
    <mergeCell ref="AW32:BH32"/>
    <mergeCell ref="BI32:BU32"/>
    <mergeCell ref="BV32:CE32"/>
    <mergeCell ref="A31:G31"/>
    <mergeCell ref="H31:R31"/>
    <mergeCell ref="S31:AF31"/>
    <mergeCell ref="AG31:AV31"/>
    <mergeCell ref="AW31:BH31"/>
    <mergeCell ref="BI31:BU31"/>
    <mergeCell ref="BV33:CE33"/>
    <mergeCell ref="A34:G34"/>
    <mergeCell ref="H34:R34"/>
    <mergeCell ref="S34:AF34"/>
    <mergeCell ref="AG34:AV34"/>
    <mergeCell ref="AW34:BH34"/>
    <mergeCell ref="BI34:BU34"/>
    <mergeCell ref="BV34:CE34"/>
    <mergeCell ref="A33:G33"/>
    <mergeCell ref="H33:R33"/>
    <mergeCell ref="S33:AF33"/>
    <mergeCell ref="AG33:AV33"/>
    <mergeCell ref="AW33:BH33"/>
    <mergeCell ref="BI33:BU33"/>
    <mergeCell ref="AM47:AY47"/>
    <mergeCell ref="BC47:BQ47"/>
    <mergeCell ref="AM48:AY48"/>
    <mergeCell ref="BV35:CE35"/>
    <mergeCell ref="A36:G36"/>
    <mergeCell ref="H36:R36"/>
    <mergeCell ref="S36:AF36"/>
    <mergeCell ref="AG36:AV36"/>
    <mergeCell ref="AW36:BH36"/>
    <mergeCell ref="BI36:BU36"/>
    <mergeCell ref="BV36:CE36"/>
    <mergeCell ref="A35:G35"/>
    <mergeCell ref="H35:R35"/>
    <mergeCell ref="S35:AF35"/>
    <mergeCell ref="AG35:AV35"/>
    <mergeCell ref="AW35:BH35"/>
    <mergeCell ref="BI35:BU35"/>
  </mergeCells>
  <dataValidations disablePrompts="1" count="2">
    <dataValidation type="list" allowBlank="1" showInputMessage="1" showErrorMessage="1" sqref="P55:V55" xr:uid="{82C62BF1-E766-4642-ACEE-CD8CE55F9C09}">
      <formula1>ВЛ</formula1>
    </dataValidation>
    <dataValidation type="list" allowBlank="1" showInputMessage="1" showErrorMessage="1" sqref="O78:W80" xr:uid="{BC80B5A5-E25B-4328-82C2-5688189F0656}">
      <formula1>стойка</formula1>
    </dataValidation>
  </dataValidations>
  <pageMargins left="0.78740157480314965" right="0.19685039370078741" top="0.39370078740157483" bottom="0.39370078740157483" header="0.11811023622047245" footer="0.11811023622047245"/>
  <pageSetup paperSize="9" scale="9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6633-37A6-4E11-B8AA-959782DE3B10}">
  <sheetPr>
    <tabColor rgb="FFCC99FF"/>
  </sheetPr>
  <dimension ref="A1:FG73"/>
  <sheetViews>
    <sheetView view="pageBreakPreview" zoomScaleNormal="100" zoomScaleSheetLayoutView="100" zoomScalePageLayoutView="85" workbookViewId="0">
      <selection activeCell="A14" sqref="A14:CB14"/>
    </sheetView>
  </sheetViews>
  <sheetFormatPr defaultColWidth="9.140625" defaultRowHeight="15" x14ac:dyDescent="0.25"/>
  <cols>
    <col min="1" max="163" width="1.140625" style="2" customWidth="1"/>
  </cols>
  <sheetData>
    <row r="1" spans="1:163" s="2" customFormat="1" ht="7.15" customHeight="1" x14ac:dyDescent="0.2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</row>
    <row r="2" spans="1:163" s="2" customFormat="1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10"/>
      <c r="CB2" s="10"/>
    </row>
    <row r="3" spans="1:163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163" s="2" customFormat="1" ht="13.15" customHeight="1" x14ac:dyDescent="0.2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5"/>
      <c r="CB4" s="65"/>
    </row>
    <row r="5" spans="1:163" s="2" customFormat="1" ht="10.15" customHeight="1" x14ac:dyDescent="0.2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5"/>
      <c r="CB5" s="65"/>
    </row>
    <row r="6" spans="1:163" s="5" customFormat="1" ht="8.4499999999999993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163" s="2" customFormat="1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65"/>
      <c r="CB7" s="65"/>
    </row>
    <row r="8" spans="1:163" s="2" customFormat="1" ht="0.6" customHeight="1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65"/>
      <c r="CB8" s="65"/>
    </row>
    <row r="9" spans="1:163" s="2" customFormat="1" ht="13.15" customHeight="1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65"/>
      <c r="CB9" s="65"/>
    </row>
    <row r="10" spans="1:163" s="2" customFormat="1" ht="9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65"/>
      <c r="CB10" s="65"/>
    </row>
    <row r="11" spans="1:163" s="5" customFormat="1" ht="12.75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2" spans="1:163" s="2" customFormat="1" ht="6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</row>
    <row r="13" spans="1:163" s="40" customFormat="1" ht="15" customHeight="1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</row>
    <row r="14" spans="1:163" s="40" customFormat="1" ht="15" customHeight="1" x14ac:dyDescent="0.25">
      <c r="A14" s="886" t="s">
        <v>1257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</row>
    <row r="15" spans="1:163" ht="6.6" customHeight="1" x14ac:dyDescent="0.25"/>
    <row r="16" spans="1:163" s="43" customFormat="1" x14ac:dyDescent="0.25">
      <c r="A16" s="57" t="s">
        <v>33</v>
      </c>
      <c r="B16" s="57"/>
      <c r="C16" s="57" t="s">
        <v>295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</row>
    <row r="17" spans="1:163" ht="15" customHeight="1" x14ac:dyDescent="0.25">
      <c r="A17" s="827" t="s">
        <v>300</v>
      </c>
      <c r="B17" s="827"/>
      <c r="C17" s="827"/>
      <c r="D17" s="827"/>
      <c r="E17" s="827"/>
      <c r="F17" s="827"/>
      <c r="G17" s="827"/>
      <c r="H17" s="827"/>
      <c r="I17" s="827"/>
      <c r="J17" s="827"/>
      <c r="K17" s="827"/>
      <c r="L17" s="827"/>
      <c r="M17" s="827"/>
      <c r="N17" s="827"/>
      <c r="O17" s="827"/>
      <c r="P17" s="827"/>
      <c r="Q17" s="827" t="s">
        <v>298</v>
      </c>
      <c r="R17" s="827"/>
      <c r="S17" s="827"/>
      <c r="T17" s="827"/>
      <c r="U17" s="827"/>
      <c r="V17" s="827"/>
      <c r="W17" s="827"/>
      <c r="X17" s="827"/>
      <c r="Y17" s="827"/>
      <c r="Z17" s="827"/>
      <c r="AA17" s="827"/>
      <c r="AB17" s="827"/>
      <c r="AC17" s="827"/>
      <c r="AD17" s="827"/>
      <c r="AE17" s="827"/>
      <c r="AF17" s="827"/>
      <c r="AG17" s="827" t="s">
        <v>297</v>
      </c>
      <c r="AH17" s="827"/>
      <c r="AI17" s="827"/>
      <c r="AJ17" s="827"/>
      <c r="AK17" s="827"/>
      <c r="AL17" s="827"/>
      <c r="AM17" s="827"/>
      <c r="AN17" s="827"/>
      <c r="AO17" s="827"/>
      <c r="AP17" s="827"/>
      <c r="AQ17" s="827"/>
      <c r="AR17" s="827"/>
      <c r="AS17" s="827"/>
      <c r="AT17" s="827"/>
      <c r="AU17" s="827"/>
      <c r="AV17" s="827"/>
      <c r="AW17" s="827" t="s">
        <v>299</v>
      </c>
      <c r="AX17" s="827"/>
      <c r="AY17" s="827"/>
      <c r="AZ17" s="827"/>
      <c r="BA17" s="827"/>
      <c r="BB17" s="827"/>
      <c r="BC17" s="827"/>
      <c r="BD17" s="827"/>
      <c r="BE17" s="827"/>
      <c r="BF17" s="827"/>
      <c r="BG17" s="827"/>
      <c r="BH17" s="827"/>
      <c r="BI17" s="827"/>
      <c r="BJ17" s="827"/>
      <c r="BK17" s="827"/>
      <c r="BL17" s="827"/>
      <c r="BM17" s="827" t="s">
        <v>296</v>
      </c>
      <c r="BN17" s="827"/>
      <c r="BO17" s="827"/>
      <c r="BP17" s="827"/>
      <c r="BQ17" s="827"/>
      <c r="BR17" s="827"/>
      <c r="BS17" s="827"/>
      <c r="BT17" s="827"/>
      <c r="BU17" s="827"/>
      <c r="BV17" s="827"/>
      <c r="BW17" s="827"/>
      <c r="BX17" s="827"/>
      <c r="BY17" s="827"/>
      <c r="BZ17" s="827"/>
      <c r="CA17" s="827"/>
      <c r="CB17" s="827"/>
    </row>
    <row r="18" spans="1:163" x14ac:dyDescent="0.25">
      <c r="A18" s="827"/>
      <c r="B18" s="827"/>
      <c r="C18" s="827"/>
      <c r="D18" s="827"/>
      <c r="E18" s="827"/>
      <c r="F18" s="827"/>
      <c r="G18" s="827"/>
      <c r="H18" s="827"/>
      <c r="I18" s="827"/>
      <c r="J18" s="827"/>
      <c r="K18" s="827"/>
      <c r="L18" s="827"/>
      <c r="M18" s="827"/>
      <c r="N18" s="827"/>
      <c r="O18" s="827"/>
      <c r="P18" s="827"/>
      <c r="Q18" s="827"/>
      <c r="R18" s="827"/>
      <c r="S18" s="827"/>
      <c r="T18" s="827"/>
      <c r="U18" s="827"/>
      <c r="V18" s="827"/>
      <c r="W18" s="827"/>
      <c r="X18" s="827"/>
      <c r="Y18" s="827"/>
      <c r="Z18" s="827"/>
      <c r="AA18" s="827"/>
      <c r="AB18" s="827"/>
      <c r="AC18" s="827"/>
      <c r="AD18" s="827"/>
      <c r="AE18" s="827"/>
      <c r="AF18" s="827"/>
      <c r="AG18" s="827"/>
      <c r="AH18" s="827"/>
      <c r="AI18" s="827"/>
      <c r="AJ18" s="827"/>
      <c r="AK18" s="827"/>
      <c r="AL18" s="827"/>
      <c r="AM18" s="827"/>
      <c r="AN18" s="827"/>
      <c r="AO18" s="827"/>
      <c r="AP18" s="827"/>
      <c r="AQ18" s="827"/>
      <c r="AR18" s="827"/>
      <c r="AS18" s="827"/>
      <c r="AT18" s="827"/>
      <c r="AU18" s="827"/>
      <c r="AV18" s="827"/>
      <c r="AW18" s="827"/>
      <c r="AX18" s="827"/>
      <c r="AY18" s="827"/>
      <c r="AZ18" s="827"/>
      <c r="BA18" s="827"/>
      <c r="BB18" s="827"/>
      <c r="BC18" s="827"/>
      <c r="BD18" s="827"/>
      <c r="BE18" s="827"/>
      <c r="BF18" s="827"/>
      <c r="BG18" s="827"/>
      <c r="BH18" s="827"/>
      <c r="BI18" s="827"/>
      <c r="BJ18" s="827"/>
      <c r="BK18" s="827"/>
      <c r="BL18" s="827"/>
      <c r="BM18" s="827"/>
      <c r="BN18" s="827"/>
      <c r="BO18" s="827"/>
      <c r="BP18" s="827"/>
      <c r="BQ18" s="827"/>
      <c r="BR18" s="827"/>
      <c r="BS18" s="827"/>
      <c r="BT18" s="827"/>
      <c r="BU18" s="827"/>
      <c r="BV18" s="827"/>
      <c r="BW18" s="827"/>
      <c r="BX18" s="827"/>
      <c r="BY18" s="827"/>
      <c r="BZ18" s="827"/>
      <c r="CA18" s="827"/>
      <c r="CB18" s="827"/>
    </row>
    <row r="19" spans="1:163" ht="5.45" customHeight="1" x14ac:dyDescent="0.25">
      <c r="A19" s="827"/>
      <c r="B19" s="827"/>
      <c r="C19" s="827"/>
      <c r="D19" s="827"/>
      <c r="E19" s="827"/>
      <c r="F19" s="827"/>
      <c r="G19" s="827"/>
      <c r="H19" s="827"/>
      <c r="I19" s="827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827"/>
      <c r="Z19" s="827"/>
      <c r="AA19" s="827"/>
      <c r="AB19" s="827"/>
      <c r="AC19" s="827"/>
      <c r="AD19" s="827"/>
      <c r="AE19" s="827"/>
      <c r="AF19" s="827"/>
      <c r="AG19" s="827"/>
      <c r="AH19" s="827"/>
      <c r="AI19" s="827"/>
      <c r="AJ19" s="827"/>
      <c r="AK19" s="827"/>
      <c r="AL19" s="827"/>
      <c r="AM19" s="827"/>
      <c r="AN19" s="827"/>
      <c r="AO19" s="827"/>
      <c r="AP19" s="827"/>
      <c r="AQ19" s="827"/>
      <c r="AR19" s="827"/>
      <c r="AS19" s="827"/>
      <c r="AT19" s="827"/>
      <c r="AU19" s="827"/>
      <c r="AV19" s="827"/>
      <c r="AW19" s="827"/>
      <c r="AX19" s="827"/>
      <c r="AY19" s="827"/>
      <c r="AZ19" s="827"/>
      <c r="BA19" s="827"/>
      <c r="BB19" s="827"/>
      <c r="BC19" s="827"/>
      <c r="BD19" s="827"/>
      <c r="BE19" s="827"/>
      <c r="BF19" s="827"/>
      <c r="BG19" s="827"/>
      <c r="BH19" s="827"/>
      <c r="BI19" s="827"/>
      <c r="BJ19" s="827"/>
      <c r="BK19" s="827"/>
      <c r="BL19" s="827"/>
      <c r="BM19" s="827"/>
      <c r="BN19" s="827"/>
      <c r="BO19" s="827"/>
      <c r="BP19" s="827"/>
      <c r="BQ19" s="827"/>
      <c r="BR19" s="827"/>
      <c r="BS19" s="827"/>
      <c r="BT19" s="827"/>
      <c r="BU19" s="827"/>
      <c r="BV19" s="827"/>
      <c r="BW19" s="827"/>
      <c r="BX19" s="827"/>
      <c r="BY19" s="827"/>
      <c r="BZ19" s="827"/>
      <c r="CA19" s="827"/>
      <c r="CB19" s="827"/>
    </row>
    <row r="20" spans="1:163" x14ac:dyDescent="0.25">
      <c r="A20" s="827"/>
      <c r="B20" s="827"/>
      <c r="C20" s="827"/>
      <c r="D20" s="827"/>
      <c r="E20" s="827"/>
      <c r="F20" s="827"/>
      <c r="G20" s="827"/>
      <c r="H20" s="827"/>
      <c r="I20" s="827"/>
      <c r="J20" s="827"/>
      <c r="K20" s="827"/>
      <c r="L20" s="827"/>
      <c r="M20" s="827"/>
      <c r="N20" s="827"/>
      <c r="O20" s="827"/>
      <c r="P20" s="827"/>
      <c r="Q20" s="827"/>
      <c r="R20" s="827"/>
      <c r="S20" s="827"/>
      <c r="T20" s="827"/>
      <c r="U20" s="827"/>
      <c r="V20" s="827"/>
      <c r="W20" s="827"/>
      <c r="X20" s="827"/>
      <c r="Y20" s="827"/>
      <c r="Z20" s="827"/>
      <c r="AA20" s="827"/>
      <c r="AB20" s="827"/>
      <c r="AC20" s="827"/>
      <c r="AD20" s="827"/>
      <c r="AE20" s="827"/>
      <c r="AF20" s="827"/>
      <c r="AG20" s="827"/>
      <c r="AH20" s="827"/>
      <c r="AI20" s="827"/>
      <c r="AJ20" s="827"/>
      <c r="AK20" s="827"/>
      <c r="AL20" s="827"/>
      <c r="AM20" s="827"/>
      <c r="AN20" s="827"/>
      <c r="AO20" s="827"/>
      <c r="AP20" s="827"/>
      <c r="AQ20" s="827"/>
      <c r="AR20" s="827"/>
      <c r="AS20" s="827"/>
      <c r="AT20" s="827"/>
      <c r="AU20" s="827"/>
      <c r="AV20" s="827"/>
      <c r="AW20" s="827"/>
      <c r="AX20" s="827"/>
      <c r="AY20" s="827"/>
      <c r="AZ20" s="827"/>
      <c r="BA20" s="827"/>
      <c r="BB20" s="827"/>
      <c r="BC20" s="827"/>
      <c r="BD20" s="827"/>
      <c r="BE20" s="827"/>
      <c r="BF20" s="827"/>
      <c r="BG20" s="827"/>
      <c r="BH20" s="827"/>
      <c r="BI20" s="827"/>
      <c r="BJ20" s="827"/>
      <c r="BK20" s="827"/>
      <c r="BL20" s="827"/>
      <c r="BM20" s="827"/>
      <c r="BN20" s="827"/>
      <c r="BO20" s="827"/>
      <c r="BP20" s="827"/>
      <c r="BQ20" s="827"/>
      <c r="BR20" s="827"/>
      <c r="BS20" s="827"/>
      <c r="BT20" s="827"/>
      <c r="BU20" s="827"/>
      <c r="BV20" s="827"/>
      <c r="BW20" s="827"/>
      <c r="BX20" s="827"/>
      <c r="BY20" s="827"/>
      <c r="BZ20" s="827"/>
      <c r="CA20" s="827"/>
      <c r="CB20" s="827"/>
    </row>
    <row r="21" spans="1:163" x14ac:dyDescent="0.25">
      <c r="A21" s="894" t="s">
        <v>301</v>
      </c>
      <c r="B21" s="894"/>
      <c r="C21" s="894"/>
      <c r="D21" s="894"/>
      <c r="E21" s="894"/>
      <c r="F21" s="894"/>
      <c r="G21" s="894"/>
      <c r="H21" s="894"/>
      <c r="I21" s="894"/>
      <c r="J21" s="894"/>
      <c r="K21" s="894"/>
      <c r="L21" s="894"/>
      <c r="M21" s="894"/>
      <c r="N21" s="894"/>
      <c r="O21" s="894"/>
      <c r="P21" s="894"/>
      <c r="Q21" s="993"/>
      <c r="R21" s="993"/>
      <c r="S21" s="993"/>
      <c r="T21" s="993"/>
      <c r="U21" s="993"/>
      <c r="V21" s="993"/>
      <c r="W21" s="993"/>
      <c r="X21" s="993"/>
      <c r="Y21" s="993"/>
      <c r="Z21" s="993"/>
      <c r="AA21" s="993"/>
      <c r="AB21" s="993"/>
      <c r="AC21" s="993"/>
      <c r="AD21" s="993"/>
      <c r="AE21" s="993"/>
      <c r="AF21" s="993"/>
      <c r="AG21" s="990"/>
      <c r="AH21" s="990"/>
      <c r="AI21" s="990"/>
      <c r="AJ21" s="990"/>
      <c r="AK21" s="990"/>
      <c r="AL21" s="990"/>
      <c r="AM21" s="990"/>
      <c r="AN21" s="990"/>
      <c r="AO21" s="990"/>
      <c r="AP21" s="990"/>
      <c r="AQ21" s="990"/>
      <c r="AR21" s="990"/>
      <c r="AS21" s="990"/>
      <c r="AT21" s="990"/>
      <c r="AU21" s="990"/>
      <c r="AV21" s="990"/>
      <c r="AW21" s="990" t="s">
        <v>751</v>
      </c>
      <c r="AX21" s="990"/>
      <c r="AY21" s="990"/>
      <c r="AZ21" s="990"/>
      <c r="BA21" s="990"/>
      <c r="BB21" s="990"/>
      <c r="BC21" s="990"/>
      <c r="BD21" s="990"/>
      <c r="BE21" s="990"/>
      <c r="BF21" s="990"/>
      <c r="BG21" s="990"/>
      <c r="BH21" s="990"/>
      <c r="BI21" s="990"/>
      <c r="BJ21" s="990"/>
      <c r="BK21" s="990"/>
      <c r="BL21" s="990"/>
      <c r="BM21" s="1116" t="s">
        <v>754</v>
      </c>
      <c r="BN21" s="1116"/>
      <c r="BO21" s="1116"/>
      <c r="BP21" s="1116"/>
      <c r="BQ21" s="1116"/>
      <c r="BR21" s="1116"/>
      <c r="BS21" s="1116"/>
      <c r="BT21" s="1116"/>
      <c r="BU21" s="1116"/>
      <c r="BV21" s="1116"/>
      <c r="BW21" s="1116"/>
      <c r="BX21" s="1116"/>
      <c r="BY21" s="1116"/>
      <c r="BZ21" s="1116"/>
      <c r="CA21" s="1116"/>
      <c r="CB21" s="1116"/>
    </row>
    <row r="22" spans="1:163" x14ac:dyDescent="0.25">
      <c r="A22" s="894" t="s">
        <v>302</v>
      </c>
      <c r="B22" s="894"/>
      <c r="C22" s="894"/>
      <c r="D22" s="894"/>
      <c r="E22" s="894"/>
      <c r="F22" s="894"/>
      <c r="G22" s="894"/>
      <c r="H22" s="894"/>
      <c r="I22" s="894"/>
      <c r="J22" s="894"/>
      <c r="K22" s="894"/>
      <c r="L22" s="894"/>
      <c r="M22" s="894"/>
      <c r="N22" s="894"/>
      <c r="O22" s="894"/>
      <c r="P22" s="894"/>
      <c r="Q22" s="993"/>
      <c r="R22" s="993"/>
      <c r="S22" s="993"/>
      <c r="T22" s="993"/>
      <c r="U22" s="993"/>
      <c r="V22" s="993"/>
      <c r="W22" s="993"/>
      <c r="X22" s="993"/>
      <c r="Y22" s="993"/>
      <c r="Z22" s="993"/>
      <c r="AA22" s="993"/>
      <c r="AB22" s="993"/>
      <c r="AC22" s="993"/>
      <c r="AD22" s="993"/>
      <c r="AE22" s="993"/>
      <c r="AF22" s="993"/>
      <c r="AG22" s="990"/>
      <c r="AH22" s="990"/>
      <c r="AI22" s="990"/>
      <c r="AJ22" s="990"/>
      <c r="AK22" s="990"/>
      <c r="AL22" s="990"/>
      <c r="AM22" s="990"/>
      <c r="AN22" s="990"/>
      <c r="AO22" s="990"/>
      <c r="AP22" s="990"/>
      <c r="AQ22" s="990"/>
      <c r="AR22" s="990"/>
      <c r="AS22" s="990"/>
      <c r="AT22" s="990"/>
      <c r="AU22" s="990"/>
      <c r="AV22" s="990"/>
      <c r="AW22" s="990" t="s">
        <v>751</v>
      </c>
      <c r="AX22" s="990"/>
      <c r="AY22" s="990"/>
      <c r="AZ22" s="990"/>
      <c r="BA22" s="990"/>
      <c r="BB22" s="990"/>
      <c r="BC22" s="990"/>
      <c r="BD22" s="990"/>
      <c r="BE22" s="990"/>
      <c r="BF22" s="990"/>
      <c r="BG22" s="990"/>
      <c r="BH22" s="990"/>
      <c r="BI22" s="990"/>
      <c r="BJ22" s="990"/>
      <c r="BK22" s="990"/>
      <c r="BL22" s="990"/>
      <c r="BM22" s="1116" t="s">
        <v>754</v>
      </c>
      <c r="BN22" s="1116"/>
      <c r="BO22" s="1116"/>
      <c r="BP22" s="1116"/>
      <c r="BQ22" s="1116"/>
      <c r="BR22" s="1116"/>
      <c r="BS22" s="1116"/>
      <c r="BT22" s="1116"/>
      <c r="BU22" s="1116"/>
      <c r="BV22" s="1116"/>
      <c r="BW22" s="1116"/>
      <c r="BX22" s="1116"/>
      <c r="BY22" s="1116"/>
      <c r="BZ22" s="1116"/>
      <c r="CA22" s="1116"/>
      <c r="CB22" s="1116"/>
    </row>
    <row r="23" spans="1:163" x14ac:dyDescent="0.25">
      <c r="A23" s="894" t="s">
        <v>303</v>
      </c>
      <c r="B23" s="894"/>
      <c r="C23" s="894"/>
      <c r="D23" s="894"/>
      <c r="E23" s="894"/>
      <c r="F23" s="894"/>
      <c r="G23" s="894"/>
      <c r="H23" s="894"/>
      <c r="I23" s="894"/>
      <c r="J23" s="894"/>
      <c r="K23" s="894"/>
      <c r="L23" s="894"/>
      <c r="M23" s="894"/>
      <c r="N23" s="894"/>
      <c r="O23" s="894"/>
      <c r="P23" s="894"/>
      <c r="Q23" s="993"/>
      <c r="R23" s="993"/>
      <c r="S23" s="993"/>
      <c r="T23" s="993"/>
      <c r="U23" s="993"/>
      <c r="V23" s="993"/>
      <c r="W23" s="993"/>
      <c r="X23" s="993"/>
      <c r="Y23" s="993"/>
      <c r="Z23" s="993"/>
      <c r="AA23" s="993"/>
      <c r="AB23" s="993"/>
      <c r="AC23" s="993"/>
      <c r="AD23" s="993"/>
      <c r="AE23" s="993"/>
      <c r="AF23" s="993"/>
      <c r="AG23" s="990"/>
      <c r="AH23" s="990"/>
      <c r="AI23" s="990"/>
      <c r="AJ23" s="990"/>
      <c r="AK23" s="990"/>
      <c r="AL23" s="990"/>
      <c r="AM23" s="990"/>
      <c r="AN23" s="990"/>
      <c r="AO23" s="990"/>
      <c r="AP23" s="990"/>
      <c r="AQ23" s="990"/>
      <c r="AR23" s="990"/>
      <c r="AS23" s="990"/>
      <c r="AT23" s="990"/>
      <c r="AU23" s="990"/>
      <c r="AV23" s="990"/>
      <c r="AW23" s="990" t="s">
        <v>751</v>
      </c>
      <c r="AX23" s="990"/>
      <c r="AY23" s="990"/>
      <c r="AZ23" s="990"/>
      <c r="BA23" s="990"/>
      <c r="BB23" s="990"/>
      <c r="BC23" s="990"/>
      <c r="BD23" s="990"/>
      <c r="BE23" s="990"/>
      <c r="BF23" s="990"/>
      <c r="BG23" s="990"/>
      <c r="BH23" s="990"/>
      <c r="BI23" s="990"/>
      <c r="BJ23" s="990"/>
      <c r="BK23" s="990"/>
      <c r="BL23" s="990"/>
      <c r="BM23" s="1116" t="s">
        <v>754</v>
      </c>
      <c r="BN23" s="1116"/>
      <c r="BO23" s="1116"/>
      <c r="BP23" s="1116"/>
      <c r="BQ23" s="1116"/>
      <c r="BR23" s="1116"/>
      <c r="BS23" s="1116"/>
      <c r="BT23" s="1116"/>
      <c r="BU23" s="1116"/>
      <c r="BV23" s="1116"/>
      <c r="BW23" s="1116"/>
      <c r="BX23" s="1116"/>
      <c r="BY23" s="1116"/>
      <c r="BZ23" s="1116"/>
      <c r="CA23" s="1116"/>
      <c r="CB23" s="1116"/>
    </row>
    <row r="24" spans="1:163" ht="15" customHeight="1" x14ac:dyDescent="0.25">
      <c r="A24" s="894" t="s">
        <v>304</v>
      </c>
      <c r="B24" s="894"/>
      <c r="C24" s="894"/>
      <c r="D24" s="894"/>
      <c r="E24" s="894"/>
      <c r="F24" s="894"/>
      <c r="G24" s="894"/>
      <c r="H24" s="894"/>
      <c r="I24" s="894"/>
      <c r="J24" s="894"/>
      <c r="K24" s="894"/>
      <c r="L24" s="894"/>
      <c r="M24" s="894"/>
      <c r="N24" s="894"/>
      <c r="O24" s="894"/>
      <c r="P24" s="894"/>
      <c r="Q24" s="993"/>
      <c r="R24" s="993"/>
      <c r="S24" s="993"/>
      <c r="T24" s="993"/>
      <c r="U24" s="993"/>
      <c r="V24" s="993"/>
      <c r="W24" s="993"/>
      <c r="X24" s="993"/>
      <c r="Y24" s="993"/>
      <c r="Z24" s="993"/>
      <c r="AA24" s="993"/>
      <c r="AB24" s="993"/>
      <c r="AC24" s="993"/>
      <c r="AD24" s="993"/>
      <c r="AE24" s="993"/>
      <c r="AF24" s="993"/>
      <c r="AG24" s="990"/>
      <c r="AH24" s="990"/>
      <c r="AI24" s="990"/>
      <c r="AJ24" s="990"/>
      <c r="AK24" s="990"/>
      <c r="AL24" s="990"/>
      <c r="AM24" s="990"/>
      <c r="AN24" s="990"/>
      <c r="AO24" s="990"/>
      <c r="AP24" s="990"/>
      <c r="AQ24" s="990"/>
      <c r="AR24" s="990"/>
      <c r="AS24" s="990"/>
      <c r="AT24" s="990"/>
      <c r="AU24" s="990"/>
      <c r="AV24" s="990"/>
      <c r="AW24" s="990" t="s">
        <v>751</v>
      </c>
      <c r="AX24" s="990"/>
      <c r="AY24" s="990"/>
      <c r="AZ24" s="990"/>
      <c r="BA24" s="990"/>
      <c r="BB24" s="990"/>
      <c r="BC24" s="990"/>
      <c r="BD24" s="990"/>
      <c r="BE24" s="990"/>
      <c r="BF24" s="990"/>
      <c r="BG24" s="990"/>
      <c r="BH24" s="990"/>
      <c r="BI24" s="990"/>
      <c r="BJ24" s="990"/>
      <c r="BK24" s="990"/>
      <c r="BL24" s="990"/>
      <c r="BM24" s="1116" t="s">
        <v>754</v>
      </c>
      <c r="BN24" s="1116"/>
      <c r="BO24" s="1116"/>
      <c r="BP24" s="1116"/>
      <c r="BQ24" s="1116"/>
      <c r="BR24" s="1116"/>
      <c r="BS24" s="1116"/>
      <c r="BT24" s="1116"/>
      <c r="BU24" s="1116"/>
      <c r="BV24" s="1116"/>
      <c r="BW24" s="1116"/>
      <c r="BX24" s="1116"/>
      <c r="BY24" s="1116"/>
      <c r="BZ24" s="1116"/>
      <c r="CA24" s="1116"/>
      <c r="CB24" s="1116"/>
    </row>
    <row r="25" spans="1:163" x14ac:dyDescent="0.25">
      <c r="A25" s="1109" t="s">
        <v>305</v>
      </c>
      <c r="B25" s="881"/>
      <c r="C25" s="881"/>
      <c r="D25" s="881"/>
      <c r="E25" s="881"/>
      <c r="F25" s="881"/>
      <c r="G25" s="881"/>
      <c r="H25" s="881"/>
      <c r="I25" s="881"/>
      <c r="J25" s="881"/>
      <c r="K25" s="881"/>
      <c r="L25" s="881"/>
      <c r="M25" s="881"/>
      <c r="N25" s="881"/>
      <c r="O25" s="881"/>
      <c r="P25" s="1110"/>
      <c r="Q25" s="1111"/>
      <c r="R25" s="1081"/>
      <c r="S25" s="1081"/>
      <c r="T25" s="1081"/>
      <c r="U25" s="1081"/>
      <c r="V25" s="1081"/>
      <c r="W25" s="1081"/>
      <c r="X25" s="1081"/>
      <c r="Y25" s="1081"/>
      <c r="Z25" s="1081"/>
      <c r="AA25" s="1081"/>
      <c r="AB25" s="1081"/>
      <c r="AC25" s="1081"/>
      <c r="AD25" s="1081"/>
      <c r="AE25" s="1081"/>
      <c r="AF25" s="1112"/>
      <c r="AG25" s="1113"/>
      <c r="AH25" s="841"/>
      <c r="AI25" s="841"/>
      <c r="AJ25" s="841"/>
      <c r="AK25" s="841"/>
      <c r="AL25" s="841"/>
      <c r="AM25" s="841"/>
      <c r="AN25" s="841"/>
      <c r="AO25" s="841"/>
      <c r="AP25" s="841"/>
      <c r="AQ25" s="841"/>
      <c r="AR25" s="841"/>
      <c r="AS25" s="841"/>
      <c r="AT25" s="841"/>
      <c r="AU25" s="841"/>
      <c r="AV25" s="1114"/>
      <c r="AW25" s="990"/>
      <c r="AX25" s="990"/>
      <c r="AY25" s="990"/>
      <c r="AZ25" s="990"/>
      <c r="BA25" s="990"/>
      <c r="BB25" s="990"/>
      <c r="BC25" s="990"/>
      <c r="BD25" s="990"/>
      <c r="BE25" s="990"/>
      <c r="BF25" s="990"/>
      <c r="BG25" s="990"/>
      <c r="BH25" s="990"/>
      <c r="BI25" s="990"/>
      <c r="BJ25" s="990"/>
      <c r="BK25" s="990"/>
      <c r="BL25" s="990"/>
      <c r="BM25" s="1109"/>
      <c r="BN25" s="881"/>
      <c r="BO25" s="881"/>
      <c r="BP25" s="881"/>
      <c r="BQ25" s="881"/>
      <c r="BR25" s="881"/>
      <c r="BS25" s="881"/>
      <c r="BT25" s="881"/>
      <c r="BU25" s="881"/>
      <c r="BV25" s="881"/>
      <c r="BW25" s="881"/>
      <c r="BX25" s="881"/>
      <c r="BY25" s="881"/>
      <c r="BZ25" s="881"/>
      <c r="CA25" s="881"/>
      <c r="CB25" s="1110"/>
    </row>
    <row r="26" spans="1:163" ht="17.25" customHeight="1" x14ac:dyDescent="0.25">
      <c r="A26" s="11"/>
      <c r="B26" s="11"/>
      <c r="C26" s="490" t="s">
        <v>380</v>
      </c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90"/>
      <c r="T26" s="490"/>
      <c r="U26" s="490"/>
      <c r="V26" s="490"/>
      <c r="W26" s="490"/>
      <c r="X26" s="1115"/>
      <c r="Y26" s="1115"/>
      <c r="Z26" s="1115"/>
      <c r="AA26" s="1115"/>
      <c r="AB26" s="1115"/>
      <c r="AC26" s="1115"/>
      <c r="AD26" s="1115"/>
      <c r="AE26" s="1115"/>
      <c r="AF26" s="1115"/>
      <c r="AG26" s="1115"/>
      <c r="AH26" s="1115"/>
      <c r="AI26" s="1115"/>
      <c r="AJ26" s="1115"/>
      <c r="AK26" s="1115"/>
      <c r="AL26" s="1115"/>
      <c r="AM26" s="1115"/>
      <c r="AN26" s="1115"/>
      <c r="AO26" s="1115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1115"/>
      <c r="AZ26" s="1115"/>
      <c r="BA26" s="1115"/>
      <c r="BB26" s="1115"/>
      <c r="BC26" s="1115"/>
      <c r="BD26" s="1115"/>
      <c r="BE26" s="1115"/>
      <c r="BF26" s="1115"/>
      <c r="BG26" s="1115"/>
      <c r="BH26" s="1115"/>
      <c r="BI26" s="1115"/>
      <c r="BJ26" s="1115"/>
      <c r="BK26" s="1115"/>
      <c r="BL26" s="1115"/>
      <c r="BM26" s="1115"/>
      <c r="BN26" s="1115"/>
      <c r="BO26" s="1115"/>
      <c r="BP26" s="1115"/>
      <c r="BQ26" s="1115"/>
      <c r="BR26" s="1115"/>
      <c r="BS26" s="1115"/>
      <c r="BT26" s="1115"/>
      <c r="BU26" s="1115"/>
      <c r="BV26" s="1115"/>
      <c r="BW26" s="1115"/>
      <c r="BX26" s="1115"/>
      <c r="BY26" s="1115"/>
      <c r="BZ26" s="1115"/>
      <c r="CA26" s="1115"/>
      <c r="CB26" s="1115"/>
    </row>
    <row r="27" spans="1:163" ht="8.4499999999999993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</row>
    <row r="28" spans="1:163" s="43" customFormat="1" x14ac:dyDescent="0.25">
      <c r="A28" s="57" t="s">
        <v>36</v>
      </c>
      <c r="B28" s="57"/>
      <c r="C28" s="57" t="s">
        <v>306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</row>
    <row r="29" spans="1:163" x14ac:dyDescent="0.25">
      <c r="A29" s="11"/>
      <c r="B29" s="11"/>
      <c r="C29" s="11" t="s">
        <v>755</v>
      </c>
      <c r="D29" s="11"/>
      <c r="E29" s="11"/>
      <c r="F29" s="11"/>
      <c r="G29" s="841"/>
      <c r="H29" s="841"/>
      <c r="I29" s="841"/>
      <c r="J29" s="841"/>
      <c r="K29" s="841"/>
      <c r="L29" s="841"/>
      <c r="M29" s="841"/>
      <c r="N29" s="11" t="s">
        <v>756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841"/>
      <c r="AH29" s="841"/>
      <c r="AI29" s="841"/>
      <c r="AJ29" s="841"/>
      <c r="AK29" s="841"/>
      <c r="AL29" s="841"/>
      <c r="AM29" s="841"/>
      <c r="AN29" s="841"/>
      <c r="AO29" s="841"/>
      <c r="AP29" s="841"/>
      <c r="AQ29" s="841"/>
      <c r="AR29" s="841"/>
      <c r="AS29" s="841"/>
      <c r="AT29" s="841"/>
      <c r="AU29" s="841"/>
      <c r="AV29" s="841"/>
      <c r="AW29" s="841"/>
      <c r="AX29" s="841"/>
      <c r="AY29" s="841"/>
      <c r="AZ29" s="841"/>
      <c r="BA29" s="841"/>
      <c r="BB29" s="11" t="s">
        <v>307</v>
      </c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841"/>
      <c r="BU29" s="841"/>
      <c r="BV29" s="841"/>
      <c r="BW29" s="841"/>
      <c r="BX29" s="841"/>
      <c r="BY29" s="841"/>
      <c r="BZ29" s="841"/>
      <c r="CA29" s="11" t="s">
        <v>308</v>
      </c>
      <c r="CB29" s="11"/>
    </row>
    <row r="30" spans="1:163" s="70" customFormat="1" ht="19.5" customHeight="1" x14ac:dyDescent="0.2">
      <c r="A30" s="11"/>
      <c r="B30" s="11"/>
      <c r="C30" s="11" t="s">
        <v>309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855" t="s">
        <v>101</v>
      </c>
      <c r="W30" s="855"/>
      <c r="X30" s="855"/>
      <c r="Y30" s="855"/>
      <c r="Z30" s="855"/>
      <c r="AA30" s="855"/>
      <c r="AB30" s="855"/>
      <c r="AC30" s="855"/>
      <c r="AD30" s="855"/>
      <c r="AE30" s="855"/>
      <c r="AF30" s="855"/>
      <c r="AG30" s="855"/>
      <c r="AH30" s="855"/>
      <c r="AI30" s="855"/>
      <c r="AJ30" s="855"/>
      <c r="AK30" s="855"/>
      <c r="AL30" s="855"/>
      <c r="AM30" s="855"/>
      <c r="AN30" s="855"/>
      <c r="AO30" s="855"/>
      <c r="AP30" s="855"/>
      <c r="AQ30" s="855"/>
      <c r="AR30" s="855"/>
      <c r="AS30" s="855"/>
      <c r="AT30" s="855"/>
      <c r="AU30" s="855"/>
      <c r="AV30" s="855"/>
      <c r="AW30" s="855"/>
      <c r="AX30" s="855"/>
      <c r="AY30" s="855"/>
      <c r="AZ30" s="11" t="s">
        <v>311</v>
      </c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855" t="s">
        <v>101</v>
      </c>
      <c r="BN30" s="855"/>
      <c r="BO30" s="855"/>
      <c r="BP30" s="855"/>
      <c r="BQ30" s="855"/>
      <c r="BR30" s="855"/>
      <c r="BS30" s="855"/>
      <c r="BT30" s="855"/>
      <c r="BU30" s="855"/>
      <c r="BV30" s="855"/>
      <c r="BW30" s="855"/>
      <c r="BX30" s="855"/>
      <c r="BY30" s="855"/>
      <c r="BZ30" s="855"/>
      <c r="CA30" s="11" t="s">
        <v>310</v>
      </c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</row>
    <row r="31" spans="1:163" s="70" customFormat="1" ht="15" customHeight="1" x14ac:dyDescent="0.2">
      <c r="A31" s="11"/>
      <c r="B31" s="11"/>
      <c r="C31" s="1080" t="s">
        <v>312</v>
      </c>
      <c r="D31" s="1080"/>
      <c r="E31" s="1080"/>
      <c r="F31" s="1080"/>
      <c r="G31" s="1080"/>
      <c r="H31" s="1080"/>
      <c r="I31" s="1080"/>
      <c r="J31" s="1080"/>
      <c r="K31" s="1080"/>
      <c r="L31" s="1080"/>
      <c r="M31" s="1080"/>
      <c r="N31" s="1080"/>
      <c r="O31" s="1080"/>
      <c r="P31" s="1080"/>
      <c r="Q31" s="1080"/>
      <c r="R31" s="1080"/>
      <c r="S31" s="1080"/>
      <c r="T31" s="1080"/>
      <c r="U31" s="1080"/>
      <c r="V31" s="1080"/>
      <c r="W31" s="1080"/>
      <c r="X31" s="1080"/>
      <c r="Y31" s="1080"/>
      <c r="Z31" s="1080"/>
      <c r="AA31" s="1080"/>
      <c r="AB31" s="1080"/>
      <c r="AC31" s="1080"/>
      <c r="AD31" s="1080"/>
      <c r="AE31" s="1080"/>
      <c r="AF31" s="1080"/>
      <c r="AG31" s="1080"/>
      <c r="AH31" s="1080"/>
      <c r="AI31" s="1080"/>
      <c r="AJ31" s="1080"/>
      <c r="AK31" s="1080"/>
      <c r="AL31" s="1080"/>
      <c r="AM31" s="1080"/>
      <c r="AN31" s="1080"/>
      <c r="AO31" s="1080"/>
      <c r="AP31" s="1080"/>
      <c r="AQ31" s="1080"/>
      <c r="AR31" s="1080"/>
      <c r="AS31" s="1080"/>
      <c r="AT31" s="1080"/>
      <c r="AU31" s="1080"/>
      <c r="AV31" s="1080"/>
      <c r="AW31" s="1080"/>
      <c r="AX31" s="1080"/>
      <c r="AY31" s="1080"/>
      <c r="AZ31" s="1080"/>
      <c r="BA31" s="1080"/>
      <c r="BB31" s="1080"/>
      <c r="BC31" s="1080"/>
      <c r="BD31" s="1080"/>
      <c r="BE31" s="1080"/>
      <c r="BF31" s="1080"/>
      <c r="BG31" s="1080"/>
      <c r="BH31" s="1080"/>
      <c r="BI31" s="1080"/>
      <c r="BJ31" s="1080"/>
      <c r="BK31" s="1080"/>
      <c r="BL31" s="1080"/>
      <c r="BM31" s="1080"/>
      <c r="BN31" s="1080"/>
      <c r="BO31" s="1080"/>
      <c r="BP31" s="1080"/>
      <c r="BQ31" s="1080"/>
      <c r="BR31" s="1080"/>
      <c r="BS31" s="1080"/>
      <c r="BT31" s="1080"/>
      <c r="BU31" s="1080"/>
      <c r="BV31" s="1080"/>
      <c r="BW31" s="1080"/>
      <c r="BX31" s="1080"/>
      <c r="BY31" s="1080"/>
      <c r="BZ31" s="1080"/>
      <c r="CA31" s="1080"/>
      <c r="CB31" s="1080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</row>
    <row r="32" spans="1:163" s="70" customFormat="1" ht="11.25" x14ac:dyDescent="0.2">
      <c r="A32" s="11"/>
      <c r="B32" s="11"/>
      <c r="C32" s="1080"/>
      <c r="D32" s="1080"/>
      <c r="E32" s="1080"/>
      <c r="F32" s="1080"/>
      <c r="G32" s="1080"/>
      <c r="H32" s="1080"/>
      <c r="I32" s="1080"/>
      <c r="J32" s="1080"/>
      <c r="K32" s="1080"/>
      <c r="L32" s="1080"/>
      <c r="M32" s="1080"/>
      <c r="N32" s="1080"/>
      <c r="O32" s="1080"/>
      <c r="P32" s="1080"/>
      <c r="Q32" s="1080"/>
      <c r="R32" s="1080"/>
      <c r="S32" s="1080"/>
      <c r="T32" s="1080"/>
      <c r="U32" s="1080"/>
      <c r="V32" s="1080"/>
      <c r="W32" s="1080"/>
      <c r="X32" s="1080"/>
      <c r="Y32" s="1080"/>
      <c r="Z32" s="1080"/>
      <c r="AA32" s="1080"/>
      <c r="AB32" s="1080"/>
      <c r="AC32" s="1080"/>
      <c r="AD32" s="1080"/>
      <c r="AE32" s="1080"/>
      <c r="AF32" s="1080"/>
      <c r="AG32" s="1080"/>
      <c r="AH32" s="1080"/>
      <c r="AI32" s="1080"/>
      <c r="AJ32" s="1080"/>
      <c r="AK32" s="1080"/>
      <c r="AL32" s="1080"/>
      <c r="AM32" s="1080"/>
      <c r="AN32" s="1080"/>
      <c r="AO32" s="1080"/>
      <c r="AP32" s="1080"/>
      <c r="AQ32" s="1080"/>
      <c r="AR32" s="1080"/>
      <c r="AS32" s="1080"/>
      <c r="AT32" s="1080"/>
      <c r="AU32" s="1080"/>
      <c r="AV32" s="1080"/>
      <c r="AW32" s="1080"/>
      <c r="AX32" s="1080"/>
      <c r="AY32" s="1080"/>
      <c r="AZ32" s="1080"/>
      <c r="BA32" s="1080"/>
      <c r="BB32" s="1080"/>
      <c r="BC32" s="1080"/>
      <c r="BD32" s="1080"/>
      <c r="BE32" s="1080"/>
      <c r="BF32" s="1080"/>
      <c r="BG32" s="1080"/>
      <c r="BH32" s="1080"/>
      <c r="BI32" s="1080"/>
      <c r="BJ32" s="1080"/>
      <c r="BK32" s="1080"/>
      <c r="BL32" s="1080"/>
      <c r="BM32" s="1080"/>
      <c r="BN32" s="1080"/>
      <c r="BO32" s="1080"/>
      <c r="BP32" s="1080"/>
      <c r="BQ32" s="1080"/>
      <c r="BR32" s="1080"/>
      <c r="BS32" s="1080"/>
      <c r="BT32" s="1080"/>
      <c r="BU32" s="1080"/>
      <c r="BV32" s="1080"/>
      <c r="BW32" s="1080"/>
      <c r="BX32" s="1080"/>
      <c r="BY32" s="1080"/>
      <c r="BZ32" s="1080"/>
      <c r="CA32" s="1080"/>
      <c r="CB32" s="1080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</row>
    <row r="33" spans="1:163" s="70" customFormat="1" ht="15" customHeight="1" x14ac:dyDescent="0.2">
      <c r="A33" s="11"/>
      <c r="B33" s="11"/>
      <c r="C33" s="1080" t="s">
        <v>313</v>
      </c>
      <c r="D33" s="1080"/>
      <c r="E33" s="1080"/>
      <c r="F33" s="1080"/>
      <c r="G33" s="1080"/>
      <c r="H33" s="1080"/>
      <c r="I33" s="1080"/>
      <c r="J33" s="1080"/>
      <c r="K33" s="1080"/>
      <c r="L33" s="1080"/>
      <c r="M33" s="1080"/>
      <c r="N33" s="1080"/>
      <c r="O33" s="1080"/>
      <c r="P33" s="1080"/>
      <c r="Q33" s="1080"/>
      <c r="R33" s="1080"/>
      <c r="S33" s="1080"/>
      <c r="T33" s="1080"/>
      <c r="U33" s="1080"/>
      <c r="V33" s="1080"/>
      <c r="W33" s="1080"/>
      <c r="X33" s="1080"/>
      <c r="Y33" s="1080"/>
      <c r="Z33" s="1080"/>
      <c r="AA33" s="1080"/>
      <c r="AB33" s="1080"/>
      <c r="AC33" s="1080"/>
      <c r="AD33" s="1080"/>
      <c r="AE33" s="1080"/>
      <c r="AF33" s="1080"/>
      <c r="AG33" s="1080"/>
      <c r="AH33" s="1080"/>
      <c r="AI33" s="1080"/>
      <c r="AJ33" s="1080"/>
      <c r="AK33" s="1080"/>
      <c r="AL33" s="1080"/>
      <c r="AM33" s="1080"/>
      <c r="AN33" s="1080"/>
      <c r="AO33" s="1080"/>
      <c r="AP33" s="1080"/>
      <c r="AQ33" s="1080"/>
      <c r="AR33" s="1080"/>
      <c r="AS33" s="1080"/>
      <c r="AT33" s="1080"/>
      <c r="AU33" s="1080"/>
      <c r="AV33" s="1080"/>
      <c r="AW33" s="1080"/>
      <c r="AX33" s="1080"/>
      <c r="AY33" s="1080"/>
      <c r="AZ33" s="1080"/>
      <c r="BA33" s="1080"/>
      <c r="BB33" s="1080"/>
      <c r="BC33" s="1080"/>
      <c r="BD33" s="1080"/>
      <c r="BE33" s="1080"/>
      <c r="BF33" s="1080"/>
      <c r="BG33" s="1080"/>
      <c r="BH33" s="1080"/>
      <c r="BI33" s="1080"/>
      <c r="BJ33" s="1080"/>
      <c r="BK33" s="1080"/>
      <c r="BL33" s="1080"/>
      <c r="BM33" s="1080"/>
      <c r="BN33" s="1080"/>
      <c r="BO33" s="1080"/>
      <c r="BP33" s="1080"/>
      <c r="BQ33" s="1080"/>
      <c r="BR33" s="1080"/>
      <c r="BS33" s="1080"/>
      <c r="BT33" s="1080"/>
      <c r="BU33" s="1080"/>
      <c r="BV33" s="1080"/>
      <c r="BW33" s="1080"/>
      <c r="BX33" s="1080"/>
      <c r="BY33" s="1080"/>
      <c r="BZ33" s="1080"/>
      <c r="CA33" s="1080"/>
      <c r="CB33" s="1080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</row>
    <row r="34" spans="1:163" s="70" customFormat="1" ht="11.25" x14ac:dyDescent="0.2">
      <c r="A34" s="11"/>
      <c r="B34" s="11"/>
      <c r="C34" s="1080"/>
      <c r="D34" s="1080"/>
      <c r="E34" s="1080"/>
      <c r="F34" s="1080"/>
      <c r="G34" s="1080"/>
      <c r="H34" s="1080"/>
      <c r="I34" s="1080"/>
      <c r="J34" s="1080"/>
      <c r="K34" s="1080"/>
      <c r="L34" s="1080"/>
      <c r="M34" s="1080"/>
      <c r="N34" s="1080"/>
      <c r="O34" s="1080"/>
      <c r="P34" s="1080"/>
      <c r="Q34" s="1080"/>
      <c r="R34" s="1080"/>
      <c r="S34" s="1080"/>
      <c r="T34" s="1080"/>
      <c r="U34" s="1080"/>
      <c r="V34" s="1080"/>
      <c r="W34" s="1080"/>
      <c r="X34" s="1080"/>
      <c r="Y34" s="1080"/>
      <c r="Z34" s="1080"/>
      <c r="AA34" s="1080"/>
      <c r="AB34" s="1080"/>
      <c r="AC34" s="1080"/>
      <c r="AD34" s="1080"/>
      <c r="AE34" s="1080"/>
      <c r="AF34" s="1080"/>
      <c r="AG34" s="1080"/>
      <c r="AH34" s="1080"/>
      <c r="AI34" s="1080"/>
      <c r="AJ34" s="1080"/>
      <c r="AK34" s="1080"/>
      <c r="AL34" s="1080"/>
      <c r="AM34" s="1080"/>
      <c r="AN34" s="1080"/>
      <c r="AO34" s="1080"/>
      <c r="AP34" s="1080"/>
      <c r="AQ34" s="1080"/>
      <c r="AR34" s="1080"/>
      <c r="AS34" s="1080"/>
      <c r="AT34" s="1080"/>
      <c r="AU34" s="1080"/>
      <c r="AV34" s="1080"/>
      <c r="AW34" s="1080"/>
      <c r="AX34" s="1080"/>
      <c r="AY34" s="1080"/>
      <c r="AZ34" s="1080"/>
      <c r="BA34" s="1080"/>
      <c r="BB34" s="1080"/>
      <c r="BC34" s="1080"/>
      <c r="BD34" s="1080"/>
      <c r="BE34" s="1080"/>
      <c r="BF34" s="1080"/>
      <c r="BG34" s="1080"/>
      <c r="BH34" s="1080"/>
      <c r="BI34" s="1080"/>
      <c r="BJ34" s="1080"/>
      <c r="BK34" s="1080"/>
      <c r="BL34" s="1080"/>
      <c r="BM34" s="1080"/>
      <c r="BN34" s="1080"/>
      <c r="BO34" s="1080"/>
      <c r="BP34" s="1080"/>
      <c r="BQ34" s="1080"/>
      <c r="BR34" s="1080"/>
      <c r="BS34" s="1080"/>
      <c r="BT34" s="1080"/>
      <c r="BU34" s="1080"/>
      <c r="BV34" s="1080"/>
      <c r="BW34" s="1080"/>
      <c r="BX34" s="1080"/>
      <c r="BY34" s="1080"/>
      <c r="BZ34" s="1080"/>
      <c r="CA34" s="1080"/>
      <c r="CB34" s="1080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</row>
    <row r="35" spans="1:163" s="73" customFormat="1" ht="11.25" hidden="1" x14ac:dyDescent="0.2">
      <c r="A35" s="57" t="s">
        <v>39</v>
      </c>
      <c r="B35" s="57"/>
      <c r="C35" s="57" t="s">
        <v>314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</row>
    <row r="36" spans="1:163" s="70" customFormat="1" ht="15" hidden="1" customHeight="1" x14ac:dyDescent="0.2">
      <c r="A36" s="11"/>
      <c r="B36" s="11"/>
      <c r="C36" s="827" t="s">
        <v>315</v>
      </c>
      <c r="D36" s="827"/>
      <c r="E36" s="827"/>
      <c r="F36" s="827"/>
      <c r="G36" s="827"/>
      <c r="H36" s="827"/>
      <c r="I36" s="827"/>
      <c r="J36" s="827"/>
      <c r="K36" s="827"/>
      <c r="L36" s="827"/>
      <c r="M36" s="827"/>
      <c r="N36" s="827"/>
      <c r="O36" s="827"/>
      <c r="P36" s="827"/>
      <c r="Q36" s="827"/>
      <c r="R36" s="827"/>
      <c r="S36" s="827"/>
      <c r="T36" s="827"/>
      <c r="U36" s="827"/>
      <c r="V36" s="827"/>
      <c r="W36" s="827" t="s">
        <v>316</v>
      </c>
      <c r="X36" s="827"/>
      <c r="Y36" s="827"/>
      <c r="Z36" s="827"/>
      <c r="AA36" s="827"/>
      <c r="AB36" s="827"/>
      <c r="AC36" s="827"/>
      <c r="AD36" s="827"/>
      <c r="AE36" s="827"/>
      <c r="AF36" s="827"/>
      <c r="AG36" s="827"/>
      <c r="AH36" s="827"/>
      <c r="AI36" s="827"/>
      <c r="AJ36" s="827"/>
      <c r="AK36" s="827"/>
      <c r="AL36" s="827"/>
      <c r="AM36" s="827" t="s">
        <v>317</v>
      </c>
      <c r="AN36" s="827"/>
      <c r="AO36" s="827"/>
      <c r="AP36" s="827"/>
      <c r="AQ36" s="827"/>
      <c r="AR36" s="827"/>
      <c r="AS36" s="827"/>
      <c r="AT36" s="827"/>
      <c r="AU36" s="827"/>
      <c r="AV36" s="827"/>
      <c r="AW36" s="827"/>
      <c r="AX36" s="827"/>
      <c r="AY36" s="827"/>
      <c r="AZ36" s="827"/>
      <c r="BA36" s="827"/>
      <c r="BB36" s="827"/>
      <c r="BC36" s="826" t="s">
        <v>233</v>
      </c>
      <c r="BD36" s="826"/>
      <c r="BE36" s="826"/>
      <c r="BF36" s="826"/>
      <c r="BG36" s="826"/>
      <c r="BH36" s="826"/>
      <c r="BI36" s="826"/>
      <c r="BJ36" s="826"/>
      <c r="BK36" s="826"/>
      <c r="BL36" s="826"/>
      <c r="BM36" s="826"/>
      <c r="BN36" s="826"/>
      <c r="BO36" s="826"/>
      <c r="BP36" s="826"/>
      <c r="BQ36" s="826"/>
      <c r="BR36" s="826"/>
      <c r="BS36" s="826"/>
      <c r="BT36" s="826"/>
      <c r="BU36" s="826"/>
      <c r="BV36" s="826"/>
      <c r="BW36" s="826"/>
      <c r="BX36" s="826"/>
      <c r="BY36" s="826"/>
      <c r="BZ36" s="826"/>
      <c r="CA36" s="826"/>
      <c r="CB36" s="826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</row>
    <row r="37" spans="1:163" s="70" customFormat="1" ht="11.25" hidden="1" x14ac:dyDescent="0.2">
      <c r="A37" s="11"/>
      <c r="B37" s="11"/>
      <c r="C37" s="827"/>
      <c r="D37" s="827"/>
      <c r="E37" s="827"/>
      <c r="F37" s="827"/>
      <c r="G37" s="827"/>
      <c r="H37" s="827"/>
      <c r="I37" s="827"/>
      <c r="J37" s="827"/>
      <c r="K37" s="827"/>
      <c r="L37" s="827"/>
      <c r="M37" s="827"/>
      <c r="N37" s="827"/>
      <c r="O37" s="827"/>
      <c r="P37" s="827"/>
      <c r="Q37" s="827"/>
      <c r="R37" s="827"/>
      <c r="S37" s="827"/>
      <c r="T37" s="827"/>
      <c r="U37" s="827"/>
      <c r="V37" s="827"/>
      <c r="W37" s="827"/>
      <c r="X37" s="827"/>
      <c r="Y37" s="827"/>
      <c r="Z37" s="827"/>
      <c r="AA37" s="827"/>
      <c r="AB37" s="827"/>
      <c r="AC37" s="827"/>
      <c r="AD37" s="827"/>
      <c r="AE37" s="827"/>
      <c r="AF37" s="827"/>
      <c r="AG37" s="827"/>
      <c r="AH37" s="827"/>
      <c r="AI37" s="827"/>
      <c r="AJ37" s="827"/>
      <c r="AK37" s="827"/>
      <c r="AL37" s="827"/>
      <c r="AM37" s="827"/>
      <c r="AN37" s="827"/>
      <c r="AO37" s="827"/>
      <c r="AP37" s="827"/>
      <c r="AQ37" s="827"/>
      <c r="AR37" s="827"/>
      <c r="AS37" s="827"/>
      <c r="AT37" s="827"/>
      <c r="AU37" s="827"/>
      <c r="AV37" s="827"/>
      <c r="AW37" s="827"/>
      <c r="AX37" s="827"/>
      <c r="AY37" s="827"/>
      <c r="AZ37" s="827"/>
      <c r="BA37" s="827"/>
      <c r="BB37" s="827"/>
      <c r="BC37" s="826" t="s">
        <v>318</v>
      </c>
      <c r="BD37" s="826"/>
      <c r="BE37" s="826"/>
      <c r="BF37" s="826"/>
      <c r="BG37" s="826"/>
      <c r="BH37" s="826"/>
      <c r="BI37" s="826"/>
      <c r="BJ37" s="826"/>
      <c r="BK37" s="826"/>
      <c r="BL37" s="826"/>
      <c r="BM37" s="826"/>
      <c r="BN37" s="826"/>
      <c r="BO37" s="826"/>
      <c r="BP37" s="826" t="s">
        <v>234</v>
      </c>
      <c r="BQ37" s="826"/>
      <c r="BR37" s="826"/>
      <c r="BS37" s="826"/>
      <c r="BT37" s="826"/>
      <c r="BU37" s="826"/>
      <c r="BV37" s="826"/>
      <c r="BW37" s="826"/>
      <c r="BX37" s="826"/>
      <c r="BY37" s="826"/>
      <c r="BZ37" s="826"/>
      <c r="CA37" s="826"/>
      <c r="CB37" s="826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</row>
    <row r="38" spans="1:163" s="70" customFormat="1" ht="11.25" hidden="1" x14ac:dyDescent="0.2">
      <c r="A38" s="11"/>
      <c r="B38" s="11"/>
      <c r="C38" s="827"/>
      <c r="D38" s="827"/>
      <c r="E38" s="827"/>
      <c r="F38" s="827"/>
      <c r="G38" s="827"/>
      <c r="H38" s="827"/>
      <c r="I38" s="827"/>
      <c r="J38" s="827"/>
      <c r="K38" s="827"/>
      <c r="L38" s="827"/>
      <c r="M38" s="827"/>
      <c r="N38" s="827"/>
      <c r="O38" s="827"/>
      <c r="P38" s="827"/>
      <c r="Q38" s="827"/>
      <c r="R38" s="827"/>
      <c r="S38" s="827"/>
      <c r="T38" s="827"/>
      <c r="U38" s="827"/>
      <c r="V38" s="827"/>
      <c r="W38" s="827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827"/>
      <c r="AL38" s="827"/>
      <c r="AM38" s="827"/>
      <c r="AN38" s="827"/>
      <c r="AO38" s="827"/>
      <c r="AP38" s="827"/>
      <c r="AQ38" s="827"/>
      <c r="AR38" s="827"/>
      <c r="AS38" s="827"/>
      <c r="AT38" s="827"/>
      <c r="AU38" s="827"/>
      <c r="AV38" s="827"/>
      <c r="AW38" s="827"/>
      <c r="AX38" s="827"/>
      <c r="AY38" s="827"/>
      <c r="AZ38" s="827"/>
      <c r="BA38" s="827"/>
      <c r="BB38" s="827"/>
      <c r="BC38" s="826"/>
      <c r="BD38" s="826"/>
      <c r="BE38" s="826"/>
      <c r="BF38" s="826"/>
      <c r="BG38" s="826"/>
      <c r="BH38" s="826"/>
      <c r="BI38" s="826"/>
      <c r="BJ38" s="826"/>
      <c r="BK38" s="826"/>
      <c r="BL38" s="826"/>
      <c r="BM38" s="826"/>
      <c r="BN38" s="826"/>
      <c r="BO38" s="826"/>
      <c r="BP38" s="826"/>
      <c r="BQ38" s="826"/>
      <c r="BR38" s="826"/>
      <c r="BS38" s="826"/>
      <c r="BT38" s="826"/>
      <c r="BU38" s="826"/>
      <c r="BV38" s="826"/>
      <c r="BW38" s="826"/>
      <c r="BX38" s="826"/>
      <c r="BY38" s="826"/>
      <c r="BZ38" s="826"/>
      <c r="CA38" s="826"/>
      <c r="CB38" s="826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</row>
    <row r="39" spans="1:163" s="70" customFormat="1" ht="11.25" hidden="1" x14ac:dyDescent="0.2">
      <c r="A39" s="11"/>
      <c r="B39" s="11"/>
      <c r="C39" s="894"/>
      <c r="D39" s="894"/>
      <c r="E39" s="894"/>
      <c r="F39" s="894"/>
      <c r="G39" s="894"/>
      <c r="H39" s="894"/>
      <c r="I39" s="894"/>
      <c r="J39" s="894"/>
      <c r="K39" s="894"/>
      <c r="L39" s="894"/>
      <c r="M39" s="894"/>
      <c r="N39" s="894"/>
      <c r="O39" s="894"/>
      <c r="P39" s="894"/>
      <c r="Q39" s="894"/>
      <c r="R39" s="894"/>
      <c r="S39" s="894"/>
      <c r="T39" s="894"/>
      <c r="U39" s="894"/>
      <c r="V39" s="894"/>
      <c r="W39" s="894"/>
      <c r="X39" s="894"/>
      <c r="Y39" s="894"/>
      <c r="Z39" s="894"/>
      <c r="AA39" s="894"/>
      <c r="AB39" s="894"/>
      <c r="AC39" s="894"/>
      <c r="AD39" s="894"/>
      <c r="AE39" s="894"/>
      <c r="AF39" s="894"/>
      <c r="AG39" s="894"/>
      <c r="AH39" s="894"/>
      <c r="AI39" s="894"/>
      <c r="AJ39" s="894"/>
      <c r="AK39" s="894"/>
      <c r="AL39" s="894"/>
      <c r="AM39" s="894"/>
      <c r="AN39" s="894"/>
      <c r="AO39" s="894"/>
      <c r="AP39" s="894"/>
      <c r="AQ39" s="894"/>
      <c r="AR39" s="894"/>
      <c r="AS39" s="894"/>
      <c r="AT39" s="894"/>
      <c r="AU39" s="894"/>
      <c r="AV39" s="894"/>
      <c r="AW39" s="894"/>
      <c r="AX39" s="894"/>
      <c r="AY39" s="894"/>
      <c r="AZ39" s="894"/>
      <c r="BA39" s="894"/>
      <c r="BB39" s="894"/>
      <c r="BC39" s="894"/>
      <c r="BD39" s="894"/>
      <c r="BE39" s="894"/>
      <c r="BF39" s="894"/>
      <c r="BG39" s="894"/>
      <c r="BH39" s="894"/>
      <c r="BI39" s="894"/>
      <c r="BJ39" s="894"/>
      <c r="BK39" s="894"/>
      <c r="BL39" s="894"/>
      <c r="BM39" s="894"/>
      <c r="BN39" s="894"/>
      <c r="BO39" s="894"/>
      <c r="BP39" s="894"/>
      <c r="BQ39" s="894"/>
      <c r="BR39" s="894"/>
      <c r="BS39" s="894"/>
      <c r="BT39" s="894"/>
      <c r="BU39" s="894"/>
      <c r="BV39" s="894"/>
      <c r="BW39" s="894"/>
      <c r="BX39" s="894"/>
      <c r="BY39" s="894"/>
      <c r="BZ39" s="894"/>
      <c r="CA39" s="894"/>
      <c r="CB39" s="894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</row>
    <row r="40" spans="1:163" s="70" customFormat="1" ht="11.25" hidden="1" x14ac:dyDescent="0.2">
      <c r="A40" s="11"/>
      <c r="B40" s="11"/>
      <c r="C40" s="1106"/>
      <c r="D40" s="1107"/>
      <c r="E40" s="1107"/>
      <c r="F40" s="1107"/>
      <c r="G40" s="1107"/>
      <c r="H40" s="1107"/>
      <c r="I40" s="1107"/>
      <c r="J40" s="1107"/>
      <c r="K40" s="1107"/>
      <c r="L40" s="1107"/>
      <c r="M40" s="1107"/>
      <c r="N40" s="1107"/>
      <c r="O40" s="1107"/>
      <c r="P40" s="1107"/>
      <c r="Q40" s="1107"/>
      <c r="R40" s="1107"/>
      <c r="S40" s="1107"/>
      <c r="T40" s="1107"/>
      <c r="U40" s="1107"/>
      <c r="V40" s="1108"/>
      <c r="W40" s="1106"/>
      <c r="X40" s="1107"/>
      <c r="Y40" s="1107"/>
      <c r="Z40" s="1107"/>
      <c r="AA40" s="1107"/>
      <c r="AB40" s="1107"/>
      <c r="AC40" s="1107"/>
      <c r="AD40" s="1107"/>
      <c r="AE40" s="1107"/>
      <c r="AF40" s="1107"/>
      <c r="AG40" s="1107"/>
      <c r="AH40" s="1107"/>
      <c r="AI40" s="1107"/>
      <c r="AJ40" s="1107"/>
      <c r="AK40" s="1107"/>
      <c r="AL40" s="1108"/>
      <c r="AM40" s="1106"/>
      <c r="AN40" s="1107"/>
      <c r="AO40" s="1107"/>
      <c r="AP40" s="1107"/>
      <c r="AQ40" s="1107"/>
      <c r="AR40" s="1107"/>
      <c r="AS40" s="1107"/>
      <c r="AT40" s="1107"/>
      <c r="AU40" s="1107"/>
      <c r="AV40" s="1107"/>
      <c r="AW40" s="1107"/>
      <c r="AX40" s="1107"/>
      <c r="AY40" s="1107"/>
      <c r="AZ40" s="1107"/>
      <c r="BA40" s="1107"/>
      <c r="BB40" s="1108"/>
      <c r="BC40" s="1106"/>
      <c r="BD40" s="1107"/>
      <c r="BE40" s="1107"/>
      <c r="BF40" s="1107"/>
      <c r="BG40" s="1107"/>
      <c r="BH40" s="1107"/>
      <c r="BI40" s="1107"/>
      <c r="BJ40" s="1107"/>
      <c r="BK40" s="1107"/>
      <c r="BL40" s="1107"/>
      <c r="BM40" s="1107"/>
      <c r="BN40" s="1107"/>
      <c r="BO40" s="1108"/>
      <c r="BP40" s="1106"/>
      <c r="BQ40" s="1107"/>
      <c r="BR40" s="1107"/>
      <c r="BS40" s="1107"/>
      <c r="BT40" s="1107"/>
      <c r="BU40" s="1107"/>
      <c r="BV40" s="1107"/>
      <c r="BW40" s="1107"/>
      <c r="BX40" s="1107"/>
      <c r="BY40" s="1107"/>
      <c r="BZ40" s="1107"/>
      <c r="CA40" s="1107"/>
      <c r="CB40" s="1108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</row>
    <row r="41" spans="1:163" s="70" customFormat="1" ht="11.25" hidden="1" x14ac:dyDescent="0.2">
      <c r="A41" s="11"/>
      <c r="B41" s="11"/>
      <c r="C41" s="1106"/>
      <c r="D41" s="1107"/>
      <c r="E41" s="1107"/>
      <c r="F41" s="1107"/>
      <c r="G41" s="1107"/>
      <c r="H41" s="1107"/>
      <c r="I41" s="1107"/>
      <c r="J41" s="1107"/>
      <c r="K41" s="1107"/>
      <c r="L41" s="1107"/>
      <c r="M41" s="1107"/>
      <c r="N41" s="1107"/>
      <c r="O41" s="1107"/>
      <c r="P41" s="1107"/>
      <c r="Q41" s="1107"/>
      <c r="R41" s="1107"/>
      <c r="S41" s="1107"/>
      <c r="T41" s="1107"/>
      <c r="U41" s="1107"/>
      <c r="V41" s="1108"/>
      <c r="W41" s="1106"/>
      <c r="X41" s="1107"/>
      <c r="Y41" s="1107"/>
      <c r="Z41" s="1107"/>
      <c r="AA41" s="1107"/>
      <c r="AB41" s="1107"/>
      <c r="AC41" s="1107"/>
      <c r="AD41" s="1107"/>
      <c r="AE41" s="1107"/>
      <c r="AF41" s="1107"/>
      <c r="AG41" s="1107"/>
      <c r="AH41" s="1107"/>
      <c r="AI41" s="1107"/>
      <c r="AJ41" s="1107"/>
      <c r="AK41" s="1107"/>
      <c r="AL41" s="1108"/>
      <c r="AM41" s="1106"/>
      <c r="AN41" s="1107"/>
      <c r="AO41" s="1107"/>
      <c r="AP41" s="1107"/>
      <c r="AQ41" s="1107"/>
      <c r="AR41" s="1107"/>
      <c r="AS41" s="1107"/>
      <c r="AT41" s="1107"/>
      <c r="AU41" s="1107"/>
      <c r="AV41" s="1107"/>
      <c r="AW41" s="1107"/>
      <c r="AX41" s="1107"/>
      <c r="AY41" s="1107"/>
      <c r="AZ41" s="1107"/>
      <c r="BA41" s="1107"/>
      <c r="BB41" s="1108"/>
      <c r="BC41" s="1106"/>
      <c r="BD41" s="1107"/>
      <c r="BE41" s="1107"/>
      <c r="BF41" s="1107"/>
      <c r="BG41" s="1107"/>
      <c r="BH41" s="1107"/>
      <c r="BI41" s="1107"/>
      <c r="BJ41" s="1107"/>
      <c r="BK41" s="1107"/>
      <c r="BL41" s="1107"/>
      <c r="BM41" s="1107"/>
      <c r="BN41" s="1107"/>
      <c r="BO41" s="1108"/>
      <c r="BP41" s="1106"/>
      <c r="BQ41" s="1107"/>
      <c r="BR41" s="1107"/>
      <c r="BS41" s="1107"/>
      <c r="BT41" s="1107"/>
      <c r="BU41" s="1107"/>
      <c r="BV41" s="1107"/>
      <c r="BW41" s="1107"/>
      <c r="BX41" s="1107"/>
      <c r="BY41" s="1107"/>
      <c r="BZ41" s="1107"/>
      <c r="CA41" s="1107"/>
      <c r="CB41" s="1108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</row>
    <row r="42" spans="1:163" s="70" customFormat="1" ht="11.25" hidden="1" x14ac:dyDescent="0.2">
      <c r="A42" s="11"/>
      <c r="B42" s="11"/>
      <c r="C42" s="1106"/>
      <c r="D42" s="1107"/>
      <c r="E42" s="1107"/>
      <c r="F42" s="1107"/>
      <c r="G42" s="1107"/>
      <c r="H42" s="1107"/>
      <c r="I42" s="1107"/>
      <c r="J42" s="1107"/>
      <c r="K42" s="1107"/>
      <c r="L42" s="1107"/>
      <c r="M42" s="1107"/>
      <c r="N42" s="1107"/>
      <c r="O42" s="1107"/>
      <c r="P42" s="1107"/>
      <c r="Q42" s="1107"/>
      <c r="R42" s="1107"/>
      <c r="S42" s="1107"/>
      <c r="T42" s="1107"/>
      <c r="U42" s="1107"/>
      <c r="V42" s="1108"/>
      <c r="W42" s="1106"/>
      <c r="X42" s="1107"/>
      <c r="Y42" s="1107"/>
      <c r="Z42" s="1107"/>
      <c r="AA42" s="1107"/>
      <c r="AB42" s="1107"/>
      <c r="AC42" s="1107"/>
      <c r="AD42" s="1107"/>
      <c r="AE42" s="1107"/>
      <c r="AF42" s="1107"/>
      <c r="AG42" s="1107"/>
      <c r="AH42" s="1107"/>
      <c r="AI42" s="1107"/>
      <c r="AJ42" s="1107"/>
      <c r="AK42" s="1107"/>
      <c r="AL42" s="1108"/>
      <c r="AM42" s="1106"/>
      <c r="AN42" s="1107"/>
      <c r="AO42" s="1107"/>
      <c r="AP42" s="1107"/>
      <c r="AQ42" s="1107"/>
      <c r="AR42" s="1107"/>
      <c r="AS42" s="1107"/>
      <c r="AT42" s="1107"/>
      <c r="AU42" s="1107"/>
      <c r="AV42" s="1107"/>
      <c r="AW42" s="1107"/>
      <c r="AX42" s="1107"/>
      <c r="AY42" s="1107"/>
      <c r="AZ42" s="1107"/>
      <c r="BA42" s="1107"/>
      <c r="BB42" s="1108"/>
      <c r="BC42" s="1106"/>
      <c r="BD42" s="1107"/>
      <c r="BE42" s="1107"/>
      <c r="BF42" s="1107"/>
      <c r="BG42" s="1107"/>
      <c r="BH42" s="1107"/>
      <c r="BI42" s="1107"/>
      <c r="BJ42" s="1107"/>
      <c r="BK42" s="1107"/>
      <c r="BL42" s="1107"/>
      <c r="BM42" s="1107"/>
      <c r="BN42" s="1107"/>
      <c r="BO42" s="1108"/>
      <c r="BP42" s="1106"/>
      <c r="BQ42" s="1107"/>
      <c r="BR42" s="1107"/>
      <c r="BS42" s="1107"/>
      <c r="BT42" s="1107"/>
      <c r="BU42" s="1107"/>
      <c r="BV42" s="1107"/>
      <c r="BW42" s="1107"/>
      <c r="BX42" s="1107"/>
      <c r="BY42" s="1107"/>
      <c r="BZ42" s="1107"/>
      <c r="CA42" s="1107"/>
      <c r="CB42" s="1108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</row>
    <row r="43" spans="1:163" s="70" customFormat="1" ht="11.25" hidden="1" x14ac:dyDescent="0.2">
      <c r="A43" s="11"/>
      <c r="B43" s="11"/>
      <c r="C43" s="1106"/>
      <c r="D43" s="1107"/>
      <c r="E43" s="1107"/>
      <c r="F43" s="1107"/>
      <c r="G43" s="1107"/>
      <c r="H43" s="1107"/>
      <c r="I43" s="1107"/>
      <c r="J43" s="1107"/>
      <c r="K43" s="1107"/>
      <c r="L43" s="1107"/>
      <c r="M43" s="1107"/>
      <c r="N43" s="1107"/>
      <c r="O43" s="1107"/>
      <c r="P43" s="1107"/>
      <c r="Q43" s="1107"/>
      <c r="R43" s="1107"/>
      <c r="S43" s="1107"/>
      <c r="T43" s="1107"/>
      <c r="U43" s="1107"/>
      <c r="V43" s="1108"/>
      <c r="W43" s="1106"/>
      <c r="X43" s="1107"/>
      <c r="Y43" s="1107"/>
      <c r="Z43" s="1107"/>
      <c r="AA43" s="1107"/>
      <c r="AB43" s="1107"/>
      <c r="AC43" s="1107"/>
      <c r="AD43" s="1107"/>
      <c r="AE43" s="1107"/>
      <c r="AF43" s="1107"/>
      <c r="AG43" s="1107"/>
      <c r="AH43" s="1107"/>
      <c r="AI43" s="1107"/>
      <c r="AJ43" s="1107"/>
      <c r="AK43" s="1107"/>
      <c r="AL43" s="1108"/>
      <c r="AM43" s="1106"/>
      <c r="AN43" s="1107"/>
      <c r="AO43" s="1107"/>
      <c r="AP43" s="1107"/>
      <c r="AQ43" s="1107"/>
      <c r="AR43" s="1107"/>
      <c r="AS43" s="1107"/>
      <c r="AT43" s="1107"/>
      <c r="AU43" s="1107"/>
      <c r="AV43" s="1107"/>
      <c r="AW43" s="1107"/>
      <c r="AX43" s="1107"/>
      <c r="AY43" s="1107"/>
      <c r="AZ43" s="1107"/>
      <c r="BA43" s="1107"/>
      <c r="BB43" s="1108"/>
      <c r="BC43" s="1106"/>
      <c r="BD43" s="1107"/>
      <c r="BE43" s="1107"/>
      <c r="BF43" s="1107"/>
      <c r="BG43" s="1107"/>
      <c r="BH43" s="1107"/>
      <c r="BI43" s="1107"/>
      <c r="BJ43" s="1107"/>
      <c r="BK43" s="1107"/>
      <c r="BL43" s="1107"/>
      <c r="BM43" s="1107"/>
      <c r="BN43" s="1107"/>
      <c r="BO43" s="1108"/>
      <c r="BP43" s="1106"/>
      <c r="BQ43" s="1107"/>
      <c r="BR43" s="1107"/>
      <c r="BS43" s="1107"/>
      <c r="BT43" s="1107"/>
      <c r="BU43" s="1107"/>
      <c r="BV43" s="1107"/>
      <c r="BW43" s="1107"/>
      <c r="BX43" s="1107"/>
      <c r="BY43" s="1107"/>
      <c r="BZ43" s="1107"/>
      <c r="CA43" s="1107"/>
      <c r="CB43" s="1108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</row>
    <row r="44" spans="1:163" s="70" customFormat="1" ht="11.25" hidden="1" x14ac:dyDescent="0.2">
      <c r="A44" s="11"/>
      <c r="B44" s="11"/>
      <c r="C44" s="894"/>
      <c r="D44" s="894"/>
      <c r="E44" s="894"/>
      <c r="F44" s="894"/>
      <c r="G44" s="894"/>
      <c r="H44" s="894"/>
      <c r="I44" s="894"/>
      <c r="J44" s="894"/>
      <c r="K44" s="894"/>
      <c r="L44" s="894"/>
      <c r="M44" s="894"/>
      <c r="N44" s="894"/>
      <c r="O44" s="894"/>
      <c r="P44" s="894"/>
      <c r="Q44" s="894"/>
      <c r="R44" s="894"/>
      <c r="S44" s="894"/>
      <c r="T44" s="894"/>
      <c r="U44" s="894"/>
      <c r="V44" s="894"/>
      <c r="W44" s="894"/>
      <c r="X44" s="894"/>
      <c r="Y44" s="894"/>
      <c r="Z44" s="894"/>
      <c r="AA44" s="894"/>
      <c r="AB44" s="894"/>
      <c r="AC44" s="894"/>
      <c r="AD44" s="894"/>
      <c r="AE44" s="894"/>
      <c r="AF44" s="894"/>
      <c r="AG44" s="894"/>
      <c r="AH44" s="894"/>
      <c r="AI44" s="894"/>
      <c r="AJ44" s="894"/>
      <c r="AK44" s="894"/>
      <c r="AL44" s="894"/>
      <c r="AM44" s="894"/>
      <c r="AN44" s="894"/>
      <c r="AO44" s="894"/>
      <c r="AP44" s="894"/>
      <c r="AQ44" s="894"/>
      <c r="AR44" s="894"/>
      <c r="AS44" s="894"/>
      <c r="AT44" s="894"/>
      <c r="AU44" s="894"/>
      <c r="AV44" s="894"/>
      <c r="AW44" s="894"/>
      <c r="AX44" s="894"/>
      <c r="AY44" s="894"/>
      <c r="AZ44" s="894"/>
      <c r="BA44" s="894"/>
      <c r="BB44" s="894"/>
      <c r="BC44" s="894"/>
      <c r="BD44" s="894"/>
      <c r="BE44" s="894"/>
      <c r="BF44" s="894"/>
      <c r="BG44" s="894"/>
      <c r="BH44" s="894"/>
      <c r="BI44" s="894"/>
      <c r="BJ44" s="894"/>
      <c r="BK44" s="894"/>
      <c r="BL44" s="894"/>
      <c r="BM44" s="894"/>
      <c r="BN44" s="894"/>
      <c r="BO44" s="894"/>
      <c r="BP44" s="894"/>
      <c r="BQ44" s="894"/>
      <c r="BR44" s="894"/>
      <c r="BS44" s="894"/>
      <c r="BT44" s="894"/>
      <c r="BU44" s="894"/>
      <c r="BV44" s="894"/>
      <c r="BW44" s="894"/>
      <c r="BX44" s="894"/>
      <c r="BY44" s="894"/>
      <c r="BZ44" s="894"/>
      <c r="CA44" s="894"/>
      <c r="CB44" s="894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</row>
    <row r="45" spans="1:163" s="70" customFormat="1" ht="15.75" customHeight="1" x14ac:dyDescent="0.2">
      <c r="A45" s="11"/>
      <c r="B45" s="11"/>
      <c r="C45" s="1105"/>
      <c r="D45" s="1105"/>
      <c r="E45" s="1105"/>
      <c r="F45" s="1105"/>
      <c r="G45" s="1105"/>
      <c r="H45" s="1105"/>
      <c r="I45" s="1105"/>
      <c r="J45" s="1105"/>
      <c r="K45" s="1105"/>
      <c r="L45" s="1105"/>
      <c r="M45" s="1105"/>
      <c r="N45" s="1105"/>
      <c r="O45" s="1105"/>
      <c r="P45" s="1105"/>
      <c r="Q45" s="1105"/>
      <c r="R45" s="1105"/>
      <c r="S45" s="1105"/>
      <c r="T45" s="1105"/>
      <c r="U45" s="1105"/>
      <c r="V45" s="1105"/>
      <c r="W45" s="1105"/>
      <c r="X45" s="1105"/>
      <c r="Y45" s="1105"/>
      <c r="Z45" s="1105"/>
      <c r="AA45" s="1105"/>
      <c r="AB45" s="1105"/>
      <c r="AC45" s="1105"/>
      <c r="AD45" s="1105"/>
      <c r="AE45" s="1105"/>
      <c r="AF45" s="1105"/>
      <c r="AG45" s="1105"/>
      <c r="AH45" s="1105"/>
      <c r="AI45" s="1105"/>
      <c r="AJ45" s="1105"/>
      <c r="AK45" s="1105"/>
      <c r="AL45" s="1105"/>
      <c r="AM45" s="1105"/>
      <c r="AN45" s="1105"/>
      <c r="AO45" s="1105"/>
      <c r="AP45" s="1105"/>
      <c r="AQ45" s="1105"/>
      <c r="AR45" s="1105"/>
      <c r="AS45" s="1105"/>
      <c r="AT45" s="1105"/>
      <c r="AU45" s="1105"/>
      <c r="AV45" s="1105"/>
      <c r="AW45" s="1105"/>
      <c r="AX45" s="1105"/>
      <c r="AY45" s="1105"/>
      <c r="AZ45" s="1105"/>
      <c r="BA45" s="1105"/>
      <c r="BB45" s="1105"/>
      <c r="BC45" s="1105"/>
      <c r="BD45" s="1105"/>
      <c r="BE45" s="1105"/>
      <c r="BF45" s="1105"/>
      <c r="BG45" s="1105"/>
      <c r="BH45" s="1105"/>
      <c r="BI45" s="1105"/>
      <c r="BJ45" s="1105"/>
      <c r="BK45" s="1105"/>
      <c r="BL45" s="1105"/>
      <c r="BM45" s="1105"/>
      <c r="BN45" s="1105"/>
      <c r="BO45" s="1105"/>
      <c r="BP45" s="1105"/>
      <c r="BQ45" s="1105"/>
      <c r="BR45" s="1105"/>
      <c r="BS45" s="1105"/>
      <c r="BT45" s="1105"/>
      <c r="BU45" s="1105"/>
      <c r="BV45" s="1105"/>
      <c r="BW45" s="1105"/>
      <c r="BX45" s="1105"/>
      <c r="BY45" s="1105"/>
      <c r="BZ45" s="1105"/>
      <c r="CA45" s="1105"/>
      <c r="CB45" s="1105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</row>
    <row r="46" spans="1:163" s="70" customFormat="1" ht="7.15" customHeight="1" x14ac:dyDescent="0.2">
      <c r="A46" s="11"/>
      <c r="B46" s="11"/>
      <c r="C46" s="1080"/>
      <c r="D46" s="1080"/>
      <c r="E46" s="1080"/>
      <c r="F46" s="1080"/>
      <c r="G46" s="1080"/>
      <c r="H46" s="1080"/>
      <c r="I46" s="1080"/>
      <c r="J46" s="1080"/>
      <c r="K46" s="1080"/>
      <c r="L46" s="1080"/>
      <c r="M46" s="1080"/>
      <c r="N46" s="1080"/>
      <c r="O46" s="1080"/>
      <c r="P46" s="1080"/>
      <c r="Q46" s="1080"/>
      <c r="R46" s="1080"/>
      <c r="S46" s="1080"/>
      <c r="T46" s="1080"/>
      <c r="U46" s="1080"/>
      <c r="V46" s="1080"/>
      <c r="W46" s="1080"/>
      <c r="X46" s="1080"/>
      <c r="Y46" s="1080"/>
      <c r="Z46" s="1080"/>
      <c r="AA46" s="1080"/>
      <c r="AB46" s="1080"/>
      <c r="AC46" s="1080"/>
      <c r="AD46" s="1080"/>
      <c r="AE46" s="1080"/>
      <c r="AF46" s="1080"/>
      <c r="AG46" s="1080"/>
      <c r="AH46" s="1080"/>
      <c r="AI46" s="1080"/>
      <c r="AJ46" s="1080"/>
      <c r="AK46" s="1080"/>
      <c r="AL46" s="1080"/>
      <c r="AM46" s="1080"/>
      <c r="AN46" s="1080"/>
      <c r="AO46" s="1080"/>
      <c r="AP46" s="1080"/>
      <c r="AQ46" s="1080"/>
      <c r="AR46" s="1080"/>
      <c r="AS46" s="1080"/>
      <c r="AT46" s="1080"/>
      <c r="AU46" s="1080"/>
      <c r="AV46" s="1080"/>
      <c r="AW46" s="1080"/>
      <c r="AX46" s="1080"/>
      <c r="AY46" s="1080"/>
      <c r="AZ46" s="1080"/>
      <c r="BA46" s="1080"/>
      <c r="BB46" s="1080"/>
      <c r="BC46" s="1080"/>
      <c r="BD46" s="1080"/>
      <c r="BE46" s="1080"/>
      <c r="BF46" s="1080"/>
      <c r="BG46" s="1080"/>
      <c r="BH46" s="1080"/>
      <c r="BI46" s="1080"/>
      <c r="BJ46" s="1080"/>
      <c r="BK46" s="1080"/>
      <c r="BL46" s="1080"/>
      <c r="BM46" s="1080"/>
      <c r="BN46" s="1080"/>
      <c r="BO46" s="1080"/>
      <c r="BP46" s="1080"/>
      <c r="BQ46" s="1080"/>
      <c r="BR46" s="1080"/>
      <c r="BS46" s="1080"/>
      <c r="BT46" s="1080"/>
      <c r="BU46" s="1080"/>
      <c r="BV46" s="1080"/>
      <c r="BW46" s="1080"/>
      <c r="BX46" s="1080"/>
      <c r="BY46" s="1080"/>
      <c r="BZ46" s="1080"/>
      <c r="CA46" s="1080"/>
      <c r="CB46" s="1080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</row>
    <row r="47" spans="1:163" s="70" customFormat="1" ht="14.45" customHeight="1" x14ac:dyDescent="0.2">
      <c r="A47" s="11"/>
      <c r="B47" s="11"/>
      <c r="C47" s="1080"/>
      <c r="D47" s="1080"/>
      <c r="E47" s="1080"/>
      <c r="F47" s="1080"/>
      <c r="G47" s="1080"/>
      <c r="H47" s="1080"/>
      <c r="I47" s="1080"/>
      <c r="J47" s="1080"/>
      <c r="K47" s="1080"/>
      <c r="L47" s="1080"/>
      <c r="M47" s="1080"/>
      <c r="N47" s="1080"/>
      <c r="O47" s="1080"/>
      <c r="P47" s="1080"/>
      <c r="Q47" s="1080"/>
      <c r="R47" s="1080"/>
      <c r="S47" s="1080"/>
      <c r="T47" s="1080"/>
      <c r="U47" s="1080"/>
      <c r="V47" s="1080"/>
      <c r="W47" s="1080"/>
      <c r="X47" s="1080"/>
      <c r="Y47" s="1080"/>
      <c r="Z47" s="1080"/>
      <c r="AA47" s="1080"/>
      <c r="AB47" s="1080"/>
      <c r="AC47" s="1080"/>
      <c r="AD47" s="1080"/>
      <c r="AE47" s="1080"/>
      <c r="AF47" s="1080"/>
      <c r="AG47" s="1080"/>
      <c r="AH47" s="1080"/>
      <c r="AI47" s="1080"/>
      <c r="AJ47" s="1080"/>
      <c r="AK47" s="1080"/>
      <c r="AL47" s="1080"/>
      <c r="AM47" s="1080"/>
      <c r="AN47" s="1080"/>
      <c r="AO47" s="1080"/>
      <c r="AP47" s="1080"/>
      <c r="AQ47" s="1080"/>
      <c r="AR47" s="1080"/>
      <c r="AS47" s="1080"/>
      <c r="AT47" s="1080"/>
      <c r="AU47" s="1080"/>
      <c r="AV47" s="1080"/>
      <c r="AW47" s="1080"/>
      <c r="AX47" s="1080"/>
      <c r="AY47" s="1080"/>
      <c r="AZ47" s="1080"/>
      <c r="BA47" s="1080"/>
      <c r="BB47" s="1080"/>
      <c r="BC47" s="1080"/>
      <c r="BD47" s="1080"/>
      <c r="BE47" s="1080"/>
      <c r="BF47" s="1080"/>
      <c r="BG47" s="1080"/>
      <c r="BH47" s="1080"/>
      <c r="BI47" s="1080"/>
      <c r="BJ47" s="1080"/>
      <c r="BK47" s="1080"/>
      <c r="BL47" s="1080"/>
      <c r="BM47" s="1080"/>
      <c r="BN47" s="1080"/>
      <c r="BO47" s="1080"/>
      <c r="BP47" s="1080"/>
      <c r="BQ47" s="1080"/>
      <c r="BR47" s="1080"/>
      <c r="BS47" s="1080"/>
      <c r="BT47" s="1080"/>
      <c r="BU47" s="1080"/>
      <c r="BV47" s="1080"/>
      <c r="BW47" s="1080"/>
      <c r="BX47" s="1080"/>
      <c r="BY47" s="1080"/>
      <c r="BZ47" s="1080"/>
      <c r="CA47" s="1080"/>
      <c r="CB47" s="1080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</row>
    <row r="48" spans="1:163" s="70" customFormat="1" ht="7.9" customHeight="1" x14ac:dyDescent="0.2">
      <c r="A48" s="11"/>
      <c r="B48" s="11"/>
      <c r="C48" s="1080"/>
      <c r="D48" s="1080"/>
      <c r="E48" s="1080"/>
      <c r="F48" s="1080"/>
      <c r="G48" s="1080"/>
      <c r="H48" s="1080"/>
      <c r="I48" s="1080"/>
      <c r="J48" s="1080"/>
      <c r="K48" s="1080"/>
      <c r="L48" s="1080"/>
      <c r="M48" s="1080"/>
      <c r="N48" s="1080"/>
      <c r="O48" s="1080"/>
      <c r="P48" s="1080"/>
      <c r="Q48" s="1080"/>
      <c r="R48" s="1080"/>
      <c r="S48" s="1080"/>
      <c r="T48" s="1080"/>
      <c r="U48" s="1080"/>
      <c r="V48" s="1080"/>
      <c r="W48" s="1080"/>
      <c r="X48" s="1080"/>
      <c r="Y48" s="1080"/>
      <c r="Z48" s="1080"/>
      <c r="AA48" s="1080"/>
      <c r="AB48" s="1080"/>
      <c r="AC48" s="1080"/>
      <c r="AD48" s="1080"/>
      <c r="AE48" s="1080"/>
      <c r="AF48" s="1080"/>
      <c r="AG48" s="1080"/>
      <c r="AH48" s="1080"/>
      <c r="AI48" s="1080"/>
      <c r="AJ48" s="1080"/>
      <c r="AK48" s="1080"/>
      <c r="AL48" s="1080"/>
      <c r="AM48" s="1080"/>
      <c r="AN48" s="1080"/>
      <c r="AO48" s="1080"/>
      <c r="AP48" s="1080"/>
      <c r="AQ48" s="1080"/>
      <c r="AR48" s="1080"/>
      <c r="AS48" s="1080"/>
      <c r="AT48" s="1080"/>
      <c r="AU48" s="1080"/>
      <c r="AV48" s="1080"/>
      <c r="AW48" s="1080"/>
      <c r="AX48" s="1080"/>
      <c r="AY48" s="1080"/>
      <c r="AZ48" s="1080"/>
      <c r="BA48" s="1080"/>
      <c r="BB48" s="1080"/>
      <c r="BC48" s="1080"/>
      <c r="BD48" s="1080"/>
      <c r="BE48" s="1080"/>
      <c r="BF48" s="1080"/>
      <c r="BG48" s="1080"/>
      <c r="BH48" s="1080"/>
      <c r="BI48" s="1080"/>
      <c r="BJ48" s="1080"/>
      <c r="BK48" s="1080"/>
      <c r="BL48" s="1080"/>
      <c r="BM48" s="1080"/>
      <c r="BN48" s="1080"/>
      <c r="BO48" s="1080"/>
      <c r="BP48" s="1080"/>
      <c r="BQ48" s="1080"/>
      <c r="BR48" s="1080"/>
      <c r="BS48" s="1080"/>
      <c r="BT48" s="1080"/>
      <c r="BU48" s="1080"/>
      <c r="BV48" s="1080"/>
      <c r="BW48" s="1080"/>
      <c r="BX48" s="1080"/>
      <c r="BY48" s="1080"/>
      <c r="BZ48" s="1080"/>
      <c r="CA48" s="1080"/>
      <c r="CB48" s="1080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</row>
    <row r="49" spans="1:163" s="73" customFormat="1" ht="15.75" customHeight="1" x14ac:dyDescent="0.2">
      <c r="A49" s="57" t="s">
        <v>39</v>
      </c>
      <c r="B49" s="57"/>
      <c r="C49" s="57" t="s">
        <v>319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</row>
    <row r="50" spans="1:163" s="70" customFormat="1" ht="15.75" customHeight="1" x14ac:dyDescent="0.2">
      <c r="A50" s="11"/>
      <c r="B50" s="11"/>
      <c r="C50" s="11" t="s">
        <v>755</v>
      </c>
      <c r="D50" s="11"/>
      <c r="E50" s="11"/>
      <c r="F50" s="11"/>
      <c r="G50" s="841" t="e">
        <f>IF(G29="","",G29)</f>
      </c>
      <c r="H50" s="841"/>
      <c r="I50" s="841"/>
      <c r="J50" s="841"/>
      <c r="K50" s="841"/>
      <c r="L50" s="841"/>
      <c r="M50" s="841"/>
      <c r="N50" s="841"/>
      <c r="O50" s="841"/>
      <c r="P50" s="494" t="s">
        <v>757</v>
      </c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</row>
    <row r="51" spans="1:163" s="70" customFormat="1" ht="15.75" customHeight="1" x14ac:dyDescent="0.25">
      <c r="A51" s="11" t="s">
        <v>55</v>
      </c>
      <c r="B51" s="11"/>
      <c r="C51" s="11" t="s">
        <v>320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081" t="s">
        <v>646</v>
      </c>
      <c r="W51" s="1081"/>
      <c r="X51" s="1081"/>
      <c r="Y51" s="1081"/>
      <c r="Z51" s="1081"/>
      <c r="AA51" s="1081"/>
      <c r="AB51" s="1081"/>
      <c r="AC51" s="1081"/>
      <c r="AD51" s="1081"/>
      <c r="AE51" s="1081"/>
      <c r="AF51" s="1081"/>
      <c r="AG51" s="1081"/>
      <c r="AH51" s="1081"/>
      <c r="AI51" s="1081"/>
      <c r="AJ51" s="1081"/>
      <c r="AK51" s="1081"/>
      <c r="AL51" s="1081"/>
      <c r="AM51" s="1081"/>
      <c r="AN51" s="1081"/>
      <c r="AO51" s="11" t="s">
        <v>321</v>
      </c>
      <c r="AP51" s="11"/>
      <c r="AQ51" s="11"/>
      <c r="AR51" s="11"/>
      <c r="AS51" s="11"/>
      <c r="AT51" s="11"/>
      <c r="AU51" s="11"/>
      <c r="AV51" s="11"/>
      <c r="AW51" s="1081"/>
      <c r="AX51" s="1081"/>
      <c r="AY51" s="1081"/>
      <c r="AZ51" s="1081"/>
      <c r="BA51" s="1081"/>
      <c r="BB51" s="1081"/>
      <c r="BC51" s="1081"/>
      <c r="BD51" s="1081"/>
      <c r="BE51" s="1081"/>
      <c r="BF51" s="1081"/>
      <c r="BG51" s="1081"/>
      <c r="BH51" s="1081"/>
      <c r="BI51" s="1081"/>
      <c r="BJ51" s="1081"/>
      <c r="BK51" s="1081"/>
      <c r="BL51" s="1081"/>
      <c r="BM51" s="1081"/>
      <c r="BN51" s="1081"/>
      <c r="BO51" s="1081"/>
      <c r="BP51" s="1081"/>
      <c r="BQ51" s="1081"/>
      <c r="BR51" s="1081"/>
      <c r="BS51" s="1081"/>
      <c r="BT51" s="1081"/>
      <c r="BU51" s="1081"/>
      <c r="BV51" s="1081"/>
      <c r="BW51" s="1081"/>
      <c r="BX51" s="1081"/>
      <c r="BY51" s="1081"/>
      <c r="BZ51" s="1081"/>
      <c r="CA51" s="1081"/>
      <c r="CB51" s="1081"/>
      <c r="CC51" s="11"/>
      <c r="CD51" s="11"/>
      <c r="CE51" s="11"/>
      <c r="CF51" s="11"/>
      <c r="CG51" s="11"/>
      <c r="CH51" s="11"/>
      <c r="CI51" s="11"/>
      <c r="CJ51" s="11"/>
      <c r="CK51" s="11"/>
      <c r="CL51" s="18" t="s">
        <v>759</v>
      </c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</row>
    <row r="52" spans="1:163" s="41" customFormat="1" ht="8.25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858" t="s">
        <v>257</v>
      </c>
      <c r="AX52" s="858"/>
      <c r="AY52" s="858"/>
      <c r="AZ52" s="858"/>
      <c r="BA52" s="858"/>
      <c r="BB52" s="858"/>
      <c r="BC52" s="858"/>
      <c r="BD52" s="858"/>
      <c r="BE52" s="858"/>
      <c r="BF52" s="858"/>
      <c r="BG52" s="858"/>
      <c r="BH52" s="858"/>
      <c r="BI52" s="858"/>
      <c r="BJ52" s="858"/>
      <c r="BK52" s="858"/>
      <c r="BL52" s="858"/>
      <c r="BM52" s="858"/>
      <c r="BN52" s="858"/>
      <c r="BO52" s="858"/>
      <c r="BP52" s="858"/>
      <c r="BQ52" s="858"/>
      <c r="BR52" s="858"/>
      <c r="BS52" s="858"/>
      <c r="BT52" s="858"/>
      <c r="BU52" s="858"/>
      <c r="BV52" s="858"/>
      <c r="BW52" s="858"/>
      <c r="BX52" s="858"/>
      <c r="BY52" s="858"/>
      <c r="BZ52" s="858"/>
      <c r="CA52" s="858"/>
      <c r="CB52" s="858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</row>
    <row r="53" spans="1:163" s="70" customFormat="1" ht="9" customHeight="1" x14ac:dyDescent="0.2">
      <c r="A53" s="11"/>
      <c r="B53" s="11"/>
      <c r="C53" s="1080"/>
      <c r="D53" s="1080"/>
      <c r="E53" s="1080"/>
      <c r="F53" s="1080"/>
      <c r="G53" s="1080"/>
      <c r="H53" s="1080"/>
      <c r="I53" s="1080"/>
      <c r="J53" s="1080"/>
      <c r="K53" s="1080"/>
      <c r="L53" s="1080"/>
      <c r="M53" s="1080"/>
      <c r="N53" s="1080"/>
      <c r="O53" s="1080"/>
      <c r="P53" s="1080"/>
      <c r="Q53" s="1080"/>
      <c r="R53" s="1080"/>
      <c r="S53" s="1080"/>
      <c r="T53" s="1080"/>
      <c r="U53" s="1080"/>
      <c r="V53" s="1080"/>
      <c r="W53" s="1080"/>
      <c r="X53" s="1080"/>
      <c r="Y53" s="1080"/>
      <c r="Z53" s="1080"/>
      <c r="AA53" s="1080"/>
      <c r="AB53" s="1080"/>
      <c r="AC53" s="1080"/>
      <c r="AD53" s="1080"/>
      <c r="AE53" s="1080"/>
      <c r="AF53" s="1080"/>
      <c r="AG53" s="1080"/>
      <c r="AH53" s="1080"/>
      <c r="AI53" s="1080"/>
      <c r="AJ53" s="1080"/>
      <c r="AK53" s="1080"/>
      <c r="AL53" s="1080"/>
      <c r="AM53" s="1080"/>
      <c r="AN53" s="1080"/>
      <c r="AO53" s="1080"/>
      <c r="AP53" s="1080"/>
      <c r="AQ53" s="1080"/>
      <c r="AR53" s="1080"/>
      <c r="AS53" s="1080"/>
      <c r="AT53" s="1080"/>
      <c r="AU53" s="1080"/>
      <c r="AV53" s="1080"/>
      <c r="AW53" s="1080"/>
      <c r="AX53" s="1080"/>
      <c r="AY53" s="1080"/>
      <c r="AZ53" s="1080"/>
      <c r="BA53" s="1080"/>
      <c r="BB53" s="1080"/>
      <c r="BC53" s="1080"/>
      <c r="BD53" s="1080"/>
      <c r="BE53" s="1080"/>
      <c r="BF53" s="1080"/>
      <c r="BG53" s="1080"/>
      <c r="BH53" s="1080"/>
      <c r="BI53" s="1080"/>
      <c r="BJ53" s="1080"/>
      <c r="BK53" s="1080"/>
      <c r="BL53" s="1080"/>
      <c r="BM53" s="1080"/>
      <c r="BN53" s="1080"/>
      <c r="BO53" s="1080"/>
      <c r="BP53" s="1080"/>
      <c r="BQ53" s="1080"/>
      <c r="BR53" s="1080"/>
      <c r="BS53" s="1080"/>
      <c r="BT53" s="1080"/>
      <c r="BU53" s="1080"/>
      <c r="BV53" s="1080"/>
      <c r="BW53" s="1080"/>
      <c r="BX53" s="1080"/>
      <c r="BY53" s="1080"/>
      <c r="BZ53" s="1080"/>
      <c r="CA53" s="1080"/>
      <c r="CB53" s="1080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</row>
    <row r="54" spans="1:163" s="70" customFormat="1" ht="17.25" customHeight="1" x14ac:dyDescent="0.2">
      <c r="A54" s="11"/>
      <c r="B54" s="11"/>
      <c r="C54" s="1080"/>
      <c r="D54" s="1080"/>
      <c r="E54" s="1080"/>
      <c r="F54" s="1080"/>
      <c r="G54" s="1080"/>
      <c r="H54" s="1080"/>
      <c r="I54" s="1080"/>
      <c r="J54" s="1080"/>
      <c r="K54" s="1080"/>
      <c r="L54" s="1080"/>
      <c r="M54" s="1080"/>
      <c r="N54" s="1080"/>
      <c r="O54" s="1080"/>
      <c r="P54" s="1080"/>
      <c r="Q54" s="1080"/>
      <c r="R54" s="1080"/>
      <c r="S54" s="1080"/>
      <c r="T54" s="1080"/>
      <c r="U54" s="1080"/>
      <c r="V54" s="1080"/>
      <c r="W54" s="1080"/>
      <c r="X54" s="1080"/>
      <c r="Y54" s="1080"/>
      <c r="Z54" s="1080"/>
      <c r="AA54" s="1080"/>
      <c r="AB54" s="1080"/>
      <c r="AC54" s="1080"/>
      <c r="AD54" s="1080"/>
      <c r="AE54" s="1080"/>
      <c r="AF54" s="1080"/>
      <c r="AG54" s="1080"/>
      <c r="AH54" s="1080"/>
      <c r="AI54" s="1080"/>
      <c r="AJ54" s="1080"/>
      <c r="AK54" s="1080"/>
      <c r="AL54" s="1080"/>
      <c r="AM54" s="1080"/>
      <c r="AN54" s="1080"/>
      <c r="AO54" s="1080"/>
      <c r="AP54" s="1080"/>
      <c r="AQ54" s="1080"/>
      <c r="AR54" s="1080"/>
      <c r="AS54" s="1080"/>
      <c r="AT54" s="1080"/>
      <c r="AU54" s="1080"/>
      <c r="AV54" s="1080"/>
      <c r="AW54" s="1080"/>
      <c r="AX54" s="1080"/>
      <c r="AY54" s="1080"/>
      <c r="AZ54" s="1080"/>
      <c r="BA54" s="1080"/>
      <c r="BB54" s="1080"/>
      <c r="BC54" s="1080"/>
      <c r="BD54" s="1080"/>
      <c r="BE54" s="1080"/>
      <c r="BF54" s="1080"/>
      <c r="BG54" s="1080"/>
      <c r="BH54" s="1080"/>
      <c r="BI54" s="1080"/>
      <c r="BJ54" s="1080"/>
      <c r="BK54" s="1080"/>
      <c r="BL54" s="1080"/>
      <c r="BM54" s="1080"/>
      <c r="BN54" s="1080"/>
      <c r="BO54" s="1080"/>
      <c r="BP54" s="1080"/>
      <c r="BQ54" s="1080"/>
      <c r="BR54" s="1080"/>
      <c r="BS54" s="1080"/>
      <c r="BT54" s="1080"/>
      <c r="BU54" s="1080"/>
      <c r="BV54" s="1080"/>
      <c r="BW54" s="1080"/>
      <c r="BX54" s="1080"/>
      <c r="BY54" s="1080"/>
      <c r="BZ54" s="1080"/>
      <c r="CA54" s="1080"/>
      <c r="CB54" s="1080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</row>
    <row r="55" spans="1:163" s="70" customFormat="1" ht="19.5" customHeight="1" x14ac:dyDescent="0.2">
      <c r="A55" s="11" t="s">
        <v>57</v>
      </c>
      <c r="B55" s="11"/>
      <c r="C55" s="11" t="s">
        <v>322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081" t="s">
        <v>645</v>
      </c>
      <c r="R55" s="1081"/>
      <c r="S55" s="1081"/>
      <c r="T55" s="1081"/>
      <c r="U55" s="1081"/>
      <c r="V55" s="1081"/>
      <c r="W55" s="1081"/>
      <c r="X55" s="1081"/>
      <c r="Y55" s="1081"/>
      <c r="Z55" s="1081"/>
      <c r="AA55" s="1081"/>
      <c r="AB55" s="1081"/>
      <c r="AC55" s="1081"/>
      <c r="AD55" s="1081"/>
      <c r="AE55" s="1081"/>
      <c r="AF55" s="1081"/>
      <c r="AG55" s="1081"/>
      <c r="AH55" s="1081"/>
      <c r="AI55" s="1081"/>
      <c r="AJ55" s="1081"/>
      <c r="AK55" s="1081"/>
      <c r="AL55" s="1081"/>
      <c r="AM55" s="1081"/>
      <c r="AN55" s="1081"/>
      <c r="AO55" s="11" t="s">
        <v>321</v>
      </c>
      <c r="AP55" s="11"/>
      <c r="AQ55" s="11"/>
      <c r="AR55" s="11"/>
      <c r="AS55" s="11"/>
      <c r="AT55" s="11"/>
      <c r="AU55" s="11"/>
      <c r="AV55" s="11"/>
      <c r="AW55" s="1081"/>
      <c r="AX55" s="1081"/>
      <c r="AY55" s="1081"/>
      <c r="AZ55" s="1081"/>
      <c r="BA55" s="1081"/>
      <c r="BB55" s="1081"/>
      <c r="BC55" s="1081"/>
      <c r="BD55" s="1081"/>
      <c r="BE55" s="1081"/>
      <c r="BF55" s="1081"/>
      <c r="BG55" s="1081"/>
      <c r="BH55" s="1081"/>
      <c r="BI55" s="1081"/>
      <c r="BJ55" s="1081"/>
      <c r="BK55" s="1081"/>
      <c r="BL55" s="1081"/>
      <c r="BM55" s="1081"/>
      <c r="BN55" s="1081"/>
      <c r="BO55" s="1081"/>
      <c r="BP55" s="1081"/>
      <c r="BQ55" s="1081"/>
      <c r="BR55" s="1081"/>
      <c r="BS55" s="1081"/>
      <c r="BT55" s="1081"/>
      <c r="BU55" s="1081"/>
      <c r="BV55" s="1081"/>
      <c r="BW55" s="1081"/>
      <c r="BX55" s="1081"/>
      <c r="BY55" s="1081"/>
      <c r="BZ55" s="1081"/>
      <c r="CA55" s="1081"/>
      <c r="CB55" s="108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</row>
    <row r="56" spans="1:163" s="41" customFormat="1" ht="8.25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858" t="s">
        <v>257</v>
      </c>
      <c r="AX56" s="858"/>
      <c r="AY56" s="858"/>
      <c r="AZ56" s="858"/>
      <c r="BA56" s="858"/>
      <c r="BB56" s="858"/>
      <c r="BC56" s="858"/>
      <c r="BD56" s="858"/>
      <c r="BE56" s="858"/>
      <c r="BF56" s="858"/>
      <c r="BG56" s="858"/>
      <c r="BH56" s="858"/>
      <c r="BI56" s="858"/>
      <c r="BJ56" s="858"/>
      <c r="BK56" s="858"/>
      <c r="BL56" s="858"/>
      <c r="BM56" s="858"/>
      <c r="BN56" s="858"/>
      <c r="BO56" s="858"/>
      <c r="BP56" s="858"/>
      <c r="BQ56" s="858"/>
      <c r="BR56" s="858"/>
      <c r="BS56" s="858"/>
      <c r="BT56" s="858"/>
      <c r="BU56" s="858"/>
      <c r="BV56" s="858"/>
      <c r="BW56" s="858"/>
      <c r="BX56" s="858"/>
      <c r="BY56" s="858"/>
      <c r="BZ56" s="858"/>
      <c r="CA56" s="858"/>
      <c r="CB56" s="858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</row>
    <row r="57" spans="1:163" s="70" customFormat="1" ht="9.6" customHeight="1" x14ac:dyDescent="0.2">
      <c r="A57" s="11"/>
      <c r="B57" s="11"/>
      <c r="C57" s="11" t="s">
        <v>323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</row>
    <row r="58" spans="1:163" s="70" customFormat="1" ht="11.45" customHeight="1" x14ac:dyDescent="0.2">
      <c r="A58" s="11"/>
      <c r="B58" s="11"/>
      <c r="C58" s="1080"/>
      <c r="D58" s="1080"/>
      <c r="E58" s="1080"/>
      <c r="F58" s="1080"/>
      <c r="G58" s="1080"/>
      <c r="H58" s="1080"/>
      <c r="I58" s="1080"/>
      <c r="J58" s="1080"/>
      <c r="K58" s="1080"/>
      <c r="L58" s="1080"/>
      <c r="M58" s="1080"/>
      <c r="N58" s="1080"/>
      <c r="O58" s="1080"/>
      <c r="P58" s="1080"/>
      <c r="Q58" s="1080"/>
      <c r="R58" s="1080"/>
      <c r="S58" s="1080"/>
      <c r="T58" s="1080"/>
      <c r="U58" s="1080"/>
      <c r="V58" s="1080"/>
      <c r="W58" s="1080"/>
      <c r="X58" s="1080"/>
      <c r="Y58" s="1080"/>
      <c r="Z58" s="1080"/>
      <c r="AA58" s="1080"/>
      <c r="AB58" s="1080"/>
      <c r="AC58" s="1080"/>
      <c r="AD58" s="1080"/>
      <c r="AE58" s="1080"/>
      <c r="AF58" s="1080"/>
      <c r="AG58" s="1080"/>
      <c r="AH58" s="1080"/>
      <c r="AI58" s="1080"/>
      <c r="AJ58" s="1080"/>
      <c r="AK58" s="1080"/>
      <c r="AL58" s="1080"/>
      <c r="AM58" s="1080"/>
      <c r="AN58" s="1080"/>
      <c r="AO58" s="1080"/>
      <c r="AP58" s="1080"/>
      <c r="AQ58" s="1080"/>
      <c r="AR58" s="1080"/>
      <c r="AS58" s="1080"/>
      <c r="AT58" s="1080"/>
      <c r="AU58" s="1080"/>
      <c r="AV58" s="1080"/>
      <c r="AW58" s="1080"/>
      <c r="AX58" s="1080"/>
      <c r="AY58" s="1080"/>
      <c r="AZ58" s="1080"/>
      <c r="BA58" s="1080"/>
      <c r="BB58" s="1080"/>
      <c r="BC58" s="1080"/>
      <c r="BD58" s="1080"/>
      <c r="BE58" s="1080"/>
      <c r="BF58" s="1080"/>
      <c r="BG58" s="1080"/>
      <c r="BH58" s="1080"/>
      <c r="BI58" s="1080"/>
      <c r="BJ58" s="1080"/>
      <c r="BK58" s="1080"/>
      <c r="BL58" s="1080"/>
      <c r="BM58" s="1080"/>
      <c r="BN58" s="1080"/>
      <c r="BO58" s="1080"/>
      <c r="BP58" s="1080"/>
      <c r="BQ58" s="1080"/>
      <c r="BR58" s="1080"/>
      <c r="BS58" s="1080"/>
      <c r="BT58" s="1080"/>
      <c r="BU58" s="1080"/>
      <c r="BV58" s="1080"/>
      <c r="BW58" s="1080"/>
      <c r="BX58" s="1080"/>
      <c r="BY58" s="1080"/>
      <c r="BZ58" s="1080"/>
      <c r="CA58" s="1080"/>
      <c r="CB58" s="1080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</row>
    <row r="59" spans="1:163" s="70" customFormat="1" ht="12" customHeight="1" x14ac:dyDescent="0.2">
      <c r="A59" s="11"/>
      <c r="B59" s="11"/>
      <c r="C59" s="1080"/>
      <c r="D59" s="1080"/>
      <c r="E59" s="1080"/>
      <c r="F59" s="1080"/>
      <c r="G59" s="1080"/>
      <c r="H59" s="1080"/>
      <c r="I59" s="1080"/>
      <c r="J59" s="1080"/>
      <c r="K59" s="1080"/>
      <c r="L59" s="1080"/>
      <c r="M59" s="1080"/>
      <c r="N59" s="1080"/>
      <c r="O59" s="1080"/>
      <c r="P59" s="1080"/>
      <c r="Q59" s="1080"/>
      <c r="R59" s="1080"/>
      <c r="S59" s="1080"/>
      <c r="T59" s="1080"/>
      <c r="U59" s="1080"/>
      <c r="V59" s="1080"/>
      <c r="W59" s="1080"/>
      <c r="X59" s="1080"/>
      <c r="Y59" s="1080"/>
      <c r="Z59" s="1080"/>
      <c r="AA59" s="1080"/>
      <c r="AB59" s="1080"/>
      <c r="AC59" s="1080"/>
      <c r="AD59" s="1080"/>
      <c r="AE59" s="1080"/>
      <c r="AF59" s="1080"/>
      <c r="AG59" s="1080"/>
      <c r="AH59" s="1080"/>
      <c r="AI59" s="1080"/>
      <c r="AJ59" s="1080"/>
      <c r="AK59" s="1080"/>
      <c r="AL59" s="1080"/>
      <c r="AM59" s="1080"/>
      <c r="AN59" s="1080"/>
      <c r="AO59" s="1080"/>
      <c r="AP59" s="1080"/>
      <c r="AQ59" s="1080"/>
      <c r="AR59" s="1080"/>
      <c r="AS59" s="1080"/>
      <c r="AT59" s="1080"/>
      <c r="AU59" s="1080"/>
      <c r="AV59" s="1080"/>
      <c r="AW59" s="1080"/>
      <c r="AX59" s="1080"/>
      <c r="AY59" s="1080"/>
      <c r="AZ59" s="1080"/>
      <c r="BA59" s="1080"/>
      <c r="BB59" s="1080"/>
      <c r="BC59" s="1080"/>
      <c r="BD59" s="1080"/>
      <c r="BE59" s="1080"/>
      <c r="BF59" s="1080"/>
      <c r="BG59" s="1080"/>
      <c r="BH59" s="1080"/>
      <c r="BI59" s="1080"/>
      <c r="BJ59" s="1080"/>
      <c r="BK59" s="1080"/>
      <c r="BL59" s="1080"/>
      <c r="BM59" s="1080"/>
      <c r="BN59" s="1080"/>
      <c r="BO59" s="1080"/>
      <c r="BP59" s="1080"/>
      <c r="BQ59" s="1080"/>
      <c r="BR59" s="1080"/>
      <c r="BS59" s="1080"/>
      <c r="BT59" s="1080"/>
      <c r="BU59" s="1080"/>
      <c r="BV59" s="1080"/>
      <c r="BW59" s="1080"/>
      <c r="BX59" s="1080"/>
      <c r="BY59" s="1080"/>
      <c r="BZ59" s="1080"/>
      <c r="CA59" s="1080"/>
      <c r="CB59" s="1080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</row>
    <row r="60" spans="1:163" s="73" customFormat="1" ht="15" customHeight="1" x14ac:dyDescent="0.2">
      <c r="A60" s="57" t="s">
        <v>41</v>
      </c>
      <c r="B60" s="57"/>
      <c r="C60" s="57" t="s">
        <v>324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</row>
    <row r="61" spans="1:163" s="70" customFormat="1" ht="15" customHeight="1" x14ac:dyDescent="0.2">
      <c r="A61" s="11"/>
      <c r="B61" s="11"/>
      <c r="C61" s="494" t="s">
        <v>758</v>
      </c>
      <c r="D61" s="494"/>
      <c r="E61" s="494"/>
      <c r="F61" s="494"/>
      <c r="G61" s="494"/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4"/>
      <c r="AB61" s="494"/>
      <c r="AD61" s="841"/>
      <c r="AE61" s="841"/>
      <c r="AF61" s="841"/>
      <c r="AG61" s="841"/>
      <c r="AH61" s="841"/>
      <c r="AI61" s="841"/>
      <c r="AJ61" s="841"/>
      <c r="AK61" s="841"/>
      <c r="AL61" s="841"/>
      <c r="AM61" s="841"/>
      <c r="AO61" s="11" t="s">
        <v>327</v>
      </c>
      <c r="AV61" s="11"/>
      <c r="AW61" s="11"/>
      <c r="AX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</row>
    <row r="62" spans="1:163" s="70" customFormat="1" ht="13.9" customHeight="1" x14ac:dyDescent="0.2">
      <c r="A62" s="11"/>
      <c r="B62" s="11"/>
      <c r="C62" s="11" t="s">
        <v>328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</row>
    <row r="63" spans="1:163" s="70" customFormat="1" ht="1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</row>
    <row r="64" spans="1:163" s="70" customFormat="1" ht="10.9" customHeight="1" x14ac:dyDescent="0.2">
      <c r="A64" s="11"/>
      <c r="B64" s="11"/>
      <c r="C64" s="1080" t="s">
        <v>325</v>
      </c>
      <c r="D64" s="1080"/>
      <c r="E64" s="1080"/>
      <c r="F64" s="1080"/>
      <c r="G64" s="1080"/>
      <c r="H64" s="1080"/>
      <c r="I64" s="1080"/>
      <c r="J64" s="1080"/>
      <c r="K64" s="1080"/>
      <c r="L64" s="1080"/>
      <c r="M64" s="1080"/>
      <c r="N64" s="1080"/>
      <c r="O64" s="1080"/>
      <c r="P64" s="1080"/>
      <c r="Q64" s="1080"/>
      <c r="R64" s="1080"/>
      <c r="S64" s="1080"/>
      <c r="T64" s="1080"/>
      <c r="U64" s="1080"/>
      <c r="V64" s="1080"/>
      <c r="W64" s="1080"/>
      <c r="X64" s="1080"/>
      <c r="Y64" s="1080"/>
      <c r="Z64" s="1080"/>
      <c r="AA64" s="1080"/>
      <c r="AB64" s="1080"/>
      <c r="AC64" s="1080"/>
      <c r="AD64" s="1080"/>
      <c r="AE64" s="1080"/>
      <c r="AF64" s="1080"/>
      <c r="AG64" s="1080"/>
      <c r="AH64" s="1080"/>
      <c r="AI64" s="1080"/>
      <c r="AJ64" s="1080"/>
      <c r="AK64" s="1080"/>
      <c r="AL64" s="1080"/>
      <c r="AM64" s="1080"/>
      <c r="AN64" s="1080"/>
      <c r="AO64" s="1080"/>
      <c r="AP64" s="1080"/>
      <c r="AQ64" s="1080"/>
      <c r="AR64" s="1080"/>
      <c r="AS64" s="1080"/>
      <c r="AT64" s="1080"/>
      <c r="AU64" s="1080"/>
      <c r="AV64" s="1080"/>
      <c r="AW64" s="1080"/>
      <c r="AX64" s="1080"/>
      <c r="AY64" s="1080"/>
      <c r="AZ64" s="1080"/>
      <c r="BA64" s="1080"/>
      <c r="BB64" s="1080"/>
      <c r="BC64" s="1080"/>
      <c r="BD64" s="1080"/>
      <c r="BE64" s="1080"/>
      <c r="BF64" s="1080"/>
      <c r="BG64" s="1080"/>
      <c r="BH64" s="1080"/>
      <c r="BI64" s="1080"/>
      <c r="BJ64" s="1080"/>
      <c r="BK64" s="1080"/>
      <c r="BL64" s="1080"/>
      <c r="BM64" s="1080"/>
      <c r="BN64" s="1080"/>
      <c r="BO64" s="1080"/>
      <c r="BP64" s="1080"/>
      <c r="BQ64" s="1080"/>
      <c r="BR64" s="1080"/>
      <c r="BS64" s="1080"/>
      <c r="BT64" s="1080"/>
      <c r="BU64" s="1080"/>
      <c r="BV64" s="1080"/>
      <c r="BW64" s="1080"/>
      <c r="BX64" s="1080"/>
      <c r="BY64" s="1080"/>
      <c r="BZ64" s="1080"/>
      <c r="CA64" s="1080"/>
      <c r="CB64" s="1080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</row>
    <row r="65" spans="1:163" s="70" customFormat="1" ht="15" customHeight="1" x14ac:dyDescent="0.2">
      <c r="A65" s="11"/>
      <c r="B65" s="11"/>
      <c r="C65" s="1080"/>
      <c r="D65" s="1080"/>
      <c r="E65" s="1080"/>
      <c r="F65" s="1080"/>
      <c r="G65" s="1080"/>
      <c r="H65" s="1080"/>
      <c r="I65" s="1080"/>
      <c r="J65" s="1080"/>
      <c r="K65" s="1080"/>
      <c r="L65" s="1080"/>
      <c r="M65" s="1080"/>
      <c r="N65" s="1080"/>
      <c r="O65" s="1080"/>
      <c r="P65" s="1080"/>
      <c r="Q65" s="1080"/>
      <c r="R65" s="1080"/>
      <c r="S65" s="1080"/>
      <c r="T65" s="1080"/>
      <c r="U65" s="1080"/>
      <c r="V65" s="1080"/>
      <c r="W65" s="1080"/>
      <c r="X65" s="1080"/>
      <c r="Y65" s="1080"/>
      <c r="Z65" s="1080"/>
      <c r="AA65" s="1080"/>
      <c r="AB65" s="1080"/>
      <c r="AC65" s="1080"/>
      <c r="AD65" s="1080"/>
      <c r="AE65" s="1080"/>
      <c r="AF65" s="1080"/>
      <c r="AG65" s="1080"/>
      <c r="AH65" s="1080"/>
      <c r="AI65" s="1080"/>
      <c r="AJ65" s="1080"/>
      <c r="AK65" s="1080"/>
      <c r="AL65" s="1080"/>
      <c r="AM65" s="1080"/>
      <c r="AN65" s="1080"/>
      <c r="AO65" s="1080"/>
      <c r="AP65" s="1080"/>
      <c r="AQ65" s="1080"/>
      <c r="AR65" s="1080"/>
      <c r="AS65" s="1080"/>
      <c r="AT65" s="1080"/>
      <c r="AU65" s="1080"/>
      <c r="AV65" s="1080"/>
      <c r="AW65" s="1080"/>
      <c r="AX65" s="1080"/>
      <c r="AY65" s="1080"/>
      <c r="AZ65" s="1080"/>
      <c r="BA65" s="1080"/>
      <c r="BB65" s="1080"/>
      <c r="BC65" s="1080"/>
      <c r="BD65" s="1080"/>
      <c r="BE65" s="1080"/>
      <c r="BF65" s="1080"/>
      <c r="BG65" s="1080"/>
      <c r="BH65" s="1080"/>
      <c r="BI65" s="1080"/>
      <c r="BJ65" s="1080"/>
      <c r="BK65" s="1080"/>
      <c r="BL65" s="1080"/>
      <c r="BM65" s="1080"/>
      <c r="BN65" s="1080"/>
      <c r="BO65" s="1080"/>
      <c r="BP65" s="1080"/>
      <c r="BQ65" s="1080"/>
      <c r="BR65" s="1080"/>
      <c r="BS65" s="1080"/>
      <c r="BT65" s="1080"/>
      <c r="BU65" s="1080"/>
      <c r="BV65" s="1080"/>
      <c r="BW65" s="1080"/>
      <c r="BX65" s="1080"/>
      <c r="BY65" s="1080"/>
      <c r="BZ65" s="1080"/>
      <c r="CA65" s="1080"/>
      <c r="CB65" s="1080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</row>
    <row r="66" spans="1:163" s="73" customFormat="1" ht="15" customHeight="1" x14ac:dyDescent="0.2">
      <c r="A66" s="57" t="s">
        <v>326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</row>
    <row r="67" spans="1:163" ht="15" customHeight="1" x14ac:dyDescent="0.25">
      <c r="C67" s="1184"/>
      <c r="D67" s="1184"/>
      <c r="E67" s="1184"/>
      <c r="F67" s="1184"/>
      <c r="G67" s="1184"/>
      <c r="H67" s="1184"/>
      <c r="I67" s="1184"/>
      <c r="J67" s="1184"/>
      <c r="K67" s="1184"/>
      <c r="L67" s="1184"/>
      <c r="M67" s="1184"/>
      <c r="N67" s="1184"/>
      <c r="O67" s="1184"/>
      <c r="P67" s="1184"/>
      <c r="Q67" s="1184"/>
      <c r="R67" s="1184"/>
      <c r="S67" s="1184"/>
      <c r="T67" s="1184"/>
      <c r="U67" s="1184"/>
      <c r="V67" s="1184"/>
      <c r="W67" s="1184"/>
      <c r="X67" s="1184"/>
      <c r="Y67" s="1184"/>
      <c r="Z67" s="1184"/>
      <c r="AA67" s="1184"/>
      <c r="AB67" s="1184"/>
      <c r="AC67" s="1184"/>
      <c r="AD67" s="1184"/>
      <c r="AE67" s="1184"/>
      <c r="AF67" s="1184"/>
      <c r="AG67" s="1184"/>
      <c r="AH67" s="1184"/>
      <c r="AI67" s="1184"/>
      <c r="AJ67" s="1184"/>
      <c r="AK67" s="1184"/>
      <c r="AL67" s="1184"/>
      <c r="AM67" s="1184"/>
      <c r="AN67" s="1184"/>
      <c r="AO67" s="1184"/>
      <c r="AP67" s="1184"/>
      <c r="AQ67" s="1184"/>
      <c r="AR67" s="1184"/>
      <c r="AS67" s="1184"/>
      <c r="AT67" s="1184"/>
      <c r="AU67" s="1184"/>
      <c r="AV67" s="1184"/>
      <c r="AW67" s="1184"/>
      <c r="AX67" s="1184"/>
      <c r="AY67" s="1184"/>
      <c r="AZ67" s="1184"/>
      <c r="BA67" s="1184"/>
      <c r="BB67" s="1184"/>
      <c r="BC67" s="1184"/>
      <c r="BD67" s="1184"/>
      <c r="BE67" s="1184"/>
      <c r="BF67" s="1184"/>
      <c r="BG67" s="1184"/>
      <c r="BH67" s="1184"/>
      <c r="BI67" s="1184"/>
      <c r="BJ67" s="1184"/>
      <c r="BK67" s="1184"/>
      <c r="BL67" s="1184"/>
      <c r="BM67" s="1184"/>
      <c r="BN67" s="1184"/>
      <c r="BO67" s="1184"/>
      <c r="BP67" s="1184"/>
      <c r="BQ67" s="1184"/>
      <c r="BR67" s="1184"/>
      <c r="BS67" s="1184"/>
      <c r="BT67" s="1184"/>
      <c r="BU67" s="1184"/>
      <c r="BV67" s="1184"/>
      <c r="BW67" s="1184"/>
      <c r="BX67" s="1184"/>
      <c r="BY67" s="1184"/>
      <c r="BZ67" s="1184"/>
      <c r="CA67" s="1184"/>
      <c r="CB67" s="1184"/>
    </row>
    <row r="68" spans="1:163" x14ac:dyDescent="0.25">
      <c r="C68" s="874"/>
      <c r="D68" s="874"/>
      <c r="E68" s="874"/>
      <c r="F68" s="874"/>
      <c r="G68" s="874"/>
      <c r="H68" s="874"/>
      <c r="I68" s="874"/>
      <c r="J68" s="874"/>
      <c r="K68" s="874"/>
      <c r="L68" s="874"/>
      <c r="M68" s="874"/>
      <c r="N68" s="874"/>
      <c r="O68" s="874"/>
      <c r="P68" s="874"/>
      <c r="Q68" s="874"/>
      <c r="R68" s="874"/>
      <c r="S68" s="874"/>
      <c r="T68" s="874"/>
      <c r="U68" s="874"/>
      <c r="V68" s="874"/>
      <c r="W68" s="874"/>
      <c r="X68" s="874"/>
      <c r="Y68" s="874"/>
      <c r="Z68" s="874"/>
      <c r="AA68" s="874"/>
      <c r="AB68" s="874"/>
      <c r="AC68" s="874"/>
      <c r="AD68" s="874"/>
      <c r="AE68" s="874"/>
      <c r="AF68" s="874"/>
      <c r="AG68" s="874"/>
      <c r="AH68" s="874"/>
      <c r="AI68" s="874"/>
      <c r="AJ68" s="874"/>
      <c r="AK68" s="874"/>
      <c r="AL68" s="874"/>
      <c r="AM68" s="874"/>
      <c r="AN68" s="874"/>
      <c r="AO68" s="874"/>
      <c r="AP68" s="874"/>
      <c r="AQ68" s="874"/>
      <c r="AR68" s="874"/>
      <c r="AS68" s="874"/>
      <c r="AT68" s="874"/>
      <c r="AU68" s="874"/>
      <c r="AV68" s="874"/>
      <c r="AW68" s="874"/>
      <c r="AX68" s="874"/>
      <c r="AY68" s="874"/>
      <c r="AZ68" s="874"/>
      <c r="BA68" s="874"/>
      <c r="BB68" s="874"/>
      <c r="BC68" s="874"/>
      <c r="BD68" s="874"/>
      <c r="BE68" s="874"/>
      <c r="BF68" s="874"/>
      <c r="BG68" s="874"/>
      <c r="BH68" s="874"/>
      <c r="BI68" s="874"/>
      <c r="BJ68" s="874"/>
      <c r="BK68" s="874"/>
      <c r="BL68" s="874"/>
      <c r="BM68" s="874"/>
      <c r="BN68" s="874"/>
      <c r="BO68" s="874"/>
      <c r="BP68" s="874"/>
      <c r="BQ68" s="874"/>
      <c r="BR68" s="874"/>
      <c r="BS68" s="874"/>
      <c r="BT68" s="874"/>
      <c r="BU68" s="874"/>
      <c r="BV68" s="874"/>
      <c r="BW68" s="874"/>
      <c r="BX68" s="874"/>
      <c r="BY68" s="874"/>
      <c r="BZ68" s="874"/>
      <c r="CA68" s="874"/>
      <c r="CB68" s="874"/>
    </row>
    <row r="69" spans="1:163" ht="9" customHeight="1" x14ac:dyDescent="0.25"/>
    <row r="70" spans="1:163" s="2" customFormat="1" ht="15" customHeight="1" x14ac:dyDescent="0.2">
      <c r="C70" s="11" t="s">
        <v>107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163" s="2" customFormat="1" ht="15" customHeight="1" x14ac:dyDescent="0.2">
      <c r="D71" s="11"/>
      <c r="E71" s="11"/>
      <c r="F71" s="1185" t="str">
        <f>IF('Данные объект'!C27="","",'Данные объект'!C27)</f>
      </c>
      <c r="G71" s="1185"/>
      <c r="H71" s="1185"/>
      <c r="I71" s="1185"/>
      <c r="J71" s="1185"/>
      <c r="K71" s="1185"/>
      <c r="L71" s="1185"/>
      <c r="M71" s="1185"/>
      <c r="N71" s="1185"/>
      <c r="O71" s="1185"/>
      <c r="P71" s="1185"/>
      <c r="Q71" s="1185"/>
      <c r="R71" s="1185"/>
      <c r="S71" s="1185"/>
      <c r="T71" s="1185"/>
      <c r="U71" s="1185"/>
      <c r="V71" s="1185"/>
      <c r="W71" s="1185"/>
      <c r="X71" s="1185"/>
      <c r="Y71" s="1185"/>
      <c r="Z71" s="1185"/>
      <c r="AA71" s="1185"/>
      <c r="AB71" s="1185"/>
      <c r="AC71" s="1185"/>
      <c r="AD71" s="1185"/>
      <c r="AE71" s="1185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163" s="2" customFormat="1" ht="15" customHeight="1" x14ac:dyDescent="0.2">
      <c r="D72" s="11"/>
      <c r="E72" s="11"/>
      <c r="F72" s="1185"/>
      <c r="G72" s="1185"/>
      <c r="H72" s="1185"/>
      <c r="I72" s="1185"/>
      <c r="J72" s="1185"/>
      <c r="K72" s="1185"/>
      <c r="L72" s="1185"/>
      <c r="M72" s="1185"/>
      <c r="N72" s="1185"/>
      <c r="O72" s="1185"/>
      <c r="P72" s="1185"/>
      <c r="Q72" s="1185"/>
      <c r="R72" s="1185"/>
      <c r="S72" s="1185"/>
      <c r="T72" s="1185"/>
      <c r="U72" s="1185"/>
      <c r="V72" s="1185"/>
      <c r="W72" s="1185"/>
      <c r="X72" s="1185"/>
      <c r="Y72" s="1185"/>
      <c r="Z72" s="1185"/>
      <c r="AA72" s="1185"/>
      <c r="AB72" s="1185"/>
      <c r="AC72" s="1185"/>
      <c r="AD72" s="1185"/>
      <c r="AE72" s="1185"/>
      <c r="AF72" s="11"/>
      <c r="AG72" s="11"/>
      <c r="AH72" s="11"/>
      <c r="AI72" s="11"/>
      <c r="AJ72" s="991"/>
      <c r="AK72" s="991"/>
      <c r="AL72" s="991"/>
      <c r="AM72" s="991"/>
      <c r="AN72" s="991"/>
      <c r="AO72" s="991"/>
      <c r="AP72" s="991"/>
      <c r="AQ72" s="991"/>
      <c r="AR72" s="991"/>
      <c r="AS72" s="991"/>
      <c r="AT72" s="991"/>
      <c r="AU72" s="991"/>
      <c r="AV72" s="991"/>
      <c r="AW72" s="991"/>
      <c r="AX72" s="991"/>
      <c r="AY72" s="991"/>
      <c r="AZ72" s="991"/>
      <c r="BA72" s="991"/>
      <c r="BB72" s="991"/>
      <c r="BC72" s="991"/>
      <c r="BD72" s="991"/>
      <c r="BE72" s="991"/>
      <c r="BF72" s="991"/>
      <c r="BG72" s="991"/>
      <c r="BH72" s="991"/>
      <c r="BI72" s="11"/>
      <c r="BJ72" s="1079" t="str">
        <f>IF('Данные объект'!B28="","",'Данные объект'!B28)</f>
      </c>
      <c r="BK72" s="1079"/>
      <c r="BL72" s="1079"/>
      <c r="BM72" s="1079"/>
      <c r="BN72" s="1079"/>
      <c r="BO72" s="1079"/>
      <c r="BP72" s="1079"/>
      <c r="BQ72" s="1079"/>
      <c r="BR72" s="1079"/>
      <c r="BS72" s="1079"/>
      <c r="BT72" s="1079"/>
      <c r="BU72" s="1079"/>
      <c r="BV72" s="1079"/>
      <c r="BW72" s="1079"/>
      <c r="BX72" s="1079"/>
      <c r="BY72" s="1079"/>
      <c r="BZ72" s="1079"/>
      <c r="CA72" s="1079"/>
      <c r="CB72" s="1079"/>
    </row>
    <row r="73" spans="1:163" s="5" customFormat="1" ht="8.25" x14ac:dyDescent="0.15">
      <c r="AJ73" s="986" t="s">
        <v>2</v>
      </c>
      <c r="AK73" s="986"/>
      <c r="AL73" s="986"/>
      <c r="AM73" s="986"/>
      <c r="AN73" s="986"/>
      <c r="AO73" s="986"/>
      <c r="AP73" s="986"/>
      <c r="AQ73" s="986"/>
      <c r="AR73" s="986"/>
      <c r="AS73" s="986"/>
      <c r="AT73" s="986"/>
      <c r="AU73" s="986"/>
      <c r="AV73" s="986"/>
      <c r="AW73" s="986"/>
      <c r="AX73" s="986"/>
      <c r="AY73" s="986"/>
      <c r="AZ73" s="986"/>
      <c r="BA73" s="986"/>
      <c r="BB73" s="986"/>
      <c r="BC73" s="986"/>
      <c r="BD73" s="986"/>
      <c r="BE73" s="986"/>
      <c r="BF73" s="986"/>
      <c r="BG73" s="986"/>
      <c r="BH73" s="986"/>
      <c r="BJ73" s="986" t="s">
        <v>72</v>
      </c>
      <c r="BK73" s="986"/>
      <c r="BL73" s="986"/>
      <c r="BM73" s="986"/>
      <c r="BN73" s="986"/>
      <c r="BO73" s="986"/>
      <c r="BP73" s="986"/>
      <c r="BQ73" s="986"/>
      <c r="BR73" s="986"/>
      <c r="BS73" s="986"/>
      <c r="BT73" s="986"/>
      <c r="BU73" s="986"/>
      <c r="BV73" s="986"/>
      <c r="BW73" s="986"/>
      <c r="BX73" s="986"/>
      <c r="BY73" s="986"/>
      <c r="BZ73" s="986"/>
      <c r="CA73" s="986"/>
      <c r="CB73" s="986"/>
    </row>
  </sheetData>
  <mergeCells count="113">
    <mergeCell ref="AR1:BZ2"/>
    <mergeCell ref="A2:AI2"/>
    <mergeCell ref="A3:AI3"/>
    <mergeCell ref="AR3:BZ3"/>
    <mergeCell ref="A4:AI4"/>
    <mergeCell ref="AR4:BZ4"/>
    <mergeCell ref="A11:AI11"/>
    <mergeCell ref="AR11:BZ11"/>
    <mergeCell ref="A13:CB13"/>
    <mergeCell ref="A17:P20"/>
    <mergeCell ref="Q17:AF20"/>
    <mergeCell ref="AG17:AV20"/>
    <mergeCell ref="AW17:BL20"/>
    <mergeCell ref="BM17:CB20"/>
    <mergeCell ref="A5:AI5"/>
    <mergeCell ref="AR5:BZ5"/>
    <mergeCell ref="AR6:BZ9"/>
    <mergeCell ref="A8:AI9"/>
    <mergeCell ref="A10:AI10"/>
    <mergeCell ref="AR10:BZ10"/>
    <mergeCell ref="A14:CB14"/>
    <mergeCell ref="A21:P21"/>
    <mergeCell ref="Q21:AF21"/>
    <mergeCell ref="AG21:AV21"/>
    <mergeCell ref="AW21:BL21"/>
    <mergeCell ref="BM21:CB21"/>
    <mergeCell ref="A22:P22"/>
    <mergeCell ref="Q22:AF22"/>
    <mergeCell ref="AG22:AV22"/>
    <mergeCell ref="AW22:BL22"/>
    <mergeCell ref="BM22:CB22"/>
    <mergeCell ref="A25:P25"/>
    <mergeCell ref="Q25:AF25"/>
    <mergeCell ref="AG25:AV25"/>
    <mergeCell ref="AW25:BL25"/>
    <mergeCell ref="BM25:CB25"/>
    <mergeCell ref="C26:W26"/>
    <mergeCell ref="X26:CB26"/>
    <mergeCell ref="A23:P23"/>
    <mergeCell ref="Q23:AF23"/>
    <mergeCell ref="AG23:AV23"/>
    <mergeCell ref="AW23:BL23"/>
    <mergeCell ref="BM23:CB23"/>
    <mergeCell ref="A24:P24"/>
    <mergeCell ref="Q24:AF24"/>
    <mergeCell ref="AG24:AV24"/>
    <mergeCell ref="AW24:BL24"/>
    <mergeCell ref="BM24:CB24"/>
    <mergeCell ref="C33:CB34"/>
    <mergeCell ref="C36:V38"/>
    <mergeCell ref="W36:AL38"/>
    <mergeCell ref="AM36:BB38"/>
    <mergeCell ref="BC36:CB36"/>
    <mergeCell ref="BC37:BO38"/>
    <mergeCell ref="BP37:CB38"/>
    <mergeCell ref="G29:M29"/>
    <mergeCell ref="AG29:BA29"/>
    <mergeCell ref="BT29:BZ29"/>
    <mergeCell ref="V30:AY30"/>
    <mergeCell ref="BM30:BZ30"/>
    <mergeCell ref="C31:CB32"/>
    <mergeCell ref="C39:V39"/>
    <mergeCell ref="W39:AL39"/>
    <mergeCell ref="AM39:BB39"/>
    <mergeCell ref="BC39:BO39"/>
    <mergeCell ref="BP39:CB39"/>
    <mergeCell ref="C40:V40"/>
    <mergeCell ref="W40:AL40"/>
    <mergeCell ref="AM40:BB40"/>
    <mergeCell ref="BC40:BO40"/>
    <mergeCell ref="BP40:CB40"/>
    <mergeCell ref="C41:V41"/>
    <mergeCell ref="W41:AL41"/>
    <mergeCell ref="AM41:BB41"/>
    <mergeCell ref="BC41:BO41"/>
    <mergeCell ref="BP41:CB41"/>
    <mergeCell ref="C42:V42"/>
    <mergeCell ref="W42:AL42"/>
    <mergeCell ref="AM42:BB42"/>
    <mergeCell ref="BC42:BO42"/>
    <mergeCell ref="BP42:CB42"/>
    <mergeCell ref="C43:V43"/>
    <mergeCell ref="W43:AL43"/>
    <mergeCell ref="AM43:BB43"/>
    <mergeCell ref="BC43:BO43"/>
    <mergeCell ref="BP43:CB43"/>
    <mergeCell ref="C44:V44"/>
    <mergeCell ref="W44:AL44"/>
    <mergeCell ref="AM44:BB44"/>
    <mergeCell ref="BC44:BO44"/>
    <mergeCell ref="BP44:CB44"/>
    <mergeCell ref="AW52:CB52"/>
    <mergeCell ref="C53:CB54"/>
    <mergeCell ref="Q55:AN55"/>
    <mergeCell ref="AW55:CB55"/>
    <mergeCell ref="AW56:CB56"/>
    <mergeCell ref="C58:CB59"/>
    <mergeCell ref="C45:CB46"/>
    <mergeCell ref="C47:CB48"/>
    <mergeCell ref="G50:O50"/>
    <mergeCell ref="P50:AB50"/>
    <mergeCell ref="V51:AN51"/>
    <mergeCell ref="AW51:CB51"/>
    <mergeCell ref="AJ73:BH73"/>
    <mergeCell ref="BJ73:CB73"/>
    <mergeCell ref="C61:AB61"/>
    <mergeCell ref="AD61:AM61"/>
    <mergeCell ref="C64:CB65"/>
    <mergeCell ref="C67:CB67"/>
    <mergeCell ref="C68:CB68"/>
    <mergeCell ref="F71:AE72"/>
    <mergeCell ref="AJ72:BH72"/>
    <mergeCell ref="BJ72:CB72"/>
  </mergeCells>
  <pageMargins left="0.78740157480314965" right="0.19685039370078741" top="0.39370078740157483" bottom="0.39370078740157483" header="0.11811023622047245" footer="0.1181102362204724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F857E89-21D5-4758-B0B4-D5CFF5F003A5}">
          <x14:formula1>
            <xm:f>'связ.данные(оборудование)'!$N$3:$N$9</xm:f>
          </x14:formula1>
          <xm:sqref>Q55:AN55</xm:sqref>
        </x14:dataValidation>
        <x14:dataValidation type="list" allowBlank="1" showInputMessage="1" showErrorMessage="1" xr:uid="{9E667B27-0701-41A0-AD17-E8B0C004D35E}">
          <x14:formula1>
            <xm:f>'связ.данные(оборудование)'!$O$3:$O$11</xm:f>
          </x14:formula1>
          <xm:sqref>V51:AN51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0EF0-594A-41C0-8B01-5666F55DD3AD}">
  <sheetPr>
    <tabColor rgb="FFCC99FF"/>
  </sheetPr>
  <dimension ref="A1:CB73"/>
  <sheetViews>
    <sheetView view="pageBreakPreview" zoomScale="90" zoomScaleNormal="100" zoomScaleSheetLayoutView="90" zoomScalePageLayoutView="115" workbookViewId="0">
      <selection activeCell="A14" sqref="A14:CB14"/>
    </sheetView>
  </sheetViews>
  <sheetFormatPr defaultColWidth="1.140625" defaultRowHeight="12.75" outlineLevelRow="1" x14ac:dyDescent="0.2"/>
  <cols>
    <col min="1" max="19" width="1.140625" style="2"/>
    <col min="20" max="34" width="1" style="2" customWidth="1"/>
    <col min="35" max="65" width="1.140625" style="2"/>
    <col min="66" max="66" width="0.7109375" style="2" customWidth="1"/>
    <col min="67" max="79" width="1.140625" style="2"/>
    <col min="80" max="80" width="10.28515625" style="2" customWidth="1"/>
    <col min="81" max="16384" width="1.140625" style="2"/>
  </cols>
  <sheetData>
    <row r="1" spans="1:80" ht="7.15" customHeight="1" x14ac:dyDescent="0.25">
      <c r="AR1" s="836" t="str">
        <f>IF('Данные объект'!B4="","",'Данные объект'!B4)</f>
      </c>
      <c r="AS1" s="836"/>
      <c r="AT1" s="836"/>
      <c r="AU1" s="836"/>
      <c r="AV1" s="836"/>
      <c r="AW1" s="836"/>
      <c r="AX1" s="836"/>
      <c r="AY1" s="836"/>
      <c r="AZ1" s="836"/>
      <c r="BA1" s="836"/>
      <c r="BB1" s="836"/>
      <c r="BC1" s="836"/>
      <c r="BD1" s="836"/>
      <c r="BE1" s="836"/>
      <c r="BF1" s="836"/>
      <c r="BG1" s="836"/>
      <c r="BH1" s="836"/>
      <c r="BI1" s="836"/>
      <c r="BJ1" s="836"/>
      <c r="BK1" s="836"/>
      <c r="BL1" s="836"/>
      <c r="BM1" s="836"/>
      <c r="BN1" s="836"/>
      <c r="BO1" s="836"/>
      <c r="BP1" s="836"/>
      <c r="BQ1" s="836"/>
      <c r="BR1" s="836"/>
      <c r="BS1" s="836"/>
      <c r="BT1" s="836"/>
      <c r="BU1" s="836"/>
      <c r="BV1" s="836"/>
      <c r="BW1" s="836"/>
      <c r="BX1" s="836"/>
      <c r="BY1" s="836"/>
      <c r="BZ1" s="836"/>
      <c r="CA1" s="64"/>
      <c r="CB1" s="64"/>
    </row>
    <row r="2" spans="1:80" ht="13.5" x14ac:dyDescent="0.25">
      <c r="A2" s="841" t="str">
        <f>IF('Данные объект'!B2="","",'Данные объект'!B2)</f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R2" s="837"/>
      <c r="AS2" s="837"/>
      <c r="AT2" s="837"/>
      <c r="AU2" s="837"/>
      <c r="AV2" s="837"/>
      <c r="AW2" s="837"/>
      <c r="AX2" s="837"/>
      <c r="AY2" s="837"/>
      <c r="AZ2" s="837"/>
      <c r="BA2" s="837"/>
      <c r="BB2" s="837"/>
      <c r="BC2" s="837"/>
      <c r="BD2" s="837"/>
      <c r="BE2" s="837"/>
      <c r="BF2" s="837"/>
      <c r="BG2" s="837"/>
      <c r="BH2" s="837"/>
      <c r="BI2" s="837"/>
      <c r="BJ2" s="837"/>
      <c r="BK2" s="837"/>
      <c r="BL2" s="837"/>
      <c r="BM2" s="837"/>
      <c r="BN2" s="837"/>
      <c r="BO2" s="837"/>
      <c r="BP2" s="837"/>
      <c r="BQ2" s="837"/>
      <c r="BR2" s="837"/>
      <c r="BS2" s="837"/>
      <c r="BT2" s="837"/>
      <c r="BU2" s="837"/>
      <c r="BV2" s="837"/>
      <c r="BW2" s="837"/>
      <c r="BX2" s="837"/>
      <c r="BY2" s="837"/>
      <c r="BZ2" s="837"/>
      <c r="CA2" s="64"/>
      <c r="CB2" s="64"/>
    </row>
    <row r="3" spans="1:80" s="5" customFormat="1" ht="8.25" x14ac:dyDescent="0.15">
      <c r="A3" s="838" t="s">
        <v>367</v>
      </c>
      <c r="B3" s="838"/>
      <c r="C3" s="838"/>
      <c r="D3" s="838"/>
      <c r="E3" s="838"/>
      <c r="F3" s="838"/>
      <c r="G3" s="838"/>
      <c r="H3" s="838"/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  <c r="AB3" s="838"/>
      <c r="AC3" s="838"/>
      <c r="AD3" s="838"/>
      <c r="AE3" s="838"/>
      <c r="AF3" s="838"/>
      <c r="AG3" s="838"/>
      <c r="AH3" s="838"/>
      <c r="AI3" s="838"/>
      <c r="AR3" s="838" t="s">
        <v>22</v>
      </c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</row>
    <row r="4" spans="1:80" ht="13.15" customHeight="1" x14ac:dyDescent="0.25">
      <c r="A4" s="840" t="str">
        <f>IF('Данные объект'!B19="","",'Данные объект'!B19)</f>
      </c>
      <c r="B4" s="840"/>
      <c r="C4" s="840"/>
      <c r="D4" s="840"/>
      <c r="E4" s="840"/>
      <c r="F4" s="840"/>
      <c r="G4" s="840"/>
      <c r="H4" s="840"/>
      <c r="I4" s="840"/>
      <c r="J4" s="840"/>
      <c r="K4" s="840"/>
      <c r="L4" s="840"/>
      <c r="M4" s="840"/>
      <c r="N4" s="840"/>
      <c r="O4" s="840"/>
      <c r="P4" s="840"/>
      <c r="Q4" s="840"/>
      <c r="R4" s="840"/>
      <c r="S4" s="840"/>
      <c r="T4" s="840"/>
      <c r="U4" s="840"/>
      <c r="V4" s="840"/>
      <c r="W4" s="840"/>
      <c r="X4" s="840"/>
      <c r="Y4" s="840"/>
      <c r="Z4" s="840"/>
      <c r="AA4" s="840"/>
      <c r="AB4" s="840"/>
      <c r="AC4" s="840"/>
      <c r="AD4" s="840"/>
      <c r="AE4" s="840"/>
      <c r="AF4" s="840"/>
      <c r="AG4" s="840"/>
      <c r="AH4" s="840"/>
      <c r="AI4" s="840"/>
      <c r="AR4" s="837" t="str">
        <f>IF('Данные объект'!B33="","",'Данные объект'!B33)</f>
      </c>
      <c r="AS4" s="837"/>
      <c r="AT4" s="837"/>
      <c r="AU4" s="837"/>
      <c r="AV4" s="837"/>
      <c r="AW4" s="837"/>
      <c r="AX4" s="837"/>
      <c r="AY4" s="837"/>
      <c r="AZ4" s="837"/>
      <c r="BA4" s="837"/>
      <c r="BB4" s="837"/>
      <c r="BC4" s="837"/>
      <c r="BD4" s="837"/>
      <c r="BE4" s="837"/>
      <c r="BF4" s="837"/>
      <c r="BG4" s="837"/>
      <c r="BH4" s="837"/>
      <c r="BI4" s="837"/>
      <c r="BJ4" s="837"/>
      <c r="BK4" s="837"/>
      <c r="BL4" s="837"/>
      <c r="BM4" s="837"/>
      <c r="BN4" s="837"/>
      <c r="BO4" s="837"/>
      <c r="BP4" s="837"/>
      <c r="BQ4" s="837"/>
      <c r="BR4" s="837"/>
      <c r="BS4" s="837"/>
      <c r="BT4" s="837"/>
      <c r="BU4" s="837"/>
      <c r="BV4" s="837"/>
      <c r="BW4" s="837"/>
      <c r="BX4" s="837"/>
      <c r="BY4" s="837"/>
      <c r="BZ4" s="837"/>
      <c r="CA4" s="64"/>
      <c r="CB4" s="64"/>
    </row>
    <row r="5" spans="1:80" ht="9" customHeight="1" x14ac:dyDescent="0.25">
      <c r="A5" s="838" t="s">
        <v>25</v>
      </c>
      <c r="B5" s="838"/>
      <c r="C5" s="838"/>
      <c r="D5" s="838"/>
      <c r="E5" s="838"/>
      <c r="F5" s="838"/>
      <c r="G5" s="838"/>
      <c r="H5" s="838"/>
      <c r="I5" s="838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  <c r="AB5" s="838"/>
      <c r="AC5" s="838"/>
      <c r="AD5" s="838"/>
      <c r="AE5" s="838"/>
      <c r="AF5" s="838"/>
      <c r="AG5" s="838"/>
      <c r="AH5" s="838"/>
      <c r="AI5" s="838"/>
      <c r="AJ5" s="5"/>
      <c r="AK5" s="5"/>
      <c r="AL5" s="5"/>
      <c r="AM5" s="5"/>
      <c r="AN5" s="5"/>
      <c r="AO5" s="5"/>
      <c r="AP5" s="5"/>
      <c r="AQ5" s="5"/>
      <c r="AR5" s="838" t="s">
        <v>23</v>
      </c>
      <c r="AS5" s="838"/>
      <c r="AT5" s="838"/>
      <c r="AU5" s="838"/>
      <c r="AV5" s="838"/>
      <c r="AW5" s="838"/>
      <c r="AX5" s="838"/>
      <c r="AY5" s="838"/>
      <c r="AZ5" s="838"/>
      <c r="BA5" s="838"/>
      <c r="BB5" s="838"/>
      <c r="BC5" s="838"/>
      <c r="BD5" s="838"/>
      <c r="BE5" s="838"/>
      <c r="BF5" s="838"/>
      <c r="BG5" s="838"/>
      <c r="BH5" s="838"/>
      <c r="BI5" s="838"/>
      <c r="BJ5" s="838"/>
      <c r="BK5" s="838"/>
      <c r="BL5" s="838"/>
      <c r="BM5" s="838"/>
      <c r="BN5" s="838"/>
      <c r="BO5" s="838"/>
      <c r="BP5" s="838"/>
      <c r="BQ5" s="838"/>
      <c r="BR5" s="838"/>
      <c r="BS5" s="838"/>
      <c r="BT5" s="838"/>
      <c r="BU5" s="838"/>
      <c r="BV5" s="838"/>
      <c r="BW5" s="838"/>
      <c r="BX5" s="838"/>
      <c r="BY5" s="838"/>
      <c r="BZ5" s="838"/>
      <c r="CA5" s="64"/>
      <c r="CB5" s="64"/>
    </row>
    <row r="6" spans="1:80" s="5" customForma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2"/>
      <c r="AK6" s="2"/>
      <c r="AL6" s="2"/>
      <c r="AM6" s="2"/>
      <c r="AN6" s="2"/>
      <c r="AO6" s="2"/>
      <c r="AP6" s="2"/>
      <c r="AQ6" s="2"/>
      <c r="AR6" s="836" t="str">
        <f>IF('Данные объект'!B3="","",'Данные объект'!B3)</f>
      </c>
      <c r="AS6" s="836"/>
      <c r="AT6" s="836"/>
      <c r="AU6" s="836"/>
      <c r="AV6" s="836"/>
      <c r="AW6" s="836"/>
      <c r="AX6" s="836"/>
      <c r="AY6" s="836"/>
      <c r="AZ6" s="836"/>
      <c r="BA6" s="836"/>
      <c r="BB6" s="836"/>
      <c r="BC6" s="836"/>
      <c r="BD6" s="836"/>
      <c r="BE6" s="836"/>
      <c r="BF6" s="836"/>
      <c r="BG6" s="836"/>
      <c r="BH6" s="836"/>
      <c r="BI6" s="836"/>
      <c r="BJ6" s="836"/>
      <c r="BK6" s="836"/>
      <c r="BL6" s="836"/>
      <c r="BM6" s="836"/>
      <c r="BN6" s="836"/>
      <c r="BO6" s="836"/>
      <c r="BP6" s="836"/>
      <c r="BQ6" s="836"/>
      <c r="BR6" s="836"/>
      <c r="BS6" s="836"/>
      <c r="BT6" s="836"/>
      <c r="BU6" s="836"/>
      <c r="BV6" s="836"/>
      <c r="BW6" s="836"/>
      <c r="BX6" s="836"/>
      <c r="BY6" s="836"/>
      <c r="BZ6" s="836"/>
    </row>
    <row r="7" spans="1:80" ht="13.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R7" s="836"/>
      <c r="AS7" s="836"/>
      <c r="AT7" s="836"/>
      <c r="AU7" s="836"/>
      <c r="AV7" s="836"/>
      <c r="AW7" s="836"/>
      <c r="AX7" s="836"/>
      <c r="AY7" s="836"/>
      <c r="AZ7" s="836"/>
      <c r="BA7" s="836"/>
      <c r="BB7" s="836"/>
      <c r="BC7" s="836"/>
      <c r="BD7" s="836"/>
      <c r="BE7" s="836"/>
      <c r="BF7" s="836"/>
      <c r="BG7" s="836"/>
      <c r="BH7" s="836"/>
      <c r="BI7" s="836"/>
      <c r="BJ7" s="836"/>
      <c r="BK7" s="836"/>
      <c r="BL7" s="836"/>
      <c r="BM7" s="836"/>
      <c r="BN7" s="836"/>
      <c r="BO7" s="836"/>
      <c r="BP7" s="836"/>
      <c r="BQ7" s="836"/>
      <c r="BR7" s="836"/>
      <c r="BS7" s="836"/>
      <c r="BT7" s="836"/>
      <c r="BU7" s="836"/>
      <c r="BV7" s="836"/>
      <c r="BW7" s="836"/>
      <c r="BX7" s="836"/>
      <c r="BY7" s="836"/>
      <c r="BZ7" s="836"/>
      <c r="CA7" s="74"/>
      <c r="CB7" s="74"/>
    </row>
    <row r="8" spans="1:80" x14ac:dyDescent="0.2">
      <c r="A8" s="836" t="str">
        <f>IF('Данные объект'!B15="","",'Данные объект'!B15)</f>
      </c>
      <c r="B8" s="836"/>
      <c r="C8" s="836"/>
      <c r="D8" s="836"/>
      <c r="E8" s="836"/>
      <c r="F8" s="836"/>
      <c r="G8" s="836"/>
      <c r="H8" s="836"/>
      <c r="I8" s="836"/>
      <c r="J8" s="836"/>
      <c r="K8" s="836"/>
      <c r="L8" s="836"/>
      <c r="M8" s="836"/>
      <c r="N8" s="836"/>
      <c r="O8" s="836"/>
      <c r="P8" s="836"/>
      <c r="Q8" s="836"/>
      <c r="R8" s="836"/>
      <c r="S8" s="836"/>
      <c r="T8" s="836"/>
      <c r="U8" s="836"/>
      <c r="V8" s="836"/>
      <c r="W8" s="836"/>
      <c r="X8" s="836"/>
      <c r="Y8" s="836"/>
      <c r="Z8" s="836"/>
      <c r="AA8" s="836"/>
      <c r="AB8" s="836"/>
      <c r="AC8" s="836"/>
      <c r="AD8" s="836"/>
      <c r="AE8" s="836"/>
      <c r="AF8" s="836"/>
      <c r="AG8" s="836"/>
      <c r="AH8" s="836"/>
      <c r="AI8" s="836"/>
      <c r="AR8" s="836"/>
      <c r="AS8" s="836"/>
      <c r="AT8" s="836"/>
      <c r="AU8" s="836"/>
      <c r="AV8" s="836"/>
      <c r="AW8" s="836"/>
      <c r="AX8" s="836"/>
      <c r="AY8" s="836"/>
      <c r="AZ8" s="836"/>
      <c r="BA8" s="836"/>
      <c r="BB8" s="836"/>
      <c r="BC8" s="836"/>
      <c r="BD8" s="836"/>
      <c r="BE8" s="836"/>
      <c r="BF8" s="836"/>
      <c r="BG8" s="836"/>
      <c r="BH8" s="836"/>
      <c r="BI8" s="836"/>
      <c r="BJ8" s="836"/>
      <c r="BK8" s="836"/>
      <c r="BL8" s="836"/>
      <c r="BM8" s="836"/>
      <c r="BN8" s="836"/>
      <c r="BO8" s="836"/>
      <c r="BP8" s="836"/>
      <c r="BQ8" s="836"/>
      <c r="BR8" s="836"/>
      <c r="BS8" s="836"/>
      <c r="BT8" s="836"/>
      <c r="BU8" s="836"/>
      <c r="BV8" s="836"/>
      <c r="BW8" s="836"/>
      <c r="BX8" s="836"/>
      <c r="BY8" s="836"/>
      <c r="BZ8" s="836"/>
      <c r="CA8" s="74"/>
      <c r="CB8" s="74"/>
    </row>
    <row r="9" spans="1:80" x14ac:dyDescent="0.2">
      <c r="A9" s="837"/>
      <c r="B9" s="837"/>
      <c r="C9" s="837"/>
      <c r="D9" s="837"/>
      <c r="E9" s="837"/>
      <c r="F9" s="837"/>
      <c r="G9" s="837"/>
      <c r="H9" s="837"/>
      <c r="I9" s="837"/>
      <c r="J9" s="837"/>
      <c r="K9" s="837"/>
      <c r="L9" s="837"/>
      <c r="M9" s="837"/>
      <c r="N9" s="837"/>
      <c r="O9" s="837"/>
      <c r="P9" s="837"/>
      <c r="Q9" s="837"/>
      <c r="R9" s="837"/>
      <c r="S9" s="837"/>
      <c r="T9" s="837"/>
      <c r="U9" s="837"/>
      <c r="V9" s="837"/>
      <c r="W9" s="837"/>
      <c r="X9" s="837"/>
      <c r="Y9" s="837"/>
      <c r="Z9" s="837"/>
      <c r="AA9" s="837"/>
      <c r="AB9" s="837"/>
      <c r="AC9" s="837"/>
      <c r="AD9" s="837"/>
      <c r="AE9" s="837"/>
      <c r="AF9" s="837"/>
      <c r="AG9" s="837"/>
      <c r="AH9" s="837"/>
      <c r="AI9" s="837"/>
      <c r="AR9" s="837"/>
      <c r="AS9" s="837"/>
      <c r="AT9" s="837"/>
      <c r="AU9" s="837"/>
      <c r="AV9" s="837"/>
      <c r="AW9" s="837"/>
      <c r="AX9" s="837"/>
      <c r="AY9" s="837"/>
      <c r="AZ9" s="837"/>
      <c r="BA9" s="837"/>
      <c r="BB9" s="837"/>
      <c r="BC9" s="837"/>
      <c r="BD9" s="837"/>
      <c r="BE9" s="837"/>
      <c r="BF9" s="837"/>
      <c r="BG9" s="837"/>
      <c r="BH9" s="837"/>
      <c r="BI9" s="837"/>
      <c r="BJ9" s="837"/>
      <c r="BK9" s="837"/>
      <c r="BL9" s="837"/>
      <c r="BM9" s="837"/>
      <c r="BN9" s="837"/>
      <c r="BO9" s="837"/>
      <c r="BP9" s="837"/>
      <c r="BQ9" s="837"/>
      <c r="BR9" s="837"/>
      <c r="BS9" s="837"/>
      <c r="BT9" s="837"/>
      <c r="BU9" s="837"/>
      <c r="BV9" s="837"/>
      <c r="BW9" s="837"/>
      <c r="BX9" s="837"/>
      <c r="BY9" s="837"/>
      <c r="BZ9" s="837"/>
      <c r="CA9" s="74"/>
      <c r="CB9" s="74"/>
    </row>
    <row r="10" spans="1:80" ht="11.45" customHeight="1" x14ac:dyDescent="0.2">
      <c r="A10" s="838" t="s">
        <v>24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  <c r="AB10" s="838"/>
      <c r="AC10" s="838"/>
      <c r="AD10" s="838"/>
      <c r="AE10" s="838"/>
      <c r="AF10" s="838"/>
      <c r="AG10" s="838"/>
      <c r="AH10" s="838"/>
      <c r="AI10" s="838"/>
      <c r="AJ10" s="5"/>
      <c r="AK10" s="5"/>
      <c r="AL10" s="5"/>
      <c r="AM10" s="5"/>
      <c r="AN10" s="5"/>
      <c r="AO10" s="5"/>
      <c r="AP10" s="5"/>
      <c r="AQ10" s="5"/>
      <c r="AR10" s="838" t="s">
        <v>24</v>
      </c>
      <c r="AS10" s="838"/>
      <c r="AT10" s="838"/>
      <c r="AU10" s="838"/>
      <c r="AV10" s="838"/>
      <c r="AW10" s="838"/>
      <c r="AX10" s="838"/>
      <c r="AY10" s="838"/>
      <c r="AZ10" s="838"/>
      <c r="BA10" s="838"/>
      <c r="BB10" s="838"/>
      <c r="BC10" s="838"/>
      <c r="BD10" s="838"/>
      <c r="BE10" s="838"/>
      <c r="BF10" s="838"/>
      <c r="BG10" s="838"/>
      <c r="BH10" s="838"/>
      <c r="BI10" s="838"/>
      <c r="BJ10" s="838"/>
      <c r="BK10" s="838"/>
      <c r="BL10" s="838"/>
      <c r="BM10" s="838"/>
      <c r="BN10" s="838"/>
      <c r="BO10" s="838"/>
      <c r="BP10" s="838"/>
      <c r="BQ10" s="838"/>
      <c r="BR10" s="838"/>
      <c r="BS10" s="838"/>
      <c r="BT10" s="838"/>
      <c r="BU10" s="838"/>
      <c r="BV10" s="838"/>
      <c r="BW10" s="838"/>
      <c r="BX10" s="838"/>
      <c r="BY10" s="838"/>
      <c r="BZ10" s="838"/>
      <c r="CA10" s="74"/>
      <c r="CB10" s="74"/>
    </row>
    <row r="11" spans="1:80" s="5" customFormat="1" x14ac:dyDescent="0.2">
      <c r="A11" s="839"/>
      <c r="B11" s="839"/>
      <c r="C11" s="839"/>
      <c r="D11" s="839"/>
      <c r="E11" s="839"/>
      <c r="F11" s="839"/>
      <c r="G11" s="839"/>
      <c r="H11" s="839"/>
      <c r="I11" s="839"/>
      <c r="J11" s="839"/>
      <c r="K11" s="839"/>
      <c r="L11" s="839"/>
      <c r="M11" s="839"/>
      <c r="N11" s="839"/>
      <c r="O11" s="839"/>
      <c r="P11" s="839"/>
      <c r="Q11" s="839"/>
      <c r="R11" s="839"/>
      <c r="S11" s="839"/>
      <c r="T11" s="839"/>
      <c r="U11" s="839"/>
      <c r="V11" s="839"/>
      <c r="W11" s="839"/>
      <c r="X11" s="839"/>
      <c r="Y11" s="839"/>
      <c r="Z11" s="839"/>
      <c r="AA11" s="839"/>
      <c r="AB11" s="839"/>
      <c r="AC11" s="839"/>
      <c r="AD11" s="839"/>
      <c r="AE11" s="839"/>
      <c r="AF11" s="839"/>
      <c r="AG11" s="839"/>
      <c r="AH11" s="839"/>
      <c r="AI11" s="839"/>
      <c r="AJ11" s="2"/>
      <c r="AK11" s="2"/>
      <c r="AL11" s="2"/>
      <c r="AM11" s="2"/>
      <c r="AN11" s="2"/>
      <c r="AO11" s="2"/>
      <c r="AP11" s="2"/>
      <c r="AQ11" s="2"/>
      <c r="AR11" s="842" t="str">
        <f>IF('Данные объект'!B8="","",'Данные объект'!B8)</f>
      </c>
      <c r="AS11" s="842"/>
      <c r="AT11" s="842"/>
      <c r="AU11" s="842"/>
      <c r="AV11" s="842"/>
      <c r="AW11" s="842"/>
      <c r="AX11" s="842"/>
      <c r="AY11" s="842"/>
      <c r="AZ11" s="842"/>
      <c r="BA11" s="842"/>
      <c r="BB11" s="842"/>
      <c r="BC11" s="842"/>
      <c r="BD11" s="842"/>
      <c r="BE11" s="842"/>
      <c r="BF11" s="842"/>
      <c r="BG11" s="842"/>
      <c r="BH11" s="842"/>
      <c r="BI11" s="842"/>
      <c r="BJ11" s="842"/>
      <c r="BK11" s="842"/>
      <c r="BL11" s="842"/>
      <c r="BM11" s="842"/>
      <c r="BN11" s="842"/>
      <c r="BO11" s="842"/>
      <c r="BP11" s="842"/>
      <c r="BQ11" s="842"/>
      <c r="BR11" s="842"/>
      <c r="BS11" s="842"/>
      <c r="BT11" s="842"/>
      <c r="BU11" s="842"/>
      <c r="BV11" s="842"/>
      <c r="BW11" s="842"/>
      <c r="BX11" s="842"/>
      <c r="BY11" s="842"/>
      <c r="BZ11" s="842"/>
    </row>
    <row r="13" spans="1:80" s="18" customFormat="1" ht="15.75" x14ac:dyDescent="0.25">
      <c r="A13" s="886" t="s">
        <v>1256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886"/>
      <c r="O13" s="886"/>
      <c r="P13" s="886"/>
      <c r="Q13" s="886"/>
      <c r="R13" s="886"/>
      <c r="S13" s="886"/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  <c r="AO13" s="886"/>
      <c r="AP13" s="886"/>
      <c r="AQ13" s="886"/>
      <c r="AR13" s="886"/>
      <c r="AS13" s="886"/>
      <c r="AT13" s="886"/>
      <c r="AU13" s="886"/>
      <c r="AV13" s="886"/>
      <c r="AW13" s="886"/>
      <c r="AX13" s="886"/>
      <c r="AY13" s="886"/>
      <c r="AZ13" s="886"/>
      <c r="BA13" s="886"/>
      <c r="BB13" s="886"/>
      <c r="BC13" s="886"/>
      <c r="BD13" s="886"/>
      <c r="BE13" s="886"/>
      <c r="BF13" s="886"/>
      <c r="BG13" s="886"/>
      <c r="BH13" s="886"/>
      <c r="BI13" s="886"/>
      <c r="BJ13" s="886"/>
      <c r="BK13" s="886"/>
      <c r="BL13" s="886"/>
      <c r="BM13" s="886"/>
      <c r="BN13" s="886"/>
      <c r="BO13" s="886"/>
      <c r="BP13" s="886"/>
      <c r="BQ13" s="886"/>
      <c r="BR13" s="886"/>
      <c r="BS13" s="886"/>
      <c r="BT13" s="886"/>
      <c r="BU13" s="886"/>
      <c r="BV13" s="886"/>
      <c r="BW13" s="886"/>
      <c r="BX13" s="886"/>
      <c r="BY13" s="886"/>
      <c r="BZ13" s="886"/>
      <c r="CA13" s="886"/>
      <c r="CB13" s="886"/>
    </row>
    <row r="14" spans="1:80" s="18" customFormat="1" ht="15.75" x14ac:dyDescent="0.25">
      <c r="A14" s="886" t="s">
        <v>1258</v>
      </c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6"/>
      <c r="P14" s="886"/>
      <c r="Q14" s="886"/>
      <c r="R14" s="886"/>
      <c r="S14" s="886"/>
      <c r="T14" s="886"/>
      <c r="U14" s="886"/>
      <c r="V14" s="886"/>
      <c r="W14" s="886"/>
      <c r="X14" s="886"/>
      <c r="Y14" s="886"/>
      <c r="Z14" s="886"/>
      <c r="AA14" s="886"/>
      <c r="AB14" s="886"/>
      <c r="AC14" s="886"/>
      <c r="AD14" s="886"/>
      <c r="AE14" s="886"/>
      <c r="AF14" s="886"/>
      <c r="AG14" s="886"/>
      <c r="AH14" s="886"/>
      <c r="AI14" s="886"/>
      <c r="AJ14" s="886"/>
      <c r="AK14" s="886"/>
      <c r="AL14" s="886"/>
      <c r="AM14" s="886"/>
      <c r="AN14" s="886"/>
      <c r="AO14" s="886"/>
      <c r="AP14" s="886"/>
      <c r="AQ14" s="886"/>
      <c r="AR14" s="886"/>
      <c r="AS14" s="886"/>
      <c r="AT14" s="886"/>
      <c r="AU14" s="886"/>
      <c r="AV14" s="886"/>
      <c r="AW14" s="886"/>
      <c r="AX14" s="886"/>
      <c r="AY14" s="886"/>
      <c r="AZ14" s="886"/>
      <c r="BA14" s="886"/>
      <c r="BB14" s="886"/>
      <c r="BC14" s="886"/>
      <c r="BD14" s="886"/>
      <c r="BE14" s="886"/>
      <c r="BF14" s="886"/>
      <c r="BG14" s="886"/>
      <c r="BH14" s="886"/>
      <c r="BI14" s="886"/>
      <c r="BJ14" s="886"/>
      <c r="BK14" s="886"/>
      <c r="BL14" s="886"/>
      <c r="BM14" s="886"/>
      <c r="BN14" s="886"/>
      <c r="BO14" s="886"/>
      <c r="BP14" s="886"/>
      <c r="BQ14" s="886"/>
      <c r="BR14" s="886"/>
      <c r="BS14" s="886"/>
      <c r="BT14" s="886"/>
      <c r="BU14" s="886"/>
      <c r="BV14" s="886"/>
      <c r="BW14" s="886"/>
      <c r="BX14" s="886"/>
      <c r="BY14" s="886"/>
      <c r="BZ14" s="886"/>
      <c r="CA14" s="886"/>
      <c r="CB14" s="886"/>
    </row>
    <row r="15" spans="1:80" s="18" customFormat="1" ht="10.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</row>
    <row r="16" spans="1:80" x14ac:dyDescent="0.2">
      <c r="A16" s="57" t="s">
        <v>27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</row>
    <row r="17" spans="1:80" x14ac:dyDescent="0.2">
      <c r="A17" s="11" t="s">
        <v>345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</row>
    <row r="18" spans="1:80" x14ac:dyDescent="0.2">
      <c r="A18" s="926" t="str">
        <f>IF('Данные объект'!C43="","",'Данные объект'!C43)</f>
      </c>
      <c r="B18" s="926"/>
      <c r="C18" s="926"/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6"/>
      <c r="V18" s="926"/>
      <c r="W18" s="926"/>
      <c r="X18" s="926"/>
      <c r="Y18" s="926"/>
      <c r="Z18" s="926"/>
      <c r="AA18" s="926"/>
      <c r="AB18" s="926"/>
      <c r="AC18" s="926"/>
      <c r="AD18" s="926"/>
      <c r="AE18" s="926"/>
      <c r="AF18" s="926"/>
      <c r="AG18" s="926"/>
      <c r="AH18" s="926"/>
      <c r="AI18" s="926"/>
      <c r="AJ18" s="926"/>
      <c r="AK18" s="926"/>
      <c r="AL18" s="926"/>
      <c r="AM18" s="926"/>
      <c r="AN18" s="926"/>
      <c r="AO18" s="926"/>
      <c r="AP18" s="926"/>
      <c r="AQ18" s="926"/>
      <c r="AR18" s="926"/>
      <c r="AS18" s="926"/>
      <c r="AT18" s="926"/>
      <c r="AU18" s="926"/>
      <c r="AV18" s="926"/>
      <c r="AW18" s="926"/>
      <c r="AX18" s="926"/>
      <c r="AY18" s="926"/>
      <c r="AZ18" s="926"/>
      <c r="BA18" s="926"/>
      <c r="BB18" s="926"/>
      <c r="BC18" s="926"/>
      <c r="BD18" s="926"/>
      <c r="BE18" s="926"/>
      <c r="BF18" s="926"/>
      <c r="BG18" s="926"/>
      <c r="BH18" s="926"/>
      <c r="BI18" s="926"/>
      <c r="BJ18" s="926"/>
      <c r="BK18" s="926"/>
      <c r="BL18" s="926"/>
      <c r="BM18" s="926"/>
      <c r="BN18" s="926"/>
      <c r="BO18" s="926"/>
      <c r="BP18" s="926"/>
      <c r="BQ18" s="926"/>
      <c r="BR18" s="926"/>
      <c r="BS18" s="926"/>
      <c r="BT18" s="926"/>
      <c r="BU18" s="926"/>
      <c r="BV18" s="926"/>
      <c r="BW18" s="926"/>
      <c r="BX18" s="926"/>
      <c r="BY18" s="926"/>
      <c r="BZ18" s="926"/>
      <c r="CA18" s="926"/>
      <c r="CB18" s="926"/>
    </row>
    <row r="19" spans="1:80" s="5" customFormat="1" ht="8.25" x14ac:dyDescent="0.15">
      <c r="A19" s="932" t="s">
        <v>31</v>
      </c>
      <c r="B19" s="932"/>
      <c r="C19" s="932"/>
      <c r="D19" s="932"/>
      <c r="E19" s="932"/>
      <c r="F19" s="932"/>
      <c r="G19" s="932"/>
      <c r="H19" s="932"/>
      <c r="I19" s="932"/>
      <c r="J19" s="932"/>
      <c r="K19" s="932"/>
      <c r="L19" s="932"/>
      <c r="M19" s="932"/>
      <c r="N19" s="932"/>
      <c r="O19" s="932"/>
      <c r="P19" s="932"/>
      <c r="Q19" s="932"/>
      <c r="R19" s="932"/>
      <c r="S19" s="932"/>
      <c r="T19" s="932"/>
      <c r="U19" s="932"/>
      <c r="V19" s="932"/>
      <c r="W19" s="932"/>
      <c r="X19" s="932"/>
      <c r="Y19" s="932"/>
      <c r="Z19" s="932"/>
      <c r="AA19" s="932"/>
      <c r="AB19" s="932"/>
      <c r="AC19" s="932"/>
      <c r="AD19" s="932"/>
      <c r="AE19" s="932"/>
      <c r="AF19" s="932"/>
      <c r="AG19" s="932"/>
      <c r="AH19" s="932"/>
      <c r="AI19" s="932"/>
      <c r="AJ19" s="932"/>
      <c r="AK19" s="932"/>
      <c r="AL19" s="932"/>
      <c r="AM19" s="932"/>
      <c r="AN19" s="932"/>
      <c r="AO19" s="932"/>
      <c r="AP19" s="932"/>
      <c r="AQ19" s="932"/>
      <c r="AR19" s="932"/>
      <c r="AS19" s="932"/>
      <c r="AT19" s="932"/>
      <c r="AU19" s="932"/>
      <c r="AV19" s="932"/>
      <c r="AW19" s="932"/>
      <c r="AX19" s="932"/>
      <c r="AY19" s="932"/>
      <c r="AZ19" s="932"/>
      <c r="BA19" s="932"/>
      <c r="BB19" s="932"/>
      <c r="BC19" s="932"/>
      <c r="BD19" s="932"/>
      <c r="BE19" s="932"/>
      <c r="BF19" s="932"/>
      <c r="BG19" s="932"/>
      <c r="BH19" s="932"/>
      <c r="BI19" s="932"/>
      <c r="BJ19" s="932"/>
      <c r="BK19" s="932"/>
      <c r="BL19" s="932"/>
      <c r="BM19" s="932"/>
      <c r="BN19" s="932"/>
      <c r="BO19" s="932"/>
      <c r="BP19" s="932"/>
      <c r="BQ19" s="932"/>
      <c r="BR19" s="932"/>
      <c r="BS19" s="932"/>
      <c r="BT19" s="932"/>
      <c r="BU19" s="932"/>
      <c r="BV19" s="932"/>
      <c r="BW19" s="932"/>
      <c r="BX19" s="932"/>
      <c r="BY19" s="932"/>
      <c r="BZ19" s="932"/>
      <c r="CA19" s="932"/>
      <c r="CB19" s="932"/>
    </row>
    <row r="20" spans="1:80" hidden="1" outlineLevel="1" x14ac:dyDescent="0.2">
      <c r="A20" s="2" t="s">
        <v>29</v>
      </c>
    </row>
    <row r="21" spans="1:80" outlineLevel="1" x14ac:dyDescent="0.2">
      <c r="A21" s="926">
        <f>IF('Данные объект'!C46="","",'Данные объект'!C46)</f>
      </c>
      <c r="B21" s="926"/>
      <c r="C21" s="926"/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6"/>
      <c r="V21" s="926"/>
      <c r="W21" s="926"/>
      <c r="X21" s="926"/>
      <c r="Y21" s="926"/>
      <c r="Z21" s="926"/>
      <c r="AA21" s="926"/>
      <c r="AB21" s="926"/>
      <c r="AC21" s="926"/>
      <c r="AD21" s="926"/>
      <c r="AE21" s="926"/>
      <c r="AF21" s="926"/>
      <c r="AG21" s="926"/>
      <c r="AH21" s="926"/>
      <c r="AI21" s="926"/>
      <c r="AJ21" s="926"/>
      <c r="AK21" s="926"/>
      <c r="AL21" s="926"/>
      <c r="AM21" s="926"/>
      <c r="AN21" s="926"/>
      <c r="AO21" s="926"/>
      <c r="AP21" s="926"/>
      <c r="AQ21" s="926"/>
      <c r="AR21" s="926"/>
      <c r="AS21" s="926"/>
      <c r="AT21" s="926"/>
      <c r="AU21" s="926"/>
      <c r="AV21" s="926"/>
      <c r="AW21" s="926"/>
      <c r="AX21" s="926"/>
      <c r="AY21" s="926"/>
      <c r="AZ21" s="926"/>
      <c r="BA21" s="926"/>
      <c r="BB21" s="926"/>
      <c r="BC21" s="926"/>
      <c r="BD21" s="926"/>
      <c r="BE21" s="926"/>
      <c r="BF21" s="926"/>
      <c r="BG21" s="926"/>
      <c r="BH21" s="926"/>
      <c r="BI21" s="926"/>
      <c r="BJ21" s="926"/>
      <c r="BK21" s="926"/>
      <c r="BL21" s="926"/>
      <c r="BM21" s="926"/>
      <c r="BN21" s="926"/>
      <c r="BO21" s="926"/>
      <c r="BP21" s="926"/>
      <c r="BQ21" s="926"/>
      <c r="BR21" s="926"/>
      <c r="BS21" s="926"/>
      <c r="BT21" s="926"/>
      <c r="BU21" s="926"/>
      <c r="BV21" s="926"/>
      <c r="BW21" s="926"/>
      <c r="BX21" s="926"/>
      <c r="BY21" s="926"/>
      <c r="BZ21" s="926"/>
      <c r="CA21" s="926"/>
      <c r="CB21" s="926"/>
    </row>
    <row r="22" spans="1:80" s="5" customFormat="1" ht="8.25" outlineLevel="1" x14ac:dyDescent="0.15">
      <c r="A22" s="932" t="s">
        <v>31</v>
      </c>
      <c r="B22" s="932"/>
      <c r="C22" s="932"/>
      <c r="D22" s="932"/>
      <c r="E22" s="932"/>
      <c r="F22" s="932"/>
      <c r="G22" s="932"/>
      <c r="H22" s="932"/>
      <c r="I22" s="932"/>
      <c r="J22" s="932"/>
      <c r="K22" s="932"/>
      <c r="L22" s="932"/>
      <c r="M22" s="932"/>
      <c r="N22" s="932"/>
      <c r="O22" s="932"/>
      <c r="P22" s="932"/>
      <c r="Q22" s="932"/>
      <c r="R22" s="932"/>
      <c r="S22" s="932"/>
      <c r="T22" s="932"/>
      <c r="U22" s="932"/>
      <c r="V22" s="932"/>
      <c r="W22" s="932"/>
      <c r="X22" s="932"/>
      <c r="Y22" s="932"/>
      <c r="Z22" s="932"/>
      <c r="AA22" s="932"/>
      <c r="AB22" s="932"/>
      <c r="AC22" s="932"/>
      <c r="AD22" s="932"/>
      <c r="AE22" s="932"/>
      <c r="AF22" s="932"/>
      <c r="AG22" s="932"/>
      <c r="AH22" s="932"/>
      <c r="AI22" s="932"/>
      <c r="AJ22" s="932"/>
      <c r="AK22" s="932"/>
      <c r="AL22" s="932"/>
      <c r="AM22" s="932"/>
      <c r="AN22" s="932"/>
      <c r="AO22" s="932"/>
      <c r="AP22" s="932"/>
      <c r="AQ22" s="932"/>
      <c r="AR22" s="932"/>
      <c r="AS22" s="932"/>
      <c r="AT22" s="932"/>
      <c r="AU22" s="932"/>
      <c r="AV22" s="932"/>
      <c r="AW22" s="932"/>
      <c r="AX22" s="932"/>
      <c r="AY22" s="932"/>
      <c r="AZ22" s="932"/>
      <c r="BA22" s="932"/>
      <c r="BB22" s="932"/>
      <c r="BC22" s="932"/>
      <c r="BD22" s="932"/>
      <c r="BE22" s="932"/>
      <c r="BF22" s="932"/>
      <c r="BG22" s="932"/>
      <c r="BH22" s="932"/>
      <c r="BI22" s="932"/>
      <c r="BJ22" s="932"/>
      <c r="BK22" s="932"/>
      <c r="BL22" s="932"/>
      <c r="BM22" s="932"/>
      <c r="BN22" s="932"/>
      <c r="BO22" s="932"/>
      <c r="BP22" s="932"/>
      <c r="BQ22" s="932"/>
      <c r="BR22" s="932"/>
      <c r="BS22" s="932"/>
      <c r="BT22" s="932"/>
      <c r="BU22" s="932"/>
      <c r="BV22" s="932"/>
      <c r="BW22" s="932"/>
      <c r="BX22" s="932"/>
      <c r="BY22" s="932"/>
      <c r="BZ22" s="932"/>
      <c r="CA22" s="932"/>
      <c r="CB22" s="932"/>
    </row>
    <row r="23" spans="1:80" s="5" customFormat="1" ht="8.25" hidden="1" outlineLevel="1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 spans="1:80" s="5" customFormat="1" ht="13.5" hidden="1" outlineLevel="1" x14ac:dyDescent="0.15">
      <c r="A24" s="1097"/>
      <c r="B24" s="1097"/>
      <c r="C24" s="1097"/>
      <c r="D24" s="1097"/>
      <c r="E24" s="1097"/>
      <c r="F24" s="1097"/>
      <c r="G24" s="1097"/>
      <c r="H24" s="1097"/>
      <c r="I24" s="1097"/>
      <c r="J24" s="1097"/>
      <c r="K24" s="1097"/>
      <c r="L24" s="1097"/>
      <c r="M24" s="1097"/>
      <c r="N24" s="1097"/>
      <c r="O24" s="1097"/>
      <c r="P24" s="1097"/>
      <c r="Q24" s="1097"/>
      <c r="R24" s="1097"/>
      <c r="S24" s="1097"/>
      <c r="T24" s="1097"/>
      <c r="U24" s="1097"/>
      <c r="V24" s="1097"/>
      <c r="W24" s="1097"/>
      <c r="X24" s="1097"/>
      <c r="Y24" s="1097"/>
      <c r="Z24" s="1097"/>
      <c r="AA24" s="1097"/>
      <c r="AB24" s="1097"/>
      <c r="AC24" s="1097"/>
      <c r="AD24" s="1097"/>
      <c r="AE24" s="1097"/>
      <c r="AF24" s="1097"/>
      <c r="AG24" s="1097"/>
      <c r="AH24" s="1097"/>
      <c r="AI24" s="1097"/>
      <c r="AJ24" s="1097"/>
      <c r="AK24" s="1097"/>
      <c r="AL24" s="1097"/>
      <c r="AM24" s="1097"/>
      <c r="AN24" s="1097"/>
      <c r="AO24" s="1097"/>
      <c r="AP24" s="1097"/>
      <c r="AQ24" s="1097"/>
      <c r="AR24" s="1097"/>
      <c r="AS24" s="1097"/>
      <c r="AT24" s="1097"/>
      <c r="AU24" s="1097"/>
      <c r="AV24" s="1097"/>
      <c r="AW24" s="1097"/>
      <c r="AX24" s="1097"/>
      <c r="AY24" s="1097"/>
      <c r="AZ24" s="1097"/>
      <c r="BA24" s="1097"/>
      <c r="BB24" s="1097"/>
      <c r="BC24" s="1097"/>
      <c r="BD24" s="1097"/>
      <c r="BE24" s="1097"/>
      <c r="BF24" s="1097"/>
      <c r="BG24" s="1097"/>
      <c r="BH24" s="1097"/>
      <c r="BI24" s="1097"/>
      <c r="BJ24" s="1097"/>
      <c r="BK24" s="1097"/>
      <c r="BL24" s="1097"/>
      <c r="BM24" s="1097"/>
      <c r="BN24" s="1097"/>
      <c r="BO24" s="1097"/>
      <c r="BP24" s="1097"/>
      <c r="BQ24" s="1097"/>
      <c r="BR24" s="1097"/>
      <c r="BS24" s="1097"/>
      <c r="BT24" s="1097"/>
      <c r="BU24" s="1097"/>
      <c r="BV24" s="1097"/>
      <c r="BW24" s="1097"/>
      <c r="BX24" s="1097"/>
      <c r="BY24" s="1097"/>
      <c r="BZ24" s="1097"/>
      <c r="CA24" s="1097"/>
      <c r="CB24" s="1097"/>
    </row>
    <row r="25" spans="1:80" s="5" customFormat="1" ht="8.25" hidden="1" outlineLevel="1" x14ac:dyDescent="0.15">
      <c r="A25" s="932" t="s">
        <v>31</v>
      </c>
      <c r="B25" s="932"/>
      <c r="C25" s="932"/>
      <c r="D25" s="932"/>
      <c r="E25" s="932"/>
      <c r="F25" s="932"/>
      <c r="G25" s="932"/>
      <c r="H25" s="932"/>
      <c r="I25" s="932"/>
      <c r="J25" s="932"/>
      <c r="K25" s="932"/>
      <c r="L25" s="932"/>
      <c r="M25" s="932"/>
      <c r="N25" s="932"/>
      <c r="O25" s="932"/>
      <c r="P25" s="932"/>
      <c r="Q25" s="932"/>
      <c r="R25" s="932"/>
      <c r="S25" s="932"/>
      <c r="T25" s="932"/>
      <c r="U25" s="932"/>
      <c r="V25" s="932"/>
      <c r="W25" s="932"/>
      <c r="X25" s="932"/>
      <c r="Y25" s="932"/>
      <c r="Z25" s="932"/>
      <c r="AA25" s="932"/>
      <c r="AB25" s="932"/>
      <c r="AC25" s="932"/>
      <c r="AD25" s="932"/>
      <c r="AE25" s="932"/>
      <c r="AF25" s="932"/>
      <c r="AG25" s="932"/>
      <c r="AH25" s="932"/>
      <c r="AI25" s="932"/>
      <c r="AJ25" s="932"/>
      <c r="AK25" s="932"/>
      <c r="AL25" s="932"/>
      <c r="AM25" s="932"/>
      <c r="AN25" s="932"/>
      <c r="AO25" s="932"/>
      <c r="AP25" s="932"/>
      <c r="AQ25" s="932"/>
      <c r="AR25" s="932"/>
      <c r="AS25" s="932"/>
      <c r="AT25" s="932"/>
      <c r="AU25" s="932"/>
      <c r="AV25" s="932"/>
      <c r="AW25" s="932"/>
      <c r="AX25" s="932"/>
      <c r="AY25" s="932"/>
      <c r="AZ25" s="932"/>
      <c r="BA25" s="932"/>
      <c r="BB25" s="932"/>
      <c r="BC25" s="932"/>
      <c r="BD25" s="932"/>
      <c r="BE25" s="932"/>
      <c r="BF25" s="932"/>
      <c r="BG25" s="932"/>
      <c r="BH25" s="932"/>
      <c r="BI25" s="932"/>
      <c r="BJ25" s="932"/>
      <c r="BK25" s="932"/>
      <c r="BL25" s="932"/>
      <c r="BM25" s="932"/>
      <c r="BN25" s="932"/>
      <c r="BO25" s="932"/>
      <c r="BP25" s="932"/>
      <c r="BQ25" s="932"/>
      <c r="BR25" s="932"/>
      <c r="BS25" s="932"/>
      <c r="BT25" s="932"/>
      <c r="BU25" s="932"/>
      <c r="BV25" s="932"/>
      <c r="BW25" s="932"/>
      <c r="BX25" s="932"/>
      <c r="BY25" s="932"/>
      <c r="BZ25" s="932"/>
      <c r="CA25" s="932"/>
      <c r="CB25" s="932"/>
    </row>
    <row r="26" spans="1:80" x14ac:dyDescent="0.2">
      <c r="A26" s="11" t="s">
        <v>30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</row>
    <row r="27" spans="1:80" x14ac:dyDescent="0.2">
      <c r="A27" s="926" t="str">
        <f>IF('Данные объект'!C28="","",'Данные объект'!C28)</f>
      </c>
      <c r="B27" s="926"/>
      <c r="C27" s="926"/>
      <c r="D27" s="926"/>
      <c r="E27" s="926"/>
      <c r="F27" s="926"/>
      <c r="G27" s="926"/>
      <c r="H27" s="926"/>
      <c r="I27" s="926"/>
      <c r="J27" s="926"/>
      <c r="K27" s="926"/>
      <c r="L27" s="926"/>
      <c r="M27" s="926"/>
      <c r="N27" s="926"/>
      <c r="O27" s="926"/>
      <c r="P27" s="926"/>
      <c r="Q27" s="926"/>
      <c r="R27" s="926"/>
      <c r="S27" s="926"/>
      <c r="T27" s="926"/>
      <c r="U27" s="926"/>
      <c r="V27" s="926"/>
      <c r="W27" s="926"/>
      <c r="X27" s="926"/>
      <c r="Y27" s="926"/>
      <c r="Z27" s="926"/>
      <c r="AA27" s="926"/>
      <c r="AB27" s="926"/>
      <c r="AC27" s="926"/>
      <c r="AD27" s="926"/>
      <c r="AE27" s="926"/>
      <c r="AF27" s="926"/>
      <c r="AG27" s="926"/>
      <c r="AH27" s="926"/>
      <c r="AI27" s="926"/>
      <c r="AJ27" s="926"/>
      <c r="AK27" s="926"/>
      <c r="AL27" s="926"/>
      <c r="AM27" s="926"/>
      <c r="AN27" s="926"/>
      <c r="AO27" s="926"/>
      <c r="AP27" s="926"/>
      <c r="AQ27" s="926"/>
      <c r="AR27" s="926"/>
      <c r="AS27" s="926"/>
      <c r="AT27" s="926"/>
      <c r="AU27" s="926"/>
      <c r="AV27" s="926"/>
      <c r="AW27" s="926"/>
      <c r="AX27" s="926"/>
      <c r="AY27" s="926"/>
      <c r="AZ27" s="926"/>
      <c r="BA27" s="926"/>
      <c r="BB27" s="926"/>
      <c r="BC27" s="926"/>
      <c r="BD27" s="926"/>
      <c r="BE27" s="926"/>
      <c r="BF27" s="926"/>
      <c r="BG27" s="926"/>
      <c r="BH27" s="926"/>
      <c r="BI27" s="926"/>
      <c r="BJ27" s="926"/>
      <c r="BK27" s="926"/>
      <c r="BL27" s="926"/>
      <c r="BM27" s="926"/>
      <c r="BN27" s="926"/>
      <c r="BO27" s="926"/>
      <c r="BP27" s="926"/>
      <c r="BQ27" s="926"/>
      <c r="BR27" s="926"/>
      <c r="BS27" s="926"/>
      <c r="BT27" s="926"/>
      <c r="BU27" s="926"/>
      <c r="BV27" s="926"/>
      <c r="BW27" s="926"/>
      <c r="BX27" s="926"/>
      <c r="BY27" s="926"/>
      <c r="BZ27" s="926"/>
      <c r="CA27" s="926"/>
      <c r="CB27" s="926"/>
    </row>
    <row r="28" spans="1:80" s="5" customFormat="1" ht="8.25" x14ac:dyDescent="0.15">
      <c r="A28" s="932" t="s">
        <v>31</v>
      </c>
      <c r="B28" s="932"/>
      <c r="C28" s="932"/>
      <c r="D28" s="932"/>
      <c r="E28" s="932"/>
      <c r="F28" s="932"/>
      <c r="G28" s="932"/>
      <c r="H28" s="932"/>
      <c r="I28" s="932"/>
      <c r="J28" s="932"/>
      <c r="K28" s="932"/>
      <c r="L28" s="932"/>
      <c r="M28" s="932"/>
      <c r="N28" s="932"/>
      <c r="O28" s="932"/>
      <c r="P28" s="932"/>
      <c r="Q28" s="932"/>
      <c r="R28" s="932"/>
      <c r="S28" s="932"/>
      <c r="T28" s="932"/>
      <c r="U28" s="932"/>
      <c r="V28" s="932"/>
      <c r="W28" s="932"/>
      <c r="X28" s="932"/>
      <c r="Y28" s="932"/>
      <c r="Z28" s="932"/>
      <c r="AA28" s="932"/>
      <c r="AB28" s="932"/>
      <c r="AC28" s="932"/>
      <c r="AD28" s="932"/>
      <c r="AE28" s="932"/>
      <c r="AF28" s="932"/>
      <c r="AG28" s="932"/>
      <c r="AH28" s="932"/>
      <c r="AI28" s="932"/>
      <c r="AJ28" s="932"/>
      <c r="AK28" s="932"/>
      <c r="AL28" s="932"/>
      <c r="AM28" s="932"/>
      <c r="AN28" s="932"/>
      <c r="AO28" s="932"/>
      <c r="AP28" s="932"/>
      <c r="AQ28" s="932"/>
      <c r="AR28" s="932"/>
      <c r="AS28" s="932"/>
      <c r="AT28" s="932"/>
      <c r="AU28" s="932"/>
      <c r="AV28" s="932"/>
      <c r="AW28" s="932"/>
      <c r="AX28" s="932"/>
      <c r="AY28" s="932"/>
      <c r="AZ28" s="932"/>
      <c r="BA28" s="932"/>
      <c r="BB28" s="932"/>
      <c r="BC28" s="932"/>
      <c r="BD28" s="932"/>
      <c r="BE28" s="932"/>
      <c r="BF28" s="932"/>
      <c r="BG28" s="932"/>
      <c r="BH28" s="932"/>
      <c r="BI28" s="932"/>
      <c r="BJ28" s="932"/>
      <c r="BK28" s="932"/>
      <c r="BL28" s="932"/>
      <c r="BM28" s="932"/>
      <c r="BN28" s="932"/>
      <c r="BO28" s="932"/>
      <c r="BP28" s="932"/>
      <c r="BQ28" s="932"/>
      <c r="BR28" s="932"/>
      <c r="BS28" s="932"/>
      <c r="BT28" s="932"/>
      <c r="BU28" s="932"/>
      <c r="BV28" s="932"/>
      <c r="BW28" s="932"/>
      <c r="BX28" s="932"/>
      <c r="BY28" s="932"/>
      <c r="BZ28" s="932"/>
      <c r="CA28" s="932"/>
      <c r="CB28" s="932"/>
    </row>
    <row r="29" spans="1:80" x14ac:dyDescent="0.2">
      <c r="A29" s="11" t="s">
        <v>275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</row>
    <row r="30" spans="1:80" x14ac:dyDescent="0.2">
      <c r="A30" s="11"/>
      <c r="B30" s="11"/>
      <c r="C30" s="57" t="s">
        <v>276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</row>
    <row r="31" spans="1:80" x14ac:dyDescent="0.2">
      <c r="A31" s="11" t="s">
        <v>33</v>
      </c>
      <c r="B31" s="11"/>
      <c r="C31" s="11" t="s">
        <v>277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</row>
    <row r="32" spans="1:80" ht="13.15" customHeight="1" x14ac:dyDescent="0.2">
      <c r="A32" s="11"/>
      <c r="B32" s="11"/>
      <c r="C32" s="1096" t="str">
        <f>IF('Данные объект'!B56="","",'Данные объект'!B56)</f>
      </c>
      <c r="D32" s="1096"/>
      <c r="E32" s="1096"/>
      <c r="F32" s="1096"/>
      <c r="G32" s="1096"/>
      <c r="H32" s="1096"/>
      <c r="I32" s="1096"/>
      <c r="J32" s="1096"/>
      <c r="K32" s="1096"/>
      <c r="L32" s="1096"/>
      <c r="M32" s="1096"/>
      <c r="N32" s="1096"/>
      <c r="O32" s="1096"/>
      <c r="P32" s="1096"/>
      <c r="Q32" s="1096"/>
      <c r="R32" s="1096"/>
      <c r="S32" s="1096"/>
      <c r="T32" s="1096"/>
      <c r="U32" s="1096"/>
      <c r="V32" s="1096"/>
      <c r="W32" s="1096"/>
      <c r="X32" s="1096"/>
      <c r="Y32" s="1096"/>
      <c r="Z32" s="1096"/>
      <c r="AA32" s="1096"/>
      <c r="AB32" s="1096"/>
      <c r="AC32" s="1096"/>
      <c r="AD32" s="1096"/>
      <c r="AE32" s="1096"/>
      <c r="AF32" s="1096"/>
      <c r="AG32" s="1096"/>
      <c r="AH32" s="1096"/>
      <c r="AI32" s="1096"/>
      <c r="AJ32" s="1096"/>
      <c r="AK32" s="1096"/>
      <c r="AL32" s="1096"/>
      <c r="AM32" s="1096"/>
      <c r="AN32" s="1096"/>
      <c r="AO32" s="1096"/>
      <c r="AP32" s="1096"/>
      <c r="AQ32" s="1096"/>
      <c r="AR32" s="1096"/>
      <c r="AS32" s="1096"/>
      <c r="AT32" s="1096"/>
      <c r="AU32" s="1096"/>
      <c r="AV32" s="1096"/>
      <c r="AW32" s="1096"/>
      <c r="AX32" s="1096"/>
      <c r="AY32" s="1096"/>
      <c r="AZ32" s="1096"/>
      <c r="BA32" s="1096"/>
      <c r="BB32" s="1096"/>
      <c r="BC32" s="1096"/>
      <c r="BD32" s="1096"/>
      <c r="BE32" s="1096"/>
      <c r="BF32" s="1096"/>
      <c r="BG32" s="1096"/>
      <c r="BH32" s="1096"/>
      <c r="BI32" s="1096"/>
      <c r="BJ32" s="1096"/>
      <c r="BK32" s="1096"/>
      <c r="BL32" s="1096"/>
      <c r="BM32" s="1096"/>
      <c r="BN32" s="1096"/>
      <c r="BO32" s="1096"/>
      <c r="BP32" s="1096"/>
      <c r="BQ32" s="1096"/>
      <c r="BR32" s="1096"/>
      <c r="BS32" s="1096"/>
      <c r="BT32" s="1096"/>
      <c r="BU32" s="1096"/>
      <c r="BV32" s="1096"/>
      <c r="BW32" s="1096"/>
      <c r="BX32" s="1096"/>
      <c r="BY32" s="1096"/>
      <c r="BZ32" s="1096"/>
      <c r="CA32" s="1096"/>
      <c r="CB32" s="1096"/>
    </row>
    <row r="33" spans="1:80" s="5" customFormat="1" ht="8.25" x14ac:dyDescent="0.15">
      <c r="C33" s="838" t="s">
        <v>278</v>
      </c>
      <c r="D33" s="838"/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8"/>
      <c r="AI33" s="838"/>
      <c r="AJ33" s="838"/>
      <c r="AK33" s="838"/>
      <c r="AL33" s="838"/>
      <c r="AM33" s="838"/>
      <c r="AN33" s="838"/>
      <c r="AO33" s="838"/>
      <c r="AP33" s="838"/>
      <c r="AQ33" s="838"/>
      <c r="AR33" s="838"/>
      <c r="AS33" s="838"/>
      <c r="AT33" s="838"/>
      <c r="AU33" s="838"/>
      <c r="AV33" s="838"/>
      <c r="AW33" s="838"/>
      <c r="AX33" s="838"/>
      <c r="AY33" s="838"/>
      <c r="AZ33" s="838"/>
      <c r="BA33" s="838"/>
      <c r="BB33" s="838"/>
      <c r="BC33" s="838"/>
      <c r="BD33" s="838"/>
      <c r="BE33" s="838"/>
      <c r="BF33" s="838"/>
      <c r="BG33" s="838"/>
      <c r="BH33" s="838"/>
      <c r="BI33" s="838"/>
      <c r="BJ33" s="838"/>
      <c r="BK33" s="838"/>
      <c r="BL33" s="838"/>
      <c r="BM33" s="838"/>
      <c r="BN33" s="838"/>
      <c r="BO33" s="838"/>
      <c r="BP33" s="838"/>
      <c r="BQ33" s="838"/>
      <c r="BR33" s="838"/>
      <c r="BS33" s="838"/>
      <c r="BT33" s="838"/>
      <c r="BU33" s="838"/>
      <c r="BV33" s="838"/>
      <c r="BW33" s="838"/>
      <c r="BX33" s="838"/>
      <c r="BY33" s="838"/>
      <c r="BZ33" s="838"/>
      <c r="CA33" s="838"/>
    </row>
    <row r="34" spans="1:80" s="11" customFormat="1" ht="11.25" x14ac:dyDescent="0.2">
      <c r="C34" s="11" t="s">
        <v>117</v>
      </c>
      <c r="O34" s="841" t="str">
        <f>IF('Данные объект'!B52="","",'Данные объект'!B52)</f>
      </c>
      <c r="P34" s="841"/>
      <c r="Q34" s="841"/>
      <c r="R34" s="841"/>
      <c r="S34" s="841"/>
      <c r="T34" s="841"/>
      <c r="U34" s="841"/>
      <c r="V34" s="841"/>
      <c r="W34" s="841"/>
      <c r="X34" s="841"/>
      <c r="Y34" s="841"/>
      <c r="Z34" s="841"/>
      <c r="AA34" s="841"/>
      <c r="AB34" s="841"/>
      <c r="AC34" s="841"/>
      <c r="AD34" s="841"/>
      <c r="AE34" s="841"/>
      <c r="AF34" s="841"/>
      <c r="AG34" s="841"/>
      <c r="AH34" s="841"/>
      <c r="AI34" s="841"/>
      <c r="AJ34" s="841"/>
      <c r="AK34" s="841"/>
      <c r="AL34" s="841"/>
      <c r="AM34" s="841"/>
      <c r="AN34" s="841"/>
      <c r="AO34" s="841"/>
      <c r="AP34" s="841"/>
      <c r="AQ34" s="841"/>
      <c r="AR34" s="841"/>
      <c r="AS34" s="841"/>
      <c r="AT34" s="841"/>
      <c r="AU34" s="841"/>
      <c r="AV34" s="841"/>
      <c r="AW34" s="841"/>
      <c r="AX34" s="841"/>
      <c r="AY34" s="841"/>
      <c r="AZ34" s="841"/>
      <c r="BA34" s="841"/>
      <c r="BB34" s="841"/>
      <c r="BC34" s="841"/>
      <c r="BD34" s="841"/>
      <c r="BE34" s="11" t="s">
        <v>253</v>
      </c>
      <c r="BO34" s="841"/>
      <c r="BP34" s="841"/>
      <c r="BQ34" s="841"/>
      <c r="BR34" s="841"/>
      <c r="BS34" s="841"/>
      <c r="BT34" s="841"/>
      <c r="BU34" s="841"/>
      <c r="BV34" s="841"/>
      <c r="BW34" s="841"/>
      <c r="BX34" s="841"/>
      <c r="BY34" s="841"/>
      <c r="BZ34" s="841"/>
      <c r="CA34" s="841"/>
      <c r="CB34" s="841"/>
    </row>
    <row r="35" spans="1:80" s="5" customFormat="1" ht="8.25" x14ac:dyDescent="0.15">
      <c r="O35" s="858" t="s">
        <v>38</v>
      </c>
      <c r="P35" s="858"/>
      <c r="Q35" s="858"/>
      <c r="R35" s="858"/>
      <c r="S35" s="858"/>
      <c r="T35" s="858"/>
      <c r="U35" s="858"/>
      <c r="V35" s="858"/>
      <c r="W35" s="858"/>
      <c r="X35" s="858"/>
      <c r="Y35" s="858"/>
      <c r="Z35" s="858"/>
      <c r="AA35" s="858"/>
      <c r="AB35" s="858"/>
      <c r="AC35" s="858"/>
      <c r="AD35" s="858"/>
      <c r="AE35" s="858"/>
      <c r="AF35" s="858"/>
      <c r="AG35" s="858"/>
      <c r="AH35" s="858"/>
      <c r="AI35" s="858"/>
      <c r="AJ35" s="858"/>
      <c r="AK35" s="858"/>
      <c r="AL35" s="858"/>
      <c r="AM35" s="858"/>
      <c r="AN35" s="858"/>
      <c r="AO35" s="858"/>
      <c r="AP35" s="858"/>
      <c r="AQ35" s="858"/>
      <c r="AR35" s="858"/>
      <c r="AS35" s="858"/>
      <c r="AT35" s="858"/>
      <c r="AU35" s="858"/>
      <c r="AV35" s="858"/>
      <c r="AW35" s="858"/>
      <c r="AX35" s="858"/>
      <c r="AY35" s="858"/>
      <c r="AZ35" s="858"/>
      <c r="BA35" s="858"/>
      <c r="BB35" s="858"/>
      <c r="BC35" s="858"/>
      <c r="BD35" s="858"/>
      <c r="BO35" s="858" t="s">
        <v>279</v>
      </c>
      <c r="BP35" s="858"/>
      <c r="BQ35" s="858"/>
      <c r="BR35" s="858"/>
      <c r="BS35" s="858"/>
      <c r="BT35" s="858"/>
      <c r="BU35" s="858"/>
      <c r="BV35" s="858"/>
      <c r="BW35" s="858"/>
      <c r="BX35" s="858"/>
      <c r="BY35" s="858"/>
      <c r="BZ35" s="858"/>
      <c r="CA35" s="858"/>
      <c r="CB35" s="858"/>
    </row>
    <row r="36" spans="1:80" s="11" customFormat="1" ht="11.25" x14ac:dyDescent="0.2">
      <c r="A36" s="11" t="s">
        <v>36</v>
      </c>
      <c r="C36" s="11" t="s">
        <v>280</v>
      </c>
      <c r="T36" s="1095" t="s">
        <v>340</v>
      </c>
      <c r="U36" s="855"/>
      <c r="V36" s="855"/>
      <c r="W36" s="855"/>
      <c r="X36" s="855"/>
      <c r="Y36" s="855"/>
      <c r="Z36" s="855"/>
      <c r="AA36" s="855"/>
      <c r="AB36" s="855"/>
      <c r="AC36" s="855"/>
      <c r="AD36" s="855"/>
      <c r="AE36" s="855"/>
      <c r="AF36" s="855"/>
      <c r="AG36" s="855"/>
      <c r="AH36" s="855"/>
      <c r="AI36" s="855"/>
      <c r="AJ36" s="855"/>
      <c r="AK36" s="855"/>
      <c r="AL36" s="855"/>
      <c r="AM36" s="855"/>
      <c r="AN36" s="855"/>
      <c r="AO36" s="855"/>
      <c r="AP36" s="855"/>
      <c r="AQ36" s="855"/>
      <c r="AR36" s="855"/>
      <c r="AS36" s="855"/>
      <c r="AT36" s="855"/>
      <c r="AU36" s="855"/>
      <c r="AV36" s="855"/>
      <c r="AW36" s="855"/>
      <c r="AX36" s="855"/>
      <c r="AY36" s="855"/>
      <c r="AZ36" s="855"/>
      <c r="BA36" s="855"/>
      <c r="BB36" s="855"/>
      <c r="BC36" s="855"/>
      <c r="BD36" s="855"/>
      <c r="BE36" s="855"/>
      <c r="BF36" s="855"/>
      <c r="BG36" s="855"/>
      <c r="BH36" s="855"/>
      <c r="BI36" s="855"/>
      <c r="BJ36" s="855"/>
      <c r="BK36" s="855"/>
      <c r="BL36" s="855"/>
      <c r="BM36" s="855"/>
      <c r="BN36" s="855"/>
      <c r="BO36" s="855"/>
      <c r="BP36" s="855"/>
      <c r="BQ36" s="855"/>
      <c r="BR36" s="855"/>
      <c r="BS36" s="855"/>
      <c r="BT36" s="855"/>
      <c r="BU36" s="855"/>
      <c r="BV36" s="855"/>
      <c r="BW36" s="855"/>
      <c r="BX36" s="855"/>
      <c r="BY36" s="855"/>
      <c r="BZ36" s="855"/>
      <c r="CA36" s="855"/>
      <c r="CB36" s="855"/>
    </row>
    <row r="37" spans="1:80" s="11" customFormat="1" ht="11.25" x14ac:dyDescent="0.2">
      <c r="C37" s="11" t="s">
        <v>281</v>
      </c>
      <c r="N37" s="1095" t="s">
        <v>340</v>
      </c>
      <c r="O37" s="855"/>
      <c r="P37" s="855"/>
      <c r="Q37" s="855"/>
      <c r="R37" s="855"/>
      <c r="S37" s="855"/>
      <c r="T37" s="855"/>
      <c r="U37" s="855"/>
      <c r="V37" s="855"/>
      <c r="W37" s="855"/>
      <c r="X37" s="855"/>
      <c r="Y37" s="855"/>
      <c r="Z37" s="855"/>
      <c r="AA37" s="855"/>
      <c r="AB37" s="855"/>
      <c r="AC37" s="855"/>
      <c r="AD37" s="855"/>
      <c r="AE37" s="855"/>
      <c r="AF37" s="855"/>
      <c r="AG37" s="855"/>
      <c r="AH37" s="855"/>
      <c r="AI37" s="855"/>
      <c r="AJ37" s="855"/>
      <c r="AK37" s="855"/>
      <c r="AL37" s="855"/>
      <c r="AM37" s="855"/>
      <c r="AN37" s="855"/>
      <c r="AO37" s="855"/>
      <c r="AP37" s="855"/>
      <c r="AQ37" s="855"/>
      <c r="AR37" s="855"/>
      <c r="AS37" s="855"/>
      <c r="AT37" s="855"/>
      <c r="AU37" s="855"/>
      <c r="AV37" s="855"/>
      <c r="AW37" s="855"/>
      <c r="AX37" s="855"/>
      <c r="AY37" s="855"/>
      <c r="AZ37" s="855"/>
      <c r="BA37" s="855"/>
      <c r="BB37" s="855"/>
      <c r="BC37" s="855"/>
      <c r="BD37" s="855"/>
      <c r="BE37" s="855"/>
      <c r="BF37" s="855"/>
      <c r="BG37" s="855"/>
      <c r="BH37" s="855"/>
      <c r="BI37" s="855"/>
      <c r="BJ37" s="855"/>
      <c r="BK37" s="855"/>
      <c r="BL37" s="855"/>
      <c r="BM37" s="855"/>
      <c r="BN37" s="855"/>
      <c r="BO37" s="855"/>
      <c r="BP37" s="855"/>
      <c r="BQ37" s="855"/>
      <c r="BR37" s="855"/>
      <c r="BS37" s="855"/>
      <c r="BT37" s="855"/>
      <c r="BU37" s="855"/>
      <c r="BV37" s="855"/>
      <c r="BW37" s="855"/>
      <c r="BX37" s="855"/>
      <c r="BY37" s="855"/>
      <c r="BZ37" s="855"/>
      <c r="CA37" s="855"/>
      <c r="CB37" s="855"/>
    </row>
    <row r="38" spans="1:80" s="5" customFormat="1" ht="8.25" x14ac:dyDescent="0.15">
      <c r="N38" s="858" t="s">
        <v>282</v>
      </c>
      <c r="O38" s="858"/>
      <c r="P38" s="858"/>
      <c r="Q38" s="858"/>
      <c r="R38" s="858"/>
      <c r="S38" s="858"/>
      <c r="T38" s="858"/>
      <c r="U38" s="858"/>
      <c r="V38" s="858"/>
      <c r="W38" s="858"/>
      <c r="X38" s="858"/>
      <c r="Y38" s="858"/>
      <c r="Z38" s="858"/>
      <c r="AA38" s="858"/>
      <c r="AB38" s="858"/>
      <c r="AC38" s="858"/>
      <c r="AD38" s="858"/>
      <c r="AE38" s="858"/>
      <c r="AF38" s="858"/>
      <c r="AG38" s="858"/>
      <c r="AH38" s="858"/>
      <c r="AI38" s="858"/>
      <c r="AJ38" s="858"/>
      <c r="AK38" s="858"/>
      <c r="AL38" s="858"/>
      <c r="AM38" s="858"/>
      <c r="AN38" s="858"/>
      <c r="AO38" s="858"/>
      <c r="AP38" s="858"/>
      <c r="AQ38" s="858"/>
      <c r="AR38" s="858"/>
      <c r="AS38" s="858"/>
      <c r="AT38" s="858"/>
      <c r="AU38" s="858"/>
      <c r="AV38" s="858"/>
      <c r="AW38" s="858"/>
      <c r="AX38" s="858"/>
      <c r="AY38" s="858"/>
      <c r="AZ38" s="858"/>
      <c r="BA38" s="858"/>
      <c r="BB38" s="858"/>
      <c r="BC38" s="858"/>
      <c r="BD38" s="858"/>
      <c r="BE38" s="858"/>
      <c r="BF38" s="858"/>
      <c r="BG38" s="858"/>
      <c r="BH38" s="858"/>
      <c r="BI38" s="858"/>
      <c r="BJ38" s="858"/>
      <c r="BK38" s="858"/>
      <c r="BL38" s="858"/>
      <c r="BM38" s="858"/>
      <c r="BN38" s="858"/>
      <c r="BO38" s="858"/>
      <c r="BP38" s="858"/>
      <c r="BQ38" s="858"/>
      <c r="BR38" s="858"/>
      <c r="BS38" s="858"/>
      <c r="BT38" s="858"/>
      <c r="BU38" s="858"/>
      <c r="BV38" s="858"/>
      <c r="BW38" s="858"/>
      <c r="BX38" s="858"/>
      <c r="BY38" s="858"/>
      <c r="BZ38" s="858"/>
      <c r="CA38" s="858"/>
      <c r="CB38" s="858"/>
    </row>
    <row r="39" spans="1:80" s="11" customFormat="1" ht="11.25" x14ac:dyDescent="0.2">
      <c r="C39" s="11" t="s">
        <v>283</v>
      </c>
      <c r="R39" s="1095" t="s">
        <v>340</v>
      </c>
      <c r="S39" s="855"/>
      <c r="T39" s="855"/>
      <c r="U39" s="855"/>
      <c r="V39" s="855"/>
      <c r="W39" s="855"/>
      <c r="X39" s="855"/>
      <c r="Y39" s="855"/>
      <c r="Z39" s="855"/>
      <c r="AA39" s="855"/>
      <c r="AB39" s="855"/>
      <c r="AC39" s="855"/>
      <c r="AD39" s="855"/>
      <c r="AE39" s="855"/>
      <c r="AF39" s="855"/>
      <c r="AG39" s="855"/>
      <c r="AH39" s="855"/>
      <c r="AI39" s="855"/>
      <c r="AJ39" s="855"/>
      <c r="AK39" s="855"/>
      <c r="AL39" s="855"/>
      <c r="AM39" s="855"/>
      <c r="AN39" s="855"/>
      <c r="AO39" s="855"/>
      <c r="AP39" s="855"/>
      <c r="AQ39" s="855"/>
      <c r="AR39" s="855"/>
      <c r="AS39" s="855"/>
      <c r="AT39" s="855"/>
      <c r="AU39" s="855"/>
      <c r="AV39" s="855"/>
      <c r="AW39" s="855"/>
      <c r="AX39" s="855"/>
      <c r="AY39" s="855"/>
      <c r="AZ39" s="855"/>
      <c r="BA39" s="855"/>
      <c r="BB39" s="855"/>
      <c r="BC39" s="855"/>
      <c r="BD39" s="855"/>
      <c r="BE39" s="855"/>
      <c r="BF39" s="855"/>
      <c r="BG39" s="855"/>
      <c r="BH39" s="855"/>
      <c r="BI39" s="855"/>
      <c r="BJ39" s="855"/>
      <c r="BK39" s="855"/>
      <c r="BL39" s="855"/>
      <c r="BM39" s="855"/>
      <c r="BN39" s="855"/>
      <c r="BO39" s="855"/>
      <c r="BP39" s="855"/>
      <c r="BQ39" s="855"/>
      <c r="BR39" s="855"/>
      <c r="BS39" s="855"/>
      <c r="BT39" s="855"/>
      <c r="BU39" s="855"/>
      <c r="BV39" s="855"/>
      <c r="BW39" s="855"/>
      <c r="BX39" s="855"/>
      <c r="BY39" s="855"/>
      <c r="BZ39" s="855"/>
      <c r="CA39" s="855"/>
      <c r="CB39" s="855"/>
    </row>
    <row r="40" spans="1:80" s="5" customFormat="1" ht="8.25" x14ac:dyDescent="0.15">
      <c r="R40" s="858" t="s">
        <v>279</v>
      </c>
      <c r="S40" s="858"/>
      <c r="T40" s="858"/>
      <c r="U40" s="858"/>
      <c r="V40" s="858"/>
      <c r="W40" s="858"/>
      <c r="X40" s="858"/>
      <c r="Y40" s="858"/>
      <c r="Z40" s="858"/>
      <c r="AA40" s="858"/>
      <c r="AB40" s="858"/>
      <c r="AC40" s="858"/>
      <c r="AD40" s="858"/>
      <c r="AE40" s="858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858"/>
      <c r="BC40" s="858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</row>
    <row r="41" spans="1:80" s="11" customFormat="1" ht="11.25" x14ac:dyDescent="0.2">
      <c r="A41" s="11" t="s">
        <v>39</v>
      </c>
      <c r="C41" s="11" t="s">
        <v>285</v>
      </c>
    </row>
    <row r="42" spans="1:80" s="11" customFormat="1" ht="12.75" customHeight="1" x14ac:dyDescent="0.2">
      <c r="A42" s="827" t="s">
        <v>286</v>
      </c>
      <c r="B42" s="827"/>
      <c r="C42" s="827"/>
      <c r="D42" s="827"/>
      <c r="E42" s="827" t="s">
        <v>287</v>
      </c>
      <c r="F42" s="827"/>
      <c r="G42" s="827"/>
      <c r="H42" s="827"/>
      <c r="I42" s="827"/>
      <c r="J42" s="827"/>
      <c r="K42" s="827"/>
      <c r="L42" s="827"/>
      <c r="M42" s="827"/>
      <c r="N42" s="827"/>
      <c r="O42" s="827"/>
      <c r="P42" s="827"/>
      <c r="Q42" s="827"/>
      <c r="R42" s="827"/>
      <c r="S42" s="827"/>
      <c r="T42" s="827"/>
      <c r="U42" s="827"/>
      <c r="V42" s="827"/>
      <c r="W42" s="827"/>
      <c r="X42" s="827"/>
      <c r="Y42" s="827"/>
      <c r="Z42" s="827"/>
      <c r="AA42" s="827"/>
      <c r="AB42" s="827"/>
      <c r="AC42" s="827"/>
      <c r="AD42" s="827"/>
      <c r="AE42" s="827"/>
      <c r="AF42" s="827"/>
      <c r="AG42" s="827"/>
      <c r="AH42" s="827"/>
      <c r="AI42" s="827" t="s">
        <v>284</v>
      </c>
      <c r="AJ42" s="827"/>
      <c r="AK42" s="827"/>
      <c r="AL42" s="827"/>
      <c r="AM42" s="827"/>
      <c r="AN42" s="827"/>
      <c r="AO42" s="827"/>
      <c r="AP42" s="827"/>
      <c r="AQ42" s="827"/>
      <c r="AR42" s="827"/>
      <c r="AS42" s="827"/>
      <c r="AT42" s="827"/>
      <c r="AU42" s="827"/>
      <c r="AV42" s="827"/>
      <c r="AW42" s="827"/>
      <c r="AX42" s="827"/>
      <c r="AY42" s="827"/>
      <c r="AZ42" s="827"/>
      <c r="BA42" s="827"/>
      <c r="BB42" s="827"/>
      <c r="BC42" s="827"/>
      <c r="BD42" s="827"/>
      <c r="BE42" s="827"/>
      <c r="BF42" s="827"/>
      <c r="BG42" s="827"/>
      <c r="BH42" s="827"/>
      <c r="BI42" s="827"/>
      <c r="BJ42" s="827"/>
      <c r="BK42" s="827"/>
      <c r="BL42" s="827"/>
      <c r="BM42" s="827"/>
      <c r="BN42" s="827"/>
      <c r="BO42" s="827"/>
      <c r="BP42" s="827"/>
      <c r="BQ42" s="827"/>
      <c r="BR42" s="827"/>
      <c r="BS42" s="827" t="s">
        <v>0</v>
      </c>
      <c r="BT42" s="827"/>
      <c r="BU42" s="827"/>
      <c r="BV42" s="827"/>
      <c r="BW42" s="827"/>
      <c r="BX42" s="827"/>
      <c r="BY42" s="827"/>
      <c r="BZ42" s="827"/>
      <c r="CA42" s="827"/>
      <c r="CB42" s="827"/>
    </row>
    <row r="43" spans="1:80" s="11" customFormat="1" ht="12.75" customHeight="1" x14ac:dyDescent="0.2">
      <c r="A43" s="827"/>
      <c r="B43" s="827"/>
      <c r="C43" s="827"/>
      <c r="D43" s="827"/>
      <c r="E43" s="827"/>
      <c r="F43" s="827"/>
      <c r="G43" s="827"/>
      <c r="H43" s="827"/>
      <c r="I43" s="827"/>
      <c r="J43" s="827"/>
      <c r="K43" s="827"/>
      <c r="L43" s="827"/>
      <c r="M43" s="827"/>
      <c r="N43" s="827"/>
      <c r="O43" s="827"/>
      <c r="P43" s="827"/>
      <c r="Q43" s="827"/>
      <c r="R43" s="827"/>
      <c r="S43" s="827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 t="s">
        <v>288</v>
      </c>
      <c r="AJ43" s="827"/>
      <c r="AK43" s="827"/>
      <c r="AL43" s="827"/>
      <c r="AM43" s="827"/>
      <c r="AN43" s="827"/>
      <c r="AO43" s="827"/>
      <c r="AP43" s="827" t="s">
        <v>289</v>
      </c>
      <c r="AQ43" s="827"/>
      <c r="AR43" s="827"/>
      <c r="AS43" s="827"/>
      <c r="AT43" s="827"/>
      <c r="AU43" s="827"/>
      <c r="AV43" s="827"/>
      <c r="AW43" s="827" t="s">
        <v>291</v>
      </c>
      <c r="AX43" s="827"/>
      <c r="AY43" s="827"/>
      <c r="AZ43" s="827"/>
      <c r="BA43" s="827"/>
      <c r="BB43" s="827"/>
      <c r="BC43" s="827"/>
      <c r="BD43" s="827" t="s">
        <v>332</v>
      </c>
      <c r="BE43" s="827"/>
      <c r="BF43" s="827"/>
      <c r="BG43" s="827"/>
      <c r="BH43" s="827"/>
      <c r="BI43" s="827" t="s">
        <v>290</v>
      </c>
      <c r="BJ43" s="827"/>
      <c r="BK43" s="827"/>
      <c r="BL43" s="827"/>
      <c r="BM43" s="827"/>
      <c r="BN43" s="827"/>
      <c r="BO43" s="827"/>
      <c r="BP43" s="827"/>
      <c r="BQ43" s="827"/>
      <c r="BR43" s="827"/>
      <c r="BS43" s="827"/>
      <c r="BT43" s="827"/>
      <c r="BU43" s="827"/>
      <c r="BV43" s="827"/>
      <c r="BW43" s="827"/>
      <c r="BX43" s="827"/>
      <c r="BY43" s="827"/>
      <c r="BZ43" s="827"/>
      <c r="CA43" s="827"/>
      <c r="CB43" s="827"/>
    </row>
    <row r="44" spans="1:80" s="11" customFormat="1" ht="11.25" x14ac:dyDescent="0.2">
      <c r="A44" s="827"/>
      <c r="B44" s="827"/>
      <c r="C44" s="827"/>
      <c r="D44" s="827"/>
      <c r="E44" s="827"/>
      <c r="F44" s="827"/>
      <c r="G44" s="827"/>
      <c r="H44" s="827"/>
      <c r="I44" s="827"/>
      <c r="J44" s="827"/>
      <c r="K44" s="827"/>
      <c r="L44" s="827"/>
      <c r="M44" s="827"/>
      <c r="N44" s="827"/>
      <c r="O44" s="827"/>
      <c r="P44" s="827"/>
      <c r="Q44" s="827"/>
      <c r="R44" s="827"/>
      <c r="S44" s="827"/>
      <c r="T44" s="827"/>
      <c r="U44" s="827"/>
      <c r="V44" s="827"/>
      <c r="W44" s="827"/>
      <c r="X44" s="827"/>
      <c r="Y44" s="827"/>
      <c r="Z44" s="827"/>
      <c r="AA44" s="827"/>
      <c r="AB44" s="827"/>
      <c r="AC44" s="827"/>
      <c r="AD44" s="827"/>
      <c r="AE44" s="827"/>
      <c r="AF44" s="827"/>
      <c r="AG44" s="827"/>
      <c r="AH44" s="827"/>
      <c r="AI44" s="827"/>
      <c r="AJ44" s="827"/>
      <c r="AK44" s="827"/>
      <c r="AL44" s="827"/>
      <c r="AM44" s="827"/>
      <c r="AN44" s="827"/>
      <c r="AO44" s="827"/>
      <c r="AP44" s="827"/>
      <c r="AQ44" s="827"/>
      <c r="AR44" s="827"/>
      <c r="AS44" s="827"/>
      <c r="AT44" s="827"/>
      <c r="AU44" s="827"/>
      <c r="AV44" s="827"/>
      <c r="AW44" s="827"/>
      <c r="AX44" s="827"/>
      <c r="AY44" s="827"/>
      <c r="AZ44" s="827"/>
      <c r="BA44" s="827"/>
      <c r="BB44" s="827"/>
      <c r="BC44" s="827"/>
      <c r="BD44" s="827"/>
      <c r="BE44" s="827"/>
      <c r="BF44" s="827"/>
      <c r="BG44" s="827"/>
      <c r="BH44" s="827"/>
      <c r="BI44" s="827"/>
      <c r="BJ44" s="827"/>
      <c r="BK44" s="827"/>
      <c r="BL44" s="827"/>
      <c r="BM44" s="827"/>
      <c r="BN44" s="827"/>
      <c r="BO44" s="827"/>
      <c r="BP44" s="827"/>
      <c r="BQ44" s="827"/>
      <c r="BR44" s="827"/>
      <c r="BS44" s="827"/>
      <c r="BT44" s="827"/>
      <c r="BU44" s="827"/>
      <c r="BV44" s="827"/>
      <c r="BW44" s="827"/>
      <c r="BX44" s="827"/>
      <c r="BY44" s="827"/>
      <c r="BZ44" s="827"/>
      <c r="CA44" s="827"/>
      <c r="CB44" s="827"/>
    </row>
    <row r="45" spans="1:80" s="11" customFormat="1" ht="11.25" customHeight="1" x14ac:dyDescent="0.2">
      <c r="A45" s="990">
        <v>1</v>
      </c>
      <c r="B45" s="990"/>
      <c r="C45" s="990"/>
      <c r="D45" s="990"/>
      <c r="E45" s="1118" t="s">
        <v>346</v>
      </c>
      <c r="F45" s="1118"/>
      <c r="G45" s="1118"/>
      <c r="H45" s="1118"/>
      <c r="I45" s="1118"/>
      <c r="J45" s="1118"/>
      <c r="K45" s="1118"/>
      <c r="L45" s="1118"/>
      <c r="M45" s="1118"/>
      <c r="N45" s="1118"/>
      <c r="O45" s="1118"/>
      <c r="P45" s="1118"/>
      <c r="Q45" s="1118"/>
      <c r="R45" s="1118"/>
      <c r="S45" s="1118"/>
      <c r="T45" s="1118"/>
      <c r="U45" s="1118"/>
      <c r="V45" s="1118"/>
      <c r="W45" s="1118"/>
      <c r="X45" s="1118"/>
      <c r="Y45" s="1118"/>
      <c r="Z45" s="1118"/>
      <c r="AA45" s="1118"/>
      <c r="AB45" s="1118"/>
      <c r="AC45" s="1118"/>
      <c r="AD45" s="1118"/>
      <c r="AE45" s="1118"/>
      <c r="AF45" s="1118"/>
      <c r="AG45" s="1118"/>
      <c r="AH45" s="1118"/>
      <c r="AI45" s="990" t="s">
        <v>331</v>
      </c>
      <c r="AJ45" s="990"/>
      <c r="AK45" s="990"/>
      <c r="AL45" s="990"/>
      <c r="AM45" s="990"/>
      <c r="AN45" s="990"/>
      <c r="AO45" s="990"/>
      <c r="AP45" s="990" t="str">
        <f>IF('ВЛИ-6'!AQ35="","",'ВЛИ-6'!AQ35)</f>
      </c>
      <c r="AQ45" s="990"/>
      <c r="AR45" s="990"/>
      <c r="AS45" s="990"/>
      <c r="AT45" s="990"/>
      <c r="AU45" s="990"/>
      <c r="AV45" s="990"/>
      <c r="AW45" s="990" t="str">
        <f>IF('ВЛИ-6'!AX35="","",'ВЛИ-6'!AX35)</f>
      </c>
      <c r="AX45" s="990"/>
      <c r="AY45" s="990"/>
      <c r="AZ45" s="990"/>
      <c r="BA45" s="990"/>
      <c r="BB45" s="990"/>
      <c r="BC45" s="990"/>
      <c r="BD45" s="993" t="s">
        <v>362</v>
      </c>
      <c r="BE45" s="993"/>
      <c r="BF45" s="993"/>
      <c r="BG45" s="993"/>
      <c r="BH45" s="993"/>
      <c r="BI45" s="990">
        <v>3</v>
      </c>
      <c r="BJ45" s="990"/>
      <c r="BK45" s="990"/>
      <c r="BL45" s="990"/>
      <c r="BM45" s="990"/>
      <c r="BN45" s="990"/>
      <c r="BO45" s="990"/>
      <c r="BP45" s="990"/>
      <c r="BQ45" s="990"/>
      <c r="BR45" s="990"/>
      <c r="BS45" s="990" t="s">
        <v>101</v>
      </c>
      <c r="BT45" s="990"/>
      <c r="BU45" s="990"/>
      <c r="BV45" s="990"/>
      <c r="BW45" s="990"/>
      <c r="BX45" s="990"/>
      <c r="BY45" s="990"/>
      <c r="BZ45" s="990"/>
      <c r="CA45" s="990"/>
      <c r="CB45" s="990"/>
    </row>
    <row r="46" spans="1:80" s="11" customFormat="1" ht="13.5" customHeight="1" x14ac:dyDescent="0.2">
      <c r="A46" s="990">
        <v>2</v>
      </c>
      <c r="B46" s="990"/>
      <c r="C46" s="990"/>
      <c r="D46" s="990"/>
      <c r="E46" s="1118" t="s">
        <v>353</v>
      </c>
      <c r="F46" s="1118"/>
      <c r="G46" s="1118"/>
      <c r="H46" s="1118"/>
      <c r="I46" s="1118"/>
      <c r="J46" s="1118"/>
      <c r="K46" s="1118"/>
      <c r="L46" s="1118"/>
      <c r="M46" s="1118"/>
      <c r="N46" s="1118"/>
      <c r="O46" s="1118"/>
      <c r="P46" s="1118"/>
      <c r="Q46" s="1118"/>
      <c r="R46" s="1118"/>
      <c r="S46" s="1118"/>
      <c r="T46" s="1118"/>
      <c r="U46" s="1118"/>
      <c r="V46" s="1118"/>
      <c r="W46" s="1118"/>
      <c r="X46" s="1118"/>
      <c r="Y46" s="1118"/>
      <c r="Z46" s="1118"/>
      <c r="AA46" s="1118"/>
      <c r="AB46" s="1118"/>
      <c r="AC46" s="1118"/>
      <c r="AD46" s="1118"/>
      <c r="AE46" s="1118"/>
      <c r="AF46" s="1118"/>
      <c r="AG46" s="1118"/>
      <c r="AH46" s="1118"/>
      <c r="AI46" s="990" t="s">
        <v>331</v>
      </c>
      <c r="AJ46" s="990"/>
      <c r="AK46" s="990"/>
      <c r="AL46" s="990"/>
      <c r="AM46" s="990"/>
      <c r="AN46" s="990"/>
      <c r="AO46" s="990"/>
      <c r="AP46" s="990" t="str">
        <f>IF('ВЛИ-6'!AQ36="","",'ВЛИ-6'!AQ36)</f>
      </c>
      <c r="AQ46" s="990"/>
      <c r="AR46" s="990"/>
      <c r="AS46" s="990"/>
      <c r="AT46" s="990"/>
      <c r="AU46" s="990"/>
      <c r="AV46" s="990"/>
      <c r="AW46" s="990" t="str">
        <f>IF('ВЛИ-6'!AX36="","",'ВЛИ-6'!AX36)</f>
      </c>
      <c r="AX46" s="990"/>
      <c r="AY46" s="990"/>
      <c r="AZ46" s="990"/>
      <c r="BA46" s="990"/>
      <c r="BB46" s="990"/>
      <c r="BC46" s="990"/>
      <c r="BD46" s="993" t="s">
        <v>363</v>
      </c>
      <c r="BE46" s="993"/>
      <c r="BF46" s="993"/>
      <c r="BG46" s="993"/>
      <c r="BH46" s="993"/>
      <c r="BI46" s="1119" t="s">
        <v>482</v>
      </c>
      <c r="BJ46" s="1119"/>
      <c r="BK46" s="1119"/>
      <c r="BL46" s="1119"/>
      <c r="BM46" s="1119"/>
      <c r="BN46" s="1119"/>
      <c r="BO46" s="1119"/>
      <c r="BP46" s="1119"/>
      <c r="BQ46" s="1119"/>
      <c r="BR46" s="1119"/>
      <c r="BS46" s="990" t="s">
        <v>101</v>
      </c>
      <c r="BT46" s="990"/>
      <c r="BU46" s="990"/>
      <c r="BV46" s="990"/>
      <c r="BW46" s="990"/>
      <c r="BX46" s="990"/>
      <c r="BY46" s="990"/>
      <c r="BZ46" s="990"/>
      <c r="CA46" s="990"/>
      <c r="CB46" s="990"/>
    </row>
    <row r="47" spans="1:80" s="11" customFormat="1" ht="13.5" customHeight="1" x14ac:dyDescent="0.2">
      <c r="A47" s="990">
        <v>3</v>
      </c>
      <c r="B47" s="990"/>
      <c r="C47" s="990"/>
      <c r="D47" s="990"/>
      <c r="E47" s="1118" t="s">
        <v>346</v>
      </c>
      <c r="F47" s="1118"/>
      <c r="G47" s="1118"/>
      <c r="H47" s="1118"/>
      <c r="I47" s="1118"/>
      <c r="J47" s="1118"/>
      <c r="K47" s="1118"/>
      <c r="L47" s="1118"/>
      <c r="M47" s="1118"/>
      <c r="N47" s="1118"/>
      <c r="O47" s="1118"/>
      <c r="P47" s="1118"/>
      <c r="Q47" s="1118"/>
      <c r="R47" s="1118"/>
      <c r="S47" s="1118"/>
      <c r="T47" s="1118"/>
      <c r="U47" s="1118"/>
      <c r="V47" s="1118"/>
      <c r="W47" s="1118"/>
      <c r="X47" s="1118"/>
      <c r="Y47" s="1118"/>
      <c r="Z47" s="1118"/>
      <c r="AA47" s="1118"/>
      <c r="AB47" s="1118"/>
      <c r="AC47" s="1118"/>
      <c r="AD47" s="1118"/>
      <c r="AE47" s="1118"/>
      <c r="AF47" s="1118"/>
      <c r="AG47" s="1118"/>
      <c r="AH47" s="1118"/>
      <c r="AI47" s="990" t="s">
        <v>331</v>
      </c>
      <c r="AJ47" s="990"/>
      <c r="AK47" s="990"/>
      <c r="AL47" s="990"/>
      <c r="AM47" s="990"/>
      <c r="AN47" s="990"/>
      <c r="AO47" s="990"/>
      <c r="AP47" s="990" t="str">
        <f>IF('ВЛИ-6'!AQ37="","",'ВЛИ-6'!AQ37)</f>
      </c>
      <c r="AQ47" s="990"/>
      <c r="AR47" s="990"/>
      <c r="AS47" s="990"/>
      <c r="AT47" s="990"/>
      <c r="AU47" s="990"/>
      <c r="AV47" s="990"/>
      <c r="AW47" s="990">
        <f>IF('ВЛИ-6'!AX37="","",'ВЛИ-6'!AX37)</f>
      </c>
      <c r="AX47" s="990"/>
      <c r="AY47" s="990"/>
      <c r="AZ47" s="990"/>
      <c r="BA47" s="990"/>
      <c r="BB47" s="990"/>
      <c r="BC47" s="990"/>
      <c r="BD47" s="993" t="s">
        <v>361</v>
      </c>
      <c r="BE47" s="993"/>
      <c r="BF47" s="993"/>
      <c r="BG47" s="993"/>
      <c r="BH47" s="993"/>
      <c r="BI47" s="1117" t="s">
        <v>101</v>
      </c>
      <c r="BJ47" s="1117"/>
      <c r="BK47" s="1117"/>
      <c r="BL47" s="1117"/>
      <c r="BM47" s="1117"/>
      <c r="BN47" s="1117"/>
      <c r="BO47" s="1117"/>
      <c r="BP47" s="1117"/>
      <c r="BQ47" s="1117"/>
      <c r="BR47" s="1117"/>
      <c r="BS47" s="990" t="str">
        <f>IF('ВЛИ-6'!BS37="","",'ВЛИ-6'!BS37)</f>
      </c>
      <c r="BT47" s="990"/>
      <c r="BU47" s="990"/>
      <c r="BV47" s="990"/>
      <c r="BW47" s="990"/>
      <c r="BX47" s="990"/>
      <c r="BY47" s="990"/>
      <c r="BZ47" s="990"/>
      <c r="CA47" s="990"/>
      <c r="CB47" s="990"/>
    </row>
    <row r="48" spans="1:80" s="11" customFormat="1" ht="11.25" x14ac:dyDescent="0.2"/>
    <row r="49" spans="1:80" s="11" customFormat="1" ht="11.25" x14ac:dyDescent="0.2">
      <c r="A49" s="11" t="s">
        <v>41</v>
      </c>
      <c r="C49" s="11" t="s">
        <v>292</v>
      </c>
    </row>
    <row r="50" spans="1:80" s="11" customFormat="1" ht="13.5" customHeight="1" x14ac:dyDescent="0.2">
      <c r="C50" s="11" t="s">
        <v>293</v>
      </c>
      <c r="V50" s="1099" t="s">
        <v>358</v>
      </c>
      <c r="W50" s="1099"/>
      <c r="X50" s="1099"/>
      <c r="Y50" s="1099"/>
      <c r="Z50" s="1099"/>
      <c r="AA50" s="1099"/>
      <c r="AB50" s="1099"/>
      <c r="AC50" s="1099"/>
      <c r="AD50" s="1099"/>
      <c r="AE50" s="1099"/>
      <c r="AF50" s="1099"/>
      <c r="AG50" s="1099"/>
      <c r="AH50" s="1099"/>
      <c r="AI50" s="1099"/>
      <c r="AJ50" s="1099"/>
      <c r="AK50" s="1099"/>
      <c r="AL50" s="1099"/>
      <c r="AM50" s="1099"/>
      <c r="AN50" s="1099"/>
      <c r="AO50" s="1099"/>
      <c r="AP50" s="1099"/>
      <c r="AQ50" s="1099"/>
      <c r="AR50" s="1099"/>
      <c r="AS50" s="1099"/>
      <c r="AT50" s="1099"/>
      <c r="AU50" s="1099"/>
      <c r="AV50" s="1099"/>
      <c r="AW50" s="1099"/>
      <c r="AX50" s="1099"/>
      <c r="AY50" s="1099"/>
      <c r="AZ50" s="1099"/>
      <c r="BA50" s="1099"/>
      <c r="BB50" s="1099"/>
      <c r="BC50" s="1099"/>
      <c r="BD50" s="1099"/>
      <c r="BE50" s="1099"/>
      <c r="BF50" s="1099"/>
      <c r="BG50" s="1099"/>
      <c r="BH50" s="1099"/>
      <c r="BI50" s="1099"/>
      <c r="BJ50" s="1099"/>
      <c r="BK50" s="1099"/>
      <c r="BL50" s="1099"/>
      <c r="BM50" s="1099"/>
      <c r="BN50" s="1099"/>
      <c r="BO50" s="1099"/>
      <c r="BP50" s="1099"/>
      <c r="BQ50" s="1099"/>
      <c r="BR50" s="1099"/>
      <c r="BS50" s="1099"/>
      <c r="BT50" s="1099"/>
      <c r="BU50" s="1099"/>
      <c r="BV50" s="1099"/>
      <c r="BW50" s="1099"/>
      <c r="BX50" s="1099"/>
      <c r="BY50" s="1099"/>
      <c r="BZ50" s="1099"/>
      <c r="CA50" s="1099"/>
      <c r="CB50" s="1099"/>
    </row>
    <row r="51" spans="1:80" s="11" customFormat="1" ht="9.75" customHeight="1" x14ac:dyDescent="0.2">
      <c r="V51" s="1099"/>
      <c r="W51" s="1099"/>
      <c r="X51" s="1099"/>
      <c r="Y51" s="1099"/>
      <c r="Z51" s="1099"/>
      <c r="AA51" s="1099"/>
      <c r="AB51" s="1099"/>
      <c r="AC51" s="1099"/>
      <c r="AD51" s="1099"/>
      <c r="AE51" s="1099"/>
      <c r="AF51" s="1099"/>
      <c r="AG51" s="1099"/>
      <c r="AH51" s="1099"/>
      <c r="AI51" s="1099"/>
      <c r="AJ51" s="1099"/>
      <c r="AK51" s="1099"/>
      <c r="AL51" s="1099"/>
      <c r="AM51" s="1099"/>
      <c r="AN51" s="1099"/>
      <c r="AO51" s="1099"/>
      <c r="AP51" s="1099"/>
      <c r="AQ51" s="1099"/>
      <c r="AR51" s="1099"/>
      <c r="AS51" s="1099"/>
      <c r="AT51" s="1099"/>
      <c r="AU51" s="1099"/>
      <c r="AV51" s="1099"/>
      <c r="AW51" s="1099"/>
      <c r="AX51" s="1099"/>
      <c r="AY51" s="1099"/>
      <c r="AZ51" s="1099"/>
      <c r="BA51" s="1099"/>
      <c r="BB51" s="1099"/>
      <c r="BC51" s="1099"/>
      <c r="BD51" s="1099"/>
      <c r="BE51" s="1099"/>
      <c r="BF51" s="1099"/>
      <c r="BG51" s="1099"/>
      <c r="BH51" s="1099"/>
      <c r="BI51" s="1099"/>
      <c r="BJ51" s="1099"/>
      <c r="BK51" s="1099"/>
      <c r="BL51" s="1099"/>
      <c r="BM51" s="1099"/>
      <c r="BN51" s="1099"/>
      <c r="BO51" s="1099"/>
      <c r="BP51" s="1099"/>
      <c r="BQ51" s="1099"/>
      <c r="BR51" s="1099"/>
      <c r="BS51" s="1099"/>
      <c r="BT51" s="1099"/>
      <c r="BU51" s="1099"/>
      <c r="BV51" s="1099"/>
      <c r="BW51" s="1099"/>
      <c r="BX51" s="1099"/>
      <c r="BY51" s="1099"/>
      <c r="BZ51" s="1099"/>
      <c r="CA51" s="1099"/>
      <c r="CB51" s="1099"/>
    </row>
    <row r="52" spans="1:80" s="11" customFormat="1" ht="11.25" x14ac:dyDescent="0.2">
      <c r="A52" s="11" t="s">
        <v>42</v>
      </c>
      <c r="C52" s="11" t="s">
        <v>294</v>
      </c>
      <c r="Q52" s="831" t="s">
        <v>330</v>
      </c>
      <c r="R52" s="831"/>
      <c r="S52" s="831"/>
      <c r="T52" s="831"/>
      <c r="U52" s="831"/>
      <c r="V52" s="831"/>
      <c r="W52" s="831"/>
      <c r="X52" s="831"/>
      <c r="Y52" s="831"/>
      <c r="Z52" s="831"/>
      <c r="AA52" s="831"/>
      <c r="AB52" s="831"/>
      <c r="AC52" s="831"/>
      <c r="AD52" s="831"/>
      <c r="AE52" s="831"/>
      <c r="AF52" s="831"/>
      <c r="AG52" s="831"/>
      <c r="AH52" s="831"/>
      <c r="AI52" s="831"/>
      <c r="AJ52" s="831"/>
      <c r="AK52" s="831"/>
      <c r="AL52" s="831"/>
      <c r="AM52" s="831"/>
      <c r="AN52" s="831"/>
      <c r="AO52" s="831"/>
      <c r="AP52" s="831"/>
      <c r="AQ52" s="831"/>
      <c r="AR52" s="831"/>
      <c r="AS52" s="831"/>
      <c r="AT52" s="831"/>
      <c r="AU52" s="831"/>
      <c r="AV52" s="831"/>
      <c r="AW52" s="831"/>
      <c r="AX52" s="831"/>
      <c r="AY52" s="831"/>
      <c r="AZ52" s="831"/>
      <c r="BA52" s="831"/>
      <c r="BB52" s="831"/>
      <c r="BC52" s="831"/>
      <c r="BD52" s="831"/>
      <c r="BE52" s="831"/>
      <c r="BF52" s="831"/>
      <c r="BG52" s="831"/>
      <c r="BH52" s="831"/>
      <c r="BI52" s="831"/>
      <c r="BJ52" s="831"/>
      <c r="BK52" s="831"/>
      <c r="BL52" s="831"/>
      <c r="BM52" s="831"/>
      <c r="BN52" s="831"/>
      <c r="BO52" s="831"/>
      <c r="BP52" s="831"/>
      <c r="BQ52" s="831"/>
      <c r="BR52" s="831"/>
      <c r="BS52" s="831"/>
      <c r="BT52" s="831"/>
      <c r="BU52" s="831"/>
      <c r="BV52" s="831"/>
      <c r="BW52" s="831"/>
      <c r="BX52" s="831"/>
      <c r="BY52" s="831"/>
      <c r="BZ52" s="831"/>
      <c r="CA52" s="831"/>
      <c r="CB52" s="831"/>
    </row>
    <row r="53" spans="1:80" s="11" customFormat="1" ht="11.25" x14ac:dyDescent="0.2">
      <c r="A53" s="11" t="s">
        <v>47</v>
      </c>
      <c r="C53" s="57" t="s">
        <v>53</v>
      </c>
      <c r="M53" s="831" t="s">
        <v>355</v>
      </c>
      <c r="N53" s="831"/>
      <c r="O53" s="831"/>
      <c r="P53" s="831"/>
      <c r="Q53" s="831"/>
      <c r="R53" s="831"/>
      <c r="S53" s="831"/>
      <c r="T53" s="831"/>
      <c r="U53" s="831"/>
      <c r="V53" s="831"/>
      <c r="W53" s="831"/>
      <c r="X53" s="831"/>
      <c r="Y53" s="831"/>
      <c r="Z53" s="831"/>
      <c r="AA53" s="831"/>
      <c r="AB53" s="831"/>
      <c r="AC53" s="831"/>
      <c r="AD53" s="831"/>
      <c r="AE53" s="831"/>
      <c r="AF53" s="831"/>
      <c r="AG53" s="831"/>
      <c r="AH53" s="831"/>
      <c r="AI53" s="831"/>
      <c r="AJ53" s="831"/>
      <c r="AK53" s="831"/>
      <c r="AL53" s="831"/>
      <c r="AM53" s="831"/>
      <c r="AN53" s="831"/>
      <c r="AO53" s="831"/>
      <c r="AP53" s="831"/>
      <c r="AQ53" s="831"/>
      <c r="AR53" s="831"/>
      <c r="AS53" s="831"/>
      <c r="AT53" s="831"/>
      <c r="AU53" s="831"/>
      <c r="AV53" s="831"/>
      <c r="AW53" s="831"/>
      <c r="AX53" s="831"/>
      <c r="AY53" s="831"/>
      <c r="AZ53" s="831"/>
      <c r="BA53" s="831"/>
      <c r="BB53" s="831"/>
      <c r="BC53" s="831"/>
      <c r="BD53" s="831"/>
      <c r="BE53" s="831"/>
      <c r="BF53" s="831"/>
      <c r="BG53" s="831"/>
      <c r="BH53" s="831"/>
      <c r="BI53" s="831"/>
      <c r="BJ53" s="831"/>
      <c r="BK53" s="831"/>
      <c r="BL53" s="831"/>
      <c r="BM53" s="831"/>
      <c r="BN53" s="831"/>
      <c r="BO53" s="831"/>
      <c r="BP53" s="831"/>
      <c r="BQ53" s="831"/>
      <c r="BR53" s="831"/>
      <c r="BS53" s="831"/>
      <c r="BT53" s="831"/>
      <c r="BU53" s="831"/>
      <c r="BV53" s="831"/>
      <c r="BW53" s="831"/>
      <c r="BX53" s="831"/>
      <c r="BY53" s="831"/>
      <c r="BZ53" s="831"/>
      <c r="CA53" s="831"/>
      <c r="CB53" s="831"/>
    </row>
    <row r="54" spans="1:80" s="11" customFormat="1" ht="11.25" x14ac:dyDescent="0.2"/>
    <row r="55" spans="1:80" s="11" customFormat="1" ht="11.25" x14ac:dyDescent="0.2"/>
    <row r="56" spans="1:80" x14ac:dyDescent="0.2">
      <c r="A56" s="862" t="s">
        <v>68</v>
      </c>
      <c r="B56" s="862"/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862"/>
      <c r="O56" s="862"/>
      <c r="P56" s="862"/>
      <c r="Q56" s="862"/>
      <c r="R56" s="862"/>
      <c r="S56" s="862"/>
      <c r="T56" s="862"/>
      <c r="U56" s="862"/>
      <c r="V56" s="862"/>
      <c r="W56" s="862"/>
      <c r="X56" s="862"/>
      <c r="Y56" s="862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</row>
    <row r="57" spans="1:80" x14ac:dyDescent="0.2">
      <c r="A57" s="893" t="str">
        <f>IF('Данные объект'!C27="","",'Данные объект'!C27)</f>
      </c>
      <c r="B57" s="893"/>
      <c r="C57" s="893"/>
      <c r="D57" s="893"/>
      <c r="E57" s="893"/>
      <c r="F57" s="893"/>
      <c r="G57" s="893"/>
      <c r="H57" s="893"/>
      <c r="I57" s="893"/>
      <c r="J57" s="893"/>
      <c r="K57" s="893"/>
      <c r="L57" s="893"/>
      <c r="M57" s="893"/>
      <c r="N57" s="893"/>
      <c r="O57" s="893"/>
      <c r="P57" s="893"/>
      <c r="Q57" s="893"/>
      <c r="R57" s="893"/>
      <c r="S57" s="893"/>
      <c r="T57" s="893"/>
      <c r="U57" s="893"/>
      <c r="V57" s="893"/>
      <c r="W57" s="893"/>
      <c r="X57" s="893"/>
      <c r="Y57" s="893"/>
      <c r="Z57" s="893"/>
      <c r="AA57" s="893"/>
      <c r="AB57" s="893"/>
      <c r="AC57" s="893"/>
      <c r="AD57" s="893"/>
      <c r="AE57" s="893"/>
      <c r="AF57" s="893"/>
      <c r="AG57" s="893"/>
      <c r="AH57" s="893"/>
      <c r="AI57" s="893"/>
      <c r="AJ57" s="893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</row>
    <row r="58" spans="1:80" x14ac:dyDescent="0.2">
      <c r="A58" s="831"/>
      <c r="B58" s="831"/>
      <c r="C58" s="831"/>
      <c r="D58" s="831"/>
      <c r="E58" s="831"/>
      <c r="F58" s="831"/>
      <c r="G58" s="831"/>
      <c r="H58" s="831"/>
      <c r="I58" s="831"/>
      <c r="J58" s="831"/>
      <c r="K58" s="831"/>
      <c r="L58" s="831"/>
      <c r="M58" s="831"/>
      <c r="N58" s="831"/>
      <c r="O58" s="831"/>
      <c r="P58" s="831"/>
      <c r="Q58" s="831"/>
      <c r="R58" s="831"/>
      <c r="S58" s="831"/>
      <c r="T58" s="831"/>
      <c r="U58" s="831"/>
      <c r="V58" s="831"/>
      <c r="W58" s="831"/>
      <c r="X58" s="831"/>
      <c r="Y58" s="831"/>
      <c r="Z58" s="831"/>
      <c r="AA58" s="831"/>
      <c r="AB58" s="831"/>
      <c r="AC58" s="831"/>
      <c r="AD58" s="831"/>
      <c r="AE58" s="831"/>
      <c r="AF58" s="831"/>
      <c r="AG58" s="831"/>
      <c r="AH58" s="831"/>
      <c r="AI58" s="831"/>
      <c r="AJ58" s="831"/>
      <c r="AK58" s="11"/>
      <c r="AL58" s="11"/>
      <c r="AM58" s="881"/>
      <c r="AN58" s="881"/>
      <c r="AO58" s="881"/>
      <c r="AP58" s="881"/>
      <c r="AQ58" s="881"/>
      <c r="AR58" s="881"/>
      <c r="AS58" s="881"/>
      <c r="AT58" s="881"/>
      <c r="AU58" s="881"/>
      <c r="AV58" s="881"/>
      <c r="AW58" s="881"/>
      <c r="AX58" s="881"/>
      <c r="AY58" s="881"/>
      <c r="AZ58" s="881"/>
      <c r="BA58" s="881"/>
      <c r="BB58" s="881"/>
      <c r="BC58" s="881"/>
      <c r="BD58" s="881"/>
      <c r="BE58" s="881"/>
      <c r="BF58" s="881"/>
      <c r="BG58" s="11"/>
      <c r="BH58" s="11"/>
      <c r="BI58" s="831" t="str">
        <f>IF('Данные объект'!B28="","",'Данные объект'!B28)</f>
      </c>
      <c r="BJ58" s="831"/>
      <c r="BK58" s="831"/>
      <c r="BL58" s="831"/>
      <c r="BM58" s="831"/>
      <c r="BN58" s="831"/>
      <c r="BO58" s="831"/>
      <c r="BP58" s="831"/>
      <c r="BQ58" s="831"/>
      <c r="BR58" s="831"/>
      <c r="BS58" s="831"/>
      <c r="BT58" s="831"/>
      <c r="BU58" s="831"/>
      <c r="BV58" s="831"/>
      <c r="BW58" s="831"/>
      <c r="BX58" s="831"/>
      <c r="BY58" s="831"/>
      <c r="BZ58" s="831"/>
      <c r="CA58" s="831"/>
      <c r="CB58" s="831"/>
    </row>
    <row r="59" spans="1:80" s="5" customFormat="1" ht="8.25" x14ac:dyDescent="0.15">
      <c r="A59" s="838" t="s">
        <v>1</v>
      </c>
      <c r="B59" s="838"/>
      <c r="C59" s="838"/>
      <c r="D59" s="838"/>
      <c r="E59" s="838"/>
      <c r="F59" s="838"/>
      <c r="G59" s="838"/>
      <c r="H59" s="838"/>
      <c r="I59" s="838"/>
      <c r="J59" s="838"/>
      <c r="K59" s="838"/>
      <c r="L59" s="838"/>
      <c r="M59" s="838"/>
      <c r="N59" s="838"/>
      <c r="O59" s="838"/>
      <c r="P59" s="838"/>
      <c r="Q59" s="838"/>
      <c r="R59" s="838"/>
      <c r="S59" s="838"/>
      <c r="T59" s="838"/>
      <c r="U59" s="838"/>
      <c r="V59" s="838"/>
      <c r="W59" s="838"/>
      <c r="X59" s="838"/>
      <c r="Y59" s="838"/>
      <c r="Z59" s="838"/>
      <c r="AA59" s="838"/>
      <c r="AB59" s="838"/>
      <c r="AC59" s="838"/>
      <c r="AD59" s="838"/>
      <c r="AE59" s="838"/>
      <c r="AF59" s="838"/>
      <c r="AG59" s="838"/>
      <c r="AH59" s="838"/>
      <c r="AI59" s="838"/>
      <c r="AJ59" s="838"/>
      <c r="AM59" s="838" t="s">
        <v>2</v>
      </c>
      <c r="AN59" s="838"/>
      <c r="AO59" s="838"/>
      <c r="AP59" s="838"/>
      <c r="AQ59" s="838"/>
      <c r="AR59" s="838"/>
      <c r="AS59" s="838"/>
      <c r="AT59" s="838"/>
      <c r="AU59" s="838"/>
      <c r="AV59" s="838"/>
      <c r="AW59" s="838"/>
      <c r="AX59" s="838"/>
      <c r="AY59" s="838"/>
      <c r="AZ59" s="838"/>
      <c r="BA59" s="838"/>
      <c r="BB59" s="838"/>
      <c r="BC59" s="838"/>
      <c r="BD59" s="838"/>
      <c r="BE59" s="838"/>
      <c r="BF59" s="838"/>
      <c r="BI59" s="858" t="s">
        <v>3</v>
      </c>
      <c r="BJ59" s="858"/>
      <c r="BK59" s="858"/>
      <c r="BL59" s="858"/>
      <c r="BM59" s="858"/>
      <c r="BN59" s="858"/>
      <c r="BO59" s="858"/>
      <c r="BP59" s="858"/>
      <c r="BQ59" s="858"/>
      <c r="BR59" s="858"/>
      <c r="BS59" s="858"/>
      <c r="BT59" s="858"/>
      <c r="BU59" s="858"/>
      <c r="BV59" s="858"/>
      <c r="BW59" s="858"/>
      <c r="BX59" s="858"/>
      <c r="BY59" s="858"/>
      <c r="BZ59" s="858"/>
      <c r="CA59" s="858"/>
      <c r="CB59" s="858"/>
    </row>
    <row r="63" spans="1:80" outlineLevel="1" x14ac:dyDescent="0.2">
      <c r="A63" s="862" t="s">
        <v>344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</row>
    <row r="64" spans="1:80" ht="13.5" customHeight="1" outlineLevel="1" x14ac:dyDescent="0.2">
      <c r="A64" s="871" t="str">
        <f>IF('Данные объект'!C42="","",'Данные объект'!C42)</f>
      </c>
      <c r="B64" s="871"/>
      <c r="C64" s="871"/>
      <c r="D64" s="871"/>
      <c r="E64" s="871"/>
      <c r="F64" s="871"/>
      <c r="G64" s="871"/>
      <c r="H64" s="871"/>
      <c r="I64" s="871"/>
      <c r="J64" s="871"/>
      <c r="K64" s="871"/>
      <c r="L64" s="871"/>
      <c r="M64" s="871"/>
      <c r="N64" s="871"/>
      <c r="O64" s="871"/>
      <c r="P64" s="871"/>
      <c r="Q64" s="871"/>
      <c r="R64" s="871"/>
      <c r="S64" s="871"/>
      <c r="T64" s="871"/>
      <c r="U64" s="871"/>
      <c r="V64" s="871"/>
      <c r="W64" s="871"/>
      <c r="X64" s="871"/>
      <c r="Y64" s="871"/>
      <c r="Z64" s="871"/>
      <c r="AA64" s="871"/>
      <c r="AB64" s="871"/>
      <c r="AC64" s="871"/>
      <c r="AD64" s="871"/>
      <c r="AE64" s="871"/>
      <c r="AF64" s="871"/>
      <c r="AG64" s="871"/>
      <c r="AH64" s="871"/>
      <c r="AI64" s="871"/>
      <c r="AJ64" s="871"/>
    </row>
    <row r="65" spans="1:80" outlineLevel="1" x14ac:dyDescent="0.2">
      <c r="A65" s="825"/>
      <c r="B65" s="825"/>
      <c r="C65" s="825"/>
      <c r="D65" s="825"/>
      <c r="E65" s="825"/>
      <c r="F65" s="825"/>
      <c r="G65" s="825"/>
      <c r="H65" s="825"/>
      <c r="I65" s="825"/>
      <c r="J65" s="825"/>
      <c r="K65" s="825"/>
      <c r="L65" s="825"/>
      <c r="M65" s="825"/>
      <c r="N65" s="825"/>
      <c r="O65" s="825"/>
      <c r="P65" s="825"/>
      <c r="Q65" s="825"/>
      <c r="R65" s="825"/>
      <c r="S65" s="825"/>
      <c r="T65" s="825"/>
      <c r="U65" s="825"/>
      <c r="V65" s="825"/>
      <c r="W65" s="825"/>
      <c r="X65" s="825"/>
      <c r="Y65" s="825"/>
      <c r="Z65" s="825"/>
      <c r="AA65" s="825"/>
      <c r="AB65" s="825"/>
      <c r="AC65" s="825"/>
      <c r="AD65" s="825"/>
      <c r="AE65" s="825"/>
      <c r="AF65" s="825"/>
      <c r="AG65" s="825"/>
      <c r="AH65" s="825"/>
      <c r="AI65" s="825"/>
      <c r="AJ65" s="825"/>
      <c r="AM65" s="882"/>
      <c r="AN65" s="882"/>
      <c r="AO65" s="882"/>
      <c r="AP65" s="882"/>
      <c r="AQ65" s="882"/>
      <c r="AR65" s="882"/>
      <c r="AS65" s="882"/>
      <c r="AT65" s="882"/>
      <c r="AU65" s="882"/>
      <c r="AV65" s="882"/>
      <c r="AW65" s="882"/>
      <c r="AX65" s="882"/>
      <c r="AY65" s="882"/>
      <c r="AZ65" s="882"/>
      <c r="BA65" s="882"/>
      <c r="BB65" s="882"/>
      <c r="BC65" s="882"/>
      <c r="BD65" s="882"/>
      <c r="BE65" s="882"/>
      <c r="BF65" s="882"/>
      <c r="BI65" s="831" t="str">
        <f>IF('Данные объект'!B44="","",'Данные объект'!B44)</f>
      </c>
      <c r="BJ65" s="831"/>
      <c r="BK65" s="831"/>
      <c r="BL65" s="831"/>
      <c r="BM65" s="831"/>
      <c r="BN65" s="831"/>
      <c r="BO65" s="831"/>
      <c r="BP65" s="831"/>
      <c r="BQ65" s="831"/>
      <c r="BR65" s="831"/>
      <c r="BS65" s="831"/>
      <c r="BT65" s="831"/>
      <c r="BU65" s="831"/>
      <c r="BV65" s="831"/>
      <c r="BW65" s="831"/>
      <c r="BX65" s="831"/>
      <c r="BY65" s="831"/>
      <c r="BZ65" s="831"/>
      <c r="CA65" s="831"/>
      <c r="CB65" s="831"/>
    </row>
    <row r="66" spans="1:80" s="5" customFormat="1" ht="8.25" outlineLevel="1" x14ac:dyDescent="0.15">
      <c r="A66" s="838" t="s">
        <v>1</v>
      </c>
      <c r="B66" s="838"/>
      <c r="C66" s="838"/>
      <c r="D66" s="838"/>
      <c r="E66" s="838"/>
      <c r="F66" s="838"/>
      <c r="G66" s="838"/>
      <c r="H66" s="838"/>
      <c r="I66" s="838"/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38"/>
      <c r="Y66" s="838"/>
      <c r="Z66" s="838"/>
      <c r="AA66" s="838"/>
      <c r="AB66" s="838"/>
      <c r="AC66" s="838"/>
      <c r="AD66" s="838"/>
      <c r="AE66" s="838"/>
      <c r="AF66" s="838"/>
      <c r="AG66" s="838"/>
      <c r="AH66" s="838"/>
      <c r="AI66" s="838"/>
      <c r="AJ66" s="838"/>
      <c r="AM66" s="838" t="s">
        <v>2</v>
      </c>
      <c r="AN66" s="838"/>
      <c r="AO66" s="838"/>
      <c r="AP66" s="838"/>
      <c r="AQ66" s="838"/>
      <c r="AR66" s="838"/>
      <c r="AS66" s="838"/>
      <c r="AT66" s="838"/>
      <c r="AU66" s="838"/>
      <c r="AV66" s="838"/>
      <c r="AW66" s="838"/>
      <c r="AX66" s="838"/>
      <c r="AY66" s="838"/>
      <c r="AZ66" s="838"/>
      <c r="BA66" s="838"/>
      <c r="BB66" s="838"/>
      <c r="BC66" s="838"/>
      <c r="BD66" s="838"/>
      <c r="BE66" s="838"/>
      <c r="BF66" s="838"/>
      <c r="BI66" s="858" t="s">
        <v>3</v>
      </c>
      <c r="BJ66" s="858"/>
      <c r="BK66" s="858"/>
      <c r="BL66" s="858"/>
      <c r="BM66" s="858"/>
      <c r="BN66" s="858"/>
      <c r="BO66" s="858"/>
      <c r="BP66" s="858"/>
      <c r="BQ66" s="858"/>
      <c r="BR66" s="858"/>
      <c r="BS66" s="858"/>
      <c r="BT66" s="858"/>
      <c r="BU66" s="858"/>
      <c r="BV66" s="858"/>
      <c r="BW66" s="858"/>
      <c r="BX66" s="858"/>
      <c r="BY66" s="858"/>
      <c r="BZ66" s="858"/>
      <c r="CA66" s="858"/>
      <c r="CB66" s="858"/>
    </row>
    <row r="67" spans="1:80" outlineLevel="1" x14ac:dyDescent="0.2"/>
    <row r="68" spans="1:80" outlineLevel="1" x14ac:dyDescent="0.2"/>
    <row r="69" spans="1:80" outlineLevel="1" x14ac:dyDescent="0.2"/>
    <row r="70" spans="1:80" x14ac:dyDescent="0.2"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x14ac:dyDescent="0.2">
      <c r="A71" s="871" t="str">
        <f>IF('Данные объект'!C45="","",'Данные объект'!C45)</f>
      </c>
      <c r="B71" s="871"/>
      <c r="C71" s="871"/>
      <c r="D71" s="871"/>
      <c r="E71" s="871"/>
      <c r="F71" s="871"/>
      <c r="G71" s="871"/>
      <c r="H71" s="871"/>
      <c r="I71" s="871"/>
      <c r="J71" s="871"/>
      <c r="K71" s="871"/>
      <c r="L71" s="871"/>
      <c r="M71" s="871"/>
      <c r="N71" s="871"/>
      <c r="O71" s="871"/>
      <c r="P71" s="871"/>
      <c r="Q71" s="871"/>
      <c r="R71" s="871"/>
      <c r="S71" s="871"/>
      <c r="T71" s="871"/>
      <c r="U71" s="871"/>
      <c r="V71" s="871"/>
      <c r="W71" s="871"/>
      <c r="X71" s="871"/>
      <c r="Y71" s="871"/>
      <c r="Z71" s="871"/>
      <c r="AA71" s="871"/>
      <c r="AB71" s="871"/>
      <c r="AC71" s="871"/>
      <c r="AD71" s="871"/>
      <c r="AE71" s="871"/>
      <c r="AF71" s="871"/>
      <c r="AG71" s="871"/>
      <c r="AH71" s="871"/>
      <c r="AI71" s="871"/>
      <c r="AJ71" s="87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0" x14ac:dyDescent="0.2">
      <c r="A72" s="825"/>
      <c r="B72" s="825"/>
      <c r="C72" s="825"/>
      <c r="D72" s="825"/>
      <c r="E72" s="825"/>
      <c r="F72" s="825"/>
      <c r="G72" s="825"/>
      <c r="H72" s="825"/>
      <c r="I72" s="825"/>
      <c r="J72" s="825"/>
      <c r="K72" s="825"/>
      <c r="L72" s="825"/>
      <c r="M72" s="825"/>
      <c r="N72" s="825"/>
      <c r="O72" s="825"/>
      <c r="P72" s="825"/>
      <c r="Q72" s="825"/>
      <c r="R72" s="825"/>
      <c r="S72" s="825"/>
      <c r="T72" s="825"/>
      <c r="U72" s="825"/>
      <c r="V72" s="825"/>
      <c r="W72" s="825"/>
      <c r="X72" s="825"/>
      <c r="Y72" s="825"/>
      <c r="Z72" s="825"/>
      <c r="AA72" s="825"/>
      <c r="AB72" s="825"/>
      <c r="AC72" s="825"/>
      <c r="AD72" s="825"/>
      <c r="AE72" s="825"/>
      <c r="AF72" s="825"/>
      <c r="AG72" s="825"/>
      <c r="AH72" s="825"/>
      <c r="AI72" s="825"/>
      <c r="AJ72" s="825"/>
      <c r="AK72" s="11"/>
      <c r="AL72" s="11"/>
      <c r="AM72" s="881"/>
      <c r="AN72" s="881"/>
      <c r="AO72" s="881"/>
      <c r="AP72" s="881"/>
      <c r="AQ72" s="881"/>
      <c r="AR72" s="881"/>
      <c r="AS72" s="881"/>
      <c r="AT72" s="881"/>
      <c r="AU72" s="881"/>
      <c r="AV72" s="881"/>
      <c r="AW72" s="881"/>
      <c r="AX72" s="881"/>
      <c r="AY72" s="881"/>
      <c r="AZ72" s="881"/>
      <c r="BA72" s="881"/>
      <c r="BB72" s="881"/>
      <c r="BC72" s="881"/>
      <c r="BD72" s="881"/>
      <c r="BE72" s="881"/>
      <c r="BF72" s="881"/>
      <c r="BG72" s="11"/>
      <c r="BH72" s="11"/>
      <c r="BI72" s="831" t="str">
        <f>IF('Данные объект'!B47="","",'Данные объект'!B47)</f>
      </c>
      <c r="BJ72" s="831"/>
      <c r="BK72" s="831"/>
      <c r="BL72" s="831"/>
      <c r="BM72" s="831"/>
      <c r="BN72" s="831"/>
      <c r="BO72" s="831"/>
      <c r="BP72" s="831"/>
      <c r="BQ72" s="831"/>
      <c r="BR72" s="831"/>
      <c r="BS72" s="831"/>
      <c r="BT72" s="831"/>
      <c r="BU72" s="831"/>
      <c r="BV72" s="831"/>
      <c r="BW72" s="831"/>
      <c r="BX72" s="831"/>
      <c r="BY72" s="831"/>
      <c r="BZ72" s="831"/>
      <c r="CA72" s="831"/>
      <c r="CB72" s="831"/>
    </row>
    <row r="73" spans="1:80" s="5" customFormat="1" ht="8.25" x14ac:dyDescent="0.15">
      <c r="A73" s="838" t="s">
        <v>1</v>
      </c>
      <c r="B73" s="838"/>
      <c r="C73" s="838"/>
      <c r="D73" s="838"/>
      <c r="E73" s="838"/>
      <c r="F73" s="838"/>
      <c r="G73" s="838"/>
      <c r="H73" s="838"/>
      <c r="I73" s="838"/>
      <c r="J73" s="838"/>
      <c r="K73" s="838"/>
      <c r="L73" s="838"/>
      <c r="M73" s="838"/>
      <c r="N73" s="838"/>
      <c r="O73" s="838"/>
      <c r="P73" s="838"/>
      <c r="Q73" s="838"/>
      <c r="R73" s="838"/>
      <c r="S73" s="838"/>
      <c r="T73" s="838"/>
      <c r="U73" s="838"/>
      <c r="V73" s="838"/>
      <c r="W73" s="838"/>
      <c r="X73" s="838"/>
      <c r="Y73" s="838"/>
      <c r="Z73" s="838"/>
      <c r="AA73" s="838"/>
      <c r="AB73" s="838"/>
      <c r="AC73" s="838"/>
      <c r="AD73" s="838"/>
      <c r="AE73" s="838"/>
      <c r="AF73" s="838"/>
      <c r="AG73" s="838"/>
      <c r="AH73" s="838"/>
      <c r="AI73" s="838"/>
      <c r="AJ73" s="838"/>
      <c r="AM73" s="838" t="s">
        <v>2</v>
      </c>
      <c r="AN73" s="838"/>
      <c r="AO73" s="838"/>
      <c r="AP73" s="838"/>
      <c r="AQ73" s="838"/>
      <c r="AR73" s="838"/>
      <c r="AS73" s="838"/>
      <c r="AT73" s="838"/>
      <c r="AU73" s="838"/>
      <c r="AV73" s="838"/>
      <c r="AW73" s="838"/>
      <c r="AX73" s="838"/>
      <c r="AY73" s="838"/>
      <c r="AZ73" s="838"/>
      <c r="BA73" s="838"/>
      <c r="BB73" s="838"/>
      <c r="BC73" s="838"/>
      <c r="BD73" s="838"/>
      <c r="BE73" s="838"/>
      <c r="BF73" s="838"/>
      <c r="BI73" s="858" t="s">
        <v>3</v>
      </c>
      <c r="BJ73" s="858"/>
      <c r="BK73" s="858"/>
      <c r="BL73" s="858"/>
      <c r="BM73" s="858"/>
      <c r="BN73" s="858"/>
      <c r="BO73" s="858"/>
      <c r="BP73" s="858"/>
      <c r="BQ73" s="858"/>
      <c r="BR73" s="858"/>
      <c r="BS73" s="858"/>
      <c r="BT73" s="858"/>
      <c r="BU73" s="858"/>
      <c r="BV73" s="858"/>
      <c r="BW73" s="858"/>
      <c r="BX73" s="858"/>
      <c r="BY73" s="858"/>
      <c r="BZ73" s="858"/>
      <c r="CA73" s="858"/>
      <c r="CB73" s="858"/>
    </row>
  </sheetData>
  <mergeCells count="91">
    <mergeCell ref="A71:AJ72"/>
    <mergeCell ref="AM72:BF72"/>
    <mergeCell ref="BI72:CB72"/>
    <mergeCell ref="A73:AJ73"/>
    <mergeCell ref="AM73:BF73"/>
    <mergeCell ref="BI73:CB73"/>
    <mergeCell ref="A63:AJ63"/>
    <mergeCell ref="A64:AJ65"/>
    <mergeCell ref="AM65:BF65"/>
    <mergeCell ref="BI65:CB65"/>
    <mergeCell ref="A66:AJ66"/>
    <mergeCell ref="AM66:BF66"/>
    <mergeCell ref="BI66:CB66"/>
    <mergeCell ref="AR1:BZ2"/>
    <mergeCell ref="A2:AI2"/>
    <mergeCell ref="A3:AI3"/>
    <mergeCell ref="AR3:BZ3"/>
    <mergeCell ref="A4:AI4"/>
    <mergeCell ref="AR4:BZ4"/>
    <mergeCell ref="A21:CB21"/>
    <mergeCell ref="A5:AI5"/>
    <mergeCell ref="AR5:BZ5"/>
    <mergeCell ref="AR6:BZ9"/>
    <mergeCell ref="A8:AI9"/>
    <mergeCell ref="A10:AI10"/>
    <mergeCell ref="AR10:BZ10"/>
    <mergeCell ref="A11:AI11"/>
    <mergeCell ref="AR11:BZ11"/>
    <mergeCell ref="A13:CB13"/>
    <mergeCell ref="A18:CB18"/>
    <mergeCell ref="A19:CB19"/>
    <mergeCell ref="A14:CB14"/>
    <mergeCell ref="T36:CB36"/>
    <mergeCell ref="A22:CB22"/>
    <mergeCell ref="A24:CB24"/>
    <mergeCell ref="A25:CB25"/>
    <mergeCell ref="A27:CB27"/>
    <mergeCell ref="A28:CB28"/>
    <mergeCell ref="C32:CB32"/>
    <mergeCell ref="C33:CA33"/>
    <mergeCell ref="O34:BD34"/>
    <mergeCell ref="BO34:CB34"/>
    <mergeCell ref="O35:BD35"/>
    <mergeCell ref="BO35:CB35"/>
    <mergeCell ref="N37:CB37"/>
    <mergeCell ref="N38:CB38"/>
    <mergeCell ref="R39:CB39"/>
    <mergeCell ref="R40:CB40"/>
    <mergeCell ref="A42:D44"/>
    <mergeCell ref="E42:AH44"/>
    <mergeCell ref="AI42:BR42"/>
    <mergeCell ref="BS42:CB44"/>
    <mergeCell ref="AI43:AO44"/>
    <mergeCell ref="AP43:AV44"/>
    <mergeCell ref="AW43:BC44"/>
    <mergeCell ref="BD43:BH44"/>
    <mergeCell ref="BI43:BR44"/>
    <mergeCell ref="BD45:BH45"/>
    <mergeCell ref="BI45:BR45"/>
    <mergeCell ref="BS45:CB45"/>
    <mergeCell ref="A46:D46"/>
    <mergeCell ref="E46:AH46"/>
    <mergeCell ref="AI46:AO46"/>
    <mergeCell ref="AP46:AV46"/>
    <mergeCell ref="AW46:BC46"/>
    <mergeCell ref="BD46:BH46"/>
    <mergeCell ref="BI46:BR46"/>
    <mergeCell ref="BS46:CB46"/>
    <mergeCell ref="A45:D45"/>
    <mergeCell ref="E45:AH45"/>
    <mergeCell ref="AI45:AO45"/>
    <mergeCell ref="AP45:AV45"/>
    <mergeCell ref="AW45:BC45"/>
    <mergeCell ref="A47:D47"/>
    <mergeCell ref="E47:AH47"/>
    <mergeCell ref="AI47:AO47"/>
    <mergeCell ref="AP47:AV47"/>
    <mergeCell ref="AW47:BC47"/>
    <mergeCell ref="BS47:CB47"/>
    <mergeCell ref="V50:CB51"/>
    <mergeCell ref="Q52:CB52"/>
    <mergeCell ref="M53:CB53"/>
    <mergeCell ref="BD47:BH47"/>
    <mergeCell ref="BI47:BR47"/>
    <mergeCell ref="A56:AJ56"/>
    <mergeCell ref="A57:AJ58"/>
    <mergeCell ref="AM58:BF58"/>
    <mergeCell ref="BI58:CB58"/>
    <mergeCell ref="A59:AJ59"/>
    <mergeCell ref="AM59:BF59"/>
    <mergeCell ref="BI59:CB59"/>
  </mergeCells>
  <pageMargins left="0.25362318840579712" right="0.19685039370078741" top="0.39370078740157483" bottom="0.39370078740157483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63</vt:i4>
      </vt:variant>
      <vt:variant>
        <vt:lpstr>Именованные диапазоны</vt:lpstr>
      </vt:variant>
      <vt:variant>
        <vt:i4>42</vt:i4>
      </vt:variant>
    </vt:vector>
  </HeadingPairs>
  <TitlesOfParts>
    <vt:vector size="105" baseType="lpstr">
      <vt:lpstr>Главная </vt:lpstr>
      <vt:lpstr>связ.данные (Работы)</vt:lpstr>
      <vt:lpstr>связ.данные(оборудование)</vt:lpstr>
      <vt:lpstr>Данные организации</vt:lpstr>
      <vt:lpstr>Данные объект</vt:lpstr>
      <vt:lpstr>Титульный ЭС</vt:lpstr>
      <vt:lpstr>Титульный подрядчик</vt:lpstr>
      <vt:lpstr>Акт опробования</vt:lpstr>
      <vt:lpstr>Приложение_№_2</vt:lpstr>
      <vt:lpstr>Приложение_№_4</vt:lpstr>
      <vt:lpstr>Пр.6А</vt:lpstr>
      <vt:lpstr>Пр.6Б</vt:lpstr>
      <vt:lpstr>Пр.7</vt:lpstr>
      <vt:lpstr>Пр.10</vt:lpstr>
      <vt:lpstr>Пр.11</vt:lpstr>
      <vt:lpstr>Пр.13 Справка ИД</vt:lpstr>
      <vt:lpstr>Пр.15 Реестр</vt:lpstr>
      <vt:lpstr>Ведомость перед</vt:lpstr>
      <vt:lpstr>Пр.16</vt:lpstr>
      <vt:lpstr>Пр.15 Реестр Химки</vt:lpstr>
      <vt:lpstr>Пр.16 Химки</vt:lpstr>
      <vt:lpstr>акт ГЕО</vt:lpstr>
      <vt:lpstr>акт ГЕО оси</vt:lpstr>
      <vt:lpstr>1 </vt:lpstr>
      <vt:lpstr>2</vt:lpstr>
      <vt:lpstr>3</vt:lpstr>
      <vt:lpstr>Ведомость общ</vt:lpstr>
      <vt:lpstr>ТП-1</vt:lpstr>
      <vt:lpstr>ТП-2</vt:lpstr>
      <vt:lpstr>ТП-3</vt:lpstr>
      <vt:lpstr>ТП-4</vt:lpstr>
      <vt:lpstr>АСП-1</vt:lpstr>
      <vt:lpstr>АСП-2</vt:lpstr>
      <vt:lpstr>АСП-3</vt:lpstr>
      <vt:lpstr>КЛ-1</vt:lpstr>
      <vt:lpstr>КЛ-2</vt:lpstr>
      <vt:lpstr>КЛ-3</vt:lpstr>
      <vt:lpstr>КЛ-4</vt:lpstr>
      <vt:lpstr>КЛ-5</vt:lpstr>
      <vt:lpstr>КЛ-6</vt:lpstr>
      <vt:lpstr>КЛ-7</vt:lpstr>
      <vt:lpstr>КЛ-8</vt:lpstr>
      <vt:lpstr>КЛ-9</vt:lpstr>
      <vt:lpstr>ВЛЗ-3</vt:lpstr>
      <vt:lpstr>ВЛЗ-6</vt:lpstr>
      <vt:lpstr>ВЛЗ-8</vt:lpstr>
      <vt:lpstr>24 ВЛЗ</vt:lpstr>
      <vt:lpstr>26 ВЛЗ</vt:lpstr>
      <vt:lpstr>ВЛЗ-3 0,4</vt:lpstr>
      <vt:lpstr>ВЛЗ-6 0,4</vt:lpstr>
      <vt:lpstr>ВЛИ- 8 0,4</vt:lpstr>
      <vt:lpstr>24 ВЛЗ 0,4</vt:lpstr>
      <vt:lpstr>26 ВЛЗ 0,4</vt:lpstr>
      <vt:lpstr>ВРЩ-1</vt:lpstr>
      <vt:lpstr>ВРЩ-2</vt:lpstr>
      <vt:lpstr>ПНР ТП</vt:lpstr>
      <vt:lpstr>ВЛ-1</vt:lpstr>
      <vt:lpstr>ВЛ-2</vt:lpstr>
      <vt:lpstr>ВЛИ-3</vt:lpstr>
      <vt:lpstr>ВЛИ-6</vt:lpstr>
      <vt:lpstr>ВЛИ-8</vt:lpstr>
      <vt:lpstr>24 ВЛИ</vt:lpstr>
      <vt:lpstr>26 ВЛИ</vt:lpstr>
      <vt:lpstr>Пр.6А!_Toc27724337</vt:lpstr>
      <vt:lpstr>'связ.данные (Работы)'!кабель</vt:lpstr>
      <vt:lpstr>'связ.данные(оборудование)'!кабель</vt:lpstr>
      <vt:lpstr>'связ.данные(оборудование)'!КЛ</vt:lpstr>
      <vt:lpstr>'1 '!Область_печати</vt:lpstr>
      <vt:lpstr>'2'!Область_печати</vt:lpstr>
      <vt:lpstr>'24 ВЛЗ'!Область_печати</vt:lpstr>
      <vt:lpstr>'24 ВЛЗ 0,4'!Область_печати</vt:lpstr>
      <vt:lpstr>'24 ВЛИ'!Область_печати</vt:lpstr>
      <vt:lpstr>'акт ГЕО оси'!Область_печати</vt:lpstr>
      <vt:lpstr>'АСП-2'!Область_печати</vt:lpstr>
      <vt:lpstr>'Ведомость перед'!Область_печати</vt:lpstr>
      <vt:lpstr>'ВЛ-2'!Область_печати</vt:lpstr>
      <vt:lpstr>'ВЛЗ-3'!Область_печати</vt:lpstr>
      <vt:lpstr>'ВЛЗ-3 0,4'!Область_печати</vt:lpstr>
      <vt:lpstr>'ВЛЗ-6'!Область_печати</vt:lpstr>
      <vt:lpstr>'ВЛЗ-6 0,4'!Область_печати</vt:lpstr>
      <vt:lpstr>'ВЛЗ-8'!Область_печати</vt:lpstr>
      <vt:lpstr>'ВЛИ- 8 0,4'!Область_печати</vt:lpstr>
      <vt:lpstr>'ВЛИ-3'!Область_печати</vt:lpstr>
      <vt:lpstr>'ВЛИ-6'!Область_печати</vt:lpstr>
      <vt:lpstr>'ВЛИ-8'!Область_печати</vt:lpstr>
      <vt:lpstr>'ВРЩ-1'!Область_печати</vt:lpstr>
      <vt:lpstr>'КЛ-3'!Область_печати</vt:lpstr>
      <vt:lpstr>'КЛ-4'!Область_печати</vt:lpstr>
      <vt:lpstr>Пр.10!Область_печати</vt:lpstr>
      <vt:lpstr>'Пр.15 Реестр'!Область_печати</vt:lpstr>
      <vt:lpstr>'Пр.15 Реестр Химки'!Область_печати</vt:lpstr>
      <vt:lpstr>'Пр.16 Химки'!Область_печати</vt:lpstr>
      <vt:lpstr>Пр.7!Область_печати</vt:lpstr>
      <vt:lpstr>Приложение_№_2!Область_печати</vt:lpstr>
      <vt:lpstr>Приложение_№_4!Область_печати</vt:lpstr>
      <vt:lpstr>'ТП-2'!Область_печати</vt:lpstr>
      <vt:lpstr>'ТП-4'!Область_печати</vt:lpstr>
      <vt:lpstr>'связ.данные(оборудование)'!Оборудование</vt:lpstr>
      <vt:lpstr>'связ.данные (Работы)'!провод</vt:lpstr>
      <vt:lpstr>'связ.данные(оборудование)'!провод</vt:lpstr>
      <vt:lpstr>'связ.данные (Работы)'!работысмр</vt:lpstr>
      <vt:lpstr>'связ.данные(оборудование)'!работысмр</vt:lpstr>
      <vt:lpstr>'связ.данные (Работы)'!стойка</vt:lpstr>
      <vt:lpstr>'связ.данные(оборудование)'!стойка</vt:lpstr>
      <vt:lpstr>'связ.данные(оборудование)'!ТП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