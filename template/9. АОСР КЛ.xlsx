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Y:\!!! Бибилиотека\Исполнительная документация\1. Шаблоны актуальные\"/>
    </mc:Choice>
  </mc:AlternateContent>
  <xr:revisionPtr revIDLastSave="0" documentId="13_ncr:1_{4748511C-7D89-4F1E-A6E1-1DBDBF9C90B0}" xr6:coauthVersionLast="45" xr6:coauthVersionMax="47" xr10:uidLastSave="{00000000-0000-0000-0000-000000000000}"/>
  <bookViews>
    <workbookView xWindow="-120" yWindow="-120" windowWidth="29040" windowHeight="15840" tabRatio="779" activeTab="2" xr2:uid="{00000000-000D-0000-FFFF-FFFF00000000}"/>
  </bookViews>
  <sheets>
    <sheet name="данные строй" sheetId="17" r:id="rId1"/>
    <sheet name="Данные организации" sheetId="15" r:id="rId2"/>
    <sheet name="Данные объект" sheetId="16" r:id="rId3"/>
    <sheet name="АОСР-1" sheetId="2" r:id="rId4"/>
    <sheet name="АОСР-2" sheetId="10" r:id="rId5"/>
    <sheet name="АОСР-3" sheetId="11" r:id="rId6"/>
    <sheet name="АОСР-4" sheetId="12" r:id="rId7"/>
    <sheet name="АОСР-5" sheetId="13" r:id="rId8"/>
    <sheet name="АОСР-6" sheetId="18" r:id="rId9"/>
    <sheet name="АОСР-7" sheetId="14" r:id="rId10"/>
    <sheet name="АОСР-пожар" sheetId="19" r:id="rId11"/>
  </sheets>
  <definedNames>
    <definedName name="кабель">#REF!</definedName>
    <definedName name="_xlnm.Print_Area" localSheetId="3">'АОСР-1'!$A$1:$AJ$115</definedName>
    <definedName name="_xlnm.Print_Area" localSheetId="4">'АОСР-2'!$A$1:$AJ$116</definedName>
    <definedName name="_xlnm.Print_Area" localSheetId="5">'АОСР-3'!$A$1:$AJ$116</definedName>
    <definedName name="_xlnm.Print_Area" localSheetId="6">'АОСР-4'!$A$1:$AJ$116</definedName>
    <definedName name="_xlnm.Print_Area" localSheetId="7">'АОСР-5'!$A$1:$AJ$116</definedName>
    <definedName name="_xlnm.Print_Area" localSheetId="8">'АОСР-6'!$A$1:$AJ$116</definedName>
    <definedName name="_xlnm.Print_Area" localSheetId="9">'АОСР-7'!$A$1:$AJ$115</definedName>
    <definedName name="_xlnm.Print_Area" localSheetId="10">'АОСР-пожар'!$A$1:$AJ$116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K69" i="19" l="1"/>
  <c r="O69" i="19"/>
  <c r="A115" i="19"/>
  <c r="A109" i="19"/>
  <c r="A106" i="19"/>
  <c r="A102" i="19"/>
  <c r="A99" i="19"/>
  <c r="B94" i="19"/>
  <c r="P78" i="19"/>
  <c r="AB32" i="19" s="1"/>
  <c r="P77" i="19"/>
  <c r="A69" i="19"/>
  <c r="A65" i="19"/>
  <c r="A58" i="19"/>
  <c r="A53" i="19"/>
  <c r="A47" i="19"/>
  <c r="A44" i="19"/>
  <c r="A41" i="19"/>
  <c r="A38" i="19"/>
  <c r="A26" i="19"/>
  <c r="A24" i="19"/>
  <c r="A22" i="19"/>
  <c r="A19" i="19"/>
  <c r="A17" i="19"/>
  <c r="A15" i="19"/>
  <c r="A12" i="19"/>
  <c r="A10" i="19"/>
  <c r="A8" i="19"/>
  <c r="A5" i="19"/>
  <c r="A4" i="19"/>
  <c r="A62" i="14"/>
  <c r="B94" i="18"/>
  <c r="J69" i="18"/>
  <c r="A62" i="18"/>
  <c r="A115" i="18"/>
  <c r="A109" i="18"/>
  <c r="A106" i="18"/>
  <c r="A102" i="18"/>
  <c r="A99" i="18"/>
  <c r="B93" i="18"/>
  <c r="P78" i="18"/>
  <c r="AB32" i="18" s="1"/>
  <c r="P77" i="18"/>
  <c r="A65" i="18"/>
  <c r="A58" i="18"/>
  <c r="A53" i="18"/>
  <c r="A47" i="18"/>
  <c r="A44" i="18"/>
  <c r="A41" i="18"/>
  <c r="A38" i="18"/>
  <c r="A26" i="18"/>
  <c r="A24" i="18"/>
  <c r="A22" i="18"/>
  <c r="A19" i="18"/>
  <c r="A17" i="18"/>
  <c r="A15" i="18"/>
  <c r="A12" i="18"/>
  <c r="A10" i="18"/>
  <c r="A8" i="18"/>
  <c r="A5" i="18"/>
  <c r="A4" i="18"/>
  <c r="H25" i="15" l="1"/>
  <c r="H24" i="15"/>
  <c r="H23" i="15"/>
  <c r="K69" i="13" l="1"/>
  <c r="N62" i="13"/>
  <c r="A106" i="10"/>
  <c r="A99" i="10"/>
  <c r="A108" i="14"/>
  <c r="A109" i="13"/>
  <c r="A109" i="12"/>
  <c r="A109" i="11"/>
  <c r="A109" i="10"/>
  <c r="A108" i="2"/>
  <c r="C34" i="16"/>
  <c r="C37" i="16"/>
  <c r="C36" i="16"/>
  <c r="A47" i="12" s="1"/>
  <c r="C35" i="16"/>
  <c r="A36" i="14" l="1"/>
  <c r="A36" i="18"/>
  <c r="A36" i="19"/>
  <c r="A47" i="13"/>
  <c r="A47" i="14"/>
  <c r="A47" i="2"/>
  <c r="A47" i="10"/>
  <c r="A47" i="11"/>
  <c r="X62" i="14"/>
  <c r="B94" i="12"/>
  <c r="K69" i="12"/>
  <c r="D69" i="12"/>
  <c r="R62" i="11"/>
  <c r="R62" i="10"/>
  <c r="S62" i="2"/>
  <c r="E69" i="10" l="1"/>
  <c r="E69" i="13" l="1"/>
  <c r="J69" i="11"/>
  <c r="B25" i="16" l="1"/>
  <c r="B24" i="16"/>
  <c r="B44" i="16" l="1"/>
  <c r="T62" i="14" l="1"/>
  <c r="P78" i="10" l="1"/>
  <c r="B94" i="13" l="1"/>
  <c r="N62" i="11"/>
  <c r="B94" i="10"/>
  <c r="A105" i="14"/>
  <c r="A101" i="14"/>
  <c r="A98" i="14"/>
  <c r="A106" i="13"/>
  <c r="A102" i="13"/>
  <c r="A99" i="13"/>
  <c r="A106" i="12"/>
  <c r="A102" i="12"/>
  <c r="A99" i="12"/>
  <c r="A106" i="11"/>
  <c r="A102" i="11"/>
  <c r="A99" i="11"/>
  <c r="A102" i="10"/>
  <c r="A105" i="2"/>
  <c r="A101" i="2"/>
  <c r="A98" i="2"/>
  <c r="P78" i="14"/>
  <c r="AB32" i="14" s="1"/>
  <c r="P77" i="14"/>
  <c r="P78" i="13"/>
  <c r="AB32" i="13" s="1"/>
  <c r="P77" i="13"/>
  <c r="P78" i="12"/>
  <c r="AB32" i="12" s="1"/>
  <c r="P77" i="12"/>
  <c r="P78" i="11"/>
  <c r="AB32" i="11" s="1"/>
  <c r="P77" i="11"/>
  <c r="AB32" i="10"/>
  <c r="P77" i="10"/>
  <c r="P78" i="2"/>
  <c r="AB32" i="2" s="1"/>
  <c r="P77" i="2"/>
  <c r="A65" i="2"/>
  <c r="A65" i="10"/>
  <c r="A65" i="11"/>
  <c r="A65" i="12"/>
  <c r="A65" i="13"/>
  <c r="A65" i="14"/>
  <c r="A58" i="14"/>
  <c r="A53" i="14"/>
  <c r="A58" i="13"/>
  <c r="A53" i="13"/>
  <c r="A58" i="12"/>
  <c r="A53" i="12"/>
  <c r="A58" i="11"/>
  <c r="A53" i="11"/>
  <c r="A58" i="10"/>
  <c r="A53" i="10"/>
  <c r="A58" i="2"/>
  <c r="C32" i="10"/>
  <c r="C32" i="11" s="1"/>
  <c r="C32" i="12" s="1"/>
  <c r="C32" i="13" s="1"/>
  <c r="A26" i="14"/>
  <c r="A24" i="14"/>
  <c r="A22" i="14"/>
  <c r="A19" i="14"/>
  <c r="A15" i="14"/>
  <c r="A8" i="14"/>
  <c r="A5" i="14"/>
  <c r="A4" i="14"/>
  <c r="A26" i="13"/>
  <c r="A24" i="13"/>
  <c r="A22" i="13"/>
  <c r="A19" i="13"/>
  <c r="A15" i="13"/>
  <c r="A8" i="13"/>
  <c r="A5" i="13"/>
  <c r="A4" i="13"/>
  <c r="A26" i="12"/>
  <c r="A24" i="12"/>
  <c r="A22" i="12"/>
  <c r="A19" i="12"/>
  <c r="A15" i="12"/>
  <c r="A8" i="12"/>
  <c r="A5" i="12"/>
  <c r="A4" i="12"/>
  <c r="A26" i="11"/>
  <c r="A24" i="11"/>
  <c r="A22" i="11"/>
  <c r="A19" i="11"/>
  <c r="A15" i="11"/>
  <c r="A8" i="11"/>
  <c r="A5" i="11"/>
  <c r="A4" i="11"/>
  <c r="A26" i="10"/>
  <c r="A24" i="10"/>
  <c r="A22" i="10"/>
  <c r="A19" i="10"/>
  <c r="A15" i="10"/>
  <c r="A8" i="10"/>
  <c r="A5" i="10"/>
  <c r="A4" i="10"/>
  <c r="A4" i="2"/>
  <c r="A26" i="2"/>
  <c r="A24" i="2"/>
  <c r="A22" i="2"/>
  <c r="A19" i="2"/>
  <c r="A15" i="2"/>
  <c r="A8" i="2"/>
  <c r="A5" i="2" l="1"/>
  <c r="C33" i="16"/>
  <c r="C32" i="16"/>
  <c r="C31" i="16"/>
  <c r="C30" i="16"/>
  <c r="C29" i="16"/>
  <c r="C28" i="16"/>
  <c r="C27" i="16"/>
  <c r="C26" i="16"/>
  <c r="C21" i="16"/>
  <c r="C20" i="16"/>
  <c r="C19" i="16"/>
  <c r="C18" i="16"/>
  <c r="C17" i="16"/>
  <c r="C16" i="16"/>
  <c r="C15" i="16"/>
  <c r="D29" i="15"/>
  <c r="C29" i="15"/>
  <c r="G28" i="15"/>
  <c r="D28" i="15"/>
  <c r="C28" i="15"/>
  <c r="I27" i="15"/>
  <c r="G27" i="15"/>
  <c r="D27" i="15"/>
  <c r="C27" i="15"/>
  <c r="I26" i="15"/>
  <c r="G26" i="15"/>
  <c r="D26" i="15"/>
  <c r="C26" i="15"/>
  <c r="I25" i="15"/>
  <c r="G25" i="15"/>
  <c r="D25" i="15"/>
  <c r="C25" i="15"/>
  <c r="I24" i="15"/>
  <c r="G24" i="15"/>
  <c r="D24" i="15"/>
  <c r="C24" i="15"/>
  <c r="I23" i="15"/>
  <c r="G23" i="15"/>
  <c r="D23" i="15"/>
  <c r="C23" i="15"/>
  <c r="A12" i="12" l="1"/>
  <c r="A12" i="14"/>
  <c r="A12" i="10"/>
  <c r="A12" i="2"/>
  <c r="A12" i="11"/>
  <c r="A12" i="13"/>
  <c r="A41" i="11"/>
  <c r="A41" i="14"/>
  <c r="A41" i="10"/>
  <c r="A41" i="2"/>
  <c r="A41" i="12"/>
  <c r="A41" i="13"/>
  <c r="A17" i="11"/>
  <c r="A17" i="12"/>
  <c r="A17" i="14"/>
  <c r="A17" i="10"/>
  <c r="A17" i="2"/>
  <c r="A17" i="13"/>
  <c r="A44" i="12"/>
  <c r="A44" i="14"/>
  <c r="A44" i="10"/>
  <c r="A44" i="2"/>
  <c r="A44" i="13"/>
  <c r="A44" i="11"/>
  <c r="A10" i="10"/>
  <c r="A10" i="2"/>
  <c r="A10" i="13"/>
  <c r="A10" i="12"/>
  <c r="A10" i="14"/>
  <c r="A10" i="11"/>
  <c r="A36" i="10"/>
  <c r="A36" i="11"/>
  <c r="A36" i="2"/>
  <c r="A36" i="13"/>
  <c r="A36" i="12"/>
  <c r="C11" i="16"/>
  <c r="C23" i="16"/>
  <c r="A114" i="14"/>
  <c r="B93" i="14"/>
  <c r="A115" i="13"/>
  <c r="B93" i="13"/>
  <c r="A115" i="12"/>
  <c r="B93" i="12"/>
  <c r="B94" i="11"/>
  <c r="A115" i="11"/>
  <c r="B93" i="11"/>
  <c r="A115" i="10"/>
  <c r="B93" i="10"/>
  <c r="B93" i="2"/>
  <c r="A114" i="2"/>
  <c r="A53" i="2"/>
  <c r="A38" i="11" l="1"/>
  <c r="A38" i="12"/>
  <c r="A38" i="14"/>
  <c r="A38" i="10"/>
  <c r="A38" i="2"/>
  <c r="A38" i="13"/>
</calcChain>
</file>

<file path=xl/sharedStrings.xml><?xml version="1.0" encoding="utf-8"?>
<sst xmlns="http://schemas.openxmlformats.org/spreadsheetml/2006/main" count="987" uniqueCount="212">
  <si>
    <t>(исполнительные схемы и чертежи, результаты экспертиз, обследований, лабораторных и иных испытаний)</t>
  </si>
  <si>
    <t>Приложения:</t>
  </si>
  <si>
    <t>Дополнительные сведения</t>
  </si>
  <si>
    <t xml:space="preserve">7. Разрешается  производство   последующих  работ </t>
  </si>
  <si>
    <t>(наименования и структурные единицы технических регламентов,</t>
  </si>
  <si>
    <t xml:space="preserve">6. Работы выполнены в соответствии с </t>
  </si>
  <si>
    <t>г.</t>
  </si>
  <si>
    <t xml:space="preserve">              окончания работ</t>
  </si>
  <si>
    <t>5. Даты: начала работ</t>
  </si>
  <si>
    <t>(исполнительные схемы и чертежи, результаты экспертиз, обследований, лабораторных</t>
  </si>
  <si>
    <t>требованиям:</t>
  </si>
  <si>
    <t xml:space="preserve">4. Предъявлены документы, подтверждающие соответствие работ предъявляемым к ним </t>
  </si>
  <si>
    <t>3. При выполнении работ применены</t>
  </si>
  <si>
    <t>2. Работы выполнены по проектной документации</t>
  </si>
  <si>
    <t>(наименование скрытых работ)</t>
  </si>
  <si>
    <t>и составили настоящий акт о нижеследующем:</t>
  </si>
  <si>
    <t>произвели осмотр работ, выполненных</t>
  </si>
  <si>
    <t>(дата составления акта)</t>
  </si>
  <si>
    <t>№</t>
  </si>
  <si>
    <t>освидетельствования скрытых работ</t>
  </si>
  <si>
    <t>Лицо, осуществляющее подготовку проектной документации</t>
  </si>
  <si>
    <t>Объект капитального строительства</t>
  </si>
  <si>
    <t>Лицо, осуществляющее строительство, реконструкцию, капитальный ремонт</t>
  </si>
  <si>
    <t>Представитель застройщика, технического заказчика, лица, ответственного за эксплуатацию</t>
  </si>
  <si>
    <t>здания, сооружения, или регионального оператора по вопросам строительного контроля</t>
  </si>
  <si>
    <t>Представитель лица, осуществляющего строительство, реконструкцию, капитальный ремонт</t>
  </si>
  <si>
    <t>(должность (при наличии), фамилия, инициалы, реквизиты распорядительного документа, подтверждающего полномочия)</t>
  </si>
  <si>
    <t>Представитель лица, осуществляющего строительство, реконструкцию, капитальный ремонт,</t>
  </si>
  <si>
    <t>по вопросам строительного контроля</t>
  </si>
  <si>
    <t>(должность (при наличии), фамилия, инициалы, реквизиты распорядительного документа, подтверждающего полномочия,</t>
  </si>
  <si>
    <t>1. К освидетельствованию предъявлены следующие работы:</t>
  </si>
  <si>
    <t xml:space="preserve"> и иных испытаний выполненных работ, проведенных в процессе строительного контроля)</t>
  </si>
  <si>
    <t>(наименование работ, строительных конструкций, участков сетей инженерно-технического обеспечения)</t>
  </si>
  <si>
    <t>экземплярах (в случае заполнения акта на бумажном носителе).</t>
  </si>
  <si>
    <t>(подпись)</t>
  </si>
  <si>
    <t>(фамилия, инициалы)</t>
  </si>
  <si>
    <t>АКТ</t>
  </si>
  <si>
    <t xml:space="preserve">(фамилия, имя, отчество (последнее -  при наличии), адрес места жительства, ОРГНИП, ИНН индивидуального предпринимателя, </t>
  </si>
  <si>
    <t>(полное и (или) сокращенное наименование или фамилия, имя, отчество (последнее - при наличии) лица,  выполнившего работы, подлежащие освидетельствованию)</t>
  </si>
  <si>
    <t>(номер, другие реквизиты чертежа, наименование проектной и/или рабочей документации, 
 сведения о лицах, осуществляющих подготовку раздела проектной и/или рабочей документации)</t>
  </si>
  <si>
    <t>приложение №3</t>
  </si>
  <si>
    <t>Приказ Минстроя  №344/пр от 16.05.2023</t>
  </si>
  <si>
    <t>Застройщик, технический заказчик, лицо, ответственное за  эксплуатацию здания, сооружения, или региональный оператор</t>
  </si>
  <si>
    <t xml:space="preserve"> (последнее -  при наличии), паспортные данные, адрес места жительства, телефон или факс - для физических лиц, не являющихся индивидуальными предпринимателями)</t>
  </si>
  <si>
    <t>полное и (или) сокращенное наименование,  ОГРН, ИНН, адрес юридического лица в пределах его местонахождения, телефон или факс,</t>
  </si>
  <si>
    <t>полное и (или) сокращенное наименование,  ОГРН, ИНН саморегулируемой организации, членом которой является указанное юридическое лицо или  индивидуальный предприниматель (за исключением случаев, когда членство в саморегулируемых организациях в области архитектурно-строительного проектирования не требуется)</t>
  </si>
  <si>
    <t>Представитель застройщика, технического заказчика, лица, ответственного за эксплуатацию здания, сооружения, или регионального оператора по вопросам строительного контроля</t>
  </si>
  <si>
    <t xml:space="preserve">(должность (при наличии), фамилия, инициалы, идентификационный номер в национальном реестре специалистов в области строительства (за исключением случаев, когда членство в саморегулируемых организациях в области строительства, реконструкции, капитального ремонта обектов капитального строительства не требуется), реквизиты распоряительного документа, подтверждающего полномочия, </t>
  </si>
  <si>
    <t>с указанием полного и (или) сокращенного наименования, ОГРН, ИНН, адреса юридического лица в пределах его места нахождения (в случае осуществления строительного контроля на основании договора с застройщиком или техническим заказчиком), фамилии, имени, отчества (последнее - при наличии), адреса места жительства, ОГРНИП, ИНН индивиуального предпринимателя (в случае осуществления строительного контроля на основании договора с застройщиком или техническим заказчиком)</t>
  </si>
  <si>
    <t>Представитель лица, осуществляющего строительство, реконструкцию, капитальный ремонт, по вопросам строительного контроля</t>
  </si>
  <si>
    <t>(должность (при наличии), фамилия, инициалы, идентификационный номер в национальном реестре специалистов в области строительства (за исключением случаев, когда членство в саморегулируемых организациях в области строительства, реконструкции, капитального ремонта обектов капитального строительства не требуется), 
реквизиты распоряительного документа, подтверждающего полномочия)</t>
  </si>
  <si>
    <t>Представитель лица, осуществляющего подготовку проектной документации (в случае привлечения застройщиком лица, осуществляющего подготовку проектной документации, для проверки соответствия выполняемых работ проектной документации  согласно части 2 статьи 53 Градостроительного кодекса Российской Федерации)</t>
  </si>
  <si>
    <t>(должность (при наличии), фамилия, инициалы, реквизиты распорядительного документа, подтверждающего полномочия, с указанием полного и (или) сокращенного наименования, ОГРН, ИНН, адреса юридического лица в пределах его места нахождения, фамилии, имени, отчества (последнее - при наличии), адреса места жительства, ОГРНИП, ИНН индивиуального предпринимателя)</t>
  </si>
  <si>
    <t>Представитель лица, выполнившего работы, подлежащие освидетельствованию (в случае выполнения работ по договорам о строительстве, реконcтрукции, капитальном ремонте объектов капитального строительства, заключенным с иными лицами)</t>
  </si>
  <si>
    <t>с указанием полного и (или) сокращенного наименования, ОГРН, ИНН, адреса юридического лица в пределах его места нахождения, фамилии, имени, отчества (последнее - при наличии), адреса места жительства, ОРГНИП, ИНН индивидуального предпринимателя)</t>
  </si>
  <si>
    <t>(наименования строительных  материалов (изделий),</t>
  </si>
  <si>
    <t>реквизиты сертификатов и (или) других документов, подтверждающих их качество и безопасность, 
в случае если необходимо указывать более 5 документов, указывается ссылка на их реестр, который является неотъемлемой частью акта)</t>
  </si>
  <si>
    <t>иных нормативных правовых актов, разделы проектной и (или) рабочей документации)</t>
  </si>
  <si>
    <t xml:space="preserve">(фамилия, имя, отчество (последнее -  при наличии), адрес места жительства, ОРГНИП, ИНН индивидуального предпринимателя, полное и (или) сокращенное наименование,  ОГРН, ИНН, адрес  юридического лица в пределах его нахождения, телефон или факс, </t>
  </si>
  <si>
    <t>полное и (или) сокращенное наименование,  ОГРН, ИНН саморегулируемой организации, членом которой является указанное юридическое лицо или  индивидуальный предприниматель (за исключением случаев, когда членство в саморегулируемых организациях в области, строительства, реконструкции, капитального ремонта объектов капитального строительства не требуется); фамилия, имя, отчество</t>
  </si>
  <si>
    <t>полное и (или) сокращенное наименование,  ОГРН, ИНН саморегулируемой организации, членом которой является указанное юридическое лицо или  индивидуальный предприниматель (за исключением случаев, когда членство в саморегулируемых организациях в области строительства, 
реконструкции, капитального ремонта объектов капитального строительства не требуется)</t>
  </si>
  <si>
    <t>полное и (или) сокращенное наименование,  ОГРН, ИНН, адрес юридического лица в пределах его места нахождения, телефон или факс,</t>
  </si>
  <si>
    <t>Объект</t>
  </si>
  <si>
    <t>Город</t>
  </si>
  <si>
    <t>Адрес</t>
  </si>
  <si>
    <t>адрес</t>
  </si>
  <si>
    <t>Монтажная организация</t>
  </si>
  <si>
    <t xml:space="preserve">Организация </t>
  </si>
  <si>
    <t>Должность</t>
  </si>
  <si>
    <t>Прораб</t>
  </si>
  <si>
    <t>Ф.И.О.</t>
  </si>
  <si>
    <t>Волков М.Ю.</t>
  </si>
  <si>
    <t>Заказчик</t>
  </si>
  <si>
    <t>Чуев А.Н.</t>
  </si>
  <si>
    <t>-</t>
  </si>
  <si>
    <t>Ефремкин Е.И.</t>
  </si>
  <si>
    <t>Гл. специалист ПТГ</t>
  </si>
  <si>
    <t>Царькова Н.К.</t>
  </si>
  <si>
    <t>Проект</t>
  </si>
  <si>
    <t>г. Солнечногорск</t>
  </si>
  <si>
    <t>Название</t>
  </si>
  <si>
    <t>ОГРН 1057746555811 ИНН 5036065113 КПП 772501001</t>
  </si>
  <si>
    <t>м3</t>
  </si>
  <si>
    <t xml:space="preserve">1. </t>
  </si>
  <si>
    <t>1 лист</t>
  </si>
  <si>
    <t>2.</t>
  </si>
  <si>
    <t>/КЛ</t>
  </si>
  <si>
    <r>
      <t xml:space="preserve">Акт составлен в </t>
    </r>
    <r>
      <rPr>
        <b/>
        <sz val="8"/>
        <rFont val="Times New Roman"/>
        <family val="1"/>
        <charset val="204"/>
      </rPr>
      <t xml:space="preserve"> </t>
    </r>
  </si>
  <si>
    <t>;</t>
  </si>
  <si>
    <t>Исполнителная схема устройства траншеи</t>
  </si>
  <si>
    <t>Песчаное основание траншеи под прокладку КЛ</t>
  </si>
  <si>
    <t>Песок</t>
  </si>
  <si>
    <t>м</t>
  </si>
  <si>
    <t xml:space="preserve">Прокладка кабеля </t>
  </si>
  <si>
    <t>АСБл 3х120</t>
  </si>
  <si>
    <t>АСБл 3х240</t>
  </si>
  <si>
    <t>Кабель</t>
  </si>
  <si>
    <t>Обратная засыпка песком</t>
  </si>
  <si>
    <t>шт</t>
  </si>
  <si>
    <t>Инженер по строительному контролю</t>
  </si>
  <si>
    <t>Капитонов Д.А.</t>
  </si>
  <si>
    <t>Приказ № 18-ОТ/24 от 03 июня 2024 (НОСТРОЙ С-50-188017)</t>
  </si>
  <si>
    <t>Приказ №05-ОТ/24 от 09 января 2024г</t>
  </si>
  <si>
    <t>Электромонтажные работы выполнены по проектной документации согласно требованиям СП 76.13330.2016. и ПУЭ</t>
  </si>
  <si>
    <t>организация</t>
  </si>
  <si>
    <t>ООО"Энергосистемы"</t>
  </si>
  <si>
    <t>ООО «Гефест»</t>
  </si>
  <si>
    <t>ООО "Энком"</t>
  </si>
  <si>
    <t>ПАО "Россети Московский регион"</t>
  </si>
  <si>
    <t>реквизиты</t>
  </si>
  <si>
    <t>ОГРН 1135044003709  ИНН 5044089069 КПП 504401001</t>
  </si>
  <si>
    <t>ОГРН 1215000057238 ИНН 5044122213 КПП 504401001</t>
  </si>
  <si>
    <t xml:space="preserve">141508, Московская область, г.о. Солнечногорск, г. Солнечногорск, ул. Промышленная, стр. 5, помещение 179
</t>
  </si>
  <si>
    <t>141508, Московская область, г.о. Солнечногорск, г Солнечногорск, ул Промышленная, строение 29А, корпус 1, офис 11</t>
  </si>
  <si>
    <t>115114, город Москва, проезд Павелецкий 2-й, дом 3, строение 2</t>
  </si>
  <si>
    <t>район</t>
  </si>
  <si>
    <t>Солнечногорский р-н</t>
  </si>
  <si>
    <t>Химкинский р-н</t>
  </si>
  <si>
    <t>СРЭС филиала</t>
  </si>
  <si>
    <t>ХРЭС филиала</t>
  </si>
  <si>
    <t>директор</t>
  </si>
  <si>
    <t>И.о.генерального директора</t>
  </si>
  <si>
    <t>Генеральный директор</t>
  </si>
  <si>
    <t>Начальник СРЭС СЭС филиала</t>
  </si>
  <si>
    <t>Начальник ХРЭС СЭС филиала</t>
  </si>
  <si>
    <t>директор ФИО</t>
  </si>
  <si>
    <t>Чернявская Н.Ю.</t>
  </si>
  <si>
    <t xml:space="preserve">Звездов Р.Е. </t>
  </si>
  <si>
    <t>Строй.контроль</t>
  </si>
  <si>
    <t>Специалист по строительному контролю</t>
  </si>
  <si>
    <t>Гл. специалист ССК УКС</t>
  </si>
  <si>
    <t>Приказ стр.контр.</t>
  </si>
  <si>
    <t>Приказ №01/24-ОТ от 15.01.2024 (НРС № С-61-104369)</t>
  </si>
  <si>
    <t>ФИО стр.контр.</t>
  </si>
  <si>
    <t>Саженова Л.В.</t>
  </si>
  <si>
    <t>Представитель</t>
  </si>
  <si>
    <t>ФИО предст.</t>
  </si>
  <si>
    <t>Гл. спец. сектора по льготным договорам тп</t>
  </si>
  <si>
    <t xml:space="preserve">Мастер электромонтажного участка </t>
  </si>
  <si>
    <t>Приказ прораб</t>
  </si>
  <si>
    <t>Приказ №01/24-ОТ от 15.01.2024</t>
  </si>
  <si>
    <t>ФИО прораб</t>
  </si>
  <si>
    <t>Красилов К.А.</t>
  </si>
  <si>
    <t>сцепленные организация</t>
  </si>
  <si>
    <t>Данные объекта</t>
  </si>
  <si>
    <t xml:space="preserve">№ САП </t>
  </si>
  <si>
    <t>р-н</t>
  </si>
  <si>
    <t>Дата старт</t>
  </si>
  <si>
    <t>Дата финиш</t>
  </si>
  <si>
    <t>Наименование электроустановки</t>
  </si>
  <si>
    <t>Реквизиты</t>
  </si>
  <si>
    <t>ФИО</t>
  </si>
  <si>
    <t>Приказ</t>
  </si>
  <si>
    <t>КЛ</t>
  </si>
  <si>
    <t>Прокладка кабельной линии</t>
  </si>
  <si>
    <t>КЛ-10кВ</t>
  </si>
  <si>
    <t>КЛ-6кВ</t>
  </si>
  <si>
    <t>КЛ-0,4кВ</t>
  </si>
  <si>
    <t>АВБбШв 4х120</t>
  </si>
  <si>
    <t>АВБбШв 4х150</t>
  </si>
  <si>
    <t>АВБбШв 4х185</t>
  </si>
  <si>
    <t>АВБбШв 4х240</t>
  </si>
  <si>
    <t>АВБбШв 4х95</t>
  </si>
  <si>
    <t>АПвВнг(А)-LS 1х95/35</t>
  </si>
  <si>
    <t xml:space="preserve">Выемка грунта траншеи под прокладку </t>
  </si>
  <si>
    <t xml:space="preserve">Песчаное основание траншеи под прокладку </t>
  </si>
  <si>
    <t>,</t>
  </si>
  <si>
    <t xml:space="preserve">Устройство трубопровода под прокладку </t>
  </si>
  <si>
    <t>Труба F4 d160мм</t>
  </si>
  <si>
    <t>Устройство трубопровода под прокладку КЛ</t>
  </si>
  <si>
    <t>Паспорт качества № 1925 от 15.01.2025г.</t>
  </si>
  <si>
    <t>Паспорт качества № 0908/24 от 23.08.2024г.</t>
  </si>
  <si>
    <t>SAP - 305042</t>
  </si>
  <si>
    <t>Строительство КТП - 10/0,4кВ, КЛ-10 кВ от ТП-10/0,4кВ № 3463, КЛ-10 кВ от сооруж. КРУН-10 кВ, ВЛИ-0,38 кВ, в т.ч. ПИР, МО, Солнечногорский р-н, п. Красный Воин</t>
  </si>
  <si>
    <t>Солнечногорский район, п. Красный Воин</t>
  </si>
  <si>
    <t>4609-305042-221-10/24</t>
  </si>
  <si>
    <t xml:space="preserve">, </t>
  </si>
  <si>
    <t>АСБл-10 3х95</t>
  </si>
  <si>
    <t>Сертификат №RU C-RU.АЖ03.В.00123/21 от 24.06.2021г.</t>
  </si>
  <si>
    <t>Русин В.А.</t>
  </si>
  <si>
    <t>КЛ-10кВ ф.1 от ТП №3463</t>
  </si>
  <si>
    <t>Приказ № 13-ОТ/25 от 05 мая 2025 (НОСТРОЙ С-50-085497)</t>
  </si>
  <si>
    <t>ОГРН 1077762950055 ИНН 7743668640 КПП 770801001</t>
  </si>
  <si>
    <t>107140, г.Москва, ул. Краснопрудная, д. 12/1, стр. 1, помещ. 1/6</t>
  </si>
  <si>
    <t>Дандре Г.А.</t>
  </si>
  <si>
    <t>НРС № С-77-286715</t>
  </si>
  <si>
    <t>Филлипов А.Ю.</t>
  </si>
  <si>
    <t xml:space="preserve">Главный инженер </t>
  </si>
  <si>
    <t>Приказ № ОТ-25 от 12.01.2024</t>
  </si>
  <si>
    <t>Горбан Г.К.</t>
  </si>
  <si>
    <t>А также иные представители лиц, участвующих в освидетельствовании:</t>
  </si>
  <si>
    <t>Представители иных лиц:</t>
  </si>
  <si>
    <t>(наименование объекта капитального строительства в соответствии с проектной документацией, почтовый или строительный адрес объекта капитального строительства)</t>
  </si>
  <si>
    <t>Курчин М.М.</t>
  </si>
  <si>
    <t>Мастер СРЭС СЭС филиала</t>
  </si>
  <si>
    <t>Алексанян Г.Р.</t>
  </si>
  <si>
    <t>Приказ №53 от 13 марта 2025г. (НРС С-50-77-262451)</t>
  </si>
  <si>
    <t>Шатковский А.Н.</t>
  </si>
  <si>
    <t>Прокладка плитки ПЗК</t>
  </si>
  <si>
    <t xml:space="preserve">Прокладка сигнальной ленты </t>
  </si>
  <si>
    <t>Обратная засыпка грунтом</t>
  </si>
  <si>
    <t>Плитка ПЗК -</t>
  </si>
  <si>
    <t>Сигнальная лента ЛЭС300 -</t>
  </si>
  <si>
    <t>Сертификат №</t>
  </si>
  <si>
    <t>м2</t>
  </si>
  <si>
    <t>кг</t>
  </si>
  <si>
    <t>Огнезащитная паста</t>
  </si>
  <si>
    <t>Стабитерм-225</t>
  </si>
  <si>
    <t>Исполнительная схема ввода КЛ в ТП</t>
  </si>
  <si>
    <t>Исполнителная схема ввода КЛ в ТП</t>
  </si>
  <si>
    <t>Приказ №1904 от 03 июня 2026г (НРС С-50-069023)</t>
  </si>
  <si>
    <t>Приказ № от   2026г (НРС С-31-330248)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</si>
</sst>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"/>
    <numFmt numFmtId="165" formatCode="_-* #,##0.00&quot;р.&quot;_-;\-* #,##0.00&quot;р.&quot;_-;_-* &quot;-&quot;??&quot;р.&quot;_-;_-@_-"/>
  </numFmts>
  <fonts count="25" x14ac:knownFonts="1">
    <font>
      <sz val="10"/>
      <name val="Times New Roman"/>
      <charset val="204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0"/>
      <name val="Arial"/>
      <family val="2"/>
      <charset val="204"/>
    </font>
    <font>
      <sz val="11"/>
      <name val="Times New Roman"/>
      <family val="1"/>
      <charset val="204"/>
    </font>
    <font>
      <sz val="10"/>
      <name val="Times New Roman"/>
      <family val="1"/>
      <charset val="204"/>
    </font>
    <font>
      <sz val="8"/>
      <name val="Times New Roman"/>
      <family val="1"/>
      <charset val="204"/>
    </font>
    <font>
      <sz val="6"/>
      <name val="Times New Roman"/>
      <family val="1"/>
      <charset val="204"/>
    </font>
    <font>
      <sz val="9"/>
      <name val="Times New Roman"/>
      <family val="1"/>
      <charset val="204"/>
    </font>
    <font>
      <b/>
      <i/>
      <sz val="9"/>
      <name val="Times New Roman"/>
      <family val="1"/>
      <charset val="204"/>
    </font>
    <font>
      <b/>
      <i/>
      <sz val="9"/>
      <name val="Tahoma"/>
      <family val="2"/>
      <charset val="204"/>
    </font>
    <font>
      <i/>
      <sz val="9"/>
      <name val="Times New Roman"/>
      <family val="1"/>
      <charset val="204"/>
    </font>
    <font>
      <b/>
      <i/>
      <sz val="6"/>
      <name val="Tahoma"/>
      <family val="2"/>
      <charset val="204"/>
    </font>
    <font>
      <i/>
      <sz val="6"/>
      <name val="Times New Roman"/>
      <family val="1"/>
      <charset val="204"/>
    </font>
    <font>
      <b/>
      <i/>
      <sz val="8"/>
      <name val="Times New Roman"/>
      <family val="1"/>
      <charset val="204"/>
    </font>
    <font>
      <b/>
      <sz val="8"/>
      <name val="Times New Roman"/>
      <family val="1"/>
      <charset val="204"/>
    </font>
    <font>
      <b/>
      <i/>
      <sz val="8"/>
      <name val="Tahoma"/>
      <family val="2"/>
      <charset val="204"/>
    </font>
    <font>
      <b/>
      <sz val="11"/>
      <color theme="1"/>
      <name val="Calibri"/>
      <family val="2"/>
      <charset val="204"/>
      <scheme val="minor"/>
    </font>
    <font>
      <b/>
      <sz val="11"/>
      <color rgb="FF000000"/>
      <name val="Times New Roman"/>
      <family val="1"/>
      <charset val="204"/>
    </font>
    <font>
      <sz val="11"/>
      <color theme="1"/>
      <name val="Times New Roman"/>
      <family val="1"/>
      <charset val="204"/>
    </font>
    <font>
      <sz val="11"/>
      <color rgb="FF000000"/>
      <name val="Times New Roman"/>
      <family val="1"/>
      <charset val="204"/>
    </font>
    <font>
      <b/>
      <i/>
      <sz val="8"/>
      <color theme="1"/>
      <name val="Times New Roman"/>
      <family val="1"/>
      <charset val="204"/>
    </font>
    <font>
      <sz val="10"/>
      <color theme="1"/>
      <name val="Arial"/>
      <family val="2"/>
    </font>
    <font>
      <sz val="11"/>
      <name val="Calibri"/>
      <family val="2"/>
    </font>
    <font>
      <sz val="7"/>
      <name val="Times New Roman"/>
      <family val="1"/>
      <charset val="204"/>
    </font>
  </fonts>
  <fills count="13">
    <fill>
      <patternFill patternType="none"/>
    </fill>
    <fill>
      <patternFill patternType="gray125"/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rgb="FFCCCC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99FFCC"/>
        <bgColor indexed="64"/>
      </patternFill>
    </fill>
    <fill>
      <patternFill patternType="solid">
        <fgColor rgb="FFFF9966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CC99FF"/>
        <bgColor indexed="64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/>
      <right/>
      <top style="thin">
        <color theme="1"/>
      </top>
      <bottom/>
      <diagonal/>
    </border>
  </borders>
  <cellStyleXfs count="9">
    <xf numFmtId="0" fontId="0" fillId="0" borderId="0"/>
    <xf numFmtId="0" fontId="3" fillId="0" borderId="0"/>
    <xf numFmtId="0" fontId="2" fillId="0" borderId="0"/>
    <xf numFmtId="165" fontId="2" fillId="0" borderId="0" applyFont="0" applyFill="0" applyBorder="0" applyAlignment="0" applyProtection="0"/>
    <xf numFmtId="0" fontId="22" fillId="0" borderId="0"/>
    <xf numFmtId="0" fontId="23" fillId="0" borderId="0"/>
    <xf numFmtId="0" fontId="5" fillId="0" borderId="0"/>
    <xf numFmtId="0" fontId="1" fillId="0" borderId="0"/>
    <xf numFmtId="165" fontId="1" fillId="0" borderId="0" applyFont="0" applyFill="0" applyBorder="0" applyAlignment="0" applyProtection="0"/>
  </cellStyleXfs>
  <cellXfs count="163">
    <xf numFmtId="0" fontId="0" fillId="0" borderId="0" xfId="0"/>
    <xf numFmtId="0" fontId="4" fillId="0" borderId="0" xfId="1" applyFont="1"/>
    <xf numFmtId="0" fontId="0" fillId="0" borderId="1" xfId="0" applyBorder="1"/>
    <xf numFmtId="0" fontId="5" fillId="0" borderId="0" xfId="0" applyFont="1"/>
    <xf numFmtId="0" fontId="8" fillId="0" borderId="0" xfId="1" applyFont="1"/>
    <xf numFmtId="0" fontId="8" fillId="0" borderId="0" xfId="1" applyFont="1" applyAlignment="1">
      <alignment vertical="center"/>
    </xf>
    <xf numFmtId="0" fontId="10" fillId="0" borderId="0" xfId="1" applyFont="1" applyAlignment="1">
      <alignment vertical="center"/>
    </xf>
    <xf numFmtId="0" fontId="8" fillId="0" borderId="0" xfId="1" applyFont="1" applyAlignment="1">
      <alignment horizontal="left"/>
    </xf>
    <xf numFmtId="0" fontId="11" fillId="0" borderId="0" xfId="1" applyFont="1" applyAlignment="1">
      <alignment horizontal="center" vertical="center"/>
    </xf>
    <xf numFmtId="0" fontId="9" fillId="0" borderId="0" xfId="1" applyFont="1" applyAlignment="1">
      <alignment horizontal="center" vertical="center"/>
    </xf>
    <xf numFmtId="0" fontId="10" fillId="0" borderId="0" xfId="1" applyFont="1" applyAlignment="1">
      <alignment horizontal="right"/>
    </xf>
    <xf numFmtId="0" fontId="8" fillId="0" borderId="0" xfId="1" applyFont="1" applyAlignment="1">
      <alignment horizontal="center"/>
    </xf>
    <xf numFmtId="0" fontId="11" fillId="0" borderId="0" xfId="0" applyFont="1" applyAlignment="1">
      <alignment horizontal="center" vertical="center"/>
    </xf>
    <xf numFmtId="0" fontId="6" fillId="0" borderId="0" xfId="1" applyFont="1"/>
    <xf numFmtId="0" fontId="7" fillId="0" borderId="0" xfId="1" applyFont="1"/>
    <xf numFmtId="0" fontId="7" fillId="0" borderId="0" xfId="1" applyFont="1" applyAlignment="1">
      <alignment horizontal="left"/>
    </xf>
    <xf numFmtId="0" fontId="7" fillId="0" borderId="0" xfId="1" applyFont="1" applyAlignment="1">
      <alignment horizontal="left" vertical="top"/>
    </xf>
    <xf numFmtId="0" fontId="7" fillId="0" borderId="0" xfId="1" applyFont="1" applyAlignment="1">
      <alignment vertical="center" wrapText="1"/>
    </xf>
    <xf numFmtId="0" fontId="7" fillId="0" borderId="0" xfId="1" applyFont="1" applyAlignment="1">
      <alignment vertical="center"/>
    </xf>
    <xf numFmtId="0" fontId="12" fillId="0" borderId="0" xfId="1" applyFont="1"/>
    <xf numFmtId="0" fontId="13" fillId="0" borderId="0" xfId="1" applyFont="1" applyAlignment="1">
      <alignment vertical="center"/>
    </xf>
    <xf numFmtId="0" fontId="6" fillId="0" borderId="0" xfId="1" applyFont="1" applyAlignment="1">
      <alignment horizontal="right"/>
    </xf>
    <xf numFmtId="0" fontId="6" fillId="0" borderId="0" xfId="1" applyFont="1" applyAlignment="1">
      <alignment wrapText="1"/>
    </xf>
    <xf numFmtId="0" fontId="15" fillId="0" borderId="0" xfId="1" applyFont="1" applyAlignment="1">
      <alignment horizontal="center"/>
    </xf>
    <xf numFmtId="0" fontId="15" fillId="0" borderId="0" xfId="1" applyFont="1" applyAlignment="1">
      <alignment horizontal="right"/>
    </xf>
    <xf numFmtId="0" fontId="14" fillId="0" borderId="6" xfId="1" applyFont="1" applyBorder="1"/>
    <xf numFmtId="0" fontId="14" fillId="0" borderId="6" xfId="1" applyFont="1" applyBorder="1" applyAlignment="1">
      <alignment horizontal="center"/>
    </xf>
    <xf numFmtId="0" fontId="16" fillId="0" borderId="0" xfId="1" applyFont="1" applyAlignment="1">
      <alignment horizontal="center"/>
    </xf>
    <xf numFmtId="0" fontId="16" fillId="0" borderId="0" xfId="1" applyFont="1"/>
    <xf numFmtId="0" fontId="14" fillId="0" borderId="4" xfId="1" applyFont="1" applyBorder="1" applyAlignment="1">
      <alignment horizontal="center"/>
    </xf>
    <xf numFmtId="0" fontId="14" fillId="0" borderId="6" xfId="1" applyFont="1" applyBorder="1" applyAlignment="1">
      <alignment vertical="center" wrapText="1"/>
    </xf>
    <xf numFmtId="0" fontId="6" fillId="0" borderId="0" xfId="1" applyFont="1" applyAlignment="1">
      <alignment vertical="center"/>
    </xf>
    <xf numFmtId="0" fontId="14" fillId="0" borderId="0" xfId="1" applyFont="1"/>
    <xf numFmtId="0" fontId="14" fillId="0" borderId="4" xfId="1" applyFont="1" applyBorder="1"/>
    <xf numFmtId="0" fontId="14" fillId="0" borderId="6" xfId="1" applyFont="1" applyBorder="1" applyAlignment="1">
      <alignment vertical="center"/>
    </xf>
    <xf numFmtId="0" fontId="17" fillId="0" borderId="10" xfId="0" applyFont="1" applyBorder="1" applyAlignment="1">
      <alignment vertical="center"/>
    </xf>
    <xf numFmtId="0" fontId="17" fillId="0" borderId="10" xfId="0" applyFont="1" applyBorder="1" applyAlignment="1">
      <alignment horizontal="center" vertical="center"/>
    </xf>
    <xf numFmtId="0" fontId="17" fillId="0" borderId="10" xfId="0" applyFont="1" applyBorder="1"/>
    <xf numFmtId="0" fontId="0" fillId="2" borderId="1" xfId="0" applyFill="1" applyBorder="1" applyAlignment="1">
      <alignment vertical="center"/>
    </xf>
    <xf numFmtId="0" fontId="0" fillId="2" borderId="1" xfId="0" applyFill="1" applyBorder="1" applyAlignment="1">
      <alignment horizontal="center" vertical="center" wrapText="1"/>
    </xf>
    <xf numFmtId="0" fontId="0" fillId="2" borderId="7" xfId="0" applyFill="1" applyBorder="1" applyAlignment="1">
      <alignment horizontal="center" vertical="center" wrapText="1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2" borderId="1" xfId="0" applyFill="1" applyBorder="1"/>
    <xf numFmtId="0" fontId="0" fillId="0" borderId="0" xfId="0" applyAlignment="1">
      <alignment wrapText="1"/>
    </xf>
    <xf numFmtId="0" fontId="0" fillId="3" borderId="1" xfId="0" applyFill="1" applyBorder="1" applyAlignment="1">
      <alignment wrapText="1"/>
    </xf>
    <xf numFmtId="0" fontId="0" fillId="3" borderId="0" xfId="0" applyFill="1" applyAlignment="1">
      <alignment wrapText="1"/>
    </xf>
    <xf numFmtId="0" fontId="0" fillId="4" borderId="0" xfId="0" applyFill="1" applyAlignment="1">
      <alignment wrapText="1"/>
    </xf>
    <xf numFmtId="0" fontId="0" fillId="5" borderId="1" xfId="0" applyFill="1" applyBorder="1" applyAlignment="1">
      <alignment wrapText="1"/>
    </xf>
    <xf numFmtId="0" fontId="0" fillId="5" borderId="0" xfId="0" applyFill="1" applyAlignment="1">
      <alignment wrapText="1"/>
    </xf>
    <xf numFmtId="0" fontId="0" fillId="4" borderId="1" xfId="0" applyFill="1" applyBorder="1" applyAlignment="1">
      <alignment wrapText="1"/>
    </xf>
    <xf numFmtId="0" fontId="0" fillId="6" borderId="0" xfId="0" applyFill="1" applyAlignment="1">
      <alignment wrapText="1"/>
    </xf>
    <xf numFmtId="0" fontId="0" fillId="4" borderId="1" xfId="0" applyFill="1" applyBorder="1"/>
    <xf numFmtId="14" fontId="0" fillId="0" borderId="0" xfId="0" applyNumberFormat="1"/>
    <xf numFmtId="0" fontId="20" fillId="5" borderId="1" xfId="0" applyFont="1" applyFill="1" applyBorder="1" applyAlignment="1">
      <alignment horizontal="center" wrapText="1"/>
    </xf>
    <xf numFmtId="0" fontId="5" fillId="0" borderId="1" xfId="0" applyFont="1" applyBorder="1"/>
    <xf numFmtId="0" fontId="20" fillId="6" borderId="1" xfId="0" applyFont="1" applyFill="1" applyBorder="1" applyAlignment="1">
      <alignment horizontal="center" wrapText="1"/>
    </xf>
    <xf numFmtId="0" fontId="20" fillId="6" borderId="1" xfId="0" applyFont="1" applyFill="1" applyBorder="1" applyAlignment="1">
      <alignment horizontal="center"/>
    </xf>
    <xf numFmtId="0" fontId="20" fillId="4" borderId="1" xfId="0" applyFont="1" applyFill="1" applyBorder="1" applyAlignment="1">
      <alignment horizontal="center" wrapText="1"/>
    </xf>
    <xf numFmtId="0" fontId="21" fillId="0" borderId="0" xfId="0" applyFont="1" applyAlignment="1">
      <alignment vertical="center" wrapText="1"/>
    </xf>
    <xf numFmtId="0" fontId="21" fillId="0" borderId="0" xfId="0" applyFont="1" applyAlignment="1">
      <alignment vertical="center"/>
    </xf>
    <xf numFmtId="0" fontId="0" fillId="8" borderId="0" xfId="0" applyFill="1"/>
    <xf numFmtId="0" fontId="0" fillId="9" borderId="0" xfId="0" applyFill="1"/>
    <xf numFmtId="0" fontId="14" fillId="0" borderId="0" xfId="1" applyFont="1" applyAlignment="1">
      <alignment vertical="center"/>
    </xf>
    <xf numFmtId="0" fontId="14" fillId="0" borderId="6" xfId="1" applyFont="1" applyFill="1" applyBorder="1" applyAlignment="1">
      <alignment vertical="center"/>
    </xf>
    <xf numFmtId="0" fontId="6" fillId="0" borderId="0" xfId="1" applyFont="1" applyBorder="1"/>
    <xf numFmtId="0" fontId="6" fillId="0" borderId="0" xfId="1" applyFont="1" applyFill="1"/>
    <xf numFmtId="0" fontId="12" fillId="0" borderId="0" xfId="1" applyFont="1" applyFill="1"/>
    <xf numFmtId="164" fontId="20" fillId="11" borderId="1" xfId="0" applyNumberFormat="1" applyFont="1" applyFill="1" applyBorder="1" applyAlignment="1">
      <alignment horizontal="center" wrapText="1"/>
    </xf>
    <xf numFmtId="0" fontId="14" fillId="0" borderId="6" xfId="1" applyFont="1" applyBorder="1" applyAlignment="1">
      <alignment vertical="center" wrapText="1"/>
    </xf>
    <xf numFmtId="0" fontId="14" fillId="0" borderId="6" xfId="1" applyFont="1" applyFill="1" applyBorder="1" applyAlignment="1">
      <alignment vertical="center"/>
    </xf>
    <xf numFmtId="0" fontId="14" fillId="0" borderId="6" xfId="1" applyFont="1" applyFill="1" applyBorder="1" applyAlignment="1">
      <alignment vertical="center" wrapText="1"/>
    </xf>
    <xf numFmtId="0" fontId="14" fillId="0" borderId="6" xfId="1" applyFont="1" applyBorder="1" applyAlignment="1">
      <alignment vertical="center" wrapText="1"/>
    </xf>
    <xf numFmtId="0" fontId="14" fillId="0" borderId="6" xfId="1" applyFont="1" applyFill="1" applyBorder="1" applyAlignment="1">
      <alignment vertical="center" wrapText="1"/>
    </xf>
    <xf numFmtId="0" fontId="19" fillId="7" borderId="1" xfId="2" applyFont="1" applyFill="1" applyBorder="1" applyAlignment="1">
      <alignment horizontal="center"/>
    </xf>
    <xf numFmtId="0" fontId="20" fillId="7" borderId="1" xfId="2" applyFont="1" applyFill="1" applyBorder="1" applyAlignment="1">
      <alignment horizontal="center" vertical="center" wrapText="1"/>
    </xf>
    <xf numFmtId="0" fontId="20" fillId="7" borderId="1" xfId="2" applyFont="1" applyFill="1" applyBorder="1" applyAlignment="1">
      <alignment horizontal="center" wrapText="1"/>
    </xf>
    <xf numFmtId="14" fontId="20" fillId="7" borderId="1" xfId="2" applyNumberFormat="1" applyFont="1" applyFill="1" applyBorder="1" applyAlignment="1">
      <alignment horizontal="center" wrapText="1"/>
    </xf>
    <xf numFmtId="0" fontId="20" fillId="4" borderId="1" xfId="2" applyFont="1" applyFill="1" applyBorder="1" applyAlignment="1">
      <alignment horizontal="center" wrapText="1"/>
    </xf>
    <xf numFmtId="0" fontId="14" fillId="0" borderId="4" xfId="1" applyFont="1" applyBorder="1" applyAlignment="1">
      <alignment vertical="center" wrapText="1"/>
    </xf>
    <xf numFmtId="0" fontId="14" fillId="0" borderId="4" xfId="1" applyFont="1" applyFill="1" applyBorder="1" applyAlignment="1">
      <alignment vertical="center"/>
    </xf>
    <xf numFmtId="0" fontId="14" fillId="0" borderId="4" xfId="1" applyFont="1" applyFill="1" applyBorder="1" applyAlignment="1">
      <alignment vertical="center" wrapText="1"/>
    </xf>
    <xf numFmtId="0" fontId="20" fillId="5" borderId="1" xfId="7" applyFont="1" applyFill="1" applyBorder="1" applyAlignment="1">
      <alignment horizontal="center" wrapText="1"/>
    </xf>
    <xf numFmtId="0" fontId="0" fillId="2" borderId="7" xfId="0" applyFill="1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7" fillId="0" borderId="0" xfId="1" applyFont="1" applyAlignment="1">
      <alignment horizontal="center" vertical="center" wrapText="1"/>
    </xf>
    <xf numFmtId="0" fontId="7" fillId="0" borderId="0" xfId="1" applyFont="1" applyAlignment="1">
      <alignment horizontal="center" vertical="center"/>
    </xf>
    <xf numFmtId="0" fontId="20" fillId="6" borderId="4" xfId="0" applyFont="1" applyFill="1" applyBorder="1" applyAlignment="1">
      <alignment horizontal="center" wrapText="1"/>
    </xf>
    <xf numFmtId="0" fontId="19" fillId="0" borderId="1" xfId="0" applyFont="1" applyBorder="1" applyAlignment="1">
      <alignment horizontal="center" vertical="center"/>
    </xf>
    <xf numFmtId="0" fontId="20" fillId="0" borderId="1" xfId="0" applyFont="1" applyBorder="1" applyAlignment="1">
      <alignment horizontal="center" vertical="center" wrapText="1"/>
    </xf>
    <xf numFmtId="0" fontId="20" fillId="0" borderId="3" xfId="0" applyFont="1" applyBorder="1" applyAlignment="1">
      <alignment horizontal="center" vertical="center" wrapText="1"/>
    </xf>
    <xf numFmtId="0" fontId="20" fillId="0" borderId="7" xfId="0" applyFont="1" applyBorder="1" applyAlignment="1">
      <alignment horizontal="center" vertical="center" wrapText="1"/>
    </xf>
    <xf numFmtId="0" fontId="20" fillId="0" borderId="5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24" fillId="0" borderId="0" xfId="1" applyFont="1" applyAlignment="1">
      <alignment vertical="center" wrapText="1"/>
    </xf>
    <xf numFmtId="0" fontId="24" fillId="0" borderId="0" xfId="1" applyFont="1" applyAlignment="1">
      <alignment vertical="center"/>
    </xf>
    <xf numFmtId="0" fontId="14" fillId="12" borderId="6" xfId="1" applyFont="1" applyFill="1" applyBorder="1" applyAlignment="1">
      <alignment vertical="center"/>
    </xf>
    <xf numFmtId="0" fontId="14" fillId="12" borderId="4" xfId="1" applyFont="1" applyFill="1" applyBorder="1" applyAlignment="1">
      <alignment horizontal="left" vertical="center"/>
    </xf>
    <xf numFmtId="0" fontId="14" fillId="12" borderId="4" xfId="1" applyFont="1" applyFill="1" applyBorder="1" applyAlignment="1">
      <alignment vertical="center"/>
    </xf>
    <xf numFmtId="0" fontId="14" fillId="0" borderId="4" xfId="1" applyFont="1" applyFill="1" applyBorder="1" applyAlignment="1"/>
    <xf numFmtId="0" fontId="6" fillId="0" borderId="6" xfId="1" applyFont="1" applyBorder="1"/>
    <xf numFmtId="0" fontId="14" fillId="0" borderId="6" xfId="1" applyFont="1" applyFill="1" applyBorder="1" applyAlignment="1"/>
    <xf numFmtId="0" fontId="14" fillId="0" borderId="6" xfId="1" applyFont="1" applyBorder="1" applyAlignment="1">
      <alignment horizontal="center"/>
    </xf>
    <xf numFmtId="0" fontId="7" fillId="0" borderId="0" xfId="1" applyFont="1" applyAlignment="1">
      <alignment horizontal="center" vertical="center" wrapText="1"/>
    </xf>
    <xf numFmtId="0" fontId="7" fillId="0" borderId="0" xfId="1" applyFont="1" applyAlignment="1">
      <alignment horizontal="center" vertical="center"/>
    </xf>
    <xf numFmtId="0" fontId="15" fillId="0" borderId="0" xfId="1" applyFont="1" applyAlignment="1">
      <alignment horizontal="center"/>
    </xf>
    <xf numFmtId="0" fontId="22" fillId="2" borderId="1" xfId="4" applyFill="1" applyBorder="1" applyAlignment="1">
      <alignment horizontal="center" vertical="center" wrapText="1"/>
    </xf>
    <xf numFmtId="0" fontId="22" fillId="0" borderId="1" xfId="4" applyBorder="1" applyAlignment="1">
      <alignment horizontal="center" vertical="center" wrapText="1"/>
    </xf>
    <xf numFmtId="0" fontId="22" fillId="2" borderId="7" xfId="4" applyFill="1" applyBorder="1" applyAlignment="1">
      <alignment horizontal="center" vertical="center" wrapText="1"/>
    </xf>
    <xf numFmtId="0" fontId="22" fillId="0" borderId="7" xfId="4" applyBorder="1" applyAlignment="1">
      <alignment horizontal="center" vertical="center" wrapText="1"/>
    </xf>
    <xf numFmtId="0" fontId="6" fillId="0" borderId="4" xfId="1" applyFont="1" applyFill="1" applyBorder="1"/>
    <xf numFmtId="0" fontId="14" fillId="0" borderId="4" xfId="1" applyFont="1" applyBorder="1" applyAlignment="1">
      <alignment horizontal="center" vertical="center" wrapText="1"/>
    </xf>
    <xf numFmtId="0" fontId="14" fillId="0" borderId="6" xfId="1" applyFont="1" applyFill="1" applyBorder="1"/>
    <xf numFmtId="0" fontId="17" fillId="0" borderId="10" xfId="0" applyFont="1" applyBorder="1" applyAlignment="1">
      <alignment horizontal="center"/>
    </xf>
    <xf numFmtId="0" fontId="0" fillId="2" borderId="7" xfId="0" applyFill="1" applyBorder="1" applyAlignment="1">
      <alignment horizontal="center" vertical="center" wrapText="1"/>
    </xf>
    <xf numFmtId="0" fontId="0" fillId="2" borderId="4" xfId="0" applyFill="1" applyBorder="1" applyAlignment="1">
      <alignment horizontal="center" vertical="center" wrapText="1"/>
    </xf>
    <xf numFmtId="0" fontId="0" fillId="2" borderId="2" xfId="0" applyFill="1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18" fillId="0" borderId="7" xfId="0" applyFont="1" applyBorder="1" applyAlignment="1">
      <alignment horizontal="center" wrapText="1"/>
    </xf>
    <xf numFmtId="0" fontId="18" fillId="0" borderId="4" xfId="0" applyFont="1" applyBorder="1" applyAlignment="1">
      <alignment horizontal="center" wrapText="1"/>
    </xf>
    <xf numFmtId="0" fontId="18" fillId="0" borderId="7" xfId="0" applyFont="1" applyBorder="1" applyAlignment="1">
      <alignment horizontal="center"/>
    </xf>
    <xf numFmtId="0" fontId="18" fillId="0" borderId="4" xfId="0" applyFont="1" applyBorder="1" applyAlignment="1">
      <alignment horizontal="center"/>
    </xf>
    <xf numFmtId="0" fontId="18" fillId="0" borderId="9" xfId="0" applyFont="1" applyBorder="1" applyAlignment="1">
      <alignment horizontal="center" wrapText="1"/>
    </xf>
    <xf numFmtId="0" fontId="6" fillId="0" borderId="0" xfId="1" applyFont="1" applyAlignment="1">
      <alignment horizontal="left" wrapText="1"/>
    </xf>
    <xf numFmtId="0" fontId="14" fillId="0" borderId="6" xfId="1" applyFont="1" applyBorder="1" applyAlignment="1">
      <alignment horizontal="center" vertical="center" wrapText="1"/>
    </xf>
    <xf numFmtId="0" fontId="7" fillId="0" borderId="0" xfId="1" applyFont="1" applyAlignment="1">
      <alignment horizontal="center" vertical="center" wrapText="1"/>
    </xf>
    <xf numFmtId="0" fontId="7" fillId="0" borderId="0" xfId="1" applyFont="1" applyAlignment="1">
      <alignment horizontal="center" vertical="center"/>
    </xf>
    <xf numFmtId="0" fontId="14" fillId="0" borderId="6" xfId="1" applyFont="1" applyBorder="1" applyAlignment="1">
      <alignment horizontal="center"/>
    </xf>
    <xf numFmtId="14" fontId="14" fillId="0" borderId="6" xfId="1" applyNumberFormat="1" applyFont="1" applyBorder="1" applyAlignment="1">
      <alignment horizontal="center"/>
    </xf>
    <xf numFmtId="14" fontId="14" fillId="0" borderId="4" xfId="1" applyNumberFormat="1" applyFont="1" applyBorder="1" applyAlignment="1">
      <alignment horizontal="center"/>
    </xf>
    <xf numFmtId="0" fontId="13" fillId="0" borderId="0" xfId="1" applyFont="1" applyAlignment="1">
      <alignment horizontal="center" vertical="center"/>
    </xf>
    <xf numFmtId="0" fontId="7" fillId="0" borderId="8" xfId="1" applyFont="1" applyBorder="1" applyAlignment="1">
      <alignment horizontal="center" vertical="center" wrapText="1"/>
    </xf>
    <xf numFmtId="0" fontId="7" fillId="0" borderId="8" xfId="1" applyFont="1" applyBorder="1" applyAlignment="1">
      <alignment horizontal="center" vertical="center"/>
    </xf>
    <xf numFmtId="0" fontId="6" fillId="0" borderId="0" xfId="1" applyFont="1" applyAlignment="1">
      <alignment horizontal="left" vertical="center" wrapText="1"/>
    </xf>
    <xf numFmtId="0" fontId="14" fillId="0" borderId="6" xfId="1" applyFont="1" applyBorder="1" applyAlignment="1">
      <alignment horizontal="left"/>
    </xf>
    <xf numFmtId="0" fontId="14" fillId="12" borderId="6" xfId="1" applyFont="1" applyFill="1" applyBorder="1" applyAlignment="1">
      <alignment horizontal="center" vertical="center" wrapText="1"/>
    </xf>
    <xf numFmtId="0" fontId="14" fillId="0" borderId="6" xfId="1" applyFont="1" applyBorder="1" applyAlignment="1">
      <alignment horizontal="center" vertical="center"/>
    </xf>
    <xf numFmtId="0" fontId="14" fillId="0" borderId="6" xfId="1" applyFont="1" applyFill="1" applyBorder="1" applyAlignment="1">
      <alignment horizontal="left" vertical="center" wrapText="1"/>
    </xf>
    <xf numFmtId="0" fontId="14" fillId="0" borderId="6" xfId="1" applyFont="1" applyFill="1" applyBorder="1" applyAlignment="1">
      <alignment horizontal="center" vertical="center" wrapText="1"/>
    </xf>
    <xf numFmtId="0" fontId="15" fillId="0" borderId="0" xfId="1" applyFont="1" applyAlignment="1">
      <alignment horizontal="center" vertical="center"/>
    </xf>
    <xf numFmtId="0" fontId="15" fillId="0" borderId="0" xfId="1" applyFont="1" applyAlignment="1">
      <alignment horizontal="center"/>
    </xf>
    <xf numFmtId="0" fontId="7" fillId="0" borderId="0" xfId="1" applyFont="1" applyAlignment="1">
      <alignment horizontal="center"/>
    </xf>
    <xf numFmtId="0" fontId="7" fillId="0" borderId="8" xfId="1" applyFont="1" applyBorder="1" applyAlignment="1">
      <alignment horizontal="center" vertical="top" wrapText="1"/>
    </xf>
    <xf numFmtId="0" fontId="14" fillId="0" borderId="6" xfId="1" applyFont="1" applyBorder="1" applyAlignment="1">
      <alignment horizontal="left" vertical="center"/>
    </xf>
    <xf numFmtId="0" fontId="14" fillId="12" borderId="6" xfId="1" applyFont="1" applyFill="1" applyBorder="1" applyAlignment="1">
      <alignment horizontal="left" vertical="center"/>
    </xf>
    <xf numFmtId="0" fontId="14" fillId="0" borderId="4" xfId="1" applyFont="1" applyFill="1" applyBorder="1" applyAlignment="1">
      <alignment horizontal="left"/>
    </xf>
    <xf numFmtId="0" fontId="14" fillId="0" borderId="4" xfId="1" applyFont="1" applyBorder="1" applyAlignment="1">
      <alignment horizontal="left"/>
    </xf>
    <xf numFmtId="0" fontId="14" fillId="0" borderId="6" xfId="1" applyFont="1" applyFill="1" applyBorder="1" applyAlignment="1">
      <alignment horizontal="left" vertical="center"/>
    </xf>
    <xf numFmtId="0" fontId="14" fillId="12" borderId="6" xfId="1" applyFont="1" applyFill="1" applyBorder="1" applyAlignment="1">
      <alignment horizontal="center" vertical="center"/>
    </xf>
    <xf numFmtId="0" fontId="14" fillId="0" borderId="6" xfId="1" applyFont="1" applyFill="1" applyBorder="1" applyAlignment="1">
      <alignment horizontal="center" vertical="center"/>
    </xf>
    <xf numFmtId="0" fontId="7" fillId="0" borderId="0" xfId="1" applyFont="1" applyFill="1" applyAlignment="1">
      <alignment horizontal="center" vertical="center" wrapText="1"/>
    </xf>
    <xf numFmtId="0" fontId="7" fillId="0" borderId="0" xfId="1" applyFont="1" applyFill="1" applyAlignment="1">
      <alignment horizontal="center" vertical="center"/>
    </xf>
    <xf numFmtId="0" fontId="14" fillId="0" borderId="6" xfId="1" applyFont="1" applyFill="1" applyBorder="1" applyAlignment="1">
      <alignment horizontal="center"/>
    </xf>
    <xf numFmtId="0" fontId="7" fillId="0" borderId="8" xfId="1" applyFont="1" applyFill="1" applyBorder="1" applyAlignment="1">
      <alignment horizontal="center" vertical="center"/>
    </xf>
    <xf numFmtId="0" fontId="14" fillId="12" borderId="4" xfId="1" applyFont="1" applyFill="1" applyBorder="1" applyAlignment="1">
      <alignment horizontal="center" vertical="center" wrapText="1"/>
    </xf>
    <xf numFmtId="0" fontId="14" fillId="12" borderId="6" xfId="1" applyFont="1" applyFill="1" applyBorder="1" applyAlignment="1">
      <alignment horizontal="center"/>
    </xf>
    <xf numFmtId="0" fontId="14" fillId="10" borderId="6" xfId="1" applyFont="1" applyFill="1" applyBorder="1" applyAlignment="1">
      <alignment horizontal="left" vertical="center"/>
    </xf>
    <xf numFmtId="0" fontId="14" fillId="12" borderId="6" xfId="1" applyFont="1" applyFill="1" applyBorder="1" applyAlignment="1">
      <alignment horizontal="left" vertical="center" wrapText="1"/>
    </xf>
    <xf numFmtId="0" fontId="15" fillId="12" borderId="6" xfId="1" applyFont="1" applyFill="1" applyBorder="1" applyAlignment="1">
      <alignment horizontal="center" vertical="center"/>
    </xf>
    <xf numFmtId="0" fontId="14" fillId="0" borderId="6" xfId="1" applyFont="1" applyBorder="1" applyAlignment="1">
      <alignment horizontal="left" vertical="center" wrapText="1"/>
    </xf>
  </cellXfs>
  <cellStyles count="9">
    <cellStyle name="Денежный 2" xfId="3" xr:uid="{D3076896-71B1-4C8E-8457-0FB5A0FC3300}"/>
    <cellStyle name="Денежный 3" xfId="8" xr:uid="{DD5B82CB-A55E-4829-A8E9-ECAB24D94339}"/>
    <cellStyle name="Обычный" xfId="0" builtinId="0"/>
    <cellStyle name="Обычный 2" xfId="4" xr:uid="{17B6180C-5EB4-4F01-82BB-2E576856F43B}"/>
    <cellStyle name="Обычный 3" xfId="5" xr:uid="{BF0B0CC7-D1A0-44FC-BE7A-5FBB23357ED6}"/>
    <cellStyle name="Обычный 4" xfId="6" xr:uid="{325954F7-BC43-4CC7-AA2B-B5D1AF37A648}"/>
    <cellStyle name="Обычный 5" xfId="2" xr:uid="{B085BD46-22AB-4290-AC9F-751A0055253E}"/>
    <cellStyle name="Обычный 6" xfId="7" xr:uid="{32E51C30-7068-41BD-AF44-FC89A985F5B5}"/>
    <cellStyle name="Обычный_Пример акта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7F7270-3B95-49DB-A853-54C8F4DC6BF8}">
  <dimension ref="A1:E10"/>
  <sheetViews>
    <sheetView workbookViewId="0">
      <selection activeCell="E8" sqref="E8"/>
    </sheetView>
  </sheetViews>
  <sheetFormatPr defaultRowHeight="12.75" x14ac:dyDescent="0.2"/>
  <cols>
    <col min="1" max="1" width="18.33203125" customWidth="1"/>
    <col min="2" max="2" width="22.5" customWidth="1"/>
    <col min="3" max="3" width="55.6640625" customWidth="1"/>
    <col min="4" max="4" width="27.83203125" customWidth="1"/>
  </cols>
  <sheetData>
    <row r="1" spans="1:5" x14ac:dyDescent="0.2">
      <c r="A1" s="62" t="s">
        <v>153</v>
      </c>
    </row>
    <row r="2" spans="1:5" x14ac:dyDescent="0.2">
      <c r="A2" s="63" t="s">
        <v>154</v>
      </c>
      <c r="B2" s="63" t="s">
        <v>96</v>
      </c>
    </row>
    <row r="3" spans="1:5" x14ac:dyDescent="0.2">
      <c r="A3" t="s">
        <v>155</v>
      </c>
      <c r="B3" t="s">
        <v>94</v>
      </c>
      <c r="C3" t="s">
        <v>198</v>
      </c>
      <c r="D3" t="s">
        <v>201</v>
      </c>
      <c r="E3" t="s">
        <v>98</v>
      </c>
    </row>
    <row r="4" spans="1:5" x14ac:dyDescent="0.2">
      <c r="A4" t="s">
        <v>156</v>
      </c>
      <c r="B4" t="s">
        <v>95</v>
      </c>
      <c r="C4" t="s">
        <v>199</v>
      </c>
      <c r="D4" t="s">
        <v>202</v>
      </c>
      <c r="E4" t="s">
        <v>92</v>
      </c>
    </row>
    <row r="5" spans="1:5" x14ac:dyDescent="0.2">
      <c r="A5" t="s">
        <v>157</v>
      </c>
      <c r="B5" t="s">
        <v>162</v>
      </c>
      <c r="E5" s="3" t="s">
        <v>205</v>
      </c>
    </row>
    <row r="6" spans="1:5" x14ac:dyDescent="0.2">
      <c r="B6" t="s">
        <v>158</v>
      </c>
      <c r="E6" s="3" t="s">
        <v>82</v>
      </c>
    </row>
    <row r="7" spans="1:5" x14ac:dyDescent="0.2">
      <c r="B7" t="s">
        <v>159</v>
      </c>
      <c r="E7" s="3" t="s">
        <v>204</v>
      </c>
    </row>
    <row r="8" spans="1:5" x14ac:dyDescent="0.2">
      <c r="B8" t="s">
        <v>160</v>
      </c>
    </row>
    <row r="9" spans="1:5" x14ac:dyDescent="0.2">
      <c r="B9" t="s">
        <v>161</v>
      </c>
    </row>
    <row r="10" spans="1:5" x14ac:dyDescent="0.2">
      <c r="B10" t="s">
        <v>163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77EA9F-FAB7-4E01-8720-EA0EB7CAD746}">
  <dimension ref="A1:I29"/>
  <sheetViews>
    <sheetView topLeftCell="D1" workbookViewId="0">
      <selection activeCell="G10" sqref="G10"/>
    </sheetView>
  </sheetViews>
  <sheetFormatPr defaultRowHeight="12.75" x14ac:dyDescent="0.2"/>
  <cols>
    <col min="1" max="1" width="21.83203125" customWidth="1"/>
    <col min="2" max="2" width="33" customWidth="1"/>
    <col min="3" max="3" width="42.6640625" customWidth="1"/>
    <col min="4" max="6" width="40.6640625" customWidth="1"/>
    <col min="7" max="8" width="42.83203125" customWidth="1"/>
    <col min="9" max="9" width="42.1640625" customWidth="1"/>
  </cols>
  <sheetData>
    <row r="1" spans="1:9" ht="15" x14ac:dyDescent="0.25">
      <c r="A1" s="35" t="s">
        <v>104</v>
      </c>
      <c r="B1" s="35"/>
      <c r="C1" s="36" t="s">
        <v>105</v>
      </c>
      <c r="D1" s="36" t="s">
        <v>106</v>
      </c>
      <c r="E1" s="36" t="s">
        <v>107</v>
      </c>
      <c r="F1" s="37"/>
      <c r="G1" s="114" t="s">
        <v>108</v>
      </c>
      <c r="H1" s="114"/>
      <c r="I1" s="114"/>
    </row>
    <row r="2" spans="1:9" ht="25.5" x14ac:dyDescent="0.2">
      <c r="A2" s="38" t="s">
        <v>109</v>
      </c>
      <c r="B2" s="38"/>
      <c r="C2" s="39" t="s">
        <v>110</v>
      </c>
      <c r="D2" s="39" t="s">
        <v>111</v>
      </c>
      <c r="E2" s="84" t="s">
        <v>182</v>
      </c>
      <c r="F2" s="40"/>
      <c r="G2" s="115" t="s">
        <v>81</v>
      </c>
      <c r="H2" s="116"/>
      <c r="I2" s="117"/>
    </row>
    <row r="3" spans="1:9" ht="63" customHeight="1" x14ac:dyDescent="0.2">
      <c r="A3" s="41" t="s">
        <v>65</v>
      </c>
      <c r="B3" s="41"/>
      <c r="C3" s="42" t="s">
        <v>112</v>
      </c>
      <c r="D3" s="42" t="s">
        <v>113</v>
      </c>
      <c r="E3" s="85" t="s">
        <v>183</v>
      </c>
      <c r="F3" s="43"/>
      <c r="G3" s="118" t="s">
        <v>114</v>
      </c>
      <c r="H3" s="119"/>
      <c r="I3" s="120"/>
    </row>
    <row r="4" spans="1:9" x14ac:dyDescent="0.2">
      <c r="A4" s="38" t="s">
        <v>115</v>
      </c>
      <c r="B4" s="38"/>
      <c r="C4" s="39"/>
      <c r="D4" s="39"/>
      <c r="E4" s="39"/>
      <c r="F4" s="39"/>
      <c r="G4" s="39" t="s">
        <v>116</v>
      </c>
      <c r="H4" s="39"/>
      <c r="I4" s="39" t="s">
        <v>117</v>
      </c>
    </row>
    <row r="5" spans="1:9" x14ac:dyDescent="0.2">
      <c r="A5" s="41"/>
      <c r="B5" s="41"/>
      <c r="C5" s="42"/>
      <c r="D5" s="42"/>
      <c r="E5" s="42"/>
      <c r="F5" s="42"/>
      <c r="G5" s="42" t="s">
        <v>118</v>
      </c>
      <c r="H5" s="42"/>
      <c r="I5" s="42" t="s">
        <v>119</v>
      </c>
    </row>
    <row r="6" spans="1:9" x14ac:dyDescent="0.2">
      <c r="A6" s="38" t="s">
        <v>120</v>
      </c>
      <c r="B6" s="38"/>
      <c r="C6" s="39" t="s">
        <v>121</v>
      </c>
      <c r="D6" s="39" t="s">
        <v>122</v>
      </c>
      <c r="E6" s="39" t="s">
        <v>122</v>
      </c>
      <c r="F6" s="39"/>
      <c r="G6" s="39" t="s">
        <v>123</v>
      </c>
      <c r="H6" s="39"/>
      <c r="I6" s="39" t="s">
        <v>124</v>
      </c>
    </row>
    <row r="7" spans="1:9" x14ac:dyDescent="0.2">
      <c r="A7" s="41" t="s">
        <v>125</v>
      </c>
      <c r="B7" s="41"/>
      <c r="C7" s="42" t="s">
        <v>126</v>
      </c>
      <c r="D7" s="42" t="s">
        <v>127</v>
      </c>
      <c r="E7" s="42" t="s">
        <v>184</v>
      </c>
      <c r="F7" s="42"/>
      <c r="G7" s="42" t="s">
        <v>73</v>
      </c>
      <c r="H7" s="42"/>
      <c r="I7" s="42"/>
    </row>
    <row r="8" spans="1:9" ht="25.5" x14ac:dyDescent="0.2">
      <c r="A8" s="38" t="s">
        <v>128</v>
      </c>
      <c r="B8" s="39" t="s">
        <v>99</v>
      </c>
      <c r="C8" s="39" t="s">
        <v>99</v>
      </c>
      <c r="D8" s="39" t="s">
        <v>129</v>
      </c>
      <c r="E8" s="39" t="s">
        <v>129</v>
      </c>
      <c r="F8" s="39"/>
      <c r="G8" s="107" t="s">
        <v>130</v>
      </c>
      <c r="H8" s="109" t="s">
        <v>130</v>
      </c>
      <c r="I8" s="107" t="s">
        <v>130</v>
      </c>
    </row>
    <row r="9" spans="1:9" ht="25.5" x14ac:dyDescent="0.2">
      <c r="A9" s="41" t="s">
        <v>131</v>
      </c>
      <c r="B9" s="42" t="s">
        <v>181</v>
      </c>
      <c r="C9" s="42" t="s">
        <v>101</v>
      </c>
      <c r="D9" s="42" t="s">
        <v>132</v>
      </c>
      <c r="E9" s="42" t="s">
        <v>185</v>
      </c>
      <c r="F9" s="42"/>
      <c r="G9" s="108" t="s">
        <v>211</v>
      </c>
      <c r="H9" s="110" t="s">
        <v>196</v>
      </c>
      <c r="I9" s="108" t="s">
        <v>210</v>
      </c>
    </row>
    <row r="10" spans="1:9" x14ac:dyDescent="0.2">
      <c r="A10" s="38" t="s">
        <v>133</v>
      </c>
      <c r="B10" s="39" t="s">
        <v>179</v>
      </c>
      <c r="C10" s="39" t="s">
        <v>100</v>
      </c>
      <c r="D10" s="39" t="s">
        <v>134</v>
      </c>
      <c r="E10" s="39" t="s">
        <v>186</v>
      </c>
      <c r="F10" s="39"/>
      <c r="G10" s="107" t="s">
        <v>193</v>
      </c>
      <c r="H10" s="109" t="s">
        <v>197</v>
      </c>
      <c r="I10" s="107" t="s">
        <v>195</v>
      </c>
    </row>
    <row r="11" spans="1:9" x14ac:dyDescent="0.2">
      <c r="A11" s="41" t="s">
        <v>135</v>
      </c>
      <c r="B11" s="41"/>
      <c r="C11" s="42"/>
      <c r="D11" s="42"/>
      <c r="E11" s="42"/>
      <c r="F11" s="42"/>
      <c r="G11" s="42" t="s">
        <v>194</v>
      </c>
      <c r="H11" s="42"/>
      <c r="I11" s="42" t="s">
        <v>74</v>
      </c>
    </row>
    <row r="12" spans="1:9" x14ac:dyDescent="0.2">
      <c r="A12" s="38" t="s">
        <v>136</v>
      </c>
      <c r="B12" s="38"/>
      <c r="C12" s="39"/>
      <c r="D12" s="39"/>
      <c r="E12" s="39"/>
      <c r="F12" s="39"/>
      <c r="G12" s="39" t="s">
        <v>193</v>
      </c>
      <c r="H12" s="39"/>
      <c r="I12" s="39" t="s">
        <v>74</v>
      </c>
    </row>
    <row r="13" spans="1:9" x14ac:dyDescent="0.2">
      <c r="A13" s="38"/>
      <c r="B13" s="38"/>
      <c r="C13" s="39"/>
      <c r="D13" s="39"/>
      <c r="E13" s="39"/>
      <c r="F13" s="39"/>
      <c r="G13" s="39"/>
      <c r="H13" s="39"/>
      <c r="I13" s="39"/>
    </row>
    <row r="14" spans="1:9" x14ac:dyDescent="0.2">
      <c r="A14" s="41"/>
      <c r="B14" s="41"/>
      <c r="C14" s="42"/>
      <c r="D14" s="42"/>
      <c r="E14" s="42"/>
      <c r="F14" s="42"/>
      <c r="G14" s="42"/>
      <c r="H14" s="42"/>
      <c r="I14" s="42"/>
    </row>
    <row r="15" spans="1:9" x14ac:dyDescent="0.2">
      <c r="A15" s="38"/>
      <c r="B15" s="38"/>
      <c r="C15" s="39"/>
      <c r="D15" s="39"/>
      <c r="E15" s="39"/>
      <c r="F15" s="39"/>
      <c r="G15" s="39"/>
      <c r="H15" s="39"/>
      <c r="I15" s="39"/>
    </row>
    <row r="16" spans="1:9" x14ac:dyDescent="0.2">
      <c r="A16" s="41"/>
      <c r="B16" s="41"/>
      <c r="C16" s="42"/>
      <c r="D16" s="42"/>
      <c r="E16" s="42"/>
      <c r="F16" s="42"/>
      <c r="G16" s="42"/>
      <c r="H16" s="42"/>
      <c r="I16" s="42"/>
    </row>
    <row r="17" spans="1:9" x14ac:dyDescent="0.2">
      <c r="A17" s="38"/>
      <c r="B17" s="38"/>
      <c r="C17" s="39"/>
      <c r="D17" s="39"/>
      <c r="E17" s="39"/>
      <c r="F17" s="39"/>
      <c r="G17" s="39"/>
      <c r="H17" s="39"/>
      <c r="I17" s="39"/>
    </row>
    <row r="18" spans="1:9" x14ac:dyDescent="0.2">
      <c r="A18" s="41" t="s">
        <v>69</v>
      </c>
      <c r="B18" s="41"/>
      <c r="C18" s="42" t="s">
        <v>69</v>
      </c>
      <c r="D18" s="42" t="s">
        <v>138</v>
      </c>
      <c r="E18" s="42" t="s">
        <v>187</v>
      </c>
      <c r="F18" s="42"/>
      <c r="G18" s="42"/>
      <c r="H18" s="42"/>
      <c r="I18" s="42"/>
    </row>
    <row r="19" spans="1:9" x14ac:dyDescent="0.2">
      <c r="A19" s="38" t="s">
        <v>139</v>
      </c>
      <c r="B19" s="38"/>
      <c r="C19" s="42" t="s">
        <v>102</v>
      </c>
      <c r="D19" s="42" t="s">
        <v>140</v>
      </c>
      <c r="E19" s="42" t="s">
        <v>188</v>
      </c>
      <c r="F19" s="39"/>
      <c r="G19" s="39"/>
      <c r="H19" s="39"/>
      <c r="I19" s="39"/>
    </row>
    <row r="20" spans="1:9" x14ac:dyDescent="0.2">
      <c r="A20" s="41" t="s">
        <v>141</v>
      </c>
      <c r="B20" s="41"/>
      <c r="C20" s="42" t="s">
        <v>71</v>
      </c>
      <c r="D20" s="42" t="s">
        <v>142</v>
      </c>
      <c r="E20" s="42" t="s">
        <v>189</v>
      </c>
      <c r="F20" s="42"/>
      <c r="G20" s="42"/>
      <c r="H20" s="42"/>
      <c r="I20" s="42"/>
    </row>
    <row r="21" spans="1:9" x14ac:dyDescent="0.2">
      <c r="A21" s="44"/>
      <c r="B21" s="44"/>
      <c r="C21" s="39"/>
      <c r="D21" s="39"/>
      <c r="E21" s="39"/>
      <c r="F21" s="39"/>
      <c r="G21" s="39"/>
      <c r="H21" s="39"/>
      <c r="I21" s="39"/>
    </row>
    <row r="23" spans="1:9" ht="79.5" customHeight="1" x14ac:dyDescent="0.2">
      <c r="A23" s="45" t="s">
        <v>143</v>
      </c>
      <c r="B23" s="45"/>
      <c r="C23" s="46" t="str">
        <f>CONCATENATE(C2,",",C3)</f>
        <v xml:space="preserve">ОГРН 1135044003709  ИНН 5044089069 КПП 504401001,141508, Московская область, г.о. Солнечногорск, г. Солнечногорск, ул. Промышленная, стр. 5, помещение 179
</v>
      </c>
      <c r="D23" s="46" t="str">
        <f>CONCATENATE(D2,",",D3)</f>
        <v>ОГРН 1215000057238 ИНН 5044122213 КПП 504401001,141508, Московская область, г.о. Солнечногорск, г Солнечногорск, ул Промышленная, строение 29А, корпус 1, офис 11</v>
      </c>
      <c r="E23" s="47"/>
      <c r="G23" s="48" t="str">
        <f>CONCATENATE(G8," ",G1,"-",G10," .",G9)</f>
        <v>Гл. специалист ССК УКС ПАО "Россети Московский регион"-Курчин М.М. .Приказ № от   2026г (НРС С-31-330248)</v>
      </c>
      <c r="H23" s="48" t="str">
        <f>CONCATENATE(H8," ",G1,"-",H10,".",H9)</f>
        <v>Гл. специалист ССК УКС ПАО "Россети Московский регион"-Шатковский А.Н..Приказ №53 от 13 марта 2025г. (НРС С-50-77-262451)</v>
      </c>
      <c r="I23" s="48" t="str">
        <f>CONCATENATE(I8," ",G1,"-",I10," .",I9)</f>
        <v>Гл. специалист ССК УКС ПАО "Россети Московский регион"-Алексанян Г.Р. .Приказ №1904 от 03 июня 2026г (НРС С-50-069023)</v>
      </c>
    </row>
    <row r="24" spans="1:9" ht="76.5" x14ac:dyDescent="0.2">
      <c r="A24" s="45" t="s">
        <v>143</v>
      </c>
      <c r="B24" s="45"/>
      <c r="C24" s="46" t="str">
        <f>CONCATENATE(C1,",",C2,",",C3)</f>
        <v xml:space="preserve">ООО"Энергосистемы",ОГРН 1135044003709  ИНН 5044089069 КПП 504401001,141508, Московская область, г.о. Солнечногорск, г. Солнечногорск, ул. Промышленная, стр. 5, помещение 179
</v>
      </c>
      <c r="D24" s="46" t="str">
        <f>CONCATENATE(D1,",",D2,",",D3)</f>
        <v>ООО «Гефест»,ОГРН 1215000057238 ИНН 5044122213 КПП 504401001,141508, Московская область, г.о. Солнечногорск, г Солнечногорск, ул Промышленная, строение 29А, корпус 1, офис 11</v>
      </c>
      <c r="E24" s="47"/>
      <c r="G24" s="48" t="str">
        <f>CONCATENATE(G8," ",G1,"-",G10)</f>
        <v>Гл. специалист ССК УКС ПАО "Россети Московский регион"-Курчин М.М.</v>
      </c>
      <c r="H24" s="48" t="str">
        <f>CONCATENATE(H8," ",G1,"-",H10)</f>
        <v>Гл. специалист ССК УКС ПАО "Россети Московский регион"-Шатковский А.Н.</v>
      </c>
      <c r="I24" s="48" t="str">
        <f>CONCATENATE(I8," ",G1,"-",I10)</f>
        <v>Гл. специалист ССК УКС ПАО "Россети Московский регион"-Алексанян Г.Р.</v>
      </c>
    </row>
    <row r="25" spans="1:9" ht="51" x14ac:dyDescent="0.2">
      <c r="C25" s="49" t="str">
        <f>CONCATENATE(C8," ",C1,"-",C10,".",C9)</f>
        <v>Инженер по строительному контролю ООО"Энергосистемы"-Капитонов Д.А..Приказ № 18-ОТ/24 от 03 июня 2024 (НОСТРОЙ С-50-188017)</v>
      </c>
      <c r="D25" s="49" t="str">
        <f>CONCATENATE(D8," ",D1,"-",D10,".",D9)</f>
        <v>Специалист по строительному контролю ООО «Гефест»-Саженова Л.В..Приказ №01/24-ОТ от 15.01.2024 (НРС № С-61-104369)</v>
      </c>
      <c r="E25" s="50"/>
      <c r="G25" s="48" t="str">
        <f>CONCATENATE(G8," ",G1)</f>
        <v>Гл. специалист ССК УКС ПАО "Россети Московский регион"</v>
      </c>
      <c r="H25" s="48" t="str">
        <f>CONCATENATE(H8," ",G1)</f>
        <v>Гл. специалист ССК УКС ПАО "Россети Московский регион"</v>
      </c>
      <c r="I25" s="48" t="str">
        <f>CONCATENATE(I8," ",G1)</f>
        <v>Гл. специалист ССК УКС ПАО "Россети Московский регион"</v>
      </c>
    </row>
    <row r="26" spans="1:9" ht="25.5" x14ac:dyDescent="0.2">
      <c r="C26" s="49" t="str">
        <f>CONCATENATE(C8," ",C1)</f>
        <v>Инженер по строительному контролю ООО"Энергосистемы"</v>
      </c>
      <c r="D26" s="49" t="str">
        <f>CONCATENATE(D8," ",D1)</f>
        <v>Специалист по строительному контролю ООО «Гефест»</v>
      </c>
      <c r="E26" s="50"/>
      <c r="G26" s="45" t="str">
        <f>CONCATENATE(G6," ",G1," ",G7)</f>
        <v>Начальник СРЭС СЭС филиала ПАО "Россети Московский регион" Чуев А.Н.</v>
      </c>
      <c r="H26" s="45"/>
      <c r="I26" s="45" t="str">
        <f>CONCATENATE(I6," ",G1," ",I7)</f>
        <v xml:space="preserve">Начальник ХРЭС СЭС филиала ПАО "Россети Московский регион" </v>
      </c>
    </row>
    <row r="27" spans="1:9" ht="38.25" x14ac:dyDescent="0.2">
      <c r="C27" s="51" t="str">
        <f>CONCATENATE(C18," ",C1,"-",C20,".",C19)</f>
        <v>Прораб ООО"Энергосистемы"-Волков М.Ю..Приказ №05-ОТ/24 от 09 января 2024г</v>
      </c>
      <c r="D27" s="51" t="str">
        <f>CONCATENATE(D18," ",D1,"-",D20,".",D19)</f>
        <v>Мастер электромонтажного участка  ООО «Гефест»-Красилов К.А..Приказ №01/24-ОТ от 15.01.2024</v>
      </c>
      <c r="E27" s="48"/>
      <c r="G27" s="52" t="str">
        <f>CONCATENATE(G14," ",G1," ",G15)</f>
        <v xml:space="preserve"> ПАО "Россети Московский регион" </v>
      </c>
      <c r="H27" s="52"/>
      <c r="I27" s="52" t="str">
        <f>CONCATENATE(I14," ",G1," ",I15)</f>
        <v xml:space="preserve"> ПАО "Россети Московский регион" </v>
      </c>
    </row>
    <row r="28" spans="1:9" ht="25.5" x14ac:dyDescent="0.2">
      <c r="C28" s="51" t="str">
        <f>CONCATENATE(C18," ",C1," ",C20)</f>
        <v>Прораб ООО"Энергосистемы" Волков М.Ю.</v>
      </c>
      <c r="D28" s="51" t="str">
        <f>CONCATENATE(D18," ",D1,"-",D20)</f>
        <v>Мастер электромонтажного участка  ООО «Гефест»-Красилов К.А.</v>
      </c>
      <c r="E28" s="48"/>
      <c r="G28" s="45" t="str">
        <f>CONCATENATE(G16," ",G1," ",G17)</f>
        <v xml:space="preserve"> ПАО "Россети Московский регион" </v>
      </c>
      <c r="H28" s="45"/>
    </row>
    <row r="29" spans="1:9" ht="25.5" x14ac:dyDescent="0.2">
      <c r="C29" s="53" t="str">
        <f>CONCATENATE(C18," ",C1)</f>
        <v>Прораб ООО"Энергосистемы"</v>
      </c>
      <c r="D29" s="51" t="str">
        <f>CONCATENATE(D18," ",D1)</f>
        <v>Мастер электромонтажного участка  ООО «Гефест»</v>
      </c>
      <c r="E29" s="48"/>
    </row>
  </sheetData>
  <mergeCells count="3">
    <mergeCell ref="G1:I1"/>
    <mergeCell ref="G2:I2"/>
    <mergeCell ref="G3:I3"/>
  </mergeCells>
  <dataValidations count="1">
    <dataValidation type="list" allowBlank="1" showInputMessage="1" showErrorMessage="1" sqref="E15" xr:uid="{1C310508-15B1-4B94-9262-C897989042FF}">
      <formula1>$G$9:$I$9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7436A3-00B8-4E91-9752-C065AB31A304}">
  <sheetPr>
    <tabColor rgb="FFFF0000"/>
  </sheetPr>
  <dimension ref="A1:AK77"/>
  <sheetViews>
    <sheetView tabSelected="1" topLeftCell="A4" zoomScale="85" zoomScaleNormal="85" workbookViewId="0">
      <selection activeCell="C41" sqref="C41"/>
    </sheetView>
  </sheetViews>
  <sheetFormatPr defaultRowHeight="12.75" x14ac:dyDescent="0.2"/>
  <cols>
    <col min="1" max="1" width="35" style="94" customWidth="1"/>
    <col min="2" max="2" width="136.1640625" customWidth="1"/>
    <col min="3" max="3" width="54.5" customWidth="1"/>
    <col min="5" max="5" width="12" customWidth="1"/>
    <col min="6" max="6" width="6.83203125" customWidth="1"/>
    <col min="8" max="8" width="38.83203125" customWidth="1"/>
    <col min="9" max="9" width="26.5" customWidth="1"/>
    <col min="10" max="10" width="5.5" customWidth="1"/>
    <col min="13" max="13" width="66.6640625" customWidth="1"/>
  </cols>
  <sheetData>
    <row r="1" spans="1:3" ht="14.25" x14ac:dyDescent="0.2">
      <c r="A1" s="121" t="s">
        <v>144</v>
      </c>
      <c r="B1" s="122"/>
    </row>
    <row r="2" spans="1:3" ht="15" x14ac:dyDescent="0.25">
      <c r="A2" s="89" t="s">
        <v>145</v>
      </c>
      <c r="B2" s="75" t="s">
        <v>172</v>
      </c>
    </row>
    <row r="3" spans="1:3" ht="30" x14ac:dyDescent="0.2">
      <c r="A3" s="90" t="s">
        <v>62</v>
      </c>
      <c r="B3" s="76" t="s">
        <v>173</v>
      </c>
    </row>
    <row r="4" spans="1:3" ht="15" x14ac:dyDescent="0.25">
      <c r="A4" s="91" t="s">
        <v>146</v>
      </c>
      <c r="B4" s="77" t="s">
        <v>116</v>
      </c>
    </row>
    <row r="5" spans="1:3" ht="15" x14ac:dyDescent="0.25">
      <c r="A5" s="91" t="s">
        <v>64</v>
      </c>
      <c r="B5" s="77" t="s">
        <v>174</v>
      </c>
    </row>
    <row r="6" spans="1:3" ht="15" x14ac:dyDescent="0.25">
      <c r="A6" s="91" t="s">
        <v>147</v>
      </c>
      <c r="B6" s="78">
        <v>45695</v>
      </c>
    </row>
    <row r="7" spans="1:3" ht="15" x14ac:dyDescent="0.25">
      <c r="A7" s="91" t="s">
        <v>148</v>
      </c>
      <c r="B7" s="78">
        <v>45819</v>
      </c>
      <c r="C7" s="54"/>
    </row>
    <row r="8" spans="1:3" ht="14.25" x14ac:dyDescent="0.2">
      <c r="A8" s="121" t="s">
        <v>149</v>
      </c>
      <c r="B8" s="122"/>
    </row>
    <row r="9" spans="1:3" ht="15" x14ac:dyDescent="0.25">
      <c r="A9" s="92" t="s">
        <v>153</v>
      </c>
      <c r="B9" s="69" t="s">
        <v>180</v>
      </c>
    </row>
    <row r="10" spans="1:3" ht="14.25" x14ac:dyDescent="0.2">
      <c r="A10" s="121" t="s">
        <v>66</v>
      </c>
      <c r="B10" s="122"/>
    </row>
    <row r="11" spans="1:3" ht="15" x14ac:dyDescent="0.25">
      <c r="A11" s="91" t="s">
        <v>67</v>
      </c>
      <c r="B11" s="55" t="s">
        <v>105</v>
      </c>
      <c r="C11" s="2" t="str">
        <f>CONCATENATE(B11," ",B12," ",B13)</f>
        <v xml:space="preserve">ООО"Энергосистемы" ОГРН 1135044003709  ИНН 5044089069 КПП 504401001 141508, Московская область, г.о. Солнечногорск, г. Солнечногорск, ул. Промышленная, стр. 5, помещение 179
</v>
      </c>
    </row>
    <row r="12" spans="1:3" ht="15" x14ac:dyDescent="0.25">
      <c r="A12" s="91" t="s">
        <v>150</v>
      </c>
      <c r="B12" s="55" t="s">
        <v>110</v>
      </c>
      <c r="C12" s="2"/>
    </row>
    <row r="13" spans="1:3" ht="30" x14ac:dyDescent="0.25">
      <c r="A13" s="91" t="s">
        <v>65</v>
      </c>
      <c r="B13" s="55" t="s">
        <v>112</v>
      </c>
      <c r="C13" s="2"/>
    </row>
    <row r="14" spans="1:3" ht="15" hidden="1" x14ac:dyDescent="0.25">
      <c r="A14" s="91" t="s">
        <v>68</v>
      </c>
      <c r="B14" s="55" t="s">
        <v>122</v>
      </c>
      <c r="C14" s="2"/>
    </row>
    <row r="15" spans="1:3" ht="15" hidden="1" x14ac:dyDescent="0.25">
      <c r="A15" s="91" t="s">
        <v>151</v>
      </c>
      <c r="B15" s="55" t="s">
        <v>127</v>
      </c>
      <c r="C15" s="2" t="str">
        <f>CONCATENATE(B14," ",B11," ",B15)</f>
        <v xml:space="preserve">Генеральный директор ООО"Энергосистемы" Звездов Р.Е. </v>
      </c>
    </row>
    <row r="16" spans="1:3" ht="15" x14ac:dyDescent="0.25">
      <c r="A16" s="91" t="s">
        <v>68</v>
      </c>
      <c r="B16" s="55" t="s">
        <v>99</v>
      </c>
      <c r="C16" s="2" t="str">
        <f>CONCATENATE(B16," ",B11)</f>
        <v>Инженер по строительному контролю ООО"Энергосистемы"</v>
      </c>
    </row>
    <row r="17" spans="1:3" ht="15" x14ac:dyDescent="0.25">
      <c r="A17" s="91" t="s">
        <v>70</v>
      </c>
      <c r="B17" s="83" t="s">
        <v>179</v>
      </c>
      <c r="C17" s="56" t="str">
        <f>CONCATENATE(B16," ",B11," ",B17)</f>
        <v>Инженер по строительному контролю ООО"Энергосистемы" Русин В.А.</v>
      </c>
    </row>
    <row r="18" spans="1:3" ht="15" x14ac:dyDescent="0.25">
      <c r="A18" s="91" t="s">
        <v>152</v>
      </c>
      <c r="B18" s="83" t="s">
        <v>181</v>
      </c>
      <c r="C18" s="56" t="str">
        <f>CONCATENATE(B16," ",B11," ",B17,".",B18)</f>
        <v>Инженер по строительному контролю ООО"Энергосистемы" Русин В.А..Приказ № 13-ОТ/25 от 05 мая 2025 (НОСТРОЙ С-50-085497)</v>
      </c>
    </row>
    <row r="19" spans="1:3" ht="15" x14ac:dyDescent="0.25">
      <c r="A19" s="91" t="s">
        <v>68</v>
      </c>
      <c r="B19" s="55" t="s">
        <v>69</v>
      </c>
      <c r="C19" s="2" t="str">
        <f>CONCATENATE(B19," ",B11)</f>
        <v>Прораб ООО"Энергосистемы"</v>
      </c>
    </row>
    <row r="20" spans="1:3" ht="15" x14ac:dyDescent="0.25">
      <c r="A20" s="91" t="s">
        <v>70</v>
      </c>
      <c r="B20" s="55" t="s">
        <v>71</v>
      </c>
      <c r="C20" s="56" t="str">
        <f>CONCATENATE(B19," ",B11," ",B20)</f>
        <v>Прораб ООО"Энергосистемы" Волков М.Ю.</v>
      </c>
    </row>
    <row r="21" spans="1:3" ht="15" x14ac:dyDescent="0.25">
      <c r="A21" s="93" t="s">
        <v>152</v>
      </c>
      <c r="B21" s="55" t="s">
        <v>102</v>
      </c>
      <c r="C21" s="56" t="str">
        <f>CONCATENATE(B19," ",B11," ",B20,".",B21)</f>
        <v>Прораб ООО"Энергосистемы" Волков М.Ю..Приказ №05-ОТ/24 от 09 января 2024г</v>
      </c>
    </row>
    <row r="22" spans="1:3" ht="14.25" x14ac:dyDescent="0.2">
      <c r="A22" s="123" t="s">
        <v>72</v>
      </c>
      <c r="B22" s="124"/>
    </row>
    <row r="23" spans="1:3" ht="15" x14ac:dyDescent="0.25">
      <c r="A23" s="93" t="s">
        <v>67</v>
      </c>
      <c r="B23" s="57" t="s">
        <v>108</v>
      </c>
      <c r="C23" t="str">
        <f>CONCATENATE(B23," ",B24,",",B25)</f>
        <v>ПАО "Россети Московский регион" ОГРН 1057746555811 ИНН 5036065113 КПП 772501001,115114, город Москва, проезд Павелецкий 2-й, дом 3, строение 2</v>
      </c>
    </row>
    <row r="24" spans="1:3" ht="15" x14ac:dyDescent="0.25">
      <c r="A24" s="93" t="s">
        <v>150</v>
      </c>
      <c r="B24" s="57" t="str">
        <f>'Данные организации'!G2</f>
        <v>ОГРН 1057746555811 ИНН 5036065113 КПП 772501001</v>
      </c>
    </row>
    <row r="25" spans="1:3" ht="15" x14ac:dyDescent="0.25">
      <c r="A25" s="93" t="s">
        <v>65</v>
      </c>
      <c r="B25" s="57" t="str">
        <f>'Данные организации'!G3</f>
        <v>115114, город Москва, проезд Павелецкий 2-й, дом 3, строение 2</v>
      </c>
    </row>
    <row r="26" spans="1:3" ht="15" hidden="1" x14ac:dyDescent="0.25">
      <c r="A26" s="93" t="s">
        <v>68</v>
      </c>
      <c r="B26" s="58" t="s">
        <v>123</v>
      </c>
      <c r="C26" t="str">
        <f>CONCATENATE(B26," ",B23)</f>
        <v>Начальник СРЭС СЭС филиала ПАО "Россети Московский регион"</v>
      </c>
    </row>
    <row r="27" spans="1:3" ht="15" hidden="1" x14ac:dyDescent="0.25">
      <c r="A27" s="93" t="s">
        <v>70</v>
      </c>
      <c r="B27" s="57" t="s">
        <v>73</v>
      </c>
      <c r="C27" t="str">
        <f>CONCATENATE(B26," ",B23," ",B27)</f>
        <v>Начальник СРЭС СЭС филиала ПАО "Россети Московский регион" Чуев А.Н.</v>
      </c>
    </row>
    <row r="28" spans="1:3" ht="15" hidden="1" x14ac:dyDescent="0.25">
      <c r="A28" s="93" t="s">
        <v>68</v>
      </c>
      <c r="B28" s="57" t="s">
        <v>137</v>
      </c>
      <c r="C28" t="str">
        <f>CONCATENATE(B28," ",B23)</f>
        <v>Гл. спец. сектора по льготным договорам тп ПАО "Россети Московский регион"</v>
      </c>
    </row>
    <row r="29" spans="1:3" ht="15" hidden="1" x14ac:dyDescent="0.25">
      <c r="A29" s="93" t="s">
        <v>70</v>
      </c>
      <c r="B29" s="57" t="s">
        <v>75</v>
      </c>
      <c r="C29" t="str">
        <f>CONCATENATE(B28," ",B23," ",B29)</f>
        <v>Гл. спец. сектора по льготным договорам тп ПАО "Россети Московский регион" Ефремкин Е.И.</v>
      </c>
    </row>
    <row r="30" spans="1:3" ht="15" hidden="1" x14ac:dyDescent="0.25">
      <c r="A30" s="93" t="s">
        <v>68</v>
      </c>
      <c r="B30" s="57" t="s">
        <v>76</v>
      </c>
      <c r="C30" t="str">
        <f>CONCATENATE(B30," ",B23)</f>
        <v>Гл. специалист ПТГ ПАО "Россети Московский регион"</v>
      </c>
    </row>
    <row r="31" spans="1:3" ht="15" hidden="1" x14ac:dyDescent="0.25">
      <c r="A31" s="93" t="s">
        <v>70</v>
      </c>
      <c r="B31" s="57" t="s">
        <v>77</v>
      </c>
      <c r="C31" t="str">
        <f>CONCATENATE(B30," ",B23," ",B31)</f>
        <v>Гл. специалист ПТГ ПАО "Россети Московский регион" Царькова Н.К.</v>
      </c>
    </row>
    <row r="32" spans="1:3" ht="15" x14ac:dyDescent="0.25">
      <c r="A32" s="93" t="s">
        <v>68</v>
      </c>
      <c r="B32" s="57" t="s">
        <v>130</v>
      </c>
      <c r="C32" t="str">
        <f>CONCATENATE(B32," ",B23)</f>
        <v>Гл. специалист ССК УКС ПАО "Россети Московский регион"</v>
      </c>
    </row>
    <row r="33" spans="1:31" ht="15" x14ac:dyDescent="0.25">
      <c r="A33" s="93" t="s">
        <v>70</v>
      </c>
      <c r="B33" s="57" t="s">
        <v>195</v>
      </c>
      <c r="C33" s="3" t="str">
        <f>CONCATENATE(B32," ",B23," ",B33)</f>
        <v>Гл. специалист ССК УКС ПАО "Россети Московский регион" Алексанян Г.Р.</v>
      </c>
    </row>
    <row r="34" spans="1:31" ht="15" x14ac:dyDescent="0.25">
      <c r="A34" s="93" t="s">
        <v>152</v>
      </c>
      <c r="B34" s="57" t="s">
        <v>210</v>
      </c>
      <c r="C34" t="str">
        <f>CONCATENATE(B32," ",B23," ",B33," ",B34)</f>
        <v>Гл. специалист ССК УКС ПАО "Россети Московский регион" Алексанян Г.Р. Приказ №1904 от 03 июня 2026г (НРС С-50-069023)</v>
      </c>
    </row>
    <row r="35" spans="1:31" ht="15" x14ac:dyDescent="0.25">
      <c r="A35" s="93" t="s">
        <v>68</v>
      </c>
      <c r="B35" s="88" t="s">
        <v>194</v>
      </c>
      <c r="C35" t="str">
        <f>CONCATENATE(B35," ",B23)</f>
        <v>Мастер СРЭС СЭС филиала ПАО "Россети Московский регион"</v>
      </c>
    </row>
    <row r="36" spans="1:31" ht="15" x14ac:dyDescent="0.25">
      <c r="A36" s="93" t="s">
        <v>70</v>
      </c>
      <c r="B36" s="88" t="s">
        <v>193</v>
      </c>
      <c r="C36" s="3" t="str">
        <f>CONCATENATE(B35," ",B23," ",B36)</f>
        <v>Мастер СРЭС СЭС филиала ПАО "Россети Московский регион" Курчин М.М.</v>
      </c>
    </row>
    <row r="37" spans="1:31" ht="15" x14ac:dyDescent="0.25">
      <c r="A37" s="93" t="s">
        <v>152</v>
      </c>
      <c r="B37" s="88"/>
      <c r="C37" t="str">
        <f>CONCATENATE(B35," ",B23," ",B36,", ",B37)</f>
        <v xml:space="preserve">Мастер СРЭС СЭС филиала ПАО "Россети Московский регион" Курчин М.М., </v>
      </c>
    </row>
    <row r="38" spans="1:31" ht="14.25" x14ac:dyDescent="0.2">
      <c r="A38" s="121" t="s">
        <v>78</v>
      </c>
      <c r="B38" s="125"/>
    </row>
    <row r="39" spans="1:31" ht="15" x14ac:dyDescent="0.25">
      <c r="A39" s="90" t="s">
        <v>67</v>
      </c>
      <c r="B39" s="59" t="s">
        <v>105</v>
      </c>
    </row>
    <row r="40" spans="1:31" ht="15" x14ac:dyDescent="0.25">
      <c r="A40" s="91" t="s">
        <v>150</v>
      </c>
      <c r="B40" s="59" t="s">
        <v>110</v>
      </c>
    </row>
    <row r="41" spans="1:31" ht="30" x14ac:dyDescent="0.25">
      <c r="A41" s="91" t="s">
        <v>65</v>
      </c>
      <c r="B41" s="59" t="s">
        <v>112</v>
      </c>
    </row>
    <row r="42" spans="1:31" ht="15" x14ac:dyDescent="0.25">
      <c r="A42" s="90" t="s">
        <v>63</v>
      </c>
      <c r="B42" s="59" t="s">
        <v>79</v>
      </c>
    </row>
    <row r="43" spans="1:31" ht="15" x14ac:dyDescent="0.25">
      <c r="A43" s="90" t="s">
        <v>18</v>
      </c>
      <c r="B43" s="79" t="s">
        <v>175</v>
      </c>
    </row>
    <row r="44" spans="1:31" ht="30" x14ac:dyDescent="0.25">
      <c r="A44" s="90" t="s">
        <v>80</v>
      </c>
      <c r="B44" s="59" t="str">
        <f>B3</f>
        <v>Строительство КТП - 10/0,4кВ, КЛ-10 кВ от ТП-10/0,4кВ № 3463, КЛ-10 кВ от сооруж. КРУН-10 кВ, ВЛИ-0,38 кВ, в т.ч. ПИР, МО, Солнечногорский р-н, п. Красный Воин</v>
      </c>
    </row>
    <row r="47" spans="1:31" x14ac:dyDescent="0.2">
      <c r="C47" s="60"/>
      <c r="D47" s="60"/>
      <c r="E47" s="60"/>
      <c r="F47" s="60"/>
      <c r="G47" s="60"/>
      <c r="I47" s="60"/>
      <c r="J47" s="60"/>
      <c r="K47" s="60"/>
      <c r="L47" s="60"/>
      <c r="M47" s="60"/>
      <c r="N47" s="60"/>
      <c r="O47" s="60"/>
      <c r="P47" s="60"/>
      <c r="Q47" s="60"/>
      <c r="R47" s="60"/>
      <c r="S47" s="60"/>
      <c r="T47" s="60"/>
      <c r="U47" s="60"/>
      <c r="V47" s="60"/>
      <c r="W47" s="60"/>
      <c r="X47" s="60"/>
      <c r="Y47" s="60"/>
      <c r="Z47" s="60"/>
      <c r="AA47" s="60"/>
      <c r="AB47" s="60"/>
      <c r="AC47" s="60"/>
      <c r="AD47" s="60"/>
      <c r="AE47" s="60"/>
    </row>
    <row r="48" spans="1:31" x14ac:dyDescent="0.2">
      <c r="C48" s="60"/>
      <c r="D48" s="60"/>
      <c r="E48" s="60"/>
      <c r="F48" s="60"/>
      <c r="G48" s="60"/>
      <c r="I48" s="60"/>
      <c r="J48" s="60"/>
      <c r="K48" s="60"/>
      <c r="L48" s="60"/>
      <c r="M48" s="60"/>
      <c r="N48" s="60"/>
      <c r="O48" s="60"/>
      <c r="P48" s="60"/>
      <c r="Q48" s="60"/>
      <c r="R48" s="60"/>
      <c r="S48" s="60"/>
      <c r="T48" s="60"/>
      <c r="U48" s="60"/>
      <c r="V48" s="60"/>
      <c r="W48" s="60"/>
      <c r="X48" s="60"/>
      <c r="Y48" s="60"/>
      <c r="Z48" s="60"/>
      <c r="AA48" s="60"/>
      <c r="AB48" s="60"/>
      <c r="AC48" s="60"/>
      <c r="AD48" s="60"/>
      <c r="AE48" s="60"/>
    </row>
    <row r="49" spans="3:37" x14ac:dyDescent="0.2">
      <c r="C49" s="60"/>
      <c r="D49" s="60"/>
      <c r="E49" s="60"/>
      <c r="F49" s="60"/>
      <c r="G49" s="60"/>
      <c r="I49" s="60"/>
      <c r="J49" s="60"/>
      <c r="K49" s="60"/>
      <c r="L49" s="60"/>
      <c r="M49" s="60"/>
      <c r="N49" s="60"/>
      <c r="O49" s="60"/>
      <c r="P49" s="60"/>
      <c r="Q49" s="60"/>
      <c r="R49" s="60"/>
      <c r="S49" s="60"/>
      <c r="T49" s="60"/>
      <c r="U49" s="60"/>
      <c r="V49" s="60"/>
      <c r="W49" s="60"/>
      <c r="X49" s="60"/>
      <c r="Y49" s="60"/>
      <c r="Z49" s="60"/>
      <c r="AA49" s="60"/>
      <c r="AB49" s="60"/>
      <c r="AC49" s="60"/>
      <c r="AD49" s="60"/>
      <c r="AE49" s="60"/>
    </row>
    <row r="50" spans="3:37" x14ac:dyDescent="0.2">
      <c r="C50" s="60"/>
      <c r="D50" s="60"/>
      <c r="E50" s="60"/>
      <c r="F50" s="60"/>
      <c r="G50" s="60"/>
      <c r="I50" s="60"/>
      <c r="J50" s="60"/>
      <c r="K50" s="60"/>
      <c r="L50" s="60"/>
      <c r="M50" s="60"/>
      <c r="N50" s="60"/>
      <c r="O50" s="60"/>
      <c r="P50" s="60"/>
      <c r="Q50" s="60"/>
      <c r="R50" s="60"/>
      <c r="S50" s="60"/>
      <c r="T50" s="60"/>
      <c r="U50" s="60"/>
      <c r="V50" s="60"/>
      <c r="W50" s="60"/>
      <c r="X50" s="60"/>
      <c r="Y50" s="60"/>
      <c r="Z50" s="60"/>
      <c r="AA50" s="60"/>
      <c r="AB50" s="60"/>
      <c r="AC50" s="60"/>
      <c r="AD50" s="60"/>
      <c r="AE50" s="60"/>
    </row>
    <row r="51" spans="3:37" x14ac:dyDescent="0.2">
      <c r="C51" s="60"/>
      <c r="D51" s="60"/>
      <c r="E51" s="60"/>
      <c r="F51" s="60"/>
      <c r="G51" s="60"/>
      <c r="I51" s="60"/>
      <c r="J51" s="60"/>
      <c r="K51" s="60"/>
      <c r="L51" s="60"/>
      <c r="M51" s="60"/>
      <c r="N51" s="60"/>
      <c r="O51" s="60"/>
      <c r="P51" s="60"/>
      <c r="Q51" s="60"/>
      <c r="R51" s="60"/>
      <c r="S51" s="60"/>
      <c r="T51" s="60"/>
      <c r="U51" s="60"/>
      <c r="V51" s="60"/>
      <c r="W51" s="60"/>
      <c r="X51" s="60"/>
      <c r="Y51" s="60"/>
      <c r="Z51" s="60"/>
      <c r="AA51" s="60"/>
      <c r="AB51" s="60"/>
      <c r="AC51" s="60"/>
      <c r="AD51" s="60"/>
      <c r="AE51" s="60"/>
    </row>
    <row r="52" spans="3:37" x14ac:dyDescent="0.2">
      <c r="C52" s="60"/>
      <c r="D52" s="60"/>
      <c r="E52" s="60"/>
      <c r="F52" s="60"/>
      <c r="G52" s="60"/>
      <c r="I52" s="60"/>
      <c r="J52" s="60"/>
      <c r="K52" s="60"/>
      <c r="L52" s="60"/>
      <c r="M52" s="60"/>
      <c r="N52" s="60"/>
      <c r="O52" s="60"/>
      <c r="P52" s="60"/>
      <c r="Q52" s="60"/>
      <c r="R52" s="60"/>
      <c r="S52" s="60"/>
      <c r="T52" s="60"/>
      <c r="U52" s="60"/>
      <c r="V52" s="60"/>
      <c r="W52" s="60"/>
      <c r="X52" s="60"/>
      <c r="Y52" s="60"/>
      <c r="Z52" s="60"/>
      <c r="AA52" s="60"/>
      <c r="AB52" s="60"/>
      <c r="AC52" s="60"/>
      <c r="AD52" s="60"/>
      <c r="AE52" s="60"/>
    </row>
    <row r="53" spans="3:37" x14ac:dyDescent="0.2">
      <c r="C53" s="60"/>
      <c r="D53" s="60"/>
      <c r="E53" s="60"/>
      <c r="F53" s="60"/>
      <c r="G53" s="60"/>
      <c r="I53" s="60"/>
      <c r="J53" s="60"/>
      <c r="K53" s="60"/>
      <c r="L53" s="60"/>
      <c r="M53" s="60"/>
      <c r="N53" s="60"/>
      <c r="O53" s="60"/>
      <c r="P53" s="60"/>
      <c r="Q53" s="60"/>
      <c r="R53" s="60"/>
      <c r="S53" s="60"/>
      <c r="T53" s="60"/>
      <c r="U53" s="60"/>
      <c r="V53" s="60"/>
      <c r="W53" s="60"/>
      <c r="X53" s="60"/>
      <c r="Y53" s="60"/>
      <c r="Z53" s="60"/>
      <c r="AA53" s="60"/>
      <c r="AB53" s="60"/>
      <c r="AC53" s="60"/>
      <c r="AD53" s="60"/>
      <c r="AE53" s="60"/>
    </row>
    <row r="54" spans="3:37" x14ac:dyDescent="0.2">
      <c r="C54" s="60"/>
      <c r="D54" s="60"/>
      <c r="E54" s="60"/>
      <c r="F54" s="60"/>
      <c r="G54" s="60"/>
      <c r="I54" s="60"/>
      <c r="J54" s="60"/>
      <c r="K54" s="60"/>
      <c r="L54" s="60"/>
      <c r="M54" s="60"/>
      <c r="N54" s="60"/>
      <c r="O54" s="60"/>
      <c r="P54" s="60"/>
      <c r="Q54" s="60"/>
      <c r="R54" s="60"/>
      <c r="S54" s="60"/>
      <c r="T54" s="60"/>
      <c r="U54" s="60"/>
      <c r="V54" s="60"/>
      <c r="W54" s="60"/>
      <c r="X54" s="60"/>
      <c r="Y54" s="60"/>
      <c r="Z54" s="60"/>
      <c r="AA54" s="60"/>
      <c r="AB54" s="60"/>
      <c r="AC54" s="60"/>
      <c r="AD54" s="60"/>
      <c r="AE54" s="60"/>
    </row>
    <row r="58" spans="3:37" ht="14.45" customHeight="1" x14ac:dyDescent="0.2">
      <c r="I58" s="60"/>
      <c r="J58" s="60"/>
      <c r="K58" s="60"/>
      <c r="L58" s="60"/>
      <c r="M58" s="60"/>
      <c r="N58" s="60"/>
      <c r="O58" s="60"/>
      <c r="P58" s="60"/>
      <c r="Q58" s="60"/>
      <c r="R58" s="60"/>
      <c r="S58" s="60"/>
      <c r="T58" s="60"/>
      <c r="U58" s="60"/>
      <c r="V58" s="60"/>
      <c r="W58" s="60"/>
      <c r="X58" s="60"/>
      <c r="Y58" s="60"/>
      <c r="Z58" s="60"/>
      <c r="AA58" s="60"/>
      <c r="AB58" s="60"/>
      <c r="AC58" s="60"/>
      <c r="AD58" s="60"/>
      <c r="AE58" s="60"/>
      <c r="AF58" s="60"/>
      <c r="AG58" s="60"/>
      <c r="AH58" s="60"/>
      <c r="AI58" s="60"/>
      <c r="AJ58" s="60"/>
      <c r="AK58" s="60"/>
    </row>
    <row r="59" spans="3:37" ht="14.45" customHeight="1" x14ac:dyDescent="0.2">
      <c r="I59" s="60"/>
      <c r="J59" s="60"/>
      <c r="K59" s="60"/>
      <c r="L59" s="60"/>
      <c r="M59" s="60"/>
      <c r="N59" s="60"/>
      <c r="O59" s="60"/>
      <c r="P59" s="60"/>
      <c r="Q59" s="60"/>
      <c r="R59" s="60"/>
      <c r="S59" s="60"/>
      <c r="T59" s="60"/>
      <c r="U59" s="60"/>
      <c r="V59" s="60"/>
      <c r="W59" s="60"/>
      <c r="X59" s="60"/>
      <c r="Y59" s="60"/>
      <c r="Z59" s="60"/>
      <c r="AA59" s="60"/>
      <c r="AB59" s="60"/>
      <c r="AC59" s="60"/>
      <c r="AD59" s="60"/>
      <c r="AE59" s="60"/>
      <c r="AF59" s="60"/>
      <c r="AG59" s="60"/>
      <c r="AH59" s="60"/>
      <c r="AI59" s="60"/>
      <c r="AJ59" s="60"/>
      <c r="AK59" s="60"/>
    </row>
    <row r="60" spans="3:37" x14ac:dyDescent="0.2">
      <c r="I60" s="61"/>
      <c r="J60" s="61"/>
      <c r="K60" s="61"/>
      <c r="L60" s="61"/>
      <c r="M60" s="61"/>
      <c r="N60" s="61"/>
      <c r="O60" s="61"/>
      <c r="P60" s="61"/>
      <c r="Q60" s="61"/>
      <c r="R60" s="61"/>
      <c r="S60" s="61"/>
      <c r="T60" s="61"/>
      <c r="U60" s="61"/>
      <c r="V60" s="61"/>
      <c r="W60" s="61"/>
      <c r="X60" s="61"/>
      <c r="Y60" s="61"/>
      <c r="Z60" s="61"/>
      <c r="AA60" s="61"/>
      <c r="AB60" s="61"/>
      <c r="AC60" s="61"/>
      <c r="AD60" s="61"/>
      <c r="AE60" s="61"/>
      <c r="AF60" s="61"/>
      <c r="AG60" s="61"/>
      <c r="AH60" s="61"/>
      <c r="AI60" s="61"/>
      <c r="AJ60" s="61"/>
      <c r="AK60" s="61"/>
    </row>
    <row r="61" spans="3:37" x14ac:dyDescent="0.2">
      <c r="I61" s="61"/>
      <c r="J61" s="61"/>
      <c r="K61" s="61"/>
      <c r="L61" s="61"/>
      <c r="M61" s="61"/>
      <c r="N61" s="61"/>
      <c r="O61" s="61"/>
      <c r="P61" s="61"/>
      <c r="Q61" s="61"/>
      <c r="R61" s="61"/>
      <c r="S61" s="61"/>
      <c r="T61" s="61"/>
      <c r="U61" s="61"/>
      <c r="V61" s="61"/>
      <c r="W61" s="61"/>
      <c r="X61" s="61"/>
      <c r="Y61" s="61"/>
      <c r="Z61" s="61"/>
      <c r="AA61" s="61"/>
      <c r="AB61" s="61"/>
      <c r="AC61" s="61"/>
      <c r="AD61" s="61"/>
      <c r="AE61" s="61"/>
      <c r="AF61" s="61"/>
      <c r="AG61" s="61"/>
      <c r="AH61" s="61"/>
      <c r="AI61" s="61"/>
      <c r="AJ61" s="61"/>
      <c r="AK61" s="61"/>
    </row>
    <row r="62" spans="3:37" x14ac:dyDescent="0.2">
      <c r="I62" s="61"/>
      <c r="J62" s="61"/>
      <c r="K62" s="61"/>
      <c r="L62" s="61"/>
      <c r="M62" s="61"/>
      <c r="N62" s="61"/>
      <c r="O62" s="61"/>
      <c r="P62" s="61"/>
      <c r="Q62" s="61"/>
      <c r="R62" s="61"/>
      <c r="S62" s="61"/>
      <c r="T62" s="61"/>
      <c r="U62" s="61"/>
      <c r="V62" s="61"/>
      <c r="W62" s="61"/>
      <c r="X62" s="61"/>
      <c r="Y62" s="61"/>
      <c r="Z62" s="61"/>
      <c r="AA62" s="61"/>
      <c r="AB62" s="61"/>
      <c r="AC62" s="61"/>
      <c r="AD62" s="61"/>
      <c r="AE62" s="61"/>
      <c r="AF62" s="61"/>
      <c r="AG62" s="61"/>
      <c r="AH62" s="61"/>
      <c r="AI62" s="61"/>
      <c r="AJ62" s="61"/>
      <c r="AK62" s="61"/>
    </row>
    <row r="63" spans="3:37" x14ac:dyDescent="0.2">
      <c r="I63" s="61"/>
      <c r="J63" s="61"/>
      <c r="K63" s="61"/>
      <c r="L63" s="61"/>
      <c r="M63" s="61"/>
      <c r="N63" s="61"/>
      <c r="O63" s="61"/>
      <c r="P63" s="61"/>
      <c r="Q63" s="61"/>
      <c r="R63" s="61"/>
      <c r="S63" s="61"/>
      <c r="T63" s="61"/>
      <c r="U63" s="61"/>
      <c r="V63" s="61"/>
      <c r="W63" s="61"/>
      <c r="X63" s="61"/>
      <c r="Y63" s="61"/>
      <c r="Z63" s="61"/>
      <c r="AA63" s="61"/>
      <c r="AB63" s="61"/>
      <c r="AC63" s="61"/>
      <c r="AD63" s="61"/>
      <c r="AE63" s="61"/>
      <c r="AF63" s="61"/>
      <c r="AG63" s="61"/>
      <c r="AH63" s="61"/>
      <c r="AI63" s="61"/>
      <c r="AJ63" s="61"/>
      <c r="AK63" s="61"/>
    </row>
    <row r="64" spans="3:37" x14ac:dyDescent="0.2">
      <c r="I64" s="61"/>
      <c r="J64" s="61"/>
      <c r="K64" s="61"/>
      <c r="L64" s="61"/>
      <c r="M64" s="61"/>
      <c r="N64" s="61"/>
      <c r="O64" s="61"/>
      <c r="P64" s="61"/>
      <c r="Q64" s="61"/>
      <c r="R64" s="61"/>
      <c r="S64" s="61"/>
      <c r="T64" s="61"/>
      <c r="U64" s="61"/>
      <c r="V64" s="61"/>
      <c r="W64" s="61"/>
      <c r="X64" s="61"/>
      <c r="Y64" s="61"/>
      <c r="Z64" s="61"/>
      <c r="AA64" s="61"/>
      <c r="AB64" s="61"/>
      <c r="AC64" s="61"/>
      <c r="AD64" s="61"/>
      <c r="AE64" s="61"/>
      <c r="AF64" s="61"/>
      <c r="AG64" s="61"/>
      <c r="AH64" s="61"/>
      <c r="AI64" s="61"/>
      <c r="AJ64" s="61"/>
      <c r="AK64" s="61"/>
    </row>
    <row r="65" spans="2:37" x14ac:dyDescent="0.2">
      <c r="I65" s="61"/>
      <c r="J65" s="61"/>
      <c r="K65" s="61"/>
      <c r="L65" s="61"/>
      <c r="M65" s="61"/>
      <c r="N65" s="61"/>
      <c r="O65" s="61"/>
      <c r="P65" s="61"/>
      <c r="Q65" s="61"/>
      <c r="R65" s="61"/>
      <c r="S65" s="61"/>
      <c r="T65" s="61"/>
      <c r="U65" s="61"/>
      <c r="V65" s="61"/>
      <c r="W65" s="61"/>
      <c r="X65" s="61"/>
      <c r="Y65" s="61"/>
      <c r="Z65" s="61"/>
      <c r="AA65" s="61"/>
      <c r="AB65" s="61"/>
      <c r="AC65" s="61"/>
      <c r="AD65" s="61"/>
      <c r="AE65" s="61"/>
      <c r="AF65" s="61"/>
      <c r="AG65" s="61"/>
      <c r="AH65" s="61"/>
      <c r="AI65" s="61"/>
      <c r="AJ65" s="61"/>
      <c r="AK65" s="61"/>
    </row>
    <row r="66" spans="2:37" x14ac:dyDescent="0.2">
      <c r="I66" s="61"/>
      <c r="J66" s="61"/>
      <c r="K66" s="61"/>
      <c r="L66" s="61"/>
      <c r="M66" s="61"/>
      <c r="N66" s="61"/>
      <c r="O66" s="61"/>
      <c r="P66" s="61"/>
      <c r="Q66" s="61"/>
      <c r="R66" s="61"/>
      <c r="S66" s="61"/>
      <c r="T66" s="61"/>
      <c r="U66" s="61"/>
      <c r="V66" s="61"/>
      <c r="W66" s="61"/>
      <c r="X66" s="61"/>
      <c r="Y66" s="61"/>
      <c r="Z66" s="61"/>
      <c r="AA66" s="61"/>
      <c r="AB66" s="61"/>
      <c r="AC66" s="61"/>
      <c r="AD66" s="61"/>
      <c r="AE66" s="61"/>
      <c r="AF66" s="61"/>
      <c r="AG66" s="61"/>
      <c r="AH66" s="61"/>
      <c r="AI66" s="61"/>
      <c r="AJ66" s="61"/>
      <c r="AK66" s="61"/>
    </row>
    <row r="67" spans="2:37" x14ac:dyDescent="0.2">
      <c r="I67" s="61"/>
      <c r="J67" s="61"/>
      <c r="K67" s="61"/>
      <c r="L67" s="61"/>
      <c r="M67" s="61"/>
      <c r="N67" s="61"/>
      <c r="O67" s="61"/>
      <c r="P67" s="61"/>
      <c r="Q67" s="61"/>
      <c r="R67" s="61"/>
      <c r="S67" s="61"/>
      <c r="T67" s="61"/>
      <c r="U67" s="61"/>
      <c r="V67" s="61"/>
      <c r="W67" s="61"/>
      <c r="X67" s="61"/>
      <c r="Y67" s="61"/>
      <c r="Z67" s="61"/>
      <c r="AA67" s="61"/>
      <c r="AB67" s="61"/>
      <c r="AC67" s="61"/>
      <c r="AD67" s="61"/>
      <c r="AE67" s="61"/>
      <c r="AF67" s="61"/>
      <c r="AG67" s="61"/>
      <c r="AH67" s="61"/>
      <c r="AI67" s="61"/>
      <c r="AJ67" s="61"/>
      <c r="AK67" s="61"/>
    </row>
    <row r="68" spans="2:37" x14ac:dyDescent="0.2">
      <c r="I68" s="61"/>
      <c r="J68" s="61"/>
      <c r="K68" s="61"/>
      <c r="L68" s="61"/>
      <c r="M68" s="61"/>
      <c r="N68" s="61"/>
      <c r="O68" s="61"/>
      <c r="P68" s="61"/>
      <c r="Q68" s="61"/>
      <c r="R68" s="61"/>
      <c r="S68" s="61"/>
      <c r="T68" s="61"/>
      <c r="U68" s="61"/>
      <c r="V68" s="61"/>
      <c r="W68" s="61"/>
      <c r="X68" s="61"/>
      <c r="Y68" s="61"/>
      <c r="Z68" s="61"/>
      <c r="AA68" s="61"/>
      <c r="AB68" s="61"/>
      <c r="AC68" s="61"/>
      <c r="AD68" s="61"/>
      <c r="AE68" s="61"/>
      <c r="AF68" s="61"/>
      <c r="AG68" s="61"/>
      <c r="AH68" s="61"/>
      <c r="AI68" s="61"/>
      <c r="AJ68" s="61"/>
      <c r="AK68" s="61"/>
    </row>
    <row r="69" spans="2:37" x14ac:dyDescent="0.2">
      <c r="I69" s="61"/>
      <c r="J69" s="61"/>
      <c r="K69" s="61"/>
      <c r="L69" s="61"/>
      <c r="M69" s="61"/>
      <c r="N69" s="61"/>
      <c r="O69" s="61"/>
      <c r="P69" s="61"/>
      <c r="Q69" s="61"/>
      <c r="R69" s="61"/>
      <c r="S69" s="61"/>
      <c r="T69" s="61"/>
      <c r="U69" s="61"/>
      <c r="V69" s="61"/>
      <c r="W69" s="61"/>
      <c r="X69" s="61"/>
      <c r="Y69" s="61"/>
      <c r="Z69" s="61"/>
      <c r="AA69" s="61"/>
      <c r="AB69" s="61"/>
      <c r="AC69" s="61"/>
      <c r="AD69" s="61"/>
      <c r="AE69" s="61"/>
      <c r="AF69" s="61"/>
      <c r="AG69" s="61"/>
      <c r="AH69" s="61"/>
      <c r="AI69" s="61"/>
      <c r="AJ69" s="61"/>
      <c r="AK69" s="61"/>
    </row>
    <row r="70" spans="2:37" x14ac:dyDescent="0.2">
      <c r="I70" s="61"/>
      <c r="J70" s="61"/>
      <c r="K70" s="61"/>
      <c r="L70" s="61"/>
      <c r="M70" s="61"/>
      <c r="N70" s="61"/>
      <c r="O70" s="61"/>
      <c r="P70" s="61"/>
      <c r="Q70" s="61"/>
      <c r="R70" s="61"/>
      <c r="S70" s="61"/>
      <c r="T70" s="61"/>
      <c r="U70" s="61"/>
      <c r="V70" s="61"/>
      <c r="W70" s="61"/>
      <c r="X70" s="61"/>
      <c r="Y70" s="61"/>
      <c r="Z70" s="61"/>
      <c r="AA70" s="61"/>
      <c r="AB70" s="61"/>
      <c r="AC70" s="61"/>
      <c r="AD70" s="61"/>
      <c r="AE70" s="61"/>
      <c r="AF70" s="61"/>
      <c r="AG70" s="61"/>
      <c r="AH70" s="61"/>
      <c r="AI70" s="61"/>
      <c r="AJ70" s="61"/>
      <c r="AK70" s="61"/>
    </row>
    <row r="71" spans="2:37" x14ac:dyDescent="0.2">
      <c r="I71" s="61"/>
      <c r="J71" s="61"/>
      <c r="K71" s="61"/>
      <c r="L71" s="61"/>
      <c r="M71" s="61"/>
      <c r="N71" s="61"/>
      <c r="O71" s="61"/>
      <c r="P71" s="61"/>
      <c r="Q71" s="61"/>
      <c r="R71" s="61"/>
      <c r="S71" s="61"/>
      <c r="T71" s="61"/>
      <c r="U71" s="61"/>
      <c r="V71" s="61"/>
      <c r="W71" s="61"/>
      <c r="X71" s="61"/>
      <c r="Y71" s="61"/>
      <c r="Z71" s="61"/>
      <c r="AA71" s="61"/>
      <c r="AB71" s="61"/>
      <c r="AC71" s="61"/>
      <c r="AD71" s="61"/>
      <c r="AE71" s="61"/>
      <c r="AF71" s="61"/>
      <c r="AG71" s="61"/>
      <c r="AH71" s="61"/>
      <c r="AI71" s="61"/>
      <c r="AJ71" s="61"/>
      <c r="AK71" s="61"/>
    </row>
    <row r="72" spans="2:37" ht="14.45" customHeight="1" x14ac:dyDescent="0.2">
      <c r="I72" s="60"/>
      <c r="J72" s="60"/>
      <c r="K72" s="60"/>
      <c r="L72" s="60"/>
      <c r="M72" s="60"/>
      <c r="N72" s="60"/>
      <c r="O72" s="60"/>
      <c r="P72" s="60"/>
      <c r="Q72" s="60"/>
      <c r="R72" s="60"/>
      <c r="S72" s="60"/>
      <c r="T72" s="60"/>
      <c r="U72" s="60"/>
      <c r="V72" s="60"/>
      <c r="W72" s="60"/>
      <c r="X72" s="60"/>
      <c r="Y72" s="60"/>
      <c r="Z72" s="60"/>
      <c r="AA72" s="60"/>
      <c r="AB72" s="60"/>
      <c r="AC72" s="60"/>
      <c r="AD72" s="60"/>
      <c r="AE72" s="60"/>
      <c r="AF72" s="60"/>
      <c r="AG72" s="60"/>
      <c r="AH72" s="60"/>
      <c r="AI72" s="60"/>
      <c r="AJ72" s="60"/>
      <c r="AK72" s="60"/>
    </row>
    <row r="77" spans="2:37" ht="16.149999999999999" customHeight="1" x14ac:dyDescent="0.2">
      <c r="B77" s="45"/>
    </row>
  </sheetData>
  <mergeCells count="5">
    <mergeCell ref="A1:B1"/>
    <mergeCell ref="A8:B8"/>
    <mergeCell ref="A10:B10"/>
    <mergeCell ref="A22:B22"/>
    <mergeCell ref="A38:B38"/>
  </mergeCell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6">
        <x14:dataValidation type="list" allowBlank="1" showInputMessage="1" showErrorMessage="1" xr:uid="{AC5BB53A-6E70-4FAF-8DA4-CB091FD77805}">
          <x14:formula1>
            <xm:f>'Данные организации'!$G$10:$I$10</xm:f>
          </x14:formula1>
          <xm:sqref>B33</xm:sqref>
        </x14:dataValidation>
        <x14:dataValidation type="list" allowBlank="1" showInputMessage="1" showErrorMessage="1" xr:uid="{EA4A0285-C8F1-44EE-871E-B1835C599D89}">
          <x14:formula1>
            <xm:f>'Данные организации'!$G$8:$I$8</xm:f>
          </x14:formula1>
          <xm:sqref>B32</xm:sqref>
        </x14:dataValidation>
        <x14:dataValidation type="list" allowBlank="1" showInputMessage="1" showErrorMessage="1" xr:uid="{12D9DAFA-227E-429D-B7F2-744CE0EF764B}">
          <x14:formula1>
            <xm:f>'Данные организации'!$C$19:$E$19</xm:f>
          </x14:formula1>
          <xm:sqref>B21</xm:sqref>
        </x14:dataValidation>
        <x14:dataValidation type="list" allowBlank="1" showInputMessage="1" showErrorMessage="1" xr:uid="{C3BEE1EC-82E4-4EDF-920B-89EEDAC1FE81}">
          <x14:formula1>
            <xm:f>'Данные организации'!$C$20:$E$20</xm:f>
          </x14:formula1>
          <xm:sqref>B20</xm:sqref>
        </x14:dataValidation>
        <x14:dataValidation type="list" allowBlank="1" showInputMessage="1" showErrorMessage="1" xr:uid="{ED661FA0-BBED-4F66-97CB-054372CA7858}">
          <x14:formula1>
            <xm:f>'Данные организации'!$C$18:$E$18</xm:f>
          </x14:formula1>
          <xm:sqref>B19</xm:sqref>
        </x14:dataValidation>
        <x14:dataValidation type="list" allowBlank="1" showInputMessage="1" showErrorMessage="1" xr:uid="{904819DB-41E0-4960-BCF3-B39A2D8D9F58}">
          <x14:formula1>
            <xm:f>'Данные организации'!$B$9:$E$9</xm:f>
          </x14:formula1>
          <xm:sqref>B18</xm:sqref>
        </x14:dataValidation>
        <x14:dataValidation type="list" allowBlank="1" showInputMessage="1" showErrorMessage="1" xr:uid="{59D122BB-1901-4D78-B70E-F9C166CC0AC7}">
          <x14:formula1>
            <xm:f>'Данные организации'!$B$10:$E$10</xm:f>
          </x14:formula1>
          <xm:sqref>B17</xm:sqref>
        </x14:dataValidation>
        <x14:dataValidation type="list" allowBlank="1" showInputMessage="1" showErrorMessage="1" xr:uid="{C7962E89-8FAF-47D5-9285-2E36AE98F13A}">
          <x14:formula1>
            <xm:f>'Данные организации'!$B$8:$E$8</xm:f>
          </x14:formula1>
          <xm:sqref>B16</xm:sqref>
        </x14:dataValidation>
        <x14:dataValidation type="list" allowBlank="1" showInputMessage="1" showErrorMessage="1" xr:uid="{B72120D3-7C06-440F-A614-C16130DDF758}">
          <x14:formula1>
            <xm:f>'Данные организации'!$C$3:$E$3</xm:f>
          </x14:formula1>
          <xm:sqref>B41 B13</xm:sqref>
        </x14:dataValidation>
        <x14:dataValidation type="list" allowBlank="1" showInputMessage="1" showErrorMessage="1" xr:uid="{5FF326AD-FCC4-41D7-B4E7-8874AB540CF7}">
          <x14:formula1>
            <xm:f>'Данные организации'!$C$2:$E$2</xm:f>
          </x14:formula1>
          <xm:sqref>B40 B12</xm:sqref>
        </x14:dataValidation>
        <x14:dataValidation type="list" allowBlank="1" showInputMessage="1" showErrorMessage="1" xr:uid="{DFAF6342-6F8D-4D2C-806A-0E5232FDA7C1}">
          <x14:formula1>
            <xm:f>'Данные организации'!$C$1:$E$1</xm:f>
          </x14:formula1>
          <xm:sqref>B39 B11</xm:sqref>
        </x14:dataValidation>
        <x14:dataValidation type="list" allowBlank="1" showInputMessage="1" showErrorMessage="1" xr:uid="{62CA9CF1-89E8-4FA0-8CBC-5298864B07B3}">
          <x14:formula1>
            <xm:f>'Данные организации'!$G$4:$I$4</xm:f>
          </x14:formula1>
          <xm:sqref>B4</xm:sqref>
        </x14:dataValidation>
        <x14:dataValidation type="list" allowBlank="1" showInputMessage="1" showErrorMessage="1" xr:uid="{ADDC86D8-0CF2-41FE-9840-440539C813C3}">
          <x14:formula1>
            <xm:f>'Данные организации'!$G$11:$I$11</xm:f>
          </x14:formula1>
          <xm:sqref>B35</xm:sqref>
        </x14:dataValidation>
        <x14:dataValidation type="list" allowBlank="1" showInputMessage="1" showErrorMessage="1" xr:uid="{318B2730-0220-4623-9B22-67FEF966D952}">
          <x14:formula1>
            <xm:f>'Данные организации'!$G$12:$I$12</xm:f>
          </x14:formula1>
          <xm:sqref>B36</xm:sqref>
        </x14:dataValidation>
        <x14:dataValidation type="list" allowBlank="1" showInputMessage="1" showErrorMessage="1" xr:uid="{7531BA27-4D80-4EEF-B7C5-8D4CA691EC27}">
          <x14:formula1>
            <xm:f>'Данные организации'!$G$13:$I$13</xm:f>
          </x14:formula1>
          <xm:sqref>B37</xm:sqref>
        </x14:dataValidation>
        <x14:dataValidation type="list" allowBlank="1" showInputMessage="1" showErrorMessage="1" xr:uid="{C9441C08-CE10-4102-921D-62560E356BC4}">
          <x14:formula1>
            <xm:f>'Данные организации'!$G$9:$I$9</xm:f>
          </x14:formula1>
          <xm:sqref>B34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B050"/>
    <pageSetUpPr fitToPage="1"/>
  </sheetPr>
  <dimension ref="A1:AZ116"/>
  <sheetViews>
    <sheetView view="pageBreakPreview" topLeftCell="A42" zoomScale="125" zoomScaleNormal="125" zoomScaleSheetLayoutView="125" workbookViewId="0">
      <selection activeCell="A10" sqref="A10:AJ10"/>
    </sheetView>
  </sheetViews>
  <sheetFormatPr defaultColWidth="10.6640625" defaultRowHeight="15" x14ac:dyDescent="0.25"/>
  <cols>
    <col min="1" max="31" width="2.83203125" style="1" customWidth="1"/>
    <col min="32" max="32" width="3" style="1" customWidth="1"/>
    <col min="33" max="51" width="2.83203125" style="1" customWidth="1"/>
    <col min="52" max="16384" width="10.6640625" style="1"/>
  </cols>
  <sheetData>
    <row r="1" spans="1:43" s="13" customFormat="1" ht="12.75" customHeight="1" x14ac:dyDescent="0.2">
      <c r="AJ1" s="21" t="s">
        <v>41</v>
      </c>
    </row>
    <row r="2" spans="1:43" s="13" customFormat="1" ht="11.25" customHeight="1" x14ac:dyDescent="0.2">
      <c r="AJ2" s="21" t="s">
        <v>40</v>
      </c>
    </row>
    <row r="3" spans="1:43" s="13" customFormat="1" ht="14.25" customHeight="1" x14ac:dyDescent="0.2">
      <c r="A3" s="13" t="s">
        <v>21</v>
      </c>
      <c r="AJ3" s="22"/>
      <c r="AK3" s="22"/>
      <c r="AL3" s="22"/>
      <c r="AM3" s="22"/>
      <c r="AN3" s="22"/>
      <c r="AO3" s="22"/>
      <c r="AP3" s="22"/>
      <c r="AQ3" s="22"/>
    </row>
    <row r="4" spans="1:43" s="13" customFormat="1" ht="31.5" customHeight="1" x14ac:dyDescent="0.2">
      <c r="A4" s="127" t="str">
        <f>'Данные объект'!B3</f>
        <v>Строительство КТП - 10/0,4кВ, КЛ-10 кВ от ТП-10/0,4кВ № 3463, КЛ-10 кВ от сооруж. КРУН-10 кВ, ВЛИ-0,38 кВ, в т.ч. ПИР, МО, Солнечногорский р-н, п. Красный Воин</v>
      </c>
      <c r="B4" s="127"/>
      <c r="C4" s="127"/>
      <c r="D4" s="127"/>
      <c r="E4" s="127"/>
      <c r="F4" s="127"/>
      <c r="G4" s="127"/>
      <c r="H4" s="127"/>
      <c r="I4" s="127"/>
      <c r="J4" s="127"/>
      <c r="K4" s="127"/>
      <c r="L4" s="127"/>
      <c r="M4" s="127"/>
      <c r="N4" s="127"/>
      <c r="O4" s="127"/>
      <c r="P4" s="127"/>
      <c r="Q4" s="127"/>
      <c r="R4" s="127"/>
      <c r="S4" s="127"/>
      <c r="T4" s="127"/>
      <c r="U4" s="127"/>
      <c r="V4" s="127"/>
      <c r="W4" s="127"/>
      <c r="X4" s="127"/>
      <c r="Y4" s="127"/>
      <c r="Z4" s="127"/>
      <c r="AA4" s="127"/>
      <c r="AB4" s="127"/>
      <c r="AC4" s="127"/>
      <c r="AD4" s="127"/>
      <c r="AE4" s="127"/>
      <c r="AF4" s="127"/>
      <c r="AG4" s="127"/>
      <c r="AH4" s="127"/>
      <c r="AI4" s="127"/>
      <c r="AJ4" s="127"/>
    </row>
    <row r="5" spans="1:43" s="13" customFormat="1" ht="12" customHeight="1" x14ac:dyDescent="0.2">
      <c r="A5" s="139" t="str">
        <f>'Данные объект'!B9</f>
        <v>КЛ-10кВ ф.1 от ТП №3463</v>
      </c>
      <c r="B5" s="139"/>
      <c r="C5" s="139"/>
      <c r="D5" s="139"/>
      <c r="E5" s="139"/>
      <c r="F5" s="139"/>
      <c r="G5" s="139"/>
      <c r="H5" s="139"/>
      <c r="I5" s="139"/>
      <c r="J5" s="139"/>
      <c r="K5" s="139"/>
      <c r="L5" s="139"/>
      <c r="M5" s="139"/>
      <c r="N5" s="139"/>
      <c r="O5" s="139"/>
      <c r="P5" s="139"/>
      <c r="Q5" s="139"/>
      <c r="R5" s="139"/>
      <c r="S5" s="139"/>
      <c r="T5" s="139"/>
      <c r="U5" s="139"/>
      <c r="V5" s="139"/>
      <c r="W5" s="139"/>
      <c r="X5" s="139"/>
      <c r="Y5" s="139"/>
      <c r="Z5" s="139"/>
      <c r="AA5" s="139"/>
      <c r="AB5" s="139"/>
      <c r="AC5" s="139"/>
      <c r="AD5" s="139"/>
      <c r="AE5" s="139"/>
      <c r="AF5" s="139"/>
      <c r="AG5" s="139"/>
      <c r="AH5" s="139"/>
      <c r="AI5" s="139"/>
      <c r="AJ5" s="139"/>
    </row>
    <row r="6" spans="1:43" s="14" customFormat="1" ht="8.25" x14ac:dyDescent="0.15">
      <c r="A6" s="128" t="s">
        <v>192</v>
      </c>
      <c r="B6" s="129"/>
      <c r="C6" s="129"/>
      <c r="D6" s="129"/>
      <c r="E6" s="129"/>
      <c r="F6" s="129"/>
      <c r="G6" s="129"/>
      <c r="H6" s="129"/>
      <c r="I6" s="129"/>
      <c r="J6" s="129"/>
      <c r="K6" s="129"/>
      <c r="L6" s="129"/>
      <c r="M6" s="129"/>
      <c r="N6" s="129"/>
      <c r="O6" s="129"/>
      <c r="P6" s="129"/>
      <c r="Q6" s="129"/>
      <c r="R6" s="129"/>
      <c r="S6" s="129"/>
      <c r="T6" s="129"/>
      <c r="U6" s="129"/>
      <c r="V6" s="129"/>
      <c r="W6" s="129"/>
      <c r="X6" s="129"/>
      <c r="Y6" s="129"/>
      <c r="Z6" s="129"/>
      <c r="AA6" s="129"/>
      <c r="AB6" s="129"/>
      <c r="AC6" s="129"/>
      <c r="AD6" s="129"/>
      <c r="AE6" s="129"/>
      <c r="AF6" s="129"/>
      <c r="AG6" s="129"/>
      <c r="AH6" s="129"/>
      <c r="AI6" s="129"/>
      <c r="AJ6" s="129"/>
    </row>
    <row r="7" spans="1:43" s="13" customFormat="1" ht="12.75" customHeight="1" x14ac:dyDescent="0.2">
      <c r="A7" s="126" t="s">
        <v>42</v>
      </c>
      <c r="B7" s="126"/>
      <c r="C7" s="126"/>
      <c r="D7" s="126"/>
      <c r="E7" s="126"/>
      <c r="F7" s="126"/>
      <c r="G7" s="126"/>
      <c r="H7" s="126"/>
      <c r="I7" s="126"/>
      <c r="J7" s="126"/>
      <c r="K7" s="126"/>
      <c r="L7" s="126"/>
      <c r="M7" s="126"/>
      <c r="N7" s="126"/>
      <c r="O7" s="126"/>
      <c r="P7" s="126"/>
      <c r="Q7" s="126"/>
      <c r="R7" s="126"/>
      <c r="S7" s="126"/>
      <c r="T7" s="126"/>
      <c r="U7" s="126"/>
      <c r="V7" s="126"/>
      <c r="W7" s="126"/>
      <c r="X7" s="126"/>
      <c r="Y7" s="126"/>
      <c r="Z7" s="126"/>
      <c r="AA7" s="126"/>
      <c r="AB7" s="126"/>
      <c r="AC7" s="126"/>
      <c r="AD7" s="126"/>
      <c r="AE7" s="126"/>
      <c r="AF7" s="126"/>
      <c r="AG7" s="126"/>
      <c r="AH7" s="126"/>
      <c r="AI7" s="126"/>
      <c r="AJ7" s="126"/>
    </row>
    <row r="8" spans="1:43" s="13" customFormat="1" ht="12" customHeight="1" x14ac:dyDescent="0.2">
      <c r="A8" s="139" t="str">
        <f>'Данные объект'!B23</f>
        <v>ПАО "Россети Московский регион"</v>
      </c>
      <c r="B8" s="139"/>
      <c r="C8" s="139"/>
      <c r="D8" s="139"/>
      <c r="E8" s="139"/>
      <c r="F8" s="139"/>
      <c r="G8" s="139"/>
      <c r="H8" s="139"/>
      <c r="I8" s="139"/>
      <c r="J8" s="139"/>
      <c r="K8" s="139"/>
      <c r="L8" s="139"/>
      <c r="M8" s="139"/>
      <c r="N8" s="139"/>
      <c r="O8" s="139"/>
      <c r="P8" s="139"/>
      <c r="Q8" s="139"/>
      <c r="R8" s="139"/>
      <c r="S8" s="139"/>
      <c r="T8" s="139"/>
      <c r="U8" s="139"/>
      <c r="V8" s="139"/>
      <c r="W8" s="139"/>
      <c r="X8" s="139"/>
      <c r="Y8" s="139"/>
      <c r="Z8" s="139"/>
      <c r="AA8" s="139"/>
      <c r="AB8" s="139"/>
      <c r="AC8" s="139"/>
      <c r="AD8" s="139"/>
      <c r="AE8" s="139"/>
      <c r="AF8" s="139"/>
      <c r="AG8" s="139"/>
      <c r="AH8" s="139"/>
      <c r="AI8" s="139"/>
      <c r="AJ8" s="139"/>
    </row>
    <row r="9" spans="1:43" s="14" customFormat="1" ht="19.5" customHeight="1" x14ac:dyDescent="0.15">
      <c r="A9" s="128" t="s">
        <v>58</v>
      </c>
      <c r="B9" s="129"/>
      <c r="C9" s="129"/>
      <c r="D9" s="129"/>
      <c r="E9" s="129"/>
      <c r="F9" s="129"/>
      <c r="G9" s="129"/>
      <c r="H9" s="129"/>
      <c r="I9" s="129"/>
      <c r="J9" s="129"/>
      <c r="K9" s="129"/>
      <c r="L9" s="129"/>
      <c r="M9" s="129"/>
      <c r="N9" s="129"/>
      <c r="O9" s="129"/>
      <c r="P9" s="129"/>
      <c r="Q9" s="129"/>
      <c r="R9" s="129"/>
      <c r="S9" s="129"/>
      <c r="T9" s="129"/>
      <c r="U9" s="129"/>
      <c r="V9" s="129"/>
      <c r="W9" s="129"/>
      <c r="X9" s="129"/>
      <c r="Y9" s="129"/>
      <c r="Z9" s="129"/>
      <c r="AA9" s="129"/>
      <c r="AB9" s="129"/>
      <c r="AC9" s="129"/>
      <c r="AD9" s="129"/>
      <c r="AE9" s="129"/>
      <c r="AF9" s="129"/>
      <c r="AG9" s="129"/>
      <c r="AH9" s="129"/>
      <c r="AI9" s="129"/>
      <c r="AJ9" s="129"/>
    </row>
    <row r="10" spans="1:43" s="13" customFormat="1" ht="12" customHeight="1" x14ac:dyDescent="0.2">
      <c r="A10" s="139" t="str">
        <f>'Данные объект'!B24</f>
        <v>ОГРН 1057746555811 ИНН 5036065113 КПП 772501001</v>
      </c>
      <c r="B10" s="139"/>
      <c r="C10" s="139"/>
      <c r="D10" s="139"/>
      <c r="E10" s="139"/>
      <c r="F10" s="139"/>
      <c r="G10" s="139"/>
      <c r="H10" s="139"/>
      <c r="I10" s="139"/>
      <c r="J10" s="139"/>
      <c r="K10" s="139"/>
      <c r="L10" s="139"/>
      <c r="M10" s="139"/>
      <c r="N10" s="139"/>
      <c r="O10" s="139"/>
      <c r="P10" s="139"/>
      <c r="Q10" s="139"/>
      <c r="R10" s="139"/>
      <c r="S10" s="139"/>
      <c r="T10" s="139"/>
      <c r="U10" s="139"/>
      <c r="V10" s="139"/>
      <c r="W10" s="139"/>
      <c r="X10" s="139"/>
      <c r="Y10" s="139"/>
      <c r="Z10" s="139"/>
      <c r="AA10" s="139"/>
      <c r="AB10" s="139"/>
      <c r="AC10" s="139"/>
      <c r="AD10" s="139"/>
      <c r="AE10" s="139"/>
      <c r="AF10" s="139"/>
      <c r="AG10" s="139"/>
      <c r="AH10" s="139"/>
      <c r="AI10" s="139"/>
      <c r="AJ10" s="139"/>
    </row>
    <row r="11" spans="1:43" s="14" customFormat="1" ht="28.5" customHeight="1" x14ac:dyDescent="0.15">
      <c r="A11" s="128" t="s">
        <v>59</v>
      </c>
      <c r="B11" s="129"/>
      <c r="C11" s="129"/>
      <c r="D11" s="129"/>
      <c r="E11" s="129"/>
      <c r="F11" s="129"/>
      <c r="G11" s="129"/>
      <c r="H11" s="129"/>
      <c r="I11" s="129"/>
      <c r="J11" s="129"/>
      <c r="K11" s="129"/>
      <c r="L11" s="129"/>
      <c r="M11" s="129"/>
      <c r="N11" s="129"/>
      <c r="O11" s="129"/>
      <c r="P11" s="129"/>
      <c r="Q11" s="129"/>
      <c r="R11" s="129"/>
      <c r="S11" s="129"/>
      <c r="T11" s="129"/>
      <c r="U11" s="129"/>
      <c r="V11" s="129"/>
      <c r="W11" s="129"/>
      <c r="X11" s="129"/>
      <c r="Y11" s="129"/>
      <c r="Z11" s="129"/>
      <c r="AA11" s="129"/>
      <c r="AB11" s="129"/>
      <c r="AC11" s="129"/>
      <c r="AD11" s="129"/>
      <c r="AE11" s="129"/>
      <c r="AF11" s="129"/>
      <c r="AG11" s="129"/>
      <c r="AH11" s="129"/>
      <c r="AI11" s="129"/>
      <c r="AJ11" s="129"/>
    </row>
    <row r="12" spans="1:43" s="13" customFormat="1" ht="12" customHeight="1" x14ac:dyDescent="0.2">
      <c r="A12" s="139" t="str">
        <f>'Данные объект'!B25</f>
        <v>115114, город Москва, проезд Павелецкий 2-й, дом 3, строение 2</v>
      </c>
      <c r="B12" s="139"/>
      <c r="C12" s="139"/>
      <c r="D12" s="139"/>
      <c r="E12" s="139"/>
      <c r="F12" s="139"/>
      <c r="G12" s="139"/>
      <c r="H12" s="139"/>
      <c r="I12" s="139"/>
      <c r="J12" s="139"/>
      <c r="K12" s="139"/>
      <c r="L12" s="139"/>
      <c r="M12" s="139"/>
      <c r="N12" s="139"/>
      <c r="O12" s="139"/>
      <c r="P12" s="139"/>
      <c r="Q12" s="139"/>
      <c r="R12" s="139"/>
      <c r="S12" s="139"/>
      <c r="T12" s="139"/>
      <c r="U12" s="139"/>
      <c r="V12" s="139"/>
      <c r="W12" s="139"/>
      <c r="X12" s="139"/>
      <c r="Y12" s="139"/>
      <c r="Z12" s="139"/>
      <c r="AA12" s="139"/>
      <c r="AB12" s="139"/>
      <c r="AC12" s="139"/>
      <c r="AD12" s="139"/>
      <c r="AE12" s="139"/>
      <c r="AF12" s="139"/>
      <c r="AG12" s="139"/>
      <c r="AH12" s="139"/>
      <c r="AI12" s="139"/>
      <c r="AJ12" s="139"/>
    </row>
    <row r="13" spans="1:43" s="14" customFormat="1" ht="11.25" customHeight="1" x14ac:dyDescent="0.15">
      <c r="A13" s="128" t="s">
        <v>43</v>
      </c>
      <c r="B13" s="129"/>
      <c r="C13" s="129"/>
      <c r="D13" s="129"/>
      <c r="E13" s="129"/>
      <c r="F13" s="129"/>
      <c r="G13" s="129"/>
      <c r="H13" s="129"/>
      <c r="I13" s="129"/>
      <c r="J13" s="129"/>
      <c r="K13" s="129"/>
      <c r="L13" s="129"/>
      <c r="M13" s="129"/>
      <c r="N13" s="129"/>
      <c r="O13" s="129"/>
      <c r="P13" s="129"/>
      <c r="Q13" s="129"/>
      <c r="R13" s="129"/>
      <c r="S13" s="129"/>
      <c r="T13" s="129"/>
      <c r="U13" s="129"/>
      <c r="V13" s="129"/>
      <c r="W13" s="129"/>
      <c r="X13" s="129"/>
      <c r="Y13" s="129"/>
      <c r="Z13" s="129"/>
      <c r="AA13" s="129"/>
      <c r="AB13" s="129"/>
      <c r="AC13" s="129"/>
      <c r="AD13" s="129"/>
      <c r="AE13" s="129"/>
      <c r="AF13" s="129"/>
      <c r="AG13" s="129"/>
      <c r="AH13" s="129"/>
      <c r="AI13" s="129"/>
      <c r="AJ13" s="129"/>
    </row>
    <row r="14" spans="1:43" s="13" customFormat="1" ht="12" customHeight="1" x14ac:dyDescent="0.2">
      <c r="A14" s="13" t="s">
        <v>22</v>
      </c>
    </row>
    <row r="15" spans="1:43" s="13" customFormat="1" ht="12" customHeight="1" x14ac:dyDescent="0.2">
      <c r="A15" s="139" t="str">
        <f>'Данные объект'!B11</f>
        <v>ООО"Энергосистемы"</v>
      </c>
      <c r="B15" s="139"/>
      <c r="C15" s="139"/>
      <c r="D15" s="139"/>
      <c r="E15" s="139"/>
      <c r="F15" s="139"/>
      <c r="G15" s="139"/>
      <c r="H15" s="139"/>
      <c r="I15" s="139"/>
      <c r="J15" s="139"/>
      <c r="K15" s="139"/>
      <c r="L15" s="139"/>
      <c r="M15" s="139"/>
      <c r="N15" s="139"/>
      <c r="O15" s="139"/>
      <c r="P15" s="139"/>
      <c r="Q15" s="139"/>
      <c r="R15" s="139"/>
      <c r="S15" s="139"/>
      <c r="T15" s="139"/>
      <c r="U15" s="139"/>
      <c r="V15" s="139"/>
      <c r="W15" s="139"/>
      <c r="X15" s="139"/>
      <c r="Y15" s="139"/>
      <c r="Z15" s="139"/>
      <c r="AA15" s="139"/>
      <c r="AB15" s="139"/>
      <c r="AC15" s="139"/>
      <c r="AD15" s="139"/>
      <c r="AE15" s="139"/>
      <c r="AF15" s="139"/>
      <c r="AG15" s="139"/>
      <c r="AH15" s="139"/>
      <c r="AI15" s="139"/>
      <c r="AJ15" s="139"/>
    </row>
    <row r="16" spans="1:43" s="14" customFormat="1" ht="9.75" customHeight="1" x14ac:dyDescent="0.15">
      <c r="A16" s="128" t="s">
        <v>37</v>
      </c>
      <c r="B16" s="129"/>
      <c r="C16" s="129"/>
      <c r="D16" s="129"/>
      <c r="E16" s="129"/>
      <c r="F16" s="129"/>
      <c r="G16" s="129"/>
      <c r="H16" s="129"/>
      <c r="I16" s="129"/>
      <c r="J16" s="129"/>
      <c r="K16" s="129"/>
      <c r="L16" s="129"/>
      <c r="M16" s="129"/>
      <c r="N16" s="129"/>
      <c r="O16" s="129"/>
      <c r="P16" s="129"/>
      <c r="Q16" s="129"/>
      <c r="R16" s="129"/>
      <c r="S16" s="129"/>
      <c r="T16" s="129"/>
      <c r="U16" s="129"/>
      <c r="V16" s="129"/>
      <c r="W16" s="129"/>
      <c r="X16" s="129"/>
      <c r="Y16" s="129"/>
      <c r="Z16" s="129"/>
      <c r="AA16" s="129"/>
      <c r="AB16" s="129"/>
      <c r="AC16" s="129"/>
      <c r="AD16" s="129"/>
      <c r="AE16" s="129"/>
      <c r="AF16" s="129"/>
      <c r="AG16" s="129"/>
      <c r="AH16" s="129"/>
      <c r="AI16" s="129"/>
      <c r="AJ16" s="129"/>
    </row>
    <row r="17" spans="1:36" s="13" customFormat="1" ht="12" customHeight="1" x14ac:dyDescent="0.2">
      <c r="A17" s="139" t="str">
        <f>'Данные объект'!B12</f>
        <v>ОГРН 1135044003709  ИНН 5044089069 КПП 504401001</v>
      </c>
      <c r="B17" s="139"/>
      <c r="C17" s="139"/>
      <c r="D17" s="139"/>
      <c r="E17" s="139"/>
      <c r="F17" s="139"/>
      <c r="G17" s="139"/>
      <c r="H17" s="139"/>
      <c r="I17" s="139"/>
      <c r="J17" s="139"/>
      <c r="K17" s="139"/>
      <c r="L17" s="139"/>
      <c r="M17" s="139"/>
      <c r="N17" s="139"/>
      <c r="O17" s="139"/>
      <c r="P17" s="139"/>
      <c r="Q17" s="139"/>
      <c r="R17" s="139"/>
      <c r="S17" s="139"/>
      <c r="T17" s="139"/>
      <c r="U17" s="139"/>
      <c r="V17" s="139"/>
      <c r="W17" s="139"/>
      <c r="X17" s="139"/>
      <c r="Y17" s="139"/>
      <c r="Z17" s="139"/>
      <c r="AA17" s="139"/>
      <c r="AB17" s="139"/>
      <c r="AC17" s="139"/>
      <c r="AD17" s="139"/>
      <c r="AE17" s="139"/>
      <c r="AF17" s="139"/>
      <c r="AG17" s="139"/>
      <c r="AH17" s="139"/>
      <c r="AI17" s="139"/>
      <c r="AJ17" s="139"/>
    </row>
    <row r="18" spans="1:36" s="14" customFormat="1" ht="8.25" customHeight="1" x14ac:dyDescent="0.15">
      <c r="A18" s="128" t="s">
        <v>44</v>
      </c>
      <c r="B18" s="129"/>
      <c r="C18" s="129"/>
      <c r="D18" s="129"/>
      <c r="E18" s="129"/>
      <c r="F18" s="129"/>
      <c r="G18" s="129"/>
      <c r="H18" s="129"/>
      <c r="I18" s="129"/>
      <c r="J18" s="129"/>
      <c r="K18" s="129"/>
      <c r="L18" s="129"/>
      <c r="M18" s="129"/>
      <c r="N18" s="129"/>
      <c r="O18" s="129"/>
      <c r="P18" s="129"/>
      <c r="Q18" s="129"/>
      <c r="R18" s="129"/>
      <c r="S18" s="129"/>
      <c r="T18" s="129"/>
      <c r="U18" s="129"/>
      <c r="V18" s="129"/>
      <c r="W18" s="129"/>
      <c r="X18" s="129"/>
      <c r="Y18" s="129"/>
      <c r="Z18" s="129"/>
      <c r="AA18" s="129"/>
      <c r="AB18" s="129"/>
      <c r="AC18" s="129"/>
      <c r="AD18" s="129"/>
      <c r="AE18" s="129"/>
      <c r="AF18" s="129"/>
      <c r="AG18" s="129"/>
      <c r="AH18" s="129"/>
      <c r="AI18" s="129"/>
      <c r="AJ18" s="129"/>
    </row>
    <row r="19" spans="1:36" s="13" customFormat="1" ht="12" customHeight="1" x14ac:dyDescent="0.2">
      <c r="A19" s="139" t="str">
        <f>'Данные объект'!B13</f>
        <v xml:space="preserve">141508, Московская область, г.о. Солнечногорск, г. Солнечногорск, ул. Промышленная, стр. 5, помещение 179
</v>
      </c>
      <c r="B19" s="139"/>
      <c r="C19" s="139"/>
      <c r="D19" s="139"/>
      <c r="E19" s="139"/>
      <c r="F19" s="139"/>
      <c r="G19" s="139"/>
      <c r="H19" s="139"/>
      <c r="I19" s="139"/>
      <c r="J19" s="139"/>
      <c r="K19" s="139"/>
      <c r="L19" s="139"/>
      <c r="M19" s="139"/>
      <c r="N19" s="139"/>
      <c r="O19" s="139"/>
      <c r="P19" s="139"/>
      <c r="Q19" s="139"/>
      <c r="R19" s="139"/>
      <c r="S19" s="139"/>
      <c r="T19" s="139"/>
      <c r="U19" s="139"/>
      <c r="V19" s="139"/>
      <c r="W19" s="139"/>
      <c r="X19" s="139"/>
      <c r="Y19" s="139"/>
      <c r="Z19" s="139"/>
      <c r="AA19" s="139"/>
      <c r="AB19" s="139"/>
      <c r="AC19" s="139"/>
      <c r="AD19" s="139"/>
      <c r="AE19" s="139"/>
      <c r="AF19" s="139"/>
      <c r="AG19" s="139"/>
      <c r="AH19" s="139"/>
      <c r="AI19" s="139"/>
      <c r="AJ19" s="139"/>
    </row>
    <row r="20" spans="1:36" s="14" customFormat="1" ht="27" customHeight="1" x14ac:dyDescent="0.15">
      <c r="A20" s="128" t="s">
        <v>60</v>
      </c>
      <c r="B20" s="129"/>
      <c r="C20" s="129"/>
      <c r="D20" s="129"/>
      <c r="E20" s="129"/>
      <c r="F20" s="129"/>
      <c r="G20" s="129"/>
      <c r="H20" s="129"/>
      <c r="I20" s="129"/>
      <c r="J20" s="129"/>
      <c r="K20" s="129"/>
      <c r="L20" s="129"/>
      <c r="M20" s="129"/>
      <c r="N20" s="129"/>
      <c r="O20" s="129"/>
      <c r="P20" s="129"/>
      <c r="Q20" s="129"/>
      <c r="R20" s="129"/>
      <c r="S20" s="129"/>
      <c r="T20" s="129"/>
      <c r="U20" s="129"/>
      <c r="V20" s="129"/>
      <c r="W20" s="129"/>
      <c r="X20" s="129"/>
      <c r="Y20" s="129"/>
      <c r="Z20" s="129"/>
      <c r="AA20" s="129"/>
      <c r="AB20" s="129"/>
      <c r="AC20" s="129"/>
      <c r="AD20" s="129"/>
      <c r="AE20" s="129"/>
      <c r="AF20" s="129"/>
      <c r="AG20" s="129"/>
      <c r="AH20" s="129"/>
      <c r="AI20" s="129"/>
      <c r="AJ20" s="129"/>
    </row>
    <row r="21" spans="1:36" s="13" customFormat="1" ht="12" customHeight="1" x14ac:dyDescent="0.2">
      <c r="A21" s="13" t="s">
        <v>20</v>
      </c>
    </row>
    <row r="22" spans="1:36" s="13" customFormat="1" ht="12" customHeight="1" x14ac:dyDescent="0.2">
      <c r="A22" s="139" t="str">
        <f>'Данные объект'!B39</f>
        <v>ООО"Энергосистемы"</v>
      </c>
      <c r="B22" s="139"/>
      <c r="C22" s="139"/>
      <c r="D22" s="139"/>
      <c r="E22" s="139"/>
      <c r="F22" s="139"/>
      <c r="G22" s="139"/>
      <c r="H22" s="139"/>
      <c r="I22" s="139"/>
      <c r="J22" s="139"/>
      <c r="K22" s="139"/>
      <c r="L22" s="139"/>
      <c r="M22" s="139"/>
      <c r="N22" s="139"/>
      <c r="O22" s="139"/>
      <c r="P22" s="139"/>
      <c r="Q22" s="139"/>
      <c r="R22" s="139"/>
      <c r="S22" s="139"/>
      <c r="T22" s="139"/>
      <c r="U22" s="139"/>
      <c r="V22" s="139"/>
      <c r="W22" s="139"/>
      <c r="X22" s="139"/>
      <c r="Y22" s="139"/>
      <c r="Z22" s="139"/>
      <c r="AA22" s="139"/>
      <c r="AB22" s="139"/>
      <c r="AC22" s="139"/>
      <c r="AD22" s="139"/>
      <c r="AE22" s="139"/>
      <c r="AF22" s="139"/>
      <c r="AG22" s="139"/>
      <c r="AH22" s="139"/>
      <c r="AI22" s="139"/>
      <c r="AJ22" s="139"/>
    </row>
    <row r="23" spans="1:36" s="14" customFormat="1" ht="7.5" customHeight="1" x14ac:dyDescent="0.15">
      <c r="A23" s="128" t="s">
        <v>37</v>
      </c>
      <c r="B23" s="129"/>
      <c r="C23" s="129"/>
      <c r="D23" s="129"/>
      <c r="E23" s="129"/>
      <c r="F23" s="129"/>
      <c r="G23" s="129"/>
      <c r="H23" s="129"/>
      <c r="I23" s="129"/>
      <c r="J23" s="129"/>
      <c r="K23" s="129"/>
      <c r="L23" s="129"/>
      <c r="M23" s="129"/>
      <c r="N23" s="129"/>
      <c r="O23" s="129"/>
      <c r="P23" s="129"/>
      <c r="Q23" s="129"/>
      <c r="R23" s="129"/>
      <c r="S23" s="129"/>
      <c r="T23" s="129"/>
      <c r="U23" s="129"/>
      <c r="V23" s="129"/>
      <c r="W23" s="129"/>
      <c r="X23" s="129"/>
      <c r="Y23" s="129"/>
      <c r="Z23" s="129"/>
      <c r="AA23" s="129"/>
      <c r="AB23" s="129"/>
      <c r="AC23" s="129"/>
      <c r="AD23" s="129"/>
      <c r="AE23" s="129"/>
      <c r="AF23" s="129"/>
      <c r="AG23" s="129"/>
      <c r="AH23" s="129"/>
      <c r="AI23" s="129"/>
      <c r="AJ23" s="129"/>
    </row>
    <row r="24" spans="1:36" s="13" customFormat="1" ht="12" customHeight="1" x14ac:dyDescent="0.2">
      <c r="A24" s="139" t="str">
        <f>'Данные объект'!B40</f>
        <v>ОГРН 1135044003709  ИНН 5044089069 КПП 504401001</v>
      </c>
      <c r="B24" s="139"/>
      <c r="C24" s="139"/>
      <c r="D24" s="139"/>
      <c r="E24" s="139"/>
      <c r="F24" s="139"/>
      <c r="G24" s="139"/>
      <c r="H24" s="139"/>
      <c r="I24" s="139"/>
      <c r="J24" s="139"/>
      <c r="K24" s="139"/>
      <c r="L24" s="139"/>
      <c r="M24" s="139"/>
      <c r="N24" s="139"/>
      <c r="O24" s="139"/>
      <c r="P24" s="139"/>
      <c r="Q24" s="139"/>
      <c r="R24" s="139"/>
      <c r="S24" s="139"/>
      <c r="T24" s="139"/>
      <c r="U24" s="139"/>
      <c r="V24" s="139"/>
      <c r="W24" s="139"/>
      <c r="X24" s="139"/>
      <c r="Y24" s="139"/>
      <c r="Z24" s="139"/>
      <c r="AA24" s="139"/>
      <c r="AB24" s="139"/>
      <c r="AC24" s="139"/>
      <c r="AD24" s="139"/>
      <c r="AE24" s="139"/>
      <c r="AF24" s="139"/>
      <c r="AG24" s="139"/>
      <c r="AH24" s="139"/>
      <c r="AI24" s="139"/>
      <c r="AJ24" s="139"/>
    </row>
    <row r="25" spans="1:36" s="14" customFormat="1" ht="7.5" customHeight="1" x14ac:dyDescent="0.15">
      <c r="A25" s="128" t="s">
        <v>61</v>
      </c>
      <c r="B25" s="129"/>
      <c r="C25" s="129"/>
      <c r="D25" s="129"/>
      <c r="E25" s="129"/>
      <c r="F25" s="129"/>
      <c r="G25" s="129"/>
      <c r="H25" s="129"/>
      <c r="I25" s="129"/>
      <c r="J25" s="129"/>
      <c r="K25" s="129"/>
      <c r="L25" s="129"/>
      <c r="M25" s="129"/>
      <c r="N25" s="129"/>
      <c r="O25" s="129"/>
      <c r="P25" s="129"/>
      <c r="Q25" s="129"/>
      <c r="R25" s="129"/>
      <c r="S25" s="129"/>
      <c r="T25" s="129"/>
      <c r="U25" s="129"/>
      <c r="V25" s="129"/>
      <c r="W25" s="129"/>
      <c r="X25" s="129"/>
      <c r="Y25" s="129"/>
      <c r="Z25" s="129"/>
      <c r="AA25" s="129"/>
      <c r="AB25" s="129"/>
      <c r="AC25" s="129"/>
      <c r="AD25" s="129"/>
      <c r="AE25" s="129"/>
      <c r="AF25" s="129"/>
      <c r="AG25" s="129"/>
      <c r="AH25" s="129"/>
      <c r="AI25" s="129"/>
      <c r="AJ25" s="129"/>
    </row>
    <row r="26" spans="1:36" s="13" customFormat="1" ht="12" customHeight="1" x14ac:dyDescent="0.2">
      <c r="A26" s="139" t="str">
        <f>'Данные объект'!B41</f>
        <v xml:space="preserve">141508, Московская область, г.о. Солнечногорск, г. Солнечногорск, ул. Промышленная, стр. 5, помещение 179
</v>
      </c>
      <c r="B26" s="139"/>
      <c r="C26" s="139"/>
      <c r="D26" s="139"/>
      <c r="E26" s="139"/>
      <c r="F26" s="139"/>
      <c r="G26" s="139"/>
      <c r="H26" s="139"/>
      <c r="I26" s="139"/>
      <c r="J26" s="139"/>
      <c r="K26" s="139"/>
      <c r="L26" s="139"/>
      <c r="M26" s="139"/>
      <c r="N26" s="139"/>
      <c r="O26" s="139"/>
      <c r="P26" s="139"/>
      <c r="Q26" s="139"/>
      <c r="R26" s="139"/>
      <c r="S26" s="139"/>
      <c r="T26" s="139"/>
      <c r="U26" s="139"/>
      <c r="V26" s="139"/>
      <c r="W26" s="139"/>
      <c r="X26" s="139"/>
      <c r="Y26" s="139"/>
      <c r="Z26" s="139"/>
      <c r="AA26" s="139"/>
      <c r="AB26" s="139"/>
      <c r="AC26" s="139"/>
      <c r="AD26" s="139"/>
      <c r="AE26" s="139"/>
      <c r="AF26" s="139"/>
      <c r="AG26" s="139"/>
      <c r="AH26" s="139"/>
      <c r="AI26" s="139"/>
      <c r="AJ26" s="139"/>
    </row>
    <row r="27" spans="1:36" s="14" customFormat="1" ht="22.5" customHeight="1" x14ac:dyDescent="0.15">
      <c r="A27" s="128" t="s">
        <v>45</v>
      </c>
      <c r="B27" s="129"/>
      <c r="C27" s="129"/>
      <c r="D27" s="129"/>
      <c r="E27" s="129"/>
      <c r="F27" s="129"/>
      <c r="G27" s="129"/>
      <c r="H27" s="129"/>
      <c r="I27" s="129"/>
      <c r="J27" s="129"/>
      <c r="K27" s="129"/>
      <c r="L27" s="129"/>
      <c r="M27" s="129"/>
      <c r="N27" s="129"/>
      <c r="O27" s="129"/>
      <c r="P27" s="129"/>
      <c r="Q27" s="129"/>
      <c r="R27" s="129"/>
      <c r="S27" s="129"/>
      <c r="T27" s="129"/>
      <c r="U27" s="129"/>
      <c r="V27" s="129"/>
      <c r="W27" s="129"/>
      <c r="X27" s="129"/>
      <c r="Y27" s="129"/>
      <c r="Z27" s="129"/>
      <c r="AA27" s="129"/>
      <c r="AB27" s="129"/>
      <c r="AC27" s="129"/>
      <c r="AD27" s="129"/>
      <c r="AE27" s="129"/>
      <c r="AF27" s="129"/>
      <c r="AG27" s="129"/>
      <c r="AH27" s="129"/>
      <c r="AI27" s="129"/>
      <c r="AJ27" s="129"/>
    </row>
    <row r="28" spans="1:36" ht="9" customHeight="1" x14ac:dyDescent="0.25">
      <c r="A28" s="5"/>
      <c r="B28" s="5"/>
      <c r="C28" s="5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</row>
    <row r="29" spans="1:36" s="13" customFormat="1" ht="12.95" customHeight="1" x14ac:dyDescent="0.2">
      <c r="A29" s="142" t="s">
        <v>36</v>
      </c>
      <c r="B29" s="142"/>
      <c r="C29" s="142"/>
      <c r="D29" s="142"/>
      <c r="E29" s="142"/>
      <c r="F29" s="142"/>
      <c r="G29" s="142"/>
      <c r="H29" s="142"/>
      <c r="I29" s="142"/>
      <c r="J29" s="142"/>
      <c r="K29" s="142"/>
      <c r="L29" s="142"/>
      <c r="M29" s="142"/>
      <c r="N29" s="142"/>
      <c r="O29" s="142"/>
      <c r="P29" s="142"/>
      <c r="Q29" s="142"/>
      <c r="R29" s="142"/>
      <c r="S29" s="142"/>
      <c r="T29" s="142"/>
      <c r="U29" s="142"/>
      <c r="V29" s="142"/>
      <c r="W29" s="142"/>
      <c r="X29" s="142"/>
      <c r="Y29" s="142"/>
      <c r="Z29" s="142"/>
      <c r="AA29" s="142"/>
      <c r="AB29" s="142"/>
      <c r="AC29" s="142"/>
      <c r="AD29" s="142"/>
      <c r="AE29" s="142"/>
      <c r="AF29" s="142"/>
      <c r="AG29" s="142"/>
      <c r="AH29" s="142"/>
      <c r="AI29" s="142"/>
      <c r="AJ29" s="142"/>
    </row>
    <row r="30" spans="1:36" s="13" customFormat="1" ht="12.95" customHeight="1" x14ac:dyDescent="0.2">
      <c r="A30" s="143" t="s">
        <v>19</v>
      </c>
      <c r="B30" s="143"/>
      <c r="C30" s="143"/>
      <c r="D30" s="143"/>
      <c r="E30" s="143"/>
      <c r="F30" s="143"/>
      <c r="G30" s="143"/>
      <c r="H30" s="143"/>
      <c r="I30" s="143"/>
      <c r="J30" s="143"/>
      <c r="K30" s="143"/>
      <c r="L30" s="143"/>
      <c r="M30" s="143"/>
      <c r="N30" s="143"/>
      <c r="O30" s="143"/>
      <c r="P30" s="143"/>
      <c r="Q30" s="143"/>
      <c r="R30" s="143"/>
      <c r="S30" s="143"/>
      <c r="T30" s="143"/>
      <c r="U30" s="143"/>
      <c r="V30" s="143"/>
      <c r="W30" s="143"/>
      <c r="X30" s="143"/>
      <c r="Y30" s="143"/>
      <c r="Z30" s="143"/>
      <c r="AA30" s="143"/>
      <c r="AB30" s="143"/>
      <c r="AC30" s="143"/>
      <c r="AD30" s="143"/>
      <c r="AE30" s="143"/>
      <c r="AF30" s="143"/>
      <c r="AG30" s="143"/>
      <c r="AH30" s="143"/>
      <c r="AI30" s="143"/>
      <c r="AJ30" s="143"/>
    </row>
    <row r="31" spans="1:36" s="13" customFormat="1" ht="6" customHeight="1" x14ac:dyDescent="0.2">
      <c r="A31" s="23"/>
      <c r="B31" s="23"/>
      <c r="C31" s="23"/>
      <c r="D31" s="23"/>
      <c r="E31" s="23"/>
      <c r="F31" s="23"/>
      <c r="G31" s="23"/>
      <c r="H31" s="23"/>
      <c r="I31" s="23"/>
      <c r="J31" s="23"/>
    </row>
    <row r="32" spans="1:36" s="13" customFormat="1" ht="12.95" customHeight="1" x14ac:dyDescent="0.2">
      <c r="A32" s="24"/>
      <c r="B32" s="24" t="s">
        <v>18</v>
      </c>
      <c r="C32" s="25">
        <v>1</v>
      </c>
      <c r="D32" s="25"/>
      <c r="E32" s="130" t="s">
        <v>86</v>
      </c>
      <c r="F32" s="130"/>
      <c r="G32" s="130"/>
      <c r="H32" s="27"/>
      <c r="I32" s="27"/>
      <c r="J32" s="27"/>
      <c r="X32" s="21"/>
      <c r="Y32" s="32"/>
      <c r="Z32" s="32"/>
      <c r="AB32" s="131">
        <f>P78</f>
        <v>45819</v>
      </c>
      <c r="AC32" s="131"/>
      <c r="AD32" s="131"/>
      <c r="AE32" s="131"/>
      <c r="AF32" s="131"/>
      <c r="AG32" s="131"/>
      <c r="AH32" s="131"/>
      <c r="AI32" s="131"/>
      <c r="AJ32" s="13" t="s">
        <v>6</v>
      </c>
    </row>
    <row r="33" spans="1:52" s="14" customFormat="1" ht="9" customHeight="1" x14ac:dyDescent="0.15">
      <c r="Y33" s="15"/>
      <c r="Z33" s="16"/>
      <c r="AA33" s="15"/>
      <c r="AB33" s="144" t="s">
        <v>17</v>
      </c>
      <c r="AC33" s="144"/>
      <c r="AD33" s="144"/>
      <c r="AE33" s="144"/>
      <c r="AF33" s="144"/>
      <c r="AG33" s="144"/>
      <c r="AH33" s="144"/>
      <c r="AI33" s="144"/>
    </row>
    <row r="34" spans="1:52" ht="6.75" customHeight="1" x14ac:dyDescent="0.25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4"/>
      <c r="AJ34" s="4"/>
    </row>
    <row r="35" spans="1:52" s="13" customFormat="1" ht="21" customHeight="1" x14ac:dyDescent="0.2">
      <c r="A35" s="126" t="s">
        <v>46</v>
      </c>
      <c r="B35" s="126"/>
      <c r="C35" s="126"/>
      <c r="D35" s="126"/>
      <c r="E35" s="126"/>
      <c r="F35" s="126"/>
      <c r="G35" s="126"/>
      <c r="H35" s="126"/>
      <c r="I35" s="126"/>
      <c r="J35" s="126"/>
      <c r="K35" s="126"/>
      <c r="L35" s="126"/>
      <c r="M35" s="126"/>
      <c r="N35" s="126"/>
      <c r="O35" s="126"/>
      <c r="P35" s="126"/>
      <c r="Q35" s="126"/>
      <c r="R35" s="126"/>
      <c r="S35" s="126"/>
      <c r="T35" s="126"/>
      <c r="U35" s="126"/>
      <c r="V35" s="126"/>
      <c r="W35" s="126"/>
      <c r="X35" s="126"/>
      <c r="Y35" s="126"/>
      <c r="Z35" s="126"/>
      <c r="AA35" s="126"/>
      <c r="AB35" s="126"/>
      <c r="AC35" s="126"/>
      <c r="AD35" s="126"/>
      <c r="AE35" s="126"/>
      <c r="AF35" s="126"/>
      <c r="AG35" s="126"/>
      <c r="AH35" s="126"/>
      <c r="AI35" s="126"/>
      <c r="AJ35" s="126"/>
    </row>
    <row r="36" spans="1:52" s="13" customFormat="1" ht="25.5" customHeight="1" x14ac:dyDescent="0.2">
      <c r="A36" s="127" t="str">
        <f>'Данные объект'!C34</f>
        <v>Гл. специалист ССК УКС ПАО "Россети Московский регион" Алексанян Г.Р. Приказ №1904 от 03 июня 2026г (НРС С-50-069023)</v>
      </c>
      <c r="B36" s="127"/>
      <c r="C36" s="127"/>
      <c r="D36" s="127"/>
      <c r="E36" s="127"/>
      <c r="F36" s="127"/>
      <c r="G36" s="127"/>
      <c r="H36" s="127"/>
      <c r="I36" s="127"/>
      <c r="J36" s="127"/>
      <c r="K36" s="127"/>
      <c r="L36" s="127"/>
      <c r="M36" s="127"/>
      <c r="N36" s="127"/>
      <c r="O36" s="127"/>
      <c r="P36" s="127"/>
      <c r="Q36" s="127"/>
      <c r="R36" s="127"/>
      <c r="S36" s="127"/>
      <c r="T36" s="127"/>
      <c r="U36" s="127"/>
      <c r="V36" s="127"/>
      <c r="W36" s="127"/>
      <c r="X36" s="127"/>
      <c r="Y36" s="127"/>
      <c r="Z36" s="127"/>
      <c r="AA36" s="127"/>
      <c r="AB36" s="127"/>
      <c r="AC36" s="127"/>
      <c r="AD36" s="127"/>
      <c r="AE36" s="127"/>
      <c r="AF36" s="127"/>
      <c r="AG36" s="127"/>
      <c r="AH36" s="127"/>
      <c r="AI36" s="127"/>
      <c r="AJ36" s="127"/>
    </row>
    <row r="37" spans="1:52" s="14" customFormat="1" ht="28.5" customHeight="1" x14ac:dyDescent="0.15">
      <c r="A37" s="128" t="s">
        <v>47</v>
      </c>
      <c r="B37" s="129"/>
      <c r="C37" s="129"/>
      <c r="D37" s="129"/>
      <c r="E37" s="129"/>
      <c r="F37" s="129"/>
      <c r="G37" s="129"/>
      <c r="H37" s="129"/>
      <c r="I37" s="129"/>
      <c r="J37" s="129"/>
      <c r="K37" s="129"/>
      <c r="L37" s="129"/>
      <c r="M37" s="129"/>
      <c r="N37" s="129"/>
      <c r="O37" s="129"/>
      <c r="P37" s="129"/>
      <c r="Q37" s="129"/>
      <c r="R37" s="129"/>
      <c r="S37" s="129"/>
      <c r="T37" s="129"/>
      <c r="U37" s="129"/>
      <c r="V37" s="129"/>
      <c r="W37" s="129"/>
      <c r="X37" s="129"/>
      <c r="Y37" s="129"/>
      <c r="Z37" s="129"/>
      <c r="AA37" s="129"/>
      <c r="AB37" s="129"/>
      <c r="AC37" s="129"/>
      <c r="AD37" s="129"/>
      <c r="AE37" s="129"/>
      <c r="AF37" s="129"/>
      <c r="AG37" s="129"/>
      <c r="AH37" s="129"/>
      <c r="AI37" s="129"/>
      <c r="AJ37" s="129"/>
    </row>
    <row r="38" spans="1:52" s="13" customFormat="1" ht="21.75" customHeight="1" x14ac:dyDescent="0.2">
      <c r="A38" s="127" t="str">
        <f>'Данные объект'!C23</f>
        <v>ПАО "Россети Московский регион" ОГРН 1057746555811 ИНН 5036065113 КПП 772501001,115114, город Москва, проезд Павелецкий 2-й, дом 3, строение 2</v>
      </c>
      <c r="B38" s="127"/>
      <c r="C38" s="127"/>
      <c r="D38" s="127"/>
      <c r="E38" s="127"/>
      <c r="F38" s="127"/>
      <c r="G38" s="127"/>
      <c r="H38" s="127"/>
      <c r="I38" s="127"/>
      <c r="J38" s="127"/>
      <c r="K38" s="127"/>
      <c r="L38" s="127"/>
      <c r="M38" s="127"/>
      <c r="N38" s="127"/>
      <c r="O38" s="127"/>
      <c r="P38" s="127"/>
      <c r="Q38" s="127"/>
      <c r="R38" s="127"/>
      <c r="S38" s="127"/>
      <c r="T38" s="127"/>
      <c r="U38" s="127"/>
      <c r="V38" s="127"/>
      <c r="W38" s="127"/>
      <c r="X38" s="127"/>
      <c r="Y38" s="127"/>
      <c r="Z38" s="127"/>
      <c r="AA38" s="127"/>
      <c r="AB38" s="127"/>
      <c r="AC38" s="127"/>
      <c r="AD38" s="127"/>
      <c r="AE38" s="127"/>
      <c r="AF38" s="127"/>
      <c r="AG38" s="127"/>
      <c r="AH38" s="127"/>
      <c r="AI38" s="127"/>
      <c r="AJ38" s="127"/>
    </row>
    <row r="39" spans="1:52" s="14" customFormat="1" ht="25.5" customHeight="1" x14ac:dyDescent="0.2">
      <c r="A39" s="145" t="s">
        <v>48</v>
      </c>
      <c r="B39" s="145"/>
      <c r="C39" s="145"/>
      <c r="D39" s="145"/>
      <c r="E39" s="145"/>
      <c r="F39" s="145"/>
      <c r="G39" s="145"/>
      <c r="H39" s="145"/>
      <c r="I39" s="145"/>
      <c r="J39" s="145"/>
      <c r="K39" s="145"/>
      <c r="L39" s="145"/>
      <c r="M39" s="145"/>
      <c r="N39" s="145"/>
      <c r="O39" s="145"/>
      <c r="P39" s="145"/>
      <c r="Q39" s="145"/>
      <c r="R39" s="145"/>
      <c r="S39" s="145"/>
      <c r="T39" s="145"/>
      <c r="U39" s="145"/>
      <c r="V39" s="145"/>
      <c r="W39" s="145"/>
      <c r="X39" s="145"/>
      <c r="Y39" s="145"/>
      <c r="Z39" s="145"/>
      <c r="AA39" s="145"/>
      <c r="AB39" s="145"/>
      <c r="AC39" s="145"/>
      <c r="AD39" s="145"/>
      <c r="AE39" s="145"/>
      <c r="AF39" s="145"/>
      <c r="AG39" s="145"/>
      <c r="AH39" s="145"/>
      <c r="AI39" s="145"/>
      <c r="AJ39" s="145"/>
      <c r="AZ39" s="13"/>
    </row>
    <row r="40" spans="1:52" s="13" customFormat="1" ht="12" customHeight="1" x14ac:dyDescent="0.2">
      <c r="A40" s="13" t="s">
        <v>25</v>
      </c>
    </row>
    <row r="41" spans="1:52" s="13" customFormat="1" ht="12" customHeight="1" x14ac:dyDescent="0.2">
      <c r="A41" s="139" t="str">
        <f>'Данные объект'!C21</f>
        <v>Прораб ООО"Энергосистемы" Волков М.Ю..Приказ №05-ОТ/24 от 09 января 2024г</v>
      </c>
      <c r="B41" s="139"/>
      <c r="C41" s="139"/>
      <c r="D41" s="139"/>
      <c r="E41" s="139"/>
      <c r="F41" s="139"/>
      <c r="G41" s="139"/>
      <c r="H41" s="139"/>
      <c r="I41" s="139"/>
      <c r="J41" s="139"/>
      <c r="K41" s="139"/>
      <c r="L41" s="139"/>
      <c r="M41" s="139"/>
      <c r="N41" s="139"/>
      <c r="O41" s="139"/>
      <c r="P41" s="139"/>
      <c r="Q41" s="139"/>
      <c r="R41" s="139"/>
      <c r="S41" s="139"/>
      <c r="T41" s="139"/>
      <c r="U41" s="139"/>
      <c r="V41" s="139"/>
      <c r="W41" s="139"/>
      <c r="X41" s="139"/>
      <c r="Y41" s="139"/>
      <c r="Z41" s="139"/>
      <c r="AA41" s="139"/>
      <c r="AB41" s="139"/>
      <c r="AC41" s="139"/>
      <c r="AD41" s="139"/>
      <c r="AE41" s="139"/>
      <c r="AF41" s="139"/>
      <c r="AG41" s="139"/>
      <c r="AH41" s="139"/>
      <c r="AI41" s="139"/>
      <c r="AJ41" s="139"/>
    </row>
    <row r="42" spans="1:52" s="14" customFormat="1" ht="9" customHeight="1" x14ac:dyDescent="0.15">
      <c r="A42" s="128" t="s">
        <v>26</v>
      </c>
      <c r="B42" s="129"/>
      <c r="C42" s="129"/>
      <c r="D42" s="129"/>
      <c r="E42" s="129"/>
      <c r="F42" s="129"/>
      <c r="G42" s="129"/>
      <c r="H42" s="129"/>
      <c r="I42" s="129"/>
      <c r="J42" s="129"/>
      <c r="K42" s="129"/>
      <c r="L42" s="129"/>
      <c r="M42" s="129"/>
      <c r="N42" s="129"/>
      <c r="O42" s="129"/>
      <c r="P42" s="129"/>
      <c r="Q42" s="129"/>
      <c r="R42" s="129"/>
      <c r="S42" s="129"/>
      <c r="T42" s="129"/>
      <c r="U42" s="129"/>
      <c r="V42" s="129"/>
      <c r="W42" s="129"/>
      <c r="X42" s="129"/>
      <c r="Y42" s="129"/>
      <c r="Z42" s="129"/>
      <c r="AA42" s="129"/>
      <c r="AB42" s="129"/>
      <c r="AC42" s="129"/>
      <c r="AD42" s="129"/>
      <c r="AE42" s="129"/>
      <c r="AF42" s="129"/>
      <c r="AG42" s="129"/>
      <c r="AH42" s="129"/>
      <c r="AI42" s="129"/>
      <c r="AJ42" s="129"/>
    </row>
    <row r="43" spans="1:52" s="13" customFormat="1" ht="17.25" customHeight="1" x14ac:dyDescent="0.2">
      <c r="A43" s="126" t="s">
        <v>49</v>
      </c>
      <c r="B43" s="126"/>
      <c r="C43" s="126"/>
      <c r="D43" s="126"/>
      <c r="E43" s="126"/>
      <c r="F43" s="126"/>
      <c r="G43" s="126"/>
      <c r="H43" s="126"/>
      <c r="I43" s="126"/>
      <c r="J43" s="126"/>
      <c r="K43" s="126"/>
      <c r="L43" s="126"/>
      <c r="M43" s="126"/>
      <c r="N43" s="126"/>
      <c r="O43" s="126"/>
      <c r="P43" s="126"/>
      <c r="Q43" s="126"/>
      <c r="R43" s="126"/>
      <c r="S43" s="126"/>
      <c r="T43" s="126"/>
      <c r="U43" s="126"/>
      <c r="V43" s="126"/>
      <c r="W43" s="126"/>
      <c r="X43" s="126"/>
      <c r="Y43" s="126"/>
      <c r="Z43" s="126"/>
      <c r="AA43" s="126"/>
      <c r="AB43" s="126"/>
      <c r="AC43" s="126"/>
      <c r="AD43" s="126"/>
      <c r="AE43" s="126"/>
      <c r="AF43" s="126"/>
      <c r="AG43" s="126"/>
      <c r="AH43" s="126"/>
      <c r="AI43" s="126"/>
      <c r="AJ43" s="126"/>
    </row>
    <row r="44" spans="1:52" s="31" customFormat="1" ht="22.5" customHeight="1" x14ac:dyDescent="0.2">
      <c r="A44" s="127" t="str">
        <f>'Данные объект'!C18</f>
        <v>Инженер по строительному контролю ООО"Энергосистемы" Русин В.А..Приказ № 13-ОТ/25 от 05 мая 2025 (НОСТРОЙ С-50-085497)</v>
      </c>
      <c r="B44" s="127"/>
      <c r="C44" s="127"/>
      <c r="D44" s="127"/>
      <c r="E44" s="127"/>
      <c r="F44" s="127"/>
      <c r="G44" s="127"/>
      <c r="H44" s="127"/>
      <c r="I44" s="127"/>
      <c r="J44" s="127"/>
      <c r="K44" s="127"/>
      <c r="L44" s="127"/>
      <c r="M44" s="127"/>
      <c r="N44" s="127"/>
      <c r="O44" s="127"/>
      <c r="P44" s="127"/>
      <c r="Q44" s="127"/>
      <c r="R44" s="127"/>
      <c r="S44" s="127"/>
      <c r="T44" s="127"/>
      <c r="U44" s="127"/>
      <c r="V44" s="127"/>
      <c r="W44" s="127"/>
      <c r="X44" s="127"/>
      <c r="Y44" s="127"/>
      <c r="Z44" s="127"/>
      <c r="AA44" s="127"/>
      <c r="AB44" s="127"/>
      <c r="AC44" s="127"/>
      <c r="AD44" s="127"/>
      <c r="AE44" s="127"/>
      <c r="AF44" s="127"/>
      <c r="AG44" s="127"/>
      <c r="AH44" s="127"/>
      <c r="AI44" s="127"/>
      <c r="AJ44" s="127"/>
    </row>
    <row r="45" spans="1:52" s="14" customFormat="1" ht="30" customHeight="1" x14ac:dyDescent="0.15">
      <c r="A45" s="128" t="s">
        <v>50</v>
      </c>
      <c r="B45" s="129"/>
      <c r="C45" s="129"/>
      <c r="D45" s="129"/>
      <c r="E45" s="129"/>
      <c r="F45" s="129"/>
      <c r="G45" s="129"/>
      <c r="H45" s="129"/>
      <c r="I45" s="129"/>
      <c r="J45" s="129"/>
      <c r="K45" s="129"/>
      <c r="L45" s="129"/>
      <c r="M45" s="129"/>
      <c r="N45" s="129"/>
      <c r="O45" s="129"/>
      <c r="P45" s="129"/>
      <c r="Q45" s="129"/>
      <c r="R45" s="129"/>
      <c r="S45" s="129"/>
      <c r="T45" s="129"/>
      <c r="U45" s="129"/>
      <c r="V45" s="129"/>
      <c r="W45" s="129"/>
      <c r="X45" s="129"/>
      <c r="Y45" s="129"/>
      <c r="Z45" s="129"/>
      <c r="AA45" s="129"/>
      <c r="AB45" s="129"/>
      <c r="AC45" s="129"/>
      <c r="AD45" s="129"/>
      <c r="AE45" s="129"/>
      <c r="AF45" s="129"/>
      <c r="AG45" s="129"/>
      <c r="AH45" s="129"/>
      <c r="AI45" s="129"/>
      <c r="AJ45" s="129"/>
    </row>
    <row r="46" spans="1:52" s="14" customFormat="1" ht="11.25" x14ac:dyDescent="0.2">
      <c r="A46" s="126" t="s">
        <v>190</v>
      </c>
      <c r="B46" s="126"/>
      <c r="C46" s="126"/>
      <c r="D46" s="126"/>
      <c r="E46" s="126"/>
      <c r="F46" s="126"/>
      <c r="G46" s="126"/>
      <c r="H46" s="126"/>
      <c r="I46" s="126"/>
      <c r="J46" s="126"/>
      <c r="K46" s="126"/>
      <c r="L46" s="126"/>
      <c r="M46" s="126"/>
      <c r="N46" s="126"/>
      <c r="O46" s="126"/>
      <c r="P46" s="126"/>
      <c r="Q46" s="126"/>
      <c r="R46" s="126"/>
      <c r="S46" s="126"/>
      <c r="T46" s="126"/>
      <c r="U46" s="126"/>
      <c r="V46" s="126"/>
      <c r="W46" s="126"/>
      <c r="X46" s="126"/>
      <c r="Y46" s="126"/>
      <c r="Z46" s="126"/>
      <c r="AA46" s="126"/>
      <c r="AB46" s="126"/>
      <c r="AC46" s="126"/>
      <c r="AD46" s="126"/>
      <c r="AE46" s="126"/>
      <c r="AF46" s="126"/>
      <c r="AG46" s="126"/>
      <c r="AH46" s="126"/>
      <c r="AI46" s="126"/>
      <c r="AJ46" s="126"/>
    </row>
    <row r="47" spans="1:52" s="14" customFormat="1" ht="11.25" x14ac:dyDescent="0.15">
      <c r="A47" s="127" t="str">
        <f>'Данные объект'!$C$36</f>
        <v>Мастер СРЭС СЭС филиала ПАО "Россети Московский регион" Курчин М.М.</v>
      </c>
      <c r="B47" s="127"/>
      <c r="C47" s="127"/>
      <c r="D47" s="127"/>
      <c r="E47" s="127"/>
      <c r="F47" s="127"/>
      <c r="G47" s="127"/>
      <c r="H47" s="127"/>
      <c r="I47" s="127"/>
      <c r="J47" s="127"/>
      <c r="K47" s="127"/>
      <c r="L47" s="127"/>
      <c r="M47" s="127"/>
      <c r="N47" s="127"/>
      <c r="O47" s="127"/>
      <c r="P47" s="127"/>
      <c r="Q47" s="127"/>
      <c r="R47" s="127"/>
      <c r="S47" s="127"/>
      <c r="T47" s="127"/>
      <c r="U47" s="127"/>
      <c r="V47" s="127"/>
      <c r="W47" s="127"/>
      <c r="X47" s="127"/>
      <c r="Y47" s="127"/>
      <c r="Z47" s="127"/>
      <c r="AA47" s="127"/>
      <c r="AB47" s="127"/>
      <c r="AC47" s="127"/>
      <c r="AD47" s="127"/>
      <c r="AE47" s="127"/>
      <c r="AF47" s="127"/>
      <c r="AG47" s="127"/>
      <c r="AH47" s="127"/>
      <c r="AI47" s="127"/>
      <c r="AJ47" s="127"/>
    </row>
    <row r="48" spans="1:52" s="14" customFormat="1" ht="8.25" x14ac:dyDescent="0.15">
      <c r="A48" s="128" t="s">
        <v>26</v>
      </c>
      <c r="B48" s="129"/>
      <c r="C48" s="129"/>
      <c r="D48" s="129"/>
      <c r="E48" s="129"/>
      <c r="F48" s="129"/>
      <c r="G48" s="129"/>
      <c r="H48" s="129"/>
      <c r="I48" s="129"/>
      <c r="J48" s="129"/>
      <c r="K48" s="129"/>
      <c r="L48" s="129"/>
      <c r="M48" s="129"/>
      <c r="N48" s="129"/>
      <c r="O48" s="129"/>
      <c r="P48" s="129"/>
      <c r="Q48" s="129"/>
      <c r="R48" s="129"/>
      <c r="S48" s="129"/>
      <c r="T48" s="129"/>
      <c r="U48" s="129"/>
      <c r="V48" s="129"/>
      <c r="W48" s="129"/>
      <c r="X48" s="129"/>
      <c r="Y48" s="129"/>
      <c r="Z48" s="129"/>
      <c r="AA48" s="129"/>
      <c r="AB48" s="129"/>
      <c r="AC48" s="129"/>
      <c r="AD48" s="129"/>
      <c r="AE48" s="129"/>
      <c r="AF48" s="129"/>
      <c r="AG48" s="129"/>
      <c r="AH48" s="129"/>
      <c r="AI48" s="129"/>
      <c r="AJ48" s="129"/>
    </row>
    <row r="49" spans="1:36" s="13" customFormat="1" ht="35.25" customHeight="1" x14ac:dyDescent="0.2">
      <c r="A49" s="136" t="s">
        <v>51</v>
      </c>
      <c r="B49" s="136"/>
      <c r="C49" s="136"/>
      <c r="D49" s="136"/>
      <c r="E49" s="136"/>
      <c r="F49" s="136"/>
      <c r="G49" s="136"/>
      <c r="H49" s="136"/>
      <c r="I49" s="136"/>
      <c r="J49" s="136"/>
      <c r="K49" s="136"/>
      <c r="L49" s="136"/>
      <c r="M49" s="136"/>
      <c r="N49" s="136"/>
      <c r="O49" s="136"/>
      <c r="P49" s="136"/>
      <c r="Q49" s="136"/>
      <c r="R49" s="136"/>
      <c r="S49" s="136"/>
      <c r="T49" s="136"/>
      <c r="U49" s="136"/>
      <c r="V49" s="136"/>
      <c r="W49" s="136"/>
      <c r="X49" s="136"/>
      <c r="Y49" s="136"/>
      <c r="Z49" s="136"/>
      <c r="AA49" s="136"/>
      <c r="AB49" s="136"/>
      <c r="AC49" s="136"/>
      <c r="AD49" s="136"/>
      <c r="AE49" s="136"/>
      <c r="AF49" s="136"/>
      <c r="AG49" s="136"/>
      <c r="AH49" s="136"/>
      <c r="AI49" s="136"/>
      <c r="AJ49" s="136"/>
    </row>
    <row r="50" spans="1:36" s="31" customFormat="1" ht="12.95" customHeight="1" x14ac:dyDescent="0.2">
      <c r="A50" s="139" t="s">
        <v>74</v>
      </c>
      <c r="B50" s="139"/>
      <c r="C50" s="139"/>
      <c r="D50" s="139"/>
      <c r="E50" s="139"/>
      <c r="F50" s="139"/>
      <c r="G50" s="139"/>
      <c r="H50" s="139"/>
      <c r="I50" s="139"/>
      <c r="J50" s="139"/>
      <c r="K50" s="139"/>
      <c r="L50" s="139"/>
      <c r="M50" s="139"/>
      <c r="N50" s="139"/>
      <c r="O50" s="139"/>
      <c r="P50" s="139"/>
      <c r="Q50" s="139"/>
      <c r="R50" s="139"/>
      <c r="S50" s="139"/>
      <c r="T50" s="139"/>
      <c r="U50" s="139"/>
      <c r="V50" s="139"/>
      <c r="W50" s="139"/>
      <c r="X50" s="139"/>
      <c r="Y50" s="139"/>
      <c r="Z50" s="139"/>
      <c r="AA50" s="139"/>
      <c r="AB50" s="139"/>
      <c r="AC50" s="139"/>
      <c r="AD50" s="139"/>
      <c r="AE50" s="139"/>
      <c r="AF50" s="139"/>
      <c r="AG50" s="139"/>
      <c r="AH50" s="139"/>
      <c r="AI50" s="139"/>
      <c r="AJ50" s="139"/>
    </row>
    <row r="51" spans="1:36" s="14" customFormat="1" ht="29.25" customHeight="1" x14ac:dyDescent="0.15">
      <c r="A51" s="128" t="s">
        <v>52</v>
      </c>
      <c r="B51" s="129"/>
      <c r="C51" s="129"/>
      <c r="D51" s="129"/>
      <c r="E51" s="129"/>
      <c r="F51" s="129"/>
      <c r="G51" s="129"/>
      <c r="H51" s="129"/>
      <c r="I51" s="129"/>
      <c r="J51" s="129"/>
      <c r="K51" s="129"/>
      <c r="L51" s="129"/>
      <c r="M51" s="129"/>
      <c r="N51" s="129"/>
      <c r="O51" s="129"/>
      <c r="P51" s="129"/>
      <c r="Q51" s="129"/>
      <c r="R51" s="129"/>
      <c r="S51" s="129"/>
      <c r="T51" s="129"/>
      <c r="U51" s="129"/>
      <c r="V51" s="129"/>
      <c r="W51" s="129"/>
      <c r="X51" s="129"/>
      <c r="Y51" s="129"/>
      <c r="Z51" s="129"/>
      <c r="AA51" s="129"/>
      <c r="AB51" s="129"/>
      <c r="AC51" s="129"/>
      <c r="AD51" s="129"/>
      <c r="AE51" s="129"/>
      <c r="AF51" s="129"/>
      <c r="AG51" s="129"/>
      <c r="AH51" s="129"/>
      <c r="AI51" s="129"/>
      <c r="AJ51" s="129"/>
    </row>
    <row r="52" spans="1:36" s="13" customFormat="1" ht="25.5" hidden="1" customHeight="1" x14ac:dyDescent="0.2">
      <c r="A52" s="136" t="s">
        <v>53</v>
      </c>
      <c r="B52" s="136"/>
      <c r="C52" s="136"/>
      <c r="D52" s="136"/>
      <c r="E52" s="136"/>
      <c r="F52" s="136"/>
      <c r="G52" s="136"/>
      <c r="H52" s="136"/>
      <c r="I52" s="136"/>
      <c r="J52" s="136"/>
      <c r="K52" s="136"/>
      <c r="L52" s="136"/>
      <c r="M52" s="136"/>
      <c r="N52" s="136"/>
      <c r="O52" s="136"/>
      <c r="P52" s="136"/>
      <c r="Q52" s="136"/>
      <c r="R52" s="136"/>
      <c r="S52" s="136"/>
      <c r="T52" s="136"/>
      <c r="U52" s="136"/>
      <c r="V52" s="136"/>
      <c r="W52" s="136"/>
      <c r="X52" s="136"/>
      <c r="Y52" s="136"/>
      <c r="Z52" s="136"/>
      <c r="AA52" s="136"/>
      <c r="AB52" s="136"/>
      <c r="AC52" s="136"/>
      <c r="AD52" s="136"/>
      <c r="AE52" s="136"/>
      <c r="AF52" s="136"/>
      <c r="AG52" s="136"/>
      <c r="AH52" s="136"/>
      <c r="AI52" s="136"/>
      <c r="AJ52" s="136"/>
    </row>
    <row r="53" spans="1:36" s="13" customFormat="1" ht="12" hidden="1" customHeight="1" x14ac:dyDescent="0.2">
      <c r="A53" s="127" t="e">
        <f>CONCATENATE(#REF!,", ",#REF!," - ",#REF!)</f>
        <v>#REF!</v>
      </c>
      <c r="B53" s="127"/>
      <c r="C53" s="127"/>
      <c r="D53" s="127"/>
      <c r="E53" s="127"/>
      <c r="F53" s="127"/>
      <c r="G53" s="127"/>
      <c r="H53" s="127"/>
      <c r="I53" s="127"/>
      <c r="J53" s="127"/>
      <c r="K53" s="127"/>
      <c r="L53" s="127"/>
      <c r="M53" s="127"/>
      <c r="N53" s="127"/>
      <c r="O53" s="127"/>
      <c r="P53" s="127"/>
      <c r="Q53" s="127"/>
      <c r="R53" s="127"/>
      <c r="S53" s="127"/>
      <c r="T53" s="127"/>
      <c r="U53" s="127"/>
      <c r="V53" s="127"/>
      <c r="W53" s="127"/>
      <c r="X53" s="127"/>
      <c r="Y53" s="127"/>
      <c r="Z53" s="127"/>
      <c r="AA53" s="127"/>
      <c r="AB53" s="127"/>
      <c r="AC53" s="127"/>
      <c r="AD53" s="127"/>
      <c r="AE53" s="127"/>
      <c r="AF53" s="127"/>
      <c r="AG53" s="127"/>
      <c r="AH53" s="127"/>
      <c r="AI53" s="127"/>
      <c r="AJ53" s="127"/>
    </row>
    <row r="54" spans="1:36" s="14" customFormat="1" ht="9.75" hidden="1" customHeight="1" x14ac:dyDescent="0.15">
      <c r="A54" s="128" t="s">
        <v>29</v>
      </c>
      <c r="B54" s="129"/>
      <c r="C54" s="129"/>
      <c r="D54" s="129"/>
      <c r="E54" s="129"/>
      <c r="F54" s="129"/>
      <c r="G54" s="129"/>
      <c r="H54" s="129"/>
      <c r="I54" s="129"/>
      <c r="J54" s="129"/>
      <c r="K54" s="129"/>
      <c r="L54" s="129"/>
      <c r="M54" s="129"/>
      <c r="N54" s="129"/>
      <c r="O54" s="129"/>
      <c r="P54" s="129"/>
      <c r="Q54" s="129"/>
      <c r="R54" s="129"/>
      <c r="S54" s="129"/>
      <c r="T54" s="129"/>
      <c r="U54" s="129"/>
      <c r="V54" s="129"/>
      <c r="W54" s="129"/>
      <c r="X54" s="129"/>
      <c r="Y54" s="129"/>
      <c r="Z54" s="129"/>
      <c r="AA54" s="129"/>
      <c r="AB54" s="129"/>
      <c r="AC54" s="129"/>
      <c r="AD54" s="129"/>
      <c r="AE54" s="129"/>
      <c r="AF54" s="129"/>
      <c r="AG54" s="129"/>
      <c r="AH54" s="129"/>
      <c r="AI54" s="129"/>
      <c r="AJ54" s="129"/>
    </row>
    <row r="55" spans="1:36" s="13" customFormat="1" ht="12" hidden="1" customHeight="1" x14ac:dyDescent="0.2">
      <c r="A55" s="127"/>
      <c r="B55" s="127"/>
      <c r="C55" s="127"/>
      <c r="D55" s="127"/>
      <c r="E55" s="127"/>
      <c r="F55" s="127"/>
      <c r="G55" s="127"/>
      <c r="H55" s="127"/>
      <c r="I55" s="127"/>
      <c r="J55" s="127"/>
      <c r="K55" s="127"/>
      <c r="L55" s="127"/>
      <c r="M55" s="127"/>
      <c r="N55" s="127"/>
      <c r="O55" s="127"/>
      <c r="P55" s="127"/>
      <c r="Q55" s="127"/>
      <c r="R55" s="127"/>
      <c r="S55" s="127"/>
      <c r="T55" s="127"/>
      <c r="U55" s="127"/>
      <c r="V55" s="127"/>
      <c r="W55" s="127"/>
      <c r="X55" s="127"/>
      <c r="Y55" s="127"/>
      <c r="Z55" s="127"/>
      <c r="AA55" s="127"/>
      <c r="AB55" s="127"/>
      <c r="AC55" s="127"/>
      <c r="AD55" s="127"/>
      <c r="AE55" s="127"/>
      <c r="AF55" s="127"/>
      <c r="AG55" s="127"/>
      <c r="AH55" s="127"/>
      <c r="AI55" s="127"/>
      <c r="AJ55" s="127"/>
    </row>
    <row r="56" spans="1:36" s="14" customFormat="1" ht="16.5" hidden="1" customHeight="1" x14ac:dyDescent="0.15">
      <c r="A56" s="128" t="s">
        <v>54</v>
      </c>
      <c r="B56" s="128"/>
      <c r="C56" s="128"/>
      <c r="D56" s="128"/>
      <c r="E56" s="128"/>
      <c r="F56" s="128"/>
      <c r="G56" s="128"/>
      <c r="H56" s="128"/>
      <c r="I56" s="128"/>
      <c r="J56" s="128"/>
      <c r="K56" s="128"/>
      <c r="L56" s="128"/>
      <c r="M56" s="128"/>
      <c r="N56" s="128"/>
      <c r="O56" s="128"/>
      <c r="P56" s="128"/>
      <c r="Q56" s="128"/>
      <c r="R56" s="128"/>
      <c r="S56" s="128"/>
      <c r="T56" s="128"/>
      <c r="U56" s="128"/>
      <c r="V56" s="128"/>
      <c r="W56" s="128"/>
      <c r="X56" s="128"/>
      <c r="Y56" s="128"/>
      <c r="Z56" s="128"/>
      <c r="AA56" s="128"/>
      <c r="AB56" s="128"/>
      <c r="AC56" s="128"/>
      <c r="AD56" s="128"/>
      <c r="AE56" s="128"/>
      <c r="AF56" s="128"/>
      <c r="AG56" s="128"/>
      <c r="AH56" s="128"/>
      <c r="AI56" s="128"/>
      <c r="AJ56" s="128"/>
    </row>
    <row r="57" spans="1:36" s="13" customFormat="1" ht="12" customHeight="1" x14ac:dyDescent="0.2">
      <c r="A57" s="13" t="s">
        <v>16</v>
      </c>
    </row>
    <row r="58" spans="1:36" s="13" customFormat="1" ht="12.95" customHeight="1" x14ac:dyDescent="0.2">
      <c r="A58" s="130" t="str">
        <f>'Данные объект'!B11</f>
        <v>ООО"Энергосистемы"</v>
      </c>
      <c r="B58" s="130"/>
      <c r="C58" s="130"/>
      <c r="D58" s="130"/>
      <c r="E58" s="130"/>
      <c r="F58" s="130"/>
      <c r="G58" s="130"/>
      <c r="H58" s="130"/>
      <c r="I58" s="130"/>
      <c r="J58" s="130"/>
      <c r="K58" s="130"/>
      <c r="L58" s="130"/>
      <c r="M58" s="130"/>
      <c r="N58" s="130"/>
      <c r="O58" s="130"/>
      <c r="P58" s="130"/>
      <c r="Q58" s="130"/>
      <c r="R58" s="130"/>
      <c r="S58" s="130"/>
      <c r="T58" s="130"/>
      <c r="U58" s="130"/>
      <c r="V58" s="130"/>
      <c r="W58" s="130"/>
      <c r="X58" s="130"/>
      <c r="Y58" s="130"/>
      <c r="Z58" s="130"/>
      <c r="AA58" s="130"/>
      <c r="AB58" s="130"/>
      <c r="AC58" s="130"/>
      <c r="AD58" s="130"/>
      <c r="AE58" s="130"/>
      <c r="AF58" s="130"/>
      <c r="AG58" s="130"/>
      <c r="AH58" s="130"/>
      <c r="AI58" s="130"/>
      <c r="AJ58" s="130"/>
    </row>
    <row r="59" spans="1:36" s="14" customFormat="1" ht="10.5" customHeight="1" x14ac:dyDescent="0.15">
      <c r="A59" s="134" t="s">
        <v>38</v>
      </c>
      <c r="B59" s="134"/>
      <c r="C59" s="134"/>
      <c r="D59" s="134"/>
      <c r="E59" s="134"/>
      <c r="F59" s="134"/>
      <c r="G59" s="134"/>
      <c r="H59" s="134"/>
      <c r="I59" s="134"/>
      <c r="J59" s="134"/>
      <c r="K59" s="134"/>
      <c r="L59" s="134"/>
      <c r="M59" s="134"/>
      <c r="N59" s="134"/>
      <c r="O59" s="134"/>
      <c r="P59" s="134"/>
      <c r="Q59" s="134"/>
      <c r="R59" s="134"/>
      <c r="S59" s="134"/>
      <c r="T59" s="134"/>
      <c r="U59" s="134"/>
      <c r="V59" s="134"/>
      <c r="W59" s="134"/>
      <c r="X59" s="134"/>
      <c r="Y59" s="134"/>
      <c r="Z59" s="134"/>
      <c r="AA59" s="134"/>
      <c r="AB59" s="134"/>
      <c r="AC59" s="134"/>
      <c r="AD59" s="134"/>
      <c r="AE59" s="134"/>
      <c r="AF59" s="134"/>
      <c r="AG59" s="134"/>
      <c r="AH59" s="134"/>
      <c r="AI59" s="134"/>
      <c r="AJ59" s="134"/>
    </row>
    <row r="60" spans="1:36" s="13" customFormat="1" ht="12" customHeight="1" x14ac:dyDescent="0.2">
      <c r="A60" s="13" t="s">
        <v>15</v>
      </c>
    </row>
    <row r="61" spans="1:36" s="13" customFormat="1" ht="12" customHeight="1" x14ac:dyDescent="0.2">
      <c r="A61" s="13" t="s">
        <v>30</v>
      </c>
    </row>
    <row r="62" spans="1:36" s="13" customFormat="1" ht="12" customHeight="1" x14ac:dyDescent="0.2">
      <c r="A62" s="140" t="s">
        <v>164</v>
      </c>
      <c r="B62" s="140"/>
      <c r="C62" s="140"/>
      <c r="D62" s="140"/>
      <c r="E62" s="140"/>
      <c r="F62" s="140"/>
      <c r="G62" s="140"/>
      <c r="H62" s="140"/>
      <c r="I62" s="140"/>
      <c r="J62" s="140"/>
      <c r="K62" s="140"/>
      <c r="L62" s="140"/>
      <c r="M62" s="140"/>
      <c r="N62" s="140"/>
      <c r="O62" s="138" t="s">
        <v>155</v>
      </c>
      <c r="P62" s="138"/>
      <c r="Q62" s="138"/>
      <c r="R62" s="97"/>
      <c r="S62" s="138">
        <f>60.17+1.93+3.6</f>
        <v>65.7</v>
      </c>
      <c r="T62" s="138"/>
      <c r="U62" s="138" t="s">
        <v>82</v>
      </c>
      <c r="V62" s="138"/>
      <c r="W62" s="141"/>
      <c r="X62" s="141"/>
      <c r="Y62" s="141"/>
      <c r="Z62" s="141"/>
      <c r="AA62" s="141"/>
      <c r="AB62" s="72"/>
      <c r="AC62" s="141"/>
      <c r="AD62" s="141"/>
      <c r="AE62" s="141"/>
      <c r="AF62" s="141"/>
      <c r="AG62" s="141"/>
      <c r="AH62" s="70"/>
      <c r="AI62" s="70"/>
      <c r="AJ62" s="70"/>
    </row>
    <row r="63" spans="1:36" s="14" customFormat="1" ht="8.25" customHeight="1" x14ac:dyDescent="0.15">
      <c r="A63" s="128" t="s">
        <v>14</v>
      </c>
      <c r="B63" s="129"/>
      <c r="C63" s="129"/>
      <c r="D63" s="129"/>
      <c r="E63" s="129"/>
      <c r="F63" s="129"/>
      <c r="G63" s="129"/>
      <c r="H63" s="129"/>
      <c r="I63" s="129"/>
      <c r="J63" s="129"/>
      <c r="K63" s="129"/>
      <c r="L63" s="129"/>
      <c r="M63" s="129"/>
      <c r="N63" s="129"/>
      <c r="O63" s="129"/>
      <c r="P63" s="129"/>
      <c r="Q63" s="129"/>
      <c r="R63" s="129"/>
      <c r="S63" s="129"/>
      <c r="T63" s="129"/>
      <c r="U63" s="129"/>
      <c r="V63" s="129"/>
      <c r="W63" s="129"/>
      <c r="X63" s="129"/>
      <c r="Y63" s="129"/>
      <c r="Z63" s="129"/>
      <c r="AA63" s="129"/>
      <c r="AB63" s="129"/>
      <c r="AC63" s="129"/>
      <c r="AD63" s="129"/>
      <c r="AE63" s="129"/>
      <c r="AF63" s="129"/>
      <c r="AG63" s="129"/>
      <c r="AH63" s="129"/>
      <c r="AI63" s="129"/>
      <c r="AJ63" s="129"/>
    </row>
    <row r="64" spans="1:36" s="13" customFormat="1" ht="12" customHeight="1" x14ac:dyDescent="0.2">
      <c r="A64" s="13" t="s">
        <v>13</v>
      </c>
    </row>
    <row r="65" spans="1:36" s="13" customFormat="1" ht="12" customHeight="1" x14ac:dyDescent="0.2">
      <c r="A65" s="127" t="str">
        <f>'Данные объект'!B43</f>
        <v>4609-305042-221-10/24</v>
      </c>
      <c r="B65" s="127"/>
      <c r="C65" s="127"/>
      <c r="D65" s="127"/>
      <c r="E65" s="127"/>
      <c r="F65" s="127"/>
      <c r="G65" s="127"/>
      <c r="H65" s="127"/>
      <c r="I65" s="127"/>
      <c r="J65" s="127"/>
      <c r="K65" s="127"/>
      <c r="L65" s="127"/>
      <c r="M65" s="127"/>
      <c r="N65" s="127"/>
      <c r="O65" s="127"/>
      <c r="P65" s="127"/>
      <c r="Q65" s="127"/>
      <c r="R65" s="127"/>
      <c r="S65" s="127"/>
      <c r="T65" s="127"/>
      <c r="U65" s="127"/>
      <c r="V65" s="127"/>
      <c r="W65" s="127"/>
      <c r="X65" s="127"/>
      <c r="Y65" s="127"/>
      <c r="Z65" s="127"/>
      <c r="AA65" s="127"/>
      <c r="AB65" s="127"/>
      <c r="AC65" s="127"/>
      <c r="AD65" s="127"/>
      <c r="AE65" s="127"/>
      <c r="AF65" s="127"/>
      <c r="AG65" s="127"/>
      <c r="AH65" s="127"/>
      <c r="AI65" s="127"/>
      <c r="AJ65" s="127"/>
    </row>
    <row r="66" spans="1:36" s="14" customFormat="1" ht="15" customHeight="1" x14ac:dyDescent="0.15">
      <c r="A66" s="128" t="s">
        <v>39</v>
      </c>
      <c r="B66" s="129"/>
      <c r="C66" s="129"/>
      <c r="D66" s="129"/>
      <c r="E66" s="129"/>
      <c r="F66" s="129"/>
      <c r="G66" s="129"/>
      <c r="H66" s="129"/>
      <c r="I66" s="129"/>
      <c r="J66" s="129"/>
      <c r="K66" s="129"/>
      <c r="L66" s="129"/>
      <c r="M66" s="129"/>
      <c r="N66" s="129"/>
      <c r="O66" s="129"/>
      <c r="P66" s="129"/>
      <c r="Q66" s="129"/>
      <c r="R66" s="129"/>
      <c r="S66" s="129"/>
      <c r="T66" s="129"/>
      <c r="U66" s="129"/>
      <c r="V66" s="129"/>
      <c r="W66" s="129"/>
      <c r="X66" s="129"/>
      <c r="Y66" s="129"/>
      <c r="Z66" s="129"/>
      <c r="AA66" s="129"/>
      <c r="AB66" s="129"/>
      <c r="AC66" s="129"/>
      <c r="AD66" s="129"/>
      <c r="AE66" s="129"/>
      <c r="AF66" s="129"/>
      <c r="AG66" s="129"/>
      <c r="AH66" s="129"/>
      <c r="AI66" s="129"/>
      <c r="AJ66" s="129"/>
    </row>
    <row r="67" spans="1:36" s="13" customFormat="1" ht="12" customHeight="1" x14ac:dyDescent="0.2">
      <c r="A67" s="13" t="s">
        <v>12</v>
      </c>
      <c r="P67" s="130"/>
      <c r="Q67" s="130"/>
      <c r="R67" s="130"/>
      <c r="S67" s="130"/>
      <c r="T67" s="130"/>
      <c r="U67" s="130"/>
      <c r="V67" s="130"/>
      <c r="W67" s="130"/>
      <c r="X67" s="130"/>
      <c r="Y67" s="130"/>
      <c r="Z67" s="130"/>
      <c r="AA67" s="130"/>
      <c r="AB67" s="130"/>
      <c r="AC67" s="130"/>
      <c r="AD67" s="130"/>
      <c r="AE67" s="130"/>
      <c r="AF67" s="130"/>
      <c r="AG67" s="130"/>
      <c r="AH67" s="130"/>
      <c r="AI67" s="130"/>
      <c r="AJ67" s="130"/>
    </row>
    <row r="68" spans="1:36" s="18" customFormat="1" ht="7.5" customHeight="1" x14ac:dyDescent="0.15">
      <c r="A68" s="19"/>
      <c r="B68" s="19"/>
      <c r="C68" s="19"/>
      <c r="D68" s="19"/>
      <c r="E68" s="19"/>
      <c r="F68" s="19"/>
      <c r="G68" s="19"/>
      <c r="H68" s="19"/>
      <c r="I68" s="19"/>
      <c r="J68" s="19"/>
      <c r="K68" s="19"/>
      <c r="L68" s="19"/>
      <c r="M68" s="19"/>
      <c r="N68" s="19"/>
      <c r="O68" s="19"/>
      <c r="P68" s="135" t="s">
        <v>55</v>
      </c>
      <c r="Q68" s="135"/>
      <c r="R68" s="135"/>
      <c r="S68" s="135"/>
      <c r="T68" s="135"/>
      <c r="U68" s="135"/>
      <c r="V68" s="135"/>
      <c r="W68" s="135"/>
      <c r="X68" s="135"/>
      <c r="Y68" s="135"/>
      <c r="Z68" s="135"/>
      <c r="AA68" s="135"/>
      <c r="AB68" s="135"/>
      <c r="AC68" s="135"/>
      <c r="AD68" s="135"/>
      <c r="AE68" s="135"/>
      <c r="AF68" s="135"/>
      <c r="AG68" s="135"/>
      <c r="AH68" s="135"/>
      <c r="AI68" s="135"/>
      <c r="AJ68" s="135"/>
    </row>
    <row r="69" spans="1:36" s="13" customFormat="1" ht="12" customHeight="1" x14ac:dyDescent="0.2">
      <c r="A69" s="127"/>
      <c r="B69" s="127"/>
      <c r="C69" s="127"/>
      <c r="D69" s="127"/>
      <c r="E69" s="127"/>
      <c r="F69" s="127"/>
      <c r="G69" s="127"/>
      <c r="H69" s="127"/>
      <c r="I69" s="127"/>
      <c r="J69" s="127"/>
      <c r="K69" s="127"/>
      <c r="L69" s="127"/>
      <c r="M69" s="127"/>
      <c r="N69" s="127"/>
      <c r="O69" s="127"/>
      <c r="P69" s="127"/>
      <c r="Q69" s="127"/>
      <c r="R69" s="127"/>
      <c r="S69" s="127"/>
      <c r="T69" s="127"/>
      <c r="U69" s="127"/>
      <c r="V69" s="127"/>
      <c r="W69" s="127"/>
      <c r="X69" s="127"/>
      <c r="Y69" s="127"/>
      <c r="Z69" s="127"/>
      <c r="AA69" s="127"/>
      <c r="AB69" s="127"/>
      <c r="AC69" s="127"/>
      <c r="AD69" s="127"/>
      <c r="AE69" s="127"/>
      <c r="AF69" s="127"/>
      <c r="AG69" s="127"/>
      <c r="AH69" s="127"/>
      <c r="AI69" s="127"/>
      <c r="AJ69" s="127"/>
    </row>
    <row r="70" spans="1:36" s="14" customFormat="1" ht="18.75" customHeight="1" x14ac:dyDescent="0.15">
      <c r="A70" s="128" t="s">
        <v>56</v>
      </c>
      <c r="B70" s="129"/>
      <c r="C70" s="129"/>
      <c r="D70" s="129"/>
      <c r="E70" s="129"/>
      <c r="F70" s="129"/>
      <c r="G70" s="129"/>
      <c r="H70" s="129"/>
      <c r="I70" s="129"/>
      <c r="J70" s="129"/>
      <c r="K70" s="129"/>
      <c r="L70" s="129"/>
      <c r="M70" s="129"/>
      <c r="N70" s="129"/>
      <c r="O70" s="129"/>
      <c r="P70" s="129"/>
      <c r="Q70" s="129"/>
      <c r="R70" s="129"/>
      <c r="S70" s="129"/>
      <c r="T70" s="129"/>
      <c r="U70" s="129"/>
      <c r="V70" s="129"/>
      <c r="W70" s="129"/>
      <c r="X70" s="129"/>
      <c r="Y70" s="129"/>
      <c r="Z70" s="129"/>
      <c r="AA70" s="129"/>
      <c r="AB70" s="129"/>
      <c r="AC70" s="129"/>
      <c r="AD70" s="129"/>
      <c r="AE70" s="129"/>
      <c r="AF70" s="129"/>
      <c r="AG70" s="129"/>
      <c r="AH70" s="129"/>
      <c r="AI70" s="129"/>
      <c r="AJ70" s="129"/>
    </row>
    <row r="71" spans="1:36" s="13" customFormat="1" ht="12" customHeight="1" x14ac:dyDescent="0.2">
      <c r="A71" s="13" t="s">
        <v>11</v>
      </c>
    </row>
    <row r="72" spans="1:36" s="13" customFormat="1" ht="12" customHeight="1" x14ac:dyDescent="0.2">
      <c r="A72" s="13" t="s">
        <v>10</v>
      </c>
      <c r="G72" s="130" t="s">
        <v>89</v>
      </c>
      <c r="H72" s="130"/>
      <c r="I72" s="130"/>
      <c r="J72" s="130"/>
      <c r="K72" s="130"/>
      <c r="L72" s="130"/>
      <c r="M72" s="130"/>
      <c r="N72" s="130"/>
      <c r="O72" s="130"/>
      <c r="P72" s="130"/>
      <c r="Q72" s="130"/>
      <c r="R72" s="130"/>
      <c r="S72" s="130"/>
      <c r="T72" s="130"/>
      <c r="U72" s="130"/>
      <c r="V72" s="130"/>
      <c r="W72" s="130"/>
      <c r="X72" s="130"/>
      <c r="Y72" s="130"/>
      <c r="Z72" s="130"/>
      <c r="AA72" s="130"/>
      <c r="AB72" s="130"/>
      <c r="AC72" s="130"/>
      <c r="AD72" s="130"/>
      <c r="AE72" s="130"/>
      <c r="AF72" s="130"/>
      <c r="AG72" s="130"/>
      <c r="AH72" s="130"/>
      <c r="AI72" s="130"/>
      <c r="AJ72" s="130"/>
    </row>
    <row r="73" spans="1:36" s="14" customFormat="1" ht="7.5" customHeight="1" x14ac:dyDescent="0.15">
      <c r="A73" s="133"/>
      <c r="B73" s="133"/>
      <c r="C73" s="20"/>
      <c r="D73" s="20"/>
      <c r="E73" s="20"/>
      <c r="F73" s="20"/>
      <c r="G73" s="129" t="s">
        <v>9</v>
      </c>
      <c r="H73" s="129"/>
      <c r="I73" s="129"/>
      <c r="J73" s="129"/>
      <c r="K73" s="129"/>
      <c r="L73" s="129"/>
      <c r="M73" s="129"/>
      <c r="N73" s="129"/>
      <c r="O73" s="129"/>
      <c r="P73" s="129"/>
      <c r="Q73" s="129"/>
      <c r="R73" s="129"/>
      <c r="S73" s="129"/>
      <c r="T73" s="129"/>
      <c r="U73" s="129"/>
      <c r="V73" s="129"/>
      <c r="W73" s="129"/>
      <c r="X73" s="129"/>
      <c r="Y73" s="129"/>
      <c r="Z73" s="129"/>
      <c r="AA73" s="129"/>
      <c r="AB73" s="129"/>
      <c r="AC73" s="129"/>
      <c r="AD73" s="129"/>
      <c r="AE73" s="129"/>
      <c r="AF73" s="129"/>
      <c r="AG73" s="129"/>
      <c r="AH73" s="129"/>
      <c r="AI73" s="129"/>
      <c r="AJ73" s="129"/>
    </row>
    <row r="74" spans="1:36" s="13" customFormat="1" ht="12" customHeight="1" x14ac:dyDescent="0.2">
      <c r="A74" s="130"/>
      <c r="B74" s="130"/>
      <c r="C74" s="130"/>
      <c r="D74" s="130"/>
      <c r="E74" s="130"/>
      <c r="F74" s="130"/>
      <c r="G74" s="130"/>
      <c r="H74" s="130"/>
      <c r="I74" s="130"/>
      <c r="J74" s="130"/>
      <c r="K74" s="130"/>
      <c r="L74" s="130"/>
      <c r="M74" s="130"/>
      <c r="N74" s="130"/>
      <c r="O74" s="130"/>
      <c r="P74" s="130"/>
      <c r="Q74" s="130"/>
      <c r="R74" s="130"/>
      <c r="S74" s="130"/>
      <c r="T74" s="130"/>
      <c r="U74" s="130"/>
      <c r="V74" s="130"/>
      <c r="W74" s="130"/>
      <c r="X74" s="130"/>
      <c r="Y74" s="130"/>
      <c r="Z74" s="130"/>
      <c r="AA74" s="130"/>
      <c r="AB74" s="130"/>
      <c r="AC74" s="130"/>
      <c r="AD74" s="130"/>
      <c r="AE74" s="130"/>
      <c r="AF74" s="130"/>
      <c r="AG74" s="130"/>
      <c r="AH74" s="130"/>
      <c r="AI74" s="130"/>
      <c r="AJ74" s="130"/>
    </row>
    <row r="75" spans="1:36" s="14" customFormat="1" ht="7.5" customHeight="1" x14ac:dyDescent="0.15">
      <c r="A75" s="128" t="s">
        <v>31</v>
      </c>
      <c r="B75" s="129"/>
      <c r="C75" s="129"/>
      <c r="D75" s="129"/>
      <c r="E75" s="129"/>
      <c r="F75" s="129"/>
      <c r="G75" s="129"/>
      <c r="H75" s="129"/>
      <c r="I75" s="129"/>
      <c r="J75" s="129"/>
      <c r="K75" s="129"/>
      <c r="L75" s="129"/>
      <c r="M75" s="129"/>
      <c r="N75" s="129"/>
      <c r="O75" s="129"/>
      <c r="P75" s="129"/>
      <c r="Q75" s="129"/>
      <c r="R75" s="129"/>
      <c r="S75" s="129"/>
      <c r="T75" s="129"/>
      <c r="U75" s="129"/>
      <c r="V75" s="129"/>
      <c r="W75" s="129"/>
      <c r="X75" s="129"/>
      <c r="Y75" s="129"/>
      <c r="Z75" s="129"/>
      <c r="AA75" s="129"/>
      <c r="AB75" s="129"/>
      <c r="AC75" s="129"/>
      <c r="AD75" s="129"/>
      <c r="AE75" s="129"/>
      <c r="AF75" s="129"/>
      <c r="AG75" s="129"/>
      <c r="AH75" s="129"/>
      <c r="AI75" s="129"/>
      <c r="AJ75" s="129"/>
    </row>
    <row r="76" spans="1:36" ht="9" customHeight="1" x14ac:dyDescent="0.25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9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  <c r="AC76" s="8"/>
      <c r="AD76" s="8"/>
      <c r="AE76" s="8"/>
      <c r="AF76" s="8"/>
      <c r="AG76" s="8"/>
      <c r="AH76" s="8"/>
      <c r="AI76" s="8"/>
      <c r="AJ76" s="8"/>
    </row>
    <row r="77" spans="1:36" s="13" customFormat="1" ht="12" customHeight="1" x14ac:dyDescent="0.2">
      <c r="A77" s="13" t="s">
        <v>8</v>
      </c>
      <c r="D77" s="28"/>
      <c r="E77" s="28"/>
      <c r="F77" s="28"/>
      <c r="G77" s="28"/>
      <c r="L77" s="21"/>
      <c r="M77" s="32"/>
      <c r="N77" s="32"/>
      <c r="P77" s="131">
        <f>'Данные объект'!B6</f>
        <v>45695</v>
      </c>
      <c r="Q77" s="131"/>
      <c r="R77" s="131"/>
      <c r="S77" s="131"/>
      <c r="T77" s="131"/>
      <c r="U77" s="131"/>
      <c r="V77" s="131"/>
      <c r="W77" s="131"/>
      <c r="X77" s="13" t="s">
        <v>6</v>
      </c>
    </row>
    <row r="78" spans="1:36" s="13" customFormat="1" ht="12" customHeight="1" x14ac:dyDescent="0.2">
      <c r="A78" s="13" t="s">
        <v>7</v>
      </c>
      <c r="D78" s="28"/>
      <c r="E78" s="28"/>
      <c r="F78" s="28"/>
      <c r="G78" s="28"/>
      <c r="L78" s="21"/>
      <c r="M78" s="32"/>
      <c r="N78" s="32"/>
      <c r="P78" s="132">
        <f>'Данные объект'!B7</f>
        <v>45819</v>
      </c>
      <c r="Q78" s="132"/>
      <c r="R78" s="132"/>
      <c r="S78" s="132"/>
      <c r="T78" s="132"/>
      <c r="U78" s="132"/>
      <c r="V78" s="132"/>
      <c r="W78" s="132"/>
      <c r="X78" s="13" t="s">
        <v>6</v>
      </c>
    </row>
    <row r="79" spans="1:36" ht="7.5" customHeight="1" x14ac:dyDescent="0.25">
      <c r="A79" s="7"/>
      <c r="B79" s="7"/>
      <c r="C79" s="7"/>
      <c r="D79" s="10"/>
      <c r="E79" s="10"/>
      <c r="F79" s="10"/>
      <c r="G79" s="10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</row>
    <row r="80" spans="1:36" s="13" customFormat="1" ht="12" customHeight="1" x14ac:dyDescent="0.2">
      <c r="A80" s="13" t="s">
        <v>5</v>
      </c>
    </row>
    <row r="81" spans="1:36" s="13" customFormat="1" ht="12" customHeight="1" x14ac:dyDescent="0.2">
      <c r="A81" s="137" t="s">
        <v>103</v>
      </c>
      <c r="B81" s="137"/>
      <c r="C81" s="137"/>
      <c r="D81" s="137"/>
      <c r="E81" s="137"/>
      <c r="F81" s="137"/>
      <c r="G81" s="137"/>
      <c r="H81" s="137"/>
      <c r="I81" s="137"/>
      <c r="J81" s="137"/>
      <c r="K81" s="137"/>
      <c r="L81" s="137"/>
      <c r="M81" s="137"/>
      <c r="N81" s="137"/>
      <c r="O81" s="137"/>
      <c r="P81" s="137"/>
      <c r="Q81" s="137"/>
      <c r="R81" s="137"/>
      <c r="S81" s="137"/>
      <c r="T81" s="137"/>
      <c r="U81" s="137"/>
      <c r="V81" s="137"/>
      <c r="W81" s="137"/>
      <c r="X81" s="137"/>
      <c r="Y81" s="137"/>
      <c r="Z81" s="137"/>
      <c r="AA81" s="137"/>
      <c r="AB81" s="137"/>
      <c r="AC81" s="137"/>
      <c r="AD81" s="137"/>
      <c r="AE81" s="137"/>
      <c r="AF81" s="137"/>
      <c r="AG81" s="137"/>
      <c r="AH81" s="137"/>
      <c r="AI81" s="137"/>
      <c r="AJ81" s="137"/>
    </row>
    <row r="82" spans="1:36" s="14" customFormat="1" ht="8.25" customHeight="1" x14ac:dyDescent="0.15">
      <c r="A82" s="128" t="s">
        <v>4</v>
      </c>
      <c r="B82" s="129"/>
      <c r="C82" s="129"/>
      <c r="D82" s="129"/>
      <c r="E82" s="129"/>
      <c r="F82" s="129"/>
      <c r="G82" s="129"/>
      <c r="H82" s="129"/>
      <c r="I82" s="129"/>
      <c r="J82" s="129"/>
      <c r="K82" s="129"/>
      <c r="L82" s="129"/>
      <c r="M82" s="129"/>
      <c r="N82" s="129"/>
      <c r="O82" s="129"/>
      <c r="P82" s="129"/>
      <c r="Q82" s="129"/>
      <c r="R82" s="129"/>
      <c r="S82" s="129"/>
      <c r="T82" s="129"/>
      <c r="U82" s="129"/>
      <c r="V82" s="129"/>
      <c r="W82" s="129"/>
      <c r="X82" s="129"/>
      <c r="Y82" s="129"/>
      <c r="Z82" s="129"/>
      <c r="AA82" s="129"/>
      <c r="AB82" s="129"/>
      <c r="AC82" s="129"/>
      <c r="AD82" s="129"/>
      <c r="AE82" s="129"/>
      <c r="AF82" s="129"/>
      <c r="AG82" s="129"/>
      <c r="AH82" s="129"/>
      <c r="AI82" s="129"/>
      <c r="AJ82" s="129"/>
    </row>
    <row r="83" spans="1:36" s="13" customFormat="1" ht="12" customHeight="1" x14ac:dyDescent="0.2">
      <c r="A83" s="130"/>
      <c r="B83" s="130"/>
      <c r="C83" s="130"/>
      <c r="D83" s="130"/>
      <c r="E83" s="130"/>
      <c r="F83" s="130"/>
      <c r="G83" s="130"/>
      <c r="H83" s="130"/>
      <c r="I83" s="130"/>
      <c r="J83" s="130"/>
      <c r="K83" s="130"/>
      <c r="L83" s="130"/>
      <c r="M83" s="130"/>
      <c r="N83" s="130"/>
      <c r="O83" s="130"/>
      <c r="P83" s="130"/>
      <c r="Q83" s="130"/>
      <c r="R83" s="130"/>
      <c r="S83" s="130"/>
      <c r="T83" s="130"/>
      <c r="U83" s="130"/>
      <c r="V83" s="130"/>
      <c r="W83" s="130"/>
      <c r="X83" s="130"/>
      <c r="Y83" s="130"/>
      <c r="Z83" s="130"/>
      <c r="AA83" s="130"/>
      <c r="AB83" s="130"/>
      <c r="AC83" s="130"/>
      <c r="AD83" s="130"/>
      <c r="AE83" s="130"/>
      <c r="AF83" s="130"/>
      <c r="AG83" s="130"/>
      <c r="AH83" s="130"/>
      <c r="AI83" s="130"/>
      <c r="AJ83" s="130"/>
    </row>
    <row r="84" spans="1:36" s="14" customFormat="1" ht="8.25" customHeight="1" x14ac:dyDescent="0.15">
      <c r="A84" s="128" t="s">
        <v>57</v>
      </c>
      <c r="B84" s="129"/>
      <c r="C84" s="129"/>
      <c r="D84" s="129"/>
      <c r="E84" s="129"/>
      <c r="F84" s="129"/>
      <c r="G84" s="129"/>
      <c r="H84" s="129"/>
      <c r="I84" s="129"/>
      <c r="J84" s="129"/>
      <c r="K84" s="129"/>
      <c r="L84" s="129"/>
      <c r="M84" s="129"/>
      <c r="N84" s="129"/>
      <c r="O84" s="129"/>
      <c r="P84" s="129"/>
      <c r="Q84" s="129"/>
      <c r="R84" s="129"/>
      <c r="S84" s="129"/>
      <c r="T84" s="129"/>
      <c r="U84" s="129"/>
      <c r="V84" s="129"/>
      <c r="W84" s="129"/>
      <c r="X84" s="129"/>
      <c r="Y84" s="129"/>
      <c r="Z84" s="129"/>
      <c r="AA84" s="129"/>
      <c r="AB84" s="129"/>
      <c r="AC84" s="129"/>
      <c r="AD84" s="129"/>
      <c r="AE84" s="129"/>
      <c r="AF84" s="129"/>
      <c r="AG84" s="129"/>
      <c r="AH84" s="129"/>
      <c r="AI84" s="129"/>
      <c r="AJ84" s="129"/>
    </row>
    <row r="85" spans="1:36" s="13" customFormat="1" ht="12" customHeight="1" x14ac:dyDescent="0.2">
      <c r="A85" s="13" t="s">
        <v>3</v>
      </c>
    </row>
    <row r="86" spans="1:36" s="13" customFormat="1" ht="12" customHeight="1" x14ac:dyDescent="0.2">
      <c r="A86" s="130" t="s">
        <v>90</v>
      </c>
      <c r="B86" s="130"/>
      <c r="C86" s="130"/>
      <c r="D86" s="130"/>
      <c r="E86" s="130"/>
      <c r="F86" s="130"/>
      <c r="G86" s="130"/>
      <c r="H86" s="130"/>
      <c r="I86" s="130"/>
      <c r="J86" s="130"/>
      <c r="K86" s="130"/>
      <c r="L86" s="130"/>
      <c r="M86" s="130"/>
      <c r="N86" s="130"/>
      <c r="O86" s="130"/>
      <c r="P86" s="130"/>
      <c r="Q86" s="130"/>
      <c r="R86" s="130"/>
      <c r="S86" s="130"/>
      <c r="T86" s="130"/>
      <c r="U86" s="130"/>
      <c r="V86" s="130"/>
      <c r="W86" s="130"/>
      <c r="X86" s="130"/>
      <c r="Y86" s="130"/>
      <c r="Z86" s="130"/>
      <c r="AA86" s="130"/>
      <c r="AB86" s="130"/>
      <c r="AC86" s="130"/>
      <c r="AD86" s="130"/>
      <c r="AE86" s="130"/>
      <c r="AF86" s="130"/>
      <c r="AG86" s="130"/>
      <c r="AH86" s="130"/>
      <c r="AI86" s="130"/>
      <c r="AJ86" s="130"/>
    </row>
    <row r="87" spans="1:36" s="14" customFormat="1" ht="9" customHeight="1" x14ac:dyDescent="0.15">
      <c r="A87" s="128" t="s">
        <v>32</v>
      </c>
      <c r="B87" s="129"/>
      <c r="C87" s="129"/>
      <c r="D87" s="129"/>
      <c r="E87" s="129"/>
      <c r="F87" s="129"/>
      <c r="G87" s="129"/>
      <c r="H87" s="129"/>
      <c r="I87" s="129"/>
      <c r="J87" s="129"/>
      <c r="K87" s="129"/>
      <c r="L87" s="129"/>
      <c r="M87" s="129"/>
      <c r="N87" s="129"/>
      <c r="O87" s="129"/>
      <c r="P87" s="129"/>
      <c r="Q87" s="129"/>
      <c r="R87" s="129"/>
      <c r="S87" s="129"/>
      <c r="T87" s="129"/>
      <c r="U87" s="129"/>
      <c r="V87" s="129"/>
      <c r="W87" s="129"/>
      <c r="X87" s="129"/>
      <c r="Y87" s="129"/>
      <c r="Z87" s="129"/>
      <c r="AA87" s="129"/>
      <c r="AB87" s="129"/>
      <c r="AC87" s="129"/>
      <c r="AD87" s="129"/>
      <c r="AE87" s="129"/>
      <c r="AF87" s="129"/>
      <c r="AG87" s="129"/>
      <c r="AH87" s="129"/>
      <c r="AI87" s="129"/>
      <c r="AJ87" s="129"/>
    </row>
    <row r="88" spans="1:36" s="13" customFormat="1" ht="12" customHeight="1" x14ac:dyDescent="0.2">
      <c r="A88" s="13" t="s">
        <v>2</v>
      </c>
      <c r="L88" s="130"/>
      <c r="M88" s="130"/>
      <c r="N88" s="130"/>
      <c r="O88" s="130"/>
      <c r="P88" s="130"/>
      <c r="Q88" s="130"/>
      <c r="R88" s="130"/>
      <c r="S88" s="130"/>
      <c r="T88" s="130"/>
      <c r="U88" s="130"/>
      <c r="V88" s="130"/>
      <c r="W88" s="130"/>
      <c r="X88" s="130"/>
      <c r="Y88" s="130"/>
      <c r="Z88" s="130"/>
      <c r="AA88" s="130"/>
      <c r="AB88" s="130"/>
      <c r="AC88" s="130"/>
      <c r="AD88" s="130"/>
      <c r="AE88" s="130"/>
      <c r="AF88" s="130"/>
      <c r="AG88" s="130"/>
      <c r="AH88" s="130"/>
      <c r="AI88" s="130"/>
      <c r="AJ88" s="130"/>
    </row>
    <row r="89" spans="1:36" ht="6" customHeight="1" x14ac:dyDescent="0.25">
      <c r="A89" s="4"/>
      <c r="B89" s="4"/>
      <c r="C89" s="4"/>
      <c r="D89" s="11"/>
      <c r="E89" s="11"/>
      <c r="F89" s="11"/>
      <c r="G89" s="11"/>
      <c r="H89" s="11"/>
      <c r="I89" s="11"/>
      <c r="J89" s="11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</row>
    <row r="90" spans="1:36" s="13" customFormat="1" ht="12" customHeight="1" x14ac:dyDescent="0.2">
      <c r="A90" s="13" t="s">
        <v>87</v>
      </c>
      <c r="H90" s="130"/>
      <c r="I90" s="130"/>
      <c r="J90" s="13" t="s">
        <v>33</v>
      </c>
    </row>
    <row r="91" spans="1:36" ht="4.5" customHeight="1" x14ac:dyDescent="0.25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</row>
    <row r="92" spans="1:36" s="13" customFormat="1" ht="12" customHeight="1" x14ac:dyDescent="0.2">
      <c r="A92" s="66" t="s">
        <v>1</v>
      </c>
      <c r="B92" s="66"/>
      <c r="C92" s="66"/>
      <c r="D92" s="66"/>
      <c r="E92" s="66"/>
      <c r="F92" s="66"/>
      <c r="G92" s="66"/>
      <c r="H92" s="66"/>
      <c r="I92" s="66"/>
      <c r="J92" s="66"/>
      <c r="K92" s="66"/>
      <c r="L92" s="66"/>
      <c r="M92" s="66"/>
      <c r="N92" s="66"/>
      <c r="O92" s="66"/>
      <c r="P92" s="66"/>
      <c r="Q92" s="66"/>
    </row>
    <row r="93" spans="1:36" s="13" customFormat="1" ht="12" customHeight="1" x14ac:dyDescent="0.2">
      <c r="A93" s="25" t="s">
        <v>83</v>
      </c>
      <c r="B93" s="130" t="str">
        <f>G72</f>
        <v>Исполнителная схема устройства траншеи</v>
      </c>
      <c r="C93" s="130"/>
      <c r="D93" s="130"/>
      <c r="E93" s="130"/>
      <c r="F93" s="130"/>
      <c r="G93" s="130"/>
      <c r="H93" s="130"/>
      <c r="I93" s="130"/>
      <c r="J93" s="130"/>
      <c r="K93" s="130"/>
      <c r="L93" s="130"/>
      <c r="M93" s="130"/>
      <c r="N93" s="130"/>
      <c r="O93" s="25"/>
      <c r="P93" s="26" t="s">
        <v>74</v>
      </c>
      <c r="Q93" s="25" t="s">
        <v>84</v>
      </c>
      <c r="R93" s="25"/>
      <c r="S93" s="25"/>
      <c r="T93" s="25"/>
      <c r="U93" s="25"/>
      <c r="V93" s="25"/>
      <c r="W93" s="25"/>
      <c r="X93" s="25"/>
      <c r="Y93" s="25"/>
      <c r="Z93" s="25"/>
      <c r="AA93" s="25"/>
      <c r="AB93" s="25"/>
      <c r="AC93" s="25"/>
      <c r="AD93" s="25"/>
      <c r="AE93" s="25"/>
      <c r="AF93" s="25"/>
      <c r="AG93" s="25"/>
      <c r="AH93" s="25"/>
      <c r="AI93" s="25"/>
      <c r="AJ93" s="25"/>
    </row>
    <row r="94" spans="1:36" s="14" customFormat="1" ht="9.75" customHeight="1" x14ac:dyDescent="0.15">
      <c r="A94" s="128" t="s">
        <v>0</v>
      </c>
      <c r="B94" s="129"/>
      <c r="C94" s="129"/>
      <c r="D94" s="129"/>
      <c r="E94" s="129"/>
      <c r="F94" s="129"/>
      <c r="G94" s="129"/>
      <c r="H94" s="129"/>
      <c r="I94" s="129"/>
      <c r="J94" s="129"/>
      <c r="K94" s="129"/>
      <c r="L94" s="129"/>
      <c r="M94" s="129"/>
      <c r="N94" s="129"/>
      <c r="O94" s="129"/>
      <c r="P94" s="129"/>
      <c r="Q94" s="129"/>
      <c r="R94" s="129"/>
      <c r="S94" s="129"/>
      <c r="T94" s="129"/>
      <c r="U94" s="129"/>
      <c r="V94" s="129"/>
      <c r="W94" s="129"/>
      <c r="X94" s="129"/>
      <c r="Y94" s="129"/>
      <c r="Z94" s="129"/>
      <c r="AA94" s="129"/>
      <c r="AB94" s="129"/>
      <c r="AC94" s="129"/>
      <c r="AD94" s="129"/>
      <c r="AE94" s="129"/>
      <c r="AF94" s="129"/>
      <c r="AG94" s="129"/>
      <c r="AH94" s="129"/>
      <c r="AI94" s="129"/>
      <c r="AJ94" s="129"/>
    </row>
    <row r="95" spans="1:36" ht="6.75" customHeight="1" x14ac:dyDescent="0.25">
      <c r="A95" s="12"/>
      <c r="B95" s="12"/>
      <c r="C95" s="12"/>
      <c r="D95" s="12"/>
      <c r="E95" s="12"/>
      <c r="F95" s="12"/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2"/>
      <c r="AA95" s="12"/>
      <c r="AB95" s="12"/>
      <c r="AC95" s="12"/>
      <c r="AD95" s="12"/>
      <c r="AE95" s="12"/>
      <c r="AF95" s="12"/>
      <c r="AG95" s="12"/>
      <c r="AH95" s="12"/>
      <c r="AI95" s="12"/>
      <c r="AJ95" s="12"/>
    </row>
    <row r="96" spans="1:36" s="13" customFormat="1" ht="12" customHeight="1" x14ac:dyDescent="0.2">
      <c r="A96" s="13" t="s">
        <v>23</v>
      </c>
    </row>
    <row r="97" spans="1:36" s="13" customFormat="1" ht="12" customHeight="1" x14ac:dyDescent="0.2">
      <c r="A97" s="13" t="s">
        <v>24</v>
      </c>
    </row>
    <row r="98" spans="1:36" s="13" customFormat="1" ht="12" customHeight="1" x14ac:dyDescent="0.2">
      <c r="A98" s="130" t="str">
        <f>'Данные объект'!B33</f>
        <v>Алексанян Г.Р.</v>
      </c>
      <c r="B98" s="130"/>
      <c r="C98" s="130"/>
      <c r="D98" s="130"/>
      <c r="E98" s="130"/>
      <c r="F98" s="130"/>
      <c r="G98" s="130"/>
      <c r="H98" s="130"/>
      <c r="I98" s="130"/>
      <c r="J98" s="130"/>
      <c r="K98" s="130"/>
      <c r="L98" s="130"/>
      <c r="M98" s="130"/>
      <c r="N98" s="130"/>
      <c r="O98" s="130"/>
      <c r="P98" s="32"/>
      <c r="Q98" s="32"/>
      <c r="R98" s="32"/>
      <c r="S98" s="32"/>
      <c r="T98" s="32"/>
      <c r="U98" s="32"/>
      <c r="V98" s="32"/>
      <c r="W98" s="32"/>
      <c r="X98" s="32"/>
      <c r="Y98" s="32"/>
      <c r="Z98" s="32"/>
      <c r="AA98" s="32"/>
      <c r="AB98" s="130"/>
      <c r="AC98" s="130"/>
      <c r="AD98" s="130"/>
      <c r="AE98" s="130"/>
      <c r="AF98" s="130"/>
      <c r="AG98" s="130"/>
      <c r="AH98" s="130"/>
      <c r="AI98" s="130"/>
      <c r="AJ98" s="130"/>
    </row>
    <row r="99" spans="1:36" s="14" customFormat="1" ht="9" customHeight="1" x14ac:dyDescent="0.15">
      <c r="A99" s="134" t="s">
        <v>35</v>
      </c>
      <c r="B99" s="134"/>
      <c r="C99" s="134"/>
      <c r="D99" s="134"/>
      <c r="E99" s="134"/>
      <c r="F99" s="134"/>
      <c r="G99" s="134"/>
      <c r="H99" s="134"/>
      <c r="I99" s="134"/>
      <c r="J99" s="134"/>
      <c r="K99" s="134"/>
      <c r="L99" s="134"/>
      <c r="M99" s="134"/>
      <c r="N99" s="134"/>
      <c r="O99" s="134"/>
      <c r="P99" s="17"/>
      <c r="Q99" s="17"/>
      <c r="R99" s="17"/>
      <c r="S99" s="17"/>
      <c r="T99" s="17"/>
      <c r="U99" s="18"/>
      <c r="V99" s="18"/>
      <c r="W99" s="18"/>
      <c r="X99" s="18"/>
      <c r="Y99" s="18"/>
      <c r="Z99" s="18"/>
      <c r="AA99" s="18"/>
      <c r="AB99" s="135" t="s">
        <v>34</v>
      </c>
      <c r="AC99" s="135"/>
      <c r="AD99" s="135"/>
      <c r="AE99" s="135"/>
      <c r="AF99" s="135"/>
      <c r="AG99" s="135"/>
      <c r="AH99" s="135"/>
      <c r="AI99" s="135"/>
      <c r="AJ99" s="135"/>
    </row>
    <row r="100" spans="1:36" s="13" customFormat="1" ht="12" customHeight="1" x14ac:dyDescent="0.2">
      <c r="A100" s="13" t="s">
        <v>25</v>
      </c>
    </row>
    <row r="101" spans="1:36" s="13" customFormat="1" ht="12" customHeight="1" x14ac:dyDescent="0.2">
      <c r="A101" s="130" t="str">
        <f>'Данные объект'!B20</f>
        <v>Волков М.Ю.</v>
      </c>
      <c r="B101" s="130"/>
      <c r="C101" s="130"/>
      <c r="D101" s="130"/>
      <c r="E101" s="130"/>
      <c r="F101" s="130"/>
      <c r="G101" s="130"/>
      <c r="H101" s="130"/>
      <c r="I101" s="130"/>
      <c r="J101" s="130"/>
      <c r="K101" s="130"/>
      <c r="L101" s="130"/>
      <c r="M101" s="130"/>
      <c r="N101" s="130"/>
      <c r="O101" s="130"/>
      <c r="P101" s="32"/>
      <c r="Q101" s="32"/>
      <c r="R101" s="32"/>
      <c r="S101" s="32"/>
      <c r="T101" s="32"/>
      <c r="U101" s="32"/>
      <c r="V101" s="32"/>
      <c r="W101" s="32"/>
      <c r="X101" s="32"/>
      <c r="Y101" s="32"/>
      <c r="Z101" s="32"/>
      <c r="AA101" s="32"/>
      <c r="AB101" s="130"/>
      <c r="AC101" s="130"/>
      <c r="AD101" s="130"/>
      <c r="AE101" s="130"/>
      <c r="AF101" s="130"/>
      <c r="AG101" s="130"/>
      <c r="AH101" s="130"/>
      <c r="AI101" s="130"/>
      <c r="AJ101" s="130"/>
    </row>
    <row r="102" spans="1:36" s="14" customFormat="1" ht="9" customHeight="1" x14ac:dyDescent="0.15">
      <c r="A102" s="134" t="s">
        <v>35</v>
      </c>
      <c r="B102" s="134"/>
      <c r="C102" s="134"/>
      <c r="D102" s="134"/>
      <c r="E102" s="134"/>
      <c r="F102" s="134"/>
      <c r="G102" s="134"/>
      <c r="H102" s="134"/>
      <c r="I102" s="134"/>
      <c r="J102" s="134"/>
      <c r="K102" s="134"/>
      <c r="L102" s="134"/>
      <c r="M102" s="134"/>
      <c r="N102" s="134"/>
      <c r="O102" s="134"/>
      <c r="P102" s="17"/>
      <c r="Q102" s="17"/>
      <c r="R102" s="17"/>
      <c r="S102" s="17"/>
      <c r="T102" s="17"/>
      <c r="U102" s="18"/>
      <c r="V102" s="18"/>
      <c r="W102" s="18"/>
      <c r="X102" s="18"/>
      <c r="Y102" s="18"/>
      <c r="Z102" s="18"/>
      <c r="AA102" s="18"/>
      <c r="AB102" s="135" t="s">
        <v>34</v>
      </c>
      <c r="AC102" s="135"/>
      <c r="AD102" s="135"/>
      <c r="AE102" s="135"/>
      <c r="AF102" s="135"/>
      <c r="AG102" s="135"/>
      <c r="AH102" s="135"/>
      <c r="AI102" s="135"/>
      <c r="AJ102" s="135"/>
    </row>
    <row r="103" spans="1:36" s="13" customFormat="1" ht="12" customHeight="1" x14ac:dyDescent="0.2">
      <c r="A103" s="13" t="s">
        <v>27</v>
      </c>
    </row>
    <row r="104" spans="1:36" s="13" customFormat="1" ht="12" customHeight="1" x14ac:dyDescent="0.2">
      <c r="A104" s="13" t="s">
        <v>28</v>
      </c>
    </row>
    <row r="105" spans="1:36" s="13" customFormat="1" ht="12" customHeight="1" x14ac:dyDescent="0.2">
      <c r="A105" s="130" t="str">
        <f>'Данные объект'!B17</f>
        <v>Русин В.А.</v>
      </c>
      <c r="B105" s="130"/>
      <c r="C105" s="130"/>
      <c r="D105" s="130"/>
      <c r="E105" s="130"/>
      <c r="F105" s="130"/>
      <c r="G105" s="130"/>
      <c r="H105" s="130"/>
      <c r="I105" s="130"/>
      <c r="J105" s="130"/>
      <c r="K105" s="130"/>
      <c r="L105" s="130"/>
      <c r="M105" s="130"/>
      <c r="N105" s="130"/>
      <c r="O105" s="130"/>
      <c r="P105" s="32"/>
      <c r="Q105" s="32"/>
      <c r="R105" s="32"/>
      <c r="S105" s="32"/>
      <c r="T105" s="32"/>
      <c r="U105" s="32"/>
      <c r="V105" s="32"/>
      <c r="W105" s="32"/>
      <c r="X105" s="32"/>
      <c r="Y105" s="32"/>
      <c r="Z105" s="32"/>
      <c r="AA105" s="32"/>
      <c r="AB105" s="130"/>
      <c r="AC105" s="130"/>
      <c r="AD105" s="130"/>
      <c r="AE105" s="130"/>
      <c r="AF105" s="130"/>
      <c r="AG105" s="130"/>
      <c r="AH105" s="130"/>
      <c r="AI105" s="130"/>
      <c r="AJ105" s="130"/>
    </row>
    <row r="106" spans="1:36" s="14" customFormat="1" ht="9" customHeight="1" x14ac:dyDescent="0.15">
      <c r="A106" s="134" t="s">
        <v>35</v>
      </c>
      <c r="B106" s="134"/>
      <c r="C106" s="134"/>
      <c r="D106" s="134"/>
      <c r="E106" s="134"/>
      <c r="F106" s="134"/>
      <c r="G106" s="134"/>
      <c r="H106" s="134"/>
      <c r="I106" s="134"/>
      <c r="J106" s="134"/>
      <c r="K106" s="134"/>
      <c r="L106" s="134"/>
      <c r="M106" s="134"/>
      <c r="N106" s="134"/>
      <c r="O106" s="134"/>
      <c r="P106" s="17"/>
      <c r="Q106" s="17"/>
      <c r="R106" s="17"/>
      <c r="S106" s="17"/>
      <c r="T106" s="17"/>
      <c r="U106" s="18"/>
      <c r="V106" s="18"/>
      <c r="W106" s="18"/>
      <c r="X106" s="18"/>
      <c r="Y106" s="18"/>
      <c r="Z106" s="18"/>
      <c r="AA106" s="18"/>
      <c r="AB106" s="135" t="s">
        <v>34</v>
      </c>
      <c r="AC106" s="135"/>
      <c r="AD106" s="135"/>
      <c r="AE106" s="135"/>
      <c r="AF106" s="135"/>
      <c r="AG106" s="135"/>
      <c r="AH106" s="135"/>
      <c r="AI106" s="135"/>
      <c r="AJ106" s="135"/>
    </row>
    <row r="107" spans="1:36" s="14" customFormat="1" ht="11.25" x14ac:dyDescent="0.2">
      <c r="A107" s="13" t="s">
        <v>191</v>
      </c>
      <c r="B107" s="86"/>
      <c r="C107" s="86"/>
      <c r="D107" s="86"/>
      <c r="E107" s="86"/>
      <c r="F107" s="86"/>
      <c r="G107" s="86"/>
      <c r="H107" s="86"/>
      <c r="I107" s="86"/>
      <c r="J107" s="86"/>
      <c r="K107" s="86"/>
      <c r="L107" s="86"/>
      <c r="M107" s="86"/>
      <c r="N107" s="86"/>
      <c r="O107" s="86"/>
      <c r="P107" s="95"/>
      <c r="Q107" s="95"/>
      <c r="R107" s="95"/>
      <c r="S107" s="95"/>
      <c r="T107" s="95"/>
      <c r="U107" s="96"/>
      <c r="V107" s="96"/>
      <c r="W107" s="96"/>
      <c r="X107" s="96"/>
      <c r="Y107" s="96"/>
      <c r="Z107" s="96"/>
      <c r="AA107" s="96"/>
      <c r="AB107" s="87"/>
      <c r="AC107" s="87"/>
      <c r="AD107" s="87"/>
      <c r="AE107" s="87"/>
      <c r="AF107" s="87"/>
      <c r="AG107" s="87"/>
      <c r="AH107" s="87"/>
      <c r="AI107" s="87"/>
      <c r="AJ107" s="87"/>
    </row>
    <row r="108" spans="1:36" s="14" customFormat="1" ht="11.25" x14ac:dyDescent="0.2">
      <c r="A108" s="130" t="str">
        <f>'Данные объект'!$B$36</f>
        <v>Курчин М.М.</v>
      </c>
      <c r="B108" s="130"/>
      <c r="C108" s="130"/>
      <c r="D108" s="130"/>
      <c r="E108" s="130"/>
      <c r="F108" s="130"/>
      <c r="G108" s="130"/>
      <c r="H108" s="130"/>
      <c r="I108" s="130"/>
      <c r="J108" s="130"/>
      <c r="K108" s="130"/>
      <c r="L108" s="130"/>
      <c r="M108" s="130"/>
      <c r="N108" s="130"/>
      <c r="O108" s="130"/>
      <c r="P108" s="95"/>
      <c r="Q108" s="95"/>
      <c r="R108" s="95"/>
      <c r="S108" s="95"/>
      <c r="T108" s="95"/>
      <c r="U108" s="96"/>
      <c r="V108" s="96"/>
      <c r="W108" s="96"/>
      <c r="X108" s="96"/>
      <c r="Y108" s="96"/>
      <c r="Z108" s="96"/>
      <c r="AA108" s="96"/>
      <c r="AB108" s="130"/>
      <c r="AC108" s="130"/>
      <c r="AD108" s="130"/>
      <c r="AE108" s="130"/>
      <c r="AF108" s="130"/>
      <c r="AG108" s="130"/>
      <c r="AH108" s="130"/>
      <c r="AI108" s="130"/>
      <c r="AJ108" s="130"/>
    </row>
    <row r="109" spans="1:36" s="14" customFormat="1" ht="9" customHeight="1" x14ac:dyDescent="0.15">
      <c r="A109" s="134" t="s">
        <v>35</v>
      </c>
      <c r="B109" s="134"/>
      <c r="C109" s="134"/>
      <c r="D109" s="134"/>
      <c r="E109" s="134"/>
      <c r="F109" s="134"/>
      <c r="G109" s="134"/>
      <c r="H109" s="134"/>
      <c r="I109" s="134"/>
      <c r="J109" s="134"/>
      <c r="K109" s="134"/>
      <c r="L109" s="134"/>
      <c r="M109" s="134"/>
      <c r="N109" s="134"/>
      <c r="O109" s="134"/>
      <c r="P109" s="95"/>
      <c r="Q109" s="95"/>
      <c r="R109" s="95"/>
      <c r="S109" s="95"/>
      <c r="T109" s="95"/>
      <c r="U109" s="96"/>
      <c r="V109" s="96"/>
      <c r="W109" s="96"/>
      <c r="X109" s="96"/>
      <c r="Y109" s="96"/>
      <c r="Z109" s="96"/>
      <c r="AA109" s="96"/>
      <c r="AB109" s="135" t="s">
        <v>34</v>
      </c>
      <c r="AC109" s="135"/>
      <c r="AD109" s="135"/>
      <c r="AE109" s="135"/>
      <c r="AF109" s="135"/>
      <c r="AG109" s="135"/>
      <c r="AH109" s="135"/>
      <c r="AI109" s="135"/>
      <c r="AJ109" s="135"/>
    </row>
    <row r="110" spans="1:36" s="13" customFormat="1" ht="38.25" customHeight="1" x14ac:dyDescent="0.2">
      <c r="A110" s="136" t="s">
        <v>51</v>
      </c>
      <c r="B110" s="136"/>
      <c r="C110" s="136"/>
      <c r="D110" s="136"/>
      <c r="E110" s="136"/>
      <c r="F110" s="136"/>
      <c r="G110" s="136"/>
      <c r="H110" s="136"/>
      <c r="I110" s="136"/>
      <c r="J110" s="136"/>
      <c r="K110" s="136"/>
      <c r="L110" s="136"/>
      <c r="M110" s="136"/>
      <c r="N110" s="136"/>
      <c r="O110" s="136"/>
      <c r="P110" s="136"/>
      <c r="Q110" s="136"/>
      <c r="R110" s="136"/>
      <c r="S110" s="136"/>
      <c r="T110" s="136"/>
      <c r="U110" s="136"/>
      <c r="V110" s="136"/>
      <c r="W110" s="136"/>
      <c r="X110" s="136"/>
      <c r="Y110" s="136"/>
      <c r="Z110" s="136"/>
      <c r="AA110" s="136"/>
      <c r="AB110" s="136"/>
      <c r="AC110" s="136"/>
      <c r="AD110" s="136"/>
      <c r="AE110" s="136"/>
      <c r="AF110" s="136"/>
      <c r="AG110" s="136"/>
      <c r="AH110" s="136"/>
      <c r="AI110" s="136"/>
      <c r="AJ110" s="136"/>
    </row>
    <row r="111" spans="1:36" s="13" customFormat="1" ht="12" customHeight="1" x14ac:dyDescent="0.2">
      <c r="A111" s="130" t="s">
        <v>74</v>
      </c>
      <c r="B111" s="130"/>
      <c r="C111" s="130"/>
      <c r="D111" s="130"/>
      <c r="E111" s="130"/>
      <c r="F111" s="130"/>
      <c r="G111" s="130"/>
      <c r="H111" s="130"/>
      <c r="I111" s="130"/>
      <c r="J111" s="130"/>
      <c r="K111" s="130"/>
      <c r="L111" s="130"/>
      <c r="M111" s="130"/>
      <c r="N111" s="130"/>
      <c r="O111" s="130"/>
      <c r="P111" s="32"/>
      <c r="Q111" s="32"/>
      <c r="R111" s="32"/>
      <c r="S111" s="32"/>
      <c r="T111" s="32"/>
      <c r="U111" s="32"/>
      <c r="V111" s="32"/>
      <c r="W111" s="32"/>
      <c r="X111" s="32"/>
      <c r="Y111" s="32"/>
      <c r="Z111" s="32"/>
      <c r="AA111" s="32"/>
      <c r="AB111" s="130" t="s">
        <v>74</v>
      </c>
      <c r="AC111" s="130"/>
      <c r="AD111" s="130"/>
      <c r="AE111" s="130"/>
      <c r="AF111" s="130"/>
      <c r="AG111" s="130"/>
      <c r="AH111" s="130"/>
      <c r="AI111" s="130"/>
      <c r="AJ111" s="130"/>
    </row>
    <row r="112" spans="1:36" s="14" customFormat="1" ht="9" customHeight="1" x14ac:dyDescent="0.15">
      <c r="A112" s="134" t="s">
        <v>35</v>
      </c>
      <c r="B112" s="134"/>
      <c r="C112" s="134"/>
      <c r="D112" s="134"/>
      <c r="E112" s="134"/>
      <c r="F112" s="134"/>
      <c r="G112" s="134"/>
      <c r="H112" s="134"/>
      <c r="I112" s="134"/>
      <c r="J112" s="134"/>
      <c r="K112" s="134"/>
      <c r="L112" s="134"/>
      <c r="M112" s="134"/>
      <c r="N112" s="134"/>
      <c r="O112" s="134"/>
      <c r="P112" s="17"/>
      <c r="Q112" s="17"/>
      <c r="R112" s="17"/>
      <c r="S112" s="17"/>
      <c r="T112" s="17"/>
      <c r="U112" s="18"/>
      <c r="V112" s="18"/>
      <c r="W112" s="18"/>
      <c r="X112" s="18"/>
      <c r="Y112" s="18"/>
      <c r="Z112" s="18"/>
      <c r="AA112" s="18"/>
      <c r="AB112" s="135" t="s">
        <v>34</v>
      </c>
      <c r="AC112" s="135"/>
      <c r="AD112" s="135"/>
      <c r="AE112" s="135"/>
      <c r="AF112" s="135"/>
      <c r="AG112" s="135"/>
      <c r="AH112" s="135"/>
      <c r="AI112" s="135"/>
      <c r="AJ112" s="135"/>
    </row>
    <row r="113" spans="1:36" s="13" customFormat="1" ht="24.75" hidden="1" customHeight="1" x14ac:dyDescent="0.2">
      <c r="A113" s="136" t="s">
        <v>53</v>
      </c>
      <c r="B113" s="136"/>
      <c r="C113" s="136"/>
      <c r="D113" s="136"/>
      <c r="E113" s="136"/>
      <c r="F113" s="136"/>
      <c r="G113" s="136"/>
      <c r="H113" s="136"/>
      <c r="I113" s="136"/>
      <c r="J113" s="136"/>
      <c r="K113" s="136"/>
      <c r="L113" s="136"/>
      <c r="M113" s="136"/>
      <c r="N113" s="136"/>
      <c r="O113" s="136"/>
      <c r="P113" s="136"/>
      <c r="Q113" s="136"/>
      <c r="R113" s="136"/>
      <c r="S113" s="136"/>
      <c r="T113" s="136"/>
      <c r="U113" s="136"/>
      <c r="V113" s="136"/>
      <c r="W113" s="136"/>
      <c r="X113" s="136"/>
      <c r="Y113" s="136"/>
      <c r="Z113" s="136"/>
      <c r="AA113" s="136"/>
      <c r="AB113" s="136"/>
      <c r="AC113" s="136"/>
      <c r="AD113" s="136"/>
      <c r="AE113" s="136"/>
      <c r="AF113" s="136"/>
      <c r="AG113" s="136"/>
      <c r="AH113" s="136"/>
      <c r="AI113" s="136"/>
      <c r="AJ113" s="136"/>
    </row>
    <row r="114" spans="1:36" s="13" customFormat="1" ht="12" hidden="1" customHeight="1" x14ac:dyDescent="0.2">
      <c r="A114" s="130" t="e">
        <f>#REF!</f>
        <v>#REF!</v>
      </c>
      <c r="B114" s="130"/>
      <c r="C114" s="130"/>
      <c r="D114" s="130"/>
      <c r="E114" s="130"/>
      <c r="F114" s="130"/>
      <c r="G114" s="130"/>
      <c r="H114" s="130"/>
      <c r="I114" s="130"/>
      <c r="J114" s="130"/>
      <c r="K114" s="130"/>
      <c r="L114" s="130"/>
      <c r="M114" s="130"/>
      <c r="N114" s="130"/>
      <c r="O114" s="130"/>
      <c r="P114" s="32"/>
      <c r="Q114" s="32"/>
      <c r="R114" s="32"/>
      <c r="S114" s="32"/>
      <c r="T114" s="32"/>
      <c r="U114" s="32"/>
      <c r="V114" s="32"/>
      <c r="W114" s="32"/>
      <c r="X114" s="32"/>
      <c r="Y114" s="32"/>
      <c r="Z114" s="32"/>
      <c r="AA114" s="32"/>
      <c r="AB114" s="130"/>
      <c r="AC114" s="130"/>
      <c r="AD114" s="130"/>
      <c r="AE114" s="130"/>
      <c r="AF114" s="130"/>
      <c r="AG114" s="130"/>
      <c r="AH114" s="130"/>
      <c r="AI114" s="130"/>
      <c r="AJ114" s="130"/>
    </row>
    <row r="115" spans="1:36" s="14" customFormat="1" ht="9" hidden="1" customHeight="1" x14ac:dyDescent="0.15">
      <c r="A115" s="134" t="s">
        <v>35</v>
      </c>
      <c r="B115" s="134"/>
      <c r="C115" s="134"/>
      <c r="D115" s="134"/>
      <c r="E115" s="134"/>
      <c r="F115" s="134"/>
      <c r="G115" s="134"/>
      <c r="H115" s="134"/>
      <c r="I115" s="134"/>
      <c r="J115" s="134"/>
      <c r="K115" s="134"/>
      <c r="L115" s="134"/>
      <c r="M115" s="134"/>
      <c r="N115" s="134"/>
      <c r="O115" s="134"/>
      <c r="P115" s="17"/>
      <c r="Q115" s="17"/>
      <c r="R115" s="17"/>
      <c r="S115" s="17"/>
      <c r="T115" s="17"/>
      <c r="U115" s="18"/>
      <c r="V115" s="18"/>
      <c r="W115" s="18"/>
      <c r="X115" s="18"/>
      <c r="Y115" s="18"/>
      <c r="Z115" s="18"/>
      <c r="AA115" s="18"/>
      <c r="AB115" s="135" t="s">
        <v>34</v>
      </c>
      <c r="AC115" s="135"/>
      <c r="AD115" s="135"/>
      <c r="AE115" s="135"/>
      <c r="AF115" s="135"/>
      <c r="AG115" s="135"/>
      <c r="AH115" s="135"/>
      <c r="AI115" s="135"/>
      <c r="AJ115" s="135"/>
    </row>
    <row r="116" spans="1:36" ht="12" customHeight="1" x14ac:dyDescent="0.25"/>
  </sheetData>
  <mergeCells count="107">
    <mergeCell ref="A58:AJ58"/>
    <mergeCell ref="A51:AJ51"/>
    <mergeCell ref="A56:AJ56"/>
    <mergeCell ref="A19:AJ19"/>
    <mergeCell ref="A27:AJ27"/>
    <mergeCell ref="A29:AJ29"/>
    <mergeCell ref="E32:G32"/>
    <mergeCell ref="A54:AJ54"/>
    <mergeCell ref="A55:AJ55"/>
    <mergeCell ref="A35:AJ35"/>
    <mergeCell ref="A43:AJ43"/>
    <mergeCell ref="A49:AJ49"/>
    <mergeCell ref="A52:AJ52"/>
    <mergeCell ref="AB32:AI32"/>
    <mergeCell ref="A23:AJ23"/>
    <mergeCell ref="A24:AJ24"/>
    <mergeCell ref="A30:AJ30"/>
    <mergeCell ref="A36:AJ36"/>
    <mergeCell ref="A25:AJ25"/>
    <mergeCell ref="A26:AJ26"/>
    <mergeCell ref="AB33:AI33"/>
    <mergeCell ref="A41:AJ41"/>
    <mergeCell ref="A38:AJ38"/>
    <mergeCell ref="A39:AJ39"/>
    <mergeCell ref="S62:T62"/>
    <mergeCell ref="U62:V62"/>
    <mergeCell ref="A50:AJ50"/>
    <mergeCell ref="A13:AJ13"/>
    <mergeCell ref="A22:AJ22"/>
    <mergeCell ref="A4:AJ4"/>
    <mergeCell ref="A5:AJ5"/>
    <mergeCell ref="A6:AJ6"/>
    <mergeCell ref="A8:AJ8"/>
    <mergeCell ref="A9:AJ9"/>
    <mergeCell ref="A12:AJ12"/>
    <mergeCell ref="A10:AJ10"/>
    <mergeCell ref="A11:AJ11"/>
    <mergeCell ref="A20:AJ20"/>
    <mergeCell ref="A15:AJ15"/>
    <mergeCell ref="A16:AJ16"/>
    <mergeCell ref="A17:AJ17"/>
    <mergeCell ref="A18:AJ18"/>
    <mergeCell ref="A62:N62"/>
    <mergeCell ref="O62:Q62"/>
    <mergeCell ref="W62:AA62"/>
    <mergeCell ref="AC62:AE62"/>
    <mergeCell ref="AF62:AG62"/>
    <mergeCell ref="A59:AJ59"/>
    <mergeCell ref="G72:AJ72"/>
    <mergeCell ref="P68:AJ68"/>
    <mergeCell ref="A69:AJ69"/>
    <mergeCell ref="AB101:AJ101"/>
    <mergeCell ref="AB98:AJ98"/>
    <mergeCell ref="A98:O98"/>
    <mergeCell ref="A81:AJ81"/>
    <mergeCell ref="A101:O101"/>
    <mergeCell ref="A83:AJ83"/>
    <mergeCell ref="H90:I90"/>
    <mergeCell ref="B93:N93"/>
    <mergeCell ref="A87:AJ87"/>
    <mergeCell ref="A84:AJ84"/>
    <mergeCell ref="A99:O99"/>
    <mergeCell ref="AB99:AJ99"/>
    <mergeCell ref="L88:AJ88"/>
    <mergeCell ref="A86:AJ86"/>
    <mergeCell ref="A94:AJ94"/>
    <mergeCell ref="A82:AJ82"/>
    <mergeCell ref="A114:O114"/>
    <mergeCell ref="AB114:AJ114"/>
    <mergeCell ref="A115:O115"/>
    <mergeCell ref="AB115:AJ115"/>
    <mergeCell ref="A113:AJ113"/>
    <mergeCell ref="A112:O112"/>
    <mergeCell ref="AB112:AJ112"/>
    <mergeCell ref="A105:O105"/>
    <mergeCell ref="AB105:AJ105"/>
    <mergeCell ref="A106:O106"/>
    <mergeCell ref="AB106:AJ106"/>
    <mergeCell ref="A111:O111"/>
    <mergeCell ref="AB111:AJ111"/>
    <mergeCell ref="A110:AJ110"/>
    <mergeCell ref="A109:O109"/>
    <mergeCell ref="AB109:AJ109"/>
    <mergeCell ref="A7:AJ7"/>
    <mergeCell ref="A46:AJ46"/>
    <mergeCell ref="A47:AJ47"/>
    <mergeCell ref="A48:AJ48"/>
    <mergeCell ref="A108:O108"/>
    <mergeCell ref="AB108:AJ108"/>
    <mergeCell ref="P77:W77"/>
    <mergeCell ref="P78:W78"/>
    <mergeCell ref="A37:AJ37"/>
    <mergeCell ref="P67:AJ67"/>
    <mergeCell ref="A42:AJ42"/>
    <mergeCell ref="A44:AJ44"/>
    <mergeCell ref="A45:AJ45"/>
    <mergeCell ref="A53:AJ53"/>
    <mergeCell ref="A74:AJ74"/>
    <mergeCell ref="A75:AJ75"/>
    <mergeCell ref="A63:AJ63"/>
    <mergeCell ref="A65:AJ65"/>
    <mergeCell ref="A66:AJ66"/>
    <mergeCell ref="A70:AJ70"/>
    <mergeCell ref="A73:B73"/>
    <mergeCell ref="G73:AJ73"/>
    <mergeCell ref="A102:O102"/>
    <mergeCell ref="AB102:AJ102"/>
  </mergeCells>
  <phoneticPr fontId="6" type="noConversion"/>
  <pageMargins left="0.78740157480314965" right="0.27559055118110237" top="0.39370078740157483" bottom="0.39370078740157483" header="0" footer="0"/>
  <pageSetup paperSize="9" fitToHeight="3" orientation="portrait" r:id="rId1"/>
  <headerFooter alignWithMargins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D4895146-2068-4F55-9061-01E1A61A7A0A}">
          <x14:formula1>
            <xm:f>'данные строй'!$A$3:$A$5</xm:f>
          </x14:formula1>
          <xm:sqref>O62:Q62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B050"/>
    <pageSetUpPr fitToPage="1"/>
  </sheetPr>
  <dimension ref="A1:AZ117"/>
  <sheetViews>
    <sheetView view="pageBreakPreview" topLeftCell="A42" zoomScale="125" zoomScaleNormal="125" zoomScaleSheetLayoutView="125" workbookViewId="0">
      <selection activeCell="A10" sqref="A10:AJ10"/>
    </sheetView>
  </sheetViews>
  <sheetFormatPr defaultColWidth="10.6640625" defaultRowHeight="15" x14ac:dyDescent="0.25"/>
  <cols>
    <col min="1" max="31" width="2.83203125" style="1" customWidth="1"/>
    <col min="32" max="32" width="3" style="1" customWidth="1"/>
    <col min="33" max="51" width="2.83203125" style="1" customWidth="1"/>
    <col min="52" max="16384" width="10.6640625" style="1"/>
  </cols>
  <sheetData>
    <row r="1" spans="1:43" s="13" customFormat="1" ht="12.75" customHeight="1" x14ac:dyDescent="0.2">
      <c r="AJ1" s="21" t="s">
        <v>41</v>
      </c>
    </row>
    <row r="2" spans="1:43" s="13" customFormat="1" ht="11.25" customHeight="1" x14ac:dyDescent="0.2">
      <c r="AJ2" s="21" t="s">
        <v>40</v>
      </c>
    </row>
    <row r="3" spans="1:43" s="13" customFormat="1" ht="14.25" customHeight="1" x14ac:dyDescent="0.2">
      <c r="A3" s="13" t="s">
        <v>21</v>
      </c>
      <c r="AJ3" s="22"/>
      <c r="AK3" s="22"/>
      <c r="AL3" s="22"/>
      <c r="AM3" s="22"/>
      <c r="AN3" s="22"/>
      <c r="AO3" s="22"/>
      <c r="AP3" s="22"/>
      <c r="AQ3" s="22"/>
    </row>
    <row r="4" spans="1:43" s="13" customFormat="1" ht="32.25" customHeight="1" x14ac:dyDescent="0.2">
      <c r="A4" s="127" t="str">
        <f>'Данные объект'!B3</f>
        <v>Строительство КТП - 10/0,4кВ, КЛ-10 кВ от ТП-10/0,4кВ № 3463, КЛ-10 кВ от сооруж. КРУН-10 кВ, ВЛИ-0,38 кВ, в т.ч. ПИР, МО, Солнечногорский р-н, п. Красный Воин</v>
      </c>
      <c r="B4" s="127"/>
      <c r="C4" s="127"/>
      <c r="D4" s="127"/>
      <c r="E4" s="127"/>
      <c r="F4" s="127"/>
      <c r="G4" s="127"/>
      <c r="H4" s="127"/>
      <c r="I4" s="127"/>
      <c r="J4" s="127"/>
      <c r="K4" s="127"/>
      <c r="L4" s="127"/>
      <c r="M4" s="127"/>
      <c r="N4" s="127"/>
      <c r="O4" s="127"/>
      <c r="P4" s="127"/>
      <c r="Q4" s="127"/>
      <c r="R4" s="127"/>
      <c r="S4" s="127"/>
      <c r="T4" s="127"/>
      <c r="U4" s="127"/>
      <c r="V4" s="127"/>
      <c r="W4" s="127"/>
      <c r="X4" s="127"/>
      <c r="Y4" s="127"/>
      <c r="Z4" s="127"/>
      <c r="AA4" s="127"/>
      <c r="AB4" s="127"/>
      <c r="AC4" s="127"/>
      <c r="AD4" s="127"/>
      <c r="AE4" s="127"/>
      <c r="AF4" s="127"/>
      <c r="AG4" s="127"/>
      <c r="AH4" s="127"/>
      <c r="AI4" s="127"/>
      <c r="AJ4" s="127"/>
    </row>
    <row r="5" spans="1:43" s="13" customFormat="1" ht="12" customHeight="1" x14ac:dyDescent="0.2">
      <c r="A5" s="139" t="str">
        <f>'Данные объект'!B9</f>
        <v>КЛ-10кВ ф.1 от ТП №3463</v>
      </c>
      <c r="B5" s="139"/>
      <c r="C5" s="139"/>
      <c r="D5" s="139"/>
      <c r="E5" s="139"/>
      <c r="F5" s="139"/>
      <c r="G5" s="139"/>
      <c r="H5" s="139"/>
      <c r="I5" s="139"/>
      <c r="J5" s="139"/>
      <c r="K5" s="139"/>
      <c r="L5" s="139"/>
      <c r="M5" s="139"/>
      <c r="N5" s="139"/>
      <c r="O5" s="139"/>
      <c r="P5" s="139"/>
      <c r="Q5" s="139"/>
      <c r="R5" s="139"/>
      <c r="S5" s="139"/>
      <c r="T5" s="139"/>
      <c r="U5" s="139"/>
      <c r="V5" s="139"/>
      <c r="W5" s="139"/>
      <c r="X5" s="139"/>
      <c r="Y5" s="139"/>
      <c r="Z5" s="139"/>
      <c r="AA5" s="139"/>
      <c r="AB5" s="139"/>
      <c r="AC5" s="139"/>
      <c r="AD5" s="139"/>
      <c r="AE5" s="139"/>
      <c r="AF5" s="139"/>
      <c r="AG5" s="139"/>
      <c r="AH5" s="139"/>
      <c r="AI5" s="139"/>
      <c r="AJ5" s="139"/>
    </row>
    <row r="6" spans="1:43" s="14" customFormat="1" ht="8.25" x14ac:dyDescent="0.15">
      <c r="A6" s="128" t="s">
        <v>192</v>
      </c>
      <c r="B6" s="129"/>
      <c r="C6" s="129"/>
      <c r="D6" s="129"/>
      <c r="E6" s="129"/>
      <c r="F6" s="129"/>
      <c r="G6" s="129"/>
      <c r="H6" s="129"/>
      <c r="I6" s="129"/>
      <c r="J6" s="129"/>
      <c r="K6" s="129"/>
      <c r="L6" s="129"/>
      <c r="M6" s="129"/>
      <c r="N6" s="129"/>
      <c r="O6" s="129"/>
      <c r="P6" s="129"/>
      <c r="Q6" s="129"/>
      <c r="R6" s="129"/>
      <c r="S6" s="129"/>
      <c r="T6" s="129"/>
      <c r="U6" s="129"/>
      <c r="V6" s="129"/>
      <c r="W6" s="129"/>
      <c r="X6" s="129"/>
      <c r="Y6" s="129"/>
      <c r="Z6" s="129"/>
      <c r="AA6" s="129"/>
      <c r="AB6" s="129"/>
      <c r="AC6" s="129"/>
      <c r="AD6" s="129"/>
      <c r="AE6" s="129"/>
      <c r="AF6" s="129"/>
      <c r="AG6" s="129"/>
      <c r="AH6" s="129"/>
      <c r="AI6" s="129"/>
      <c r="AJ6" s="129"/>
    </row>
    <row r="7" spans="1:43" s="13" customFormat="1" ht="12.75" customHeight="1" x14ac:dyDescent="0.2">
      <c r="A7" s="126" t="s">
        <v>42</v>
      </c>
      <c r="B7" s="126"/>
      <c r="C7" s="126"/>
      <c r="D7" s="126"/>
      <c r="E7" s="126"/>
      <c r="F7" s="126"/>
      <c r="G7" s="126"/>
      <c r="H7" s="126"/>
      <c r="I7" s="126"/>
      <c r="J7" s="126"/>
      <c r="K7" s="126"/>
      <c r="L7" s="126"/>
      <c r="M7" s="126"/>
      <c r="N7" s="126"/>
      <c r="O7" s="126"/>
      <c r="P7" s="126"/>
      <c r="Q7" s="126"/>
      <c r="R7" s="126"/>
      <c r="S7" s="126"/>
      <c r="T7" s="126"/>
      <c r="U7" s="126"/>
      <c r="V7" s="126"/>
      <c r="W7" s="126"/>
      <c r="X7" s="126"/>
      <c r="Y7" s="126"/>
      <c r="Z7" s="126"/>
      <c r="AA7" s="126"/>
      <c r="AB7" s="126"/>
      <c r="AC7" s="126"/>
      <c r="AD7" s="126"/>
      <c r="AE7" s="126"/>
      <c r="AF7" s="126"/>
      <c r="AG7" s="126"/>
      <c r="AH7" s="126"/>
      <c r="AI7" s="126"/>
      <c r="AJ7" s="126"/>
    </row>
    <row r="8" spans="1:43" s="13" customFormat="1" ht="12" customHeight="1" x14ac:dyDescent="0.2">
      <c r="A8" s="139" t="str">
        <f>'Данные объект'!B23</f>
        <v>ПАО "Россети Московский регион"</v>
      </c>
      <c r="B8" s="139"/>
      <c r="C8" s="139"/>
      <c r="D8" s="139"/>
      <c r="E8" s="139"/>
      <c r="F8" s="139"/>
      <c r="G8" s="139"/>
      <c r="H8" s="139"/>
      <c r="I8" s="139"/>
      <c r="J8" s="139"/>
      <c r="K8" s="139"/>
      <c r="L8" s="139"/>
      <c r="M8" s="139"/>
      <c r="N8" s="139"/>
      <c r="O8" s="139"/>
      <c r="P8" s="139"/>
      <c r="Q8" s="139"/>
      <c r="R8" s="139"/>
      <c r="S8" s="139"/>
      <c r="T8" s="139"/>
      <c r="U8" s="139"/>
      <c r="V8" s="139"/>
      <c r="W8" s="139"/>
      <c r="X8" s="139"/>
      <c r="Y8" s="139"/>
      <c r="Z8" s="139"/>
      <c r="AA8" s="139"/>
      <c r="AB8" s="139"/>
      <c r="AC8" s="139"/>
      <c r="AD8" s="139"/>
      <c r="AE8" s="139"/>
      <c r="AF8" s="139"/>
      <c r="AG8" s="139"/>
      <c r="AH8" s="139"/>
      <c r="AI8" s="139"/>
      <c r="AJ8" s="139"/>
    </row>
    <row r="9" spans="1:43" s="14" customFormat="1" ht="19.5" customHeight="1" x14ac:dyDescent="0.15">
      <c r="A9" s="128" t="s">
        <v>58</v>
      </c>
      <c r="B9" s="129"/>
      <c r="C9" s="129"/>
      <c r="D9" s="129"/>
      <c r="E9" s="129"/>
      <c r="F9" s="129"/>
      <c r="G9" s="129"/>
      <c r="H9" s="129"/>
      <c r="I9" s="129"/>
      <c r="J9" s="129"/>
      <c r="K9" s="129"/>
      <c r="L9" s="129"/>
      <c r="M9" s="129"/>
      <c r="N9" s="129"/>
      <c r="O9" s="129"/>
      <c r="P9" s="129"/>
      <c r="Q9" s="129"/>
      <c r="R9" s="129"/>
      <c r="S9" s="129"/>
      <c r="T9" s="129"/>
      <c r="U9" s="129"/>
      <c r="V9" s="129"/>
      <c r="W9" s="129"/>
      <c r="X9" s="129"/>
      <c r="Y9" s="129"/>
      <c r="Z9" s="129"/>
      <c r="AA9" s="129"/>
      <c r="AB9" s="129"/>
      <c r="AC9" s="129"/>
      <c r="AD9" s="129"/>
      <c r="AE9" s="129"/>
      <c r="AF9" s="129"/>
      <c r="AG9" s="129"/>
      <c r="AH9" s="129"/>
      <c r="AI9" s="129"/>
      <c r="AJ9" s="129"/>
    </row>
    <row r="10" spans="1:43" s="13" customFormat="1" ht="12" customHeight="1" x14ac:dyDescent="0.2">
      <c r="A10" s="139" t="str">
        <f>'Данные объект'!B24</f>
        <v>ОГРН 1057746555811 ИНН 5036065113 КПП 772501001</v>
      </c>
      <c r="B10" s="139"/>
      <c r="C10" s="139"/>
      <c r="D10" s="139"/>
      <c r="E10" s="139"/>
      <c r="F10" s="139"/>
      <c r="G10" s="139"/>
      <c r="H10" s="139"/>
      <c r="I10" s="139"/>
      <c r="J10" s="139"/>
      <c r="K10" s="139"/>
      <c r="L10" s="139"/>
      <c r="M10" s="139"/>
      <c r="N10" s="139"/>
      <c r="O10" s="139"/>
      <c r="P10" s="139"/>
      <c r="Q10" s="139"/>
      <c r="R10" s="139"/>
      <c r="S10" s="139"/>
      <c r="T10" s="139"/>
      <c r="U10" s="139"/>
      <c r="V10" s="139"/>
      <c r="W10" s="139"/>
      <c r="X10" s="139"/>
      <c r="Y10" s="139"/>
      <c r="Z10" s="139"/>
      <c r="AA10" s="139"/>
      <c r="AB10" s="139"/>
      <c r="AC10" s="139"/>
      <c r="AD10" s="139"/>
      <c r="AE10" s="139"/>
      <c r="AF10" s="139"/>
      <c r="AG10" s="139"/>
      <c r="AH10" s="139"/>
      <c r="AI10" s="139"/>
      <c r="AJ10" s="139"/>
    </row>
    <row r="11" spans="1:43" s="14" customFormat="1" ht="28.5" customHeight="1" x14ac:dyDescent="0.15">
      <c r="A11" s="128" t="s">
        <v>59</v>
      </c>
      <c r="B11" s="129"/>
      <c r="C11" s="129"/>
      <c r="D11" s="129"/>
      <c r="E11" s="129"/>
      <c r="F11" s="129"/>
      <c r="G11" s="129"/>
      <c r="H11" s="129"/>
      <c r="I11" s="129"/>
      <c r="J11" s="129"/>
      <c r="K11" s="129"/>
      <c r="L11" s="129"/>
      <c r="M11" s="129"/>
      <c r="N11" s="129"/>
      <c r="O11" s="129"/>
      <c r="P11" s="129"/>
      <c r="Q11" s="129"/>
      <c r="R11" s="129"/>
      <c r="S11" s="129"/>
      <c r="T11" s="129"/>
      <c r="U11" s="129"/>
      <c r="V11" s="129"/>
      <c r="W11" s="129"/>
      <c r="X11" s="129"/>
      <c r="Y11" s="129"/>
      <c r="Z11" s="129"/>
      <c r="AA11" s="129"/>
      <c r="AB11" s="129"/>
      <c r="AC11" s="129"/>
      <c r="AD11" s="129"/>
      <c r="AE11" s="129"/>
      <c r="AF11" s="129"/>
      <c r="AG11" s="129"/>
      <c r="AH11" s="129"/>
      <c r="AI11" s="129"/>
      <c r="AJ11" s="129"/>
    </row>
    <row r="12" spans="1:43" s="13" customFormat="1" ht="12" customHeight="1" x14ac:dyDescent="0.2">
      <c r="A12" s="139" t="str">
        <f>'Данные объект'!B25</f>
        <v>115114, город Москва, проезд Павелецкий 2-й, дом 3, строение 2</v>
      </c>
      <c r="B12" s="139"/>
      <c r="C12" s="139"/>
      <c r="D12" s="139"/>
      <c r="E12" s="139"/>
      <c r="F12" s="139"/>
      <c r="G12" s="139"/>
      <c r="H12" s="139"/>
      <c r="I12" s="139"/>
      <c r="J12" s="139"/>
      <c r="K12" s="139"/>
      <c r="L12" s="139"/>
      <c r="M12" s="139"/>
      <c r="N12" s="139"/>
      <c r="O12" s="139"/>
      <c r="P12" s="139"/>
      <c r="Q12" s="139"/>
      <c r="R12" s="139"/>
      <c r="S12" s="139"/>
      <c r="T12" s="139"/>
      <c r="U12" s="139"/>
      <c r="V12" s="139"/>
      <c r="W12" s="139"/>
      <c r="X12" s="139"/>
      <c r="Y12" s="139"/>
      <c r="Z12" s="139"/>
      <c r="AA12" s="139"/>
      <c r="AB12" s="139"/>
      <c r="AC12" s="139"/>
      <c r="AD12" s="139"/>
      <c r="AE12" s="139"/>
      <c r="AF12" s="139"/>
      <c r="AG12" s="139"/>
      <c r="AH12" s="139"/>
      <c r="AI12" s="139"/>
      <c r="AJ12" s="139"/>
    </row>
    <row r="13" spans="1:43" s="14" customFormat="1" ht="11.25" customHeight="1" x14ac:dyDescent="0.15">
      <c r="A13" s="128" t="s">
        <v>43</v>
      </c>
      <c r="B13" s="129"/>
      <c r="C13" s="129"/>
      <c r="D13" s="129"/>
      <c r="E13" s="129"/>
      <c r="F13" s="129"/>
      <c r="G13" s="129"/>
      <c r="H13" s="129"/>
      <c r="I13" s="129"/>
      <c r="J13" s="129"/>
      <c r="K13" s="129"/>
      <c r="L13" s="129"/>
      <c r="M13" s="129"/>
      <c r="N13" s="129"/>
      <c r="O13" s="129"/>
      <c r="P13" s="129"/>
      <c r="Q13" s="129"/>
      <c r="R13" s="129"/>
      <c r="S13" s="129"/>
      <c r="T13" s="129"/>
      <c r="U13" s="129"/>
      <c r="V13" s="129"/>
      <c r="W13" s="129"/>
      <c r="X13" s="129"/>
      <c r="Y13" s="129"/>
      <c r="Z13" s="129"/>
      <c r="AA13" s="129"/>
      <c r="AB13" s="129"/>
      <c r="AC13" s="129"/>
      <c r="AD13" s="129"/>
      <c r="AE13" s="129"/>
      <c r="AF13" s="129"/>
      <c r="AG13" s="129"/>
      <c r="AH13" s="129"/>
      <c r="AI13" s="129"/>
      <c r="AJ13" s="129"/>
    </row>
    <row r="14" spans="1:43" s="13" customFormat="1" ht="12" customHeight="1" x14ac:dyDescent="0.2">
      <c r="A14" s="13" t="s">
        <v>22</v>
      </c>
    </row>
    <row r="15" spans="1:43" s="13" customFormat="1" ht="12" customHeight="1" x14ac:dyDescent="0.2">
      <c r="A15" s="139" t="str">
        <f>'Данные объект'!B11</f>
        <v>ООО"Энергосистемы"</v>
      </c>
      <c r="B15" s="139"/>
      <c r="C15" s="139"/>
      <c r="D15" s="139"/>
      <c r="E15" s="139"/>
      <c r="F15" s="139"/>
      <c r="G15" s="139"/>
      <c r="H15" s="139"/>
      <c r="I15" s="139"/>
      <c r="J15" s="139"/>
      <c r="K15" s="139"/>
      <c r="L15" s="139"/>
      <c r="M15" s="139"/>
      <c r="N15" s="139"/>
      <c r="O15" s="139"/>
      <c r="P15" s="139"/>
      <c r="Q15" s="139"/>
      <c r="R15" s="139"/>
      <c r="S15" s="139"/>
      <c r="T15" s="139"/>
      <c r="U15" s="139"/>
      <c r="V15" s="139"/>
      <c r="W15" s="139"/>
      <c r="X15" s="139"/>
      <c r="Y15" s="139"/>
      <c r="Z15" s="139"/>
      <c r="AA15" s="139"/>
      <c r="AB15" s="139"/>
      <c r="AC15" s="139"/>
      <c r="AD15" s="139"/>
      <c r="AE15" s="139"/>
      <c r="AF15" s="139"/>
      <c r="AG15" s="139"/>
      <c r="AH15" s="139"/>
      <c r="AI15" s="139"/>
      <c r="AJ15" s="139"/>
    </row>
    <row r="16" spans="1:43" s="14" customFormat="1" ht="9.75" customHeight="1" x14ac:dyDescent="0.15">
      <c r="A16" s="128" t="s">
        <v>37</v>
      </c>
      <c r="B16" s="129"/>
      <c r="C16" s="129"/>
      <c r="D16" s="129"/>
      <c r="E16" s="129"/>
      <c r="F16" s="129"/>
      <c r="G16" s="129"/>
      <c r="H16" s="129"/>
      <c r="I16" s="129"/>
      <c r="J16" s="129"/>
      <c r="K16" s="129"/>
      <c r="L16" s="129"/>
      <c r="M16" s="129"/>
      <c r="N16" s="129"/>
      <c r="O16" s="129"/>
      <c r="P16" s="129"/>
      <c r="Q16" s="129"/>
      <c r="R16" s="129"/>
      <c r="S16" s="129"/>
      <c r="T16" s="129"/>
      <c r="U16" s="129"/>
      <c r="V16" s="129"/>
      <c r="W16" s="129"/>
      <c r="X16" s="129"/>
      <c r="Y16" s="129"/>
      <c r="Z16" s="129"/>
      <c r="AA16" s="129"/>
      <c r="AB16" s="129"/>
      <c r="AC16" s="129"/>
      <c r="AD16" s="129"/>
      <c r="AE16" s="129"/>
      <c r="AF16" s="129"/>
      <c r="AG16" s="129"/>
      <c r="AH16" s="129"/>
      <c r="AI16" s="129"/>
      <c r="AJ16" s="129"/>
    </row>
    <row r="17" spans="1:36" s="13" customFormat="1" ht="12" customHeight="1" x14ac:dyDescent="0.2">
      <c r="A17" s="139" t="str">
        <f>'Данные объект'!B12</f>
        <v>ОГРН 1135044003709  ИНН 5044089069 КПП 504401001</v>
      </c>
      <c r="B17" s="139"/>
      <c r="C17" s="139"/>
      <c r="D17" s="139"/>
      <c r="E17" s="139"/>
      <c r="F17" s="139"/>
      <c r="G17" s="139"/>
      <c r="H17" s="139"/>
      <c r="I17" s="139"/>
      <c r="J17" s="139"/>
      <c r="K17" s="139"/>
      <c r="L17" s="139"/>
      <c r="M17" s="139"/>
      <c r="N17" s="139"/>
      <c r="O17" s="139"/>
      <c r="P17" s="139"/>
      <c r="Q17" s="139"/>
      <c r="R17" s="139"/>
      <c r="S17" s="139"/>
      <c r="T17" s="139"/>
      <c r="U17" s="139"/>
      <c r="V17" s="139"/>
      <c r="W17" s="139"/>
      <c r="X17" s="139"/>
      <c r="Y17" s="139"/>
      <c r="Z17" s="139"/>
      <c r="AA17" s="139"/>
      <c r="AB17" s="139"/>
      <c r="AC17" s="139"/>
      <c r="AD17" s="139"/>
      <c r="AE17" s="139"/>
      <c r="AF17" s="139"/>
      <c r="AG17" s="139"/>
      <c r="AH17" s="139"/>
      <c r="AI17" s="139"/>
      <c r="AJ17" s="139"/>
    </row>
    <row r="18" spans="1:36" s="14" customFormat="1" ht="8.25" customHeight="1" x14ac:dyDescent="0.15">
      <c r="A18" s="128" t="s">
        <v>44</v>
      </c>
      <c r="B18" s="129"/>
      <c r="C18" s="129"/>
      <c r="D18" s="129"/>
      <c r="E18" s="129"/>
      <c r="F18" s="129"/>
      <c r="G18" s="129"/>
      <c r="H18" s="129"/>
      <c r="I18" s="129"/>
      <c r="J18" s="129"/>
      <c r="K18" s="129"/>
      <c r="L18" s="129"/>
      <c r="M18" s="129"/>
      <c r="N18" s="129"/>
      <c r="O18" s="129"/>
      <c r="P18" s="129"/>
      <c r="Q18" s="129"/>
      <c r="R18" s="129"/>
      <c r="S18" s="129"/>
      <c r="T18" s="129"/>
      <c r="U18" s="129"/>
      <c r="V18" s="129"/>
      <c r="W18" s="129"/>
      <c r="X18" s="129"/>
      <c r="Y18" s="129"/>
      <c r="Z18" s="129"/>
      <c r="AA18" s="129"/>
      <c r="AB18" s="129"/>
      <c r="AC18" s="129"/>
      <c r="AD18" s="129"/>
      <c r="AE18" s="129"/>
      <c r="AF18" s="129"/>
      <c r="AG18" s="129"/>
      <c r="AH18" s="129"/>
      <c r="AI18" s="129"/>
      <c r="AJ18" s="129"/>
    </row>
    <row r="19" spans="1:36" s="13" customFormat="1" ht="12" customHeight="1" x14ac:dyDescent="0.2">
      <c r="A19" s="139" t="str">
        <f>'Данные объект'!B13</f>
        <v xml:space="preserve">141508, Московская область, г.о. Солнечногорск, г. Солнечногорск, ул. Промышленная, стр. 5, помещение 179
</v>
      </c>
      <c r="B19" s="139"/>
      <c r="C19" s="139"/>
      <c r="D19" s="139"/>
      <c r="E19" s="139"/>
      <c r="F19" s="139"/>
      <c r="G19" s="139"/>
      <c r="H19" s="139"/>
      <c r="I19" s="139"/>
      <c r="J19" s="139"/>
      <c r="K19" s="139"/>
      <c r="L19" s="139"/>
      <c r="M19" s="139"/>
      <c r="N19" s="139"/>
      <c r="O19" s="139"/>
      <c r="P19" s="139"/>
      <c r="Q19" s="139"/>
      <c r="R19" s="139"/>
      <c r="S19" s="139"/>
      <c r="T19" s="139"/>
      <c r="U19" s="139"/>
      <c r="V19" s="139"/>
      <c r="W19" s="139"/>
      <c r="X19" s="139"/>
      <c r="Y19" s="139"/>
      <c r="Z19" s="139"/>
      <c r="AA19" s="139"/>
      <c r="AB19" s="139"/>
      <c r="AC19" s="139"/>
      <c r="AD19" s="139"/>
      <c r="AE19" s="139"/>
      <c r="AF19" s="139"/>
      <c r="AG19" s="139"/>
      <c r="AH19" s="139"/>
      <c r="AI19" s="139"/>
      <c r="AJ19" s="139"/>
    </row>
    <row r="20" spans="1:36" s="14" customFormat="1" ht="27" customHeight="1" x14ac:dyDescent="0.15">
      <c r="A20" s="128" t="s">
        <v>60</v>
      </c>
      <c r="B20" s="129"/>
      <c r="C20" s="129"/>
      <c r="D20" s="129"/>
      <c r="E20" s="129"/>
      <c r="F20" s="129"/>
      <c r="G20" s="129"/>
      <c r="H20" s="129"/>
      <c r="I20" s="129"/>
      <c r="J20" s="129"/>
      <c r="K20" s="129"/>
      <c r="L20" s="129"/>
      <c r="M20" s="129"/>
      <c r="N20" s="129"/>
      <c r="O20" s="129"/>
      <c r="P20" s="129"/>
      <c r="Q20" s="129"/>
      <c r="R20" s="129"/>
      <c r="S20" s="129"/>
      <c r="T20" s="129"/>
      <c r="U20" s="129"/>
      <c r="V20" s="129"/>
      <c r="W20" s="129"/>
      <c r="X20" s="129"/>
      <c r="Y20" s="129"/>
      <c r="Z20" s="129"/>
      <c r="AA20" s="129"/>
      <c r="AB20" s="129"/>
      <c r="AC20" s="129"/>
      <c r="AD20" s="129"/>
      <c r="AE20" s="129"/>
      <c r="AF20" s="129"/>
      <c r="AG20" s="129"/>
      <c r="AH20" s="129"/>
      <c r="AI20" s="129"/>
      <c r="AJ20" s="129"/>
    </row>
    <row r="21" spans="1:36" s="13" customFormat="1" ht="12" customHeight="1" x14ac:dyDescent="0.2">
      <c r="A21" s="13" t="s">
        <v>20</v>
      </c>
    </row>
    <row r="22" spans="1:36" s="13" customFormat="1" ht="12" customHeight="1" x14ac:dyDescent="0.2">
      <c r="A22" s="139" t="str">
        <f>'Данные объект'!B39</f>
        <v>ООО"Энергосистемы"</v>
      </c>
      <c r="B22" s="139"/>
      <c r="C22" s="139"/>
      <c r="D22" s="139"/>
      <c r="E22" s="139"/>
      <c r="F22" s="139"/>
      <c r="G22" s="139"/>
      <c r="H22" s="139"/>
      <c r="I22" s="139"/>
      <c r="J22" s="139"/>
      <c r="K22" s="139"/>
      <c r="L22" s="139"/>
      <c r="M22" s="139"/>
      <c r="N22" s="139"/>
      <c r="O22" s="139"/>
      <c r="P22" s="139"/>
      <c r="Q22" s="139"/>
      <c r="R22" s="139"/>
      <c r="S22" s="139"/>
      <c r="T22" s="139"/>
      <c r="U22" s="139"/>
      <c r="V22" s="139"/>
      <c r="W22" s="139"/>
      <c r="X22" s="139"/>
      <c r="Y22" s="139"/>
      <c r="Z22" s="139"/>
      <c r="AA22" s="139"/>
      <c r="AB22" s="139"/>
      <c r="AC22" s="139"/>
      <c r="AD22" s="139"/>
      <c r="AE22" s="139"/>
      <c r="AF22" s="139"/>
      <c r="AG22" s="139"/>
      <c r="AH22" s="139"/>
      <c r="AI22" s="139"/>
      <c r="AJ22" s="139"/>
    </row>
    <row r="23" spans="1:36" s="14" customFormat="1" ht="7.5" customHeight="1" x14ac:dyDescent="0.15">
      <c r="A23" s="128" t="s">
        <v>37</v>
      </c>
      <c r="B23" s="129"/>
      <c r="C23" s="129"/>
      <c r="D23" s="129"/>
      <c r="E23" s="129"/>
      <c r="F23" s="129"/>
      <c r="G23" s="129"/>
      <c r="H23" s="129"/>
      <c r="I23" s="129"/>
      <c r="J23" s="129"/>
      <c r="K23" s="129"/>
      <c r="L23" s="129"/>
      <c r="M23" s="129"/>
      <c r="N23" s="129"/>
      <c r="O23" s="129"/>
      <c r="P23" s="129"/>
      <c r="Q23" s="129"/>
      <c r="R23" s="129"/>
      <c r="S23" s="129"/>
      <c r="T23" s="129"/>
      <c r="U23" s="129"/>
      <c r="V23" s="129"/>
      <c r="W23" s="129"/>
      <c r="X23" s="129"/>
      <c r="Y23" s="129"/>
      <c r="Z23" s="129"/>
      <c r="AA23" s="129"/>
      <c r="AB23" s="129"/>
      <c r="AC23" s="129"/>
      <c r="AD23" s="129"/>
      <c r="AE23" s="129"/>
      <c r="AF23" s="129"/>
      <c r="AG23" s="129"/>
      <c r="AH23" s="129"/>
      <c r="AI23" s="129"/>
      <c r="AJ23" s="129"/>
    </row>
    <row r="24" spans="1:36" s="13" customFormat="1" ht="12" customHeight="1" x14ac:dyDescent="0.2">
      <c r="A24" s="139" t="str">
        <f>'Данные объект'!B40</f>
        <v>ОГРН 1135044003709  ИНН 5044089069 КПП 504401001</v>
      </c>
      <c r="B24" s="139"/>
      <c r="C24" s="139"/>
      <c r="D24" s="139"/>
      <c r="E24" s="139"/>
      <c r="F24" s="139"/>
      <c r="G24" s="139"/>
      <c r="H24" s="139"/>
      <c r="I24" s="139"/>
      <c r="J24" s="139"/>
      <c r="K24" s="139"/>
      <c r="L24" s="139"/>
      <c r="M24" s="139"/>
      <c r="N24" s="139"/>
      <c r="O24" s="139"/>
      <c r="P24" s="139"/>
      <c r="Q24" s="139"/>
      <c r="R24" s="139"/>
      <c r="S24" s="139"/>
      <c r="T24" s="139"/>
      <c r="U24" s="139"/>
      <c r="V24" s="139"/>
      <c r="W24" s="139"/>
      <c r="X24" s="139"/>
      <c r="Y24" s="139"/>
      <c r="Z24" s="139"/>
      <c r="AA24" s="139"/>
      <c r="AB24" s="139"/>
      <c r="AC24" s="139"/>
      <c r="AD24" s="139"/>
      <c r="AE24" s="139"/>
      <c r="AF24" s="139"/>
      <c r="AG24" s="139"/>
      <c r="AH24" s="139"/>
      <c r="AI24" s="139"/>
      <c r="AJ24" s="139"/>
    </row>
    <row r="25" spans="1:36" s="14" customFormat="1" ht="7.5" customHeight="1" x14ac:dyDescent="0.15">
      <c r="A25" s="128" t="s">
        <v>61</v>
      </c>
      <c r="B25" s="129"/>
      <c r="C25" s="129"/>
      <c r="D25" s="129"/>
      <c r="E25" s="129"/>
      <c r="F25" s="129"/>
      <c r="G25" s="129"/>
      <c r="H25" s="129"/>
      <c r="I25" s="129"/>
      <c r="J25" s="129"/>
      <c r="K25" s="129"/>
      <c r="L25" s="129"/>
      <c r="M25" s="129"/>
      <c r="N25" s="129"/>
      <c r="O25" s="129"/>
      <c r="P25" s="129"/>
      <c r="Q25" s="129"/>
      <c r="R25" s="129"/>
      <c r="S25" s="129"/>
      <c r="T25" s="129"/>
      <c r="U25" s="129"/>
      <c r="V25" s="129"/>
      <c r="W25" s="129"/>
      <c r="X25" s="129"/>
      <c r="Y25" s="129"/>
      <c r="Z25" s="129"/>
      <c r="AA25" s="129"/>
      <c r="AB25" s="129"/>
      <c r="AC25" s="129"/>
      <c r="AD25" s="129"/>
      <c r="AE25" s="129"/>
      <c r="AF25" s="129"/>
      <c r="AG25" s="129"/>
      <c r="AH25" s="129"/>
      <c r="AI25" s="129"/>
      <c r="AJ25" s="129"/>
    </row>
    <row r="26" spans="1:36" s="13" customFormat="1" ht="12" customHeight="1" x14ac:dyDescent="0.2">
      <c r="A26" s="139" t="str">
        <f>'Данные объект'!B41</f>
        <v xml:space="preserve">141508, Московская область, г.о. Солнечногорск, г. Солнечногорск, ул. Промышленная, стр. 5, помещение 179
</v>
      </c>
      <c r="B26" s="139"/>
      <c r="C26" s="139"/>
      <c r="D26" s="139"/>
      <c r="E26" s="139"/>
      <c r="F26" s="139"/>
      <c r="G26" s="139"/>
      <c r="H26" s="139"/>
      <c r="I26" s="139"/>
      <c r="J26" s="139"/>
      <c r="K26" s="139"/>
      <c r="L26" s="139"/>
      <c r="M26" s="139"/>
      <c r="N26" s="139"/>
      <c r="O26" s="139"/>
      <c r="P26" s="139"/>
      <c r="Q26" s="139"/>
      <c r="R26" s="139"/>
      <c r="S26" s="139"/>
      <c r="T26" s="139"/>
      <c r="U26" s="139"/>
      <c r="V26" s="139"/>
      <c r="W26" s="139"/>
      <c r="X26" s="139"/>
      <c r="Y26" s="139"/>
      <c r="Z26" s="139"/>
      <c r="AA26" s="139"/>
      <c r="AB26" s="139"/>
      <c r="AC26" s="139"/>
      <c r="AD26" s="139"/>
      <c r="AE26" s="139"/>
      <c r="AF26" s="139"/>
      <c r="AG26" s="139"/>
      <c r="AH26" s="139"/>
      <c r="AI26" s="139"/>
      <c r="AJ26" s="139"/>
    </row>
    <row r="27" spans="1:36" s="14" customFormat="1" ht="22.5" customHeight="1" x14ac:dyDescent="0.15">
      <c r="A27" s="128" t="s">
        <v>45</v>
      </c>
      <c r="B27" s="129"/>
      <c r="C27" s="129"/>
      <c r="D27" s="129"/>
      <c r="E27" s="129"/>
      <c r="F27" s="129"/>
      <c r="G27" s="129"/>
      <c r="H27" s="129"/>
      <c r="I27" s="129"/>
      <c r="J27" s="129"/>
      <c r="K27" s="129"/>
      <c r="L27" s="129"/>
      <c r="M27" s="129"/>
      <c r="N27" s="129"/>
      <c r="O27" s="129"/>
      <c r="P27" s="129"/>
      <c r="Q27" s="129"/>
      <c r="R27" s="129"/>
      <c r="S27" s="129"/>
      <c r="T27" s="129"/>
      <c r="U27" s="129"/>
      <c r="V27" s="129"/>
      <c r="W27" s="129"/>
      <c r="X27" s="129"/>
      <c r="Y27" s="129"/>
      <c r="Z27" s="129"/>
      <c r="AA27" s="129"/>
      <c r="AB27" s="129"/>
      <c r="AC27" s="129"/>
      <c r="AD27" s="129"/>
      <c r="AE27" s="129"/>
      <c r="AF27" s="129"/>
      <c r="AG27" s="129"/>
      <c r="AH27" s="129"/>
      <c r="AI27" s="129"/>
      <c r="AJ27" s="129"/>
    </row>
    <row r="28" spans="1:36" ht="9" customHeight="1" x14ac:dyDescent="0.25">
      <c r="A28" s="5"/>
      <c r="B28" s="5"/>
      <c r="C28" s="5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</row>
    <row r="29" spans="1:36" s="13" customFormat="1" ht="12.95" customHeight="1" x14ac:dyDescent="0.2">
      <c r="A29" s="142" t="s">
        <v>36</v>
      </c>
      <c r="B29" s="142"/>
      <c r="C29" s="142"/>
      <c r="D29" s="142"/>
      <c r="E29" s="142"/>
      <c r="F29" s="142"/>
      <c r="G29" s="142"/>
      <c r="H29" s="142"/>
      <c r="I29" s="142"/>
      <c r="J29" s="142"/>
      <c r="K29" s="142"/>
      <c r="L29" s="142"/>
      <c r="M29" s="142"/>
      <c r="N29" s="142"/>
      <c r="O29" s="142"/>
      <c r="P29" s="142"/>
      <c r="Q29" s="142"/>
      <c r="R29" s="142"/>
      <c r="S29" s="142"/>
      <c r="T29" s="142"/>
      <c r="U29" s="142"/>
      <c r="V29" s="142"/>
      <c r="W29" s="142"/>
      <c r="X29" s="142"/>
      <c r="Y29" s="142"/>
      <c r="Z29" s="142"/>
      <c r="AA29" s="142"/>
      <c r="AB29" s="142"/>
      <c r="AC29" s="142"/>
      <c r="AD29" s="142"/>
      <c r="AE29" s="142"/>
      <c r="AF29" s="142"/>
      <c r="AG29" s="142"/>
      <c r="AH29" s="142"/>
      <c r="AI29" s="142"/>
      <c r="AJ29" s="142"/>
    </row>
    <row r="30" spans="1:36" s="13" customFormat="1" ht="12.95" customHeight="1" x14ac:dyDescent="0.2">
      <c r="A30" s="143" t="s">
        <v>19</v>
      </c>
      <c r="B30" s="143"/>
      <c r="C30" s="143"/>
      <c r="D30" s="143"/>
      <c r="E30" s="143"/>
      <c r="F30" s="143"/>
      <c r="G30" s="143"/>
      <c r="H30" s="143"/>
      <c r="I30" s="143"/>
      <c r="J30" s="143"/>
      <c r="K30" s="143"/>
      <c r="L30" s="143"/>
      <c r="M30" s="143"/>
      <c r="N30" s="143"/>
      <c r="O30" s="143"/>
      <c r="P30" s="143"/>
      <c r="Q30" s="143"/>
      <c r="R30" s="143"/>
      <c r="S30" s="143"/>
      <c r="T30" s="143"/>
      <c r="U30" s="143"/>
      <c r="V30" s="143"/>
      <c r="W30" s="143"/>
      <c r="X30" s="143"/>
      <c r="Y30" s="143"/>
      <c r="Z30" s="143"/>
      <c r="AA30" s="143"/>
      <c r="AB30" s="143"/>
      <c r="AC30" s="143"/>
      <c r="AD30" s="143"/>
      <c r="AE30" s="143"/>
      <c r="AF30" s="143"/>
      <c r="AG30" s="143"/>
      <c r="AH30" s="143"/>
      <c r="AI30" s="143"/>
      <c r="AJ30" s="143"/>
    </row>
    <row r="31" spans="1:36" s="13" customFormat="1" ht="6" customHeight="1" x14ac:dyDescent="0.2">
      <c r="A31" s="23"/>
      <c r="B31" s="23"/>
      <c r="C31" s="23"/>
      <c r="D31" s="23"/>
      <c r="E31" s="23"/>
      <c r="F31" s="23"/>
      <c r="G31" s="23"/>
      <c r="H31" s="23"/>
      <c r="I31" s="23"/>
      <c r="J31" s="23"/>
    </row>
    <row r="32" spans="1:36" s="13" customFormat="1" ht="12.95" customHeight="1" x14ac:dyDescent="0.2">
      <c r="A32" s="24"/>
      <c r="B32" s="24" t="s">
        <v>18</v>
      </c>
      <c r="C32" s="25">
        <f>'АОСР-1'!C32+1</f>
        <v>2</v>
      </c>
      <c r="D32" s="25"/>
      <c r="E32" s="130" t="s">
        <v>86</v>
      </c>
      <c r="F32" s="130"/>
      <c r="G32" s="130"/>
      <c r="H32" s="27"/>
      <c r="I32" s="27"/>
      <c r="J32" s="27"/>
      <c r="X32" s="21"/>
      <c r="Y32" s="32"/>
      <c r="Z32" s="32"/>
      <c r="AB32" s="131">
        <f>P78</f>
        <v>45819</v>
      </c>
      <c r="AC32" s="131"/>
      <c r="AD32" s="131"/>
      <c r="AE32" s="131"/>
      <c r="AF32" s="131"/>
      <c r="AG32" s="131"/>
      <c r="AH32" s="131"/>
      <c r="AI32" s="131"/>
      <c r="AJ32" s="13" t="s">
        <v>6</v>
      </c>
    </row>
    <row r="33" spans="1:52" s="14" customFormat="1" ht="9" customHeight="1" x14ac:dyDescent="0.15">
      <c r="Y33" s="15"/>
      <c r="Z33" s="16"/>
      <c r="AA33" s="15"/>
      <c r="AB33" s="144" t="s">
        <v>17</v>
      </c>
      <c r="AC33" s="144"/>
      <c r="AD33" s="144"/>
      <c r="AE33" s="144"/>
      <c r="AF33" s="144"/>
      <c r="AG33" s="144"/>
      <c r="AH33" s="144"/>
      <c r="AI33" s="144"/>
    </row>
    <row r="34" spans="1:52" ht="6.75" customHeight="1" x14ac:dyDescent="0.25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4"/>
      <c r="AJ34" s="4"/>
    </row>
    <row r="35" spans="1:52" s="13" customFormat="1" ht="21" customHeight="1" x14ac:dyDescent="0.2">
      <c r="A35" s="126" t="s">
        <v>46</v>
      </c>
      <c r="B35" s="126"/>
      <c r="C35" s="126"/>
      <c r="D35" s="126"/>
      <c r="E35" s="126"/>
      <c r="F35" s="126"/>
      <c r="G35" s="126"/>
      <c r="H35" s="126"/>
      <c r="I35" s="126"/>
      <c r="J35" s="126"/>
      <c r="K35" s="126"/>
      <c r="L35" s="126"/>
      <c r="M35" s="126"/>
      <c r="N35" s="126"/>
      <c r="O35" s="126"/>
      <c r="P35" s="126"/>
      <c r="Q35" s="126"/>
      <c r="R35" s="126"/>
      <c r="S35" s="126"/>
      <c r="T35" s="126"/>
      <c r="U35" s="126"/>
      <c r="V35" s="126"/>
      <c r="W35" s="126"/>
      <c r="X35" s="126"/>
      <c r="Y35" s="126"/>
      <c r="Z35" s="126"/>
      <c r="AA35" s="126"/>
      <c r="AB35" s="126"/>
      <c r="AC35" s="126"/>
      <c r="AD35" s="126"/>
      <c r="AE35" s="126"/>
      <c r="AF35" s="126"/>
      <c r="AG35" s="126"/>
      <c r="AH35" s="126"/>
      <c r="AI35" s="126"/>
      <c r="AJ35" s="126"/>
    </row>
    <row r="36" spans="1:52" s="13" customFormat="1" ht="25.5" customHeight="1" x14ac:dyDescent="0.2">
      <c r="A36" s="127" t="str">
        <f>'Данные объект'!C34</f>
        <v>Гл. специалист ССК УКС ПАО "Россети Московский регион" Алексанян Г.Р. Приказ №1904 от 03 июня 2026г (НРС С-50-069023)</v>
      </c>
      <c r="B36" s="127"/>
      <c r="C36" s="127"/>
      <c r="D36" s="127"/>
      <c r="E36" s="127"/>
      <c r="F36" s="127"/>
      <c r="G36" s="127"/>
      <c r="H36" s="127"/>
      <c r="I36" s="127"/>
      <c r="J36" s="127"/>
      <c r="K36" s="127"/>
      <c r="L36" s="127"/>
      <c r="M36" s="127"/>
      <c r="N36" s="127"/>
      <c r="O36" s="127"/>
      <c r="P36" s="127"/>
      <c r="Q36" s="127"/>
      <c r="R36" s="127"/>
      <c r="S36" s="127"/>
      <c r="T36" s="127"/>
      <c r="U36" s="127"/>
      <c r="V36" s="127"/>
      <c r="W36" s="127"/>
      <c r="X36" s="127"/>
      <c r="Y36" s="127"/>
      <c r="Z36" s="127"/>
      <c r="AA36" s="127"/>
      <c r="AB36" s="127"/>
      <c r="AC36" s="127"/>
      <c r="AD36" s="127"/>
      <c r="AE36" s="127"/>
      <c r="AF36" s="127"/>
      <c r="AG36" s="127"/>
      <c r="AH36" s="127"/>
      <c r="AI36" s="127"/>
      <c r="AJ36" s="127"/>
    </row>
    <row r="37" spans="1:52" s="14" customFormat="1" ht="28.5" customHeight="1" x14ac:dyDescent="0.15">
      <c r="A37" s="128" t="s">
        <v>47</v>
      </c>
      <c r="B37" s="129"/>
      <c r="C37" s="129"/>
      <c r="D37" s="129"/>
      <c r="E37" s="129"/>
      <c r="F37" s="129"/>
      <c r="G37" s="129"/>
      <c r="H37" s="129"/>
      <c r="I37" s="129"/>
      <c r="J37" s="129"/>
      <c r="K37" s="129"/>
      <c r="L37" s="129"/>
      <c r="M37" s="129"/>
      <c r="N37" s="129"/>
      <c r="O37" s="129"/>
      <c r="P37" s="129"/>
      <c r="Q37" s="129"/>
      <c r="R37" s="129"/>
      <c r="S37" s="129"/>
      <c r="T37" s="129"/>
      <c r="U37" s="129"/>
      <c r="V37" s="129"/>
      <c r="W37" s="129"/>
      <c r="X37" s="129"/>
      <c r="Y37" s="129"/>
      <c r="Z37" s="129"/>
      <c r="AA37" s="129"/>
      <c r="AB37" s="129"/>
      <c r="AC37" s="129"/>
      <c r="AD37" s="129"/>
      <c r="AE37" s="129"/>
      <c r="AF37" s="129"/>
      <c r="AG37" s="129"/>
      <c r="AH37" s="129"/>
      <c r="AI37" s="129"/>
      <c r="AJ37" s="129"/>
    </row>
    <row r="38" spans="1:52" s="13" customFormat="1" ht="21.75" customHeight="1" x14ac:dyDescent="0.2">
      <c r="A38" s="127" t="str">
        <f>'Данные объект'!C23</f>
        <v>ПАО "Россети Московский регион" ОГРН 1057746555811 ИНН 5036065113 КПП 772501001,115114, город Москва, проезд Павелецкий 2-й, дом 3, строение 2</v>
      </c>
      <c r="B38" s="127"/>
      <c r="C38" s="127"/>
      <c r="D38" s="127"/>
      <c r="E38" s="127"/>
      <c r="F38" s="127"/>
      <c r="G38" s="127"/>
      <c r="H38" s="127"/>
      <c r="I38" s="127"/>
      <c r="J38" s="127"/>
      <c r="K38" s="127"/>
      <c r="L38" s="127"/>
      <c r="M38" s="127"/>
      <c r="N38" s="127"/>
      <c r="O38" s="127"/>
      <c r="P38" s="127"/>
      <c r="Q38" s="127"/>
      <c r="R38" s="127"/>
      <c r="S38" s="127"/>
      <c r="T38" s="127"/>
      <c r="U38" s="127"/>
      <c r="V38" s="127"/>
      <c r="W38" s="127"/>
      <c r="X38" s="127"/>
      <c r="Y38" s="127"/>
      <c r="Z38" s="127"/>
      <c r="AA38" s="127"/>
      <c r="AB38" s="127"/>
      <c r="AC38" s="127"/>
      <c r="AD38" s="127"/>
      <c r="AE38" s="127"/>
      <c r="AF38" s="127"/>
      <c r="AG38" s="127"/>
      <c r="AH38" s="127"/>
      <c r="AI38" s="127"/>
      <c r="AJ38" s="127"/>
    </row>
    <row r="39" spans="1:52" s="14" customFormat="1" ht="25.5" customHeight="1" x14ac:dyDescent="0.2">
      <c r="A39" s="145" t="s">
        <v>48</v>
      </c>
      <c r="B39" s="145"/>
      <c r="C39" s="145"/>
      <c r="D39" s="145"/>
      <c r="E39" s="145"/>
      <c r="F39" s="145"/>
      <c r="G39" s="145"/>
      <c r="H39" s="145"/>
      <c r="I39" s="145"/>
      <c r="J39" s="145"/>
      <c r="K39" s="145"/>
      <c r="L39" s="145"/>
      <c r="M39" s="145"/>
      <c r="N39" s="145"/>
      <c r="O39" s="145"/>
      <c r="P39" s="145"/>
      <c r="Q39" s="145"/>
      <c r="R39" s="145"/>
      <c r="S39" s="145"/>
      <c r="T39" s="145"/>
      <c r="U39" s="145"/>
      <c r="V39" s="145"/>
      <c r="W39" s="145"/>
      <c r="X39" s="145"/>
      <c r="Y39" s="145"/>
      <c r="Z39" s="145"/>
      <c r="AA39" s="145"/>
      <c r="AB39" s="145"/>
      <c r="AC39" s="145"/>
      <c r="AD39" s="145"/>
      <c r="AE39" s="145"/>
      <c r="AF39" s="145"/>
      <c r="AG39" s="145"/>
      <c r="AH39" s="145"/>
      <c r="AI39" s="145"/>
      <c r="AJ39" s="145"/>
      <c r="AZ39" s="13"/>
    </row>
    <row r="40" spans="1:52" s="13" customFormat="1" ht="12" customHeight="1" x14ac:dyDescent="0.2">
      <c r="A40" s="13" t="s">
        <v>25</v>
      </c>
    </row>
    <row r="41" spans="1:52" s="13" customFormat="1" ht="12" customHeight="1" x14ac:dyDescent="0.2">
      <c r="A41" s="139" t="str">
        <f>'Данные объект'!C21</f>
        <v>Прораб ООО"Энергосистемы" Волков М.Ю..Приказ №05-ОТ/24 от 09 января 2024г</v>
      </c>
      <c r="B41" s="139"/>
      <c r="C41" s="139"/>
      <c r="D41" s="139"/>
      <c r="E41" s="139"/>
      <c r="F41" s="139"/>
      <c r="G41" s="139"/>
      <c r="H41" s="139"/>
      <c r="I41" s="139"/>
      <c r="J41" s="139"/>
      <c r="K41" s="139"/>
      <c r="L41" s="139"/>
      <c r="M41" s="139"/>
      <c r="N41" s="139"/>
      <c r="O41" s="139"/>
      <c r="P41" s="139"/>
      <c r="Q41" s="139"/>
      <c r="R41" s="139"/>
      <c r="S41" s="139"/>
      <c r="T41" s="139"/>
      <c r="U41" s="139"/>
      <c r="V41" s="139"/>
      <c r="W41" s="139"/>
      <c r="X41" s="139"/>
      <c r="Y41" s="139"/>
      <c r="Z41" s="139"/>
      <c r="AA41" s="139"/>
      <c r="AB41" s="139"/>
      <c r="AC41" s="139"/>
      <c r="AD41" s="139"/>
      <c r="AE41" s="139"/>
      <c r="AF41" s="139"/>
      <c r="AG41" s="139"/>
      <c r="AH41" s="139"/>
      <c r="AI41" s="139"/>
      <c r="AJ41" s="139"/>
    </row>
    <row r="42" spans="1:52" s="14" customFormat="1" ht="9" customHeight="1" x14ac:dyDescent="0.15">
      <c r="A42" s="128" t="s">
        <v>26</v>
      </c>
      <c r="B42" s="129"/>
      <c r="C42" s="129"/>
      <c r="D42" s="129"/>
      <c r="E42" s="129"/>
      <c r="F42" s="129"/>
      <c r="G42" s="129"/>
      <c r="H42" s="129"/>
      <c r="I42" s="129"/>
      <c r="J42" s="129"/>
      <c r="K42" s="129"/>
      <c r="L42" s="129"/>
      <c r="M42" s="129"/>
      <c r="N42" s="129"/>
      <c r="O42" s="129"/>
      <c r="P42" s="129"/>
      <c r="Q42" s="129"/>
      <c r="R42" s="129"/>
      <c r="S42" s="129"/>
      <c r="T42" s="129"/>
      <c r="U42" s="129"/>
      <c r="V42" s="129"/>
      <c r="W42" s="129"/>
      <c r="X42" s="129"/>
      <c r="Y42" s="129"/>
      <c r="Z42" s="129"/>
      <c r="AA42" s="129"/>
      <c r="AB42" s="129"/>
      <c r="AC42" s="129"/>
      <c r="AD42" s="129"/>
      <c r="AE42" s="129"/>
      <c r="AF42" s="129"/>
      <c r="AG42" s="129"/>
      <c r="AH42" s="129"/>
      <c r="AI42" s="129"/>
      <c r="AJ42" s="129"/>
    </row>
    <row r="43" spans="1:52" s="13" customFormat="1" ht="17.25" customHeight="1" x14ac:dyDescent="0.2">
      <c r="A43" s="126" t="s">
        <v>49</v>
      </c>
      <c r="B43" s="126"/>
      <c r="C43" s="126"/>
      <c r="D43" s="126"/>
      <c r="E43" s="126"/>
      <c r="F43" s="126"/>
      <c r="G43" s="126"/>
      <c r="H43" s="126"/>
      <c r="I43" s="126"/>
      <c r="J43" s="126"/>
      <c r="K43" s="126"/>
      <c r="L43" s="126"/>
      <c r="M43" s="126"/>
      <c r="N43" s="126"/>
      <c r="O43" s="126"/>
      <c r="P43" s="126"/>
      <c r="Q43" s="126"/>
      <c r="R43" s="126"/>
      <c r="S43" s="126"/>
      <c r="T43" s="126"/>
      <c r="U43" s="126"/>
      <c r="V43" s="126"/>
      <c r="W43" s="126"/>
      <c r="X43" s="126"/>
      <c r="Y43" s="126"/>
      <c r="Z43" s="126"/>
      <c r="AA43" s="126"/>
      <c r="AB43" s="126"/>
      <c r="AC43" s="126"/>
      <c r="AD43" s="126"/>
      <c r="AE43" s="126"/>
      <c r="AF43" s="126"/>
      <c r="AG43" s="126"/>
      <c r="AH43" s="126"/>
      <c r="AI43" s="126"/>
      <c r="AJ43" s="126"/>
    </row>
    <row r="44" spans="1:52" s="31" customFormat="1" ht="22.5" customHeight="1" x14ac:dyDescent="0.2">
      <c r="A44" s="127" t="str">
        <f>'Данные объект'!C18</f>
        <v>Инженер по строительному контролю ООО"Энергосистемы" Русин В.А..Приказ № 13-ОТ/25 от 05 мая 2025 (НОСТРОЙ С-50-085497)</v>
      </c>
      <c r="B44" s="127"/>
      <c r="C44" s="127"/>
      <c r="D44" s="127"/>
      <c r="E44" s="127"/>
      <c r="F44" s="127"/>
      <c r="G44" s="127"/>
      <c r="H44" s="127"/>
      <c r="I44" s="127"/>
      <c r="J44" s="127"/>
      <c r="K44" s="127"/>
      <c r="L44" s="127"/>
      <c r="M44" s="127"/>
      <c r="N44" s="127"/>
      <c r="O44" s="127"/>
      <c r="P44" s="127"/>
      <c r="Q44" s="127"/>
      <c r="R44" s="127"/>
      <c r="S44" s="127"/>
      <c r="T44" s="127"/>
      <c r="U44" s="127"/>
      <c r="V44" s="127"/>
      <c r="W44" s="127"/>
      <c r="X44" s="127"/>
      <c r="Y44" s="127"/>
      <c r="Z44" s="127"/>
      <c r="AA44" s="127"/>
      <c r="AB44" s="127"/>
      <c r="AC44" s="127"/>
      <c r="AD44" s="127"/>
      <c r="AE44" s="127"/>
      <c r="AF44" s="127"/>
      <c r="AG44" s="127"/>
      <c r="AH44" s="127"/>
      <c r="AI44" s="127"/>
      <c r="AJ44" s="127"/>
    </row>
    <row r="45" spans="1:52" s="14" customFormat="1" ht="30" customHeight="1" x14ac:dyDescent="0.15">
      <c r="A45" s="128" t="s">
        <v>50</v>
      </c>
      <c r="B45" s="129"/>
      <c r="C45" s="129"/>
      <c r="D45" s="129"/>
      <c r="E45" s="129"/>
      <c r="F45" s="129"/>
      <c r="G45" s="129"/>
      <c r="H45" s="129"/>
      <c r="I45" s="129"/>
      <c r="J45" s="129"/>
      <c r="K45" s="129"/>
      <c r="L45" s="129"/>
      <c r="M45" s="129"/>
      <c r="N45" s="129"/>
      <c r="O45" s="129"/>
      <c r="P45" s="129"/>
      <c r="Q45" s="129"/>
      <c r="R45" s="129"/>
      <c r="S45" s="129"/>
      <c r="T45" s="129"/>
      <c r="U45" s="129"/>
      <c r="V45" s="129"/>
      <c r="W45" s="129"/>
      <c r="X45" s="129"/>
      <c r="Y45" s="129"/>
      <c r="Z45" s="129"/>
      <c r="AA45" s="129"/>
      <c r="AB45" s="129"/>
      <c r="AC45" s="129"/>
      <c r="AD45" s="129"/>
      <c r="AE45" s="129"/>
      <c r="AF45" s="129"/>
      <c r="AG45" s="129"/>
      <c r="AH45" s="129"/>
      <c r="AI45" s="129"/>
      <c r="AJ45" s="129"/>
    </row>
    <row r="46" spans="1:52" s="14" customFormat="1" ht="11.25" x14ac:dyDescent="0.2">
      <c r="A46" s="126" t="s">
        <v>190</v>
      </c>
      <c r="B46" s="126"/>
      <c r="C46" s="126"/>
      <c r="D46" s="126"/>
      <c r="E46" s="126"/>
      <c r="F46" s="126"/>
      <c r="G46" s="126"/>
      <c r="H46" s="126"/>
      <c r="I46" s="126"/>
      <c r="J46" s="126"/>
      <c r="K46" s="126"/>
      <c r="L46" s="126"/>
      <c r="M46" s="126"/>
      <c r="N46" s="126"/>
      <c r="O46" s="126"/>
      <c r="P46" s="126"/>
      <c r="Q46" s="126"/>
      <c r="R46" s="126"/>
      <c r="S46" s="126"/>
      <c r="T46" s="126"/>
      <c r="U46" s="126"/>
      <c r="V46" s="126"/>
      <c r="W46" s="126"/>
      <c r="X46" s="126"/>
      <c r="Y46" s="126"/>
      <c r="Z46" s="126"/>
      <c r="AA46" s="126"/>
      <c r="AB46" s="126"/>
      <c r="AC46" s="126"/>
      <c r="AD46" s="126"/>
      <c r="AE46" s="126"/>
      <c r="AF46" s="126"/>
      <c r="AG46" s="126"/>
      <c r="AH46" s="126"/>
      <c r="AI46" s="126"/>
      <c r="AJ46" s="126"/>
    </row>
    <row r="47" spans="1:52" s="14" customFormat="1" ht="11.25" customHeight="1" x14ac:dyDescent="0.15">
      <c r="A47" s="127" t="str">
        <f>'Данные объект'!$C$36</f>
        <v>Мастер СРЭС СЭС филиала ПАО "Россети Московский регион" Курчин М.М.</v>
      </c>
      <c r="B47" s="127"/>
      <c r="C47" s="127"/>
      <c r="D47" s="127"/>
      <c r="E47" s="127"/>
      <c r="F47" s="127"/>
      <c r="G47" s="127"/>
      <c r="H47" s="127"/>
      <c r="I47" s="127"/>
      <c r="J47" s="127"/>
      <c r="K47" s="127"/>
      <c r="L47" s="127"/>
      <c r="M47" s="127"/>
      <c r="N47" s="127"/>
      <c r="O47" s="127"/>
      <c r="P47" s="127"/>
      <c r="Q47" s="127"/>
      <c r="R47" s="127"/>
      <c r="S47" s="127"/>
      <c r="T47" s="127"/>
      <c r="U47" s="127"/>
      <c r="V47" s="127"/>
      <c r="W47" s="127"/>
      <c r="X47" s="127"/>
      <c r="Y47" s="127"/>
      <c r="Z47" s="127"/>
      <c r="AA47" s="127"/>
      <c r="AB47" s="127"/>
      <c r="AC47" s="127"/>
      <c r="AD47" s="127"/>
      <c r="AE47" s="127"/>
      <c r="AF47" s="127"/>
      <c r="AG47" s="127"/>
      <c r="AH47" s="127"/>
      <c r="AI47" s="127"/>
      <c r="AJ47" s="127"/>
    </row>
    <row r="48" spans="1:52" s="14" customFormat="1" ht="8.25" x14ac:dyDescent="0.15">
      <c r="A48" s="128" t="s">
        <v>26</v>
      </c>
      <c r="B48" s="129"/>
      <c r="C48" s="129"/>
      <c r="D48" s="129"/>
      <c r="E48" s="129"/>
      <c r="F48" s="129"/>
      <c r="G48" s="129"/>
      <c r="H48" s="129"/>
      <c r="I48" s="129"/>
      <c r="J48" s="129"/>
      <c r="K48" s="129"/>
      <c r="L48" s="129"/>
      <c r="M48" s="129"/>
      <c r="N48" s="129"/>
      <c r="O48" s="129"/>
      <c r="P48" s="129"/>
      <c r="Q48" s="129"/>
      <c r="R48" s="129"/>
      <c r="S48" s="129"/>
      <c r="T48" s="129"/>
      <c r="U48" s="129"/>
      <c r="V48" s="129"/>
      <c r="W48" s="129"/>
      <c r="X48" s="129"/>
      <c r="Y48" s="129"/>
      <c r="Z48" s="129"/>
      <c r="AA48" s="129"/>
      <c r="AB48" s="129"/>
      <c r="AC48" s="129"/>
      <c r="AD48" s="129"/>
      <c r="AE48" s="129"/>
      <c r="AF48" s="129"/>
      <c r="AG48" s="129"/>
      <c r="AH48" s="129"/>
      <c r="AI48" s="129"/>
      <c r="AJ48" s="129"/>
    </row>
    <row r="49" spans="1:36" s="13" customFormat="1" ht="35.25" customHeight="1" x14ac:dyDescent="0.2">
      <c r="A49" s="136" t="s">
        <v>51</v>
      </c>
      <c r="B49" s="136"/>
      <c r="C49" s="136"/>
      <c r="D49" s="136"/>
      <c r="E49" s="136"/>
      <c r="F49" s="136"/>
      <c r="G49" s="136"/>
      <c r="H49" s="136"/>
      <c r="I49" s="136"/>
      <c r="J49" s="136"/>
      <c r="K49" s="136"/>
      <c r="L49" s="136"/>
      <c r="M49" s="136"/>
      <c r="N49" s="136"/>
      <c r="O49" s="136"/>
      <c r="P49" s="136"/>
      <c r="Q49" s="136"/>
      <c r="R49" s="136"/>
      <c r="S49" s="136"/>
      <c r="T49" s="136"/>
      <c r="U49" s="136"/>
      <c r="V49" s="136"/>
      <c r="W49" s="136"/>
      <c r="X49" s="136"/>
      <c r="Y49" s="136"/>
      <c r="Z49" s="136"/>
      <c r="AA49" s="136"/>
      <c r="AB49" s="136"/>
      <c r="AC49" s="136"/>
      <c r="AD49" s="136"/>
      <c r="AE49" s="136"/>
      <c r="AF49" s="136"/>
      <c r="AG49" s="136"/>
      <c r="AH49" s="136"/>
      <c r="AI49" s="136"/>
      <c r="AJ49" s="136"/>
    </row>
    <row r="50" spans="1:36" s="31" customFormat="1" ht="12.95" customHeight="1" x14ac:dyDescent="0.2">
      <c r="A50" s="139" t="s">
        <v>74</v>
      </c>
      <c r="B50" s="139"/>
      <c r="C50" s="139"/>
      <c r="D50" s="139"/>
      <c r="E50" s="139"/>
      <c r="F50" s="139"/>
      <c r="G50" s="139"/>
      <c r="H50" s="139"/>
      <c r="I50" s="139"/>
      <c r="J50" s="139"/>
      <c r="K50" s="139"/>
      <c r="L50" s="139"/>
      <c r="M50" s="139"/>
      <c r="N50" s="139"/>
      <c r="O50" s="139"/>
      <c r="P50" s="139"/>
      <c r="Q50" s="139"/>
      <c r="R50" s="139"/>
      <c r="S50" s="139"/>
      <c r="T50" s="139"/>
      <c r="U50" s="139"/>
      <c r="V50" s="139"/>
      <c r="W50" s="139"/>
      <c r="X50" s="139"/>
      <c r="Y50" s="139"/>
      <c r="Z50" s="139"/>
      <c r="AA50" s="139"/>
      <c r="AB50" s="139"/>
      <c r="AC50" s="139"/>
      <c r="AD50" s="139"/>
      <c r="AE50" s="139"/>
      <c r="AF50" s="139"/>
      <c r="AG50" s="139"/>
      <c r="AH50" s="139"/>
      <c r="AI50" s="139"/>
      <c r="AJ50" s="139"/>
    </row>
    <row r="51" spans="1:36" s="14" customFormat="1" ht="29.25" customHeight="1" x14ac:dyDescent="0.15">
      <c r="A51" s="128" t="s">
        <v>52</v>
      </c>
      <c r="B51" s="129"/>
      <c r="C51" s="129"/>
      <c r="D51" s="129"/>
      <c r="E51" s="129"/>
      <c r="F51" s="129"/>
      <c r="G51" s="129"/>
      <c r="H51" s="129"/>
      <c r="I51" s="129"/>
      <c r="J51" s="129"/>
      <c r="K51" s="129"/>
      <c r="L51" s="129"/>
      <c r="M51" s="129"/>
      <c r="N51" s="129"/>
      <c r="O51" s="129"/>
      <c r="P51" s="129"/>
      <c r="Q51" s="129"/>
      <c r="R51" s="129"/>
      <c r="S51" s="129"/>
      <c r="T51" s="129"/>
      <c r="U51" s="129"/>
      <c r="V51" s="129"/>
      <c r="W51" s="129"/>
      <c r="X51" s="129"/>
      <c r="Y51" s="129"/>
      <c r="Z51" s="129"/>
      <c r="AA51" s="129"/>
      <c r="AB51" s="129"/>
      <c r="AC51" s="129"/>
      <c r="AD51" s="129"/>
      <c r="AE51" s="129"/>
      <c r="AF51" s="129"/>
      <c r="AG51" s="129"/>
      <c r="AH51" s="129"/>
      <c r="AI51" s="129"/>
      <c r="AJ51" s="129"/>
    </row>
    <row r="52" spans="1:36" s="13" customFormat="1" ht="25.5" hidden="1" customHeight="1" x14ac:dyDescent="0.2">
      <c r="A52" s="136" t="s">
        <v>53</v>
      </c>
      <c r="B52" s="136"/>
      <c r="C52" s="136"/>
      <c r="D52" s="136"/>
      <c r="E52" s="136"/>
      <c r="F52" s="136"/>
      <c r="G52" s="136"/>
      <c r="H52" s="136"/>
      <c r="I52" s="136"/>
      <c r="J52" s="136"/>
      <c r="K52" s="136"/>
      <c r="L52" s="136"/>
      <c r="M52" s="136"/>
      <c r="N52" s="136"/>
      <c r="O52" s="136"/>
      <c r="P52" s="136"/>
      <c r="Q52" s="136"/>
      <c r="R52" s="136"/>
      <c r="S52" s="136"/>
      <c r="T52" s="136"/>
      <c r="U52" s="136"/>
      <c r="V52" s="136"/>
      <c r="W52" s="136"/>
      <c r="X52" s="136"/>
      <c r="Y52" s="136"/>
      <c r="Z52" s="136"/>
      <c r="AA52" s="136"/>
      <c r="AB52" s="136"/>
      <c r="AC52" s="136"/>
      <c r="AD52" s="136"/>
      <c r="AE52" s="136"/>
      <c r="AF52" s="136"/>
      <c r="AG52" s="136"/>
      <c r="AH52" s="136"/>
      <c r="AI52" s="136"/>
      <c r="AJ52" s="136"/>
    </row>
    <row r="53" spans="1:36" s="13" customFormat="1" ht="12" hidden="1" customHeight="1" x14ac:dyDescent="0.2">
      <c r="A53" s="127" t="e">
        <f>CONCATENATE(#REF!,", ",#REF!," - ",#REF!)</f>
        <v>#REF!</v>
      </c>
      <c r="B53" s="127"/>
      <c r="C53" s="127"/>
      <c r="D53" s="127"/>
      <c r="E53" s="127"/>
      <c r="F53" s="127"/>
      <c r="G53" s="127"/>
      <c r="H53" s="127"/>
      <c r="I53" s="127"/>
      <c r="J53" s="127"/>
      <c r="K53" s="127"/>
      <c r="L53" s="127"/>
      <c r="M53" s="127"/>
      <c r="N53" s="127"/>
      <c r="O53" s="127"/>
      <c r="P53" s="127"/>
      <c r="Q53" s="127"/>
      <c r="R53" s="127"/>
      <c r="S53" s="127"/>
      <c r="T53" s="127"/>
      <c r="U53" s="127"/>
      <c r="V53" s="127"/>
      <c r="W53" s="127"/>
      <c r="X53" s="127"/>
      <c r="Y53" s="127"/>
      <c r="Z53" s="127"/>
      <c r="AA53" s="127"/>
      <c r="AB53" s="127"/>
      <c r="AC53" s="127"/>
      <c r="AD53" s="127"/>
      <c r="AE53" s="127"/>
      <c r="AF53" s="127"/>
      <c r="AG53" s="127"/>
      <c r="AH53" s="127"/>
      <c r="AI53" s="127"/>
      <c r="AJ53" s="127"/>
    </row>
    <row r="54" spans="1:36" s="14" customFormat="1" ht="9.75" hidden="1" customHeight="1" x14ac:dyDescent="0.15">
      <c r="A54" s="128" t="s">
        <v>29</v>
      </c>
      <c r="B54" s="129"/>
      <c r="C54" s="129"/>
      <c r="D54" s="129"/>
      <c r="E54" s="129"/>
      <c r="F54" s="129"/>
      <c r="G54" s="129"/>
      <c r="H54" s="129"/>
      <c r="I54" s="129"/>
      <c r="J54" s="129"/>
      <c r="K54" s="129"/>
      <c r="L54" s="129"/>
      <c r="M54" s="129"/>
      <c r="N54" s="129"/>
      <c r="O54" s="129"/>
      <c r="P54" s="129"/>
      <c r="Q54" s="129"/>
      <c r="R54" s="129"/>
      <c r="S54" s="129"/>
      <c r="T54" s="129"/>
      <c r="U54" s="129"/>
      <c r="V54" s="129"/>
      <c r="W54" s="129"/>
      <c r="X54" s="129"/>
      <c r="Y54" s="129"/>
      <c r="Z54" s="129"/>
      <c r="AA54" s="129"/>
      <c r="AB54" s="129"/>
      <c r="AC54" s="129"/>
      <c r="AD54" s="129"/>
      <c r="AE54" s="129"/>
      <c r="AF54" s="129"/>
      <c r="AG54" s="129"/>
      <c r="AH54" s="129"/>
      <c r="AI54" s="129"/>
      <c r="AJ54" s="129"/>
    </row>
    <row r="55" spans="1:36" s="13" customFormat="1" ht="12" hidden="1" customHeight="1" x14ac:dyDescent="0.2">
      <c r="A55" s="127"/>
      <c r="B55" s="127"/>
      <c r="C55" s="127"/>
      <c r="D55" s="127"/>
      <c r="E55" s="127"/>
      <c r="F55" s="127"/>
      <c r="G55" s="127"/>
      <c r="H55" s="127"/>
      <c r="I55" s="127"/>
      <c r="J55" s="127"/>
      <c r="K55" s="127"/>
      <c r="L55" s="127"/>
      <c r="M55" s="127"/>
      <c r="N55" s="127"/>
      <c r="O55" s="127"/>
      <c r="P55" s="127"/>
      <c r="Q55" s="127"/>
      <c r="R55" s="127"/>
      <c r="S55" s="127"/>
      <c r="T55" s="127"/>
      <c r="U55" s="127"/>
      <c r="V55" s="127"/>
      <c r="W55" s="127"/>
      <c r="X55" s="127"/>
      <c r="Y55" s="127"/>
      <c r="Z55" s="127"/>
      <c r="AA55" s="127"/>
      <c r="AB55" s="127"/>
      <c r="AC55" s="127"/>
      <c r="AD55" s="127"/>
      <c r="AE55" s="127"/>
      <c r="AF55" s="127"/>
      <c r="AG55" s="127"/>
      <c r="AH55" s="127"/>
      <c r="AI55" s="127"/>
      <c r="AJ55" s="127"/>
    </row>
    <row r="56" spans="1:36" s="14" customFormat="1" ht="16.5" hidden="1" customHeight="1" x14ac:dyDescent="0.15">
      <c r="A56" s="128" t="s">
        <v>54</v>
      </c>
      <c r="B56" s="128"/>
      <c r="C56" s="128"/>
      <c r="D56" s="128"/>
      <c r="E56" s="128"/>
      <c r="F56" s="128"/>
      <c r="G56" s="128"/>
      <c r="H56" s="128"/>
      <c r="I56" s="128"/>
      <c r="J56" s="128"/>
      <c r="K56" s="128"/>
      <c r="L56" s="128"/>
      <c r="M56" s="128"/>
      <c r="N56" s="128"/>
      <c r="O56" s="128"/>
      <c r="P56" s="128"/>
      <c r="Q56" s="128"/>
      <c r="R56" s="128"/>
      <c r="S56" s="128"/>
      <c r="T56" s="128"/>
      <c r="U56" s="128"/>
      <c r="V56" s="128"/>
      <c r="W56" s="128"/>
      <c r="X56" s="128"/>
      <c r="Y56" s="128"/>
      <c r="Z56" s="128"/>
      <c r="AA56" s="128"/>
      <c r="AB56" s="128"/>
      <c r="AC56" s="128"/>
      <c r="AD56" s="128"/>
      <c r="AE56" s="128"/>
      <c r="AF56" s="128"/>
      <c r="AG56" s="128"/>
      <c r="AH56" s="128"/>
      <c r="AI56" s="128"/>
      <c r="AJ56" s="128"/>
    </row>
    <row r="57" spans="1:36" s="13" customFormat="1" ht="12" customHeight="1" x14ac:dyDescent="0.2">
      <c r="A57" s="13" t="s">
        <v>16</v>
      </c>
    </row>
    <row r="58" spans="1:36" s="13" customFormat="1" ht="12.95" customHeight="1" x14ac:dyDescent="0.2">
      <c r="A58" s="130" t="str">
        <f>'Данные объект'!B11</f>
        <v>ООО"Энергосистемы"</v>
      </c>
      <c r="B58" s="130"/>
      <c r="C58" s="130"/>
      <c r="D58" s="130"/>
      <c r="E58" s="130"/>
      <c r="F58" s="130"/>
      <c r="G58" s="130"/>
      <c r="H58" s="130"/>
      <c r="I58" s="130"/>
      <c r="J58" s="130"/>
      <c r="K58" s="130"/>
      <c r="L58" s="130"/>
      <c r="M58" s="130"/>
      <c r="N58" s="130"/>
      <c r="O58" s="130"/>
      <c r="P58" s="130"/>
      <c r="Q58" s="130"/>
      <c r="R58" s="130"/>
      <c r="S58" s="130"/>
      <c r="T58" s="130"/>
      <c r="U58" s="130"/>
      <c r="V58" s="130"/>
      <c r="W58" s="130"/>
      <c r="X58" s="130"/>
      <c r="Y58" s="130"/>
      <c r="Z58" s="130"/>
      <c r="AA58" s="130"/>
      <c r="AB58" s="130"/>
      <c r="AC58" s="130"/>
      <c r="AD58" s="130"/>
      <c r="AE58" s="130"/>
      <c r="AF58" s="130"/>
      <c r="AG58" s="130"/>
      <c r="AH58" s="130"/>
      <c r="AI58" s="130"/>
      <c r="AJ58" s="130"/>
    </row>
    <row r="59" spans="1:36" s="14" customFormat="1" ht="10.5" customHeight="1" x14ac:dyDescent="0.15">
      <c r="A59" s="134" t="s">
        <v>38</v>
      </c>
      <c r="B59" s="134"/>
      <c r="C59" s="134"/>
      <c r="D59" s="134"/>
      <c r="E59" s="134"/>
      <c r="F59" s="134"/>
      <c r="G59" s="134"/>
      <c r="H59" s="134"/>
      <c r="I59" s="134"/>
      <c r="J59" s="134"/>
      <c r="K59" s="134"/>
      <c r="L59" s="134"/>
      <c r="M59" s="134"/>
      <c r="N59" s="134"/>
      <c r="O59" s="134"/>
      <c r="P59" s="134"/>
      <c r="Q59" s="134"/>
      <c r="R59" s="134"/>
      <c r="S59" s="134"/>
      <c r="T59" s="134"/>
      <c r="U59" s="134"/>
      <c r="V59" s="134"/>
      <c r="W59" s="134"/>
      <c r="X59" s="134"/>
      <c r="Y59" s="134"/>
      <c r="Z59" s="134"/>
      <c r="AA59" s="134"/>
      <c r="AB59" s="134"/>
      <c r="AC59" s="134"/>
      <c r="AD59" s="134"/>
      <c r="AE59" s="134"/>
      <c r="AF59" s="134"/>
      <c r="AG59" s="134"/>
      <c r="AH59" s="134"/>
      <c r="AI59" s="134"/>
      <c r="AJ59" s="134"/>
    </row>
    <row r="60" spans="1:36" s="13" customFormat="1" ht="12" customHeight="1" x14ac:dyDescent="0.2">
      <c r="A60" s="13" t="s">
        <v>15</v>
      </c>
    </row>
    <row r="61" spans="1:36" s="13" customFormat="1" ht="12" customHeight="1" x14ac:dyDescent="0.2">
      <c r="A61" s="13" t="s">
        <v>30</v>
      </c>
    </row>
    <row r="62" spans="1:36" s="13" customFormat="1" ht="12" customHeight="1" x14ac:dyDescent="0.2">
      <c r="A62" s="146" t="s">
        <v>165</v>
      </c>
      <c r="B62" s="146"/>
      <c r="C62" s="146"/>
      <c r="D62" s="146"/>
      <c r="E62" s="146"/>
      <c r="F62" s="146"/>
      <c r="G62" s="146"/>
      <c r="H62" s="146"/>
      <c r="I62" s="146"/>
      <c r="J62" s="146"/>
      <c r="K62" s="146"/>
      <c r="L62" s="146"/>
      <c r="M62" s="146"/>
      <c r="N62" s="146"/>
      <c r="O62" s="138" t="s">
        <v>155</v>
      </c>
      <c r="P62" s="138"/>
      <c r="Q62" s="138"/>
      <c r="R62" s="138">
        <f>(17.91+0.285+0.53)/2</f>
        <v>9.3625000000000007</v>
      </c>
      <c r="S62" s="138"/>
      <c r="T62" s="138"/>
      <c r="U62" s="141" t="s">
        <v>82</v>
      </c>
      <c r="V62" s="141"/>
      <c r="W62" s="141"/>
      <c r="X62" s="141"/>
      <c r="Y62" s="141"/>
      <c r="Z62" s="141"/>
      <c r="AA62" s="141"/>
      <c r="AB62" s="74"/>
      <c r="AC62" s="141"/>
      <c r="AD62" s="141"/>
      <c r="AE62" s="141"/>
      <c r="AF62" s="141"/>
      <c r="AG62" s="141"/>
      <c r="AH62" s="73"/>
      <c r="AI62" s="73"/>
      <c r="AJ62" s="73"/>
    </row>
    <row r="63" spans="1:36" s="14" customFormat="1" ht="8.25" customHeight="1" x14ac:dyDescent="0.15">
      <c r="A63" s="128" t="s">
        <v>14</v>
      </c>
      <c r="B63" s="129"/>
      <c r="C63" s="129"/>
      <c r="D63" s="129"/>
      <c r="E63" s="129"/>
      <c r="F63" s="129"/>
      <c r="G63" s="129"/>
      <c r="H63" s="129"/>
      <c r="I63" s="129"/>
      <c r="J63" s="129"/>
      <c r="K63" s="129"/>
      <c r="L63" s="129"/>
      <c r="M63" s="129"/>
      <c r="N63" s="129"/>
      <c r="O63" s="129"/>
      <c r="P63" s="129"/>
      <c r="Q63" s="129"/>
      <c r="R63" s="129"/>
      <c r="S63" s="129"/>
      <c r="T63" s="129"/>
      <c r="U63" s="129"/>
      <c r="V63" s="129"/>
      <c r="W63" s="129"/>
      <c r="X63" s="129"/>
      <c r="Y63" s="129"/>
      <c r="Z63" s="129"/>
      <c r="AA63" s="129"/>
      <c r="AB63" s="129"/>
      <c r="AC63" s="129"/>
      <c r="AD63" s="129"/>
      <c r="AE63" s="129"/>
      <c r="AF63" s="129"/>
      <c r="AG63" s="129"/>
      <c r="AH63" s="129"/>
      <c r="AI63" s="129"/>
      <c r="AJ63" s="129"/>
    </row>
    <row r="64" spans="1:36" s="13" customFormat="1" ht="12" customHeight="1" x14ac:dyDescent="0.2">
      <c r="A64" s="13" t="s">
        <v>13</v>
      </c>
    </row>
    <row r="65" spans="1:36" s="13" customFormat="1" ht="12" customHeight="1" x14ac:dyDescent="0.2">
      <c r="A65" s="127" t="str">
        <f>'Данные объект'!B43</f>
        <v>4609-305042-221-10/24</v>
      </c>
      <c r="B65" s="127"/>
      <c r="C65" s="127"/>
      <c r="D65" s="127"/>
      <c r="E65" s="127"/>
      <c r="F65" s="127"/>
      <c r="G65" s="127"/>
      <c r="H65" s="127"/>
      <c r="I65" s="127"/>
      <c r="J65" s="127"/>
      <c r="K65" s="127"/>
      <c r="L65" s="127"/>
      <c r="M65" s="127"/>
      <c r="N65" s="127"/>
      <c r="O65" s="127"/>
      <c r="P65" s="127"/>
      <c r="Q65" s="127"/>
      <c r="R65" s="127"/>
      <c r="S65" s="127"/>
      <c r="T65" s="127"/>
      <c r="U65" s="127"/>
      <c r="V65" s="127"/>
      <c r="W65" s="127"/>
      <c r="X65" s="127"/>
      <c r="Y65" s="127"/>
      <c r="Z65" s="127"/>
      <c r="AA65" s="127"/>
      <c r="AB65" s="127"/>
      <c r="AC65" s="127"/>
      <c r="AD65" s="127"/>
      <c r="AE65" s="127"/>
      <c r="AF65" s="127"/>
      <c r="AG65" s="127"/>
      <c r="AH65" s="127"/>
      <c r="AI65" s="127"/>
      <c r="AJ65" s="127"/>
    </row>
    <row r="66" spans="1:36" s="14" customFormat="1" ht="15" customHeight="1" x14ac:dyDescent="0.15">
      <c r="A66" s="128" t="s">
        <v>39</v>
      </c>
      <c r="B66" s="129"/>
      <c r="C66" s="129"/>
      <c r="D66" s="129"/>
      <c r="E66" s="129"/>
      <c r="F66" s="129"/>
      <c r="G66" s="129"/>
      <c r="H66" s="129"/>
      <c r="I66" s="129"/>
      <c r="J66" s="129"/>
      <c r="K66" s="129"/>
      <c r="L66" s="129"/>
      <c r="M66" s="129"/>
      <c r="N66" s="129"/>
      <c r="O66" s="129"/>
      <c r="P66" s="129"/>
      <c r="Q66" s="129"/>
      <c r="R66" s="129"/>
      <c r="S66" s="129"/>
      <c r="T66" s="129"/>
      <c r="U66" s="129"/>
      <c r="V66" s="129"/>
      <c r="W66" s="129"/>
      <c r="X66" s="129"/>
      <c r="Y66" s="129"/>
      <c r="Z66" s="129"/>
      <c r="AA66" s="129"/>
      <c r="AB66" s="129"/>
      <c r="AC66" s="129"/>
      <c r="AD66" s="129"/>
      <c r="AE66" s="129"/>
      <c r="AF66" s="129"/>
      <c r="AG66" s="129"/>
      <c r="AH66" s="129"/>
      <c r="AI66" s="129"/>
      <c r="AJ66" s="129"/>
    </row>
    <row r="67" spans="1:36" s="13" customFormat="1" ht="12" customHeight="1" x14ac:dyDescent="0.2">
      <c r="A67" s="13" t="s">
        <v>12</v>
      </c>
      <c r="P67" s="130"/>
      <c r="Q67" s="130"/>
      <c r="R67" s="130"/>
      <c r="S67" s="130"/>
      <c r="T67" s="130"/>
      <c r="U67" s="130"/>
      <c r="V67" s="130"/>
      <c r="W67" s="130"/>
      <c r="X67" s="130"/>
      <c r="Y67" s="130"/>
      <c r="Z67" s="130"/>
      <c r="AA67" s="130"/>
      <c r="AB67" s="130"/>
      <c r="AC67" s="130"/>
      <c r="AD67" s="130"/>
      <c r="AE67" s="130"/>
      <c r="AF67" s="130"/>
      <c r="AG67" s="130"/>
      <c r="AH67" s="130"/>
      <c r="AI67" s="130"/>
      <c r="AJ67" s="130"/>
    </row>
    <row r="68" spans="1:36" s="18" customFormat="1" ht="7.5" customHeight="1" x14ac:dyDescent="0.15">
      <c r="A68" s="19"/>
      <c r="B68" s="19"/>
      <c r="C68" s="19"/>
      <c r="D68" s="19"/>
      <c r="E68" s="19"/>
      <c r="F68" s="19"/>
      <c r="G68" s="19"/>
      <c r="H68" s="19"/>
      <c r="I68" s="19"/>
      <c r="J68" s="19"/>
      <c r="K68" s="19"/>
      <c r="L68" s="19"/>
      <c r="M68" s="19"/>
      <c r="N68" s="19"/>
      <c r="O68" s="19"/>
      <c r="P68" s="135" t="s">
        <v>55</v>
      </c>
      <c r="Q68" s="135"/>
      <c r="R68" s="135"/>
      <c r="S68" s="135"/>
      <c r="T68" s="135"/>
      <c r="U68" s="135"/>
      <c r="V68" s="135"/>
      <c r="W68" s="135"/>
      <c r="X68" s="135"/>
      <c r="Y68" s="135"/>
      <c r="Z68" s="135"/>
      <c r="AA68" s="135"/>
      <c r="AB68" s="135"/>
      <c r="AC68" s="135"/>
      <c r="AD68" s="135"/>
      <c r="AE68" s="135"/>
      <c r="AF68" s="135"/>
      <c r="AG68" s="135"/>
      <c r="AH68" s="135"/>
      <c r="AI68" s="135"/>
      <c r="AJ68" s="135"/>
    </row>
    <row r="69" spans="1:36" s="13" customFormat="1" ht="12" customHeight="1" x14ac:dyDescent="0.2">
      <c r="A69" s="146" t="s">
        <v>91</v>
      </c>
      <c r="B69" s="146"/>
      <c r="C69" s="146"/>
      <c r="D69" s="34" t="s">
        <v>74</v>
      </c>
      <c r="E69" s="139">
        <f>R62</f>
        <v>9.3625000000000007</v>
      </c>
      <c r="F69" s="139"/>
      <c r="G69" s="139"/>
      <c r="H69" s="139"/>
      <c r="I69" s="34" t="s">
        <v>82</v>
      </c>
      <c r="J69" s="34"/>
      <c r="K69" s="147" t="s">
        <v>170</v>
      </c>
      <c r="L69" s="147"/>
      <c r="M69" s="147"/>
      <c r="N69" s="147"/>
      <c r="O69" s="147"/>
      <c r="P69" s="147"/>
      <c r="Q69" s="147"/>
      <c r="R69" s="147"/>
      <c r="S69" s="147"/>
      <c r="T69" s="147"/>
      <c r="U69" s="147"/>
      <c r="V69" s="147"/>
      <c r="W69" s="147"/>
      <c r="X69" s="147"/>
      <c r="Y69" s="147"/>
      <c r="Z69" s="147"/>
      <c r="AA69" s="147"/>
      <c r="AB69" s="147"/>
      <c r="AC69" s="147"/>
      <c r="AD69" s="147"/>
      <c r="AE69" s="34"/>
      <c r="AF69" s="34"/>
      <c r="AG69" s="34"/>
      <c r="AH69" s="34"/>
      <c r="AI69" s="34"/>
      <c r="AJ69" s="34"/>
    </row>
    <row r="70" spans="1:36" s="14" customFormat="1" ht="18.75" customHeight="1" x14ac:dyDescent="0.15">
      <c r="A70" s="128" t="s">
        <v>56</v>
      </c>
      <c r="B70" s="129"/>
      <c r="C70" s="129"/>
      <c r="D70" s="129"/>
      <c r="E70" s="129"/>
      <c r="F70" s="129"/>
      <c r="G70" s="129"/>
      <c r="H70" s="129"/>
      <c r="I70" s="129"/>
      <c r="J70" s="129"/>
      <c r="K70" s="129"/>
      <c r="L70" s="129"/>
      <c r="M70" s="129"/>
      <c r="N70" s="129"/>
      <c r="O70" s="129"/>
      <c r="P70" s="129"/>
      <c r="Q70" s="129"/>
      <c r="R70" s="129"/>
      <c r="S70" s="129"/>
      <c r="T70" s="129"/>
      <c r="U70" s="129"/>
      <c r="V70" s="129"/>
      <c r="W70" s="129"/>
      <c r="X70" s="129"/>
      <c r="Y70" s="129"/>
      <c r="Z70" s="129"/>
      <c r="AA70" s="129"/>
      <c r="AB70" s="129"/>
      <c r="AC70" s="129"/>
      <c r="AD70" s="129"/>
      <c r="AE70" s="129"/>
      <c r="AF70" s="129"/>
      <c r="AG70" s="129"/>
      <c r="AH70" s="129"/>
      <c r="AI70" s="129"/>
      <c r="AJ70" s="129"/>
    </row>
    <row r="71" spans="1:36" s="13" customFormat="1" ht="12" customHeight="1" x14ac:dyDescent="0.2">
      <c r="A71" s="13" t="s">
        <v>11</v>
      </c>
    </row>
    <row r="72" spans="1:36" s="13" customFormat="1" ht="12" customHeight="1" x14ac:dyDescent="0.2">
      <c r="A72" s="13" t="s">
        <v>10</v>
      </c>
      <c r="G72" s="130" t="s">
        <v>89</v>
      </c>
      <c r="H72" s="130"/>
      <c r="I72" s="130"/>
      <c r="J72" s="130"/>
      <c r="K72" s="130"/>
      <c r="L72" s="130"/>
      <c r="M72" s="130"/>
      <c r="N72" s="130"/>
      <c r="O72" s="130"/>
      <c r="P72" s="130"/>
      <c r="Q72" s="130"/>
      <c r="R72" s="130"/>
      <c r="S72" s="130"/>
      <c r="T72" s="130"/>
      <c r="U72" s="130"/>
      <c r="V72" s="25" t="s">
        <v>88</v>
      </c>
      <c r="W72" s="130"/>
      <c r="X72" s="130"/>
      <c r="Y72" s="130"/>
      <c r="Z72" s="130"/>
      <c r="AA72" s="130"/>
      <c r="AB72" s="130"/>
      <c r="AC72" s="130"/>
      <c r="AD72" s="130"/>
      <c r="AE72" s="130"/>
      <c r="AF72" s="130"/>
      <c r="AG72" s="130"/>
      <c r="AH72" s="130"/>
      <c r="AI72" s="130"/>
      <c r="AJ72" s="130"/>
    </row>
    <row r="73" spans="1:36" s="14" customFormat="1" ht="7.5" customHeight="1" x14ac:dyDescent="0.15">
      <c r="A73" s="133"/>
      <c r="B73" s="133"/>
      <c r="C73" s="20"/>
      <c r="D73" s="20"/>
      <c r="E73" s="20"/>
      <c r="F73" s="20"/>
      <c r="G73" s="129" t="s">
        <v>9</v>
      </c>
      <c r="H73" s="129"/>
      <c r="I73" s="129"/>
      <c r="J73" s="129"/>
      <c r="K73" s="129"/>
      <c r="L73" s="129"/>
      <c r="M73" s="129"/>
      <c r="N73" s="129"/>
      <c r="O73" s="129"/>
      <c r="P73" s="129"/>
      <c r="Q73" s="129"/>
      <c r="R73" s="129"/>
      <c r="S73" s="129"/>
      <c r="T73" s="129"/>
      <c r="U73" s="129"/>
      <c r="V73" s="129"/>
      <c r="W73" s="129"/>
      <c r="X73" s="129"/>
      <c r="Y73" s="129"/>
      <c r="Z73" s="129"/>
      <c r="AA73" s="129"/>
      <c r="AB73" s="129"/>
      <c r="AC73" s="129"/>
      <c r="AD73" s="129"/>
      <c r="AE73" s="129"/>
      <c r="AF73" s="129"/>
      <c r="AG73" s="129"/>
      <c r="AH73" s="129"/>
      <c r="AI73" s="129"/>
      <c r="AJ73" s="129"/>
    </row>
    <row r="74" spans="1:36" s="13" customFormat="1" ht="12" customHeight="1" x14ac:dyDescent="0.2">
      <c r="A74" s="130"/>
      <c r="B74" s="130"/>
      <c r="C74" s="130"/>
      <c r="D74" s="130"/>
      <c r="E74" s="130"/>
      <c r="F74" s="130"/>
      <c r="G74" s="130"/>
      <c r="H74" s="130"/>
      <c r="I74" s="130"/>
      <c r="J74" s="130"/>
      <c r="K74" s="130"/>
      <c r="L74" s="130"/>
      <c r="M74" s="130"/>
      <c r="N74" s="130"/>
      <c r="O74" s="130"/>
      <c r="P74" s="130"/>
      <c r="Q74" s="130"/>
      <c r="R74" s="130"/>
      <c r="S74" s="130"/>
      <c r="T74" s="130"/>
      <c r="U74" s="130"/>
      <c r="V74" s="130"/>
      <c r="W74" s="130"/>
      <c r="X74" s="130"/>
      <c r="Y74" s="130"/>
      <c r="Z74" s="130"/>
      <c r="AA74" s="130"/>
      <c r="AB74" s="130"/>
      <c r="AC74" s="130"/>
      <c r="AD74" s="130"/>
      <c r="AE74" s="130"/>
      <c r="AF74" s="130"/>
      <c r="AG74" s="130"/>
      <c r="AH74" s="130"/>
      <c r="AI74" s="130"/>
      <c r="AJ74" s="130"/>
    </row>
    <row r="75" spans="1:36" s="14" customFormat="1" ht="7.5" customHeight="1" x14ac:dyDescent="0.15">
      <c r="A75" s="128" t="s">
        <v>31</v>
      </c>
      <c r="B75" s="129"/>
      <c r="C75" s="129"/>
      <c r="D75" s="129"/>
      <c r="E75" s="129"/>
      <c r="F75" s="129"/>
      <c r="G75" s="129"/>
      <c r="H75" s="129"/>
      <c r="I75" s="129"/>
      <c r="J75" s="129"/>
      <c r="K75" s="129"/>
      <c r="L75" s="129"/>
      <c r="M75" s="129"/>
      <c r="N75" s="129"/>
      <c r="O75" s="129"/>
      <c r="P75" s="129"/>
      <c r="Q75" s="129"/>
      <c r="R75" s="129"/>
      <c r="S75" s="129"/>
      <c r="T75" s="129"/>
      <c r="U75" s="129"/>
      <c r="V75" s="129"/>
      <c r="W75" s="129"/>
      <c r="X75" s="129"/>
      <c r="Y75" s="129"/>
      <c r="Z75" s="129"/>
      <c r="AA75" s="129"/>
      <c r="AB75" s="129"/>
      <c r="AC75" s="129"/>
      <c r="AD75" s="129"/>
      <c r="AE75" s="129"/>
      <c r="AF75" s="129"/>
      <c r="AG75" s="129"/>
      <c r="AH75" s="129"/>
      <c r="AI75" s="129"/>
      <c r="AJ75" s="129"/>
    </row>
    <row r="76" spans="1:36" ht="9" customHeight="1" x14ac:dyDescent="0.25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9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  <c r="AC76" s="8"/>
      <c r="AD76" s="8"/>
      <c r="AE76" s="8"/>
      <c r="AF76" s="8"/>
      <c r="AG76" s="8"/>
      <c r="AH76" s="8"/>
      <c r="AI76" s="8"/>
      <c r="AJ76" s="8"/>
    </row>
    <row r="77" spans="1:36" s="13" customFormat="1" ht="12" customHeight="1" x14ac:dyDescent="0.2">
      <c r="A77" s="13" t="s">
        <v>8</v>
      </c>
      <c r="D77" s="28"/>
      <c r="E77" s="28"/>
      <c r="F77" s="28"/>
      <c r="G77" s="28"/>
      <c r="L77" s="21"/>
      <c r="M77" s="32"/>
      <c r="N77" s="32"/>
      <c r="P77" s="131">
        <f>'Данные объект'!B6</f>
        <v>45695</v>
      </c>
      <c r="Q77" s="131"/>
      <c r="R77" s="131"/>
      <c r="S77" s="131"/>
      <c r="T77" s="131"/>
      <c r="U77" s="131"/>
      <c r="V77" s="131"/>
      <c r="W77" s="131"/>
      <c r="X77" s="13" t="s">
        <v>6</v>
      </c>
    </row>
    <row r="78" spans="1:36" s="13" customFormat="1" ht="12" customHeight="1" x14ac:dyDescent="0.2">
      <c r="A78" s="13" t="s">
        <v>7</v>
      </c>
      <c r="D78" s="28"/>
      <c r="E78" s="28"/>
      <c r="F78" s="28"/>
      <c r="G78" s="28"/>
      <c r="L78" s="21"/>
      <c r="M78" s="32"/>
      <c r="N78" s="32"/>
      <c r="P78" s="132">
        <f>'Данные объект'!B7</f>
        <v>45819</v>
      </c>
      <c r="Q78" s="132"/>
      <c r="R78" s="132"/>
      <c r="S78" s="132"/>
      <c r="T78" s="132"/>
      <c r="U78" s="132"/>
      <c r="V78" s="132"/>
      <c r="W78" s="132"/>
      <c r="X78" s="13" t="s">
        <v>6</v>
      </c>
    </row>
    <row r="79" spans="1:36" ht="7.5" customHeight="1" x14ac:dyDescent="0.25">
      <c r="A79" s="7"/>
      <c r="B79" s="7"/>
      <c r="C79" s="7"/>
      <c r="D79" s="10"/>
      <c r="E79" s="10"/>
      <c r="F79" s="10"/>
      <c r="G79" s="10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</row>
    <row r="80" spans="1:36" s="13" customFormat="1" ht="12" customHeight="1" x14ac:dyDescent="0.2">
      <c r="A80" s="13" t="s">
        <v>5</v>
      </c>
    </row>
    <row r="81" spans="1:36" s="13" customFormat="1" ht="12" customHeight="1" x14ac:dyDescent="0.2">
      <c r="A81" s="137" t="s">
        <v>103</v>
      </c>
      <c r="B81" s="137"/>
      <c r="C81" s="137"/>
      <c r="D81" s="137"/>
      <c r="E81" s="137"/>
      <c r="F81" s="137"/>
      <c r="G81" s="137"/>
      <c r="H81" s="137"/>
      <c r="I81" s="137"/>
      <c r="J81" s="137"/>
      <c r="K81" s="137"/>
      <c r="L81" s="137"/>
      <c r="M81" s="137"/>
      <c r="N81" s="137"/>
      <c r="O81" s="137"/>
      <c r="P81" s="137"/>
      <c r="Q81" s="137"/>
      <c r="R81" s="137"/>
      <c r="S81" s="137"/>
      <c r="T81" s="137"/>
      <c r="U81" s="137"/>
      <c r="V81" s="137"/>
      <c r="W81" s="137"/>
      <c r="X81" s="137"/>
      <c r="Y81" s="137"/>
      <c r="Z81" s="137"/>
      <c r="AA81" s="137"/>
      <c r="AB81" s="137"/>
      <c r="AC81" s="137"/>
      <c r="AD81" s="137"/>
      <c r="AE81" s="137"/>
      <c r="AF81" s="137"/>
      <c r="AG81" s="137"/>
      <c r="AH81" s="137"/>
      <c r="AI81" s="137"/>
      <c r="AJ81" s="137"/>
    </row>
    <row r="82" spans="1:36" s="14" customFormat="1" ht="8.25" customHeight="1" x14ac:dyDescent="0.15">
      <c r="A82" s="128" t="s">
        <v>4</v>
      </c>
      <c r="B82" s="129"/>
      <c r="C82" s="129"/>
      <c r="D82" s="129"/>
      <c r="E82" s="129"/>
      <c r="F82" s="129"/>
      <c r="G82" s="129"/>
      <c r="H82" s="129"/>
      <c r="I82" s="129"/>
      <c r="J82" s="129"/>
      <c r="K82" s="129"/>
      <c r="L82" s="129"/>
      <c r="M82" s="129"/>
      <c r="N82" s="129"/>
      <c r="O82" s="129"/>
      <c r="P82" s="129"/>
      <c r="Q82" s="129"/>
      <c r="R82" s="129"/>
      <c r="S82" s="129"/>
      <c r="T82" s="129"/>
      <c r="U82" s="129"/>
      <c r="V82" s="129"/>
      <c r="W82" s="129"/>
      <c r="X82" s="129"/>
      <c r="Y82" s="129"/>
      <c r="Z82" s="129"/>
      <c r="AA82" s="129"/>
      <c r="AB82" s="129"/>
      <c r="AC82" s="129"/>
      <c r="AD82" s="129"/>
      <c r="AE82" s="129"/>
      <c r="AF82" s="129"/>
      <c r="AG82" s="129"/>
      <c r="AH82" s="129"/>
      <c r="AI82" s="129"/>
      <c r="AJ82" s="129"/>
    </row>
    <row r="83" spans="1:36" s="13" customFormat="1" ht="12" customHeight="1" x14ac:dyDescent="0.2">
      <c r="A83" s="130"/>
      <c r="B83" s="130"/>
      <c r="C83" s="130"/>
      <c r="D83" s="130"/>
      <c r="E83" s="130"/>
      <c r="F83" s="130"/>
      <c r="G83" s="130"/>
      <c r="H83" s="130"/>
      <c r="I83" s="130"/>
      <c r="J83" s="130"/>
      <c r="K83" s="130"/>
      <c r="L83" s="130"/>
      <c r="M83" s="130"/>
      <c r="N83" s="130"/>
      <c r="O83" s="130"/>
      <c r="P83" s="130"/>
      <c r="Q83" s="130"/>
      <c r="R83" s="130"/>
      <c r="S83" s="130"/>
      <c r="T83" s="130"/>
      <c r="U83" s="130"/>
      <c r="V83" s="130"/>
      <c r="W83" s="130"/>
      <c r="X83" s="130"/>
      <c r="Y83" s="130"/>
      <c r="Z83" s="130"/>
      <c r="AA83" s="130"/>
      <c r="AB83" s="130"/>
      <c r="AC83" s="130"/>
      <c r="AD83" s="130"/>
      <c r="AE83" s="130"/>
      <c r="AF83" s="130"/>
      <c r="AG83" s="130"/>
      <c r="AH83" s="130"/>
      <c r="AI83" s="130"/>
      <c r="AJ83" s="130"/>
    </row>
    <row r="84" spans="1:36" s="14" customFormat="1" ht="8.25" customHeight="1" x14ac:dyDescent="0.15">
      <c r="A84" s="128" t="s">
        <v>57</v>
      </c>
      <c r="B84" s="129"/>
      <c r="C84" s="129"/>
      <c r="D84" s="129"/>
      <c r="E84" s="129"/>
      <c r="F84" s="129"/>
      <c r="G84" s="129"/>
      <c r="H84" s="129"/>
      <c r="I84" s="129"/>
      <c r="J84" s="129"/>
      <c r="K84" s="129"/>
      <c r="L84" s="129"/>
      <c r="M84" s="129"/>
      <c r="N84" s="129"/>
      <c r="O84" s="129"/>
      <c r="P84" s="129"/>
      <c r="Q84" s="129"/>
      <c r="R84" s="129"/>
      <c r="S84" s="129"/>
      <c r="T84" s="129"/>
      <c r="U84" s="129"/>
      <c r="V84" s="129"/>
      <c r="W84" s="129"/>
      <c r="X84" s="129"/>
      <c r="Y84" s="129"/>
      <c r="Z84" s="129"/>
      <c r="AA84" s="129"/>
      <c r="AB84" s="129"/>
      <c r="AC84" s="129"/>
      <c r="AD84" s="129"/>
      <c r="AE84" s="129"/>
      <c r="AF84" s="129"/>
      <c r="AG84" s="129"/>
      <c r="AH84" s="129"/>
      <c r="AI84" s="129"/>
      <c r="AJ84" s="129"/>
    </row>
    <row r="85" spans="1:36" s="13" customFormat="1" ht="12" customHeight="1" x14ac:dyDescent="0.2">
      <c r="A85" s="13" t="s">
        <v>3</v>
      </c>
    </row>
    <row r="86" spans="1:36" s="13" customFormat="1" ht="12" customHeight="1" x14ac:dyDescent="0.2">
      <c r="A86" s="130" t="s">
        <v>169</v>
      </c>
      <c r="B86" s="130"/>
      <c r="C86" s="130"/>
      <c r="D86" s="130"/>
      <c r="E86" s="130"/>
      <c r="F86" s="130"/>
      <c r="G86" s="130"/>
      <c r="H86" s="130"/>
      <c r="I86" s="130"/>
      <c r="J86" s="130"/>
      <c r="K86" s="130"/>
      <c r="L86" s="130"/>
      <c r="M86" s="130"/>
      <c r="N86" s="130"/>
      <c r="O86" s="130"/>
      <c r="P86" s="130"/>
      <c r="Q86" s="130"/>
      <c r="R86" s="130"/>
      <c r="S86" s="130"/>
      <c r="T86" s="130"/>
      <c r="U86" s="130"/>
      <c r="V86" s="130"/>
      <c r="W86" s="130"/>
      <c r="X86" s="130"/>
      <c r="Y86" s="130"/>
      <c r="Z86" s="130"/>
      <c r="AA86" s="130"/>
      <c r="AB86" s="130"/>
      <c r="AC86" s="130"/>
      <c r="AD86" s="130"/>
      <c r="AE86" s="130"/>
      <c r="AF86" s="130"/>
      <c r="AG86" s="130"/>
      <c r="AH86" s="130"/>
      <c r="AI86" s="130"/>
      <c r="AJ86" s="130"/>
    </row>
    <row r="87" spans="1:36" s="14" customFormat="1" ht="9" customHeight="1" x14ac:dyDescent="0.15">
      <c r="A87" s="128" t="s">
        <v>32</v>
      </c>
      <c r="B87" s="129"/>
      <c r="C87" s="129"/>
      <c r="D87" s="129"/>
      <c r="E87" s="129"/>
      <c r="F87" s="129"/>
      <c r="G87" s="129"/>
      <c r="H87" s="129"/>
      <c r="I87" s="129"/>
      <c r="J87" s="129"/>
      <c r="K87" s="129"/>
      <c r="L87" s="129"/>
      <c r="M87" s="129"/>
      <c r="N87" s="129"/>
      <c r="O87" s="129"/>
      <c r="P87" s="129"/>
      <c r="Q87" s="129"/>
      <c r="R87" s="129"/>
      <c r="S87" s="129"/>
      <c r="T87" s="129"/>
      <c r="U87" s="129"/>
      <c r="V87" s="129"/>
      <c r="W87" s="129"/>
      <c r="X87" s="129"/>
      <c r="Y87" s="129"/>
      <c r="Z87" s="129"/>
      <c r="AA87" s="129"/>
      <c r="AB87" s="129"/>
      <c r="AC87" s="129"/>
      <c r="AD87" s="129"/>
      <c r="AE87" s="129"/>
      <c r="AF87" s="129"/>
      <c r="AG87" s="129"/>
      <c r="AH87" s="129"/>
      <c r="AI87" s="129"/>
      <c r="AJ87" s="129"/>
    </row>
    <row r="88" spans="1:36" s="13" customFormat="1" ht="12" customHeight="1" x14ac:dyDescent="0.2">
      <c r="A88" s="13" t="s">
        <v>2</v>
      </c>
      <c r="L88" s="130"/>
      <c r="M88" s="130"/>
      <c r="N88" s="130"/>
      <c r="O88" s="130"/>
      <c r="P88" s="130"/>
      <c r="Q88" s="130"/>
      <c r="R88" s="130"/>
      <c r="S88" s="130"/>
      <c r="T88" s="130"/>
      <c r="U88" s="130"/>
      <c r="V88" s="130"/>
      <c r="W88" s="130"/>
      <c r="X88" s="130"/>
      <c r="Y88" s="130"/>
      <c r="Z88" s="130"/>
      <c r="AA88" s="130"/>
      <c r="AB88" s="130"/>
      <c r="AC88" s="130"/>
      <c r="AD88" s="130"/>
      <c r="AE88" s="130"/>
      <c r="AF88" s="130"/>
      <c r="AG88" s="130"/>
      <c r="AH88" s="130"/>
      <c r="AI88" s="130"/>
      <c r="AJ88" s="130"/>
    </row>
    <row r="89" spans="1:36" ht="6" customHeight="1" x14ac:dyDescent="0.25">
      <c r="A89" s="4"/>
      <c r="B89" s="4"/>
      <c r="C89" s="4"/>
      <c r="D89" s="11"/>
      <c r="E89" s="11"/>
      <c r="F89" s="11"/>
      <c r="G89" s="11"/>
      <c r="H89" s="11"/>
      <c r="I89" s="11"/>
      <c r="J89" s="11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</row>
    <row r="90" spans="1:36" s="13" customFormat="1" ht="12" customHeight="1" x14ac:dyDescent="0.2">
      <c r="A90" s="13" t="s">
        <v>87</v>
      </c>
      <c r="H90" s="130"/>
      <c r="I90" s="130"/>
      <c r="J90" s="13" t="s">
        <v>33</v>
      </c>
    </row>
    <row r="91" spans="1:36" ht="4.5" customHeight="1" x14ac:dyDescent="0.25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</row>
    <row r="92" spans="1:36" s="13" customFormat="1" ht="12" customHeight="1" x14ac:dyDescent="0.2">
      <c r="A92" s="13" t="s">
        <v>1</v>
      </c>
    </row>
    <row r="93" spans="1:36" s="13" customFormat="1" ht="12" customHeight="1" x14ac:dyDescent="0.2">
      <c r="A93" s="25" t="s">
        <v>83</v>
      </c>
      <c r="B93" s="25" t="str">
        <f>G72</f>
        <v>Исполнителная схема устройства траншеи</v>
      </c>
      <c r="C93" s="25"/>
      <c r="D93" s="25"/>
      <c r="E93" s="25"/>
      <c r="F93" s="25"/>
      <c r="G93" s="25"/>
      <c r="H93" s="25"/>
      <c r="I93" s="25"/>
      <c r="J93" s="25"/>
      <c r="K93" s="25"/>
      <c r="L93" s="26"/>
      <c r="M93" s="25"/>
      <c r="N93" s="25"/>
      <c r="O93" s="25"/>
      <c r="P93" s="26" t="s">
        <v>74</v>
      </c>
      <c r="Q93" s="25" t="s">
        <v>84</v>
      </c>
      <c r="R93" s="25"/>
      <c r="S93" s="25"/>
      <c r="T93" s="25"/>
      <c r="U93" s="25"/>
      <c r="V93" s="25"/>
      <c r="W93" s="25"/>
      <c r="X93" s="25"/>
      <c r="Y93" s="25"/>
      <c r="Z93" s="25"/>
      <c r="AA93" s="25"/>
      <c r="AB93" s="25"/>
      <c r="AC93" s="25"/>
      <c r="AD93" s="25"/>
      <c r="AE93" s="25"/>
      <c r="AF93" s="25"/>
      <c r="AG93" s="25"/>
      <c r="AH93" s="25"/>
      <c r="AI93" s="25"/>
      <c r="AJ93" s="25"/>
    </row>
    <row r="94" spans="1:36" s="13" customFormat="1" ht="12" customHeight="1" x14ac:dyDescent="0.2">
      <c r="A94" s="33" t="s">
        <v>85</v>
      </c>
      <c r="B94" s="148" t="str">
        <f>K69</f>
        <v>Паспорт качества № 1925 от 15.01.2025г.</v>
      </c>
      <c r="C94" s="148"/>
      <c r="D94" s="148"/>
      <c r="E94" s="148"/>
      <c r="F94" s="148"/>
      <c r="G94" s="148"/>
      <c r="H94" s="148"/>
      <c r="I94" s="148"/>
      <c r="J94" s="148"/>
      <c r="K94" s="148"/>
      <c r="L94" s="148"/>
      <c r="M94" s="148"/>
      <c r="N94" s="148"/>
      <c r="O94" s="148"/>
      <c r="P94" s="29" t="s">
        <v>74</v>
      </c>
      <c r="Q94" s="33" t="s">
        <v>84</v>
      </c>
      <c r="R94" s="33"/>
      <c r="S94" s="33"/>
      <c r="T94" s="33"/>
      <c r="U94" s="33"/>
      <c r="V94" s="33"/>
      <c r="W94" s="33"/>
      <c r="X94" s="33"/>
      <c r="Y94" s="33"/>
      <c r="Z94" s="33"/>
      <c r="AA94" s="33"/>
      <c r="AB94" s="33"/>
      <c r="AC94" s="33"/>
      <c r="AD94" s="33"/>
      <c r="AE94" s="33"/>
      <c r="AF94" s="33"/>
      <c r="AG94" s="33"/>
      <c r="AH94" s="33"/>
      <c r="AI94" s="33"/>
      <c r="AJ94" s="33"/>
    </row>
    <row r="95" spans="1:36" s="14" customFormat="1" ht="9.75" customHeight="1" x14ac:dyDescent="0.15">
      <c r="A95" s="128" t="s">
        <v>0</v>
      </c>
      <c r="B95" s="129"/>
      <c r="C95" s="129"/>
      <c r="D95" s="129"/>
      <c r="E95" s="129"/>
      <c r="F95" s="129"/>
      <c r="G95" s="129"/>
      <c r="H95" s="129"/>
      <c r="I95" s="129"/>
      <c r="J95" s="129"/>
      <c r="K95" s="129"/>
      <c r="L95" s="129"/>
      <c r="M95" s="129"/>
      <c r="N95" s="129"/>
      <c r="O95" s="129"/>
      <c r="P95" s="129"/>
      <c r="Q95" s="129"/>
      <c r="R95" s="129"/>
      <c r="S95" s="129"/>
      <c r="T95" s="129"/>
      <c r="U95" s="129"/>
      <c r="V95" s="129"/>
      <c r="W95" s="129"/>
      <c r="X95" s="129"/>
      <c r="Y95" s="129"/>
      <c r="Z95" s="129"/>
      <c r="AA95" s="129"/>
      <c r="AB95" s="129"/>
      <c r="AC95" s="129"/>
      <c r="AD95" s="129"/>
      <c r="AE95" s="129"/>
      <c r="AF95" s="129"/>
      <c r="AG95" s="129"/>
      <c r="AH95" s="129"/>
      <c r="AI95" s="129"/>
      <c r="AJ95" s="129"/>
    </row>
    <row r="96" spans="1:36" ht="6.75" customHeight="1" x14ac:dyDescent="0.25">
      <c r="A96" s="12"/>
      <c r="B96" s="12"/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  <c r="AA96" s="12"/>
      <c r="AB96" s="12"/>
      <c r="AC96" s="12"/>
      <c r="AD96" s="12"/>
      <c r="AE96" s="12"/>
      <c r="AF96" s="12"/>
      <c r="AG96" s="12"/>
      <c r="AH96" s="12"/>
      <c r="AI96" s="12"/>
      <c r="AJ96" s="12"/>
    </row>
    <row r="97" spans="1:36" s="13" customFormat="1" ht="12" customHeight="1" x14ac:dyDescent="0.2">
      <c r="A97" s="13" t="s">
        <v>23</v>
      </c>
    </row>
    <row r="98" spans="1:36" s="13" customFormat="1" ht="12" customHeight="1" x14ac:dyDescent="0.2">
      <c r="A98" s="13" t="s">
        <v>24</v>
      </c>
    </row>
    <row r="99" spans="1:36" s="13" customFormat="1" ht="12" customHeight="1" x14ac:dyDescent="0.2">
      <c r="A99" s="130" t="str">
        <f>'Данные объект'!B33</f>
        <v>Алексанян Г.Р.</v>
      </c>
      <c r="B99" s="130"/>
      <c r="C99" s="130"/>
      <c r="D99" s="130"/>
      <c r="E99" s="130"/>
      <c r="F99" s="130"/>
      <c r="G99" s="130"/>
      <c r="H99" s="130"/>
      <c r="I99" s="130"/>
      <c r="J99" s="130"/>
      <c r="K99" s="130"/>
      <c r="L99" s="130"/>
      <c r="M99" s="130"/>
      <c r="N99" s="130"/>
      <c r="O99" s="130"/>
      <c r="P99" s="32"/>
      <c r="Q99" s="32"/>
      <c r="R99" s="32"/>
      <c r="S99" s="32"/>
      <c r="T99" s="32"/>
      <c r="U99" s="32"/>
      <c r="V99" s="32"/>
      <c r="W99" s="32"/>
      <c r="X99" s="32"/>
      <c r="Y99" s="32"/>
      <c r="Z99" s="32"/>
      <c r="AA99" s="32"/>
      <c r="AB99" s="130"/>
      <c r="AC99" s="130"/>
      <c r="AD99" s="130"/>
      <c r="AE99" s="130"/>
      <c r="AF99" s="130"/>
      <c r="AG99" s="130"/>
      <c r="AH99" s="130"/>
      <c r="AI99" s="130"/>
      <c r="AJ99" s="130"/>
    </row>
    <row r="100" spans="1:36" s="14" customFormat="1" ht="9" customHeight="1" x14ac:dyDescent="0.15">
      <c r="A100" s="134" t="s">
        <v>35</v>
      </c>
      <c r="B100" s="134"/>
      <c r="C100" s="134"/>
      <c r="D100" s="134"/>
      <c r="E100" s="134"/>
      <c r="F100" s="134"/>
      <c r="G100" s="134"/>
      <c r="H100" s="134"/>
      <c r="I100" s="134"/>
      <c r="J100" s="134"/>
      <c r="K100" s="134"/>
      <c r="L100" s="134"/>
      <c r="M100" s="134"/>
      <c r="N100" s="134"/>
      <c r="O100" s="134"/>
      <c r="P100" s="17"/>
      <c r="Q100" s="17"/>
      <c r="R100" s="17"/>
      <c r="S100" s="17"/>
      <c r="T100" s="17"/>
      <c r="U100" s="18"/>
      <c r="V100" s="18"/>
      <c r="W100" s="18"/>
      <c r="X100" s="18"/>
      <c r="Y100" s="18"/>
      <c r="Z100" s="18"/>
      <c r="AA100" s="18"/>
      <c r="AB100" s="135" t="s">
        <v>34</v>
      </c>
      <c r="AC100" s="135"/>
      <c r="AD100" s="135"/>
      <c r="AE100" s="135"/>
      <c r="AF100" s="135"/>
      <c r="AG100" s="135"/>
      <c r="AH100" s="135"/>
      <c r="AI100" s="135"/>
      <c r="AJ100" s="135"/>
    </row>
    <row r="101" spans="1:36" s="13" customFormat="1" ht="12" customHeight="1" x14ac:dyDescent="0.2">
      <c r="A101" s="13" t="s">
        <v>25</v>
      </c>
    </row>
    <row r="102" spans="1:36" s="13" customFormat="1" ht="12" customHeight="1" x14ac:dyDescent="0.2">
      <c r="A102" s="130" t="str">
        <f>'Данные объект'!B20</f>
        <v>Волков М.Ю.</v>
      </c>
      <c r="B102" s="130"/>
      <c r="C102" s="130"/>
      <c r="D102" s="130"/>
      <c r="E102" s="130"/>
      <c r="F102" s="130"/>
      <c r="G102" s="130"/>
      <c r="H102" s="130"/>
      <c r="I102" s="130"/>
      <c r="J102" s="130"/>
      <c r="K102" s="130"/>
      <c r="L102" s="130"/>
      <c r="M102" s="130"/>
      <c r="N102" s="130"/>
      <c r="O102" s="130"/>
      <c r="P102" s="32"/>
      <c r="Q102" s="32"/>
      <c r="R102" s="32"/>
      <c r="S102" s="32"/>
      <c r="T102" s="32"/>
      <c r="U102" s="32"/>
      <c r="V102" s="32"/>
      <c r="W102" s="32"/>
      <c r="X102" s="32"/>
      <c r="Y102" s="32"/>
      <c r="Z102" s="32"/>
      <c r="AA102" s="32"/>
      <c r="AB102" s="130"/>
      <c r="AC102" s="130"/>
      <c r="AD102" s="130"/>
      <c r="AE102" s="130"/>
      <c r="AF102" s="130"/>
      <c r="AG102" s="130"/>
      <c r="AH102" s="130"/>
      <c r="AI102" s="130"/>
      <c r="AJ102" s="130"/>
    </row>
    <row r="103" spans="1:36" s="14" customFormat="1" ht="9" customHeight="1" x14ac:dyDescent="0.15">
      <c r="A103" s="134" t="s">
        <v>35</v>
      </c>
      <c r="B103" s="134"/>
      <c r="C103" s="134"/>
      <c r="D103" s="134"/>
      <c r="E103" s="134"/>
      <c r="F103" s="134"/>
      <c r="G103" s="134"/>
      <c r="H103" s="134"/>
      <c r="I103" s="134"/>
      <c r="J103" s="134"/>
      <c r="K103" s="134"/>
      <c r="L103" s="134"/>
      <c r="M103" s="134"/>
      <c r="N103" s="134"/>
      <c r="O103" s="134"/>
      <c r="P103" s="17"/>
      <c r="Q103" s="17"/>
      <c r="R103" s="17"/>
      <c r="S103" s="17"/>
      <c r="T103" s="17"/>
      <c r="U103" s="18"/>
      <c r="V103" s="18"/>
      <c r="W103" s="18"/>
      <c r="X103" s="18"/>
      <c r="Y103" s="18"/>
      <c r="Z103" s="18"/>
      <c r="AA103" s="18"/>
      <c r="AB103" s="135" t="s">
        <v>34</v>
      </c>
      <c r="AC103" s="135"/>
      <c r="AD103" s="135"/>
      <c r="AE103" s="135"/>
      <c r="AF103" s="135"/>
      <c r="AG103" s="135"/>
      <c r="AH103" s="135"/>
      <c r="AI103" s="135"/>
      <c r="AJ103" s="135"/>
    </row>
    <row r="104" spans="1:36" s="13" customFormat="1" ht="12" customHeight="1" x14ac:dyDescent="0.2">
      <c r="A104" s="13" t="s">
        <v>27</v>
      </c>
    </row>
    <row r="105" spans="1:36" s="13" customFormat="1" ht="12" customHeight="1" x14ac:dyDescent="0.2">
      <c r="A105" s="13" t="s">
        <v>28</v>
      </c>
    </row>
    <row r="106" spans="1:36" s="13" customFormat="1" ht="12" customHeight="1" x14ac:dyDescent="0.2">
      <c r="A106" s="130" t="str">
        <f>'Данные объект'!B17</f>
        <v>Русин В.А.</v>
      </c>
      <c r="B106" s="130"/>
      <c r="C106" s="130"/>
      <c r="D106" s="130"/>
      <c r="E106" s="130"/>
      <c r="F106" s="130"/>
      <c r="G106" s="130"/>
      <c r="H106" s="130"/>
      <c r="I106" s="130"/>
      <c r="J106" s="130"/>
      <c r="K106" s="130"/>
      <c r="L106" s="130"/>
      <c r="M106" s="130"/>
      <c r="N106" s="130"/>
      <c r="O106" s="130"/>
      <c r="P106" s="32"/>
      <c r="Q106" s="32"/>
      <c r="R106" s="32"/>
      <c r="S106" s="32"/>
      <c r="T106" s="32"/>
      <c r="U106" s="32"/>
      <c r="V106" s="32"/>
      <c r="W106" s="32"/>
      <c r="X106" s="32"/>
      <c r="Y106" s="32"/>
      <c r="Z106" s="32"/>
      <c r="AA106" s="32"/>
      <c r="AB106" s="130"/>
      <c r="AC106" s="130"/>
      <c r="AD106" s="130"/>
      <c r="AE106" s="130"/>
      <c r="AF106" s="130"/>
      <c r="AG106" s="130"/>
      <c r="AH106" s="130"/>
      <c r="AI106" s="130"/>
      <c r="AJ106" s="130"/>
    </row>
    <row r="107" spans="1:36" s="14" customFormat="1" ht="9" customHeight="1" x14ac:dyDescent="0.15">
      <c r="A107" s="134" t="s">
        <v>35</v>
      </c>
      <c r="B107" s="134"/>
      <c r="C107" s="134"/>
      <c r="D107" s="134"/>
      <c r="E107" s="134"/>
      <c r="F107" s="134"/>
      <c r="G107" s="134"/>
      <c r="H107" s="134"/>
      <c r="I107" s="134"/>
      <c r="J107" s="134"/>
      <c r="K107" s="134"/>
      <c r="L107" s="134"/>
      <c r="M107" s="134"/>
      <c r="N107" s="134"/>
      <c r="O107" s="134"/>
      <c r="P107" s="17"/>
      <c r="Q107" s="17"/>
      <c r="R107" s="17"/>
      <c r="S107" s="17"/>
      <c r="T107" s="17"/>
      <c r="U107" s="18"/>
      <c r="V107" s="18"/>
      <c r="W107" s="18"/>
      <c r="X107" s="18"/>
      <c r="Y107" s="18"/>
      <c r="Z107" s="18"/>
      <c r="AA107" s="18"/>
      <c r="AB107" s="135" t="s">
        <v>34</v>
      </c>
      <c r="AC107" s="135"/>
      <c r="AD107" s="135"/>
      <c r="AE107" s="135"/>
      <c r="AF107" s="135"/>
      <c r="AG107" s="135"/>
      <c r="AH107" s="135"/>
      <c r="AI107" s="135"/>
      <c r="AJ107" s="135"/>
    </row>
    <row r="108" spans="1:36" s="14" customFormat="1" ht="11.25" x14ac:dyDescent="0.2">
      <c r="A108" s="13" t="s">
        <v>191</v>
      </c>
      <c r="B108" s="86"/>
      <c r="C108" s="86"/>
      <c r="D108" s="86"/>
      <c r="E108" s="86"/>
      <c r="F108" s="86"/>
      <c r="G108" s="86"/>
      <c r="H108" s="86"/>
      <c r="I108" s="86"/>
      <c r="J108" s="86"/>
      <c r="K108" s="86"/>
      <c r="L108" s="86"/>
      <c r="M108" s="86"/>
      <c r="N108" s="86"/>
      <c r="O108" s="86"/>
      <c r="P108" s="95"/>
      <c r="Q108" s="95"/>
      <c r="R108" s="95"/>
      <c r="S108" s="95"/>
      <c r="T108" s="95"/>
      <c r="U108" s="96"/>
      <c r="V108" s="96"/>
      <c r="W108" s="96"/>
      <c r="X108" s="96"/>
      <c r="Y108" s="96"/>
      <c r="Z108" s="96"/>
      <c r="AA108" s="96"/>
      <c r="AB108" s="87"/>
      <c r="AC108" s="87"/>
      <c r="AD108" s="87"/>
      <c r="AE108" s="87"/>
      <c r="AF108" s="87"/>
      <c r="AG108" s="87"/>
      <c r="AH108" s="87"/>
      <c r="AI108" s="87"/>
      <c r="AJ108" s="87"/>
    </row>
    <row r="109" spans="1:36" s="14" customFormat="1" ht="11.25" x14ac:dyDescent="0.2">
      <c r="A109" s="130" t="str">
        <f>'Данные объект'!$B$36</f>
        <v>Курчин М.М.</v>
      </c>
      <c r="B109" s="130"/>
      <c r="C109" s="130"/>
      <c r="D109" s="130"/>
      <c r="E109" s="130"/>
      <c r="F109" s="130"/>
      <c r="G109" s="130"/>
      <c r="H109" s="130"/>
      <c r="I109" s="130"/>
      <c r="J109" s="130"/>
      <c r="K109" s="130"/>
      <c r="L109" s="130"/>
      <c r="M109" s="130"/>
      <c r="N109" s="130"/>
      <c r="O109" s="130"/>
      <c r="P109" s="95"/>
      <c r="Q109" s="95"/>
      <c r="R109" s="95"/>
      <c r="S109" s="95"/>
      <c r="T109" s="95"/>
      <c r="U109" s="96"/>
      <c r="V109" s="96"/>
      <c r="W109" s="96"/>
      <c r="X109" s="96"/>
      <c r="Y109" s="96"/>
      <c r="Z109" s="96"/>
      <c r="AA109" s="96"/>
      <c r="AB109" s="130"/>
      <c r="AC109" s="130"/>
      <c r="AD109" s="130"/>
      <c r="AE109" s="130"/>
      <c r="AF109" s="130"/>
      <c r="AG109" s="130"/>
      <c r="AH109" s="130"/>
      <c r="AI109" s="130"/>
      <c r="AJ109" s="130"/>
    </row>
    <row r="110" spans="1:36" s="14" customFormat="1" ht="10.5" x14ac:dyDescent="0.15">
      <c r="A110" s="134" t="s">
        <v>35</v>
      </c>
      <c r="B110" s="134"/>
      <c r="C110" s="134"/>
      <c r="D110" s="134"/>
      <c r="E110" s="134"/>
      <c r="F110" s="134"/>
      <c r="G110" s="134"/>
      <c r="H110" s="134"/>
      <c r="I110" s="134"/>
      <c r="J110" s="134"/>
      <c r="K110" s="134"/>
      <c r="L110" s="134"/>
      <c r="M110" s="134"/>
      <c r="N110" s="134"/>
      <c r="O110" s="134"/>
      <c r="P110" s="95"/>
      <c r="Q110" s="95"/>
      <c r="R110" s="95"/>
      <c r="S110" s="95"/>
      <c r="T110" s="95"/>
      <c r="U110" s="96"/>
      <c r="V110" s="96"/>
      <c r="W110" s="96"/>
      <c r="X110" s="96"/>
      <c r="Y110" s="96"/>
      <c r="Z110" s="96"/>
      <c r="AA110" s="96"/>
      <c r="AB110" s="135" t="s">
        <v>34</v>
      </c>
      <c r="AC110" s="135"/>
      <c r="AD110" s="135"/>
      <c r="AE110" s="135"/>
      <c r="AF110" s="135"/>
      <c r="AG110" s="135"/>
      <c r="AH110" s="135"/>
      <c r="AI110" s="135"/>
      <c r="AJ110" s="135"/>
    </row>
    <row r="111" spans="1:36" s="13" customFormat="1" ht="38.25" customHeight="1" x14ac:dyDescent="0.2">
      <c r="A111" s="136" t="s">
        <v>51</v>
      </c>
      <c r="B111" s="136"/>
      <c r="C111" s="136"/>
      <c r="D111" s="136"/>
      <c r="E111" s="136"/>
      <c r="F111" s="136"/>
      <c r="G111" s="136"/>
      <c r="H111" s="136"/>
      <c r="I111" s="136"/>
      <c r="J111" s="136"/>
      <c r="K111" s="136"/>
      <c r="L111" s="136"/>
      <c r="M111" s="136"/>
      <c r="N111" s="136"/>
      <c r="O111" s="136"/>
      <c r="P111" s="136"/>
      <c r="Q111" s="136"/>
      <c r="R111" s="136"/>
      <c r="S111" s="136"/>
      <c r="T111" s="136"/>
      <c r="U111" s="136"/>
      <c r="V111" s="136"/>
      <c r="W111" s="136"/>
      <c r="X111" s="136"/>
      <c r="Y111" s="136"/>
      <c r="Z111" s="136"/>
      <c r="AA111" s="136"/>
      <c r="AB111" s="136"/>
      <c r="AC111" s="136"/>
      <c r="AD111" s="136"/>
      <c r="AE111" s="136"/>
      <c r="AF111" s="136"/>
      <c r="AG111" s="136"/>
      <c r="AH111" s="136"/>
      <c r="AI111" s="136"/>
      <c r="AJ111" s="136"/>
    </row>
    <row r="112" spans="1:36" s="13" customFormat="1" ht="12" customHeight="1" x14ac:dyDescent="0.2">
      <c r="A112" s="130" t="s">
        <v>74</v>
      </c>
      <c r="B112" s="130"/>
      <c r="C112" s="130"/>
      <c r="D112" s="130"/>
      <c r="E112" s="130"/>
      <c r="F112" s="130"/>
      <c r="G112" s="130"/>
      <c r="H112" s="130"/>
      <c r="I112" s="130"/>
      <c r="J112" s="130"/>
      <c r="K112" s="130"/>
      <c r="L112" s="130"/>
      <c r="M112" s="130"/>
      <c r="N112" s="130"/>
      <c r="O112" s="130"/>
      <c r="P112" s="32"/>
      <c r="Q112" s="32"/>
      <c r="R112" s="32"/>
      <c r="S112" s="32"/>
      <c r="T112" s="32"/>
      <c r="U112" s="32"/>
      <c r="V112" s="32"/>
      <c r="W112" s="32"/>
      <c r="X112" s="32"/>
      <c r="Y112" s="32"/>
      <c r="Z112" s="32"/>
      <c r="AA112" s="32"/>
      <c r="AB112" s="130" t="s">
        <v>74</v>
      </c>
      <c r="AC112" s="130"/>
      <c r="AD112" s="130"/>
      <c r="AE112" s="130"/>
      <c r="AF112" s="130"/>
      <c r="AG112" s="130"/>
      <c r="AH112" s="130"/>
      <c r="AI112" s="130"/>
      <c r="AJ112" s="130"/>
    </row>
    <row r="113" spans="1:36" s="14" customFormat="1" ht="9" customHeight="1" x14ac:dyDescent="0.15">
      <c r="A113" s="134" t="s">
        <v>35</v>
      </c>
      <c r="B113" s="134"/>
      <c r="C113" s="134"/>
      <c r="D113" s="134"/>
      <c r="E113" s="134"/>
      <c r="F113" s="134"/>
      <c r="G113" s="134"/>
      <c r="H113" s="134"/>
      <c r="I113" s="134"/>
      <c r="J113" s="134"/>
      <c r="K113" s="134"/>
      <c r="L113" s="134"/>
      <c r="M113" s="134"/>
      <c r="N113" s="134"/>
      <c r="O113" s="134"/>
      <c r="P113" s="17"/>
      <c r="Q113" s="17"/>
      <c r="R113" s="17"/>
      <c r="S113" s="17"/>
      <c r="T113" s="17"/>
      <c r="U113" s="18"/>
      <c r="V113" s="18"/>
      <c r="W113" s="18"/>
      <c r="X113" s="18"/>
      <c r="Y113" s="18"/>
      <c r="Z113" s="18"/>
      <c r="AA113" s="18"/>
      <c r="AB113" s="135" t="s">
        <v>34</v>
      </c>
      <c r="AC113" s="135"/>
      <c r="AD113" s="135"/>
      <c r="AE113" s="135"/>
      <c r="AF113" s="135"/>
      <c r="AG113" s="135"/>
      <c r="AH113" s="135"/>
      <c r="AI113" s="135"/>
      <c r="AJ113" s="135"/>
    </row>
    <row r="114" spans="1:36" s="13" customFormat="1" ht="24.75" hidden="1" customHeight="1" x14ac:dyDescent="0.2">
      <c r="A114" s="136" t="s">
        <v>53</v>
      </c>
      <c r="B114" s="136"/>
      <c r="C114" s="136"/>
      <c r="D114" s="136"/>
      <c r="E114" s="136"/>
      <c r="F114" s="136"/>
      <c r="G114" s="136"/>
      <c r="H114" s="136"/>
      <c r="I114" s="136"/>
      <c r="J114" s="136"/>
      <c r="K114" s="136"/>
      <c r="L114" s="136"/>
      <c r="M114" s="136"/>
      <c r="N114" s="136"/>
      <c r="O114" s="136"/>
      <c r="P114" s="136"/>
      <c r="Q114" s="136"/>
      <c r="R114" s="136"/>
      <c r="S114" s="136"/>
      <c r="T114" s="136"/>
      <c r="U114" s="136"/>
      <c r="V114" s="136"/>
      <c r="W114" s="136"/>
      <c r="X114" s="136"/>
      <c r="Y114" s="136"/>
      <c r="Z114" s="136"/>
      <c r="AA114" s="136"/>
      <c r="AB114" s="136"/>
      <c r="AC114" s="136"/>
      <c r="AD114" s="136"/>
      <c r="AE114" s="136"/>
      <c r="AF114" s="136"/>
      <c r="AG114" s="136"/>
      <c r="AH114" s="136"/>
      <c r="AI114" s="136"/>
      <c r="AJ114" s="136"/>
    </row>
    <row r="115" spans="1:36" s="13" customFormat="1" ht="12" hidden="1" customHeight="1" x14ac:dyDescent="0.2">
      <c r="A115" s="130" t="e">
        <f>#REF!</f>
        <v>#REF!</v>
      </c>
      <c r="B115" s="130"/>
      <c r="C115" s="130"/>
      <c r="D115" s="130"/>
      <c r="E115" s="130"/>
      <c r="F115" s="130"/>
      <c r="G115" s="130"/>
      <c r="H115" s="130"/>
      <c r="I115" s="130"/>
      <c r="J115" s="130"/>
      <c r="K115" s="130"/>
      <c r="L115" s="130"/>
      <c r="M115" s="130"/>
      <c r="N115" s="130"/>
      <c r="O115" s="130"/>
      <c r="P115" s="32"/>
      <c r="Q115" s="32"/>
      <c r="R115" s="32"/>
      <c r="S115" s="32"/>
      <c r="T115" s="32"/>
      <c r="U115" s="32"/>
      <c r="V115" s="32"/>
      <c r="W115" s="32"/>
      <c r="X115" s="32"/>
      <c r="Y115" s="32"/>
      <c r="Z115" s="32"/>
      <c r="AA115" s="32"/>
      <c r="AB115" s="130"/>
      <c r="AC115" s="130"/>
      <c r="AD115" s="130"/>
      <c r="AE115" s="130"/>
      <c r="AF115" s="130"/>
      <c r="AG115" s="130"/>
      <c r="AH115" s="130"/>
      <c r="AI115" s="130"/>
      <c r="AJ115" s="130"/>
    </row>
    <row r="116" spans="1:36" s="14" customFormat="1" ht="9" hidden="1" customHeight="1" x14ac:dyDescent="0.15">
      <c r="A116" s="134" t="s">
        <v>35</v>
      </c>
      <c r="B116" s="134"/>
      <c r="C116" s="134"/>
      <c r="D116" s="134"/>
      <c r="E116" s="134"/>
      <c r="F116" s="134"/>
      <c r="G116" s="134"/>
      <c r="H116" s="134"/>
      <c r="I116" s="134"/>
      <c r="J116" s="134"/>
      <c r="K116" s="134"/>
      <c r="L116" s="134"/>
      <c r="M116" s="134"/>
      <c r="N116" s="134"/>
      <c r="O116" s="134"/>
      <c r="P116" s="17"/>
      <c r="Q116" s="17"/>
      <c r="R116" s="17"/>
      <c r="S116" s="17"/>
      <c r="T116" s="17"/>
      <c r="U116" s="18"/>
      <c r="V116" s="18"/>
      <c r="W116" s="18"/>
      <c r="X116" s="18"/>
      <c r="Y116" s="18"/>
      <c r="Z116" s="18"/>
      <c r="AA116" s="18"/>
      <c r="AB116" s="135" t="s">
        <v>34</v>
      </c>
      <c r="AC116" s="135"/>
      <c r="AD116" s="135"/>
      <c r="AE116" s="135"/>
      <c r="AF116" s="135"/>
      <c r="AG116" s="135"/>
      <c r="AH116" s="135"/>
      <c r="AI116" s="135"/>
      <c r="AJ116" s="135"/>
    </row>
    <row r="117" spans="1:36" ht="12" customHeight="1" x14ac:dyDescent="0.25"/>
  </sheetData>
  <mergeCells count="110">
    <mergeCell ref="A116:O116"/>
    <mergeCell ref="AB116:AJ116"/>
    <mergeCell ref="B94:O94"/>
    <mergeCell ref="A111:AJ111"/>
    <mergeCell ref="A112:O112"/>
    <mergeCell ref="A115:O115"/>
    <mergeCell ref="AB115:AJ115"/>
    <mergeCell ref="A81:AJ81"/>
    <mergeCell ref="A82:AJ82"/>
    <mergeCell ref="A83:AJ83"/>
    <mergeCell ref="A84:AJ84"/>
    <mergeCell ref="A86:AJ86"/>
    <mergeCell ref="A87:AJ87"/>
    <mergeCell ref="L88:AJ88"/>
    <mergeCell ref="H90:I90"/>
    <mergeCell ref="A110:O110"/>
    <mergeCell ref="AB110:AJ110"/>
    <mergeCell ref="P77:W77"/>
    <mergeCell ref="P78:W78"/>
    <mergeCell ref="A69:C69"/>
    <mergeCell ref="E69:H69"/>
    <mergeCell ref="K69:AD69"/>
    <mergeCell ref="A114:AJ114"/>
    <mergeCell ref="A103:O103"/>
    <mergeCell ref="AB103:AJ103"/>
    <mergeCell ref="A106:O106"/>
    <mergeCell ref="AB106:AJ106"/>
    <mergeCell ref="A107:O107"/>
    <mergeCell ref="AB107:AJ107"/>
    <mergeCell ref="A95:AJ95"/>
    <mergeCell ref="A99:O99"/>
    <mergeCell ref="AB99:AJ99"/>
    <mergeCell ref="A100:O100"/>
    <mergeCell ref="AB100:AJ100"/>
    <mergeCell ref="A102:O102"/>
    <mergeCell ref="AB102:AJ102"/>
    <mergeCell ref="AB112:AJ112"/>
    <mergeCell ref="A113:O113"/>
    <mergeCell ref="AB113:AJ113"/>
    <mergeCell ref="A109:O109"/>
    <mergeCell ref="AB109:AJ109"/>
    <mergeCell ref="A54:AJ54"/>
    <mergeCell ref="A55:AJ55"/>
    <mergeCell ref="A56:AJ56"/>
    <mergeCell ref="A74:AJ74"/>
    <mergeCell ref="A75:AJ75"/>
    <mergeCell ref="A58:AJ58"/>
    <mergeCell ref="A59:AJ59"/>
    <mergeCell ref="P67:AJ67"/>
    <mergeCell ref="P68:AJ68"/>
    <mergeCell ref="A70:AJ70"/>
    <mergeCell ref="G72:U72"/>
    <mergeCell ref="W72:AJ72"/>
    <mergeCell ref="A63:AJ63"/>
    <mergeCell ref="A65:AJ65"/>
    <mergeCell ref="A66:AJ66"/>
    <mergeCell ref="A62:N62"/>
    <mergeCell ref="O62:Q62"/>
    <mergeCell ref="W62:AA62"/>
    <mergeCell ref="AC62:AE62"/>
    <mergeCell ref="AF62:AG62"/>
    <mergeCell ref="A73:B73"/>
    <mergeCell ref="G73:AJ73"/>
    <mergeCell ref="U62:V62"/>
    <mergeCell ref="R62:T62"/>
    <mergeCell ref="A42:AJ42"/>
    <mergeCell ref="A43:AJ43"/>
    <mergeCell ref="A44:AJ44"/>
    <mergeCell ref="A45:AJ45"/>
    <mergeCell ref="A49:AJ49"/>
    <mergeCell ref="A50:AJ50"/>
    <mergeCell ref="A51:AJ51"/>
    <mergeCell ref="A52:AJ52"/>
    <mergeCell ref="A53:AJ53"/>
    <mergeCell ref="A46:AJ46"/>
    <mergeCell ref="A47:AJ47"/>
    <mergeCell ref="A48:AJ48"/>
    <mergeCell ref="A22:AJ22"/>
    <mergeCell ref="A23:AJ23"/>
    <mergeCell ref="AB32:AI32"/>
    <mergeCell ref="A35:AJ35"/>
    <mergeCell ref="A36:AJ36"/>
    <mergeCell ref="A37:AJ37"/>
    <mergeCell ref="A38:AJ38"/>
    <mergeCell ref="A39:AJ39"/>
    <mergeCell ref="A41:AJ41"/>
    <mergeCell ref="AB33:AI33"/>
    <mergeCell ref="A24:AJ24"/>
    <mergeCell ref="A25:AJ25"/>
    <mergeCell ref="A26:AJ26"/>
    <mergeCell ref="A27:AJ27"/>
    <mergeCell ref="A29:AJ29"/>
    <mergeCell ref="A30:AJ30"/>
    <mergeCell ref="E32:G32"/>
    <mergeCell ref="A13:AJ13"/>
    <mergeCell ref="A15:AJ15"/>
    <mergeCell ref="A16:AJ16"/>
    <mergeCell ref="A17:AJ17"/>
    <mergeCell ref="A18:AJ18"/>
    <mergeCell ref="A19:AJ19"/>
    <mergeCell ref="A20:AJ20"/>
    <mergeCell ref="A4:AJ4"/>
    <mergeCell ref="A5:AJ5"/>
    <mergeCell ref="A6:AJ6"/>
    <mergeCell ref="A8:AJ8"/>
    <mergeCell ref="A9:AJ9"/>
    <mergeCell ref="A10:AJ10"/>
    <mergeCell ref="A11:AJ11"/>
    <mergeCell ref="A12:AJ12"/>
    <mergeCell ref="A7:AJ7"/>
  </mergeCells>
  <pageMargins left="0.78740157480314965" right="0.27559055118110237" top="0.39370078740157483" bottom="0.39370078740157483" header="0" footer="0"/>
  <pageSetup paperSize="9" fitToHeight="3" orientation="portrait" r:id="rId1"/>
  <headerFooter alignWithMargins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3AD66E36-5168-4E0A-9FB8-5ED35B6BDA9D}">
          <x14:formula1>
            <xm:f>'данные строй'!$A$3:$A$5</xm:f>
          </x14:formula1>
          <xm:sqref>O62:Q62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B050"/>
    <pageSetUpPr fitToPage="1"/>
  </sheetPr>
  <dimension ref="A1:AZ117"/>
  <sheetViews>
    <sheetView view="pageBreakPreview" topLeftCell="A49" zoomScale="125" zoomScaleNormal="125" zoomScaleSheetLayoutView="125" workbookViewId="0">
      <selection activeCell="A13" sqref="A13:AJ13"/>
    </sheetView>
  </sheetViews>
  <sheetFormatPr defaultColWidth="10.6640625" defaultRowHeight="15" x14ac:dyDescent="0.25"/>
  <cols>
    <col min="1" max="31" width="2.83203125" style="1" customWidth="1"/>
    <col min="32" max="32" width="3" style="1" customWidth="1"/>
    <col min="33" max="51" width="2.83203125" style="1" customWidth="1"/>
    <col min="52" max="16384" width="10.6640625" style="1"/>
  </cols>
  <sheetData>
    <row r="1" spans="1:43" s="13" customFormat="1" ht="12.75" customHeight="1" x14ac:dyDescent="0.2">
      <c r="AJ1" s="21" t="s">
        <v>41</v>
      </c>
    </row>
    <row r="2" spans="1:43" s="13" customFormat="1" ht="11.25" customHeight="1" x14ac:dyDescent="0.2">
      <c r="AJ2" s="21" t="s">
        <v>40</v>
      </c>
    </row>
    <row r="3" spans="1:43" s="13" customFormat="1" ht="14.25" customHeight="1" x14ac:dyDescent="0.2">
      <c r="A3" s="13" t="s">
        <v>21</v>
      </c>
      <c r="AJ3" s="22"/>
      <c r="AK3" s="22"/>
      <c r="AL3" s="22"/>
      <c r="AM3" s="22"/>
      <c r="AN3" s="22"/>
      <c r="AO3" s="22"/>
      <c r="AP3" s="22"/>
      <c r="AQ3" s="22"/>
    </row>
    <row r="4" spans="1:43" s="13" customFormat="1" ht="33.75" customHeight="1" x14ac:dyDescent="0.2">
      <c r="A4" s="127" t="str">
        <f>'Данные объект'!B3</f>
        <v>Строительство КТП - 10/0,4кВ, КЛ-10 кВ от ТП-10/0,4кВ № 3463, КЛ-10 кВ от сооруж. КРУН-10 кВ, ВЛИ-0,38 кВ, в т.ч. ПИР, МО, Солнечногорский р-н, п. Красный Воин</v>
      </c>
      <c r="B4" s="127"/>
      <c r="C4" s="127"/>
      <c r="D4" s="127"/>
      <c r="E4" s="127"/>
      <c r="F4" s="127"/>
      <c r="G4" s="127"/>
      <c r="H4" s="127"/>
      <c r="I4" s="127"/>
      <c r="J4" s="127"/>
      <c r="K4" s="127"/>
      <c r="L4" s="127"/>
      <c r="M4" s="127"/>
      <c r="N4" s="127"/>
      <c r="O4" s="127"/>
      <c r="P4" s="127"/>
      <c r="Q4" s="127"/>
      <c r="R4" s="127"/>
      <c r="S4" s="127"/>
      <c r="T4" s="127"/>
      <c r="U4" s="127"/>
      <c r="V4" s="127"/>
      <c r="W4" s="127"/>
      <c r="X4" s="127"/>
      <c r="Y4" s="127"/>
      <c r="Z4" s="127"/>
      <c r="AA4" s="127"/>
      <c r="AB4" s="127"/>
      <c r="AC4" s="127"/>
      <c r="AD4" s="127"/>
      <c r="AE4" s="127"/>
      <c r="AF4" s="127"/>
      <c r="AG4" s="127"/>
      <c r="AH4" s="127"/>
      <c r="AI4" s="127"/>
      <c r="AJ4" s="127"/>
    </row>
    <row r="5" spans="1:43" s="13" customFormat="1" ht="12" customHeight="1" x14ac:dyDescent="0.2">
      <c r="A5" s="139" t="str">
        <f>'Данные объект'!B9</f>
        <v>КЛ-10кВ ф.1 от ТП №3463</v>
      </c>
      <c r="B5" s="139"/>
      <c r="C5" s="139"/>
      <c r="D5" s="139"/>
      <c r="E5" s="139"/>
      <c r="F5" s="139"/>
      <c r="G5" s="139"/>
      <c r="H5" s="139"/>
      <c r="I5" s="139"/>
      <c r="J5" s="139"/>
      <c r="K5" s="139"/>
      <c r="L5" s="139"/>
      <c r="M5" s="139"/>
      <c r="N5" s="139"/>
      <c r="O5" s="139"/>
      <c r="P5" s="139"/>
      <c r="Q5" s="139"/>
      <c r="R5" s="139"/>
      <c r="S5" s="139"/>
      <c r="T5" s="139"/>
      <c r="U5" s="139"/>
      <c r="V5" s="139"/>
      <c r="W5" s="139"/>
      <c r="X5" s="139"/>
      <c r="Y5" s="139"/>
      <c r="Z5" s="139"/>
      <c r="AA5" s="139"/>
      <c r="AB5" s="139"/>
      <c r="AC5" s="139"/>
      <c r="AD5" s="139"/>
      <c r="AE5" s="139"/>
      <c r="AF5" s="139"/>
      <c r="AG5" s="139"/>
      <c r="AH5" s="139"/>
      <c r="AI5" s="139"/>
      <c r="AJ5" s="139"/>
    </row>
    <row r="6" spans="1:43" s="14" customFormat="1" ht="8.25" x14ac:dyDescent="0.15">
      <c r="A6" s="128" t="s">
        <v>192</v>
      </c>
      <c r="B6" s="129"/>
      <c r="C6" s="129"/>
      <c r="D6" s="129"/>
      <c r="E6" s="129"/>
      <c r="F6" s="129"/>
      <c r="G6" s="129"/>
      <c r="H6" s="129"/>
      <c r="I6" s="129"/>
      <c r="J6" s="129"/>
      <c r="K6" s="129"/>
      <c r="L6" s="129"/>
      <c r="M6" s="129"/>
      <c r="N6" s="129"/>
      <c r="O6" s="129"/>
      <c r="P6" s="129"/>
      <c r="Q6" s="129"/>
      <c r="R6" s="129"/>
      <c r="S6" s="129"/>
      <c r="T6" s="129"/>
      <c r="U6" s="129"/>
      <c r="V6" s="129"/>
      <c r="W6" s="129"/>
      <c r="X6" s="129"/>
      <c r="Y6" s="129"/>
      <c r="Z6" s="129"/>
      <c r="AA6" s="129"/>
      <c r="AB6" s="129"/>
      <c r="AC6" s="129"/>
      <c r="AD6" s="129"/>
      <c r="AE6" s="129"/>
      <c r="AF6" s="129"/>
      <c r="AG6" s="129"/>
      <c r="AH6" s="129"/>
      <c r="AI6" s="129"/>
      <c r="AJ6" s="129"/>
    </row>
    <row r="7" spans="1:43" s="13" customFormat="1" ht="12.75" customHeight="1" x14ac:dyDescent="0.2">
      <c r="A7" s="126" t="s">
        <v>42</v>
      </c>
      <c r="B7" s="126"/>
      <c r="C7" s="126"/>
      <c r="D7" s="126"/>
      <c r="E7" s="126"/>
      <c r="F7" s="126"/>
      <c r="G7" s="126"/>
      <c r="H7" s="126"/>
      <c r="I7" s="126"/>
      <c r="J7" s="126"/>
      <c r="K7" s="126"/>
      <c r="L7" s="126"/>
      <c r="M7" s="126"/>
      <c r="N7" s="126"/>
      <c r="O7" s="126"/>
      <c r="P7" s="126"/>
      <c r="Q7" s="126"/>
      <c r="R7" s="126"/>
      <c r="S7" s="126"/>
      <c r="T7" s="126"/>
      <c r="U7" s="126"/>
      <c r="V7" s="126"/>
      <c r="W7" s="126"/>
      <c r="X7" s="126"/>
      <c r="Y7" s="126"/>
      <c r="Z7" s="126"/>
      <c r="AA7" s="126"/>
      <c r="AB7" s="126"/>
      <c r="AC7" s="126"/>
      <c r="AD7" s="126"/>
      <c r="AE7" s="126"/>
      <c r="AF7" s="126"/>
      <c r="AG7" s="126"/>
      <c r="AH7" s="126"/>
      <c r="AI7" s="126"/>
      <c r="AJ7" s="126"/>
    </row>
    <row r="8" spans="1:43" s="13" customFormat="1" ht="12" customHeight="1" x14ac:dyDescent="0.2">
      <c r="A8" s="139" t="str">
        <f>'Данные объект'!B23</f>
        <v>ПАО "Россети Московский регион"</v>
      </c>
      <c r="B8" s="139"/>
      <c r="C8" s="139"/>
      <c r="D8" s="139"/>
      <c r="E8" s="139"/>
      <c r="F8" s="139"/>
      <c r="G8" s="139"/>
      <c r="H8" s="139"/>
      <c r="I8" s="139"/>
      <c r="J8" s="139"/>
      <c r="K8" s="139"/>
      <c r="L8" s="139"/>
      <c r="M8" s="139"/>
      <c r="N8" s="139"/>
      <c r="O8" s="139"/>
      <c r="P8" s="139"/>
      <c r="Q8" s="139"/>
      <c r="R8" s="139"/>
      <c r="S8" s="139"/>
      <c r="T8" s="139"/>
      <c r="U8" s="139"/>
      <c r="V8" s="139"/>
      <c r="W8" s="139"/>
      <c r="X8" s="139"/>
      <c r="Y8" s="139"/>
      <c r="Z8" s="139"/>
      <c r="AA8" s="139"/>
      <c r="AB8" s="139"/>
      <c r="AC8" s="139"/>
      <c r="AD8" s="139"/>
      <c r="AE8" s="139"/>
      <c r="AF8" s="139"/>
      <c r="AG8" s="139"/>
      <c r="AH8" s="139"/>
      <c r="AI8" s="139"/>
      <c r="AJ8" s="139"/>
    </row>
    <row r="9" spans="1:43" s="14" customFormat="1" ht="19.5" customHeight="1" x14ac:dyDescent="0.15">
      <c r="A9" s="128" t="s">
        <v>58</v>
      </c>
      <c r="B9" s="129"/>
      <c r="C9" s="129"/>
      <c r="D9" s="129"/>
      <c r="E9" s="129"/>
      <c r="F9" s="129"/>
      <c r="G9" s="129"/>
      <c r="H9" s="129"/>
      <c r="I9" s="129"/>
      <c r="J9" s="129"/>
      <c r="K9" s="129"/>
      <c r="L9" s="129"/>
      <c r="M9" s="129"/>
      <c r="N9" s="129"/>
      <c r="O9" s="129"/>
      <c r="P9" s="129"/>
      <c r="Q9" s="129"/>
      <c r="R9" s="129"/>
      <c r="S9" s="129"/>
      <c r="T9" s="129"/>
      <c r="U9" s="129"/>
      <c r="V9" s="129"/>
      <c r="W9" s="129"/>
      <c r="X9" s="129"/>
      <c r="Y9" s="129"/>
      <c r="Z9" s="129"/>
      <c r="AA9" s="129"/>
      <c r="AB9" s="129"/>
      <c r="AC9" s="129"/>
      <c r="AD9" s="129"/>
      <c r="AE9" s="129"/>
      <c r="AF9" s="129"/>
      <c r="AG9" s="129"/>
      <c r="AH9" s="129"/>
      <c r="AI9" s="129"/>
      <c r="AJ9" s="129"/>
    </row>
    <row r="10" spans="1:43" s="13" customFormat="1" ht="12" customHeight="1" x14ac:dyDescent="0.2">
      <c r="A10" s="139" t="str">
        <f>'Данные объект'!B24</f>
        <v>ОГРН 1057746555811 ИНН 5036065113 КПП 772501001</v>
      </c>
      <c r="B10" s="139"/>
      <c r="C10" s="139"/>
      <c r="D10" s="139"/>
      <c r="E10" s="139"/>
      <c r="F10" s="139"/>
      <c r="G10" s="139"/>
      <c r="H10" s="139"/>
      <c r="I10" s="139"/>
      <c r="J10" s="139"/>
      <c r="K10" s="139"/>
      <c r="L10" s="139"/>
      <c r="M10" s="139"/>
      <c r="N10" s="139"/>
      <c r="O10" s="139"/>
      <c r="P10" s="139"/>
      <c r="Q10" s="139"/>
      <c r="R10" s="139"/>
      <c r="S10" s="139"/>
      <c r="T10" s="139"/>
      <c r="U10" s="139"/>
      <c r="V10" s="139"/>
      <c r="W10" s="139"/>
      <c r="X10" s="139"/>
      <c r="Y10" s="139"/>
      <c r="Z10" s="139"/>
      <c r="AA10" s="139"/>
      <c r="AB10" s="139"/>
      <c r="AC10" s="139"/>
      <c r="AD10" s="139"/>
      <c r="AE10" s="139"/>
      <c r="AF10" s="139"/>
      <c r="AG10" s="139"/>
      <c r="AH10" s="139"/>
      <c r="AI10" s="139"/>
      <c r="AJ10" s="139"/>
    </row>
    <row r="11" spans="1:43" s="14" customFormat="1" ht="28.5" customHeight="1" x14ac:dyDescent="0.15">
      <c r="A11" s="128" t="s">
        <v>59</v>
      </c>
      <c r="B11" s="129"/>
      <c r="C11" s="129"/>
      <c r="D11" s="129"/>
      <c r="E11" s="129"/>
      <c r="F11" s="129"/>
      <c r="G11" s="129"/>
      <c r="H11" s="129"/>
      <c r="I11" s="129"/>
      <c r="J11" s="129"/>
      <c r="K11" s="129"/>
      <c r="L11" s="129"/>
      <c r="M11" s="129"/>
      <c r="N11" s="129"/>
      <c r="O11" s="129"/>
      <c r="P11" s="129"/>
      <c r="Q11" s="129"/>
      <c r="R11" s="129"/>
      <c r="S11" s="129"/>
      <c r="T11" s="129"/>
      <c r="U11" s="129"/>
      <c r="V11" s="129"/>
      <c r="W11" s="129"/>
      <c r="X11" s="129"/>
      <c r="Y11" s="129"/>
      <c r="Z11" s="129"/>
      <c r="AA11" s="129"/>
      <c r="AB11" s="129"/>
      <c r="AC11" s="129"/>
      <c r="AD11" s="129"/>
      <c r="AE11" s="129"/>
      <c r="AF11" s="129"/>
      <c r="AG11" s="129"/>
      <c r="AH11" s="129"/>
      <c r="AI11" s="129"/>
      <c r="AJ11" s="129"/>
    </row>
    <row r="12" spans="1:43" s="13" customFormat="1" ht="12" customHeight="1" x14ac:dyDescent="0.2">
      <c r="A12" s="139" t="str">
        <f>'Данные объект'!B25</f>
        <v>115114, город Москва, проезд Павелецкий 2-й, дом 3, строение 2</v>
      </c>
      <c r="B12" s="139"/>
      <c r="C12" s="139"/>
      <c r="D12" s="139"/>
      <c r="E12" s="139"/>
      <c r="F12" s="139"/>
      <c r="G12" s="139"/>
      <c r="H12" s="139"/>
      <c r="I12" s="139"/>
      <c r="J12" s="139"/>
      <c r="K12" s="139"/>
      <c r="L12" s="139"/>
      <c r="M12" s="139"/>
      <c r="N12" s="139"/>
      <c r="O12" s="139"/>
      <c r="P12" s="139"/>
      <c r="Q12" s="139"/>
      <c r="R12" s="139"/>
      <c r="S12" s="139"/>
      <c r="T12" s="139"/>
      <c r="U12" s="139"/>
      <c r="V12" s="139"/>
      <c r="W12" s="139"/>
      <c r="X12" s="139"/>
      <c r="Y12" s="139"/>
      <c r="Z12" s="139"/>
      <c r="AA12" s="139"/>
      <c r="AB12" s="139"/>
      <c r="AC12" s="139"/>
      <c r="AD12" s="139"/>
      <c r="AE12" s="139"/>
      <c r="AF12" s="139"/>
      <c r="AG12" s="139"/>
      <c r="AH12" s="139"/>
      <c r="AI12" s="139"/>
      <c r="AJ12" s="139"/>
    </row>
    <row r="13" spans="1:43" s="14" customFormat="1" ht="11.25" customHeight="1" x14ac:dyDescent="0.15">
      <c r="A13" s="128" t="s">
        <v>43</v>
      </c>
      <c r="B13" s="129"/>
      <c r="C13" s="129"/>
      <c r="D13" s="129"/>
      <c r="E13" s="129"/>
      <c r="F13" s="129"/>
      <c r="G13" s="129"/>
      <c r="H13" s="129"/>
      <c r="I13" s="129"/>
      <c r="J13" s="129"/>
      <c r="K13" s="129"/>
      <c r="L13" s="129"/>
      <c r="M13" s="129"/>
      <c r="N13" s="129"/>
      <c r="O13" s="129"/>
      <c r="P13" s="129"/>
      <c r="Q13" s="129"/>
      <c r="R13" s="129"/>
      <c r="S13" s="129"/>
      <c r="T13" s="129"/>
      <c r="U13" s="129"/>
      <c r="V13" s="129"/>
      <c r="W13" s="129"/>
      <c r="X13" s="129"/>
      <c r="Y13" s="129"/>
      <c r="Z13" s="129"/>
      <c r="AA13" s="129"/>
      <c r="AB13" s="129"/>
      <c r="AC13" s="129"/>
      <c r="AD13" s="129"/>
      <c r="AE13" s="129"/>
      <c r="AF13" s="129"/>
      <c r="AG13" s="129"/>
      <c r="AH13" s="129"/>
      <c r="AI13" s="129"/>
      <c r="AJ13" s="129"/>
    </row>
    <row r="14" spans="1:43" s="13" customFormat="1" ht="12" customHeight="1" x14ac:dyDescent="0.2">
      <c r="A14" s="13" t="s">
        <v>22</v>
      </c>
    </row>
    <row r="15" spans="1:43" s="13" customFormat="1" ht="12" customHeight="1" x14ac:dyDescent="0.2">
      <c r="A15" s="139" t="str">
        <f>'Данные объект'!B11</f>
        <v>ООО"Энергосистемы"</v>
      </c>
      <c r="B15" s="139"/>
      <c r="C15" s="139"/>
      <c r="D15" s="139"/>
      <c r="E15" s="139"/>
      <c r="F15" s="139"/>
      <c r="G15" s="139"/>
      <c r="H15" s="139"/>
      <c r="I15" s="139"/>
      <c r="J15" s="139"/>
      <c r="K15" s="139"/>
      <c r="L15" s="139"/>
      <c r="M15" s="139"/>
      <c r="N15" s="139"/>
      <c r="O15" s="139"/>
      <c r="P15" s="139"/>
      <c r="Q15" s="139"/>
      <c r="R15" s="139"/>
      <c r="S15" s="139"/>
      <c r="T15" s="139"/>
      <c r="U15" s="139"/>
      <c r="V15" s="139"/>
      <c r="W15" s="139"/>
      <c r="X15" s="139"/>
      <c r="Y15" s="139"/>
      <c r="Z15" s="139"/>
      <c r="AA15" s="139"/>
      <c r="AB15" s="139"/>
      <c r="AC15" s="139"/>
      <c r="AD15" s="139"/>
      <c r="AE15" s="139"/>
      <c r="AF15" s="139"/>
      <c r="AG15" s="139"/>
      <c r="AH15" s="139"/>
      <c r="AI15" s="139"/>
      <c r="AJ15" s="139"/>
    </row>
    <row r="16" spans="1:43" s="14" customFormat="1" ht="9.75" customHeight="1" x14ac:dyDescent="0.15">
      <c r="A16" s="128" t="s">
        <v>37</v>
      </c>
      <c r="B16" s="129"/>
      <c r="C16" s="129"/>
      <c r="D16" s="129"/>
      <c r="E16" s="129"/>
      <c r="F16" s="129"/>
      <c r="G16" s="129"/>
      <c r="H16" s="129"/>
      <c r="I16" s="129"/>
      <c r="J16" s="129"/>
      <c r="K16" s="129"/>
      <c r="L16" s="129"/>
      <c r="M16" s="129"/>
      <c r="N16" s="129"/>
      <c r="O16" s="129"/>
      <c r="P16" s="129"/>
      <c r="Q16" s="129"/>
      <c r="R16" s="129"/>
      <c r="S16" s="129"/>
      <c r="T16" s="129"/>
      <c r="U16" s="129"/>
      <c r="V16" s="129"/>
      <c r="W16" s="129"/>
      <c r="X16" s="129"/>
      <c r="Y16" s="129"/>
      <c r="Z16" s="129"/>
      <c r="AA16" s="129"/>
      <c r="AB16" s="129"/>
      <c r="AC16" s="129"/>
      <c r="AD16" s="129"/>
      <c r="AE16" s="129"/>
      <c r="AF16" s="129"/>
      <c r="AG16" s="129"/>
      <c r="AH16" s="129"/>
      <c r="AI16" s="129"/>
      <c r="AJ16" s="129"/>
    </row>
    <row r="17" spans="1:36" s="13" customFormat="1" ht="12" customHeight="1" x14ac:dyDescent="0.2">
      <c r="A17" s="139" t="str">
        <f>'Данные объект'!B12</f>
        <v>ОГРН 1135044003709  ИНН 5044089069 КПП 504401001</v>
      </c>
      <c r="B17" s="139"/>
      <c r="C17" s="139"/>
      <c r="D17" s="139"/>
      <c r="E17" s="139"/>
      <c r="F17" s="139"/>
      <c r="G17" s="139"/>
      <c r="H17" s="139"/>
      <c r="I17" s="139"/>
      <c r="J17" s="139"/>
      <c r="K17" s="139"/>
      <c r="L17" s="139"/>
      <c r="M17" s="139"/>
      <c r="N17" s="139"/>
      <c r="O17" s="139"/>
      <c r="P17" s="139"/>
      <c r="Q17" s="139"/>
      <c r="R17" s="139"/>
      <c r="S17" s="139"/>
      <c r="T17" s="139"/>
      <c r="U17" s="139"/>
      <c r="V17" s="139"/>
      <c r="W17" s="139"/>
      <c r="X17" s="139"/>
      <c r="Y17" s="139"/>
      <c r="Z17" s="139"/>
      <c r="AA17" s="139"/>
      <c r="AB17" s="139"/>
      <c r="AC17" s="139"/>
      <c r="AD17" s="139"/>
      <c r="AE17" s="139"/>
      <c r="AF17" s="139"/>
      <c r="AG17" s="139"/>
      <c r="AH17" s="139"/>
      <c r="AI17" s="139"/>
      <c r="AJ17" s="139"/>
    </row>
    <row r="18" spans="1:36" s="14" customFormat="1" ht="8.25" customHeight="1" x14ac:dyDescent="0.15">
      <c r="A18" s="128" t="s">
        <v>44</v>
      </c>
      <c r="B18" s="129"/>
      <c r="C18" s="129"/>
      <c r="D18" s="129"/>
      <c r="E18" s="129"/>
      <c r="F18" s="129"/>
      <c r="G18" s="129"/>
      <c r="H18" s="129"/>
      <c r="I18" s="129"/>
      <c r="J18" s="129"/>
      <c r="K18" s="129"/>
      <c r="L18" s="129"/>
      <c r="M18" s="129"/>
      <c r="N18" s="129"/>
      <c r="O18" s="129"/>
      <c r="P18" s="129"/>
      <c r="Q18" s="129"/>
      <c r="R18" s="129"/>
      <c r="S18" s="129"/>
      <c r="T18" s="129"/>
      <c r="U18" s="129"/>
      <c r="V18" s="129"/>
      <c r="W18" s="129"/>
      <c r="X18" s="129"/>
      <c r="Y18" s="129"/>
      <c r="Z18" s="129"/>
      <c r="AA18" s="129"/>
      <c r="AB18" s="129"/>
      <c r="AC18" s="129"/>
      <c r="AD18" s="129"/>
      <c r="AE18" s="129"/>
      <c r="AF18" s="129"/>
      <c r="AG18" s="129"/>
      <c r="AH18" s="129"/>
      <c r="AI18" s="129"/>
      <c r="AJ18" s="129"/>
    </row>
    <row r="19" spans="1:36" s="13" customFormat="1" ht="12" customHeight="1" x14ac:dyDescent="0.2">
      <c r="A19" s="139" t="str">
        <f>'Данные объект'!B13</f>
        <v xml:space="preserve">141508, Московская область, г.о. Солнечногорск, г. Солнечногорск, ул. Промышленная, стр. 5, помещение 179
</v>
      </c>
      <c r="B19" s="139"/>
      <c r="C19" s="139"/>
      <c r="D19" s="139"/>
      <c r="E19" s="139"/>
      <c r="F19" s="139"/>
      <c r="G19" s="139"/>
      <c r="H19" s="139"/>
      <c r="I19" s="139"/>
      <c r="J19" s="139"/>
      <c r="K19" s="139"/>
      <c r="L19" s="139"/>
      <c r="M19" s="139"/>
      <c r="N19" s="139"/>
      <c r="O19" s="139"/>
      <c r="P19" s="139"/>
      <c r="Q19" s="139"/>
      <c r="R19" s="139"/>
      <c r="S19" s="139"/>
      <c r="T19" s="139"/>
      <c r="U19" s="139"/>
      <c r="V19" s="139"/>
      <c r="W19" s="139"/>
      <c r="X19" s="139"/>
      <c r="Y19" s="139"/>
      <c r="Z19" s="139"/>
      <c r="AA19" s="139"/>
      <c r="AB19" s="139"/>
      <c r="AC19" s="139"/>
      <c r="AD19" s="139"/>
      <c r="AE19" s="139"/>
      <c r="AF19" s="139"/>
      <c r="AG19" s="139"/>
      <c r="AH19" s="139"/>
      <c r="AI19" s="139"/>
      <c r="AJ19" s="139"/>
    </row>
    <row r="20" spans="1:36" s="14" customFormat="1" ht="27" customHeight="1" x14ac:dyDescent="0.15">
      <c r="A20" s="128" t="s">
        <v>60</v>
      </c>
      <c r="B20" s="129"/>
      <c r="C20" s="129"/>
      <c r="D20" s="129"/>
      <c r="E20" s="129"/>
      <c r="F20" s="129"/>
      <c r="G20" s="129"/>
      <c r="H20" s="129"/>
      <c r="I20" s="129"/>
      <c r="J20" s="129"/>
      <c r="K20" s="129"/>
      <c r="L20" s="129"/>
      <c r="M20" s="129"/>
      <c r="N20" s="129"/>
      <c r="O20" s="129"/>
      <c r="P20" s="129"/>
      <c r="Q20" s="129"/>
      <c r="R20" s="129"/>
      <c r="S20" s="129"/>
      <c r="T20" s="129"/>
      <c r="U20" s="129"/>
      <c r="V20" s="129"/>
      <c r="W20" s="129"/>
      <c r="X20" s="129"/>
      <c r="Y20" s="129"/>
      <c r="Z20" s="129"/>
      <c r="AA20" s="129"/>
      <c r="AB20" s="129"/>
      <c r="AC20" s="129"/>
      <c r="AD20" s="129"/>
      <c r="AE20" s="129"/>
      <c r="AF20" s="129"/>
      <c r="AG20" s="129"/>
      <c r="AH20" s="129"/>
      <c r="AI20" s="129"/>
      <c r="AJ20" s="129"/>
    </row>
    <row r="21" spans="1:36" s="13" customFormat="1" ht="12" customHeight="1" x14ac:dyDescent="0.2">
      <c r="A21" s="13" t="s">
        <v>20</v>
      </c>
    </row>
    <row r="22" spans="1:36" s="13" customFormat="1" ht="12" customHeight="1" x14ac:dyDescent="0.2">
      <c r="A22" s="139" t="str">
        <f>'Данные объект'!B39</f>
        <v>ООО"Энергосистемы"</v>
      </c>
      <c r="B22" s="139"/>
      <c r="C22" s="139"/>
      <c r="D22" s="139"/>
      <c r="E22" s="139"/>
      <c r="F22" s="139"/>
      <c r="G22" s="139"/>
      <c r="H22" s="139"/>
      <c r="I22" s="139"/>
      <c r="J22" s="139"/>
      <c r="K22" s="139"/>
      <c r="L22" s="139"/>
      <c r="M22" s="139"/>
      <c r="N22" s="139"/>
      <c r="O22" s="139"/>
      <c r="P22" s="139"/>
      <c r="Q22" s="139"/>
      <c r="R22" s="139"/>
      <c r="S22" s="139"/>
      <c r="T22" s="139"/>
      <c r="U22" s="139"/>
      <c r="V22" s="139"/>
      <c r="W22" s="139"/>
      <c r="X22" s="139"/>
      <c r="Y22" s="139"/>
      <c r="Z22" s="139"/>
      <c r="AA22" s="139"/>
      <c r="AB22" s="139"/>
      <c r="AC22" s="139"/>
      <c r="AD22" s="139"/>
      <c r="AE22" s="139"/>
      <c r="AF22" s="139"/>
      <c r="AG22" s="139"/>
      <c r="AH22" s="139"/>
      <c r="AI22" s="139"/>
      <c r="AJ22" s="139"/>
    </row>
    <row r="23" spans="1:36" s="14" customFormat="1" ht="7.5" customHeight="1" x14ac:dyDescent="0.15">
      <c r="A23" s="128" t="s">
        <v>37</v>
      </c>
      <c r="B23" s="129"/>
      <c r="C23" s="129"/>
      <c r="D23" s="129"/>
      <c r="E23" s="129"/>
      <c r="F23" s="129"/>
      <c r="G23" s="129"/>
      <c r="H23" s="129"/>
      <c r="I23" s="129"/>
      <c r="J23" s="129"/>
      <c r="K23" s="129"/>
      <c r="L23" s="129"/>
      <c r="M23" s="129"/>
      <c r="N23" s="129"/>
      <c r="O23" s="129"/>
      <c r="P23" s="129"/>
      <c r="Q23" s="129"/>
      <c r="R23" s="129"/>
      <c r="S23" s="129"/>
      <c r="T23" s="129"/>
      <c r="U23" s="129"/>
      <c r="V23" s="129"/>
      <c r="W23" s="129"/>
      <c r="X23" s="129"/>
      <c r="Y23" s="129"/>
      <c r="Z23" s="129"/>
      <c r="AA23" s="129"/>
      <c r="AB23" s="129"/>
      <c r="AC23" s="129"/>
      <c r="AD23" s="129"/>
      <c r="AE23" s="129"/>
      <c r="AF23" s="129"/>
      <c r="AG23" s="129"/>
      <c r="AH23" s="129"/>
      <c r="AI23" s="129"/>
      <c r="AJ23" s="129"/>
    </row>
    <row r="24" spans="1:36" s="13" customFormat="1" ht="12" customHeight="1" x14ac:dyDescent="0.2">
      <c r="A24" s="139" t="str">
        <f>'Данные объект'!B40</f>
        <v>ОГРН 1135044003709  ИНН 5044089069 КПП 504401001</v>
      </c>
      <c r="B24" s="139"/>
      <c r="C24" s="139"/>
      <c r="D24" s="139"/>
      <c r="E24" s="139"/>
      <c r="F24" s="139"/>
      <c r="G24" s="139"/>
      <c r="H24" s="139"/>
      <c r="I24" s="139"/>
      <c r="J24" s="139"/>
      <c r="K24" s="139"/>
      <c r="L24" s="139"/>
      <c r="M24" s="139"/>
      <c r="N24" s="139"/>
      <c r="O24" s="139"/>
      <c r="P24" s="139"/>
      <c r="Q24" s="139"/>
      <c r="R24" s="139"/>
      <c r="S24" s="139"/>
      <c r="T24" s="139"/>
      <c r="U24" s="139"/>
      <c r="V24" s="139"/>
      <c r="W24" s="139"/>
      <c r="X24" s="139"/>
      <c r="Y24" s="139"/>
      <c r="Z24" s="139"/>
      <c r="AA24" s="139"/>
      <c r="AB24" s="139"/>
      <c r="AC24" s="139"/>
      <c r="AD24" s="139"/>
      <c r="AE24" s="139"/>
      <c r="AF24" s="139"/>
      <c r="AG24" s="139"/>
      <c r="AH24" s="139"/>
      <c r="AI24" s="139"/>
      <c r="AJ24" s="139"/>
    </row>
    <row r="25" spans="1:36" s="14" customFormat="1" ht="7.5" customHeight="1" x14ac:dyDescent="0.15">
      <c r="A25" s="128" t="s">
        <v>61</v>
      </c>
      <c r="B25" s="129"/>
      <c r="C25" s="129"/>
      <c r="D25" s="129"/>
      <c r="E25" s="129"/>
      <c r="F25" s="129"/>
      <c r="G25" s="129"/>
      <c r="H25" s="129"/>
      <c r="I25" s="129"/>
      <c r="J25" s="129"/>
      <c r="K25" s="129"/>
      <c r="L25" s="129"/>
      <c r="M25" s="129"/>
      <c r="N25" s="129"/>
      <c r="O25" s="129"/>
      <c r="P25" s="129"/>
      <c r="Q25" s="129"/>
      <c r="R25" s="129"/>
      <c r="S25" s="129"/>
      <c r="T25" s="129"/>
      <c r="U25" s="129"/>
      <c r="V25" s="129"/>
      <c r="W25" s="129"/>
      <c r="X25" s="129"/>
      <c r="Y25" s="129"/>
      <c r="Z25" s="129"/>
      <c r="AA25" s="129"/>
      <c r="AB25" s="129"/>
      <c r="AC25" s="129"/>
      <c r="AD25" s="129"/>
      <c r="AE25" s="129"/>
      <c r="AF25" s="129"/>
      <c r="AG25" s="129"/>
      <c r="AH25" s="129"/>
      <c r="AI25" s="129"/>
      <c r="AJ25" s="129"/>
    </row>
    <row r="26" spans="1:36" s="13" customFormat="1" ht="12" customHeight="1" x14ac:dyDescent="0.2">
      <c r="A26" s="139" t="str">
        <f>'Данные объект'!B41</f>
        <v xml:space="preserve">141508, Московская область, г.о. Солнечногорск, г. Солнечногорск, ул. Промышленная, стр. 5, помещение 179
</v>
      </c>
      <c r="B26" s="139"/>
      <c r="C26" s="139"/>
      <c r="D26" s="139"/>
      <c r="E26" s="139"/>
      <c r="F26" s="139"/>
      <c r="G26" s="139"/>
      <c r="H26" s="139"/>
      <c r="I26" s="139"/>
      <c r="J26" s="139"/>
      <c r="K26" s="139"/>
      <c r="L26" s="139"/>
      <c r="M26" s="139"/>
      <c r="N26" s="139"/>
      <c r="O26" s="139"/>
      <c r="P26" s="139"/>
      <c r="Q26" s="139"/>
      <c r="R26" s="139"/>
      <c r="S26" s="139"/>
      <c r="T26" s="139"/>
      <c r="U26" s="139"/>
      <c r="V26" s="139"/>
      <c r="W26" s="139"/>
      <c r="X26" s="139"/>
      <c r="Y26" s="139"/>
      <c r="Z26" s="139"/>
      <c r="AA26" s="139"/>
      <c r="AB26" s="139"/>
      <c r="AC26" s="139"/>
      <c r="AD26" s="139"/>
      <c r="AE26" s="139"/>
      <c r="AF26" s="139"/>
      <c r="AG26" s="139"/>
      <c r="AH26" s="139"/>
      <c r="AI26" s="139"/>
      <c r="AJ26" s="139"/>
    </row>
    <row r="27" spans="1:36" s="14" customFormat="1" ht="22.5" customHeight="1" x14ac:dyDescent="0.15">
      <c r="A27" s="128" t="s">
        <v>45</v>
      </c>
      <c r="B27" s="129"/>
      <c r="C27" s="129"/>
      <c r="D27" s="129"/>
      <c r="E27" s="129"/>
      <c r="F27" s="129"/>
      <c r="G27" s="129"/>
      <c r="H27" s="129"/>
      <c r="I27" s="129"/>
      <c r="J27" s="129"/>
      <c r="K27" s="129"/>
      <c r="L27" s="129"/>
      <c r="M27" s="129"/>
      <c r="N27" s="129"/>
      <c r="O27" s="129"/>
      <c r="P27" s="129"/>
      <c r="Q27" s="129"/>
      <c r="R27" s="129"/>
      <c r="S27" s="129"/>
      <c r="T27" s="129"/>
      <c r="U27" s="129"/>
      <c r="V27" s="129"/>
      <c r="W27" s="129"/>
      <c r="X27" s="129"/>
      <c r="Y27" s="129"/>
      <c r="Z27" s="129"/>
      <c r="AA27" s="129"/>
      <c r="AB27" s="129"/>
      <c r="AC27" s="129"/>
      <c r="AD27" s="129"/>
      <c r="AE27" s="129"/>
      <c r="AF27" s="129"/>
      <c r="AG27" s="129"/>
      <c r="AH27" s="129"/>
      <c r="AI27" s="129"/>
      <c r="AJ27" s="129"/>
    </row>
    <row r="28" spans="1:36" ht="9" customHeight="1" x14ac:dyDescent="0.25">
      <c r="A28" s="5"/>
      <c r="B28" s="5"/>
      <c r="C28" s="5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</row>
    <row r="29" spans="1:36" s="13" customFormat="1" ht="12.95" customHeight="1" x14ac:dyDescent="0.2">
      <c r="A29" s="142" t="s">
        <v>36</v>
      </c>
      <c r="B29" s="142"/>
      <c r="C29" s="142"/>
      <c r="D29" s="142"/>
      <c r="E29" s="142"/>
      <c r="F29" s="142"/>
      <c r="G29" s="142"/>
      <c r="H29" s="142"/>
      <c r="I29" s="142"/>
      <c r="J29" s="142"/>
      <c r="K29" s="142"/>
      <c r="L29" s="142"/>
      <c r="M29" s="142"/>
      <c r="N29" s="142"/>
      <c r="O29" s="142"/>
      <c r="P29" s="142"/>
      <c r="Q29" s="142"/>
      <c r="R29" s="142"/>
      <c r="S29" s="142"/>
      <c r="T29" s="142"/>
      <c r="U29" s="142"/>
      <c r="V29" s="142"/>
      <c r="W29" s="142"/>
      <c r="X29" s="142"/>
      <c r="Y29" s="142"/>
      <c r="Z29" s="142"/>
      <c r="AA29" s="142"/>
      <c r="AB29" s="142"/>
      <c r="AC29" s="142"/>
      <c r="AD29" s="142"/>
      <c r="AE29" s="142"/>
      <c r="AF29" s="142"/>
      <c r="AG29" s="142"/>
      <c r="AH29" s="142"/>
      <c r="AI29" s="142"/>
      <c r="AJ29" s="142"/>
    </row>
    <row r="30" spans="1:36" s="13" customFormat="1" ht="12.95" customHeight="1" x14ac:dyDescent="0.2">
      <c r="A30" s="143" t="s">
        <v>19</v>
      </c>
      <c r="B30" s="143"/>
      <c r="C30" s="143"/>
      <c r="D30" s="143"/>
      <c r="E30" s="143"/>
      <c r="F30" s="143"/>
      <c r="G30" s="143"/>
      <c r="H30" s="143"/>
      <c r="I30" s="143"/>
      <c r="J30" s="143"/>
      <c r="K30" s="143"/>
      <c r="L30" s="143"/>
      <c r="M30" s="143"/>
      <c r="N30" s="143"/>
      <c r="O30" s="143"/>
      <c r="P30" s="143"/>
      <c r="Q30" s="143"/>
      <c r="R30" s="143"/>
      <c r="S30" s="143"/>
      <c r="T30" s="143"/>
      <c r="U30" s="143"/>
      <c r="V30" s="143"/>
      <c r="W30" s="143"/>
      <c r="X30" s="143"/>
      <c r="Y30" s="143"/>
      <c r="Z30" s="143"/>
      <c r="AA30" s="143"/>
      <c r="AB30" s="143"/>
      <c r="AC30" s="143"/>
      <c r="AD30" s="143"/>
      <c r="AE30" s="143"/>
      <c r="AF30" s="143"/>
      <c r="AG30" s="143"/>
      <c r="AH30" s="143"/>
      <c r="AI30" s="143"/>
      <c r="AJ30" s="143"/>
    </row>
    <row r="31" spans="1:36" s="13" customFormat="1" ht="6" customHeight="1" x14ac:dyDescent="0.2">
      <c r="A31" s="23"/>
      <c r="B31" s="23"/>
      <c r="C31" s="23"/>
      <c r="D31" s="23"/>
      <c r="E31" s="23"/>
      <c r="F31" s="23"/>
      <c r="G31" s="23"/>
      <c r="H31" s="23"/>
      <c r="I31" s="23"/>
      <c r="J31" s="23"/>
    </row>
    <row r="32" spans="1:36" s="13" customFormat="1" ht="12.95" customHeight="1" x14ac:dyDescent="0.2">
      <c r="A32" s="24"/>
      <c r="B32" s="24" t="s">
        <v>18</v>
      </c>
      <c r="C32" s="25">
        <f>'АОСР-2'!C32+1</f>
        <v>3</v>
      </c>
      <c r="D32" s="25"/>
      <c r="E32" s="130" t="s">
        <v>86</v>
      </c>
      <c r="F32" s="130"/>
      <c r="G32" s="130"/>
      <c r="H32" s="27"/>
      <c r="I32" s="27"/>
      <c r="J32" s="27"/>
      <c r="X32" s="21"/>
      <c r="Y32" s="32"/>
      <c r="Z32" s="32"/>
      <c r="AB32" s="131">
        <f>P78</f>
        <v>45819</v>
      </c>
      <c r="AC32" s="131"/>
      <c r="AD32" s="131"/>
      <c r="AE32" s="131"/>
      <c r="AF32" s="131"/>
      <c r="AG32" s="131"/>
      <c r="AH32" s="131"/>
      <c r="AI32" s="131"/>
      <c r="AJ32" s="13" t="s">
        <v>6</v>
      </c>
    </row>
    <row r="33" spans="1:52" s="14" customFormat="1" ht="9" customHeight="1" x14ac:dyDescent="0.15">
      <c r="Y33" s="15"/>
      <c r="Z33" s="16"/>
      <c r="AA33" s="15"/>
      <c r="AB33" s="144" t="s">
        <v>17</v>
      </c>
      <c r="AC33" s="144"/>
      <c r="AD33" s="144"/>
      <c r="AE33" s="144"/>
      <c r="AF33" s="144"/>
      <c r="AG33" s="144"/>
      <c r="AH33" s="144"/>
      <c r="AI33" s="144"/>
    </row>
    <row r="34" spans="1:52" ht="6.75" customHeight="1" x14ac:dyDescent="0.25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4"/>
      <c r="AJ34" s="4"/>
    </row>
    <row r="35" spans="1:52" s="13" customFormat="1" ht="21" customHeight="1" x14ac:dyDescent="0.2">
      <c r="A35" s="126" t="s">
        <v>46</v>
      </c>
      <c r="B35" s="126"/>
      <c r="C35" s="126"/>
      <c r="D35" s="126"/>
      <c r="E35" s="126"/>
      <c r="F35" s="126"/>
      <c r="G35" s="126"/>
      <c r="H35" s="126"/>
      <c r="I35" s="126"/>
      <c r="J35" s="126"/>
      <c r="K35" s="126"/>
      <c r="L35" s="126"/>
      <c r="M35" s="126"/>
      <c r="N35" s="126"/>
      <c r="O35" s="126"/>
      <c r="P35" s="126"/>
      <c r="Q35" s="126"/>
      <c r="R35" s="126"/>
      <c r="S35" s="126"/>
      <c r="T35" s="126"/>
      <c r="U35" s="126"/>
      <c r="V35" s="126"/>
      <c r="W35" s="126"/>
      <c r="X35" s="126"/>
      <c r="Y35" s="126"/>
      <c r="Z35" s="126"/>
      <c r="AA35" s="126"/>
      <c r="AB35" s="126"/>
      <c r="AC35" s="126"/>
      <c r="AD35" s="126"/>
      <c r="AE35" s="126"/>
      <c r="AF35" s="126"/>
      <c r="AG35" s="126"/>
      <c r="AH35" s="126"/>
      <c r="AI35" s="126"/>
      <c r="AJ35" s="126"/>
    </row>
    <row r="36" spans="1:52" s="13" customFormat="1" ht="25.5" customHeight="1" x14ac:dyDescent="0.2">
      <c r="A36" s="127" t="str">
        <f>'Данные объект'!C34</f>
        <v>Гл. специалист ССК УКС ПАО "Россети Московский регион" Алексанян Г.Р. Приказ №1904 от 03 июня 2026г (НРС С-50-069023)</v>
      </c>
      <c r="B36" s="127"/>
      <c r="C36" s="127"/>
      <c r="D36" s="127"/>
      <c r="E36" s="127"/>
      <c r="F36" s="127"/>
      <c r="G36" s="127"/>
      <c r="H36" s="127"/>
      <c r="I36" s="127"/>
      <c r="J36" s="127"/>
      <c r="K36" s="127"/>
      <c r="L36" s="127"/>
      <c r="M36" s="127"/>
      <c r="N36" s="127"/>
      <c r="O36" s="127"/>
      <c r="P36" s="127"/>
      <c r="Q36" s="127"/>
      <c r="R36" s="127"/>
      <c r="S36" s="127"/>
      <c r="T36" s="127"/>
      <c r="U36" s="127"/>
      <c r="V36" s="127"/>
      <c r="W36" s="127"/>
      <c r="X36" s="127"/>
      <c r="Y36" s="127"/>
      <c r="Z36" s="127"/>
      <c r="AA36" s="127"/>
      <c r="AB36" s="127"/>
      <c r="AC36" s="127"/>
      <c r="AD36" s="127"/>
      <c r="AE36" s="127"/>
      <c r="AF36" s="127"/>
      <c r="AG36" s="127"/>
      <c r="AH36" s="127"/>
      <c r="AI36" s="127"/>
      <c r="AJ36" s="127"/>
    </row>
    <row r="37" spans="1:52" s="14" customFormat="1" ht="28.5" customHeight="1" x14ac:dyDescent="0.15">
      <c r="A37" s="128" t="s">
        <v>47</v>
      </c>
      <c r="B37" s="129"/>
      <c r="C37" s="129"/>
      <c r="D37" s="129"/>
      <c r="E37" s="129"/>
      <c r="F37" s="129"/>
      <c r="G37" s="129"/>
      <c r="H37" s="129"/>
      <c r="I37" s="129"/>
      <c r="J37" s="129"/>
      <c r="K37" s="129"/>
      <c r="L37" s="129"/>
      <c r="M37" s="129"/>
      <c r="N37" s="129"/>
      <c r="O37" s="129"/>
      <c r="P37" s="129"/>
      <c r="Q37" s="129"/>
      <c r="R37" s="129"/>
      <c r="S37" s="129"/>
      <c r="T37" s="129"/>
      <c r="U37" s="129"/>
      <c r="V37" s="129"/>
      <c r="W37" s="129"/>
      <c r="X37" s="129"/>
      <c r="Y37" s="129"/>
      <c r="Z37" s="129"/>
      <c r="AA37" s="129"/>
      <c r="AB37" s="129"/>
      <c r="AC37" s="129"/>
      <c r="AD37" s="129"/>
      <c r="AE37" s="129"/>
      <c r="AF37" s="129"/>
      <c r="AG37" s="129"/>
      <c r="AH37" s="129"/>
      <c r="AI37" s="129"/>
      <c r="AJ37" s="129"/>
    </row>
    <row r="38" spans="1:52" s="13" customFormat="1" ht="21.75" customHeight="1" x14ac:dyDescent="0.2">
      <c r="A38" s="127" t="str">
        <f>'Данные объект'!C23</f>
        <v>ПАО "Россети Московский регион" ОГРН 1057746555811 ИНН 5036065113 КПП 772501001,115114, город Москва, проезд Павелецкий 2-й, дом 3, строение 2</v>
      </c>
      <c r="B38" s="127"/>
      <c r="C38" s="127"/>
      <c r="D38" s="127"/>
      <c r="E38" s="127"/>
      <c r="F38" s="127"/>
      <c r="G38" s="127"/>
      <c r="H38" s="127"/>
      <c r="I38" s="127"/>
      <c r="J38" s="127"/>
      <c r="K38" s="127"/>
      <c r="L38" s="127"/>
      <c r="M38" s="127"/>
      <c r="N38" s="127"/>
      <c r="O38" s="127"/>
      <c r="P38" s="127"/>
      <c r="Q38" s="127"/>
      <c r="R38" s="127"/>
      <c r="S38" s="127"/>
      <c r="T38" s="127"/>
      <c r="U38" s="127"/>
      <c r="V38" s="127"/>
      <c r="W38" s="127"/>
      <c r="X38" s="127"/>
      <c r="Y38" s="127"/>
      <c r="Z38" s="127"/>
      <c r="AA38" s="127"/>
      <c r="AB38" s="127"/>
      <c r="AC38" s="127"/>
      <c r="AD38" s="127"/>
      <c r="AE38" s="127"/>
      <c r="AF38" s="127"/>
      <c r="AG38" s="127"/>
      <c r="AH38" s="127"/>
      <c r="AI38" s="127"/>
      <c r="AJ38" s="127"/>
    </row>
    <row r="39" spans="1:52" s="14" customFormat="1" ht="25.5" customHeight="1" x14ac:dyDescent="0.2">
      <c r="A39" s="145" t="s">
        <v>48</v>
      </c>
      <c r="B39" s="145"/>
      <c r="C39" s="145"/>
      <c r="D39" s="145"/>
      <c r="E39" s="145"/>
      <c r="F39" s="145"/>
      <c r="G39" s="145"/>
      <c r="H39" s="145"/>
      <c r="I39" s="145"/>
      <c r="J39" s="145"/>
      <c r="K39" s="145"/>
      <c r="L39" s="145"/>
      <c r="M39" s="145"/>
      <c r="N39" s="145"/>
      <c r="O39" s="145"/>
      <c r="P39" s="145"/>
      <c r="Q39" s="145"/>
      <c r="R39" s="145"/>
      <c r="S39" s="145"/>
      <c r="T39" s="145"/>
      <c r="U39" s="145"/>
      <c r="V39" s="145"/>
      <c r="W39" s="145"/>
      <c r="X39" s="145"/>
      <c r="Y39" s="145"/>
      <c r="Z39" s="145"/>
      <c r="AA39" s="145"/>
      <c r="AB39" s="145"/>
      <c r="AC39" s="145"/>
      <c r="AD39" s="145"/>
      <c r="AE39" s="145"/>
      <c r="AF39" s="145"/>
      <c r="AG39" s="145"/>
      <c r="AH39" s="145"/>
      <c r="AI39" s="145"/>
      <c r="AJ39" s="145"/>
      <c r="AZ39" s="13"/>
    </row>
    <row r="40" spans="1:52" s="13" customFormat="1" ht="12" customHeight="1" x14ac:dyDescent="0.2">
      <c r="A40" s="13" t="s">
        <v>25</v>
      </c>
    </row>
    <row r="41" spans="1:52" s="13" customFormat="1" ht="12" customHeight="1" x14ac:dyDescent="0.2">
      <c r="A41" s="139" t="str">
        <f>'Данные объект'!C21</f>
        <v>Прораб ООО"Энергосистемы" Волков М.Ю..Приказ №05-ОТ/24 от 09 января 2024г</v>
      </c>
      <c r="B41" s="139"/>
      <c r="C41" s="139"/>
      <c r="D41" s="139"/>
      <c r="E41" s="139"/>
      <c r="F41" s="139"/>
      <c r="G41" s="139"/>
      <c r="H41" s="139"/>
      <c r="I41" s="139"/>
      <c r="J41" s="139"/>
      <c r="K41" s="139"/>
      <c r="L41" s="139"/>
      <c r="M41" s="139"/>
      <c r="N41" s="139"/>
      <c r="O41" s="139"/>
      <c r="P41" s="139"/>
      <c r="Q41" s="139"/>
      <c r="R41" s="139"/>
      <c r="S41" s="139"/>
      <c r="T41" s="139"/>
      <c r="U41" s="139"/>
      <c r="V41" s="139"/>
      <c r="W41" s="139"/>
      <c r="X41" s="139"/>
      <c r="Y41" s="139"/>
      <c r="Z41" s="139"/>
      <c r="AA41" s="139"/>
      <c r="AB41" s="139"/>
      <c r="AC41" s="139"/>
      <c r="AD41" s="139"/>
      <c r="AE41" s="139"/>
      <c r="AF41" s="139"/>
      <c r="AG41" s="139"/>
      <c r="AH41" s="139"/>
      <c r="AI41" s="139"/>
      <c r="AJ41" s="139"/>
    </row>
    <row r="42" spans="1:52" s="14" customFormat="1" ht="9" customHeight="1" x14ac:dyDescent="0.15">
      <c r="A42" s="128" t="s">
        <v>26</v>
      </c>
      <c r="B42" s="129"/>
      <c r="C42" s="129"/>
      <c r="D42" s="129"/>
      <c r="E42" s="129"/>
      <c r="F42" s="129"/>
      <c r="G42" s="129"/>
      <c r="H42" s="129"/>
      <c r="I42" s="129"/>
      <c r="J42" s="129"/>
      <c r="K42" s="129"/>
      <c r="L42" s="129"/>
      <c r="M42" s="129"/>
      <c r="N42" s="129"/>
      <c r="O42" s="129"/>
      <c r="P42" s="129"/>
      <c r="Q42" s="129"/>
      <c r="R42" s="129"/>
      <c r="S42" s="129"/>
      <c r="T42" s="129"/>
      <c r="U42" s="129"/>
      <c r="V42" s="129"/>
      <c r="W42" s="129"/>
      <c r="X42" s="129"/>
      <c r="Y42" s="129"/>
      <c r="Z42" s="129"/>
      <c r="AA42" s="129"/>
      <c r="AB42" s="129"/>
      <c r="AC42" s="129"/>
      <c r="AD42" s="129"/>
      <c r="AE42" s="129"/>
      <c r="AF42" s="129"/>
      <c r="AG42" s="129"/>
      <c r="AH42" s="129"/>
      <c r="AI42" s="129"/>
      <c r="AJ42" s="129"/>
    </row>
    <row r="43" spans="1:52" s="13" customFormat="1" ht="11.25" x14ac:dyDescent="0.2">
      <c r="A43" s="126" t="s">
        <v>49</v>
      </c>
      <c r="B43" s="126"/>
      <c r="C43" s="126"/>
      <c r="D43" s="126"/>
      <c r="E43" s="126"/>
      <c r="F43" s="126"/>
      <c r="G43" s="126"/>
      <c r="H43" s="126"/>
      <c r="I43" s="126"/>
      <c r="J43" s="126"/>
      <c r="K43" s="126"/>
      <c r="L43" s="126"/>
      <c r="M43" s="126"/>
      <c r="N43" s="126"/>
      <c r="O43" s="126"/>
      <c r="P43" s="126"/>
      <c r="Q43" s="126"/>
      <c r="R43" s="126"/>
      <c r="S43" s="126"/>
      <c r="T43" s="126"/>
      <c r="U43" s="126"/>
      <c r="V43" s="126"/>
      <c r="W43" s="126"/>
      <c r="X43" s="126"/>
      <c r="Y43" s="126"/>
      <c r="Z43" s="126"/>
      <c r="AA43" s="126"/>
      <c r="AB43" s="126"/>
      <c r="AC43" s="126"/>
      <c r="AD43" s="126"/>
      <c r="AE43" s="126"/>
      <c r="AF43" s="126"/>
      <c r="AG43" s="126"/>
      <c r="AH43" s="126"/>
      <c r="AI43" s="126"/>
      <c r="AJ43" s="126"/>
    </row>
    <row r="44" spans="1:52" s="31" customFormat="1" ht="22.5" customHeight="1" x14ac:dyDescent="0.2">
      <c r="A44" s="127" t="str">
        <f>'Данные объект'!C18</f>
        <v>Инженер по строительному контролю ООО"Энергосистемы" Русин В.А..Приказ № 13-ОТ/25 от 05 мая 2025 (НОСТРОЙ С-50-085497)</v>
      </c>
      <c r="B44" s="127"/>
      <c r="C44" s="127"/>
      <c r="D44" s="127"/>
      <c r="E44" s="127"/>
      <c r="F44" s="127"/>
      <c r="G44" s="127"/>
      <c r="H44" s="127"/>
      <c r="I44" s="127"/>
      <c r="J44" s="127"/>
      <c r="K44" s="127"/>
      <c r="L44" s="127"/>
      <c r="M44" s="127"/>
      <c r="N44" s="127"/>
      <c r="O44" s="127"/>
      <c r="P44" s="127"/>
      <c r="Q44" s="127"/>
      <c r="R44" s="127"/>
      <c r="S44" s="127"/>
      <c r="T44" s="127"/>
      <c r="U44" s="127"/>
      <c r="V44" s="127"/>
      <c r="W44" s="127"/>
      <c r="X44" s="127"/>
      <c r="Y44" s="127"/>
      <c r="Z44" s="127"/>
      <c r="AA44" s="127"/>
      <c r="AB44" s="127"/>
      <c r="AC44" s="127"/>
      <c r="AD44" s="127"/>
      <c r="AE44" s="127"/>
      <c r="AF44" s="127"/>
      <c r="AG44" s="127"/>
      <c r="AH44" s="127"/>
      <c r="AI44" s="127"/>
      <c r="AJ44" s="127"/>
    </row>
    <row r="45" spans="1:52" s="14" customFormat="1" ht="30" customHeight="1" x14ac:dyDescent="0.15">
      <c r="A45" s="128" t="s">
        <v>50</v>
      </c>
      <c r="B45" s="129"/>
      <c r="C45" s="129"/>
      <c r="D45" s="129"/>
      <c r="E45" s="129"/>
      <c r="F45" s="129"/>
      <c r="G45" s="129"/>
      <c r="H45" s="129"/>
      <c r="I45" s="129"/>
      <c r="J45" s="129"/>
      <c r="K45" s="129"/>
      <c r="L45" s="129"/>
      <c r="M45" s="129"/>
      <c r="N45" s="129"/>
      <c r="O45" s="129"/>
      <c r="P45" s="129"/>
      <c r="Q45" s="129"/>
      <c r="R45" s="129"/>
      <c r="S45" s="129"/>
      <c r="T45" s="129"/>
      <c r="U45" s="129"/>
      <c r="V45" s="129"/>
      <c r="W45" s="129"/>
      <c r="X45" s="129"/>
      <c r="Y45" s="129"/>
      <c r="Z45" s="129"/>
      <c r="AA45" s="129"/>
      <c r="AB45" s="129"/>
      <c r="AC45" s="129"/>
      <c r="AD45" s="129"/>
      <c r="AE45" s="129"/>
      <c r="AF45" s="129"/>
      <c r="AG45" s="129"/>
      <c r="AH45" s="129"/>
      <c r="AI45" s="129"/>
      <c r="AJ45" s="129"/>
    </row>
    <row r="46" spans="1:52" s="14" customFormat="1" ht="11.25" x14ac:dyDescent="0.2">
      <c r="A46" s="126" t="s">
        <v>190</v>
      </c>
      <c r="B46" s="126"/>
      <c r="C46" s="126"/>
      <c r="D46" s="126"/>
      <c r="E46" s="126"/>
      <c r="F46" s="126"/>
      <c r="G46" s="126"/>
      <c r="H46" s="126"/>
      <c r="I46" s="126"/>
      <c r="J46" s="126"/>
      <c r="K46" s="126"/>
      <c r="L46" s="126"/>
      <c r="M46" s="126"/>
      <c r="N46" s="126"/>
      <c r="O46" s="126"/>
      <c r="P46" s="126"/>
      <c r="Q46" s="126"/>
      <c r="R46" s="126"/>
      <c r="S46" s="126"/>
      <c r="T46" s="126"/>
      <c r="U46" s="126"/>
      <c r="V46" s="126"/>
      <c r="W46" s="126"/>
      <c r="X46" s="126"/>
      <c r="Y46" s="126"/>
      <c r="Z46" s="126"/>
      <c r="AA46" s="126"/>
      <c r="AB46" s="126"/>
      <c r="AC46" s="126"/>
      <c r="AD46" s="126"/>
      <c r="AE46" s="126"/>
      <c r="AF46" s="126"/>
      <c r="AG46" s="126"/>
      <c r="AH46" s="126"/>
      <c r="AI46" s="126"/>
      <c r="AJ46" s="126"/>
    </row>
    <row r="47" spans="1:52" s="14" customFormat="1" ht="11.25" customHeight="1" x14ac:dyDescent="0.15">
      <c r="A47" s="127" t="str">
        <f>'Данные объект'!$C$36</f>
        <v>Мастер СРЭС СЭС филиала ПАО "Россети Московский регион" Курчин М.М.</v>
      </c>
      <c r="B47" s="127"/>
      <c r="C47" s="127"/>
      <c r="D47" s="127"/>
      <c r="E47" s="127"/>
      <c r="F47" s="127"/>
      <c r="G47" s="127"/>
      <c r="H47" s="127"/>
      <c r="I47" s="127"/>
      <c r="J47" s="127"/>
      <c r="K47" s="127"/>
      <c r="L47" s="127"/>
      <c r="M47" s="127"/>
      <c r="N47" s="127"/>
      <c r="O47" s="127"/>
      <c r="P47" s="127"/>
      <c r="Q47" s="127"/>
      <c r="R47" s="127"/>
      <c r="S47" s="127"/>
      <c r="T47" s="127"/>
      <c r="U47" s="127"/>
      <c r="V47" s="127"/>
      <c r="W47" s="127"/>
      <c r="X47" s="127"/>
      <c r="Y47" s="127"/>
      <c r="Z47" s="127"/>
      <c r="AA47" s="127"/>
      <c r="AB47" s="127"/>
      <c r="AC47" s="127"/>
      <c r="AD47" s="127"/>
      <c r="AE47" s="127"/>
      <c r="AF47" s="127"/>
      <c r="AG47" s="127"/>
      <c r="AH47" s="127"/>
      <c r="AI47" s="127"/>
      <c r="AJ47" s="127"/>
    </row>
    <row r="48" spans="1:52" s="14" customFormat="1" ht="8.25" x14ac:dyDescent="0.15">
      <c r="A48" s="128" t="s">
        <v>26</v>
      </c>
      <c r="B48" s="129"/>
      <c r="C48" s="129"/>
      <c r="D48" s="129"/>
      <c r="E48" s="129"/>
      <c r="F48" s="129"/>
      <c r="G48" s="129"/>
      <c r="H48" s="129"/>
      <c r="I48" s="129"/>
      <c r="J48" s="129"/>
      <c r="K48" s="129"/>
      <c r="L48" s="129"/>
      <c r="M48" s="129"/>
      <c r="N48" s="129"/>
      <c r="O48" s="129"/>
      <c r="P48" s="129"/>
      <c r="Q48" s="129"/>
      <c r="R48" s="129"/>
      <c r="S48" s="129"/>
      <c r="T48" s="129"/>
      <c r="U48" s="129"/>
      <c r="V48" s="129"/>
      <c r="W48" s="129"/>
      <c r="X48" s="129"/>
      <c r="Y48" s="129"/>
      <c r="Z48" s="129"/>
      <c r="AA48" s="129"/>
      <c r="AB48" s="129"/>
      <c r="AC48" s="129"/>
      <c r="AD48" s="129"/>
      <c r="AE48" s="129"/>
      <c r="AF48" s="129"/>
      <c r="AG48" s="129"/>
      <c r="AH48" s="129"/>
      <c r="AI48" s="129"/>
      <c r="AJ48" s="129"/>
    </row>
    <row r="49" spans="1:36" s="13" customFormat="1" ht="35.25" customHeight="1" x14ac:dyDescent="0.2">
      <c r="A49" s="136" t="s">
        <v>51</v>
      </c>
      <c r="B49" s="136"/>
      <c r="C49" s="136"/>
      <c r="D49" s="136"/>
      <c r="E49" s="136"/>
      <c r="F49" s="136"/>
      <c r="G49" s="136"/>
      <c r="H49" s="136"/>
      <c r="I49" s="136"/>
      <c r="J49" s="136"/>
      <c r="K49" s="136"/>
      <c r="L49" s="136"/>
      <c r="M49" s="136"/>
      <c r="N49" s="136"/>
      <c r="O49" s="136"/>
      <c r="P49" s="136"/>
      <c r="Q49" s="136"/>
      <c r="R49" s="136"/>
      <c r="S49" s="136"/>
      <c r="T49" s="136"/>
      <c r="U49" s="136"/>
      <c r="V49" s="136"/>
      <c r="W49" s="136"/>
      <c r="X49" s="136"/>
      <c r="Y49" s="136"/>
      <c r="Z49" s="136"/>
      <c r="AA49" s="136"/>
      <c r="AB49" s="136"/>
      <c r="AC49" s="136"/>
      <c r="AD49" s="136"/>
      <c r="AE49" s="136"/>
      <c r="AF49" s="136"/>
      <c r="AG49" s="136"/>
      <c r="AH49" s="136"/>
      <c r="AI49" s="136"/>
      <c r="AJ49" s="136"/>
    </row>
    <row r="50" spans="1:36" s="31" customFormat="1" ht="12.95" customHeight="1" x14ac:dyDescent="0.2">
      <c r="A50" s="139" t="s">
        <v>74</v>
      </c>
      <c r="B50" s="139"/>
      <c r="C50" s="139"/>
      <c r="D50" s="139"/>
      <c r="E50" s="139"/>
      <c r="F50" s="139"/>
      <c r="G50" s="139"/>
      <c r="H50" s="139"/>
      <c r="I50" s="139"/>
      <c r="J50" s="139"/>
      <c r="K50" s="139"/>
      <c r="L50" s="139"/>
      <c r="M50" s="139"/>
      <c r="N50" s="139"/>
      <c r="O50" s="139"/>
      <c r="P50" s="139"/>
      <c r="Q50" s="139"/>
      <c r="R50" s="139"/>
      <c r="S50" s="139"/>
      <c r="T50" s="139"/>
      <c r="U50" s="139"/>
      <c r="V50" s="139"/>
      <c r="W50" s="139"/>
      <c r="X50" s="139"/>
      <c r="Y50" s="139"/>
      <c r="Z50" s="139"/>
      <c r="AA50" s="139"/>
      <c r="AB50" s="139"/>
      <c r="AC50" s="139"/>
      <c r="AD50" s="139"/>
      <c r="AE50" s="139"/>
      <c r="AF50" s="139"/>
      <c r="AG50" s="139"/>
      <c r="AH50" s="139"/>
      <c r="AI50" s="139"/>
      <c r="AJ50" s="139"/>
    </row>
    <row r="51" spans="1:36" s="14" customFormat="1" ht="29.25" customHeight="1" x14ac:dyDescent="0.15">
      <c r="A51" s="128" t="s">
        <v>52</v>
      </c>
      <c r="B51" s="129"/>
      <c r="C51" s="129"/>
      <c r="D51" s="129"/>
      <c r="E51" s="129"/>
      <c r="F51" s="129"/>
      <c r="G51" s="129"/>
      <c r="H51" s="129"/>
      <c r="I51" s="129"/>
      <c r="J51" s="129"/>
      <c r="K51" s="129"/>
      <c r="L51" s="129"/>
      <c r="M51" s="129"/>
      <c r="N51" s="129"/>
      <c r="O51" s="129"/>
      <c r="P51" s="129"/>
      <c r="Q51" s="129"/>
      <c r="R51" s="129"/>
      <c r="S51" s="129"/>
      <c r="T51" s="129"/>
      <c r="U51" s="129"/>
      <c r="V51" s="129"/>
      <c r="W51" s="129"/>
      <c r="X51" s="129"/>
      <c r="Y51" s="129"/>
      <c r="Z51" s="129"/>
      <c r="AA51" s="129"/>
      <c r="AB51" s="129"/>
      <c r="AC51" s="129"/>
      <c r="AD51" s="129"/>
      <c r="AE51" s="129"/>
      <c r="AF51" s="129"/>
      <c r="AG51" s="129"/>
      <c r="AH51" s="129"/>
      <c r="AI51" s="129"/>
      <c r="AJ51" s="129"/>
    </row>
    <row r="52" spans="1:36" s="13" customFormat="1" ht="25.5" hidden="1" customHeight="1" x14ac:dyDescent="0.2">
      <c r="A52" s="136" t="s">
        <v>53</v>
      </c>
      <c r="B52" s="136"/>
      <c r="C52" s="136"/>
      <c r="D52" s="136"/>
      <c r="E52" s="136"/>
      <c r="F52" s="136"/>
      <c r="G52" s="136"/>
      <c r="H52" s="136"/>
      <c r="I52" s="136"/>
      <c r="J52" s="136"/>
      <c r="K52" s="136"/>
      <c r="L52" s="136"/>
      <c r="M52" s="136"/>
      <c r="N52" s="136"/>
      <c r="O52" s="136"/>
      <c r="P52" s="136"/>
      <c r="Q52" s="136"/>
      <c r="R52" s="136"/>
      <c r="S52" s="136"/>
      <c r="T52" s="136"/>
      <c r="U52" s="136"/>
      <c r="V52" s="136"/>
      <c r="W52" s="136"/>
      <c r="X52" s="136"/>
      <c r="Y52" s="136"/>
      <c r="Z52" s="136"/>
      <c r="AA52" s="136"/>
      <c r="AB52" s="136"/>
      <c r="AC52" s="136"/>
      <c r="AD52" s="136"/>
      <c r="AE52" s="136"/>
      <c r="AF52" s="136"/>
      <c r="AG52" s="136"/>
      <c r="AH52" s="136"/>
      <c r="AI52" s="136"/>
      <c r="AJ52" s="136"/>
    </row>
    <row r="53" spans="1:36" s="13" customFormat="1" ht="12" hidden="1" customHeight="1" x14ac:dyDescent="0.2">
      <c r="A53" s="127" t="e">
        <f>CONCATENATE(#REF!,", ",#REF!," - ",#REF!)</f>
        <v>#REF!</v>
      </c>
      <c r="B53" s="127"/>
      <c r="C53" s="127"/>
      <c r="D53" s="127"/>
      <c r="E53" s="127"/>
      <c r="F53" s="127"/>
      <c r="G53" s="127"/>
      <c r="H53" s="127"/>
      <c r="I53" s="127"/>
      <c r="J53" s="127"/>
      <c r="K53" s="127"/>
      <c r="L53" s="127"/>
      <c r="M53" s="127"/>
      <c r="N53" s="127"/>
      <c r="O53" s="127"/>
      <c r="P53" s="127"/>
      <c r="Q53" s="127"/>
      <c r="R53" s="127"/>
      <c r="S53" s="127"/>
      <c r="T53" s="127"/>
      <c r="U53" s="127"/>
      <c r="V53" s="127"/>
      <c r="W53" s="127"/>
      <c r="X53" s="127"/>
      <c r="Y53" s="127"/>
      <c r="Z53" s="127"/>
      <c r="AA53" s="127"/>
      <c r="AB53" s="127"/>
      <c r="AC53" s="127"/>
      <c r="AD53" s="127"/>
      <c r="AE53" s="127"/>
      <c r="AF53" s="127"/>
      <c r="AG53" s="127"/>
      <c r="AH53" s="127"/>
      <c r="AI53" s="127"/>
      <c r="AJ53" s="127"/>
    </row>
    <row r="54" spans="1:36" s="14" customFormat="1" ht="9.75" hidden="1" customHeight="1" x14ac:dyDescent="0.15">
      <c r="A54" s="128" t="s">
        <v>29</v>
      </c>
      <c r="B54" s="129"/>
      <c r="C54" s="129"/>
      <c r="D54" s="129"/>
      <c r="E54" s="129"/>
      <c r="F54" s="129"/>
      <c r="G54" s="129"/>
      <c r="H54" s="129"/>
      <c r="I54" s="129"/>
      <c r="J54" s="129"/>
      <c r="K54" s="129"/>
      <c r="L54" s="129"/>
      <c r="M54" s="129"/>
      <c r="N54" s="129"/>
      <c r="O54" s="129"/>
      <c r="P54" s="129"/>
      <c r="Q54" s="129"/>
      <c r="R54" s="129"/>
      <c r="S54" s="129"/>
      <c r="T54" s="129"/>
      <c r="U54" s="129"/>
      <c r="V54" s="129"/>
      <c r="W54" s="129"/>
      <c r="X54" s="129"/>
      <c r="Y54" s="129"/>
      <c r="Z54" s="129"/>
      <c r="AA54" s="129"/>
      <c r="AB54" s="129"/>
      <c r="AC54" s="129"/>
      <c r="AD54" s="129"/>
      <c r="AE54" s="129"/>
      <c r="AF54" s="129"/>
      <c r="AG54" s="129"/>
      <c r="AH54" s="129"/>
      <c r="AI54" s="129"/>
      <c r="AJ54" s="129"/>
    </row>
    <row r="55" spans="1:36" s="13" customFormat="1" ht="12" hidden="1" customHeight="1" x14ac:dyDescent="0.2">
      <c r="A55" s="127"/>
      <c r="B55" s="127"/>
      <c r="C55" s="127"/>
      <c r="D55" s="127"/>
      <c r="E55" s="127"/>
      <c r="F55" s="127"/>
      <c r="G55" s="127"/>
      <c r="H55" s="127"/>
      <c r="I55" s="127"/>
      <c r="J55" s="127"/>
      <c r="K55" s="127"/>
      <c r="L55" s="127"/>
      <c r="M55" s="127"/>
      <c r="N55" s="127"/>
      <c r="O55" s="127"/>
      <c r="P55" s="127"/>
      <c r="Q55" s="127"/>
      <c r="R55" s="127"/>
      <c r="S55" s="127"/>
      <c r="T55" s="127"/>
      <c r="U55" s="127"/>
      <c r="V55" s="127"/>
      <c r="W55" s="127"/>
      <c r="X55" s="127"/>
      <c r="Y55" s="127"/>
      <c r="Z55" s="127"/>
      <c r="AA55" s="127"/>
      <c r="AB55" s="127"/>
      <c r="AC55" s="127"/>
      <c r="AD55" s="127"/>
      <c r="AE55" s="127"/>
      <c r="AF55" s="127"/>
      <c r="AG55" s="127"/>
      <c r="AH55" s="127"/>
      <c r="AI55" s="127"/>
      <c r="AJ55" s="127"/>
    </row>
    <row r="56" spans="1:36" s="14" customFormat="1" ht="16.5" hidden="1" customHeight="1" x14ac:dyDescent="0.15">
      <c r="A56" s="128" t="s">
        <v>54</v>
      </c>
      <c r="B56" s="128"/>
      <c r="C56" s="128"/>
      <c r="D56" s="128"/>
      <c r="E56" s="128"/>
      <c r="F56" s="128"/>
      <c r="G56" s="128"/>
      <c r="H56" s="128"/>
      <c r="I56" s="128"/>
      <c r="J56" s="128"/>
      <c r="K56" s="128"/>
      <c r="L56" s="128"/>
      <c r="M56" s="128"/>
      <c r="N56" s="128"/>
      <c r="O56" s="128"/>
      <c r="P56" s="128"/>
      <c r="Q56" s="128"/>
      <c r="R56" s="128"/>
      <c r="S56" s="128"/>
      <c r="T56" s="128"/>
      <c r="U56" s="128"/>
      <c r="V56" s="128"/>
      <c r="W56" s="128"/>
      <c r="X56" s="128"/>
      <c r="Y56" s="128"/>
      <c r="Z56" s="128"/>
      <c r="AA56" s="128"/>
      <c r="AB56" s="128"/>
      <c r="AC56" s="128"/>
      <c r="AD56" s="128"/>
      <c r="AE56" s="128"/>
      <c r="AF56" s="128"/>
      <c r="AG56" s="128"/>
      <c r="AH56" s="128"/>
      <c r="AI56" s="128"/>
      <c r="AJ56" s="128"/>
    </row>
    <row r="57" spans="1:36" s="13" customFormat="1" ht="12" customHeight="1" x14ac:dyDescent="0.2">
      <c r="A57" s="13" t="s">
        <v>16</v>
      </c>
    </row>
    <row r="58" spans="1:36" s="13" customFormat="1" ht="12.95" customHeight="1" x14ac:dyDescent="0.2">
      <c r="A58" s="130" t="str">
        <f>'Данные объект'!B11</f>
        <v>ООО"Энергосистемы"</v>
      </c>
      <c r="B58" s="130"/>
      <c r="C58" s="130"/>
      <c r="D58" s="130"/>
      <c r="E58" s="130"/>
      <c r="F58" s="130"/>
      <c r="G58" s="130"/>
      <c r="H58" s="130"/>
      <c r="I58" s="130"/>
      <c r="J58" s="130"/>
      <c r="K58" s="130"/>
      <c r="L58" s="130"/>
      <c r="M58" s="130"/>
      <c r="N58" s="130"/>
      <c r="O58" s="130"/>
      <c r="P58" s="130"/>
      <c r="Q58" s="130"/>
      <c r="R58" s="130"/>
      <c r="S58" s="130"/>
      <c r="T58" s="130"/>
      <c r="U58" s="130"/>
      <c r="V58" s="130"/>
      <c r="W58" s="130"/>
      <c r="X58" s="130"/>
      <c r="Y58" s="130"/>
      <c r="Z58" s="130"/>
      <c r="AA58" s="130"/>
      <c r="AB58" s="130"/>
      <c r="AC58" s="130"/>
      <c r="AD58" s="130"/>
      <c r="AE58" s="130"/>
      <c r="AF58" s="130"/>
      <c r="AG58" s="130"/>
      <c r="AH58" s="130"/>
      <c r="AI58" s="130"/>
      <c r="AJ58" s="130"/>
    </row>
    <row r="59" spans="1:36" s="14" customFormat="1" ht="10.5" customHeight="1" x14ac:dyDescent="0.15">
      <c r="A59" s="134" t="s">
        <v>38</v>
      </c>
      <c r="B59" s="134"/>
      <c r="C59" s="134"/>
      <c r="D59" s="134"/>
      <c r="E59" s="134"/>
      <c r="F59" s="134"/>
      <c r="G59" s="134"/>
      <c r="H59" s="134"/>
      <c r="I59" s="134"/>
      <c r="J59" s="134"/>
      <c r="K59" s="134"/>
      <c r="L59" s="134"/>
      <c r="M59" s="134"/>
      <c r="N59" s="134"/>
      <c r="O59" s="134"/>
      <c r="P59" s="134"/>
      <c r="Q59" s="134"/>
      <c r="R59" s="134"/>
      <c r="S59" s="134"/>
      <c r="T59" s="134"/>
      <c r="U59" s="134"/>
      <c r="V59" s="134"/>
      <c r="W59" s="134"/>
      <c r="X59" s="134"/>
      <c r="Y59" s="134"/>
      <c r="Z59" s="134"/>
      <c r="AA59" s="134"/>
      <c r="AB59" s="134"/>
      <c r="AC59" s="134"/>
      <c r="AD59" s="134"/>
      <c r="AE59" s="134"/>
      <c r="AF59" s="134"/>
      <c r="AG59" s="134"/>
      <c r="AH59" s="134"/>
      <c r="AI59" s="134"/>
      <c r="AJ59" s="134"/>
    </row>
    <row r="60" spans="1:36" s="13" customFormat="1" ht="12" customHeight="1" x14ac:dyDescent="0.2">
      <c r="A60" s="13" t="s">
        <v>15</v>
      </c>
    </row>
    <row r="61" spans="1:36" s="13" customFormat="1" ht="12" customHeight="1" x14ac:dyDescent="0.2">
      <c r="A61" s="13" t="s">
        <v>30</v>
      </c>
    </row>
    <row r="62" spans="1:36" s="13" customFormat="1" ht="12" customHeight="1" x14ac:dyDescent="0.2">
      <c r="A62" s="150" t="s">
        <v>167</v>
      </c>
      <c r="B62" s="150"/>
      <c r="C62" s="150"/>
      <c r="D62" s="150"/>
      <c r="E62" s="150"/>
      <c r="F62" s="150"/>
      <c r="G62" s="150"/>
      <c r="H62" s="150"/>
      <c r="I62" s="150"/>
      <c r="J62" s="150"/>
      <c r="K62" s="150"/>
      <c r="L62" s="150"/>
      <c r="M62" s="150"/>
      <c r="N62" s="151" t="str">
        <f>'АОСР-1'!O62</f>
        <v>КЛ-10кВ</v>
      </c>
      <c r="O62" s="151"/>
      <c r="P62" s="151"/>
      <c r="Q62" s="97" t="s">
        <v>166</v>
      </c>
      <c r="R62" s="151">
        <f>6+4+8</f>
        <v>18</v>
      </c>
      <c r="S62" s="151"/>
      <c r="T62" s="151"/>
      <c r="U62" s="65" t="s">
        <v>92</v>
      </c>
      <c r="V62" s="65"/>
      <c r="W62" s="65"/>
      <c r="X62" s="65"/>
      <c r="Y62" s="65"/>
      <c r="Z62" s="65"/>
      <c r="AA62" s="65"/>
      <c r="AB62" s="65"/>
      <c r="AC62" s="65"/>
      <c r="AD62" s="65"/>
      <c r="AE62" s="65"/>
      <c r="AF62" s="65"/>
      <c r="AG62" s="65"/>
      <c r="AH62" s="65"/>
      <c r="AI62" s="65"/>
      <c r="AJ62" s="65"/>
    </row>
    <row r="63" spans="1:36" s="14" customFormat="1" ht="8.25" customHeight="1" x14ac:dyDescent="0.15">
      <c r="A63" s="153" t="s">
        <v>14</v>
      </c>
      <c r="B63" s="154"/>
      <c r="C63" s="154"/>
      <c r="D63" s="154"/>
      <c r="E63" s="154"/>
      <c r="F63" s="154"/>
      <c r="G63" s="154"/>
      <c r="H63" s="154"/>
      <c r="I63" s="154"/>
      <c r="J63" s="154"/>
      <c r="K63" s="154"/>
      <c r="L63" s="154"/>
      <c r="M63" s="154"/>
      <c r="N63" s="154"/>
      <c r="O63" s="154"/>
      <c r="P63" s="154"/>
      <c r="Q63" s="154"/>
      <c r="R63" s="154"/>
      <c r="S63" s="154"/>
      <c r="T63" s="154"/>
      <c r="U63" s="154"/>
      <c r="V63" s="154"/>
      <c r="W63" s="154"/>
      <c r="X63" s="154"/>
      <c r="Y63" s="154"/>
      <c r="Z63" s="154"/>
      <c r="AA63" s="154"/>
      <c r="AB63" s="154"/>
      <c r="AC63" s="154"/>
      <c r="AD63" s="154"/>
      <c r="AE63" s="154"/>
      <c r="AF63" s="154"/>
      <c r="AG63" s="154"/>
      <c r="AH63" s="154"/>
      <c r="AI63" s="154"/>
      <c r="AJ63" s="154"/>
    </row>
    <row r="64" spans="1:36" s="13" customFormat="1" ht="12" customHeight="1" x14ac:dyDescent="0.2">
      <c r="A64" s="67" t="s">
        <v>13</v>
      </c>
      <c r="B64" s="67"/>
      <c r="C64" s="67"/>
      <c r="D64" s="67"/>
      <c r="E64" s="67"/>
      <c r="F64" s="67"/>
      <c r="G64" s="67"/>
      <c r="H64" s="67"/>
      <c r="I64" s="67"/>
      <c r="J64" s="67"/>
      <c r="K64" s="67"/>
      <c r="L64" s="67"/>
      <c r="M64" s="67"/>
      <c r="N64" s="67"/>
      <c r="O64" s="67"/>
      <c r="P64" s="67"/>
      <c r="Q64" s="67"/>
      <c r="R64" s="67"/>
      <c r="S64" s="67"/>
      <c r="T64" s="67"/>
      <c r="U64" s="67"/>
      <c r="V64" s="67"/>
      <c r="W64" s="67"/>
      <c r="X64" s="67"/>
      <c r="Y64" s="67"/>
      <c r="Z64" s="67"/>
      <c r="AA64" s="67"/>
      <c r="AB64" s="67"/>
      <c r="AC64" s="67"/>
      <c r="AD64" s="67"/>
      <c r="AE64" s="67"/>
      <c r="AF64" s="67"/>
      <c r="AG64" s="67"/>
      <c r="AH64" s="67"/>
      <c r="AI64" s="67"/>
      <c r="AJ64" s="67"/>
    </row>
    <row r="65" spans="1:36" s="13" customFormat="1" ht="12" customHeight="1" x14ac:dyDescent="0.2">
      <c r="A65" s="141" t="str">
        <f>'Данные объект'!B43</f>
        <v>4609-305042-221-10/24</v>
      </c>
      <c r="B65" s="141"/>
      <c r="C65" s="141"/>
      <c r="D65" s="141"/>
      <c r="E65" s="141"/>
      <c r="F65" s="141"/>
      <c r="G65" s="141"/>
      <c r="H65" s="141"/>
      <c r="I65" s="141"/>
      <c r="J65" s="141"/>
      <c r="K65" s="141"/>
      <c r="L65" s="141"/>
      <c r="M65" s="141"/>
      <c r="N65" s="141"/>
      <c r="O65" s="141"/>
      <c r="P65" s="141"/>
      <c r="Q65" s="141"/>
      <c r="R65" s="141"/>
      <c r="S65" s="141"/>
      <c r="T65" s="141"/>
      <c r="U65" s="141"/>
      <c r="V65" s="141"/>
      <c r="W65" s="141"/>
      <c r="X65" s="141"/>
      <c r="Y65" s="141"/>
      <c r="Z65" s="141"/>
      <c r="AA65" s="141"/>
      <c r="AB65" s="141"/>
      <c r="AC65" s="141"/>
      <c r="AD65" s="141"/>
      <c r="AE65" s="141"/>
      <c r="AF65" s="141"/>
      <c r="AG65" s="141"/>
      <c r="AH65" s="141"/>
      <c r="AI65" s="141"/>
      <c r="AJ65" s="141"/>
    </row>
    <row r="66" spans="1:36" s="14" customFormat="1" ht="15" customHeight="1" x14ac:dyDescent="0.15">
      <c r="A66" s="153" t="s">
        <v>39</v>
      </c>
      <c r="B66" s="154"/>
      <c r="C66" s="154"/>
      <c r="D66" s="154"/>
      <c r="E66" s="154"/>
      <c r="F66" s="154"/>
      <c r="G66" s="154"/>
      <c r="H66" s="154"/>
      <c r="I66" s="154"/>
      <c r="J66" s="154"/>
      <c r="K66" s="154"/>
      <c r="L66" s="154"/>
      <c r="M66" s="154"/>
      <c r="N66" s="154"/>
      <c r="O66" s="154"/>
      <c r="P66" s="154"/>
      <c r="Q66" s="154"/>
      <c r="R66" s="154"/>
      <c r="S66" s="154"/>
      <c r="T66" s="154"/>
      <c r="U66" s="154"/>
      <c r="V66" s="154"/>
      <c r="W66" s="154"/>
      <c r="X66" s="154"/>
      <c r="Y66" s="154"/>
      <c r="Z66" s="154"/>
      <c r="AA66" s="154"/>
      <c r="AB66" s="154"/>
      <c r="AC66" s="154"/>
      <c r="AD66" s="154"/>
      <c r="AE66" s="154"/>
      <c r="AF66" s="154"/>
      <c r="AG66" s="154"/>
      <c r="AH66" s="154"/>
      <c r="AI66" s="154"/>
      <c r="AJ66" s="154"/>
    </row>
    <row r="67" spans="1:36" s="13" customFormat="1" ht="12" customHeight="1" x14ac:dyDescent="0.2">
      <c r="A67" s="67" t="s">
        <v>12</v>
      </c>
      <c r="B67" s="67"/>
      <c r="C67" s="67"/>
      <c r="D67" s="67"/>
      <c r="E67" s="67"/>
      <c r="F67" s="67"/>
      <c r="G67" s="67"/>
      <c r="H67" s="67"/>
      <c r="I67" s="67"/>
      <c r="J67" s="67"/>
      <c r="K67" s="67"/>
      <c r="L67" s="67"/>
      <c r="M67" s="67"/>
      <c r="N67" s="67"/>
      <c r="O67" s="67"/>
      <c r="P67" s="155"/>
      <c r="Q67" s="155"/>
      <c r="R67" s="155"/>
      <c r="S67" s="155"/>
      <c r="T67" s="155"/>
      <c r="U67" s="155"/>
      <c r="V67" s="155"/>
      <c r="W67" s="155"/>
      <c r="X67" s="155"/>
      <c r="Y67" s="155"/>
      <c r="Z67" s="155"/>
      <c r="AA67" s="155"/>
      <c r="AB67" s="155"/>
      <c r="AC67" s="155"/>
      <c r="AD67" s="155"/>
      <c r="AE67" s="155"/>
      <c r="AF67" s="155"/>
      <c r="AG67" s="155"/>
      <c r="AH67" s="155"/>
      <c r="AI67" s="155"/>
      <c r="AJ67" s="155"/>
    </row>
    <row r="68" spans="1:36" s="18" customFormat="1" ht="7.5" customHeight="1" x14ac:dyDescent="0.15">
      <c r="A68" s="68"/>
      <c r="B68" s="68"/>
      <c r="C68" s="68"/>
      <c r="D68" s="68"/>
      <c r="E68" s="68"/>
      <c r="F68" s="68"/>
      <c r="G68" s="68"/>
      <c r="H68" s="68"/>
      <c r="I68" s="68"/>
      <c r="J68" s="68"/>
      <c r="K68" s="68"/>
      <c r="L68" s="68"/>
      <c r="M68" s="68"/>
      <c r="N68" s="68"/>
      <c r="O68" s="68"/>
      <c r="P68" s="156" t="s">
        <v>55</v>
      </c>
      <c r="Q68" s="156"/>
      <c r="R68" s="156"/>
      <c r="S68" s="156"/>
      <c r="T68" s="156"/>
      <c r="U68" s="156"/>
      <c r="V68" s="156"/>
      <c r="W68" s="156"/>
      <c r="X68" s="156"/>
      <c r="Y68" s="156"/>
      <c r="Z68" s="156"/>
      <c r="AA68" s="156"/>
      <c r="AB68" s="156"/>
      <c r="AC68" s="156"/>
      <c r="AD68" s="156"/>
      <c r="AE68" s="156"/>
      <c r="AF68" s="156"/>
      <c r="AG68" s="156"/>
      <c r="AH68" s="156"/>
      <c r="AI68" s="156"/>
      <c r="AJ68" s="156"/>
    </row>
    <row r="69" spans="1:36" s="13" customFormat="1" ht="12" customHeight="1" x14ac:dyDescent="0.2">
      <c r="A69" s="147" t="s">
        <v>168</v>
      </c>
      <c r="B69" s="147"/>
      <c r="C69" s="147"/>
      <c r="D69" s="147"/>
      <c r="E69" s="147"/>
      <c r="F69" s="147"/>
      <c r="G69" s="147"/>
      <c r="H69" s="147"/>
      <c r="I69" s="65" t="s">
        <v>74</v>
      </c>
      <c r="J69" s="152">
        <f>R62</f>
        <v>18</v>
      </c>
      <c r="K69" s="152"/>
      <c r="L69" s="152"/>
      <c r="M69" s="152" t="s">
        <v>92</v>
      </c>
      <c r="N69" s="152"/>
      <c r="O69" s="147" t="s">
        <v>171</v>
      </c>
      <c r="P69" s="147"/>
      <c r="Q69" s="147"/>
      <c r="R69" s="147"/>
      <c r="S69" s="147"/>
      <c r="T69" s="147"/>
      <c r="U69" s="147"/>
      <c r="V69" s="147"/>
      <c r="W69" s="147"/>
      <c r="X69" s="147"/>
      <c r="Y69" s="147"/>
      <c r="Z69" s="147"/>
      <c r="AA69" s="147"/>
      <c r="AB69" s="147"/>
      <c r="AC69" s="147"/>
      <c r="AD69" s="65"/>
      <c r="AE69" s="65"/>
      <c r="AF69" s="65"/>
      <c r="AG69" s="65"/>
      <c r="AH69" s="65"/>
      <c r="AI69" s="65"/>
      <c r="AJ69" s="65"/>
    </row>
    <row r="70" spans="1:36" s="14" customFormat="1" ht="18.75" customHeight="1" x14ac:dyDescent="0.15">
      <c r="A70" s="153" t="s">
        <v>56</v>
      </c>
      <c r="B70" s="154"/>
      <c r="C70" s="154"/>
      <c r="D70" s="154"/>
      <c r="E70" s="154"/>
      <c r="F70" s="154"/>
      <c r="G70" s="154"/>
      <c r="H70" s="154"/>
      <c r="I70" s="154"/>
      <c r="J70" s="154"/>
      <c r="K70" s="154"/>
      <c r="L70" s="154"/>
      <c r="M70" s="154"/>
      <c r="N70" s="154"/>
      <c r="O70" s="154"/>
      <c r="P70" s="154"/>
      <c r="Q70" s="154"/>
      <c r="R70" s="154"/>
      <c r="S70" s="154"/>
      <c r="T70" s="154"/>
      <c r="U70" s="154"/>
      <c r="V70" s="154"/>
      <c r="W70" s="154"/>
      <c r="X70" s="154"/>
      <c r="Y70" s="154"/>
      <c r="Z70" s="154"/>
      <c r="AA70" s="154"/>
      <c r="AB70" s="154"/>
      <c r="AC70" s="154"/>
      <c r="AD70" s="154"/>
      <c r="AE70" s="154"/>
      <c r="AF70" s="154"/>
      <c r="AG70" s="154"/>
      <c r="AH70" s="154"/>
      <c r="AI70" s="154"/>
      <c r="AJ70" s="154"/>
    </row>
    <row r="71" spans="1:36" s="13" customFormat="1" ht="12" customHeight="1" x14ac:dyDescent="0.2">
      <c r="A71" s="13" t="s">
        <v>11</v>
      </c>
    </row>
    <row r="72" spans="1:36" s="13" customFormat="1" ht="12" customHeight="1" x14ac:dyDescent="0.2">
      <c r="A72" s="13" t="s">
        <v>10</v>
      </c>
      <c r="G72" s="130" t="s">
        <v>89</v>
      </c>
      <c r="H72" s="130"/>
      <c r="I72" s="130"/>
      <c r="J72" s="130"/>
      <c r="K72" s="130"/>
      <c r="L72" s="130"/>
      <c r="M72" s="130"/>
      <c r="N72" s="130"/>
      <c r="O72" s="130"/>
      <c r="P72" s="130"/>
      <c r="Q72" s="130"/>
      <c r="R72" s="130"/>
      <c r="S72" s="130"/>
      <c r="T72" s="130"/>
      <c r="U72" s="130"/>
      <c r="V72" s="25" t="s">
        <v>88</v>
      </c>
      <c r="W72" s="130"/>
      <c r="X72" s="130"/>
      <c r="Y72" s="130"/>
      <c r="Z72" s="130"/>
      <c r="AA72" s="130"/>
      <c r="AB72" s="130"/>
      <c r="AC72" s="130"/>
      <c r="AD72" s="130"/>
      <c r="AE72" s="130"/>
      <c r="AF72" s="130"/>
      <c r="AG72" s="130"/>
      <c r="AH72" s="130"/>
      <c r="AI72" s="130"/>
      <c r="AJ72" s="130"/>
    </row>
    <row r="73" spans="1:36" s="14" customFormat="1" ht="7.5" customHeight="1" x14ac:dyDescent="0.15">
      <c r="A73" s="133"/>
      <c r="B73" s="133"/>
      <c r="C73" s="20"/>
      <c r="D73" s="20"/>
      <c r="E73" s="20"/>
      <c r="F73" s="20"/>
      <c r="G73" s="129" t="s">
        <v>9</v>
      </c>
      <c r="H73" s="129"/>
      <c r="I73" s="129"/>
      <c r="J73" s="129"/>
      <c r="K73" s="129"/>
      <c r="L73" s="129"/>
      <c r="M73" s="129"/>
      <c r="N73" s="129"/>
      <c r="O73" s="129"/>
      <c r="P73" s="129"/>
      <c r="Q73" s="129"/>
      <c r="R73" s="129"/>
      <c r="S73" s="129"/>
      <c r="T73" s="129"/>
      <c r="U73" s="129"/>
      <c r="V73" s="129"/>
      <c r="W73" s="129"/>
      <c r="X73" s="129"/>
      <c r="Y73" s="129"/>
      <c r="Z73" s="129"/>
      <c r="AA73" s="129"/>
      <c r="AB73" s="129"/>
      <c r="AC73" s="129"/>
      <c r="AD73" s="129"/>
      <c r="AE73" s="129"/>
      <c r="AF73" s="129"/>
      <c r="AG73" s="129"/>
      <c r="AH73" s="129"/>
      <c r="AI73" s="129"/>
      <c r="AJ73" s="129"/>
    </row>
    <row r="74" spans="1:36" s="13" customFormat="1" ht="12" customHeight="1" x14ac:dyDescent="0.2">
      <c r="A74" s="130"/>
      <c r="B74" s="130"/>
      <c r="C74" s="130"/>
      <c r="D74" s="130"/>
      <c r="E74" s="130"/>
      <c r="F74" s="130"/>
      <c r="G74" s="130"/>
      <c r="H74" s="130"/>
      <c r="I74" s="130"/>
      <c r="J74" s="130"/>
      <c r="K74" s="130"/>
      <c r="L74" s="130"/>
      <c r="M74" s="130"/>
      <c r="N74" s="130"/>
      <c r="O74" s="130"/>
      <c r="P74" s="130"/>
      <c r="Q74" s="130"/>
      <c r="R74" s="130"/>
      <c r="S74" s="130"/>
      <c r="T74" s="130"/>
      <c r="U74" s="130"/>
      <c r="V74" s="130"/>
      <c r="W74" s="130"/>
      <c r="X74" s="130"/>
      <c r="Y74" s="130"/>
      <c r="Z74" s="130"/>
      <c r="AA74" s="130"/>
      <c r="AB74" s="130"/>
      <c r="AC74" s="130"/>
      <c r="AD74" s="130"/>
      <c r="AE74" s="130"/>
      <c r="AF74" s="130"/>
      <c r="AG74" s="130"/>
      <c r="AH74" s="130"/>
      <c r="AI74" s="130"/>
      <c r="AJ74" s="130"/>
    </row>
    <row r="75" spans="1:36" s="14" customFormat="1" ht="7.5" customHeight="1" x14ac:dyDescent="0.15">
      <c r="A75" s="128" t="s">
        <v>31</v>
      </c>
      <c r="B75" s="129"/>
      <c r="C75" s="129"/>
      <c r="D75" s="129"/>
      <c r="E75" s="129"/>
      <c r="F75" s="129"/>
      <c r="G75" s="129"/>
      <c r="H75" s="129"/>
      <c r="I75" s="129"/>
      <c r="J75" s="129"/>
      <c r="K75" s="129"/>
      <c r="L75" s="129"/>
      <c r="M75" s="129"/>
      <c r="N75" s="129"/>
      <c r="O75" s="129"/>
      <c r="P75" s="129"/>
      <c r="Q75" s="129"/>
      <c r="R75" s="129"/>
      <c r="S75" s="129"/>
      <c r="T75" s="129"/>
      <c r="U75" s="129"/>
      <c r="V75" s="129"/>
      <c r="W75" s="129"/>
      <c r="X75" s="129"/>
      <c r="Y75" s="129"/>
      <c r="Z75" s="129"/>
      <c r="AA75" s="129"/>
      <c r="AB75" s="129"/>
      <c r="AC75" s="129"/>
      <c r="AD75" s="129"/>
      <c r="AE75" s="129"/>
      <c r="AF75" s="129"/>
      <c r="AG75" s="129"/>
      <c r="AH75" s="129"/>
      <c r="AI75" s="129"/>
      <c r="AJ75" s="129"/>
    </row>
    <row r="76" spans="1:36" ht="9" customHeight="1" x14ac:dyDescent="0.25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9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  <c r="AC76" s="8"/>
      <c r="AD76" s="8"/>
      <c r="AE76" s="8"/>
      <c r="AF76" s="8"/>
      <c r="AG76" s="8"/>
      <c r="AH76" s="8"/>
      <c r="AI76" s="8"/>
      <c r="AJ76" s="8"/>
    </row>
    <row r="77" spans="1:36" s="13" customFormat="1" ht="12" customHeight="1" x14ac:dyDescent="0.2">
      <c r="A77" s="13" t="s">
        <v>8</v>
      </c>
      <c r="D77" s="28"/>
      <c r="E77" s="28"/>
      <c r="F77" s="28"/>
      <c r="G77" s="28"/>
      <c r="L77" s="21"/>
      <c r="M77" s="32"/>
      <c r="N77" s="32"/>
      <c r="P77" s="131">
        <f>'Данные объект'!B6</f>
        <v>45695</v>
      </c>
      <c r="Q77" s="131"/>
      <c r="R77" s="131"/>
      <c r="S77" s="131"/>
      <c r="T77" s="131"/>
      <c r="U77" s="131"/>
      <c r="V77" s="131"/>
      <c r="W77" s="131"/>
      <c r="X77" s="13" t="s">
        <v>6</v>
      </c>
    </row>
    <row r="78" spans="1:36" s="13" customFormat="1" ht="12" customHeight="1" x14ac:dyDescent="0.2">
      <c r="A78" s="13" t="s">
        <v>7</v>
      </c>
      <c r="D78" s="28"/>
      <c r="E78" s="28"/>
      <c r="F78" s="28"/>
      <c r="G78" s="28"/>
      <c r="L78" s="21"/>
      <c r="M78" s="32"/>
      <c r="N78" s="32"/>
      <c r="P78" s="132">
        <f>'Данные объект'!B7</f>
        <v>45819</v>
      </c>
      <c r="Q78" s="132"/>
      <c r="R78" s="132"/>
      <c r="S78" s="132"/>
      <c r="T78" s="132"/>
      <c r="U78" s="132"/>
      <c r="V78" s="132"/>
      <c r="W78" s="132"/>
      <c r="X78" s="13" t="s">
        <v>6</v>
      </c>
    </row>
    <row r="79" spans="1:36" ht="7.5" customHeight="1" x14ac:dyDescent="0.25">
      <c r="A79" s="7"/>
      <c r="B79" s="7"/>
      <c r="C79" s="7"/>
      <c r="D79" s="10"/>
      <c r="E79" s="10"/>
      <c r="F79" s="10"/>
      <c r="G79" s="10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</row>
    <row r="80" spans="1:36" s="13" customFormat="1" ht="12" customHeight="1" x14ac:dyDescent="0.2">
      <c r="A80" s="13" t="s">
        <v>5</v>
      </c>
    </row>
    <row r="81" spans="1:36" s="13" customFormat="1" ht="12" customHeight="1" x14ac:dyDescent="0.2">
      <c r="A81" s="137" t="s">
        <v>103</v>
      </c>
      <c r="B81" s="137"/>
      <c r="C81" s="137"/>
      <c r="D81" s="137"/>
      <c r="E81" s="137"/>
      <c r="F81" s="137"/>
      <c r="G81" s="137"/>
      <c r="H81" s="137"/>
      <c r="I81" s="137"/>
      <c r="J81" s="137"/>
      <c r="K81" s="137"/>
      <c r="L81" s="137"/>
      <c r="M81" s="137"/>
      <c r="N81" s="137"/>
      <c r="O81" s="137"/>
      <c r="P81" s="137"/>
      <c r="Q81" s="137"/>
      <c r="R81" s="137"/>
      <c r="S81" s="137"/>
      <c r="T81" s="137"/>
      <c r="U81" s="137"/>
      <c r="V81" s="137"/>
      <c r="W81" s="137"/>
      <c r="X81" s="137"/>
      <c r="Y81" s="137"/>
      <c r="Z81" s="137"/>
      <c r="AA81" s="137"/>
      <c r="AB81" s="137"/>
      <c r="AC81" s="137"/>
      <c r="AD81" s="137"/>
      <c r="AE81" s="137"/>
      <c r="AF81" s="137"/>
      <c r="AG81" s="137"/>
      <c r="AH81" s="137"/>
      <c r="AI81" s="137"/>
      <c r="AJ81" s="137"/>
    </row>
    <row r="82" spans="1:36" s="14" customFormat="1" ht="8.25" customHeight="1" x14ac:dyDescent="0.15">
      <c r="A82" s="128" t="s">
        <v>4</v>
      </c>
      <c r="B82" s="129"/>
      <c r="C82" s="129"/>
      <c r="D82" s="129"/>
      <c r="E82" s="129"/>
      <c r="F82" s="129"/>
      <c r="G82" s="129"/>
      <c r="H82" s="129"/>
      <c r="I82" s="129"/>
      <c r="J82" s="129"/>
      <c r="K82" s="129"/>
      <c r="L82" s="129"/>
      <c r="M82" s="129"/>
      <c r="N82" s="129"/>
      <c r="O82" s="129"/>
      <c r="P82" s="129"/>
      <c r="Q82" s="129"/>
      <c r="R82" s="129"/>
      <c r="S82" s="129"/>
      <c r="T82" s="129"/>
      <c r="U82" s="129"/>
      <c r="V82" s="129"/>
      <c r="W82" s="129"/>
      <c r="X82" s="129"/>
      <c r="Y82" s="129"/>
      <c r="Z82" s="129"/>
      <c r="AA82" s="129"/>
      <c r="AB82" s="129"/>
      <c r="AC82" s="129"/>
      <c r="AD82" s="129"/>
      <c r="AE82" s="129"/>
      <c r="AF82" s="129"/>
      <c r="AG82" s="129"/>
      <c r="AH82" s="129"/>
      <c r="AI82" s="129"/>
      <c r="AJ82" s="129"/>
    </row>
    <row r="83" spans="1:36" s="13" customFormat="1" ht="12" customHeight="1" x14ac:dyDescent="0.2">
      <c r="A83" s="130"/>
      <c r="B83" s="130"/>
      <c r="C83" s="130"/>
      <c r="D83" s="130"/>
      <c r="E83" s="130"/>
      <c r="F83" s="130"/>
      <c r="G83" s="130"/>
      <c r="H83" s="130"/>
      <c r="I83" s="130"/>
      <c r="J83" s="130"/>
      <c r="K83" s="130"/>
      <c r="L83" s="130"/>
      <c r="M83" s="130"/>
      <c r="N83" s="130"/>
      <c r="O83" s="130"/>
      <c r="P83" s="130"/>
      <c r="Q83" s="130"/>
      <c r="R83" s="130"/>
      <c r="S83" s="130"/>
      <c r="T83" s="130"/>
      <c r="U83" s="130"/>
      <c r="V83" s="130"/>
      <c r="W83" s="130"/>
      <c r="X83" s="130"/>
      <c r="Y83" s="130"/>
      <c r="Z83" s="130"/>
      <c r="AA83" s="130"/>
      <c r="AB83" s="130"/>
      <c r="AC83" s="130"/>
      <c r="AD83" s="130"/>
      <c r="AE83" s="130"/>
      <c r="AF83" s="130"/>
      <c r="AG83" s="130"/>
      <c r="AH83" s="130"/>
      <c r="AI83" s="130"/>
      <c r="AJ83" s="130"/>
    </row>
    <row r="84" spans="1:36" s="14" customFormat="1" ht="8.25" customHeight="1" x14ac:dyDescent="0.15">
      <c r="A84" s="128" t="s">
        <v>57</v>
      </c>
      <c r="B84" s="129"/>
      <c r="C84" s="129"/>
      <c r="D84" s="129"/>
      <c r="E84" s="129"/>
      <c r="F84" s="129"/>
      <c r="G84" s="129"/>
      <c r="H84" s="129"/>
      <c r="I84" s="129"/>
      <c r="J84" s="129"/>
      <c r="K84" s="129"/>
      <c r="L84" s="129"/>
      <c r="M84" s="129"/>
      <c r="N84" s="129"/>
      <c r="O84" s="129"/>
      <c r="P84" s="129"/>
      <c r="Q84" s="129"/>
      <c r="R84" s="129"/>
      <c r="S84" s="129"/>
      <c r="T84" s="129"/>
      <c r="U84" s="129"/>
      <c r="V84" s="129"/>
      <c r="W84" s="129"/>
      <c r="X84" s="129"/>
      <c r="Y84" s="129"/>
      <c r="Z84" s="129"/>
      <c r="AA84" s="129"/>
      <c r="AB84" s="129"/>
      <c r="AC84" s="129"/>
      <c r="AD84" s="129"/>
      <c r="AE84" s="129"/>
      <c r="AF84" s="129"/>
      <c r="AG84" s="129"/>
      <c r="AH84" s="129"/>
      <c r="AI84" s="129"/>
      <c r="AJ84" s="129"/>
    </row>
    <row r="85" spans="1:36" s="13" customFormat="1" ht="12" customHeight="1" x14ac:dyDescent="0.2">
      <c r="A85" s="13" t="s">
        <v>3</v>
      </c>
    </row>
    <row r="86" spans="1:36" s="13" customFormat="1" ht="12" customHeight="1" x14ac:dyDescent="0.2">
      <c r="A86" s="130" t="s">
        <v>93</v>
      </c>
      <c r="B86" s="130"/>
      <c r="C86" s="130"/>
      <c r="D86" s="130"/>
      <c r="E86" s="130"/>
      <c r="F86" s="130"/>
      <c r="G86" s="130"/>
      <c r="H86" s="130"/>
      <c r="I86" s="130"/>
      <c r="J86" s="130"/>
      <c r="K86" s="130"/>
      <c r="L86" s="130"/>
      <c r="M86" s="130"/>
      <c r="N86" s="130"/>
      <c r="O86" s="130"/>
      <c r="P86" s="130"/>
      <c r="Q86" s="130"/>
      <c r="R86" s="130"/>
      <c r="S86" s="130"/>
      <c r="T86" s="130"/>
      <c r="U86" s="130"/>
      <c r="V86" s="130"/>
      <c r="W86" s="130"/>
      <c r="X86" s="130"/>
      <c r="Y86" s="130"/>
      <c r="Z86" s="130"/>
      <c r="AA86" s="130"/>
      <c r="AB86" s="130"/>
      <c r="AC86" s="130"/>
      <c r="AD86" s="130"/>
      <c r="AE86" s="130"/>
      <c r="AF86" s="130"/>
      <c r="AG86" s="130"/>
      <c r="AH86" s="130"/>
      <c r="AI86" s="130"/>
      <c r="AJ86" s="130"/>
    </row>
    <row r="87" spans="1:36" s="14" customFormat="1" ht="9" customHeight="1" x14ac:dyDescent="0.15">
      <c r="A87" s="128" t="s">
        <v>32</v>
      </c>
      <c r="B87" s="129"/>
      <c r="C87" s="129"/>
      <c r="D87" s="129"/>
      <c r="E87" s="129"/>
      <c r="F87" s="129"/>
      <c r="G87" s="129"/>
      <c r="H87" s="129"/>
      <c r="I87" s="129"/>
      <c r="J87" s="129"/>
      <c r="K87" s="129"/>
      <c r="L87" s="129"/>
      <c r="M87" s="129"/>
      <c r="N87" s="129"/>
      <c r="O87" s="129"/>
      <c r="P87" s="129"/>
      <c r="Q87" s="129"/>
      <c r="R87" s="129"/>
      <c r="S87" s="129"/>
      <c r="T87" s="129"/>
      <c r="U87" s="129"/>
      <c r="V87" s="129"/>
      <c r="W87" s="129"/>
      <c r="X87" s="129"/>
      <c r="Y87" s="129"/>
      <c r="Z87" s="129"/>
      <c r="AA87" s="129"/>
      <c r="AB87" s="129"/>
      <c r="AC87" s="129"/>
      <c r="AD87" s="129"/>
      <c r="AE87" s="129"/>
      <c r="AF87" s="129"/>
      <c r="AG87" s="129"/>
      <c r="AH87" s="129"/>
      <c r="AI87" s="129"/>
      <c r="AJ87" s="129"/>
    </row>
    <row r="88" spans="1:36" s="13" customFormat="1" ht="12" customHeight="1" x14ac:dyDescent="0.2">
      <c r="A88" s="13" t="s">
        <v>2</v>
      </c>
      <c r="L88" s="130"/>
      <c r="M88" s="130"/>
      <c r="N88" s="130"/>
      <c r="O88" s="130"/>
      <c r="P88" s="130"/>
      <c r="Q88" s="130"/>
      <c r="R88" s="130"/>
      <c r="S88" s="130"/>
      <c r="T88" s="130"/>
      <c r="U88" s="130"/>
      <c r="V88" s="130"/>
      <c r="W88" s="130"/>
      <c r="X88" s="130"/>
      <c r="Y88" s="130"/>
      <c r="Z88" s="130"/>
      <c r="AA88" s="130"/>
      <c r="AB88" s="130"/>
      <c r="AC88" s="130"/>
      <c r="AD88" s="130"/>
      <c r="AE88" s="130"/>
      <c r="AF88" s="130"/>
      <c r="AG88" s="130"/>
      <c r="AH88" s="130"/>
      <c r="AI88" s="130"/>
      <c r="AJ88" s="130"/>
    </row>
    <row r="89" spans="1:36" ht="6" customHeight="1" x14ac:dyDescent="0.25">
      <c r="A89" s="4"/>
      <c r="B89" s="4"/>
      <c r="C89" s="4"/>
      <c r="D89" s="11"/>
      <c r="E89" s="11"/>
      <c r="F89" s="11"/>
      <c r="G89" s="11"/>
      <c r="H89" s="11"/>
      <c r="I89" s="11"/>
      <c r="J89" s="11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</row>
    <row r="90" spans="1:36" s="13" customFormat="1" ht="12" customHeight="1" x14ac:dyDescent="0.2">
      <c r="A90" s="13" t="s">
        <v>87</v>
      </c>
      <c r="H90" s="130"/>
      <c r="I90" s="130"/>
      <c r="J90" s="13" t="s">
        <v>33</v>
      </c>
    </row>
    <row r="91" spans="1:36" ht="4.5" customHeight="1" x14ac:dyDescent="0.25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</row>
    <row r="92" spans="1:36" s="13" customFormat="1" ht="12" customHeight="1" x14ac:dyDescent="0.2">
      <c r="A92" s="13" t="s">
        <v>1</v>
      </c>
    </row>
    <row r="93" spans="1:36" s="13" customFormat="1" ht="12" customHeight="1" x14ac:dyDescent="0.2">
      <c r="A93" s="25" t="s">
        <v>83</v>
      </c>
      <c r="B93" s="25" t="str">
        <f>G72</f>
        <v>Исполнителная схема устройства траншеи</v>
      </c>
      <c r="C93" s="25"/>
      <c r="D93" s="25"/>
      <c r="E93" s="25"/>
      <c r="F93" s="25"/>
      <c r="G93" s="25"/>
      <c r="H93" s="25"/>
      <c r="I93" s="25"/>
      <c r="J93" s="25"/>
      <c r="K93" s="25"/>
      <c r="L93" s="26"/>
      <c r="M93" s="25"/>
      <c r="N93" s="25"/>
      <c r="O93" s="25"/>
      <c r="P93" s="26" t="s">
        <v>74</v>
      </c>
      <c r="Q93" s="25" t="s">
        <v>84</v>
      </c>
      <c r="R93" s="25"/>
      <c r="S93" s="25"/>
      <c r="T93" s="25"/>
      <c r="U93" s="25"/>
      <c r="V93" s="25"/>
      <c r="W93" s="25"/>
      <c r="X93" s="25"/>
      <c r="Y93" s="25"/>
      <c r="Z93" s="25"/>
      <c r="AA93" s="25"/>
      <c r="AB93" s="25"/>
      <c r="AC93" s="25"/>
      <c r="AD93" s="25"/>
      <c r="AE93" s="25"/>
      <c r="AF93" s="25"/>
      <c r="AG93" s="25"/>
      <c r="AH93" s="25"/>
      <c r="AI93" s="25"/>
      <c r="AJ93" s="25"/>
    </row>
    <row r="94" spans="1:36" s="13" customFormat="1" ht="12" customHeight="1" x14ac:dyDescent="0.2">
      <c r="A94" s="33" t="s">
        <v>85</v>
      </c>
      <c r="B94" s="149" t="str">
        <f>O69</f>
        <v>Паспорт качества № 0908/24 от 23.08.2024г.</v>
      </c>
      <c r="C94" s="149"/>
      <c r="D94" s="149"/>
      <c r="E94" s="149"/>
      <c r="F94" s="149"/>
      <c r="G94" s="149"/>
      <c r="H94" s="149"/>
      <c r="I94" s="149"/>
      <c r="J94" s="149"/>
      <c r="K94" s="149"/>
      <c r="L94" s="149"/>
      <c r="M94" s="149"/>
      <c r="N94" s="149"/>
      <c r="O94" s="149"/>
      <c r="P94" s="29" t="s">
        <v>74</v>
      </c>
      <c r="Q94" s="33" t="s">
        <v>84</v>
      </c>
      <c r="R94" s="33"/>
      <c r="S94" s="33"/>
      <c r="T94" s="33"/>
      <c r="U94" s="33"/>
      <c r="V94" s="33"/>
      <c r="W94" s="33"/>
      <c r="X94" s="33"/>
      <c r="Y94" s="33"/>
      <c r="Z94" s="33"/>
      <c r="AA94" s="33"/>
      <c r="AB94" s="33"/>
      <c r="AC94" s="33"/>
      <c r="AD94" s="33"/>
      <c r="AE94" s="33"/>
      <c r="AF94" s="33"/>
      <c r="AG94" s="33"/>
      <c r="AH94" s="33"/>
      <c r="AI94" s="33"/>
      <c r="AJ94" s="33"/>
    </row>
    <row r="95" spans="1:36" s="14" customFormat="1" ht="9.75" customHeight="1" x14ac:dyDescent="0.15">
      <c r="A95" s="128" t="s">
        <v>0</v>
      </c>
      <c r="B95" s="129"/>
      <c r="C95" s="129"/>
      <c r="D95" s="129"/>
      <c r="E95" s="129"/>
      <c r="F95" s="129"/>
      <c r="G95" s="129"/>
      <c r="H95" s="129"/>
      <c r="I95" s="129"/>
      <c r="J95" s="129"/>
      <c r="K95" s="129"/>
      <c r="L95" s="129"/>
      <c r="M95" s="129"/>
      <c r="N95" s="129"/>
      <c r="O95" s="129"/>
      <c r="P95" s="129"/>
      <c r="Q95" s="129"/>
      <c r="R95" s="129"/>
      <c r="S95" s="129"/>
      <c r="T95" s="129"/>
      <c r="U95" s="129"/>
      <c r="V95" s="129"/>
      <c r="W95" s="129"/>
      <c r="X95" s="129"/>
      <c r="Y95" s="129"/>
      <c r="Z95" s="129"/>
      <c r="AA95" s="129"/>
      <c r="AB95" s="129"/>
      <c r="AC95" s="129"/>
      <c r="AD95" s="129"/>
      <c r="AE95" s="129"/>
      <c r="AF95" s="129"/>
      <c r="AG95" s="129"/>
      <c r="AH95" s="129"/>
      <c r="AI95" s="129"/>
      <c r="AJ95" s="129"/>
    </row>
    <row r="96" spans="1:36" ht="6.75" customHeight="1" x14ac:dyDescent="0.25">
      <c r="A96" s="12"/>
      <c r="B96" s="12"/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  <c r="AA96" s="12"/>
      <c r="AB96" s="12"/>
      <c r="AC96" s="12"/>
      <c r="AD96" s="12"/>
      <c r="AE96" s="12"/>
      <c r="AF96" s="12"/>
      <c r="AG96" s="12"/>
      <c r="AH96" s="12"/>
      <c r="AI96" s="12"/>
      <c r="AJ96" s="12"/>
    </row>
    <row r="97" spans="1:36" s="13" customFormat="1" ht="12" customHeight="1" x14ac:dyDescent="0.2">
      <c r="A97" s="13" t="s">
        <v>23</v>
      </c>
    </row>
    <row r="98" spans="1:36" s="13" customFormat="1" ht="12" customHeight="1" x14ac:dyDescent="0.2">
      <c r="A98" s="13" t="s">
        <v>24</v>
      </c>
    </row>
    <row r="99" spans="1:36" s="13" customFormat="1" ht="12" customHeight="1" x14ac:dyDescent="0.2">
      <c r="A99" s="130" t="str">
        <f>'Данные объект'!B33</f>
        <v>Алексанян Г.Р.</v>
      </c>
      <c r="B99" s="130"/>
      <c r="C99" s="130"/>
      <c r="D99" s="130"/>
      <c r="E99" s="130"/>
      <c r="F99" s="130"/>
      <c r="G99" s="130"/>
      <c r="H99" s="130"/>
      <c r="I99" s="130"/>
      <c r="J99" s="130"/>
      <c r="K99" s="130"/>
      <c r="L99" s="130"/>
      <c r="M99" s="130"/>
      <c r="N99" s="130"/>
      <c r="O99" s="130"/>
      <c r="P99" s="32"/>
      <c r="Q99" s="32"/>
      <c r="R99" s="32"/>
      <c r="S99" s="32"/>
      <c r="T99" s="32"/>
      <c r="U99" s="32"/>
      <c r="V99" s="32"/>
      <c r="W99" s="32"/>
      <c r="X99" s="32"/>
      <c r="Y99" s="32"/>
      <c r="Z99" s="32"/>
      <c r="AA99" s="32"/>
      <c r="AB99" s="130"/>
      <c r="AC99" s="130"/>
      <c r="AD99" s="130"/>
      <c r="AE99" s="130"/>
      <c r="AF99" s="130"/>
      <c r="AG99" s="130"/>
      <c r="AH99" s="130"/>
      <c r="AI99" s="130"/>
      <c r="AJ99" s="130"/>
    </row>
    <row r="100" spans="1:36" s="14" customFormat="1" ht="9" customHeight="1" x14ac:dyDescent="0.15">
      <c r="A100" s="134" t="s">
        <v>35</v>
      </c>
      <c r="B100" s="134"/>
      <c r="C100" s="134"/>
      <c r="D100" s="134"/>
      <c r="E100" s="134"/>
      <c r="F100" s="134"/>
      <c r="G100" s="134"/>
      <c r="H100" s="134"/>
      <c r="I100" s="134"/>
      <c r="J100" s="134"/>
      <c r="K100" s="134"/>
      <c r="L100" s="134"/>
      <c r="M100" s="134"/>
      <c r="N100" s="134"/>
      <c r="O100" s="134"/>
      <c r="P100" s="17"/>
      <c r="Q100" s="17"/>
      <c r="R100" s="17"/>
      <c r="S100" s="17"/>
      <c r="T100" s="17"/>
      <c r="U100" s="18"/>
      <c r="V100" s="18"/>
      <c r="W100" s="18"/>
      <c r="X100" s="18"/>
      <c r="Y100" s="18"/>
      <c r="Z100" s="18"/>
      <c r="AA100" s="18"/>
      <c r="AB100" s="135" t="s">
        <v>34</v>
      </c>
      <c r="AC100" s="135"/>
      <c r="AD100" s="135"/>
      <c r="AE100" s="135"/>
      <c r="AF100" s="135"/>
      <c r="AG100" s="135"/>
      <c r="AH100" s="135"/>
      <c r="AI100" s="135"/>
      <c r="AJ100" s="135"/>
    </row>
    <row r="101" spans="1:36" s="13" customFormat="1" ht="12" customHeight="1" x14ac:dyDescent="0.2">
      <c r="A101" s="13" t="s">
        <v>25</v>
      </c>
    </row>
    <row r="102" spans="1:36" s="13" customFormat="1" ht="12" customHeight="1" x14ac:dyDescent="0.2">
      <c r="A102" s="130" t="str">
        <f>'Данные объект'!B20</f>
        <v>Волков М.Ю.</v>
      </c>
      <c r="B102" s="130"/>
      <c r="C102" s="130"/>
      <c r="D102" s="130"/>
      <c r="E102" s="130"/>
      <c r="F102" s="130"/>
      <c r="G102" s="130"/>
      <c r="H102" s="130"/>
      <c r="I102" s="130"/>
      <c r="J102" s="130"/>
      <c r="K102" s="130"/>
      <c r="L102" s="130"/>
      <c r="M102" s="130"/>
      <c r="N102" s="130"/>
      <c r="O102" s="130"/>
      <c r="P102" s="32"/>
      <c r="Q102" s="32"/>
      <c r="R102" s="32"/>
      <c r="S102" s="32"/>
      <c r="T102" s="32"/>
      <c r="U102" s="32"/>
      <c r="V102" s="32"/>
      <c r="W102" s="32"/>
      <c r="X102" s="32"/>
      <c r="Y102" s="32"/>
      <c r="Z102" s="32"/>
      <c r="AA102" s="32"/>
      <c r="AB102" s="130"/>
      <c r="AC102" s="130"/>
      <c r="AD102" s="130"/>
      <c r="AE102" s="130"/>
      <c r="AF102" s="130"/>
      <c r="AG102" s="130"/>
      <c r="AH102" s="130"/>
      <c r="AI102" s="130"/>
      <c r="AJ102" s="130"/>
    </row>
    <row r="103" spans="1:36" s="14" customFormat="1" ht="9" customHeight="1" x14ac:dyDescent="0.15">
      <c r="A103" s="134" t="s">
        <v>35</v>
      </c>
      <c r="B103" s="134"/>
      <c r="C103" s="134"/>
      <c r="D103" s="134"/>
      <c r="E103" s="134"/>
      <c r="F103" s="134"/>
      <c r="G103" s="134"/>
      <c r="H103" s="134"/>
      <c r="I103" s="134"/>
      <c r="J103" s="134"/>
      <c r="K103" s="134"/>
      <c r="L103" s="134"/>
      <c r="M103" s="134"/>
      <c r="N103" s="134"/>
      <c r="O103" s="134"/>
      <c r="P103" s="17"/>
      <c r="Q103" s="17"/>
      <c r="R103" s="17"/>
      <c r="S103" s="17"/>
      <c r="T103" s="17"/>
      <c r="U103" s="18"/>
      <c r="V103" s="18"/>
      <c r="W103" s="18"/>
      <c r="X103" s="18"/>
      <c r="Y103" s="18"/>
      <c r="Z103" s="18"/>
      <c r="AA103" s="18"/>
      <c r="AB103" s="135" t="s">
        <v>34</v>
      </c>
      <c r="AC103" s="135"/>
      <c r="AD103" s="135"/>
      <c r="AE103" s="135"/>
      <c r="AF103" s="135"/>
      <c r="AG103" s="135"/>
      <c r="AH103" s="135"/>
      <c r="AI103" s="135"/>
      <c r="AJ103" s="135"/>
    </row>
    <row r="104" spans="1:36" s="13" customFormat="1" ht="12" customHeight="1" x14ac:dyDescent="0.2">
      <c r="A104" s="13" t="s">
        <v>27</v>
      </c>
    </row>
    <row r="105" spans="1:36" s="13" customFormat="1" ht="12" customHeight="1" x14ac:dyDescent="0.2">
      <c r="A105" s="13" t="s">
        <v>28</v>
      </c>
    </row>
    <row r="106" spans="1:36" s="13" customFormat="1" ht="12" customHeight="1" x14ac:dyDescent="0.2">
      <c r="A106" s="130" t="str">
        <f>'Данные объект'!B17</f>
        <v>Русин В.А.</v>
      </c>
      <c r="B106" s="130"/>
      <c r="C106" s="130"/>
      <c r="D106" s="130"/>
      <c r="E106" s="130"/>
      <c r="F106" s="130"/>
      <c r="G106" s="130"/>
      <c r="H106" s="130"/>
      <c r="I106" s="130"/>
      <c r="J106" s="130"/>
      <c r="K106" s="130"/>
      <c r="L106" s="130"/>
      <c r="M106" s="130"/>
      <c r="N106" s="130"/>
      <c r="O106" s="130"/>
      <c r="P106" s="32"/>
      <c r="Q106" s="32"/>
      <c r="R106" s="32"/>
      <c r="S106" s="32"/>
      <c r="T106" s="32"/>
      <c r="U106" s="32"/>
      <c r="V106" s="32"/>
      <c r="W106" s="32"/>
      <c r="X106" s="32"/>
      <c r="Y106" s="32"/>
      <c r="Z106" s="32"/>
      <c r="AA106" s="32"/>
      <c r="AB106" s="130"/>
      <c r="AC106" s="130"/>
      <c r="AD106" s="130"/>
      <c r="AE106" s="130"/>
      <c r="AF106" s="130"/>
      <c r="AG106" s="130"/>
      <c r="AH106" s="130"/>
      <c r="AI106" s="130"/>
      <c r="AJ106" s="130"/>
    </row>
    <row r="107" spans="1:36" s="14" customFormat="1" ht="9" customHeight="1" x14ac:dyDescent="0.15">
      <c r="A107" s="134" t="s">
        <v>35</v>
      </c>
      <c r="B107" s="134"/>
      <c r="C107" s="134"/>
      <c r="D107" s="134"/>
      <c r="E107" s="134"/>
      <c r="F107" s="134"/>
      <c r="G107" s="134"/>
      <c r="H107" s="134"/>
      <c r="I107" s="134"/>
      <c r="J107" s="134"/>
      <c r="K107" s="134"/>
      <c r="L107" s="134"/>
      <c r="M107" s="134"/>
      <c r="N107" s="134"/>
      <c r="O107" s="134"/>
      <c r="P107" s="17"/>
      <c r="Q107" s="17"/>
      <c r="R107" s="17"/>
      <c r="S107" s="17"/>
      <c r="T107" s="17"/>
      <c r="U107" s="18"/>
      <c r="V107" s="18"/>
      <c r="W107" s="18"/>
      <c r="X107" s="18"/>
      <c r="Y107" s="18"/>
      <c r="Z107" s="18"/>
      <c r="AA107" s="18"/>
      <c r="AB107" s="135" t="s">
        <v>34</v>
      </c>
      <c r="AC107" s="135"/>
      <c r="AD107" s="135"/>
      <c r="AE107" s="135"/>
      <c r="AF107" s="135"/>
      <c r="AG107" s="135"/>
      <c r="AH107" s="135"/>
      <c r="AI107" s="135"/>
      <c r="AJ107" s="135"/>
    </row>
    <row r="108" spans="1:36" s="14" customFormat="1" ht="11.25" x14ac:dyDescent="0.2">
      <c r="A108" s="13" t="s">
        <v>191</v>
      </c>
      <c r="B108" s="86"/>
      <c r="C108" s="86"/>
      <c r="D108" s="86"/>
      <c r="E108" s="86"/>
      <c r="F108" s="86"/>
      <c r="G108" s="86"/>
      <c r="H108" s="86"/>
      <c r="I108" s="86"/>
      <c r="J108" s="86"/>
      <c r="K108" s="86"/>
      <c r="L108" s="86"/>
      <c r="M108" s="86"/>
      <c r="N108" s="86"/>
      <c r="O108" s="86"/>
      <c r="P108" s="95"/>
      <c r="Q108" s="95"/>
      <c r="R108" s="95"/>
      <c r="S108" s="95"/>
      <c r="T108" s="95"/>
      <c r="U108" s="96"/>
      <c r="V108" s="96"/>
      <c r="W108" s="96"/>
      <c r="X108" s="96"/>
      <c r="Y108" s="96"/>
      <c r="Z108" s="96"/>
      <c r="AA108" s="96"/>
      <c r="AB108" s="87"/>
      <c r="AC108" s="87"/>
      <c r="AD108" s="87"/>
      <c r="AE108" s="87"/>
      <c r="AF108" s="87"/>
      <c r="AG108" s="87"/>
      <c r="AH108" s="87"/>
      <c r="AI108" s="87"/>
      <c r="AJ108" s="87"/>
    </row>
    <row r="109" spans="1:36" s="14" customFormat="1" ht="11.25" x14ac:dyDescent="0.2">
      <c r="A109" s="130" t="str">
        <f>'Данные объект'!$B$36</f>
        <v>Курчин М.М.</v>
      </c>
      <c r="B109" s="130"/>
      <c r="C109" s="130"/>
      <c r="D109" s="130"/>
      <c r="E109" s="130"/>
      <c r="F109" s="130"/>
      <c r="G109" s="130"/>
      <c r="H109" s="130"/>
      <c r="I109" s="130"/>
      <c r="J109" s="130"/>
      <c r="K109" s="130"/>
      <c r="L109" s="130"/>
      <c r="M109" s="130"/>
      <c r="N109" s="130"/>
      <c r="O109" s="130"/>
      <c r="P109" s="95"/>
      <c r="Q109" s="95"/>
      <c r="R109" s="95"/>
      <c r="S109" s="95"/>
      <c r="T109" s="95"/>
      <c r="U109" s="96"/>
      <c r="V109" s="96"/>
      <c r="W109" s="96"/>
      <c r="X109" s="96"/>
      <c r="Y109" s="96"/>
      <c r="Z109" s="96"/>
      <c r="AA109" s="96"/>
      <c r="AB109" s="130"/>
      <c r="AC109" s="130"/>
      <c r="AD109" s="130"/>
      <c r="AE109" s="130"/>
      <c r="AF109" s="130"/>
      <c r="AG109" s="130"/>
      <c r="AH109" s="130"/>
      <c r="AI109" s="130"/>
      <c r="AJ109" s="130"/>
    </row>
    <row r="110" spans="1:36" s="14" customFormat="1" ht="10.5" x14ac:dyDescent="0.15">
      <c r="A110" s="134" t="s">
        <v>35</v>
      </c>
      <c r="B110" s="134"/>
      <c r="C110" s="134"/>
      <c r="D110" s="134"/>
      <c r="E110" s="134"/>
      <c r="F110" s="134"/>
      <c r="G110" s="134"/>
      <c r="H110" s="134"/>
      <c r="I110" s="134"/>
      <c r="J110" s="134"/>
      <c r="K110" s="134"/>
      <c r="L110" s="134"/>
      <c r="M110" s="134"/>
      <c r="N110" s="134"/>
      <c r="O110" s="134"/>
      <c r="P110" s="95"/>
      <c r="Q110" s="95"/>
      <c r="R110" s="95"/>
      <c r="S110" s="95"/>
      <c r="T110" s="95"/>
      <c r="U110" s="96"/>
      <c r="V110" s="96"/>
      <c r="W110" s="96"/>
      <c r="X110" s="96"/>
      <c r="Y110" s="96"/>
      <c r="Z110" s="96"/>
      <c r="AA110" s="96"/>
      <c r="AB110" s="135" t="s">
        <v>34</v>
      </c>
      <c r="AC110" s="135"/>
      <c r="AD110" s="135"/>
      <c r="AE110" s="135"/>
      <c r="AF110" s="135"/>
      <c r="AG110" s="135"/>
      <c r="AH110" s="135"/>
      <c r="AI110" s="135"/>
      <c r="AJ110" s="135"/>
    </row>
    <row r="111" spans="1:36" s="13" customFormat="1" ht="38.25" customHeight="1" x14ac:dyDescent="0.2">
      <c r="A111" s="136" t="s">
        <v>51</v>
      </c>
      <c r="B111" s="136"/>
      <c r="C111" s="136"/>
      <c r="D111" s="136"/>
      <c r="E111" s="136"/>
      <c r="F111" s="136"/>
      <c r="G111" s="136"/>
      <c r="H111" s="136"/>
      <c r="I111" s="136"/>
      <c r="J111" s="136"/>
      <c r="K111" s="136"/>
      <c r="L111" s="136"/>
      <c r="M111" s="136"/>
      <c r="N111" s="136"/>
      <c r="O111" s="136"/>
      <c r="P111" s="136"/>
      <c r="Q111" s="136"/>
      <c r="R111" s="136"/>
      <c r="S111" s="136"/>
      <c r="T111" s="136"/>
      <c r="U111" s="136"/>
      <c r="V111" s="136"/>
      <c r="W111" s="136"/>
      <c r="X111" s="136"/>
      <c r="Y111" s="136"/>
      <c r="Z111" s="136"/>
      <c r="AA111" s="136"/>
      <c r="AB111" s="136"/>
      <c r="AC111" s="136"/>
      <c r="AD111" s="136"/>
      <c r="AE111" s="136"/>
      <c r="AF111" s="136"/>
      <c r="AG111" s="136"/>
      <c r="AH111" s="136"/>
      <c r="AI111" s="136"/>
      <c r="AJ111" s="136"/>
    </row>
    <row r="112" spans="1:36" s="13" customFormat="1" ht="12" customHeight="1" x14ac:dyDescent="0.2">
      <c r="A112" s="130" t="s">
        <v>74</v>
      </c>
      <c r="B112" s="130"/>
      <c r="C112" s="130"/>
      <c r="D112" s="130"/>
      <c r="E112" s="130"/>
      <c r="F112" s="130"/>
      <c r="G112" s="130"/>
      <c r="H112" s="130"/>
      <c r="I112" s="130"/>
      <c r="J112" s="130"/>
      <c r="K112" s="130"/>
      <c r="L112" s="130"/>
      <c r="M112" s="130"/>
      <c r="N112" s="130"/>
      <c r="O112" s="130"/>
      <c r="P112" s="32"/>
      <c r="Q112" s="32"/>
      <c r="R112" s="32"/>
      <c r="S112" s="32"/>
      <c r="T112" s="32"/>
      <c r="U112" s="32"/>
      <c r="V112" s="32"/>
      <c r="W112" s="32"/>
      <c r="X112" s="32"/>
      <c r="Y112" s="32"/>
      <c r="Z112" s="32"/>
      <c r="AA112" s="32"/>
      <c r="AB112" s="130" t="s">
        <v>74</v>
      </c>
      <c r="AC112" s="130"/>
      <c r="AD112" s="130"/>
      <c r="AE112" s="130"/>
      <c r="AF112" s="130"/>
      <c r="AG112" s="130"/>
      <c r="AH112" s="130"/>
      <c r="AI112" s="130"/>
      <c r="AJ112" s="130"/>
    </row>
    <row r="113" spans="1:36" s="14" customFormat="1" ht="9" customHeight="1" x14ac:dyDescent="0.15">
      <c r="A113" s="134" t="s">
        <v>35</v>
      </c>
      <c r="B113" s="134"/>
      <c r="C113" s="134"/>
      <c r="D113" s="134"/>
      <c r="E113" s="134"/>
      <c r="F113" s="134"/>
      <c r="G113" s="134"/>
      <c r="H113" s="134"/>
      <c r="I113" s="134"/>
      <c r="J113" s="134"/>
      <c r="K113" s="134"/>
      <c r="L113" s="134"/>
      <c r="M113" s="134"/>
      <c r="N113" s="134"/>
      <c r="O113" s="134"/>
      <c r="P113" s="17"/>
      <c r="Q113" s="17"/>
      <c r="R113" s="17"/>
      <c r="S113" s="17"/>
      <c r="T113" s="17"/>
      <c r="U113" s="18"/>
      <c r="V113" s="18"/>
      <c r="W113" s="18"/>
      <c r="X113" s="18"/>
      <c r="Y113" s="18"/>
      <c r="Z113" s="18"/>
      <c r="AA113" s="18"/>
      <c r="AB113" s="135" t="s">
        <v>34</v>
      </c>
      <c r="AC113" s="135"/>
      <c r="AD113" s="135"/>
      <c r="AE113" s="135"/>
      <c r="AF113" s="135"/>
      <c r="AG113" s="135"/>
      <c r="AH113" s="135"/>
      <c r="AI113" s="135"/>
      <c r="AJ113" s="135"/>
    </row>
    <row r="114" spans="1:36" s="13" customFormat="1" ht="24.75" hidden="1" customHeight="1" x14ac:dyDescent="0.2">
      <c r="A114" s="136" t="s">
        <v>53</v>
      </c>
      <c r="B114" s="136"/>
      <c r="C114" s="136"/>
      <c r="D114" s="136"/>
      <c r="E114" s="136"/>
      <c r="F114" s="136"/>
      <c r="G114" s="136"/>
      <c r="H114" s="136"/>
      <c r="I114" s="136"/>
      <c r="J114" s="136"/>
      <c r="K114" s="136"/>
      <c r="L114" s="136"/>
      <c r="M114" s="136"/>
      <c r="N114" s="136"/>
      <c r="O114" s="136"/>
      <c r="P114" s="136"/>
      <c r="Q114" s="136"/>
      <c r="R114" s="136"/>
      <c r="S114" s="136"/>
      <c r="T114" s="136"/>
      <c r="U114" s="136"/>
      <c r="V114" s="136"/>
      <c r="W114" s="136"/>
      <c r="X114" s="136"/>
      <c r="Y114" s="136"/>
      <c r="Z114" s="136"/>
      <c r="AA114" s="136"/>
      <c r="AB114" s="136"/>
      <c r="AC114" s="136"/>
      <c r="AD114" s="136"/>
      <c r="AE114" s="136"/>
      <c r="AF114" s="136"/>
      <c r="AG114" s="136"/>
      <c r="AH114" s="136"/>
      <c r="AI114" s="136"/>
      <c r="AJ114" s="136"/>
    </row>
    <row r="115" spans="1:36" s="13" customFormat="1" ht="12" hidden="1" customHeight="1" x14ac:dyDescent="0.2">
      <c r="A115" s="130" t="e">
        <f>#REF!</f>
        <v>#REF!</v>
      </c>
      <c r="B115" s="130"/>
      <c r="C115" s="130"/>
      <c r="D115" s="130"/>
      <c r="E115" s="130"/>
      <c r="F115" s="130"/>
      <c r="G115" s="130"/>
      <c r="H115" s="130"/>
      <c r="I115" s="130"/>
      <c r="J115" s="130"/>
      <c r="K115" s="130"/>
      <c r="L115" s="130"/>
      <c r="M115" s="130"/>
      <c r="N115" s="130"/>
      <c r="O115" s="130"/>
      <c r="P115" s="32"/>
      <c r="Q115" s="32"/>
      <c r="R115" s="32"/>
      <c r="S115" s="32"/>
      <c r="T115" s="32"/>
      <c r="U115" s="32"/>
      <c r="V115" s="32"/>
      <c r="W115" s="32"/>
      <c r="X115" s="32"/>
      <c r="Y115" s="32"/>
      <c r="Z115" s="32"/>
      <c r="AA115" s="32"/>
      <c r="AB115" s="130"/>
      <c r="AC115" s="130"/>
      <c r="AD115" s="130"/>
      <c r="AE115" s="130"/>
      <c r="AF115" s="130"/>
      <c r="AG115" s="130"/>
      <c r="AH115" s="130"/>
      <c r="AI115" s="130"/>
      <c r="AJ115" s="130"/>
    </row>
    <row r="116" spans="1:36" s="14" customFormat="1" ht="9" hidden="1" customHeight="1" x14ac:dyDescent="0.15">
      <c r="A116" s="134" t="s">
        <v>35</v>
      </c>
      <c r="B116" s="134"/>
      <c r="C116" s="134"/>
      <c r="D116" s="134"/>
      <c r="E116" s="134"/>
      <c r="F116" s="134"/>
      <c r="G116" s="134"/>
      <c r="H116" s="134"/>
      <c r="I116" s="134"/>
      <c r="J116" s="134"/>
      <c r="K116" s="134"/>
      <c r="L116" s="134"/>
      <c r="M116" s="134"/>
      <c r="N116" s="134"/>
      <c r="O116" s="134"/>
      <c r="P116" s="17"/>
      <c r="Q116" s="17"/>
      <c r="R116" s="17"/>
      <c r="S116" s="17"/>
      <c r="T116" s="17"/>
      <c r="U116" s="18"/>
      <c r="V116" s="18"/>
      <c r="W116" s="18"/>
      <c r="X116" s="18"/>
      <c r="Y116" s="18"/>
      <c r="Z116" s="18"/>
      <c r="AA116" s="18"/>
      <c r="AB116" s="135" t="s">
        <v>34</v>
      </c>
      <c r="AC116" s="135"/>
      <c r="AD116" s="135"/>
      <c r="AE116" s="135"/>
      <c r="AF116" s="135"/>
      <c r="AG116" s="135"/>
      <c r="AH116" s="135"/>
      <c r="AI116" s="135"/>
      <c r="AJ116" s="135"/>
    </row>
    <row r="117" spans="1:36" ht="12" customHeight="1" x14ac:dyDescent="0.25"/>
  </sheetData>
  <mergeCells count="107">
    <mergeCell ref="A116:O116"/>
    <mergeCell ref="AB116:AJ116"/>
    <mergeCell ref="A111:AJ111"/>
    <mergeCell ref="A112:O112"/>
    <mergeCell ref="AB112:AJ112"/>
    <mergeCell ref="A113:O113"/>
    <mergeCell ref="AB113:AJ113"/>
    <mergeCell ref="A114:AJ114"/>
    <mergeCell ref="A106:O106"/>
    <mergeCell ref="AB106:AJ106"/>
    <mergeCell ref="A107:O107"/>
    <mergeCell ref="AB107:AJ107"/>
    <mergeCell ref="A115:O115"/>
    <mergeCell ref="AB115:AJ115"/>
    <mergeCell ref="A109:O109"/>
    <mergeCell ref="AB109:AJ109"/>
    <mergeCell ref="A110:O110"/>
    <mergeCell ref="AB110:AJ110"/>
    <mergeCell ref="A47:AJ47"/>
    <mergeCell ref="A48:AJ48"/>
    <mergeCell ref="A53:AJ53"/>
    <mergeCell ref="P78:W78"/>
    <mergeCell ref="A62:M62"/>
    <mergeCell ref="N62:P62"/>
    <mergeCell ref="R62:T62"/>
    <mergeCell ref="A69:H69"/>
    <mergeCell ref="J69:L69"/>
    <mergeCell ref="M69:N69"/>
    <mergeCell ref="O69:AC69"/>
    <mergeCell ref="A58:AJ58"/>
    <mergeCell ref="A59:AJ59"/>
    <mergeCell ref="A63:AJ63"/>
    <mergeCell ref="P67:AJ67"/>
    <mergeCell ref="A54:AJ54"/>
    <mergeCell ref="A55:AJ55"/>
    <mergeCell ref="A56:AJ56"/>
    <mergeCell ref="A65:AJ65"/>
    <mergeCell ref="A66:AJ66"/>
    <mergeCell ref="P77:W77"/>
    <mergeCell ref="P68:AJ68"/>
    <mergeCell ref="A70:AJ70"/>
    <mergeCell ref="A51:AJ51"/>
    <mergeCell ref="A103:O103"/>
    <mergeCell ref="AB103:AJ103"/>
    <mergeCell ref="A87:AJ87"/>
    <mergeCell ref="G72:U72"/>
    <mergeCell ref="W72:AJ72"/>
    <mergeCell ref="A73:B73"/>
    <mergeCell ref="G73:AJ73"/>
    <mergeCell ref="A74:AJ74"/>
    <mergeCell ref="A75:AJ75"/>
    <mergeCell ref="A81:AJ81"/>
    <mergeCell ref="A82:AJ82"/>
    <mergeCell ref="A83:AJ83"/>
    <mergeCell ref="A84:AJ84"/>
    <mergeCell ref="A86:AJ86"/>
    <mergeCell ref="L88:AJ88"/>
    <mergeCell ref="AB100:AJ100"/>
    <mergeCell ref="H90:I90"/>
    <mergeCell ref="B94:O94"/>
    <mergeCell ref="A95:AJ95"/>
    <mergeCell ref="A99:O99"/>
    <mergeCell ref="AB99:AJ99"/>
    <mergeCell ref="AB102:AJ102"/>
    <mergeCell ref="A100:O100"/>
    <mergeCell ref="A102:O102"/>
    <mergeCell ref="A52:AJ52"/>
    <mergeCell ref="A46:AJ46"/>
    <mergeCell ref="A44:AJ44"/>
    <mergeCell ref="A17:AJ17"/>
    <mergeCell ref="A18:AJ18"/>
    <mergeCell ref="A41:AJ41"/>
    <mergeCell ref="A42:AJ42"/>
    <mergeCell ref="A43:AJ43"/>
    <mergeCell ref="A7:AJ7"/>
    <mergeCell ref="AB33:AI33"/>
    <mergeCell ref="A30:AJ30"/>
    <mergeCell ref="A35:AJ35"/>
    <mergeCell ref="A36:AJ36"/>
    <mergeCell ref="A37:AJ37"/>
    <mergeCell ref="A38:AJ38"/>
    <mergeCell ref="A39:AJ39"/>
    <mergeCell ref="A45:AJ45"/>
    <mergeCell ref="A49:AJ49"/>
    <mergeCell ref="A50:AJ50"/>
    <mergeCell ref="A19:AJ19"/>
    <mergeCell ref="A20:AJ20"/>
    <mergeCell ref="A22:AJ22"/>
    <mergeCell ref="A23:AJ23"/>
    <mergeCell ref="A24:AJ24"/>
    <mergeCell ref="A4:AJ4"/>
    <mergeCell ref="A5:AJ5"/>
    <mergeCell ref="A6:AJ6"/>
    <mergeCell ref="A8:AJ8"/>
    <mergeCell ref="E32:G32"/>
    <mergeCell ref="A15:AJ15"/>
    <mergeCell ref="A16:AJ16"/>
    <mergeCell ref="A9:AJ9"/>
    <mergeCell ref="A10:AJ10"/>
    <mergeCell ref="A11:AJ11"/>
    <mergeCell ref="A12:AJ12"/>
    <mergeCell ref="A13:AJ13"/>
    <mergeCell ref="AB32:AI32"/>
    <mergeCell ref="A25:AJ25"/>
    <mergeCell ref="A26:AJ26"/>
    <mergeCell ref="A27:AJ27"/>
    <mergeCell ref="A29:AJ29"/>
  </mergeCells>
  <pageMargins left="0.78740157480314965" right="0.27559055118110237" top="0.39370078740157483" bottom="0.39370078740157483" header="0" footer="0"/>
  <pageSetup paperSize="9" fitToHeight="3" orientation="portrait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B050"/>
    <pageSetUpPr fitToPage="1"/>
  </sheetPr>
  <dimension ref="A1:AZ117"/>
  <sheetViews>
    <sheetView view="pageBreakPreview" topLeftCell="A42" zoomScale="125" zoomScaleNormal="125" zoomScaleSheetLayoutView="125" workbookViewId="0">
      <selection activeCell="A86" sqref="A86:AJ86"/>
    </sheetView>
  </sheetViews>
  <sheetFormatPr defaultColWidth="10.6640625" defaultRowHeight="15" x14ac:dyDescent="0.25"/>
  <cols>
    <col min="1" max="31" width="2.83203125" style="1" customWidth="1"/>
    <col min="32" max="32" width="3" style="1" customWidth="1"/>
    <col min="33" max="51" width="2.83203125" style="1" customWidth="1"/>
    <col min="52" max="16384" width="10.6640625" style="1"/>
  </cols>
  <sheetData>
    <row r="1" spans="1:43" s="13" customFormat="1" ht="12.75" customHeight="1" x14ac:dyDescent="0.2">
      <c r="AJ1" s="21" t="s">
        <v>41</v>
      </c>
    </row>
    <row r="2" spans="1:43" s="13" customFormat="1" ht="11.25" customHeight="1" x14ac:dyDescent="0.2">
      <c r="AJ2" s="21" t="s">
        <v>40</v>
      </c>
    </row>
    <row r="3" spans="1:43" s="13" customFormat="1" ht="14.25" customHeight="1" x14ac:dyDescent="0.2">
      <c r="A3" s="13" t="s">
        <v>21</v>
      </c>
      <c r="AJ3" s="22"/>
      <c r="AK3" s="22"/>
      <c r="AL3" s="22"/>
      <c r="AM3" s="22"/>
      <c r="AN3" s="22"/>
      <c r="AO3" s="22"/>
      <c r="AP3" s="22"/>
      <c r="AQ3" s="22"/>
    </row>
    <row r="4" spans="1:43" s="13" customFormat="1" ht="31.5" customHeight="1" x14ac:dyDescent="0.2">
      <c r="A4" s="127" t="str">
        <f>'Данные объект'!B3</f>
        <v>Строительство КТП - 10/0,4кВ, КЛ-10 кВ от ТП-10/0,4кВ № 3463, КЛ-10 кВ от сооруж. КРУН-10 кВ, ВЛИ-0,38 кВ, в т.ч. ПИР, МО, Солнечногорский р-н, п. Красный Воин</v>
      </c>
      <c r="B4" s="127"/>
      <c r="C4" s="127"/>
      <c r="D4" s="127"/>
      <c r="E4" s="127"/>
      <c r="F4" s="127"/>
      <c r="G4" s="127"/>
      <c r="H4" s="127"/>
      <c r="I4" s="127"/>
      <c r="J4" s="127"/>
      <c r="K4" s="127"/>
      <c r="L4" s="127"/>
      <c r="M4" s="127"/>
      <c r="N4" s="127"/>
      <c r="O4" s="127"/>
      <c r="P4" s="127"/>
      <c r="Q4" s="127"/>
      <c r="R4" s="127"/>
      <c r="S4" s="127"/>
      <c r="T4" s="127"/>
      <c r="U4" s="127"/>
      <c r="V4" s="127"/>
      <c r="W4" s="127"/>
      <c r="X4" s="127"/>
      <c r="Y4" s="127"/>
      <c r="Z4" s="127"/>
      <c r="AA4" s="127"/>
      <c r="AB4" s="127"/>
      <c r="AC4" s="127"/>
      <c r="AD4" s="127"/>
      <c r="AE4" s="127"/>
      <c r="AF4" s="127"/>
      <c r="AG4" s="127"/>
      <c r="AH4" s="127"/>
      <c r="AI4" s="127"/>
      <c r="AJ4" s="127"/>
    </row>
    <row r="5" spans="1:43" s="13" customFormat="1" ht="12" customHeight="1" x14ac:dyDescent="0.2">
      <c r="A5" s="139" t="str">
        <f>'Данные объект'!B9</f>
        <v>КЛ-10кВ ф.1 от ТП №3463</v>
      </c>
      <c r="B5" s="139"/>
      <c r="C5" s="139"/>
      <c r="D5" s="139"/>
      <c r="E5" s="139"/>
      <c r="F5" s="139"/>
      <c r="G5" s="139"/>
      <c r="H5" s="139"/>
      <c r="I5" s="139"/>
      <c r="J5" s="139"/>
      <c r="K5" s="139"/>
      <c r="L5" s="139"/>
      <c r="M5" s="139"/>
      <c r="N5" s="139"/>
      <c r="O5" s="139"/>
      <c r="P5" s="139"/>
      <c r="Q5" s="139"/>
      <c r="R5" s="139"/>
      <c r="S5" s="139"/>
      <c r="T5" s="139"/>
      <c r="U5" s="139"/>
      <c r="V5" s="139"/>
      <c r="W5" s="139"/>
      <c r="X5" s="139"/>
      <c r="Y5" s="139"/>
      <c r="Z5" s="139"/>
      <c r="AA5" s="139"/>
      <c r="AB5" s="139"/>
      <c r="AC5" s="139"/>
      <c r="AD5" s="139"/>
      <c r="AE5" s="139"/>
      <c r="AF5" s="139"/>
      <c r="AG5" s="139"/>
      <c r="AH5" s="139"/>
      <c r="AI5" s="139"/>
      <c r="AJ5" s="139"/>
    </row>
    <row r="6" spans="1:43" s="14" customFormat="1" ht="8.25" x14ac:dyDescent="0.15">
      <c r="A6" s="128" t="s">
        <v>192</v>
      </c>
      <c r="B6" s="129"/>
      <c r="C6" s="129"/>
      <c r="D6" s="129"/>
      <c r="E6" s="129"/>
      <c r="F6" s="129"/>
      <c r="G6" s="129"/>
      <c r="H6" s="129"/>
      <c r="I6" s="129"/>
      <c r="J6" s="129"/>
      <c r="K6" s="129"/>
      <c r="L6" s="129"/>
      <c r="M6" s="129"/>
      <c r="N6" s="129"/>
      <c r="O6" s="129"/>
      <c r="P6" s="129"/>
      <c r="Q6" s="129"/>
      <c r="R6" s="129"/>
      <c r="S6" s="129"/>
      <c r="T6" s="129"/>
      <c r="U6" s="129"/>
      <c r="V6" s="129"/>
      <c r="W6" s="129"/>
      <c r="X6" s="129"/>
      <c r="Y6" s="129"/>
      <c r="Z6" s="129"/>
      <c r="AA6" s="129"/>
      <c r="AB6" s="129"/>
      <c r="AC6" s="129"/>
      <c r="AD6" s="129"/>
      <c r="AE6" s="129"/>
      <c r="AF6" s="129"/>
      <c r="AG6" s="129"/>
      <c r="AH6" s="129"/>
      <c r="AI6" s="129"/>
      <c r="AJ6" s="129"/>
    </row>
    <row r="7" spans="1:43" s="13" customFormat="1" ht="12.75" customHeight="1" x14ac:dyDescent="0.2">
      <c r="A7" s="126" t="s">
        <v>42</v>
      </c>
      <c r="B7" s="126"/>
      <c r="C7" s="126"/>
      <c r="D7" s="126"/>
      <c r="E7" s="126"/>
      <c r="F7" s="126"/>
      <c r="G7" s="126"/>
      <c r="H7" s="126"/>
      <c r="I7" s="126"/>
      <c r="J7" s="126"/>
      <c r="K7" s="126"/>
      <c r="L7" s="126"/>
      <c r="M7" s="126"/>
      <c r="N7" s="126"/>
      <c r="O7" s="126"/>
      <c r="P7" s="126"/>
      <c r="Q7" s="126"/>
      <c r="R7" s="126"/>
      <c r="S7" s="126"/>
      <c r="T7" s="126"/>
      <c r="U7" s="126"/>
      <c r="V7" s="126"/>
      <c r="W7" s="126"/>
      <c r="X7" s="126"/>
      <c r="Y7" s="126"/>
      <c r="Z7" s="126"/>
      <c r="AA7" s="126"/>
      <c r="AB7" s="126"/>
      <c r="AC7" s="126"/>
      <c r="AD7" s="126"/>
      <c r="AE7" s="126"/>
      <c r="AF7" s="126"/>
      <c r="AG7" s="126"/>
      <c r="AH7" s="126"/>
      <c r="AI7" s="126"/>
      <c r="AJ7" s="126"/>
    </row>
    <row r="8" spans="1:43" s="13" customFormat="1" ht="12" customHeight="1" x14ac:dyDescent="0.2">
      <c r="A8" s="139" t="str">
        <f>'Данные объект'!B23</f>
        <v>ПАО "Россети Московский регион"</v>
      </c>
      <c r="B8" s="139"/>
      <c r="C8" s="139"/>
      <c r="D8" s="139"/>
      <c r="E8" s="139"/>
      <c r="F8" s="139"/>
      <c r="G8" s="139"/>
      <c r="H8" s="139"/>
      <c r="I8" s="139"/>
      <c r="J8" s="139"/>
      <c r="K8" s="139"/>
      <c r="L8" s="139"/>
      <c r="M8" s="139"/>
      <c r="N8" s="139"/>
      <c r="O8" s="139"/>
      <c r="P8" s="139"/>
      <c r="Q8" s="139"/>
      <c r="R8" s="139"/>
      <c r="S8" s="139"/>
      <c r="T8" s="139"/>
      <c r="U8" s="139"/>
      <c r="V8" s="139"/>
      <c r="W8" s="139"/>
      <c r="X8" s="139"/>
      <c r="Y8" s="139"/>
      <c r="Z8" s="139"/>
      <c r="AA8" s="139"/>
      <c r="AB8" s="139"/>
      <c r="AC8" s="139"/>
      <c r="AD8" s="139"/>
      <c r="AE8" s="139"/>
      <c r="AF8" s="139"/>
      <c r="AG8" s="139"/>
      <c r="AH8" s="139"/>
      <c r="AI8" s="139"/>
      <c r="AJ8" s="139"/>
    </row>
    <row r="9" spans="1:43" s="14" customFormat="1" ht="19.5" customHeight="1" x14ac:dyDescent="0.15">
      <c r="A9" s="128" t="s">
        <v>58</v>
      </c>
      <c r="B9" s="129"/>
      <c r="C9" s="129"/>
      <c r="D9" s="129"/>
      <c r="E9" s="129"/>
      <c r="F9" s="129"/>
      <c r="G9" s="129"/>
      <c r="H9" s="129"/>
      <c r="I9" s="129"/>
      <c r="J9" s="129"/>
      <c r="K9" s="129"/>
      <c r="L9" s="129"/>
      <c r="M9" s="129"/>
      <c r="N9" s="129"/>
      <c r="O9" s="129"/>
      <c r="P9" s="129"/>
      <c r="Q9" s="129"/>
      <c r="R9" s="129"/>
      <c r="S9" s="129"/>
      <c r="T9" s="129"/>
      <c r="U9" s="129"/>
      <c r="V9" s="129"/>
      <c r="W9" s="129"/>
      <c r="X9" s="129"/>
      <c r="Y9" s="129"/>
      <c r="Z9" s="129"/>
      <c r="AA9" s="129"/>
      <c r="AB9" s="129"/>
      <c r="AC9" s="129"/>
      <c r="AD9" s="129"/>
      <c r="AE9" s="129"/>
      <c r="AF9" s="129"/>
      <c r="AG9" s="129"/>
      <c r="AH9" s="129"/>
      <c r="AI9" s="129"/>
      <c r="AJ9" s="129"/>
    </row>
    <row r="10" spans="1:43" s="13" customFormat="1" ht="12" customHeight="1" x14ac:dyDescent="0.2">
      <c r="A10" s="139" t="str">
        <f>'Данные объект'!B24</f>
        <v>ОГРН 1057746555811 ИНН 5036065113 КПП 772501001</v>
      </c>
      <c r="B10" s="139"/>
      <c r="C10" s="139"/>
      <c r="D10" s="139"/>
      <c r="E10" s="139"/>
      <c r="F10" s="139"/>
      <c r="G10" s="139"/>
      <c r="H10" s="139"/>
      <c r="I10" s="139"/>
      <c r="J10" s="139"/>
      <c r="K10" s="139"/>
      <c r="L10" s="139"/>
      <c r="M10" s="139"/>
      <c r="N10" s="139"/>
      <c r="O10" s="139"/>
      <c r="P10" s="139"/>
      <c r="Q10" s="139"/>
      <c r="R10" s="139"/>
      <c r="S10" s="139"/>
      <c r="T10" s="139"/>
      <c r="U10" s="139"/>
      <c r="V10" s="139"/>
      <c r="W10" s="139"/>
      <c r="X10" s="139"/>
      <c r="Y10" s="139"/>
      <c r="Z10" s="139"/>
      <c r="AA10" s="139"/>
      <c r="AB10" s="139"/>
      <c r="AC10" s="139"/>
      <c r="AD10" s="139"/>
      <c r="AE10" s="139"/>
      <c r="AF10" s="139"/>
      <c r="AG10" s="139"/>
      <c r="AH10" s="139"/>
      <c r="AI10" s="139"/>
      <c r="AJ10" s="139"/>
    </row>
    <row r="11" spans="1:43" s="14" customFormat="1" ht="28.5" customHeight="1" x14ac:dyDescent="0.15">
      <c r="A11" s="128" t="s">
        <v>59</v>
      </c>
      <c r="B11" s="129"/>
      <c r="C11" s="129"/>
      <c r="D11" s="129"/>
      <c r="E11" s="129"/>
      <c r="F11" s="129"/>
      <c r="G11" s="129"/>
      <c r="H11" s="129"/>
      <c r="I11" s="129"/>
      <c r="J11" s="129"/>
      <c r="K11" s="129"/>
      <c r="L11" s="129"/>
      <c r="M11" s="129"/>
      <c r="N11" s="129"/>
      <c r="O11" s="129"/>
      <c r="P11" s="129"/>
      <c r="Q11" s="129"/>
      <c r="R11" s="129"/>
      <c r="S11" s="129"/>
      <c r="T11" s="129"/>
      <c r="U11" s="129"/>
      <c r="V11" s="129"/>
      <c r="W11" s="129"/>
      <c r="X11" s="129"/>
      <c r="Y11" s="129"/>
      <c r="Z11" s="129"/>
      <c r="AA11" s="129"/>
      <c r="AB11" s="129"/>
      <c r="AC11" s="129"/>
      <c r="AD11" s="129"/>
      <c r="AE11" s="129"/>
      <c r="AF11" s="129"/>
      <c r="AG11" s="129"/>
      <c r="AH11" s="129"/>
      <c r="AI11" s="129"/>
      <c r="AJ11" s="129"/>
    </row>
    <row r="12" spans="1:43" s="13" customFormat="1" ht="12" customHeight="1" x14ac:dyDescent="0.2">
      <c r="A12" s="139" t="str">
        <f>'Данные объект'!B25</f>
        <v>115114, город Москва, проезд Павелецкий 2-й, дом 3, строение 2</v>
      </c>
      <c r="B12" s="139"/>
      <c r="C12" s="139"/>
      <c r="D12" s="139"/>
      <c r="E12" s="139"/>
      <c r="F12" s="139"/>
      <c r="G12" s="139"/>
      <c r="H12" s="139"/>
      <c r="I12" s="139"/>
      <c r="J12" s="139"/>
      <c r="K12" s="139"/>
      <c r="L12" s="139"/>
      <c r="M12" s="139"/>
      <c r="N12" s="139"/>
      <c r="O12" s="139"/>
      <c r="P12" s="139"/>
      <c r="Q12" s="139"/>
      <c r="R12" s="139"/>
      <c r="S12" s="139"/>
      <c r="T12" s="139"/>
      <c r="U12" s="139"/>
      <c r="V12" s="139"/>
      <c r="W12" s="139"/>
      <c r="X12" s="139"/>
      <c r="Y12" s="139"/>
      <c r="Z12" s="139"/>
      <c r="AA12" s="139"/>
      <c r="AB12" s="139"/>
      <c r="AC12" s="139"/>
      <c r="AD12" s="139"/>
      <c r="AE12" s="139"/>
      <c r="AF12" s="139"/>
      <c r="AG12" s="139"/>
      <c r="AH12" s="139"/>
      <c r="AI12" s="139"/>
      <c r="AJ12" s="139"/>
    </row>
    <row r="13" spans="1:43" s="14" customFormat="1" ht="11.25" customHeight="1" x14ac:dyDescent="0.15">
      <c r="A13" s="128" t="s">
        <v>43</v>
      </c>
      <c r="B13" s="129"/>
      <c r="C13" s="129"/>
      <c r="D13" s="129"/>
      <c r="E13" s="129"/>
      <c r="F13" s="129"/>
      <c r="G13" s="129"/>
      <c r="H13" s="129"/>
      <c r="I13" s="129"/>
      <c r="J13" s="129"/>
      <c r="K13" s="129"/>
      <c r="L13" s="129"/>
      <c r="M13" s="129"/>
      <c r="N13" s="129"/>
      <c r="O13" s="129"/>
      <c r="P13" s="129"/>
      <c r="Q13" s="129"/>
      <c r="R13" s="129"/>
      <c r="S13" s="129"/>
      <c r="T13" s="129"/>
      <c r="U13" s="129"/>
      <c r="V13" s="129"/>
      <c r="W13" s="129"/>
      <c r="X13" s="129"/>
      <c r="Y13" s="129"/>
      <c r="Z13" s="129"/>
      <c r="AA13" s="129"/>
      <c r="AB13" s="129"/>
      <c r="AC13" s="129"/>
      <c r="AD13" s="129"/>
      <c r="AE13" s="129"/>
      <c r="AF13" s="129"/>
      <c r="AG13" s="129"/>
      <c r="AH13" s="129"/>
      <c r="AI13" s="129"/>
      <c r="AJ13" s="129"/>
    </row>
    <row r="14" spans="1:43" s="13" customFormat="1" ht="12" customHeight="1" x14ac:dyDescent="0.2">
      <c r="A14" s="13" t="s">
        <v>22</v>
      </c>
    </row>
    <row r="15" spans="1:43" s="13" customFormat="1" ht="12" customHeight="1" x14ac:dyDescent="0.2">
      <c r="A15" s="139" t="str">
        <f>'Данные объект'!B11</f>
        <v>ООО"Энергосистемы"</v>
      </c>
      <c r="B15" s="139"/>
      <c r="C15" s="139"/>
      <c r="D15" s="139"/>
      <c r="E15" s="139"/>
      <c r="F15" s="139"/>
      <c r="G15" s="139"/>
      <c r="H15" s="139"/>
      <c r="I15" s="139"/>
      <c r="J15" s="139"/>
      <c r="K15" s="139"/>
      <c r="L15" s="139"/>
      <c r="M15" s="139"/>
      <c r="N15" s="139"/>
      <c r="O15" s="139"/>
      <c r="P15" s="139"/>
      <c r="Q15" s="139"/>
      <c r="R15" s="139"/>
      <c r="S15" s="139"/>
      <c r="T15" s="139"/>
      <c r="U15" s="139"/>
      <c r="V15" s="139"/>
      <c r="W15" s="139"/>
      <c r="X15" s="139"/>
      <c r="Y15" s="139"/>
      <c r="Z15" s="139"/>
      <c r="AA15" s="139"/>
      <c r="AB15" s="139"/>
      <c r="AC15" s="139"/>
      <c r="AD15" s="139"/>
      <c r="AE15" s="139"/>
      <c r="AF15" s="139"/>
      <c r="AG15" s="139"/>
      <c r="AH15" s="139"/>
      <c r="AI15" s="139"/>
      <c r="AJ15" s="139"/>
    </row>
    <row r="16" spans="1:43" s="14" customFormat="1" ht="9.75" customHeight="1" x14ac:dyDescent="0.15">
      <c r="A16" s="128" t="s">
        <v>37</v>
      </c>
      <c r="B16" s="129"/>
      <c r="C16" s="129"/>
      <c r="D16" s="129"/>
      <c r="E16" s="129"/>
      <c r="F16" s="129"/>
      <c r="G16" s="129"/>
      <c r="H16" s="129"/>
      <c r="I16" s="129"/>
      <c r="J16" s="129"/>
      <c r="K16" s="129"/>
      <c r="L16" s="129"/>
      <c r="M16" s="129"/>
      <c r="N16" s="129"/>
      <c r="O16" s="129"/>
      <c r="P16" s="129"/>
      <c r="Q16" s="129"/>
      <c r="R16" s="129"/>
      <c r="S16" s="129"/>
      <c r="T16" s="129"/>
      <c r="U16" s="129"/>
      <c r="V16" s="129"/>
      <c r="W16" s="129"/>
      <c r="X16" s="129"/>
      <c r="Y16" s="129"/>
      <c r="Z16" s="129"/>
      <c r="AA16" s="129"/>
      <c r="AB16" s="129"/>
      <c r="AC16" s="129"/>
      <c r="AD16" s="129"/>
      <c r="AE16" s="129"/>
      <c r="AF16" s="129"/>
      <c r="AG16" s="129"/>
      <c r="AH16" s="129"/>
      <c r="AI16" s="129"/>
      <c r="AJ16" s="129"/>
    </row>
    <row r="17" spans="1:36" s="13" customFormat="1" ht="12" customHeight="1" x14ac:dyDescent="0.2">
      <c r="A17" s="139" t="str">
        <f>'Данные объект'!B12</f>
        <v>ОГРН 1135044003709  ИНН 5044089069 КПП 504401001</v>
      </c>
      <c r="B17" s="139"/>
      <c r="C17" s="139"/>
      <c r="D17" s="139"/>
      <c r="E17" s="139"/>
      <c r="F17" s="139"/>
      <c r="G17" s="139"/>
      <c r="H17" s="139"/>
      <c r="I17" s="139"/>
      <c r="J17" s="139"/>
      <c r="K17" s="139"/>
      <c r="L17" s="139"/>
      <c r="M17" s="139"/>
      <c r="N17" s="139"/>
      <c r="O17" s="139"/>
      <c r="P17" s="139"/>
      <c r="Q17" s="139"/>
      <c r="R17" s="139"/>
      <c r="S17" s="139"/>
      <c r="T17" s="139"/>
      <c r="U17" s="139"/>
      <c r="V17" s="139"/>
      <c r="W17" s="139"/>
      <c r="X17" s="139"/>
      <c r="Y17" s="139"/>
      <c r="Z17" s="139"/>
      <c r="AA17" s="139"/>
      <c r="AB17" s="139"/>
      <c r="AC17" s="139"/>
      <c r="AD17" s="139"/>
      <c r="AE17" s="139"/>
      <c r="AF17" s="139"/>
      <c r="AG17" s="139"/>
      <c r="AH17" s="139"/>
      <c r="AI17" s="139"/>
      <c r="AJ17" s="139"/>
    </row>
    <row r="18" spans="1:36" s="14" customFormat="1" ht="8.25" customHeight="1" x14ac:dyDescent="0.15">
      <c r="A18" s="128" t="s">
        <v>44</v>
      </c>
      <c r="B18" s="129"/>
      <c r="C18" s="129"/>
      <c r="D18" s="129"/>
      <c r="E18" s="129"/>
      <c r="F18" s="129"/>
      <c r="G18" s="129"/>
      <c r="H18" s="129"/>
      <c r="I18" s="129"/>
      <c r="J18" s="129"/>
      <c r="K18" s="129"/>
      <c r="L18" s="129"/>
      <c r="M18" s="129"/>
      <c r="N18" s="129"/>
      <c r="O18" s="129"/>
      <c r="P18" s="129"/>
      <c r="Q18" s="129"/>
      <c r="R18" s="129"/>
      <c r="S18" s="129"/>
      <c r="T18" s="129"/>
      <c r="U18" s="129"/>
      <c r="V18" s="129"/>
      <c r="W18" s="129"/>
      <c r="X18" s="129"/>
      <c r="Y18" s="129"/>
      <c r="Z18" s="129"/>
      <c r="AA18" s="129"/>
      <c r="AB18" s="129"/>
      <c r="AC18" s="129"/>
      <c r="AD18" s="129"/>
      <c r="AE18" s="129"/>
      <c r="AF18" s="129"/>
      <c r="AG18" s="129"/>
      <c r="AH18" s="129"/>
      <c r="AI18" s="129"/>
      <c r="AJ18" s="129"/>
    </row>
    <row r="19" spans="1:36" s="13" customFormat="1" ht="12" customHeight="1" x14ac:dyDescent="0.2">
      <c r="A19" s="139" t="str">
        <f>'Данные объект'!B13</f>
        <v xml:space="preserve">141508, Московская область, г.о. Солнечногорск, г. Солнечногорск, ул. Промышленная, стр. 5, помещение 179
</v>
      </c>
      <c r="B19" s="139"/>
      <c r="C19" s="139"/>
      <c r="D19" s="139"/>
      <c r="E19" s="139"/>
      <c r="F19" s="139"/>
      <c r="G19" s="139"/>
      <c r="H19" s="139"/>
      <c r="I19" s="139"/>
      <c r="J19" s="139"/>
      <c r="K19" s="139"/>
      <c r="L19" s="139"/>
      <c r="M19" s="139"/>
      <c r="N19" s="139"/>
      <c r="O19" s="139"/>
      <c r="P19" s="139"/>
      <c r="Q19" s="139"/>
      <c r="R19" s="139"/>
      <c r="S19" s="139"/>
      <c r="T19" s="139"/>
      <c r="U19" s="139"/>
      <c r="V19" s="139"/>
      <c r="W19" s="139"/>
      <c r="X19" s="139"/>
      <c r="Y19" s="139"/>
      <c r="Z19" s="139"/>
      <c r="AA19" s="139"/>
      <c r="AB19" s="139"/>
      <c r="AC19" s="139"/>
      <c r="AD19" s="139"/>
      <c r="AE19" s="139"/>
      <c r="AF19" s="139"/>
      <c r="AG19" s="139"/>
      <c r="AH19" s="139"/>
      <c r="AI19" s="139"/>
      <c r="AJ19" s="139"/>
    </row>
    <row r="20" spans="1:36" s="14" customFormat="1" ht="27" customHeight="1" x14ac:dyDescent="0.15">
      <c r="A20" s="128" t="s">
        <v>60</v>
      </c>
      <c r="B20" s="129"/>
      <c r="C20" s="129"/>
      <c r="D20" s="129"/>
      <c r="E20" s="129"/>
      <c r="F20" s="129"/>
      <c r="G20" s="129"/>
      <c r="H20" s="129"/>
      <c r="I20" s="129"/>
      <c r="J20" s="129"/>
      <c r="K20" s="129"/>
      <c r="L20" s="129"/>
      <c r="M20" s="129"/>
      <c r="N20" s="129"/>
      <c r="O20" s="129"/>
      <c r="P20" s="129"/>
      <c r="Q20" s="129"/>
      <c r="R20" s="129"/>
      <c r="S20" s="129"/>
      <c r="T20" s="129"/>
      <c r="U20" s="129"/>
      <c r="V20" s="129"/>
      <c r="W20" s="129"/>
      <c r="X20" s="129"/>
      <c r="Y20" s="129"/>
      <c r="Z20" s="129"/>
      <c r="AA20" s="129"/>
      <c r="AB20" s="129"/>
      <c r="AC20" s="129"/>
      <c r="AD20" s="129"/>
      <c r="AE20" s="129"/>
      <c r="AF20" s="129"/>
      <c r="AG20" s="129"/>
      <c r="AH20" s="129"/>
      <c r="AI20" s="129"/>
      <c r="AJ20" s="129"/>
    </row>
    <row r="21" spans="1:36" s="13" customFormat="1" ht="12" customHeight="1" x14ac:dyDescent="0.2">
      <c r="A21" s="13" t="s">
        <v>20</v>
      </c>
    </row>
    <row r="22" spans="1:36" s="13" customFormat="1" ht="12" customHeight="1" x14ac:dyDescent="0.2">
      <c r="A22" s="139" t="str">
        <f>'Данные объект'!B39</f>
        <v>ООО"Энергосистемы"</v>
      </c>
      <c r="B22" s="139"/>
      <c r="C22" s="139"/>
      <c r="D22" s="139"/>
      <c r="E22" s="139"/>
      <c r="F22" s="139"/>
      <c r="G22" s="139"/>
      <c r="H22" s="139"/>
      <c r="I22" s="139"/>
      <c r="J22" s="139"/>
      <c r="K22" s="139"/>
      <c r="L22" s="139"/>
      <c r="M22" s="139"/>
      <c r="N22" s="139"/>
      <c r="O22" s="139"/>
      <c r="P22" s="139"/>
      <c r="Q22" s="139"/>
      <c r="R22" s="139"/>
      <c r="S22" s="139"/>
      <c r="T22" s="139"/>
      <c r="U22" s="139"/>
      <c r="V22" s="139"/>
      <c r="W22" s="139"/>
      <c r="X22" s="139"/>
      <c r="Y22" s="139"/>
      <c r="Z22" s="139"/>
      <c r="AA22" s="139"/>
      <c r="AB22" s="139"/>
      <c r="AC22" s="139"/>
      <c r="AD22" s="139"/>
      <c r="AE22" s="139"/>
      <c r="AF22" s="139"/>
      <c r="AG22" s="139"/>
      <c r="AH22" s="139"/>
      <c r="AI22" s="139"/>
      <c r="AJ22" s="139"/>
    </row>
    <row r="23" spans="1:36" s="14" customFormat="1" ht="7.5" customHeight="1" x14ac:dyDescent="0.15">
      <c r="A23" s="128" t="s">
        <v>37</v>
      </c>
      <c r="B23" s="129"/>
      <c r="C23" s="129"/>
      <c r="D23" s="129"/>
      <c r="E23" s="129"/>
      <c r="F23" s="129"/>
      <c r="G23" s="129"/>
      <c r="H23" s="129"/>
      <c r="I23" s="129"/>
      <c r="J23" s="129"/>
      <c r="K23" s="129"/>
      <c r="L23" s="129"/>
      <c r="M23" s="129"/>
      <c r="N23" s="129"/>
      <c r="O23" s="129"/>
      <c r="P23" s="129"/>
      <c r="Q23" s="129"/>
      <c r="R23" s="129"/>
      <c r="S23" s="129"/>
      <c r="T23" s="129"/>
      <c r="U23" s="129"/>
      <c r="V23" s="129"/>
      <c r="W23" s="129"/>
      <c r="X23" s="129"/>
      <c r="Y23" s="129"/>
      <c r="Z23" s="129"/>
      <c r="AA23" s="129"/>
      <c r="AB23" s="129"/>
      <c r="AC23" s="129"/>
      <c r="AD23" s="129"/>
      <c r="AE23" s="129"/>
      <c r="AF23" s="129"/>
      <c r="AG23" s="129"/>
      <c r="AH23" s="129"/>
      <c r="AI23" s="129"/>
      <c r="AJ23" s="129"/>
    </row>
    <row r="24" spans="1:36" s="13" customFormat="1" ht="12" customHeight="1" x14ac:dyDescent="0.2">
      <c r="A24" s="139" t="str">
        <f>'Данные объект'!B40</f>
        <v>ОГРН 1135044003709  ИНН 5044089069 КПП 504401001</v>
      </c>
      <c r="B24" s="139"/>
      <c r="C24" s="139"/>
      <c r="D24" s="139"/>
      <c r="E24" s="139"/>
      <c r="F24" s="139"/>
      <c r="G24" s="139"/>
      <c r="H24" s="139"/>
      <c r="I24" s="139"/>
      <c r="J24" s="139"/>
      <c r="K24" s="139"/>
      <c r="L24" s="139"/>
      <c r="M24" s="139"/>
      <c r="N24" s="139"/>
      <c r="O24" s="139"/>
      <c r="P24" s="139"/>
      <c r="Q24" s="139"/>
      <c r="R24" s="139"/>
      <c r="S24" s="139"/>
      <c r="T24" s="139"/>
      <c r="U24" s="139"/>
      <c r="V24" s="139"/>
      <c r="W24" s="139"/>
      <c r="X24" s="139"/>
      <c r="Y24" s="139"/>
      <c r="Z24" s="139"/>
      <c r="AA24" s="139"/>
      <c r="AB24" s="139"/>
      <c r="AC24" s="139"/>
      <c r="AD24" s="139"/>
      <c r="AE24" s="139"/>
      <c r="AF24" s="139"/>
      <c r="AG24" s="139"/>
      <c r="AH24" s="139"/>
      <c r="AI24" s="139"/>
      <c r="AJ24" s="139"/>
    </row>
    <row r="25" spans="1:36" s="14" customFormat="1" ht="7.5" customHeight="1" x14ac:dyDescent="0.15">
      <c r="A25" s="128" t="s">
        <v>61</v>
      </c>
      <c r="B25" s="129"/>
      <c r="C25" s="129"/>
      <c r="D25" s="129"/>
      <c r="E25" s="129"/>
      <c r="F25" s="129"/>
      <c r="G25" s="129"/>
      <c r="H25" s="129"/>
      <c r="I25" s="129"/>
      <c r="J25" s="129"/>
      <c r="K25" s="129"/>
      <c r="L25" s="129"/>
      <c r="M25" s="129"/>
      <c r="N25" s="129"/>
      <c r="O25" s="129"/>
      <c r="P25" s="129"/>
      <c r="Q25" s="129"/>
      <c r="R25" s="129"/>
      <c r="S25" s="129"/>
      <c r="T25" s="129"/>
      <c r="U25" s="129"/>
      <c r="V25" s="129"/>
      <c r="W25" s="129"/>
      <c r="X25" s="129"/>
      <c r="Y25" s="129"/>
      <c r="Z25" s="129"/>
      <c r="AA25" s="129"/>
      <c r="AB25" s="129"/>
      <c r="AC25" s="129"/>
      <c r="AD25" s="129"/>
      <c r="AE25" s="129"/>
      <c r="AF25" s="129"/>
      <c r="AG25" s="129"/>
      <c r="AH25" s="129"/>
      <c r="AI25" s="129"/>
      <c r="AJ25" s="129"/>
    </row>
    <row r="26" spans="1:36" s="13" customFormat="1" ht="12" customHeight="1" x14ac:dyDescent="0.2">
      <c r="A26" s="139" t="str">
        <f>'Данные объект'!B41</f>
        <v xml:space="preserve">141508, Московская область, г.о. Солнечногорск, г. Солнечногорск, ул. Промышленная, стр. 5, помещение 179
</v>
      </c>
      <c r="B26" s="139"/>
      <c r="C26" s="139"/>
      <c r="D26" s="139"/>
      <c r="E26" s="139"/>
      <c r="F26" s="139"/>
      <c r="G26" s="139"/>
      <c r="H26" s="139"/>
      <c r="I26" s="139"/>
      <c r="J26" s="139"/>
      <c r="K26" s="139"/>
      <c r="L26" s="139"/>
      <c r="M26" s="139"/>
      <c r="N26" s="139"/>
      <c r="O26" s="139"/>
      <c r="P26" s="139"/>
      <c r="Q26" s="139"/>
      <c r="R26" s="139"/>
      <c r="S26" s="139"/>
      <c r="T26" s="139"/>
      <c r="U26" s="139"/>
      <c r="V26" s="139"/>
      <c r="W26" s="139"/>
      <c r="X26" s="139"/>
      <c r="Y26" s="139"/>
      <c r="Z26" s="139"/>
      <c r="AA26" s="139"/>
      <c r="AB26" s="139"/>
      <c r="AC26" s="139"/>
      <c r="AD26" s="139"/>
      <c r="AE26" s="139"/>
      <c r="AF26" s="139"/>
      <c r="AG26" s="139"/>
      <c r="AH26" s="139"/>
      <c r="AI26" s="139"/>
      <c r="AJ26" s="139"/>
    </row>
    <row r="27" spans="1:36" s="14" customFormat="1" ht="22.5" customHeight="1" x14ac:dyDescent="0.15">
      <c r="A27" s="128" t="s">
        <v>45</v>
      </c>
      <c r="B27" s="129"/>
      <c r="C27" s="129"/>
      <c r="D27" s="129"/>
      <c r="E27" s="129"/>
      <c r="F27" s="129"/>
      <c r="G27" s="129"/>
      <c r="H27" s="129"/>
      <c r="I27" s="129"/>
      <c r="J27" s="129"/>
      <c r="K27" s="129"/>
      <c r="L27" s="129"/>
      <c r="M27" s="129"/>
      <c r="N27" s="129"/>
      <c r="O27" s="129"/>
      <c r="P27" s="129"/>
      <c r="Q27" s="129"/>
      <c r="R27" s="129"/>
      <c r="S27" s="129"/>
      <c r="T27" s="129"/>
      <c r="U27" s="129"/>
      <c r="V27" s="129"/>
      <c r="W27" s="129"/>
      <c r="X27" s="129"/>
      <c r="Y27" s="129"/>
      <c r="Z27" s="129"/>
      <c r="AA27" s="129"/>
      <c r="AB27" s="129"/>
      <c r="AC27" s="129"/>
      <c r="AD27" s="129"/>
      <c r="AE27" s="129"/>
      <c r="AF27" s="129"/>
      <c r="AG27" s="129"/>
      <c r="AH27" s="129"/>
      <c r="AI27" s="129"/>
      <c r="AJ27" s="129"/>
    </row>
    <row r="28" spans="1:36" ht="9" customHeight="1" x14ac:dyDescent="0.25">
      <c r="A28" s="5"/>
      <c r="B28" s="5"/>
      <c r="C28" s="5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</row>
    <row r="29" spans="1:36" s="13" customFormat="1" ht="12.95" customHeight="1" x14ac:dyDescent="0.2">
      <c r="A29" s="142" t="s">
        <v>36</v>
      </c>
      <c r="B29" s="142"/>
      <c r="C29" s="142"/>
      <c r="D29" s="142"/>
      <c r="E29" s="142"/>
      <c r="F29" s="142"/>
      <c r="G29" s="142"/>
      <c r="H29" s="142"/>
      <c r="I29" s="142"/>
      <c r="J29" s="142"/>
      <c r="K29" s="142"/>
      <c r="L29" s="142"/>
      <c r="M29" s="142"/>
      <c r="N29" s="142"/>
      <c r="O29" s="142"/>
      <c r="P29" s="142"/>
      <c r="Q29" s="142"/>
      <c r="R29" s="142"/>
      <c r="S29" s="142"/>
      <c r="T29" s="142"/>
      <c r="U29" s="142"/>
      <c r="V29" s="142"/>
      <c r="W29" s="142"/>
      <c r="X29" s="142"/>
      <c r="Y29" s="142"/>
      <c r="Z29" s="142"/>
      <c r="AA29" s="142"/>
      <c r="AB29" s="142"/>
      <c r="AC29" s="142"/>
      <c r="AD29" s="142"/>
      <c r="AE29" s="142"/>
      <c r="AF29" s="142"/>
      <c r="AG29" s="142"/>
      <c r="AH29" s="142"/>
      <c r="AI29" s="142"/>
      <c r="AJ29" s="142"/>
    </row>
    <row r="30" spans="1:36" s="13" customFormat="1" ht="12.95" customHeight="1" x14ac:dyDescent="0.2">
      <c r="A30" s="143" t="s">
        <v>19</v>
      </c>
      <c r="B30" s="143"/>
      <c r="C30" s="143"/>
      <c r="D30" s="143"/>
      <c r="E30" s="143"/>
      <c r="F30" s="143"/>
      <c r="G30" s="143"/>
      <c r="H30" s="143"/>
      <c r="I30" s="143"/>
      <c r="J30" s="143"/>
      <c r="K30" s="143"/>
      <c r="L30" s="143"/>
      <c r="M30" s="143"/>
      <c r="N30" s="143"/>
      <c r="O30" s="143"/>
      <c r="P30" s="143"/>
      <c r="Q30" s="143"/>
      <c r="R30" s="143"/>
      <c r="S30" s="143"/>
      <c r="T30" s="143"/>
      <c r="U30" s="143"/>
      <c r="V30" s="143"/>
      <c r="W30" s="143"/>
      <c r="X30" s="143"/>
      <c r="Y30" s="143"/>
      <c r="Z30" s="143"/>
      <c r="AA30" s="143"/>
      <c r="AB30" s="143"/>
      <c r="AC30" s="143"/>
      <c r="AD30" s="143"/>
      <c r="AE30" s="143"/>
      <c r="AF30" s="143"/>
      <c r="AG30" s="143"/>
      <c r="AH30" s="143"/>
      <c r="AI30" s="143"/>
      <c r="AJ30" s="143"/>
    </row>
    <row r="31" spans="1:36" s="13" customFormat="1" ht="6" customHeight="1" x14ac:dyDescent="0.2">
      <c r="A31" s="23"/>
      <c r="B31" s="23"/>
      <c r="C31" s="23"/>
      <c r="D31" s="23"/>
      <c r="E31" s="23"/>
      <c r="F31" s="23"/>
      <c r="G31" s="23"/>
      <c r="H31" s="23"/>
      <c r="I31" s="23"/>
      <c r="J31" s="23"/>
    </row>
    <row r="32" spans="1:36" s="13" customFormat="1" ht="12.95" customHeight="1" x14ac:dyDescent="0.2">
      <c r="A32" s="24"/>
      <c r="B32" s="24" t="s">
        <v>18</v>
      </c>
      <c r="C32" s="25">
        <f>'АОСР-3'!C32+1</f>
        <v>4</v>
      </c>
      <c r="D32" s="25"/>
      <c r="E32" s="130" t="s">
        <v>86</v>
      </c>
      <c r="F32" s="130"/>
      <c r="G32" s="130"/>
      <c r="H32" s="27"/>
      <c r="I32" s="27"/>
      <c r="J32" s="27"/>
      <c r="X32" s="21"/>
      <c r="Y32" s="32"/>
      <c r="Z32" s="32"/>
      <c r="AB32" s="131">
        <f>P78</f>
        <v>45819</v>
      </c>
      <c r="AC32" s="131"/>
      <c r="AD32" s="131"/>
      <c r="AE32" s="131"/>
      <c r="AF32" s="131"/>
      <c r="AG32" s="131"/>
      <c r="AH32" s="131"/>
      <c r="AI32" s="131"/>
      <c r="AJ32" s="13" t="s">
        <v>6</v>
      </c>
    </row>
    <row r="33" spans="1:52" s="14" customFormat="1" ht="9" customHeight="1" x14ac:dyDescent="0.15">
      <c r="Y33" s="15"/>
      <c r="Z33" s="16"/>
      <c r="AA33" s="15"/>
      <c r="AB33" s="144" t="s">
        <v>17</v>
      </c>
      <c r="AC33" s="144"/>
      <c r="AD33" s="144"/>
      <c r="AE33" s="144"/>
      <c r="AF33" s="144"/>
      <c r="AG33" s="144"/>
      <c r="AH33" s="144"/>
      <c r="AI33" s="144"/>
    </row>
    <row r="34" spans="1:52" ht="6.75" customHeight="1" x14ac:dyDescent="0.25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4"/>
      <c r="AJ34" s="4"/>
    </row>
    <row r="35" spans="1:52" s="13" customFormat="1" ht="21" customHeight="1" x14ac:dyDescent="0.2">
      <c r="A35" s="126" t="s">
        <v>46</v>
      </c>
      <c r="B35" s="126"/>
      <c r="C35" s="126"/>
      <c r="D35" s="126"/>
      <c r="E35" s="126"/>
      <c r="F35" s="126"/>
      <c r="G35" s="126"/>
      <c r="H35" s="126"/>
      <c r="I35" s="126"/>
      <c r="J35" s="126"/>
      <c r="K35" s="126"/>
      <c r="L35" s="126"/>
      <c r="M35" s="126"/>
      <c r="N35" s="126"/>
      <c r="O35" s="126"/>
      <c r="P35" s="126"/>
      <c r="Q35" s="126"/>
      <c r="R35" s="126"/>
      <c r="S35" s="126"/>
      <c r="T35" s="126"/>
      <c r="U35" s="126"/>
      <c r="V35" s="126"/>
      <c r="W35" s="126"/>
      <c r="X35" s="126"/>
      <c r="Y35" s="126"/>
      <c r="Z35" s="126"/>
      <c r="AA35" s="126"/>
      <c r="AB35" s="126"/>
      <c r="AC35" s="126"/>
      <c r="AD35" s="126"/>
      <c r="AE35" s="126"/>
      <c r="AF35" s="126"/>
      <c r="AG35" s="126"/>
      <c r="AH35" s="126"/>
      <c r="AI35" s="126"/>
      <c r="AJ35" s="126"/>
    </row>
    <row r="36" spans="1:52" s="13" customFormat="1" ht="25.5" customHeight="1" x14ac:dyDescent="0.2">
      <c r="A36" s="127" t="str">
        <f>'Данные объект'!C34</f>
        <v>Гл. специалист ССК УКС ПАО "Россети Московский регион" Алексанян Г.Р. Приказ №1904 от 03 июня 2026г (НРС С-50-069023)</v>
      </c>
      <c r="B36" s="127"/>
      <c r="C36" s="127"/>
      <c r="D36" s="127"/>
      <c r="E36" s="127"/>
      <c r="F36" s="127"/>
      <c r="G36" s="127"/>
      <c r="H36" s="127"/>
      <c r="I36" s="127"/>
      <c r="J36" s="127"/>
      <c r="K36" s="127"/>
      <c r="L36" s="127"/>
      <c r="M36" s="127"/>
      <c r="N36" s="127"/>
      <c r="O36" s="127"/>
      <c r="P36" s="127"/>
      <c r="Q36" s="127"/>
      <c r="R36" s="127"/>
      <c r="S36" s="127"/>
      <c r="T36" s="127"/>
      <c r="U36" s="127"/>
      <c r="V36" s="127"/>
      <c r="W36" s="127"/>
      <c r="X36" s="127"/>
      <c r="Y36" s="127"/>
      <c r="Z36" s="127"/>
      <c r="AA36" s="127"/>
      <c r="AB36" s="127"/>
      <c r="AC36" s="127"/>
      <c r="AD36" s="127"/>
      <c r="AE36" s="127"/>
      <c r="AF36" s="127"/>
      <c r="AG36" s="127"/>
      <c r="AH36" s="127"/>
      <c r="AI36" s="127"/>
      <c r="AJ36" s="127"/>
    </row>
    <row r="37" spans="1:52" s="14" customFormat="1" ht="28.5" customHeight="1" x14ac:dyDescent="0.15">
      <c r="A37" s="128" t="s">
        <v>47</v>
      </c>
      <c r="B37" s="129"/>
      <c r="C37" s="129"/>
      <c r="D37" s="129"/>
      <c r="E37" s="129"/>
      <c r="F37" s="129"/>
      <c r="G37" s="129"/>
      <c r="H37" s="129"/>
      <c r="I37" s="129"/>
      <c r="J37" s="129"/>
      <c r="K37" s="129"/>
      <c r="L37" s="129"/>
      <c r="M37" s="129"/>
      <c r="N37" s="129"/>
      <c r="O37" s="129"/>
      <c r="P37" s="129"/>
      <c r="Q37" s="129"/>
      <c r="R37" s="129"/>
      <c r="S37" s="129"/>
      <c r="T37" s="129"/>
      <c r="U37" s="129"/>
      <c r="V37" s="129"/>
      <c r="W37" s="129"/>
      <c r="X37" s="129"/>
      <c r="Y37" s="129"/>
      <c r="Z37" s="129"/>
      <c r="AA37" s="129"/>
      <c r="AB37" s="129"/>
      <c r="AC37" s="129"/>
      <c r="AD37" s="129"/>
      <c r="AE37" s="129"/>
      <c r="AF37" s="129"/>
      <c r="AG37" s="129"/>
      <c r="AH37" s="129"/>
      <c r="AI37" s="129"/>
      <c r="AJ37" s="129"/>
    </row>
    <row r="38" spans="1:52" s="13" customFormat="1" ht="21.75" customHeight="1" x14ac:dyDescent="0.2">
      <c r="A38" s="127" t="str">
        <f>'Данные объект'!C23</f>
        <v>ПАО "Россети Московский регион" ОГРН 1057746555811 ИНН 5036065113 КПП 772501001,115114, город Москва, проезд Павелецкий 2-й, дом 3, строение 2</v>
      </c>
      <c r="B38" s="127"/>
      <c r="C38" s="127"/>
      <c r="D38" s="127"/>
      <c r="E38" s="127"/>
      <c r="F38" s="127"/>
      <c r="G38" s="127"/>
      <c r="H38" s="127"/>
      <c r="I38" s="127"/>
      <c r="J38" s="127"/>
      <c r="K38" s="127"/>
      <c r="L38" s="127"/>
      <c r="M38" s="127"/>
      <c r="N38" s="127"/>
      <c r="O38" s="127"/>
      <c r="P38" s="127"/>
      <c r="Q38" s="127"/>
      <c r="R38" s="127"/>
      <c r="S38" s="127"/>
      <c r="T38" s="127"/>
      <c r="U38" s="127"/>
      <c r="V38" s="127"/>
      <c r="W38" s="127"/>
      <c r="X38" s="127"/>
      <c r="Y38" s="127"/>
      <c r="Z38" s="127"/>
      <c r="AA38" s="127"/>
      <c r="AB38" s="127"/>
      <c r="AC38" s="127"/>
      <c r="AD38" s="127"/>
      <c r="AE38" s="127"/>
      <c r="AF38" s="127"/>
      <c r="AG38" s="127"/>
      <c r="AH38" s="127"/>
      <c r="AI38" s="127"/>
      <c r="AJ38" s="127"/>
    </row>
    <row r="39" spans="1:52" s="14" customFormat="1" ht="25.5" customHeight="1" x14ac:dyDescent="0.2">
      <c r="A39" s="145" t="s">
        <v>48</v>
      </c>
      <c r="B39" s="145"/>
      <c r="C39" s="145"/>
      <c r="D39" s="145"/>
      <c r="E39" s="145"/>
      <c r="F39" s="145"/>
      <c r="G39" s="145"/>
      <c r="H39" s="145"/>
      <c r="I39" s="145"/>
      <c r="J39" s="145"/>
      <c r="K39" s="145"/>
      <c r="L39" s="145"/>
      <c r="M39" s="145"/>
      <c r="N39" s="145"/>
      <c r="O39" s="145"/>
      <c r="P39" s="145"/>
      <c r="Q39" s="145"/>
      <c r="R39" s="145"/>
      <c r="S39" s="145"/>
      <c r="T39" s="145"/>
      <c r="U39" s="145"/>
      <c r="V39" s="145"/>
      <c r="W39" s="145"/>
      <c r="X39" s="145"/>
      <c r="Y39" s="145"/>
      <c r="Z39" s="145"/>
      <c r="AA39" s="145"/>
      <c r="AB39" s="145"/>
      <c r="AC39" s="145"/>
      <c r="AD39" s="145"/>
      <c r="AE39" s="145"/>
      <c r="AF39" s="145"/>
      <c r="AG39" s="145"/>
      <c r="AH39" s="145"/>
      <c r="AI39" s="145"/>
      <c r="AJ39" s="145"/>
      <c r="AZ39" s="13"/>
    </row>
    <row r="40" spans="1:52" s="13" customFormat="1" ht="12" customHeight="1" x14ac:dyDescent="0.2">
      <c r="A40" s="13" t="s">
        <v>25</v>
      </c>
    </row>
    <row r="41" spans="1:52" s="13" customFormat="1" ht="12" customHeight="1" x14ac:dyDescent="0.2">
      <c r="A41" s="139" t="str">
        <f>'Данные объект'!C21</f>
        <v>Прораб ООО"Энергосистемы" Волков М.Ю..Приказ №05-ОТ/24 от 09 января 2024г</v>
      </c>
      <c r="B41" s="139"/>
      <c r="C41" s="139"/>
      <c r="D41" s="139"/>
      <c r="E41" s="139"/>
      <c r="F41" s="139"/>
      <c r="G41" s="139"/>
      <c r="H41" s="139"/>
      <c r="I41" s="139"/>
      <c r="J41" s="139"/>
      <c r="K41" s="139"/>
      <c r="L41" s="139"/>
      <c r="M41" s="139"/>
      <c r="N41" s="139"/>
      <c r="O41" s="139"/>
      <c r="P41" s="139"/>
      <c r="Q41" s="139"/>
      <c r="R41" s="139"/>
      <c r="S41" s="139"/>
      <c r="T41" s="139"/>
      <c r="U41" s="139"/>
      <c r="V41" s="139"/>
      <c r="W41" s="139"/>
      <c r="X41" s="139"/>
      <c r="Y41" s="139"/>
      <c r="Z41" s="139"/>
      <c r="AA41" s="139"/>
      <c r="AB41" s="139"/>
      <c r="AC41" s="139"/>
      <c r="AD41" s="139"/>
      <c r="AE41" s="139"/>
      <c r="AF41" s="139"/>
      <c r="AG41" s="139"/>
      <c r="AH41" s="139"/>
      <c r="AI41" s="139"/>
      <c r="AJ41" s="139"/>
    </row>
    <row r="42" spans="1:52" s="14" customFormat="1" ht="9" customHeight="1" x14ac:dyDescent="0.15">
      <c r="A42" s="128" t="s">
        <v>26</v>
      </c>
      <c r="B42" s="129"/>
      <c r="C42" s="129"/>
      <c r="D42" s="129"/>
      <c r="E42" s="129"/>
      <c r="F42" s="129"/>
      <c r="G42" s="129"/>
      <c r="H42" s="129"/>
      <c r="I42" s="129"/>
      <c r="J42" s="129"/>
      <c r="K42" s="129"/>
      <c r="L42" s="129"/>
      <c r="M42" s="129"/>
      <c r="N42" s="129"/>
      <c r="O42" s="129"/>
      <c r="P42" s="129"/>
      <c r="Q42" s="129"/>
      <c r="R42" s="129"/>
      <c r="S42" s="129"/>
      <c r="T42" s="129"/>
      <c r="U42" s="129"/>
      <c r="V42" s="129"/>
      <c r="W42" s="129"/>
      <c r="X42" s="129"/>
      <c r="Y42" s="129"/>
      <c r="Z42" s="129"/>
      <c r="AA42" s="129"/>
      <c r="AB42" s="129"/>
      <c r="AC42" s="129"/>
      <c r="AD42" s="129"/>
      <c r="AE42" s="129"/>
      <c r="AF42" s="129"/>
      <c r="AG42" s="129"/>
      <c r="AH42" s="129"/>
      <c r="AI42" s="129"/>
      <c r="AJ42" s="129"/>
    </row>
    <row r="43" spans="1:52" s="13" customFormat="1" ht="17.25" customHeight="1" x14ac:dyDescent="0.2">
      <c r="A43" s="126" t="s">
        <v>49</v>
      </c>
      <c r="B43" s="126"/>
      <c r="C43" s="126"/>
      <c r="D43" s="126"/>
      <c r="E43" s="126"/>
      <c r="F43" s="126"/>
      <c r="G43" s="126"/>
      <c r="H43" s="126"/>
      <c r="I43" s="126"/>
      <c r="J43" s="126"/>
      <c r="K43" s="126"/>
      <c r="L43" s="126"/>
      <c r="M43" s="126"/>
      <c r="N43" s="126"/>
      <c r="O43" s="126"/>
      <c r="P43" s="126"/>
      <c r="Q43" s="126"/>
      <c r="R43" s="126"/>
      <c r="S43" s="126"/>
      <c r="T43" s="126"/>
      <c r="U43" s="126"/>
      <c r="V43" s="126"/>
      <c r="W43" s="126"/>
      <c r="X43" s="126"/>
      <c r="Y43" s="126"/>
      <c r="Z43" s="126"/>
      <c r="AA43" s="126"/>
      <c r="AB43" s="126"/>
      <c r="AC43" s="126"/>
      <c r="AD43" s="126"/>
      <c r="AE43" s="126"/>
      <c r="AF43" s="126"/>
      <c r="AG43" s="126"/>
      <c r="AH43" s="126"/>
      <c r="AI43" s="126"/>
      <c r="AJ43" s="126"/>
    </row>
    <row r="44" spans="1:52" s="31" customFormat="1" ht="22.5" customHeight="1" x14ac:dyDescent="0.2">
      <c r="A44" s="127" t="str">
        <f>'Данные объект'!C18</f>
        <v>Инженер по строительному контролю ООО"Энергосистемы" Русин В.А..Приказ № 13-ОТ/25 от 05 мая 2025 (НОСТРОЙ С-50-085497)</v>
      </c>
      <c r="B44" s="127"/>
      <c r="C44" s="127"/>
      <c r="D44" s="127"/>
      <c r="E44" s="127"/>
      <c r="F44" s="127"/>
      <c r="G44" s="127"/>
      <c r="H44" s="127"/>
      <c r="I44" s="127"/>
      <c r="J44" s="127"/>
      <c r="K44" s="127"/>
      <c r="L44" s="127"/>
      <c r="M44" s="127"/>
      <c r="N44" s="127"/>
      <c r="O44" s="127"/>
      <c r="P44" s="127"/>
      <c r="Q44" s="127"/>
      <c r="R44" s="127"/>
      <c r="S44" s="127"/>
      <c r="T44" s="127"/>
      <c r="U44" s="127"/>
      <c r="V44" s="127"/>
      <c r="W44" s="127"/>
      <c r="X44" s="127"/>
      <c r="Y44" s="127"/>
      <c r="Z44" s="127"/>
      <c r="AA44" s="127"/>
      <c r="AB44" s="127"/>
      <c r="AC44" s="127"/>
      <c r="AD44" s="127"/>
      <c r="AE44" s="127"/>
      <c r="AF44" s="127"/>
      <c r="AG44" s="127"/>
      <c r="AH44" s="127"/>
      <c r="AI44" s="127"/>
      <c r="AJ44" s="127"/>
    </row>
    <row r="45" spans="1:52" s="14" customFormat="1" ht="30" customHeight="1" x14ac:dyDescent="0.15">
      <c r="A45" s="128" t="s">
        <v>50</v>
      </c>
      <c r="B45" s="129"/>
      <c r="C45" s="129"/>
      <c r="D45" s="129"/>
      <c r="E45" s="129"/>
      <c r="F45" s="129"/>
      <c r="G45" s="129"/>
      <c r="H45" s="129"/>
      <c r="I45" s="129"/>
      <c r="J45" s="129"/>
      <c r="K45" s="129"/>
      <c r="L45" s="129"/>
      <c r="M45" s="129"/>
      <c r="N45" s="129"/>
      <c r="O45" s="129"/>
      <c r="P45" s="129"/>
      <c r="Q45" s="129"/>
      <c r="R45" s="129"/>
      <c r="S45" s="129"/>
      <c r="T45" s="129"/>
      <c r="U45" s="129"/>
      <c r="V45" s="129"/>
      <c r="W45" s="129"/>
      <c r="X45" s="129"/>
      <c r="Y45" s="129"/>
      <c r="Z45" s="129"/>
      <c r="AA45" s="129"/>
      <c r="AB45" s="129"/>
      <c r="AC45" s="129"/>
      <c r="AD45" s="129"/>
      <c r="AE45" s="129"/>
      <c r="AF45" s="129"/>
      <c r="AG45" s="129"/>
      <c r="AH45" s="129"/>
      <c r="AI45" s="129"/>
      <c r="AJ45" s="129"/>
    </row>
    <row r="46" spans="1:52" s="14" customFormat="1" ht="11.25" x14ac:dyDescent="0.2">
      <c r="A46" s="126" t="s">
        <v>190</v>
      </c>
      <c r="B46" s="126"/>
      <c r="C46" s="126"/>
      <c r="D46" s="126"/>
      <c r="E46" s="126"/>
      <c r="F46" s="126"/>
      <c r="G46" s="126"/>
      <c r="H46" s="126"/>
      <c r="I46" s="126"/>
      <c r="J46" s="126"/>
      <c r="K46" s="126"/>
      <c r="L46" s="126"/>
      <c r="M46" s="126"/>
      <c r="N46" s="126"/>
      <c r="O46" s="126"/>
      <c r="P46" s="126"/>
      <c r="Q46" s="126"/>
      <c r="R46" s="126"/>
      <c r="S46" s="126"/>
      <c r="T46" s="126"/>
      <c r="U46" s="126"/>
      <c r="V46" s="126"/>
      <c r="W46" s="126"/>
      <c r="X46" s="126"/>
      <c r="Y46" s="126"/>
      <c r="Z46" s="126"/>
      <c r="AA46" s="126"/>
      <c r="AB46" s="126"/>
      <c r="AC46" s="126"/>
      <c r="AD46" s="126"/>
      <c r="AE46" s="126"/>
      <c r="AF46" s="126"/>
      <c r="AG46" s="126"/>
      <c r="AH46" s="126"/>
      <c r="AI46" s="126"/>
      <c r="AJ46" s="126"/>
    </row>
    <row r="47" spans="1:52" s="14" customFormat="1" ht="11.25" customHeight="1" x14ac:dyDescent="0.15">
      <c r="A47" s="127" t="str">
        <f>'Данные объект'!$C$36</f>
        <v>Мастер СРЭС СЭС филиала ПАО "Россети Московский регион" Курчин М.М.</v>
      </c>
      <c r="B47" s="127"/>
      <c r="C47" s="127"/>
      <c r="D47" s="127"/>
      <c r="E47" s="127"/>
      <c r="F47" s="127"/>
      <c r="G47" s="127"/>
      <c r="H47" s="127"/>
      <c r="I47" s="127"/>
      <c r="J47" s="127"/>
      <c r="K47" s="127"/>
      <c r="L47" s="127"/>
      <c r="M47" s="127"/>
      <c r="N47" s="127"/>
      <c r="O47" s="127"/>
      <c r="P47" s="127"/>
      <c r="Q47" s="127"/>
      <c r="R47" s="127"/>
      <c r="S47" s="127"/>
      <c r="T47" s="127"/>
      <c r="U47" s="127"/>
      <c r="V47" s="127"/>
      <c r="W47" s="127"/>
      <c r="X47" s="127"/>
      <c r="Y47" s="127"/>
      <c r="Z47" s="127"/>
      <c r="AA47" s="127"/>
      <c r="AB47" s="127"/>
      <c r="AC47" s="127"/>
      <c r="AD47" s="127"/>
      <c r="AE47" s="127"/>
      <c r="AF47" s="127"/>
      <c r="AG47" s="127"/>
      <c r="AH47" s="127"/>
      <c r="AI47" s="127"/>
      <c r="AJ47" s="127"/>
    </row>
    <row r="48" spans="1:52" s="14" customFormat="1" ht="8.25" x14ac:dyDescent="0.15">
      <c r="A48" s="128" t="s">
        <v>26</v>
      </c>
      <c r="B48" s="129"/>
      <c r="C48" s="129"/>
      <c r="D48" s="129"/>
      <c r="E48" s="129"/>
      <c r="F48" s="129"/>
      <c r="G48" s="129"/>
      <c r="H48" s="129"/>
      <c r="I48" s="129"/>
      <c r="J48" s="129"/>
      <c r="K48" s="129"/>
      <c r="L48" s="129"/>
      <c r="M48" s="129"/>
      <c r="N48" s="129"/>
      <c r="O48" s="129"/>
      <c r="P48" s="129"/>
      <c r="Q48" s="129"/>
      <c r="R48" s="129"/>
      <c r="S48" s="129"/>
      <c r="T48" s="129"/>
      <c r="U48" s="129"/>
      <c r="V48" s="129"/>
      <c r="W48" s="129"/>
      <c r="X48" s="129"/>
      <c r="Y48" s="129"/>
      <c r="Z48" s="129"/>
      <c r="AA48" s="129"/>
      <c r="AB48" s="129"/>
      <c r="AC48" s="129"/>
      <c r="AD48" s="129"/>
      <c r="AE48" s="129"/>
      <c r="AF48" s="129"/>
      <c r="AG48" s="129"/>
      <c r="AH48" s="129"/>
      <c r="AI48" s="129"/>
      <c r="AJ48" s="129"/>
    </row>
    <row r="49" spans="1:36" s="13" customFormat="1" ht="35.25" customHeight="1" x14ac:dyDescent="0.2">
      <c r="A49" s="136" t="s">
        <v>51</v>
      </c>
      <c r="B49" s="136"/>
      <c r="C49" s="136"/>
      <c r="D49" s="136"/>
      <c r="E49" s="136"/>
      <c r="F49" s="136"/>
      <c r="G49" s="136"/>
      <c r="H49" s="136"/>
      <c r="I49" s="136"/>
      <c r="J49" s="136"/>
      <c r="K49" s="136"/>
      <c r="L49" s="136"/>
      <c r="M49" s="136"/>
      <c r="N49" s="136"/>
      <c r="O49" s="136"/>
      <c r="P49" s="136"/>
      <c r="Q49" s="136"/>
      <c r="R49" s="136"/>
      <c r="S49" s="136"/>
      <c r="T49" s="136"/>
      <c r="U49" s="136"/>
      <c r="V49" s="136"/>
      <c r="W49" s="136"/>
      <c r="X49" s="136"/>
      <c r="Y49" s="136"/>
      <c r="Z49" s="136"/>
      <c r="AA49" s="136"/>
      <c r="AB49" s="136"/>
      <c r="AC49" s="136"/>
      <c r="AD49" s="136"/>
      <c r="AE49" s="136"/>
      <c r="AF49" s="136"/>
      <c r="AG49" s="136"/>
      <c r="AH49" s="136"/>
      <c r="AI49" s="136"/>
      <c r="AJ49" s="136"/>
    </row>
    <row r="50" spans="1:36" s="31" customFormat="1" ht="12.95" customHeight="1" x14ac:dyDescent="0.2">
      <c r="A50" s="139" t="s">
        <v>74</v>
      </c>
      <c r="B50" s="139"/>
      <c r="C50" s="139"/>
      <c r="D50" s="139"/>
      <c r="E50" s="139"/>
      <c r="F50" s="139"/>
      <c r="G50" s="139"/>
      <c r="H50" s="139"/>
      <c r="I50" s="139"/>
      <c r="J50" s="139"/>
      <c r="K50" s="139"/>
      <c r="L50" s="139"/>
      <c r="M50" s="139"/>
      <c r="N50" s="139"/>
      <c r="O50" s="139"/>
      <c r="P50" s="139"/>
      <c r="Q50" s="139"/>
      <c r="R50" s="139"/>
      <c r="S50" s="139"/>
      <c r="T50" s="139"/>
      <c r="U50" s="139"/>
      <c r="V50" s="139"/>
      <c r="W50" s="139"/>
      <c r="X50" s="139"/>
      <c r="Y50" s="139"/>
      <c r="Z50" s="139"/>
      <c r="AA50" s="139"/>
      <c r="AB50" s="139"/>
      <c r="AC50" s="139"/>
      <c r="AD50" s="139"/>
      <c r="AE50" s="139"/>
      <c r="AF50" s="139"/>
      <c r="AG50" s="139"/>
      <c r="AH50" s="139"/>
      <c r="AI50" s="139"/>
      <c r="AJ50" s="139"/>
    </row>
    <row r="51" spans="1:36" s="14" customFormat="1" ht="29.25" customHeight="1" x14ac:dyDescent="0.15">
      <c r="A51" s="128" t="s">
        <v>52</v>
      </c>
      <c r="B51" s="129"/>
      <c r="C51" s="129"/>
      <c r="D51" s="129"/>
      <c r="E51" s="129"/>
      <c r="F51" s="129"/>
      <c r="G51" s="129"/>
      <c r="H51" s="129"/>
      <c r="I51" s="129"/>
      <c r="J51" s="129"/>
      <c r="K51" s="129"/>
      <c r="L51" s="129"/>
      <c r="M51" s="129"/>
      <c r="N51" s="129"/>
      <c r="O51" s="129"/>
      <c r="P51" s="129"/>
      <c r="Q51" s="129"/>
      <c r="R51" s="129"/>
      <c r="S51" s="129"/>
      <c r="T51" s="129"/>
      <c r="U51" s="129"/>
      <c r="V51" s="129"/>
      <c r="W51" s="129"/>
      <c r="X51" s="129"/>
      <c r="Y51" s="129"/>
      <c r="Z51" s="129"/>
      <c r="AA51" s="129"/>
      <c r="AB51" s="129"/>
      <c r="AC51" s="129"/>
      <c r="AD51" s="129"/>
      <c r="AE51" s="129"/>
      <c r="AF51" s="129"/>
      <c r="AG51" s="129"/>
      <c r="AH51" s="129"/>
      <c r="AI51" s="129"/>
      <c r="AJ51" s="129"/>
    </row>
    <row r="52" spans="1:36" s="13" customFormat="1" ht="25.5" hidden="1" customHeight="1" x14ac:dyDescent="0.2">
      <c r="A52" s="136" t="s">
        <v>53</v>
      </c>
      <c r="B52" s="136"/>
      <c r="C52" s="136"/>
      <c r="D52" s="136"/>
      <c r="E52" s="136"/>
      <c r="F52" s="136"/>
      <c r="G52" s="136"/>
      <c r="H52" s="136"/>
      <c r="I52" s="136"/>
      <c r="J52" s="136"/>
      <c r="K52" s="136"/>
      <c r="L52" s="136"/>
      <c r="M52" s="136"/>
      <c r="N52" s="136"/>
      <c r="O52" s="136"/>
      <c r="P52" s="136"/>
      <c r="Q52" s="136"/>
      <c r="R52" s="136"/>
      <c r="S52" s="136"/>
      <c r="T52" s="136"/>
      <c r="U52" s="136"/>
      <c r="V52" s="136"/>
      <c r="W52" s="136"/>
      <c r="X52" s="136"/>
      <c r="Y52" s="136"/>
      <c r="Z52" s="136"/>
      <c r="AA52" s="136"/>
      <c r="AB52" s="136"/>
      <c r="AC52" s="136"/>
      <c r="AD52" s="136"/>
      <c r="AE52" s="136"/>
      <c r="AF52" s="136"/>
      <c r="AG52" s="136"/>
      <c r="AH52" s="136"/>
      <c r="AI52" s="136"/>
      <c r="AJ52" s="136"/>
    </row>
    <row r="53" spans="1:36" s="13" customFormat="1" ht="12" hidden="1" customHeight="1" x14ac:dyDescent="0.2">
      <c r="A53" s="127" t="e">
        <f>CONCATENATE(#REF!,", ",#REF!," - ",#REF!)</f>
        <v>#REF!</v>
      </c>
      <c r="B53" s="127"/>
      <c r="C53" s="127"/>
      <c r="D53" s="127"/>
      <c r="E53" s="127"/>
      <c r="F53" s="127"/>
      <c r="G53" s="127"/>
      <c r="H53" s="127"/>
      <c r="I53" s="127"/>
      <c r="J53" s="127"/>
      <c r="K53" s="127"/>
      <c r="L53" s="127"/>
      <c r="M53" s="127"/>
      <c r="N53" s="127"/>
      <c r="O53" s="127"/>
      <c r="P53" s="127"/>
      <c r="Q53" s="127"/>
      <c r="R53" s="127"/>
      <c r="S53" s="127"/>
      <c r="T53" s="127"/>
      <c r="U53" s="127"/>
      <c r="V53" s="127"/>
      <c r="W53" s="127"/>
      <c r="X53" s="127"/>
      <c r="Y53" s="127"/>
      <c r="Z53" s="127"/>
      <c r="AA53" s="127"/>
      <c r="AB53" s="127"/>
      <c r="AC53" s="127"/>
      <c r="AD53" s="127"/>
      <c r="AE53" s="127"/>
      <c r="AF53" s="127"/>
      <c r="AG53" s="127"/>
      <c r="AH53" s="127"/>
      <c r="AI53" s="127"/>
      <c r="AJ53" s="127"/>
    </row>
    <row r="54" spans="1:36" s="14" customFormat="1" ht="9.75" hidden="1" customHeight="1" x14ac:dyDescent="0.15">
      <c r="A54" s="128" t="s">
        <v>29</v>
      </c>
      <c r="B54" s="129"/>
      <c r="C54" s="129"/>
      <c r="D54" s="129"/>
      <c r="E54" s="129"/>
      <c r="F54" s="129"/>
      <c r="G54" s="129"/>
      <c r="H54" s="129"/>
      <c r="I54" s="129"/>
      <c r="J54" s="129"/>
      <c r="K54" s="129"/>
      <c r="L54" s="129"/>
      <c r="M54" s="129"/>
      <c r="N54" s="129"/>
      <c r="O54" s="129"/>
      <c r="P54" s="129"/>
      <c r="Q54" s="129"/>
      <c r="R54" s="129"/>
      <c r="S54" s="129"/>
      <c r="T54" s="129"/>
      <c r="U54" s="129"/>
      <c r="V54" s="129"/>
      <c r="W54" s="129"/>
      <c r="X54" s="129"/>
      <c r="Y54" s="129"/>
      <c r="Z54" s="129"/>
      <c r="AA54" s="129"/>
      <c r="AB54" s="129"/>
      <c r="AC54" s="129"/>
      <c r="AD54" s="129"/>
      <c r="AE54" s="129"/>
      <c r="AF54" s="129"/>
      <c r="AG54" s="129"/>
      <c r="AH54" s="129"/>
      <c r="AI54" s="129"/>
      <c r="AJ54" s="129"/>
    </row>
    <row r="55" spans="1:36" s="13" customFormat="1" ht="12" hidden="1" customHeight="1" x14ac:dyDescent="0.2">
      <c r="A55" s="127"/>
      <c r="B55" s="127"/>
      <c r="C55" s="127"/>
      <c r="D55" s="127"/>
      <c r="E55" s="127"/>
      <c r="F55" s="127"/>
      <c r="G55" s="127"/>
      <c r="H55" s="127"/>
      <c r="I55" s="127"/>
      <c r="J55" s="127"/>
      <c r="K55" s="127"/>
      <c r="L55" s="127"/>
      <c r="M55" s="127"/>
      <c r="N55" s="127"/>
      <c r="O55" s="127"/>
      <c r="P55" s="127"/>
      <c r="Q55" s="127"/>
      <c r="R55" s="127"/>
      <c r="S55" s="127"/>
      <c r="T55" s="127"/>
      <c r="U55" s="127"/>
      <c r="V55" s="127"/>
      <c r="W55" s="127"/>
      <c r="X55" s="127"/>
      <c r="Y55" s="127"/>
      <c r="Z55" s="127"/>
      <c r="AA55" s="127"/>
      <c r="AB55" s="127"/>
      <c r="AC55" s="127"/>
      <c r="AD55" s="127"/>
      <c r="AE55" s="127"/>
      <c r="AF55" s="127"/>
      <c r="AG55" s="127"/>
      <c r="AH55" s="127"/>
      <c r="AI55" s="127"/>
      <c r="AJ55" s="127"/>
    </row>
    <row r="56" spans="1:36" s="14" customFormat="1" ht="16.5" hidden="1" customHeight="1" x14ac:dyDescent="0.15">
      <c r="A56" s="128" t="s">
        <v>54</v>
      </c>
      <c r="B56" s="128"/>
      <c r="C56" s="128"/>
      <c r="D56" s="128"/>
      <c r="E56" s="128"/>
      <c r="F56" s="128"/>
      <c r="G56" s="128"/>
      <c r="H56" s="128"/>
      <c r="I56" s="128"/>
      <c r="J56" s="128"/>
      <c r="K56" s="128"/>
      <c r="L56" s="128"/>
      <c r="M56" s="128"/>
      <c r="N56" s="128"/>
      <c r="O56" s="128"/>
      <c r="P56" s="128"/>
      <c r="Q56" s="128"/>
      <c r="R56" s="128"/>
      <c r="S56" s="128"/>
      <c r="T56" s="128"/>
      <c r="U56" s="128"/>
      <c r="V56" s="128"/>
      <c r="W56" s="128"/>
      <c r="X56" s="128"/>
      <c r="Y56" s="128"/>
      <c r="Z56" s="128"/>
      <c r="AA56" s="128"/>
      <c r="AB56" s="128"/>
      <c r="AC56" s="128"/>
      <c r="AD56" s="128"/>
      <c r="AE56" s="128"/>
      <c r="AF56" s="128"/>
      <c r="AG56" s="128"/>
      <c r="AH56" s="128"/>
      <c r="AI56" s="128"/>
      <c r="AJ56" s="128"/>
    </row>
    <row r="57" spans="1:36" s="13" customFormat="1" ht="12" customHeight="1" x14ac:dyDescent="0.2">
      <c r="A57" s="13" t="s">
        <v>16</v>
      </c>
    </row>
    <row r="58" spans="1:36" s="13" customFormat="1" ht="12.95" customHeight="1" x14ac:dyDescent="0.2">
      <c r="A58" s="130" t="str">
        <f>'Данные объект'!B11</f>
        <v>ООО"Энергосистемы"</v>
      </c>
      <c r="B58" s="130"/>
      <c r="C58" s="130"/>
      <c r="D58" s="130"/>
      <c r="E58" s="130"/>
      <c r="F58" s="130"/>
      <c r="G58" s="130"/>
      <c r="H58" s="130"/>
      <c r="I58" s="130"/>
      <c r="J58" s="130"/>
      <c r="K58" s="130"/>
      <c r="L58" s="130"/>
      <c r="M58" s="130"/>
      <c r="N58" s="130"/>
      <c r="O58" s="130"/>
      <c r="P58" s="130"/>
      <c r="Q58" s="130"/>
      <c r="R58" s="130"/>
      <c r="S58" s="130"/>
      <c r="T58" s="130"/>
      <c r="U58" s="130"/>
      <c r="V58" s="130"/>
      <c r="W58" s="130"/>
      <c r="X58" s="130"/>
      <c r="Y58" s="130"/>
      <c r="Z58" s="130"/>
      <c r="AA58" s="130"/>
      <c r="AB58" s="130"/>
      <c r="AC58" s="130"/>
      <c r="AD58" s="130"/>
      <c r="AE58" s="130"/>
      <c r="AF58" s="130"/>
      <c r="AG58" s="130"/>
      <c r="AH58" s="130"/>
      <c r="AI58" s="130"/>
      <c r="AJ58" s="130"/>
    </row>
    <row r="59" spans="1:36" s="14" customFormat="1" ht="10.5" customHeight="1" x14ac:dyDescent="0.15">
      <c r="A59" s="134" t="s">
        <v>38</v>
      </c>
      <c r="B59" s="134"/>
      <c r="C59" s="134"/>
      <c r="D59" s="134"/>
      <c r="E59" s="134"/>
      <c r="F59" s="134"/>
      <c r="G59" s="134"/>
      <c r="H59" s="134"/>
      <c r="I59" s="134"/>
      <c r="J59" s="134"/>
      <c r="K59" s="134"/>
      <c r="L59" s="134"/>
      <c r="M59" s="134"/>
      <c r="N59" s="134"/>
      <c r="O59" s="134"/>
      <c r="P59" s="134"/>
      <c r="Q59" s="134"/>
      <c r="R59" s="134"/>
      <c r="S59" s="134"/>
      <c r="T59" s="134"/>
      <c r="U59" s="134"/>
      <c r="V59" s="134"/>
      <c r="W59" s="134"/>
      <c r="X59" s="134"/>
      <c r="Y59" s="134"/>
      <c r="Z59" s="134"/>
      <c r="AA59" s="134"/>
      <c r="AB59" s="134"/>
      <c r="AC59" s="134"/>
      <c r="AD59" s="134"/>
      <c r="AE59" s="134"/>
      <c r="AF59" s="134"/>
      <c r="AG59" s="134"/>
      <c r="AH59" s="134"/>
      <c r="AI59" s="134"/>
      <c r="AJ59" s="134"/>
    </row>
    <row r="60" spans="1:36" s="13" customFormat="1" ht="12" customHeight="1" x14ac:dyDescent="0.2">
      <c r="A60" s="13" t="s">
        <v>15</v>
      </c>
    </row>
    <row r="61" spans="1:36" s="13" customFormat="1" ht="12" customHeight="1" x14ac:dyDescent="0.2">
      <c r="A61" s="13" t="s">
        <v>30</v>
      </c>
    </row>
    <row r="62" spans="1:36" s="13" customFormat="1" ht="12" customHeight="1" x14ac:dyDescent="0.2">
      <c r="A62" s="146" t="s">
        <v>93</v>
      </c>
      <c r="B62" s="146"/>
      <c r="C62" s="146"/>
      <c r="D62" s="146"/>
      <c r="E62" s="146"/>
      <c r="F62" s="146"/>
      <c r="G62" s="73"/>
      <c r="H62" s="138" t="s">
        <v>177</v>
      </c>
      <c r="I62" s="138"/>
      <c r="J62" s="138"/>
      <c r="K62" s="138"/>
      <c r="L62" s="138"/>
      <c r="M62" s="138"/>
      <c r="N62" s="73"/>
      <c r="O62" s="80" t="s">
        <v>74</v>
      </c>
      <c r="P62" s="157">
        <v>21</v>
      </c>
      <c r="Q62" s="157"/>
      <c r="R62" s="157"/>
      <c r="S62" s="157"/>
      <c r="T62" s="80" t="s">
        <v>92</v>
      </c>
      <c r="U62" s="81"/>
      <c r="V62" s="82"/>
      <c r="W62" s="82"/>
      <c r="X62" s="82"/>
      <c r="Y62" s="82"/>
      <c r="Z62" s="82"/>
      <c r="AA62" s="82"/>
      <c r="AB62" s="82"/>
      <c r="AC62" s="82"/>
      <c r="AD62" s="82"/>
      <c r="AE62" s="82"/>
      <c r="AF62" s="82"/>
      <c r="AG62" s="82"/>
      <c r="AH62" s="82"/>
      <c r="AI62" s="82"/>
      <c r="AJ62" s="82"/>
    </row>
    <row r="63" spans="1:36" s="14" customFormat="1" ht="8.25" customHeight="1" x14ac:dyDescent="0.15">
      <c r="A63" s="153" t="s">
        <v>14</v>
      </c>
      <c r="B63" s="154"/>
      <c r="C63" s="154"/>
      <c r="D63" s="154"/>
      <c r="E63" s="154"/>
      <c r="F63" s="154"/>
      <c r="G63" s="154"/>
      <c r="H63" s="154"/>
      <c r="I63" s="154"/>
      <c r="J63" s="154"/>
      <c r="K63" s="154"/>
      <c r="L63" s="154"/>
      <c r="M63" s="154"/>
      <c r="N63" s="154"/>
      <c r="O63" s="154"/>
      <c r="P63" s="154"/>
      <c r="Q63" s="154"/>
      <c r="R63" s="154"/>
      <c r="S63" s="154"/>
      <c r="T63" s="154"/>
      <c r="U63" s="154"/>
      <c r="V63" s="154"/>
      <c r="W63" s="154"/>
      <c r="X63" s="154"/>
      <c r="Y63" s="154"/>
      <c r="Z63" s="154"/>
      <c r="AA63" s="154"/>
      <c r="AB63" s="154"/>
      <c r="AC63" s="154"/>
      <c r="AD63" s="154"/>
      <c r="AE63" s="154"/>
      <c r="AF63" s="154"/>
      <c r="AG63" s="154"/>
      <c r="AH63" s="154"/>
      <c r="AI63" s="154"/>
      <c r="AJ63" s="154"/>
    </row>
    <row r="64" spans="1:36" s="13" customFormat="1" ht="12" customHeight="1" x14ac:dyDescent="0.2">
      <c r="A64" s="67" t="s">
        <v>13</v>
      </c>
      <c r="B64" s="67"/>
      <c r="C64" s="67"/>
      <c r="D64" s="67"/>
      <c r="E64" s="67"/>
      <c r="F64" s="67"/>
      <c r="G64" s="67"/>
      <c r="H64" s="67"/>
      <c r="I64" s="67"/>
      <c r="J64" s="67"/>
      <c r="K64" s="67"/>
      <c r="L64" s="67"/>
      <c r="M64" s="67"/>
      <c r="N64" s="67"/>
      <c r="O64" s="67"/>
      <c r="P64" s="67"/>
      <c r="Q64" s="67"/>
      <c r="R64" s="67"/>
      <c r="S64" s="67"/>
      <c r="T64" s="67"/>
      <c r="U64" s="67"/>
      <c r="V64" s="67"/>
      <c r="W64" s="67"/>
      <c r="X64" s="67"/>
      <c r="Y64" s="67"/>
      <c r="Z64" s="67"/>
      <c r="AA64" s="67"/>
      <c r="AB64" s="67"/>
      <c r="AC64" s="67"/>
      <c r="AD64" s="67"/>
      <c r="AE64" s="67"/>
      <c r="AF64" s="67"/>
      <c r="AG64" s="67"/>
      <c r="AH64" s="67"/>
      <c r="AI64" s="67"/>
      <c r="AJ64" s="67"/>
    </row>
    <row r="65" spans="1:36" s="13" customFormat="1" ht="12" customHeight="1" x14ac:dyDescent="0.2">
      <c r="A65" s="141" t="str">
        <f>'Данные объект'!B43</f>
        <v>4609-305042-221-10/24</v>
      </c>
      <c r="B65" s="141"/>
      <c r="C65" s="141"/>
      <c r="D65" s="141"/>
      <c r="E65" s="141"/>
      <c r="F65" s="141"/>
      <c r="G65" s="141"/>
      <c r="H65" s="141"/>
      <c r="I65" s="141"/>
      <c r="J65" s="141"/>
      <c r="K65" s="141"/>
      <c r="L65" s="141"/>
      <c r="M65" s="141"/>
      <c r="N65" s="141"/>
      <c r="O65" s="141"/>
      <c r="P65" s="141"/>
      <c r="Q65" s="141"/>
      <c r="R65" s="141"/>
      <c r="S65" s="141"/>
      <c r="T65" s="141"/>
      <c r="U65" s="141"/>
      <c r="V65" s="141"/>
      <c r="W65" s="141"/>
      <c r="X65" s="141"/>
      <c r="Y65" s="141"/>
      <c r="Z65" s="141"/>
      <c r="AA65" s="141"/>
      <c r="AB65" s="141"/>
      <c r="AC65" s="141"/>
      <c r="AD65" s="141"/>
      <c r="AE65" s="141"/>
      <c r="AF65" s="141"/>
      <c r="AG65" s="141"/>
      <c r="AH65" s="141"/>
      <c r="AI65" s="141"/>
      <c r="AJ65" s="141"/>
    </row>
    <row r="66" spans="1:36" s="14" customFormat="1" ht="15" customHeight="1" x14ac:dyDescent="0.15">
      <c r="A66" s="153" t="s">
        <v>39</v>
      </c>
      <c r="B66" s="154"/>
      <c r="C66" s="154"/>
      <c r="D66" s="154"/>
      <c r="E66" s="154"/>
      <c r="F66" s="154"/>
      <c r="G66" s="154"/>
      <c r="H66" s="154"/>
      <c r="I66" s="154"/>
      <c r="J66" s="154"/>
      <c r="K66" s="154"/>
      <c r="L66" s="154"/>
      <c r="M66" s="154"/>
      <c r="N66" s="154"/>
      <c r="O66" s="154"/>
      <c r="P66" s="154"/>
      <c r="Q66" s="154"/>
      <c r="R66" s="154"/>
      <c r="S66" s="154"/>
      <c r="T66" s="154"/>
      <c r="U66" s="154"/>
      <c r="V66" s="154"/>
      <c r="W66" s="154"/>
      <c r="X66" s="154"/>
      <c r="Y66" s="154"/>
      <c r="Z66" s="154"/>
      <c r="AA66" s="154"/>
      <c r="AB66" s="154"/>
      <c r="AC66" s="154"/>
      <c r="AD66" s="154"/>
      <c r="AE66" s="154"/>
      <c r="AF66" s="154"/>
      <c r="AG66" s="154"/>
      <c r="AH66" s="154"/>
      <c r="AI66" s="154"/>
      <c r="AJ66" s="154"/>
    </row>
    <row r="67" spans="1:36" s="13" customFormat="1" ht="12" customHeight="1" x14ac:dyDescent="0.2">
      <c r="A67" s="67" t="s">
        <v>12</v>
      </c>
      <c r="B67" s="67"/>
      <c r="C67" s="67"/>
      <c r="D67" s="67"/>
      <c r="E67" s="67"/>
      <c r="F67" s="67"/>
      <c r="G67" s="67"/>
      <c r="H67" s="67"/>
      <c r="I67" s="67"/>
      <c r="J67" s="67"/>
      <c r="K67" s="67"/>
      <c r="L67" s="67"/>
      <c r="M67" s="67"/>
      <c r="N67" s="67"/>
      <c r="O67" s="67"/>
      <c r="P67" s="155"/>
      <c r="Q67" s="155"/>
      <c r="R67" s="155"/>
      <c r="S67" s="155"/>
      <c r="T67" s="155"/>
      <c r="U67" s="155"/>
      <c r="V67" s="155"/>
      <c r="W67" s="155"/>
      <c r="X67" s="155"/>
      <c r="Y67" s="155"/>
      <c r="Z67" s="155"/>
      <c r="AA67" s="155"/>
      <c r="AB67" s="155"/>
      <c r="AC67" s="155"/>
      <c r="AD67" s="155"/>
      <c r="AE67" s="155"/>
      <c r="AF67" s="155"/>
      <c r="AG67" s="155"/>
      <c r="AH67" s="155"/>
      <c r="AI67" s="155"/>
      <c r="AJ67" s="155"/>
    </row>
    <row r="68" spans="1:36" s="18" customFormat="1" ht="7.5" customHeight="1" x14ac:dyDescent="0.15">
      <c r="A68" s="68"/>
      <c r="B68" s="68"/>
      <c r="C68" s="68"/>
      <c r="D68" s="68"/>
      <c r="E68" s="68"/>
      <c r="F68" s="68"/>
      <c r="G68" s="68"/>
      <c r="H68" s="68"/>
      <c r="I68" s="68"/>
      <c r="J68" s="68"/>
      <c r="K68" s="68"/>
      <c r="L68" s="68"/>
      <c r="M68" s="68"/>
      <c r="N68" s="68"/>
      <c r="O68" s="68"/>
      <c r="P68" s="156" t="s">
        <v>55</v>
      </c>
      <c r="Q68" s="156"/>
      <c r="R68" s="156"/>
      <c r="S68" s="156"/>
      <c r="T68" s="156"/>
      <c r="U68" s="156"/>
      <c r="V68" s="156"/>
      <c r="W68" s="156"/>
      <c r="X68" s="156"/>
      <c r="Y68" s="156"/>
      <c r="Z68" s="156"/>
      <c r="AA68" s="156"/>
      <c r="AB68" s="156"/>
      <c r="AC68" s="156"/>
      <c r="AD68" s="156"/>
      <c r="AE68" s="156"/>
      <c r="AF68" s="156"/>
      <c r="AG68" s="156"/>
      <c r="AH68" s="156"/>
      <c r="AI68" s="156"/>
      <c r="AJ68" s="156"/>
    </row>
    <row r="69" spans="1:36" s="13" customFormat="1" ht="12" customHeight="1" x14ac:dyDescent="0.2">
      <c r="A69" s="150" t="s">
        <v>96</v>
      </c>
      <c r="B69" s="150"/>
      <c r="C69" s="150"/>
      <c r="D69" s="141" t="str">
        <f>H62</f>
        <v>АСБл-10 3х95</v>
      </c>
      <c r="E69" s="141"/>
      <c r="F69" s="141"/>
      <c r="G69" s="141"/>
      <c r="H69" s="141"/>
      <c r="I69" s="141"/>
      <c r="J69" s="71" t="s">
        <v>74</v>
      </c>
      <c r="K69" s="141">
        <f>P62</f>
        <v>21</v>
      </c>
      <c r="L69" s="141"/>
      <c r="M69" s="141"/>
      <c r="N69" s="141"/>
      <c r="O69" s="74" t="s">
        <v>92</v>
      </c>
      <c r="P69" s="81"/>
      <c r="Q69" s="98" t="s">
        <v>178</v>
      </c>
      <c r="R69" s="98"/>
      <c r="S69" s="98"/>
      <c r="T69" s="98"/>
      <c r="U69" s="98"/>
      <c r="V69" s="98"/>
      <c r="W69" s="98"/>
      <c r="X69" s="98"/>
      <c r="Y69" s="98"/>
      <c r="Z69" s="98"/>
      <c r="AA69" s="98"/>
      <c r="AB69" s="98"/>
      <c r="AC69" s="98"/>
      <c r="AD69" s="98"/>
      <c r="AE69" s="98"/>
      <c r="AF69" s="98"/>
      <c r="AG69" s="99"/>
      <c r="AH69" s="81"/>
      <c r="AI69" s="81"/>
      <c r="AJ69" s="81"/>
    </row>
    <row r="70" spans="1:36" s="14" customFormat="1" ht="18.75" customHeight="1" x14ac:dyDescent="0.15">
      <c r="A70" s="128" t="s">
        <v>56</v>
      </c>
      <c r="B70" s="129"/>
      <c r="C70" s="129"/>
      <c r="D70" s="129"/>
      <c r="E70" s="129"/>
      <c r="F70" s="129"/>
      <c r="G70" s="129"/>
      <c r="H70" s="129"/>
      <c r="I70" s="129"/>
      <c r="J70" s="129"/>
      <c r="K70" s="129"/>
      <c r="L70" s="129"/>
      <c r="M70" s="129"/>
      <c r="N70" s="129"/>
      <c r="O70" s="129"/>
      <c r="P70" s="129"/>
      <c r="Q70" s="129"/>
      <c r="R70" s="129"/>
      <c r="S70" s="129"/>
      <c r="T70" s="129"/>
      <c r="U70" s="129"/>
      <c r="V70" s="129"/>
      <c r="W70" s="129"/>
      <c r="X70" s="129"/>
      <c r="Y70" s="129"/>
      <c r="Z70" s="129"/>
      <c r="AA70" s="129"/>
      <c r="AB70" s="129"/>
      <c r="AC70" s="129"/>
      <c r="AD70" s="129"/>
      <c r="AE70" s="129"/>
      <c r="AF70" s="129"/>
      <c r="AG70" s="129"/>
      <c r="AH70" s="129"/>
      <c r="AI70" s="129"/>
      <c r="AJ70" s="129"/>
    </row>
    <row r="71" spans="1:36" s="13" customFormat="1" ht="12" customHeight="1" x14ac:dyDescent="0.2">
      <c r="A71" s="13" t="s">
        <v>11</v>
      </c>
    </row>
    <row r="72" spans="1:36" s="13" customFormat="1" ht="12" customHeight="1" x14ac:dyDescent="0.2">
      <c r="A72" s="13" t="s">
        <v>10</v>
      </c>
      <c r="G72" s="130" t="s">
        <v>89</v>
      </c>
      <c r="H72" s="130"/>
      <c r="I72" s="130"/>
      <c r="J72" s="130"/>
      <c r="K72" s="130"/>
      <c r="L72" s="130"/>
      <c r="M72" s="130"/>
      <c r="N72" s="130"/>
      <c r="O72" s="130"/>
      <c r="P72" s="130"/>
      <c r="Q72" s="130"/>
      <c r="R72" s="130"/>
      <c r="S72" s="130"/>
      <c r="T72" s="130"/>
      <c r="U72" s="130"/>
      <c r="V72" s="25" t="s">
        <v>88</v>
      </c>
      <c r="W72" s="130"/>
      <c r="X72" s="130"/>
      <c r="Y72" s="130"/>
      <c r="Z72" s="130"/>
      <c r="AA72" s="130"/>
      <c r="AB72" s="130"/>
      <c r="AC72" s="130"/>
      <c r="AD72" s="130"/>
      <c r="AE72" s="130"/>
      <c r="AF72" s="130"/>
      <c r="AG72" s="130"/>
      <c r="AH72" s="130"/>
      <c r="AI72" s="130"/>
      <c r="AJ72" s="130"/>
    </row>
    <row r="73" spans="1:36" s="14" customFormat="1" ht="7.5" customHeight="1" x14ac:dyDescent="0.15">
      <c r="A73" s="133"/>
      <c r="B73" s="133"/>
      <c r="C73" s="20"/>
      <c r="D73" s="20"/>
      <c r="E73" s="20"/>
      <c r="F73" s="20"/>
      <c r="G73" s="129" t="s">
        <v>9</v>
      </c>
      <c r="H73" s="129"/>
      <c r="I73" s="129"/>
      <c r="J73" s="129"/>
      <c r="K73" s="129"/>
      <c r="L73" s="129"/>
      <c r="M73" s="129"/>
      <c r="N73" s="129"/>
      <c r="O73" s="129"/>
      <c r="P73" s="129"/>
      <c r="Q73" s="129"/>
      <c r="R73" s="129"/>
      <c r="S73" s="129"/>
      <c r="T73" s="129"/>
      <c r="U73" s="129"/>
      <c r="V73" s="129"/>
      <c r="W73" s="129"/>
      <c r="X73" s="129"/>
      <c r="Y73" s="129"/>
      <c r="Z73" s="129"/>
      <c r="AA73" s="129"/>
      <c r="AB73" s="129"/>
      <c r="AC73" s="129"/>
      <c r="AD73" s="129"/>
      <c r="AE73" s="129"/>
      <c r="AF73" s="129"/>
      <c r="AG73" s="129"/>
      <c r="AH73" s="129"/>
      <c r="AI73" s="129"/>
      <c r="AJ73" s="129"/>
    </row>
    <row r="74" spans="1:36" s="13" customFormat="1" ht="12" customHeight="1" x14ac:dyDescent="0.2">
      <c r="A74" s="130"/>
      <c r="B74" s="130"/>
      <c r="C74" s="130"/>
      <c r="D74" s="130"/>
      <c r="E74" s="130"/>
      <c r="F74" s="130"/>
      <c r="G74" s="130"/>
      <c r="H74" s="130"/>
      <c r="I74" s="130"/>
      <c r="J74" s="130"/>
      <c r="K74" s="130"/>
      <c r="L74" s="130"/>
      <c r="M74" s="130"/>
      <c r="N74" s="130"/>
      <c r="O74" s="130"/>
      <c r="P74" s="130"/>
      <c r="Q74" s="130"/>
      <c r="R74" s="130"/>
      <c r="S74" s="130"/>
      <c r="T74" s="130"/>
      <c r="U74" s="130"/>
      <c r="V74" s="130"/>
      <c r="W74" s="130"/>
      <c r="X74" s="130"/>
      <c r="Y74" s="130"/>
      <c r="Z74" s="130"/>
      <c r="AA74" s="130"/>
      <c r="AB74" s="130"/>
      <c r="AC74" s="130"/>
      <c r="AD74" s="130"/>
      <c r="AE74" s="130"/>
      <c r="AF74" s="130"/>
      <c r="AG74" s="130"/>
      <c r="AH74" s="130"/>
      <c r="AI74" s="130"/>
      <c r="AJ74" s="130"/>
    </row>
    <row r="75" spans="1:36" s="14" customFormat="1" ht="7.5" customHeight="1" x14ac:dyDescent="0.15">
      <c r="A75" s="128" t="s">
        <v>31</v>
      </c>
      <c r="B75" s="129"/>
      <c r="C75" s="129"/>
      <c r="D75" s="129"/>
      <c r="E75" s="129"/>
      <c r="F75" s="129"/>
      <c r="G75" s="129"/>
      <c r="H75" s="129"/>
      <c r="I75" s="129"/>
      <c r="J75" s="129"/>
      <c r="K75" s="129"/>
      <c r="L75" s="129"/>
      <c r="M75" s="129"/>
      <c r="N75" s="129"/>
      <c r="O75" s="129"/>
      <c r="P75" s="129"/>
      <c r="Q75" s="129"/>
      <c r="R75" s="129"/>
      <c r="S75" s="129"/>
      <c r="T75" s="129"/>
      <c r="U75" s="129"/>
      <c r="V75" s="129"/>
      <c r="W75" s="129"/>
      <c r="X75" s="129"/>
      <c r="Y75" s="129"/>
      <c r="Z75" s="129"/>
      <c r="AA75" s="129"/>
      <c r="AB75" s="129"/>
      <c r="AC75" s="129"/>
      <c r="AD75" s="129"/>
      <c r="AE75" s="129"/>
      <c r="AF75" s="129"/>
      <c r="AG75" s="129"/>
      <c r="AH75" s="129"/>
      <c r="AI75" s="129"/>
      <c r="AJ75" s="129"/>
    </row>
    <row r="76" spans="1:36" ht="9" customHeight="1" x14ac:dyDescent="0.25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9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  <c r="AC76" s="8"/>
      <c r="AD76" s="8"/>
      <c r="AE76" s="8"/>
      <c r="AF76" s="8"/>
      <c r="AG76" s="8"/>
      <c r="AH76" s="8"/>
      <c r="AI76" s="8"/>
      <c r="AJ76" s="8"/>
    </row>
    <row r="77" spans="1:36" s="13" customFormat="1" ht="12" customHeight="1" x14ac:dyDescent="0.2">
      <c r="A77" s="13" t="s">
        <v>8</v>
      </c>
      <c r="D77" s="28"/>
      <c r="E77" s="28"/>
      <c r="F77" s="28"/>
      <c r="G77" s="28"/>
      <c r="L77" s="21"/>
      <c r="M77" s="32"/>
      <c r="N77" s="32"/>
      <c r="P77" s="131">
        <f>'Данные объект'!B6</f>
        <v>45695</v>
      </c>
      <c r="Q77" s="131"/>
      <c r="R77" s="131"/>
      <c r="S77" s="131"/>
      <c r="T77" s="131"/>
      <c r="U77" s="131"/>
      <c r="V77" s="131"/>
      <c r="W77" s="131"/>
      <c r="X77" s="13" t="s">
        <v>6</v>
      </c>
    </row>
    <row r="78" spans="1:36" s="13" customFormat="1" ht="12" customHeight="1" x14ac:dyDescent="0.2">
      <c r="A78" s="13" t="s">
        <v>7</v>
      </c>
      <c r="D78" s="28"/>
      <c r="E78" s="28"/>
      <c r="F78" s="28"/>
      <c r="G78" s="28"/>
      <c r="L78" s="21"/>
      <c r="M78" s="32"/>
      <c r="N78" s="32"/>
      <c r="P78" s="132">
        <f>'Данные объект'!B7</f>
        <v>45819</v>
      </c>
      <c r="Q78" s="132"/>
      <c r="R78" s="132"/>
      <c r="S78" s="132"/>
      <c r="T78" s="132"/>
      <c r="U78" s="132"/>
      <c r="V78" s="132"/>
      <c r="W78" s="132"/>
      <c r="X78" s="13" t="s">
        <v>6</v>
      </c>
    </row>
    <row r="79" spans="1:36" ht="7.5" customHeight="1" x14ac:dyDescent="0.25">
      <c r="A79" s="7"/>
      <c r="B79" s="7"/>
      <c r="C79" s="7"/>
      <c r="D79" s="10"/>
      <c r="E79" s="10"/>
      <c r="F79" s="10"/>
      <c r="G79" s="10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</row>
    <row r="80" spans="1:36" s="13" customFormat="1" ht="12" customHeight="1" x14ac:dyDescent="0.2">
      <c r="A80" s="13" t="s">
        <v>5</v>
      </c>
    </row>
    <row r="81" spans="1:36" s="13" customFormat="1" ht="12" customHeight="1" x14ac:dyDescent="0.2">
      <c r="A81" s="137" t="s">
        <v>103</v>
      </c>
      <c r="B81" s="137"/>
      <c r="C81" s="137"/>
      <c r="D81" s="137"/>
      <c r="E81" s="137"/>
      <c r="F81" s="137"/>
      <c r="G81" s="137"/>
      <c r="H81" s="137"/>
      <c r="I81" s="137"/>
      <c r="J81" s="137"/>
      <c r="K81" s="137"/>
      <c r="L81" s="137"/>
      <c r="M81" s="137"/>
      <c r="N81" s="137"/>
      <c r="O81" s="137"/>
      <c r="P81" s="137"/>
      <c r="Q81" s="137"/>
      <c r="R81" s="137"/>
      <c r="S81" s="137"/>
      <c r="T81" s="137"/>
      <c r="U81" s="137"/>
      <c r="V81" s="137"/>
      <c r="W81" s="137"/>
      <c r="X81" s="137"/>
      <c r="Y81" s="137"/>
      <c r="Z81" s="137"/>
      <c r="AA81" s="137"/>
      <c r="AB81" s="137"/>
      <c r="AC81" s="137"/>
      <c r="AD81" s="137"/>
      <c r="AE81" s="137"/>
      <c r="AF81" s="137"/>
      <c r="AG81" s="137"/>
      <c r="AH81" s="137"/>
      <c r="AI81" s="137"/>
      <c r="AJ81" s="137"/>
    </row>
    <row r="82" spans="1:36" s="14" customFormat="1" ht="8.25" customHeight="1" x14ac:dyDescent="0.15">
      <c r="A82" s="128" t="s">
        <v>4</v>
      </c>
      <c r="B82" s="129"/>
      <c r="C82" s="129"/>
      <c r="D82" s="129"/>
      <c r="E82" s="129"/>
      <c r="F82" s="129"/>
      <c r="G82" s="129"/>
      <c r="H82" s="129"/>
      <c r="I82" s="129"/>
      <c r="J82" s="129"/>
      <c r="K82" s="129"/>
      <c r="L82" s="129"/>
      <c r="M82" s="129"/>
      <c r="N82" s="129"/>
      <c r="O82" s="129"/>
      <c r="P82" s="129"/>
      <c r="Q82" s="129"/>
      <c r="R82" s="129"/>
      <c r="S82" s="129"/>
      <c r="T82" s="129"/>
      <c r="U82" s="129"/>
      <c r="V82" s="129"/>
      <c r="W82" s="129"/>
      <c r="X82" s="129"/>
      <c r="Y82" s="129"/>
      <c r="Z82" s="129"/>
      <c r="AA82" s="129"/>
      <c r="AB82" s="129"/>
      <c r="AC82" s="129"/>
      <c r="AD82" s="129"/>
      <c r="AE82" s="129"/>
      <c r="AF82" s="129"/>
      <c r="AG82" s="129"/>
      <c r="AH82" s="129"/>
      <c r="AI82" s="129"/>
      <c r="AJ82" s="129"/>
    </row>
    <row r="83" spans="1:36" s="13" customFormat="1" ht="12" customHeight="1" x14ac:dyDescent="0.2">
      <c r="A83" s="130"/>
      <c r="B83" s="130"/>
      <c r="C83" s="130"/>
      <c r="D83" s="130"/>
      <c r="E83" s="130"/>
      <c r="F83" s="130"/>
      <c r="G83" s="130"/>
      <c r="H83" s="130"/>
      <c r="I83" s="130"/>
      <c r="J83" s="130"/>
      <c r="K83" s="130"/>
      <c r="L83" s="130"/>
      <c r="M83" s="130"/>
      <c r="N83" s="130"/>
      <c r="O83" s="130"/>
      <c r="P83" s="130"/>
      <c r="Q83" s="130"/>
      <c r="R83" s="130"/>
      <c r="S83" s="130"/>
      <c r="T83" s="130"/>
      <c r="U83" s="130"/>
      <c r="V83" s="130"/>
      <c r="W83" s="130"/>
      <c r="X83" s="130"/>
      <c r="Y83" s="130"/>
      <c r="Z83" s="130"/>
      <c r="AA83" s="130"/>
      <c r="AB83" s="130"/>
      <c r="AC83" s="130"/>
      <c r="AD83" s="130"/>
      <c r="AE83" s="130"/>
      <c r="AF83" s="130"/>
      <c r="AG83" s="130"/>
      <c r="AH83" s="130"/>
      <c r="AI83" s="130"/>
      <c r="AJ83" s="130"/>
    </row>
    <row r="84" spans="1:36" s="14" customFormat="1" ht="8.25" customHeight="1" x14ac:dyDescent="0.15">
      <c r="A84" s="128" t="s">
        <v>57</v>
      </c>
      <c r="B84" s="129"/>
      <c r="C84" s="129"/>
      <c r="D84" s="129"/>
      <c r="E84" s="129"/>
      <c r="F84" s="129"/>
      <c r="G84" s="129"/>
      <c r="H84" s="129"/>
      <c r="I84" s="129"/>
      <c r="J84" s="129"/>
      <c r="K84" s="129"/>
      <c r="L84" s="129"/>
      <c r="M84" s="129"/>
      <c r="N84" s="129"/>
      <c r="O84" s="129"/>
      <c r="P84" s="129"/>
      <c r="Q84" s="129"/>
      <c r="R84" s="129"/>
      <c r="S84" s="129"/>
      <c r="T84" s="129"/>
      <c r="U84" s="129"/>
      <c r="V84" s="129"/>
      <c r="W84" s="129"/>
      <c r="X84" s="129"/>
      <c r="Y84" s="129"/>
      <c r="Z84" s="129"/>
      <c r="AA84" s="129"/>
      <c r="AB84" s="129"/>
      <c r="AC84" s="129"/>
      <c r="AD84" s="129"/>
      <c r="AE84" s="129"/>
      <c r="AF84" s="129"/>
      <c r="AG84" s="129"/>
      <c r="AH84" s="129"/>
      <c r="AI84" s="129"/>
      <c r="AJ84" s="129"/>
    </row>
    <row r="85" spans="1:36" s="13" customFormat="1" ht="12" customHeight="1" x14ac:dyDescent="0.2">
      <c r="A85" s="13" t="s">
        <v>3</v>
      </c>
    </row>
    <row r="86" spans="1:36" s="13" customFormat="1" ht="12" customHeight="1" x14ac:dyDescent="0.2">
      <c r="A86" s="130" t="s">
        <v>97</v>
      </c>
      <c r="B86" s="130"/>
      <c r="C86" s="130"/>
      <c r="D86" s="130"/>
      <c r="E86" s="130"/>
      <c r="F86" s="130"/>
      <c r="G86" s="130"/>
      <c r="H86" s="130"/>
      <c r="I86" s="130"/>
      <c r="J86" s="130"/>
      <c r="K86" s="130"/>
      <c r="L86" s="130"/>
      <c r="M86" s="130"/>
      <c r="N86" s="130"/>
      <c r="O86" s="130"/>
      <c r="P86" s="130"/>
      <c r="Q86" s="130"/>
      <c r="R86" s="130"/>
      <c r="S86" s="130"/>
      <c r="T86" s="130"/>
      <c r="U86" s="130"/>
      <c r="V86" s="130"/>
      <c r="W86" s="130"/>
      <c r="X86" s="130"/>
      <c r="Y86" s="130"/>
      <c r="Z86" s="130"/>
      <c r="AA86" s="130"/>
      <c r="AB86" s="130"/>
      <c r="AC86" s="130"/>
      <c r="AD86" s="130"/>
      <c r="AE86" s="130"/>
      <c r="AF86" s="130"/>
      <c r="AG86" s="130"/>
      <c r="AH86" s="130"/>
      <c r="AI86" s="130"/>
      <c r="AJ86" s="130"/>
    </row>
    <row r="87" spans="1:36" s="14" customFormat="1" ht="9" customHeight="1" x14ac:dyDescent="0.15">
      <c r="A87" s="128" t="s">
        <v>32</v>
      </c>
      <c r="B87" s="129"/>
      <c r="C87" s="129"/>
      <c r="D87" s="129"/>
      <c r="E87" s="129"/>
      <c r="F87" s="129"/>
      <c r="G87" s="129"/>
      <c r="H87" s="129"/>
      <c r="I87" s="129"/>
      <c r="J87" s="129"/>
      <c r="K87" s="129"/>
      <c r="L87" s="129"/>
      <c r="M87" s="129"/>
      <c r="N87" s="129"/>
      <c r="O87" s="129"/>
      <c r="P87" s="129"/>
      <c r="Q87" s="129"/>
      <c r="R87" s="129"/>
      <c r="S87" s="129"/>
      <c r="T87" s="129"/>
      <c r="U87" s="129"/>
      <c r="V87" s="129"/>
      <c r="W87" s="129"/>
      <c r="X87" s="129"/>
      <c r="Y87" s="129"/>
      <c r="Z87" s="129"/>
      <c r="AA87" s="129"/>
      <c r="AB87" s="129"/>
      <c r="AC87" s="129"/>
      <c r="AD87" s="129"/>
      <c r="AE87" s="129"/>
      <c r="AF87" s="129"/>
      <c r="AG87" s="129"/>
      <c r="AH87" s="129"/>
      <c r="AI87" s="129"/>
      <c r="AJ87" s="129"/>
    </row>
    <row r="88" spans="1:36" s="13" customFormat="1" ht="12" customHeight="1" x14ac:dyDescent="0.2">
      <c r="A88" s="13" t="s">
        <v>2</v>
      </c>
      <c r="L88" s="130"/>
      <c r="M88" s="130"/>
      <c r="N88" s="130"/>
      <c r="O88" s="130"/>
      <c r="P88" s="130"/>
      <c r="Q88" s="130"/>
      <c r="R88" s="130"/>
      <c r="S88" s="130"/>
      <c r="T88" s="130"/>
      <c r="U88" s="130"/>
      <c r="V88" s="130"/>
      <c r="W88" s="130"/>
      <c r="X88" s="130"/>
      <c r="Y88" s="130"/>
      <c r="Z88" s="130"/>
      <c r="AA88" s="130"/>
      <c r="AB88" s="130"/>
      <c r="AC88" s="130"/>
      <c r="AD88" s="130"/>
      <c r="AE88" s="130"/>
      <c r="AF88" s="130"/>
      <c r="AG88" s="130"/>
      <c r="AH88" s="130"/>
      <c r="AI88" s="130"/>
      <c r="AJ88" s="130"/>
    </row>
    <row r="89" spans="1:36" ht="6" customHeight="1" x14ac:dyDescent="0.25">
      <c r="A89" s="4"/>
      <c r="B89" s="4"/>
      <c r="C89" s="4"/>
      <c r="D89" s="11"/>
      <c r="E89" s="11"/>
      <c r="F89" s="11"/>
      <c r="G89" s="11"/>
      <c r="H89" s="11"/>
      <c r="I89" s="11"/>
      <c r="J89" s="11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</row>
    <row r="90" spans="1:36" s="13" customFormat="1" ht="12" customHeight="1" x14ac:dyDescent="0.2">
      <c r="A90" s="13" t="s">
        <v>87</v>
      </c>
      <c r="H90" s="130"/>
      <c r="I90" s="130"/>
      <c r="J90" s="13" t="s">
        <v>33</v>
      </c>
    </row>
    <row r="91" spans="1:36" ht="4.5" customHeight="1" x14ac:dyDescent="0.25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</row>
    <row r="92" spans="1:36" s="13" customFormat="1" ht="12" customHeight="1" x14ac:dyDescent="0.2">
      <c r="A92" s="13" t="s">
        <v>1</v>
      </c>
    </row>
    <row r="93" spans="1:36" s="13" customFormat="1" ht="12" customHeight="1" x14ac:dyDescent="0.2">
      <c r="A93" s="25" t="s">
        <v>83</v>
      </c>
      <c r="B93" s="25" t="str">
        <f>G72</f>
        <v>Исполнителная схема устройства траншеи</v>
      </c>
      <c r="C93" s="25"/>
      <c r="D93" s="25"/>
      <c r="E93" s="25"/>
      <c r="F93" s="25"/>
      <c r="G93" s="25"/>
      <c r="H93" s="25"/>
      <c r="I93" s="25"/>
      <c r="J93" s="25"/>
      <c r="K93" s="25"/>
      <c r="L93" s="26"/>
      <c r="M93" s="25"/>
      <c r="N93" s="25"/>
      <c r="O93" s="25"/>
      <c r="P93" s="101"/>
      <c r="Q93" s="101"/>
      <c r="R93" s="101"/>
      <c r="S93" s="25"/>
      <c r="T93" s="25"/>
      <c r="U93" s="25"/>
      <c r="V93" s="26" t="s">
        <v>74</v>
      </c>
      <c r="W93" s="25" t="s">
        <v>84</v>
      </c>
      <c r="X93" s="25"/>
      <c r="Y93" s="25"/>
      <c r="Z93" s="25"/>
      <c r="AA93" s="25"/>
      <c r="AB93" s="25"/>
      <c r="AC93" s="25"/>
      <c r="AD93" s="25"/>
      <c r="AE93" s="25"/>
      <c r="AF93" s="25"/>
      <c r="AG93" s="25"/>
      <c r="AH93" s="25"/>
      <c r="AI93" s="25"/>
      <c r="AJ93" s="25"/>
    </row>
    <row r="94" spans="1:36" s="13" customFormat="1" ht="12" customHeight="1" x14ac:dyDescent="0.2">
      <c r="A94" s="33" t="s">
        <v>85</v>
      </c>
      <c r="B94" s="100" t="str">
        <f>Q69</f>
        <v>Сертификат №RU C-RU.АЖ03.В.00123/21 от 24.06.2021г.</v>
      </c>
      <c r="C94" s="100"/>
      <c r="D94" s="100"/>
      <c r="E94" s="100"/>
      <c r="F94" s="100"/>
      <c r="G94" s="100"/>
      <c r="H94" s="100"/>
      <c r="I94" s="100"/>
      <c r="J94" s="100"/>
      <c r="K94" s="100"/>
      <c r="L94" s="100"/>
      <c r="M94" s="102"/>
      <c r="N94" s="102"/>
      <c r="O94" s="102"/>
      <c r="P94" s="101"/>
      <c r="Q94" s="101"/>
      <c r="R94" s="101"/>
      <c r="S94" s="25"/>
      <c r="T94" s="33"/>
      <c r="U94" s="33"/>
      <c r="V94" s="29" t="s">
        <v>74</v>
      </c>
      <c r="W94" s="33" t="s">
        <v>84</v>
      </c>
      <c r="X94" s="33"/>
      <c r="Y94" s="33"/>
      <c r="Z94" s="33"/>
      <c r="AA94" s="33"/>
      <c r="AB94" s="33"/>
      <c r="AC94" s="33"/>
      <c r="AD94" s="33"/>
      <c r="AE94" s="33"/>
      <c r="AF94" s="33"/>
      <c r="AG94" s="33"/>
      <c r="AH94" s="33"/>
      <c r="AI94" s="33"/>
      <c r="AJ94" s="33"/>
    </row>
    <row r="95" spans="1:36" s="14" customFormat="1" ht="9.75" customHeight="1" x14ac:dyDescent="0.15">
      <c r="A95" s="128" t="s">
        <v>0</v>
      </c>
      <c r="B95" s="129"/>
      <c r="C95" s="129"/>
      <c r="D95" s="129"/>
      <c r="E95" s="129"/>
      <c r="F95" s="129"/>
      <c r="G95" s="129"/>
      <c r="H95" s="129"/>
      <c r="I95" s="129"/>
      <c r="J95" s="129"/>
      <c r="K95" s="129"/>
      <c r="L95" s="129"/>
      <c r="M95" s="129"/>
      <c r="N95" s="129"/>
      <c r="O95" s="129"/>
      <c r="P95" s="129"/>
      <c r="Q95" s="129"/>
      <c r="R95" s="129"/>
      <c r="S95" s="129"/>
      <c r="T95" s="129"/>
      <c r="U95" s="129"/>
      <c r="V95" s="129"/>
      <c r="W95" s="129"/>
      <c r="X95" s="129"/>
      <c r="Y95" s="129"/>
      <c r="Z95" s="129"/>
      <c r="AA95" s="129"/>
      <c r="AB95" s="129"/>
      <c r="AC95" s="129"/>
      <c r="AD95" s="129"/>
      <c r="AE95" s="129"/>
      <c r="AF95" s="129"/>
      <c r="AG95" s="129"/>
      <c r="AH95" s="129"/>
      <c r="AI95" s="129"/>
      <c r="AJ95" s="129"/>
    </row>
    <row r="96" spans="1:36" ht="6.75" customHeight="1" x14ac:dyDescent="0.25">
      <c r="A96" s="12"/>
      <c r="B96" s="12"/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  <c r="AA96" s="12"/>
      <c r="AB96" s="12"/>
      <c r="AC96" s="12"/>
      <c r="AD96" s="12"/>
      <c r="AE96" s="12"/>
      <c r="AF96" s="12"/>
      <c r="AG96" s="12"/>
      <c r="AH96" s="12"/>
      <c r="AI96" s="12"/>
      <c r="AJ96" s="12"/>
    </row>
    <row r="97" spans="1:36" s="13" customFormat="1" ht="12" customHeight="1" x14ac:dyDescent="0.2">
      <c r="A97" s="13" t="s">
        <v>23</v>
      </c>
    </row>
    <row r="98" spans="1:36" s="13" customFormat="1" ht="12" customHeight="1" x14ac:dyDescent="0.2">
      <c r="A98" s="13" t="s">
        <v>24</v>
      </c>
    </row>
    <row r="99" spans="1:36" s="13" customFormat="1" ht="12" customHeight="1" x14ac:dyDescent="0.2">
      <c r="A99" s="130" t="str">
        <f>'Данные объект'!B33</f>
        <v>Алексанян Г.Р.</v>
      </c>
      <c r="B99" s="130"/>
      <c r="C99" s="130"/>
      <c r="D99" s="130"/>
      <c r="E99" s="130"/>
      <c r="F99" s="130"/>
      <c r="G99" s="130"/>
      <c r="H99" s="130"/>
      <c r="I99" s="130"/>
      <c r="J99" s="130"/>
      <c r="K99" s="130"/>
      <c r="L99" s="130"/>
      <c r="M99" s="130"/>
      <c r="N99" s="130"/>
      <c r="O99" s="130"/>
      <c r="P99" s="32"/>
      <c r="Q99" s="32"/>
      <c r="R99" s="32"/>
      <c r="S99" s="32"/>
      <c r="T99" s="32"/>
      <c r="U99" s="32"/>
      <c r="V99" s="32"/>
      <c r="W99" s="32"/>
      <c r="X99" s="32"/>
      <c r="Y99" s="32"/>
      <c r="Z99" s="32"/>
      <c r="AA99" s="32"/>
      <c r="AB99" s="130"/>
      <c r="AC99" s="130"/>
      <c r="AD99" s="130"/>
      <c r="AE99" s="130"/>
      <c r="AF99" s="130"/>
      <c r="AG99" s="130"/>
      <c r="AH99" s="130"/>
      <c r="AI99" s="130"/>
      <c r="AJ99" s="130"/>
    </row>
    <row r="100" spans="1:36" s="14" customFormat="1" ht="9" customHeight="1" x14ac:dyDescent="0.15">
      <c r="A100" s="134" t="s">
        <v>35</v>
      </c>
      <c r="B100" s="134"/>
      <c r="C100" s="134"/>
      <c r="D100" s="134"/>
      <c r="E100" s="134"/>
      <c r="F100" s="134"/>
      <c r="G100" s="134"/>
      <c r="H100" s="134"/>
      <c r="I100" s="134"/>
      <c r="J100" s="134"/>
      <c r="K100" s="134"/>
      <c r="L100" s="134"/>
      <c r="M100" s="134"/>
      <c r="N100" s="134"/>
      <c r="O100" s="134"/>
      <c r="P100" s="17"/>
      <c r="Q100" s="17"/>
      <c r="R100" s="17"/>
      <c r="S100" s="17"/>
      <c r="T100" s="17"/>
      <c r="U100" s="18"/>
      <c r="V100" s="18"/>
      <c r="W100" s="18"/>
      <c r="X100" s="18"/>
      <c r="Y100" s="18"/>
      <c r="Z100" s="18"/>
      <c r="AA100" s="18"/>
      <c r="AB100" s="135" t="s">
        <v>34</v>
      </c>
      <c r="AC100" s="135"/>
      <c r="AD100" s="135"/>
      <c r="AE100" s="135"/>
      <c r="AF100" s="135"/>
      <c r="AG100" s="135"/>
      <c r="AH100" s="135"/>
      <c r="AI100" s="135"/>
      <c r="AJ100" s="135"/>
    </row>
    <row r="101" spans="1:36" s="13" customFormat="1" ht="12" customHeight="1" x14ac:dyDescent="0.2">
      <c r="A101" s="13" t="s">
        <v>25</v>
      </c>
    </row>
    <row r="102" spans="1:36" s="13" customFormat="1" ht="12" customHeight="1" x14ac:dyDescent="0.2">
      <c r="A102" s="130" t="str">
        <f>'Данные объект'!B20</f>
        <v>Волков М.Ю.</v>
      </c>
      <c r="B102" s="130"/>
      <c r="C102" s="130"/>
      <c r="D102" s="130"/>
      <c r="E102" s="130"/>
      <c r="F102" s="130"/>
      <c r="G102" s="130"/>
      <c r="H102" s="130"/>
      <c r="I102" s="130"/>
      <c r="J102" s="130"/>
      <c r="K102" s="130"/>
      <c r="L102" s="130"/>
      <c r="M102" s="130"/>
      <c r="N102" s="130"/>
      <c r="O102" s="130"/>
      <c r="P102" s="32"/>
      <c r="Q102" s="32"/>
      <c r="R102" s="32"/>
      <c r="S102" s="32"/>
      <c r="T102" s="32"/>
      <c r="U102" s="32"/>
      <c r="V102" s="32"/>
      <c r="W102" s="32"/>
      <c r="X102" s="32"/>
      <c r="Y102" s="32"/>
      <c r="Z102" s="32"/>
      <c r="AA102" s="32"/>
      <c r="AB102" s="130"/>
      <c r="AC102" s="130"/>
      <c r="AD102" s="130"/>
      <c r="AE102" s="130"/>
      <c r="AF102" s="130"/>
      <c r="AG102" s="130"/>
      <c r="AH102" s="130"/>
      <c r="AI102" s="130"/>
      <c r="AJ102" s="130"/>
    </row>
    <row r="103" spans="1:36" s="14" customFormat="1" ht="9" customHeight="1" x14ac:dyDescent="0.15">
      <c r="A103" s="134" t="s">
        <v>35</v>
      </c>
      <c r="B103" s="134"/>
      <c r="C103" s="134"/>
      <c r="D103" s="134"/>
      <c r="E103" s="134"/>
      <c r="F103" s="134"/>
      <c r="G103" s="134"/>
      <c r="H103" s="134"/>
      <c r="I103" s="134"/>
      <c r="J103" s="134"/>
      <c r="K103" s="134"/>
      <c r="L103" s="134"/>
      <c r="M103" s="134"/>
      <c r="N103" s="134"/>
      <c r="O103" s="134"/>
      <c r="P103" s="17"/>
      <c r="Q103" s="17"/>
      <c r="R103" s="17"/>
      <c r="S103" s="17"/>
      <c r="T103" s="17"/>
      <c r="U103" s="18"/>
      <c r="V103" s="18"/>
      <c r="W103" s="18"/>
      <c r="X103" s="18"/>
      <c r="Y103" s="18"/>
      <c r="Z103" s="18"/>
      <c r="AA103" s="18"/>
      <c r="AB103" s="135" t="s">
        <v>34</v>
      </c>
      <c r="AC103" s="135"/>
      <c r="AD103" s="135"/>
      <c r="AE103" s="135"/>
      <c r="AF103" s="135"/>
      <c r="AG103" s="135"/>
      <c r="AH103" s="135"/>
      <c r="AI103" s="135"/>
      <c r="AJ103" s="135"/>
    </row>
    <row r="104" spans="1:36" s="13" customFormat="1" ht="12" customHeight="1" x14ac:dyDescent="0.2">
      <c r="A104" s="13" t="s">
        <v>27</v>
      </c>
    </row>
    <row r="105" spans="1:36" s="13" customFormat="1" ht="12" customHeight="1" x14ac:dyDescent="0.2">
      <c r="A105" s="13" t="s">
        <v>28</v>
      </c>
    </row>
    <row r="106" spans="1:36" s="13" customFormat="1" ht="12" customHeight="1" x14ac:dyDescent="0.2">
      <c r="A106" s="130" t="str">
        <f>'Данные объект'!B17</f>
        <v>Русин В.А.</v>
      </c>
      <c r="B106" s="130"/>
      <c r="C106" s="130"/>
      <c r="D106" s="130"/>
      <c r="E106" s="130"/>
      <c r="F106" s="130"/>
      <c r="G106" s="130"/>
      <c r="H106" s="130"/>
      <c r="I106" s="130"/>
      <c r="J106" s="130"/>
      <c r="K106" s="130"/>
      <c r="L106" s="130"/>
      <c r="M106" s="130"/>
      <c r="N106" s="130"/>
      <c r="O106" s="130"/>
      <c r="P106" s="32"/>
      <c r="Q106" s="32"/>
      <c r="R106" s="32"/>
      <c r="S106" s="32"/>
      <c r="T106" s="32"/>
      <c r="U106" s="32"/>
      <c r="V106" s="32"/>
      <c r="W106" s="32"/>
      <c r="X106" s="32"/>
      <c r="Y106" s="32"/>
      <c r="Z106" s="32"/>
      <c r="AA106" s="32"/>
      <c r="AB106" s="130"/>
      <c r="AC106" s="130"/>
      <c r="AD106" s="130"/>
      <c r="AE106" s="130"/>
      <c r="AF106" s="130"/>
      <c r="AG106" s="130"/>
      <c r="AH106" s="130"/>
      <c r="AI106" s="130"/>
      <c r="AJ106" s="130"/>
    </row>
    <row r="107" spans="1:36" s="14" customFormat="1" ht="9" customHeight="1" x14ac:dyDescent="0.15">
      <c r="A107" s="134" t="s">
        <v>35</v>
      </c>
      <c r="B107" s="134"/>
      <c r="C107" s="134"/>
      <c r="D107" s="134"/>
      <c r="E107" s="134"/>
      <c r="F107" s="134"/>
      <c r="G107" s="134"/>
      <c r="H107" s="134"/>
      <c r="I107" s="134"/>
      <c r="J107" s="134"/>
      <c r="K107" s="134"/>
      <c r="L107" s="134"/>
      <c r="M107" s="134"/>
      <c r="N107" s="134"/>
      <c r="O107" s="134"/>
      <c r="P107" s="17"/>
      <c r="Q107" s="17"/>
      <c r="R107" s="17"/>
      <c r="S107" s="17"/>
      <c r="T107" s="17"/>
      <c r="U107" s="18"/>
      <c r="V107" s="18"/>
      <c r="W107" s="18"/>
      <c r="X107" s="18"/>
      <c r="Y107" s="18"/>
      <c r="Z107" s="18"/>
      <c r="AA107" s="18"/>
      <c r="AB107" s="135" t="s">
        <v>34</v>
      </c>
      <c r="AC107" s="135"/>
      <c r="AD107" s="135"/>
      <c r="AE107" s="135"/>
      <c r="AF107" s="135"/>
      <c r="AG107" s="135"/>
      <c r="AH107" s="135"/>
      <c r="AI107" s="135"/>
      <c r="AJ107" s="135"/>
    </row>
    <row r="108" spans="1:36" s="14" customFormat="1" ht="11.25" x14ac:dyDescent="0.2">
      <c r="A108" s="13" t="s">
        <v>191</v>
      </c>
      <c r="B108" s="86"/>
      <c r="C108" s="86"/>
      <c r="D108" s="86"/>
      <c r="E108" s="86"/>
      <c r="F108" s="86"/>
      <c r="G108" s="86"/>
      <c r="H108" s="86"/>
      <c r="I108" s="86"/>
      <c r="J108" s="86"/>
      <c r="K108" s="86"/>
      <c r="L108" s="86"/>
      <c r="M108" s="86"/>
      <c r="N108" s="86"/>
      <c r="O108" s="86"/>
      <c r="P108" s="95"/>
      <c r="Q108" s="95"/>
      <c r="R108" s="95"/>
      <c r="S108" s="95"/>
      <c r="T108" s="95"/>
      <c r="U108" s="96"/>
      <c r="V108" s="96"/>
      <c r="W108" s="96"/>
      <c r="X108" s="96"/>
      <c r="Y108" s="96"/>
      <c r="Z108" s="96"/>
      <c r="AA108" s="96"/>
      <c r="AB108" s="87"/>
      <c r="AC108" s="87"/>
      <c r="AD108" s="87"/>
      <c r="AE108" s="87"/>
      <c r="AF108" s="87"/>
      <c r="AG108" s="87"/>
      <c r="AH108" s="87"/>
      <c r="AI108" s="87"/>
      <c r="AJ108" s="87"/>
    </row>
    <row r="109" spans="1:36" s="14" customFormat="1" ht="11.25" x14ac:dyDescent="0.2">
      <c r="A109" s="130" t="str">
        <f>'Данные объект'!$B$36</f>
        <v>Курчин М.М.</v>
      </c>
      <c r="B109" s="130"/>
      <c r="C109" s="130"/>
      <c r="D109" s="130"/>
      <c r="E109" s="130"/>
      <c r="F109" s="130"/>
      <c r="G109" s="130"/>
      <c r="H109" s="130"/>
      <c r="I109" s="130"/>
      <c r="J109" s="130"/>
      <c r="K109" s="130"/>
      <c r="L109" s="130"/>
      <c r="M109" s="130"/>
      <c r="N109" s="130"/>
      <c r="O109" s="130"/>
      <c r="P109" s="95"/>
      <c r="Q109" s="95"/>
      <c r="R109" s="95"/>
      <c r="S109" s="95"/>
      <c r="T109" s="95"/>
      <c r="U109" s="96"/>
      <c r="V109" s="96"/>
      <c r="W109" s="96"/>
      <c r="X109" s="96"/>
      <c r="Y109" s="96"/>
      <c r="Z109" s="96"/>
      <c r="AA109" s="96"/>
      <c r="AB109" s="130"/>
      <c r="AC109" s="130"/>
      <c r="AD109" s="130"/>
      <c r="AE109" s="130"/>
      <c r="AF109" s="130"/>
      <c r="AG109" s="130"/>
      <c r="AH109" s="130"/>
      <c r="AI109" s="130"/>
      <c r="AJ109" s="130"/>
    </row>
    <row r="110" spans="1:36" s="14" customFormat="1" ht="10.5" x14ac:dyDescent="0.15">
      <c r="A110" s="134" t="s">
        <v>35</v>
      </c>
      <c r="B110" s="134"/>
      <c r="C110" s="134"/>
      <c r="D110" s="134"/>
      <c r="E110" s="134"/>
      <c r="F110" s="134"/>
      <c r="G110" s="134"/>
      <c r="H110" s="134"/>
      <c r="I110" s="134"/>
      <c r="J110" s="134"/>
      <c r="K110" s="134"/>
      <c r="L110" s="134"/>
      <c r="M110" s="134"/>
      <c r="N110" s="134"/>
      <c r="O110" s="134"/>
      <c r="P110" s="95"/>
      <c r="Q110" s="95"/>
      <c r="R110" s="95"/>
      <c r="S110" s="95"/>
      <c r="T110" s="95"/>
      <c r="U110" s="96"/>
      <c r="V110" s="96"/>
      <c r="W110" s="96"/>
      <c r="X110" s="96"/>
      <c r="Y110" s="96"/>
      <c r="Z110" s="96"/>
      <c r="AA110" s="96"/>
      <c r="AB110" s="135" t="s">
        <v>34</v>
      </c>
      <c r="AC110" s="135"/>
      <c r="AD110" s="135"/>
      <c r="AE110" s="135"/>
      <c r="AF110" s="135"/>
      <c r="AG110" s="135"/>
      <c r="AH110" s="135"/>
      <c r="AI110" s="135"/>
      <c r="AJ110" s="135"/>
    </row>
    <row r="111" spans="1:36" s="13" customFormat="1" ht="38.25" customHeight="1" x14ac:dyDescent="0.2">
      <c r="A111" s="136" t="s">
        <v>51</v>
      </c>
      <c r="B111" s="136"/>
      <c r="C111" s="136"/>
      <c r="D111" s="136"/>
      <c r="E111" s="136"/>
      <c r="F111" s="136"/>
      <c r="G111" s="136"/>
      <c r="H111" s="136"/>
      <c r="I111" s="136"/>
      <c r="J111" s="136"/>
      <c r="K111" s="136"/>
      <c r="L111" s="136"/>
      <c r="M111" s="136"/>
      <c r="N111" s="136"/>
      <c r="O111" s="136"/>
      <c r="P111" s="136"/>
      <c r="Q111" s="136"/>
      <c r="R111" s="136"/>
      <c r="S111" s="136"/>
      <c r="T111" s="136"/>
      <c r="U111" s="136"/>
      <c r="V111" s="136"/>
      <c r="W111" s="136"/>
      <c r="X111" s="136"/>
      <c r="Y111" s="136"/>
      <c r="Z111" s="136"/>
      <c r="AA111" s="136"/>
      <c r="AB111" s="136"/>
      <c r="AC111" s="136"/>
      <c r="AD111" s="136"/>
      <c r="AE111" s="136"/>
      <c r="AF111" s="136"/>
      <c r="AG111" s="136"/>
      <c r="AH111" s="136"/>
      <c r="AI111" s="136"/>
      <c r="AJ111" s="136"/>
    </row>
    <row r="112" spans="1:36" s="13" customFormat="1" ht="12" customHeight="1" x14ac:dyDescent="0.2">
      <c r="A112" s="130" t="s">
        <v>74</v>
      </c>
      <c r="B112" s="130"/>
      <c r="C112" s="130"/>
      <c r="D112" s="130"/>
      <c r="E112" s="130"/>
      <c r="F112" s="130"/>
      <c r="G112" s="130"/>
      <c r="H112" s="130"/>
      <c r="I112" s="130"/>
      <c r="J112" s="130"/>
      <c r="K112" s="130"/>
      <c r="L112" s="130"/>
      <c r="M112" s="130"/>
      <c r="N112" s="130"/>
      <c r="O112" s="130"/>
      <c r="P112" s="32"/>
      <c r="Q112" s="32"/>
      <c r="R112" s="32"/>
      <c r="S112" s="32"/>
      <c r="T112" s="32"/>
      <c r="U112" s="32"/>
      <c r="V112" s="32"/>
      <c r="W112" s="32"/>
      <c r="X112" s="32"/>
      <c r="Y112" s="32"/>
      <c r="Z112" s="32"/>
      <c r="AA112" s="32"/>
      <c r="AB112" s="130" t="s">
        <v>74</v>
      </c>
      <c r="AC112" s="130"/>
      <c r="AD112" s="130"/>
      <c r="AE112" s="130"/>
      <c r="AF112" s="130"/>
      <c r="AG112" s="130"/>
      <c r="AH112" s="130"/>
      <c r="AI112" s="130"/>
      <c r="AJ112" s="130"/>
    </row>
    <row r="113" spans="1:36" s="14" customFormat="1" ht="9" customHeight="1" x14ac:dyDescent="0.15">
      <c r="A113" s="134" t="s">
        <v>35</v>
      </c>
      <c r="B113" s="134"/>
      <c r="C113" s="134"/>
      <c r="D113" s="134"/>
      <c r="E113" s="134"/>
      <c r="F113" s="134"/>
      <c r="G113" s="134"/>
      <c r="H113" s="134"/>
      <c r="I113" s="134"/>
      <c r="J113" s="134"/>
      <c r="K113" s="134"/>
      <c r="L113" s="134"/>
      <c r="M113" s="134"/>
      <c r="N113" s="134"/>
      <c r="O113" s="134"/>
      <c r="P113" s="17"/>
      <c r="Q113" s="17"/>
      <c r="R113" s="17"/>
      <c r="S113" s="17"/>
      <c r="T113" s="17"/>
      <c r="U113" s="18"/>
      <c r="V113" s="18"/>
      <c r="W113" s="18"/>
      <c r="X113" s="18"/>
      <c r="Y113" s="18"/>
      <c r="Z113" s="18"/>
      <c r="AA113" s="18"/>
      <c r="AB113" s="135" t="s">
        <v>34</v>
      </c>
      <c r="AC113" s="135"/>
      <c r="AD113" s="135"/>
      <c r="AE113" s="135"/>
      <c r="AF113" s="135"/>
      <c r="AG113" s="135"/>
      <c r="AH113" s="135"/>
      <c r="AI113" s="135"/>
      <c r="AJ113" s="135"/>
    </row>
    <row r="114" spans="1:36" s="13" customFormat="1" ht="24.75" hidden="1" customHeight="1" x14ac:dyDescent="0.2">
      <c r="A114" s="136" t="s">
        <v>53</v>
      </c>
      <c r="B114" s="136"/>
      <c r="C114" s="136"/>
      <c r="D114" s="136"/>
      <c r="E114" s="136"/>
      <c r="F114" s="136"/>
      <c r="G114" s="136"/>
      <c r="H114" s="136"/>
      <c r="I114" s="136"/>
      <c r="J114" s="136"/>
      <c r="K114" s="136"/>
      <c r="L114" s="136"/>
      <c r="M114" s="136"/>
      <c r="N114" s="136"/>
      <c r="O114" s="136"/>
      <c r="P114" s="136"/>
      <c r="Q114" s="136"/>
      <c r="R114" s="136"/>
      <c r="S114" s="136"/>
      <c r="T114" s="136"/>
      <c r="U114" s="136"/>
      <c r="V114" s="136"/>
      <c r="W114" s="136"/>
      <c r="X114" s="136"/>
      <c r="Y114" s="136"/>
      <c r="Z114" s="136"/>
      <c r="AA114" s="136"/>
      <c r="AB114" s="136"/>
      <c r="AC114" s="136"/>
      <c r="AD114" s="136"/>
      <c r="AE114" s="136"/>
      <c r="AF114" s="136"/>
      <c r="AG114" s="136"/>
      <c r="AH114" s="136"/>
      <c r="AI114" s="136"/>
      <c r="AJ114" s="136"/>
    </row>
    <row r="115" spans="1:36" s="13" customFormat="1" ht="12" hidden="1" customHeight="1" x14ac:dyDescent="0.2">
      <c r="A115" s="130" t="e">
        <f>#REF!</f>
        <v>#REF!</v>
      </c>
      <c r="B115" s="130"/>
      <c r="C115" s="130"/>
      <c r="D115" s="130"/>
      <c r="E115" s="130"/>
      <c r="F115" s="130"/>
      <c r="G115" s="130"/>
      <c r="H115" s="130"/>
      <c r="I115" s="130"/>
      <c r="J115" s="130"/>
      <c r="K115" s="130"/>
      <c r="L115" s="130"/>
      <c r="M115" s="130"/>
      <c r="N115" s="130"/>
      <c r="O115" s="130"/>
      <c r="P115" s="32"/>
      <c r="Q115" s="32"/>
      <c r="R115" s="32"/>
      <c r="S115" s="32"/>
      <c r="T115" s="32"/>
      <c r="U115" s="32"/>
      <c r="V115" s="32"/>
      <c r="W115" s="32"/>
      <c r="X115" s="32"/>
      <c r="Y115" s="32"/>
      <c r="Z115" s="32"/>
      <c r="AA115" s="32"/>
      <c r="AB115" s="130"/>
      <c r="AC115" s="130"/>
      <c r="AD115" s="130"/>
      <c r="AE115" s="130"/>
      <c r="AF115" s="130"/>
      <c r="AG115" s="130"/>
      <c r="AH115" s="130"/>
      <c r="AI115" s="130"/>
      <c r="AJ115" s="130"/>
    </row>
    <row r="116" spans="1:36" s="14" customFormat="1" ht="9" hidden="1" customHeight="1" x14ac:dyDescent="0.15">
      <c r="A116" s="134" t="s">
        <v>35</v>
      </c>
      <c r="B116" s="134"/>
      <c r="C116" s="134"/>
      <c r="D116" s="134"/>
      <c r="E116" s="134"/>
      <c r="F116" s="134"/>
      <c r="G116" s="134"/>
      <c r="H116" s="134"/>
      <c r="I116" s="134"/>
      <c r="J116" s="134"/>
      <c r="K116" s="134"/>
      <c r="L116" s="134"/>
      <c r="M116" s="134"/>
      <c r="N116" s="134"/>
      <c r="O116" s="134"/>
      <c r="P116" s="17"/>
      <c r="Q116" s="17"/>
      <c r="R116" s="17"/>
      <c r="S116" s="17"/>
      <c r="T116" s="17"/>
      <c r="U116" s="18"/>
      <c r="V116" s="18"/>
      <c r="W116" s="18"/>
      <c r="X116" s="18"/>
      <c r="Y116" s="18"/>
      <c r="Z116" s="18"/>
      <c r="AA116" s="18"/>
      <c r="AB116" s="135" t="s">
        <v>34</v>
      </c>
      <c r="AC116" s="135"/>
      <c r="AD116" s="135"/>
      <c r="AE116" s="135"/>
      <c r="AF116" s="135"/>
      <c r="AG116" s="135"/>
      <c r="AH116" s="135"/>
      <c r="AI116" s="135"/>
      <c r="AJ116" s="135"/>
    </row>
    <row r="117" spans="1:36" ht="12" customHeight="1" x14ac:dyDescent="0.25"/>
  </sheetData>
  <mergeCells count="105">
    <mergeCell ref="P77:W77"/>
    <mergeCell ref="P78:W78"/>
    <mergeCell ref="A63:AJ63"/>
    <mergeCell ref="A65:AJ65"/>
    <mergeCell ref="A66:AJ66"/>
    <mergeCell ref="P67:AJ67"/>
    <mergeCell ref="P68:AJ68"/>
    <mergeCell ref="D69:I69"/>
    <mergeCell ref="K69:N69"/>
    <mergeCell ref="H62:M62"/>
    <mergeCell ref="P62:S62"/>
    <mergeCell ref="A69:C69"/>
    <mergeCell ref="A115:O115"/>
    <mergeCell ref="AB115:AJ115"/>
    <mergeCell ref="A116:O116"/>
    <mergeCell ref="AB116:AJ116"/>
    <mergeCell ref="A111:AJ111"/>
    <mergeCell ref="A112:O112"/>
    <mergeCell ref="AB112:AJ112"/>
    <mergeCell ref="A102:O102"/>
    <mergeCell ref="AB102:AJ102"/>
    <mergeCell ref="A113:O113"/>
    <mergeCell ref="AB113:AJ113"/>
    <mergeCell ref="A114:AJ114"/>
    <mergeCell ref="A103:O103"/>
    <mergeCell ref="AB103:AJ103"/>
    <mergeCell ref="A106:O106"/>
    <mergeCell ref="AB106:AJ106"/>
    <mergeCell ref="A107:O107"/>
    <mergeCell ref="AB107:AJ107"/>
    <mergeCell ref="L88:AJ88"/>
    <mergeCell ref="H90:I90"/>
    <mergeCell ref="A95:AJ95"/>
    <mergeCell ref="A27:AJ27"/>
    <mergeCell ref="A29:AJ29"/>
    <mergeCell ref="A9:AJ9"/>
    <mergeCell ref="A10:AJ10"/>
    <mergeCell ref="A99:O99"/>
    <mergeCell ref="AB99:AJ99"/>
    <mergeCell ref="A100:O100"/>
    <mergeCell ref="AB100:AJ100"/>
    <mergeCell ref="A42:AJ42"/>
    <mergeCell ref="A43:AJ43"/>
    <mergeCell ref="A87:AJ87"/>
    <mergeCell ref="A70:AJ70"/>
    <mergeCell ref="G72:U72"/>
    <mergeCell ref="W72:AJ72"/>
    <mergeCell ref="A73:B73"/>
    <mergeCell ref="G73:AJ73"/>
    <mergeCell ref="A74:AJ74"/>
    <mergeCell ref="A75:AJ75"/>
    <mergeCell ref="A81:AJ81"/>
    <mergeCell ref="A82:AJ82"/>
    <mergeCell ref="A83:AJ83"/>
    <mergeCell ref="A84:AJ84"/>
    <mergeCell ref="A86:AJ86"/>
    <mergeCell ref="A62:F62"/>
    <mergeCell ref="A54:AJ54"/>
    <mergeCell ref="A55:AJ55"/>
    <mergeCell ref="A46:AJ46"/>
    <mergeCell ref="A47:AJ47"/>
    <mergeCell ref="A48:AJ48"/>
    <mergeCell ref="A4:AJ4"/>
    <mergeCell ref="A5:AJ5"/>
    <mergeCell ref="A6:AJ6"/>
    <mergeCell ref="A8:AJ8"/>
    <mergeCell ref="A30:AJ30"/>
    <mergeCell ref="E32:G32"/>
    <mergeCell ref="AB32:AI32"/>
    <mergeCell ref="A13:AJ13"/>
    <mergeCell ref="A15:AJ15"/>
    <mergeCell ref="A16:AJ16"/>
    <mergeCell ref="A17:AJ17"/>
    <mergeCell ref="A18:AJ18"/>
    <mergeCell ref="A19:AJ19"/>
    <mergeCell ref="A20:AJ20"/>
    <mergeCell ref="A22:AJ22"/>
    <mergeCell ref="A23:AJ23"/>
    <mergeCell ref="A24:AJ24"/>
    <mergeCell ref="A25:AJ25"/>
    <mergeCell ref="A26:AJ26"/>
    <mergeCell ref="A109:O109"/>
    <mergeCell ref="AB109:AJ109"/>
    <mergeCell ref="A110:O110"/>
    <mergeCell ref="AB110:AJ110"/>
    <mergeCell ref="A7:AJ7"/>
    <mergeCell ref="A11:AJ11"/>
    <mergeCell ref="A12:AJ12"/>
    <mergeCell ref="A59:AJ59"/>
    <mergeCell ref="A44:AJ44"/>
    <mergeCell ref="A45:AJ45"/>
    <mergeCell ref="A49:AJ49"/>
    <mergeCell ref="A50:AJ50"/>
    <mergeCell ref="A51:AJ51"/>
    <mergeCell ref="A52:AJ52"/>
    <mergeCell ref="A56:AJ56"/>
    <mergeCell ref="A58:AJ58"/>
    <mergeCell ref="A35:AJ35"/>
    <mergeCell ref="A36:AJ36"/>
    <mergeCell ref="A37:AJ37"/>
    <mergeCell ref="A38:AJ38"/>
    <mergeCell ref="A39:AJ39"/>
    <mergeCell ref="A41:AJ41"/>
    <mergeCell ref="AB33:AI33"/>
    <mergeCell ref="A53:AJ53"/>
  </mergeCells>
  <pageMargins left="0.78740157480314965" right="0.27559055118110237" top="0.39370078740157483" bottom="0.39370078740157483" header="0" footer="0"/>
  <pageSetup paperSize="9" fitToHeight="3" orientation="portrait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00B050"/>
  </sheetPr>
  <dimension ref="A1:AZ117"/>
  <sheetViews>
    <sheetView view="pageBreakPreview" topLeftCell="A15" zoomScale="125" zoomScaleNormal="125" zoomScaleSheetLayoutView="125" workbookViewId="0">
      <selection activeCell="A86" sqref="A86:AJ86"/>
    </sheetView>
  </sheetViews>
  <sheetFormatPr defaultColWidth="10.6640625" defaultRowHeight="15" x14ac:dyDescent="0.25"/>
  <cols>
    <col min="1" max="31" width="2.83203125" style="1" customWidth="1"/>
    <col min="32" max="32" width="3" style="1" customWidth="1"/>
    <col min="33" max="51" width="2.83203125" style="1" customWidth="1"/>
    <col min="52" max="16384" width="10.6640625" style="1"/>
  </cols>
  <sheetData>
    <row r="1" spans="1:43" s="13" customFormat="1" ht="12.75" customHeight="1" x14ac:dyDescent="0.2">
      <c r="AJ1" s="21" t="s">
        <v>41</v>
      </c>
    </row>
    <row r="2" spans="1:43" s="13" customFormat="1" ht="11.25" customHeight="1" x14ac:dyDescent="0.2">
      <c r="AJ2" s="21" t="s">
        <v>40</v>
      </c>
    </row>
    <row r="3" spans="1:43" s="13" customFormat="1" ht="14.25" customHeight="1" x14ac:dyDescent="0.2">
      <c r="A3" s="13" t="s">
        <v>21</v>
      </c>
      <c r="AJ3" s="22"/>
      <c r="AK3" s="22"/>
      <c r="AL3" s="22"/>
      <c r="AM3" s="22"/>
      <c r="AN3" s="22"/>
      <c r="AO3" s="22"/>
      <c r="AP3" s="22"/>
      <c r="AQ3" s="22"/>
    </row>
    <row r="4" spans="1:43" s="13" customFormat="1" ht="25.5" customHeight="1" x14ac:dyDescent="0.2">
      <c r="A4" s="127" t="str">
        <f>'Данные объект'!B3</f>
        <v>Строительство КТП - 10/0,4кВ, КЛ-10 кВ от ТП-10/0,4кВ № 3463, КЛ-10 кВ от сооруж. КРУН-10 кВ, ВЛИ-0,38 кВ, в т.ч. ПИР, МО, Солнечногорский р-н, п. Красный Воин</v>
      </c>
      <c r="B4" s="127"/>
      <c r="C4" s="127"/>
      <c r="D4" s="127"/>
      <c r="E4" s="127"/>
      <c r="F4" s="127"/>
      <c r="G4" s="127"/>
      <c r="H4" s="127"/>
      <c r="I4" s="127"/>
      <c r="J4" s="127"/>
      <c r="K4" s="127"/>
      <c r="L4" s="127"/>
      <c r="M4" s="127"/>
      <c r="N4" s="127"/>
      <c r="O4" s="127"/>
      <c r="P4" s="127"/>
      <c r="Q4" s="127"/>
      <c r="R4" s="127"/>
      <c r="S4" s="127"/>
      <c r="T4" s="127"/>
      <c r="U4" s="127"/>
      <c r="V4" s="127"/>
      <c r="W4" s="127"/>
      <c r="X4" s="127"/>
      <c r="Y4" s="127"/>
      <c r="Z4" s="127"/>
      <c r="AA4" s="127"/>
      <c r="AB4" s="127"/>
      <c r="AC4" s="127"/>
      <c r="AD4" s="127"/>
      <c r="AE4" s="127"/>
      <c r="AF4" s="127"/>
      <c r="AG4" s="127"/>
      <c r="AH4" s="127"/>
      <c r="AI4" s="127"/>
      <c r="AJ4" s="127"/>
    </row>
    <row r="5" spans="1:43" s="13" customFormat="1" ht="12" customHeight="1" x14ac:dyDescent="0.2">
      <c r="A5" s="139" t="str">
        <f>'Данные объект'!B9</f>
        <v>КЛ-10кВ ф.1 от ТП №3463</v>
      </c>
      <c r="B5" s="139"/>
      <c r="C5" s="139"/>
      <c r="D5" s="139"/>
      <c r="E5" s="139"/>
      <c r="F5" s="139"/>
      <c r="G5" s="139"/>
      <c r="H5" s="139"/>
      <c r="I5" s="139"/>
      <c r="J5" s="139"/>
      <c r="K5" s="139"/>
      <c r="L5" s="139"/>
      <c r="M5" s="139"/>
      <c r="N5" s="139"/>
      <c r="O5" s="139"/>
      <c r="P5" s="139"/>
      <c r="Q5" s="139"/>
      <c r="R5" s="139"/>
      <c r="S5" s="139"/>
      <c r="T5" s="139"/>
      <c r="U5" s="139"/>
      <c r="V5" s="139"/>
      <c r="W5" s="139"/>
      <c r="X5" s="139"/>
      <c r="Y5" s="139"/>
      <c r="Z5" s="139"/>
      <c r="AA5" s="139"/>
      <c r="AB5" s="139"/>
      <c r="AC5" s="139"/>
      <c r="AD5" s="139"/>
      <c r="AE5" s="139"/>
      <c r="AF5" s="139"/>
      <c r="AG5" s="139"/>
      <c r="AH5" s="139"/>
      <c r="AI5" s="139"/>
      <c r="AJ5" s="139"/>
    </row>
    <row r="6" spans="1:43" s="14" customFormat="1" ht="8.25" x14ac:dyDescent="0.15">
      <c r="A6" s="128" t="s">
        <v>192</v>
      </c>
      <c r="B6" s="129"/>
      <c r="C6" s="129"/>
      <c r="D6" s="129"/>
      <c r="E6" s="129"/>
      <c r="F6" s="129"/>
      <c r="G6" s="129"/>
      <c r="H6" s="129"/>
      <c r="I6" s="129"/>
      <c r="J6" s="129"/>
      <c r="K6" s="129"/>
      <c r="L6" s="129"/>
      <c r="M6" s="129"/>
      <c r="N6" s="129"/>
      <c r="O6" s="129"/>
      <c r="P6" s="129"/>
      <c r="Q6" s="129"/>
      <c r="R6" s="129"/>
      <c r="S6" s="129"/>
      <c r="T6" s="129"/>
      <c r="U6" s="129"/>
      <c r="V6" s="129"/>
      <c r="W6" s="129"/>
      <c r="X6" s="129"/>
      <c r="Y6" s="129"/>
      <c r="Z6" s="129"/>
      <c r="AA6" s="129"/>
      <c r="AB6" s="129"/>
      <c r="AC6" s="129"/>
      <c r="AD6" s="129"/>
      <c r="AE6" s="129"/>
      <c r="AF6" s="129"/>
      <c r="AG6" s="129"/>
      <c r="AH6" s="129"/>
      <c r="AI6" s="129"/>
      <c r="AJ6" s="129"/>
    </row>
    <row r="7" spans="1:43" s="13" customFormat="1" ht="12.75" customHeight="1" x14ac:dyDescent="0.2">
      <c r="A7" s="126" t="s">
        <v>42</v>
      </c>
      <c r="B7" s="126"/>
      <c r="C7" s="126"/>
      <c r="D7" s="126"/>
      <c r="E7" s="126"/>
      <c r="F7" s="126"/>
      <c r="G7" s="126"/>
      <c r="H7" s="126"/>
      <c r="I7" s="126"/>
      <c r="J7" s="126"/>
      <c r="K7" s="126"/>
      <c r="L7" s="126"/>
      <c r="M7" s="126"/>
      <c r="N7" s="126"/>
      <c r="O7" s="126"/>
      <c r="P7" s="126"/>
      <c r="Q7" s="126"/>
      <c r="R7" s="126"/>
      <c r="S7" s="126"/>
      <c r="T7" s="126"/>
      <c r="U7" s="126"/>
      <c r="V7" s="126"/>
      <c r="W7" s="126"/>
      <c r="X7" s="126"/>
      <c r="Y7" s="126"/>
      <c r="Z7" s="126"/>
      <c r="AA7" s="126"/>
      <c r="AB7" s="126"/>
      <c r="AC7" s="126"/>
      <c r="AD7" s="126"/>
      <c r="AE7" s="126"/>
      <c r="AF7" s="126"/>
      <c r="AG7" s="126"/>
      <c r="AH7" s="126"/>
      <c r="AI7" s="126"/>
      <c r="AJ7" s="126"/>
    </row>
    <row r="8" spans="1:43" s="13" customFormat="1" ht="12" customHeight="1" x14ac:dyDescent="0.2">
      <c r="A8" s="139" t="str">
        <f>'Данные объект'!B23</f>
        <v>ПАО "Россети Московский регион"</v>
      </c>
      <c r="B8" s="139"/>
      <c r="C8" s="139"/>
      <c r="D8" s="139"/>
      <c r="E8" s="139"/>
      <c r="F8" s="139"/>
      <c r="G8" s="139"/>
      <c r="H8" s="139"/>
      <c r="I8" s="139"/>
      <c r="J8" s="139"/>
      <c r="K8" s="139"/>
      <c r="L8" s="139"/>
      <c r="M8" s="139"/>
      <c r="N8" s="139"/>
      <c r="O8" s="139"/>
      <c r="P8" s="139"/>
      <c r="Q8" s="139"/>
      <c r="R8" s="139"/>
      <c r="S8" s="139"/>
      <c r="T8" s="139"/>
      <c r="U8" s="139"/>
      <c r="V8" s="139"/>
      <c r="W8" s="139"/>
      <c r="X8" s="139"/>
      <c r="Y8" s="139"/>
      <c r="Z8" s="139"/>
      <c r="AA8" s="139"/>
      <c r="AB8" s="139"/>
      <c r="AC8" s="139"/>
      <c r="AD8" s="139"/>
      <c r="AE8" s="139"/>
      <c r="AF8" s="139"/>
      <c r="AG8" s="139"/>
      <c r="AH8" s="139"/>
      <c r="AI8" s="139"/>
      <c r="AJ8" s="139"/>
    </row>
    <row r="9" spans="1:43" s="14" customFormat="1" ht="19.5" customHeight="1" x14ac:dyDescent="0.15">
      <c r="A9" s="128" t="s">
        <v>58</v>
      </c>
      <c r="B9" s="129"/>
      <c r="C9" s="129"/>
      <c r="D9" s="129"/>
      <c r="E9" s="129"/>
      <c r="F9" s="129"/>
      <c r="G9" s="129"/>
      <c r="H9" s="129"/>
      <c r="I9" s="129"/>
      <c r="J9" s="129"/>
      <c r="K9" s="129"/>
      <c r="L9" s="129"/>
      <c r="M9" s="129"/>
      <c r="N9" s="129"/>
      <c r="O9" s="129"/>
      <c r="P9" s="129"/>
      <c r="Q9" s="129"/>
      <c r="R9" s="129"/>
      <c r="S9" s="129"/>
      <c r="T9" s="129"/>
      <c r="U9" s="129"/>
      <c r="V9" s="129"/>
      <c r="W9" s="129"/>
      <c r="X9" s="129"/>
      <c r="Y9" s="129"/>
      <c r="Z9" s="129"/>
      <c r="AA9" s="129"/>
      <c r="AB9" s="129"/>
      <c r="AC9" s="129"/>
      <c r="AD9" s="129"/>
      <c r="AE9" s="129"/>
      <c r="AF9" s="129"/>
      <c r="AG9" s="129"/>
      <c r="AH9" s="129"/>
      <c r="AI9" s="129"/>
      <c r="AJ9" s="129"/>
    </row>
    <row r="10" spans="1:43" s="13" customFormat="1" ht="12" customHeight="1" x14ac:dyDescent="0.2">
      <c r="A10" s="139" t="str">
        <f>'Данные объект'!B24</f>
        <v>ОГРН 1057746555811 ИНН 5036065113 КПП 772501001</v>
      </c>
      <c r="B10" s="139"/>
      <c r="C10" s="139"/>
      <c r="D10" s="139"/>
      <c r="E10" s="139"/>
      <c r="F10" s="139"/>
      <c r="G10" s="139"/>
      <c r="H10" s="139"/>
      <c r="I10" s="139"/>
      <c r="J10" s="139"/>
      <c r="K10" s="139"/>
      <c r="L10" s="139"/>
      <c r="M10" s="139"/>
      <c r="N10" s="139"/>
      <c r="O10" s="139"/>
      <c r="P10" s="139"/>
      <c r="Q10" s="139"/>
      <c r="R10" s="139"/>
      <c r="S10" s="139"/>
      <c r="T10" s="139"/>
      <c r="U10" s="139"/>
      <c r="V10" s="139"/>
      <c r="W10" s="139"/>
      <c r="X10" s="139"/>
      <c r="Y10" s="139"/>
      <c r="Z10" s="139"/>
      <c r="AA10" s="139"/>
      <c r="AB10" s="139"/>
      <c r="AC10" s="139"/>
      <c r="AD10" s="139"/>
      <c r="AE10" s="139"/>
      <c r="AF10" s="139"/>
      <c r="AG10" s="139"/>
      <c r="AH10" s="139"/>
      <c r="AI10" s="139"/>
      <c r="AJ10" s="139"/>
    </row>
    <row r="11" spans="1:43" s="14" customFormat="1" ht="28.5" customHeight="1" x14ac:dyDescent="0.15">
      <c r="A11" s="128" t="s">
        <v>59</v>
      </c>
      <c r="B11" s="129"/>
      <c r="C11" s="129"/>
      <c r="D11" s="129"/>
      <c r="E11" s="129"/>
      <c r="F11" s="129"/>
      <c r="G11" s="129"/>
      <c r="H11" s="129"/>
      <c r="I11" s="129"/>
      <c r="J11" s="129"/>
      <c r="K11" s="129"/>
      <c r="L11" s="129"/>
      <c r="M11" s="129"/>
      <c r="N11" s="129"/>
      <c r="O11" s="129"/>
      <c r="P11" s="129"/>
      <c r="Q11" s="129"/>
      <c r="R11" s="129"/>
      <c r="S11" s="129"/>
      <c r="T11" s="129"/>
      <c r="U11" s="129"/>
      <c r="V11" s="129"/>
      <c r="W11" s="129"/>
      <c r="X11" s="129"/>
      <c r="Y11" s="129"/>
      <c r="Z11" s="129"/>
      <c r="AA11" s="129"/>
      <c r="AB11" s="129"/>
      <c r="AC11" s="129"/>
      <c r="AD11" s="129"/>
      <c r="AE11" s="129"/>
      <c r="AF11" s="129"/>
      <c r="AG11" s="129"/>
      <c r="AH11" s="129"/>
      <c r="AI11" s="129"/>
      <c r="AJ11" s="129"/>
    </row>
    <row r="12" spans="1:43" s="13" customFormat="1" ht="12" customHeight="1" x14ac:dyDescent="0.2">
      <c r="A12" s="139" t="str">
        <f>'Данные объект'!B25</f>
        <v>115114, город Москва, проезд Павелецкий 2-й, дом 3, строение 2</v>
      </c>
      <c r="B12" s="139"/>
      <c r="C12" s="139"/>
      <c r="D12" s="139"/>
      <c r="E12" s="139"/>
      <c r="F12" s="139"/>
      <c r="G12" s="139"/>
      <c r="H12" s="139"/>
      <c r="I12" s="139"/>
      <c r="J12" s="139"/>
      <c r="K12" s="139"/>
      <c r="L12" s="139"/>
      <c r="M12" s="139"/>
      <c r="N12" s="139"/>
      <c r="O12" s="139"/>
      <c r="P12" s="139"/>
      <c r="Q12" s="139"/>
      <c r="R12" s="139"/>
      <c r="S12" s="139"/>
      <c r="T12" s="139"/>
      <c r="U12" s="139"/>
      <c r="V12" s="139"/>
      <c r="W12" s="139"/>
      <c r="X12" s="139"/>
      <c r="Y12" s="139"/>
      <c r="Z12" s="139"/>
      <c r="AA12" s="139"/>
      <c r="AB12" s="139"/>
      <c r="AC12" s="139"/>
      <c r="AD12" s="139"/>
      <c r="AE12" s="139"/>
      <c r="AF12" s="139"/>
      <c r="AG12" s="139"/>
      <c r="AH12" s="139"/>
      <c r="AI12" s="139"/>
      <c r="AJ12" s="139"/>
    </row>
    <row r="13" spans="1:43" s="14" customFormat="1" ht="11.25" customHeight="1" x14ac:dyDescent="0.15">
      <c r="A13" s="128" t="s">
        <v>43</v>
      </c>
      <c r="B13" s="129"/>
      <c r="C13" s="129"/>
      <c r="D13" s="129"/>
      <c r="E13" s="129"/>
      <c r="F13" s="129"/>
      <c r="G13" s="129"/>
      <c r="H13" s="129"/>
      <c r="I13" s="129"/>
      <c r="J13" s="129"/>
      <c r="K13" s="129"/>
      <c r="L13" s="129"/>
      <c r="M13" s="129"/>
      <c r="N13" s="129"/>
      <c r="O13" s="129"/>
      <c r="P13" s="129"/>
      <c r="Q13" s="129"/>
      <c r="R13" s="129"/>
      <c r="S13" s="129"/>
      <c r="T13" s="129"/>
      <c r="U13" s="129"/>
      <c r="V13" s="129"/>
      <c r="W13" s="129"/>
      <c r="X13" s="129"/>
      <c r="Y13" s="129"/>
      <c r="Z13" s="129"/>
      <c r="AA13" s="129"/>
      <c r="AB13" s="129"/>
      <c r="AC13" s="129"/>
      <c r="AD13" s="129"/>
      <c r="AE13" s="129"/>
      <c r="AF13" s="129"/>
      <c r="AG13" s="129"/>
      <c r="AH13" s="129"/>
      <c r="AI13" s="129"/>
      <c r="AJ13" s="129"/>
    </row>
    <row r="14" spans="1:43" s="13" customFormat="1" ht="12" customHeight="1" x14ac:dyDescent="0.2">
      <c r="A14" s="13" t="s">
        <v>22</v>
      </c>
    </row>
    <row r="15" spans="1:43" s="13" customFormat="1" ht="12" customHeight="1" x14ac:dyDescent="0.2">
      <c r="A15" s="139" t="str">
        <f>'Данные объект'!B11</f>
        <v>ООО"Энергосистемы"</v>
      </c>
      <c r="B15" s="139"/>
      <c r="C15" s="139"/>
      <c r="D15" s="139"/>
      <c r="E15" s="139"/>
      <c r="F15" s="139"/>
      <c r="G15" s="139"/>
      <c r="H15" s="139"/>
      <c r="I15" s="139"/>
      <c r="J15" s="139"/>
      <c r="K15" s="139"/>
      <c r="L15" s="139"/>
      <c r="M15" s="139"/>
      <c r="N15" s="139"/>
      <c r="O15" s="139"/>
      <c r="P15" s="139"/>
      <c r="Q15" s="139"/>
      <c r="R15" s="139"/>
      <c r="S15" s="139"/>
      <c r="T15" s="139"/>
      <c r="U15" s="139"/>
      <c r="V15" s="139"/>
      <c r="W15" s="139"/>
      <c r="X15" s="139"/>
      <c r="Y15" s="139"/>
      <c r="Z15" s="139"/>
      <c r="AA15" s="139"/>
      <c r="AB15" s="139"/>
      <c r="AC15" s="139"/>
      <c r="AD15" s="139"/>
      <c r="AE15" s="139"/>
      <c r="AF15" s="139"/>
      <c r="AG15" s="139"/>
      <c r="AH15" s="139"/>
      <c r="AI15" s="139"/>
      <c r="AJ15" s="139"/>
    </row>
    <row r="16" spans="1:43" s="14" customFormat="1" ht="9.75" customHeight="1" x14ac:dyDescent="0.15">
      <c r="A16" s="128" t="s">
        <v>37</v>
      </c>
      <c r="B16" s="129"/>
      <c r="C16" s="129"/>
      <c r="D16" s="129"/>
      <c r="E16" s="129"/>
      <c r="F16" s="129"/>
      <c r="G16" s="129"/>
      <c r="H16" s="129"/>
      <c r="I16" s="129"/>
      <c r="J16" s="129"/>
      <c r="K16" s="129"/>
      <c r="L16" s="129"/>
      <c r="M16" s="129"/>
      <c r="N16" s="129"/>
      <c r="O16" s="129"/>
      <c r="P16" s="129"/>
      <c r="Q16" s="129"/>
      <c r="R16" s="129"/>
      <c r="S16" s="129"/>
      <c r="T16" s="129"/>
      <c r="U16" s="129"/>
      <c r="V16" s="129"/>
      <c r="W16" s="129"/>
      <c r="X16" s="129"/>
      <c r="Y16" s="129"/>
      <c r="Z16" s="129"/>
      <c r="AA16" s="129"/>
      <c r="AB16" s="129"/>
      <c r="AC16" s="129"/>
      <c r="AD16" s="129"/>
      <c r="AE16" s="129"/>
      <c r="AF16" s="129"/>
      <c r="AG16" s="129"/>
      <c r="AH16" s="129"/>
      <c r="AI16" s="129"/>
      <c r="AJ16" s="129"/>
    </row>
    <row r="17" spans="1:36" s="13" customFormat="1" ht="12" customHeight="1" x14ac:dyDescent="0.2">
      <c r="A17" s="139" t="str">
        <f>'Данные объект'!B12</f>
        <v>ОГРН 1135044003709  ИНН 5044089069 КПП 504401001</v>
      </c>
      <c r="B17" s="139"/>
      <c r="C17" s="139"/>
      <c r="D17" s="139"/>
      <c r="E17" s="139"/>
      <c r="F17" s="139"/>
      <c r="G17" s="139"/>
      <c r="H17" s="139"/>
      <c r="I17" s="139"/>
      <c r="J17" s="139"/>
      <c r="K17" s="139"/>
      <c r="L17" s="139"/>
      <c r="M17" s="139"/>
      <c r="N17" s="139"/>
      <c r="O17" s="139"/>
      <c r="P17" s="139"/>
      <c r="Q17" s="139"/>
      <c r="R17" s="139"/>
      <c r="S17" s="139"/>
      <c r="T17" s="139"/>
      <c r="U17" s="139"/>
      <c r="V17" s="139"/>
      <c r="W17" s="139"/>
      <c r="X17" s="139"/>
      <c r="Y17" s="139"/>
      <c r="Z17" s="139"/>
      <c r="AA17" s="139"/>
      <c r="AB17" s="139"/>
      <c r="AC17" s="139"/>
      <c r="AD17" s="139"/>
      <c r="AE17" s="139"/>
      <c r="AF17" s="139"/>
      <c r="AG17" s="139"/>
      <c r="AH17" s="139"/>
      <c r="AI17" s="139"/>
      <c r="AJ17" s="139"/>
    </row>
    <row r="18" spans="1:36" s="14" customFormat="1" ht="8.25" customHeight="1" x14ac:dyDescent="0.15">
      <c r="A18" s="128" t="s">
        <v>44</v>
      </c>
      <c r="B18" s="129"/>
      <c r="C18" s="129"/>
      <c r="D18" s="129"/>
      <c r="E18" s="129"/>
      <c r="F18" s="129"/>
      <c r="G18" s="129"/>
      <c r="H18" s="129"/>
      <c r="I18" s="129"/>
      <c r="J18" s="129"/>
      <c r="K18" s="129"/>
      <c r="L18" s="129"/>
      <c r="M18" s="129"/>
      <c r="N18" s="129"/>
      <c r="O18" s="129"/>
      <c r="P18" s="129"/>
      <c r="Q18" s="129"/>
      <c r="R18" s="129"/>
      <c r="S18" s="129"/>
      <c r="T18" s="129"/>
      <c r="U18" s="129"/>
      <c r="V18" s="129"/>
      <c r="W18" s="129"/>
      <c r="X18" s="129"/>
      <c r="Y18" s="129"/>
      <c r="Z18" s="129"/>
      <c r="AA18" s="129"/>
      <c r="AB18" s="129"/>
      <c r="AC18" s="129"/>
      <c r="AD18" s="129"/>
      <c r="AE18" s="129"/>
      <c r="AF18" s="129"/>
      <c r="AG18" s="129"/>
      <c r="AH18" s="129"/>
      <c r="AI18" s="129"/>
      <c r="AJ18" s="129"/>
    </row>
    <row r="19" spans="1:36" s="13" customFormat="1" ht="12" customHeight="1" x14ac:dyDescent="0.2">
      <c r="A19" s="139" t="str">
        <f>'Данные объект'!B13</f>
        <v xml:space="preserve">141508, Московская область, г.о. Солнечногорск, г. Солнечногорск, ул. Промышленная, стр. 5, помещение 179
</v>
      </c>
      <c r="B19" s="139"/>
      <c r="C19" s="139"/>
      <c r="D19" s="139"/>
      <c r="E19" s="139"/>
      <c r="F19" s="139"/>
      <c r="G19" s="139"/>
      <c r="H19" s="139"/>
      <c r="I19" s="139"/>
      <c r="J19" s="139"/>
      <c r="K19" s="139"/>
      <c r="L19" s="139"/>
      <c r="M19" s="139"/>
      <c r="N19" s="139"/>
      <c r="O19" s="139"/>
      <c r="P19" s="139"/>
      <c r="Q19" s="139"/>
      <c r="R19" s="139"/>
      <c r="S19" s="139"/>
      <c r="T19" s="139"/>
      <c r="U19" s="139"/>
      <c r="V19" s="139"/>
      <c r="W19" s="139"/>
      <c r="X19" s="139"/>
      <c r="Y19" s="139"/>
      <c r="Z19" s="139"/>
      <c r="AA19" s="139"/>
      <c r="AB19" s="139"/>
      <c r="AC19" s="139"/>
      <c r="AD19" s="139"/>
      <c r="AE19" s="139"/>
      <c r="AF19" s="139"/>
      <c r="AG19" s="139"/>
      <c r="AH19" s="139"/>
      <c r="AI19" s="139"/>
      <c r="AJ19" s="139"/>
    </row>
    <row r="20" spans="1:36" s="14" customFormat="1" ht="27" customHeight="1" x14ac:dyDescent="0.15">
      <c r="A20" s="128" t="s">
        <v>60</v>
      </c>
      <c r="B20" s="129"/>
      <c r="C20" s="129"/>
      <c r="D20" s="129"/>
      <c r="E20" s="129"/>
      <c r="F20" s="129"/>
      <c r="G20" s="129"/>
      <c r="H20" s="129"/>
      <c r="I20" s="129"/>
      <c r="J20" s="129"/>
      <c r="K20" s="129"/>
      <c r="L20" s="129"/>
      <c r="M20" s="129"/>
      <c r="N20" s="129"/>
      <c r="O20" s="129"/>
      <c r="P20" s="129"/>
      <c r="Q20" s="129"/>
      <c r="R20" s="129"/>
      <c r="S20" s="129"/>
      <c r="T20" s="129"/>
      <c r="U20" s="129"/>
      <c r="V20" s="129"/>
      <c r="W20" s="129"/>
      <c r="X20" s="129"/>
      <c r="Y20" s="129"/>
      <c r="Z20" s="129"/>
      <c r="AA20" s="129"/>
      <c r="AB20" s="129"/>
      <c r="AC20" s="129"/>
      <c r="AD20" s="129"/>
      <c r="AE20" s="129"/>
      <c r="AF20" s="129"/>
      <c r="AG20" s="129"/>
      <c r="AH20" s="129"/>
      <c r="AI20" s="129"/>
      <c r="AJ20" s="129"/>
    </row>
    <row r="21" spans="1:36" s="13" customFormat="1" ht="12" customHeight="1" x14ac:dyDescent="0.2">
      <c r="A21" s="13" t="s">
        <v>20</v>
      </c>
    </row>
    <row r="22" spans="1:36" s="13" customFormat="1" ht="12" customHeight="1" x14ac:dyDescent="0.2">
      <c r="A22" s="139" t="str">
        <f>'Данные объект'!B39</f>
        <v>ООО"Энергосистемы"</v>
      </c>
      <c r="B22" s="139"/>
      <c r="C22" s="139"/>
      <c r="D22" s="139"/>
      <c r="E22" s="139"/>
      <c r="F22" s="139"/>
      <c r="G22" s="139"/>
      <c r="H22" s="139"/>
      <c r="I22" s="139"/>
      <c r="J22" s="139"/>
      <c r="K22" s="139"/>
      <c r="L22" s="139"/>
      <c r="M22" s="139"/>
      <c r="N22" s="139"/>
      <c r="O22" s="139"/>
      <c r="P22" s="139"/>
      <c r="Q22" s="139"/>
      <c r="R22" s="139"/>
      <c r="S22" s="139"/>
      <c r="T22" s="139"/>
      <c r="U22" s="139"/>
      <c r="V22" s="139"/>
      <c r="W22" s="139"/>
      <c r="X22" s="139"/>
      <c r="Y22" s="139"/>
      <c r="Z22" s="139"/>
      <c r="AA22" s="139"/>
      <c r="AB22" s="139"/>
      <c r="AC22" s="139"/>
      <c r="AD22" s="139"/>
      <c r="AE22" s="139"/>
      <c r="AF22" s="139"/>
      <c r="AG22" s="139"/>
      <c r="AH22" s="139"/>
      <c r="AI22" s="139"/>
      <c r="AJ22" s="139"/>
    </row>
    <row r="23" spans="1:36" s="14" customFormat="1" ht="7.5" customHeight="1" x14ac:dyDescent="0.15">
      <c r="A23" s="128" t="s">
        <v>37</v>
      </c>
      <c r="B23" s="129"/>
      <c r="C23" s="129"/>
      <c r="D23" s="129"/>
      <c r="E23" s="129"/>
      <c r="F23" s="129"/>
      <c r="G23" s="129"/>
      <c r="H23" s="129"/>
      <c r="I23" s="129"/>
      <c r="J23" s="129"/>
      <c r="K23" s="129"/>
      <c r="L23" s="129"/>
      <c r="M23" s="129"/>
      <c r="N23" s="129"/>
      <c r="O23" s="129"/>
      <c r="P23" s="129"/>
      <c r="Q23" s="129"/>
      <c r="R23" s="129"/>
      <c r="S23" s="129"/>
      <c r="T23" s="129"/>
      <c r="U23" s="129"/>
      <c r="V23" s="129"/>
      <c r="W23" s="129"/>
      <c r="X23" s="129"/>
      <c r="Y23" s="129"/>
      <c r="Z23" s="129"/>
      <c r="AA23" s="129"/>
      <c r="AB23" s="129"/>
      <c r="AC23" s="129"/>
      <c r="AD23" s="129"/>
      <c r="AE23" s="129"/>
      <c r="AF23" s="129"/>
      <c r="AG23" s="129"/>
      <c r="AH23" s="129"/>
      <c r="AI23" s="129"/>
      <c r="AJ23" s="129"/>
    </row>
    <row r="24" spans="1:36" s="13" customFormat="1" ht="12" customHeight="1" x14ac:dyDescent="0.2">
      <c r="A24" s="139" t="str">
        <f>'Данные объект'!B40</f>
        <v>ОГРН 1135044003709  ИНН 5044089069 КПП 504401001</v>
      </c>
      <c r="B24" s="139"/>
      <c r="C24" s="139"/>
      <c r="D24" s="139"/>
      <c r="E24" s="139"/>
      <c r="F24" s="139"/>
      <c r="G24" s="139"/>
      <c r="H24" s="139"/>
      <c r="I24" s="139"/>
      <c r="J24" s="139"/>
      <c r="K24" s="139"/>
      <c r="L24" s="139"/>
      <c r="M24" s="139"/>
      <c r="N24" s="139"/>
      <c r="O24" s="139"/>
      <c r="P24" s="139"/>
      <c r="Q24" s="139"/>
      <c r="R24" s="139"/>
      <c r="S24" s="139"/>
      <c r="T24" s="139"/>
      <c r="U24" s="139"/>
      <c r="V24" s="139"/>
      <c r="W24" s="139"/>
      <c r="X24" s="139"/>
      <c r="Y24" s="139"/>
      <c r="Z24" s="139"/>
      <c r="AA24" s="139"/>
      <c r="AB24" s="139"/>
      <c r="AC24" s="139"/>
      <c r="AD24" s="139"/>
      <c r="AE24" s="139"/>
      <c r="AF24" s="139"/>
      <c r="AG24" s="139"/>
      <c r="AH24" s="139"/>
      <c r="AI24" s="139"/>
      <c r="AJ24" s="139"/>
    </row>
    <row r="25" spans="1:36" s="14" customFormat="1" ht="7.5" customHeight="1" x14ac:dyDescent="0.15">
      <c r="A25" s="128" t="s">
        <v>61</v>
      </c>
      <c r="B25" s="129"/>
      <c r="C25" s="129"/>
      <c r="D25" s="129"/>
      <c r="E25" s="129"/>
      <c r="F25" s="129"/>
      <c r="G25" s="129"/>
      <c r="H25" s="129"/>
      <c r="I25" s="129"/>
      <c r="J25" s="129"/>
      <c r="K25" s="129"/>
      <c r="L25" s="129"/>
      <c r="M25" s="129"/>
      <c r="N25" s="129"/>
      <c r="O25" s="129"/>
      <c r="P25" s="129"/>
      <c r="Q25" s="129"/>
      <c r="R25" s="129"/>
      <c r="S25" s="129"/>
      <c r="T25" s="129"/>
      <c r="U25" s="129"/>
      <c r="V25" s="129"/>
      <c r="W25" s="129"/>
      <c r="X25" s="129"/>
      <c r="Y25" s="129"/>
      <c r="Z25" s="129"/>
      <c r="AA25" s="129"/>
      <c r="AB25" s="129"/>
      <c r="AC25" s="129"/>
      <c r="AD25" s="129"/>
      <c r="AE25" s="129"/>
      <c r="AF25" s="129"/>
      <c r="AG25" s="129"/>
      <c r="AH25" s="129"/>
      <c r="AI25" s="129"/>
      <c r="AJ25" s="129"/>
    </row>
    <row r="26" spans="1:36" s="13" customFormat="1" ht="12" customHeight="1" x14ac:dyDescent="0.2">
      <c r="A26" s="139" t="str">
        <f>'Данные объект'!B41</f>
        <v xml:space="preserve">141508, Московская область, г.о. Солнечногорск, г. Солнечногорск, ул. Промышленная, стр. 5, помещение 179
</v>
      </c>
      <c r="B26" s="139"/>
      <c r="C26" s="139"/>
      <c r="D26" s="139"/>
      <c r="E26" s="139"/>
      <c r="F26" s="139"/>
      <c r="G26" s="139"/>
      <c r="H26" s="139"/>
      <c r="I26" s="139"/>
      <c r="J26" s="139"/>
      <c r="K26" s="139"/>
      <c r="L26" s="139"/>
      <c r="M26" s="139"/>
      <c r="N26" s="139"/>
      <c r="O26" s="139"/>
      <c r="P26" s="139"/>
      <c r="Q26" s="139"/>
      <c r="R26" s="139"/>
      <c r="S26" s="139"/>
      <c r="T26" s="139"/>
      <c r="U26" s="139"/>
      <c r="V26" s="139"/>
      <c r="W26" s="139"/>
      <c r="X26" s="139"/>
      <c r="Y26" s="139"/>
      <c r="Z26" s="139"/>
      <c r="AA26" s="139"/>
      <c r="AB26" s="139"/>
      <c r="AC26" s="139"/>
      <c r="AD26" s="139"/>
      <c r="AE26" s="139"/>
      <c r="AF26" s="139"/>
      <c r="AG26" s="139"/>
      <c r="AH26" s="139"/>
      <c r="AI26" s="139"/>
      <c r="AJ26" s="139"/>
    </row>
    <row r="27" spans="1:36" s="14" customFormat="1" ht="22.5" customHeight="1" x14ac:dyDescent="0.15">
      <c r="A27" s="128" t="s">
        <v>45</v>
      </c>
      <c r="B27" s="129"/>
      <c r="C27" s="129"/>
      <c r="D27" s="129"/>
      <c r="E27" s="129"/>
      <c r="F27" s="129"/>
      <c r="G27" s="129"/>
      <c r="H27" s="129"/>
      <c r="I27" s="129"/>
      <c r="J27" s="129"/>
      <c r="K27" s="129"/>
      <c r="L27" s="129"/>
      <c r="M27" s="129"/>
      <c r="N27" s="129"/>
      <c r="O27" s="129"/>
      <c r="P27" s="129"/>
      <c r="Q27" s="129"/>
      <c r="R27" s="129"/>
      <c r="S27" s="129"/>
      <c r="T27" s="129"/>
      <c r="U27" s="129"/>
      <c r="V27" s="129"/>
      <c r="W27" s="129"/>
      <c r="X27" s="129"/>
      <c r="Y27" s="129"/>
      <c r="Z27" s="129"/>
      <c r="AA27" s="129"/>
      <c r="AB27" s="129"/>
      <c r="AC27" s="129"/>
      <c r="AD27" s="129"/>
      <c r="AE27" s="129"/>
      <c r="AF27" s="129"/>
      <c r="AG27" s="129"/>
      <c r="AH27" s="129"/>
      <c r="AI27" s="129"/>
      <c r="AJ27" s="129"/>
    </row>
    <row r="28" spans="1:36" ht="9" customHeight="1" x14ac:dyDescent="0.25">
      <c r="A28" s="5"/>
      <c r="B28" s="5"/>
      <c r="C28" s="5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</row>
    <row r="29" spans="1:36" s="13" customFormat="1" ht="12.95" customHeight="1" x14ac:dyDescent="0.2">
      <c r="A29" s="142" t="s">
        <v>36</v>
      </c>
      <c r="B29" s="142"/>
      <c r="C29" s="142"/>
      <c r="D29" s="142"/>
      <c r="E29" s="142"/>
      <c r="F29" s="142"/>
      <c r="G29" s="142"/>
      <c r="H29" s="142"/>
      <c r="I29" s="142"/>
      <c r="J29" s="142"/>
      <c r="K29" s="142"/>
      <c r="L29" s="142"/>
      <c r="M29" s="142"/>
      <c r="N29" s="142"/>
      <c r="O29" s="142"/>
      <c r="P29" s="142"/>
      <c r="Q29" s="142"/>
      <c r="R29" s="142"/>
      <c r="S29" s="142"/>
      <c r="T29" s="142"/>
      <c r="U29" s="142"/>
      <c r="V29" s="142"/>
      <c r="W29" s="142"/>
      <c r="X29" s="142"/>
      <c r="Y29" s="142"/>
      <c r="Z29" s="142"/>
      <c r="AA29" s="142"/>
      <c r="AB29" s="142"/>
      <c r="AC29" s="142"/>
      <c r="AD29" s="142"/>
      <c r="AE29" s="142"/>
      <c r="AF29" s="142"/>
      <c r="AG29" s="142"/>
      <c r="AH29" s="142"/>
      <c r="AI29" s="142"/>
      <c r="AJ29" s="142"/>
    </row>
    <row r="30" spans="1:36" s="13" customFormat="1" ht="12.95" customHeight="1" x14ac:dyDescent="0.2">
      <c r="A30" s="143" t="s">
        <v>19</v>
      </c>
      <c r="B30" s="143"/>
      <c r="C30" s="143"/>
      <c r="D30" s="143"/>
      <c r="E30" s="143"/>
      <c r="F30" s="143"/>
      <c r="G30" s="143"/>
      <c r="H30" s="143"/>
      <c r="I30" s="143"/>
      <c r="J30" s="143"/>
      <c r="K30" s="143"/>
      <c r="L30" s="143"/>
      <c r="M30" s="143"/>
      <c r="N30" s="143"/>
      <c r="O30" s="143"/>
      <c r="P30" s="143"/>
      <c r="Q30" s="143"/>
      <c r="R30" s="143"/>
      <c r="S30" s="143"/>
      <c r="T30" s="143"/>
      <c r="U30" s="143"/>
      <c r="V30" s="143"/>
      <c r="W30" s="143"/>
      <c r="X30" s="143"/>
      <c r="Y30" s="143"/>
      <c r="Z30" s="143"/>
      <c r="AA30" s="143"/>
      <c r="AB30" s="143"/>
      <c r="AC30" s="143"/>
      <c r="AD30" s="143"/>
      <c r="AE30" s="143"/>
      <c r="AF30" s="143"/>
      <c r="AG30" s="143"/>
      <c r="AH30" s="143"/>
      <c r="AI30" s="143"/>
      <c r="AJ30" s="143"/>
    </row>
    <row r="31" spans="1:36" s="13" customFormat="1" ht="6" customHeight="1" x14ac:dyDescent="0.2">
      <c r="A31" s="23"/>
      <c r="B31" s="23"/>
      <c r="C31" s="23"/>
      <c r="D31" s="23"/>
      <c r="E31" s="23"/>
      <c r="F31" s="23"/>
      <c r="G31" s="23"/>
      <c r="H31" s="23"/>
      <c r="I31" s="23"/>
      <c r="J31" s="23"/>
    </row>
    <row r="32" spans="1:36" s="13" customFormat="1" ht="12.95" customHeight="1" x14ac:dyDescent="0.2">
      <c r="A32" s="24"/>
      <c r="B32" s="24" t="s">
        <v>18</v>
      </c>
      <c r="C32" s="25">
        <f>'АОСР-4'!C32+1</f>
        <v>5</v>
      </c>
      <c r="D32" s="25"/>
      <c r="E32" s="130" t="s">
        <v>86</v>
      </c>
      <c r="F32" s="130"/>
      <c r="G32" s="130"/>
      <c r="H32" s="27"/>
      <c r="I32" s="27"/>
      <c r="J32" s="27"/>
      <c r="X32" s="21"/>
      <c r="Y32" s="32"/>
      <c r="Z32" s="32"/>
      <c r="AB32" s="131">
        <f>P78</f>
        <v>45819</v>
      </c>
      <c r="AC32" s="131"/>
      <c r="AD32" s="131"/>
      <c r="AE32" s="131"/>
      <c r="AF32" s="131"/>
      <c r="AG32" s="131"/>
      <c r="AH32" s="131"/>
      <c r="AI32" s="131"/>
      <c r="AJ32" s="13" t="s">
        <v>6</v>
      </c>
    </row>
    <row r="33" spans="1:52" s="14" customFormat="1" ht="9" customHeight="1" x14ac:dyDescent="0.15">
      <c r="Y33" s="15"/>
      <c r="Z33" s="16"/>
      <c r="AA33" s="15"/>
      <c r="AB33" s="144" t="s">
        <v>17</v>
      </c>
      <c r="AC33" s="144"/>
      <c r="AD33" s="144"/>
      <c r="AE33" s="144"/>
      <c r="AF33" s="144"/>
      <c r="AG33" s="144"/>
      <c r="AH33" s="144"/>
      <c r="AI33" s="144"/>
    </row>
    <row r="34" spans="1:52" ht="6.75" customHeight="1" x14ac:dyDescent="0.25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4"/>
      <c r="AJ34" s="4"/>
    </row>
    <row r="35" spans="1:52" s="13" customFormat="1" ht="21" customHeight="1" x14ac:dyDescent="0.2">
      <c r="A35" s="126" t="s">
        <v>46</v>
      </c>
      <c r="B35" s="126"/>
      <c r="C35" s="126"/>
      <c r="D35" s="126"/>
      <c r="E35" s="126"/>
      <c r="F35" s="126"/>
      <c r="G35" s="126"/>
      <c r="H35" s="126"/>
      <c r="I35" s="126"/>
      <c r="J35" s="126"/>
      <c r="K35" s="126"/>
      <c r="L35" s="126"/>
      <c r="M35" s="126"/>
      <c r="N35" s="126"/>
      <c r="O35" s="126"/>
      <c r="P35" s="126"/>
      <c r="Q35" s="126"/>
      <c r="R35" s="126"/>
      <c r="S35" s="126"/>
      <c r="T35" s="126"/>
      <c r="U35" s="126"/>
      <c r="V35" s="126"/>
      <c r="W35" s="126"/>
      <c r="X35" s="126"/>
      <c r="Y35" s="126"/>
      <c r="Z35" s="126"/>
      <c r="AA35" s="126"/>
      <c r="AB35" s="126"/>
      <c r="AC35" s="126"/>
      <c r="AD35" s="126"/>
      <c r="AE35" s="126"/>
      <c r="AF35" s="126"/>
      <c r="AG35" s="126"/>
      <c r="AH35" s="126"/>
      <c r="AI35" s="126"/>
      <c r="AJ35" s="126"/>
    </row>
    <row r="36" spans="1:52" s="13" customFormat="1" ht="25.5" customHeight="1" x14ac:dyDescent="0.2">
      <c r="A36" s="127" t="str">
        <f>'Данные объект'!C34</f>
        <v>Гл. специалист ССК УКС ПАО "Россети Московский регион" Алексанян Г.Р. Приказ №1904 от 03 июня 2026г (НРС С-50-069023)</v>
      </c>
      <c r="B36" s="127"/>
      <c r="C36" s="127"/>
      <c r="D36" s="127"/>
      <c r="E36" s="127"/>
      <c r="F36" s="127"/>
      <c r="G36" s="127"/>
      <c r="H36" s="127"/>
      <c r="I36" s="127"/>
      <c r="J36" s="127"/>
      <c r="K36" s="127"/>
      <c r="L36" s="127"/>
      <c r="M36" s="127"/>
      <c r="N36" s="127"/>
      <c r="O36" s="127"/>
      <c r="P36" s="127"/>
      <c r="Q36" s="127"/>
      <c r="R36" s="127"/>
      <c r="S36" s="127"/>
      <c r="T36" s="127"/>
      <c r="U36" s="127"/>
      <c r="V36" s="127"/>
      <c r="W36" s="127"/>
      <c r="X36" s="127"/>
      <c r="Y36" s="127"/>
      <c r="Z36" s="127"/>
      <c r="AA36" s="127"/>
      <c r="AB36" s="127"/>
      <c r="AC36" s="127"/>
      <c r="AD36" s="127"/>
      <c r="AE36" s="127"/>
      <c r="AF36" s="127"/>
      <c r="AG36" s="127"/>
      <c r="AH36" s="127"/>
      <c r="AI36" s="127"/>
      <c r="AJ36" s="127"/>
    </row>
    <row r="37" spans="1:52" s="14" customFormat="1" ht="28.5" customHeight="1" x14ac:dyDescent="0.15">
      <c r="A37" s="128" t="s">
        <v>47</v>
      </c>
      <c r="B37" s="129"/>
      <c r="C37" s="129"/>
      <c r="D37" s="129"/>
      <c r="E37" s="129"/>
      <c r="F37" s="129"/>
      <c r="G37" s="129"/>
      <c r="H37" s="129"/>
      <c r="I37" s="129"/>
      <c r="J37" s="129"/>
      <c r="K37" s="129"/>
      <c r="L37" s="129"/>
      <c r="M37" s="129"/>
      <c r="N37" s="129"/>
      <c r="O37" s="129"/>
      <c r="P37" s="129"/>
      <c r="Q37" s="129"/>
      <c r="R37" s="129"/>
      <c r="S37" s="129"/>
      <c r="T37" s="129"/>
      <c r="U37" s="129"/>
      <c r="V37" s="129"/>
      <c r="W37" s="129"/>
      <c r="X37" s="129"/>
      <c r="Y37" s="129"/>
      <c r="Z37" s="129"/>
      <c r="AA37" s="129"/>
      <c r="AB37" s="129"/>
      <c r="AC37" s="129"/>
      <c r="AD37" s="129"/>
      <c r="AE37" s="129"/>
      <c r="AF37" s="129"/>
      <c r="AG37" s="129"/>
      <c r="AH37" s="129"/>
      <c r="AI37" s="129"/>
      <c r="AJ37" s="129"/>
    </row>
    <row r="38" spans="1:52" s="13" customFormat="1" ht="21.75" customHeight="1" x14ac:dyDescent="0.2">
      <c r="A38" s="127" t="str">
        <f>'Данные объект'!C23</f>
        <v>ПАО "Россети Московский регион" ОГРН 1057746555811 ИНН 5036065113 КПП 772501001,115114, город Москва, проезд Павелецкий 2-й, дом 3, строение 2</v>
      </c>
      <c r="B38" s="127"/>
      <c r="C38" s="127"/>
      <c r="D38" s="127"/>
      <c r="E38" s="127"/>
      <c r="F38" s="127"/>
      <c r="G38" s="127"/>
      <c r="H38" s="127"/>
      <c r="I38" s="127"/>
      <c r="J38" s="127"/>
      <c r="K38" s="127"/>
      <c r="L38" s="127"/>
      <c r="M38" s="127"/>
      <c r="N38" s="127"/>
      <c r="O38" s="127"/>
      <c r="P38" s="127"/>
      <c r="Q38" s="127"/>
      <c r="R38" s="127"/>
      <c r="S38" s="127"/>
      <c r="T38" s="127"/>
      <c r="U38" s="127"/>
      <c r="V38" s="127"/>
      <c r="W38" s="127"/>
      <c r="X38" s="127"/>
      <c r="Y38" s="127"/>
      <c r="Z38" s="127"/>
      <c r="AA38" s="127"/>
      <c r="AB38" s="127"/>
      <c r="AC38" s="127"/>
      <c r="AD38" s="127"/>
      <c r="AE38" s="127"/>
      <c r="AF38" s="127"/>
      <c r="AG38" s="127"/>
      <c r="AH38" s="127"/>
      <c r="AI38" s="127"/>
      <c r="AJ38" s="127"/>
    </row>
    <row r="39" spans="1:52" s="14" customFormat="1" ht="25.5" customHeight="1" x14ac:dyDescent="0.2">
      <c r="A39" s="145" t="s">
        <v>48</v>
      </c>
      <c r="B39" s="145"/>
      <c r="C39" s="145"/>
      <c r="D39" s="145"/>
      <c r="E39" s="145"/>
      <c r="F39" s="145"/>
      <c r="G39" s="145"/>
      <c r="H39" s="145"/>
      <c r="I39" s="145"/>
      <c r="J39" s="145"/>
      <c r="K39" s="145"/>
      <c r="L39" s="145"/>
      <c r="M39" s="145"/>
      <c r="N39" s="145"/>
      <c r="O39" s="145"/>
      <c r="P39" s="145"/>
      <c r="Q39" s="145"/>
      <c r="R39" s="145"/>
      <c r="S39" s="145"/>
      <c r="T39" s="145"/>
      <c r="U39" s="145"/>
      <c r="V39" s="145"/>
      <c r="W39" s="145"/>
      <c r="X39" s="145"/>
      <c r="Y39" s="145"/>
      <c r="Z39" s="145"/>
      <c r="AA39" s="145"/>
      <c r="AB39" s="145"/>
      <c r="AC39" s="145"/>
      <c r="AD39" s="145"/>
      <c r="AE39" s="145"/>
      <c r="AF39" s="145"/>
      <c r="AG39" s="145"/>
      <c r="AH39" s="145"/>
      <c r="AI39" s="145"/>
      <c r="AJ39" s="145"/>
      <c r="AZ39" s="13"/>
    </row>
    <row r="40" spans="1:52" s="13" customFormat="1" ht="12" customHeight="1" x14ac:dyDescent="0.2">
      <c r="A40" s="13" t="s">
        <v>25</v>
      </c>
    </row>
    <row r="41" spans="1:52" s="13" customFormat="1" ht="12" customHeight="1" x14ac:dyDescent="0.2">
      <c r="A41" s="139" t="str">
        <f>'Данные объект'!C21</f>
        <v>Прораб ООО"Энергосистемы" Волков М.Ю..Приказ №05-ОТ/24 от 09 января 2024г</v>
      </c>
      <c r="B41" s="139"/>
      <c r="C41" s="139"/>
      <c r="D41" s="139"/>
      <c r="E41" s="139"/>
      <c r="F41" s="139"/>
      <c r="G41" s="139"/>
      <c r="H41" s="139"/>
      <c r="I41" s="139"/>
      <c r="J41" s="139"/>
      <c r="K41" s="139"/>
      <c r="L41" s="139"/>
      <c r="M41" s="139"/>
      <c r="N41" s="139"/>
      <c r="O41" s="139"/>
      <c r="P41" s="139"/>
      <c r="Q41" s="139"/>
      <c r="R41" s="139"/>
      <c r="S41" s="139"/>
      <c r="T41" s="139"/>
      <c r="U41" s="139"/>
      <c r="V41" s="139"/>
      <c r="W41" s="139"/>
      <c r="X41" s="139"/>
      <c r="Y41" s="139"/>
      <c r="Z41" s="139"/>
      <c r="AA41" s="139"/>
      <c r="AB41" s="139"/>
      <c r="AC41" s="139"/>
      <c r="AD41" s="139"/>
      <c r="AE41" s="139"/>
      <c r="AF41" s="139"/>
      <c r="AG41" s="139"/>
      <c r="AH41" s="139"/>
      <c r="AI41" s="139"/>
      <c r="AJ41" s="139"/>
    </row>
    <row r="42" spans="1:52" s="14" customFormat="1" ht="9" customHeight="1" x14ac:dyDescent="0.15">
      <c r="A42" s="128" t="s">
        <v>26</v>
      </c>
      <c r="B42" s="129"/>
      <c r="C42" s="129"/>
      <c r="D42" s="129"/>
      <c r="E42" s="129"/>
      <c r="F42" s="129"/>
      <c r="G42" s="129"/>
      <c r="H42" s="129"/>
      <c r="I42" s="129"/>
      <c r="J42" s="129"/>
      <c r="K42" s="129"/>
      <c r="L42" s="129"/>
      <c r="M42" s="129"/>
      <c r="N42" s="129"/>
      <c r="O42" s="129"/>
      <c r="P42" s="129"/>
      <c r="Q42" s="129"/>
      <c r="R42" s="129"/>
      <c r="S42" s="129"/>
      <c r="T42" s="129"/>
      <c r="U42" s="129"/>
      <c r="V42" s="129"/>
      <c r="W42" s="129"/>
      <c r="X42" s="129"/>
      <c r="Y42" s="129"/>
      <c r="Z42" s="129"/>
      <c r="AA42" s="129"/>
      <c r="AB42" s="129"/>
      <c r="AC42" s="129"/>
      <c r="AD42" s="129"/>
      <c r="AE42" s="129"/>
      <c r="AF42" s="129"/>
      <c r="AG42" s="129"/>
      <c r="AH42" s="129"/>
      <c r="AI42" s="129"/>
      <c r="AJ42" s="129"/>
    </row>
    <row r="43" spans="1:52" s="13" customFormat="1" ht="17.25" customHeight="1" x14ac:dyDescent="0.2">
      <c r="A43" s="126" t="s">
        <v>49</v>
      </c>
      <c r="B43" s="126"/>
      <c r="C43" s="126"/>
      <c r="D43" s="126"/>
      <c r="E43" s="126"/>
      <c r="F43" s="126"/>
      <c r="G43" s="126"/>
      <c r="H43" s="126"/>
      <c r="I43" s="126"/>
      <c r="J43" s="126"/>
      <c r="K43" s="126"/>
      <c r="L43" s="126"/>
      <c r="M43" s="126"/>
      <c r="N43" s="126"/>
      <c r="O43" s="126"/>
      <c r="P43" s="126"/>
      <c r="Q43" s="126"/>
      <c r="R43" s="126"/>
      <c r="S43" s="126"/>
      <c r="T43" s="126"/>
      <c r="U43" s="126"/>
      <c r="V43" s="126"/>
      <c r="W43" s="126"/>
      <c r="X43" s="126"/>
      <c r="Y43" s="126"/>
      <c r="Z43" s="126"/>
      <c r="AA43" s="126"/>
      <c r="AB43" s="126"/>
      <c r="AC43" s="126"/>
      <c r="AD43" s="126"/>
      <c r="AE43" s="126"/>
      <c r="AF43" s="126"/>
      <c r="AG43" s="126"/>
      <c r="AH43" s="126"/>
      <c r="AI43" s="126"/>
      <c r="AJ43" s="126"/>
    </row>
    <row r="44" spans="1:52" s="31" customFormat="1" ht="22.5" customHeight="1" x14ac:dyDescent="0.2">
      <c r="A44" s="127" t="str">
        <f>'Данные объект'!C18</f>
        <v>Инженер по строительному контролю ООО"Энергосистемы" Русин В.А..Приказ № 13-ОТ/25 от 05 мая 2025 (НОСТРОЙ С-50-085497)</v>
      </c>
      <c r="B44" s="127"/>
      <c r="C44" s="127"/>
      <c r="D44" s="127"/>
      <c r="E44" s="127"/>
      <c r="F44" s="127"/>
      <c r="G44" s="127"/>
      <c r="H44" s="127"/>
      <c r="I44" s="127"/>
      <c r="J44" s="127"/>
      <c r="K44" s="127"/>
      <c r="L44" s="127"/>
      <c r="M44" s="127"/>
      <c r="N44" s="127"/>
      <c r="O44" s="127"/>
      <c r="P44" s="127"/>
      <c r="Q44" s="127"/>
      <c r="R44" s="127"/>
      <c r="S44" s="127"/>
      <c r="T44" s="127"/>
      <c r="U44" s="127"/>
      <c r="V44" s="127"/>
      <c r="W44" s="127"/>
      <c r="X44" s="127"/>
      <c r="Y44" s="127"/>
      <c r="Z44" s="127"/>
      <c r="AA44" s="127"/>
      <c r="AB44" s="127"/>
      <c r="AC44" s="127"/>
      <c r="AD44" s="127"/>
      <c r="AE44" s="127"/>
      <c r="AF44" s="127"/>
      <c r="AG44" s="127"/>
      <c r="AH44" s="127"/>
      <c r="AI44" s="127"/>
      <c r="AJ44" s="127"/>
    </row>
    <row r="45" spans="1:52" s="14" customFormat="1" ht="30" customHeight="1" x14ac:dyDescent="0.15">
      <c r="A45" s="128" t="s">
        <v>50</v>
      </c>
      <c r="B45" s="129"/>
      <c r="C45" s="129"/>
      <c r="D45" s="129"/>
      <c r="E45" s="129"/>
      <c r="F45" s="129"/>
      <c r="G45" s="129"/>
      <c r="H45" s="129"/>
      <c r="I45" s="129"/>
      <c r="J45" s="129"/>
      <c r="K45" s="129"/>
      <c r="L45" s="129"/>
      <c r="M45" s="129"/>
      <c r="N45" s="129"/>
      <c r="O45" s="129"/>
      <c r="P45" s="129"/>
      <c r="Q45" s="129"/>
      <c r="R45" s="129"/>
      <c r="S45" s="129"/>
      <c r="T45" s="129"/>
      <c r="U45" s="129"/>
      <c r="V45" s="129"/>
      <c r="W45" s="129"/>
      <c r="X45" s="129"/>
      <c r="Y45" s="129"/>
      <c r="Z45" s="129"/>
      <c r="AA45" s="129"/>
      <c r="AB45" s="129"/>
      <c r="AC45" s="129"/>
      <c r="AD45" s="129"/>
      <c r="AE45" s="129"/>
      <c r="AF45" s="129"/>
      <c r="AG45" s="129"/>
      <c r="AH45" s="129"/>
      <c r="AI45" s="129"/>
      <c r="AJ45" s="129"/>
    </row>
    <row r="46" spans="1:52" s="14" customFormat="1" ht="11.25" x14ac:dyDescent="0.2">
      <c r="A46" s="126" t="s">
        <v>190</v>
      </c>
      <c r="B46" s="126"/>
      <c r="C46" s="126"/>
      <c r="D46" s="126"/>
      <c r="E46" s="126"/>
      <c r="F46" s="126"/>
      <c r="G46" s="126"/>
      <c r="H46" s="126"/>
      <c r="I46" s="126"/>
      <c r="J46" s="126"/>
      <c r="K46" s="126"/>
      <c r="L46" s="126"/>
      <c r="M46" s="126"/>
      <c r="N46" s="126"/>
      <c r="O46" s="126"/>
      <c r="P46" s="126"/>
      <c r="Q46" s="126"/>
      <c r="R46" s="126"/>
      <c r="S46" s="126"/>
      <c r="T46" s="126"/>
      <c r="U46" s="126"/>
      <c r="V46" s="126"/>
      <c r="W46" s="126"/>
      <c r="X46" s="126"/>
      <c r="Y46" s="126"/>
      <c r="Z46" s="126"/>
      <c r="AA46" s="126"/>
      <c r="AB46" s="126"/>
      <c r="AC46" s="126"/>
      <c r="AD46" s="126"/>
      <c r="AE46" s="126"/>
      <c r="AF46" s="126"/>
      <c r="AG46" s="126"/>
      <c r="AH46" s="126"/>
      <c r="AI46" s="126"/>
      <c r="AJ46" s="126"/>
    </row>
    <row r="47" spans="1:52" s="14" customFormat="1" ht="11.25" customHeight="1" x14ac:dyDescent="0.15">
      <c r="A47" s="127" t="str">
        <f>'Данные объект'!$C$36</f>
        <v>Мастер СРЭС СЭС филиала ПАО "Россети Московский регион" Курчин М.М.</v>
      </c>
      <c r="B47" s="127"/>
      <c r="C47" s="127"/>
      <c r="D47" s="127"/>
      <c r="E47" s="127"/>
      <c r="F47" s="127"/>
      <c r="G47" s="127"/>
      <c r="H47" s="127"/>
      <c r="I47" s="127"/>
      <c r="J47" s="127"/>
      <c r="K47" s="127"/>
      <c r="L47" s="127"/>
      <c r="M47" s="127"/>
      <c r="N47" s="127"/>
      <c r="O47" s="127"/>
      <c r="P47" s="127"/>
      <c r="Q47" s="127"/>
      <c r="R47" s="127"/>
      <c r="S47" s="127"/>
      <c r="T47" s="127"/>
      <c r="U47" s="127"/>
      <c r="V47" s="127"/>
      <c r="W47" s="127"/>
      <c r="X47" s="127"/>
      <c r="Y47" s="127"/>
      <c r="Z47" s="127"/>
      <c r="AA47" s="127"/>
      <c r="AB47" s="127"/>
      <c r="AC47" s="127"/>
      <c r="AD47" s="127"/>
      <c r="AE47" s="127"/>
      <c r="AF47" s="127"/>
      <c r="AG47" s="127"/>
      <c r="AH47" s="127"/>
      <c r="AI47" s="127"/>
      <c r="AJ47" s="127"/>
    </row>
    <row r="48" spans="1:52" s="14" customFormat="1" ht="8.25" x14ac:dyDescent="0.15">
      <c r="A48" s="128" t="s">
        <v>26</v>
      </c>
      <c r="B48" s="129"/>
      <c r="C48" s="129"/>
      <c r="D48" s="129"/>
      <c r="E48" s="129"/>
      <c r="F48" s="129"/>
      <c r="G48" s="129"/>
      <c r="H48" s="129"/>
      <c r="I48" s="129"/>
      <c r="J48" s="129"/>
      <c r="K48" s="129"/>
      <c r="L48" s="129"/>
      <c r="M48" s="129"/>
      <c r="N48" s="129"/>
      <c r="O48" s="129"/>
      <c r="P48" s="129"/>
      <c r="Q48" s="129"/>
      <c r="R48" s="129"/>
      <c r="S48" s="129"/>
      <c r="T48" s="129"/>
      <c r="U48" s="129"/>
      <c r="V48" s="129"/>
      <c r="W48" s="129"/>
      <c r="X48" s="129"/>
      <c r="Y48" s="129"/>
      <c r="Z48" s="129"/>
      <c r="AA48" s="129"/>
      <c r="AB48" s="129"/>
      <c r="AC48" s="129"/>
      <c r="AD48" s="129"/>
      <c r="AE48" s="129"/>
      <c r="AF48" s="129"/>
      <c r="AG48" s="129"/>
      <c r="AH48" s="129"/>
      <c r="AI48" s="129"/>
      <c r="AJ48" s="129"/>
    </row>
    <row r="49" spans="1:36" s="13" customFormat="1" ht="35.25" customHeight="1" x14ac:dyDescent="0.2">
      <c r="A49" s="136" t="s">
        <v>51</v>
      </c>
      <c r="B49" s="136"/>
      <c r="C49" s="136"/>
      <c r="D49" s="136"/>
      <c r="E49" s="136"/>
      <c r="F49" s="136"/>
      <c r="G49" s="136"/>
      <c r="H49" s="136"/>
      <c r="I49" s="136"/>
      <c r="J49" s="136"/>
      <c r="K49" s="136"/>
      <c r="L49" s="136"/>
      <c r="M49" s="136"/>
      <c r="N49" s="136"/>
      <c r="O49" s="136"/>
      <c r="P49" s="136"/>
      <c r="Q49" s="136"/>
      <c r="R49" s="136"/>
      <c r="S49" s="136"/>
      <c r="T49" s="136"/>
      <c r="U49" s="136"/>
      <c r="V49" s="136"/>
      <c r="W49" s="136"/>
      <c r="X49" s="136"/>
      <c r="Y49" s="136"/>
      <c r="Z49" s="136"/>
      <c r="AA49" s="136"/>
      <c r="AB49" s="136"/>
      <c r="AC49" s="136"/>
      <c r="AD49" s="136"/>
      <c r="AE49" s="136"/>
      <c r="AF49" s="136"/>
      <c r="AG49" s="136"/>
      <c r="AH49" s="136"/>
      <c r="AI49" s="136"/>
      <c r="AJ49" s="136"/>
    </row>
    <row r="50" spans="1:36" s="31" customFormat="1" ht="12.95" customHeight="1" x14ac:dyDescent="0.2">
      <c r="A50" s="139" t="s">
        <v>74</v>
      </c>
      <c r="B50" s="139"/>
      <c r="C50" s="139"/>
      <c r="D50" s="139"/>
      <c r="E50" s="139"/>
      <c r="F50" s="139"/>
      <c r="G50" s="139"/>
      <c r="H50" s="139"/>
      <c r="I50" s="139"/>
      <c r="J50" s="139"/>
      <c r="K50" s="139"/>
      <c r="L50" s="139"/>
      <c r="M50" s="139"/>
      <c r="N50" s="139"/>
      <c r="O50" s="139"/>
      <c r="P50" s="139"/>
      <c r="Q50" s="139"/>
      <c r="R50" s="139"/>
      <c r="S50" s="139"/>
      <c r="T50" s="139"/>
      <c r="U50" s="139"/>
      <c r="V50" s="139"/>
      <c r="W50" s="139"/>
      <c r="X50" s="139"/>
      <c r="Y50" s="139"/>
      <c r="Z50" s="139"/>
      <c r="AA50" s="139"/>
      <c r="AB50" s="139"/>
      <c r="AC50" s="139"/>
      <c r="AD50" s="139"/>
      <c r="AE50" s="139"/>
      <c r="AF50" s="139"/>
      <c r="AG50" s="139"/>
      <c r="AH50" s="139"/>
      <c r="AI50" s="139"/>
      <c r="AJ50" s="139"/>
    </row>
    <row r="51" spans="1:36" s="14" customFormat="1" ht="29.25" customHeight="1" x14ac:dyDescent="0.15">
      <c r="A51" s="128" t="s">
        <v>52</v>
      </c>
      <c r="B51" s="129"/>
      <c r="C51" s="129"/>
      <c r="D51" s="129"/>
      <c r="E51" s="129"/>
      <c r="F51" s="129"/>
      <c r="G51" s="129"/>
      <c r="H51" s="129"/>
      <c r="I51" s="129"/>
      <c r="J51" s="129"/>
      <c r="K51" s="129"/>
      <c r="L51" s="129"/>
      <c r="M51" s="129"/>
      <c r="N51" s="129"/>
      <c r="O51" s="129"/>
      <c r="P51" s="129"/>
      <c r="Q51" s="129"/>
      <c r="R51" s="129"/>
      <c r="S51" s="129"/>
      <c r="T51" s="129"/>
      <c r="U51" s="129"/>
      <c r="V51" s="129"/>
      <c r="W51" s="129"/>
      <c r="X51" s="129"/>
      <c r="Y51" s="129"/>
      <c r="Z51" s="129"/>
      <c r="AA51" s="129"/>
      <c r="AB51" s="129"/>
      <c r="AC51" s="129"/>
      <c r="AD51" s="129"/>
      <c r="AE51" s="129"/>
      <c r="AF51" s="129"/>
      <c r="AG51" s="129"/>
      <c r="AH51" s="129"/>
      <c r="AI51" s="129"/>
      <c r="AJ51" s="129"/>
    </row>
    <row r="52" spans="1:36" s="13" customFormat="1" ht="25.5" hidden="1" customHeight="1" x14ac:dyDescent="0.2">
      <c r="A52" s="136" t="s">
        <v>53</v>
      </c>
      <c r="B52" s="136"/>
      <c r="C52" s="136"/>
      <c r="D52" s="136"/>
      <c r="E52" s="136"/>
      <c r="F52" s="136"/>
      <c r="G52" s="136"/>
      <c r="H52" s="136"/>
      <c r="I52" s="136"/>
      <c r="J52" s="136"/>
      <c r="K52" s="136"/>
      <c r="L52" s="136"/>
      <c r="M52" s="136"/>
      <c r="N52" s="136"/>
      <c r="O52" s="136"/>
      <c r="P52" s="136"/>
      <c r="Q52" s="136"/>
      <c r="R52" s="136"/>
      <c r="S52" s="136"/>
      <c r="T52" s="136"/>
      <c r="U52" s="136"/>
      <c r="V52" s="136"/>
      <c r="W52" s="136"/>
      <c r="X52" s="136"/>
      <c r="Y52" s="136"/>
      <c r="Z52" s="136"/>
      <c r="AA52" s="136"/>
      <c r="AB52" s="136"/>
      <c r="AC52" s="136"/>
      <c r="AD52" s="136"/>
      <c r="AE52" s="136"/>
      <c r="AF52" s="136"/>
      <c r="AG52" s="136"/>
      <c r="AH52" s="136"/>
      <c r="AI52" s="136"/>
      <c r="AJ52" s="136"/>
    </row>
    <row r="53" spans="1:36" s="13" customFormat="1" ht="12" hidden="1" customHeight="1" x14ac:dyDescent="0.2">
      <c r="A53" s="127" t="e">
        <f>CONCATENATE(#REF!,", ",#REF!," - ",#REF!)</f>
        <v>#REF!</v>
      </c>
      <c r="B53" s="127"/>
      <c r="C53" s="127"/>
      <c r="D53" s="127"/>
      <c r="E53" s="127"/>
      <c r="F53" s="127"/>
      <c r="G53" s="127"/>
      <c r="H53" s="127"/>
      <c r="I53" s="127"/>
      <c r="J53" s="127"/>
      <c r="K53" s="127"/>
      <c r="L53" s="127"/>
      <c r="M53" s="127"/>
      <c r="N53" s="127"/>
      <c r="O53" s="127"/>
      <c r="P53" s="127"/>
      <c r="Q53" s="127"/>
      <c r="R53" s="127"/>
      <c r="S53" s="127"/>
      <c r="T53" s="127"/>
      <c r="U53" s="127"/>
      <c r="V53" s="127"/>
      <c r="W53" s="127"/>
      <c r="X53" s="127"/>
      <c r="Y53" s="127"/>
      <c r="Z53" s="127"/>
      <c r="AA53" s="127"/>
      <c r="AB53" s="127"/>
      <c r="AC53" s="127"/>
      <c r="AD53" s="127"/>
      <c r="AE53" s="127"/>
      <c r="AF53" s="127"/>
      <c r="AG53" s="127"/>
      <c r="AH53" s="127"/>
      <c r="AI53" s="127"/>
      <c r="AJ53" s="127"/>
    </row>
    <row r="54" spans="1:36" s="14" customFormat="1" ht="9.75" hidden="1" customHeight="1" x14ac:dyDescent="0.15">
      <c r="A54" s="128" t="s">
        <v>29</v>
      </c>
      <c r="B54" s="129"/>
      <c r="C54" s="129"/>
      <c r="D54" s="129"/>
      <c r="E54" s="129"/>
      <c r="F54" s="129"/>
      <c r="G54" s="129"/>
      <c r="H54" s="129"/>
      <c r="I54" s="129"/>
      <c r="J54" s="129"/>
      <c r="K54" s="129"/>
      <c r="L54" s="129"/>
      <c r="M54" s="129"/>
      <c r="N54" s="129"/>
      <c r="O54" s="129"/>
      <c r="P54" s="129"/>
      <c r="Q54" s="129"/>
      <c r="R54" s="129"/>
      <c r="S54" s="129"/>
      <c r="T54" s="129"/>
      <c r="U54" s="129"/>
      <c r="V54" s="129"/>
      <c r="W54" s="129"/>
      <c r="X54" s="129"/>
      <c r="Y54" s="129"/>
      <c r="Z54" s="129"/>
      <c r="AA54" s="129"/>
      <c r="AB54" s="129"/>
      <c r="AC54" s="129"/>
      <c r="AD54" s="129"/>
      <c r="AE54" s="129"/>
      <c r="AF54" s="129"/>
      <c r="AG54" s="129"/>
      <c r="AH54" s="129"/>
      <c r="AI54" s="129"/>
      <c r="AJ54" s="129"/>
    </row>
    <row r="55" spans="1:36" s="13" customFormat="1" ht="12" hidden="1" customHeight="1" x14ac:dyDescent="0.2">
      <c r="A55" s="127"/>
      <c r="B55" s="127"/>
      <c r="C55" s="127"/>
      <c r="D55" s="127"/>
      <c r="E55" s="127"/>
      <c r="F55" s="127"/>
      <c r="G55" s="127"/>
      <c r="H55" s="127"/>
      <c r="I55" s="127"/>
      <c r="J55" s="127"/>
      <c r="K55" s="127"/>
      <c r="L55" s="127"/>
      <c r="M55" s="127"/>
      <c r="N55" s="127"/>
      <c r="O55" s="127"/>
      <c r="P55" s="127"/>
      <c r="Q55" s="127"/>
      <c r="R55" s="127"/>
      <c r="S55" s="127"/>
      <c r="T55" s="127"/>
      <c r="U55" s="127"/>
      <c r="V55" s="127"/>
      <c r="W55" s="127"/>
      <c r="X55" s="127"/>
      <c r="Y55" s="127"/>
      <c r="Z55" s="127"/>
      <c r="AA55" s="127"/>
      <c r="AB55" s="127"/>
      <c r="AC55" s="127"/>
      <c r="AD55" s="127"/>
      <c r="AE55" s="127"/>
      <c r="AF55" s="127"/>
      <c r="AG55" s="127"/>
      <c r="AH55" s="127"/>
      <c r="AI55" s="127"/>
      <c r="AJ55" s="127"/>
    </row>
    <row r="56" spans="1:36" s="14" customFormat="1" ht="16.5" hidden="1" customHeight="1" x14ac:dyDescent="0.15">
      <c r="A56" s="128" t="s">
        <v>54</v>
      </c>
      <c r="B56" s="128"/>
      <c r="C56" s="128"/>
      <c r="D56" s="128"/>
      <c r="E56" s="128"/>
      <c r="F56" s="128"/>
      <c r="G56" s="128"/>
      <c r="H56" s="128"/>
      <c r="I56" s="128"/>
      <c r="J56" s="128"/>
      <c r="K56" s="128"/>
      <c r="L56" s="128"/>
      <c r="M56" s="128"/>
      <c r="N56" s="128"/>
      <c r="O56" s="128"/>
      <c r="P56" s="128"/>
      <c r="Q56" s="128"/>
      <c r="R56" s="128"/>
      <c r="S56" s="128"/>
      <c r="T56" s="128"/>
      <c r="U56" s="128"/>
      <c r="V56" s="128"/>
      <c r="W56" s="128"/>
      <c r="X56" s="128"/>
      <c r="Y56" s="128"/>
      <c r="Z56" s="128"/>
      <c r="AA56" s="128"/>
      <c r="AB56" s="128"/>
      <c r="AC56" s="128"/>
      <c r="AD56" s="128"/>
      <c r="AE56" s="128"/>
      <c r="AF56" s="128"/>
      <c r="AG56" s="128"/>
      <c r="AH56" s="128"/>
      <c r="AI56" s="128"/>
      <c r="AJ56" s="128"/>
    </row>
    <row r="57" spans="1:36" s="13" customFormat="1" ht="12" customHeight="1" x14ac:dyDescent="0.2">
      <c r="A57" s="13" t="s">
        <v>16</v>
      </c>
    </row>
    <row r="58" spans="1:36" s="13" customFormat="1" ht="12.95" customHeight="1" x14ac:dyDescent="0.2">
      <c r="A58" s="130" t="str">
        <f>'Данные объект'!B11</f>
        <v>ООО"Энергосистемы"</v>
      </c>
      <c r="B58" s="130"/>
      <c r="C58" s="130"/>
      <c r="D58" s="130"/>
      <c r="E58" s="130"/>
      <c r="F58" s="130"/>
      <c r="G58" s="130"/>
      <c r="H58" s="130"/>
      <c r="I58" s="130"/>
      <c r="J58" s="130"/>
      <c r="K58" s="130"/>
      <c r="L58" s="130"/>
      <c r="M58" s="130"/>
      <c r="N58" s="130"/>
      <c r="O58" s="130"/>
      <c r="P58" s="130"/>
      <c r="Q58" s="130"/>
      <c r="R58" s="130"/>
      <c r="S58" s="130"/>
      <c r="T58" s="130"/>
      <c r="U58" s="130"/>
      <c r="V58" s="130"/>
      <c r="W58" s="130"/>
      <c r="X58" s="130"/>
      <c r="Y58" s="130"/>
      <c r="Z58" s="130"/>
      <c r="AA58" s="130"/>
      <c r="AB58" s="130"/>
      <c r="AC58" s="130"/>
      <c r="AD58" s="130"/>
      <c r="AE58" s="130"/>
      <c r="AF58" s="130"/>
      <c r="AG58" s="130"/>
      <c r="AH58" s="130"/>
      <c r="AI58" s="130"/>
      <c r="AJ58" s="130"/>
    </row>
    <row r="59" spans="1:36" s="14" customFormat="1" ht="10.5" customHeight="1" x14ac:dyDescent="0.15">
      <c r="A59" s="134" t="s">
        <v>38</v>
      </c>
      <c r="B59" s="134"/>
      <c r="C59" s="134"/>
      <c r="D59" s="134"/>
      <c r="E59" s="134"/>
      <c r="F59" s="134"/>
      <c r="G59" s="134"/>
      <c r="H59" s="134"/>
      <c r="I59" s="134"/>
      <c r="J59" s="134"/>
      <c r="K59" s="134"/>
      <c r="L59" s="134"/>
      <c r="M59" s="134"/>
      <c r="N59" s="134"/>
      <c r="O59" s="134"/>
      <c r="P59" s="134"/>
      <c r="Q59" s="134"/>
      <c r="R59" s="134"/>
      <c r="S59" s="134"/>
      <c r="T59" s="134"/>
      <c r="U59" s="134"/>
      <c r="V59" s="134"/>
      <c r="W59" s="134"/>
      <c r="X59" s="134"/>
      <c r="Y59" s="134"/>
      <c r="Z59" s="134"/>
      <c r="AA59" s="134"/>
      <c r="AB59" s="134"/>
      <c r="AC59" s="134"/>
      <c r="AD59" s="134"/>
      <c r="AE59" s="134"/>
      <c r="AF59" s="134"/>
      <c r="AG59" s="134"/>
      <c r="AH59" s="134"/>
      <c r="AI59" s="134"/>
      <c r="AJ59" s="134"/>
    </row>
    <row r="60" spans="1:36" s="13" customFormat="1" ht="12" customHeight="1" x14ac:dyDescent="0.2">
      <c r="A60" s="13" t="s">
        <v>15</v>
      </c>
    </row>
    <row r="61" spans="1:36" s="13" customFormat="1" ht="12" customHeight="1" x14ac:dyDescent="0.2">
      <c r="A61" s="13" t="s">
        <v>30</v>
      </c>
    </row>
    <row r="62" spans="1:36" s="13" customFormat="1" ht="12.75" customHeight="1" x14ac:dyDescent="0.2">
      <c r="A62" s="146" t="s">
        <v>97</v>
      </c>
      <c r="B62" s="146"/>
      <c r="C62" s="146"/>
      <c r="D62" s="146"/>
      <c r="E62" s="146"/>
      <c r="F62" s="146"/>
      <c r="G62" s="146"/>
      <c r="H62" s="146"/>
      <c r="I62" s="30"/>
      <c r="J62" s="141" t="s">
        <v>155</v>
      </c>
      <c r="K62" s="141"/>
      <c r="L62" s="141"/>
      <c r="M62" s="65"/>
      <c r="N62" s="141">
        <f>'АОСР-2'!R62</f>
        <v>9.3625000000000007</v>
      </c>
      <c r="O62" s="141"/>
      <c r="P62" s="141"/>
      <c r="Q62" s="141"/>
      <c r="R62" s="141" t="s">
        <v>82</v>
      </c>
      <c r="S62" s="141"/>
      <c r="T62" s="101"/>
      <c r="U62" s="101"/>
      <c r="V62" s="101"/>
      <c r="W62" s="101"/>
      <c r="X62" s="74"/>
      <c r="Y62" s="74"/>
      <c r="Z62" s="101"/>
      <c r="AA62" s="101"/>
      <c r="AB62" s="101"/>
      <c r="AC62" s="101"/>
      <c r="AD62" s="101"/>
      <c r="AE62" s="101"/>
      <c r="AF62" s="73"/>
      <c r="AG62" s="73"/>
      <c r="AH62" s="73"/>
      <c r="AI62" s="73"/>
      <c r="AJ62" s="30"/>
    </row>
    <row r="63" spans="1:36" s="14" customFormat="1" ht="8.25" customHeight="1" x14ac:dyDescent="0.15">
      <c r="A63" s="128" t="s">
        <v>14</v>
      </c>
      <c r="B63" s="129"/>
      <c r="C63" s="129"/>
      <c r="D63" s="129"/>
      <c r="E63" s="129"/>
      <c r="F63" s="129"/>
      <c r="G63" s="129"/>
      <c r="H63" s="129"/>
      <c r="I63" s="129"/>
      <c r="J63" s="129"/>
      <c r="K63" s="129"/>
      <c r="L63" s="129"/>
      <c r="M63" s="129"/>
      <c r="N63" s="129"/>
      <c r="O63" s="129"/>
      <c r="P63" s="129"/>
      <c r="Q63" s="129"/>
      <c r="R63" s="129"/>
      <c r="S63" s="129"/>
      <c r="T63" s="129"/>
      <c r="U63" s="129"/>
      <c r="V63" s="129"/>
      <c r="W63" s="129"/>
      <c r="X63" s="129"/>
      <c r="Y63" s="129"/>
      <c r="Z63" s="129"/>
      <c r="AA63" s="129"/>
      <c r="AB63" s="129"/>
      <c r="AC63" s="129"/>
      <c r="AD63" s="129"/>
      <c r="AE63" s="129"/>
      <c r="AF63" s="129"/>
      <c r="AG63" s="129"/>
      <c r="AH63" s="129"/>
      <c r="AI63" s="129"/>
      <c r="AJ63" s="129"/>
    </row>
    <row r="64" spans="1:36" s="13" customFormat="1" ht="12" customHeight="1" x14ac:dyDescent="0.2">
      <c r="A64" s="13" t="s">
        <v>13</v>
      </c>
    </row>
    <row r="65" spans="1:36" s="13" customFormat="1" ht="12" customHeight="1" x14ac:dyDescent="0.2">
      <c r="A65" s="127" t="str">
        <f>'Данные объект'!B43</f>
        <v>4609-305042-221-10/24</v>
      </c>
      <c r="B65" s="127"/>
      <c r="C65" s="127"/>
      <c r="D65" s="127"/>
      <c r="E65" s="127"/>
      <c r="F65" s="127"/>
      <c r="G65" s="127"/>
      <c r="H65" s="127"/>
      <c r="I65" s="127"/>
      <c r="J65" s="127"/>
      <c r="K65" s="127"/>
      <c r="L65" s="127"/>
      <c r="M65" s="127"/>
      <c r="N65" s="127"/>
      <c r="O65" s="127"/>
      <c r="P65" s="127"/>
      <c r="Q65" s="127"/>
      <c r="R65" s="127"/>
      <c r="S65" s="127"/>
      <c r="T65" s="127"/>
      <c r="U65" s="127"/>
      <c r="V65" s="127"/>
      <c r="W65" s="127"/>
      <c r="X65" s="127"/>
      <c r="Y65" s="127"/>
      <c r="Z65" s="127"/>
      <c r="AA65" s="127"/>
      <c r="AB65" s="127"/>
      <c r="AC65" s="127"/>
      <c r="AD65" s="127"/>
      <c r="AE65" s="127"/>
      <c r="AF65" s="127"/>
      <c r="AG65" s="127"/>
      <c r="AH65" s="127"/>
      <c r="AI65" s="127"/>
      <c r="AJ65" s="127"/>
    </row>
    <row r="66" spans="1:36" s="14" customFormat="1" ht="15" customHeight="1" x14ac:dyDescent="0.15">
      <c r="A66" s="128" t="s">
        <v>39</v>
      </c>
      <c r="B66" s="129"/>
      <c r="C66" s="129"/>
      <c r="D66" s="129"/>
      <c r="E66" s="129"/>
      <c r="F66" s="129"/>
      <c r="G66" s="129"/>
      <c r="H66" s="129"/>
      <c r="I66" s="129"/>
      <c r="J66" s="129"/>
      <c r="K66" s="129"/>
      <c r="L66" s="129"/>
      <c r="M66" s="129"/>
      <c r="N66" s="129"/>
      <c r="O66" s="129"/>
      <c r="P66" s="129"/>
      <c r="Q66" s="129"/>
      <c r="R66" s="129"/>
      <c r="S66" s="129"/>
      <c r="T66" s="129"/>
      <c r="U66" s="129"/>
      <c r="V66" s="129"/>
      <c r="W66" s="129"/>
      <c r="X66" s="129"/>
      <c r="Y66" s="129"/>
      <c r="Z66" s="129"/>
      <c r="AA66" s="129"/>
      <c r="AB66" s="129"/>
      <c r="AC66" s="129"/>
      <c r="AD66" s="129"/>
      <c r="AE66" s="129"/>
      <c r="AF66" s="129"/>
      <c r="AG66" s="129"/>
      <c r="AH66" s="129"/>
      <c r="AI66" s="129"/>
      <c r="AJ66" s="129"/>
    </row>
    <row r="67" spans="1:36" s="13" customFormat="1" ht="12" customHeight="1" x14ac:dyDescent="0.2">
      <c r="A67" s="13" t="s">
        <v>12</v>
      </c>
      <c r="P67" s="130"/>
      <c r="Q67" s="130"/>
      <c r="R67" s="130"/>
      <c r="S67" s="130"/>
      <c r="T67" s="130"/>
      <c r="U67" s="130"/>
      <c r="V67" s="130"/>
      <c r="W67" s="130"/>
      <c r="X67" s="130"/>
      <c r="Y67" s="130"/>
      <c r="Z67" s="130"/>
      <c r="AA67" s="130"/>
      <c r="AB67" s="130"/>
      <c r="AC67" s="130"/>
      <c r="AD67" s="130"/>
      <c r="AE67" s="130"/>
      <c r="AF67" s="130"/>
      <c r="AG67" s="130"/>
      <c r="AH67" s="130"/>
      <c r="AI67" s="130"/>
      <c r="AJ67" s="130"/>
    </row>
    <row r="68" spans="1:36" s="18" customFormat="1" ht="7.5" customHeight="1" x14ac:dyDescent="0.15">
      <c r="A68" s="19"/>
      <c r="B68" s="19"/>
      <c r="C68" s="19"/>
      <c r="D68" s="19"/>
      <c r="E68" s="19"/>
      <c r="F68" s="19"/>
      <c r="G68" s="19"/>
      <c r="H68" s="19"/>
      <c r="I68" s="19"/>
      <c r="J68" s="19"/>
      <c r="K68" s="19"/>
      <c r="L68" s="19"/>
      <c r="M68" s="19"/>
      <c r="N68" s="19"/>
      <c r="O68" s="19"/>
      <c r="P68" s="135" t="s">
        <v>55</v>
      </c>
      <c r="Q68" s="135"/>
      <c r="R68" s="135"/>
      <c r="S68" s="135"/>
      <c r="T68" s="135"/>
      <c r="U68" s="135"/>
      <c r="V68" s="135"/>
      <c r="W68" s="135"/>
      <c r="X68" s="135"/>
      <c r="Y68" s="135"/>
      <c r="Z68" s="135"/>
      <c r="AA68" s="135"/>
      <c r="AB68" s="135"/>
      <c r="AC68" s="135"/>
      <c r="AD68" s="135"/>
      <c r="AE68" s="135"/>
      <c r="AF68" s="135"/>
      <c r="AG68" s="135"/>
      <c r="AH68" s="135"/>
      <c r="AI68" s="135"/>
      <c r="AJ68" s="135"/>
    </row>
    <row r="69" spans="1:36" s="13" customFormat="1" ht="12" customHeight="1" x14ac:dyDescent="0.2">
      <c r="A69" s="146" t="s">
        <v>91</v>
      </c>
      <c r="B69" s="146"/>
      <c r="C69" s="146"/>
      <c r="D69" s="34" t="s">
        <v>74</v>
      </c>
      <c r="E69" s="139">
        <f>N62</f>
        <v>9.3625000000000007</v>
      </c>
      <c r="F69" s="139"/>
      <c r="G69" s="139"/>
      <c r="H69" s="139"/>
      <c r="I69" s="34" t="s">
        <v>82</v>
      </c>
      <c r="J69" s="34"/>
      <c r="K69" s="159" t="str">
        <f>'АОСР-2'!K69</f>
        <v>Паспорт качества № 1925 от 15.01.2025г.</v>
      </c>
      <c r="L69" s="159"/>
      <c r="M69" s="159"/>
      <c r="N69" s="159"/>
      <c r="O69" s="159"/>
      <c r="P69" s="159"/>
      <c r="Q69" s="159"/>
      <c r="R69" s="159"/>
      <c r="S69" s="159"/>
      <c r="T69" s="159"/>
      <c r="U69" s="159"/>
      <c r="V69" s="159"/>
      <c r="W69" s="159"/>
      <c r="X69" s="159"/>
      <c r="Y69" s="159"/>
      <c r="Z69" s="159"/>
      <c r="AA69" s="159"/>
      <c r="AB69" s="159"/>
      <c r="AC69" s="159"/>
      <c r="AD69" s="159"/>
      <c r="AE69" s="34"/>
      <c r="AF69" s="34"/>
      <c r="AG69" s="34"/>
      <c r="AH69" s="34"/>
      <c r="AI69" s="34"/>
      <c r="AJ69" s="34"/>
    </row>
    <row r="70" spans="1:36" s="14" customFormat="1" ht="18.75" customHeight="1" x14ac:dyDescent="0.15">
      <c r="A70" s="128" t="s">
        <v>56</v>
      </c>
      <c r="B70" s="129"/>
      <c r="C70" s="129"/>
      <c r="D70" s="129"/>
      <c r="E70" s="129"/>
      <c r="F70" s="129"/>
      <c r="G70" s="129"/>
      <c r="H70" s="129"/>
      <c r="I70" s="129"/>
      <c r="J70" s="129"/>
      <c r="K70" s="129"/>
      <c r="L70" s="129"/>
      <c r="M70" s="129"/>
      <c r="N70" s="129"/>
      <c r="O70" s="129"/>
      <c r="P70" s="129"/>
      <c r="Q70" s="129"/>
      <c r="R70" s="129"/>
      <c r="S70" s="129"/>
      <c r="T70" s="129"/>
      <c r="U70" s="129"/>
      <c r="V70" s="129"/>
      <c r="W70" s="129"/>
      <c r="X70" s="129"/>
      <c r="Y70" s="129"/>
      <c r="Z70" s="129"/>
      <c r="AA70" s="129"/>
      <c r="AB70" s="129"/>
      <c r="AC70" s="129"/>
      <c r="AD70" s="129"/>
      <c r="AE70" s="129"/>
      <c r="AF70" s="129"/>
      <c r="AG70" s="129"/>
      <c r="AH70" s="129"/>
      <c r="AI70" s="129"/>
      <c r="AJ70" s="129"/>
    </row>
    <row r="71" spans="1:36" s="13" customFormat="1" ht="12" customHeight="1" x14ac:dyDescent="0.2">
      <c r="A71" s="13" t="s">
        <v>11</v>
      </c>
    </row>
    <row r="72" spans="1:36" s="13" customFormat="1" ht="12" customHeight="1" x14ac:dyDescent="0.2">
      <c r="A72" s="13" t="s">
        <v>10</v>
      </c>
      <c r="G72" s="130" t="s">
        <v>89</v>
      </c>
      <c r="H72" s="130"/>
      <c r="I72" s="130"/>
      <c r="J72" s="130"/>
      <c r="K72" s="130"/>
      <c r="L72" s="130"/>
      <c r="M72" s="130"/>
      <c r="N72" s="130"/>
      <c r="O72" s="130"/>
      <c r="P72" s="130"/>
      <c r="Q72" s="130"/>
      <c r="R72" s="130"/>
      <c r="S72" s="130"/>
      <c r="T72" s="130"/>
      <c r="U72" s="130"/>
      <c r="V72" s="25" t="s">
        <v>88</v>
      </c>
      <c r="W72" s="130"/>
      <c r="X72" s="130"/>
      <c r="Y72" s="130"/>
      <c r="Z72" s="130"/>
      <c r="AA72" s="130"/>
      <c r="AB72" s="130"/>
      <c r="AC72" s="130"/>
      <c r="AD72" s="130"/>
      <c r="AE72" s="130"/>
      <c r="AF72" s="130"/>
      <c r="AG72" s="130"/>
      <c r="AH72" s="130"/>
      <c r="AI72" s="130"/>
      <c r="AJ72" s="130"/>
    </row>
    <row r="73" spans="1:36" s="14" customFormat="1" ht="7.5" customHeight="1" x14ac:dyDescent="0.15">
      <c r="A73" s="133"/>
      <c r="B73" s="133"/>
      <c r="C73" s="20"/>
      <c r="D73" s="20"/>
      <c r="E73" s="20"/>
      <c r="F73" s="20"/>
      <c r="G73" s="129" t="s">
        <v>9</v>
      </c>
      <c r="H73" s="129"/>
      <c r="I73" s="129"/>
      <c r="J73" s="129"/>
      <c r="K73" s="129"/>
      <c r="L73" s="129"/>
      <c r="M73" s="129"/>
      <c r="N73" s="129"/>
      <c r="O73" s="129"/>
      <c r="P73" s="129"/>
      <c r="Q73" s="129"/>
      <c r="R73" s="129"/>
      <c r="S73" s="129"/>
      <c r="T73" s="129"/>
      <c r="U73" s="129"/>
      <c r="V73" s="129"/>
      <c r="W73" s="129"/>
      <c r="X73" s="129"/>
      <c r="Y73" s="129"/>
      <c r="Z73" s="129"/>
      <c r="AA73" s="129"/>
      <c r="AB73" s="129"/>
      <c r="AC73" s="129"/>
      <c r="AD73" s="129"/>
      <c r="AE73" s="129"/>
      <c r="AF73" s="129"/>
      <c r="AG73" s="129"/>
      <c r="AH73" s="129"/>
      <c r="AI73" s="129"/>
      <c r="AJ73" s="129"/>
    </row>
    <row r="74" spans="1:36" s="13" customFormat="1" ht="12" customHeight="1" x14ac:dyDescent="0.2">
      <c r="A74" s="130"/>
      <c r="B74" s="130"/>
      <c r="C74" s="130"/>
      <c r="D74" s="130"/>
      <c r="E74" s="130"/>
      <c r="F74" s="130"/>
      <c r="G74" s="130"/>
      <c r="H74" s="130"/>
      <c r="I74" s="130"/>
      <c r="J74" s="130"/>
      <c r="K74" s="130"/>
      <c r="L74" s="130"/>
      <c r="M74" s="130"/>
      <c r="N74" s="130"/>
      <c r="O74" s="130"/>
      <c r="P74" s="130"/>
      <c r="Q74" s="130"/>
      <c r="R74" s="130"/>
      <c r="S74" s="130"/>
      <c r="T74" s="130"/>
      <c r="U74" s="130"/>
      <c r="V74" s="130"/>
      <c r="W74" s="130"/>
      <c r="X74" s="130"/>
      <c r="Y74" s="130"/>
      <c r="Z74" s="130"/>
      <c r="AA74" s="130"/>
      <c r="AB74" s="130"/>
      <c r="AC74" s="130"/>
      <c r="AD74" s="130"/>
      <c r="AE74" s="130"/>
      <c r="AF74" s="130"/>
      <c r="AG74" s="130"/>
      <c r="AH74" s="130"/>
      <c r="AI74" s="130"/>
      <c r="AJ74" s="130"/>
    </row>
    <row r="75" spans="1:36" s="14" customFormat="1" ht="7.5" customHeight="1" x14ac:dyDescent="0.15">
      <c r="A75" s="128" t="s">
        <v>31</v>
      </c>
      <c r="B75" s="129"/>
      <c r="C75" s="129"/>
      <c r="D75" s="129"/>
      <c r="E75" s="129"/>
      <c r="F75" s="129"/>
      <c r="G75" s="129"/>
      <c r="H75" s="129"/>
      <c r="I75" s="129"/>
      <c r="J75" s="129"/>
      <c r="K75" s="129"/>
      <c r="L75" s="129"/>
      <c r="M75" s="129"/>
      <c r="N75" s="129"/>
      <c r="O75" s="129"/>
      <c r="P75" s="129"/>
      <c r="Q75" s="129"/>
      <c r="R75" s="129"/>
      <c r="S75" s="129"/>
      <c r="T75" s="129"/>
      <c r="U75" s="129"/>
      <c r="V75" s="129"/>
      <c r="W75" s="129"/>
      <c r="X75" s="129"/>
      <c r="Y75" s="129"/>
      <c r="Z75" s="129"/>
      <c r="AA75" s="129"/>
      <c r="AB75" s="129"/>
      <c r="AC75" s="129"/>
      <c r="AD75" s="129"/>
      <c r="AE75" s="129"/>
      <c r="AF75" s="129"/>
      <c r="AG75" s="129"/>
      <c r="AH75" s="129"/>
      <c r="AI75" s="129"/>
      <c r="AJ75" s="129"/>
    </row>
    <row r="76" spans="1:36" ht="9" customHeight="1" x14ac:dyDescent="0.25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9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  <c r="AC76" s="8"/>
      <c r="AD76" s="8"/>
      <c r="AE76" s="8"/>
      <c r="AF76" s="8"/>
      <c r="AG76" s="8"/>
      <c r="AH76" s="8"/>
      <c r="AI76" s="8"/>
      <c r="AJ76" s="8"/>
    </row>
    <row r="77" spans="1:36" s="13" customFormat="1" ht="12" customHeight="1" x14ac:dyDescent="0.2">
      <c r="A77" s="13" t="s">
        <v>8</v>
      </c>
      <c r="D77" s="28"/>
      <c r="E77" s="28"/>
      <c r="F77" s="28"/>
      <c r="G77" s="28"/>
      <c r="L77" s="21"/>
      <c r="M77" s="32"/>
      <c r="N77" s="32"/>
      <c r="P77" s="131">
        <f>'Данные объект'!B6</f>
        <v>45695</v>
      </c>
      <c r="Q77" s="131"/>
      <c r="R77" s="131"/>
      <c r="S77" s="131"/>
      <c r="T77" s="131"/>
      <c r="U77" s="131"/>
      <c r="V77" s="131"/>
      <c r="W77" s="131"/>
      <c r="X77" s="13" t="s">
        <v>6</v>
      </c>
    </row>
    <row r="78" spans="1:36" s="13" customFormat="1" ht="12" customHeight="1" x14ac:dyDescent="0.2">
      <c r="A78" s="13" t="s">
        <v>7</v>
      </c>
      <c r="D78" s="28"/>
      <c r="E78" s="28"/>
      <c r="F78" s="28"/>
      <c r="G78" s="28"/>
      <c r="L78" s="21"/>
      <c r="M78" s="32"/>
      <c r="N78" s="32"/>
      <c r="P78" s="132">
        <f>'Данные объект'!B7</f>
        <v>45819</v>
      </c>
      <c r="Q78" s="132"/>
      <c r="R78" s="132"/>
      <c r="S78" s="132"/>
      <c r="T78" s="132"/>
      <c r="U78" s="132"/>
      <c r="V78" s="132"/>
      <c r="W78" s="132"/>
      <c r="X78" s="13" t="s">
        <v>6</v>
      </c>
    </row>
    <row r="79" spans="1:36" ht="7.5" customHeight="1" x14ac:dyDescent="0.25">
      <c r="A79" s="7"/>
      <c r="B79" s="7"/>
      <c r="C79" s="7"/>
      <c r="D79" s="10"/>
      <c r="E79" s="10"/>
      <c r="F79" s="10"/>
      <c r="G79" s="10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</row>
    <row r="80" spans="1:36" s="13" customFormat="1" ht="12" customHeight="1" x14ac:dyDescent="0.2">
      <c r="A80" s="13" t="s">
        <v>5</v>
      </c>
    </row>
    <row r="81" spans="1:36" s="13" customFormat="1" ht="12" customHeight="1" x14ac:dyDescent="0.2">
      <c r="A81" s="137" t="s">
        <v>103</v>
      </c>
      <c r="B81" s="137"/>
      <c r="C81" s="137"/>
      <c r="D81" s="137"/>
      <c r="E81" s="137"/>
      <c r="F81" s="137"/>
      <c r="G81" s="137"/>
      <c r="H81" s="137"/>
      <c r="I81" s="137"/>
      <c r="J81" s="137"/>
      <c r="K81" s="137"/>
      <c r="L81" s="137"/>
      <c r="M81" s="137"/>
      <c r="N81" s="137"/>
      <c r="O81" s="137"/>
      <c r="P81" s="137"/>
      <c r="Q81" s="137"/>
      <c r="R81" s="137"/>
      <c r="S81" s="137"/>
      <c r="T81" s="137"/>
      <c r="U81" s="137"/>
      <c r="V81" s="137"/>
      <c r="W81" s="137"/>
      <c r="X81" s="137"/>
      <c r="Y81" s="137"/>
      <c r="Z81" s="137"/>
      <c r="AA81" s="137"/>
      <c r="AB81" s="137"/>
      <c r="AC81" s="137"/>
      <c r="AD81" s="137"/>
      <c r="AE81" s="137"/>
      <c r="AF81" s="137"/>
      <c r="AG81" s="137"/>
      <c r="AH81" s="137"/>
      <c r="AI81" s="137"/>
      <c r="AJ81" s="137"/>
    </row>
    <row r="82" spans="1:36" s="14" customFormat="1" ht="8.25" customHeight="1" x14ac:dyDescent="0.15">
      <c r="A82" s="128" t="s">
        <v>4</v>
      </c>
      <c r="B82" s="129"/>
      <c r="C82" s="129"/>
      <c r="D82" s="129"/>
      <c r="E82" s="129"/>
      <c r="F82" s="129"/>
      <c r="G82" s="129"/>
      <c r="H82" s="129"/>
      <c r="I82" s="129"/>
      <c r="J82" s="129"/>
      <c r="K82" s="129"/>
      <c r="L82" s="129"/>
      <c r="M82" s="129"/>
      <c r="N82" s="129"/>
      <c r="O82" s="129"/>
      <c r="P82" s="129"/>
      <c r="Q82" s="129"/>
      <c r="R82" s="129"/>
      <c r="S82" s="129"/>
      <c r="T82" s="129"/>
      <c r="U82" s="129"/>
      <c r="V82" s="129"/>
      <c r="W82" s="129"/>
      <c r="X82" s="129"/>
      <c r="Y82" s="129"/>
      <c r="Z82" s="129"/>
      <c r="AA82" s="129"/>
      <c r="AB82" s="129"/>
      <c r="AC82" s="129"/>
      <c r="AD82" s="129"/>
      <c r="AE82" s="129"/>
      <c r="AF82" s="129"/>
      <c r="AG82" s="129"/>
      <c r="AH82" s="129"/>
      <c r="AI82" s="129"/>
      <c r="AJ82" s="129"/>
    </row>
    <row r="83" spans="1:36" s="13" customFormat="1" ht="12" customHeight="1" x14ac:dyDescent="0.2">
      <c r="A83" s="130"/>
      <c r="B83" s="130"/>
      <c r="C83" s="130"/>
      <c r="D83" s="130"/>
      <c r="E83" s="130"/>
      <c r="F83" s="130"/>
      <c r="G83" s="130"/>
      <c r="H83" s="130"/>
      <c r="I83" s="130"/>
      <c r="J83" s="130"/>
      <c r="K83" s="130"/>
      <c r="L83" s="130"/>
      <c r="M83" s="130"/>
      <c r="N83" s="130"/>
      <c r="O83" s="130"/>
      <c r="P83" s="130"/>
      <c r="Q83" s="130"/>
      <c r="R83" s="130"/>
      <c r="S83" s="130"/>
      <c r="T83" s="130"/>
      <c r="U83" s="130"/>
      <c r="V83" s="130"/>
      <c r="W83" s="130"/>
      <c r="X83" s="130"/>
      <c r="Y83" s="130"/>
      <c r="Z83" s="130"/>
      <c r="AA83" s="130"/>
      <c r="AB83" s="130"/>
      <c r="AC83" s="130"/>
      <c r="AD83" s="130"/>
      <c r="AE83" s="130"/>
      <c r="AF83" s="130"/>
      <c r="AG83" s="130"/>
      <c r="AH83" s="130"/>
      <c r="AI83" s="130"/>
      <c r="AJ83" s="130"/>
    </row>
    <row r="84" spans="1:36" s="14" customFormat="1" ht="8.25" customHeight="1" x14ac:dyDescent="0.15">
      <c r="A84" s="128" t="s">
        <v>57</v>
      </c>
      <c r="B84" s="129"/>
      <c r="C84" s="129"/>
      <c r="D84" s="129"/>
      <c r="E84" s="129"/>
      <c r="F84" s="129"/>
      <c r="G84" s="129"/>
      <c r="H84" s="129"/>
      <c r="I84" s="129"/>
      <c r="J84" s="129"/>
      <c r="K84" s="129"/>
      <c r="L84" s="129"/>
      <c r="M84" s="129"/>
      <c r="N84" s="129"/>
      <c r="O84" s="129"/>
      <c r="P84" s="129"/>
      <c r="Q84" s="129"/>
      <c r="R84" s="129"/>
      <c r="S84" s="129"/>
      <c r="T84" s="129"/>
      <c r="U84" s="129"/>
      <c r="V84" s="129"/>
      <c r="W84" s="129"/>
      <c r="X84" s="129"/>
      <c r="Y84" s="129"/>
      <c r="Z84" s="129"/>
      <c r="AA84" s="129"/>
      <c r="AB84" s="129"/>
      <c r="AC84" s="129"/>
      <c r="AD84" s="129"/>
      <c r="AE84" s="129"/>
      <c r="AF84" s="129"/>
      <c r="AG84" s="129"/>
      <c r="AH84" s="129"/>
      <c r="AI84" s="129"/>
      <c r="AJ84" s="129"/>
    </row>
    <row r="85" spans="1:36" s="13" customFormat="1" ht="12" customHeight="1" x14ac:dyDescent="0.2">
      <c r="A85" s="13" t="s">
        <v>3</v>
      </c>
    </row>
    <row r="86" spans="1:36" s="13" customFormat="1" ht="12" customHeight="1" x14ac:dyDescent="0.2">
      <c r="A86" s="158" t="s">
        <v>198</v>
      </c>
      <c r="B86" s="158"/>
      <c r="C86" s="158"/>
      <c r="D86" s="158"/>
      <c r="E86" s="158"/>
      <c r="F86" s="158"/>
      <c r="G86" s="158"/>
      <c r="H86" s="158"/>
      <c r="I86" s="158"/>
      <c r="J86" s="158"/>
      <c r="K86" s="158"/>
      <c r="L86" s="158"/>
      <c r="M86" s="158"/>
      <c r="N86" s="158"/>
      <c r="O86" s="158"/>
      <c r="P86" s="158"/>
      <c r="Q86" s="158"/>
      <c r="R86" s="158"/>
      <c r="S86" s="158"/>
      <c r="T86" s="158"/>
      <c r="U86" s="158"/>
      <c r="V86" s="158"/>
      <c r="W86" s="158"/>
      <c r="X86" s="158"/>
      <c r="Y86" s="158"/>
      <c r="Z86" s="158"/>
      <c r="AA86" s="158"/>
      <c r="AB86" s="158"/>
      <c r="AC86" s="158"/>
      <c r="AD86" s="158"/>
      <c r="AE86" s="158"/>
      <c r="AF86" s="158"/>
      <c r="AG86" s="158"/>
      <c r="AH86" s="158"/>
      <c r="AI86" s="158"/>
      <c r="AJ86" s="158"/>
    </row>
    <row r="87" spans="1:36" s="14" customFormat="1" ht="9" customHeight="1" x14ac:dyDescent="0.15">
      <c r="A87" s="128" t="s">
        <v>32</v>
      </c>
      <c r="B87" s="129"/>
      <c r="C87" s="129"/>
      <c r="D87" s="129"/>
      <c r="E87" s="129"/>
      <c r="F87" s="129"/>
      <c r="G87" s="129"/>
      <c r="H87" s="129"/>
      <c r="I87" s="129"/>
      <c r="J87" s="129"/>
      <c r="K87" s="129"/>
      <c r="L87" s="129"/>
      <c r="M87" s="129"/>
      <c r="N87" s="129"/>
      <c r="O87" s="129"/>
      <c r="P87" s="129"/>
      <c r="Q87" s="129"/>
      <c r="R87" s="129"/>
      <c r="S87" s="129"/>
      <c r="T87" s="129"/>
      <c r="U87" s="129"/>
      <c r="V87" s="129"/>
      <c r="W87" s="129"/>
      <c r="X87" s="129"/>
      <c r="Y87" s="129"/>
      <c r="Z87" s="129"/>
      <c r="AA87" s="129"/>
      <c r="AB87" s="129"/>
      <c r="AC87" s="129"/>
      <c r="AD87" s="129"/>
      <c r="AE87" s="129"/>
      <c r="AF87" s="129"/>
      <c r="AG87" s="129"/>
      <c r="AH87" s="129"/>
      <c r="AI87" s="129"/>
      <c r="AJ87" s="129"/>
    </row>
    <row r="88" spans="1:36" s="13" customFormat="1" ht="12" customHeight="1" x14ac:dyDescent="0.2">
      <c r="A88" s="13" t="s">
        <v>2</v>
      </c>
      <c r="L88" s="130"/>
      <c r="M88" s="130"/>
      <c r="N88" s="130"/>
      <c r="O88" s="130"/>
      <c r="P88" s="130"/>
      <c r="Q88" s="130"/>
      <c r="R88" s="130"/>
      <c r="S88" s="130"/>
      <c r="T88" s="130"/>
      <c r="U88" s="130"/>
      <c r="V88" s="130"/>
      <c r="W88" s="130"/>
      <c r="X88" s="130"/>
      <c r="Y88" s="130"/>
      <c r="Z88" s="130"/>
      <c r="AA88" s="130"/>
      <c r="AB88" s="130"/>
      <c r="AC88" s="130"/>
      <c r="AD88" s="130"/>
      <c r="AE88" s="130"/>
      <c r="AF88" s="130"/>
      <c r="AG88" s="130"/>
      <c r="AH88" s="130"/>
      <c r="AI88" s="130"/>
      <c r="AJ88" s="130"/>
    </row>
    <row r="89" spans="1:36" ht="6" customHeight="1" x14ac:dyDescent="0.25">
      <c r="A89" s="4"/>
      <c r="B89" s="4"/>
      <c r="C89" s="4"/>
      <c r="D89" s="11"/>
      <c r="E89" s="11"/>
      <c r="F89" s="11"/>
      <c r="G89" s="11"/>
      <c r="H89" s="11"/>
      <c r="I89" s="11"/>
      <c r="J89" s="11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</row>
    <row r="90" spans="1:36" s="13" customFormat="1" ht="12" customHeight="1" x14ac:dyDescent="0.2">
      <c r="A90" s="13" t="s">
        <v>87</v>
      </c>
      <c r="H90" s="130"/>
      <c r="I90" s="130"/>
      <c r="J90" s="13" t="s">
        <v>33</v>
      </c>
    </row>
    <row r="91" spans="1:36" ht="4.5" customHeight="1" x14ac:dyDescent="0.25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</row>
    <row r="92" spans="1:36" s="13" customFormat="1" ht="12" customHeight="1" x14ac:dyDescent="0.2">
      <c r="A92" s="13" t="s">
        <v>1</v>
      </c>
    </row>
    <row r="93" spans="1:36" s="13" customFormat="1" ht="12" customHeight="1" x14ac:dyDescent="0.2">
      <c r="A93" s="25" t="s">
        <v>83</v>
      </c>
      <c r="B93" s="25" t="str">
        <f>G72</f>
        <v>Исполнителная схема устройства траншеи</v>
      </c>
      <c r="C93" s="25"/>
      <c r="D93" s="25"/>
      <c r="E93" s="25"/>
      <c r="F93" s="25"/>
      <c r="G93" s="25"/>
      <c r="H93" s="25"/>
      <c r="I93" s="25"/>
      <c r="J93" s="25"/>
      <c r="K93" s="25"/>
      <c r="L93" s="26"/>
      <c r="M93" s="25"/>
      <c r="N93" s="25"/>
      <c r="O93" s="25"/>
      <c r="P93" s="26" t="s">
        <v>74</v>
      </c>
      <c r="Q93" s="25" t="s">
        <v>84</v>
      </c>
      <c r="R93" s="25"/>
      <c r="S93" s="25"/>
      <c r="T93" s="25"/>
      <c r="U93" s="25"/>
      <c r="V93" s="25"/>
      <c r="W93" s="25"/>
      <c r="X93" s="25"/>
      <c r="Y93" s="25"/>
      <c r="Z93" s="25"/>
      <c r="AA93" s="25"/>
      <c r="AB93" s="25"/>
      <c r="AC93" s="25"/>
      <c r="AD93" s="25"/>
      <c r="AE93" s="25"/>
      <c r="AF93" s="25"/>
      <c r="AG93" s="25"/>
      <c r="AH93" s="25"/>
      <c r="AI93" s="25"/>
      <c r="AJ93" s="25"/>
    </row>
    <row r="94" spans="1:36" s="13" customFormat="1" ht="12" customHeight="1" x14ac:dyDescent="0.2">
      <c r="A94" s="33" t="s">
        <v>85</v>
      </c>
      <c r="B94" s="149" t="str">
        <f>K69</f>
        <v>Паспорт качества № 1925 от 15.01.2025г.</v>
      </c>
      <c r="C94" s="149"/>
      <c r="D94" s="149"/>
      <c r="E94" s="149"/>
      <c r="F94" s="149"/>
      <c r="G94" s="149"/>
      <c r="H94" s="149"/>
      <c r="I94" s="149"/>
      <c r="J94" s="149"/>
      <c r="K94" s="149"/>
      <c r="L94" s="149"/>
      <c r="M94" s="149"/>
      <c r="N94" s="149"/>
      <c r="O94" s="149"/>
      <c r="P94" s="29" t="s">
        <v>74</v>
      </c>
      <c r="Q94" s="33" t="s">
        <v>84</v>
      </c>
      <c r="R94" s="33"/>
      <c r="S94" s="33"/>
      <c r="T94" s="33"/>
      <c r="U94" s="33"/>
      <c r="V94" s="33"/>
      <c r="W94" s="33"/>
      <c r="X94" s="33"/>
      <c r="Y94" s="33"/>
      <c r="Z94" s="33"/>
      <c r="AA94" s="33"/>
      <c r="AB94" s="33"/>
      <c r="AC94" s="33"/>
      <c r="AD94" s="33"/>
      <c r="AE94" s="33"/>
      <c r="AF94" s="33"/>
      <c r="AG94" s="33"/>
      <c r="AH94" s="33"/>
      <c r="AI94" s="33"/>
      <c r="AJ94" s="33"/>
    </row>
    <row r="95" spans="1:36" s="14" customFormat="1" ht="9.75" customHeight="1" x14ac:dyDescent="0.15">
      <c r="A95" s="128" t="s">
        <v>0</v>
      </c>
      <c r="B95" s="129"/>
      <c r="C95" s="129"/>
      <c r="D95" s="129"/>
      <c r="E95" s="129"/>
      <c r="F95" s="129"/>
      <c r="G95" s="129"/>
      <c r="H95" s="129"/>
      <c r="I95" s="129"/>
      <c r="J95" s="129"/>
      <c r="K95" s="129"/>
      <c r="L95" s="129"/>
      <c r="M95" s="129"/>
      <c r="N95" s="129"/>
      <c r="O95" s="129"/>
      <c r="P95" s="129"/>
      <c r="Q95" s="129"/>
      <c r="R95" s="129"/>
      <c r="S95" s="129"/>
      <c r="T95" s="129"/>
      <c r="U95" s="129"/>
      <c r="V95" s="129"/>
      <c r="W95" s="129"/>
      <c r="X95" s="129"/>
      <c r="Y95" s="129"/>
      <c r="Z95" s="129"/>
      <c r="AA95" s="129"/>
      <c r="AB95" s="129"/>
      <c r="AC95" s="129"/>
      <c r="AD95" s="129"/>
      <c r="AE95" s="129"/>
      <c r="AF95" s="129"/>
      <c r="AG95" s="129"/>
      <c r="AH95" s="129"/>
      <c r="AI95" s="129"/>
      <c r="AJ95" s="129"/>
    </row>
    <row r="96" spans="1:36" ht="6.75" customHeight="1" x14ac:dyDescent="0.25">
      <c r="A96" s="12"/>
      <c r="B96" s="12"/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  <c r="AA96" s="12"/>
      <c r="AB96" s="12"/>
      <c r="AC96" s="12"/>
      <c r="AD96" s="12"/>
      <c r="AE96" s="12"/>
      <c r="AF96" s="12"/>
      <c r="AG96" s="12"/>
      <c r="AH96" s="12"/>
      <c r="AI96" s="12"/>
      <c r="AJ96" s="12"/>
    </row>
    <row r="97" spans="1:36" s="13" customFormat="1" ht="12" customHeight="1" x14ac:dyDescent="0.2">
      <c r="A97" s="13" t="s">
        <v>23</v>
      </c>
    </row>
    <row r="98" spans="1:36" s="13" customFormat="1" ht="12" customHeight="1" x14ac:dyDescent="0.2">
      <c r="A98" s="13" t="s">
        <v>24</v>
      </c>
    </row>
    <row r="99" spans="1:36" s="13" customFormat="1" ht="12" customHeight="1" x14ac:dyDescent="0.2">
      <c r="A99" s="130" t="str">
        <f>'Данные объект'!B33</f>
        <v>Алексанян Г.Р.</v>
      </c>
      <c r="B99" s="130"/>
      <c r="C99" s="130"/>
      <c r="D99" s="130"/>
      <c r="E99" s="130"/>
      <c r="F99" s="130"/>
      <c r="G99" s="130"/>
      <c r="H99" s="130"/>
      <c r="I99" s="130"/>
      <c r="J99" s="130"/>
      <c r="K99" s="130"/>
      <c r="L99" s="130"/>
      <c r="M99" s="130"/>
      <c r="N99" s="130"/>
      <c r="O99" s="130"/>
      <c r="P99" s="32"/>
      <c r="Q99" s="32"/>
      <c r="R99" s="32"/>
      <c r="S99" s="32"/>
      <c r="T99" s="32"/>
      <c r="U99" s="32"/>
      <c r="V99" s="32"/>
      <c r="W99" s="32"/>
      <c r="X99" s="32"/>
      <c r="Y99" s="32"/>
      <c r="Z99" s="32"/>
      <c r="AA99" s="32"/>
      <c r="AB99" s="130"/>
      <c r="AC99" s="130"/>
      <c r="AD99" s="130"/>
      <c r="AE99" s="130"/>
      <c r="AF99" s="130"/>
      <c r="AG99" s="130"/>
      <c r="AH99" s="130"/>
      <c r="AI99" s="130"/>
      <c r="AJ99" s="130"/>
    </row>
    <row r="100" spans="1:36" s="14" customFormat="1" ht="9" customHeight="1" x14ac:dyDescent="0.15">
      <c r="A100" s="134" t="s">
        <v>35</v>
      </c>
      <c r="B100" s="134"/>
      <c r="C100" s="134"/>
      <c r="D100" s="134"/>
      <c r="E100" s="134"/>
      <c r="F100" s="134"/>
      <c r="G100" s="134"/>
      <c r="H100" s="134"/>
      <c r="I100" s="134"/>
      <c r="J100" s="134"/>
      <c r="K100" s="134"/>
      <c r="L100" s="134"/>
      <c r="M100" s="134"/>
      <c r="N100" s="134"/>
      <c r="O100" s="134"/>
      <c r="P100" s="17"/>
      <c r="Q100" s="17"/>
      <c r="R100" s="17"/>
      <c r="S100" s="17"/>
      <c r="T100" s="17"/>
      <c r="U100" s="18"/>
      <c r="V100" s="18"/>
      <c r="W100" s="18"/>
      <c r="X100" s="18"/>
      <c r="Y100" s="18"/>
      <c r="Z100" s="18"/>
      <c r="AA100" s="18"/>
      <c r="AB100" s="135" t="s">
        <v>34</v>
      </c>
      <c r="AC100" s="135"/>
      <c r="AD100" s="135"/>
      <c r="AE100" s="135"/>
      <c r="AF100" s="135"/>
      <c r="AG100" s="135"/>
      <c r="AH100" s="135"/>
      <c r="AI100" s="135"/>
      <c r="AJ100" s="135"/>
    </row>
    <row r="101" spans="1:36" s="13" customFormat="1" ht="12" customHeight="1" x14ac:dyDescent="0.2">
      <c r="A101" s="13" t="s">
        <v>25</v>
      </c>
    </row>
    <row r="102" spans="1:36" s="13" customFormat="1" ht="12" customHeight="1" x14ac:dyDescent="0.2">
      <c r="A102" s="130" t="str">
        <f>'Данные объект'!B20</f>
        <v>Волков М.Ю.</v>
      </c>
      <c r="B102" s="130"/>
      <c r="C102" s="130"/>
      <c r="D102" s="130"/>
      <c r="E102" s="130"/>
      <c r="F102" s="130"/>
      <c r="G102" s="130"/>
      <c r="H102" s="130"/>
      <c r="I102" s="130"/>
      <c r="J102" s="130"/>
      <c r="K102" s="130"/>
      <c r="L102" s="130"/>
      <c r="M102" s="130"/>
      <c r="N102" s="130"/>
      <c r="O102" s="130"/>
      <c r="P102" s="32"/>
      <c r="Q102" s="32"/>
      <c r="R102" s="32"/>
      <c r="S102" s="32"/>
      <c r="T102" s="32"/>
      <c r="U102" s="32"/>
      <c r="V102" s="32"/>
      <c r="W102" s="32"/>
      <c r="X102" s="32"/>
      <c r="Y102" s="32"/>
      <c r="Z102" s="32"/>
      <c r="AA102" s="32"/>
      <c r="AB102" s="130"/>
      <c r="AC102" s="130"/>
      <c r="AD102" s="130"/>
      <c r="AE102" s="130"/>
      <c r="AF102" s="130"/>
      <c r="AG102" s="130"/>
      <c r="AH102" s="130"/>
      <c r="AI102" s="130"/>
      <c r="AJ102" s="130"/>
    </row>
    <row r="103" spans="1:36" s="14" customFormat="1" ht="9" customHeight="1" x14ac:dyDescent="0.15">
      <c r="A103" s="134" t="s">
        <v>35</v>
      </c>
      <c r="B103" s="134"/>
      <c r="C103" s="134"/>
      <c r="D103" s="134"/>
      <c r="E103" s="134"/>
      <c r="F103" s="134"/>
      <c r="G103" s="134"/>
      <c r="H103" s="134"/>
      <c r="I103" s="134"/>
      <c r="J103" s="134"/>
      <c r="K103" s="134"/>
      <c r="L103" s="134"/>
      <c r="M103" s="134"/>
      <c r="N103" s="134"/>
      <c r="O103" s="134"/>
      <c r="P103" s="17"/>
      <c r="Q103" s="17"/>
      <c r="R103" s="17"/>
      <c r="S103" s="17"/>
      <c r="T103" s="17"/>
      <c r="U103" s="18"/>
      <c r="V103" s="18"/>
      <c r="W103" s="18"/>
      <c r="X103" s="18"/>
      <c r="Y103" s="18"/>
      <c r="Z103" s="18"/>
      <c r="AA103" s="18"/>
      <c r="AB103" s="135" t="s">
        <v>34</v>
      </c>
      <c r="AC103" s="135"/>
      <c r="AD103" s="135"/>
      <c r="AE103" s="135"/>
      <c r="AF103" s="135"/>
      <c r="AG103" s="135"/>
      <c r="AH103" s="135"/>
      <c r="AI103" s="135"/>
      <c r="AJ103" s="135"/>
    </row>
    <row r="104" spans="1:36" s="13" customFormat="1" ht="12" customHeight="1" x14ac:dyDescent="0.2">
      <c r="A104" s="13" t="s">
        <v>27</v>
      </c>
    </row>
    <row r="105" spans="1:36" s="13" customFormat="1" ht="12" customHeight="1" x14ac:dyDescent="0.2">
      <c r="A105" s="13" t="s">
        <v>28</v>
      </c>
    </row>
    <row r="106" spans="1:36" s="13" customFormat="1" ht="12" customHeight="1" x14ac:dyDescent="0.2">
      <c r="A106" s="130" t="str">
        <f>'Данные объект'!B17</f>
        <v>Русин В.А.</v>
      </c>
      <c r="B106" s="130"/>
      <c r="C106" s="130"/>
      <c r="D106" s="130"/>
      <c r="E106" s="130"/>
      <c r="F106" s="130"/>
      <c r="G106" s="130"/>
      <c r="H106" s="130"/>
      <c r="I106" s="130"/>
      <c r="J106" s="130"/>
      <c r="K106" s="130"/>
      <c r="L106" s="130"/>
      <c r="M106" s="130"/>
      <c r="N106" s="130"/>
      <c r="O106" s="130"/>
      <c r="P106" s="32"/>
      <c r="Q106" s="32"/>
      <c r="R106" s="32"/>
      <c r="S106" s="32"/>
      <c r="T106" s="32"/>
      <c r="U106" s="32"/>
      <c r="V106" s="32"/>
      <c r="W106" s="32"/>
      <c r="X106" s="32"/>
      <c r="Y106" s="32"/>
      <c r="Z106" s="32"/>
      <c r="AA106" s="32"/>
      <c r="AB106" s="130"/>
      <c r="AC106" s="130"/>
      <c r="AD106" s="130"/>
      <c r="AE106" s="130"/>
      <c r="AF106" s="130"/>
      <c r="AG106" s="130"/>
      <c r="AH106" s="130"/>
      <c r="AI106" s="130"/>
      <c r="AJ106" s="130"/>
    </row>
    <row r="107" spans="1:36" s="14" customFormat="1" ht="9" customHeight="1" x14ac:dyDescent="0.15">
      <c r="A107" s="134" t="s">
        <v>35</v>
      </c>
      <c r="B107" s="134"/>
      <c r="C107" s="134"/>
      <c r="D107" s="134"/>
      <c r="E107" s="134"/>
      <c r="F107" s="134"/>
      <c r="G107" s="134"/>
      <c r="H107" s="134"/>
      <c r="I107" s="134"/>
      <c r="J107" s="134"/>
      <c r="K107" s="134"/>
      <c r="L107" s="134"/>
      <c r="M107" s="134"/>
      <c r="N107" s="134"/>
      <c r="O107" s="134"/>
      <c r="P107" s="17"/>
      <c r="Q107" s="17"/>
      <c r="R107" s="17"/>
      <c r="S107" s="17"/>
      <c r="T107" s="17"/>
      <c r="U107" s="18"/>
      <c r="V107" s="18"/>
      <c r="W107" s="18"/>
      <c r="X107" s="18"/>
      <c r="Y107" s="18"/>
      <c r="Z107" s="18"/>
      <c r="AA107" s="18"/>
      <c r="AB107" s="135" t="s">
        <v>34</v>
      </c>
      <c r="AC107" s="135"/>
      <c r="AD107" s="135"/>
      <c r="AE107" s="135"/>
      <c r="AF107" s="135"/>
      <c r="AG107" s="135"/>
      <c r="AH107" s="135"/>
      <c r="AI107" s="135"/>
      <c r="AJ107" s="135"/>
    </row>
    <row r="108" spans="1:36" s="14" customFormat="1" ht="11.25" x14ac:dyDescent="0.2">
      <c r="A108" s="13" t="s">
        <v>191</v>
      </c>
      <c r="B108" s="86"/>
      <c r="C108" s="86"/>
      <c r="D108" s="86"/>
      <c r="E108" s="86"/>
      <c r="F108" s="86"/>
      <c r="G108" s="86"/>
      <c r="H108" s="86"/>
      <c r="I108" s="86"/>
      <c r="J108" s="86"/>
      <c r="K108" s="86"/>
      <c r="L108" s="86"/>
      <c r="M108" s="86"/>
      <c r="N108" s="86"/>
      <c r="O108" s="86"/>
      <c r="P108" s="95"/>
      <c r="Q108" s="95"/>
      <c r="R108" s="95"/>
      <c r="S108" s="95"/>
      <c r="T108" s="95"/>
      <c r="U108" s="96"/>
      <c r="V108" s="96"/>
      <c r="W108" s="96"/>
      <c r="X108" s="96"/>
      <c r="Y108" s="96"/>
      <c r="Z108" s="96"/>
      <c r="AA108" s="96"/>
      <c r="AB108" s="87"/>
      <c r="AC108" s="87"/>
      <c r="AD108" s="87"/>
      <c r="AE108" s="87"/>
      <c r="AF108" s="87"/>
      <c r="AG108" s="87"/>
      <c r="AH108" s="87"/>
      <c r="AI108" s="87"/>
      <c r="AJ108" s="87"/>
    </row>
    <row r="109" spans="1:36" s="14" customFormat="1" ht="11.25" x14ac:dyDescent="0.2">
      <c r="A109" s="130" t="str">
        <f>'Данные объект'!$B$36</f>
        <v>Курчин М.М.</v>
      </c>
      <c r="B109" s="130"/>
      <c r="C109" s="130"/>
      <c r="D109" s="130"/>
      <c r="E109" s="130"/>
      <c r="F109" s="130"/>
      <c r="G109" s="130"/>
      <c r="H109" s="130"/>
      <c r="I109" s="130"/>
      <c r="J109" s="130"/>
      <c r="K109" s="130"/>
      <c r="L109" s="130"/>
      <c r="M109" s="130"/>
      <c r="N109" s="130"/>
      <c r="O109" s="130"/>
      <c r="P109" s="95"/>
      <c r="Q109" s="95"/>
      <c r="R109" s="95"/>
      <c r="S109" s="95"/>
      <c r="T109" s="95"/>
      <c r="U109" s="96"/>
      <c r="V109" s="96"/>
      <c r="W109" s="96"/>
      <c r="X109" s="96"/>
      <c r="Y109" s="96"/>
      <c r="Z109" s="96"/>
      <c r="AA109" s="96"/>
      <c r="AB109" s="130"/>
      <c r="AC109" s="130"/>
      <c r="AD109" s="130"/>
      <c r="AE109" s="130"/>
      <c r="AF109" s="130"/>
      <c r="AG109" s="130"/>
      <c r="AH109" s="130"/>
      <c r="AI109" s="130"/>
      <c r="AJ109" s="130"/>
    </row>
    <row r="110" spans="1:36" s="14" customFormat="1" ht="10.5" x14ac:dyDescent="0.15">
      <c r="A110" s="134" t="s">
        <v>35</v>
      </c>
      <c r="B110" s="134"/>
      <c r="C110" s="134"/>
      <c r="D110" s="134"/>
      <c r="E110" s="134"/>
      <c r="F110" s="134"/>
      <c r="G110" s="134"/>
      <c r="H110" s="134"/>
      <c r="I110" s="134"/>
      <c r="J110" s="134"/>
      <c r="K110" s="134"/>
      <c r="L110" s="134"/>
      <c r="M110" s="134"/>
      <c r="N110" s="134"/>
      <c r="O110" s="134"/>
      <c r="P110" s="95"/>
      <c r="Q110" s="95"/>
      <c r="R110" s="95"/>
      <c r="S110" s="95"/>
      <c r="T110" s="95"/>
      <c r="U110" s="96"/>
      <c r="V110" s="96"/>
      <c r="W110" s="96"/>
      <c r="X110" s="96"/>
      <c r="Y110" s="96"/>
      <c r="Z110" s="96"/>
      <c r="AA110" s="96"/>
      <c r="AB110" s="135" t="s">
        <v>34</v>
      </c>
      <c r="AC110" s="135"/>
      <c r="AD110" s="135"/>
      <c r="AE110" s="135"/>
      <c r="AF110" s="135"/>
      <c r="AG110" s="135"/>
      <c r="AH110" s="135"/>
      <c r="AI110" s="135"/>
      <c r="AJ110" s="135"/>
    </row>
    <row r="111" spans="1:36" s="13" customFormat="1" ht="38.25" customHeight="1" x14ac:dyDescent="0.2">
      <c r="A111" s="136" t="s">
        <v>51</v>
      </c>
      <c r="B111" s="136"/>
      <c r="C111" s="136"/>
      <c r="D111" s="136"/>
      <c r="E111" s="136"/>
      <c r="F111" s="136"/>
      <c r="G111" s="136"/>
      <c r="H111" s="136"/>
      <c r="I111" s="136"/>
      <c r="J111" s="136"/>
      <c r="K111" s="136"/>
      <c r="L111" s="136"/>
      <c r="M111" s="136"/>
      <c r="N111" s="136"/>
      <c r="O111" s="136"/>
      <c r="P111" s="136"/>
      <c r="Q111" s="136"/>
      <c r="R111" s="136"/>
      <c r="S111" s="136"/>
      <c r="T111" s="136"/>
      <c r="U111" s="136"/>
      <c r="V111" s="136"/>
      <c r="W111" s="136"/>
      <c r="X111" s="136"/>
      <c r="Y111" s="136"/>
      <c r="Z111" s="136"/>
      <c r="AA111" s="136"/>
      <c r="AB111" s="136"/>
      <c r="AC111" s="136"/>
      <c r="AD111" s="136"/>
      <c r="AE111" s="136"/>
      <c r="AF111" s="136"/>
      <c r="AG111" s="136"/>
      <c r="AH111" s="136"/>
      <c r="AI111" s="136"/>
      <c r="AJ111" s="136"/>
    </row>
    <row r="112" spans="1:36" s="13" customFormat="1" ht="12" customHeight="1" x14ac:dyDescent="0.2">
      <c r="A112" s="130" t="s">
        <v>74</v>
      </c>
      <c r="B112" s="130"/>
      <c r="C112" s="130"/>
      <c r="D112" s="130"/>
      <c r="E112" s="130"/>
      <c r="F112" s="130"/>
      <c r="G112" s="130"/>
      <c r="H112" s="130"/>
      <c r="I112" s="130"/>
      <c r="J112" s="130"/>
      <c r="K112" s="130"/>
      <c r="L112" s="130"/>
      <c r="M112" s="130"/>
      <c r="N112" s="130"/>
      <c r="O112" s="130"/>
      <c r="P112" s="32"/>
      <c r="Q112" s="32"/>
      <c r="R112" s="32"/>
      <c r="S112" s="32"/>
      <c r="T112" s="32"/>
      <c r="U112" s="32"/>
      <c r="V112" s="32"/>
      <c r="W112" s="32"/>
      <c r="X112" s="32"/>
      <c r="Y112" s="32"/>
      <c r="Z112" s="32"/>
      <c r="AA112" s="32"/>
      <c r="AB112" s="130" t="s">
        <v>74</v>
      </c>
      <c r="AC112" s="130"/>
      <c r="AD112" s="130"/>
      <c r="AE112" s="130"/>
      <c r="AF112" s="130"/>
      <c r="AG112" s="130"/>
      <c r="AH112" s="130"/>
      <c r="AI112" s="130"/>
      <c r="AJ112" s="130"/>
    </row>
    <row r="113" spans="1:36" s="14" customFormat="1" ht="9" customHeight="1" x14ac:dyDescent="0.15">
      <c r="A113" s="134" t="s">
        <v>35</v>
      </c>
      <c r="B113" s="134"/>
      <c r="C113" s="134"/>
      <c r="D113" s="134"/>
      <c r="E113" s="134"/>
      <c r="F113" s="134"/>
      <c r="G113" s="134"/>
      <c r="H113" s="134"/>
      <c r="I113" s="134"/>
      <c r="J113" s="134"/>
      <c r="K113" s="134"/>
      <c r="L113" s="134"/>
      <c r="M113" s="134"/>
      <c r="N113" s="134"/>
      <c r="O113" s="134"/>
      <c r="P113" s="17"/>
      <c r="Q113" s="17"/>
      <c r="R113" s="17"/>
      <c r="S113" s="17"/>
      <c r="T113" s="17"/>
      <c r="U113" s="18"/>
      <c r="V113" s="18"/>
      <c r="W113" s="18"/>
      <c r="X113" s="18"/>
      <c r="Y113" s="18"/>
      <c r="Z113" s="18"/>
      <c r="AA113" s="18"/>
      <c r="AB113" s="135" t="s">
        <v>34</v>
      </c>
      <c r="AC113" s="135"/>
      <c r="AD113" s="135"/>
      <c r="AE113" s="135"/>
      <c r="AF113" s="135"/>
      <c r="AG113" s="135"/>
      <c r="AH113" s="135"/>
      <c r="AI113" s="135"/>
      <c r="AJ113" s="135"/>
    </row>
    <row r="114" spans="1:36" s="13" customFormat="1" ht="24.75" hidden="1" customHeight="1" x14ac:dyDescent="0.2">
      <c r="A114" s="136" t="s">
        <v>53</v>
      </c>
      <c r="B114" s="136"/>
      <c r="C114" s="136"/>
      <c r="D114" s="136"/>
      <c r="E114" s="136"/>
      <c r="F114" s="136"/>
      <c r="G114" s="136"/>
      <c r="H114" s="136"/>
      <c r="I114" s="136"/>
      <c r="J114" s="136"/>
      <c r="K114" s="136"/>
      <c r="L114" s="136"/>
      <c r="M114" s="136"/>
      <c r="N114" s="136"/>
      <c r="O114" s="136"/>
      <c r="P114" s="136"/>
      <c r="Q114" s="136"/>
      <c r="R114" s="136"/>
      <c r="S114" s="136"/>
      <c r="T114" s="136"/>
      <c r="U114" s="136"/>
      <c r="V114" s="136"/>
      <c r="W114" s="136"/>
      <c r="X114" s="136"/>
      <c r="Y114" s="136"/>
      <c r="Z114" s="136"/>
      <c r="AA114" s="136"/>
      <c r="AB114" s="136"/>
      <c r="AC114" s="136"/>
      <c r="AD114" s="136"/>
      <c r="AE114" s="136"/>
      <c r="AF114" s="136"/>
      <c r="AG114" s="136"/>
      <c r="AH114" s="136"/>
      <c r="AI114" s="136"/>
      <c r="AJ114" s="136"/>
    </row>
    <row r="115" spans="1:36" s="13" customFormat="1" ht="12" hidden="1" customHeight="1" x14ac:dyDescent="0.2">
      <c r="A115" s="130" t="e">
        <f>#REF!</f>
        <v>#REF!</v>
      </c>
      <c r="B115" s="130"/>
      <c r="C115" s="130"/>
      <c r="D115" s="130"/>
      <c r="E115" s="130"/>
      <c r="F115" s="130"/>
      <c r="G115" s="130"/>
      <c r="H115" s="130"/>
      <c r="I115" s="130"/>
      <c r="J115" s="130"/>
      <c r="K115" s="130"/>
      <c r="L115" s="130"/>
      <c r="M115" s="130"/>
      <c r="N115" s="130"/>
      <c r="O115" s="130"/>
      <c r="P115" s="32"/>
      <c r="Q115" s="32"/>
      <c r="R115" s="32"/>
      <c r="S115" s="32"/>
      <c r="T115" s="32"/>
      <c r="U115" s="32"/>
      <c r="V115" s="32"/>
      <c r="W115" s="32"/>
      <c r="X115" s="32"/>
      <c r="Y115" s="32"/>
      <c r="Z115" s="32"/>
      <c r="AA115" s="32"/>
      <c r="AB115" s="130"/>
      <c r="AC115" s="130"/>
      <c r="AD115" s="130"/>
      <c r="AE115" s="130"/>
      <c r="AF115" s="130"/>
      <c r="AG115" s="130"/>
      <c r="AH115" s="130"/>
      <c r="AI115" s="130"/>
      <c r="AJ115" s="130"/>
    </row>
    <row r="116" spans="1:36" s="14" customFormat="1" ht="9" hidden="1" customHeight="1" x14ac:dyDescent="0.15">
      <c r="A116" s="134" t="s">
        <v>35</v>
      </c>
      <c r="B116" s="134"/>
      <c r="C116" s="134"/>
      <c r="D116" s="134"/>
      <c r="E116" s="134"/>
      <c r="F116" s="134"/>
      <c r="G116" s="134"/>
      <c r="H116" s="134"/>
      <c r="I116" s="134"/>
      <c r="J116" s="134"/>
      <c r="K116" s="134"/>
      <c r="L116" s="134"/>
      <c r="M116" s="134"/>
      <c r="N116" s="134"/>
      <c r="O116" s="134"/>
      <c r="P116" s="17"/>
      <c r="Q116" s="17"/>
      <c r="R116" s="17"/>
      <c r="S116" s="17"/>
      <c r="T116" s="17"/>
      <c r="U116" s="18"/>
      <c r="V116" s="18"/>
      <c r="W116" s="18"/>
      <c r="X116" s="18"/>
      <c r="Y116" s="18"/>
      <c r="Z116" s="18"/>
      <c r="AA116" s="18"/>
      <c r="AB116" s="135" t="s">
        <v>34</v>
      </c>
      <c r="AC116" s="135"/>
      <c r="AD116" s="135"/>
      <c r="AE116" s="135"/>
      <c r="AF116" s="135"/>
      <c r="AG116" s="135"/>
      <c r="AH116" s="135"/>
      <c r="AI116" s="135"/>
      <c r="AJ116" s="135"/>
    </row>
    <row r="117" spans="1:36" ht="12" customHeight="1" x14ac:dyDescent="0.25"/>
  </sheetData>
  <mergeCells count="107">
    <mergeCell ref="A65:AJ65"/>
    <mergeCell ref="A66:AJ66"/>
    <mergeCell ref="P67:AJ67"/>
    <mergeCell ref="A53:AJ53"/>
    <mergeCell ref="A54:AJ54"/>
    <mergeCell ref="A55:AJ55"/>
    <mergeCell ref="A56:AJ56"/>
    <mergeCell ref="A58:AJ58"/>
    <mergeCell ref="A69:C69"/>
    <mergeCell ref="E69:H69"/>
    <mergeCell ref="K69:AD69"/>
    <mergeCell ref="P68:AJ68"/>
    <mergeCell ref="J62:L62"/>
    <mergeCell ref="A59:AJ59"/>
    <mergeCell ref="A70:AJ70"/>
    <mergeCell ref="G72:U72"/>
    <mergeCell ref="W72:AJ72"/>
    <mergeCell ref="A73:B73"/>
    <mergeCell ref="G73:AJ73"/>
    <mergeCell ref="A115:O115"/>
    <mergeCell ref="AB115:AJ115"/>
    <mergeCell ref="A116:O116"/>
    <mergeCell ref="AB116:AJ116"/>
    <mergeCell ref="A111:AJ111"/>
    <mergeCell ref="A112:O112"/>
    <mergeCell ref="AB112:AJ112"/>
    <mergeCell ref="A113:O113"/>
    <mergeCell ref="AB113:AJ113"/>
    <mergeCell ref="A114:AJ114"/>
    <mergeCell ref="A103:O103"/>
    <mergeCell ref="AB103:AJ103"/>
    <mergeCell ref="A106:O106"/>
    <mergeCell ref="AB106:AJ106"/>
    <mergeCell ref="A107:O107"/>
    <mergeCell ref="AB107:AJ107"/>
    <mergeCell ref="A99:O99"/>
    <mergeCell ref="AB99:AJ99"/>
    <mergeCell ref="A100:O100"/>
    <mergeCell ref="AB100:AJ100"/>
    <mergeCell ref="A102:O102"/>
    <mergeCell ref="AB102:AJ102"/>
    <mergeCell ref="L88:AJ88"/>
    <mergeCell ref="H90:I90"/>
    <mergeCell ref="B94:O94"/>
    <mergeCell ref="A95:AJ95"/>
    <mergeCell ref="A87:AJ87"/>
    <mergeCell ref="A74:AJ74"/>
    <mergeCell ref="A75:AJ75"/>
    <mergeCell ref="A81:AJ81"/>
    <mergeCell ref="A82:AJ82"/>
    <mergeCell ref="A83:AJ83"/>
    <mergeCell ref="A84:AJ84"/>
    <mergeCell ref="A86:AJ86"/>
    <mergeCell ref="P77:W77"/>
    <mergeCell ref="P78:W78"/>
    <mergeCell ref="A51:AJ51"/>
    <mergeCell ref="A52:AJ52"/>
    <mergeCell ref="A63:AJ63"/>
    <mergeCell ref="A41:AJ41"/>
    <mergeCell ref="A42:AJ42"/>
    <mergeCell ref="A43:AJ43"/>
    <mergeCell ref="A44:AJ44"/>
    <mergeCell ref="A45:AJ45"/>
    <mergeCell ref="A62:H62"/>
    <mergeCell ref="N62:Q62"/>
    <mergeCell ref="R62:S62"/>
    <mergeCell ref="A46:AJ46"/>
    <mergeCell ref="A47:AJ47"/>
    <mergeCell ref="A48:AJ48"/>
    <mergeCell ref="A4:AJ4"/>
    <mergeCell ref="A5:AJ5"/>
    <mergeCell ref="A6:AJ6"/>
    <mergeCell ref="A8:AJ8"/>
    <mergeCell ref="A20:AJ20"/>
    <mergeCell ref="A22:AJ22"/>
    <mergeCell ref="A23:AJ23"/>
    <mergeCell ref="A24:AJ24"/>
    <mergeCell ref="A25:AJ25"/>
    <mergeCell ref="A15:AJ15"/>
    <mergeCell ref="A16:AJ16"/>
    <mergeCell ref="A17:AJ17"/>
    <mergeCell ref="A18:AJ18"/>
    <mergeCell ref="A19:AJ19"/>
    <mergeCell ref="A109:O109"/>
    <mergeCell ref="AB109:AJ109"/>
    <mergeCell ref="A110:O110"/>
    <mergeCell ref="AB110:AJ110"/>
    <mergeCell ref="A7:AJ7"/>
    <mergeCell ref="A9:AJ9"/>
    <mergeCell ref="A10:AJ10"/>
    <mergeCell ref="A11:AJ11"/>
    <mergeCell ref="A12:AJ12"/>
    <mergeCell ref="A13:AJ13"/>
    <mergeCell ref="A35:AJ35"/>
    <mergeCell ref="A36:AJ36"/>
    <mergeCell ref="A37:AJ37"/>
    <mergeCell ref="A38:AJ38"/>
    <mergeCell ref="A39:AJ39"/>
    <mergeCell ref="A26:AJ26"/>
    <mergeCell ref="A27:AJ27"/>
    <mergeCell ref="A29:AJ29"/>
    <mergeCell ref="A30:AJ30"/>
    <mergeCell ref="E32:G32"/>
    <mergeCell ref="AB32:AI32"/>
    <mergeCell ref="AB33:AI33"/>
    <mergeCell ref="A49:AJ49"/>
    <mergeCell ref="A50:AJ50"/>
  </mergeCells>
  <dataValidations count="1">
    <dataValidation type="list" allowBlank="1" showInputMessage="1" showErrorMessage="1" sqref="E69:G69" xr:uid="{00000000-0002-0000-0500-000000000000}">
      <formula1>кабель</formula1>
    </dataValidation>
  </dataValidations>
  <pageMargins left="0.78740157480314965" right="0.27559055118110237" top="0.39370078740157483" bottom="0.39370078740157483" header="0" footer="0"/>
  <pageSetup paperSize="9" fitToHeight="3" orientation="portrait" r:id="rId1"/>
  <headerFooter alignWithMargins="0"/>
  <rowBreaks count="1" manualBreakCount="1">
    <brk id="51" max="35" man="1"/>
  </rowBreak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B4DDC71D-DF97-4D4A-87A9-9DD4404CE03B}">
          <x14:formula1>
            <xm:f>'данные строй'!$C$3:$C$4</xm:f>
          </x14:formula1>
          <xm:sqref>A86:AJ86</xm:sqref>
        </x14:dataValidation>
        <x14:dataValidation type="list" allowBlank="1" showInputMessage="1" showErrorMessage="1" xr:uid="{4B81AB12-2DF7-4F5C-BC7B-5E028092CD45}">
          <x14:formula1>
            <xm:f>'данные строй'!$A$3:$A$5</xm:f>
          </x14:formula1>
          <xm:sqref>J62:L62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F6E28D-49E4-41BB-8C06-FAE646E94960}">
  <sheetPr>
    <tabColor rgb="FF00B050"/>
  </sheetPr>
  <dimension ref="A1:AZ117"/>
  <sheetViews>
    <sheetView view="pageBreakPreview" topLeftCell="A45" zoomScale="125" zoomScaleNormal="125" zoomScaleSheetLayoutView="125" workbookViewId="0">
      <selection activeCell="AV60" sqref="AV60"/>
    </sheetView>
  </sheetViews>
  <sheetFormatPr defaultColWidth="10.6640625" defaultRowHeight="15" x14ac:dyDescent="0.25"/>
  <cols>
    <col min="1" max="1" width="4.1640625" style="1" customWidth="1"/>
    <col min="2" max="2" width="4.33203125" style="1" customWidth="1"/>
    <col min="3" max="3" width="3.6640625" style="1" customWidth="1"/>
    <col min="4" max="4" width="4" style="1" customWidth="1"/>
    <col min="5" max="7" width="2.83203125" style="1" customWidth="1"/>
    <col min="8" max="8" width="3.1640625" style="1" customWidth="1"/>
    <col min="9" max="31" width="2.83203125" style="1" customWidth="1"/>
    <col min="32" max="32" width="3" style="1" customWidth="1"/>
    <col min="33" max="51" width="2.83203125" style="1" customWidth="1"/>
    <col min="52" max="16384" width="10.6640625" style="1"/>
  </cols>
  <sheetData>
    <row r="1" spans="1:43" s="13" customFormat="1" ht="12.75" customHeight="1" x14ac:dyDescent="0.2">
      <c r="AJ1" s="21" t="s">
        <v>41</v>
      </c>
    </row>
    <row r="2" spans="1:43" s="13" customFormat="1" ht="11.25" customHeight="1" x14ac:dyDescent="0.2">
      <c r="AJ2" s="21" t="s">
        <v>40</v>
      </c>
    </row>
    <row r="3" spans="1:43" s="13" customFormat="1" ht="14.25" customHeight="1" x14ac:dyDescent="0.2">
      <c r="A3" s="13" t="s">
        <v>21</v>
      </c>
      <c r="AJ3" s="22"/>
      <c r="AK3" s="22"/>
      <c r="AL3" s="22"/>
      <c r="AM3" s="22"/>
      <c r="AN3" s="22"/>
      <c r="AO3" s="22"/>
      <c r="AP3" s="22"/>
      <c r="AQ3" s="22"/>
    </row>
    <row r="4" spans="1:43" s="13" customFormat="1" ht="25.5" customHeight="1" x14ac:dyDescent="0.2">
      <c r="A4" s="127" t="str">
        <f>'Данные объект'!B3</f>
        <v>Строительство КТП - 10/0,4кВ, КЛ-10 кВ от ТП-10/0,4кВ № 3463, КЛ-10 кВ от сооруж. КРУН-10 кВ, ВЛИ-0,38 кВ, в т.ч. ПИР, МО, Солнечногорский р-н, п. Красный Воин</v>
      </c>
      <c r="B4" s="127"/>
      <c r="C4" s="127"/>
      <c r="D4" s="127"/>
      <c r="E4" s="127"/>
      <c r="F4" s="127"/>
      <c r="G4" s="127"/>
      <c r="H4" s="127"/>
      <c r="I4" s="127"/>
      <c r="J4" s="127"/>
      <c r="K4" s="127"/>
      <c r="L4" s="127"/>
      <c r="M4" s="127"/>
      <c r="N4" s="127"/>
      <c r="O4" s="127"/>
      <c r="P4" s="127"/>
      <c r="Q4" s="127"/>
      <c r="R4" s="127"/>
      <c r="S4" s="127"/>
      <c r="T4" s="127"/>
      <c r="U4" s="127"/>
      <c r="V4" s="127"/>
      <c r="W4" s="127"/>
      <c r="X4" s="127"/>
      <c r="Y4" s="127"/>
      <c r="Z4" s="127"/>
      <c r="AA4" s="127"/>
      <c r="AB4" s="127"/>
      <c r="AC4" s="127"/>
      <c r="AD4" s="127"/>
      <c r="AE4" s="127"/>
      <c r="AF4" s="127"/>
      <c r="AG4" s="127"/>
      <c r="AH4" s="127"/>
      <c r="AI4" s="127"/>
      <c r="AJ4" s="127"/>
    </row>
    <row r="5" spans="1:43" s="13" customFormat="1" ht="12" customHeight="1" x14ac:dyDescent="0.2">
      <c r="A5" s="139" t="str">
        <f>'Данные объект'!B9</f>
        <v>КЛ-10кВ ф.1 от ТП №3463</v>
      </c>
      <c r="B5" s="139"/>
      <c r="C5" s="139"/>
      <c r="D5" s="139"/>
      <c r="E5" s="139"/>
      <c r="F5" s="139"/>
      <c r="G5" s="139"/>
      <c r="H5" s="139"/>
      <c r="I5" s="139"/>
      <c r="J5" s="139"/>
      <c r="K5" s="139"/>
      <c r="L5" s="139"/>
      <c r="M5" s="139"/>
      <c r="N5" s="139"/>
      <c r="O5" s="139"/>
      <c r="P5" s="139"/>
      <c r="Q5" s="139"/>
      <c r="R5" s="139"/>
      <c r="S5" s="139"/>
      <c r="T5" s="139"/>
      <c r="U5" s="139"/>
      <c r="V5" s="139"/>
      <c r="W5" s="139"/>
      <c r="X5" s="139"/>
      <c r="Y5" s="139"/>
      <c r="Z5" s="139"/>
      <c r="AA5" s="139"/>
      <c r="AB5" s="139"/>
      <c r="AC5" s="139"/>
      <c r="AD5" s="139"/>
      <c r="AE5" s="139"/>
      <c r="AF5" s="139"/>
      <c r="AG5" s="139"/>
      <c r="AH5" s="139"/>
      <c r="AI5" s="139"/>
      <c r="AJ5" s="139"/>
    </row>
    <row r="6" spans="1:43" s="14" customFormat="1" ht="8.25" x14ac:dyDescent="0.15">
      <c r="A6" s="128" t="s">
        <v>192</v>
      </c>
      <c r="B6" s="129"/>
      <c r="C6" s="129"/>
      <c r="D6" s="129"/>
      <c r="E6" s="129"/>
      <c r="F6" s="129"/>
      <c r="G6" s="129"/>
      <c r="H6" s="129"/>
      <c r="I6" s="129"/>
      <c r="J6" s="129"/>
      <c r="K6" s="129"/>
      <c r="L6" s="129"/>
      <c r="M6" s="129"/>
      <c r="N6" s="129"/>
      <c r="O6" s="129"/>
      <c r="P6" s="129"/>
      <c r="Q6" s="129"/>
      <c r="R6" s="129"/>
      <c r="S6" s="129"/>
      <c r="T6" s="129"/>
      <c r="U6" s="129"/>
      <c r="V6" s="129"/>
      <c r="W6" s="129"/>
      <c r="X6" s="129"/>
      <c r="Y6" s="129"/>
      <c r="Z6" s="129"/>
      <c r="AA6" s="129"/>
      <c r="AB6" s="129"/>
      <c r="AC6" s="129"/>
      <c r="AD6" s="129"/>
      <c r="AE6" s="129"/>
      <c r="AF6" s="129"/>
      <c r="AG6" s="129"/>
      <c r="AH6" s="129"/>
      <c r="AI6" s="129"/>
      <c r="AJ6" s="129"/>
    </row>
    <row r="7" spans="1:43" s="13" customFormat="1" ht="12.75" customHeight="1" x14ac:dyDescent="0.2">
      <c r="A7" s="126" t="s">
        <v>42</v>
      </c>
      <c r="B7" s="126"/>
      <c r="C7" s="126"/>
      <c r="D7" s="126"/>
      <c r="E7" s="126"/>
      <c r="F7" s="126"/>
      <c r="G7" s="126"/>
      <c r="H7" s="126"/>
      <c r="I7" s="126"/>
      <c r="J7" s="126"/>
      <c r="K7" s="126"/>
      <c r="L7" s="126"/>
      <c r="M7" s="126"/>
      <c r="N7" s="126"/>
      <c r="O7" s="126"/>
      <c r="P7" s="126"/>
      <c r="Q7" s="126"/>
      <c r="R7" s="126"/>
      <c r="S7" s="126"/>
      <c r="T7" s="126"/>
      <c r="U7" s="126"/>
      <c r="V7" s="126"/>
      <c r="W7" s="126"/>
      <c r="X7" s="126"/>
      <c r="Y7" s="126"/>
      <c r="Z7" s="126"/>
      <c r="AA7" s="126"/>
      <c r="AB7" s="126"/>
      <c r="AC7" s="126"/>
      <c r="AD7" s="126"/>
      <c r="AE7" s="126"/>
      <c r="AF7" s="126"/>
      <c r="AG7" s="126"/>
      <c r="AH7" s="126"/>
      <c r="AI7" s="126"/>
      <c r="AJ7" s="126"/>
    </row>
    <row r="8" spans="1:43" s="13" customFormat="1" ht="12" customHeight="1" x14ac:dyDescent="0.2">
      <c r="A8" s="139" t="str">
        <f>'Данные объект'!B23</f>
        <v>ПАО "Россети Московский регион"</v>
      </c>
      <c r="B8" s="139"/>
      <c r="C8" s="139"/>
      <c r="D8" s="139"/>
      <c r="E8" s="139"/>
      <c r="F8" s="139"/>
      <c r="G8" s="139"/>
      <c r="H8" s="139"/>
      <c r="I8" s="139"/>
      <c r="J8" s="139"/>
      <c r="K8" s="139"/>
      <c r="L8" s="139"/>
      <c r="M8" s="139"/>
      <c r="N8" s="139"/>
      <c r="O8" s="139"/>
      <c r="P8" s="139"/>
      <c r="Q8" s="139"/>
      <c r="R8" s="139"/>
      <c r="S8" s="139"/>
      <c r="T8" s="139"/>
      <c r="U8" s="139"/>
      <c r="V8" s="139"/>
      <c r="W8" s="139"/>
      <c r="X8" s="139"/>
      <c r="Y8" s="139"/>
      <c r="Z8" s="139"/>
      <c r="AA8" s="139"/>
      <c r="AB8" s="139"/>
      <c r="AC8" s="139"/>
      <c r="AD8" s="139"/>
      <c r="AE8" s="139"/>
      <c r="AF8" s="139"/>
      <c r="AG8" s="139"/>
      <c r="AH8" s="139"/>
      <c r="AI8" s="139"/>
      <c r="AJ8" s="139"/>
    </row>
    <row r="9" spans="1:43" s="14" customFormat="1" ht="19.5" customHeight="1" x14ac:dyDescent="0.15">
      <c r="A9" s="128" t="s">
        <v>58</v>
      </c>
      <c r="B9" s="129"/>
      <c r="C9" s="129"/>
      <c r="D9" s="129"/>
      <c r="E9" s="129"/>
      <c r="F9" s="129"/>
      <c r="G9" s="129"/>
      <c r="H9" s="129"/>
      <c r="I9" s="129"/>
      <c r="J9" s="129"/>
      <c r="K9" s="129"/>
      <c r="L9" s="129"/>
      <c r="M9" s="129"/>
      <c r="N9" s="129"/>
      <c r="O9" s="129"/>
      <c r="P9" s="129"/>
      <c r="Q9" s="129"/>
      <c r="R9" s="129"/>
      <c r="S9" s="129"/>
      <c r="T9" s="129"/>
      <c r="U9" s="129"/>
      <c r="V9" s="129"/>
      <c r="W9" s="129"/>
      <c r="X9" s="129"/>
      <c r="Y9" s="129"/>
      <c r="Z9" s="129"/>
      <c r="AA9" s="129"/>
      <c r="AB9" s="129"/>
      <c r="AC9" s="129"/>
      <c r="AD9" s="129"/>
      <c r="AE9" s="129"/>
      <c r="AF9" s="129"/>
      <c r="AG9" s="129"/>
      <c r="AH9" s="129"/>
      <c r="AI9" s="129"/>
      <c r="AJ9" s="129"/>
    </row>
    <row r="10" spans="1:43" s="13" customFormat="1" ht="12" customHeight="1" x14ac:dyDescent="0.2">
      <c r="A10" s="139" t="str">
        <f>'Данные объект'!B24</f>
        <v>ОГРН 1057746555811 ИНН 5036065113 КПП 772501001</v>
      </c>
      <c r="B10" s="139"/>
      <c r="C10" s="139"/>
      <c r="D10" s="139"/>
      <c r="E10" s="139"/>
      <c r="F10" s="139"/>
      <c r="G10" s="139"/>
      <c r="H10" s="139"/>
      <c r="I10" s="139"/>
      <c r="J10" s="139"/>
      <c r="K10" s="139"/>
      <c r="L10" s="139"/>
      <c r="M10" s="139"/>
      <c r="N10" s="139"/>
      <c r="O10" s="139"/>
      <c r="P10" s="139"/>
      <c r="Q10" s="139"/>
      <c r="R10" s="139"/>
      <c r="S10" s="139"/>
      <c r="T10" s="139"/>
      <c r="U10" s="139"/>
      <c r="V10" s="139"/>
      <c r="W10" s="139"/>
      <c r="X10" s="139"/>
      <c r="Y10" s="139"/>
      <c r="Z10" s="139"/>
      <c r="AA10" s="139"/>
      <c r="AB10" s="139"/>
      <c r="AC10" s="139"/>
      <c r="AD10" s="139"/>
      <c r="AE10" s="139"/>
      <c r="AF10" s="139"/>
      <c r="AG10" s="139"/>
      <c r="AH10" s="139"/>
      <c r="AI10" s="139"/>
      <c r="AJ10" s="139"/>
    </row>
    <row r="11" spans="1:43" s="14" customFormat="1" ht="28.5" customHeight="1" x14ac:dyDescent="0.15">
      <c r="A11" s="128" t="s">
        <v>59</v>
      </c>
      <c r="B11" s="129"/>
      <c r="C11" s="129"/>
      <c r="D11" s="129"/>
      <c r="E11" s="129"/>
      <c r="F11" s="129"/>
      <c r="G11" s="129"/>
      <c r="H11" s="129"/>
      <c r="I11" s="129"/>
      <c r="J11" s="129"/>
      <c r="K11" s="129"/>
      <c r="L11" s="129"/>
      <c r="M11" s="129"/>
      <c r="N11" s="129"/>
      <c r="O11" s="129"/>
      <c r="P11" s="129"/>
      <c r="Q11" s="129"/>
      <c r="R11" s="129"/>
      <c r="S11" s="129"/>
      <c r="T11" s="129"/>
      <c r="U11" s="129"/>
      <c r="V11" s="129"/>
      <c r="W11" s="129"/>
      <c r="X11" s="129"/>
      <c r="Y11" s="129"/>
      <c r="Z11" s="129"/>
      <c r="AA11" s="129"/>
      <c r="AB11" s="129"/>
      <c r="AC11" s="129"/>
      <c r="AD11" s="129"/>
      <c r="AE11" s="129"/>
      <c r="AF11" s="129"/>
      <c r="AG11" s="129"/>
      <c r="AH11" s="129"/>
      <c r="AI11" s="129"/>
      <c r="AJ11" s="129"/>
    </row>
    <row r="12" spans="1:43" s="13" customFormat="1" ht="12" customHeight="1" x14ac:dyDescent="0.2">
      <c r="A12" s="139" t="str">
        <f>'Данные объект'!B25</f>
        <v>115114, город Москва, проезд Павелецкий 2-й, дом 3, строение 2</v>
      </c>
      <c r="B12" s="139"/>
      <c r="C12" s="139"/>
      <c r="D12" s="139"/>
      <c r="E12" s="139"/>
      <c r="F12" s="139"/>
      <c r="G12" s="139"/>
      <c r="H12" s="139"/>
      <c r="I12" s="139"/>
      <c r="J12" s="139"/>
      <c r="K12" s="139"/>
      <c r="L12" s="139"/>
      <c r="M12" s="139"/>
      <c r="N12" s="139"/>
      <c r="O12" s="139"/>
      <c r="P12" s="139"/>
      <c r="Q12" s="139"/>
      <c r="R12" s="139"/>
      <c r="S12" s="139"/>
      <c r="T12" s="139"/>
      <c r="U12" s="139"/>
      <c r="V12" s="139"/>
      <c r="W12" s="139"/>
      <c r="X12" s="139"/>
      <c r="Y12" s="139"/>
      <c r="Z12" s="139"/>
      <c r="AA12" s="139"/>
      <c r="AB12" s="139"/>
      <c r="AC12" s="139"/>
      <c r="AD12" s="139"/>
      <c r="AE12" s="139"/>
      <c r="AF12" s="139"/>
      <c r="AG12" s="139"/>
      <c r="AH12" s="139"/>
      <c r="AI12" s="139"/>
      <c r="AJ12" s="139"/>
    </row>
    <row r="13" spans="1:43" s="14" customFormat="1" ht="11.25" customHeight="1" x14ac:dyDescent="0.15">
      <c r="A13" s="128" t="s">
        <v>43</v>
      </c>
      <c r="B13" s="129"/>
      <c r="C13" s="129"/>
      <c r="D13" s="129"/>
      <c r="E13" s="129"/>
      <c r="F13" s="129"/>
      <c r="G13" s="129"/>
      <c r="H13" s="129"/>
      <c r="I13" s="129"/>
      <c r="J13" s="129"/>
      <c r="K13" s="129"/>
      <c r="L13" s="129"/>
      <c r="M13" s="129"/>
      <c r="N13" s="129"/>
      <c r="O13" s="129"/>
      <c r="P13" s="129"/>
      <c r="Q13" s="129"/>
      <c r="R13" s="129"/>
      <c r="S13" s="129"/>
      <c r="T13" s="129"/>
      <c r="U13" s="129"/>
      <c r="V13" s="129"/>
      <c r="W13" s="129"/>
      <c r="X13" s="129"/>
      <c r="Y13" s="129"/>
      <c r="Z13" s="129"/>
      <c r="AA13" s="129"/>
      <c r="AB13" s="129"/>
      <c r="AC13" s="129"/>
      <c r="AD13" s="129"/>
      <c r="AE13" s="129"/>
      <c r="AF13" s="129"/>
      <c r="AG13" s="129"/>
      <c r="AH13" s="129"/>
      <c r="AI13" s="129"/>
      <c r="AJ13" s="129"/>
    </row>
    <row r="14" spans="1:43" s="13" customFormat="1" ht="12" customHeight="1" x14ac:dyDescent="0.2">
      <c r="A14" s="13" t="s">
        <v>22</v>
      </c>
    </row>
    <row r="15" spans="1:43" s="13" customFormat="1" ht="12" customHeight="1" x14ac:dyDescent="0.2">
      <c r="A15" s="139" t="str">
        <f>'Данные объект'!B11</f>
        <v>ООО"Энергосистемы"</v>
      </c>
      <c r="B15" s="139"/>
      <c r="C15" s="139"/>
      <c r="D15" s="139"/>
      <c r="E15" s="139"/>
      <c r="F15" s="139"/>
      <c r="G15" s="139"/>
      <c r="H15" s="139"/>
      <c r="I15" s="139"/>
      <c r="J15" s="139"/>
      <c r="K15" s="139"/>
      <c r="L15" s="139"/>
      <c r="M15" s="139"/>
      <c r="N15" s="139"/>
      <c r="O15" s="139"/>
      <c r="P15" s="139"/>
      <c r="Q15" s="139"/>
      <c r="R15" s="139"/>
      <c r="S15" s="139"/>
      <c r="T15" s="139"/>
      <c r="U15" s="139"/>
      <c r="V15" s="139"/>
      <c r="W15" s="139"/>
      <c r="X15" s="139"/>
      <c r="Y15" s="139"/>
      <c r="Z15" s="139"/>
      <c r="AA15" s="139"/>
      <c r="AB15" s="139"/>
      <c r="AC15" s="139"/>
      <c r="AD15" s="139"/>
      <c r="AE15" s="139"/>
      <c r="AF15" s="139"/>
      <c r="AG15" s="139"/>
      <c r="AH15" s="139"/>
      <c r="AI15" s="139"/>
      <c r="AJ15" s="139"/>
    </row>
    <row r="16" spans="1:43" s="14" customFormat="1" ht="9.75" customHeight="1" x14ac:dyDescent="0.15">
      <c r="A16" s="128" t="s">
        <v>37</v>
      </c>
      <c r="B16" s="129"/>
      <c r="C16" s="129"/>
      <c r="D16" s="129"/>
      <c r="E16" s="129"/>
      <c r="F16" s="129"/>
      <c r="G16" s="129"/>
      <c r="H16" s="129"/>
      <c r="I16" s="129"/>
      <c r="J16" s="129"/>
      <c r="K16" s="129"/>
      <c r="L16" s="129"/>
      <c r="M16" s="129"/>
      <c r="N16" s="129"/>
      <c r="O16" s="129"/>
      <c r="P16" s="129"/>
      <c r="Q16" s="129"/>
      <c r="R16" s="129"/>
      <c r="S16" s="129"/>
      <c r="T16" s="129"/>
      <c r="U16" s="129"/>
      <c r="V16" s="129"/>
      <c r="W16" s="129"/>
      <c r="X16" s="129"/>
      <c r="Y16" s="129"/>
      <c r="Z16" s="129"/>
      <c r="AA16" s="129"/>
      <c r="AB16" s="129"/>
      <c r="AC16" s="129"/>
      <c r="AD16" s="129"/>
      <c r="AE16" s="129"/>
      <c r="AF16" s="129"/>
      <c r="AG16" s="129"/>
      <c r="AH16" s="129"/>
      <c r="AI16" s="129"/>
      <c r="AJ16" s="129"/>
    </row>
    <row r="17" spans="1:36" s="13" customFormat="1" ht="12" customHeight="1" x14ac:dyDescent="0.2">
      <c r="A17" s="139" t="str">
        <f>'Данные объект'!B12</f>
        <v>ОГРН 1135044003709  ИНН 5044089069 КПП 504401001</v>
      </c>
      <c r="B17" s="139"/>
      <c r="C17" s="139"/>
      <c r="D17" s="139"/>
      <c r="E17" s="139"/>
      <c r="F17" s="139"/>
      <c r="G17" s="139"/>
      <c r="H17" s="139"/>
      <c r="I17" s="139"/>
      <c r="J17" s="139"/>
      <c r="K17" s="139"/>
      <c r="L17" s="139"/>
      <c r="M17" s="139"/>
      <c r="N17" s="139"/>
      <c r="O17" s="139"/>
      <c r="P17" s="139"/>
      <c r="Q17" s="139"/>
      <c r="R17" s="139"/>
      <c r="S17" s="139"/>
      <c r="T17" s="139"/>
      <c r="U17" s="139"/>
      <c r="V17" s="139"/>
      <c r="W17" s="139"/>
      <c r="X17" s="139"/>
      <c r="Y17" s="139"/>
      <c r="Z17" s="139"/>
      <c r="AA17" s="139"/>
      <c r="AB17" s="139"/>
      <c r="AC17" s="139"/>
      <c r="AD17" s="139"/>
      <c r="AE17" s="139"/>
      <c r="AF17" s="139"/>
      <c r="AG17" s="139"/>
      <c r="AH17" s="139"/>
      <c r="AI17" s="139"/>
      <c r="AJ17" s="139"/>
    </row>
    <row r="18" spans="1:36" s="14" customFormat="1" ht="8.25" customHeight="1" x14ac:dyDescent="0.15">
      <c r="A18" s="128" t="s">
        <v>44</v>
      </c>
      <c r="B18" s="129"/>
      <c r="C18" s="129"/>
      <c r="D18" s="129"/>
      <c r="E18" s="129"/>
      <c r="F18" s="129"/>
      <c r="G18" s="129"/>
      <c r="H18" s="129"/>
      <c r="I18" s="129"/>
      <c r="J18" s="129"/>
      <c r="K18" s="129"/>
      <c r="L18" s="129"/>
      <c r="M18" s="129"/>
      <c r="N18" s="129"/>
      <c r="O18" s="129"/>
      <c r="P18" s="129"/>
      <c r="Q18" s="129"/>
      <c r="R18" s="129"/>
      <c r="S18" s="129"/>
      <c r="T18" s="129"/>
      <c r="U18" s="129"/>
      <c r="V18" s="129"/>
      <c r="W18" s="129"/>
      <c r="X18" s="129"/>
      <c r="Y18" s="129"/>
      <c r="Z18" s="129"/>
      <c r="AA18" s="129"/>
      <c r="AB18" s="129"/>
      <c r="AC18" s="129"/>
      <c r="AD18" s="129"/>
      <c r="AE18" s="129"/>
      <c r="AF18" s="129"/>
      <c r="AG18" s="129"/>
      <c r="AH18" s="129"/>
      <c r="AI18" s="129"/>
      <c r="AJ18" s="129"/>
    </row>
    <row r="19" spans="1:36" s="13" customFormat="1" ht="12" customHeight="1" x14ac:dyDescent="0.2">
      <c r="A19" s="139" t="str">
        <f>'Данные объект'!B13</f>
        <v xml:space="preserve">141508, Московская область, г.о. Солнечногорск, г. Солнечногорск, ул. Промышленная, стр. 5, помещение 179
</v>
      </c>
      <c r="B19" s="139"/>
      <c r="C19" s="139"/>
      <c r="D19" s="139"/>
      <c r="E19" s="139"/>
      <c r="F19" s="139"/>
      <c r="G19" s="139"/>
      <c r="H19" s="139"/>
      <c r="I19" s="139"/>
      <c r="J19" s="139"/>
      <c r="K19" s="139"/>
      <c r="L19" s="139"/>
      <c r="M19" s="139"/>
      <c r="N19" s="139"/>
      <c r="O19" s="139"/>
      <c r="P19" s="139"/>
      <c r="Q19" s="139"/>
      <c r="R19" s="139"/>
      <c r="S19" s="139"/>
      <c r="T19" s="139"/>
      <c r="U19" s="139"/>
      <c r="V19" s="139"/>
      <c r="W19" s="139"/>
      <c r="X19" s="139"/>
      <c r="Y19" s="139"/>
      <c r="Z19" s="139"/>
      <c r="AA19" s="139"/>
      <c r="AB19" s="139"/>
      <c r="AC19" s="139"/>
      <c r="AD19" s="139"/>
      <c r="AE19" s="139"/>
      <c r="AF19" s="139"/>
      <c r="AG19" s="139"/>
      <c r="AH19" s="139"/>
      <c r="AI19" s="139"/>
      <c r="AJ19" s="139"/>
    </row>
    <row r="20" spans="1:36" s="14" customFormat="1" ht="27" customHeight="1" x14ac:dyDescent="0.15">
      <c r="A20" s="128" t="s">
        <v>60</v>
      </c>
      <c r="B20" s="129"/>
      <c r="C20" s="129"/>
      <c r="D20" s="129"/>
      <c r="E20" s="129"/>
      <c r="F20" s="129"/>
      <c r="G20" s="129"/>
      <c r="H20" s="129"/>
      <c r="I20" s="129"/>
      <c r="J20" s="129"/>
      <c r="K20" s="129"/>
      <c r="L20" s="129"/>
      <c r="M20" s="129"/>
      <c r="N20" s="129"/>
      <c r="O20" s="129"/>
      <c r="P20" s="129"/>
      <c r="Q20" s="129"/>
      <c r="R20" s="129"/>
      <c r="S20" s="129"/>
      <c r="T20" s="129"/>
      <c r="U20" s="129"/>
      <c r="V20" s="129"/>
      <c r="W20" s="129"/>
      <c r="X20" s="129"/>
      <c r="Y20" s="129"/>
      <c r="Z20" s="129"/>
      <c r="AA20" s="129"/>
      <c r="AB20" s="129"/>
      <c r="AC20" s="129"/>
      <c r="AD20" s="129"/>
      <c r="AE20" s="129"/>
      <c r="AF20" s="129"/>
      <c r="AG20" s="129"/>
      <c r="AH20" s="129"/>
      <c r="AI20" s="129"/>
      <c r="AJ20" s="129"/>
    </row>
    <row r="21" spans="1:36" s="13" customFormat="1" ht="12" customHeight="1" x14ac:dyDescent="0.2">
      <c r="A21" s="13" t="s">
        <v>20</v>
      </c>
    </row>
    <row r="22" spans="1:36" s="13" customFormat="1" ht="12" customHeight="1" x14ac:dyDescent="0.2">
      <c r="A22" s="139" t="str">
        <f>'Данные объект'!B39</f>
        <v>ООО"Энергосистемы"</v>
      </c>
      <c r="B22" s="139"/>
      <c r="C22" s="139"/>
      <c r="D22" s="139"/>
      <c r="E22" s="139"/>
      <c r="F22" s="139"/>
      <c r="G22" s="139"/>
      <c r="H22" s="139"/>
      <c r="I22" s="139"/>
      <c r="J22" s="139"/>
      <c r="K22" s="139"/>
      <c r="L22" s="139"/>
      <c r="M22" s="139"/>
      <c r="N22" s="139"/>
      <c r="O22" s="139"/>
      <c r="P22" s="139"/>
      <c r="Q22" s="139"/>
      <c r="R22" s="139"/>
      <c r="S22" s="139"/>
      <c r="T22" s="139"/>
      <c r="U22" s="139"/>
      <c r="V22" s="139"/>
      <c r="W22" s="139"/>
      <c r="X22" s="139"/>
      <c r="Y22" s="139"/>
      <c r="Z22" s="139"/>
      <c r="AA22" s="139"/>
      <c r="AB22" s="139"/>
      <c r="AC22" s="139"/>
      <c r="AD22" s="139"/>
      <c r="AE22" s="139"/>
      <c r="AF22" s="139"/>
      <c r="AG22" s="139"/>
      <c r="AH22" s="139"/>
      <c r="AI22" s="139"/>
      <c r="AJ22" s="139"/>
    </row>
    <row r="23" spans="1:36" s="14" customFormat="1" ht="7.5" customHeight="1" x14ac:dyDescent="0.15">
      <c r="A23" s="128" t="s">
        <v>37</v>
      </c>
      <c r="B23" s="129"/>
      <c r="C23" s="129"/>
      <c r="D23" s="129"/>
      <c r="E23" s="129"/>
      <c r="F23" s="129"/>
      <c r="G23" s="129"/>
      <c r="H23" s="129"/>
      <c r="I23" s="129"/>
      <c r="J23" s="129"/>
      <c r="K23" s="129"/>
      <c r="L23" s="129"/>
      <c r="M23" s="129"/>
      <c r="N23" s="129"/>
      <c r="O23" s="129"/>
      <c r="P23" s="129"/>
      <c r="Q23" s="129"/>
      <c r="R23" s="129"/>
      <c r="S23" s="129"/>
      <c r="T23" s="129"/>
      <c r="U23" s="129"/>
      <c r="V23" s="129"/>
      <c r="W23" s="129"/>
      <c r="X23" s="129"/>
      <c r="Y23" s="129"/>
      <c r="Z23" s="129"/>
      <c r="AA23" s="129"/>
      <c r="AB23" s="129"/>
      <c r="AC23" s="129"/>
      <c r="AD23" s="129"/>
      <c r="AE23" s="129"/>
      <c r="AF23" s="129"/>
      <c r="AG23" s="129"/>
      <c r="AH23" s="129"/>
      <c r="AI23" s="129"/>
      <c r="AJ23" s="129"/>
    </row>
    <row r="24" spans="1:36" s="13" customFormat="1" ht="12" customHeight="1" x14ac:dyDescent="0.2">
      <c r="A24" s="139" t="str">
        <f>'Данные объект'!B40</f>
        <v>ОГРН 1135044003709  ИНН 5044089069 КПП 504401001</v>
      </c>
      <c r="B24" s="139"/>
      <c r="C24" s="139"/>
      <c r="D24" s="139"/>
      <c r="E24" s="139"/>
      <c r="F24" s="139"/>
      <c r="G24" s="139"/>
      <c r="H24" s="139"/>
      <c r="I24" s="139"/>
      <c r="J24" s="139"/>
      <c r="K24" s="139"/>
      <c r="L24" s="139"/>
      <c r="M24" s="139"/>
      <c r="N24" s="139"/>
      <c r="O24" s="139"/>
      <c r="P24" s="139"/>
      <c r="Q24" s="139"/>
      <c r="R24" s="139"/>
      <c r="S24" s="139"/>
      <c r="T24" s="139"/>
      <c r="U24" s="139"/>
      <c r="V24" s="139"/>
      <c r="W24" s="139"/>
      <c r="X24" s="139"/>
      <c r="Y24" s="139"/>
      <c r="Z24" s="139"/>
      <c r="AA24" s="139"/>
      <c r="AB24" s="139"/>
      <c r="AC24" s="139"/>
      <c r="AD24" s="139"/>
      <c r="AE24" s="139"/>
      <c r="AF24" s="139"/>
      <c r="AG24" s="139"/>
      <c r="AH24" s="139"/>
      <c r="AI24" s="139"/>
      <c r="AJ24" s="139"/>
    </row>
    <row r="25" spans="1:36" s="14" customFormat="1" ht="7.5" customHeight="1" x14ac:dyDescent="0.15">
      <c r="A25" s="128" t="s">
        <v>61</v>
      </c>
      <c r="B25" s="129"/>
      <c r="C25" s="129"/>
      <c r="D25" s="129"/>
      <c r="E25" s="129"/>
      <c r="F25" s="129"/>
      <c r="G25" s="129"/>
      <c r="H25" s="129"/>
      <c r="I25" s="129"/>
      <c r="J25" s="129"/>
      <c r="K25" s="129"/>
      <c r="L25" s="129"/>
      <c r="M25" s="129"/>
      <c r="N25" s="129"/>
      <c r="O25" s="129"/>
      <c r="P25" s="129"/>
      <c r="Q25" s="129"/>
      <c r="R25" s="129"/>
      <c r="S25" s="129"/>
      <c r="T25" s="129"/>
      <c r="U25" s="129"/>
      <c r="V25" s="129"/>
      <c r="W25" s="129"/>
      <c r="X25" s="129"/>
      <c r="Y25" s="129"/>
      <c r="Z25" s="129"/>
      <c r="AA25" s="129"/>
      <c r="AB25" s="129"/>
      <c r="AC25" s="129"/>
      <c r="AD25" s="129"/>
      <c r="AE25" s="129"/>
      <c r="AF25" s="129"/>
      <c r="AG25" s="129"/>
      <c r="AH25" s="129"/>
      <c r="AI25" s="129"/>
      <c r="AJ25" s="129"/>
    </row>
    <row r="26" spans="1:36" s="13" customFormat="1" ht="12" customHeight="1" x14ac:dyDescent="0.2">
      <c r="A26" s="139" t="str">
        <f>'Данные объект'!B41</f>
        <v xml:space="preserve">141508, Московская область, г.о. Солнечногорск, г. Солнечногорск, ул. Промышленная, стр. 5, помещение 179
</v>
      </c>
      <c r="B26" s="139"/>
      <c r="C26" s="139"/>
      <c r="D26" s="139"/>
      <c r="E26" s="139"/>
      <c r="F26" s="139"/>
      <c r="G26" s="139"/>
      <c r="H26" s="139"/>
      <c r="I26" s="139"/>
      <c r="J26" s="139"/>
      <c r="K26" s="139"/>
      <c r="L26" s="139"/>
      <c r="M26" s="139"/>
      <c r="N26" s="139"/>
      <c r="O26" s="139"/>
      <c r="P26" s="139"/>
      <c r="Q26" s="139"/>
      <c r="R26" s="139"/>
      <c r="S26" s="139"/>
      <c r="T26" s="139"/>
      <c r="U26" s="139"/>
      <c r="V26" s="139"/>
      <c r="W26" s="139"/>
      <c r="X26" s="139"/>
      <c r="Y26" s="139"/>
      <c r="Z26" s="139"/>
      <c r="AA26" s="139"/>
      <c r="AB26" s="139"/>
      <c r="AC26" s="139"/>
      <c r="AD26" s="139"/>
      <c r="AE26" s="139"/>
      <c r="AF26" s="139"/>
      <c r="AG26" s="139"/>
      <c r="AH26" s="139"/>
      <c r="AI26" s="139"/>
      <c r="AJ26" s="139"/>
    </row>
    <row r="27" spans="1:36" s="14" customFormat="1" ht="22.5" customHeight="1" x14ac:dyDescent="0.15">
      <c r="A27" s="128" t="s">
        <v>45</v>
      </c>
      <c r="B27" s="129"/>
      <c r="C27" s="129"/>
      <c r="D27" s="129"/>
      <c r="E27" s="129"/>
      <c r="F27" s="129"/>
      <c r="G27" s="129"/>
      <c r="H27" s="129"/>
      <c r="I27" s="129"/>
      <c r="J27" s="129"/>
      <c r="K27" s="129"/>
      <c r="L27" s="129"/>
      <c r="M27" s="129"/>
      <c r="N27" s="129"/>
      <c r="O27" s="129"/>
      <c r="P27" s="129"/>
      <c r="Q27" s="129"/>
      <c r="R27" s="129"/>
      <c r="S27" s="129"/>
      <c r="T27" s="129"/>
      <c r="U27" s="129"/>
      <c r="V27" s="129"/>
      <c r="W27" s="129"/>
      <c r="X27" s="129"/>
      <c r="Y27" s="129"/>
      <c r="Z27" s="129"/>
      <c r="AA27" s="129"/>
      <c r="AB27" s="129"/>
      <c r="AC27" s="129"/>
      <c r="AD27" s="129"/>
      <c r="AE27" s="129"/>
      <c r="AF27" s="129"/>
      <c r="AG27" s="129"/>
      <c r="AH27" s="129"/>
      <c r="AI27" s="129"/>
      <c r="AJ27" s="129"/>
    </row>
    <row r="28" spans="1:36" ht="9" customHeight="1" x14ac:dyDescent="0.25">
      <c r="A28" s="5"/>
      <c r="B28" s="5"/>
      <c r="C28" s="5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</row>
    <row r="29" spans="1:36" s="13" customFormat="1" ht="12.95" customHeight="1" x14ac:dyDescent="0.2">
      <c r="A29" s="142" t="s">
        <v>36</v>
      </c>
      <c r="B29" s="142"/>
      <c r="C29" s="142"/>
      <c r="D29" s="142"/>
      <c r="E29" s="142"/>
      <c r="F29" s="142"/>
      <c r="G29" s="142"/>
      <c r="H29" s="142"/>
      <c r="I29" s="142"/>
      <c r="J29" s="142"/>
      <c r="K29" s="142"/>
      <c r="L29" s="142"/>
      <c r="M29" s="142"/>
      <c r="N29" s="142"/>
      <c r="O29" s="142"/>
      <c r="P29" s="142"/>
      <c r="Q29" s="142"/>
      <c r="R29" s="142"/>
      <c r="S29" s="142"/>
      <c r="T29" s="142"/>
      <c r="U29" s="142"/>
      <c r="V29" s="142"/>
      <c r="W29" s="142"/>
      <c r="X29" s="142"/>
      <c r="Y29" s="142"/>
      <c r="Z29" s="142"/>
      <c r="AA29" s="142"/>
      <c r="AB29" s="142"/>
      <c r="AC29" s="142"/>
      <c r="AD29" s="142"/>
      <c r="AE29" s="142"/>
      <c r="AF29" s="142"/>
      <c r="AG29" s="142"/>
      <c r="AH29" s="142"/>
      <c r="AI29" s="142"/>
      <c r="AJ29" s="142"/>
    </row>
    <row r="30" spans="1:36" s="13" customFormat="1" ht="12.95" customHeight="1" x14ac:dyDescent="0.2">
      <c r="A30" s="143" t="s">
        <v>19</v>
      </c>
      <c r="B30" s="143"/>
      <c r="C30" s="143"/>
      <c r="D30" s="143"/>
      <c r="E30" s="143"/>
      <c r="F30" s="143"/>
      <c r="G30" s="143"/>
      <c r="H30" s="143"/>
      <c r="I30" s="143"/>
      <c r="J30" s="143"/>
      <c r="K30" s="143"/>
      <c r="L30" s="143"/>
      <c r="M30" s="143"/>
      <c r="N30" s="143"/>
      <c r="O30" s="143"/>
      <c r="P30" s="143"/>
      <c r="Q30" s="143"/>
      <c r="R30" s="143"/>
      <c r="S30" s="143"/>
      <c r="T30" s="143"/>
      <c r="U30" s="143"/>
      <c r="V30" s="143"/>
      <c r="W30" s="143"/>
      <c r="X30" s="143"/>
      <c r="Y30" s="143"/>
      <c r="Z30" s="143"/>
      <c r="AA30" s="143"/>
      <c r="AB30" s="143"/>
      <c r="AC30" s="143"/>
      <c r="AD30" s="143"/>
      <c r="AE30" s="143"/>
      <c r="AF30" s="143"/>
      <c r="AG30" s="143"/>
      <c r="AH30" s="143"/>
      <c r="AI30" s="143"/>
      <c r="AJ30" s="143"/>
    </row>
    <row r="31" spans="1:36" s="13" customFormat="1" ht="6" customHeight="1" x14ac:dyDescent="0.2">
      <c r="A31" s="106"/>
      <c r="B31" s="106"/>
      <c r="C31" s="106"/>
      <c r="D31" s="106"/>
      <c r="E31" s="106"/>
      <c r="F31" s="106"/>
      <c r="G31" s="106"/>
      <c r="H31" s="106"/>
      <c r="I31" s="106"/>
      <c r="J31" s="106"/>
    </row>
    <row r="32" spans="1:36" s="13" customFormat="1" ht="12.95" customHeight="1" x14ac:dyDescent="0.2">
      <c r="A32" s="24"/>
      <c r="B32" s="24" t="s">
        <v>18</v>
      </c>
      <c r="C32" s="25">
        <v>6</v>
      </c>
      <c r="D32" s="25"/>
      <c r="E32" s="130" t="s">
        <v>86</v>
      </c>
      <c r="F32" s="130"/>
      <c r="G32" s="130"/>
      <c r="H32" s="27"/>
      <c r="I32" s="27"/>
      <c r="J32" s="27"/>
      <c r="X32" s="21"/>
      <c r="Y32" s="32"/>
      <c r="Z32" s="32"/>
      <c r="AB32" s="131">
        <f>P78</f>
        <v>45819</v>
      </c>
      <c r="AC32" s="131"/>
      <c r="AD32" s="131"/>
      <c r="AE32" s="131"/>
      <c r="AF32" s="131"/>
      <c r="AG32" s="131"/>
      <c r="AH32" s="131"/>
      <c r="AI32" s="131"/>
      <c r="AJ32" s="13" t="s">
        <v>6</v>
      </c>
    </row>
    <row r="33" spans="1:52" s="14" customFormat="1" ht="9" customHeight="1" x14ac:dyDescent="0.15">
      <c r="Y33" s="15"/>
      <c r="Z33" s="16"/>
      <c r="AA33" s="15"/>
      <c r="AB33" s="144" t="s">
        <v>17</v>
      </c>
      <c r="AC33" s="144"/>
      <c r="AD33" s="144"/>
      <c r="AE33" s="144"/>
      <c r="AF33" s="144"/>
      <c r="AG33" s="144"/>
      <c r="AH33" s="144"/>
      <c r="AI33" s="144"/>
    </row>
    <row r="34" spans="1:52" ht="6.75" customHeight="1" x14ac:dyDescent="0.25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4"/>
      <c r="AJ34" s="4"/>
    </row>
    <row r="35" spans="1:52" s="13" customFormat="1" ht="21" customHeight="1" x14ac:dyDescent="0.2">
      <c r="A35" s="126" t="s">
        <v>46</v>
      </c>
      <c r="B35" s="126"/>
      <c r="C35" s="126"/>
      <c r="D35" s="126"/>
      <c r="E35" s="126"/>
      <c r="F35" s="126"/>
      <c r="G35" s="126"/>
      <c r="H35" s="126"/>
      <c r="I35" s="126"/>
      <c r="J35" s="126"/>
      <c r="K35" s="126"/>
      <c r="L35" s="126"/>
      <c r="M35" s="126"/>
      <c r="N35" s="126"/>
      <c r="O35" s="126"/>
      <c r="P35" s="126"/>
      <c r="Q35" s="126"/>
      <c r="R35" s="126"/>
      <c r="S35" s="126"/>
      <c r="T35" s="126"/>
      <c r="U35" s="126"/>
      <c r="V35" s="126"/>
      <c r="W35" s="126"/>
      <c r="X35" s="126"/>
      <c r="Y35" s="126"/>
      <c r="Z35" s="126"/>
      <c r="AA35" s="126"/>
      <c r="AB35" s="126"/>
      <c r="AC35" s="126"/>
      <c r="AD35" s="126"/>
      <c r="AE35" s="126"/>
      <c r="AF35" s="126"/>
      <c r="AG35" s="126"/>
      <c r="AH35" s="126"/>
      <c r="AI35" s="126"/>
      <c r="AJ35" s="126"/>
    </row>
    <row r="36" spans="1:52" s="13" customFormat="1" ht="25.5" customHeight="1" x14ac:dyDescent="0.2">
      <c r="A36" s="127" t="str">
        <f>'Данные объект'!C34</f>
        <v>Гл. специалист ССК УКС ПАО "Россети Московский регион" Алексанян Г.Р. Приказ №1904 от 03 июня 2026г (НРС С-50-069023)</v>
      </c>
      <c r="B36" s="127"/>
      <c r="C36" s="127"/>
      <c r="D36" s="127"/>
      <c r="E36" s="127"/>
      <c r="F36" s="127"/>
      <c r="G36" s="127"/>
      <c r="H36" s="127"/>
      <c r="I36" s="127"/>
      <c r="J36" s="127"/>
      <c r="K36" s="127"/>
      <c r="L36" s="127"/>
      <c r="M36" s="127"/>
      <c r="N36" s="127"/>
      <c r="O36" s="127"/>
      <c r="P36" s="127"/>
      <c r="Q36" s="127"/>
      <c r="R36" s="127"/>
      <c r="S36" s="127"/>
      <c r="T36" s="127"/>
      <c r="U36" s="127"/>
      <c r="V36" s="127"/>
      <c r="W36" s="127"/>
      <c r="X36" s="127"/>
      <c r="Y36" s="127"/>
      <c r="Z36" s="127"/>
      <c r="AA36" s="127"/>
      <c r="AB36" s="127"/>
      <c r="AC36" s="127"/>
      <c r="AD36" s="127"/>
      <c r="AE36" s="127"/>
      <c r="AF36" s="127"/>
      <c r="AG36" s="127"/>
      <c r="AH36" s="127"/>
      <c r="AI36" s="127"/>
      <c r="AJ36" s="127"/>
    </row>
    <row r="37" spans="1:52" s="14" customFormat="1" ht="28.5" customHeight="1" x14ac:dyDescent="0.15">
      <c r="A37" s="128" t="s">
        <v>47</v>
      </c>
      <c r="B37" s="129"/>
      <c r="C37" s="129"/>
      <c r="D37" s="129"/>
      <c r="E37" s="129"/>
      <c r="F37" s="129"/>
      <c r="G37" s="129"/>
      <c r="H37" s="129"/>
      <c r="I37" s="129"/>
      <c r="J37" s="129"/>
      <c r="K37" s="129"/>
      <c r="L37" s="129"/>
      <c r="M37" s="129"/>
      <c r="N37" s="129"/>
      <c r="O37" s="129"/>
      <c r="P37" s="129"/>
      <c r="Q37" s="129"/>
      <c r="R37" s="129"/>
      <c r="S37" s="129"/>
      <c r="T37" s="129"/>
      <c r="U37" s="129"/>
      <c r="V37" s="129"/>
      <c r="W37" s="129"/>
      <c r="X37" s="129"/>
      <c r="Y37" s="129"/>
      <c r="Z37" s="129"/>
      <c r="AA37" s="129"/>
      <c r="AB37" s="129"/>
      <c r="AC37" s="129"/>
      <c r="AD37" s="129"/>
      <c r="AE37" s="129"/>
      <c r="AF37" s="129"/>
      <c r="AG37" s="129"/>
      <c r="AH37" s="129"/>
      <c r="AI37" s="129"/>
      <c r="AJ37" s="129"/>
    </row>
    <row r="38" spans="1:52" s="13" customFormat="1" ht="21.75" customHeight="1" x14ac:dyDescent="0.2">
      <c r="A38" s="127" t="str">
        <f>'Данные объект'!C23</f>
        <v>ПАО "Россети Московский регион" ОГРН 1057746555811 ИНН 5036065113 КПП 772501001,115114, город Москва, проезд Павелецкий 2-й, дом 3, строение 2</v>
      </c>
      <c r="B38" s="127"/>
      <c r="C38" s="127"/>
      <c r="D38" s="127"/>
      <c r="E38" s="127"/>
      <c r="F38" s="127"/>
      <c r="G38" s="127"/>
      <c r="H38" s="127"/>
      <c r="I38" s="127"/>
      <c r="J38" s="127"/>
      <c r="K38" s="127"/>
      <c r="L38" s="127"/>
      <c r="M38" s="127"/>
      <c r="N38" s="127"/>
      <c r="O38" s="127"/>
      <c r="P38" s="127"/>
      <c r="Q38" s="127"/>
      <c r="R38" s="127"/>
      <c r="S38" s="127"/>
      <c r="T38" s="127"/>
      <c r="U38" s="127"/>
      <c r="V38" s="127"/>
      <c r="W38" s="127"/>
      <c r="X38" s="127"/>
      <c r="Y38" s="127"/>
      <c r="Z38" s="127"/>
      <c r="AA38" s="127"/>
      <c r="AB38" s="127"/>
      <c r="AC38" s="127"/>
      <c r="AD38" s="127"/>
      <c r="AE38" s="127"/>
      <c r="AF38" s="127"/>
      <c r="AG38" s="127"/>
      <c r="AH38" s="127"/>
      <c r="AI38" s="127"/>
      <c r="AJ38" s="127"/>
    </row>
    <row r="39" spans="1:52" s="14" customFormat="1" ht="25.5" customHeight="1" x14ac:dyDescent="0.2">
      <c r="A39" s="145" t="s">
        <v>48</v>
      </c>
      <c r="B39" s="145"/>
      <c r="C39" s="145"/>
      <c r="D39" s="145"/>
      <c r="E39" s="145"/>
      <c r="F39" s="145"/>
      <c r="G39" s="145"/>
      <c r="H39" s="145"/>
      <c r="I39" s="145"/>
      <c r="J39" s="145"/>
      <c r="K39" s="145"/>
      <c r="L39" s="145"/>
      <c r="M39" s="145"/>
      <c r="N39" s="145"/>
      <c r="O39" s="145"/>
      <c r="P39" s="145"/>
      <c r="Q39" s="145"/>
      <c r="R39" s="145"/>
      <c r="S39" s="145"/>
      <c r="T39" s="145"/>
      <c r="U39" s="145"/>
      <c r="V39" s="145"/>
      <c r="W39" s="145"/>
      <c r="X39" s="145"/>
      <c r="Y39" s="145"/>
      <c r="Z39" s="145"/>
      <c r="AA39" s="145"/>
      <c r="AB39" s="145"/>
      <c r="AC39" s="145"/>
      <c r="AD39" s="145"/>
      <c r="AE39" s="145"/>
      <c r="AF39" s="145"/>
      <c r="AG39" s="145"/>
      <c r="AH39" s="145"/>
      <c r="AI39" s="145"/>
      <c r="AJ39" s="145"/>
      <c r="AZ39" s="13"/>
    </row>
    <row r="40" spans="1:52" s="13" customFormat="1" ht="12" customHeight="1" x14ac:dyDescent="0.2">
      <c r="A40" s="13" t="s">
        <v>25</v>
      </c>
    </row>
    <row r="41" spans="1:52" s="13" customFormat="1" ht="12" customHeight="1" x14ac:dyDescent="0.2">
      <c r="A41" s="139" t="str">
        <f>'Данные объект'!C21</f>
        <v>Прораб ООО"Энергосистемы" Волков М.Ю..Приказ №05-ОТ/24 от 09 января 2024г</v>
      </c>
      <c r="B41" s="139"/>
      <c r="C41" s="139"/>
      <c r="D41" s="139"/>
      <c r="E41" s="139"/>
      <c r="F41" s="139"/>
      <c r="G41" s="139"/>
      <c r="H41" s="139"/>
      <c r="I41" s="139"/>
      <c r="J41" s="139"/>
      <c r="K41" s="139"/>
      <c r="L41" s="139"/>
      <c r="M41" s="139"/>
      <c r="N41" s="139"/>
      <c r="O41" s="139"/>
      <c r="P41" s="139"/>
      <c r="Q41" s="139"/>
      <c r="R41" s="139"/>
      <c r="S41" s="139"/>
      <c r="T41" s="139"/>
      <c r="U41" s="139"/>
      <c r="V41" s="139"/>
      <c r="W41" s="139"/>
      <c r="X41" s="139"/>
      <c r="Y41" s="139"/>
      <c r="Z41" s="139"/>
      <c r="AA41" s="139"/>
      <c r="AB41" s="139"/>
      <c r="AC41" s="139"/>
      <c r="AD41" s="139"/>
      <c r="AE41" s="139"/>
      <c r="AF41" s="139"/>
      <c r="AG41" s="139"/>
      <c r="AH41" s="139"/>
      <c r="AI41" s="139"/>
      <c r="AJ41" s="139"/>
    </row>
    <row r="42" spans="1:52" s="14" customFormat="1" ht="9" customHeight="1" x14ac:dyDescent="0.15">
      <c r="A42" s="128" t="s">
        <v>26</v>
      </c>
      <c r="B42" s="129"/>
      <c r="C42" s="129"/>
      <c r="D42" s="129"/>
      <c r="E42" s="129"/>
      <c r="F42" s="129"/>
      <c r="G42" s="129"/>
      <c r="H42" s="129"/>
      <c r="I42" s="129"/>
      <c r="J42" s="129"/>
      <c r="K42" s="129"/>
      <c r="L42" s="129"/>
      <c r="M42" s="129"/>
      <c r="N42" s="129"/>
      <c r="O42" s="129"/>
      <c r="P42" s="129"/>
      <c r="Q42" s="129"/>
      <c r="R42" s="129"/>
      <c r="S42" s="129"/>
      <c r="T42" s="129"/>
      <c r="U42" s="129"/>
      <c r="V42" s="129"/>
      <c r="W42" s="129"/>
      <c r="X42" s="129"/>
      <c r="Y42" s="129"/>
      <c r="Z42" s="129"/>
      <c r="AA42" s="129"/>
      <c r="AB42" s="129"/>
      <c r="AC42" s="129"/>
      <c r="AD42" s="129"/>
      <c r="AE42" s="129"/>
      <c r="AF42" s="129"/>
      <c r="AG42" s="129"/>
      <c r="AH42" s="129"/>
      <c r="AI42" s="129"/>
      <c r="AJ42" s="129"/>
    </row>
    <row r="43" spans="1:52" s="13" customFormat="1" ht="17.25" customHeight="1" x14ac:dyDescent="0.2">
      <c r="A43" s="126" t="s">
        <v>49</v>
      </c>
      <c r="B43" s="126"/>
      <c r="C43" s="126"/>
      <c r="D43" s="126"/>
      <c r="E43" s="126"/>
      <c r="F43" s="126"/>
      <c r="G43" s="126"/>
      <c r="H43" s="126"/>
      <c r="I43" s="126"/>
      <c r="J43" s="126"/>
      <c r="K43" s="126"/>
      <c r="L43" s="126"/>
      <c r="M43" s="126"/>
      <c r="N43" s="126"/>
      <c r="O43" s="126"/>
      <c r="P43" s="126"/>
      <c r="Q43" s="126"/>
      <c r="R43" s="126"/>
      <c r="S43" s="126"/>
      <c r="T43" s="126"/>
      <c r="U43" s="126"/>
      <c r="V43" s="126"/>
      <c r="W43" s="126"/>
      <c r="X43" s="126"/>
      <c r="Y43" s="126"/>
      <c r="Z43" s="126"/>
      <c r="AA43" s="126"/>
      <c r="AB43" s="126"/>
      <c r="AC43" s="126"/>
      <c r="AD43" s="126"/>
      <c r="AE43" s="126"/>
      <c r="AF43" s="126"/>
      <c r="AG43" s="126"/>
      <c r="AH43" s="126"/>
      <c r="AI43" s="126"/>
      <c r="AJ43" s="126"/>
    </row>
    <row r="44" spans="1:52" s="31" customFormat="1" ht="22.5" customHeight="1" x14ac:dyDescent="0.2">
      <c r="A44" s="127" t="str">
        <f>'Данные объект'!C18</f>
        <v>Инженер по строительному контролю ООО"Энергосистемы" Русин В.А..Приказ № 13-ОТ/25 от 05 мая 2025 (НОСТРОЙ С-50-085497)</v>
      </c>
      <c r="B44" s="127"/>
      <c r="C44" s="127"/>
      <c r="D44" s="127"/>
      <c r="E44" s="127"/>
      <c r="F44" s="127"/>
      <c r="G44" s="127"/>
      <c r="H44" s="127"/>
      <c r="I44" s="127"/>
      <c r="J44" s="127"/>
      <c r="K44" s="127"/>
      <c r="L44" s="127"/>
      <c r="M44" s="127"/>
      <c r="N44" s="127"/>
      <c r="O44" s="127"/>
      <c r="P44" s="127"/>
      <c r="Q44" s="127"/>
      <c r="R44" s="127"/>
      <c r="S44" s="127"/>
      <c r="T44" s="127"/>
      <c r="U44" s="127"/>
      <c r="V44" s="127"/>
      <c r="W44" s="127"/>
      <c r="X44" s="127"/>
      <c r="Y44" s="127"/>
      <c r="Z44" s="127"/>
      <c r="AA44" s="127"/>
      <c r="AB44" s="127"/>
      <c r="AC44" s="127"/>
      <c r="AD44" s="127"/>
      <c r="AE44" s="127"/>
      <c r="AF44" s="127"/>
      <c r="AG44" s="127"/>
      <c r="AH44" s="127"/>
      <c r="AI44" s="127"/>
      <c r="AJ44" s="127"/>
    </row>
    <row r="45" spans="1:52" s="14" customFormat="1" ht="30" customHeight="1" x14ac:dyDescent="0.15">
      <c r="A45" s="128" t="s">
        <v>50</v>
      </c>
      <c r="B45" s="129"/>
      <c r="C45" s="129"/>
      <c r="D45" s="129"/>
      <c r="E45" s="129"/>
      <c r="F45" s="129"/>
      <c r="G45" s="129"/>
      <c r="H45" s="129"/>
      <c r="I45" s="129"/>
      <c r="J45" s="129"/>
      <c r="K45" s="129"/>
      <c r="L45" s="129"/>
      <c r="M45" s="129"/>
      <c r="N45" s="129"/>
      <c r="O45" s="129"/>
      <c r="P45" s="129"/>
      <c r="Q45" s="129"/>
      <c r="R45" s="129"/>
      <c r="S45" s="129"/>
      <c r="T45" s="129"/>
      <c r="U45" s="129"/>
      <c r="V45" s="129"/>
      <c r="W45" s="129"/>
      <c r="X45" s="129"/>
      <c r="Y45" s="129"/>
      <c r="Z45" s="129"/>
      <c r="AA45" s="129"/>
      <c r="AB45" s="129"/>
      <c r="AC45" s="129"/>
      <c r="AD45" s="129"/>
      <c r="AE45" s="129"/>
      <c r="AF45" s="129"/>
      <c r="AG45" s="129"/>
      <c r="AH45" s="129"/>
      <c r="AI45" s="129"/>
      <c r="AJ45" s="129"/>
    </row>
    <row r="46" spans="1:52" s="14" customFormat="1" ht="11.25" x14ac:dyDescent="0.2">
      <c r="A46" s="126" t="s">
        <v>190</v>
      </c>
      <c r="B46" s="126"/>
      <c r="C46" s="126"/>
      <c r="D46" s="126"/>
      <c r="E46" s="126"/>
      <c r="F46" s="126"/>
      <c r="G46" s="126"/>
      <c r="H46" s="126"/>
      <c r="I46" s="126"/>
      <c r="J46" s="126"/>
      <c r="K46" s="126"/>
      <c r="L46" s="126"/>
      <c r="M46" s="126"/>
      <c r="N46" s="126"/>
      <c r="O46" s="126"/>
      <c r="P46" s="126"/>
      <c r="Q46" s="126"/>
      <c r="R46" s="126"/>
      <c r="S46" s="126"/>
      <c r="T46" s="126"/>
      <c r="U46" s="126"/>
      <c r="V46" s="126"/>
      <c r="W46" s="126"/>
      <c r="X46" s="126"/>
      <c r="Y46" s="126"/>
      <c r="Z46" s="126"/>
      <c r="AA46" s="126"/>
      <c r="AB46" s="126"/>
      <c r="AC46" s="126"/>
      <c r="AD46" s="126"/>
      <c r="AE46" s="126"/>
      <c r="AF46" s="126"/>
      <c r="AG46" s="126"/>
      <c r="AH46" s="126"/>
      <c r="AI46" s="126"/>
      <c r="AJ46" s="126"/>
    </row>
    <row r="47" spans="1:52" s="14" customFormat="1" ht="11.25" customHeight="1" x14ac:dyDescent="0.15">
      <c r="A47" s="127" t="str">
        <f>'Данные объект'!$C$36</f>
        <v>Мастер СРЭС СЭС филиала ПАО "Россети Московский регион" Курчин М.М.</v>
      </c>
      <c r="B47" s="127"/>
      <c r="C47" s="127"/>
      <c r="D47" s="127"/>
      <c r="E47" s="127"/>
      <c r="F47" s="127"/>
      <c r="G47" s="127"/>
      <c r="H47" s="127"/>
      <c r="I47" s="127"/>
      <c r="J47" s="127"/>
      <c r="K47" s="127"/>
      <c r="L47" s="127"/>
      <c r="M47" s="127"/>
      <c r="N47" s="127"/>
      <c r="O47" s="127"/>
      <c r="P47" s="127"/>
      <c r="Q47" s="127"/>
      <c r="R47" s="127"/>
      <c r="S47" s="127"/>
      <c r="T47" s="127"/>
      <c r="U47" s="127"/>
      <c r="V47" s="127"/>
      <c r="W47" s="127"/>
      <c r="X47" s="127"/>
      <c r="Y47" s="127"/>
      <c r="Z47" s="127"/>
      <c r="AA47" s="127"/>
      <c r="AB47" s="127"/>
      <c r="AC47" s="127"/>
      <c r="AD47" s="127"/>
      <c r="AE47" s="127"/>
      <c r="AF47" s="127"/>
      <c r="AG47" s="127"/>
      <c r="AH47" s="127"/>
      <c r="AI47" s="127"/>
      <c r="AJ47" s="127"/>
    </row>
    <row r="48" spans="1:52" s="14" customFormat="1" ht="8.25" x14ac:dyDescent="0.15">
      <c r="A48" s="128" t="s">
        <v>26</v>
      </c>
      <c r="B48" s="129"/>
      <c r="C48" s="129"/>
      <c r="D48" s="129"/>
      <c r="E48" s="129"/>
      <c r="F48" s="129"/>
      <c r="G48" s="129"/>
      <c r="H48" s="129"/>
      <c r="I48" s="129"/>
      <c r="J48" s="129"/>
      <c r="K48" s="129"/>
      <c r="L48" s="129"/>
      <c r="M48" s="129"/>
      <c r="N48" s="129"/>
      <c r="O48" s="129"/>
      <c r="P48" s="129"/>
      <c r="Q48" s="129"/>
      <c r="R48" s="129"/>
      <c r="S48" s="129"/>
      <c r="T48" s="129"/>
      <c r="U48" s="129"/>
      <c r="V48" s="129"/>
      <c r="W48" s="129"/>
      <c r="X48" s="129"/>
      <c r="Y48" s="129"/>
      <c r="Z48" s="129"/>
      <c r="AA48" s="129"/>
      <c r="AB48" s="129"/>
      <c r="AC48" s="129"/>
      <c r="AD48" s="129"/>
      <c r="AE48" s="129"/>
      <c r="AF48" s="129"/>
      <c r="AG48" s="129"/>
      <c r="AH48" s="129"/>
      <c r="AI48" s="129"/>
      <c r="AJ48" s="129"/>
    </row>
    <row r="49" spans="1:36" s="13" customFormat="1" ht="35.25" customHeight="1" x14ac:dyDescent="0.2">
      <c r="A49" s="136" t="s">
        <v>51</v>
      </c>
      <c r="B49" s="136"/>
      <c r="C49" s="136"/>
      <c r="D49" s="136"/>
      <c r="E49" s="136"/>
      <c r="F49" s="136"/>
      <c r="G49" s="136"/>
      <c r="H49" s="136"/>
      <c r="I49" s="136"/>
      <c r="J49" s="136"/>
      <c r="K49" s="136"/>
      <c r="L49" s="136"/>
      <c r="M49" s="136"/>
      <c r="N49" s="136"/>
      <c r="O49" s="136"/>
      <c r="P49" s="136"/>
      <c r="Q49" s="136"/>
      <c r="R49" s="136"/>
      <c r="S49" s="136"/>
      <c r="T49" s="136"/>
      <c r="U49" s="136"/>
      <c r="V49" s="136"/>
      <c r="W49" s="136"/>
      <c r="X49" s="136"/>
      <c r="Y49" s="136"/>
      <c r="Z49" s="136"/>
      <c r="AA49" s="136"/>
      <c r="AB49" s="136"/>
      <c r="AC49" s="136"/>
      <c r="AD49" s="136"/>
      <c r="AE49" s="136"/>
      <c r="AF49" s="136"/>
      <c r="AG49" s="136"/>
      <c r="AH49" s="136"/>
      <c r="AI49" s="136"/>
      <c r="AJ49" s="136"/>
    </row>
    <row r="50" spans="1:36" s="31" customFormat="1" ht="12.95" customHeight="1" x14ac:dyDescent="0.2">
      <c r="A50" s="139" t="s">
        <v>74</v>
      </c>
      <c r="B50" s="139"/>
      <c r="C50" s="139"/>
      <c r="D50" s="139"/>
      <c r="E50" s="139"/>
      <c r="F50" s="139"/>
      <c r="G50" s="139"/>
      <c r="H50" s="139"/>
      <c r="I50" s="139"/>
      <c r="J50" s="139"/>
      <c r="K50" s="139"/>
      <c r="L50" s="139"/>
      <c r="M50" s="139"/>
      <c r="N50" s="139"/>
      <c r="O50" s="139"/>
      <c r="P50" s="139"/>
      <c r="Q50" s="139"/>
      <c r="R50" s="139"/>
      <c r="S50" s="139"/>
      <c r="T50" s="139"/>
      <c r="U50" s="139"/>
      <c r="V50" s="139"/>
      <c r="W50" s="139"/>
      <c r="X50" s="139"/>
      <c r="Y50" s="139"/>
      <c r="Z50" s="139"/>
      <c r="AA50" s="139"/>
      <c r="AB50" s="139"/>
      <c r="AC50" s="139"/>
      <c r="AD50" s="139"/>
      <c r="AE50" s="139"/>
      <c r="AF50" s="139"/>
      <c r="AG50" s="139"/>
      <c r="AH50" s="139"/>
      <c r="AI50" s="139"/>
      <c r="AJ50" s="139"/>
    </row>
    <row r="51" spans="1:36" s="14" customFormat="1" ht="29.25" customHeight="1" x14ac:dyDescent="0.15">
      <c r="A51" s="128" t="s">
        <v>52</v>
      </c>
      <c r="B51" s="129"/>
      <c r="C51" s="129"/>
      <c r="D51" s="129"/>
      <c r="E51" s="129"/>
      <c r="F51" s="129"/>
      <c r="G51" s="129"/>
      <c r="H51" s="129"/>
      <c r="I51" s="129"/>
      <c r="J51" s="129"/>
      <c r="K51" s="129"/>
      <c r="L51" s="129"/>
      <c r="M51" s="129"/>
      <c r="N51" s="129"/>
      <c r="O51" s="129"/>
      <c r="P51" s="129"/>
      <c r="Q51" s="129"/>
      <c r="R51" s="129"/>
      <c r="S51" s="129"/>
      <c r="T51" s="129"/>
      <c r="U51" s="129"/>
      <c r="V51" s="129"/>
      <c r="W51" s="129"/>
      <c r="X51" s="129"/>
      <c r="Y51" s="129"/>
      <c r="Z51" s="129"/>
      <c r="AA51" s="129"/>
      <c r="AB51" s="129"/>
      <c r="AC51" s="129"/>
      <c r="AD51" s="129"/>
      <c r="AE51" s="129"/>
      <c r="AF51" s="129"/>
      <c r="AG51" s="129"/>
      <c r="AH51" s="129"/>
      <c r="AI51" s="129"/>
      <c r="AJ51" s="129"/>
    </row>
    <row r="52" spans="1:36" s="13" customFormat="1" ht="25.5" hidden="1" customHeight="1" x14ac:dyDescent="0.2">
      <c r="A52" s="136" t="s">
        <v>53</v>
      </c>
      <c r="B52" s="136"/>
      <c r="C52" s="136"/>
      <c r="D52" s="136"/>
      <c r="E52" s="136"/>
      <c r="F52" s="136"/>
      <c r="G52" s="136"/>
      <c r="H52" s="136"/>
      <c r="I52" s="136"/>
      <c r="J52" s="136"/>
      <c r="K52" s="136"/>
      <c r="L52" s="136"/>
      <c r="M52" s="136"/>
      <c r="N52" s="136"/>
      <c r="O52" s="136"/>
      <c r="P52" s="136"/>
      <c r="Q52" s="136"/>
      <c r="R52" s="136"/>
      <c r="S52" s="136"/>
      <c r="T52" s="136"/>
      <c r="U52" s="136"/>
      <c r="V52" s="136"/>
      <c r="W52" s="136"/>
      <c r="X52" s="136"/>
      <c r="Y52" s="136"/>
      <c r="Z52" s="136"/>
      <c r="AA52" s="136"/>
      <c r="AB52" s="136"/>
      <c r="AC52" s="136"/>
      <c r="AD52" s="136"/>
      <c r="AE52" s="136"/>
      <c r="AF52" s="136"/>
      <c r="AG52" s="136"/>
      <c r="AH52" s="136"/>
      <c r="AI52" s="136"/>
      <c r="AJ52" s="136"/>
    </row>
    <row r="53" spans="1:36" s="13" customFormat="1" ht="12" hidden="1" customHeight="1" x14ac:dyDescent="0.2">
      <c r="A53" s="127" t="e">
        <f>CONCATENATE(#REF!,", ",#REF!," - ",#REF!)</f>
        <v>#REF!</v>
      </c>
      <c r="B53" s="127"/>
      <c r="C53" s="127"/>
      <c r="D53" s="127"/>
      <c r="E53" s="127"/>
      <c r="F53" s="127"/>
      <c r="G53" s="127"/>
      <c r="H53" s="127"/>
      <c r="I53" s="127"/>
      <c r="J53" s="127"/>
      <c r="K53" s="127"/>
      <c r="L53" s="127"/>
      <c r="M53" s="127"/>
      <c r="N53" s="127"/>
      <c r="O53" s="127"/>
      <c r="P53" s="127"/>
      <c r="Q53" s="127"/>
      <c r="R53" s="127"/>
      <c r="S53" s="127"/>
      <c r="T53" s="127"/>
      <c r="U53" s="127"/>
      <c r="V53" s="127"/>
      <c r="W53" s="127"/>
      <c r="X53" s="127"/>
      <c r="Y53" s="127"/>
      <c r="Z53" s="127"/>
      <c r="AA53" s="127"/>
      <c r="AB53" s="127"/>
      <c r="AC53" s="127"/>
      <c r="AD53" s="127"/>
      <c r="AE53" s="127"/>
      <c r="AF53" s="127"/>
      <c r="AG53" s="127"/>
      <c r="AH53" s="127"/>
      <c r="AI53" s="127"/>
      <c r="AJ53" s="127"/>
    </row>
    <row r="54" spans="1:36" s="14" customFormat="1" ht="9.75" hidden="1" customHeight="1" x14ac:dyDescent="0.15">
      <c r="A54" s="128" t="s">
        <v>29</v>
      </c>
      <c r="B54" s="129"/>
      <c r="C54" s="129"/>
      <c r="D54" s="129"/>
      <c r="E54" s="129"/>
      <c r="F54" s="129"/>
      <c r="G54" s="129"/>
      <c r="H54" s="129"/>
      <c r="I54" s="129"/>
      <c r="J54" s="129"/>
      <c r="K54" s="129"/>
      <c r="L54" s="129"/>
      <c r="M54" s="129"/>
      <c r="N54" s="129"/>
      <c r="O54" s="129"/>
      <c r="P54" s="129"/>
      <c r="Q54" s="129"/>
      <c r="R54" s="129"/>
      <c r="S54" s="129"/>
      <c r="T54" s="129"/>
      <c r="U54" s="129"/>
      <c r="V54" s="129"/>
      <c r="W54" s="129"/>
      <c r="X54" s="129"/>
      <c r="Y54" s="129"/>
      <c r="Z54" s="129"/>
      <c r="AA54" s="129"/>
      <c r="AB54" s="129"/>
      <c r="AC54" s="129"/>
      <c r="AD54" s="129"/>
      <c r="AE54" s="129"/>
      <c r="AF54" s="129"/>
      <c r="AG54" s="129"/>
      <c r="AH54" s="129"/>
      <c r="AI54" s="129"/>
      <c r="AJ54" s="129"/>
    </row>
    <row r="55" spans="1:36" s="13" customFormat="1" ht="12" hidden="1" customHeight="1" x14ac:dyDescent="0.2">
      <c r="A55" s="127"/>
      <c r="B55" s="127"/>
      <c r="C55" s="127"/>
      <c r="D55" s="127"/>
      <c r="E55" s="127"/>
      <c r="F55" s="127"/>
      <c r="G55" s="127"/>
      <c r="H55" s="127"/>
      <c r="I55" s="127"/>
      <c r="J55" s="127"/>
      <c r="K55" s="127"/>
      <c r="L55" s="127"/>
      <c r="M55" s="127"/>
      <c r="N55" s="127"/>
      <c r="O55" s="127"/>
      <c r="P55" s="127"/>
      <c r="Q55" s="127"/>
      <c r="R55" s="127"/>
      <c r="S55" s="127"/>
      <c r="T55" s="127"/>
      <c r="U55" s="127"/>
      <c r="V55" s="127"/>
      <c r="W55" s="127"/>
      <c r="X55" s="127"/>
      <c r="Y55" s="127"/>
      <c r="Z55" s="127"/>
      <c r="AA55" s="127"/>
      <c r="AB55" s="127"/>
      <c r="AC55" s="127"/>
      <c r="AD55" s="127"/>
      <c r="AE55" s="127"/>
      <c r="AF55" s="127"/>
      <c r="AG55" s="127"/>
      <c r="AH55" s="127"/>
      <c r="AI55" s="127"/>
      <c r="AJ55" s="127"/>
    </row>
    <row r="56" spans="1:36" s="14" customFormat="1" ht="16.5" hidden="1" customHeight="1" x14ac:dyDescent="0.15">
      <c r="A56" s="128" t="s">
        <v>54</v>
      </c>
      <c r="B56" s="128"/>
      <c r="C56" s="128"/>
      <c r="D56" s="128"/>
      <c r="E56" s="128"/>
      <c r="F56" s="128"/>
      <c r="G56" s="128"/>
      <c r="H56" s="128"/>
      <c r="I56" s="128"/>
      <c r="J56" s="128"/>
      <c r="K56" s="128"/>
      <c r="L56" s="128"/>
      <c r="M56" s="128"/>
      <c r="N56" s="128"/>
      <c r="O56" s="128"/>
      <c r="P56" s="128"/>
      <c r="Q56" s="128"/>
      <c r="R56" s="128"/>
      <c r="S56" s="128"/>
      <c r="T56" s="128"/>
      <c r="U56" s="128"/>
      <c r="V56" s="128"/>
      <c r="W56" s="128"/>
      <c r="X56" s="128"/>
      <c r="Y56" s="128"/>
      <c r="Z56" s="128"/>
      <c r="AA56" s="128"/>
      <c r="AB56" s="128"/>
      <c r="AC56" s="128"/>
      <c r="AD56" s="128"/>
      <c r="AE56" s="128"/>
      <c r="AF56" s="128"/>
      <c r="AG56" s="128"/>
      <c r="AH56" s="128"/>
      <c r="AI56" s="128"/>
      <c r="AJ56" s="128"/>
    </row>
    <row r="57" spans="1:36" s="13" customFormat="1" ht="12" customHeight="1" x14ac:dyDescent="0.2">
      <c r="A57" s="13" t="s">
        <v>16</v>
      </c>
    </row>
    <row r="58" spans="1:36" s="13" customFormat="1" ht="12.95" customHeight="1" x14ac:dyDescent="0.2">
      <c r="A58" s="130" t="str">
        <f>'Данные объект'!B11</f>
        <v>ООО"Энергосистемы"</v>
      </c>
      <c r="B58" s="130"/>
      <c r="C58" s="130"/>
      <c r="D58" s="130"/>
      <c r="E58" s="130"/>
      <c r="F58" s="130"/>
      <c r="G58" s="130"/>
      <c r="H58" s="130"/>
      <c r="I58" s="130"/>
      <c r="J58" s="130"/>
      <c r="K58" s="130"/>
      <c r="L58" s="130"/>
      <c r="M58" s="130"/>
      <c r="N58" s="130"/>
      <c r="O58" s="130"/>
      <c r="P58" s="130"/>
      <c r="Q58" s="130"/>
      <c r="R58" s="130"/>
      <c r="S58" s="130"/>
      <c r="T58" s="130"/>
      <c r="U58" s="130"/>
      <c r="V58" s="130"/>
      <c r="W58" s="130"/>
      <c r="X58" s="130"/>
      <c r="Y58" s="130"/>
      <c r="Z58" s="130"/>
      <c r="AA58" s="130"/>
      <c r="AB58" s="130"/>
      <c r="AC58" s="130"/>
      <c r="AD58" s="130"/>
      <c r="AE58" s="130"/>
      <c r="AF58" s="130"/>
      <c r="AG58" s="130"/>
      <c r="AH58" s="130"/>
      <c r="AI58" s="130"/>
      <c r="AJ58" s="130"/>
    </row>
    <row r="59" spans="1:36" s="14" customFormat="1" ht="10.5" customHeight="1" x14ac:dyDescent="0.15">
      <c r="A59" s="134" t="s">
        <v>38</v>
      </c>
      <c r="B59" s="134"/>
      <c r="C59" s="134"/>
      <c r="D59" s="134"/>
      <c r="E59" s="134"/>
      <c r="F59" s="134"/>
      <c r="G59" s="134"/>
      <c r="H59" s="134"/>
      <c r="I59" s="134"/>
      <c r="J59" s="134"/>
      <c r="K59" s="134"/>
      <c r="L59" s="134"/>
      <c r="M59" s="134"/>
      <c r="N59" s="134"/>
      <c r="O59" s="134"/>
      <c r="P59" s="134"/>
      <c r="Q59" s="134"/>
      <c r="R59" s="134"/>
      <c r="S59" s="134"/>
      <c r="T59" s="134"/>
      <c r="U59" s="134"/>
      <c r="V59" s="134"/>
      <c r="W59" s="134"/>
      <c r="X59" s="134"/>
      <c r="Y59" s="134"/>
      <c r="Z59" s="134"/>
      <c r="AA59" s="134"/>
      <c r="AB59" s="134"/>
      <c r="AC59" s="134"/>
      <c r="AD59" s="134"/>
      <c r="AE59" s="134"/>
      <c r="AF59" s="134"/>
      <c r="AG59" s="134"/>
      <c r="AH59" s="134"/>
      <c r="AI59" s="134"/>
      <c r="AJ59" s="134"/>
    </row>
    <row r="60" spans="1:36" s="13" customFormat="1" ht="12" customHeight="1" x14ac:dyDescent="0.2">
      <c r="A60" s="13" t="s">
        <v>15</v>
      </c>
    </row>
    <row r="61" spans="1:36" s="13" customFormat="1" ht="12" customHeight="1" x14ac:dyDescent="0.2">
      <c r="A61" s="13" t="s">
        <v>30</v>
      </c>
    </row>
    <row r="62" spans="1:36" s="13" customFormat="1" ht="12.75" customHeight="1" x14ac:dyDescent="0.2">
      <c r="A62" s="146" t="str">
        <f>'АОСР-5'!A86:AJ86</f>
        <v>Прокладка плитки ПЗК</v>
      </c>
      <c r="B62" s="146"/>
      <c r="C62" s="146"/>
      <c r="D62" s="146"/>
      <c r="E62" s="146"/>
      <c r="F62" s="146"/>
      <c r="G62" s="146"/>
      <c r="H62" s="146"/>
      <c r="I62" s="73"/>
      <c r="J62" s="141" t="s">
        <v>155</v>
      </c>
      <c r="K62" s="141"/>
      <c r="L62" s="141"/>
      <c r="M62" s="71"/>
      <c r="N62" s="138"/>
      <c r="O62" s="138"/>
      <c r="P62" s="138"/>
      <c r="Q62" s="138"/>
      <c r="R62" s="138" t="s">
        <v>98</v>
      </c>
      <c r="S62" s="138"/>
      <c r="T62" s="101"/>
      <c r="U62" s="101"/>
      <c r="V62" s="101"/>
      <c r="W62" s="101"/>
      <c r="X62" s="74"/>
      <c r="Y62" s="74"/>
      <c r="Z62" s="101"/>
      <c r="AA62" s="101"/>
      <c r="AB62" s="101"/>
      <c r="AC62" s="101"/>
      <c r="AD62" s="101"/>
      <c r="AE62" s="101"/>
      <c r="AF62" s="73"/>
      <c r="AG62" s="73"/>
      <c r="AH62" s="73"/>
      <c r="AI62" s="73"/>
      <c r="AJ62" s="73"/>
    </row>
    <row r="63" spans="1:36" s="14" customFormat="1" ht="8.25" customHeight="1" x14ac:dyDescent="0.15">
      <c r="A63" s="128" t="s">
        <v>14</v>
      </c>
      <c r="B63" s="129"/>
      <c r="C63" s="129"/>
      <c r="D63" s="129"/>
      <c r="E63" s="129"/>
      <c r="F63" s="129"/>
      <c r="G63" s="129"/>
      <c r="H63" s="129"/>
      <c r="I63" s="129"/>
      <c r="J63" s="129"/>
      <c r="K63" s="129"/>
      <c r="L63" s="129"/>
      <c r="M63" s="129"/>
      <c r="N63" s="129"/>
      <c r="O63" s="129"/>
      <c r="P63" s="129"/>
      <c r="Q63" s="129"/>
      <c r="R63" s="129"/>
      <c r="S63" s="129"/>
      <c r="T63" s="129"/>
      <c r="U63" s="129"/>
      <c r="V63" s="129"/>
      <c r="W63" s="129"/>
      <c r="X63" s="129"/>
      <c r="Y63" s="129"/>
      <c r="Z63" s="129"/>
      <c r="AA63" s="129"/>
      <c r="AB63" s="129"/>
      <c r="AC63" s="129"/>
      <c r="AD63" s="129"/>
      <c r="AE63" s="129"/>
      <c r="AF63" s="129"/>
      <c r="AG63" s="129"/>
      <c r="AH63" s="129"/>
      <c r="AI63" s="129"/>
      <c r="AJ63" s="129"/>
    </row>
    <row r="64" spans="1:36" s="13" customFormat="1" ht="12" customHeight="1" x14ac:dyDescent="0.2">
      <c r="A64" s="13" t="s">
        <v>13</v>
      </c>
    </row>
    <row r="65" spans="1:36" s="13" customFormat="1" ht="12" customHeight="1" x14ac:dyDescent="0.2">
      <c r="A65" s="127" t="str">
        <f>'Данные объект'!B43</f>
        <v>4609-305042-221-10/24</v>
      </c>
      <c r="B65" s="127"/>
      <c r="C65" s="127"/>
      <c r="D65" s="127"/>
      <c r="E65" s="127"/>
      <c r="F65" s="127"/>
      <c r="G65" s="127"/>
      <c r="H65" s="127"/>
      <c r="I65" s="127"/>
      <c r="J65" s="127"/>
      <c r="K65" s="127"/>
      <c r="L65" s="127"/>
      <c r="M65" s="127"/>
      <c r="N65" s="127"/>
      <c r="O65" s="127"/>
      <c r="P65" s="127"/>
      <c r="Q65" s="127"/>
      <c r="R65" s="127"/>
      <c r="S65" s="127"/>
      <c r="T65" s="127"/>
      <c r="U65" s="127"/>
      <c r="V65" s="127"/>
      <c r="W65" s="127"/>
      <c r="X65" s="127"/>
      <c r="Y65" s="127"/>
      <c r="Z65" s="127"/>
      <c r="AA65" s="127"/>
      <c r="AB65" s="127"/>
      <c r="AC65" s="127"/>
      <c r="AD65" s="127"/>
      <c r="AE65" s="127"/>
      <c r="AF65" s="127"/>
      <c r="AG65" s="127"/>
      <c r="AH65" s="127"/>
      <c r="AI65" s="127"/>
      <c r="AJ65" s="127"/>
    </row>
    <row r="66" spans="1:36" s="14" customFormat="1" ht="15" customHeight="1" x14ac:dyDescent="0.15">
      <c r="A66" s="128" t="s">
        <v>39</v>
      </c>
      <c r="B66" s="129"/>
      <c r="C66" s="129"/>
      <c r="D66" s="129"/>
      <c r="E66" s="129"/>
      <c r="F66" s="129"/>
      <c r="G66" s="129"/>
      <c r="H66" s="129"/>
      <c r="I66" s="129"/>
      <c r="J66" s="129"/>
      <c r="K66" s="129"/>
      <c r="L66" s="129"/>
      <c r="M66" s="129"/>
      <c r="N66" s="129"/>
      <c r="O66" s="129"/>
      <c r="P66" s="129"/>
      <c r="Q66" s="129"/>
      <c r="R66" s="129"/>
      <c r="S66" s="129"/>
      <c r="T66" s="129"/>
      <c r="U66" s="129"/>
      <c r="V66" s="129"/>
      <c r="W66" s="129"/>
      <c r="X66" s="129"/>
      <c r="Y66" s="129"/>
      <c r="Z66" s="129"/>
      <c r="AA66" s="129"/>
      <c r="AB66" s="129"/>
      <c r="AC66" s="129"/>
      <c r="AD66" s="129"/>
      <c r="AE66" s="129"/>
      <c r="AF66" s="129"/>
      <c r="AG66" s="129"/>
      <c r="AH66" s="129"/>
      <c r="AI66" s="129"/>
      <c r="AJ66" s="129"/>
    </row>
    <row r="67" spans="1:36" s="13" customFormat="1" ht="12" customHeight="1" x14ac:dyDescent="0.2">
      <c r="A67" s="13" t="s">
        <v>12</v>
      </c>
      <c r="P67" s="130"/>
      <c r="Q67" s="130"/>
      <c r="R67" s="130"/>
      <c r="S67" s="130"/>
      <c r="T67" s="130"/>
      <c r="U67" s="130"/>
      <c r="V67" s="130"/>
      <c r="W67" s="130"/>
      <c r="X67" s="130"/>
      <c r="Y67" s="130"/>
      <c r="Z67" s="130"/>
      <c r="AA67" s="130"/>
      <c r="AB67" s="130"/>
      <c r="AC67" s="130"/>
      <c r="AD67" s="130"/>
      <c r="AE67" s="130"/>
      <c r="AF67" s="130"/>
      <c r="AG67" s="130"/>
      <c r="AH67" s="130"/>
      <c r="AI67" s="130"/>
      <c r="AJ67" s="130"/>
    </row>
    <row r="68" spans="1:36" s="18" customFormat="1" ht="11.25" customHeight="1" x14ac:dyDescent="0.15">
      <c r="A68" s="19"/>
      <c r="B68" s="19"/>
      <c r="C68" s="19"/>
      <c r="D68" s="19"/>
      <c r="E68" s="19"/>
      <c r="F68" s="19"/>
      <c r="G68" s="19"/>
      <c r="H68" s="19"/>
      <c r="I68" s="19"/>
      <c r="J68" s="19"/>
      <c r="K68" s="19"/>
      <c r="L68" s="19"/>
      <c r="M68" s="19"/>
      <c r="N68" s="19"/>
      <c r="O68" s="19"/>
      <c r="P68" s="135" t="s">
        <v>55</v>
      </c>
      <c r="Q68" s="135"/>
      <c r="R68" s="135"/>
      <c r="S68" s="135"/>
      <c r="T68" s="135"/>
      <c r="U68" s="135"/>
      <c r="V68" s="135"/>
      <c r="W68" s="135"/>
      <c r="X68" s="135"/>
      <c r="Y68" s="135"/>
      <c r="Z68" s="135"/>
      <c r="AA68" s="135"/>
      <c r="AB68" s="135"/>
      <c r="AC68" s="135"/>
      <c r="AD68" s="135"/>
      <c r="AE68" s="135"/>
      <c r="AF68" s="135"/>
      <c r="AG68" s="135"/>
      <c r="AH68" s="135"/>
      <c r="AI68" s="135"/>
      <c r="AJ68" s="135"/>
    </row>
    <row r="69" spans="1:36" s="13" customFormat="1" ht="18" customHeight="1" x14ac:dyDescent="0.2">
      <c r="A69" s="160" t="s">
        <v>201</v>
      </c>
      <c r="B69" s="160"/>
      <c r="C69" s="160"/>
      <c r="D69" s="160"/>
      <c r="E69" s="160"/>
      <c r="F69" s="161">
        <v>240</v>
      </c>
      <c r="G69" s="161"/>
      <c r="H69" s="161"/>
      <c r="I69" s="161"/>
      <c r="J69" s="139" t="str">
        <f>R62</f>
        <v>шт</v>
      </c>
      <c r="K69" s="139"/>
      <c r="L69" s="34"/>
      <c r="M69" s="34"/>
      <c r="N69" s="146" t="s">
        <v>203</v>
      </c>
      <c r="O69" s="146"/>
      <c r="P69" s="146"/>
      <c r="Q69" s="146"/>
      <c r="R69" s="146"/>
      <c r="S69" s="146"/>
      <c r="T69" s="146"/>
      <c r="U69" s="146"/>
      <c r="V69" s="146"/>
      <c r="W69" s="146"/>
      <c r="X69" s="146"/>
      <c r="Y69" s="146"/>
      <c r="Z69" s="146"/>
      <c r="AA69" s="146"/>
      <c r="AB69" s="146"/>
      <c r="AC69" s="146"/>
      <c r="AD69" s="146"/>
      <c r="AE69" s="146"/>
      <c r="AF69" s="146"/>
      <c r="AG69" s="146"/>
      <c r="AH69" s="146"/>
      <c r="AI69" s="146"/>
      <c r="AJ69" s="146"/>
    </row>
    <row r="70" spans="1:36" s="14" customFormat="1" ht="18.75" customHeight="1" x14ac:dyDescent="0.15">
      <c r="A70" s="128" t="s">
        <v>56</v>
      </c>
      <c r="B70" s="129"/>
      <c r="C70" s="129"/>
      <c r="D70" s="129"/>
      <c r="E70" s="129"/>
      <c r="F70" s="129"/>
      <c r="G70" s="129"/>
      <c r="H70" s="129"/>
      <c r="I70" s="129"/>
      <c r="J70" s="129"/>
      <c r="K70" s="129"/>
      <c r="L70" s="129"/>
      <c r="M70" s="129"/>
      <c r="N70" s="129"/>
      <c r="O70" s="129"/>
      <c r="P70" s="129"/>
      <c r="Q70" s="129"/>
      <c r="R70" s="129"/>
      <c r="S70" s="129"/>
      <c r="T70" s="129"/>
      <c r="U70" s="129"/>
      <c r="V70" s="129"/>
      <c r="W70" s="129"/>
      <c r="X70" s="129"/>
      <c r="Y70" s="129"/>
      <c r="Z70" s="129"/>
      <c r="AA70" s="129"/>
      <c r="AB70" s="129"/>
      <c r="AC70" s="129"/>
      <c r="AD70" s="129"/>
      <c r="AE70" s="129"/>
      <c r="AF70" s="129"/>
      <c r="AG70" s="129"/>
      <c r="AH70" s="129"/>
      <c r="AI70" s="129"/>
      <c r="AJ70" s="129"/>
    </row>
    <row r="71" spans="1:36" s="13" customFormat="1" ht="12" customHeight="1" x14ac:dyDescent="0.2">
      <c r="A71" s="13" t="s">
        <v>11</v>
      </c>
    </row>
    <row r="72" spans="1:36" s="13" customFormat="1" ht="12" customHeight="1" x14ac:dyDescent="0.2">
      <c r="A72" s="13" t="s">
        <v>10</v>
      </c>
      <c r="G72" s="130" t="s">
        <v>89</v>
      </c>
      <c r="H72" s="130"/>
      <c r="I72" s="130"/>
      <c r="J72" s="130"/>
      <c r="K72" s="130"/>
      <c r="L72" s="130"/>
      <c r="M72" s="130"/>
      <c r="N72" s="130"/>
      <c r="O72" s="130"/>
      <c r="P72" s="130"/>
      <c r="Q72" s="130"/>
      <c r="R72" s="130"/>
      <c r="S72" s="130"/>
      <c r="T72" s="130"/>
      <c r="U72" s="130"/>
      <c r="V72" s="25" t="s">
        <v>88</v>
      </c>
      <c r="W72" s="130"/>
      <c r="X72" s="130"/>
      <c r="Y72" s="130"/>
      <c r="Z72" s="130"/>
      <c r="AA72" s="130"/>
      <c r="AB72" s="130"/>
      <c r="AC72" s="130"/>
      <c r="AD72" s="130"/>
      <c r="AE72" s="130"/>
      <c r="AF72" s="130"/>
      <c r="AG72" s="130"/>
      <c r="AH72" s="130"/>
      <c r="AI72" s="130"/>
      <c r="AJ72" s="130"/>
    </row>
    <row r="73" spans="1:36" s="14" customFormat="1" ht="7.5" customHeight="1" x14ac:dyDescent="0.15">
      <c r="A73" s="133"/>
      <c r="B73" s="133"/>
      <c r="C73" s="20"/>
      <c r="D73" s="20"/>
      <c r="E73" s="20"/>
      <c r="F73" s="20"/>
      <c r="G73" s="129" t="s">
        <v>9</v>
      </c>
      <c r="H73" s="129"/>
      <c r="I73" s="129"/>
      <c r="J73" s="129"/>
      <c r="K73" s="129"/>
      <c r="L73" s="129"/>
      <c r="M73" s="129"/>
      <c r="N73" s="129"/>
      <c r="O73" s="129"/>
      <c r="P73" s="129"/>
      <c r="Q73" s="129"/>
      <c r="R73" s="129"/>
      <c r="S73" s="129"/>
      <c r="T73" s="129"/>
      <c r="U73" s="129"/>
      <c r="V73" s="129"/>
      <c r="W73" s="129"/>
      <c r="X73" s="129"/>
      <c r="Y73" s="129"/>
      <c r="Z73" s="129"/>
      <c r="AA73" s="129"/>
      <c r="AB73" s="129"/>
      <c r="AC73" s="129"/>
      <c r="AD73" s="129"/>
      <c r="AE73" s="129"/>
      <c r="AF73" s="129"/>
      <c r="AG73" s="129"/>
      <c r="AH73" s="129"/>
      <c r="AI73" s="129"/>
      <c r="AJ73" s="129"/>
    </row>
    <row r="74" spans="1:36" s="13" customFormat="1" ht="12" customHeight="1" x14ac:dyDescent="0.2">
      <c r="A74" s="130"/>
      <c r="B74" s="130"/>
      <c r="C74" s="130"/>
      <c r="D74" s="130"/>
      <c r="E74" s="130"/>
      <c r="F74" s="130"/>
      <c r="G74" s="130"/>
      <c r="H74" s="130"/>
      <c r="I74" s="130"/>
      <c r="J74" s="130"/>
      <c r="K74" s="130"/>
      <c r="L74" s="130"/>
      <c r="M74" s="130"/>
      <c r="N74" s="130"/>
      <c r="O74" s="130"/>
      <c r="P74" s="130"/>
      <c r="Q74" s="130"/>
      <c r="R74" s="130"/>
      <c r="S74" s="130"/>
      <c r="T74" s="130"/>
      <c r="U74" s="130"/>
      <c r="V74" s="130"/>
      <c r="W74" s="130"/>
      <c r="X74" s="130"/>
      <c r="Y74" s="130"/>
      <c r="Z74" s="130"/>
      <c r="AA74" s="130"/>
      <c r="AB74" s="130"/>
      <c r="AC74" s="130"/>
      <c r="AD74" s="130"/>
      <c r="AE74" s="130"/>
      <c r="AF74" s="130"/>
      <c r="AG74" s="130"/>
      <c r="AH74" s="130"/>
      <c r="AI74" s="130"/>
      <c r="AJ74" s="130"/>
    </row>
    <row r="75" spans="1:36" s="14" customFormat="1" ht="7.5" customHeight="1" x14ac:dyDescent="0.15">
      <c r="A75" s="128" t="s">
        <v>31</v>
      </c>
      <c r="B75" s="129"/>
      <c r="C75" s="129"/>
      <c r="D75" s="129"/>
      <c r="E75" s="129"/>
      <c r="F75" s="129"/>
      <c r="G75" s="129"/>
      <c r="H75" s="129"/>
      <c r="I75" s="129"/>
      <c r="J75" s="129"/>
      <c r="K75" s="129"/>
      <c r="L75" s="129"/>
      <c r="M75" s="129"/>
      <c r="N75" s="129"/>
      <c r="O75" s="129"/>
      <c r="P75" s="129"/>
      <c r="Q75" s="129"/>
      <c r="R75" s="129"/>
      <c r="S75" s="129"/>
      <c r="T75" s="129"/>
      <c r="U75" s="129"/>
      <c r="V75" s="129"/>
      <c r="W75" s="129"/>
      <c r="X75" s="129"/>
      <c r="Y75" s="129"/>
      <c r="Z75" s="129"/>
      <c r="AA75" s="129"/>
      <c r="AB75" s="129"/>
      <c r="AC75" s="129"/>
      <c r="AD75" s="129"/>
      <c r="AE75" s="129"/>
      <c r="AF75" s="129"/>
      <c r="AG75" s="129"/>
      <c r="AH75" s="129"/>
      <c r="AI75" s="129"/>
      <c r="AJ75" s="129"/>
    </row>
    <row r="76" spans="1:36" ht="9" customHeight="1" x14ac:dyDescent="0.25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9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  <c r="AC76" s="8"/>
      <c r="AD76" s="8"/>
      <c r="AE76" s="8"/>
      <c r="AF76" s="8"/>
      <c r="AG76" s="8"/>
      <c r="AH76" s="8"/>
      <c r="AI76" s="8"/>
      <c r="AJ76" s="8"/>
    </row>
    <row r="77" spans="1:36" s="13" customFormat="1" ht="12" customHeight="1" x14ac:dyDescent="0.2">
      <c r="A77" s="13" t="s">
        <v>8</v>
      </c>
      <c r="D77" s="28"/>
      <c r="E77" s="28"/>
      <c r="F77" s="28"/>
      <c r="G77" s="28"/>
      <c r="L77" s="21"/>
      <c r="M77" s="32"/>
      <c r="N77" s="32"/>
      <c r="P77" s="131">
        <f>'Данные объект'!B6</f>
        <v>45695</v>
      </c>
      <c r="Q77" s="131"/>
      <c r="R77" s="131"/>
      <c r="S77" s="131"/>
      <c r="T77" s="131"/>
      <c r="U77" s="131"/>
      <c r="V77" s="131"/>
      <c r="W77" s="131"/>
      <c r="X77" s="13" t="s">
        <v>6</v>
      </c>
    </row>
    <row r="78" spans="1:36" s="13" customFormat="1" ht="12" customHeight="1" x14ac:dyDescent="0.2">
      <c r="A78" s="13" t="s">
        <v>7</v>
      </c>
      <c r="D78" s="28"/>
      <c r="E78" s="28"/>
      <c r="F78" s="28"/>
      <c r="G78" s="28"/>
      <c r="L78" s="21"/>
      <c r="M78" s="32"/>
      <c r="N78" s="32"/>
      <c r="P78" s="132">
        <f>'Данные объект'!B7</f>
        <v>45819</v>
      </c>
      <c r="Q78" s="132"/>
      <c r="R78" s="132"/>
      <c r="S78" s="132"/>
      <c r="T78" s="132"/>
      <c r="U78" s="132"/>
      <c r="V78" s="132"/>
      <c r="W78" s="132"/>
      <c r="X78" s="13" t="s">
        <v>6</v>
      </c>
    </row>
    <row r="79" spans="1:36" ht="7.5" customHeight="1" x14ac:dyDescent="0.25">
      <c r="A79" s="7"/>
      <c r="B79" s="7"/>
      <c r="C79" s="7"/>
      <c r="D79" s="10"/>
      <c r="E79" s="10"/>
      <c r="F79" s="10"/>
      <c r="G79" s="10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</row>
    <row r="80" spans="1:36" s="13" customFormat="1" ht="12" customHeight="1" x14ac:dyDescent="0.2">
      <c r="A80" s="13" t="s">
        <v>5</v>
      </c>
    </row>
    <row r="81" spans="1:36" s="13" customFormat="1" ht="12" customHeight="1" x14ac:dyDescent="0.2">
      <c r="A81" s="137" t="s">
        <v>103</v>
      </c>
      <c r="B81" s="137"/>
      <c r="C81" s="137"/>
      <c r="D81" s="137"/>
      <c r="E81" s="137"/>
      <c r="F81" s="137"/>
      <c r="G81" s="137"/>
      <c r="H81" s="137"/>
      <c r="I81" s="137"/>
      <c r="J81" s="137"/>
      <c r="K81" s="137"/>
      <c r="L81" s="137"/>
      <c r="M81" s="137"/>
      <c r="N81" s="137"/>
      <c r="O81" s="137"/>
      <c r="P81" s="137"/>
      <c r="Q81" s="137"/>
      <c r="R81" s="137"/>
      <c r="S81" s="137"/>
      <c r="T81" s="137"/>
      <c r="U81" s="137"/>
      <c r="V81" s="137"/>
      <c r="W81" s="137"/>
      <c r="X81" s="137"/>
      <c r="Y81" s="137"/>
      <c r="Z81" s="137"/>
      <c r="AA81" s="137"/>
      <c r="AB81" s="137"/>
      <c r="AC81" s="137"/>
      <c r="AD81" s="137"/>
      <c r="AE81" s="137"/>
      <c r="AF81" s="137"/>
      <c r="AG81" s="137"/>
      <c r="AH81" s="137"/>
      <c r="AI81" s="137"/>
      <c r="AJ81" s="137"/>
    </row>
    <row r="82" spans="1:36" s="14" customFormat="1" ht="8.25" customHeight="1" x14ac:dyDescent="0.15">
      <c r="A82" s="128" t="s">
        <v>4</v>
      </c>
      <c r="B82" s="129"/>
      <c r="C82" s="129"/>
      <c r="D82" s="129"/>
      <c r="E82" s="129"/>
      <c r="F82" s="129"/>
      <c r="G82" s="129"/>
      <c r="H82" s="129"/>
      <c r="I82" s="129"/>
      <c r="J82" s="129"/>
      <c r="K82" s="129"/>
      <c r="L82" s="129"/>
      <c r="M82" s="129"/>
      <c r="N82" s="129"/>
      <c r="O82" s="129"/>
      <c r="P82" s="129"/>
      <c r="Q82" s="129"/>
      <c r="R82" s="129"/>
      <c r="S82" s="129"/>
      <c r="T82" s="129"/>
      <c r="U82" s="129"/>
      <c r="V82" s="129"/>
      <c r="W82" s="129"/>
      <c r="X82" s="129"/>
      <c r="Y82" s="129"/>
      <c r="Z82" s="129"/>
      <c r="AA82" s="129"/>
      <c r="AB82" s="129"/>
      <c r="AC82" s="129"/>
      <c r="AD82" s="129"/>
      <c r="AE82" s="129"/>
      <c r="AF82" s="129"/>
      <c r="AG82" s="129"/>
      <c r="AH82" s="129"/>
      <c r="AI82" s="129"/>
      <c r="AJ82" s="129"/>
    </row>
    <row r="83" spans="1:36" s="13" customFormat="1" ht="12" customHeight="1" x14ac:dyDescent="0.2">
      <c r="A83" s="130"/>
      <c r="B83" s="130"/>
      <c r="C83" s="130"/>
      <c r="D83" s="130"/>
      <c r="E83" s="130"/>
      <c r="F83" s="130"/>
      <c r="G83" s="130"/>
      <c r="H83" s="130"/>
      <c r="I83" s="130"/>
      <c r="J83" s="130"/>
      <c r="K83" s="130"/>
      <c r="L83" s="130"/>
      <c r="M83" s="130"/>
      <c r="N83" s="130"/>
      <c r="O83" s="130"/>
      <c r="P83" s="130"/>
      <c r="Q83" s="130"/>
      <c r="R83" s="130"/>
      <c r="S83" s="130"/>
      <c r="T83" s="130"/>
      <c r="U83" s="130"/>
      <c r="V83" s="130"/>
      <c r="W83" s="130"/>
      <c r="X83" s="130"/>
      <c r="Y83" s="130"/>
      <c r="Z83" s="130"/>
      <c r="AA83" s="130"/>
      <c r="AB83" s="130"/>
      <c r="AC83" s="130"/>
      <c r="AD83" s="130"/>
      <c r="AE83" s="130"/>
      <c r="AF83" s="130"/>
      <c r="AG83" s="130"/>
      <c r="AH83" s="130"/>
      <c r="AI83" s="130"/>
      <c r="AJ83" s="130"/>
    </row>
    <row r="84" spans="1:36" s="14" customFormat="1" ht="8.25" customHeight="1" x14ac:dyDescent="0.15">
      <c r="A84" s="128" t="s">
        <v>57</v>
      </c>
      <c r="B84" s="129"/>
      <c r="C84" s="129"/>
      <c r="D84" s="129"/>
      <c r="E84" s="129"/>
      <c r="F84" s="129"/>
      <c r="G84" s="129"/>
      <c r="H84" s="129"/>
      <c r="I84" s="129"/>
      <c r="J84" s="129"/>
      <c r="K84" s="129"/>
      <c r="L84" s="129"/>
      <c r="M84" s="129"/>
      <c r="N84" s="129"/>
      <c r="O84" s="129"/>
      <c r="P84" s="129"/>
      <c r="Q84" s="129"/>
      <c r="R84" s="129"/>
      <c r="S84" s="129"/>
      <c r="T84" s="129"/>
      <c r="U84" s="129"/>
      <c r="V84" s="129"/>
      <c r="W84" s="129"/>
      <c r="X84" s="129"/>
      <c r="Y84" s="129"/>
      <c r="Z84" s="129"/>
      <c r="AA84" s="129"/>
      <c r="AB84" s="129"/>
      <c r="AC84" s="129"/>
      <c r="AD84" s="129"/>
      <c r="AE84" s="129"/>
      <c r="AF84" s="129"/>
      <c r="AG84" s="129"/>
      <c r="AH84" s="129"/>
      <c r="AI84" s="129"/>
      <c r="AJ84" s="129"/>
    </row>
    <row r="85" spans="1:36" s="13" customFormat="1" ht="12" customHeight="1" x14ac:dyDescent="0.2">
      <c r="A85" s="13" t="s">
        <v>3</v>
      </c>
    </row>
    <row r="86" spans="1:36" s="13" customFormat="1" ht="12" customHeight="1" x14ac:dyDescent="0.2">
      <c r="A86" s="155" t="s">
        <v>200</v>
      </c>
      <c r="B86" s="155"/>
      <c r="C86" s="155"/>
      <c r="D86" s="155"/>
      <c r="E86" s="155"/>
      <c r="F86" s="155"/>
      <c r="G86" s="155"/>
      <c r="H86" s="155"/>
      <c r="I86" s="155"/>
      <c r="J86" s="155"/>
      <c r="K86" s="155"/>
      <c r="L86" s="155"/>
      <c r="M86" s="155"/>
      <c r="N86" s="155"/>
      <c r="O86" s="155"/>
      <c r="P86" s="155"/>
      <c r="Q86" s="155"/>
      <c r="R86" s="155"/>
      <c r="S86" s="155"/>
      <c r="T86" s="155"/>
      <c r="U86" s="155"/>
      <c r="V86" s="155"/>
      <c r="W86" s="155"/>
      <c r="X86" s="155"/>
      <c r="Y86" s="155"/>
      <c r="Z86" s="155"/>
      <c r="AA86" s="155"/>
      <c r="AB86" s="155"/>
      <c r="AC86" s="155"/>
      <c r="AD86" s="155"/>
      <c r="AE86" s="155"/>
      <c r="AF86" s="155"/>
      <c r="AG86" s="155"/>
      <c r="AH86" s="155"/>
      <c r="AI86" s="155"/>
      <c r="AJ86" s="155"/>
    </row>
    <row r="87" spans="1:36" s="14" customFormat="1" ht="9" customHeight="1" x14ac:dyDescent="0.15">
      <c r="A87" s="128" t="s">
        <v>32</v>
      </c>
      <c r="B87" s="129"/>
      <c r="C87" s="129"/>
      <c r="D87" s="129"/>
      <c r="E87" s="129"/>
      <c r="F87" s="129"/>
      <c r="G87" s="129"/>
      <c r="H87" s="129"/>
      <c r="I87" s="129"/>
      <c r="J87" s="129"/>
      <c r="K87" s="129"/>
      <c r="L87" s="129"/>
      <c r="M87" s="129"/>
      <c r="N87" s="129"/>
      <c r="O87" s="129"/>
      <c r="P87" s="129"/>
      <c r="Q87" s="129"/>
      <c r="R87" s="129"/>
      <c r="S87" s="129"/>
      <c r="T87" s="129"/>
      <c r="U87" s="129"/>
      <c r="V87" s="129"/>
      <c r="W87" s="129"/>
      <c r="X87" s="129"/>
      <c r="Y87" s="129"/>
      <c r="Z87" s="129"/>
      <c r="AA87" s="129"/>
      <c r="AB87" s="129"/>
      <c r="AC87" s="129"/>
      <c r="AD87" s="129"/>
      <c r="AE87" s="129"/>
      <c r="AF87" s="129"/>
      <c r="AG87" s="129"/>
      <c r="AH87" s="129"/>
      <c r="AI87" s="129"/>
      <c r="AJ87" s="129"/>
    </row>
    <row r="88" spans="1:36" s="13" customFormat="1" ht="12" customHeight="1" x14ac:dyDescent="0.2">
      <c r="A88" s="13" t="s">
        <v>2</v>
      </c>
      <c r="L88" s="130"/>
      <c r="M88" s="130"/>
      <c r="N88" s="130"/>
      <c r="O88" s="130"/>
      <c r="P88" s="130"/>
      <c r="Q88" s="130"/>
      <c r="R88" s="130"/>
      <c r="S88" s="130"/>
      <c r="T88" s="130"/>
      <c r="U88" s="130"/>
      <c r="V88" s="130"/>
      <c r="W88" s="130"/>
      <c r="X88" s="130"/>
      <c r="Y88" s="130"/>
      <c r="Z88" s="130"/>
      <c r="AA88" s="130"/>
      <c r="AB88" s="130"/>
      <c r="AC88" s="130"/>
      <c r="AD88" s="130"/>
      <c r="AE88" s="130"/>
      <c r="AF88" s="130"/>
      <c r="AG88" s="130"/>
      <c r="AH88" s="130"/>
      <c r="AI88" s="130"/>
      <c r="AJ88" s="130"/>
    </row>
    <row r="89" spans="1:36" ht="6" customHeight="1" x14ac:dyDescent="0.25">
      <c r="A89" s="4"/>
      <c r="B89" s="4"/>
      <c r="C89" s="4"/>
      <c r="D89" s="11"/>
      <c r="E89" s="11"/>
      <c r="F89" s="11"/>
      <c r="G89" s="11"/>
      <c r="H89" s="11"/>
      <c r="I89" s="11"/>
      <c r="J89" s="11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</row>
    <row r="90" spans="1:36" s="13" customFormat="1" ht="12" customHeight="1" x14ac:dyDescent="0.2">
      <c r="A90" s="13" t="s">
        <v>87</v>
      </c>
      <c r="H90" s="130"/>
      <c r="I90" s="130"/>
      <c r="J90" s="13" t="s">
        <v>33</v>
      </c>
    </row>
    <row r="91" spans="1:36" ht="4.5" customHeight="1" x14ac:dyDescent="0.25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</row>
    <row r="92" spans="1:36" s="13" customFormat="1" ht="12" customHeight="1" x14ac:dyDescent="0.2">
      <c r="A92" s="13" t="s">
        <v>1</v>
      </c>
    </row>
    <row r="93" spans="1:36" s="13" customFormat="1" ht="12" customHeight="1" x14ac:dyDescent="0.2">
      <c r="A93" s="25" t="s">
        <v>83</v>
      </c>
      <c r="B93" s="25" t="str">
        <f>G72</f>
        <v>Исполнителная схема устройства траншеи</v>
      </c>
      <c r="C93" s="25"/>
      <c r="D93" s="25"/>
      <c r="E93" s="25"/>
      <c r="F93" s="25"/>
      <c r="G93" s="25"/>
      <c r="H93" s="25"/>
      <c r="I93" s="25"/>
      <c r="J93" s="25"/>
      <c r="K93" s="25"/>
      <c r="L93" s="103"/>
      <c r="M93" s="25"/>
      <c r="N93" s="25"/>
      <c r="O93" s="25"/>
      <c r="P93" s="103" t="s">
        <v>74</v>
      </c>
      <c r="Q93" s="25" t="s">
        <v>84</v>
      </c>
      <c r="R93" s="25"/>
      <c r="S93" s="25"/>
      <c r="T93" s="25"/>
      <c r="U93" s="25"/>
      <c r="V93" s="25"/>
      <c r="W93" s="25"/>
      <c r="X93" s="25"/>
      <c r="Y93" s="25"/>
      <c r="Z93" s="25"/>
      <c r="AA93" s="25"/>
      <c r="AB93" s="25"/>
      <c r="AC93" s="25"/>
      <c r="AD93" s="25"/>
      <c r="AE93" s="25"/>
      <c r="AF93" s="25"/>
      <c r="AG93" s="25"/>
      <c r="AH93" s="25"/>
      <c r="AI93" s="25"/>
      <c r="AJ93" s="25"/>
    </row>
    <row r="94" spans="1:36" s="13" customFormat="1" ht="12" customHeight="1" x14ac:dyDescent="0.2">
      <c r="A94" s="33" t="s">
        <v>85</v>
      </c>
      <c r="B94" s="149" t="str">
        <f>N69</f>
        <v>Сертификат №</v>
      </c>
      <c r="C94" s="149"/>
      <c r="D94" s="149"/>
      <c r="E94" s="149"/>
      <c r="F94" s="149"/>
      <c r="G94" s="149"/>
      <c r="H94" s="149"/>
      <c r="I94" s="149"/>
      <c r="J94" s="149"/>
      <c r="K94" s="149"/>
      <c r="L94" s="149"/>
      <c r="M94" s="149"/>
      <c r="N94" s="149"/>
      <c r="O94" s="149"/>
      <c r="P94" s="29" t="s">
        <v>74</v>
      </c>
      <c r="Q94" s="33" t="s">
        <v>84</v>
      </c>
      <c r="R94" s="33"/>
      <c r="S94" s="33"/>
      <c r="T94" s="33"/>
      <c r="U94" s="33"/>
      <c r="V94" s="33"/>
      <c r="W94" s="33"/>
      <c r="X94" s="33"/>
      <c r="Y94" s="33"/>
      <c r="Z94" s="33"/>
      <c r="AA94" s="33"/>
      <c r="AB94" s="33"/>
      <c r="AC94" s="33"/>
      <c r="AD94" s="33"/>
      <c r="AE94" s="33"/>
      <c r="AF94" s="33"/>
      <c r="AG94" s="33"/>
      <c r="AH94" s="33"/>
      <c r="AI94" s="33"/>
      <c r="AJ94" s="33"/>
    </row>
    <row r="95" spans="1:36" s="14" customFormat="1" ht="9.75" customHeight="1" x14ac:dyDescent="0.15">
      <c r="A95" s="128" t="s">
        <v>0</v>
      </c>
      <c r="B95" s="129"/>
      <c r="C95" s="129"/>
      <c r="D95" s="129"/>
      <c r="E95" s="129"/>
      <c r="F95" s="129"/>
      <c r="G95" s="129"/>
      <c r="H95" s="129"/>
      <c r="I95" s="129"/>
      <c r="J95" s="129"/>
      <c r="K95" s="129"/>
      <c r="L95" s="129"/>
      <c r="M95" s="129"/>
      <c r="N95" s="129"/>
      <c r="O95" s="129"/>
      <c r="P95" s="129"/>
      <c r="Q95" s="129"/>
      <c r="R95" s="129"/>
      <c r="S95" s="129"/>
      <c r="T95" s="129"/>
      <c r="U95" s="129"/>
      <c r="V95" s="129"/>
      <c r="W95" s="129"/>
      <c r="X95" s="129"/>
      <c r="Y95" s="129"/>
      <c r="Z95" s="129"/>
      <c r="AA95" s="129"/>
      <c r="AB95" s="129"/>
      <c r="AC95" s="129"/>
      <c r="AD95" s="129"/>
      <c r="AE95" s="129"/>
      <c r="AF95" s="129"/>
      <c r="AG95" s="129"/>
      <c r="AH95" s="129"/>
      <c r="AI95" s="129"/>
      <c r="AJ95" s="129"/>
    </row>
    <row r="96" spans="1:36" ht="6.75" customHeight="1" x14ac:dyDescent="0.25">
      <c r="A96" s="12"/>
      <c r="B96" s="12"/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  <c r="AA96" s="12"/>
      <c r="AB96" s="12"/>
      <c r="AC96" s="12"/>
      <c r="AD96" s="12"/>
      <c r="AE96" s="12"/>
      <c r="AF96" s="12"/>
      <c r="AG96" s="12"/>
      <c r="AH96" s="12"/>
      <c r="AI96" s="12"/>
      <c r="AJ96" s="12"/>
    </row>
    <row r="97" spans="1:36" s="13" customFormat="1" ht="12" customHeight="1" x14ac:dyDescent="0.2">
      <c r="A97" s="13" t="s">
        <v>23</v>
      </c>
    </row>
    <row r="98" spans="1:36" s="13" customFormat="1" ht="12" customHeight="1" x14ac:dyDescent="0.2">
      <c r="A98" s="13" t="s">
        <v>24</v>
      </c>
    </row>
    <row r="99" spans="1:36" s="13" customFormat="1" ht="12" customHeight="1" x14ac:dyDescent="0.2">
      <c r="A99" s="130" t="str">
        <f>'Данные объект'!B33</f>
        <v>Алексанян Г.Р.</v>
      </c>
      <c r="B99" s="130"/>
      <c r="C99" s="130"/>
      <c r="D99" s="130"/>
      <c r="E99" s="130"/>
      <c r="F99" s="130"/>
      <c r="G99" s="130"/>
      <c r="H99" s="130"/>
      <c r="I99" s="130"/>
      <c r="J99" s="130"/>
      <c r="K99" s="130"/>
      <c r="L99" s="130"/>
      <c r="M99" s="130"/>
      <c r="N99" s="130"/>
      <c r="O99" s="130"/>
      <c r="P99" s="32"/>
      <c r="Q99" s="32"/>
      <c r="R99" s="32"/>
      <c r="S99" s="32"/>
      <c r="T99" s="32"/>
      <c r="U99" s="32"/>
      <c r="V99" s="32"/>
      <c r="W99" s="32"/>
      <c r="X99" s="32"/>
      <c r="Y99" s="32"/>
      <c r="Z99" s="32"/>
      <c r="AA99" s="32"/>
      <c r="AB99" s="130"/>
      <c r="AC99" s="130"/>
      <c r="AD99" s="130"/>
      <c r="AE99" s="130"/>
      <c r="AF99" s="130"/>
      <c r="AG99" s="130"/>
      <c r="AH99" s="130"/>
      <c r="AI99" s="130"/>
      <c r="AJ99" s="130"/>
    </row>
    <row r="100" spans="1:36" s="14" customFormat="1" ht="9" customHeight="1" x14ac:dyDescent="0.15">
      <c r="A100" s="134" t="s">
        <v>35</v>
      </c>
      <c r="B100" s="134"/>
      <c r="C100" s="134"/>
      <c r="D100" s="134"/>
      <c r="E100" s="134"/>
      <c r="F100" s="134"/>
      <c r="G100" s="134"/>
      <c r="H100" s="134"/>
      <c r="I100" s="134"/>
      <c r="J100" s="134"/>
      <c r="K100" s="134"/>
      <c r="L100" s="134"/>
      <c r="M100" s="134"/>
      <c r="N100" s="134"/>
      <c r="O100" s="134"/>
      <c r="P100" s="17"/>
      <c r="Q100" s="17"/>
      <c r="R100" s="17"/>
      <c r="S100" s="17"/>
      <c r="T100" s="17"/>
      <c r="U100" s="18"/>
      <c r="V100" s="18"/>
      <c r="W100" s="18"/>
      <c r="X100" s="18"/>
      <c r="Y100" s="18"/>
      <c r="Z100" s="18"/>
      <c r="AA100" s="18"/>
      <c r="AB100" s="135" t="s">
        <v>34</v>
      </c>
      <c r="AC100" s="135"/>
      <c r="AD100" s="135"/>
      <c r="AE100" s="135"/>
      <c r="AF100" s="135"/>
      <c r="AG100" s="135"/>
      <c r="AH100" s="135"/>
      <c r="AI100" s="135"/>
      <c r="AJ100" s="135"/>
    </row>
    <row r="101" spans="1:36" s="13" customFormat="1" ht="12" customHeight="1" x14ac:dyDescent="0.2">
      <c r="A101" s="13" t="s">
        <v>25</v>
      </c>
    </row>
    <row r="102" spans="1:36" s="13" customFormat="1" ht="12" customHeight="1" x14ac:dyDescent="0.2">
      <c r="A102" s="130" t="str">
        <f>'Данные объект'!B20</f>
        <v>Волков М.Ю.</v>
      </c>
      <c r="B102" s="130"/>
      <c r="C102" s="130"/>
      <c r="D102" s="130"/>
      <c r="E102" s="130"/>
      <c r="F102" s="130"/>
      <c r="G102" s="130"/>
      <c r="H102" s="130"/>
      <c r="I102" s="130"/>
      <c r="J102" s="130"/>
      <c r="K102" s="130"/>
      <c r="L102" s="130"/>
      <c r="M102" s="130"/>
      <c r="N102" s="130"/>
      <c r="O102" s="130"/>
      <c r="P102" s="32"/>
      <c r="Q102" s="32"/>
      <c r="R102" s="32"/>
      <c r="S102" s="32"/>
      <c r="T102" s="32"/>
      <c r="U102" s="32"/>
      <c r="V102" s="32"/>
      <c r="W102" s="32"/>
      <c r="X102" s="32"/>
      <c r="Y102" s="32"/>
      <c r="Z102" s="32"/>
      <c r="AA102" s="32"/>
      <c r="AB102" s="130"/>
      <c r="AC102" s="130"/>
      <c r="AD102" s="130"/>
      <c r="AE102" s="130"/>
      <c r="AF102" s="130"/>
      <c r="AG102" s="130"/>
      <c r="AH102" s="130"/>
      <c r="AI102" s="130"/>
      <c r="AJ102" s="130"/>
    </row>
    <row r="103" spans="1:36" s="14" customFormat="1" ht="9" customHeight="1" x14ac:dyDescent="0.15">
      <c r="A103" s="134" t="s">
        <v>35</v>
      </c>
      <c r="B103" s="134"/>
      <c r="C103" s="134"/>
      <c r="D103" s="134"/>
      <c r="E103" s="134"/>
      <c r="F103" s="134"/>
      <c r="G103" s="134"/>
      <c r="H103" s="134"/>
      <c r="I103" s="134"/>
      <c r="J103" s="134"/>
      <c r="K103" s="134"/>
      <c r="L103" s="134"/>
      <c r="M103" s="134"/>
      <c r="N103" s="134"/>
      <c r="O103" s="134"/>
      <c r="P103" s="17"/>
      <c r="Q103" s="17"/>
      <c r="R103" s="17"/>
      <c r="S103" s="17"/>
      <c r="T103" s="17"/>
      <c r="U103" s="18"/>
      <c r="V103" s="18"/>
      <c r="W103" s="18"/>
      <c r="X103" s="18"/>
      <c r="Y103" s="18"/>
      <c r="Z103" s="18"/>
      <c r="AA103" s="18"/>
      <c r="AB103" s="135" t="s">
        <v>34</v>
      </c>
      <c r="AC103" s="135"/>
      <c r="AD103" s="135"/>
      <c r="AE103" s="135"/>
      <c r="AF103" s="135"/>
      <c r="AG103" s="135"/>
      <c r="AH103" s="135"/>
      <c r="AI103" s="135"/>
      <c r="AJ103" s="135"/>
    </row>
    <row r="104" spans="1:36" s="13" customFormat="1" ht="12" customHeight="1" x14ac:dyDescent="0.2">
      <c r="A104" s="13" t="s">
        <v>27</v>
      </c>
    </row>
    <row r="105" spans="1:36" s="13" customFormat="1" ht="12" customHeight="1" x14ac:dyDescent="0.2">
      <c r="A105" s="13" t="s">
        <v>28</v>
      </c>
    </row>
    <row r="106" spans="1:36" s="13" customFormat="1" ht="12" customHeight="1" x14ac:dyDescent="0.2">
      <c r="A106" s="130" t="str">
        <f>'Данные объект'!B17</f>
        <v>Русин В.А.</v>
      </c>
      <c r="B106" s="130"/>
      <c r="C106" s="130"/>
      <c r="D106" s="130"/>
      <c r="E106" s="130"/>
      <c r="F106" s="130"/>
      <c r="G106" s="130"/>
      <c r="H106" s="130"/>
      <c r="I106" s="130"/>
      <c r="J106" s="130"/>
      <c r="K106" s="130"/>
      <c r="L106" s="130"/>
      <c r="M106" s="130"/>
      <c r="N106" s="130"/>
      <c r="O106" s="130"/>
      <c r="P106" s="32"/>
      <c r="Q106" s="32"/>
      <c r="R106" s="32"/>
      <c r="S106" s="32"/>
      <c r="T106" s="32"/>
      <c r="U106" s="32"/>
      <c r="V106" s="32"/>
      <c r="W106" s="32"/>
      <c r="X106" s="32"/>
      <c r="Y106" s="32"/>
      <c r="Z106" s="32"/>
      <c r="AA106" s="32"/>
      <c r="AB106" s="130"/>
      <c r="AC106" s="130"/>
      <c r="AD106" s="130"/>
      <c r="AE106" s="130"/>
      <c r="AF106" s="130"/>
      <c r="AG106" s="130"/>
      <c r="AH106" s="130"/>
      <c r="AI106" s="130"/>
      <c r="AJ106" s="130"/>
    </row>
    <row r="107" spans="1:36" s="14" customFormat="1" ht="9" customHeight="1" x14ac:dyDescent="0.15">
      <c r="A107" s="134" t="s">
        <v>35</v>
      </c>
      <c r="B107" s="134"/>
      <c r="C107" s="134"/>
      <c r="D107" s="134"/>
      <c r="E107" s="134"/>
      <c r="F107" s="134"/>
      <c r="G107" s="134"/>
      <c r="H107" s="134"/>
      <c r="I107" s="134"/>
      <c r="J107" s="134"/>
      <c r="K107" s="134"/>
      <c r="L107" s="134"/>
      <c r="M107" s="134"/>
      <c r="N107" s="134"/>
      <c r="O107" s="134"/>
      <c r="P107" s="17"/>
      <c r="Q107" s="17"/>
      <c r="R107" s="17"/>
      <c r="S107" s="17"/>
      <c r="T107" s="17"/>
      <c r="U107" s="18"/>
      <c r="V107" s="18"/>
      <c r="W107" s="18"/>
      <c r="X107" s="18"/>
      <c r="Y107" s="18"/>
      <c r="Z107" s="18"/>
      <c r="AA107" s="18"/>
      <c r="AB107" s="135" t="s">
        <v>34</v>
      </c>
      <c r="AC107" s="135"/>
      <c r="AD107" s="135"/>
      <c r="AE107" s="135"/>
      <c r="AF107" s="135"/>
      <c r="AG107" s="135"/>
      <c r="AH107" s="135"/>
      <c r="AI107" s="135"/>
      <c r="AJ107" s="135"/>
    </row>
    <row r="108" spans="1:36" s="14" customFormat="1" ht="11.25" x14ac:dyDescent="0.2">
      <c r="A108" s="13" t="s">
        <v>191</v>
      </c>
      <c r="B108" s="104"/>
      <c r="C108" s="104"/>
      <c r="D108" s="104"/>
      <c r="E108" s="104"/>
      <c r="F108" s="104"/>
      <c r="G108" s="104"/>
      <c r="H108" s="104"/>
      <c r="I108" s="104"/>
      <c r="J108" s="104"/>
      <c r="K108" s="104"/>
      <c r="L108" s="104"/>
      <c r="M108" s="104"/>
      <c r="N108" s="104"/>
      <c r="O108" s="104"/>
      <c r="P108" s="95"/>
      <c r="Q108" s="95"/>
      <c r="R108" s="95"/>
      <c r="S108" s="95"/>
      <c r="T108" s="95"/>
      <c r="U108" s="96"/>
      <c r="V108" s="96"/>
      <c r="W108" s="96"/>
      <c r="X108" s="96"/>
      <c r="Y108" s="96"/>
      <c r="Z108" s="96"/>
      <c r="AA108" s="96"/>
      <c r="AB108" s="105"/>
      <c r="AC108" s="105"/>
      <c r="AD108" s="105"/>
      <c r="AE108" s="105"/>
      <c r="AF108" s="105"/>
      <c r="AG108" s="105"/>
      <c r="AH108" s="105"/>
      <c r="AI108" s="105"/>
      <c r="AJ108" s="105"/>
    </row>
    <row r="109" spans="1:36" s="14" customFormat="1" ht="11.25" x14ac:dyDescent="0.2">
      <c r="A109" s="130" t="str">
        <f>'Данные объект'!$B$36</f>
        <v>Курчин М.М.</v>
      </c>
      <c r="B109" s="130"/>
      <c r="C109" s="130"/>
      <c r="D109" s="130"/>
      <c r="E109" s="130"/>
      <c r="F109" s="130"/>
      <c r="G109" s="130"/>
      <c r="H109" s="130"/>
      <c r="I109" s="130"/>
      <c r="J109" s="130"/>
      <c r="K109" s="130"/>
      <c r="L109" s="130"/>
      <c r="M109" s="130"/>
      <c r="N109" s="130"/>
      <c r="O109" s="130"/>
      <c r="P109" s="95"/>
      <c r="Q109" s="95"/>
      <c r="R109" s="95"/>
      <c r="S109" s="95"/>
      <c r="T109" s="95"/>
      <c r="U109" s="96"/>
      <c r="V109" s="96"/>
      <c r="W109" s="96"/>
      <c r="X109" s="96"/>
      <c r="Y109" s="96"/>
      <c r="Z109" s="96"/>
      <c r="AA109" s="96"/>
      <c r="AB109" s="130"/>
      <c r="AC109" s="130"/>
      <c r="AD109" s="130"/>
      <c r="AE109" s="130"/>
      <c r="AF109" s="130"/>
      <c r="AG109" s="130"/>
      <c r="AH109" s="130"/>
      <c r="AI109" s="130"/>
      <c r="AJ109" s="130"/>
    </row>
    <row r="110" spans="1:36" s="14" customFormat="1" ht="10.5" x14ac:dyDescent="0.15">
      <c r="A110" s="134" t="s">
        <v>35</v>
      </c>
      <c r="B110" s="134"/>
      <c r="C110" s="134"/>
      <c r="D110" s="134"/>
      <c r="E110" s="134"/>
      <c r="F110" s="134"/>
      <c r="G110" s="134"/>
      <c r="H110" s="134"/>
      <c r="I110" s="134"/>
      <c r="J110" s="134"/>
      <c r="K110" s="134"/>
      <c r="L110" s="134"/>
      <c r="M110" s="134"/>
      <c r="N110" s="134"/>
      <c r="O110" s="134"/>
      <c r="P110" s="95"/>
      <c r="Q110" s="95"/>
      <c r="R110" s="95"/>
      <c r="S110" s="95"/>
      <c r="T110" s="95"/>
      <c r="U110" s="96"/>
      <c r="V110" s="96"/>
      <c r="W110" s="96"/>
      <c r="X110" s="96"/>
      <c r="Y110" s="96"/>
      <c r="Z110" s="96"/>
      <c r="AA110" s="96"/>
      <c r="AB110" s="135" t="s">
        <v>34</v>
      </c>
      <c r="AC110" s="135"/>
      <c r="AD110" s="135"/>
      <c r="AE110" s="135"/>
      <c r="AF110" s="135"/>
      <c r="AG110" s="135"/>
      <c r="AH110" s="135"/>
      <c r="AI110" s="135"/>
      <c r="AJ110" s="135"/>
    </row>
    <row r="111" spans="1:36" s="13" customFormat="1" ht="38.25" customHeight="1" x14ac:dyDescent="0.2">
      <c r="A111" s="136" t="s">
        <v>51</v>
      </c>
      <c r="B111" s="136"/>
      <c r="C111" s="136"/>
      <c r="D111" s="136"/>
      <c r="E111" s="136"/>
      <c r="F111" s="136"/>
      <c r="G111" s="136"/>
      <c r="H111" s="136"/>
      <c r="I111" s="136"/>
      <c r="J111" s="136"/>
      <c r="K111" s="136"/>
      <c r="L111" s="136"/>
      <c r="M111" s="136"/>
      <c r="N111" s="136"/>
      <c r="O111" s="136"/>
      <c r="P111" s="136"/>
      <c r="Q111" s="136"/>
      <c r="R111" s="136"/>
      <c r="S111" s="136"/>
      <c r="T111" s="136"/>
      <c r="U111" s="136"/>
      <c r="V111" s="136"/>
      <c r="W111" s="136"/>
      <c r="X111" s="136"/>
      <c r="Y111" s="136"/>
      <c r="Z111" s="136"/>
      <c r="AA111" s="136"/>
      <c r="AB111" s="136"/>
      <c r="AC111" s="136"/>
      <c r="AD111" s="136"/>
      <c r="AE111" s="136"/>
      <c r="AF111" s="136"/>
      <c r="AG111" s="136"/>
      <c r="AH111" s="136"/>
      <c r="AI111" s="136"/>
      <c r="AJ111" s="136"/>
    </row>
    <row r="112" spans="1:36" s="13" customFormat="1" ht="12" customHeight="1" x14ac:dyDescent="0.2">
      <c r="A112" s="130" t="s">
        <v>74</v>
      </c>
      <c r="B112" s="130"/>
      <c r="C112" s="130"/>
      <c r="D112" s="130"/>
      <c r="E112" s="130"/>
      <c r="F112" s="130"/>
      <c r="G112" s="130"/>
      <c r="H112" s="130"/>
      <c r="I112" s="130"/>
      <c r="J112" s="130"/>
      <c r="K112" s="130"/>
      <c r="L112" s="130"/>
      <c r="M112" s="130"/>
      <c r="N112" s="130"/>
      <c r="O112" s="130"/>
      <c r="P112" s="32"/>
      <c r="Q112" s="32"/>
      <c r="R112" s="32"/>
      <c r="S112" s="32"/>
      <c r="T112" s="32"/>
      <c r="U112" s="32"/>
      <c r="V112" s="32"/>
      <c r="W112" s="32"/>
      <c r="X112" s="32"/>
      <c r="Y112" s="32"/>
      <c r="Z112" s="32"/>
      <c r="AA112" s="32"/>
      <c r="AB112" s="130" t="s">
        <v>74</v>
      </c>
      <c r="AC112" s="130"/>
      <c r="AD112" s="130"/>
      <c r="AE112" s="130"/>
      <c r="AF112" s="130"/>
      <c r="AG112" s="130"/>
      <c r="AH112" s="130"/>
      <c r="AI112" s="130"/>
      <c r="AJ112" s="130"/>
    </row>
    <row r="113" spans="1:36" s="14" customFormat="1" ht="9" customHeight="1" x14ac:dyDescent="0.15">
      <c r="A113" s="134" t="s">
        <v>35</v>
      </c>
      <c r="B113" s="134"/>
      <c r="C113" s="134"/>
      <c r="D113" s="134"/>
      <c r="E113" s="134"/>
      <c r="F113" s="134"/>
      <c r="G113" s="134"/>
      <c r="H113" s="134"/>
      <c r="I113" s="134"/>
      <c r="J113" s="134"/>
      <c r="K113" s="134"/>
      <c r="L113" s="134"/>
      <c r="M113" s="134"/>
      <c r="N113" s="134"/>
      <c r="O113" s="134"/>
      <c r="P113" s="17"/>
      <c r="Q113" s="17"/>
      <c r="R113" s="17"/>
      <c r="S113" s="17"/>
      <c r="T113" s="17"/>
      <c r="U113" s="18"/>
      <c r="V113" s="18"/>
      <c r="W113" s="18"/>
      <c r="X113" s="18"/>
      <c r="Y113" s="18"/>
      <c r="Z113" s="18"/>
      <c r="AA113" s="18"/>
      <c r="AB113" s="135" t="s">
        <v>34</v>
      </c>
      <c r="AC113" s="135"/>
      <c r="AD113" s="135"/>
      <c r="AE113" s="135"/>
      <c r="AF113" s="135"/>
      <c r="AG113" s="135"/>
      <c r="AH113" s="135"/>
      <c r="AI113" s="135"/>
      <c r="AJ113" s="135"/>
    </row>
    <row r="114" spans="1:36" s="13" customFormat="1" ht="24.75" hidden="1" customHeight="1" x14ac:dyDescent="0.2">
      <c r="A114" s="136" t="s">
        <v>53</v>
      </c>
      <c r="B114" s="136"/>
      <c r="C114" s="136"/>
      <c r="D114" s="136"/>
      <c r="E114" s="136"/>
      <c r="F114" s="136"/>
      <c r="G114" s="136"/>
      <c r="H114" s="136"/>
      <c r="I114" s="136"/>
      <c r="J114" s="136"/>
      <c r="K114" s="136"/>
      <c r="L114" s="136"/>
      <c r="M114" s="136"/>
      <c r="N114" s="136"/>
      <c r="O114" s="136"/>
      <c r="P114" s="136"/>
      <c r="Q114" s="136"/>
      <c r="R114" s="136"/>
      <c r="S114" s="136"/>
      <c r="T114" s="136"/>
      <c r="U114" s="136"/>
      <c r="V114" s="136"/>
      <c r="W114" s="136"/>
      <c r="X114" s="136"/>
      <c r="Y114" s="136"/>
      <c r="Z114" s="136"/>
      <c r="AA114" s="136"/>
      <c r="AB114" s="136"/>
      <c r="AC114" s="136"/>
      <c r="AD114" s="136"/>
      <c r="AE114" s="136"/>
      <c r="AF114" s="136"/>
      <c r="AG114" s="136"/>
      <c r="AH114" s="136"/>
      <c r="AI114" s="136"/>
      <c r="AJ114" s="136"/>
    </row>
    <row r="115" spans="1:36" s="13" customFormat="1" ht="12" hidden="1" customHeight="1" x14ac:dyDescent="0.2">
      <c r="A115" s="130" t="e">
        <f>#REF!</f>
        <v>#REF!</v>
      </c>
      <c r="B115" s="130"/>
      <c r="C115" s="130"/>
      <c r="D115" s="130"/>
      <c r="E115" s="130"/>
      <c r="F115" s="130"/>
      <c r="G115" s="130"/>
      <c r="H115" s="130"/>
      <c r="I115" s="130"/>
      <c r="J115" s="130"/>
      <c r="K115" s="130"/>
      <c r="L115" s="130"/>
      <c r="M115" s="130"/>
      <c r="N115" s="130"/>
      <c r="O115" s="130"/>
      <c r="P115" s="32"/>
      <c r="Q115" s="32"/>
      <c r="R115" s="32"/>
      <c r="S115" s="32"/>
      <c r="T115" s="32"/>
      <c r="U115" s="32"/>
      <c r="V115" s="32"/>
      <c r="W115" s="32"/>
      <c r="X115" s="32"/>
      <c r="Y115" s="32"/>
      <c r="Z115" s="32"/>
      <c r="AA115" s="32"/>
      <c r="AB115" s="130"/>
      <c r="AC115" s="130"/>
      <c r="AD115" s="130"/>
      <c r="AE115" s="130"/>
      <c r="AF115" s="130"/>
      <c r="AG115" s="130"/>
      <c r="AH115" s="130"/>
      <c r="AI115" s="130"/>
      <c r="AJ115" s="130"/>
    </row>
    <row r="116" spans="1:36" s="14" customFormat="1" ht="9" hidden="1" customHeight="1" x14ac:dyDescent="0.15">
      <c r="A116" s="134" t="s">
        <v>35</v>
      </c>
      <c r="B116" s="134"/>
      <c r="C116" s="134"/>
      <c r="D116" s="134"/>
      <c r="E116" s="134"/>
      <c r="F116" s="134"/>
      <c r="G116" s="134"/>
      <c r="H116" s="134"/>
      <c r="I116" s="134"/>
      <c r="J116" s="134"/>
      <c r="K116" s="134"/>
      <c r="L116" s="134"/>
      <c r="M116" s="134"/>
      <c r="N116" s="134"/>
      <c r="O116" s="134"/>
      <c r="P116" s="17"/>
      <c r="Q116" s="17"/>
      <c r="R116" s="17"/>
      <c r="S116" s="17"/>
      <c r="T116" s="17"/>
      <c r="U116" s="18"/>
      <c r="V116" s="18"/>
      <c r="W116" s="18"/>
      <c r="X116" s="18"/>
      <c r="Y116" s="18"/>
      <c r="Z116" s="18"/>
      <c r="AA116" s="18"/>
      <c r="AB116" s="135" t="s">
        <v>34</v>
      </c>
      <c r="AC116" s="135"/>
      <c r="AD116" s="135"/>
      <c r="AE116" s="135"/>
      <c r="AF116" s="135"/>
      <c r="AG116" s="135"/>
      <c r="AH116" s="135"/>
      <c r="AI116" s="135"/>
      <c r="AJ116" s="135"/>
    </row>
    <row r="117" spans="1:36" ht="12" customHeight="1" x14ac:dyDescent="0.25"/>
  </sheetData>
  <mergeCells count="108">
    <mergeCell ref="A103:O103"/>
    <mergeCell ref="AB103:AJ103"/>
    <mergeCell ref="A106:O106"/>
    <mergeCell ref="AB106:AJ106"/>
    <mergeCell ref="A107:O107"/>
    <mergeCell ref="AB107:AJ107"/>
    <mergeCell ref="A95:AJ95"/>
    <mergeCell ref="A99:O99"/>
    <mergeCell ref="AB99:AJ99"/>
    <mergeCell ref="A100:O100"/>
    <mergeCell ref="AB100:AJ100"/>
    <mergeCell ref="A102:O102"/>
    <mergeCell ref="AB102:AJ102"/>
    <mergeCell ref="A116:O116"/>
    <mergeCell ref="AB116:AJ116"/>
    <mergeCell ref="A109:O109"/>
    <mergeCell ref="AB109:AJ109"/>
    <mergeCell ref="A110:O110"/>
    <mergeCell ref="AB110:AJ110"/>
    <mergeCell ref="A111:AJ111"/>
    <mergeCell ref="A112:O112"/>
    <mergeCell ref="AB112:AJ112"/>
    <mergeCell ref="A113:O113"/>
    <mergeCell ref="AB113:AJ113"/>
    <mergeCell ref="A114:AJ114"/>
    <mergeCell ref="A115:O115"/>
    <mergeCell ref="AB115:AJ115"/>
    <mergeCell ref="A87:AJ87"/>
    <mergeCell ref="L88:AJ88"/>
    <mergeCell ref="H90:I90"/>
    <mergeCell ref="B94:O94"/>
    <mergeCell ref="A75:AJ75"/>
    <mergeCell ref="P77:W77"/>
    <mergeCell ref="P78:W78"/>
    <mergeCell ref="A81:AJ81"/>
    <mergeCell ref="A82:AJ82"/>
    <mergeCell ref="A83:AJ83"/>
    <mergeCell ref="A84:AJ84"/>
    <mergeCell ref="A86:AJ86"/>
    <mergeCell ref="A70:AJ70"/>
    <mergeCell ref="G72:U72"/>
    <mergeCell ref="W72:AJ72"/>
    <mergeCell ref="A73:B73"/>
    <mergeCell ref="G73:AJ73"/>
    <mergeCell ref="A74:AJ74"/>
    <mergeCell ref="A63:AJ63"/>
    <mergeCell ref="A65:AJ65"/>
    <mergeCell ref="A66:AJ66"/>
    <mergeCell ref="P67:AJ67"/>
    <mergeCell ref="P68:AJ68"/>
    <mergeCell ref="J69:K69"/>
    <mergeCell ref="A69:E69"/>
    <mergeCell ref="F69:I69"/>
    <mergeCell ref="N69:AJ69"/>
    <mergeCell ref="A58:AJ58"/>
    <mergeCell ref="A59:AJ59"/>
    <mergeCell ref="A62:H62"/>
    <mergeCell ref="J62:L62"/>
    <mergeCell ref="N62:Q62"/>
    <mergeCell ref="R62:S62"/>
    <mergeCell ref="A51:AJ51"/>
    <mergeCell ref="A52:AJ52"/>
    <mergeCell ref="A53:AJ53"/>
    <mergeCell ref="A54:AJ54"/>
    <mergeCell ref="A55:AJ55"/>
    <mergeCell ref="A56:AJ56"/>
    <mergeCell ref="A45:AJ45"/>
    <mergeCell ref="A46:AJ46"/>
    <mergeCell ref="A47:AJ47"/>
    <mergeCell ref="A48:AJ48"/>
    <mergeCell ref="A49:AJ49"/>
    <mergeCell ref="A50:AJ50"/>
    <mergeCell ref="A38:AJ38"/>
    <mergeCell ref="A39:AJ39"/>
    <mergeCell ref="A41:AJ41"/>
    <mergeCell ref="A42:AJ42"/>
    <mergeCell ref="A43:AJ43"/>
    <mergeCell ref="A44:AJ44"/>
    <mergeCell ref="E32:G32"/>
    <mergeCell ref="AB32:AI32"/>
    <mergeCell ref="AB33:AI33"/>
    <mergeCell ref="A35:AJ35"/>
    <mergeCell ref="A36:AJ36"/>
    <mergeCell ref="A37:AJ37"/>
    <mergeCell ref="A24:AJ24"/>
    <mergeCell ref="A25:AJ25"/>
    <mergeCell ref="A26:AJ26"/>
    <mergeCell ref="A27:AJ27"/>
    <mergeCell ref="A29:AJ29"/>
    <mergeCell ref="A30:AJ30"/>
    <mergeCell ref="A20:AJ20"/>
    <mergeCell ref="A22:AJ22"/>
    <mergeCell ref="A23:AJ23"/>
    <mergeCell ref="A10:AJ10"/>
    <mergeCell ref="A11:AJ11"/>
    <mergeCell ref="A12:AJ12"/>
    <mergeCell ref="A13:AJ13"/>
    <mergeCell ref="A15:AJ15"/>
    <mergeCell ref="A16:AJ16"/>
    <mergeCell ref="A4:AJ4"/>
    <mergeCell ref="A5:AJ5"/>
    <mergeCell ref="A6:AJ6"/>
    <mergeCell ref="A7:AJ7"/>
    <mergeCell ref="A8:AJ8"/>
    <mergeCell ref="A9:AJ9"/>
    <mergeCell ref="A17:AJ17"/>
    <mergeCell ref="A18:AJ18"/>
    <mergeCell ref="A19:AJ19"/>
  </mergeCells>
  <pageMargins left="0.78740157480314965" right="0.27559055118110237" top="0.39370078740157483" bottom="0.39370078740157483" header="0" footer="0"/>
  <pageSetup paperSize="9" scale="95" fitToHeight="3" orientation="portrait" r:id="rId1"/>
  <headerFooter alignWithMargins="0"/>
  <rowBreaks count="1" manualBreakCount="1">
    <brk id="51" max="35" man="1"/>
  </rowBreak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69A00289-5A22-46B9-A943-A2FE3E047CAE}">
          <x14:formula1>
            <xm:f>'данные строй'!$A$3:$A$5</xm:f>
          </x14:formula1>
          <xm:sqref>J62:L62</xm:sqref>
        </x14:dataValidation>
        <x14:dataValidation type="list" allowBlank="1" showInputMessage="1" showErrorMessage="1" xr:uid="{07A0770D-8AF3-47B0-AC36-98A5FB91131B}">
          <x14:formula1>
            <xm:f>'данные строй'!$E$3:$E$4</xm:f>
          </x14:formula1>
          <xm:sqref>R62:S62</xm:sqref>
        </x14:dataValidation>
        <x14:dataValidation type="list" allowBlank="1" showInputMessage="1" showErrorMessage="1" xr:uid="{59F889AD-7985-4150-AB76-55B463561C7F}">
          <x14:formula1>
            <xm:f>'данные строй'!$D$3:$D$4</xm:f>
          </x14:formula1>
          <xm:sqref>A69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00B050"/>
    <pageSetUpPr fitToPage="1"/>
  </sheetPr>
  <dimension ref="A1:AZ116"/>
  <sheetViews>
    <sheetView view="pageBreakPreview" topLeftCell="A43" zoomScale="125" zoomScaleNormal="125" zoomScaleSheetLayoutView="125" workbookViewId="0">
      <selection activeCell="AL27" sqref="AL27"/>
    </sheetView>
  </sheetViews>
  <sheetFormatPr defaultColWidth="10.6640625" defaultRowHeight="15" x14ac:dyDescent="0.25"/>
  <cols>
    <col min="1" max="31" width="2.83203125" style="1" customWidth="1"/>
    <col min="32" max="32" width="3" style="1" customWidth="1"/>
    <col min="33" max="51" width="2.83203125" style="1" customWidth="1"/>
    <col min="52" max="16384" width="10.6640625" style="1"/>
  </cols>
  <sheetData>
    <row r="1" spans="1:43" s="13" customFormat="1" ht="12.75" customHeight="1" x14ac:dyDescent="0.2">
      <c r="AJ1" s="21" t="s">
        <v>41</v>
      </c>
    </row>
    <row r="2" spans="1:43" s="13" customFormat="1" ht="11.25" customHeight="1" x14ac:dyDescent="0.2">
      <c r="AJ2" s="21" t="s">
        <v>40</v>
      </c>
    </row>
    <row r="3" spans="1:43" s="13" customFormat="1" ht="14.25" customHeight="1" x14ac:dyDescent="0.2">
      <c r="A3" s="13" t="s">
        <v>21</v>
      </c>
      <c r="AJ3" s="22"/>
      <c r="AK3" s="22"/>
      <c r="AL3" s="22"/>
      <c r="AM3" s="22"/>
      <c r="AN3" s="22"/>
      <c r="AO3" s="22"/>
      <c r="AP3" s="22"/>
      <c r="AQ3" s="22"/>
    </row>
    <row r="4" spans="1:43" s="13" customFormat="1" ht="25.5" customHeight="1" x14ac:dyDescent="0.2">
      <c r="A4" s="127" t="str">
        <f>'Данные объект'!B3</f>
        <v>Строительство КТП - 10/0,4кВ, КЛ-10 кВ от ТП-10/0,4кВ № 3463, КЛ-10 кВ от сооруж. КРУН-10 кВ, ВЛИ-0,38 кВ, в т.ч. ПИР, МО, Солнечногорский р-н, п. Красный Воин</v>
      </c>
      <c r="B4" s="127"/>
      <c r="C4" s="127"/>
      <c r="D4" s="127"/>
      <c r="E4" s="127"/>
      <c r="F4" s="127"/>
      <c r="G4" s="127"/>
      <c r="H4" s="127"/>
      <c r="I4" s="127"/>
      <c r="J4" s="127"/>
      <c r="K4" s="127"/>
      <c r="L4" s="127"/>
      <c r="M4" s="127"/>
      <c r="N4" s="127"/>
      <c r="O4" s="127"/>
      <c r="P4" s="127"/>
      <c r="Q4" s="127"/>
      <c r="R4" s="127"/>
      <c r="S4" s="127"/>
      <c r="T4" s="127"/>
      <c r="U4" s="127"/>
      <c r="V4" s="127"/>
      <c r="W4" s="127"/>
      <c r="X4" s="127"/>
      <c r="Y4" s="127"/>
      <c r="Z4" s="127"/>
      <c r="AA4" s="127"/>
      <c r="AB4" s="127"/>
      <c r="AC4" s="127"/>
      <c r="AD4" s="127"/>
      <c r="AE4" s="127"/>
      <c r="AF4" s="127"/>
      <c r="AG4" s="127"/>
      <c r="AH4" s="127"/>
      <c r="AI4" s="127"/>
      <c r="AJ4" s="127"/>
    </row>
    <row r="5" spans="1:43" s="13" customFormat="1" ht="12" customHeight="1" x14ac:dyDescent="0.2">
      <c r="A5" s="139" t="str">
        <f>'Данные объект'!B9</f>
        <v>КЛ-10кВ ф.1 от ТП №3463</v>
      </c>
      <c r="B5" s="139"/>
      <c r="C5" s="139"/>
      <c r="D5" s="139"/>
      <c r="E5" s="139"/>
      <c r="F5" s="139"/>
      <c r="G5" s="139"/>
      <c r="H5" s="139"/>
      <c r="I5" s="139"/>
      <c r="J5" s="139"/>
      <c r="K5" s="139"/>
      <c r="L5" s="139"/>
      <c r="M5" s="139"/>
      <c r="N5" s="139"/>
      <c r="O5" s="139"/>
      <c r="P5" s="139"/>
      <c r="Q5" s="139"/>
      <c r="R5" s="139"/>
      <c r="S5" s="139"/>
      <c r="T5" s="139"/>
      <c r="U5" s="139"/>
      <c r="V5" s="139"/>
      <c r="W5" s="139"/>
      <c r="X5" s="139"/>
      <c r="Y5" s="139"/>
      <c r="Z5" s="139"/>
      <c r="AA5" s="139"/>
      <c r="AB5" s="139"/>
      <c r="AC5" s="139"/>
      <c r="AD5" s="139"/>
      <c r="AE5" s="139"/>
      <c r="AF5" s="139"/>
      <c r="AG5" s="139"/>
      <c r="AH5" s="139"/>
      <c r="AI5" s="139"/>
      <c r="AJ5" s="139"/>
    </row>
    <row r="6" spans="1:43" s="14" customFormat="1" ht="8.25" x14ac:dyDescent="0.15">
      <c r="A6" s="128" t="s">
        <v>192</v>
      </c>
      <c r="B6" s="129"/>
      <c r="C6" s="129"/>
      <c r="D6" s="129"/>
      <c r="E6" s="129"/>
      <c r="F6" s="129"/>
      <c r="G6" s="129"/>
      <c r="H6" s="129"/>
      <c r="I6" s="129"/>
      <c r="J6" s="129"/>
      <c r="K6" s="129"/>
      <c r="L6" s="129"/>
      <c r="M6" s="129"/>
      <c r="N6" s="129"/>
      <c r="O6" s="129"/>
      <c r="P6" s="129"/>
      <c r="Q6" s="129"/>
      <c r="R6" s="129"/>
      <c r="S6" s="129"/>
      <c r="T6" s="129"/>
      <c r="U6" s="129"/>
      <c r="V6" s="129"/>
      <c r="W6" s="129"/>
      <c r="X6" s="129"/>
      <c r="Y6" s="129"/>
      <c r="Z6" s="129"/>
      <c r="AA6" s="129"/>
      <c r="AB6" s="129"/>
      <c r="AC6" s="129"/>
      <c r="AD6" s="129"/>
      <c r="AE6" s="129"/>
      <c r="AF6" s="129"/>
      <c r="AG6" s="129"/>
      <c r="AH6" s="129"/>
      <c r="AI6" s="129"/>
      <c r="AJ6" s="129"/>
    </row>
    <row r="7" spans="1:43" s="13" customFormat="1" ht="12.75" customHeight="1" x14ac:dyDescent="0.2">
      <c r="A7" s="126" t="s">
        <v>42</v>
      </c>
      <c r="B7" s="126"/>
      <c r="C7" s="126"/>
      <c r="D7" s="126"/>
      <c r="E7" s="126"/>
      <c r="F7" s="126"/>
      <c r="G7" s="126"/>
      <c r="H7" s="126"/>
      <c r="I7" s="126"/>
      <c r="J7" s="126"/>
      <c r="K7" s="126"/>
      <c r="L7" s="126"/>
      <c r="M7" s="126"/>
      <c r="N7" s="126"/>
      <c r="O7" s="126"/>
      <c r="P7" s="126"/>
      <c r="Q7" s="126"/>
      <c r="R7" s="126"/>
      <c r="S7" s="126"/>
      <c r="T7" s="126"/>
      <c r="U7" s="126"/>
      <c r="V7" s="126"/>
      <c r="W7" s="126"/>
      <c r="X7" s="126"/>
      <c r="Y7" s="126"/>
      <c r="Z7" s="126"/>
      <c r="AA7" s="126"/>
      <c r="AB7" s="126"/>
      <c r="AC7" s="126"/>
      <c r="AD7" s="126"/>
      <c r="AE7" s="126"/>
      <c r="AF7" s="126"/>
      <c r="AG7" s="126"/>
      <c r="AH7" s="126"/>
      <c r="AI7" s="126"/>
      <c r="AJ7" s="126"/>
    </row>
    <row r="8" spans="1:43" s="13" customFormat="1" ht="12" customHeight="1" x14ac:dyDescent="0.2">
      <c r="A8" s="139" t="str">
        <f>'Данные объект'!B23</f>
        <v>ПАО "Россети Московский регион"</v>
      </c>
      <c r="B8" s="139"/>
      <c r="C8" s="139"/>
      <c r="D8" s="139"/>
      <c r="E8" s="139"/>
      <c r="F8" s="139"/>
      <c r="G8" s="139"/>
      <c r="H8" s="139"/>
      <c r="I8" s="139"/>
      <c r="J8" s="139"/>
      <c r="K8" s="139"/>
      <c r="L8" s="139"/>
      <c r="M8" s="139"/>
      <c r="N8" s="139"/>
      <c r="O8" s="139"/>
      <c r="P8" s="139"/>
      <c r="Q8" s="139"/>
      <c r="R8" s="139"/>
      <c r="S8" s="139"/>
      <c r="T8" s="139"/>
      <c r="U8" s="139"/>
      <c r="V8" s="139"/>
      <c r="W8" s="139"/>
      <c r="X8" s="139"/>
      <c r="Y8" s="139"/>
      <c r="Z8" s="139"/>
      <c r="AA8" s="139"/>
      <c r="AB8" s="139"/>
      <c r="AC8" s="139"/>
      <c r="AD8" s="139"/>
      <c r="AE8" s="139"/>
      <c r="AF8" s="139"/>
      <c r="AG8" s="139"/>
      <c r="AH8" s="139"/>
      <c r="AI8" s="139"/>
      <c r="AJ8" s="139"/>
    </row>
    <row r="9" spans="1:43" s="14" customFormat="1" ht="19.5" customHeight="1" x14ac:dyDescent="0.15">
      <c r="A9" s="128" t="s">
        <v>58</v>
      </c>
      <c r="B9" s="129"/>
      <c r="C9" s="129"/>
      <c r="D9" s="129"/>
      <c r="E9" s="129"/>
      <c r="F9" s="129"/>
      <c r="G9" s="129"/>
      <c r="H9" s="129"/>
      <c r="I9" s="129"/>
      <c r="J9" s="129"/>
      <c r="K9" s="129"/>
      <c r="L9" s="129"/>
      <c r="M9" s="129"/>
      <c r="N9" s="129"/>
      <c r="O9" s="129"/>
      <c r="P9" s="129"/>
      <c r="Q9" s="129"/>
      <c r="R9" s="129"/>
      <c r="S9" s="129"/>
      <c r="T9" s="129"/>
      <c r="U9" s="129"/>
      <c r="V9" s="129"/>
      <c r="W9" s="129"/>
      <c r="X9" s="129"/>
      <c r="Y9" s="129"/>
      <c r="Z9" s="129"/>
      <c r="AA9" s="129"/>
      <c r="AB9" s="129"/>
      <c r="AC9" s="129"/>
      <c r="AD9" s="129"/>
      <c r="AE9" s="129"/>
      <c r="AF9" s="129"/>
      <c r="AG9" s="129"/>
      <c r="AH9" s="129"/>
      <c r="AI9" s="129"/>
      <c r="AJ9" s="129"/>
    </row>
    <row r="10" spans="1:43" s="13" customFormat="1" ht="12" customHeight="1" x14ac:dyDescent="0.2">
      <c r="A10" s="139" t="str">
        <f>'Данные объект'!B24</f>
        <v>ОГРН 1057746555811 ИНН 5036065113 КПП 772501001</v>
      </c>
      <c r="B10" s="139"/>
      <c r="C10" s="139"/>
      <c r="D10" s="139"/>
      <c r="E10" s="139"/>
      <c r="F10" s="139"/>
      <c r="G10" s="139"/>
      <c r="H10" s="139"/>
      <c r="I10" s="139"/>
      <c r="J10" s="139"/>
      <c r="K10" s="139"/>
      <c r="L10" s="139"/>
      <c r="M10" s="139"/>
      <c r="N10" s="139"/>
      <c r="O10" s="139"/>
      <c r="P10" s="139"/>
      <c r="Q10" s="139"/>
      <c r="R10" s="139"/>
      <c r="S10" s="139"/>
      <c r="T10" s="139"/>
      <c r="U10" s="139"/>
      <c r="V10" s="139"/>
      <c r="W10" s="139"/>
      <c r="X10" s="139"/>
      <c r="Y10" s="139"/>
      <c r="Z10" s="139"/>
      <c r="AA10" s="139"/>
      <c r="AB10" s="139"/>
      <c r="AC10" s="139"/>
      <c r="AD10" s="139"/>
      <c r="AE10" s="139"/>
      <c r="AF10" s="139"/>
      <c r="AG10" s="139"/>
      <c r="AH10" s="139"/>
      <c r="AI10" s="139"/>
      <c r="AJ10" s="139"/>
    </row>
    <row r="11" spans="1:43" s="14" customFormat="1" ht="28.5" customHeight="1" x14ac:dyDescent="0.15">
      <c r="A11" s="128" t="s">
        <v>59</v>
      </c>
      <c r="B11" s="129"/>
      <c r="C11" s="129"/>
      <c r="D11" s="129"/>
      <c r="E11" s="129"/>
      <c r="F11" s="129"/>
      <c r="G11" s="129"/>
      <c r="H11" s="129"/>
      <c r="I11" s="129"/>
      <c r="J11" s="129"/>
      <c r="K11" s="129"/>
      <c r="L11" s="129"/>
      <c r="M11" s="129"/>
      <c r="N11" s="129"/>
      <c r="O11" s="129"/>
      <c r="P11" s="129"/>
      <c r="Q11" s="129"/>
      <c r="R11" s="129"/>
      <c r="S11" s="129"/>
      <c r="T11" s="129"/>
      <c r="U11" s="129"/>
      <c r="V11" s="129"/>
      <c r="W11" s="129"/>
      <c r="X11" s="129"/>
      <c r="Y11" s="129"/>
      <c r="Z11" s="129"/>
      <c r="AA11" s="129"/>
      <c r="AB11" s="129"/>
      <c r="AC11" s="129"/>
      <c r="AD11" s="129"/>
      <c r="AE11" s="129"/>
      <c r="AF11" s="129"/>
      <c r="AG11" s="129"/>
      <c r="AH11" s="129"/>
      <c r="AI11" s="129"/>
      <c r="AJ11" s="129"/>
    </row>
    <row r="12" spans="1:43" s="13" customFormat="1" ht="12" customHeight="1" x14ac:dyDescent="0.2">
      <c r="A12" s="139" t="str">
        <f>'Данные объект'!B25</f>
        <v>115114, город Москва, проезд Павелецкий 2-й, дом 3, строение 2</v>
      </c>
      <c r="B12" s="139"/>
      <c r="C12" s="139"/>
      <c r="D12" s="139"/>
      <c r="E12" s="139"/>
      <c r="F12" s="139"/>
      <c r="G12" s="139"/>
      <c r="H12" s="139"/>
      <c r="I12" s="139"/>
      <c r="J12" s="139"/>
      <c r="K12" s="139"/>
      <c r="L12" s="139"/>
      <c r="M12" s="139"/>
      <c r="N12" s="139"/>
      <c r="O12" s="139"/>
      <c r="P12" s="139"/>
      <c r="Q12" s="139"/>
      <c r="R12" s="139"/>
      <c r="S12" s="139"/>
      <c r="T12" s="139"/>
      <c r="U12" s="139"/>
      <c r="V12" s="139"/>
      <c r="W12" s="139"/>
      <c r="X12" s="139"/>
      <c r="Y12" s="139"/>
      <c r="Z12" s="139"/>
      <c r="AA12" s="139"/>
      <c r="AB12" s="139"/>
      <c r="AC12" s="139"/>
      <c r="AD12" s="139"/>
      <c r="AE12" s="139"/>
      <c r="AF12" s="139"/>
      <c r="AG12" s="139"/>
      <c r="AH12" s="139"/>
      <c r="AI12" s="139"/>
      <c r="AJ12" s="139"/>
    </row>
    <row r="13" spans="1:43" s="14" customFormat="1" ht="11.25" customHeight="1" x14ac:dyDescent="0.15">
      <c r="A13" s="128" t="s">
        <v>43</v>
      </c>
      <c r="B13" s="129"/>
      <c r="C13" s="129"/>
      <c r="D13" s="129"/>
      <c r="E13" s="129"/>
      <c r="F13" s="129"/>
      <c r="G13" s="129"/>
      <c r="H13" s="129"/>
      <c r="I13" s="129"/>
      <c r="J13" s="129"/>
      <c r="K13" s="129"/>
      <c r="L13" s="129"/>
      <c r="M13" s="129"/>
      <c r="N13" s="129"/>
      <c r="O13" s="129"/>
      <c r="P13" s="129"/>
      <c r="Q13" s="129"/>
      <c r="R13" s="129"/>
      <c r="S13" s="129"/>
      <c r="T13" s="129"/>
      <c r="U13" s="129"/>
      <c r="V13" s="129"/>
      <c r="W13" s="129"/>
      <c r="X13" s="129"/>
      <c r="Y13" s="129"/>
      <c r="Z13" s="129"/>
      <c r="AA13" s="129"/>
      <c r="AB13" s="129"/>
      <c r="AC13" s="129"/>
      <c r="AD13" s="129"/>
      <c r="AE13" s="129"/>
      <c r="AF13" s="129"/>
      <c r="AG13" s="129"/>
      <c r="AH13" s="129"/>
      <c r="AI13" s="129"/>
      <c r="AJ13" s="129"/>
    </row>
    <row r="14" spans="1:43" s="13" customFormat="1" ht="12" customHeight="1" x14ac:dyDescent="0.2">
      <c r="A14" s="13" t="s">
        <v>22</v>
      </c>
    </row>
    <row r="15" spans="1:43" s="13" customFormat="1" ht="12" customHeight="1" x14ac:dyDescent="0.2">
      <c r="A15" s="139" t="str">
        <f>'Данные объект'!B11</f>
        <v>ООО"Энергосистемы"</v>
      </c>
      <c r="B15" s="139"/>
      <c r="C15" s="139"/>
      <c r="D15" s="139"/>
      <c r="E15" s="139"/>
      <c r="F15" s="139"/>
      <c r="G15" s="139"/>
      <c r="H15" s="139"/>
      <c r="I15" s="139"/>
      <c r="J15" s="139"/>
      <c r="K15" s="139"/>
      <c r="L15" s="139"/>
      <c r="M15" s="139"/>
      <c r="N15" s="139"/>
      <c r="O15" s="139"/>
      <c r="P15" s="139"/>
      <c r="Q15" s="139"/>
      <c r="R15" s="139"/>
      <c r="S15" s="139"/>
      <c r="T15" s="139"/>
      <c r="U15" s="139"/>
      <c r="V15" s="139"/>
      <c r="W15" s="139"/>
      <c r="X15" s="139"/>
      <c r="Y15" s="139"/>
      <c r="Z15" s="139"/>
      <c r="AA15" s="139"/>
      <c r="AB15" s="139"/>
      <c r="AC15" s="139"/>
      <c r="AD15" s="139"/>
      <c r="AE15" s="139"/>
      <c r="AF15" s="139"/>
      <c r="AG15" s="139"/>
      <c r="AH15" s="139"/>
      <c r="AI15" s="139"/>
      <c r="AJ15" s="139"/>
    </row>
    <row r="16" spans="1:43" s="14" customFormat="1" ht="9.75" customHeight="1" x14ac:dyDescent="0.15">
      <c r="A16" s="128" t="s">
        <v>37</v>
      </c>
      <c r="B16" s="129"/>
      <c r="C16" s="129"/>
      <c r="D16" s="129"/>
      <c r="E16" s="129"/>
      <c r="F16" s="129"/>
      <c r="G16" s="129"/>
      <c r="H16" s="129"/>
      <c r="I16" s="129"/>
      <c r="J16" s="129"/>
      <c r="K16" s="129"/>
      <c r="L16" s="129"/>
      <c r="M16" s="129"/>
      <c r="N16" s="129"/>
      <c r="O16" s="129"/>
      <c r="P16" s="129"/>
      <c r="Q16" s="129"/>
      <c r="R16" s="129"/>
      <c r="S16" s="129"/>
      <c r="T16" s="129"/>
      <c r="U16" s="129"/>
      <c r="V16" s="129"/>
      <c r="W16" s="129"/>
      <c r="X16" s="129"/>
      <c r="Y16" s="129"/>
      <c r="Z16" s="129"/>
      <c r="AA16" s="129"/>
      <c r="AB16" s="129"/>
      <c r="AC16" s="129"/>
      <c r="AD16" s="129"/>
      <c r="AE16" s="129"/>
      <c r="AF16" s="129"/>
      <c r="AG16" s="129"/>
      <c r="AH16" s="129"/>
      <c r="AI16" s="129"/>
      <c r="AJ16" s="129"/>
    </row>
    <row r="17" spans="1:36" s="13" customFormat="1" ht="12" customHeight="1" x14ac:dyDescent="0.2">
      <c r="A17" s="139" t="str">
        <f>'Данные объект'!B12</f>
        <v>ОГРН 1135044003709  ИНН 5044089069 КПП 504401001</v>
      </c>
      <c r="B17" s="139"/>
      <c r="C17" s="139"/>
      <c r="D17" s="139"/>
      <c r="E17" s="139"/>
      <c r="F17" s="139"/>
      <c r="G17" s="139"/>
      <c r="H17" s="139"/>
      <c r="I17" s="139"/>
      <c r="J17" s="139"/>
      <c r="K17" s="139"/>
      <c r="L17" s="139"/>
      <c r="M17" s="139"/>
      <c r="N17" s="139"/>
      <c r="O17" s="139"/>
      <c r="P17" s="139"/>
      <c r="Q17" s="139"/>
      <c r="R17" s="139"/>
      <c r="S17" s="139"/>
      <c r="T17" s="139"/>
      <c r="U17" s="139"/>
      <c r="V17" s="139"/>
      <c r="W17" s="139"/>
      <c r="X17" s="139"/>
      <c r="Y17" s="139"/>
      <c r="Z17" s="139"/>
      <c r="AA17" s="139"/>
      <c r="AB17" s="139"/>
      <c r="AC17" s="139"/>
      <c r="AD17" s="139"/>
      <c r="AE17" s="139"/>
      <c r="AF17" s="139"/>
      <c r="AG17" s="139"/>
      <c r="AH17" s="139"/>
      <c r="AI17" s="139"/>
      <c r="AJ17" s="139"/>
    </row>
    <row r="18" spans="1:36" s="14" customFormat="1" ht="8.25" customHeight="1" x14ac:dyDescent="0.15">
      <c r="A18" s="128" t="s">
        <v>44</v>
      </c>
      <c r="B18" s="129"/>
      <c r="C18" s="129"/>
      <c r="D18" s="129"/>
      <c r="E18" s="129"/>
      <c r="F18" s="129"/>
      <c r="G18" s="129"/>
      <c r="H18" s="129"/>
      <c r="I18" s="129"/>
      <c r="J18" s="129"/>
      <c r="K18" s="129"/>
      <c r="L18" s="129"/>
      <c r="M18" s="129"/>
      <c r="N18" s="129"/>
      <c r="O18" s="129"/>
      <c r="P18" s="129"/>
      <c r="Q18" s="129"/>
      <c r="R18" s="129"/>
      <c r="S18" s="129"/>
      <c r="T18" s="129"/>
      <c r="U18" s="129"/>
      <c r="V18" s="129"/>
      <c r="W18" s="129"/>
      <c r="X18" s="129"/>
      <c r="Y18" s="129"/>
      <c r="Z18" s="129"/>
      <c r="AA18" s="129"/>
      <c r="AB18" s="129"/>
      <c r="AC18" s="129"/>
      <c r="AD18" s="129"/>
      <c r="AE18" s="129"/>
      <c r="AF18" s="129"/>
      <c r="AG18" s="129"/>
      <c r="AH18" s="129"/>
      <c r="AI18" s="129"/>
      <c r="AJ18" s="129"/>
    </row>
    <row r="19" spans="1:36" s="13" customFormat="1" ht="12" customHeight="1" x14ac:dyDescent="0.2">
      <c r="A19" s="139" t="str">
        <f>'Данные объект'!B13</f>
        <v xml:space="preserve">141508, Московская область, г.о. Солнечногорск, г. Солнечногорск, ул. Промышленная, стр. 5, помещение 179
</v>
      </c>
      <c r="B19" s="139"/>
      <c r="C19" s="139"/>
      <c r="D19" s="139"/>
      <c r="E19" s="139"/>
      <c r="F19" s="139"/>
      <c r="G19" s="139"/>
      <c r="H19" s="139"/>
      <c r="I19" s="139"/>
      <c r="J19" s="139"/>
      <c r="K19" s="139"/>
      <c r="L19" s="139"/>
      <c r="M19" s="139"/>
      <c r="N19" s="139"/>
      <c r="O19" s="139"/>
      <c r="P19" s="139"/>
      <c r="Q19" s="139"/>
      <c r="R19" s="139"/>
      <c r="S19" s="139"/>
      <c r="T19" s="139"/>
      <c r="U19" s="139"/>
      <c r="V19" s="139"/>
      <c r="W19" s="139"/>
      <c r="X19" s="139"/>
      <c r="Y19" s="139"/>
      <c r="Z19" s="139"/>
      <c r="AA19" s="139"/>
      <c r="AB19" s="139"/>
      <c r="AC19" s="139"/>
      <c r="AD19" s="139"/>
      <c r="AE19" s="139"/>
      <c r="AF19" s="139"/>
      <c r="AG19" s="139"/>
      <c r="AH19" s="139"/>
      <c r="AI19" s="139"/>
      <c r="AJ19" s="139"/>
    </row>
    <row r="20" spans="1:36" s="14" customFormat="1" ht="27" customHeight="1" x14ac:dyDescent="0.15">
      <c r="A20" s="128" t="s">
        <v>60</v>
      </c>
      <c r="B20" s="129"/>
      <c r="C20" s="129"/>
      <c r="D20" s="129"/>
      <c r="E20" s="129"/>
      <c r="F20" s="129"/>
      <c r="G20" s="129"/>
      <c r="H20" s="129"/>
      <c r="I20" s="129"/>
      <c r="J20" s="129"/>
      <c r="K20" s="129"/>
      <c r="L20" s="129"/>
      <c r="M20" s="129"/>
      <c r="N20" s="129"/>
      <c r="O20" s="129"/>
      <c r="P20" s="129"/>
      <c r="Q20" s="129"/>
      <c r="R20" s="129"/>
      <c r="S20" s="129"/>
      <c r="T20" s="129"/>
      <c r="U20" s="129"/>
      <c r="V20" s="129"/>
      <c r="W20" s="129"/>
      <c r="X20" s="129"/>
      <c r="Y20" s="129"/>
      <c r="Z20" s="129"/>
      <c r="AA20" s="129"/>
      <c r="AB20" s="129"/>
      <c r="AC20" s="129"/>
      <c r="AD20" s="129"/>
      <c r="AE20" s="129"/>
      <c r="AF20" s="129"/>
      <c r="AG20" s="129"/>
      <c r="AH20" s="129"/>
      <c r="AI20" s="129"/>
      <c r="AJ20" s="129"/>
    </row>
    <row r="21" spans="1:36" s="13" customFormat="1" ht="12" customHeight="1" x14ac:dyDescent="0.2">
      <c r="A21" s="13" t="s">
        <v>20</v>
      </c>
    </row>
    <row r="22" spans="1:36" s="13" customFormat="1" ht="12" customHeight="1" x14ac:dyDescent="0.2">
      <c r="A22" s="139" t="str">
        <f>'Данные объект'!B39</f>
        <v>ООО"Энергосистемы"</v>
      </c>
      <c r="B22" s="139"/>
      <c r="C22" s="139"/>
      <c r="D22" s="139"/>
      <c r="E22" s="139"/>
      <c r="F22" s="139"/>
      <c r="G22" s="139"/>
      <c r="H22" s="139"/>
      <c r="I22" s="139"/>
      <c r="J22" s="139"/>
      <c r="K22" s="139"/>
      <c r="L22" s="139"/>
      <c r="M22" s="139"/>
      <c r="N22" s="139"/>
      <c r="O22" s="139"/>
      <c r="P22" s="139"/>
      <c r="Q22" s="139"/>
      <c r="R22" s="139"/>
      <c r="S22" s="139"/>
      <c r="T22" s="139"/>
      <c r="U22" s="139"/>
      <c r="V22" s="139"/>
      <c r="W22" s="139"/>
      <c r="X22" s="139"/>
      <c r="Y22" s="139"/>
      <c r="Z22" s="139"/>
      <c r="AA22" s="139"/>
      <c r="AB22" s="139"/>
      <c r="AC22" s="139"/>
      <c r="AD22" s="139"/>
      <c r="AE22" s="139"/>
      <c r="AF22" s="139"/>
      <c r="AG22" s="139"/>
      <c r="AH22" s="139"/>
      <c r="AI22" s="139"/>
      <c r="AJ22" s="139"/>
    </row>
    <row r="23" spans="1:36" s="14" customFormat="1" ht="7.5" customHeight="1" x14ac:dyDescent="0.15">
      <c r="A23" s="128" t="s">
        <v>37</v>
      </c>
      <c r="B23" s="129"/>
      <c r="C23" s="129"/>
      <c r="D23" s="129"/>
      <c r="E23" s="129"/>
      <c r="F23" s="129"/>
      <c r="G23" s="129"/>
      <c r="H23" s="129"/>
      <c r="I23" s="129"/>
      <c r="J23" s="129"/>
      <c r="K23" s="129"/>
      <c r="L23" s="129"/>
      <c r="M23" s="129"/>
      <c r="N23" s="129"/>
      <c r="O23" s="129"/>
      <c r="P23" s="129"/>
      <c r="Q23" s="129"/>
      <c r="R23" s="129"/>
      <c r="S23" s="129"/>
      <c r="T23" s="129"/>
      <c r="U23" s="129"/>
      <c r="V23" s="129"/>
      <c r="W23" s="129"/>
      <c r="X23" s="129"/>
      <c r="Y23" s="129"/>
      <c r="Z23" s="129"/>
      <c r="AA23" s="129"/>
      <c r="AB23" s="129"/>
      <c r="AC23" s="129"/>
      <c r="AD23" s="129"/>
      <c r="AE23" s="129"/>
      <c r="AF23" s="129"/>
      <c r="AG23" s="129"/>
      <c r="AH23" s="129"/>
      <c r="AI23" s="129"/>
      <c r="AJ23" s="129"/>
    </row>
    <row r="24" spans="1:36" s="13" customFormat="1" ht="12" customHeight="1" x14ac:dyDescent="0.2">
      <c r="A24" s="139" t="str">
        <f>'Данные объект'!B40</f>
        <v>ОГРН 1135044003709  ИНН 5044089069 КПП 504401001</v>
      </c>
      <c r="B24" s="139"/>
      <c r="C24" s="139"/>
      <c r="D24" s="139"/>
      <c r="E24" s="139"/>
      <c r="F24" s="139"/>
      <c r="G24" s="139"/>
      <c r="H24" s="139"/>
      <c r="I24" s="139"/>
      <c r="J24" s="139"/>
      <c r="K24" s="139"/>
      <c r="L24" s="139"/>
      <c r="M24" s="139"/>
      <c r="N24" s="139"/>
      <c r="O24" s="139"/>
      <c r="P24" s="139"/>
      <c r="Q24" s="139"/>
      <c r="R24" s="139"/>
      <c r="S24" s="139"/>
      <c r="T24" s="139"/>
      <c r="U24" s="139"/>
      <c r="V24" s="139"/>
      <c r="W24" s="139"/>
      <c r="X24" s="139"/>
      <c r="Y24" s="139"/>
      <c r="Z24" s="139"/>
      <c r="AA24" s="139"/>
      <c r="AB24" s="139"/>
      <c r="AC24" s="139"/>
      <c r="AD24" s="139"/>
      <c r="AE24" s="139"/>
      <c r="AF24" s="139"/>
      <c r="AG24" s="139"/>
      <c r="AH24" s="139"/>
      <c r="AI24" s="139"/>
      <c r="AJ24" s="139"/>
    </row>
    <row r="25" spans="1:36" s="14" customFormat="1" ht="7.5" customHeight="1" x14ac:dyDescent="0.15">
      <c r="A25" s="128" t="s">
        <v>61</v>
      </c>
      <c r="B25" s="129"/>
      <c r="C25" s="129"/>
      <c r="D25" s="129"/>
      <c r="E25" s="129"/>
      <c r="F25" s="129"/>
      <c r="G25" s="129"/>
      <c r="H25" s="129"/>
      <c r="I25" s="129"/>
      <c r="J25" s="129"/>
      <c r="K25" s="129"/>
      <c r="L25" s="129"/>
      <c r="M25" s="129"/>
      <c r="N25" s="129"/>
      <c r="O25" s="129"/>
      <c r="P25" s="129"/>
      <c r="Q25" s="129"/>
      <c r="R25" s="129"/>
      <c r="S25" s="129"/>
      <c r="T25" s="129"/>
      <c r="U25" s="129"/>
      <c r="V25" s="129"/>
      <c r="W25" s="129"/>
      <c r="X25" s="129"/>
      <c r="Y25" s="129"/>
      <c r="Z25" s="129"/>
      <c r="AA25" s="129"/>
      <c r="AB25" s="129"/>
      <c r="AC25" s="129"/>
      <c r="AD25" s="129"/>
      <c r="AE25" s="129"/>
      <c r="AF25" s="129"/>
      <c r="AG25" s="129"/>
      <c r="AH25" s="129"/>
      <c r="AI25" s="129"/>
      <c r="AJ25" s="129"/>
    </row>
    <row r="26" spans="1:36" s="13" customFormat="1" ht="12" customHeight="1" x14ac:dyDescent="0.2">
      <c r="A26" s="139" t="str">
        <f>'Данные объект'!B41</f>
        <v xml:space="preserve">141508, Московская область, г.о. Солнечногорск, г. Солнечногорск, ул. Промышленная, стр. 5, помещение 179
</v>
      </c>
      <c r="B26" s="139"/>
      <c r="C26" s="139"/>
      <c r="D26" s="139"/>
      <c r="E26" s="139"/>
      <c r="F26" s="139"/>
      <c r="G26" s="139"/>
      <c r="H26" s="139"/>
      <c r="I26" s="139"/>
      <c r="J26" s="139"/>
      <c r="K26" s="139"/>
      <c r="L26" s="139"/>
      <c r="M26" s="139"/>
      <c r="N26" s="139"/>
      <c r="O26" s="139"/>
      <c r="P26" s="139"/>
      <c r="Q26" s="139"/>
      <c r="R26" s="139"/>
      <c r="S26" s="139"/>
      <c r="T26" s="139"/>
      <c r="U26" s="139"/>
      <c r="V26" s="139"/>
      <c r="W26" s="139"/>
      <c r="X26" s="139"/>
      <c r="Y26" s="139"/>
      <c r="Z26" s="139"/>
      <c r="AA26" s="139"/>
      <c r="AB26" s="139"/>
      <c r="AC26" s="139"/>
      <c r="AD26" s="139"/>
      <c r="AE26" s="139"/>
      <c r="AF26" s="139"/>
      <c r="AG26" s="139"/>
      <c r="AH26" s="139"/>
      <c r="AI26" s="139"/>
      <c r="AJ26" s="139"/>
    </row>
    <row r="27" spans="1:36" s="14" customFormat="1" ht="22.5" customHeight="1" x14ac:dyDescent="0.15">
      <c r="A27" s="128" t="s">
        <v>45</v>
      </c>
      <c r="B27" s="129"/>
      <c r="C27" s="129"/>
      <c r="D27" s="129"/>
      <c r="E27" s="129"/>
      <c r="F27" s="129"/>
      <c r="G27" s="129"/>
      <c r="H27" s="129"/>
      <c r="I27" s="129"/>
      <c r="J27" s="129"/>
      <c r="K27" s="129"/>
      <c r="L27" s="129"/>
      <c r="M27" s="129"/>
      <c r="N27" s="129"/>
      <c r="O27" s="129"/>
      <c r="P27" s="129"/>
      <c r="Q27" s="129"/>
      <c r="R27" s="129"/>
      <c r="S27" s="129"/>
      <c r="T27" s="129"/>
      <c r="U27" s="129"/>
      <c r="V27" s="129"/>
      <c r="W27" s="129"/>
      <c r="X27" s="129"/>
      <c r="Y27" s="129"/>
      <c r="Z27" s="129"/>
      <c r="AA27" s="129"/>
      <c r="AB27" s="129"/>
      <c r="AC27" s="129"/>
      <c r="AD27" s="129"/>
      <c r="AE27" s="129"/>
      <c r="AF27" s="129"/>
      <c r="AG27" s="129"/>
      <c r="AH27" s="129"/>
      <c r="AI27" s="129"/>
      <c r="AJ27" s="129"/>
    </row>
    <row r="28" spans="1:36" ht="9" customHeight="1" x14ac:dyDescent="0.25">
      <c r="A28" s="5"/>
      <c r="B28" s="5"/>
      <c r="C28" s="5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</row>
    <row r="29" spans="1:36" s="13" customFormat="1" ht="12.95" customHeight="1" x14ac:dyDescent="0.2">
      <c r="A29" s="142" t="s">
        <v>36</v>
      </c>
      <c r="B29" s="142"/>
      <c r="C29" s="142"/>
      <c r="D29" s="142"/>
      <c r="E29" s="142"/>
      <c r="F29" s="142"/>
      <c r="G29" s="142"/>
      <c r="H29" s="142"/>
      <c r="I29" s="142"/>
      <c r="J29" s="142"/>
      <c r="K29" s="142"/>
      <c r="L29" s="142"/>
      <c r="M29" s="142"/>
      <c r="N29" s="142"/>
      <c r="O29" s="142"/>
      <c r="P29" s="142"/>
      <c r="Q29" s="142"/>
      <c r="R29" s="142"/>
      <c r="S29" s="142"/>
      <c r="T29" s="142"/>
      <c r="U29" s="142"/>
      <c r="V29" s="142"/>
      <c r="W29" s="142"/>
      <c r="X29" s="142"/>
      <c r="Y29" s="142"/>
      <c r="Z29" s="142"/>
      <c r="AA29" s="142"/>
      <c r="AB29" s="142"/>
      <c r="AC29" s="142"/>
      <c r="AD29" s="142"/>
      <c r="AE29" s="142"/>
      <c r="AF29" s="142"/>
      <c r="AG29" s="142"/>
      <c r="AH29" s="142"/>
      <c r="AI29" s="142"/>
      <c r="AJ29" s="142"/>
    </row>
    <row r="30" spans="1:36" s="13" customFormat="1" ht="12.95" customHeight="1" x14ac:dyDescent="0.2">
      <c r="A30" s="143" t="s">
        <v>19</v>
      </c>
      <c r="B30" s="143"/>
      <c r="C30" s="143"/>
      <c r="D30" s="143"/>
      <c r="E30" s="143"/>
      <c r="F30" s="143"/>
      <c r="G30" s="143"/>
      <c r="H30" s="143"/>
      <c r="I30" s="143"/>
      <c r="J30" s="143"/>
      <c r="K30" s="143"/>
      <c r="L30" s="143"/>
      <c r="M30" s="143"/>
      <c r="N30" s="143"/>
      <c r="O30" s="143"/>
      <c r="P30" s="143"/>
      <c r="Q30" s="143"/>
      <c r="R30" s="143"/>
      <c r="S30" s="143"/>
      <c r="T30" s="143"/>
      <c r="U30" s="143"/>
      <c r="V30" s="143"/>
      <c r="W30" s="143"/>
      <c r="X30" s="143"/>
      <c r="Y30" s="143"/>
      <c r="Z30" s="143"/>
      <c r="AA30" s="143"/>
      <c r="AB30" s="143"/>
      <c r="AC30" s="143"/>
      <c r="AD30" s="143"/>
      <c r="AE30" s="143"/>
      <c r="AF30" s="143"/>
      <c r="AG30" s="143"/>
      <c r="AH30" s="143"/>
      <c r="AI30" s="143"/>
      <c r="AJ30" s="143"/>
    </row>
    <row r="31" spans="1:36" s="13" customFormat="1" ht="6" customHeight="1" x14ac:dyDescent="0.2">
      <c r="A31" s="23"/>
      <c r="B31" s="23"/>
      <c r="C31" s="23"/>
      <c r="D31" s="23"/>
      <c r="E31" s="23"/>
      <c r="F31" s="23"/>
      <c r="G31" s="23"/>
      <c r="H31" s="23"/>
      <c r="I31" s="23"/>
      <c r="J31" s="23"/>
    </row>
    <row r="32" spans="1:36" s="13" customFormat="1" ht="12.95" customHeight="1" x14ac:dyDescent="0.2">
      <c r="A32" s="24"/>
      <c r="B32" s="24" t="s">
        <v>18</v>
      </c>
      <c r="C32" s="25">
        <v>7</v>
      </c>
      <c r="D32" s="25"/>
      <c r="E32" s="130" t="s">
        <v>86</v>
      </c>
      <c r="F32" s="130"/>
      <c r="G32" s="130"/>
      <c r="H32" s="27"/>
      <c r="I32" s="27"/>
      <c r="J32" s="27"/>
      <c r="X32" s="21"/>
      <c r="Y32" s="32"/>
      <c r="Z32" s="32"/>
      <c r="AB32" s="131">
        <f>P78</f>
        <v>45819</v>
      </c>
      <c r="AC32" s="131"/>
      <c r="AD32" s="131"/>
      <c r="AE32" s="131"/>
      <c r="AF32" s="131"/>
      <c r="AG32" s="131"/>
      <c r="AH32" s="131"/>
      <c r="AI32" s="131"/>
      <c r="AJ32" s="13" t="s">
        <v>6</v>
      </c>
    </row>
    <row r="33" spans="1:52" s="14" customFormat="1" ht="9" customHeight="1" x14ac:dyDescent="0.15">
      <c r="Y33" s="15"/>
      <c r="Z33" s="16"/>
      <c r="AA33" s="15"/>
      <c r="AB33" s="144" t="s">
        <v>17</v>
      </c>
      <c r="AC33" s="144"/>
      <c r="AD33" s="144"/>
      <c r="AE33" s="144"/>
      <c r="AF33" s="144"/>
      <c r="AG33" s="144"/>
      <c r="AH33" s="144"/>
      <c r="AI33" s="144"/>
    </row>
    <row r="34" spans="1:52" ht="6.75" customHeight="1" x14ac:dyDescent="0.25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4"/>
      <c r="AJ34" s="4"/>
    </row>
    <row r="35" spans="1:52" s="13" customFormat="1" ht="21" customHeight="1" x14ac:dyDescent="0.2">
      <c r="A35" s="126" t="s">
        <v>46</v>
      </c>
      <c r="B35" s="126"/>
      <c r="C35" s="126"/>
      <c r="D35" s="126"/>
      <c r="E35" s="126"/>
      <c r="F35" s="126"/>
      <c r="G35" s="126"/>
      <c r="H35" s="126"/>
      <c r="I35" s="126"/>
      <c r="J35" s="126"/>
      <c r="K35" s="126"/>
      <c r="L35" s="126"/>
      <c r="M35" s="126"/>
      <c r="N35" s="126"/>
      <c r="O35" s="126"/>
      <c r="P35" s="126"/>
      <c r="Q35" s="126"/>
      <c r="R35" s="126"/>
      <c r="S35" s="126"/>
      <c r="T35" s="126"/>
      <c r="U35" s="126"/>
      <c r="V35" s="126"/>
      <c r="W35" s="126"/>
      <c r="X35" s="126"/>
      <c r="Y35" s="126"/>
      <c r="Z35" s="126"/>
      <c r="AA35" s="126"/>
      <c r="AB35" s="126"/>
      <c r="AC35" s="126"/>
      <c r="AD35" s="126"/>
      <c r="AE35" s="126"/>
      <c r="AF35" s="126"/>
      <c r="AG35" s="126"/>
      <c r="AH35" s="126"/>
      <c r="AI35" s="126"/>
      <c r="AJ35" s="126"/>
    </row>
    <row r="36" spans="1:52" s="13" customFormat="1" ht="25.5" customHeight="1" x14ac:dyDescent="0.2">
      <c r="A36" s="127" t="str">
        <f>'Данные объект'!C34</f>
        <v>Гл. специалист ССК УКС ПАО "Россети Московский регион" Алексанян Г.Р. Приказ №1904 от 03 июня 2026г (НРС С-50-069023)</v>
      </c>
      <c r="B36" s="127"/>
      <c r="C36" s="127"/>
      <c r="D36" s="127"/>
      <c r="E36" s="127"/>
      <c r="F36" s="127"/>
      <c r="G36" s="127"/>
      <c r="H36" s="127"/>
      <c r="I36" s="127"/>
      <c r="J36" s="127"/>
      <c r="K36" s="127"/>
      <c r="L36" s="127"/>
      <c r="M36" s="127"/>
      <c r="N36" s="127"/>
      <c r="O36" s="127"/>
      <c r="P36" s="127"/>
      <c r="Q36" s="127"/>
      <c r="R36" s="127"/>
      <c r="S36" s="127"/>
      <c r="T36" s="127"/>
      <c r="U36" s="127"/>
      <c r="V36" s="127"/>
      <c r="W36" s="127"/>
      <c r="X36" s="127"/>
      <c r="Y36" s="127"/>
      <c r="Z36" s="127"/>
      <c r="AA36" s="127"/>
      <c r="AB36" s="127"/>
      <c r="AC36" s="127"/>
      <c r="AD36" s="127"/>
      <c r="AE36" s="127"/>
      <c r="AF36" s="127"/>
      <c r="AG36" s="127"/>
      <c r="AH36" s="127"/>
      <c r="AI36" s="127"/>
      <c r="AJ36" s="127"/>
    </row>
    <row r="37" spans="1:52" s="14" customFormat="1" ht="28.5" customHeight="1" x14ac:dyDescent="0.15">
      <c r="A37" s="128" t="s">
        <v>47</v>
      </c>
      <c r="B37" s="129"/>
      <c r="C37" s="129"/>
      <c r="D37" s="129"/>
      <c r="E37" s="129"/>
      <c r="F37" s="129"/>
      <c r="G37" s="129"/>
      <c r="H37" s="129"/>
      <c r="I37" s="129"/>
      <c r="J37" s="129"/>
      <c r="K37" s="129"/>
      <c r="L37" s="129"/>
      <c r="M37" s="129"/>
      <c r="N37" s="129"/>
      <c r="O37" s="129"/>
      <c r="P37" s="129"/>
      <c r="Q37" s="129"/>
      <c r="R37" s="129"/>
      <c r="S37" s="129"/>
      <c r="T37" s="129"/>
      <c r="U37" s="129"/>
      <c r="V37" s="129"/>
      <c r="W37" s="129"/>
      <c r="X37" s="129"/>
      <c r="Y37" s="129"/>
      <c r="Z37" s="129"/>
      <c r="AA37" s="129"/>
      <c r="AB37" s="129"/>
      <c r="AC37" s="129"/>
      <c r="AD37" s="129"/>
      <c r="AE37" s="129"/>
      <c r="AF37" s="129"/>
      <c r="AG37" s="129"/>
      <c r="AH37" s="129"/>
      <c r="AI37" s="129"/>
      <c r="AJ37" s="129"/>
    </row>
    <row r="38" spans="1:52" s="13" customFormat="1" ht="21.75" customHeight="1" x14ac:dyDescent="0.2">
      <c r="A38" s="127" t="str">
        <f>'Данные объект'!C23</f>
        <v>ПАО "Россети Московский регион" ОГРН 1057746555811 ИНН 5036065113 КПП 772501001,115114, город Москва, проезд Павелецкий 2-й, дом 3, строение 2</v>
      </c>
      <c r="B38" s="127"/>
      <c r="C38" s="127"/>
      <c r="D38" s="127"/>
      <c r="E38" s="127"/>
      <c r="F38" s="127"/>
      <c r="G38" s="127"/>
      <c r="H38" s="127"/>
      <c r="I38" s="127"/>
      <c r="J38" s="127"/>
      <c r="K38" s="127"/>
      <c r="L38" s="127"/>
      <c r="M38" s="127"/>
      <c r="N38" s="127"/>
      <c r="O38" s="127"/>
      <c r="P38" s="127"/>
      <c r="Q38" s="127"/>
      <c r="R38" s="127"/>
      <c r="S38" s="127"/>
      <c r="T38" s="127"/>
      <c r="U38" s="127"/>
      <c r="V38" s="127"/>
      <c r="W38" s="127"/>
      <c r="X38" s="127"/>
      <c r="Y38" s="127"/>
      <c r="Z38" s="127"/>
      <c r="AA38" s="127"/>
      <c r="AB38" s="127"/>
      <c r="AC38" s="127"/>
      <c r="AD38" s="127"/>
      <c r="AE38" s="127"/>
      <c r="AF38" s="127"/>
      <c r="AG38" s="127"/>
      <c r="AH38" s="127"/>
      <c r="AI38" s="127"/>
      <c r="AJ38" s="127"/>
    </row>
    <row r="39" spans="1:52" s="14" customFormat="1" ht="25.5" customHeight="1" x14ac:dyDescent="0.2">
      <c r="A39" s="145" t="s">
        <v>48</v>
      </c>
      <c r="B39" s="145"/>
      <c r="C39" s="145"/>
      <c r="D39" s="145"/>
      <c r="E39" s="145"/>
      <c r="F39" s="145"/>
      <c r="G39" s="145"/>
      <c r="H39" s="145"/>
      <c r="I39" s="145"/>
      <c r="J39" s="145"/>
      <c r="K39" s="145"/>
      <c r="L39" s="145"/>
      <c r="M39" s="145"/>
      <c r="N39" s="145"/>
      <c r="O39" s="145"/>
      <c r="P39" s="145"/>
      <c r="Q39" s="145"/>
      <c r="R39" s="145"/>
      <c r="S39" s="145"/>
      <c r="T39" s="145"/>
      <c r="U39" s="145"/>
      <c r="V39" s="145"/>
      <c r="W39" s="145"/>
      <c r="X39" s="145"/>
      <c r="Y39" s="145"/>
      <c r="Z39" s="145"/>
      <c r="AA39" s="145"/>
      <c r="AB39" s="145"/>
      <c r="AC39" s="145"/>
      <c r="AD39" s="145"/>
      <c r="AE39" s="145"/>
      <c r="AF39" s="145"/>
      <c r="AG39" s="145"/>
      <c r="AH39" s="145"/>
      <c r="AI39" s="145"/>
      <c r="AJ39" s="145"/>
      <c r="AZ39" s="13"/>
    </row>
    <row r="40" spans="1:52" s="13" customFormat="1" ht="12" customHeight="1" x14ac:dyDescent="0.2">
      <c r="A40" s="13" t="s">
        <v>25</v>
      </c>
    </row>
    <row r="41" spans="1:52" s="13" customFormat="1" ht="12" customHeight="1" x14ac:dyDescent="0.2">
      <c r="A41" s="139" t="str">
        <f>'Данные объект'!C21</f>
        <v>Прораб ООО"Энергосистемы" Волков М.Ю..Приказ №05-ОТ/24 от 09 января 2024г</v>
      </c>
      <c r="B41" s="139"/>
      <c r="C41" s="139"/>
      <c r="D41" s="139"/>
      <c r="E41" s="139"/>
      <c r="F41" s="139"/>
      <c r="G41" s="139"/>
      <c r="H41" s="139"/>
      <c r="I41" s="139"/>
      <c r="J41" s="139"/>
      <c r="K41" s="139"/>
      <c r="L41" s="139"/>
      <c r="M41" s="139"/>
      <c r="N41" s="139"/>
      <c r="O41" s="139"/>
      <c r="P41" s="139"/>
      <c r="Q41" s="139"/>
      <c r="R41" s="139"/>
      <c r="S41" s="139"/>
      <c r="T41" s="139"/>
      <c r="U41" s="139"/>
      <c r="V41" s="139"/>
      <c r="W41" s="139"/>
      <c r="X41" s="139"/>
      <c r="Y41" s="139"/>
      <c r="Z41" s="139"/>
      <c r="AA41" s="139"/>
      <c r="AB41" s="139"/>
      <c r="AC41" s="139"/>
      <c r="AD41" s="139"/>
      <c r="AE41" s="139"/>
      <c r="AF41" s="139"/>
      <c r="AG41" s="139"/>
      <c r="AH41" s="139"/>
      <c r="AI41" s="139"/>
      <c r="AJ41" s="139"/>
    </row>
    <row r="42" spans="1:52" s="14" customFormat="1" ht="9" customHeight="1" x14ac:dyDescent="0.15">
      <c r="A42" s="128" t="s">
        <v>26</v>
      </c>
      <c r="B42" s="129"/>
      <c r="C42" s="129"/>
      <c r="D42" s="129"/>
      <c r="E42" s="129"/>
      <c r="F42" s="129"/>
      <c r="G42" s="129"/>
      <c r="H42" s="129"/>
      <c r="I42" s="129"/>
      <c r="J42" s="129"/>
      <c r="K42" s="129"/>
      <c r="L42" s="129"/>
      <c r="M42" s="129"/>
      <c r="N42" s="129"/>
      <c r="O42" s="129"/>
      <c r="P42" s="129"/>
      <c r="Q42" s="129"/>
      <c r="R42" s="129"/>
      <c r="S42" s="129"/>
      <c r="T42" s="129"/>
      <c r="U42" s="129"/>
      <c r="V42" s="129"/>
      <c r="W42" s="129"/>
      <c r="X42" s="129"/>
      <c r="Y42" s="129"/>
      <c r="Z42" s="129"/>
      <c r="AA42" s="129"/>
      <c r="AB42" s="129"/>
      <c r="AC42" s="129"/>
      <c r="AD42" s="129"/>
      <c r="AE42" s="129"/>
      <c r="AF42" s="129"/>
      <c r="AG42" s="129"/>
      <c r="AH42" s="129"/>
      <c r="AI42" s="129"/>
      <c r="AJ42" s="129"/>
    </row>
    <row r="43" spans="1:52" s="13" customFormat="1" ht="17.25" customHeight="1" x14ac:dyDescent="0.2">
      <c r="A43" s="126" t="s">
        <v>49</v>
      </c>
      <c r="B43" s="126"/>
      <c r="C43" s="126"/>
      <c r="D43" s="126"/>
      <c r="E43" s="126"/>
      <c r="F43" s="126"/>
      <c r="G43" s="126"/>
      <c r="H43" s="126"/>
      <c r="I43" s="126"/>
      <c r="J43" s="126"/>
      <c r="K43" s="126"/>
      <c r="L43" s="126"/>
      <c r="M43" s="126"/>
      <c r="N43" s="126"/>
      <c r="O43" s="126"/>
      <c r="P43" s="126"/>
      <c r="Q43" s="126"/>
      <c r="R43" s="126"/>
      <c r="S43" s="126"/>
      <c r="T43" s="126"/>
      <c r="U43" s="126"/>
      <c r="V43" s="126"/>
      <c r="W43" s="126"/>
      <c r="X43" s="126"/>
      <c r="Y43" s="126"/>
      <c r="Z43" s="126"/>
      <c r="AA43" s="126"/>
      <c r="AB43" s="126"/>
      <c r="AC43" s="126"/>
      <c r="AD43" s="126"/>
      <c r="AE43" s="126"/>
      <c r="AF43" s="126"/>
      <c r="AG43" s="126"/>
      <c r="AH43" s="126"/>
      <c r="AI43" s="126"/>
      <c r="AJ43" s="126"/>
    </row>
    <row r="44" spans="1:52" s="31" customFormat="1" ht="22.5" customHeight="1" x14ac:dyDescent="0.2">
      <c r="A44" s="127" t="str">
        <f>'Данные объект'!C18</f>
        <v>Инженер по строительному контролю ООО"Энергосистемы" Русин В.А..Приказ № 13-ОТ/25 от 05 мая 2025 (НОСТРОЙ С-50-085497)</v>
      </c>
      <c r="B44" s="127"/>
      <c r="C44" s="127"/>
      <c r="D44" s="127"/>
      <c r="E44" s="127"/>
      <c r="F44" s="127"/>
      <c r="G44" s="127"/>
      <c r="H44" s="127"/>
      <c r="I44" s="127"/>
      <c r="J44" s="127"/>
      <c r="K44" s="127"/>
      <c r="L44" s="127"/>
      <c r="M44" s="127"/>
      <c r="N44" s="127"/>
      <c r="O44" s="127"/>
      <c r="P44" s="127"/>
      <c r="Q44" s="127"/>
      <c r="R44" s="127"/>
      <c r="S44" s="127"/>
      <c r="T44" s="127"/>
      <c r="U44" s="127"/>
      <c r="V44" s="127"/>
      <c r="W44" s="127"/>
      <c r="X44" s="127"/>
      <c r="Y44" s="127"/>
      <c r="Z44" s="127"/>
      <c r="AA44" s="127"/>
      <c r="AB44" s="127"/>
      <c r="AC44" s="127"/>
      <c r="AD44" s="127"/>
      <c r="AE44" s="127"/>
      <c r="AF44" s="127"/>
      <c r="AG44" s="127"/>
      <c r="AH44" s="127"/>
      <c r="AI44" s="127"/>
      <c r="AJ44" s="127"/>
    </row>
    <row r="45" spans="1:52" s="14" customFormat="1" ht="30" customHeight="1" x14ac:dyDescent="0.15">
      <c r="A45" s="128" t="s">
        <v>50</v>
      </c>
      <c r="B45" s="129"/>
      <c r="C45" s="129"/>
      <c r="D45" s="129"/>
      <c r="E45" s="129"/>
      <c r="F45" s="129"/>
      <c r="G45" s="129"/>
      <c r="H45" s="129"/>
      <c r="I45" s="129"/>
      <c r="J45" s="129"/>
      <c r="K45" s="129"/>
      <c r="L45" s="129"/>
      <c r="M45" s="129"/>
      <c r="N45" s="129"/>
      <c r="O45" s="129"/>
      <c r="P45" s="129"/>
      <c r="Q45" s="129"/>
      <c r="R45" s="129"/>
      <c r="S45" s="129"/>
      <c r="T45" s="129"/>
      <c r="U45" s="129"/>
      <c r="V45" s="129"/>
      <c r="W45" s="129"/>
      <c r="X45" s="129"/>
      <c r="Y45" s="129"/>
      <c r="Z45" s="129"/>
      <c r="AA45" s="129"/>
      <c r="AB45" s="129"/>
      <c r="AC45" s="129"/>
      <c r="AD45" s="129"/>
      <c r="AE45" s="129"/>
      <c r="AF45" s="129"/>
      <c r="AG45" s="129"/>
      <c r="AH45" s="129"/>
      <c r="AI45" s="129"/>
      <c r="AJ45" s="129"/>
    </row>
    <row r="46" spans="1:52" s="14" customFormat="1" ht="11.25" x14ac:dyDescent="0.2">
      <c r="A46" s="126" t="s">
        <v>190</v>
      </c>
      <c r="B46" s="126"/>
      <c r="C46" s="126"/>
      <c r="D46" s="126"/>
      <c r="E46" s="126"/>
      <c r="F46" s="126"/>
      <c r="G46" s="126"/>
      <c r="H46" s="126"/>
      <c r="I46" s="126"/>
      <c r="J46" s="126"/>
      <c r="K46" s="126"/>
      <c r="L46" s="126"/>
      <c r="M46" s="126"/>
      <c r="N46" s="126"/>
      <c r="O46" s="126"/>
      <c r="P46" s="126"/>
      <c r="Q46" s="126"/>
      <c r="R46" s="126"/>
      <c r="S46" s="126"/>
      <c r="T46" s="126"/>
      <c r="U46" s="126"/>
      <c r="V46" s="126"/>
      <c r="W46" s="126"/>
      <c r="X46" s="126"/>
      <c r="Y46" s="126"/>
      <c r="Z46" s="126"/>
      <c r="AA46" s="126"/>
      <c r="AB46" s="126"/>
      <c r="AC46" s="126"/>
      <c r="AD46" s="126"/>
      <c r="AE46" s="126"/>
      <c r="AF46" s="126"/>
      <c r="AG46" s="126"/>
      <c r="AH46" s="126"/>
      <c r="AI46" s="126"/>
      <c r="AJ46" s="126"/>
    </row>
    <row r="47" spans="1:52" s="14" customFormat="1" ht="11.25" customHeight="1" x14ac:dyDescent="0.15">
      <c r="A47" s="127" t="str">
        <f>'Данные объект'!$C$36</f>
        <v>Мастер СРЭС СЭС филиала ПАО "Россети Московский регион" Курчин М.М.</v>
      </c>
      <c r="B47" s="127"/>
      <c r="C47" s="127"/>
      <c r="D47" s="127"/>
      <c r="E47" s="127"/>
      <c r="F47" s="127"/>
      <c r="G47" s="127"/>
      <c r="H47" s="127"/>
      <c r="I47" s="127"/>
      <c r="J47" s="127"/>
      <c r="K47" s="127"/>
      <c r="L47" s="127"/>
      <c r="M47" s="127"/>
      <c r="N47" s="127"/>
      <c r="O47" s="127"/>
      <c r="P47" s="127"/>
      <c r="Q47" s="127"/>
      <c r="R47" s="127"/>
      <c r="S47" s="127"/>
      <c r="T47" s="127"/>
      <c r="U47" s="127"/>
      <c r="V47" s="127"/>
      <c r="W47" s="127"/>
      <c r="X47" s="127"/>
      <c r="Y47" s="127"/>
      <c r="Z47" s="127"/>
      <c r="AA47" s="127"/>
      <c r="AB47" s="127"/>
      <c r="AC47" s="127"/>
      <c r="AD47" s="127"/>
      <c r="AE47" s="127"/>
      <c r="AF47" s="127"/>
      <c r="AG47" s="127"/>
      <c r="AH47" s="127"/>
      <c r="AI47" s="127"/>
      <c r="AJ47" s="127"/>
    </row>
    <row r="48" spans="1:52" s="14" customFormat="1" ht="8.25" x14ac:dyDescent="0.15">
      <c r="A48" s="128" t="s">
        <v>26</v>
      </c>
      <c r="B48" s="129"/>
      <c r="C48" s="129"/>
      <c r="D48" s="129"/>
      <c r="E48" s="129"/>
      <c r="F48" s="129"/>
      <c r="G48" s="129"/>
      <c r="H48" s="129"/>
      <c r="I48" s="129"/>
      <c r="J48" s="129"/>
      <c r="K48" s="129"/>
      <c r="L48" s="129"/>
      <c r="M48" s="129"/>
      <c r="N48" s="129"/>
      <c r="O48" s="129"/>
      <c r="P48" s="129"/>
      <c r="Q48" s="129"/>
      <c r="R48" s="129"/>
      <c r="S48" s="129"/>
      <c r="T48" s="129"/>
      <c r="U48" s="129"/>
      <c r="V48" s="129"/>
      <c r="W48" s="129"/>
      <c r="X48" s="129"/>
      <c r="Y48" s="129"/>
      <c r="Z48" s="129"/>
      <c r="AA48" s="129"/>
      <c r="AB48" s="129"/>
      <c r="AC48" s="129"/>
      <c r="AD48" s="129"/>
      <c r="AE48" s="129"/>
      <c r="AF48" s="129"/>
      <c r="AG48" s="129"/>
      <c r="AH48" s="129"/>
      <c r="AI48" s="129"/>
      <c r="AJ48" s="129"/>
    </row>
    <row r="49" spans="1:38" s="13" customFormat="1" ht="35.25" customHeight="1" x14ac:dyDescent="0.2">
      <c r="A49" s="136" t="s">
        <v>51</v>
      </c>
      <c r="B49" s="136"/>
      <c r="C49" s="136"/>
      <c r="D49" s="136"/>
      <c r="E49" s="136"/>
      <c r="F49" s="136"/>
      <c r="G49" s="136"/>
      <c r="H49" s="136"/>
      <c r="I49" s="136"/>
      <c r="J49" s="136"/>
      <c r="K49" s="136"/>
      <c r="L49" s="136"/>
      <c r="M49" s="136"/>
      <c r="N49" s="136"/>
      <c r="O49" s="136"/>
      <c r="P49" s="136"/>
      <c r="Q49" s="136"/>
      <c r="R49" s="136"/>
      <c r="S49" s="136"/>
      <c r="T49" s="136"/>
      <c r="U49" s="136"/>
      <c r="V49" s="136"/>
      <c r="W49" s="136"/>
      <c r="X49" s="136"/>
      <c r="Y49" s="136"/>
      <c r="Z49" s="136"/>
      <c r="AA49" s="136"/>
      <c r="AB49" s="136"/>
      <c r="AC49" s="136"/>
      <c r="AD49" s="136"/>
      <c r="AE49" s="136"/>
      <c r="AF49" s="136"/>
      <c r="AG49" s="136"/>
      <c r="AH49" s="136"/>
      <c r="AI49" s="136"/>
      <c r="AJ49" s="136"/>
    </row>
    <row r="50" spans="1:38" s="31" customFormat="1" ht="12.95" customHeight="1" x14ac:dyDescent="0.2">
      <c r="A50" s="139" t="s">
        <v>74</v>
      </c>
      <c r="B50" s="139"/>
      <c r="C50" s="139"/>
      <c r="D50" s="139"/>
      <c r="E50" s="139"/>
      <c r="F50" s="139"/>
      <c r="G50" s="139"/>
      <c r="H50" s="139"/>
      <c r="I50" s="139"/>
      <c r="J50" s="139"/>
      <c r="K50" s="139"/>
      <c r="L50" s="139"/>
      <c r="M50" s="139"/>
      <c r="N50" s="139"/>
      <c r="O50" s="139"/>
      <c r="P50" s="139"/>
      <c r="Q50" s="139"/>
      <c r="R50" s="139"/>
      <c r="S50" s="139"/>
      <c r="T50" s="139"/>
      <c r="U50" s="139"/>
      <c r="V50" s="139"/>
      <c r="W50" s="139"/>
      <c r="X50" s="139"/>
      <c r="Y50" s="139"/>
      <c r="Z50" s="139"/>
      <c r="AA50" s="139"/>
      <c r="AB50" s="139"/>
      <c r="AC50" s="139"/>
      <c r="AD50" s="139"/>
      <c r="AE50" s="139"/>
      <c r="AF50" s="139"/>
      <c r="AG50" s="139"/>
      <c r="AH50" s="139"/>
      <c r="AI50" s="139"/>
      <c r="AJ50" s="139"/>
    </row>
    <row r="51" spans="1:38" s="14" customFormat="1" ht="29.25" customHeight="1" x14ac:dyDescent="0.15">
      <c r="A51" s="128" t="s">
        <v>52</v>
      </c>
      <c r="B51" s="129"/>
      <c r="C51" s="129"/>
      <c r="D51" s="129"/>
      <c r="E51" s="129"/>
      <c r="F51" s="129"/>
      <c r="G51" s="129"/>
      <c r="H51" s="129"/>
      <c r="I51" s="129"/>
      <c r="J51" s="129"/>
      <c r="K51" s="129"/>
      <c r="L51" s="129"/>
      <c r="M51" s="129"/>
      <c r="N51" s="129"/>
      <c r="O51" s="129"/>
      <c r="P51" s="129"/>
      <c r="Q51" s="129"/>
      <c r="R51" s="129"/>
      <c r="S51" s="129"/>
      <c r="T51" s="129"/>
      <c r="U51" s="129"/>
      <c r="V51" s="129"/>
      <c r="W51" s="129"/>
      <c r="X51" s="129"/>
      <c r="Y51" s="129"/>
      <c r="Z51" s="129"/>
      <c r="AA51" s="129"/>
      <c r="AB51" s="129"/>
      <c r="AC51" s="129"/>
      <c r="AD51" s="129"/>
      <c r="AE51" s="129"/>
      <c r="AF51" s="129"/>
      <c r="AG51" s="129"/>
      <c r="AH51" s="129"/>
      <c r="AI51" s="129"/>
      <c r="AJ51" s="129"/>
    </row>
    <row r="52" spans="1:38" s="13" customFormat="1" ht="25.5" hidden="1" customHeight="1" x14ac:dyDescent="0.2">
      <c r="A52" s="136" t="s">
        <v>53</v>
      </c>
      <c r="B52" s="136"/>
      <c r="C52" s="136"/>
      <c r="D52" s="136"/>
      <c r="E52" s="136"/>
      <c r="F52" s="136"/>
      <c r="G52" s="136"/>
      <c r="H52" s="136"/>
      <c r="I52" s="136"/>
      <c r="J52" s="136"/>
      <c r="K52" s="136"/>
      <c r="L52" s="136"/>
      <c r="M52" s="136"/>
      <c r="N52" s="136"/>
      <c r="O52" s="136"/>
      <c r="P52" s="136"/>
      <c r="Q52" s="136"/>
      <c r="R52" s="136"/>
      <c r="S52" s="136"/>
      <c r="T52" s="136"/>
      <c r="U52" s="136"/>
      <c r="V52" s="136"/>
      <c r="W52" s="136"/>
      <c r="X52" s="136"/>
      <c r="Y52" s="136"/>
      <c r="Z52" s="136"/>
      <c r="AA52" s="136"/>
      <c r="AB52" s="136"/>
      <c r="AC52" s="136"/>
      <c r="AD52" s="136"/>
      <c r="AE52" s="136"/>
      <c r="AF52" s="136"/>
      <c r="AG52" s="136"/>
      <c r="AH52" s="136"/>
      <c r="AI52" s="136"/>
      <c r="AJ52" s="136"/>
    </row>
    <row r="53" spans="1:38" s="13" customFormat="1" ht="12" hidden="1" customHeight="1" x14ac:dyDescent="0.2">
      <c r="A53" s="127" t="e">
        <f>CONCATENATE(#REF!,", ",#REF!," - ",#REF!)</f>
        <v>#REF!</v>
      </c>
      <c r="B53" s="127"/>
      <c r="C53" s="127"/>
      <c r="D53" s="127"/>
      <c r="E53" s="127"/>
      <c r="F53" s="127"/>
      <c r="G53" s="127"/>
      <c r="H53" s="127"/>
      <c r="I53" s="127"/>
      <c r="J53" s="127"/>
      <c r="K53" s="127"/>
      <c r="L53" s="127"/>
      <c r="M53" s="127"/>
      <c r="N53" s="127"/>
      <c r="O53" s="127"/>
      <c r="P53" s="127"/>
      <c r="Q53" s="127"/>
      <c r="R53" s="127"/>
      <c r="S53" s="127"/>
      <c r="T53" s="127"/>
      <c r="U53" s="127"/>
      <c r="V53" s="127"/>
      <c r="W53" s="127"/>
      <c r="X53" s="127"/>
      <c r="Y53" s="127"/>
      <c r="Z53" s="127"/>
      <c r="AA53" s="127"/>
      <c r="AB53" s="127"/>
      <c r="AC53" s="127"/>
      <c r="AD53" s="127"/>
      <c r="AE53" s="127"/>
      <c r="AF53" s="127"/>
      <c r="AG53" s="127"/>
      <c r="AH53" s="127"/>
      <c r="AI53" s="127"/>
      <c r="AJ53" s="127"/>
    </row>
    <row r="54" spans="1:38" s="14" customFormat="1" ht="9.75" hidden="1" customHeight="1" x14ac:dyDescent="0.15">
      <c r="A54" s="128" t="s">
        <v>29</v>
      </c>
      <c r="B54" s="129"/>
      <c r="C54" s="129"/>
      <c r="D54" s="129"/>
      <c r="E54" s="129"/>
      <c r="F54" s="129"/>
      <c r="G54" s="129"/>
      <c r="H54" s="129"/>
      <c r="I54" s="129"/>
      <c r="J54" s="129"/>
      <c r="K54" s="129"/>
      <c r="L54" s="129"/>
      <c r="M54" s="129"/>
      <c r="N54" s="129"/>
      <c r="O54" s="129"/>
      <c r="P54" s="129"/>
      <c r="Q54" s="129"/>
      <c r="R54" s="129"/>
      <c r="S54" s="129"/>
      <c r="T54" s="129"/>
      <c r="U54" s="129"/>
      <c r="V54" s="129"/>
      <c r="W54" s="129"/>
      <c r="X54" s="129"/>
      <c r="Y54" s="129"/>
      <c r="Z54" s="129"/>
      <c r="AA54" s="129"/>
      <c r="AB54" s="129"/>
      <c r="AC54" s="129"/>
      <c r="AD54" s="129"/>
      <c r="AE54" s="129"/>
      <c r="AF54" s="129"/>
      <c r="AG54" s="129"/>
      <c r="AH54" s="129"/>
      <c r="AI54" s="129"/>
      <c r="AJ54" s="129"/>
    </row>
    <row r="55" spans="1:38" s="13" customFormat="1" ht="12" hidden="1" customHeight="1" x14ac:dyDescent="0.2">
      <c r="A55" s="127"/>
      <c r="B55" s="127"/>
      <c r="C55" s="127"/>
      <c r="D55" s="127"/>
      <c r="E55" s="127"/>
      <c r="F55" s="127"/>
      <c r="G55" s="127"/>
      <c r="H55" s="127"/>
      <c r="I55" s="127"/>
      <c r="J55" s="127"/>
      <c r="K55" s="127"/>
      <c r="L55" s="127"/>
      <c r="M55" s="127"/>
      <c r="N55" s="127"/>
      <c r="O55" s="127"/>
      <c r="P55" s="127"/>
      <c r="Q55" s="127"/>
      <c r="R55" s="127"/>
      <c r="S55" s="127"/>
      <c r="T55" s="127"/>
      <c r="U55" s="127"/>
      <c r="V55" s="127"/>
      <c r="W55" s="127"/>
      <c r="X55" s="127"/>
      <c r="Y55" s="127"/>
      <c r="Z55" s="127"/>
      <c r="AA55" s="127"/>
      <c r="AB55" s="127"/>
      <c r="AC55" s="127"/>
      <c r="AD55" s="127"/>
      <c r="AE55" s="127"/>
      <c r="AF55" s="127"/>
      <c r="AG55" s="127"/>
      <c r="AH55" s="127"/>
      <c r="AI55" s="127"/>
      <c r="AJ55" s="127"/>
    </row>
    <row r="56" spans="1:38" s="14" customFormat="1" ht="16.5" hidden="1" customHeight="1" x14ac:dyDescent="0.15">
      <c r="A56" s="128" t="s">
        <v>54</v>
      </c>
      <c r="B56" s="128"/>
      <c r="C56" s="128"/>
      <c r="D56" s="128"/>
      <c r="E56" s="128"/>
      <c r="F56" s="128"/>
      <c r="G56" s="128"/>
      <c r="H56" s="128"/>
      <c r="I56" s="128"/>
      <c r="J56" s="128"/>
      <c r="K56" s="128"/>
      <c r="L56" s="128"/>
      <c r="M56" s="128"/>
      <c r="N56" s="128"/>
      <c r="O56" s="128"/>
      <c r="P56" s="128"/>
      <c r="Q56" s="128"/>
      <c r="R56" s="128"/>
      <c r="S56" s="128"/>
      <c r="T56" s="128"/>
      <c r="U56" s="128"/>
      <c r="V56" s="128"/>
      <c r="W56" s="128"/>
      <c r="X56" s="128"/>
      <c r="Y56" s="128"/>
      <c r="Z56" s="128"/>
      <c r="AA56" s="128"/>
      <c r="AB56" s="128"/>
      <c r="AC56" s="128"/>
      <c r="AD56" s="128"/>
      <c r="AE56" s="128"/>
      <c r="AF56" s="128"/>
      <c r="AG56" s="128"/>
      <c r="AH56" s="128"/>
      <c r="AI56" s="128"/>
      <c r="AJ56" s="128"/>
    </row>
    <row r="57" spans="1:38" s="13" customFormat="1" ht="12" customHeight="1" x14ac:dyDescent="0.2">
      <c r="A57" s="13" t="s">
        <v>16</v>
      </c>
    </row>
    <row r="58" spans="1:38" s="13" customFormat="1" ht="12.95" customHeight="1" x14ac:dyDescent="0.2">
      <c r="A58" s="130" t="str">
        <f>'Данные объект'!B11</f>
        <v>ООО"Энергосистемы"</v>
      </c>
      <c r="B58" s="130"/>
      <c r="C58" s="130"/>
      <c r="D58" s="130"/>
      <c r="E58" s="130"/>
      <c r="F58" s="130"/>
      <c r="G58" s="130"/>
      <c r="H58" s="130"/>
      <c r="I58" s="130"/>
      <c r="J58" s="130"/>
      <c r="K58" s="130"/>
      <c r="L58" s="130"/>
      <c r="M58" s="130"/>
      <c r="N58" s="130"/>
      <c r="O58" s="130"/>
      <c r="P58" s="130"/>
      <c r="Q58" s="130"/>
      <c r="R58" s="130"/>
      <c r="S58" s="130"/>
      <c r="T58" s="130"/>
      <c r="U58" s="130"/>
      <c r="V58" s="130"/>
      <c r="W58" s="130"/>
      <c r="X58" s="130"/>
      <c r="Y58" s="130"/>
      <c r="Z58" s="130"/>
      <c r="AA58" s="130"/>
      <c r="AB58" s="130"/>
      <c r="AC58" s="130"/>
      <c r="AD58" s="130"/>
      <c r="AE58" s="130"/>
      <c r="AF58" s="130"/>
      <c r="AG58" s="130"/>
      <c r="AH58" s="130"/>
      <c r="AI58" s="130"/>
      <c r="AJ58" s="130"/>
    </row>
    <row r="59" spans="1:38" s="14" customFormat="1" ht="10.5" customHeight="1" x14ac:dyDescent="0.15">
      <c r="A59" s="134" t="s">
        <v>38</v>
      </c>
      <c r="B59" s="134"/>
      <c r="C59" s="134"/>
      <c r="D59" s="134"/>
      <c r="E59" s="134"/>
      <c r="F59" s="134"/>
      <c r="G59" s="134"/>
      <c r="H59" s="134"/>
      <c r="I59" s="134"/>
      <c r="J59" s="134"/>
      <c r="K59" s="134"/>
      <c r="L59" s="134"/>
      <c r="M59" s="134"/>
      <c r="N59" s="134"/>
      <c r="O59" s="134"/>
      <c r="P59" s="134"/>
      <c r="Q59" s="134"/>
      <c r="R59" s="134"/>
      <c r="S59" s="134"/>
      <c r="T59" s="134"/>
      <c r="U59" s="134"/>
      <c r="V59" s="134"/>
      <c r="W59" s="134"/>
      <c r="X59" s="134"/>
      <c r="Y59" s="134"/>
      <c r="Z59" s="134"/>
      <c r="AA59" s="134"/>
      <c r="AB59" s="134"/>
      <c r="AC59" s="134"/>
      <c r="AD59" s="134"/>
      <c r="AE59" s="134"/>
      <c r="AF59" s="134"/>
      <c r="AG59" s="134"/>
      <c r="AH59" s="134"/>
      <c r="AI59" s="134"/>
      <c r="AJ59" s="134"/>
    </row>
    <row r="60" spans="1:38" s="13" customFormat="1" ht="12" customHeight="1" x14ac:dyDescent="0.2">
      <c r="A60" s="13" t="s">
        <v>15</v>
      </c>
    </row>
    <row r="61" spans="1:38" s="13" customFormat="1" ht="12" customHeight="1" x14ac:dyDescent="0.2">
      <c r="A61" s="13" t="s">
        <v>30</v>
      </c>
      <c r="AA61" s="66"/>
      <c r="AB61" s="66"/>
      <c r="AC61" s="66"/>
      <c r="AD61" s="66"/>
      <c r="AE61" s="66"/>
      <c r="AF61" s="66"/>
      <c r="AG61" s="66"/>
      <c r="AH61" s="66"/>
      <c r="AI61" s="66"/>
      <c r="AJ61" s="66"/>
    </row>
    <row r="62" spans="1:38" s="13" customFormat="1" ht="12" customHeight="1" x14ac:dyDescent="0.2">
      <c r="A62" s="146" t="str">
        <f>'АОСР-6'!A86:AJ86</f>
        <v>Обратная засыпка грунтом</v>
      </c>
      <c r="B62" s="146"/>
      <c r="C62" s="146"/>
      <c r="D62" s="146"/>
      <c r="E62" s="146"/>
      <c r="F62" s="146"/>
      <c r="G62" s="146"/>
      <c r="H62" s="146"/>
      <c r="I62" s="146"/>
      <c r="J62" s="146"/>
      <c r="K62" s="146"/>
      <c r="L62" s="146"/>
      <c r="M62" s="146"/>
      <c r="N62" s="146"/>
      <c r="O62" s="146"/>
      <c r="P62" s="146"/>
      <c r="Q62" s="146"/>
      <c r="R62" s="146"/>
      <c r="S62" s="146"/>
      <c r="T62" s="138" t="str">
        <f>'АОСР-1'!O62</f>
        <v>КЛ-10кВ</v>
      </c>
      <c r="U62" s="138"/>
      <c r="V62" s="138"/>
      <c r="W62" s="97" t="s">
        <v>176</v>
      </c>
      <c r="X62" s="138">
        <f>42.26+1.37+2.55</f>
        <v>46.179999999999993</v>
      </c>
      <c r="Y62" s="138"/>
      <c r="Z62" s="138"/>
      <c r="AA62" s="138" t="s">
        <v>82</v>
      </c>
      <c r="AB62" s="138"/>
      <c r="AC62" s="74"/>
      <c r="AD62" s="74"/>
      <c r="AE62" s="74"/>
      <c r="AF62" s="141"/>
      <c r="AG62" s="141"/>
      <c r="AH62" s="141"/>
      <c r="AI62" s="141"/>
      <c r="AJ62" s="141"/>
      <c r="AK62" s="64"/>
      <c r="AL62" s="64"/>
    </row>
    <row r="63" spans="1:38" s="14" customFormat="1" ht="8.25" customHeight="1" x14ac:dyDescent="0.15">
      <c r="A63" s="128" t="s">
        <v>14</v>
      </c>
      <c r="B63" s="129"/>
      <c r="C63" s="129"/>
      <c r="D63" s="129"/>
      <c r="E63" s="129"/>
      <c r="F63" s="129"/>
      <c r="G63" s="129"/>
      <c r="H63" s="129"/>
      <c r="I63" s="129"/>
      <c r="J63" s="129"/>
      <c r="K63" s="129"/>
      <c r="L63" s="129"/>
      <c r="M63" s="129"/>
      <c r="N63" s="129"/>
      <c r="O63" s="129"/>
      <c r="P63" s="129"/>
      <c r="Q63" s="129"/>
      <c r="R63" s="129"/>
      <c r="S63" s="129"/>
      <c r="T63" s="129"/>
      <c r="U63" s="129"/>
      <c r="V63" s="129"/>
      <c r="W63" s="129"/>
      <c r="X63" s="129"/>
      <c r="Y63" s="129"/>
      <c r="Z63" s="129"/>
      <c r="AA63" s="129"/>
      <c r="AB63" s="129"/>
      <c r="AC63" s="129"/>
      <c r="AD63" s="129"/>
      <c r="AE63" s="129"/>
      <c r="AF63" s="129"/>
      <c r="AG63" s="129"/>
      <c r="AH63" s="129"/>
      <c r="AI63" s="129"/>
      <c r="AJ63" s="129"/>
    </row>
    <row r="64" spans="1:38" s="13" customFormat="1" ht="12" customHeight="1" x14ac:dyDescent="0.2">
      <c r="A64" s="13" t="s">
        <v>13</v>
      </c>
    </row>
    <row r="65" spans="1:36" s="13" customFormat="1" ht="12" customHeight="1" x14ac:dyDescent="0.2">
      <c r="A65" s="127" t="str">
        <f>'Данные объект'!B43</f>
        <v>4609-305042-221-10/24</v>
      </c>
      <c r="B65" s="127"/>
      <c r="C65" s="127"/>
      <c r="D65" s="127"/>
      <c r="E65" s="127"/>
      <c r="F65" s="127"/>
      <c r="G65" s="127"/>
      <c r="H65" s="127"/>
      <c r="I65" s="127"/>
      <c r="J65" s="127"/>
      <c r="K65" s="127"/>
      <c r="L65" s="127"/>
      <c r="M65" s="127"/>
      <c r="N65" s="127"/>
      <c r="O65" s="127"/>
      <c r="P65" s="127"/>
      <c r="Q65" s="127"/>
      <c r="R65" s="127"/>
      <c r="S65" s="127"/>
      <c r="T65" s="127"/>
      <c r="U65" s="127"/>
      <c r="V65" s="127"/>
      <c r="W65" s="127"/>
      <c r="X65" s="127"/>
      <c r="Y65" s="127"/>
      <c r="Z65" s="127"/>
      <c r="AA65" s="127"/>
      <c r="AB65" s="127"/>
      <c r="AC65" s="127"/>
      <c r="AD65" s="127"/>
      <c r="AE65" s="127"/>
      <c r="AF65" s="127"/>
      <c r="AG65" s="127"/>
      <c r="AH65" s="127"/>
      <c r="AI65" s="127"/>
      <c r="AJ65" s="127"/>
    </row>
    <row r="66" spans="1:36" s="14" customFormat="1" ht="15" customHeight="1" x14ac:dyDescent="0.15">
      <c r="A66" s="128" t="s">
        <v>39</v>
      </c>
      <c r="B66" s="129"/>
      <c r="C66" s="129"/>
      <c r="D66" s="129"/>
      <c r="E66" s="129"/>
      <c r="F66" s="129"/>
      <c r="G66" s="129"/>
      <c r="H66" s="129"/>
      <c r="I66" s="129"/>
      <c r="J66" s="129"/>
      <c r="K66" s="129"/>
      <c r="L66" s="129"/>
      <c r="M66" s="129"/>
      <c r="N66" s="129"/>
      <c r="O66" s="129"/>
      <c r="P66" s="129"/>
      <c r="Q66" s="129"/>
      <c r="R66" s="129"/>
      <c r="S66" s="129"/>
      <c r="T66" s="129"/>
      <c r="U66" s="129"/>
      <c r="V66" s="129"/>
      <c r="W66" s="129"/>
      <c r="X66" s="129"/>
      <c r="Y66" s="129"/>
      <c r="Z66" s="129"/>
      <c r="AA66" s="129"/>
      <c r="AB66" s="129"/>
      <c r="AC66" s="129"/>
      <c r="AD66" s="129"/>
      <c r="AE66" s="129"/>
      <c r="AF66" s="129"/>
      <c r="AG66" s="129"/>
      <c r="AH66" s="129"/>
      <c r="AI66" s="129"/>
      <c r="AJ66" s="129"/>
    </row>
    <row r="67" spans="1:36" s="13" customFormat="1" ht="12" customHeight="1" x14ac:dyDescent="0.2">
      <c r="A67" s="13" t="s">
        <v>12</v>
      </c>
      <c r="P67" s="130"/>
      <c r="Q67" s="130"/>
      <c r="R67" s="130"/>
      <c r="S67" s="130"/>
      <c r="T67" s="130"/>
      <c r="U67" s="130"/>
      <c r="V67" s="130"/>
      <c r="W67" s="130"/>
      <c r="X67" s="130"/>
      <c r="Y67" s="130"/>
      <c r="Z67" s="130"/>
      <c r="AA67" s="130"/>
      <c r="AB67" s="130"/>
      <c r="AC67" s="130"/>
      <c r="AD67" s="130"/>
      <c r="AE67" s="130"/>
      <c r="AF67" s="130"/>
      <c r="AG67" s="130"/>
      <c r="AH67" s="130"/>
      <c r="AI67" s="130"/>
      <c r="AJ67" s="130"/>
    </row>
    <row r="68" spans="1:36" s="18" customFormat="1" ht="7.5" customHeight="1" x14ac:dyDescent="0.15">
      <c r="A68" s="19"/>
      <c r="B68" s="19"/>
      <c r="C68" s="19"/>
      <c r="D68" s="19"/>
      <c r="E68" s="19"/>
      <c r="F68" s="19"/>
      <c r="G68" s="19"/>
      <c r="H68" s="19"/>
      <c r="I68" s="19"/>
      <c r="J68" s="19"/>
      <c r="K68" s="19"/>
      <c r="L68" s="19"/>
      <c r="M68" s="19"/>
      <c r="N68" s="19"/>
      <c r="O68" s="19"/>
      <c r="P68" s="135" t="s">
        <v>55</v>
      </c>
      <c r="Q68" s="135"/>
      <c r="R68" s="135"/>
      <c r="S68" s="135"/>
      <c r="T68" s="135"/>
      <c r="U68" s="135"/>
      <c r="V68" s="135"/>
      <c r="W68" s="135"/>
      <c r="X68" s="135"/>
      <c r="Y68" s="135"/>
      <c r="Z68" s="135"/>
      <c r="AA68" s="135"/>
      <c r="AB68" s="135"/>
      <c r="AC68" s="135"/>
      <c r="AD68" s="135"/>
      <c r="AE68" s="135"/>
      <c r="AF68" s="135"/>
      <c r="AG68" s="135"/>
      <c r="AH68" s="135"/>
      <c r="AI68" s="135"/>
      <c r="AJ68" s="135"/>
    </row>
    <row r="69" spans="1:36" s="13" customFormat="1" ht="12" customHeight="1" x14ac:dyDescent="0.2">
      <c r="A69" s="71"/>
      <c r="B69" s="71"/>
      <c r="C69" s="71"/>
      <c r="D69" s="71"/>
      <c r="E69" s="71"/>
      <c r="F69" s="71"/>
      <c r="G69" s="71"/>
      <c r="H69" s="71"/>
      <c r="I69" s="71"/>
      <c r="J69" s="71"/>
      <c r="K69" s="71"/>
      <c r="L69" s="71"/>
      <c r="M69" s="71"/>
      <c r="N69" s="71"/>
      <c r="O69" s="71"/>
      <c r="P69" s="71"/>
      <c r="Q69" s="71"/>
      <c r="R69" s="71"/>
      <c r="S69" s="71"/>
      <c r="T69" s="71"/>
      <c r="U69" s="71"/>
      <c r="V69" s="71"/>
      <c r="W69" s="71"/>
      <c r="X69" s="71"/>
      <c r="Y69" s="71"/>
      <c r="Z69" s="71"/>
      <c r="AA69" s="71"/>
      <c r="AB69" s="71"/>
      <c r="AC69" s="71"/>
      <c r="AD69" s="71"/>
      <c r="AE69" s="71"/>
      <c r="AF69" s="71"/>
      <c r="AG69" s="71"/>
      <c r="AH69" s="71"/>
      <c r="AI69" s="34"/>
      <c r="AJ69" s="34"/>
    </row>
    <row r="70" spans="1:36" s="14" customFormat="1" ht="18.75" customHeight="1" x14ac:dyDescent="0.15">
      <c r="A70" s="128" t="s">
        <v>56</v>
      </c>
      <c r="B70" s="129"/>
      <c r="C70" s="129"/>
      <c r="D70" s="129"/>
      <c r="E70" s="129"/>
      <c r="F70" s="129"/>
      <c r="G70" s="129"/>
      <c r="H70" s="129"/>
      <c r="I70" s="129"/>
      <c r="J70" s="129"/>
      <c r="K70" s="129"/>
      <c r="L70" s="129"/>
      <c r="M70" s="129"/>
      <c r="N70" s="129"/>
      <c r="O70" s="129"/>
      <c r="P70" s="129"/>
      <c r="Q70" s="129"/>
      <c r="R70" s="129"/>
      <c r="S70" s="129"/>
      <c r="T70" s="129"/>
      <c r="U70" s="129"/>
      <c r="V70" s="129"/>
      <c r="W70" s="129"/>
      <c r="X70" s="129"/>
      <c r="Y70" s="129"/>
      <c r="Z70" s="129"/>
      <c r="AA70" s="129"/>
      <c r="AB70" s="129"/>
      <c r="AC70" s="129"/>
      <c r="AD70" s="129"/>
      <c r="AE70" s="129"/>
      <c r="AF70" s="129"/>
      <c r="AG70" s="129"/>
      <c r="AH70" s="129"/>
      <c r="AI70" s="129"/>
      <c r="AJ70" s="129"/>
    </row>
    <row r="71" spans="1:36" s="13" customFormat="1" ht="12" customHeight="1" x14ac:dyDescent="0.2">
      <c r="A71" s="13" t="s">
        <v>11</v>
      </c>
    </row>
    <row r="72" spans="1:36" s="13" customFormat="1" ht="12" customHeight="1" x14ac:dyDescent="0.2">
      <c r="A72" s="13" t="s">
        <v>10</v>
      </c>
      <c r="G72" s="130" t="s">
        <v>89</v>
      </c>
      <c r="H72" s="130"/>
      <c r="I72" s="130"/>
      <c r="J72" s="130"/>
      <c r="K72" s="130"/>
      <c r="L72" s="130"/>
      <c r="M72" s="130"/>
      <c r="N72" s="130"/>
      <c r="O72" s="130"/>
      <c r="P72" s="130"/>
      <c r="Q72" s="130"/>
      <c r="R72" s="130"/>
      <c r="S72" s="130"/>
      <c r="T72" s="130"/>
      <c r="U72" s="130"/>
      <c r="V72" s="25" t="s">
        <v>88</v>
      </c>
      <c r="W72" s="130"/>
      <c r="X72" s="130"/>
      <c r="Y72" s="130"/>
      <c r="Z72" s="130"/>
      <c r="AA72" s="130"/>
      <c r="AB72" s="130"/>
      <c r="AC72" s="130"/>
      <c r="AD72" s="130"/>
      <c r="AE72" s="130"/>
      <c r="AF72" s="130"/>
      <c r="AG72" s="130"/>
      <c r="AH72" s="130"/>
      <c r="AI72" s="130"/>
      <c r="AJ72" s="130"/>
    </row>
    <row r="73" spans="1:36" s="14" customFormat="1" ht="7.5" customHeight="1" x14ac:dyDescent="0.15">
      <c r="A73" s="133"/>
      <c r="B73" s="133"/>
      <c r="C73" s="20"/>
      <c r="D73" s="20"/>
      <c r="E73" s="20"/>
      <c r="F73" s="20"/>
      <c r="G73" s="129" t="s">
        <v>9</v>
      </c>
      <c r="H73" s="129"/>
      <c r="I73" s="129"/>
      <c r="J73" s="129"/>
      <c r="K73" s="129"/>
      <c r="L73" s="129"/>
      <c r="M73" s="129"/>
      <c r="N73" s="129"/>
      <c r="O73" s="129"/>
      <c r="P73" s="129"/>
      <c r="Q73" s="129"/>
      <c r="R73" s="129"/>
      <c r="S73" s="129"/>
      <c r="T73" s="129"/>
      <c r="U73" s="129"/>
      <c r="V73" s="129"/>
      <c r="W73" s="129"/>
      <c r="X73" s="129"/>
      <c r="Y73" s="129"/>
      <c r="Z73" s="129"/>
      <c r="AA73" s="129"/>
      <c r="AB73" s="129"/>
      <c r="AC73" s="129"/>
      <c r="AD73" s="129"/>
      <c r="AE73" s="129"/>
      <c r="AF73" s="129"/>
      <c r="AG73" s="129"/>
      <c r="AH73" s="129"/>
      <c r="AI73" s="129"/>
      <c r="AJ73" s="129"/>
    </row>
    <row r="74" spans="1:36" s="13" customFormat="1" ht="12" customHeight="1" x14ac:dyDescent="0.2">
      <c r="A74" s="130"/>
      <c r="B74" s="130"/>
      <c r="C74" s="130"/>
      <c r="D74" s="130"/>
      <c r="E74" s="130"/>
      <c r="F74" s="130"/>
      <c r="G74" s="130"/>
      <c r="H74" s="130"/>
      <c r="I74" s="130"/>
      <c r="J74" s="130"/>
      <c r="K74" s="130"/>
      <c r="L74" s="130"/>
      <c r="M74" s="130"/>
      <c r="N74" s="130"/>
      <c r="O74" s="130"/>
      <c r="P74" s="130"/>
      <c r="Q74" s="130"/>
      <c r="R74" s="130"/>
      <c r="S74" s="130"/>
      <c r="T74" s="130"/>
      <c r="U74" s="130"/>
      <c r="V74" s="130"/>
      <c r="W74" s="130"/>
      <c r="X74" s="130"/>
      <c r="Y74" s="130"/>
      <c r="Z74" s="130"/>
      <c r="AA74" s="130"/>
      <c r="AB74" s="130"/>
      <c r="AC74" s="130"/>
      <c r="AD74" s="130"/>
      <c r="AE74" s="130"/>
      <c r="AF74" s="130"/>
      <c r="AG74" s="130"/>
      <c r="AH74" s="130"/>
      <c r="AI74" s="130"/>
      <c r="AJ74" s="130"/>
    </row>
    <row r="75" spans="1:36" s="14" customFormat="1" ht="7.5" customHeight="1" x14ac:dyDescent="0.15">
      <c r="A75" s="128" t="s">
        <v>31</v>
      </c>
      <c r="B75" s="129"/>
      <c r="C75" s="129"/>
      <c r="D75" s="129"/>
      <c r="E75" s="129"/>
      <c r="F75" s="129"/>
      <c r="G75" s="129"/>
      <c r="H75" s="129"/>
      <c r="I75" s="129"/>
      <c r="J75" s="129"/>
      <c r="K75" s="129"/>
      <c r="L75" s="129"/>
      <c r="M75" s="129"/>
      <c r="N75" s="129"/>
      <c r="O75" s="129"/>
      <c r="P75" s="129"/>
      <c r="Q75" s="129"/>
      <c r="R75" s="129"/>
      <c r="S75" s="129"/>
      <c r="T75" s="129"/>
      <c r="U75" s="129"/>
      <c r="V75" s="129"/>
      <c r="W75" s="129"/>
      <c r="X75" s="129"/>
      <c r="Y75" s="129"/>
      <c r="Z75" s="129"/>
      <c r="AA75" s="129"/>
      <c r="AB75" s="129"/>
      <c r="AC75" s="129"/>
      <c r="AD75" s="129"/>
      <c r="AE75" s="129"/>
      <c r="AF75" s="129"/>
      <c r="AG75" s="129"/>
      <c r="AH75" s="129"/>
      <c r="AI75" s="129"/>
      <c r="AJ75" s="129"/>
    </row>
    <row r="76" spans="1:36" ht="9" customHeight="1" x14ac:dyDescent="0.25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9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  <c r="AC76" s="8"/>
      <c r="AD76" s="8"/>
      <c r="AE76" s="8"/>
      <c r="AF76" s="8"/>
      <c r="AG76" s="8"/>
      <c r="AH76" s="8"/>
      <c r="AI76" s="8"/>
      <c r="AJ76" s="8"/>
    </row>
    <row r="77" spans="1:36" s="13" customFormat="1" ht="12" customHeight="1" x14ac:dyDescent="0.2">
      <c r="A77" s="13" t="s">
        <v>8</v>
      </c>
      <c r="D77" s="28"/>
      <c r="E77" s="28"/>
      <c r="F77" s="28"/>
      <c r="G77" s="28"/>
      <c r="L77" s="21"/>
      <c r="M77" s="32"/>
      <c r="N77" s="32"/>
      <c r="P77" s="131">
        <f>'Данные объект'!B6</f>
        <v>45695</v>
      </c>
      <c r="Q77" s="131"/>
      <c r="R77" s="131"/>
      <c r="S77" s="131"/>
      <c r="T77" s="131"/>
      <c r="U77" s="131"/>
      <c r="V77" s="131"/>
      <c r="W77" s="131"/>
      <c r="X77" s="13" t="s">
        <v>6</v>
      </c>
    </row>
    <row r="78" spans="1:36" s="13" customFormat="1" ht="12" customHeight="1" x14ac:dyDescent="0.2">
      <c r="A78" s="13" t="s">
        <v>7</v>
      </c>
      <c r="D78" s="28"/>
      <c r="E78" s="28"/>
      <c r="F78" s="28"/>
      <c r="G78" s="28"/>
      <c r="L78" s="21"/>
      <c r="M78" s="32"/>
      <c r="N78" s="32"/>
      <c r="P78" s="132">
        <f>'Данные объект'!B7</f>
        <v>45819</v>
      </c>
      <c r="Q78" s="132"/>
      <c r="R78" s="132"/>
      <c r="S78" s="132"/>
      <c r="T78" s="132"/>
      <c r="U78" s="132"/>
      <c r="V78" s="132"/>
      <c r="W78" s="132"/>
      <c r="X78" s="13" t="s">
        <v>6</v>
      </c>
    </row>
    <row r="79" spans="1:36" ht="7.5" customHeight="1" x14ac:dyDescent="0.25">
      <c r="A79" s="7"/>
      <c r="B79" s="7"/>
      <c r="C79" s="7"/>
      <c r="D79" s="10"/>
      <c r="E79" s="10"/>
      <c r="F79" s="10"/>
      <c r="G79" s="10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</row>
    <row r="80" spans="1:36" s="13" customFormat="1" ht="12" customHeight="1" x14ac:dyDescent="0.2">
      <c r="A80" s="13" t="s">
        <v>5</v>
      </c>
    </row>
    <row r="81" spans="1:36" s="13" customFormat="1" ht="12" customHeight="1" x14ac:dyDescent="0.2">
      <c r="A81" s="137" t="s">
        <v>103</v>
      </c>
      <c r="B81" s="137"/>
      <c r="C81" s="137"/>
      <c r="D81" s="137"/>
      <c r="E81" s="137"/>
      <c r="F81" s="137"/>
      <c r="G81" s="137"/>
      <c r="H81" s="137"/>
      <c r="I81" s="137"/>
      <c r="J81" s="137"/>
      <c r="K81" s="137"/>
      <c r="L81" s="137"/>
      <c r="M81" s="137"/>
      <c r="N81" s="137"/>
      <c r="O81" s="137"/>
      <c r="P81" s="137"/>
      <c r="Q81" s="137"/>
      <c r="R81" s="137"/>
      <c r="S81" s="137"/>
      <c r="T81" s="137"/>
      <c r="U81" s="137"/>
      <c r="V81" s="137"/>
      <c r="W81" s="137"/>
      <c r="X81" s="137"/>
      <c r="Y81" s="137"/>
      <c r="Z81" s="137"/>
      <c r="AA81" s="137"/>
      <c r="AB81" s="137"/>
      <c r="AC81" s="137"/>
      <c r="AD81" s="137"/>
      <c r="AE81" s="137"/>
      <c r="AF81" s="137"/>
      <c r="AG81" s="137"/>
      <c r="AH81" s="137"/>
      <c r="AI81" s="137"/>
      <c r="AJ81" s="137"/>
    </row>
    <row r="82" spans="1:36" s="14" customFormat="1" ht="8.25" customHeight="1" x14ac:dyDescent="0.15">
      <c r="A82" s="128" t="s">
        <v>4</v>
      </c>
      <c r="B82" s="129"/>
      <c r="C82" s="129"/>
      <c r="D82" s="129"/>
      <c r="E82" s="129"/>
      <c r="F82" s="129"/>
      <c r="G82" s="129"/>
      <c r="H82" s="129"/>
      <c r="I82" s="129"/>
      <c r="J82" s="129"/>
      <c r="K82" s="129"/>
      <c r="L82" s="129"/>
      <c r="M82" s="129"/>
      <c r="N82" s="129"/>
      <c r="O82" s="129"/>
      <c r="P82" s="129"/>
      <c r="Q82" s="129"/>
      <c r="R82" s="129"/>
      <c r="S82" s="129"/>
      <c r="T82" s="129"/>
      <c r="U82" s="129"/>
      <c r="V82" s="129"/>
      <c r="W82" s="129"/>
      <c r="X82" s="129"/>
      <c r="Y82" s="129"/>
      <c r="Z82" s="129"/>
      <c r="AA82" s="129"/>
      <c r="AB82" s="129"/>
      <c r="AC82" s="129"/>
      <c r="AD82" s="129"/>
      <c r="AE82" s="129"/>
      <c r="AF82" s="129"/>
      <c r="AG82" s="129"/>
      <c r="AH82" s="129"/>
      <c r="AI82" s="129"/>
      <c r="AJ82" s="129"/>
    </row>
    <row r="83" spans="1:36" s="13" customFormat="1" ht="12" customHeight="1" x14ac:dyDescent="0.2">
      <c r="A83" s="130"/>
      <c r="B83" s="130"/>
      <c r="C83" s="130"/>
      <c r="D83" s="130"/>
      <c r="E83" s="130"/>
      <c r="F83" s="130"/>
      <c r="G83" s="130"/>
      <c r="H83" s="130"/>
      <c r="I83" s="130"/>
      <c r="J83" s="130"/>
      <c r="K83" s="130"/>
      <c r="L83" s="130"/>
      <c r="M83" s="130"/>
      <c r="N83" s="130"/>
      <c r="O83" s="130"/>
      <c r="P83" s="130"/>
      <c r="Q83" s="130"/>
      <c r="R83" s="130"/>
      <c r="S83" s="130"/>
      <c r="T83" s="130"/>
      <c r="U83" s="130"/>
      <c r="V83" s="130"/>
      <c r="W83" s="130"/>
      <c r="X83" s="130"/>
      <c r="Y83" s="130"/>
      <c r="Z83" s="130"/>
      <c r="AA83" s="130"/>
      <c r="AB83" s="130"/>
      <c r="AC83" s="130"/>
      <c r="AD83" s="130"/>
      <c r="AE83" s="130"/>
      <c r="AF83" s="130"/>
      <c r="AG83" s="130"/>
      <c r="AH83" s="130"/>
      <c r="AI83" s="130"/>
      <c r="AJ83" s="130"/>
    </row>
    <row r="84" spans="1:36" s="14" customFormat="1" ht="8.25" customHeight="1" x14ac:dyDescent="0.15">
      <c r="A84" s="128" t="s">
        <v>57</v>
      </c>
      <c r="B84" s="129"/>
      <c r="C84" s="129"/>
      <c r="D84" s="129"/>
      <c r="E84" s="129"/>
      <c r="F84" s="129"/>
      <c r="G84" s="129"/>
      <c r="H84" s="129"/>
      <c r="I84" s="129"/>
      <c r="J84" s="129"/>
      <c r="K84" s="129"/>
      <c r="L84" s="129"/>
      <c r="M84" s="129"/>
      <c r="N84" s="129"/>
      <c r="O84" s="129"/>
      <c r="P84" s="129"/>
      <c r="Q84" s="129"/>
      <c r="R84" s="129"/>
      <c r="S84" s="129"/>
      <c r="T84" s="129"/>
      <c r="U84" s="129"/>
      <c r="V84" s="129"/>
      <c r="W84" s="129"/>
      <c r="X84" s="129"/>
      <c r="Y84" s="129"/>
      <c r="Z84" s="129"/>
      <c r="AA84" s="129"/>
      <c r="AB84" s="129"/>
      <c r="AC84" s="129"/>
      <c r="AD84" s="129"/>
      <c r="AE84" s="129"/>
      <c r="AF84" s="129"/>
      <c r="AG84" s="129"/>
      <c r="AH84" s="129"/>
      <c r="AI84" s="129"/>
      <c r="AJ84" s="129"/>
    </row>
    <row r="85" spans="1:36" s="13" customFormat="1" ht="12" customHeight="1" x14ac:dyDescent="0.2">
      <c r="A85" s="13" t="s">
        <v>3</v>
      </c>
    </row>
    <row r="86" spans="1:36" s="13" customFormat="1" ht="12" customHeight="1" x14ac:dyDescent="0.2">
      <c r="A86" s="130"/>
      <c r="B86" s="130"/>
      <c r="C86" s="130"/>
      <c r="D86" s="130"/>
      <c r="E86" s="130"/>
      <c r="F86" s="130"/>
      <c r="G86" s="130"/>
      <c r="H86" s="130"/>
      <c r="I86" s="130"/>
      <c r="J86" s="130"/>
      <c r="K86" s="130"/>
      <c r="L86" s="130"/>
      <c r="M86" s="130"/>
      <c r="N86" s="130"/>
      <c r="O86" s="130"/>
      <c r="P86" s="130"/>
      <c r="Q86" s="130"/>
      <c r="R86" s="130"/>
      <c r="S86" s="130"/>
      <c r="T86" s="130"/>
      <c r="U86" s="130"/>
      <c r="V86" s="130"/>
      <c r="W86" s="130"/>
      <c r="X86" s="130"/>
      <c r="Y86" s="130"/>
      <c r="Z86" s="130"/>
      <c r="AA86" s="130"/>
      <c r="AB86" s="130"/>
      <c r="AC86" s="130"/>
      <c r="AD86" s="130"/>
      <c r="AE86" s="130"/>
      <c r="AF86" s="130"/>
      <c r="AG86" s="130"/>
      <c r="AH86" s="130"/>
      <c r="AI86" s="130"/>
      <c r="AJ86" s="130"/>
    </row>
    <row r="87" spans="1:36" s="14" customFormat="1" ht="9" customHeight="1" x14ac:dyDescent="0.15">
      <c r="A87" s="128" t="s">
        <v>32</v>
      </c>
      <c r="B87" s="129"/>
      <c r="C87" s="129"/>
      <c r="D87" s="129"/>
      <c r="E87" s="129"/>
      <c r="F87" s="129"/>
      <c r="G87" s="129"/>
      <c r="H87" s="129"/>
      <c r="I87" s="129"/>
      <c r="J87" s="129"/>
      <c r="K87" s="129"/>
      <c r="L87" s="129"/>
      <c r="M87" s="129"/>
      <c r="N87" s="129"/>
      <c r="O87" s="129"/>
      <c r="P87" s="129"/>
      <c r="Q87" s="129"/>
      <c r="R87" s="129"/>
      <c r="S87" s="129"/>
      <c r="T87" s="129"/>
      <c r="U87" s="129"/>
      <c r="V87" s="129"/>
      <c r="W87" s="129"/>
      <c r="X87" s="129"/>
      <c r="Y87" s="129"/>
      <c r="Z87" s="129"/>
      <c r="AA87" s="129"/>
      <c r="AB87" s="129"/>
      <c r="AC87" s="129"/>
      <c r="AD87" s="129"/>
      <c r="AE87" s="129"/>
      <c r="AF87" s="129"/>
      <c r="AG87" s="129"/>
      <c r="AH87" s="129"/>
      <c r="AI87" s="129"/>
      <c r="AJ87" s="129"/>
    </row>
    <row r="88" spans="1:36" s="13" customFormat="1" ht="12" customHeight="1" x14ac:dyDescent="0.2">
      <c r="A88" s="13" t="s">
        <v>2</v>
      </c>
      <c r="L88" s="130"/>
      <c r="M88" s="130"/>
      <c r="N88" s="130"/>
      <c r="O88" s="130"/>
      <c r="P88" s="130"/>
      <c r="Q88" s="130"/>
      <c r="R88" s="130"/>
      <c r="S88" s="130"/>
      <c r="T88" s="130"/>
      <c r="U88" s="130"/>
      <c r="V88" s="130"/>
      <c r="W88" s="130"/>
      <c r="X88" s="130"/>
      <c r="Y88" s="130"/>
      <c r="Z88" s="130"/>
      <c r="AA88" s="130"/>
      <c r="AB88" s="130"/>
      <c r="AC88" s="130"/>
      <c r="AD88" s="130"/>
      <c r="AE88" s="130"/>
      <c r="AF88" s="130"/>
      <c r="AG88" s="130"/>
      <c r="AH88" s="130"/>
      <c r="AI88" s="130"/>
      <c r="AJ88" s="130"/>
    </row>
    <row r="89" spans="1:36" ht="6" customHeight="1" x14ac:dyDescent="0.25">
      <c r="A89" s="4"/>
      <c r="B89" s="4"/>
      <c r="C89" s="4"/>
      <c r="D89" s="11"/>
      <c r="E89" s="11"/>
      <c r="F89" s="11"/>
      <c r="G89" s="11"/>
      <c r="H89" s="11"/>
      <c r="I89" s="11"/>
      <c r="J89" s="11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</row>
    <row r="90" spans="1:36" s="13" customFormat="1" ht="12" customHeight="1" x14ac:dyDescent="0.2">
      <c r="A90" s="13" t="s">
        <v>87</v>
      </c>
      <c r="H90" s="130"/>
      <c r="I90" s="130"/>
      <c r="J90" s="13" t="s">
        <v>33</v>
      </c>
    </row>
    <row r="91" spans="1:36" ht="4.5" customHeight="1" x14ac:dyDescent="0.25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</row>
    <row r="92" spans="1:36" s="13" customFormat="1" ht="12" customHeight="1" x14ac:dyDescent="0.2">
      <c r="A92" s="13" t="s">
        <v>1</v>
      </c>
    </row>
    <row r="93" spans="1:36" s="13" customFormat="1" ht="12" customHeight="1" x14ac:dyDescent="0.2">
      <c r="A93" s="25" t="s">
        <v>83</v>
      </c>
      <c r="B93" s="25" t="str">
        <f>G72</f>
        <v>Исполнителная схема устройства траншеи</v>
      </c>
      <c r="C93" s="25"/>
      <c r="D93" s="25"/>
      <c r="E93" s="25"/>
      <c r="F93" s="25"/>
      <c r="G93" s="25"/>
      <c r="H93" s="25"/>
      <c r="I93" s="25"/>
      <c r="J93" s="25"/>
      <c r="K93" s="25"/>
      <c r="L93" s="26"/>
      <c r="M93" s="25"/>
      <c r="N93" s="25"/>
      <c r="O93" s="25"/>
      <c r="P93" s="26" t="s">
        <v>74</v>
      </c>
      <c r="Q93" s="25" t="s">
        <v>84</v>
      </c>
      <c r="R93" s="25"/>
      <c r="S93" s="25"/>
      <c r="T93" s="25"/>
      <c r="U93" s="25"/>
      <c r="V93" s="25"/>
      <c r="W93" s="25"/>
      <c r="X93" s="25"/>
      <c r="Y93" s="25"/>
      <c r="Z93" s="25"/>
      <c r="AA93" s="25"/>
      <c r="AB93" s="25"/>
      <c r="AC93" s="25"/>
      <c r="AD93" s="25"/>
      <c r="AE93" s="25"/>
      <c r="AF93" s="25"/>
      <c r="AG93" s="25"/>
      <c r="AH93" s="25"/>
      <c r="AI93" s="25"/>
      <c r="AJ93" s="25"/>
    </row>
    <row r="94" spans="1:36" s="14" customFormat="1" ht="9.75" customHeight="1" x14ac:dyDescent="0.15">
      <c r="A94" s="128" t="s">
        <v>0</v>
      </c>
      <c r="B94" s="129"/>
      <c r="C94" s="129"/>
      <c r="D94" s="129"/>
      <c r="E94" s="129"/>
      <c r="F94" s="129"/>
      <c r="G94" s="129"/>
      <c r="H94" s="129"/>
      <c r="I94" s="129"/>
      <c r="J94" s="129"/>
      <c r="K94" s="129"/>
      <c r="L94" s="129"/>
      <c r="M94" s="129"/>
      <c r="N94" s="129"/>
      <c r="O94" s="129"/>
      <c r="P94" s="129"/>
      <c r="Q94" s="129"/>
      <c r="R94" s="129"/>
      <c r="S94" s="129"/>
      <c r="T94" s="129"/>
      <c r="U94" s="129"/>
      <c r="V94" s="129"/>
      <c r="W94" s="129"/>
      <c r="X94" s="129"/>
      <c r="Y94" s="129"/>
      <c r="Z94" s="129"/>
      <c r="AA94" s="129"/>
      <c r="AB94" s="129"/>
      <c r="AC94" s="129"/>
      <c r="AD94" s="129"/>
      <c r="AE94" s="129"/>
      <c r="AF94" s="129"/>
      <c r="AG94" s="129"/>
      <c r="AH94" s="129"/>
      <c r="AI94" s="129"/>
      <c r="AJ94" s="129"/>
    </row>
    <row r="95" spans="1:36" ht="6.75" customHeight="1" x14ac:dyDescent="0.25">
      <c r="A95" s="12"/>
      <c r="B95" s="12"/>
      <c r="C95" s="12"/>
      <c r="D95" s="12"/>
      <c r="E95" s="12"/>
      <c r="F95" s="12"/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2"/>
      <c r="AA95" s="12"/>
      <c r="AB95" s="12"/>
      <c r="AC95" s="12"/>
      <c r="AD95" s="12"/>
      <c r="AE95" s="12"/>
      <c r="AF95" s="12"/>
      <c r="AG95" s="12"/>
      <c r="AH95" s="12"/>
      <c r="AI95" s="12"/>
      <c r="AJ95" s="12"/>
    </row>
    <row r="96" spans="1:36" s="13" customFormat="1" ht="12" customHeight="1" x14ac:dyDescent="0.2">
      <c r="A96" s="13" t="s">
        <v>23</v>
      </c>
    </row>
    <row r="97" spans="1:36" s="13" customFormat="1" ht="12" customHeight="1" x14ac:dyDescent="0.2">
      <c r="A97" s="13" t="s">
        <v>24</v>
      </c>
    </row>
    <row r="98" spans="1:36" s="13" customFormat="1" ht="12" customHeight="1" x14ac:dyDescent="0.2">
      <c r="A98" s="130" t="str">
        <f>'Данные объект'!B33</f>
        <v>Алексанян Г.Р.</v>
      </c>
      <c r="B98" s="130"/>
      <c r="C98" s="130"/>
      <c r="D98" s="130"/>
      <c r="E98" s="130"/>
      <c r="F98" s="130"/>
      <c r="G98" s="130"/>
      <c r="H98" s="130"/>
      <c r="I98" s="130"/>
      <c r="J98" s="130"/>
      <c r="K98" s="130"/>
      <c r="L98" s="130"/>
      <c r="M98" s="130"/>
      <c r="N98" s="130"/>
      <c r="O98" s="130"/>
      <c r="P98" s="32"/>
      <c r="Q98" s="32"/>
      <c r="R98" s="32"/>
      <c r="S98" s="32"/>
      <c r="T98" s="32"/>
      <c r="U98" s="32"/>
      <c r="V98" s="32"/>
      <c r="W98" s="32"/>
      <c r="X98" s="32"/>
      <c r="Y98" s="32"/>
      <c r="Z98" s="32"/>
      <c r="AA98" s="32"/>
      <c r="AB98" s="130"/>
      <c r="AC98" s="130"/>
      <c r="AD98" s="130"/>
      <c r="AE98" s="130"/>
      <c r="AF98" s="130"/>
      <c r="AG98" s="130"/>
      <c r="AH98" s="130"/>
      <c r="AI98" s="130"/>
      <c r="AJ98" s="130"/>
    </row>
    <row r="99" spans="1:36" s="14" customFormat="1" ht="9" customHeight="1" x14ac:dyDescent="0.15">
      <c r="A99" s="134" t="s">
        <v>35</v>
      </c>
      <c r="B99" s="134"/>
      <c r="C99" s="134"/>
      <c r="D99" s="134"/>
      <c r="E99" s="134"/>
      <c r="F99" s="134"/>
      <c r="G99" s="134"/>
      <c r="H99" s="134"/>
      <c r="I99" s="134"/>
      <c r="J99" s="134"/>
      <c r="K99" s="134"/>
      <c r="L99" s="134"/>
      <c r="M99" s="134"/>
      <c r="N99" s="134"/>
      <c r="O99" s="134"/>
      <c r="P99" s="17"/>
      <c r="Q99" s="17"/>
      <c r="R99" s="17"/>
      <c r="S99" s="17"/>
      <c r="T99" s="17"/>
      <c r="U99" s="18"/>
      <c r="V99" s="18"/>
      <c r="W99" s="18"/>
      <c r="X99" s="18"/>
      <c r="Y99" s="18"/>
      <c r="Z99" s="18"/>
      <c r="AA99" s="18"/>
      <c r="AB99" s="135" t="s">
        <v>34</v>
      </c>
      <c r="AC99" s="135"/>
      <c r="AD99" s="135"/>
      <c r="AE99" s="135"/>
      <c r="AF99" s="135"/>
      <c r="AG99" s="135"/>
      <c r="AH99" s="135"/>
      <c r="AI99" s="135"/>
      <c r="AJ99" s="135"/>
    </row>
    <row r="100" spans="1:36" s="13" customFormat="1" ht="12" customHeight="1" x14ac:dyDescent="0.2">
      <c r="A100" s="13" t="s">
        <v>25</v>
      </c>
    </row>
    <row r="101" spans="1:36" s="13" customFormat="1" ht="12" customHeight="1" x14ac:dyDescent="0.2">
      <c r="A101" s="130" t="str">
        <f>'Данные объект'!B20</f>
        <v>Волков М.Ю.</v>
      </c>
      <c r="B101" s="130"/>
      <c r="C101" s="130"/>
      <c r="D101" s="130"/>
      <c r="E101" s="130"/>
      <c r="F101" s="130"/>
      <c r="G101" s="130"/>
      <c r="H101" s="130"/>
      <c r="I101" s="130"/>
      <c r="J101" s="130"/>
      <c r="K101" s="130"/>
      <c r="L101" s="130"/>
      <c r="M101" s="130"/>
      <c r="N101" s="130"/>
      <c r="O101" s="130"/>
      <c r="P101" s="32"/>
      <c r="Q101" s="32"/>
      <c r="R101" s="32"/>
      <c r="S101" s="32"/>
      <c r="T101" s="32"/>
      <c r="U101" s="32"/>
      <c r="V101" s="32"/>
      <c r="W101" s="32"/>
      <c r="X101" s="32"/>
      <c r="Y101" s="32"/>
      <c r="Z101" s="32"/>
      <c r="AA101" s="32"/>
      <c r="AB101" s="130"/>
      <c r="AC101" s="130"/>
      <c r="AD101" s="130"/>
      <c r="AE101" s="130"/>
      <c r="AF101" s="130"/>
      <c r="AG101" s="130"/>
      <c r="AH101" s="130"/>
      <c r="AI101" s="130"/>
      <c r="AJ101" s="130"/>
    </row>
    <row r="102" spans="1:36" s="14" customFormat="1" ht="9" customHeight="1" x14ac:dyDescent="0.15">
      <c r="A102" s="134" t="s">
        <v>35</v>
      </c>
      <c r="B102" s="134"/>
      <c r="C102" s="134"/>
      <c r="D102" s="134"/>
      <c r="E102" s="134"/>
      <c r="F102" s="134"/>
      <c r="G102" s="134"/>
      <c r="H102" s="134"/>
      <c r="I102" s="134"/>
      <c r="J102" s="134"/>
      <c r="K102" s="134"/>
      <c r="L102" s="134"/>
      <c r="M102" s="134"/>
      <c r="N102" s="134"/>
      <c r="O102" s="134"/>
      <c r="P102" s="17"/>
      <c r="Q102" s="17"/>
      <c r="R102" s="17"/>
      <c r="S102" s="17"/>
      <c r="T102" s="17"/>
      <c r="U102" s="18"/>
      <c r="V102" s="18"/>
      <c r="W102" s="18"/>
      <c r="X102" s="18"/>
      <c r="Y102" s="18"/>
      <c r="Z102" s="18"/>
      <c r="AA102" s="18"/>
      <c r="AB102" s="135" t="s">
        <v>34</v>
      </c>
      <c r="AC102" s="135"/>
      <c r="AD102" s="135"/>
      <c r="AE102" s="135"/>
      <c r="AF102" s="135"/>
      <c r="AG102" s="135"/>
      <c r="AH102" s="135"/>
      <c r="AI102" s="135"/>
      <c r="AJ102" s="135"/>
    </row>
    <row r="103" spans="1:36" s="13" customFormat="1" ht="12" customHeight="1" x14ac:dyDescent="0.2">
      <c r="A103" s="13" t="s">
        <v>27</v>
      </c>
    </row>
    <row r="104" spans="1:36" s="13" customFormat="1" ht="12" customHeight="1" x14ac:dyDescent="0.2">
      <c r="A104" s="13" t="s">
        <v>28</v>
      </c>
    </row>
    <row r="105" spans="1:36" s="13" customFormat="1" ht="12" customHeight="1" x14ac:dyDescent="0.2">
      <c r="A105" s="130" t="str">
        <f>'Данные объект'!B17</f>
        <v>Русин В.А.</v>
      </c>
      <c r="B105" s="130"/>
      <c r="C105" s="130"/>
      <c r="D105" s="130"/>
      <c r="E105" s="130"/>
      <c r="F105" s="130"/>
      <c r="G105" s="130"/>
      <c r="H105" s="130"/>
      <c r="I105" s="130"/>
      <c r="J105" s="130"/>
      <c r="K105" s="130"/>
      <c r="L105" s="130"/>
      <c r="M105" s="130"/>
      <c r="N105" s="130"/>
      <c r="O105" s="130"/>
      <c r="P105" s="32"/>
      <c r="Q105" s="32"/>
      <c r="R105" s="32"/>
      <c r="S105" s="32"/>
      <c r="T105" s="32"/>
      <c r="U105" s="32"/>
      <c r="V105" s="32"/>
      <c r="W105" s="32"/>
      <c r="X105" s="32"/>
      <c r="Y105" s="32"/>
      <c r="Z105" s="32"/>
      <c r="AA105" s="32"/>
      <c r="AB105" s="130"/>
      <c r="AC105" s="130"/>
      <c r="AD105" s="130"/>
      <c r="AE105" s="130"/>
      <c r="AF105" s="130"/>
      <c r="AG105" s="130"/>
      <c r="AH105" s="130"/>
      <c r="AI105" s="130"/>
      <c r="AJ105" s="130"/>
    </row>
    <row r="106" spans="1:36" s="14" customFormat="1" ht="9" customHeight="1" x14ac:dyDescent="0.15">
      <c r="A106" s="134" t="s">
        <v>35</v>
      </c>
      <c r="B106" s="134"/>
      <c r="C106" s="134"/>
      <c r="D106" s="134"/>
      <c r="E106" s="134"/>
      <c r="F106" s="134"/>
      <c r="G106" s="134"/>
      <c r="H106" s="134"/>
      <c r="I106" s="134"/>
      <c r="J106" s="134"/>
      <c r="K106" s="134"/>
      <c r="L106" s="134"/>
      <c r="M106" s="134"/>
      <c r="N106" s="134"/>
      <c r="O106" s="134"/>
      <c r="P106" s="17"/>
      <c r="Q106" s="17"/>
      <c r="R106" s="17"/>
      <c r="S106" s="17"/>
      <c r="T106" s="17"/>
      <c r="U106" s="18"/>
      <c r="V106" s="18"/>
      <c r="W106" s="18"/>
      <c r="X106" s="18"/>
      <c r="Y106" s="18"/>
      <c r="Z106" s="18"/>
      <c r="AA106" s="18"/>
      <c r="AB106" s="135" t="s">
        <v>34</v>
      </c>
      <c r="AC106" s="135"/>
      <c r="AD106" s="135"/>
      <c r="AE106" s="135"/>
      <c r="AF106" s="135"/>
      <c r="AG106" s="135"/>
      <c r="AH106" s="135"/>
      <c r="AI106" s="135"/>
      <c r="AJ106" s="135"/>
    </row>
    <row r="107" spans="1:36" s="14" customFormat="1" ht="11.25" x14ac:dyDescent="0.2">
      <c r="A107" s="13" t="s">
        <v>191</v>
      </c>
      <c r="B107" s="86"/>
      <c r="C107" s="86"/>
      <c r="D107" s="86"/>
      <c r="E107" s="86"/>
      <c r="F107" s="86"/>
      <c r="G107" s="86"/>
      <c r="H107" s="86"/>
      <c r="I107" s="86"/>
      <c r="J107" s="86"/>
      <c r="K107" s="86"/>
      <c r="L107" s="86"/>
      <c r="M107" s="86"/>
      <c r="N107" s="86"/>
      <c r="O107" s="86"/>
      <c r="P107" s="95"/>
      <c r="Q107" s="95"/>
      <c r="R107" s="95"/>
      <c r="S107" s="95"/>
      <c r="T107" s="95"/>
      <c r="U107" s="96"/>
      <c r="V107" s="96"/>
      <c r="W107" s="96"/>
      <c r="X107" s="96"/>
      <c r="Y107" s="96"/>
      <c r="Z107" s="96"/>
      <c r="AA107" s="96"/>
      <c r="AB107" s="87"/>
      <c r="AC107" s="87"/>
      <c r="AD107" s="87"/>
      <c r="AE107" s="87"/>
      <c r="AF107" s="87"/>
      <c r="AG107" s="87"/>
      <c r="AH107" s="87"/>
      <c r="AI107" s="87"/>
      <c r="AJ107" s="87"/>
    </row>
    <row r="108" spans="1:36" s="14" customFormat="1" ht="11.25" x14ac:dyDescent="0.2">
      <c r="A108" s="130" t="str">
        <f>'Данные объект'!$B$36</f>
        <v>Курчин М.М.</v>
      </c>
      <c r="B108" s="130"/>
      <c r="C108" s="130"/>
      <c r="D108" s="130"/>
      <c r="E108" s="130"/>
      <c r="F108" s="130"/>
      <c r="G108" s="130"/>
      <c r="H108" s="130"/>
      <c r="I108" s="130"/>
      <c r="J108" s="130"/>
      <c r="K108" s="130"/>
      <c r="L108" s="130"/>
      <c r="M108" s="130"/>
      <c r="N108" s="130"/>
      <c r="O108" s="130"/>
      <c r="P108" s="95"/>
      <c r="Q108" s="95"/>
      <c r="R108" s="95"/>
      <c r="S108" s="95"/>
      <c r="T108" s="95"/>
      <c r="U108" s="96"/>
      <c r="V108" s="96"/>
      <c r="W108" s="96"/>
      <c r="X108" s="96"/>
      <c r="Y108" s="96"/>
      <c r="Z108" s="96"/>
      <c r="AA108" s="96"/>
      <c r="AB108" s="130"/>
      <c r="AC108" s="130"/>
      <c r="AD108" s="130"/>
      <c r="AE108" s="130"/>
      <c r="AF108" s="130"/>
      <c r="AG108" s="130"/>
      <c r="AH108" s="130"/>
      <c r="AI108" s="130"/>
      <c r="AJ108" s="130"/>
    </row>
    <row r="109" spans="1:36" s="14" customFormat="1" ht="9" customHeight="1" x14ac:dyDescent="0.15">
      <c r="A109" s="134" t="s">
        <v>35</v>
      </c>
      <c r="B109" s="134"/>
      <c r="C109" s="134"/>
      <c r="D109" s="134"/>
      <c r="E109" s="134"/>
      <c r="F109" s="134"/>
      <c r="G109" s="134"/>
      <c r="H109" s="134"/>
      <c r="I109" s="134"/>
      <c r="J109" s="134"/>
      <c r="K109" s="134"/>
      <c r="L109" s="134"/>
      <c r="M109" s="134"/>
      <c r="N109" s="134"/>
      <c r="O109" s="134"/>
      <c r="P109" s="95"/>
      <c r="Q109" s="95"/>
      <c r="R109" s="95"/>
      <c r="S109" s="95"/>
      <c r="T109" s="95"/>
      <c r="U109" s="96"/>
      <c r="V109" s="96"/>
      <c r="W109" s="96"/>
      <c r="X109" s="96"/>
      <c r="Y109" s="96"/>
      <c r="Z109" s="96"/>
      <c r="AA109" s="96"/>
      <c r="AB109" s="135" t="s">
        <v>34</v>
      </c>
      <c r="AC109" s="135"/>
      <c r="AD109" s="135"/>
      <c r="AE109" s="135"/>
      <c r="AF109" s="135"/>
      <c r="AG109" s="135"/>
      <c r="AH109" s="135"/>
      <c r="AI109" s="135"/>
      <c r="AJ109" s="135"/>
    </row>
    <row r="110" spans="1:36" s="13" customFormat="1" ht="38.25" customHeight="1" x14ac:dyDescent="0.2">
      <c r="A110" s="136" t="s">
        <v>51</v>
      </c>
      <c r="B110" s="136"/>
      <c r="C110" s="136"/>
      <c r="D110" s="136"/>
      <c r="E110" s="136"/>
      <c r="F110" s="136"/>
      <c r="G110" s="136"/>
      <c r="H110" s="136"/>
      <c r="I110" s="136"/>
      <c r="J110" s="136"/>
      <c r="K110" s="136"/>
      <c r="L110" s="136"/>
      <c r="M110" s="136"/>
      <c r="N110" s="136"/>
      <c r="O110" s="136"/>
      <c r="P110" s="136"/>
      <c r="Q110" s="136"/>
      <c r="R110" s="136"/>
      <c r="S110" s="136"/>
      <c r="T110" s="136"/>
      <c r="U110" s="136"/>
      <c r="V110" s="136"/>
      <c r="W110" s="136"/>
      <c r="X110" s="136"/>
      <c r="Y110" s="136"/>
      <c r="Z110" s="136"/>
      <c r="AA110" s="136"/>
      <c r="AB110" s="136"/>
      <c r="AC110" s="136"/>
      <c r="AD110" s="136"/>
      <c r="AE110" s="136"/>
      <c r="AF110" s="136"/>
      <c r="AG110" s="136"/>
      <c r="AH110" s="136"/>
      <c r="AI110" s="136"/>
      <c r="AJ110" s="136"/>
    </row>
    <row r="111" spans="1:36" s="13" customFormat="1" ht="12" customHeight="1" x14ac:dyDescent="0.2">
      <c r="A111" s="130" t="s">
        <v>74</v>
      </c>
      <c r="B111" s="130"/>
      <c r="C111" s="130"/>
      <c r="D111" s="130"/>
      <c r="E111" s="130"/>
      <c r="F111" s="130"/>
      <c r="G111" s="130"/>
      <c r="H111" s="130"/>
      <c r="I111" s="130"/>
      <c r="J111" s="130"/>
      <c r="K111" s="130"/>
      <c r="L111" s="130"/>
      <c r="M111" s="130"/>
      <c r="N111" s="130"/>
      <c r="O111" s="130"/>
      <c r="P111" s="32"/>
      <c r="Q111" s="32"/>
      <c r="R111" s="32"/>
      <c r="S111" s="32"/>
      <c r="T111" s="32"/>
      <c r="U111" s="32"/>
      <c r="V111" s="32"/>
      <c r="W111" s="32"/>
      <c r="X111" s="32"/>
      <c r="Y111" s="32"/>
      <c r="Z111" s="32"/>
      <c r="AA111" s="32"/>
      <c r="AB111" s="130" t="s">
        <v>74</v>
      </c>
      <c r="AC111" s="130"/>
      <c r="AD111" s="130"/>
      <c r="AE111" s="130"/>
      <c r="AF111" s="130"/>
      <c r="AG111" s="130"/>
      <c r="AH111" s="130"/>
      <c r="AI111" s="130"/>
      <c r="AJ111" s="130"/>
    </row>
    <row r="112" spans="1:36" s="14" customFormat="1" ht="9" customHeight="1" x14ac:dyDescent="0.15">
      <c r="A112" s="134" t="s">
        <v>35</v>
      </c>
      <c r="B112" s="134"/>
      <c r="C112" s="134"/>
      <c r="D112" s="134"/>
      <c r="E112" s="134"/>
      <c r="F112" s="134"/>
      <c r="G112" s="134"/>
      <c r="H112" s="134"/>
      <c r="I112" s="134"/>
      <c r="J112" s="134"/>
      <c r="K112" s="134"/>
      <c r="L112" s="134"/>
      <c r="M112" s="134"/>
      <c r="N112" s="134"/>
      <c r="O112" s="134"/>
      <c r="P112" s="17"/>
      <c r="Q112" s="17"/>
      <c r="R112" s="17"/>
      <c r="S112" s="17"/>
      <c r="T112" s="17"/>
      <c r="U112" s="18"/>
      <c r="V112" s="18"/>
      <c r="W112" s="18"/>
      <c r="X112" s="18"/>
      <c r="Y112" s="18"/>
      <c r="Z112" s="18"/>
      <c r="AA112" s="18"/>
      <c r="AB112" s="135" t="s">
        <v>34</v>
      </c>
      <c r="AC112" s="135"/>
      <c r="AD112" s="135"/>
      <c r="AE112" s="135"/>
      <c r="AF112" s="135"/>
      <c r="AG112" s="135"/>
      <c r="AH112" s="135"/>
      <c r="AI112" s="135"/>
      <c r="AJ112" s="135"/>
    </row>
    <row r="113" spans="1:36" s="13" customFormat="1" ht="24.75" hidden="1" customHeight="1" x14ac:dyDescent="0.2">
      <c r="A113" s="136" t="s">
        <v>53</v>
      </c>
      <c r="B113" s="136"/>
      <c r="C113" s="136"/>
      <c r="D113" s="136"/>
      <c r="E113" s="136"/>
      <c r="F113" s="136"/>
      <c r="G113" s="136"/>
      <c r="H113" s="136"/>
      <c r="I113" s="136"/>
      <c r="J113" s="136"/>
      <c r="K113" s="136"/>
      <c r="L113" s="136"/>
      <c r="M113" s="136"/>
      <c r="N113" s="136"/>
      <c r="O113" s="136"/>
      <c r="P113" s="136"/>
      <c r="Q113" s="136"/>
      <c r="R113" s="136"/>
      <c r="S113" s="136"/>
      <c r="T113" s="136"/>
      <c r="U113" s="136"/>
      <c r="V113" s="136"/>
      <c r="W113" s="136"/>
      <c r="X113" s="136"/>
      <c r="Y113" s="136"/>
      <c r="Z113" s="136"/>
      <c r="AA113" s="136"/>
      <c r="AB113" s="136"/>
      <c r="AC113" s="136"/>
      <c r="AD113" s="136"/>
      <c r="AE113" s="136"/>
      <c r="AF113" s="136"/>
      <c r="AG113" s="136"/>
      <c r="AH113" s="136"/>
      <c r="AI113" s="136"/>
      <c r="AJ113" s="136"/>
    </row>
    <row r="114" spans="1:36" s="13" customFormat="1" ht="12" hidden="1" customHeight="1" x14ac:dyDescent="0.2">
      <c r="A114" s="130" t="e">
        <f>#REF!</f>
        <v>#REF!</v>
      </c>
      <c r="B114" s="130"/>
      <c r="C114" s="130"/>
      <c r="D114" s="130"/>
      <c r="E114" s="130"/>
      <c r="F114" s="130"/>
      <c r="G114" s="130"/>
      <c r="H114" s="130"/>
      <c r="I114" s="130"/>
      <c r="J114" s="130"/>
      <c r="K114" s="130"/>
      <c r="L114" s="130"/>
      <c r="M114" s="130"/>
      <c r="N114" s="130"/>
      <c r="O114" s="130"/>
      <c r="P114" s="32"/>
      <c r="Q114" s="32"/>
      <c r="R114" s="32"/>
      <c r="S114" s="32"/>
      <c r="T114" s="32"/>
      <c r="U114" s="32"/>
      <c r="V114" s="32"/>
      <c r="W114" s="32"/>
      <c r="X114" s="32"/>
      <c r="Y114" s="32"/>
      <c r="Z114" s="32"/>
      <c r="AA114" s="32"/>
      <c r="AB114" s="130"/>
      <c r="AC114" s="130"/>
      <c r="AD114" s="130"/>
      <c r="AE114" s="130"/>
      <c r="AF114" s="130"/>
      <c r="AG114" s="130"/>
      <c r="AH114" s="130"/>
      <c r="AI114" s="130"/>
      <c r="AJ114" s="130"/>
    </row>
    <row r="115" spans="1:36" s="14" customFormat="1" ht="9" hidden="1" customHeight="1" x14ac:dyDescent="0.15">
      <c r="A115" s="134" t="s">
        <v>35</v>
      </c>
      <c r="B115" s="134"/>
      <c r="C115" s="134"/>
      <c r="D115" s="134"/>
      <c r="E115" s="134"/>
      <c r="F115" s="134"/>
      <c r="G115" s="134"/>
      <c r="H115" s="134"/>
      <c r="I115" s="134"/>
      <c r="J115" s="134"/>
      <c r="K115" s="134"/>
      <c r="L115" s="134"/>
      <c r="M115" s="134"/>
      <c r="N115" s="134"/>
      <c r="O115" s="134"/>
      <c r="P115" s="17"/>
      <c r="Q115" s="17"/>
      <c r="R115" s="17"/>
      <c r="S115" s="17"/>
      <c r="T115" s="17"/>
      <c r="U115" s="18"/>
      <c r="V115" s="18"/>
      <c r="W115" s="18"/>
      <c r="X115" s="18"/>
      <c r="Y115" s="18"/>
      <c r="Z115" s="18"/>
      <c r="AA115" s="18"/>
      <c r="AB115" s="135" t="s">
        <v>34</v>
      </c>
      <c r="AC115" s="135"/>
      <c r="AD115" s="135"/>
      <c r="AE115" s="135"/>
      <c r="AF115" s="135"/>
      <c r="AG115" s="135"/>
      <c r="AH115" s="135"/>
      <c r="AI115" s="135"/>
      <c r="AJ115" s="135"/>
    </row>
    <row r="116" spans="1:36" ht="12" customHeight="1" x14ac:dyDescent="0.25"/>
  </sheetData>
  <mergeCells count="105">
    <mergeCell ref="AI62:AJ62"/>
    <mergeCell ref="X62:Z62"/>
    <mergeCell ref="AA62:AB62"/>
    <mergeCell ref="G72:U72"/>
    <mergeCell ref="W72:AJ72"/>
    <mergeCell ref="A73:B73"/>
    <mergeCell ref="G73:AJ73"/>
    <mergeCell ref="A63:AJ63"/>
    <mergeCell ref="A102:O102"/>
    <mergeCell ref="AB102:AJ102"/>
    <mergeCell ref="H90:I90"/>
    <mergeCell ref="A94:AJ94"/>
    <mergeCell ref="A98:O98"/>
    <mergeCell ref="AB98:AJ98"/>
    <mergeCell ref="A83:AJ83"/>
    <mergeCell ref="A84:AJ84"/>
    <mergeCell ref="A86:AJ86"/>
    <mergeCell ref="A87:AJ87"/>
    <mergeCell ref="L88:AJ88"/>
    <mergeCell ref="A81:AJ81"/>
    <mergeCell ref="A82:AJ82"/>
    <mergeCell ref="A74:AJ74"/>
    <mergeCell ref="A101:O101"/>
    <mergeCell ref="AB101:AJ101"/>
    <mergeCell ref="AB99:AJ99"/>
    <mergeCell ref="A56:AJ56"/>
    <mergeCell ref="A58:AJ58"/>
    <mergeCell ref="A46:AJ46"/>
    <mergeCell ref="A47:AJ47"/>
    <mergeCell ref="A48:AJ48"/>
    <mergeCell ref="A52:AJ52"/>
    <mergeCell ref="A53:AJ53"/>
    <mergeCell ref="A54:AJ54"/>
    <mergeCell ref="A55:AJ55"/>
    <mergeCell ref="A65:AJ65"/>
    <mergeCell ref="A66:AJ66"/>
    <mergeCell ref="P67:AJ67"/>
    <mergeCell ref="P68:AJ68"/>
    <mergeCell ref="A75:AJ75"/>
    <mergeCell ref="A70:AJ70"/>
    <mergeCell ref="A62:S62"/>
    <mergeCell ref="T62:V62"/>
    <mergeCell ref="AF62:AH62"/>
    <mergeCell ref="A115:O115"/>
    <mergeCell ref="AB115:AJ115"/>
    <mergeCell ref="AB32:AI32"/>
    <mergeCell ref="AB33:AI33"/>
    <mergeCell ref="P77:W77"/>
    <mergeCell ref="P78:W78"/>
    <mergeCell ref="A111:O111"/>
    <mergeCell ref="AB111:AJ111"/>
    <mergeCell ref="A112:O112"/>
    <mergeCell ref="AB112:AJ112"/>
    <mergeCell ref="A113:AJ113"/>
    <mergeCell ref="A105:O105"/>
    <mergeCell ref="AB105:AJ105"/>
    <mergeCell ref="A106:O106"/>
    <mergeCell ref="AB106:AJ106"/>
    <mergeCell ref="A110:AJ110"/>
    <mergeCell ref="A99:O99"/>
    <mergeCell ref="A114:O114"/>
    <mergeCell ref="AB114:AJ114"/>
    <mergeCell ref="A44:AJ44"/>
    <mergeCell ref="A45:AJ45"/>
    <mergeCell ref="A49:AJ49"/>
    <mergeCell ref="A50:AJ50"/>
    <mergeCell ref="A51:AJ51"/>
    <mergeCell ref="A4:AJ4"/>
    <mergeCell ref="A5:AJ5"/>
    <mergeCell ref="A6:AJ6"/>
    <mergeCell ref="A8:AJ8"/>
    <mergeCell ref="A20:AJ20"/>
    <mergeCell ref="A22:AJ22"/>
    <mergeCell ref="A23:AJ23"/>
    <mergeCell ref="A24:AJ24"/>
    <mergeCell ref="A25:AJ25"/>
    <mergeCell ref="A15:AJ15"/>
    <mergeCell ref="A16:AJ16"/>
    <mergeCell ref="A17:AJ17"/>
    <mergeCell ref="A18:AJ18"/>
    <mergeCell ref="A19:AJ19"/>
    <mergeCell ref="A108:O108"/>
    <mergeCell ref="AB108:AJ108"/>
    <mergeCell ref="A109:O109"/>
    <mergeCell ref="AB109:AJ109"/>
    <mergeCell ref="A7:AJ7"/>
    <mergeCell ref="A9:AJ9"/>
    <mergeCell ref="A10:AJ10"/>
    <mergeCell ref="A11:AJ11"/>
    <mergeCell ref="A12:AJ12"/>
    <mergeCell ref="A13:AJ13"/>
    <mergeCell ref="A35:AJ35"/>
    <mergeCell ref="A36:AJ36"/>
    <mergeCell ref="A37:AJ37"/>
    <mergeCell ref="A38:AJ38"/>
    <mergeCell ref="A39:AJ39"/>
    <mergeCell ref="A26:AJ26"/>
    <mergeCell ref="A27:AJ27"/>
    <mergeCell ref="A29:AJ29"/>
    <mergeCell ref="A30:AJ30"/>
    <mergeCell ref="E32:G32"/>
    <mergeCell ref="A41:AJ41"/>
    <mergeCell ref="A42:AJ42"/>
    <mergeCell ref="A43:AJ43"/>
    <mergeCell ref="A59:AJ59"/>
  </mergeCells>
  <pageMargins left="0.78740157480314965" right="0.27559055118110237" top="0.39370078740157483" bottom="0.39370078740157483" header="0" footer="0"/>
  <pageSetup paperSize="9" fitToHeight="3" orientation="portrait" r:id="rId1"/>
  <headerFooter alignWithMargins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BC66C27-CA2B-4766-B0E6-7D4F22C0E86A}">
          <x14:formula1>
            <xm:f>'данные строй'!$E$3:$E$4</xm:f>
          </x14:formula1>
          <xm:sqref>N69:O69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C2438A-0663-4205-9CC7-96A0C508F04D}">
  <sheetPr>
    <tabColor rgb="FFFFFF00"/>
    <pageSetUpPr fitToPage="1"/>
  </sheetPr>
  <dimension ref="A1:AZ117"/>
  <sheetViews>
    <sheetView view="pageBreakPreview" zoomScale="125" zoomScaleNormal="125" zoomScaleSheetLayoutView="125" workbookViewId="0">
      <selection activeCell="BA22" sqref="BA22"/>
    </sheetView>
  </sheetViews>
  <sheetFormatPr defaultColWidth="10.6640625" defaultRowHeight="15" x14ac:dyDescent="0.25"/>
  <cols>
    <col min="1" max="14" width="2.83203125" style="1" customWidth="1"/>
    <col min="15" max="16" width="3.83203125" style="1" customWidth="1"/>
    <col min="17" max="17" width="5.33203125" style="1" customWidth="1"/>
    <col min="18" max="19" width="2.83203125" style="1" customWidth="1"/>
    <col min="20" max="20" width="4" style="1" customWidth="1"/>
    <col min="21" max="31" width="2.83203125" style="1" customWidth="1"/>
    <col min="32" max="32" width="3" style="1" customWidth="1"/>
    <col min="33" max="51" width="2.83203125" style="1" customWidth="1"/>
    <col min="52" max="16384" width="10.6640625" style="1"/>
  </cols>
  <sheetData>
    <row r="1" spans="1:43" s="13" customFormat="1" ht="12.75" customHeight="1" x14ac:dyDescent="0.2">
      <c r="AJ1" s="21" t="s">
        <v>41</v>
      </c>
    </row>
    <row r="2" spans="1:43" s="13" customFormat="1" ht="11.25" customHeight="1" x14ac:dyDescent="0.2">
      <c r="AJ2" s="21" t="s">
        <v>40</v>
      </c>
    </row>
    <row r="3" spans="1:43" s="13" customFormat="1" ht="14.25" customHeight="1" x14ac:dyDescent="0.2">
      <c r="A3" s="13" t="s">
        <v>21</v>
      </c>
      <c r="AJ3" s="22"/>
      <c r="AK3" s="22"/>
      <c r="AL3" s="22"/>
      <c r="AM3" s="22"/>
      <c r="AN3" s="22"/>
      <c r="AO3" s="22"/>
      <c r="AP3" s="22"/>
      <c r="AQ3" s="22"/>
    </row>
    <row r="4" spans="1:43" s="13" customFormat="1" ht="31.5" customHeight="1" x14ac:dyDescent="0.2">
      <c r="A4" s="127" t="str">
        <f>'Данные объект'!B3</f>
        <v>Строительство КТП - 10/0,4кВ, КЛ-10 кВ от ТП-10/0,4кВ № 3463, КЛ-10 кВ от сооруж. КРУН-10 кВ, ВЛИ-0,38 кВ, в т.ч. ПИР, МО, Солнечногорский р-н, п. Красный Воин</v>
      </c>
      <c r="B4" s="127"/>
      <c r="C4" s="127"/>
      <c r="D4" s="127"/>
      <c r="E4" s="127"/>
      <c r="F4" s="127"/>
      <c r="G4" s="127"/>
      <c r="H4" s="127"/>
      <c r="I4" s="127"/>
      <c r="J4" s="127"/>
      <c r="K4" s="127"/>
      <c r="L4" s="127"/>
      <c r="M4" s="127"/>
      <c r="N4" s="127"/>
      <c r="O4" s="127"/>
      <c r="P4" s="127"/>
      <c r="Q4" s="127"/>
      <c r="R4" s="127"/>
      <c r="S4" s="127"/>
      <c r="T4" s="127"/>
      <c r="U4" s="127"/>
      <c r="V4" s="127"/>
      <c r="W4" s="127"/>
      <c r="X4" s="127"/>
      <c r="Y4" s="127"/>
      <c r="Z4" s="127"/>
      <c r="AA4" s="127"/>
      <c r="AB4" s="127"/>
      <c r="AC4" s="127"/>
      <c r="AD4" s="127"/>
      <c r="AE4" s="127"/>
      <c r="AF4" s="127"/>
      <c r="AG4" s="127"/>
      <c r="AH4" s="127"/>
      <c r="AI4" s="127"/>
      <c r="AJ4" s="127"/>
    </row>
    <row r="5" spans="1:43" s="13" customFormat="1" ht="12" customHeight="1" x14ac:dyDescent="0.2">
      <c r="A5" s="139" t="str">
        <f>'Данные объект'!B9</f>
        <v>КЛ-10кВ ф.1 от ТП №3463</v>
      </c>
      <c r="B5" s="139"/>
      <c r="C5" s="139"/>
      <c r="D5" s="139"/>
      <c r="E5" s="139"/>
      <c r="F5" s="139"/>
      <c r="G5" s="139"/>
      <c r="H5" s="139"/>
      <c r="I5" s="139"/>
      <c r="J5" s="139"/>
      <c r="K5" s="139"/>
      <c r="L5" s="139"/>
      <c r="M5" s="139"/>
      <c r="N5" s="139"/>
      <c r="O5" s="139"/>
      <c r="P5" s="139"/>
      <c r="Q5" s="139"/>
      <c r="R5" s="139"/>
      <c r="S5" s="139"/>
      <c r="T5" s="139"/>
      <c r="U5" s="139"/>
      <c r="V5" s="139"/>
      <c r="W5" s="139"/>
      <c r="X5" s="139"/>
      <c r="Y5" s="139"/>
      <c r="Z5" s="139"/>
      <c r="AA5" s="139"/>
      <c r="AB5" s="139"/>
      <c r="AC5" s="139"/>
      <c r="AD5" s="139"/>
      <c r="AE5" s="139"/>
      <c r="AF5" s="139"/>
      <c r="AG5" s="139"/>
      <c r="AH5" s="139"/>
      <c r="AI5" s="139"/>
      <c r="AJ5" s="139"/>
    </row>
    <row r="6" spans="1:43" s="14" customFormat="1" ht="8.25" x14ac:dyDescent="0.15">
      <c r="A6" s="128" t="s">
        <v>192</v>
      </c>
      <c r="B6" s="129"/>
      <c r="C6" s="129"/>
      <c r="D6" s="129"/>
      <c r="E6" s="129"/>
      <c r="F6" s="129"/>
      <c r="G6" s="129"/>
      <c r="H6" s="129"/>
      <c r="I6" s="129"/>
      <c r="J6" s="129"/>
      <c r="K6" s="129"/>
      <c r="L6" s="129"/>
      <c r="M6" s="129"/>
      <c r="N6" s="129"/>
      <c r="O6" s="129"/>
      <c r="P6" s="129"/>
      <c r="Q6" s="129"/>
      <c r="R6" s="129"/>
      <c r="S6" s="129"/>
      <c r="T6" s="129"/>
      <c r="U6" s="129"/>
      <c r="V6" s="129"/>
      <c r="W6" s="129"/>
      <c r="X6" s="129"/>
      <c r="Y6" s="129"/>
      <c r="Z6" s="129"/>
      <c r="AA6" s="129"/>
      <c r="AB6" s="129"/>
      <c r="AC6" s="129"/>
      <c r="AD6" s="129"/>
      <c r="AE6" s="129"/>
      <c r="AF6" s="129"/>
      <c r="AG6" s="129"/>
      <c r="AH6" s="129"/>
      <c r="AI6" s="129"/>
      <c r="AJ6" s="129"/>
    </row>
    <row r="7" spans="1:43" s="13" customFormat="1" ht="12.75" customHeight="1" x14ac:dyDescent="0.2">
      <c r="A7" s="126" t="s">
        <v>42</v>
      </c>
      <c r="B7" s="126"/>
      <c r="C7" s="126"/>
      <c r="D7" s="126"/>
      <c r="E7" s="126"/>
      <c r="F7" s="126"/>
      <c r="G7" s="126"/>
      <c r="H7" s="126"/>
      <c r="I7" s="126"/>
      <c r="J7" s="126"/>
      <c r="K7" s="126"/>
      <c r="L7" s="126"/>
      <c r="M7" s="126"/>
      <c r="N7" s="126"/>
      <c r="O7" s="126"/>
      <c r="P7" s="126"/>
      <c r="Q7" s="126"/>
      <c r="R7" s="126"/>
      <c r="S7" s="126"/>
      <c r="T7" s="126"/>
      <c r="U7" s="126"/>
      <c r="V7" s="126"/>
      <c r="W7" s="126"/>
      <c r="X7" s="126"/>
      <c r="Y7" s="126"/>
      <c r="Z7" s="126"/>
      <c r="AA7" s="126"/>
      <c r="AB7" s="126"/>
      <c r="AC7" s="126"/>
      <c r="AD7" s="126"/>
      <c r="AE7" s="126"/>
      <c r="AF7" s="126"/>
      <c r="AG7" s="126"/>
      <c r="AH7" s="126"/>
      <c r="AI7" s="126"/>
      <c r="AJ7" s="126"/>
    </row>
    <row r="8" spans="1:43" s="13" customFormat="1" ht="12" customHeight="1" x14ac:dyDescent="0.2">
      <c r="A8" s="139" t="str">
        <f>'Данные объект'!B23</f>
        <v>ПАО "Россети Московский регион"</v>
      </c>
      <c r="B8" s="139"/>
      <c r="C8" s="139"/>
      <c r="D8" s="139"/>
      <c r="E8" s="139"/>
      <c r="F8" s="139"/>
      <c r="G8" s="139"/>
      <c r="H8" s="139"/>
      <c r="I8" s="139"/>
      <c r="J8" s="139"/>
      <c r="K8" s="139"/>
      <c r="L8" s="139"/>
      <c r="M8" s="139"/>
      <c r="N8" s="139"/>
      <c r="O8" s="139"/>
      <c r="P8" s="139"/>
      <c r="Q8" s="139"/>
      <c r="R8" s="139"/>
      <c r="S8" s="139"/>
      <c r="T8" s="139"/>
      <c r="U8" s="139"/>
      <c r="V8" s="139"/>
      <c r="W8" s="139"/>
      <c r="X8" s="139"/>
      <c r="Y8" s="139"/>
      <c r="Z8" s="139"/>
      <c r="AA8" s="139"/>
      <c r="AB8" s="139"/>
      <c r="AC8" s="139"/>
      <c r="AD8" s="139"/>
      <c r="AE8" s="139"/>
      <c r="AF8" s="139"/>
      <c r="AG8" s="139"/>
      <c r="AH8" s="139"/>
      <c r="AI8" s="139"/>
      <c r="AJ8" s="139"/>
    </row>
    <row r="9" spans="1:43" s="14" customFormat="1" ht="19.5" customHeight="1" x14ac:dyDescent="0.15">
      <c r="A9" s="128" t="s">
        <v>58</v>
      </c>
      <c r="B9" s="129"/>
      <c r="C9" s="129"/>
      <c r="D9" s="129"/>
      <c r="E9" s="129"/>
      <c r="F9" s="129"/>
      <c r="G9" s="129"/>
      <c r="H9" s="129"/>
      <c r="I9" s="129"/>
      <c r="J9" s="129"/>
      <c r="K9" s="129"/>
      <c r="L9" s="129"/>
      <c r="M9" s="129"/>
      <c r="N9" s="129"/>
      <c r="O9" s="129"/>
      <c r="P9" s="129"/>
      <c r="Q9" s="129"/>
      <c r="R9" s="129"/>
      <c r="S9" s="129"/>
      <c r="T9" s="129"/>
      <c r="U9" s="129"/>
      <c r="V9" s="129"/>
      <c r="W9" s="129"/>
      <c r="X9" s="129"/>
      <c r="Y9" s="129"/>
      <c r="Z9" s="129"/>
      <c r="AA9" s="129"/>
      <c r="AB9" s="129"/>
      <c r="AC9" s="129"/>
      <c r="AD9" s="129"/>
      <c r="AE9" s="129"/>
      <c r="AF9" s="129"/>
      <c r="AG9" s="129"/>
      <c r="AH9" s="129"/>
      <c r="AI9" s="129"/>
      <c r="AJ9" s="129"/>
    </row>
    <row r="10" spans="1:43" s="13" customFormat="1" ht="12" customHeight="1" x14ac:dyDescent="0.2">
      <c r="A10" s="139" t="str">
        <f>'Данные объект'!B24</f>
        <v>ОГРН 1057746555811 ИНН 5036065113 КПП 772501001</v>
      </c>
      <c r="B10" s="139"/>
      <c r="C10" s="139"/>
      <c r="D10" s="139"/>
      <c r="E10" s="139"/>
      <c r="F10" s="139"/>
      <c r="G10" s="139"/>
      <c r="H10" s="139"/>
      <c r="I10" s="139"/>
      <c r="J10" s="139"/>
      <c r="K10" s="139"/>
      <c r="L10" s="139"/>
      <c r="M10" s="139"/>
      <c r="N10" s="139"/>
      <c r="O10" s="139"/>
      <c r="P10" s="139"/>
      <c r="Q10" s="139"/>
      <c r="R10" s="139"/>
      <c r="S10" s="139"/>
      <c r="T10" s="139"/>
      <c r="U10" s="139"/>
      <c r="V10" s="139"/>
      <c r="W10" s="139"/>
      <c r="X10" s="139"/>
      <c r="Y10" s="139"/>
      <c r="Z10" s="139"/>
      <c r="AA10" s="139"/>
      <c r="AB10" s="139"/>
      <c r="AC10" s="139"/>
      <c r="AD10" s="139"/>
      <c r="AE10" s="139"/>
      <c r="AF10" s="139"/>
      <c r="AG10" s="139"/>
      <c r="AH10" s="139"/>
      <c r="AI10" s="139"/>
      <c r="AJ10" s="139"/>
    </row>
    <row r="11" spans="1:43" s="14" customFormat="1" ht="28.5" customHeight="1" x14ac:dyDescent="0.15">
      <c r="A11" s="128" t="s">
        <v>59</v>
      </c>
      <c r="B11" s="129"/>
      <c r="C11" s="129"/>
      <c r="D11" s="129"/>
      <c r="E11" s="129"/>
      <c r="F11" s="129"/>
      <c r="G11" s="129"/>
      <c r="H11" s="129"/>
      <c r="I11" s="129"/>
      <c r="J11" s="129"/>
      <c r="K11" s="129"/>
      <c r="L11" s="129"/>
      <c r="M11" s="129"/>
      <c r="N11" s="129"/>
      <c r="O11" s="129"/>
      <c r="P11" s="129"/>
      <c r="Q11" s="129"/>
      <c r="R11" s="129"/>
      <c r="S11" s="129"/>
      <c r="T11" s="129"/>
      <c r="U11" s="129"/>
      <c r="V11" s="129"/>
      <c r="W11" s="129"/>
      <c r="X11" s="129"/>
      <c r="Y11" s="129"/>
      <c r="Z11" s="129"/>
      <c r="AA11" s="129"/>
      <c r="AB11" s="129"/>
      <c r="AC11" s="129"/>
      <c r="AD11" s="129"/>
      <c r="AE11" s="129"/>
      <c r="AF11" s="129"/>
      <c r="AG11" s="129"/>
      <c r="AH11" s="129"/>
      <c r="AI11" s="129"/>
      <c r="AJ11" s="129"/>
    </row>
    <row r="12" spans="1:43" s="13" customFormat="1" ht="12" customHeight="1" x14ac:dyDescent="0.2">
      <c r="A12" s="139" t="str">
        <f>'Данные объект'!B25</f>
        <v>115114, город Москва, проезд Павелецкий 2-й, дом 3, строение 2</v>
      </c>
      <c r="B12" s="139"/>
      <c r="C12" s="139"/>
      <c r="D12" s="139"/>
      <c r="E12" s="139"/>
      <c r="F12" s="139"/>
      <c r="G12" s="139"/>
      <c r="H12" s="139"/>
      <c r="I12" s="139"/>
      <c r="J12" s="139"/>
      <c r="K12" s="139"/>
      <c r="L12" s="139"/>
      <c r="M12" s="139"/>
      <c r="N12" s="139"/>
      <c r="O12" s="139"/>
      <c r="P12" s="139"/>
      <c r="Q12" s="139"/>
      <c r="R12" s="139"/>
      <c r="S12" s="139"/>
      <c r="T12" s="139"/>
      <c r="U12" s="139"/>
      <c r="V12" s="139"/>
      <c r="W12" s="139"/>
      <c r="X12" s="139"/>
      <c r="Y12" s="139"/>
      <c r="Z12" s="139"/>
      <c r="AA12" s="139"/>
      <c r="AB12" s="139"/>
      <c r="AC12" s="139"/>
      <c r="AD12" s="139"/>
      <c r="AE12" s="139"/>
      <c r="AF12" s="139"/>
      <c r="AG12" s="139"/>
      <c r="AH12" s="139"/>
      <c r="AI12" s="139"/>
      <c r="AJ12" s="139"/>
    </row>
    <row r="13" spans="1:43" s="14" customFormat="1" ht="11.25" customHeight="1" x14ac:dyDescent="0.15">
      <c r="A13" s="128" t="s">
        <v>43</v>
      </c>
      <c r="B13" s="129"/>
      <c r="C13" s="129"/>
      <c r="D13" s="129"/>
      <c r="E13" s="129"/>
      <c r="F13" s="129"/>
      <c r="G13" s="129"/>
      <c r="H13" s="129"/>
      <c r="I13" s="129"/>
      <c r="J13" s="129"/>
      <c r="K13" s="129"/>
      <c r="L13" s="129"/>
      <c r="M13" s="129"/>
      <c r="N13" s="129"/>
      <c r="O13" s="129"/>
      <c r="P13" s="129"/>
      <c r="Q13" s="129"/>
      <c r="R13" s="129"/>
      <c r="S13" s="129"/>
      <c r="T13" s="129"/>
      <c r="U13" s="129"/>
      <c r="V13" s="129"/>
      <c r="W13" s="129"/>
      <c r="X13" s="129"/>
      <c r="Y13" s="129"/>
      <c r="Z13" s="129"/>
      <c r="AA13" s="129"/>
      <c r="AB13" s="129"/>
      <c r="AC13" s="129"/>
      <c r="AD13" s="129"/>
      <c r="AE13" s="129"/>
      <c r="AF13" s="129"/>
      <c r="AG13" s="129"/>
      <c r="AH13" s="129"/>
      <c r="AI13" s="129"/>
      <c r="AJ13" s="129"/>
    </row>
    <row r="14" spans="1:43" s="13" customFormat="1" ht="12" customHeight="1" x14ac:dyDescent="0.2">
      <c r="A14" s="13" t="s">
        <v>22</v>
      </c>
    </row>
    <row r="15" spans="1:43" s="13" customFormat="1" ht="12" customHeight="1" x14ac:dyDescent="0.2">
      <c r="A15" s="139" t="str">
        <f>'Данные объект'!B11</f>
        <v>ООО"Энергосистемы"</v>
      </c>
      <c r="B15" s="139"/>
      <c r="C15" s="139"/>
      <c r="D15" s="139"/>
      <c r="E15" s="139"/>
      <c r="F15" s="139"/>
      <c r="G15" s="139"/>
      <c r="H15" s="139"/>
      <c r="I15" s="139"/>
      <c r="J15" s="139"/>
      <c r="K15" s="139"/>
      <c r="L15" s="139"/>
      <c r="M15" s="139"/>
      <c r="N15" s="139"/>
      <c r="O15" s="139"/>
      <c r="P15" s="139"/>
      <c r="Q15" s="139"/>
      <c r="R15" s="139"/>
      <c r="S15" s="139"/>
      <c r="T15" s="139"/>
      <c r="U15" s="139"/>
      <c r="V15" s="139"/>
      <c r="W15" s="139"/>
      <c r="X15" s="139"/>
      <c r="Y15" s="139"/>
      <c r="Z15" s="139"/>
      <c r="AA15" s="139"/>
      <c r="AB15" s="139"/>
      <c r="AC15" s="139"/>
      <c r="AD15" s="139"/>
      <c r="AE15" s="139"/>
      <c r="AF15" s="139"/>
      <c r="AG15" s="139"/>
      <c r="AH15" s="139"/>
      <c r="AI15" s="139"/>
      <c r="AJ15" s="139"/>
    </row>
    <row r="16" spans="1:43" s="14" customFormat="1" ht="9.75" customHeight="1" x14ac:dyDescent="0.15">
      <c r="A16" s="128" t="s">
        <v>37</v>
      </c>
      <c r="B16" s="129"/>
      <c r="C16" s="129"/>
      <c r="D16" s="129"/>
      <c r="E16" s="129"/>
      <c r="F16" s="129"/>
      <c r="G16" s="129"/>
      <c r="H16" s="129"/>
      <c r="I16" s="129"/>
      <c r="J16" s="129"/>
      <c r="K16" s="129"/>
      <c r="L16" s="129"/>
      <c r="M16" s="129"/>
      <c r="N16" s="129"/>
      <c r="O16" s="129"/>
      <c r="P16" s="129"/>
      <c r="Q16" s="129"/>
      <c r="R16" s="129"/>
      <c r="S16" s="129"/>
      <c r="T16" s="129"/>
      <c r="U16" s="129"/>
      <c r="V16" s="129"/>
      <c r="W16" s="129"/>
      <c r="X16" s="129"/>
      <c r="Y16" s="129"/>
      <c r="Z16" s="129"/>
      <c r="AA16" s="129"/>
      <c r="AB16" s="129"/>
      <c r="AC16" s="129"/>
      <c r="AD16" s="129"/>
      <c r="AE16" s="129"/>
      <c r="AF16" s="129"/>
      <c r="AG16" s="129"/>
      <c r="AH16" s="129"/>
      <c r="AI16" s="129"/>
      <c r="AJ16" s="129"/>
    </row>
    <row r="17" spans="1:36" s="13" customFormat="1" ht="12" customHeight="1" x14ac:dyDescent="0.2">
      <c r="A17" s="139" t="str">
        <f>'Данные объект'!B12</f>
        <v>ОГРН 1135044003709  ИНН 5044089069 КПП 504401001</v>
      </c>
      <c r="B17" s="139"/>
      <c r="C17" s="139"/>
      <c r="D17" s="139"/>
      <c r="E17" s="139"/>
      <c r="F17" s="139"/>
      <c r="G17" s="139"/>
      <c r="H17" s="139"/>
      <c r="I17" s="139"/>
      <c r="J17" s="139"/>
      <c r="K17" s="139"/>
      <c r="L17" s="139"/>
      <c r="M17" s="139"/>
      <c r="N17" s="139"/>
      <c r="O17" s="139"/>
      <c r="P17" s="139"/>
      <c r="Q17" s="139"/>
      <c r="R17" s="139"/>
      <c r="S17" s="139"/>
      <c r="T17" s="139"/>
      <c r="U17" s="139"/>
      <c r="V17" s="139"/>
      <c r="W17" s="139"/>
      <c r="X17" s="139"/>
      <c r="Y17" s="139"/>
      <c r="Z17" s="139"/>
      <c r="AA17" s="139"/>
      <c r="AB17" s="139"/>
      <c r="AC17" s="139"/>
      <c r="AD17" s="139"/>
      <c r="AE17" s="139"/>
      <c r="AF17" s="139"/>
      <c r="AG17" s="139"/>
      <c r="AH17" s="139"/>
      <c r="AI17" s="139"/>
      <c r="AJ17" s="139"/>
    </row>
    <row r="18" spans="1:36" s="14" customFormat="1" ht="8.25" customHeight="1" x14ac:dyDescent="0.15">
      <c r="A18" s="128" t="s">
        <v>44</v>
      </c>
      <c r="B18" s="129"/>
      <c r="C18" s="129"/>
      <c r="D18" s="129"/>
      <c r="E18" s="129"/>
      <c r="F18" s="129"/>
      <c r="G18" s="129"/>
      <c r="H18" s="129"/>
      <c r="I18" s="129"/>
      <c r="J18" s="129"/>
      <c r="K18" s="129"/>
      <c r="L18" s="129"/>
      <c r="M18" s="129"/>
      <c r="N18" s="129"/>
      <c r="O18" s="129"/>
      <c r="P18" s="129"/>
      <c r="Q18" s="129"/>
      <c r="R18" s="129"/>
      <c r="S18" s="129"/>
      <c r="T18" s="129"/>
      <c r="U18" s="129"/>
      <c r="V18" s="129"/>
      <c r="W18" s="129"/>
      <c r="X18" s="129"/>
      <c r="Y18" s="129"/>
      <c r="Z18" s="129"/>
      <c r="AA18" s="129"/>
      <c r="AB18" s="129"/>
      <c r="AC18" s="129"/>
      <c r="AD18" s="129"/>
      <c r="AE18" s="129"/>
      <c r="AF18" s="129"/>
      <c r="AG18" s="129"/>
      <c r="AH18" s="129"/>
      <c r="AI18" s="129"/>
      <c r="AJ18" s="129"/>
    </row>
    <row r="19" spans="1:36" s="13" customFormat="1" ht="12" customHeight="1" x14ac:dyDescent="0.2">
      <c r="A19" s="139" t="str">
        <f>'Данные объект'!B13</f>
        <v xml:space="preserve">141508, Московская область, г.о. Солнечногорск, г. Солнечногорск, ул. Промышленная, стр. 5, помещение 179
</v>
      </c>
      <c r="B19" s="139"/>
      <c r="C19" s="139"/>
      <c r="D19" s="139"/>
      <c r="E19" s="139"/>
      <c r="F19" s="139"/>
      <c r="G19" s="139"/>
      <c r="H19" s="139"/>
      <c r="I19" s="139"/>
      <c r="J19" s="139"/>
      <c r="K19" s="139"/>
      <c r="L19" s="139"/>
      <c r="M19" s="139"/>
      <c r="N19" s="139"/>
      <c r="O19" s="139"/>
      <c r="P19" s="139"/>
      <c r="Q19" s="139"/>
      <c r="R19" s="139"/>
      <c r="S19" s="139"/>
      <c r="T19" s="139"/>
      <c r="U19" s="139"/>
      <c r="V19" s="139"/>
      <c r="W19" s="139"/>
      <c r="X19" s="139"/>
      <c r="Y19" s="139"/>
      <c r="Z19" s="139"/>
      <c r="AA19" s="139"/>
      <c r="AB19" s="139"/>
      <c r="AC19" s="139"/>
      <c r="AD19" s="139"/>
      <c r="AE19" s="139"/>
      <c r="AF19" s="139"/>
      <c r="AG19" s="139"/>
      <c r="AH19" s="139"/>
      <c r="AI19" s="139"/>
      <c r="AJ19" s="139"/>
    </row>
    <row r="20" spans="1:36" s="14" customFormat="1" ht="27" customHeight="1" x14ac:dyDescent="0.15">
      <c r="A20" s="128" t="s">
        <v>60</v>
      </c>
      <c r="B20" s="129"/>
      <c r="C20" s="129"/>
      <c r="D20" s="129"/>
      <c r="E20" s="129"/>
      <c r="F20" s="129"/>
      <c r="G20" s="129"/>
      <c r="H20" s="129"/>
      <c r="I20" s="129"/>
      <c r="J20" s="129"/>
      <c r="K20" s="129"/>
      <c r="L20" s="129"/>
      <c r="M20" s="129"/>
      <c r="N20" s="129"/>
      <c r="O20" s="129"/>
      <c r="P20" s="129"/>
      <c r="Q20" s="129"/>
      <c r="R20" s="129"/>
      <c r="S20" s="129"/>
      <c r="T20" s="129"/>
      <c r="U20" s="129"/>
      <c r="V20" s="129"/>
      <c r="W20" s="129"/>
      <c r="X20" s="129"/>
      <c r="Y20" s="129"/>
      <c r="Z20" s="129"/>
      <c r="AA20" s="129"/>
      <c r="AB20" s="129"/>
      <c r="AC20" s="129"/>
      <c r="AD20" s="129"/>
      <c r="AE20" s="129"/>
      <c r="AF20" s="129"/>
      <c r="AG20" s="129"/>
      <c r="AH20" s="129"/>
      <c r="AI20" s="129"/>
      <c r="AJ20" s="129"/>
    </row>
    <row r="21" spans="1:36" s="13" customFormat="1" ht="12" customHeight="1" x14ac:dyDescent="0.2">
      <c r="A21" s="13" t="s">
        <v>20</v>
      </c>
    </row>
    <row r="22" spans="1:36" s="13" customFormat="1" ht="12" customHeight="1" x14ac:dyDescent="0.2">
      <c r="A22" s="139" t="str">
        <f>'Данные объект'!B39</f>
        <v>ООО"Энергосистемы"</v>
      </c>
      <c r="B22" s="139"/>
      <c r="C22" s="139"/>
      <c r="D22" s="139"/>
      <c r="E22" s="139"/>
      <c r="F22" s="139"/>
      <c r="G22" s="139"/>
      <c r="H22" s="139"/>
      <c r="I22" s="139"/>
      <c r="J22" s="139"/>
      <c r="K22" s="139"/>
      <c r="L22" s="139"/>
      <c r="M22" s="139"/>
      <c r="N22" s="139"/>
      <c r="O22" s="139"/>
      <c r="P22" s="139"/>
      <c r="Q22" s="139"/>
      <c r="R22" s="139"/>
      <c r="S22" s="139"/>
      <c r="T22" s="139"/>
      <c r="U22" s="139"/>
      <c r="V22" s="139"/>
      <c r="W22" s="139"/>
      <c r="X22" s="139"/>
      <c r="Y22" s="139"/>
      <c r="Z22" s="139"/>
      <c r="AA22" s="139"/>
      <c r="AB22" s="139"/>
      <c r="AC22" s="139"/>
      <c r="AD22" s="139"/>
      <c r="AE22" s="139"/>
      <c r="AF22" s="139"/>
      <c r="AG22" s="139"/>
      <c r="AH22" s="139"/>
      <c r="AI22" s="139"/>
      <c r="AJ22" s="139"/>
    </row>
    <row r="23" spans="1:36" s="14" customFormat="1" ht="7.5" customHeight="1" x14ac:dyDescent="0.15">
      <c r="A23" s="128" t="s">
        <v>37</v>
      </c>
      <c r="B23" s="129"/>
      <c r="C23" s="129"/>
      <c r="D23" s="129"/>
      <c r="E23" s="129"/>
      <c r="F23" s="129"/>
      <c r="G23" s="129"/>
      <c r="H23" s="129"/>
      <c r="I23" s="129"/>
      <c r="J23" s="129"/>
      <c r="K23" s="129"/>
      <c r="L23" s="129"/>
      <c r="M23" s="129"/>
      <c r="N23" s="129"/>
      <c r="O23" s="129"/>
      <c r="P23" s="129"/>
      <c r="Q23" s="129"/>
      <c r="R23" s="129"/>
      <c r="S23" s="129"/>
      <c r="T23" s="129"/>
      <c r="U23" s="129"/>
      <c r="V23" s="129"/>
      <c r="W23" s="129"/>
      <c r="X23" s="129"/>
      <c r="Y23" s="129"/>
      <c r="Z23" s="129"/>
      <c r="AA23" s="129"/>
      <c r="AB23" s="129"/>
      <c r="AC23" s="129"/>
      <c r="AD23" s="129"/>
      <c r="AE23" s="129"/>
      <c r="AF23" s="129"/>
      <c r="AG23" s="129"/>
      <c r="AH23" s="129"/>
      <c r="AI23" s="129"/>
      <c r="AJ23" s="129"/>
    </row>
    <row r="24" spans="1:36" s="13" customFormat="1" ht="12" customHeight="1" x14ac:dyDescent="0.2">
      <c r="A24" s="139" t="str">
        <f>'Данные объект'!B40</f>
        <v>ОГРН 1135044003709  ИНН 5044089069 КПП 504401001</v>
      </c>
      <c r="B24" s="139"/>
      <c r="C24" s="139"/>
      <c r="D24" s="139"/>
      <c r="E24" s="139"/>
      <c r="F24" s="139"/>
      <c r="G24" s="139"/>
      <c r="H24" s="139"/>
      <c r="I24" s="139"/>
      <c r="J24" s="139"/>
      <c r="K24" s="139"/>
      <c r="L24" s="139"/>
      <c r="M24" s="139"/>
      <c r="N24" s="139"/>
      <c r="O24" s="139"/>
      <c r="P24" s="139"/>
      <c r="Q24" s="139"/>
      <c r="R24" s="139"/>
      <c r="S24" s="139"/>
      <c r="T24" s="139"/>
      <c r="U24" s="139"/>
      <c r="V24" s="139"/>
      <c r="W24" s="139"/>
      <c r="X24" s="139"/>
      <c r="Y24" s="139"/>
      <c r="Z24" s="139"/>
      <c r="AA24" s="139"/>
      <c r="AB24" s="139"/>
      <c r="AC24" s="139"/>
      <c r="AD24" s="139"/>
      <c r="AE24" s="139"/>
      <c r="AF24" s="139"/>
      <c r="AG24" s="139"/>
      <c r="AH24" s="139"/>
      <c r="AI24" s="139"/>
      <c r="AJ24" s="139"/>
    </row>
    <row r="25" spans="1:36" s="14" customFormat="1" ht="7.5" customHeight="1" x14ac:dyDescent="0.15">
      <c r="A25" s="128" t="s">
        <v>61</v>
      </c>
      <c r="B25" s="129"/>
      <c r="C25" s="129"/>
      <c r="D25" s="129"/>
      <c r="E25" s="129"/>
      <c r="F25" s="129"/>
      <c r="G25" s="129"/>
      <c r="H25" s="129"/>
      <c r="I25" s="129"/>
      <c r="J25" s="129"/>
      <c r="K25" s="129"/>
      <c r="L25" s="129"/>
      <c r="M25" s="129"/>
      <c r="N25" s="129"/>
      <c r="O25" s="129"/>
      <c r="P25" s="129"/>
      <c r="Q25" s="129"/>
      <c r="R25" s="129"/>
      <c r="S25" s="129"/>
      <c r="T25" s="129"/>
      <c r="U25" s="129"/>
      <c r="V25" s="129"/>
      <c r="W25" s="129"/>
      <c r="X25" s="129"/>
      <c r="Y25" s="129"/>
      <c r="Z25" s="129"/>
      <c r="AA25" s="129"/>
      <c r="AB25" s="129"/>
      <c r="AC25" s="129"/>
      <c r="AD25" s="129"/>
      <c r="AE25" s="129"/>
      <c r="AF25" s="129"/>
      <c r="AG25" s="129"/>
      <c r="AH25" s="129"/>
      <c r="AI25" s="129"/>
      <c r="AJ25" s="129"/>
    </row>
    <row r="26" spans="1:36" s="13" customFormat="1" ht="12" customHeight="1" x14ac:dyDescent="0.2">
      <c r="A26" s="139" t="str">
        <f>'Данные объект'!B41</f>
        <v xml:space="preserve">141508, Московская область, г.о. Солнечногорск, г. Солнечногорск, ул. Промышленная, стр. 5, помещение 179
</v>
      </c>
      <c r="B26" s="139"/>
      <c r="C26" s="139"/>
      <c r="D26" s="139"/>
      <c r="E26" s="139"/>
      <c r="F26" s="139"/>
      <c r="G26" s="139"/>
      <c r="H26" s="139"/>
      <c r="I26" s="139"/>
      <c r="J26" s="139"/>
      <c r="K26" s="139"/>
      <c r="L26" s="139"/>
      <c r="M26" s="139"/>
      <c r="N26" s="139"/>
      <c r="O26" s="139"/>
      <c r="P26" s="139"/>
      <c r="Q26" s="139"/>
      <c r="R26" s="139"/>
      <c r="S26" s="139"/>
      <c r="T26" s="139"/>
      <c r="U26" s="139"/>
      <c r="V26" s="139"/>
      <c r="W26" s="139"/>
      <c r="X26" s="139"/>
      <c r="Y26" s="139"/>
      <c r="Z26" s="139"/>
      <c r="AA26" s="139"/>
      <c r="AB26" s="139"/>
      <c r="AC26" s="139"/>
      <c r="AD26" s="139"/>
      <c r="AE26" s="139"/>
      <c r="AF26" s="139"/>
      <c r="AG26" s="139"/>
      <c r="AH26" s="139"/>
      <c r="AI26" s="139"/>
      <c r="AJ26" s="139"/>
    </row>
    <row r="27" spans="1:36" s="14" customFormat="1" ht="22.5" customHeight="1" x14ac:dyDescent="0.15">
      <c r="A27" s="128" t="s">
        <v>45</v>
      </c>
      <c r="B27" s="129"/>
      <c r="C27" s="129"/>
      <c r="D27" s="129"/>
      <c r="E27" s="129"/>
      <c r="F27" s="129"/>
      <c r="G27" s="129"/>
      <c r="H27" s="129"/>
      <c r="I27" s="129"/>
      <c r="J27" s="129"/>
      <c r="K27" s="129"/>
      <c r="L27" s="129"/>
      <c r="M27" s="129"/>
      <c r="N27" s="129"/>
      <c r="O27" s="129"/>
      <c r="P27" s="129"/>
      <c r="Q27" s="129"/>
      <c r="R27" s="129"/>
      <c r="S27" s="129"/>
      <c r="T27" s="129"/>
      <c r="U27" s="129"/>
      <c r="V27" s="129"/>
      <c r="W27" s="129"/>
      <c r="X27" s="129"/>
      <c r="Y27" s="129"/>
      <c r="Z27" s="129"/>
      <c r="AA27" s="129"/>
      <c r="AB27" s="129"/>
      <c r="AC27" s="129"/>
      <c r="AD27" s="129"/>
      <c r="AE27" s="129"/>
      <c r="AF27" s="129"/>
      <c r="AG27" s="129"/>
      <c r="AH27" s="129"/>
      <c r="AI27" s="129"/>
      <c r="AJ27" s="129"/>
    </row>
    <row r="28" spans="1:36" ht="9" customHeight="1" x14ac:dyDescent="0.25">
      <c r="A28" s="5"/>
      <c r="B28" s="5"/>
      <c r="C28" s="5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</row>
    <row r="29" spans="1:36" s="13" customFormat="1" ht="12.95" customHeight="1" x14ac:dyDescent="0.2">
      <c r="A29" s="142" t="s">
        <v>36</v>
      </c>
      <c r="B29" s="142"/>
      <c r="C29" s="142"/>
      <c r="D29" s="142"/>
      <c r="E29" s="142"/>
      <c r="F29" s="142"/>
      <c r="G29" s="142"/>
      <c r="H29" s="142"/>
      <c r="I29" s="142"/>
      <c r="J29" s="142"/>
      <c r="K29" s="142"/>
      <c r="L29" s="142"/>
      <c r="M29" s="142"/>
      <c r="N29" s="142"/>
      <c r="O29" s="142"/>
      <c r="P29" s="142"/>
      <c r="Q29" s="142"/>
      <c r="R29" s="142"/>
      <c r="S29" s="142"/>
      <c r="T29" s="142"/>
      <c r="U29" s="142"/>
      <c r="V29" s="142"/>
      <c r="W29" s="142"/>
      <c r="X29" s="142"/>
      <c r="Y29" s="142"/>
      <c r="Z29" s="142"/>
      <c r="AA29" s="142"/>
      <c r="AB29" s="142"/>
      <c r="AC29" s="142"/>
      <c r="AD29" s="142"/>
      <c r="AE29" s="142"/>
      <c r="AF29" s="142"/>
      <c r="AG29" s="142"/>
      <c r="AH29" s="142"/>
      <c r="AI29" s="142"/>
      <c r="AJ29" s="142"/>
    </row>
    <row r="30" spans="1:36" s="13" customFormat="1" ht="12.95" customHeight="1" x14ac:dyDescent="0.2">
      <c r="A30" s="143" t="s">
        <v>19</v>
      </c>
      <c r="B30" s="143"/>
      <c r="C30" s="143"/>
      <c r="D30" s="143"/>
      <c r="E30" s="143"/>
      <c r="F30" s="143"/>
      <c r="G30" s="143"/>
      <c r="H30" s="143"/>
      <c r="I30" s="143"/>
      <c r="J30" s="143"/>
      <c r="K30" s="143"/>
      <c r="L30" s="143"/>
      <c r="M30" s="143"/>
      <c r="N30" s="143"/>
      <c r="O30" s="143"/>
      <c r="P30" s="143"/>
      <c r="Q30" s="143"/>
      <c r="R30" s="143"/>
      <c r="S30" s="143"/>
      <c r="T30" s="143"/>
      <c r="U30" s="143"/>
      <c r="V30" s="143"/>
      <c r="W30" s="143"/>
      <c r="X30" s="143"/>
      <c r="Y30" s="143"/>
      <c r="Z30" s="143"/>
      <c r="AA30" s="143"/>
      <c r="AB30" s="143"/>
      <c r="AC30" s="143"/>
      <c r="AD30" s="143"/>
      <c r="AE30" s="143"/>
      <c r="AF30" s="143"/>
      <c r="AG30" s="143"/>
      <c r="AH30" s="143"/>
      <c r="AI30" s="143"/>
      <c r="AJ30" s="143"/>
    </row>
    <row r="31" spans="1:36" s="13" customFormat="1" ht="6" customHeight="1" x14ac:dyDescent="0.2">
      <c r="A31" s="106"/>
      <c r="B31" s="106"/>
      <c r="C31" s="106"/>
      <c r="D31" s="106"/>
      <c r="E31" s="106"/>
      <c r="F31" s="106"/>
      <c r="G31" s="106"/>
      <c r="H31" s="106"/>
      <c r="I31" s="106"/>
      <c r="J31" s="106"/>
    </row>
    <row r="32" spans="1:36" s="13" customFormat="1" ht="12.95" customHeight="1" x14ac:dyDescent="0.2">
      <c r="A32" s="24"/>
      <c r="B32" s="24" t="s">
        <v>18</v>
      </c>
      <c r="C32" s="113"/>
      <c r="D32" s="25"/>
      <c r="E32" s="130" t="s">
        <v>86</v>
      </c>
      <c r="F32" s="130"/>
      <c r="G32" s="130"/>
      <c r="H32" s="27"/>
      <c r="I32" s="27"/>
      <c r="J32" s="27"/>
      <c r="X32" s="21"/>
      <c r="Y32" s="32"/>
      <c r="Z32" s="32"/>
      <c r="AB32" s="131">
        <f>P78</f>
        <v>45819</v>
      </c>
      <c r="AC32" s="131"/>
      <c r="AD32" s="131"/>
      <c r="AE32" s="131"/>
      <c r="AF32" s="131"/>
      <c r="AG32" s="131"/>
      <c r="AH32" s="131"/>
      <c r="AI32" s="131"/>
      <c r="AJ32" s="13" t="s">
        <v>6</v>
      </c>
    </row>
    <row r="33" spans="1:52" s="14" customFormat="1" ht="9" customHeight="1" x14ac:dyDescent="0.15">
      <c r="Y33" s="15"/>
      <c r="Z33" s="16"/>
      <c r="AA33" s="15"/>
      <c r="AB33" s="144" t="s">
        <v>17</v>
      </c>
      <c r="AC33" s="144"/>
      <c r="AD33" s="144"/>
      <c r="AE33" s="144"/>
      <c r="AF33" s="144"/>
      <c r="AG33" s="144"/>
      <c r="AH33" s="144"/>
      <c r="AI33" s="144"/>
    </row>
    <row r="34" spans="1:52" ht="6.75" customHeight="1" x14ac:dyDescent="0.25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4"/>
      <c r="AJ34" s="4"/>
    </row>
    <row r="35" spans="1:52" s="13" customFormat="1" ht="21" customHeight="1" x14ac:dyDescent="0.2">
      <c r="A35" s="126" t="s">
        <v>46</v>
      </c>
      <c r="B35" s="126"/>
      <c r="C35" s="126"/>
      <c r="D35" s="126"/>
      <c r="E35" s="126"/>
      <c r="F35" s="126"/>
      <c r="G35" s="126"/>
      <c r="H35" s="126"/>
      <c r="I35" s="126"/>
      <c r="J35" s="126"/>
      <c r="K35" s="126"/>
      <c r="L35" s="126"/>
      <c r="M35" s="126"/>
      <c r="N35" s="126"/>
      <c r="O35" s="126"/>
      <c r="P35" s="126"/>
      <c r="Q35" s="126"/>
      <c r="R35" s="126"/>
      <c r="S35" s="126"/>
      <c r="T35" s="126"/>
      <c r="U35" s="126"/>
      <c r="V35" s="126"/>
      <c r="W35" s="126"/>
      <c r="X35" s="126"/>
      <c r="Y35" s="126"/>
      <c r="Z35" s="126"/>
      <c r="AA35" s="126"/>
      <c r="AB35" s="126"/>
      <c r="AC35" s="126"/>
      <c r="AD35" s="126"/>
      <c r="AE35" s="126"/>
      <c r="AF35" s="126"/>
      <c r="AG35" s="126"/>
      <c r="AH35" s="126"/>
      <c r="AI35" s="126"/>
      <c r="AJ35" s="126"/>
    </row>
    <row r="36" spans="1:52" s="13" customFormat="1" ht="25.5" customHeight="1" x14ac:dyDescent="0.2">
      <c r="A36" s="127" t="str">
        <f>'Данные объект'!C34</f>
        <v>Гл. специалист ССК УКС ПАО "Россети Московский регион" Алексанян Г.Р. Приказ №1904 от 03 июня 2026г (НРС С-50-069023)</v>
      </c>
      <c r="B36" s="127"/>
      <c r="C36" s="127"/>
      <c r="D36" s="127"/>
      <c r="E36" s="127"/>
      <c r="F36" s="127"/>
      <c r="G36" s="127"/>
      <c r="H36" s="127"/>
      <c r="I36" s="127"/>
      <c r="J36" s="127"/>
      <c r="K36" s="127"/>
      <c r="L36" s="127"/>
      <c r="M36" s="127"/>
      <c r="N36" s="127"/>
      <c r="O36" s="127"/>
      <c r="P36" s="127"/>
      <c r="Q36" s="127"/>
      <c r="R36" s="127"/>
      <c r="S36" s="127"/>
      <c r="T36" s="127"/>
      <c r="U36" s="127"/>
      <c r="V36" s="127"/>
      <c r="W36" s="127"/>
      <c r="X36" s="127"/>
      <c r="Y36" s="127"/>
      <c r="Z36" s="127"/>
      <c r="AA36" s="127"/>
      <c r="AB36" s="127"/>
      <c r="AC36" s="127"/>
      <c r="AD36" s="127"/>
      <c r="AE36" s="127"/>
      <c r="AF36" s="127"/>
      <c r="AG36" s="127"/>
      <c r="AH36" s="127"/>
      <c r="AI36" s="127"/>
      <c r="AJ36" s="127"/>
    </row>
    <row r="37" spans="1:52" s="14" customFormat="1" ht="28.5" customHeight="1" x14ac:dyDescent="0.15">
      <c r="A37" s="128" t="s">
        <v>47</v>
      </c>
      <c r="B37" s="129"/>
      <c r="C37" s="129"/>
      <c r="D37" s="129"/>
      <c r="E37" s="129"/>
      <c r="F37" s="129"/>
      <c r="G37" s="129"/>
      <c r="H37" s="129"/>
      <c r="I37" s="129"/>
      <c r="J37" s="129"/>
      <c r="K37" s="129"/>
      <c r="L37" s="129"/>
      <c r="M37" s="129"/>
      <c r="N37" s="129"/>
      <c r="O37" s="129"/>
      <c r="P37" s="129"/>
      <c r="Q37" s="129"/>
      <c r="R37" s="129"/>
      <c r="S37" s="129"/>
      <c r="T37" s="129"/>
      <c r="U37" s="129"/>
      <c r="V37" s="129"/>
      <c r="W37" s="129"/>
      <c r="X37" s="129"/>
      <c r="Y37" s="129"/>
      <c r="Z37" s="129"/>
      <c r="AA37" s="129"/>
      <c r="AB37" s="129"/>
      <c r="AC37" s="129"/>
      <c r="AD37" s="129"/>
      <c r="AE37" s="129"/>
      <c r="AF37" s="129"/>
      <c r="AG37" s="129"/>
      <c r="AH37" s="129"/>
      <c r="AI37" s="129"/>
      <c r="AJ37" s="129"/>
    </row>
    <row r="38" spans="1:52" s="13" customFormat="1" ht="21.75" customHeight="1" x14ac:dyDescent="0.2">
      <c r="A38" s="127" t="str">
        <f>'Данные объект'!C23</f>
        <v>ПАО "Россети Московский регион" ОГРН 1057746555811 ИНН 5036065113 КПП 772501001,115114, город Москва, проезд Павелецкий 2-й, дом 3, строение 2</v>
      </c>
      <c r="B38" s="127"/>
      <c r="C38" s="127"/>
      <c r="D38" s="127"/>
      <c r="E38" s="127"/>
      <c r="F38" s="127"/>
      <c r="G38" s="127"/>
      <c r="H38" s="127"/>
      <c r="I38" s="127"/>
      <c r="J38" s="127"/>
      <c r="K38" s="127"/>
      <c r="L38" s="127"/>
      <c r="M38" s="127"/>
      <c r="N38" s="127"/>
      <c r="O38" s="127"/>
      <c r="P38" s="127"/>
      <c r="Q38" s="127"/>
      <c r="R38" s="127"/>
      <c r="S38" s="127"/>
      <c r="T38" s="127"/>
      <c r="U38" s="127"/>
      <c r="V38" s="127"/>
      <c r="W38" s="127"/>
      <c r="X38" s="127"/>
      <c r="Y38" s="127"/>
      <c r="Z38" s="127"/>
      <c r="AA38" s="127"/>
      <c r="AB38" s="127"/>
      <c r="AC38" s="127"/>
      <c r="AD38" s="127"/>
      <c r="AE38" s="127"/>
      <c r="AF38" s="127"/>
      <c r="AG38" s="127"/>
      <c r="AH38" s="127"/>
      <c r="AI38" s="127"/>
      <c r="AJ38" s="127"/>
    </row>
    <row r="39" spans="1:52" s="14" customFormat="1" ht="25.5" customHeight="1" x14ac:dyDescent="0.2">
      <c r="A39" s="145" t="s">
        <v>48</v>
      </c>
      <c r="B39" s="145"/>
      <c r="C39" s="145"/>
      <c r="D39" s="145"/>
      <c r="E39" s="145"/>
      <c r="F39" s="145"/>
      <c r="G39" s="145"/>
      <c r="H39" s="145"/>
      <c r="I39" s="145"/>
      <c r="J39" s="145"/>
      <c r="K39" s="145"/>
      <c r="L39" s="145"/>
      <c r="M39" s="145"/>
      <c r="N39" s="145"/>
      <c r="O39" s="145"/>
      <c r="P39" s="145"/>
      <c r="Q39" s="145"/>
      <c r="R39" s="145"/>
      <c r="S39" s="145"/>
      <c r="T39" s="145"/>
      <c r="U39" s="145"/>
      <c r="V39" s="145"/>
      <c r="W39" s="145"/>
      <c r="X39" s="145"/>
      <c r="Y39" s="145"/>
      <c r="Z39" s="145"/>
      <c r="AA39" s="145"/>
      <c r="AB39" s="145"/>
      <c r="AC39" s="145"/>
      <c r="AD39" s="145"/>
      <c r="AE39" s="145"/>
      <c r="AF39" s="145"/>
      <c r="AG39" s="145"/>
      <c r="AH39" s="145"/>
      <c r="AI39" s="145"/>
      <c r="AJ39" s="145"/>
      <c r="AZ39" s="13"/>
    </row>
    <row r="40" spans="1:52" s="13" customFormat="1" ht="12" customHeight="1" x14ac:dyDescent="0.2">
      <c r="A40" s="13" t="s">
        <v>25</v>
      </c>
    </row>
    <row r="41" spans="1:52" s="13" customFormat="1" ht="12" customHeight="1" x14ac:dyDescent="0.2">
      <c r="A41" s="139" t="str">
        <f>'Данные объект'!C21</f>
        <v>Прораб ООО"Энергосистемы" Волков М.Ю..Приказ №05-ОТ/24 от 09 января 2024г</v>
      </c>
      <c r="B41" s="139"/>
      <c r="C41" s="139"/>
      <c r="D41" s="139"/>
      <c r="E41" s="139"/>
      <c r="F41" s="139"/>
      <c r="G41" s="139"/>
      <c r="H41" s="139"/>
      <c r="I41" s="139"/>
      <c r="J41" s="139"/>
      <c r="K41" s="139"/>
      <c r="L41" s="139"/>
      <c r="M41" s="139"/>
      <c r="N41" s="139"/>
      <c r="O41" s="139"/>
      <c r="P41" s="139"/>
      <c r="Q41" s="139"/>
      <c r="R41" s="139"/>
      <c r="S41" s="139"/>
      <c r="T41" s="139"/>
      <c r="U41" s="139"/>
      <c r="V41" s="139"/>
      <c r="W41" s="139"/>
      <c r="X41" s="139"/>
      <c r="Y41" s="139"/>
      <c r="Z41" s="139"/>
      <c r="AA41" s="139"/>
      <c r="AB41" s="139"/>
      <c r="AC41" s="139"/>
      <c r="AD41" s="139"/>
      <c r="AE41" s="139"/>
      <c r="AF41" s="139"/>
      <c r="AG41" s="139"/>
      <c r="AH41" s="139"/>
      <c r="AI41" s="139"/>
      <c r="AJ41" s="139"/>
    </row>
    <row r="42" spans="1:52" s="14" customFormat="1" ht="9" customHeight="1" x14ac:dyDescent="0.15">
      <c r="A42" s="128" t="s">
        <v>26</v>
      </c>
      <c r="B42" s="129"/>
      <c r="C42" s="129"/>
      <c r="D42" s="129"/>
      <c r="E42" s="129"/>
      <c r="F42" s="129"/>
      <c r="G42" s="129"/>
      <c r="H42" s="129"/>
      <c r="I42" s="129"/>
      <c r="J42" s="129"/>
      <c r="K42" s="129"/>
      <c r="L42" s="129"/>
      <c r="M42" s="129"/>
      <c r="N42" s="129"/>
      <c r="O42" s="129"/>
      <c r="P42" s="129"/>
      <c r="Q42" s="129"/>
      <c r="R42" s="129"/>
      <c r="S42" s="129"/>
      <c r="T42" s="129"/>
      <c r="U42" s="129"/>
      <c r="V42" s="129"/>
      <c r="W42" s="129"/>
      <c r="X42" s="129"/>
      <c r="Y42" s="129"/>
      <c r="Z42" s="129"/>
      <c r="AA42" s="129"/>
      <c r="AB42" s="129"/>
      <c r="AC42" s="129"/>
      <c r="AD42" s="129"/>
      <c r="AE42" s="129"/>
      <c r="AF42" s="129"/>
      <c r="AG42" s="129"/>
      <c r="AH42" s="129"/>
      <c r="AI42" s="129"/>
      <c r="AJ42" s="129"/>
    </row>
    <row r="43" spans="1:52" s="13" customFormat="1" ht="17.25" customHeight="1" x14ac:dyDescent="0.2">
      <c r="A43" s="126" t="s">
        <v>49</v>
      </c>
      <c r="B43" s="126"/>
      <c r="C43" s="126"/>
      <c r="D43" s="126"/>
      <c r="E43" s="126"/>
      <c r="F43" s="126"/>
      <c r="G43" s="126"/>
      <c r="H43" s="126"/>
      <c r="I43" s="126"/>
      <c r="J43" s="126"/>
      <c r="K43" s="126"/>
      <c r="L43" s="126"/>
      <c r="M43" s="126"/>
      <c r="N43" s="126"/>
      <c r="O43" s="126"/>
      <c r="P43" s="126"/>
      <c r="Q43" s="126"/>
      <c r="R43" s="126"/>
      <c r="S43" s="126"/>
      <c r="T43" s="126"/>
      <c r="U43" s="126"/>
      <c r="V43" s="126"/>
      <c r="W43" s="126"/>
      <c r="X43" s="126"/>
      <c r="Y43" s="126"/>
      <c r="Z43" s="126"/>
      <c r="AA43" s="126"/>
      <c r="AB43" s="126"/>
      <c r="AC43" s="126"/>
      <c r="AD43" s="126"/>
      <c r="AE43" s="126"/>
      <c r="AF43" s="126"/>
      <c r="AG43" s="126"/>
      <c r="AH43" s="126"/>
      <c r="AI43" s="126"/>
      <c r="AJ43" s="126"/>
    </row>
    <row r="44" spans="1:52" s="31" customFormat="1" ht="22.5" customHeight="1" x14ac:dyDescent="0.2">
      <c r="A44" s="127" t="str">
        <f>'Данные объект'!C18</f>
        <v>Инженер по строительному контролю ООО"Энергосистемы" Русин В.А..Приказ № 13-ОТ/25 от 05 мая 2025 (НОСТРОЙ С-50-085497)</v>
      </c>
      <c r="B44" s="127"/>
      <c r="C44" s="127"/>
      <c r="D44" s="127"/>
      <c r="E44" s="127"/>
      <c r="F44" s="127"/>
      <c r="G44" s="127"/>
      <c r="H44" s="127"/>
      <c r="I44" s="127"/>
      <c r="J44" s="127"/>
      <c r="K44" s="127"/>
      <c r="L44" s="127"/>
      <c r="M44" s="127"/>
      <c r="N44" s="127"/>
      <c r="O44" s="127"/>
      <c r="P44" s="127"/>
      <c r="Q44" s="127"/>
      <c r="R44" s="127"/>
      <c r="S44" s="127"/>
      <c r="T44" s="127"/>
      <c r="U44" s="127"/>
      <c r="V44" s="127"/>
      <c r="W44" s="127"/>
      <c r="X44" s="127"/>
      <c r="Y44" s="127"/>
      <c r="Z44" s="127"/>
      <c r="AA44" s="127"/>
      <c r="AB44" s="127"/>
      <c r="AC44" s="127"/>
      <c r="AD44" s="127"/>
      <c r="AE44" s="127"/>
      <c r="AF44" s="127"/>
      <c r="AG44" s="127"/>
      <c r="AH44" s="127"/>
      <c r="AI44" s="127"/>
      <c r="AJ44" s="127"/>
    </row>
    <row r="45" spans="1:52" s="14" customFormat="1" ht="30" customHeight="1" x14ac:dyDescent="0.15">
      <c r="A45" s="128" t="s">
        <v>50</v>
      </c>
      <c r="B45" s="129"/>
      <c r="C45" s="129"/>
      <c r="D45" s="129"/>
      <c r="E45" s="129"/>
      <c r="F45" s="129"/>
      <c r="G45" s="129"/>
      <c r="H45" s="129"/>
      <c r="I45" s="129"/>
      <c r="J45" s="129"/>
      <c r="K45" s="129"/>
      <c r="L45" s="129"/>
      <c r="M45" s="129"/>
      <c r="N45" s="129"/>
      <c r="O45" s="129"/>
      <c r="P45" s="129"/>
      <c r="Q45" s="129"/>
      <c r="R45" s="129"/>
      <c r="S45" s="129"/>
      <c r="T45" s="129"/>
      <c r="U45" s="129"/>
      <c r="V45" s="129"/>
      <c r="W45" s="129"/>
      <c r="X45" s="129"/>
      <c r="Y45" s="129"/>
      <c r="Z45" s="129"/>
      <c r="AA45" s="129"/>
      <c r="AB45" s="129"/>
      <c r="AC45" s="129"/>
      <c r="AD45" s="129"/>
      <c r="AE45" s="129"/>
      <c r="AF45" s="129"/>
      <c r="AG45" s="129"/>
      <c r="AH45" s="129"/>
      <c r="AI45" s="129"/>
      <c r="AJ45" s="129"/>
    </row>
    <row r="46" spans="1:52" s="14" customFormat="1" ht="11.25" x14ac:dyDescent="0.2">
      <c r="A46" s="126" t="s">
        <v>190</v>
      </c>
      <c r="B46" s="126"/>
      <c r="C46" s="126"/>
      <c r="D46" s="126"/>
      <c r="E46" s="126"/>
      <c r="F46" s="126"/>
      <c r="G46" s="126"/>
      <c r="H46" s="126"/>
      <c r="I46" s="126"/>
      <c r="J46" s="126"/>
      <c r="K46" s="126"/>
      <c r="L46" s="126"/>
      <c r="M46" s="126"/>
      <c r="N46" s="126"/>
      <c r="O46" s="126"/>
      <c r="P46" s="126"/>
      <c r="Q46" s="126"/>
      <c r="R46" s="126"/>
      <c r="S46" s="126"/>
      <c r="T46" s="126"/>
      <c r="U46" s="126"/>
      <c r="V46" s="126"/>
      <c r="W46" s="126"/>
      <c r="X46" s="126"/>
      <c r="Y46" s="126"/>
      <c r="Z46" s="126"/>
      <c r="AA46" s="126"/>
      <c r="AB46" s="126"/>
      <c r="AC46" s="126"/>
      <c r="AD46" s="126"/>
      <c r="AE46" s="126"/>
      <c r="AF46" s="126"/>
      <c r="AG46" s="126"/>
      <c r="AH46" s="126"/>
      <c r="AI46" s="126"/>
      <c r="AJ46" s="126"/>
    </row>
    <row r="47" spans="1:52" s="14" customFormat="1" ht="11.25" customHeight="1" x14ac:dyDescent="0.15">
      <c r="A47" s="127" t="str">
        <f>'Данные объект'!$C$36</f>
        <v>Мастер СРЭС СЭС филиала ПАО "Россети Московский регион" Курчин М.М.</v>
      </c>
      <c r="B47" s="127"/>
      <c r="C47" s="127"/>
      <c r="D47" s="127"/>
      <c r="E47" s="127"/>
      <c r="F47" s="127"/>
      <c r="G47" s="127"/>
      <c r="H47" s="127"/>
      <c r="I47" s="127"/>
      <c r="J47" s="127"/>
      <c r="K47" s="127"/>
      <c r="L47" s="127"/>
      <c r="M47" s="127"/>
      <c r="N47" s="127"/>
      <c r="O47" s="127"/>
      <c r="P47" s="127"/>
      <c r="Q47" s="127"/>
      <c r="R47" s="127"/>
      <c r="S47" s="127"/>
      <c r="T47" s="127"/>
      <c r="U47" s="127"/>
      <c r="V47" s="127"/>
      <c r="W47" s="127"/>
      <c r="X47" s="127"/>
      <c r="Y47" s="127"/>
      <c r="Z47" s="127"/>
      <c r="AA47" s="127"/>
      <c r="AB47" s="127"/>
      <c r="AC47" s="127"/>
      <c r="AD47" s="127"/>
      <c r="AE47" s="127"/>
      <c r="AF47" s="127"/>
      <c r="AG47" s="127"/>
      <c r="AH47" s="127"/>
      <c r="AI47" s="127"/>
      <c r="AJ47" s="127"/>
    </row>
    <row r="48" spans="1:52" s="14" customFormat="1" ht="8.25" x14ac:dyDescent="0.15">
      <c r="A48" s="128" t="s">
        <v>26</v>
      </c>
      <c r="B48" s="129"/>
      <c r="C48" s="129"/>
      <c r="D48" s="129"/>
      <c r="E48" s="129"/>
      <c r="F48" s="129"/>
      <c r="G48" s="129"/>
      <c r="H48" s="129"/>
      <c r="I48" s="129"/>
      <c r="J48" s="129"/>
      <c r="K48" s="129"/>
      <c r="L48" s="129"/>
      <c r="M48" s="129"/>
      <c r="N48" s="129"/>
      <c r="O48" s="129"/>
      <c r="P48" s="129"/>
      <c r="Q48" s="129"/>
      <c r="R48" s="129"/>
      <c r="S48" s="129"/>
      <c r="T48" s="129"/>
      <c r="U48" s="129"/>
      <c r="V48" s="129"/>
      <c r="W48" s="129"/>
      <c r="X48" s="129"/>
      <c r="Y48" s="129"/>
      <c r="Z48" s="129"/>
      <c r="AA48" s="129"/>
      <c r="AB48" s="129"/>
      <c r="AC48" s="129"/>
      <c r="AD48" s="129"/>
      <c r="AE48" s="129"/>
      <c r="AF48" s="129"/>
      <c r="AG48" s="129"/>
      <c r="AH48" s="129"/>
      <c r="AI48" s="129"/>
      <c r="AJ48" s="129"/>
    </row>
    <row r="49" spans="1:36" s="13" customFormat="1" ht="35.25" customHeight="1" x14ac:dyDescent="0.2">
      <c r="A49" s="136" t="s">
        <v>51</v>
      </c>
      <c r="B49" s="136"/>
      <c r="C49" s="136"/>
      <c r="D49" s="136"/>
      <c r="E49" s="136"/>
      <c r="F49" s="136"/>
      <c r="G49" s="136"/>
      <c r="H49" s="136"/>
      <c r="I49" s="136"/>
      <c r="J49" s="136"/>
      <c r="K49" s="136"/>
      <c r="L49" s="136"/>
      <c r="M49" s="136"/>
      <c r="N49" s="136"/>
      <c r="O49" s="136"/>
      <c r="P49" s="136"/>
      <c r="Q49" s="136"/>
      <c r="R49" s="136"/>
      <c r="S49" s="136"/>
      <c r="T49" s="136"/>
      <c r="U49" s="136"/>
      <c r="V49" s="136"/>
      <c r="W49" s="136"/>
      <c r="X49" s="136"/>
      <c r="Y49" s="136"/>
      <c r="Z49" s="136"/>
      <c r="AA49" s="136"/>
      <c r="AB49" s="136"/>
      <c r="AC49" s="136"/>
      <c r="AD49" s="136"/>
      <c r="AE49" s="136"/>
      <c r="AF49" s="136"/>
      <c r="AG49" s="136"/>
      <c r="AH49" s="136"/>
      <c r="AI49" s="136"/>
      <c r="AJ49" s="136"/>
    </row>
    <row r="50" spans="1:36" s="31" customFormat="1" ht="12.95" customHeight="1" x14ac:dyDescent="0.2">
      <c r="A50" s="139" t="s">
        <v>74</v>
      </c>
      <c r="B50" s="139"/>
      <c r="C50" s="139"/>
      <c r="D50" s="139"/>
      <c r="E50" s="139"/>
      <c r="F50" s="139"/>
      <c r="G50" s="139"/>
      <c r="H50" s="139"/>
      <c r="I50" s="139"/>
      <c r="J50" s="139"/>
      <c r="K50" s="139"/>
      <c r="L50" s="139"/>
      <c r="M50" s="139"/>
      <c r="N50" s="139"/>
      <c r="O50" s="139"/>
      <c r="P50" s="139"/>
      <c r="Q50" s="139"/>
      <c r="R50" s="139"/>
      <c r="S50" s="139"/>
      <c r="T50" s="139"/>
      <c r="U50" s="139"/>
      <c r="V50" s="139"/>
      <c r="W50" s="139"/>
      <c r="X50" s="139"/>
      <c r="Y50" s="139"/>
      <c r="Z50" s="139"/>
      <c r="AA50" s="139"/>
      <c r="AB50" s="139"/>
      <c r="AC50" s="139"/>
      <c r="AD50" s="139"/>
      <c r="AE50" s="139"/>
      <c r="AF50" s="139"/>
      <c r="AG50" s="139"/>
      <c r="AH50" s="139"/>
      <c r="AI50" s="139"/>
      <c r="AJ50" s="139"/>
    </row>
    <row r="51" spans="1:36" s="14" customFormat="1" ht="29.25" customHeight="1" x14ac:dyDescent="0.15">
      <c r="A51" s="128" t="s">
        <v>52</v>
      </c>
      <c r="B51" s="129"/>
      <c r="C51" s="129"/>
      <c r="D51" s="129"/>
      <c r="E51" s="129"/>
      <c r="F51" s="129"/>
      <c r="G51" s="129"/>
      <c r="H51" s="129"/>
      <c r="I51" s="129"/>
      <c r="J51" s="129"/>
      <c r="K51" s="129"/>
      <c r="L51" s="129"/>
      <c r="M51" s="129"/>
      <c r="N51" s="129"/>
      <c r="O51" s="129"/>
      <c r="P51" s="129"/>
      <c r="Q51" s="129"/>
      <c r="R51" s="129"/>
      <c r="S51" s="129"/>
      <c r="T51" s="129"/>
      <c r="U51" s="129"/>
      <c r="V51" s="129"/>
      <c r="W51" s="129"/>
      <c r="X51" s="129"/>
      <c r="Y51" s="129"/>
      <c r="Z51" s="129"/>
      <c r="AA51" s="129"/>
      <c r="AB51" s="129"/>
      <c r="AC51" s="129"/>
      <c r="AD51" s="129"/>
      <c r="AE51" s="129"/>
      <c r="AF51" s="129"/>
      <c r="AG51" s="129"/>
      <c r="AH51" s="129"/>
      <c r="AI51" s="129"/>
      <c r="AJ51" s="129"/>
    </row>
    <row r="52" spans="1:36" s="13" customFormat="1" ht="25.5" hidden="1" customHeight="1" x14ac:dyDescent="0.2">
      <c r="A52" s="136" t="s">
        <v>53</v>
      </c>
      <c r="B52" s="136"/>
      <c r="C52" s="136"/>
      <c r="D52" s="136"/>
      <c r="E52" s="136"/>
      <c r="F52" s="136"/>
      <c r="G52" s="136"/>
      <c r="H52" s="136"/>
      <c r="I52" s="136"/>
      <c r="J52" s="136"/>
      <c r="K52" s="136"/>
      <c r="L52" s="136"/>
      <c r="M52" s="136"/>
      <c r="N52" s="136"/>
      <c r="O52" s="136"/>
      <c r="P52" s="136"/>
      <c r="Q52" s="136"/>
      <c r="R52" s="136"/>
      <c r="S52" s="136"/>
      <c r="T52" s="136"/>
      <c r="U52" s="136"/>
      <c r="V52" s="136"/>
      <c r="W52" s="136"/>
      <c r="X52" s="136"/>
      <c r="Y52" s="136"/>
      <c r="Z52" s="136"/>
      <c r="AA52" s="136"/>
      <c r="AB52" s="136"/>
      <c r="AC52" s="136"/>
      <c r="AD52" s="136"/>
      <c r="AE52" s="136"/>
      <c r="AF52" s="136"/>
      <c r="AG52" s="136"/>
      <c r="AH52" s="136"/>
      <c r="AI52" s="136"/>
      <c r="AJ52" s="136"/>
    </row>
    <row r="53" spans="1:36" s="13" customFormat="1" ht="12" hidden="1" customHeight="1" x14ac:dyDescent="0.2">
      <c r="A53" s="127" t="e">
        <f>CONCATENATE(#REF!,", ",#REF!," - ",#REF!)</f>
        <v>#REF!</v>
      </c>
      <c r="B53" s="127"/>
      <c r="C53" s="127"/>
      <c r="D53" s="127"/>
      <c r="E53" s="127"/>
      <c r="F53" s="127"/>
      <c r="G53" s="127"/>
      <c r="H53" s="127"/>
      <c r="I53" s="127"/>
      <c r="J53" s="127"/>
      <c r="K53" s="127"/>
      <c r="L53" s="127"/>
      <c r="M53" s="127"/>
      <c r="N53" s="127"/>
      <c r="O53" s="127"/>
      <c r="P53" s="127"/>
      <c r="Q53" s="127"/>
      <c r="R53" s="127"/>
      <c r="S53" s="127"/>
      <c r="T53" s="127"/>
      <c r="U53" s="127"/>
      <c r="V53" s="127"/>
      <c r="W53" s="127"/>
      <c r="X53" s="127"/>
      <c r="Y53" s="127"/>
      <c r="Z53" s="127"/>
      <c r="AA53" s="127"/>
      <c r="AB53" s="127"/>
      <c r="AC53" s="127"/>
      <c r="AD53" s="127"/>
      <c r="AE53" s="127"/>
      <c r="AF53" s="127"/>
      <c r="AG53" s="127"/>
      <c r="AH53" s="127"/>
      <c r="AI53" s="127"/>
      <c r="AJ53" s="127"/>
    </row>
    <row r="54" spans="1:36" s="14" customFormat="1" ht="9.75" hidden="1" customHeight="1" x14ac:dyDescent="0.15">
      <c r="A54" s="128" t="s">
        <v>29</v>
      </c>
      <c r="B54" s="129"/>
      <c r="C54" s="129"/>
      <c r="D54" s="129"/>
      <c r="E54" s="129"/>
      <c r="F54" s="129"/>
      <c r="G54" s="129"/>
      <c r="H54" s="129"/>
      <c r="I54" s="129"/>
      <c r="J54" s="129"/>
      <c r="K54" s="129"/>
      <c r="L54" s="129"/>
      <c r="M54" s="129"/>
      <c r="N54" s="129"/>
      <c r="O54" s="129"/>
      <c r="P54" s="129"/>
      <c r="Q54" s="129"/>
      <c r="R54" s="129"/>
      <c r="S54" s="129"/>
      <c r="T54" s="129"/>
      <c r="U54" s="129"/>
      <c r="V54" s="129"/>
      <c r="W54" s="129"/>
      <c r="X54" s="129"/>
      <c r="Y54" s="129"/>
      <c r="Z54" s="129"/>
      <c r="AA54" s="129"/>
      <c r="AB54" s="129"/>
      <c r="AC54" s="129"/>
      <c r="AD54" s="129"/>
      <c r="AE54" s="129"/>
      <c r="AF54" s="129"/>
      <c r="AG54" s="129"/>
      <c r="AH54" s="129"/>
      <c r="AI54" s="129"/>
      <c r="AJ54" s="129"/>
    </row>
    <row r="55" spans="1:36" s="13" customFormat="1" ht="12" hidden="1" customHeight="1" x14ac:dyDescent="0.2">
      <c r="A55" s="127"/>
      <c r="B55" s="127"/>
      <c r="C55" s="127"/>
      <c r="D55" s="127"/>
      <c r="E55" s="127"/>
      <c r="F55" s="127"/>
      <c r="G55" s="127"/>
      <c r="H55" s="127"/>
      <c r="I55" s="127"/>
      <c r="J55" s="127"/>
      <c r="K55" s="127"/>
      <c r="L55" s="127"/>
      <c r="M55" s="127"/>
      <c r="N55" s="127"/>
      <c r="O55" s="127"/>
      <c r="P55" s="127"/>
      <c r="Q55" s="127"/>
      <c r="R55" s="127"/>
      <c r="S55" s="127"/>
      <c r="T55" s="127"/>
      <c r="U55" s="127"/>
      <c r="V55" s="127"/>
      <c r="W55" s="127"/>
      <c r="X55" s="127"/>
      <c r="Y55" s="127"/>
      <c r="Z55" s="127"/>
      <c r="AA55" s="127"/>
      <c r="AB55" s="127"/>
      <c r="AC55" s="127"/>
      <c r="AD55" s="127"/>
      <c r="AE55" s="127"/>
      <c r="AF55" s="127"/>
      <c r="AG55" s="127"/>
      <c r="AH55" s="127"/>
      <c r="AI55" s="127"/>
      <c r="AJ55" s="127"/>
    </row>
    <row r="56" spans="1:36" s="14" customFormat="1" ht="16.5" hidden="1" customHeight="1" x14ac:dyDescent="0.15">
      <c r="A56" s="128" t="s">
        <v>54</v>
      </c>
      <c r="B56" s="128"/>
      <c r="C56" s="128"/>
      <c r="D56" s="128"/>
      <c r="E56" s="128"/>
      <c r="F56" s="128"/>
      <c r="G56" s="128"/>
      <c r="H56" s="128"/>
      <c r="I56" s="128"/>
      <c r="J56" s="128"/>
      <c r="K56" s="128"/>
      <c r="L56" s="128"/>
      <c r="M56" s="128"/>
      <c r="N56" s="128"/>
      <c r="O56" s="128"/>
      <c r="P56" s="128"/>
      <c r="Q56" s="128"/>
      <c r="R56" s="128"/>
      <c r="S56" s="128"/>
      <c r="T56" s="128"/>
      <c r="U56" s="128"/>
      <c r="V56" s="128"/>
      <c r="W56" s="128"/>
      <c r="X56" s="128"/>
      <c r="Y56" s="128"/>
      <c r="Z56" s="128"/>
      <c r="AA56" s="128"/>
      <c r="AB56" s="128"/>
      <c r="AC56" s="128"/>
      <c r="AD56" s="128"/>
      <c r="AE56" s="128"/>
      <c r="AF56" s="128"/>
      <c r="AG56" s="128"/>
      <c r="AH56" s="128"/>
      <c r="AI56" s="128"/>
      <c r="AJ56" s="128"/>
    </row>
    <row r="57" spans="1:36" s="13" customFormat="1" ht="12" customHeight="1" x14ac:dyDescent="0.2">
      <c r="A57" s="13" t="s">
        <v>16</v>
      </c>
    </row>
    <row r="58" spans="1:36" s="13" customFormat="1" ht="12.95" customHeight="1" x14ac:dyDescent="0.2">
      <c r="A58" s="130" t="str">
        <f>'Данные объект'!B11</f>
        <v>ООО"Энергосистемы"</v>
      </c>
      <c r="B58" s="130"/>
      <c r="C58" s="130"/>
      <c r="D58" s="130"/>
      <c r="E58" s="130"/>
      <c r="F58" s="130"/>
      <c r="G58" s="130"/>
      <c r="H58" s="130"/>
      <c r="I58" s="130"/>
      <c r="J58" s="130"/>
      <c r="K58" s="130"/>
      <c r="L58" s="130"/>
      <c r="M58" s="130"/>
      <c r="N58" s="130"/>
      <c r="O58" s="130"/>
      <c r="P58" s="130"/>
      <c r="Q58" s="130"/>
      <c r="R58" s="130"/>
      <c r="S58" s="130"/>
      <c r="T58" s="130"/>
      <c r="U58" s="130"/>
      <c r="V58" s="130"/>
      <c r="W58" s="130"/>
      <c r="X58" s="130"/>
      <c r="Y58" s="130"/>
      <c r="Z58" s="130"/>
      <c r="AA58" s="130"/>
      <c r="AB58" s="130"/>
      <c r="AC58" s="130"/>
      <c r="AD58" s="130"/>
      <c r="AE58" s="130"/>
      <c r="AF58" s="130"/>
      <c r="AG58" s="130"/>
      <c r="AH58" s="130"/>
      <c r="AI58" s="130"/>
      <c r="AJ58" s="130"/>
    </row>
    <row r="59" spans="1:36" s="14" customFormat="1" ht="10.5" customHeight="1" x14ac:dyDescent="0.15">
      <c r="A59" s="134" t="s">
        <v>38</v>
      </c>
      <c r="B59" s="134"/>
      <c r="C59" s="134"/>
      <c r="D59" s="134"/>
      <c r="E59" s="134"/>
      <c r="F59" s="134"/>
      <c r="G59" s="134"/>
      <c r="H59" s="134"/>
      <c r="I59" s="134"/>
      <c r="J59" s="134"/>
      <c r="K59" s="134"/>
      <c r="L59" s="134"/>
      <c r="M59" s="134"/>
      <c r="N59" s="134"/>
      <c r="O59" s="134"/>
      <c r="P59" s="134"/>
      <c r="Q59" s="134"/>
      <c r="R59" s="134"/>
      <c r="S59" s="134"/>
      <c r="T59" s="134"/>
      <c r="U59" s="134"/>
      <c r="V59" s="134"/>
      <c r="W59" s="134"/>
      <c r="X59" s="134"/>
      <c r="Y59" s="134"/>
      <c r="Z59" s="134"/>
      <c r="AA59" s="134"/>
      <c r="AB59" s="134"/>
      <c r="AC59" s="134"/>
      <c r="AD59" s="134"/>
      <c r="AE59" s="134"/>
      <c r="AF59" s="134"/>
      <c r="AG59" s="134"/>
      <c r="AH59" s="134"/>
      <c r="AI59" s="134"/>
      <c r="AJ59" s="134"/>
    </row>
    <row r="60" spans="1:36" s="13" customFormat="1" ht="12" customHeight="1" x14ac:dyDescent="0.2">
      <c r="A60" s="13" t="s">
        <v>15</v>
      </c>
    </row>
    <row r="61" spans="1:36" s="13" customFormat="1" ht="12" customHeight="1" x14ac:dyDescent="0.2">
      <c r="A61" s="13" t="s">
        <v>30</v>
      </c>
      <c r="T61" s="101"/>
    </row>
    <row r="62" spans="1:36" s="13" customFormat="1" ht="23.25" customHeight="1" x14ac:dyDescent="0.2">
      <c r="A62" s="162" t="s">
        <v>206</v>
      </c>
      <c r="B62" s="162"/>
      <c r="C62" s="162"/>
      <c r="D62" s="162"/>
      <c r="E62" s="162"/>
      <c r="F62" s="162"/>
      <c r="G62" s="73"/>
      <c r="H62" s="138" t="s">
        <v>207</v>
      </c>
      <c r="I62" s="138"/>
      <c r="J62" s="138"/>
      <c r="K62" s="138"/>
      <c r="L62" s="138"/>
      <c r="M62" s="138"/>
      <c r="N62" s="73"/>
      <c r="O62" s="112" t="s">
        <v>74</v>
      </c>
      <c r="P62" s="82"/>
      <c r="Q62" s="82" t="s">
        <v>204</v>
      </c>
      <c r="R62" s="82"/>
      <c r="S62" s="82"/>
      <c r="T62" s="111"/>
      <c r="U62" s="81"/>
      <c r="V62" s="82"/>
      <c r="W62" s="82"/>
      <c r="X62" s="82"/>
      <c r="Y62" s="82"/>
      <c r="Z62" s="82"/>
      <c r="AA62" s="82"/>
      <c r="AB62" s="82"/>
      <c r="AC62" s="82"/>
      <c r="AD62" s="82"/>
      <c r="AE62" s="82"/>
      <c r="AF62" s="82"/>
      <c r="AG62" s="82"/>
      <c r="AH62" s="82"/>
      <c r="AI62" s="82"/>
      <c r="AJ62" s="82"/>
    </row>
    <row r="63" spans="1:36" s="14" customFormat="1" ht="8.25" customHeight="1" x14ac:dyDescent="0.15">
      <c r="A63" s="153" t="s">
        <v>14</v>
      </c>
      <c r="B63" s="154"/>
      <c r="C63" s="154"/>
      <c r="D63" s="154"/>
      <c r="E63" s="154"/>
      <c r="F63" s="154"/>
      <c r="G63" s="154"/>
      <c r="H63" s="154"/>
      <c r="I63" s="154"/>
      <c r="J63" s="154"/>
      <c r="K63" s="154"/>
      <c r="L63" s="154"/>
      <c r="M63" s="154"/>
      <c r="N63" s="154"/>
      <c r="O63" s="154"/>
      <c r="P63" s="154"/>
      <c r="Q63" s="154"/>
      <c r="R63" s="154"/>
      <c r="S63" s="154"/>
      <c r="T63" s="154"/>
      <c r="U63" s="154"/>
      <c r="V63" s="154"/>
      <c r="W63" s="154"/>
      <c r="X63" s="154"/>
      <c r="Y63" s="154"/>
      <c r="Z63" s="154"/>
      <c r="AA63" s="154"/>
      <c r="AB63" s="154"/>
      <c r="AC63" s="154"/>
      <c r="AD63" s="154"/>
      <c r="AE63" s="154"/>
      <c r="AF63" s="154"/>
      <c r="AG63" s="154"/>
      <c r="AH63" s="154"/>
      <c r="AI63" s="154"/>
      <c r="AJ63" s="154"/>
    </row>
    <row r="64" spans="1:36" s="13" customFormat="1" ht="12" customHeight="1" x14ac:dyDescent="0.2">
      <c r="A64" s="67" t="s">
        <v>13</v>
      </c>
      <c r="B64" s="67"/>
      <c r="C64" s="67"/>
      <c r="D64" s="67"/>
      <c r="E64" s="67"/>
      <c r="F64" s="67"/>
      <c r="G64" s="67"/>
      <c r="H64" s="67"/>
      <c r="I64" s="67"/>
      <c r="J64" s="67"/>
      <c r="K64" s="67"/>
      <c r="L64" s="67"/>
      <c r="M64" s="67"/>
      <c r="N64" s="67"/>
      <c r="O64" s="67"/>
      <c r="P64" s="67"/>
      <c r="Q64" s="67"/>
      <c r="R64" s="67"/>
      <c r="S64" s="67"/>
      <c r="T64" s="67"/>
      <c r="U64" s="67"/>
      <c r="V64" s="67"/>
      <c r="W64" s="67"/>
      <c r="X64" s="67"/>
      <c r="Y64" s="67"/>
      <c r="Z64" s="67"/>
      <c r="AA64" s="67"/>
      <c r="AB64" s="67"/>
      <c r="AC64" s="67"/>
      <c r="AD64" s="67"/>
      <c r="AE64" s="67"/>
      <c r="AF64" s="67"/>
      <c r="AG64" s="67"/>
      <c r="AH64" s="67"/>
      <c r="AI64" s="67"/>
      <c r="AJ64" s="67"/>
    </row>
    <row r="65" spans="1:36" s="13" customFormat="1" ht="12" customHeight="1" x14ac:dyDescent="0.2">
      <c r="A65" s="141" t="str">
        <f>'Данные объект'!B43</f>
        <v>4609-305042-221-10/24</v>
      </c>
      <c r="B65" s="141"/>
      <c r="C65" s="141"/>
      <c r="D65" s="141"/>
      <c r="E65" s="141"/>
      <c r="F65" s="141"/>
      <c r="G65" s="141"/>
      <c r="H65" s="141"/>
      <c r="I65" s="141"/>
      <c r="J65" s="141"/>
      <c r="K65" s="141"/>
      <c r="L65" s="141"/>
      <c r="M65" s="141"/>
      <c r="N65" s="141"/>
      <c r="O65" s="141"/>
      <c r="P65" s="141"/>
      <c r="Q65" s="141"/>
      <c r="R65" s="141"/>
      <c r="S65" s="141"/>
      <c r="T65" s="141"/>
      <c r="U65" s="141"/>
      <c r="V65" s="141"/>
      <c r="W65" s="141"/>
      <c r="X65" s="141"/>
      <c r="Y65" s="141"/>
      <c r="Z65" s="141"/>
      <c r="AA65" s="141"/>
      <c r="AB65" s="141"/>
      <c r="AC65" s="141"/>
      <c r="AD65" s="141"/>
      <c r="AE65" s="141"/>
      <c r="AF65" s="141"/>
      <c r="AG65" s="141"/>
      <c r="AH65" s="141"/>
      <c r="AI65" s="141"/>
      <c r="AJ65" s="141"/>
    </row>
    <row r="66" spans="1:36" s="14" customFormat="1" ht="15" customHeight="1" x14ac:dyDescent="0.15">
      <c r="A66" s="153" t="s">
        <v>39</v>
      </c>
      <c r="B66" s="154"/>
      <c r="C66" s="154"/>
      <c r="D66" s="154"/>
      <c r="E66" s="154"/>
      <c r="F66" s="154"/>
      <c r="G66" s="154"/>
      <c r="H66" s="154"/>
      <c r="I66" s="154"/>
      <c r="J66" s="154"/>
      <c r="K66" s="154"/>
      <c r="L66" s="154"/>
      <c r="M66" s="154"/>
      <c r="N66" s="154"/>
      <c r="O66" s="154"/>
      <c r="P66" s="154"/>
      <c r="Q66" s="154"/>
      <c r="R66" s="154"/>
      <c r="S66" s="154"/>
      <c r="T66" s="154"/>
      <c r="U66" s="154"/>
      <c r="V66" s="154"/>
      <c r="W66" s="154"/>
      <c r="X66" s="154"/>
      <c r="Y66" s="154"/>
      <c r="Z66" s="154"/>
      <c r="AA66" s="154"/>
      <c r="AB66" s="154"/>
      <c r="AC66" s="154"/>
      <c r="AD66" s="154"/>
      <c r="AE66" s="154"/>
      <c r="AF66" s="154"/>
      <c r="AG66" s="154"/>
      <c r="AH66" s="154"/>
      <c r="AI66" s="154"/>
      <c r="AJ66" s="154"/>
    </row>
    <row r="67" spans="1:36" s="13" customFormat="1" ht="12" customHeight="1" x14ac:dyDescent="0.2">
      <c r="A67" s="67" t="s">
        <v>12</v>
      </c>
      <c r="B67" s="67"/>
      <c r="C67" s="67"/>
      <c r="D67" s="67"/>
      <c r="E67" s="67"/>
      <c r="F67" s="67"/>
      <c r="G67" s="67"/>
      <c r="H67" s="67"/>
      <c r="I67" s="67"/>
      <c r="J67" s="67"/>
      <c r="K67" s="67"/>
      <c r="L67" s="67"/>
      <c r="M67" s="67"/>
      <c r="N67" s="67"/>
      <c r="O67" s="67"/>
      <c r="P67" s="155"/>
      <c r="Q67" s="155"/>
      <c r="R67" s="155"/>
      <c r="S67" s="155"/>
      <c r="T67" s="155"/>
      <c r="U67" s="155"/>
      <c r="V67" s="155"/>
      <c r="W67" s="155"/>
      <c r="X67" s="155"/>
      <c r="Y67" s="155"/>
      <c r="Z67" s="155"/>
      <c r="AA67" s="155"/>
      <c r="AB67" s="155"/>
      <c r="AC67" s="155"/>
      <c r="AD67" s="155"/>
      <c r="AE67" s="155"/>
      <c r="AF67" s="155"/>
      <c r="AG67" s="155"/>
      <c r="AH67" s="155"/>
      <c r="AI67" s="155"/>
      <c r="AJ67" s="155"/>
    </row>
    <row r="68" spans="1:36" s="18" customFormat="1" ht="7.5" customHeight="1" x14ac:dyDescent="0.15">
      <c r="A68" s="68"/>
      <c r="B68" s="68"/>
      <c r="C68" s="68"/>
      <c r="D68" s="68"/>
      <c r="E68" s="68"/>
      <c r="F68" s="68"/>
      <c r="G68" s="68"/>
      <c r="H68" s="68"/>
      <c r="I68" s="68"/>
      <c r="J68" s="68"/>
      <c r="K68" s="68"/>
      <c r="L68" s="68"/>
      <c r="M68" s="68"/>
      <c r="N68" s="68"/>
      <c r="O68" s="68"/>
      <c r="P68" s="156" t="s">
        <v>55</v>
      </c>
      <c r="Q68" s="156"/>
      <c r="R68" s="156"/>
      <c r="S68" s="156"/>
      <c r="T68" s="156"/>
      <c r="U68" s="156"/>
      <c r="V68" s="156"/>
      <c r="W68" s="156"/>
      <c r="X68" s="156"/>
      <c r="Y68" s="156"/>
      <c r="Z68" s="156"/>
      <c r="AA68" s="156"/>
      <c r="AB68" s="156"/>
      <c r="AC68" s="156"/>
      <c r="AD68" s="156"/>
      <c r="AE68" s="156"/>
      <c r="AF68" s="156"/>
      <c r="AG68" s="156"/>
      <c r="AH68" s="156"/>
      <c r="AI68" s="156"/>
      <c r="AJ68" s="156"/>
    </row>
    <row r="69" spans="1:36" s="13" customFormat="1" ht="18" customHeight="1" x14ac:dyDescent="0.2">
      <c r="A69" s="140" t="str">
        <f>H62</f>
        <v>Стабитерм-225</v>
      </c>
      <c r="B69" s="140"/>
      <c r="C69" s="140"/>
      <c r="D69" s="140"/>
      <c r="E69" s="140"/>
      <c r="F69" s="140"/>
      <c r="G69" s="140"/>
      <c r="H69" s="101"/>
      <c r="I69" s="101"/>
      <c r="J69" s="71" t="s">
        <v>74</v>
      </c>
      <c r="K69" s="141">
        <f>P62</f>
        <v>0</v>
      </c>
      <c r="L69" s="141"/>
      <c r="M69" s="141"/>
      <c r="N69" s="141"/>
      <c r="O69" s="74" t="str">
        <f>Q62</f>
        <v>м2</v>
      </c>
      <c r="P69" s="81"/>
      <c r="Q69" s="98" t="s">
        <v>203</v>
      </c>
      <c r="R69" s="98"/>
      <c r="S69" s="98"/>
      <c r="T69" s="98"/>
      <c r="U69" s="98"/>
      <c r="V69" s="98"/>
      <c r="W69" s="98"/>
      <c r="X69" s="98"/>
      <c r="Y69" s="98"/>
      <c r="Z69" s="98"/>
      <c r="AA69" s="98"/>
      <c r="AB69" s="98"/>
      <c r="AC69" s="98"/>
      <c r="AD69" s="98"/>
      <c r="AE69" s="98"/>
      <c r="AF69" s="98"/>
      <c r="AG69" s="99"/>
      <c r="AH69" s="81"/>
      <c r="AI69" s="81"/>
      <c r="AJ69" s="81"/>
    </row>
    <row r="70" spans="1:36" s="14" customFormat="1" ht="18.75" customHeight="1" x14ac:dyDescent="0.15">
      <c r="A70" s="128" t="s">
        <v>56</v>
      </c>
      <c r="B70" s="129"/>
      <c r="C70" s="129"/>
      <c r="D70" s="129"/>
      <c r="E70" s="129"/>
      <c r="F70" s="129"/>
      <c r="G70" s="129"/>
      <c r="H70" s="129"/>
      <c r="I70" s="129"/>
      <c r="J70" s="129"/>
      <c r="K70" s="129"/>
      <c r="L70" s="129"/>
      <c r="M70" s="129"/>
      <c r="N70" s="129"/>
      <c r="O70" s="129"/>
      <c r="P70" s="129"/>
      <c r="Q70" s="129"/>
      <c r="R70" s="129"/>
      <c r="S70" s="129"/>
      <c r="T70" s="129"/>
      <c r="U70" s="129"/>
      <c r="V70" s="129"/>
      <c r="W70" s="129"/>
      <c r="X70" s="129"/>
      <c r="Y70" s="129"/>
      <c r="Z70" s="129"/>
      <c r="AA70" s="129"/>
      <c r="AB70" s="129"/>
      <c r="AC70" s="129"/>
      <c r="AD70" s="129"/>
      <c r="AE70" s="129"/>
      <c r="AF70" s="129"/>
      <c r="AG70" s="129"/>
      <c r="AH70" s="129"/>
      <c r="AI70" s="129"/>
      <c r="AJ70" s="129"/>
    </row>
    <row r="71" spans="1:36" s="13" customFormat="1" ht="12" customHeight="1" x14ac:dyDescent="0.2">
      <c r="A71" s="13" t="s">
        <v>11</v>
      </c>
    </row>
    <row r="72" spans="1:36" s="13" customFormat="1" ht="12" customHeight="1" x14ac:dyDescent="0.2">
      <c r="A72" s="13" t="s">
        <v>10</v>
      </c>
      <c r="G72" s="130" t="s">
        <v>209</v>
      </c>
      <c r="H72" s="130"/>
      <c r="I72" s="130"/>
      <c r="J72" s="130"/>
      <c r="K72" s="130"/>
      <c r="L72" s="130"/>
      <c r="M72" s="130"/>
      <c r="N72" s="130"/>
      <c r="O72" s="130"/>
      <c r="P72" s="130"/>
      <c r="Q72" s="130"/>
      <c r="R72" s="130"/>
      <c r="S72" s="130"/>
      <c r="T72" s="130"/>
      <c r="U72" s="130"/>
      <c r="V72" s="25" t="s">
        <v>88</v>
      </c>
      <c r="W72" s="130"/>
      <c r="X72" s="130"/>
      <c r="Y72" s="130"/>
      <c r="Z72" s="130"/>
      <c r="AA72" s="130"/>
      <c r="AB72" s="130"/>
      <c r="AC72" s="130"/>
      <c r="AD72" s="130"/>
      <c r="AE72" s="130"/>
      <c r="AF72" s="130"/>
      <c r="AG72" s="130"/>
      <c r="AH72" s="130"/>
      <c r="AI72" s="130"/>
      <c r="AJ72" s="130"/>
    </row>
    <row r="73" spans="1:36" s="14" customFormat="1" ht="7.5" customHeight="1" x14ac:dyDescent="0.15">
      <c r="A73" s="133"/>
      <c r="B73" s="133"/>
      <c r="C73" s="20"/>
      <c r="D73" s="20"/>
      <c r="E73" s="20"/>
      <c r="F73" s="20"/>
      <c r="G73" s="129" t="s">
        <v>9</v>
      </c>
      <c r="H73" s="129"/>
      <c r="I73" s="129"/>
      <c r="J73" s="129"/>
      <c r="K73" s="129"/>
      <c r="L73" s="129"/>
      <c r="M73" s="129"/>
      <c r="N73" s="129"/>
      <c r="O73" s="129"/>
      <c r="P73" s="129"/>
      <c r="Q73" s="129"/>
      <c r="R73" s="129"/>
      <c r="S73" s="129"/>
      <c r="T73" s="129"/>
      <c r="U73" s="129"/>
      <c r="V73" s="129"/>
      <c r="W73" s="129"/>
      <c r="X73" s="129"/>
      <c r="Y73" s="129"/>
      <c r="Z73" s="129"/>
      <c r="AA73" s="129"/>
      <c r="AB73" s="129"/>
      <c r="AC73" s="129"/>
      <c r="AD73" s="129"/>
      <c r="AE73" s="129"/>
      <c r="AF73" s="129"/>
      <c r="AG73" s="129"/>
      <c r="AH73" s="129"/>
      <c r="AI73" s="129"/>
      <c r="AJ73" s="129"/>
    </row>
    <row r="74" spans="1:36" s="13" customFormat="1" ht="12" customHeight="1" x14ac:dyDescent="0.2">
      <c r="A74" s="130"/>
      <c r="B74" s="130"/>
      <c r="C74" s="130"/>
      <c r="D74" s="130"/>
      <c r="E74" s="130"/>
      <c r="F74" s="130"/>
      <c r="G74" s="130"/>
      <c r="H74" s="130"/>
      <c r="I74" s="130"/>
      <c r="J74" s="130"/>
      <c r="K74" s="130"/>
      <c r="L74" s="130"/>
      <c r="M74" s="130"/>
      <c r="N74" s="130"/>
      <c r="O74" s="130"/>
      <c r="P74" s="130"/>
      <c r="Q74" s="130"/>
      <c r="R74" s="130"/>
      <c r="S74" s="130"/>
      <c r="T74" s="130"/>
      <c r="U74" s="130"/>
      <c r="V74" s="130"/>
      <c r="W74" s="130"/>
      <c r="X74" s="130"/>
      <c r="Y74" s="130"/>
      <c r="Z74" s="130"/>
      <c r="AA74" s="130"/>
      <c r="AB74" s="130"/>
      <c r="AC74" s="130"/>
      <c r="AD74" s="130"/>
      <c r="AE74" s="130"/>
      <c r="AF74" s="130"/>
      <c r="AG74" s="130"/>
      <c r="AH74" s="130"/>
      <c r="AI74" s="130"/>
      <c r="AJ74" s="130"/>
    </row>
    <row r="75" spans="1:36" s="14" customFormat="1" ht="7.5" customHeight="1" x14ac:dyDescent="0.15">
      <c r="A75" s="128" t="s">
        <v>31</v>
      </c>
      <c r="B75" s="129"/>
      <c r="C75" s="129"/>
      <c r="D75" s="129"/>
      <c r="E75" s="129"/>
      <c r="F75" s="129"/>
      <c r="G75" s="129"/>
      <c r="H75" s="129"/>
      <c r="I75" s="129"/>
      <c r="J75" s="129"/>
      <c r="K75" s="129"/>
      <c r="L75" s="129"/>
      <c r="M75" s="129"/>
      <c r="N75" s="129"/>
      <c r="O75" s="129"/>
      <c r="P75" s="129"/>
      <c r="Q75" s="129"/>
      <c r="R75" s="129"/>
      <c r="S75" s="129"/>
      <c r="T75" s="129"/>
      <c r="U75" s="129"/>
      <c r="V75" s="129"/>
      <c r="W75" s="129"/>
      <c r="X75" s="129"/>
      <c r="Y75" s="129"/>
      <c r="Z75" s="129"/>
      <c r="AA75" s="129"/>
      <c r="AB75" s="129"/>
      <c r="AC75" s="129"/>
      <c r="AD75" s="129"/>
      <c r="AE75" s="129"/>
      <c r="AF75" s="129"/>
      <c r="AG75" s="129"/>
      <c r="AH75" s="129"/>
      <c r="AI75" s="129"/>
      <c r="AJ75" s="129"/>
    </row>
    <row r="76" spans="1:36" ht="9" customHeight="1" x14ac:dyDescent="0.25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9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  <c r="AC76" s="8"/>
      <c r="AD76" s="8"/>
      <c r="AE76" s="8"/>
      <c r="AF76" s="8"/>
      <c r="AG76" s="8"/>
      <c r="AH76" s="8"/>
      <c r="AI76" s="8"/>
      <c r="AJ76" s="8"/>
    </row>
    <row r="77" spans="1:36" s="13" customFormat="1" ht="12" customHeight="1" x14ac:dyDescent="0.2">
      <c r="A77" s="13" t="s">
        <v>8</v>
      </c>
      <c r="D77" s="28"/>
      <c r="E77" s="28"/>
      <c r="F77" s="28"/>
      <c r="G77" s="28"/>
      <c r="L77" s="21"/>
      <c r="M77" s="32"/>
      <c r="N77" s="32"/>
      <c r="P77" s="131">
        <f>'Данные объект'!B6</f>
        <v>45695</v>
      </c>
      <c r="Q77" s="131"/>
      <c r="R77" s="131"/>
      <c r="S77" s="131"/>
      <c r="T77" s="131"/>
      <c r="U77" s="131"/>
      <c r="V77" s="131"/>
      <c r="W77" s="131"/>
      <c r="X77" s="13" t="s">
        <v>6</v>
      </c>
    </row>
    <row r="78" spans="1:36" s="13" customFormat="1" ht="12" customHeight="1" x14ac:dyDescent="0.2">
      <c r="A78" s="13" t="s">
        <v>7</v>
      </c>
      <c r="D78" s="28"/>
      <c r="E78" s="28"/>
      <c r="F78" s="28"/>
      <c r="G78" s="28"/>
      <c r="L78" s="21"/>
      <c r="M78" s="32"/>
      <c r="N78" s="32"/>
      <c r="P78" s="132">
        <f>'Данные объект'!B7</f>
        <v>45819</v>
      </c>
      <c r="Q78" s="132"/>
      <c r="R78" s="132"/>
      <c r="S78" s="132"/>
      <c r="T78" s="132"/>
      <c r="U78" s="132"/>
      <c r="V78" s="132"/>
      <c r="W78" s="132"/>
      <c r="X78" s="13" t="s">
        <v>6</v>
      </c>
    </row>
    <row r="79" spans="1:36" ht="7.5" customHeight="1" x14ac:dyDescent="0.25">
      <c r="A79" s="7"/>
      <c r="B79" s="7"/>
      <c r="C79" s="7"/>
      <c r="D79" s="10"/>
      <c r="E79" s="10"/>
      <c r="F79" s="10"/>
      <c r="G79" s="10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</row>
    <row r="80" spans="1:36" s="13" customFormat="1" ht="12" customHeight="1" x14ac:dyDescent="0.2">
      <c r="A80" s="13" t="s">
        <v>5</v>
      </c>
    </row>
    <row r="81" spans="1:36" s="13" customFormat="1" ht="12" customHeight="1" x14ac:dyDescent="0.2">
      <c r="A81" s="137" t="s">
        <v>103</v>
      </c>
      <c r="B81" s="137"/>
      <c r="C81" s="137"/>
      <c r="D81" s="137"/>
      <c r="E81" s="137"/>
      <c r="F81" s="137"/>
      <c r="G81" s="137"/>
      <c r="H81" s="137"/>
      <c r="I81" s="137"/>
      <c r="J81" s="137"/>
      <c r="K81" s="137"/>
      <c r="L81" s="137"/>
      <c r="M81" s="137"/>
      <c r="N81" s="137"/>
      <c r="O81" s="137"/>
      <c r="P81" s="137"/>
      <c r="Q81" s="137"/>
      <c r="R81" s="137"/>
      <c r="S81" s="137"/>
      <c r="T81" s="137"/>
      <c r="U81" s="137"/>
      <c r="V81" s="137"/>
      <c r="W81" s="137"/>
      <c r="X81" s="137"/>
      <c r="Y81" s="137"/>
      <c r="Z81" s="137"/>
      <c r="AA81" s="137"/>
      <c r="AB81" s="137"/>
      <c r="AC81" s="137"/>
      <c r="AD81" s="137"/>
      <c r="AE81" s="137"/>
      <c r="AF81" s="137"/>
      <c r="AG81" s="137"/>
      <c r="AH81" s="137"/>
      <c r="AI81" s="137"/>
      <c r="AJ81" s="137"/>
    </row>
    <row r="82" spans="1:36" s="14" customFormat="1" ht="8.25" customHeight="1" x14ac:dyDescent="0.15">
      <c r="A82" s="128" t="s">
        <v>4</v>
      </c>
      <c r="B82" s="129"/>
      <c r="C82" s="129"/>
      <c r="D82" s="129"/>
      <c r="E82" s="129"/>
      <c r="F82" s="129"/>
      <c r="G82" s="129"/>
      <c r="H82" s="129"/>
      <c r="I82" s="129"/>
      <c r="J82" s="129"/>
      <c r="K82" s="129"/>
      <c r="L82" s="129"/>
      <c r="M82" s="129"/>
      <c r="N82" s="129"/>
      <c r="O82" s="129"/>
      <c r="P82" s="129"/>
      <c r="Q82" s="129"/>
      <c r="R82" s="129"/>
      <c r="S82" s="129"/>
      <c r="T82" s="129"/>
      <c r="U82" s="129"/>
      <c r="V82" s="129"/>
      <c r="W82" s="129"/>
      <c r="X82" s="129"/>
      <c r="Y82" s="129"/>
      <c r="Z82" s="129"/>
      <c r="AA82" s="129"/>
      <c r="AB82" s="129"/>
      <c r="AC82" s="129"/>
      <c r="AD82" s="129"/>
      <c r="AE82" s="129"/>
      <c r="AF82" s="129"/>
      <c r="AG82" s="129"/>
      <c r="AH82" s="129"/>
      <c r="AI82" s="129"/>
      <c r="AJ82" s="129"/>
    </row>
    <row r="83" spans="1:36" s="13" customFormat="1" ht="12" customHeight="1" x14ac:dyDescent="0.2">
      <c r="A83" s="130"/>
      <c r="B83" s="130"/>
      <c r="C83" s="130"/>
      <c r="D83" s="130"/>
      <c r="E83" s="130"/>
      <c r="F83" s="130"/>
      <c r="G83" s="130"/>
      <c r="H83" s="130"/>
      <c r="I83" s="130"/>
      <c r="J83" s="130"/>
      <c r="K83" s="130"/>
      <c r="L83" s="130"/>
      <c r="M83" s="130"/>
      <c r="N83" s="130"/>
      <c r="O83" s="130"/>
      <c r="P83" s="130"/>
      <c r="Q83" s="130"/>
      <c r="R83" s="130"/>
      <c r="S83" s="130"/>
      <c r="T83" s="130"/>
      <c r="U83" s="130"/>
      <c r="V83" s="130"/>
      <c r="W83" s="130"/>
      <c r="X83" s="130"/>
      <c r="Y83" s="130"/>
      <c r="Z83" s="130"/>
      <c r="AA83" s="130"/>
      <c r="AB83" s="130"/>
      <c r="AC83" s="130"/>
      <c r="AD83" s="130"/>
      <c r="AE83" s="130"/>
      <c r="AF83" s="130"/>
      <c r="AG83" s="130"/>
      <c r="AH83" s="130"/>
      <c r="AI83" s="130"/>
      <c r="AJ83" s="130"/>
    </row>
    <row r="84" spans="1:36" s="14" customFormat="1" ht="8.25" customHeight="1" x14ac:dyDescent="0.15">
      <c r="A84" s="128" t="s">
        <v>57</v>
      </c>
      <c r="B84" s="129"/>
      <c r="C84" s="129"/>
      <c r="D84" s="129"/>
      <c r="E84" s="129"/>
      <c r="F84" s="129"/>
      <c r="G84" s="129"/>
      <c r="H84" s="129"/>
      <c r="I84" s="129"/>
      <c r="J84" s="129"/>
      <c r="K84" s="129"/>
      <c r="L84" s="129"/>
      <c r="M84" s="129"/>
      <c r="N84" s="129"/>
      <c r="O84" s="129"/>
      <c r="P84" s="129"/>
      <c r="Q84" s="129"/>
      <c r="R84" s="129"/>
      <c r="S84" s="129"/>
      <c r="T84" s="129"/>
      <c r="U84" s="129"/>
      <c r="V84" s="129"/>
      <c r="W84" s="129"/>
      <c r="X84" s="129"/>
      <c r="Y84" s="129"/>
      <c r="Z84" s="129"/>
      <c r="AA84" s="129"/>
      <c r="AB84" s="129"/>
      <c r="AC84" s="129"/>
      <c r="AD84" s="129"/>
      <c r="AE84" s="129"/>
      <c r="AF84" s="129"/>
      <c r="AG84" s="129"/>
      <c r="AH84" s="129"/>
      <c r="AI84" s="129"/>
      <c r="AJ84" s="129"/>
    </row>
    <row r="85" spans="1:36" s="13" customFormat="1" ht="12" customHeight="1" x14ac:dyDescent="0.2">
      <c r="A85" s="13" t="s">
        <v>3</v>
      </c>
    </row>
    <row r="86" spans="1:36" s="13" customFormat="1" ht="12" customHeight="1" x14ac:dyDescent="0.2">
      <c r="A86" s="130" t="s">
        <v>97</v>
      </c>
      <c r="B86" s="130"/>
      <c r="C86" s="130"/>
      <c r="D86" s="130"/>
      <c r="E86" s="130"/>
      <c r="F86" s="130"/>
      <c r="G86" s="130"/>
      <c r="H86" s="130"/>
      <c r="I86" s="130"/>
      <c r="J86" s="130"/>
      <c r="K86" s="130"/>
      <c r="L86" s="130"/>
      <c r="M86" s="130"/>
      <c r="N86" s="130"/>
      <c r="O86" s="130"/>
      <c r="P86" s="130"/>
      <c r="Q86" s="130"/>
      <c r="R86" s="130"/>
      <c r="S86" s="130"/>
      <c r="T86" s="130"/>
      <c r="U86" s="130"/>
      <c r="V86" s="130"/>
      <c r="W86" s="130"/>
      <c r="X86" s="130"/>
      <c r="Y86" s="130"/>
      <c r="Z86" s="130"/>
      <c r="AA86" s="130"/>
      <c r="AB86" s="130"/>
      <c r="AC86" s="130"/>
      <c r="AD86" s="130"/>
      <c r="AE86" s="130"/>
      <c r="AF86" s="130"/>
      <c r="AG86" s="130"/>
      <c r="AH86" s="130"/>
      <c r="AI86" s="130"/>
      <c r="AJ86" s="130"/>
    </row>
    <row r="87" spans="1:36" s="14" customFormat="1" ht="9" customHeight="1" x14ac:dyDescent="0.15">
      <c r="A87" s="128" t="s">
        <v>32</v>
      </c>
      <c r="B87" s="129"/>
      <c r="C87" s="129"/>
      <c r="D87" s="129"/>
      <c r="E87" s="129"/>
      <c r="F87" s="129"/>
      <c r="G87" s="129"/>
      <c r="H87" s="129"/>
      <c r="I87" s="129"/>
      <c r="J87" s="129"/>
      <c r="K87" s="129"/>
      <c r="L87" s="129"/>
      <c r="M87" s="129"/>
      <c r="N87" s="129"/>
      <c r="O87" s="129"/>
      <c r="P87" s="129"/>
      <c r="Q87" s="129"/>
      <c r="R87" s="129"/>
      <c r="S87" s="129"/>
      <c r="T87" s="129"/>
      <c r="U87" s="129"/>
      <c r="V87" s="129"/>
      <c r="W87" s="129"/>
      <c r="X87" s="129"/>
      <c r="Y87" s="129"/>
      <c r="Z87" s="129"/>
      <c r="AA87" s="129"/>
      <c r="AB87" s="129"/>
      <c r="AC87" s="129"/>
      <c r="AD87" s="129"/>
      <c r="AE87" s="129"/>
      <c r="AF87" s="129"/>
      <c r="AG87" s="129"/>
      <c r="AH87" s="129"/>
      <c r="AI87" s="129"/>
      <c r="AJ87" s="129"/>
    </row>
    <row r="88" spans="1:36" s="13" customFormat="1" ht="12" customHeight="1" x14ac:dyDescent="0.2">
      <c r="A88" s="13" t="s">
        <v>2</v>
      </c>
      <c r="L88" s="130"/>
      <c r="M88" s="130"/>
      <c r="N88" s="130"/>
      <c r="O88" s="130"/>
      <c r="P88" s="130"/>
      <c r="Q88" s="130"/>
      <c r="R88" s="130"/>
      <c r="S88" s="130"/>
      <c r="T88" s="130"/>
      <c r="U88" s="130"/>
      <c r="V88" s="130"/>
      <c r="W88" s="130"/>
      <c r="X88" s="130"/>
      <c r="Y88" s="130"/>
      <c r="Z88" s="130"/>
      <c r="AA88" s="130"/>
      <c r="AB88" s="130"/>
      <c r="AC88" s="130"/>
      <c r="AD88" s="130"/>
      <c r="AE88" s="130"/>
      <c r="AF88" s="130"/>
      <c r="AG88" s="130"/>
      <c r="AH88" s="130"/>
      <c r="AI88" s="130"/>
      <c r="AJ88" s="130"/>
    </row>
    <row r="89" spans="1:36" ht="6" customHeight="1" x14ac:dyDescent="0.25">
      <c r="A89" s="4"/>
      <c r="B89" s="4"/>
      <c r="C89" s="4"/>
      <c r="D89" s="11"/>
      <c r="E89" s="11"/>
      <c r="F89" s="11"/>
      <c r="G89" s="11"/>
      <c r="H89" s="11"/>
      <c r="I89" s="11"/>
      <c r="J89" s="11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</row>
    <row r="90" spans="1:36" s="13" customFormat="1" ht="12" customHeight="1" x14ac:dyDescent="0.2">
      <c r="A90" s="13" t="s">
        <v>87</v>
      </c>
      <c r="H90" s="130"/>
      <c r="I90" s="130"/>
      <c r="J90" s="13" t="s">
        <v>33</v>
      </c>
    </row>
    <row r="91" spans="1:36" ht="4.5" customHeight="1" x14ac:dyDescent="0.25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</row>
    <row r="92" spans="1:36" s="13" customFormat="1" ht="12" customHeight="1" x14ac:dyDescent="0.2">
      <c r="A92" s="13" t="s">
        <v>1</v>
      </c>
    </row>
    <row r="93" spans="1:36" s="13" customFormat="1" ht="12" customHeight="1" x14ac:dyDescent="0.2">
      <c r="A93" s="25" t="s">
        <v>83</v>
      </c>
      <c r="B93" s="25" t="s">
        <v>208</v>
      </c>
      <c r="C93" s="25"/>
      <c r="D93" s="25"/>
      <c r="E93" s="25"/>
      <c r="F93" s="25"/>
      <c r="G93" s="25"/>
      <c r="H93" s="25"/>
      <c r="I93" s="25"/>
      <c r="J93" s="25"/>
      <c r="K93" s="25"/>
      <c r="L93" s="103"/>
      <c r="M93" s="25"/>
      <c r="N93" s="25"/>
      <c r="O93" s="25"/>
      <c r="P93" s="101"/>
      <c r="Q93" s="101"/>
      <c r="R93" s="101"/>
      <c r="S93" s="25"/>
      <c r="T93" s="25"/>
      <c r="U93" s="25"/>
      <c r="V93" s="103" t="s">
        <v>74</v>
      </c>
      <c r="W93" s="25" t="s">
        <v>84</v>
      </c>
      <c r="X93" s="25"/>
      <c r="Y93" s="25"/>
      <c r="Z93" s="25"/>
      <c r="AA93" s="25"/>
      <c r="AB93" s="25"/>
      <c r="AC93" s="25"/>
      <c r="AD93" s="25"/>
      <c r="AE93" s="25"/>
      <c r="AF93" s="25"/>
      <c r="AG93" s="25"/>
      <c r="AH93" s="25"/>
      <c r="AI93" s="25"/>
      <c r="AJ93" s="25"/>
    </row>
    <row r="94" spans="1:36" s="13" customFormat="1" ht="12" customHeight="1" x14ac:dyDescent="0.2">
      <c r="A94" s="33" t="s">
        <v>85</v>
      </c>
      <c r="B94" s="100" t="str">
        <f>Q69</f>
        <v>Сертификат №</v>
      </c>
      <c r="C94" s="100"/>
      <c r="D94" s="100"/>
      <c r="E94" s="100"/>
      <c r="F94" s="100"/>
      <c r="G94" s="100"/>
      <c r="H94" s="100"/>
      <c r="I94" s="100"/>
      <c r="J94" s="100"/>
      <c r="K94" s="100"/>
      <c r="L94" s="100"/>
      <c r="M94" s="102"/>
      <c r="N94" s="102"/>
      <c r="O94" s="102"/>
      <c r="P94" s="101"/>
      <c r="Q94" s="101"/>
      <c r="R94" s="101"/>
      <c r="S94" s="25"/>
      <c r="T94" s="33"/>
      <c r="U94" s="33"/>
      <c r="V94" s="29" t="s">
        <v>74</v>
      </c>
      <c r="W94" s="33" t="s">
        <v>84</v>
      </c>
      <c r="X94" s="33"/>
      <c r="Y94" s="33"/>
      <c r="Z94" s="33"/>
      <c r="AA94" s="33"/>
      <c r="AB94" s="33"/>
      <c r="AC94" s="33"/>
      <c r="AD94" s="33"/>
      <c r="AE94" s="33"/>
      <c r="AF94" s="33"/>
      <c r="AG94" s="33"/>
      <c r="AH94" s="33"/>
      <c r="AI94" s="33"/>
      <c r="AJ94" s="33"/>
    </row>
    <row r="95" spans="1:36" s="14" customFormat="1" ht="9.75" customHeight="1" x14ac:dyDescent="0.15">
      <c r="A95" s="128" t="s">
        <v>0</v>
      </c>
      <c r="B95" s="129"/>
      <c r="C95" s="129"/>
      <c r="D95" s="129"/>
      <c r="E95" s="129"/>
      <c r="F95" s="129"/>
      <c r="G95" s="129"/>
      <c r="H95" s="129"/>
      <c r="I95" s="129"/>
      <c r="J95" s="129"/>
      <c r="K95" s="129"/>
      <c r="L95" s="129"/>
      <c r="M95" s="129"/>
      <c r="N95" s="129"/>
      <c r="O95" s="129"/>
      <c r="P95" s="129"/>
      <c r="Q95" s="129"/>
      <c r="R95" s="129"/>
      <c r="S95" s="129"/>
      <c r="T95" s="129"/>
      <c r="U95" s="129"/>
      <c r="V95" s="129"/>
      <c r="W95" s="129"/>
      <c r="X95" s="129"/>
      <c r="Y95" s="129"/>
      <c r="Z95" s="129"/>
      <c r="AA95" s="129"/>
      <c r="AB95" s="129"/>
      <c r="AC95" s="129"/>
      <c r="AD95" s="129"/>
      <c r="AE95" s="129"/>
      <c r="AF95" s="129"/>
      <c r="AG95" s="129"/>
      <c r="AH95" s="129"/>
      <c r="AI95" s="129"/>
      <c r="AJ95" s="129"/>
    </row>
    <row r="96" spans="1:36" ht="6.75" customHeight="1" x14ac:dyDescent="0.25">
      <c r="A96" s="12"/>
      <c r="B96" s="12"/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  <c r="AA96" s="12"/>
      <c r="AB96" s="12"/>
      <c r="AC96" s="12"/>
      <c r="AD96" s="12"/>
      <c r="AE96" s="12"/>
      <c r="AF96" s="12"/>
      <c r="AG96" s="12"/>
      <c r="AH96" s="12"/>
      <c r="AI96" s="12"/>
      <c r="AJ96" s="12"/>
    </row>
    <row r="97" spans="1:36" s="13" customFormat="1" ht="12" customHeight="1" x14ac:dyDescent="0.2">
      <c r="A97" s="13" t="s">
        <v>23</v>
      </c>
    </row>
    <row r="98" spans="1:36" s="13" customFormat="1" ht="12" customHeight="1" x14ac:dyDescent="0.2">
      <c r="A98" s="13" t="s">
        <v>24</v>
      </c>
    </row>
    <row r="99" spans="1:36" s="13" customFormat="1" ht="12" customHeight="1" x14ac:dyDescent="0.2">
      <c r="A99" s="130" t="str">
        <f>'Данные объект'!B33</f>
        <v>Алексанян Г.Р.</v>
      </c>
      <c r="B99" s="130"/>
      <c r="C99" s="130"/>
      <c r="D99" s="130"/>
      <c r="E99" s="130"/>
      <c r="F99" s="130"/>
      <c r="G99" s="130"/>
      <c r="H99" s="130"/>
      <c r="I99" s="130"/>
      <c r="J99" s="130"/>
      <c r="K99" s="130"/>
      <c r="L99" s="130"/>
      <c r="M99" s="130"/>
      <c r="N99" s="130"/>
      <c r="O99" s="130"/>
      <c r="P99" s="32"/>
      <c r="Q99" s="32"/>
      <c r="R99" s="32"/>
      <c r="S99" s="32"/>
      <c r="T99" s="32"/>
      <c r="U99" s="32"/>
      <c r="V99" s="32"/>
      <c r="W99" s="32"/>
      <c r="X99" s="32"/>
      <c r="Y99" s="32"/>
      <c r="Z99" s="32"/>
      <c r="AA99" s="32"/>
      <c r="AB99" s="130"/>
      <c r="AC99" s="130"/>
      <c r="AD99" s="130"/>
      <c r="AE99" s="130"/>
      <c r="AF99" s="130"/>
      <c r="AG99" s="130"/>
      <c r="AH99" s="130"/>
      <c r="AI99" s="130"/>
      <c r="AJ99" s="130"/>
    </row>
    <row r="100" spans="1:36" s="14" customFormat="1" ht="9" customHeight="1" x14ac:dyDescent="0.15">
      <c r="A100" s="134" t="s">
        <v>35</v>
      </c>
      <c r="B100" s="134"/>
      <c r="C100" s="134"/>
      <c r="D100" s="134"/>
      <c r="E100" s="134"/>
      <c r="F100" s="134"/>
      <c r="G100" s="134"/>
      <c r="H100" s="134"/>
      <c r="I100" s="134"/>
      <c r="J100" s="134"/>
      <c r="K100" s="134"/>
      <c r="L100" s="134"/>
      <c r="M100" s="134"/>
      <c r="N100" s="134"/>
      <c r="O100" s="134"/>
      <c r="P100" s="17"/>
      <c r="Q100" s="17"/>
      <c r="R100" s="17"/>
      <c r="S100" s="17"/>
      <c r="T100" s="17"/>
      <c r="U100" s="18"/>
      <c r="V100" s="18"/>
      <c r="W100" s="18"/>
      <c r="X100" s="18"/>
      <c r="Y100" s="18"/>
      <c r="Z100" s="18"/>
      <c r="AA100" s="18"/>
      <c r="AB100" s="135" t="s">
        <v>34</v>
      </c>
      <c r="AC100" s="135"/>
      <c r="AD100" s="135"/>
      <c r="AE100" s="135"/>
      <c r="AF100" s="135"/>
      <c r="AG100" s="135"/>
      <c r="AH100" s="135"/>
      <c r="AI100" s="135"/>
      <c r="AJ100" s="135"/>
    </row>
    <row r="101" spans="1:36" s="13" customFormat="1" ht="12" customHeight="1" x14ac:dyDescent="0.2">
      <c r="A101" s="13" t="s">
        <v>25</v>
      </c>
    </row>
    <row r="102" spans="1:36" s="13" customFormat="1" ht="12" customHeight="1" x14ac:dyDescent="0.2">
      <c r="A102" s="130" t="str">
        <f>'Данные объект'!B20</f>
        <v>Волков М.Ю.</v>
      </c>
      <c r="B102" s="130"/>
      <c r="C102" s="130"/>
      <c r="D102" s="130"/>
      <c r="E102" s="130"/>
      <c r="F102" s="130"/>
      <c r="G102" s="130"/>
      <c r="H102" s="130"/>
      <c r="I102" s="130"/>
      <c r="J102" s="130"/>
      <c r="K102" s="130"/>
      <c r="L102" s="130"/>
      <c r="M102" s="130"/>
      <c r="N102" s="130"/>
      <c r="O102" s="130"/>
      <c r="P102" s="32"/>
      <c r="Q102" s="32"/>
      <c r="R102" s="32"/>
      <c r="S102" s="32"/>
      <c r="T102" s="32"/>
      <c r="U102" s="32"/>
      <c r="V102" s="32"/>
      <c r="W102" s="32"/>
      <c r="X102" s="32"/>
      <c r="Y102" s="32"/>
      <c r="Z102" s="32"/>
      <c r="AA102" s="32"/>
      <c r="AB102" s="130"/>
      <c r="AC102" s="130"/>
      <c r="AD102" s="130"/>
      <c r="AE102" s="130"/>
      <c r="AF102" s="130"/>
      <c r="AG102" s="130"/>
      <c r="AH102" s="130"/>
      <c r="AI102" s="130"/>
      <c r="AJ102" s="130"/>
    </row>
    <row r="103" spans="1:36" s="14" customFormat="1" ht="9" customHeight="1" x14ac:dyDescent="0.15">
      <c r="A103" s="134" t="s">
        <v>35</v>
      </c>
      <c r="B103" s="134"/>
      <c r="C103" s="134"/>
      <c r="D103" s="134"/>
      <c r="E103" s="134"/>
      <c r="F103" s="134"/>
      <c r="G103" s="134"/>
      <c r="H103" s="134"/>
      <c r="I103" s="134"/>
      <c r="J103" s="134"/>
      <c r="K103" s="134"/>
      <c r="L103" s="134"/>
      <c r="M103" s="134"/>
      <c r="N103" s="134"/>
      <c r="O103" s="134"/>
      <c r="P103" s="17"/>
      <c r="Q103" s="17"/>
      <c r="R103" s="17"/>
      <c r="S103" s="17"/>
      <c r="T103" s="17"/>
      <c r="U103" s="18"/>
      <c r="V103" s="18"/>
      <c r="W103" s="18"/>
      <c r="X103" s="18"/>
      <c r="Y103" s="18"/>
      <c r="Z103" s="18"/>
      <c r="AA103" s="18"/>
      <c r="AB103" s="135" t="s">
        <v>34</v>
      </c>
      <c r="AC103" s="135"/>
      <c r="AD103" s="135"/>
      <c r="AE103" s="135"/>
      <c r="AF103" s="135"/>
      <c r="AG103" s="135"/>
      <c r="AH103" s="135"/>
      <c r="AI103" s="135"/>
      <c r="AJ103" s="135"/>
    </row>
    <row r="104" spans="1:36" s="13" customFormat="1" ht="12" customHeight="1" x14ac:dyDescent="0.2">
      <c r="A104" s="13" t="s">
        <v>27</v>
      </c>
    </row>
    <row r="105" spans="1:36" s="13" customFormat="1" ht="12" customHeight="1" x14ac:dyDescent="0.2">
      <c r="A105" s="13" t="s">
        <v>28</v>
      </c>
    </row>
    <row r="106" spans="1:36" s="13" customFormat="1" ht="12" customHeight="1" x14ac:dyDescent="0.2">
      <c r="A106" s="130" t="str">
        <f>'Данные объект'!B17</f>
        <v>Русин В.А.</v>
      </c>
      <c r="B106" s="130"/>
      <c r="C106" s="130"/>
      <c r="D106" s="130"/>
      <c r="E106" s="130"/>
      <c r="F106" s="130"/>
      <c r="G106" s="130"/>
      <c r="H106" s="130"/>
      <c r="I106" s="130"/>
      <c r="J106" s="130"/>
      <c r="K106" s="130"/>
      <c r="L106" s="130"/>
      <c r="M106" s="130"/>
      <c r="N106" s="130"/>
      <c r="O106" s="130"/>
      <c r="P106" s="32"/>
      <c r="Q106" s="32"/>
      <c r="R106" s="32"/>
      <c r="S106" s="32"/>
      <c r="T106" s="32"/>
      <c r="U106" s="32"/>
      <c r="V106" s="32"/>
      <c r="W106" s="32"/>
      <c r="X106" s="32"/>
      <c r="Y106" s="32"/>
      <c r="Z106" s="32"/>
      <c r="AA106" s="32"/>
      <c r="AB106" s="130"/>
      <c r="AC106" s="130"/>
      <c r="AD106" s="130"/>
      <c r="AE106" s="130"/>
      <c r="AF106" s="130"/>
      <c r="AG106" s="130"/>
      <c r="AH106" s="130"/>
      <c r="AI106" s="130"/>
      <c r="AJ106" s="130"/>
    </row>
    <row r="107" spans="1:36" s="14" customFormat="1" ht="9" customHeight="1" x14ac:dyDescent="0.15">
      <c r="A107" s="134" t="s">
        <v>35</v>
      </c>
      <c r="B107" s="134"/>
      <c r="C107" s="134"/>
      <c r="D107" s="134"/>
      <c r="E107" s="134"/>
      <c r="F107" s="134"/>
      <c r="G107" s="134"/>
      <c r="H107" s="134"/>
      <c r="I107" s="134"/>
      <c r="J107" s="134"/>
      <c r="K107" s="134"/>
      <c r="L107" s="134"/>
      <c r="M107" s="134"/>
      <c r="N107" s="134"/>
      <c r="O107" s="134"/>
      <c r="P107" s="17"/>
      <c r="Q107" s="17"/>
      <c r="R107" s="17"/>
      <c r="S107" s="17"/>
      <c r="T107" s="17"/>
      <c r="U107" s="18"/>
      <c r="V107" s="18"/>
      <c r="W107" s="18"/>
      <c r="X107" s="18"/>
      <c r="Y107" s="18"/>
      <c r="Z107" s="18"/>
      <c r="AA107" s="18"/>
      <c r="AB107" s="135" t="s">
        <v>34</v>
      </c>
      <c r="AC107" s="135"/>
      <c r="AD107" s="135"/>
      <c r="AE107" s="135"/>
      <c r="AF107" s="135"/>
      <c r="AG107" s="135"/>
      <c r="AH107" s="135"/>
      <c r="AI107" s="135"/>
      <c r="AJ107" s="135"/>
    </row>
    <row r="108" spans="1:36" s="14" customFormat="1" ht="11.25" x14ac:dyDescent="0.2">
      <c r="A108" s="13" t="s">
        <v>191</v>
      </c>
      <c r="B108" s="104"/>
      <c r="C108" s="104"/>
      <c r="D108" s="104"/>
      <c r="E108" s="104"/>
      <c r="F108" s="104"/>
      <c r="G108" s="104"/>
      <c r="H108" s="104"/>
      <c r="I108" s="104"/>
      <c r="J108" s="104"/>
      <c r="K108" s="104"/>
      <c r="L108" s="104"/>
      <c r="M108" s="104"/>
      <c r="N108" s="104"/>
      <c r="O108" s="104"/>
      <c r="P108" s="95"/>
      <c r="Q108" s="95"/>
      <c r="R108" s="95"/>
      <c r="S108" s="95"/>
      <c r="T108" s="95"/>
      <c r="U108" s="96"/>
      <c r="V108" s="96"/>
      <c r="W108" s="96"/>
      <c r="X108" s="96"/>
      <c r="Y108" s="96"/>
      <c r="Z108" s="96"/>
      <c r="AA108" s="96"/>
      <c r="AB108" s="105"/>
      <c r="AC108" s="105"/>
      <c r="AD108" s="105"/>
      <c r="AE108" s="105"/>
      <c r="AF108" s="105"/>
      <c r="AG108" s="105"/>
      <c r="AH108" s="105"/>
      <c r="AI108" s="105"/>
      <c r="AJ108" s="105"/>
    </row>
    <row r="109" spans="1:36" s="14" customFormat="1" ht="11.25" x14ac:dyDescent="0.2">
      <c r="A109" s="130" t="str">
        <f>'Данные объект'!$B$36</f>
        <v>Курчин М.М.</v>
      </c>
      <c r="B109" s="130"/>
      <c r="C109" s="130"/>
      <c r="D109" s="130"/>
      <c r="E109" s="130"/>
      <c r="F109" s="130"/>
      <c r="G109" s="130"/>
      <c r="H109" s="130"/>
      <c r="I109" s="130"/>
      <c r="J109" s="130"/>
      <c r="K109" s="130"/>
      <c r="L109" s="130"/>
      <c r="M109" s="130"/>
      <c r="N109" s="130"/>
      <c r="O109" s="130"/>
      <c r="P109" s="95"/>
      <c r="Q109" s="95"/>
      <c r="R109" s="95"/>
      <c r="S109" s="95"/>
      <c r="T109" s="95"/>
      <c r="U109" s="96"/>
      <c r="V109" s="96"/>
      <c r="W109" s="96"/>
      <c r="X109" s="96"/>
      <c r="Y109" s="96"/>
      <c r="Z109" s="96"/>
      <c r="AA109" s="96"/>
      <c r="AB109" s="130"/>
      <c r="AC109" s="130"/>
      <c r="AD109" s="130"/>
      <c r="AE109" s="130"/>
      <c r="AF109" s="130"/>
      <c r="AG109" s="130"/>
      <c r="AH109" s="130"/>
      <c r="AI109" s="130"/>
      <c r="AJ109" s="130"/>
    </row>
    <row r="110" spans="1:36" s="14" customFormat="1" ht="10.5" x14ac:dyDescent="0.15">
      <c r="A110" s="134" t="s">
        <v>35</v>
      </c>
      <c r="B110" s="134"/>
      <c r="C110" s="134"/>
      <c r="D110" s="134"/>
      <c r="E110" s="134"/>
      <c r="F110" s="134"/>
      <c r="G110" s="134"/>
      <c r="H110" s="134"/>
      <c r="I110" s="134"/>
      <c r="J110" s="134"/>
      <c r="K110" s="134"/>
      <c r="L110" s="134"/>
      <c r="M110" s="134"/>
      <c r="N110" s="134"/>
      <c r="O110" s="134"/>
      <c r="P110" s="95"/>
      <c r="Q110" s="95"/>
      <c r="R110" s="95"/>
      <c r="S110" s="95"/>
      <c r="T110" s="95"/>
      <c r="U110" s="96"/>
      <c r="V110" s="96"/>
      <c r="W110" s="96"/>
      <c r="X110" s="96"/>
      <c r="Y110" s="96"/>
      <c r="Z110" s="96"/>
      <c r="AA110" s="96"/>
      <c r="AB110" s="135" t="s">
        <v>34</v>
      </c>
      <c r="AC110" s="135"/>
      <c r="AD110" s="135"/>
      <c r="AE110" s="135"/>
      <c r="AF110" s="135"/>
      <c r="AG110" s="135"/>
      <c r="AH110" s="135"/>
      <c r="AI110" s="135"/>
      <c r="AJ110" s="135"/>
    </row>
    <row r="111" spans="1:36" s="13" customFormat="1" ht="38.25" customHeight="1" x14ac:dyDescent="0.2">
      <c r="A111" s="136" t="s">
        <v>51</v>
      </c>
      <c r="B111" s="136"/>
      <c r="C111" s="136"/>
      <c r="D111" s="136"/>
      <c r="E111" s="136"/>
      <c r="F111" s="136"/>
      <c r="G111" s="136"/>
      <c r="H111" s="136"/>
      <c r="I111" s="136"/>
      <c r="J111" s="136"/>
      <c r="K111" s="136"/>
      <c r="L111" s="136"/>
      <c r="M111" s="136"/>
      <c r="N111" s="136"/>
      <c r="O111" s="136"/>
      <c r="P111" s="136"/>
      <c r="Q111" s="136"/>
      <c r="R111" s="136"/>
      <c r="S111" s="136"/>
      <c r="T111" s="136"/>
      <c r="U111" s="136"/>
      <c r="V111" s="136"/>
      <c r="W111" s="136"/>
      <c r="X111" s="136"/>
      <c r="Y111" s="136"/>
      <c r="Z111" s="136"/>
      <c r="AA111" s="136"/>
      <c r="AB111" s="136"/>
      <c r="AC111" s="136"/>
      <c r="AD111" s="136"/>
      <c r="AE111" s="136"/>
      <c r="AF111" s="136"/>
      <c r="AG111" s="136"/>
      <c r="AH111" s="136"/>
      <c r="AI111" s="136"/>
      <c r="AJ111" s="136"/>
    </row>
    <row r="112" spans="1:36" s="13" customFormat="1" ht="12" customHeight="1" x14ac:dyDescent="0.2">
      <c r="A112" s="130" t="s">
        <v>74</v>
      </c>
      <c r="B112" s="130"/>
      <c r="C112" s="130"/>
      <c r="D112" s="130"/>
      <c r="E112" s="130"/>
      <c r="F112" s="130"/>
      <c r="G112" s="130"/>
      <c r="H112" s="130"/>
      <c r="I112" s="130"/>
      <c r="J112" s="130"/>
      <c r="K112" s="130"/>
      <c r="L112" s="130"/>
      <c r="M112" s="130"/>
      <c r="N112" s="130"/>
      <c r="O112" s="130"/>
      <c r="P112" s="32"/>
      <c r="Q112" s="32"/>
      <c r="R112" s="32"/>
      <c r="S112" s="32"/>
      <c r="T112" s="32"/>
      <c r="U112" s="32"/>
      <c r="V112" s="32"/>
      <c r="W112" s="32"/>
      <c r="X112" s="32"/>
      <c r="Y112" s="32"/>
      <c r="Z112" s="32"/>
      <c r="AA112" s="32"/>
      <c r="AB112" s="130" t="s">
        <v>74</v>
      </c>
      <c r="AC112" s="130"/>
      <c r="AD112" s="130"/>
      <c r="AE112" s="130"/>
      <c r="AF112" s="130"/>
      <c r="AG112" s="130"/>
      <c r="AH112" s="130"/>
      <c r="AI112" s="130"/>
      <c r="AJ112" s="130"/>
    </row>
    <row r="113" spans="1:36" s="14" customFormat="1" ht="9" customHeight="1" x14ac:dyDescent="0.15">
      <c r="A113" s="134" t="s">
        <v>35</v>
      </c>
      <c r="B113" s="134"/>
      <c r="C113" s="134"/>
      <c r="D113" s="134"/>
      <c r="E113" s="134"/>
      <c r="F113" s="134"/>
      <c r="G113" s="134"/>
      <c r="H113" s="134"/>
      <c r="I113" s="134"/>
      <c r="J113" s="134"/>
      <c r="K113" s="134"/>
      <c r="L113" s="134"/>
      <c r="M113" s="134"/>
      <c r="N113" s="134"/>
      <c r="O113" s="134"/>
      <c r="P113" s="17"/>
      <c r="Q113" s="17"/>
      <c r="R113" s="17"/>
      <c r="S113" s="17"/>
      <c r="T113" s="17"/>
      <c r="U113" s="18"/>
      <c r="V113" s="18"/>
      <c r="W113" s="18"/>
      <c r="X113" s="18"/>
      <c r="Y113" s="18"/>
      <c r="Z113" s="18"/>
      <c r="AA113" s="18"/>
      <c r="AB113" s="135" t="s">
        <v>34</v>
      </c>
      <c r="AC113" s="135"/>
      <c r="AD113" s="135"/>
      <c r="AE113" s="135"/>
      <c r="AF113" s="135"/>
      <c r="AG113" s="135"/>
      <c r="AH113" s="135"/>
      <c r="AI113" s="135"/>
      <c r="AJ113" s="135"/>
    </row>
    <row r="114" spans="1:36" s="13" customFormat="1" ht="24.75" hidden="1" customHeight="1" x14ac:dyDescent="0.2">
      <c r="A114" s="136" t="s">
        <v>53</v>
      </c>
      <c r="B114" s="136"/>
      <c r="C114" s="136"/>
      <c r="D114" s="136"/>
      <c r="E114" s="136"/>
      <c r="F114" s="136"/>
      <c r="G114" s="136"/>
      <c r="H114" s="136"/>
      <c r="I114" s="136"/>
      <c r="J114" s="136"/>
      <c r="K114" s="136"/>
      <c r="L114" s="136"/>
      <c r="M114" s="136"/>
      <c r="N114" s="136"/>
      <c r="O114" s="136"/>
      <c r="P114" s="136"/>
      <c r="Q114" s="136"/>
      <c r="R114" s="136"/>
      <c r="S114" s="136"/>
      <c r="T114" s="136"/>
      <c r="U114" s="136"/>
      <c r="V114" s="136"/>
      <c r="W114" s="136"/>
      <c r="X114" s="136"/>
      <c r="Y114" s="136"/>
      <c r="Z114" s="136"/>
      <c r="AA114" s="136"/>
      <c r="AB114" s="136"/>
      <c r="AC114" s="136"/>
      <c r="AD114" s="136"/>
      <c r="AE114" s="136"/>
      <c r="AF114" s="136"/>
      <c r="AG114" s="136"/>
      <c r="AH114" s="136"/>
      <c r="AI114" s="136"/>
      <c r="AJ114" s="136"/>
    </row>
    <row r="115" spans="1:36" s="13" customFormat="1" ht="12" hidden="1" customHeight="1" x14ac:dyDescent="0.2">
      <c r="A115" s="130" t="e">
        <f>#REF!</f>
        <v>#REF!</v>
      </c>
      <c r="B115" s="130"/>
      <c r="C115" s="130"/>
      <c r="D115" s="130"/>
      <c r="E115" s="130"/>
      <c r="F115" s="130"/>
      <c r="G115" s="130"/>
      <c r="H115" s="130"/>
      <c r="I115" s="130"/>
      <c r="J115" s="130"/>
      <c r="K115" s="130"/>
      <c r="L115" s="130"/>
      <c r="M115" s="130"/>
      <c r="N115" s="130"/>
      <c r="O115" s="130"/>
      <c r="P115" s="32"/>
      <c r="Q115" s="32"/>
      <c r="R115" s="32"/>
      <c r="S115" s="32"/>
      <c r="T115" s="32"/>
      <c r="U115" s="32"/>
      <c r="V115" s="32"/>
      <c r="W115" s="32"/>
      <c r="X115" s="32"/>
      <c r="Y115" s="32"/>
      <c r="Z115" s="32"/>
      <c r="AA115" s="32"/>
      <c r="AB115" s="130"/>
      <c r="AC115" s="130"/>
      <c r="AD115" s="130"/>
      <c r="AE115" s="130"/>
      <c r="AF115" s="130"/>
      <c r="AG115" s="130"/>
      <c r="AH115" s="130"/>
      <c r="AI115" s="130"/>
      <c r="AJ115" s="130"/>
    </row>
    <row r="116" spans="1:36" s="14" customFormat="1" ht="9" hidden="1" customHeight="1" x14ac:dyDescent="0.15">
      <c r="A116" s="134" t="s">
        <v>35</v>
      </c>
      <c r="B116" s="134"/>
      <c r="C116" s="134"/>
      <c r="D116" s="134"/>
      <c r="E116" s="134"/>
      <c r="F116" s="134"/>
      <c r="G116" s="134"/>
      <c r="H116" s="134"/>
      <c r="I116" s="134"/>
      <c r="J116" s="134"/>
      <c r="K116" s="134"/>
      <c r="L116" s="134"/>
      <c r="M116" s="134"/>
      <c r="N116" s="134"/>
      <c r="O116" s="134"/>
      <c r="P116" s="17"/>
      <c r="Q116" s="17"/>
      <c r="R116" s="17"/>
      <c r="S116" s="17"/>
      <c r="T116" s="17"/>
      <c r="U116" s="18"/>
      <c r="V116" s="18"/>
      <c r="W116" s="18"/>
      <c r="X116" s="18"/>
      <c r="Y116" s="18"/>
      <c r="Z116" s="18"/>
      <c r="AA116" s="18"/>
      <c r="AB116" s="135" t="s">
        <v>34</v>
      </c>
      <c r="AC116" s="135"/>
      <c r="AD116" s="135"/>
      <c r="AE116" s="135"/>
      <c r="AF116" s="135"/>
      <c r="AG116" s="135"/>
      <c r="AH116" s="135"/>
      <c r="AI116" s="135"/>
      <c r="AJ116" s="135"/>
    </row>
    <row r="117" spans="1:36" ht="12" customHeight="1" x14ac:dyDescent="0.25"/>
  </sheetData>
  <mergeCells count="103">
    <mergeCell ref="A113:O113"/>
    <mergeCell ref="AB113:AJ113"/>
    <mergeCell ref="A114:AJ114"/>
    <mergeCell ref="A115:O115"/>
    <mergeCell ref="AB115:AJ115"/>
    <mergeCell ref="A116:O116"/>
    <mergeCell ref="AB116:AJ116"/>
    <mergeCell ref="A109:O109"/>
    <mergeCell ref="AB109:AJ109"/>
    <mergeCell ref="A110:O110"/>
    <mergeCell ref="AB110:AJ110"/>
    <mergeCell ref="A111:AJ111"/>
    <mergeCell ref="A112:O112"/>
    <mergeCell ref="AB112:AJ112"/>
    <mergeCell ref="A103:O103"/>
    <mergeCell ref="AB103:AJ103"/>
    <mergeCell ref="A106:O106"/>
    <mergeCell ref="AB106:AJ106"/>
    <mergeCell ref="A107:O107"/>
    <mergeCell ref="AB107:AJ107"/>
    <mergeCell ref="A99:O99"/>
    <mergeCell ref="AB99:AJ99"/>
    <mergeCell ref="A100:O100"/>
    <mergeCell ref="AB100:AJ100"/>
    <mergeCell ref="A102:O102"/>
    <mergeCell ref="AB102:AJ102"/>
    <mergeCell ref="A84:AJ84"/>
    <mergeCell ref="A86:AJ86"/>
    <mergeCell ref="A87:AJ87"/>
    <mergeCell ref="L88:AJ88"/>
    <mergeCell ref="H90:I90"/>
    <mergeCell ref="A95:AJ95"/>
    <mergeCell ref="A75:AJ75"/>
    <mergeCell ref="P77:W77"/>
    <mergeCell ref="P78:W78"/>
    <mergeCell ref="A81:AJ81"/>
    <mergeCell ref="A82:AJ82"/>
    <mergeCell ref="A83:AJ83"/>
    <mergeCell ref="A70:AJ70"/>
    <mergeCell ref="G72:U72"/>
    <mergeCell ref="W72:AJ72"/>
    <mergeCell ref="A73:B73"/>
    <mergeCell ref="G73:AJ73"/>
    <mergeCell ref="A74:AJ74"/>
    <mergeCell ref="A65:AJ65"/>
    <mergeCell ref="A66:AJ66"/>
    <mergeCell ref="P67:AJ67"/>
    <mergeCell ref="P68:AJ68"/>
    <mergeCell ref="K69:N69"/>
    <mergeCell ref="A69:G69"/>
    <mergeCell ref="A58:AJ58"/>
    <mergeCell ref="A59:AJ59"/>
    <mergeCell ref="A62:F62"/>
    <mergeCell ref="H62:M62"/>
    <mergeCell ref="A63:AJ63"/>
    <mergeCell ref="A51:AJ51"/>
    <mergeCell ref="A52:AJ52"/>
    <mergeCell ref="A53:AJ53"/>
    <mergeCell ref="A54:AJ54"/>
    <mergeCell ref="A55:AJ55"/>
    <mergeCell ref="A56:AJ56"/>
    <mergeCell ref="A45:AJ45"/>
    <mergeCell ref="A46:AJ46"/>
    <mergeCell ref="A47:AJ47"/>
    <mergeCell ref="A48:AJ48"/>
    <mergeCell ref="A49:AJ49"/>
    <mergeCell ref="A50:AJ50"/>
    <mergeCell ref="A38:AJ38"/>
    <mergeCell ref="A39:AJ39"/>
    <mergeCell ref="A41:AJ41"/>
    <mergeCell ref="A42:AJ42"/>
    <mergeCell ref="A43:AJ43"/>
    <mergeCell ref="A44:AJ44"/>
    <mergeCell ref="E32:G32"/>
    <mergeCell ref="AB32:AI32"/>
    <mergeCell ref="AB33:AI33"/>
    <mergeCell ref="A35:AJ35"/>
    <mergeCell ref="A36:AJ36"/>
    <mergeCell ref="A37:AJ37"/>
    <mergeCell ref="A24:AJ24"/>
    <mergeCell ref="A25:AJ25"/>
    <mergeCell ref="A26:AJ26"/>
    <mergeCell ref="A27:AJ27"/>
    <mergeCell ref="A29:AJ29"/>
    <mergeCell ref="A30:AJ30"/>
    <mergeCell ref="A20:AJ20"/>
    <mergeCell ref="A22:AJ22"/>
    <mergeCell ref="A23:AJ23"/>
    <mergeCell ref="A10:AJ10"/>
    <mergeCell ref="A11:AJ11"/>
    <mergeCell ref="A12:AJ12"/>
    <mergeCell ref="A13:AJ13"/>
    <mergeCell ref="A15:AJ15"/>
    <mergeCell ref="A16:AJ16"/>
    <mergeCell ref="A4:AJ4"/>
    <mergeCell ref="A5:AJ5"/>
    <mergeCell ref="A6:AJ6"/>
    <mergeCell ref="A7:AJ7"/>
    <mergeCell ref="A8:AJ8"/>
    <mergeCell ref="A9:AJ9"/>
    <mergeCell ref="A17:AJ17"/>
    <mergeCell ref="A18:AJ18"/>
    <mergeCell ref="A19:AJ19"/>
  </mergeCells>
  <pageMargins left="0.78740157480314965" right="0.27559055118110237" top="0.39370078740157483" bottom="0.39370078740157483" header="0" footer="0"/>
  <pageSetup paperSize="9" scale="95" fitToHeight="3" orientation="portrait" r:id="rId1"/>
  <headerFooter alignWithMargins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6A6CC77F-A310-4DB8-9A15-3E99CA45BE35}">
          <x14:formula1>
            <xm:f>'данные строй'!$E$3:$E$7</xm:f>
          </x14:formula1>
          <xm:sqref>Q62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11</vt:i4>
      </vt:variant>
      <vt:variant>
        <vt:lpstr>Именованные диапазоны</vt:lpstr>
      </vt:variant>
      <vt:variant>
        <vt:i4>8</vt:i4>
      </vt:variant>
    </vt:vector>
  </HeadingPairs>
  <TitlesOfParts>
    <vt:vector size="19" baseType="lpstr">
      <vt:lpstr>данные строй</vt:lpstr>
      <vt:lpstr>Данные организации</vt:lpstr>
      <vt:lpstr>Данные объект</vt:lpstr>
      <vt:lpstr>АОСР-1</vt:lpstr>
      <vt:lpstr>АОСР-2</vt:lpstr>
      <vt:lpstr>АОСР-3</vt:lpstr>
      <vt:lpstr>АОСР-4</vt:lpstr>
      <vt:lpstr>АОСР-5</vt:lpstr>
      <vt:lpstr>АОСР-6</vt:lpstr>
      <vt:lpstr>АОСР-7</vt:lpstr>
      <vt:lpstr>АОСР-пожар</vt:lpstr>
      <vt:lpstr>'АОСР-1'!Область_печати</vt:lpstr>
      <vt:lpstr>'АОСР-2'!Область_печати</vt:lpstr>
      <vt:lpstr>'АОСР-3'!Область_печати</vt:lpstr>
      <vt:lpstr>'АОСР-4'!Область_печати</vt:lpstr>
      <vt:lpstr>'АОСР-5'!Область_печати</vt:lpstr>
      <vt:lpstr>'АОСР-6'!Область_печати</vt:lpstr>
      <vt:lpstr>'АОСР-7'!Область_печати</vt:lpstr>
      <vt:lpstr>'АОСР-пожар'!Область_печати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ispolnitelnaya.ru</dc:creator>
  <cp:lastModifiedBy>Бараночникова Виктория Романовна</cp:lastModifiedBy>
  <cp:lastPrinted>2026-02-25T06:52:24Z</cp:lastPrinted>
  <dcterms:created xsi:type="dcterms:W3CDTF">2018-02-24T16:53:12Z</dcterms:created>
  <dcterms:modified xsi:type="dcterms:W3CDTF">2026-07-15T06:59:01Z</dcterms:modified>
</cp:coreProperties>
</file>