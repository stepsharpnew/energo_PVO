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ИД 2026г\4980 КРМО\"/>
    </mc:Choice>
  </mc:AlternateContent>
  <xr:revisionPtr revIDLastSave="0" documentId="13_ncr:1_{27DD402C-C3A7-408B-9F19-EE8E0A6211C5}" xr6:coauthVersionLast="45" xr6:coauthVersionMax="45" xr10:uidLastSave="{00000000-0000-0000-0000-000000000000}"/>
  <bookViews>
    <workbookView xWindow="30612" yWindow="-108" windowWidth="30936" windowHeight="16896" activeTab="1" xr2:uid="{00000000-000D-0000-FFFF-FFFF00000000}"/>
  </bookViews>
  <sheets>
    <sheet name="Данные организации" sheetId="9" r:id="rId1"/>
    <sheet name="Данные " sheetId="8" r:id="rId2"/>
    <sheet name="АОСР-1" sheetId="7" r:id="rId3"/>
    <sheet name="Форма 1" sheetId="1" r:id="rId4"/>
    <sheet name="Форма 2" sheetId="2" r:id="rId5"/>
    <sheet name="Форма 3" sheetId="3" r:id="rId6"/>
    <sheet name="Форма 4" sheetId="4" r:id="rId7"/>
    <sheet name="Форма 5" sheetId="6" r:id="rId8"/>
    <sheet name="Форма 6" sheetId="5" r:id="rId9"/>
  </sheets>
  <externalReferences>
    <externalReference r:id="rId10"/>
    <externalReference r:id="rId11"/>
  </externalReferences>
  <definedNames>
    <definedName name="aaaa">'[1]связ.данные(оборудование)'!$L$17:$L$23</definedName>
    <definedName name="кабель">[2]Данные!$F$46:$F$48</definedName>
    <definedName name="_xlnm.Print_Area" localSheetId="2">'АОСР-1'!$A$1:$AJ$122</definedName>
    <definedName name="_xlnm.Print_Area" localSheetId="3">'Форма 1'!$A$1:$E$80</definedName>
    <definedName name="_xlnm.Print_Area" localSheetId="5">'Форма 3'!$A$1:$H$33</definedName>
    <definedName name="_xlnm.Print_Area" localSheetId="6">'Форма 4'!$A$1:$H$60</definedName>
    <definedName name="_xlnm.Print_Area" localSheetId="8">'Форма 6'!$A$1:$G$73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9" i="6" l="1"/>
  <c r="B67" i="5" l="1"/>
  <c r="B19" i="6"/>
  <c r="A19" i="6"/>
  <c r="A18" i="6"/>
  <c r="A16" i="6"/>
  <c r="B36" i="1" l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A36" i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B25" i="1"/>
  <c r="B23" i="1"/>
  <c r="B22" i="1"/>
  <c r="B24" i="1"/>
  <c r="B26" i="1" s="1"/>
  <c r="B27" i="1" s="1"/>
  <c r="B28" i="1" s="1"/>
  <c r="B29" i="1" s="1"/>
  <c r="B30" i="1" s="1"/>
  <c r="B31" i="1" s="1"/>
  <c r="B32" i="1" s="1"/>
  <c r="B33" i="1" s="1"/>
  <c r="C22" i="3" l="1"/>
  <c r="D35" i="5" l="1"/>
  <c r="B5" i="5"/>
  <c r="I5" i="6"/>
  <c r="B17" i="6"/>
  <c r="M76" i="7"/>
  <c r="Z32" i="7" s="1"/>
  <c r="M75" i="7"/>
  <c r="B5" i="4"/>
  <c r="C20" i="3"/>
  <c r="B5" i="3"/>
  <c r="B5" i="2"/>
  <c r="D9" i="1"/>
  <c r="A111" i="7"/>
  <c r="A108" i="7"/>
  <c r="A50" i="7"/>
  <c r="H13" i="8"/>
  <c r="A44" i="7" s="1"/>
  <c r="H10" i="8"/>
  <c r="A41" i="7" s="1"/>
  <c r="H23" i="8"/>
  <c r="A36" i="7" s="1"/>
  <c r="A5" i="7" l="1"/>
  <c r="A26" i="7"/>
  <c r="A24" i="7"/>
  <c r="A19" i="7"/>
  <c r="A17" i="7"/>
  <c r="B23" i="8"/>
  <c r="B24" i="8"/>
  <c r="A10" i="7" s="1"/>
  <c r="B25" i="8"/>
  <c r="A12" i="7" s="1"/>
  <c r="H22" i="8" l="1"/>
  <c r="A38" i="7" s="1"/>
  <c r="A8" i="7"/>
  <c r="D29" i="9" l="1"/>
  <c r="C29" i="9"/>
  <c r="F28" i="9"/>
  <c r="D28" i="9"/>
  <c r="C28" i="9"/>
  <c r="G27" i="9"/>
  <c r="F27" i="9"/>
  <c r="D27" i="9"/>
  <c r="C27" i="9"/>
  <c r="G26" i="9"/>
  <c r="F26" i="9"/>
  <c r="D26" i="9"/>
  <c r="C26" i="9"/>
  <c r="G25" i="9"/>
  <c r="F25" i="9"/>
  <c r="D25" i="9"/>
  <c r="C25" i="9"/>
  <c r="G24" i="9"/>
  <c r="F24" i="9"/>
  <c r="D24" i="9"/>
  <c r="C24" i="9"/>
  <c r="G23" i="9"/>
  <c r="F23" i="9"/>
  <c r="D23" i="9"/>
  <c r="C23" i="9"/>
  <c r="C43" i="5" l="1"/>
  <c r="D42" i="5"/>
  <c r="B43" i="4"/>
  <c r="D10" i="1"/>
  <c r="C69" i="1" l="1"/>
  <c r="C68" i="1" s="1"/>
  <c r="C67" i="1" s="1"/>
  <c r="C66" i="1" s="1"/>
  <c r="C65" i="1" s="1"/>
  <c r="C64" i="1" s="1"/>
  <c r="C63" i="1" s="1"/>
  <c r="C62" i="1" s="1"/>
  <c r="C61" i="1" s="1"/>
  <c r="C60" i="1" s="1"/>
  <c r="B34" i="8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B48" i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A62" i="7" l="1"/>
  <c r="P70" i="7"/>
  <c r="E47" i="4"/>
  <c r="D77" i="1"/>
  <c r="B42" i="5" l="1"/>
  <c r="E42" i="4"/>
  <c r="N67" i="7"/>
  <c r="B42" i="4"/>
  <c r="B77" i="1"/>
  <c r="K17" i="6" l="1"/>
  <c r="G57" i="4"/>
  <c r="G55" i="4"/>
  <c r="D32" i="4"/>
  <c r="A121" i="7"/>
  <c r="A55" i="7"/>
  <c r="M32" i="7" l="1"/>
  <c r="C7" i="2" s="1"/>
  <c r="M59" i="7" l="1"/>
  <c r="I91" i="7"/>
  <c r="B65" i="5"/>
  <c r="K94" i="7" l="1"/>
  <c r="J93" i="7"/>
  <c r="R92" i="7"/>
  <c r="F35" i="5"/>
  <c r="A31" i="5"/>
  <c r="D7" i="5"/>
  <c r="D7" i="3"/>
  <c r="D8" i="4"/>
  <c r="D26" i="4"/>
  <c r="E33" i="4"/>
  <c r="B33" i="4"/>
  <c r="C21" i="3"/>
  <c r="B29" i="3"/>
  <c r="B25" i="3"/>
  <c r="B10" i="5"/>
  <c r="A17" i="6"/>
  <c r="F10" i="2"/>
  <c r="F13" i="4" s="1"/>
  <c r="A28" i="5"/>
  <c r="B19" i="5"/>
  <c r="B18" i="4"/>
  <c r="B17" i="3"/>
  <c r="B17" i="2"/>
  <c r="B4" i="4"/>
  <c r="H4" i="6"/>
  <c r="B4" i="5"/>
  <c r="B17" i="5"/>
  <c r="B16" i="4"/>
  <c r="B13" i="3"/>
  <c r="B4" i="3"/>
  <c r="B22" i="2"/>
  <c r="B21" i="2"/>
  <c r="G30" i="2"/>
  <c r="B30" i="2"/>
  <c r="G26" i="2"/>
  <c r="B26" i="2"/>
  <c r="B15" i="2"/>
  <c r="B13" i="2"/>
  <c r="D6" i="1"/>
  <c r="F12" i="5" l="1"/>
  <c r="B46" i="5" s="1"/>
  <c r="B45" i="5" s="1"/>
  <c r="F10" i="3"/>
  <c r="B4" i="2"/>
  <c r="D8" i="1"/>
  <c r="D7" i="1"/>
  <c r="A22" i="7"/>
  <c r="A15" i="7"/>
  <c r="A4" i="7"/>
  <c r="A115" i="7"/>
</calcChain>
</file>

<file path=xl/sharedStrings.xml><?xml version="1.0" encoding="utf-8"?>
<sst xmlns="http://schemas.openxmlformats.org/spreadsheetml/2006/main" count="480" uniqueCount="354">
  <si>
    <r>
      <rPr>
        <sz val="11"/>
        <rFont val="Times New Roman"/>
        <family val="1"/>
      </rPr>
      <t>Подпись лица, ответственного за составление протокола бурения</t>
    </r>
  </si>
  <si>
    <r>
      <rPr>
        <sz val="11"/>
        <rFont val="Times New Roman"/>
        <family val="1"/>
      </rPr>
      <t>Подпись руководителя 
буровых работ</t>
    </r>
  </si>
  <si>
    <r>
      <rPr>
        <sz val="11"/>
        <rFont val="Times New Roman"/>
        <family val="1"/>
      </rPr>
      <t>М.П.</t>
    </r>
  </si>
  <si>
    <t>Наименование строительной организации, юридический и почтовый адреса, контактные телефоны</t>
  </si>
  <si>
    <t>Объект
(наименование, шифр)</t>
  </si>
  <si>
    <t>Адрес производства работ
(уточненное географическое месторасположение в конкретном регионе, населенный пункт, улица, номера строений в непосредственной близости)</t>
  </si>
  <si>
    <t>Наименование перехода методом ГНБ
(текстовое наименование, пикеты, литерные обозначения, нумерация или обозначения скважины)</t>
  </si>
  <si>
    <t>Вид прокладываемой методом ГНБ коммуникации
(наименование коммуникации, обозначения технических характеристик трубопровода(ов) по НД, их число в скважине)</t>
  </si>
  <si>
    <r>
      <rPr>
        <b/>
        <sz val="10"/>
        <rFont val="Times New Roman"/>
        <family val="1"/>
      </rPr>
      <t>СП 341.1325800.2017</t>
    </r>
  </si>
  <si>
    <r>
      <rPr>
        <b/>
        <sz val="10"/>
        <rFont val="Times New Roman"/>
        <family val="1"/>
      </rPr>
      <t>Приложение К, форма 1</t>
    </r>
  </si>
  <si>
    <r>
      <rPr>
        <sz val="8"/>
        <rFont val="Times New Roman"/>
        <family val="1"/>
      </rPr>
      <t>Фирма-производитель и наименование установки ГНБ</t>
    </r>
  </si>
  <si>
    <r>
      <rPr>
        <sz val="8"/>
        <rFont val="Times New Roman"/>
        <family val="1"/>
      </rPr>
      <t>Длина одной буровой штанги, м</t>
    </r>
  </si>
  <si>
    <r>
      <rPr>
        <sz val="8"/>
        <rFont val="Times New Roman"/>
        <family val="1"/>
      </rPr>
      <t>Система локации, тип зонда</t>
    </r>
  </si>
  <si>
    <r>
      <rPr>
        <sz val="8"/>
        <rFont val="Times New Roman"/>
        <family val="1"/>
      </rPr>
      <t>Должность, инициалы, фамилия лица, ответственного за составление протокола бурения</t>
    </r>
  </si>
  <si>
    <r>
      <rPr>
        <sz val="8"/>
        <rFont val="Times New Roman"/>
        <family val="1"/>
      </rPr>
      <t>Должность, инициалы, фамилия руководителя буровых работ</t>
    </r>
  </si>
  <si>
    <r>
      <rPr>
        <b/>
        <sz val="8"/>
        <rFont val="Times New Roman"/>
        <family val="1"/>
      </rPr>
      <t>Таблица 1</t>
    </r>
  </si>
  <si>
    <r>
      <rPr>
        <sz val="8"/>
        <rFont val="Times New Roman"/>
        <family val="1"/>
      </rPr>
      <t>Номер штанги</t>
    </r>
  </si>
  <si>
    <r>
      <rPr>
        <sz val="8"/>
        <rFont val="Times New Roman"/>
        <family val="1"/>
      </rPr>
      <t>Длина пилотной скважины, м</t>
    </r>
  </si>
  <si>
    <r>
      <rPr>
        <sz val="8"/>
        <rFont val="Times New Roman"/>
        <family val="1"/>
      </rPr>
      <t>Угол наклона буровой головки, %</t>
    </r>
  </si>
  <si>
    <r>
      <rPr>
        <sz val="8"/>
        <rFont val="Times New Roman"/>
        <family val="1"/>
      </rPr>
      <t>Глубина нахождения буровой головки, см</t>
    </r>
  </si>
  <si>
    <r>
      <rPr>
        <sz val="8"/>
        <rFont val="Times New Roman"/>
        <family val="1"/>
      </rPr>
      <t>Примечание (фиксирование ориентиров по профилю бурения)</t>
    </r>
  </si>
  <si>
    <r>
      <rPr>
        <sz val="8"/>
        <rFont val="Times New Roman"/>
        <family val="1"/>
      </rPr>
      <t>Примечания
1 Таблица формируется исходя из полного количества штанг (точек фиксированного положения буровой головки по профилю бурения).
2 Ориентирами по профилю бурения должны служить стенки рабочего и приемного котлованов, существующие инженерные коммуникации, края дорожного полотна, урезы воды, наземные и подземные объекты инфраструктуры. Их краткие обозначения в протоколе бурения скважины дают возможность четкой корреляции с плановым положением створа прокладываемого(ых) впоследствии трубопровода(ов).</t>
    </r>
  </si>
  <si>
    <r>
      <rPr>
        <b/>
        <sz val="8"/>
        <rFont val="Times New Roman"/>
        <family val="1"/>
      </rPr>
      <t>Характеристики скважины:</t>
    </r>
  </si>
  <si>
    <r>
      <rPr>
        <sz val="8"/>
        <rFont val="Times New Roman"/>
        <family val="1"/>
      </rPr>
      <t>Число расширений пилотной скважины</t>
    </r>
  </si>
  <si>
    <r>
      <rPr>
        <sz val="8"/>
        <rFont val="Times New Roman"/>
        <family val="1"/>
      </rPr>
      <t>Координаты точки входа</t>
    </r>
  </si>
  <si>
    <r>
      <rPr>
        <sz val="8"/>
        <rFont val="Times New Roman"/>
        <family val="1"/>
      </rPr>
      <t>Диаметр окончательного
расширения, мм</t>
    </r>
  </si>
  <si>
    <r>
      <rPr>
        <sz val="8"/>
        <rFont val="Times New Roman"/>
        <family val="1"/>
      </rPr>
      <t>Координаты точки выхода</t>
    </r>
  </si>
  <si>
    <r>
      <rPr>
        <sz val="8"/>
        <rFont val="Times New Roman"/>
        <family val="1"/>
      </rPr>
      <t>Длина проложенного(ых) в скважину трубопровода(ов), м</t>
    </r>
  </si>
  <si>
    <r>
      <rPr>
        <sz val="8"/>
        <rFont val="Times New Roman"/>
        <family val="1"/>
      </rPr>
      <t>Дата начала работ – дата окончания работ</t>
    </r>
  </si>
  <si>
    <t>СП 341.1325800.2017</t>
  </si>
  <si>
    <t>Приложение К, форма 2</t>
  </si>
  <si>
    <t>Строительство (ремонт)</t>
  </si>
  <si>
    <t>Объект</t>
  </si>
  <si>
    <t>АКТ №</t>
  </si>
  <si>
    <t>приёмки пилотной скважины 
(основной, резервной) нитки подводного перехода</t>
  </si>
  <si>
    <t>Составлен представителями:</t>
  </si>
  <si>
    <t>подрядчика</t>
  </si>
  <si>
    <t>(должность, организация, инициалы, фамилия)</t>
  </si>
  <si>
    <t>технического надзора заказчика &lt;*&gt;</t>
  </si>
  <si>
    <t>заказчика</t>
  </si>
  <si>
    <t>в том, что проведенными промерами фактического положения пилотной скважины и контролем углов наклона и азимута во время бурения установлено:</t>
  </si>
  <si>
    <r>
      <t xml:space="preserve">пилотная скважина на участке: </t>
    </r>
    <r>
      <rPr>
        <b/>
        <i/>
        <u/>
        <sz val="8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 xml:space="preserve"> выполнена в соответствии с проектной документацией, чертеж № </t>
    </r>
    <r>
      <rPr>
        <b/>
        <i/>
        <u/>
        <sz val="8"/>
        <rFont val="Times New Roman"/>
        <family val="1"/>
        <charset val="204"/>
      </rPr>
      <t xml:space="preserve">                   </t>
    </r>
    <r>
      <rPr>
        <sz val="8"/>
        <rFont val="Times New Roman"/>
        <family val="1"/>
        <charset val="204"/>
      </rPr>
      <t>, принята и считается готовой для производства работ по расширению пилотной скважины.</t>
    </r>
  </si>
  <si>
    <t>выполнена в соответствии с проектной документацией,</t>
  </si>
  <si>
    <t xml:space="preserve"> чертеж №                    </t>
  </si>
  <si>
    <t xml:space="preserve"> принята и считается готовой для производства работ по расширению пилотной скважины.</t>
  </si>
  <si>
    <t>Ведомость проектных и фактических отметок пилотной скважины по оси подводного перехода прилагается.</t>
  </si>
  <si>
    <t>Представитель подрядчика</t>
  </si>
  <si>
    <t>(должность)</t>
  </si>
  <si>
    <t>(подпись)</t>
  </si>
  <si>
    <t>(дата)</t>
  </si>
  <si>
    <t>Представитель технического надзора заказчика &lt;*&gt;</t>
  </si>
  <si>
    <t xml:space="preserve">
Представитель заказчика</t>
  </si>
  <si>
    <t>&lt;*&gt; Приводится и заполняется в случае осуществления технического надзора специализированной организацией по договору с заказчиком.</t>
  </si>
  <si>
    <r>
      <rPr>
        <b/>
        <sz val="8"/>
        <rFont val="Times New Roman"/>
        <family val="1"/>
      </rPr>
      <t>СП 341.1325800.2017</t>
    </r>
  </si>
  <si>
    <r>
      <rPr>
        <sz val="8"/>
        <rFont val="Times New Roman"/>
        <family val="1"/>
      </rPr>
      <t>Строительство (ремонт)</t>
    </r>
  </si>
  <si>
    <r>
      <rPr>
        <sz val="8"/>
        <rFont val="Times New Roman"/>
        <family val="1"/>
      </rPr>
      <t>Объект</t>
    </r>
  </si>
  <si>
    <r>
      <rPr>
        <sz val="8"/>
        <rFont val="Times New Roman"/>
        <family val="1"/>
      </rPr>
      <t>подрядчика</t>
    </r>
  </si>
  <si>
    <r>
      <rPr>
        <sz val="8"/>
        <rFont val="Times New Roman"/>
        <family val="1"/>
      </rPr>
      <t>(должность, организация, инициалы, фамилия)</t>
    </r>
  </si>
  <si>
    <t>приёмки расширенной скважины и готовности для протягивания трубопровода 
(основной, резервной) нитки подводного перехода</t>
  </si>
  <si>
    <t xml:space="preserve">в том, что расширение пилотной скважины на участке </t>
  </si>
  <si>
    <t>выполнено в соответствии</t>
  </si>
  <si>
    <t xml:space="preserve"> с проектной документацией №</t>
  </si>
  <si>
    <t>мм, принята и считается готовой для производства работ по</t>
  </si>
  <si>
    <t xml:space="preserve"> протягиванию трубопровода.</t>
  </si>
  <si>
    <r>
      <rPr>
        <b/>
        <sz val="8"/>
        <rFont val="Times New Roman"/>
        <family val="1"/>
      </rPr>
      <t>Приложение К, форма 4</t>
    </r>
  </si>
  <si>
    <r>
      <rPr>
        <b/>
        <sz val="8"/>
        <rFont val="Times New Roman"/>
        <family val="1"/>
      </rPr>
      <t>приёмки трубопровода (пакета труб) для протягивания перехода ГНБ</t>
    </r>
  </si>
  <si>
    <r>
      <rPr>
        <sz val="8"/>
        <rFont val="Times New Roman"/>
        <family val="1"/>
      </rPr>
      <t>Участок от ПК/км _________ до ПК/км __________</t>
    </r>
  </si>
  <si>
    <r>
      <rPr>
        <sz val="8"/>
        <rFont val="Times New Roman"/>
        <family val="1"/>
      </rPr>
      <t>Комиссия в составе представителей:</t>
    </r>
  </si>
  <si>
    <r>
      <rPr>
        <sz val="8"/>
        <rFont val="Times New Roman"/>
        <family val="1"/>
      </rPr>
      <t>генерального подрядчика</t>
    </r>
  </si>
  <si>
    <r>
      <rPr>
        <sz val="8"/>
        <rFont val="Times New Roman"/>
        <family val="1"/>
      </rPr>
      <t>технического надзора заказчика</t>
    </r>
  </si>
  <si>
    <r>
      <rPr>
        <sz val="8"/>
        <rFont val="Times New Roman"/>
        <family val="1"/>
      </rPr>
      <t>лица, осуществляющего подготовку проектной документации</t>
    </r>
  </si>
  <si>
    <r>
      <rPr>
        <sz val="8"/>
        <rFont val="Times New Roman"/>
        <family val="1"/>
      </rPr>
      <t>лица, ответственного за эксплуатацию</t>
    </r>
  </si>
  <si>
    <r>
      <rPr>
        <sz val="8"/>
        <rFont val="Times New Roman"/>
        <family val="1"/>
      </rPr>
      <t>провела освидетельствование работ, выполненных</t>
    </r>
  </si>
  <si>
    <r>
      <rPr>
        <sz val="8"/>
        <rFont val="Times New Roman"/>
        <family val="1"/>
      </rPr>
      <t>(наименование строительно-монтажной организации)</t>
    </r>
  </si>
  <si>
    <r>
      <rPr>
        <sz val="8"/>
        <rFont val="Times New Roman"/>
        <family val="1"/>
      </rPr>
      <t>по подготовке для протягивания трубопровода (участка трубопровода, передового звена трубопровода, пакета труб).</t>
    </r>
  </si>
  <si>
    <r>
      <rPr>
        <sz val="8"/>
        <rFont val="Times New Roman"/>
        <family val="1"/>
      </rPr>
      <t>Комиссии предъявлены:</t>
    </r>
  </si>
  <si>
    <r>
      <rPr>
        <sz val="8"/>
        <rFont val="Times New Roman"/>
        <family val="1"/>
      </rPr>
      <t>1. Проектная документация на устройство перехода ГНБ № ____________________,</t>
    </r>
  </si>
  <si>
    <r>
      <rPr>
        <sz val="8"/>
        <rFont val="Times New Roman"/>
        <family val="1"/>
      </rPr>
      <t>2. Документы качества на материалы и изделия, примененные при сборке трубопровода.</t>
    </r>
  </si>
  <si>
    <r>
      <rPr>
        <sz val="8"/>
        <rFont val="Times New Roman"/>
        <family val="1"/>
      </rPr>
      <t>3. Исполнительные стандартизированные формы контроля качества по сборке трубопровода.</t>
    </r>
  </si>
  <si>
    <r>
      <rPr>
        <sz val="8"/>
        <rFont val="Times New Roman"/>
        <family val="1"/>
      </rPr>
      <t>4. _________________________________________________________________________</t>
    </r>
  </si>
  <si>
    <r>
      <rPr>
        <sz val="8"/>
        <rFont val="Times New Roman"/>
        <family val="1"/>
      </rPr>
      <t>5. _________________________________________________________________________</t>
    </r>
  </si>
  <si>
    <r>
      <rPr>
        <sz val="8"/>
        <rFont val="Times New Roman"/>
        <family val="1"/>
      </rPr>
      <t>Комиссия, ознакомившись с представленными документами и проверив выполнение</t>
    </r>
  </si>
  <si>
    <r>
      <rPr>
        <sz val="8"/>
        <rFont val="Times New Roman"/>
        <family val="1"/>
      </rPr>
      <t>работ в натуре, установила: _______________________________________________</t>
    </r>
  </si>
  <si>
    <r>
      <rPr>
        <sz val="8"/>
        <rFont val="Times New Roman"/>
        <family val="1"/>
      </rPr>
      <t>На основании рассмотренных данных решили:</t>
    </r>
  </si>
  <si>
    <r>
      <rPr>
        <sz val="8"/>
        <rFont val="Times New Roman"/>
        <family val="1"/>
      </rPr>
      <t>1. Подготовленный к протягиванию трубопровод (участок трубопровода, пакет труб) соответствует проекту.</t>
    </r>
  </si>
  <si>
    <r>
      <rPr>
        <sz val="8"/>
        <rFont val="Times New Roman"/>
        <family val="1"/>
      </rPr>
      <t>2. Повреждений изоляции не обнаружено, сварочно-монтажные и изоляционные работы, а также испытания выполнены в полном объеме.</t>
    </r>
  </si>
  <si>
    <r>
      <rPr>
        <sz val="8"/>
        <rFont val="Times New Roman"/>
        <family val="1"/>
      </rPr>
      <t>Подписи представителей:</t>
    </r>
  </si>
  <si>
    <t>(наименование строительно-монтажной организации)</t>
  </si>
  <si>
    <t>разработчик</t>
  </si>
  <si>
    <t>№</t>
  </si>
  <si>
    <t xml:space="preserve">Подготовленный к протягиванию трубопровод (участок трубопровода, передовое звено трубопровода, </t>
  </si>
  <si>
    <t>пакет труб) общей длиной</t>
  </si>
  <si>
    <t xml:space="preserve">м собран из труб по НД </t>
  </si>
  <si>
    <t xml:space="preserve"> длиной</t>
  </si>
  <si>
    <t>м</t>
  </si>
  <si>
    <r>
      <rPr>
        <sz val="8"/>
        <rFont val="Times New Roman"/>
        <family val="1"/>
      </rPr>
      <t xml:space="preserve">Соединение труб выполнено сваркой (муфтами, замковыми элементами, другим способом) по НД </t>
    </r>
    <r>
      <rPr>
        <u/>
        <sz val="8"/>
        <rFont val="Times New Roman"/>
        <family val="1"/>
        <charset val="204"/>
      </rPr>
      <t>нагревательным элементом</t>
    </r>
    <r>
      <rPr>
        <sz val="8"/>
        <rFont val="Times New Roman"/>
        <family val="1"/>
      </rPr>
      <t xml:space="preserve"> в соответствии с проектом.</t>
    </r>
  </si>
  <si>
    <r>
      <rPr>
        <sz val="8"/>
        <rFont val="Times New Roman"/>
        <family val="1"/>
      </rPr>
      <t xml:space="preserve">Трубы имеют (не имеют) защитное покрытие типа </t>
    </r>
    <r>
      <rPr>
        <u/>
        <sz val="8"/>
        <rFont val="Times New Roman"/>
        <family val="1"/>
        <charset val="204"/>
      </rPr>
      <t>не имеют</t>
    </r>
    <r>
      <rPr>
        <sz val="8"/>
        <rFont val="Times New Roman"/>
        <family val="1"/>
      </rPr>
      <t>.</t>
    </r>
  </si>
  <si>
    <t xml:space="preserve">Передовое звено соединено с окончательным расширителем диаметра </t>
  </si>
  <si>
    <t>мм</t>
  </si>
  <si>
    <t>3. Разрешить протягивание трубопровода с усилием тяги не более 36 тс.</t>
  </si>
  <si>
    <r>
      <rPr>
        <b/>
        <sz val="8"/>
        <rFont val="Times New Roman"/>
        <family val="1"/>
      </rPr>
      <t>Приложение К, форма 6</t>
    </r>
  </si>
  <si>
    <r>
      <rPr>
        <b/>
        <sz val="8"/>
        <rFont val="Times New Roman"/>
        <family val="1"/>
      </rPr>
      <t>приёмки ЗП, проложенного методом ГНБ</t>
    </r>
  </si>
  <si>
    <r>
      <rPr>
        <b/>
        <sz val="8"/>
        <rFont val="Times New Roman"/>
        <family val="1"/>
      </rPr>
      <t>Комиссия в составе представителей:</t>
    </r>
  </si>
  <si>
    <r>
      <rPr>
        <sz val="8"/>
        <rFont val="Times New Roman"/>
        <family val="1"/>
      </rPr>
      <t>по прокладке методом ГНБ подземного трубопровода</t>
    </r>
  </si>
  <si>
    <r>
      <rPr>
        <sz val="8"/>
        <rFont val="Times New Roman"/>
        <family val="1"/>
      </rPr>
      <t>(наименование объекта)</t>
    </r>
  </si>
  <si>
    <r>
      <rPr>
        <b/>
        <sz val="8"/>
        <rFont val="Times New Roman"/>
        <family val="1"/>
      </rPr>
      <t>Комиссии предъявлены:</t>
    </r>
  </si>
  <si>
    <r>
      <rPr>
        <sz val="8"/>
        <rFont val="Times New Roman"/>
        <family val="1"/>
      </rPr>
      <t>Проект производства работ.</t>
    </r>
  </si>
  <si>
    <r>
      <rPr>
        <sz val="8"/>
        <rFont val="Times New Roman"/>
        <family val="1"/>
      </rPr>
      <t>Протокол бурения скважины.</t>
    </r>
  </si>
  <si>
    <r>
      <rPr>
        <sz val="8"/>
        <rFont val="Times New Roman"/>
        <family val="1"/>
      </rPr>
      <t>Исполнительная производственная документация и стандартизованные формы контроля качества для данного вида коммуникации.</t>
    </r>
  </si>
  <si>
    <r>
      <rPr>
        <sz val="8"/>
        <rFont val="Times New Roman"/>
        <family val="1"/>
      </rPr>
      <t>Исполнительные чертежи планового положения и продольного профиля трубопровода.</t>
    </r>
  </si>
  <si>
    <r>
      <rPr>
        <b/>
        <sz val="8"/>
        <rFont val="Times New Roman"/>
        <family val="1"/>
      </rPr>
      <t>Комиссия, ознакомившись с представленными материалами, установила:</t>
    </r>
  </si>
  <si>
    <r>
      <rPr>
        <sz val="8"/>
        <rFont val="Times New Roman"/>
        <family val="1"/>
      </rPr>
      <t>При выполнении работ применены:</t>
    </r>
  </si>
  <si>
    <r>
      <rPr>
        <sz val="8"/>
        <rFont val="Times New Roman"/>
        <family val="1"/>
      </rPr>
      <t>(наименование материалов, конструкций, изделий со ссылкой на документы, подтверждающие качество)</t>
    </r>
  </si>
  <si>
    <r>
      <rPr>
        <sz val="8"/>
        <rFont val="Times New Roman"/>
        <family val="1"/>
      </rPr>
      <t>(при наличии отклонений указывается, кем они согласованы, номера чертежей и дата согласования)</t>
    </r>
  </si>
  <si>
    <r>
      <rPr>
        <b/>
        <sz val="8"/>
        <rFont val="Times New Roman"/>
        <family val="1"/>
      </rPr>
      <t>Решение комиссии:</t>
    </r>
  </si>
  <si>
    <r>
      <rPr>
        <sz val="8"/>
        <rFont val="Times New Roman"/>
        <family val="1"/>
      </rPr>
      <t>Работы выполнены в соответствии с проектной документацией, нормативными документами и соответствуют требованиям их приемки. Разрешается производство последующих работ по устройству (прокладке, монтажу).</t>
    </r>
  </si>
  <si>
    <r>
      <rPr>
        <sz val="8"/>
        <rFont val="Times New Roman"/>
        <family val="1"/>
      </rPr>
      <t>(наименование работ и конструкций)</t>
    </r>
  </si>
  <si>
    <t>Приложение К, форма 5</t>
  </si>
  <si>
    <t>Журнал</t>
  </si>
  <si>
    <t>контроля параметров бурового раствора</t>
  </si>
  <si>
    <t>Показатель активности ионов водорода воды, ед. pH</t>
  </si>
  <si>
    <t>Дата, время</t>
  </si>
  <si>
    <t>Место отбора пробы раствора</t>
  </si>
  <si>
    <t>Параметры бурового раствора</t>
  </si>
  <si>
    <t>Исполнитель должность, инициалы, фамилия, подпись</t>
  </si>
  <si>
    <t>Плотность, г/см3</t>
  </si>
  <si>
    <t>Условная вязкость, с</t>
  </si>
  <si>
    <t>Показатель фильтрации, см3</t>
  </si>
  <si>
    <t>Толщина фильтрационной корки, мм</t>
  </si>
  <si>
    <t>Пластическая вязкость, мПа·с</t>
  </si>
  <si>
    <t xml:space="preserve">Динамическое напряжение сдвига (ДНС), дПа
</t>
  </si>
  <si>
    <t>Статическое напряжение сдвига (СНС), дПа</t>
  </si>
  <si>
    <t>СНС10с</t>
  </si>
  <si>
    <t>СНС10мин</t>
  </si>
  <si>
    <t xml:space="preserve">, разработчик </t>
  </si>
  <si>
    <r>
      <rPr>
        <sz val="8"/>
        <rFont val="Times New Roman"/>
        <family val="1"/>
      </rPr>
      <t xml:space="preserve">Трубопровод длиной </t>
    </r>
    <r>
      <rPr>
        <b/>
        <i/>
        <u/>
        <sz val="8"/>
        <rFont val="Times New Roman"/>
        <family val="1"/>
      </rPr>
      <t xml:space="preserve">        </t>
    </r>
    <r>
      <rPr>
        <sz val="8"/>
        <rFont val="Times New Roman"/>
        <family val="1"/>
      </rPr>
      <t xml:space="preserve"> </t>
    </r>
  </si>
  <si>
    <t xml:space="preserve">м, диаметром </t>
  </si>
  <si>
    <t xml:space="preserve">мм проложен методом ГНБ </t>
  </si>
  <si>
    <t>с использованием буровой установки типа</t>
  </si>
  <si>
    <t xml:space="preserve">Начало работ 	</t>
  </si>
  <si>
    <t xml:space="preserve">Окончание работ 	</t>
  </si>
  <si>
    <t>Участок :</t>
  </si>
  <si>
    <r>
      <t xml:space="preserve">При выполнении работ </t>
    </r>
    <r>
      <rPr>
        <u/>
        <sz val="8"/>
        <rFont val="Times New Roman"/>
        <family val="1"/>
        <charset val="204"/>
      </rPr>
      <t>отсутствуют</t>
    </r>
    <r>
      <rPr>
        <sz val="8"/>
        <rFont val="Times New Roman"/>
        <family val="1"/>
      </rPr>
      <t xml:space="preserve"> </t>
    </r>
    <r>
      <rPr>
        <strike/>
        <sz val="8"/>
        <rFont val="Times New Roman"/>
        <family val="1"/>
        <charset val="204"/>
      </rPr>
      <t>(допущены)</t>
    </r>
    <r>
      <rPr>
        <sz val="8"/>
        <rFont val="Times New Roman"/>
        <family val="1"/>
      </rPr>
      <t xml:space="preserve"> отклонения от проектной документации</t>
    </r>
  </si>
  <si>
    <t>Приказ Минстроя  №344/пр от 16.05.2023</t>
  </si>
  <si>
    <t>приложение №3</t>
  </si>
  <si>
    <t>Объект капитального строительства</t>
  </si>
  <si>
    <t>(наименование объекта капитального строительства в соответствии с проектной документацией, 
почтовый или строительный адрес объекта капитального строительства)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</si>
  <si>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</si>
  <si>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</si>
  <si>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</si>
  <si>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</si>
  <si>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Лицо, осуществляющее строительство, реконструкцию, капитальный ремонт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</si>
  <si>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</si>
  <si>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</si>
  <si>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</si>
  <si>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Лицо, осуществляющее подготовку проектной документации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</si>
  <si>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</si>
  <si>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</si>
  <si>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АКТ</t>
  </si>
  <si>
    <t>освидетельствования скрытых работ</t>
  </si>
  <si>
    <t>(дата составления акта)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</si>
  <si>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</si>
  <si>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распоряительного документа, подтверждающего полномочия, 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</si>
  <si>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</si>
  <si>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</si>
  <si>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</si>
  <si>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</si>
  <si>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</si>
  <si>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</si>
  <si>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</si>
  <si>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</si>
  <si>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(должность (при наличии), фамилия, инициалы, реквизиты распорядительного документа, подтверждающего полномочия,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</si>
  <si>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</si>
  <si>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произвели осмотр работ, выполненных</t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</si>
  <si>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</si>
  <si>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и составили настоящий акт о нижеследующем:</t>
  </si>
  <si>
    <t>1. К освидетельствованию предъявлены следующие работы:</t>
  </si>
  <si>
    <t>(наименование скрытых работ)</t>
  </si>
  <si>
    <t>2. Работы выполнены по проектной документации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</si>
  <si>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</si>
  <si>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3. При выполнении работ применены</t>
  </si>
  <si>
    <t xml:space="preserve">4. Предъявлены документы, подтверждающие соответствие работ предъявляемым к ним </t>
  </si>
  <si>
    <t>требованиям:</t>
  </si>
  <si>
    <t>(исполнительные схемы и чертежи, результаты экспертиз, обследований, лабораторных</t>
  </si>
  <si>
    <t xml:space="preserve"> и иных испытаний выполненных работ, проведенных в процессе строительного контроля)</t>
  </si>
  <si>
    <t>5. Даты: начала работ</t>
  </si>
  <si>
    <t xml:space="preserve">              окончания работ</t>
  </si>
  <si>
    <t xml:space="preserve">6. Работы выполнены в соответствии с </t>
  </si>
  <si>
    <t>(наименования и структурные единицы технических регламентов,</t>
  </si>
  <si>
    <t>иных нормативных правовых актов, разделы проектной и (или) рабочей документации)</t>
  </si>
  <si>
    <t xml:space="preserve">7. Разрешается  производство   последующих  работ </t>
  </si>
  <si>
    <t>(наименование работ, строительных конструкций, участков сетей инженерно-технического обеспечения)</t>
  </si>
  <si>
    <t>Дополнительные сведения</t>
  </si>
  <si>
    <r>
      <t xml:space="preserve">Акт составлен в </t>
    </r>
    <r>
      <rPr>
        <b/>
        <sz val="8"/>
        <rFont val="Times New Roman"/>
        <family val="1"/>
        <charset val="204"/>
      </rPr>
      <t xml:space="preserve"> </t>
    </r>
  </si>
  <si>
    <t>экземплярах (в случае заполнения акта на бумажном носителе).</t>
  </si>
  <si>
    <t>Приложения:</t>
  </si>
  <si>
    <t xml:space="preserve">1. </t>
  </si>
  <si>
    <t>-</t>
  </si>
  <si>
    <t>(исполнительные схемы и чертежи, результаты экспертиз, обследований, лабораторных и иных испытаний)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</si>
  <si>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</si>
  <si>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</si>
  <si>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(фамилия, инициалы)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</si>
  <si>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</si>
  <si>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</si>
  <si>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Обустройство закрытого перехода №</t>
  </si>
  <si>
    <t>(методом ГНБ)</t>
  </si>
  <si>
    <t xml:space="preserve">Устройство закрытого перехода ГНБ № </t>
  </si>
  <si>
    <t xml:space="preserve">методом ГНБ </t>
  </si>
  <si>
    <t>(наименования строительных  материалов (изделий), 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</si>
  <si>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1. Реагент для буровых растворов "BENTEX".</t>
  </si>
  <si>
    <t>Исполнительный профиль №</t>
  </si>
  <si>
    <t>Протокол бурения №</t>
  </si>
  <si>
    <t>Журнал контроля параметров бурового раствора №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</si>
  <si>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</si>
  <si>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</si>
  <si>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</si>
  <si>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</si>
  <si>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</si>
  <si>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</si>
  <si>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</si>
  <si>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</si>
  <si>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</si>
  <si>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</si>
  <si>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</si>
  <si>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Исполнительный план №</t>
  </si>
  <si>
    <t>Сертификация НОСТРОЙ</t>
  </si>
  <si>
    <t>Экспертное заключение</t>
  </si>
  <si>
    <t>Паспорт ROWELD P355B</t>
  </si>
  <si>
    <t xml:space="preserve"> Удостоверение машиниста установки ГНБ</t>
  </si>
  <si>
    <t xml:space="preserve"> Удостоверение сварщика ПНД</t>
  </si>
  <si>
    <t>Номер договора</t>
  </si>
  <si>
    <t>Город</t>
  </si>
  <si>
    <t>Адрес</t>
  </si>
  <si>
    <t>Дата договора</t>
  </si>
  <si>
    <t>Монтажная организация</t>
  </si>
  <si>
    <t xml:space="preserve">Организация </t>
  </si>
  <si>
    <t>ООО "Энергосистемы"</t>
  </si>
  <si>
    <t>Должность</t>
  </si>
  <si>
    <t>Прораб</t>
  </si>
  <si>
    <t>Ф.И.О.</t>
  </si>
  <si>
    <t>Волков М.Ю.</t>
  </si>
  <si>
    <t>Заказчик</t>
  </si>
  <si>
    <t>Ефремкин Е.И.</t>
  </si>
  <si>
    <t>Проект</t>
  </si>
  <si>
    <t>г. Солнечногорск</t>
  </si>
  <si>
    <t>Название</t>
  </si>
  <si>
    <t>Приказ №05-ОТ/24 от 09 января 2024г</t>
  </si>
  <si>
    <t>Инженер по строительному контролю</t>
  </si>
  <si>
    <t>DigiTrak серия F5, 5XD19/12 синий</t>
  </si>
  <si>
    <t>А.А. Сигарев</t>
  </si>
  <si>
    <t>ООО «КСС Регион»</t>
  </si>
  <si>
    <t>Подрядчик ГНБ</t>
  </si>
  <si>
    <t>Гл.инженер</t>
  </si>
  <si>
    <t>Сигарев А.А.</t>
  </si>
  <si>
    <t>Россия, 142300, Московская область, ГО Чехов, ов, ул. Полиграфистов, д. 14А, ком. 29</t>
  </si>
  <si>
    <t>Дата работ</t>
  </si>
  <si>
    <t xml:space="preserve">Проектная документация на устройство перехода </t>
  </si>
  <si>
    <t>Электромонтажные работы выполнены по проектной документации согласно требованиям СП 341.1325800.2017 и ПУЭ</t>
  </si>
  <si>
    <t>ОГРН 1057746555811 ИНН 5036065113 КПП 772501001</t>
  </si>
  <si>
    <t>Комплексный реагент для буровых растворов «BENTEX» ТУ №2164-003-09824493-12</t>
  </si>
  <si>
    <t>L=</t>
  </si>
  <si>
    <t>Приложение К, форма 3</t>
  </si>
  <si>
    <r>
      <t xml:space="preserve">Скважина расширена до диаметра </t>
    </r>
    <r>
      <rPr>
        <b/>
        <i/>
        <u/>
        <sz val="8"/>
        <rFont val="Times New Roman"/>
        <family val="1"/>
        <charset val="204"/>
      </rPr>
      <t xml:space="preserve">            </t>
    </r>
    <r>
      <rPr>
        <sz val="8"/>
        <rFont val="Times New Roman"/>
        <family val="1"/>
        <charset val="204"/>
      </rPr>
      <t xml:space="preserve"> </t>
    </r>
  </si>
  <si>
    <t xml:space="preserve">2. </t>
  </si>
  <si>
    <t>2025</t>
  </si>
  <si>
    <t>ГНБ №1</t>
  </si>
  <si>
    <t>Протокол №1 
Бурения скважины методом горизонтального направленного бурения</t>
  </si>
  <si>
    <t>Сертификат соответствия BENTEX 2024-2027</t>
  </si>
  <si>
    <t>Паспорт качества №4099 Bentex</t>
  </si>
  <si>
    <t>Паспорт качества №4086 DS-50</t>
  </si>
  <si>
    <t>Свидетельство об аттестации сварочного оборудования</t>
  </si>
  <si>
    <t>13.</t>
  </si>
  <si>
    <t>Гл. инженер 
Сигарев А.А.</t>
  </si>
  <si>
    <t>Котлован стартовый</t>
  </si>
  <si>
    <t>Комплексный реагент для буровых растворов «BENTEX» ТУ 2164-003-09824493-2012, Сертификат соответствия № 0233750, партия № 4099</t>
  </si>
  <si>
    <t>№ ГНБ</t>
  </si>
  <si>
    <t>организация</t>
  </si>
  <si>
    <t>ООО «Гефест»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</si>
  <si>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</si>
  <si>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</si>
  <si>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</si>
  <si>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</si>
  <si>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>адрес</t>
  </si>
  <si>
    <t>141508, Московская область, г.о. Солнечногорск, г. Солнечногорск, ул. Промышленная, стр. 5, помещение 179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</si>
  <si>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</si>
  <si>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</si>
  <si>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</si>
  <si>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</si>
  <si>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</si>
  <si>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</si>
  <si>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</si>
  <si>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</si>
  <si>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</si>
  <si>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</si>
  <si>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</si>
  <si>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</si>
  <si>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</si>
  <si>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</si>
  <si>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</si>
  <si>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Чуев А.Н.</t>
  </si>
  <si>
    <t>Арнаутов А.П.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</si>
  <si>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</si>
  <si>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</si>
  <si>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</si>
  <si>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</si>
  <si>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Приказ № 13-ОТ/25 от 05 мая 2025 (НОСТРОЙ С-50-085497)</t>
  </si>
  <si>
    <t>Приказ №01/24-ОТ от 15.01.2024 (НРС № С-61-104369)</t>
  </si>
  <si>
    <t>ФИО стр.контр.</t>
  </si>
  <si>
    <t>Русин В.А.</t>
  </si>
  <si>
    <t>Саженова Л.В.</t>
  </si>
  <si>
    <t>Представитель</t>
  </si>
  <si>
    <t>Технический надзор</t>
  </si>
  <si>
    <t>ФИО предст.</t>
  </si>
  <si>
    <t>Геодезист</t>
  </si>
  <si>
    <t>ФИО</t>
  </si>
  <si>
    <t>Андречик Л.В.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</si>
  <si>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</si>
  <si>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</si>
  <si>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</si>
  <si>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</si>
  <si>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</si>
  <si>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</si>
  <si>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Год</t>
  </si>
  <si>
    <t>Реквизиты</t>
  </si>
  <si>
    <t>Приказ</t>
  </si>
  <si>
    <t>Генерального подрядчика</t>
  </si>
  <si>
    <t>Подрядчика</t>
  </si>
  <si>
    <t>Лица, осуществляющего подготовку проектной документации</t>
  </si>
  <si>
    <t xml:space="preserve">СЕРТИФИКАТ СООТВЕТСТВИЯ № 0233750, ПАСПОРТ КАЧЕСТВА от 30.10.2024, НОМЕР ПАРТИИ 4099            </t>
  </si>
  <si>
    <t>Шифр проекта</t>
  </si>
  <si>
    <t>Диаметр труб, мм</t>
  </si>
  <si>
    <t>Длинна трубы, м (6 или 12)</t>
  </si>
  <si>
    <t>Длинна по профилю, м</t>
  </si>
  <si>
    <t>Длинна труб по профилю, м</t>
  </si>
  <si>
    <t>Ø160</t>
  </si>
  <si>
    <t>Приемный котлован</t>
  </si>
  <si>
    <t>Алексанян Г.Р.</t>
  </si>
  <si>
    <t>Приказ № от  2026г (НРС С-31-330248)</t>
  </si>
  <si>
    <t>Курчин М.М.</t>
  </si>
  <si>
    <t>Мастер СРЭС СЭС филиала</t>
  </si>
  <si>
    <t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t>
  </si>
  <si>
    <t>МО, Солнечногорский р-н, д. Ложки</t>
  </si>
  <si>
    <t>01.12.2025</t>
  </si>
  <si>
    <t>Приказ №2363 от 29 июля 2025г (НРС С-50-069023)</t>
  </si>
  <si>
    <t>4980-325834-217-09/24</t>
  </si>
  <si>
    <t>2х(3х116)</t>
  </si>
  <si>
    <t>Буровой канал №1</t>
  </si>
  <si>
    <t>Буровой канал №2</t>
  </si>
  <si>
    <t>Vermeer Navigator D80x100 Series II</t>
  </si>
  <si>
    <t>Труба F2 D160мм</t>
  </si>
  <si>
    <t>Исполнительный план № 1</t>
  </si>
  <si>
    <t>(протяжка трех футляров труб ПНД Ø160мм в 2 буровых канала).</t>
  </si>
  <si>
    <t>3,00-12,00</t>
  </si>
  <si>
    <t>С180457-325834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</si>
</sst>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-* #,##0.00&quot;р.&quot;_-;\-* #,##0.00&quot;р.&quot;_-;_-* &quot;-&quot;??&quot;р.&quot;_-;_-@_-"/>
  </numFmts>
  <fonts count="45" x14ac:knownFonts="1">
    <font>
      <sz val="11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  <charset val="204"/>
    </font>
    <font>
      <b/>
      <sz val="10"/>
      <name val="Times New Roman"/>
      <family val="1"/>
    </font>
    <font>
      <sz val="10"/>
      <name val="Calibri"/>
      <family val="2"/>
      <charset val="204"/>
    </font>
    <font>
      <sz val="8"/>
      <name val="Times New Roman"/>
      <family val="1"/>
      <charset val="204"/>
    </font>
    <font>
      <sz val="8"/>
      <name val="Calibri"/>
      <family val="2"/>
      <charset val="204"/>
    </font>
    <font>
      <b/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8"/>
      <name val="Times New Roman"/>
      <family val="1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i/>
      <u/>
      <sz val="8"/>
      <name val="Times New Roman"/>
      <family val="1"/>
      <charset val="204"/>
    </font>
    <font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u/>
      <sz val="8"/>
      <name val="Times New Roman"/>
      <family val="1"/>
    </font>
    <font>
      <u/>
      <sz val="8"/>
      <name val="Times New Roman"/>
      <family val="1"/>
      <charset val="204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8"/>
      <name val="Calibri"/>
      <family val="2"/>
      <charset val="204"/>
    </font>
    <font>
      <strike/>
      <sz val="8"/>
      <name val="Times New Roman"/>
      <family val="1"/>
      <charset val="204"/>
    </font>
    <font>
      <sz val="10"/>
      <name val="Arial"/>
      <family val="2"/>
      <charset val="204"/>
    </font>
    <font>
      <sz val="6"/>
      <name val="Times New Roman"/>
      <family val="1"/>
      <charset val="204"/>
    </font>
    <font>
      <b/>
      <i/>
      <sz val="9"/>
      <name val="Tahoma"/>
      <family val="2"/>
      <charset val="204"/>
    </font>
    <font>
      <sz val="11"/>
      <name val="Times New Roman"/>
      <family val="1"/>
      <charset val="204"/>
    </font>
    <font>
      <b/>
      <i/>
      <sz val="8"/>
      <name val="Tahoma"/>
      <family val="2"/>
      <charset val="204"/>
    </font>
    <font>
      <b/>
      <i/>
      <sz val="6"/>
      <name val="Tahoma"/>
      <family val="2"/>
      <charset val="204"/>
    </font>
    <font>
      <i/>
      <sz val="6"/>
      <name val="Times New Roman"/>
      <family val="1"/>
      <charset val="204"/>
    </font>
    <font>
      <i/>
      <sz val="9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9"/>
      <color rgb="FF000000"/>
      <name val="Arial"/>
      <family val="2"/>
      <charset val="204"/>
    </font>
    <font>
      <b/>
      <sz val="1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11"/>
      <name val="Calibri"/>
      <family val="2"/>
    </font>
    <font>
      <sz val="10"/>
      <color theme="1"/>
      <name val="Arial"/>
      <family val="2"/>
    </font>
    <font>
      <sz val="11"/>
      <color rgb="FF00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10">
    <xf numFmtId="0" fontId="0" fillId="0" borderId="0"/>
    <xf numFmtId="0" fontId="22" fillId="0" borderId="0"/>
    <xf numFmtId="0" fontId="28" fillId="0" borderId="0"/>
    <xf numFmtId="0" fontId="15" fillId="0" borderId="0"/>
    <xf numFmtId="0" fontId="3" fillId="0" borderId="0"/>
    <xf numFmtId="165" fontId="3" fillId="0" borderId="0" applyFont="0" applyFill="0" applyBorder="0" applyAlignment="0" applyProtection="0"/>
    <xf numFmtId="0" fontId="43" fillId="0" borderId="0"/>
    <xf numFmtId="0" fontId="42" fillId="0" borderId="0"/>
    <xf numFmtId="0" fontId="15" fillId="0" borderId="0"/>
    <xf numFmtId="0" fontId="2" fillId="0" borderId="0"/>
  </cellStyleXfs>
  <cellXfs count="302">
    <xf numFmtId="0" fontId="0" fillId="0" borderId="0" xfId="0"/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10" fillId="0" borderId="0" xfId="0" applyFont="1"/>
    <xf numFmtId="0" fontId="10" fillId="0" borderId="0" xfId="0" applyFont="1"/>
    <xf numFmtId="0" fontId="9" fillId="0" borderId="1" xfId="0" applyFont="1" applyBorder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right"/>
    </xf>
    <xf numFmtId="0" fontId="9" fillId="0" borderId="0" xfId="0" applyFont="1" applyAlignment="1">
      <alignment vertical="top" wrapText="1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top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4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 wrapText="1"/>
    </xf>
    <xf numFmtId="0" fontId="12" fillId="0" borderId="0" xfId="0" applyFont="1" applyAlignment="1">
      <alignment vertical="top" wrapText="1"/>
    </xf>
    <xf numFmtId="0" fontId="9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wrapText="1"/>
    </xf>
    <xf numFmtId="0" fontId="23" fillId="0" borderId="0" xfId="1" applyFont="1"/>
    <xf numFmtId="0" fontId="24" fillId="0" borderId="0" xfId="1" applyFont="1" applyAlignment="1">
      <alignment horizontal="right" vertical="center"/>
    </xf>
    <xf numFmtId="0" fontId="24" fillId="0" borderId="0" xfId="1" applyFont="1" applyAlignment="1">
      <alignment vertical="center"/>
    </xf>
    <xf numFmtId="0" fontId="23" fillId="0" borderId="0" xfId="1" applyFont="1" applyAlignment="1">
      <alignment horizontal="right" vertical="center"/>
    </xf>
    <xf numFmtId="0" fontId="23" fillId="0" borderId="0" xfId="1" applyFont="1" applyAlignment="1">
      <alignment horizontal="right" vertical="center" wrapText="1"/>
    </xf>
    <xf numFmtId="0" fontId="23" fillId="0" borderId="1" xfId="1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/>
    </xf>
    <xf numFmtId="0" fontId="9" fillId="0" borderId="0" xfId="2" applyFont="1"/>
    <xf numFmtId="0" fontId="9" fillId="0" borderId="0" xfId="2" applyFont="1" applyAlignment="1">
      <alignment horizontal="right"/>
    </xf>
    <xf numFmtId="0" fontId="9" fillId="0" borderId="0" xfId="2" applyFont="1" applyAlignment="1">
      <alignment wrapText="1"/>
    </xf>
    <xf numFmtId="0" fontId="29" fillId="0" borderId="0" xfId="2" applyFont="1"/>
    <xf numFmtId="0" fontId="31" fillId="0" borderId="0" xfId="2" applyFont="1"/>
    <xf numFmtId="0" fontId="9" fillId="0" borderId="0" xfId="2" applyFont="1" applyAlignment="1">
      <alignment vertical="center"/>
    </xf>
    <xf numFmtId="0" fontId="29" fillId="0" borderId="0" xfId="2" applyFont="1" applyAlignment="1">
      <alignment vertical="center"/>
    </xf>
    <xf numFmtId="0" fontId="35" fillId="0" borderId="0" xfId="3" applyFont="1" applyAlignment="1">
      <alignment horizontal="center" vertical="center"/>
    </xf>
    <xf numFmtId="0" fontId="11" fillId="0" borderId="0" xfId="2" applyFont="1"/>
    <xf numFmtId="0" fontId="29" fillId="0" borderId="0" xfId="2" applyFont="1" applyAlignment="1">
      <alignment vertical="center" wrapText="1"/>
    </xf>
    <xf numFmtId="0" fontId="11" fillId="0" borderId="3" xfId="2" applyFont="1" applyFill="1" applyBorder="1"/>
    <xf numFmtId="0" fontId="11" fillId="0" borderId="3" xfId="2" applyFont="1" applyFill="1" applyBorder="1" applyAlignment="1">
      <alignment horizontal="center"/>
    </xf>
    <xf numFmtId="0" fontId="11" fillId="0" borderId="2" xfId="2" applyFont="1" applyFill="1" applyBorder="1"/>
    <xf numFmtId="0" fontId="11" fillId="0" borderId="2" xfId="2" applyFont="1" applyFill="1" applyBorder="1" applyAlignment="1">
      <alignment horizontal="center"/>
    </xf>
    <xf numFmtId="0" fontId="16" fillId="0" borderId="3" xfId="2" applyFont="1" applyFill="1" applyBorder="1"/>
    <xf numFmtId="0" fontId="16" fillId="0" borderId="3" xfId="2" applyFont="1" applyFill="1" applyBorder="1" applyAlignment="1">
      <alignment horizontal="center"/>
    </xf>
    <xf numFmtId="0" fontId="36" fillId="0" borderId="1" xfId="0" applyFont="1" applyBorder="1" applyAlignment="1">
      <alignment horizontal="center" wrapText="1"/>
    </xf>
    <xf numFmtId="0" fontId="36" fillId="2" borderId="5" xfId="0" applyFont="1" applyFill="1" applyBorder="1" applyAlignment="1">
      <alignment vertical="center" wrapText="1"/>
    </xf>
    <xf numFmtId="0" fontId="36" fillId="0" borderId="6" xfId="0" applyFont="1" applyBorder="1" applyAlignment="1">
      <alignment horizontal="center" wrapText="1"/>
    </xf>
    <xf numFmtId="0" fontId="36" fillId="0" borderId="7" xfId="0" applyFont="1" applyBorder="1" applyAlignment="1">
      <alignment wrapText="1"/>
    </xf>
    <xf numFmtId="0" fontId="36" fillId="2" borderId="7" xfId="0" applyFont="1" applyFill="1" applyBorder="1" applyAlignment="1">
      <alignment wrapText="1"/>
    </xf>
    <xf numFmtId="0" fontId="36" fillId="0" borderId="7" xfId="0" applyFont="1" applyBorder="1" applyAlignment="1">
      <alignment horizontal="left" wrapText="1"/>
    </xf>
    <xf numFmtId="0" fontId="36" fillId="0" borderId="10" xfId="0" applyFont="1" applyBorder="1" applyAlignment="1">
      <alignment horizontal="center" wrapText="1"/>
    </xf>
    <xf numFmtId="0" fontId="36" fillId="0" borderId="2" xfId="0" applyFont="1" applyBorder="1" applyAlignment="1">
      <alignment wrapText="1"/>
    </xf>
    <xf numFmtId="0" fontId="36" fillId="0" borderId="1" xfId="0" applyFont="1" applyBorder="1" applyAlignment="1">
      <alignment wrapText="1"/>
    </xf>
    <xf numFmtId="0" fontId="36" fillId="2" borderId="1" xfId="0" applyFont="1" applyFill="1" applyBorder="1" applyAlignment="1">
      <alignment wrapText="1"/>
    </xf>
    <xf numFmtId="0" fontId="39" fillId="0" borderId="0" xfId="0" applyFont="1" applyAlignment="1">
      <alignment vertical="center"/>
    </xf>
    <xf numFmtId="0" fontId="39" fillId="0" borderId="0" xfId="0" applyFont="1"/>
    <xf numFmtId="0" fontId="40" fillId="0" borderId="1" xfId="1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 wrapText="1"/>
    </xf>
    <xf numFmtId="0" fontId="10" fillId="0" borderId="0" xfId="0" applyFont="1"/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justify" vertical="top" wrapText="1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wrapText="1"/>
    </xf>
    <xf numFmtId="0" fontId="41" fillId="0" borderId="1" xfId="1" applyFont="1" applyBorder="1" applyAlignment="1">
      <alignment horizontal="center" vertical="center" wrapText="1"/>
    </xf>
    <xf numFmtId="0" fontId="31" fillId="0" borderId="0" xfId="0" applyFont="1"/>
    <xf numFmtId="0" fontId="9" fillId="0" borderId="0" xfId="0" applyFont="1" applyAlignment="1"/>
    <xf numFmtId="0" fontId="11" fillId="0" borderId="0" xfId="0" applyFont="1" applyFill="1" applyBorder="1" applyAlignment="1">
      <alignment vertical="top" wrapText="1"/>
    </xf>
    <xf numFmtId="0" fontId="10" fillId="0" borderId="0" xfId="0" applyFont="1" applyFill="1" applyAlignment="1"/>
    <xf numFmtId="0" fontId="26" fillId="0" borderId="0" xfId="0" applyFont="1" applyFill="1" applyAlignment="1"/>
    <xf numFmtId="164" fontId="40" fillId="0" borderId="1" xfId="1" applyNumberFormat="1" applyFont="1" applyBorder="1" applyAlignment="1">
      <alignment horizontal="center" vertical="center"/>
    </xf>
    <xf numFmtId="49" fontId="36" fillId="2" borderId="1" xfId="0" applyNumberFormat="1" applyFont="1" applyFill="1" applyBorder="1" applyAlignment="1">
      <alignment horizontal="left" wrapText="1"/>
    </xf>
    <xf numFmtId="49" fontId="36" fillId="2" borderId="7" xfId="0" applyNumberFormat="1" applyFont="1" applyFill="1" applyBorder="1" applyAlignment="1">
      <alignment horizontal="left" wrapText="1"/>
    </xf>
    <xf numFmtId="0" fontId="12" fillId="0" borderId="2" xfId="0" applyFont="1" applyBorder="1" applyAlignment="1">
      <alignment horizontal="center" vertical="center" wrapText="1"/>
    </xf>
    <xf numFmtId="0" fontId="10" fillId="0" borderId="0" xfId="0" applyFont="1" applyFill="1"/>
    <xf numFmtId="0" fontId="9" fillId="0" borderId="0" xfId="0" applyFont="1" applyFill="1" applyAlignment="1">
      <alignment horizontal="left" vertical="top" wrapText="1"/>
    </xf>
    <xf numFmtId="0" fontId="13" fillId="0" borderId="0" xfId="0" applyFont="1" applyFill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2" fillId="0" borderId="0" xfId="0" applyFont="1" applyFill="1" applyAlignment="1">
      <alignment horizontal="right" vertical="top" wrapText="1"/>
    </xf>
    <xf numFmtId="0" fontId="12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wrapText="1"/>
    </xf>
    <xf numFmtId="0" fontId="9" fillId="0" borderId="0" xfId="0" applyFont="1" applyFill="1" applyAlignment="1">
      <alignment vertical="top" wrapText="1"/>
    </xf>
    <xf numFmtId="0" fontId="9" fillId="0" borderId="0" xfId="0" applyFont="1" applyFill="1"/>
    <xf numFmtId="0" fontId="9" fillId="0" borderId="0" xfId="0" applyFont="1" applyFill="1" applyAlignment="1">
      <alignment horizontal="justify" vertical="top" wrapText="1"/>
    </xf>
    <xf numFmtId="0" fontId="5" fillId="0" borderId="0" xfId="0" applyFont="1" applyFill="1" applyAlignment="1"/>
    <xf numFmtId="0" fontId="10" fillId="0" borderId="0" xfId="0" applyFont="1" applyFill="1" applyBorder="1" applyAlignment="1"/>
    <xf numFmtId="0" fontId="5" fillId="0" borderId="0" xfId="0" applyFont="1" applyFill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2" fillId="0" borderId="0" xfId="0" applyFont="1" applyFill="1" applyAlignment="1">
      <alignment horizontal="center" vertical="center" wrapText="1"/>
    </xf>
    <xf numFmtId="0" fontId="0" fillId="0" borderId="0" xfId="0" applyFill="1"/>
    <xf numFmtId="0" fontId="9" fillId="0" borderId="0" xfId="0" applyFont="1" applyFill="1" applyBorder="1" applyAlignment="1">
      <alignment vertical="top" wrapText="1"/>
    </xf>
    <xf numFmtId="0" fontId="11" fillId="0" borderId="2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top"/>
    </xf>
    <xf numFmtId="0" fontId="5" fillId="0" borderId="0" xfId="0" applyFont="1" applyFill="1" applyAlignment="1">
      <alignment vertical="top"/>
    </xf>
    <xf numFmtId="0" fontId="17" fillId="0" borderId="0" xfId="2" applyFont="1" applyFill="1" applyAlignment="1">
      <alignment vertical="center"/>
    </xf>
    <xf numFmtId="0" fontId="30" fillId="0" borderId="0" xfId="2" applyFont="1" applyFill="1" applyAlignment="1">
      <alignment vertical="center"/>
    </xf>
    <xf numFmtId="0" fontId="17" fillId="0" borderId="0" xfId="2" applyFont="1" applyFill="1"/>
    <xf numFmtId="0" fontId="12" fillId="0" borderId="0" xfId="2" applyFont="1" applyFill="1" applyAlignment="1">
      <alignment horizontal="center"/>
    </xf>
    <xf numFmtId="0" fontId="9" fillId="0" borderId="0" xfId="2" applyFont="1" applyFill="1"/>
    <xf numFmtId="0" fontId="12" fillId="0" borderId="0" xfId="2" applyFont="1" applyFill="1" applyAlignment="1">
      <alignment horizontal="right"/>
    </xf>
    <xf numFmtId="0" fontId="12" fillId="0" borderId="2" xfId="2" applyFont="1" applyFill="1" applyBorder="1" applyAlignment="1">
      <alignment horizontal="left"/>
    </xf>
    <xf numFmtId="0" fontId="11" fillId="0" borderId="2" xfId="2" applyFont="1" applyFill="1" applyBorder="1" applyAlignment="1"/>
    <xf numFmtId="0" fontId="32" fillId="0" borderId="2" xfId="2" applyFont="1" applyFill="1" applyBorder="1" applyAlignment="1">
      <alignment horizontal="center"/>
    </xf>
    <xf numFmtId="0" fontId="9" fillId="0" borderId="2" xfId="2" applyFont="1" applyFill="1" applyBorder="1"/>
    <xf numFmtId="0" fontId="29" fillId="0" borderId="0" xfId="2" applyFont="1" applyFill="1"/>
    <xf numFmtId="0" fontId="29" fillId="0" borderId="0" xfId="2" applyFont="1" applyFill="1" applyAlignment="1">
      <alignment horizontal="left"/>
    </xf>
    <xf numFmtId="0" fontId="29" fillId="0" borderId="0" xfId="2" applyFont="1" applyFill="1" applyAlignment="1">
      <alignment horizontal="left" vertical="top"/>
    </xf>
    <xf numFmtId="0" fontId="17" fillId="0" borderId="0" xfId="2" applyFont="1" applyFill="1" applyAlignment="1">
      <alignment horizontal="left"/>
    </xf>
    <xf numFmtId="0" fontId="11" fillId="0" borderId="2" xfId="2" applyFont="1" applyFill="1" applyBorder="1" applyAlignment="1">
      <alignment vertical="center"/>
    </xf>
    <xf numFmtId="0" fontId="11" fillId="0" borderId="2" xfId="2" applyFont="1" applyFill="1" applyBorder="1" applyAlignment="1">
      <alignment vertical="center" wrapText="1"/>
    </xf>
    <xf numFmtId="0" fontId="11" fillId="0" borderId="0" xfId="2" applyFont="1" applyFill="1" applyBorder="1" applyAlignment="1"/>
    <xf numFmtId="0" fontId="33" fillId="0" borderId="0" xfId="2" applyFont="1" applyFill="1"/>
    <xf numFmtId="0" fontId="29" fillId="0" borderId="0" xfId="2" applyFont="1" applyFill="1" applyBorder="1" applyAlignment="1">
      <alignment vertical="center"/>
    </xf>
    <xf numFmtId="0" fontId="11" fillId="0" borderId="3" xfId="2" applyFont="1" applyFill="1" applyBorder="1" applyAlignment="1">
      <alignment vertical="center"/>
    </xf>
    <xf numFmtId="0" fontId="34" fillId="0" borderId="0" xfId="2" applyFont="1" applyFill="1" applyAlignment="1">
      <alignment vertical="center"/>
    </xf>
    <xf numFmtId="0" fontId="35" fillId="0" borderId="0" xfId="2" applyFont="1" applyFill="1" applyAlignment="1">
      <alignment horizontal="center" vertical="center"/>
    </xf>
    <xf numFmtId="0" fontId="18" fillId="0" borderId="0" xfId="2" applyFont="1" applyFill="1" applyAlignment="1">
      <alignment horizontal="center" vertical="center"/>
    </xf>
    <xf numFmtId="0" fontId="32" fillId="0" borderId="0" xfId="2" applyFont="1" applyFill="1"/>
    <xf numFmtId="0" fontId="30" fillId="0" borderId="0" xfId="2" applyFont="1" applyFill="1" applyAlignment="1">
      <alignment horizontal="right"/>
    </xf>
    <xf numFmtId="0" fontId="17" fillId="0" borderId="0" xfId="2" applyFont="1" applyFill="1" applyAlignment="1">
      <alignment horizontal="center"/>
    </xf>
    <xf numFmtId="0" fontId="11" fillId="0" borderId="3" xfId="2" applyFont="1" applyFill="1" applyBorder="1" applyAlignment="1"/>
    <xf numFmtId="0" fontId="16" fillId="0" borderId="3" xfId="2" applyFont="1" applyFill="1" applyBorder="1" applyAlignment="1"/>
    <xf numFmtId="0" fontId="9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left" vertical="top" wrapText="1"/>
    </xf>
    <xf numFmtId="0" fontId="11" fillId="0" borderId="2" xfId="2" applyFont="1" applyFill="1" applyBorder="1" applyAlignment="1">
      <alignment horizontal="center"/>
    </xf>
    <xf numFmtId="0" fontId="15" fillId="0" borderId="0" xfId="0" applyFont="1"/>
    <xf numFmtId="0" fontId="9" fillId="0" borderId="3" xfId="2" applyFont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14" fillId="0" borderId="11" xfId="9" applyFont="1" applyBorder="1" applyAlignment="1">
      <alignment vertical="center"/>
    </xf>
    <xf numFmtId="0" fontId="14" fillId="0" borderId="11" xfId="9" applyFont="1" applyBorder="1" applyAlignment="1">
      <alignment horizontal="center" vertical="center"/>
    </xf>
    <xf numFmtId="0" fontId="14" fillId="0" borderId="11" xfId="9" applyFont="1" applyBorder="1"/>
    <xf numFmtId="0" fontId="2" fillId="0" borderId="0" xfId="9"/>
    <xf numFmtId="0" fontId="2" fillId="3" borderId="1" xfId="9" applyFill="1" applyBorder="1" applyAlignment="1">
      <alignment vertical="center"/>
    </xf>
    <xf numFmtId="0" fontId="2" fillId="3" borderId="1" xfId="9" applyFill="1" applyBorder="1" applyAlignment="1">
      <alignment horizontal="center" vertical="center" wrapText="1"/>
    </xf>
    <xf numFmtId="0" fontId="2" fillId="3" borderId="8" xfId="9" applyFill="1" applyBorder="1" applyAlignment="1">
      <alignment horizontal="center" vertical="center" wrapText="1"/>
    </xf>
    <xf numFmtId="0" fontId="2" fillId="0" borderId="1" xfId="9" applyBorder="1" applyAlignment="1">
      <alignment vertical="center"/>
    </xf>
    <xf numFmtId="0" fontId="2" fillId="0" borderId="1" xfId="9" applyBorder="1" applyAlignment="1">
      <alignment horizontal="center" vertical="center" wrapText="1"/>
    </xf>
    <xf numFmtId="0" fontId="2" fillId="0" borderId="8" xfId="9" applyBorder="1" applyAlignment="1">
      <alignment horizontal="center" vertical="center" wrapText="1"/>
    </xf>
    <xf numFmtId="0" fontId="2" fillId="3" borderId="1" xfId="9" applyFill="1" applyBorder="1"/>
    <xf numFmtId="0" fontId="2" fillId="0" borderId="0" xfId="9" applyAlignment="1">
      <alignment wrapText="1"/>
    </xf>
    <xf numFmtId="0" fontId="2" fillId="4" borderId="1" xfId="9" applyFill="1" applyBorder="1" applyAlignment="1">
      <alignment wrapText="1"/>
    </xf>
    <xf numFmtId="0" fontId="2" fillId="5" borderId="0" xfId="9" applyFill="1" applyAlignment="1">
      <alignment wrapText="1"/>
    </xf>
    <xf numFmtId="0" fontId="2" fillId="6" borderId="1" xfId="9" applyFill="1" applyBorder="1" applyAlignment="1">
      <alignment wrapText="1"/>
    </xf>
    <xf numFmtId="0" fontId="2" fillId="5" borderId="1" xfId="9" applyFill="1" applyBorder="1" applyAlignment="1">
      <alignment wrapText="1"/>
    </xf>
    <xf numFmtId="0" fontId="2" fillId="7" borderId="0" xfId="9" applyFill="1" applyAlignment="1">
      <alignment wrapText="1"/>
    </xf>
    <xf numFmtId="0" fontId="2" fillId="5" borderId="1" xfId="9" applyFill="1" applyBorder="1"/>
    <xf numFmtId="0" fontId="36" fillId="0" borderId="7" xfId="0" applyFont="1" applyBorder="1" applyAlignment="1">
      <alignment vertical="center" wrapText="1"/>
    </xf>
    <xf numFmtId="0" fontId="38" fillId="0" borderId="0" xfId="0" applyFont="1" applyAlignment="1">
      <alignment vertical="center"/>
    </xf>
    <xf numFmtId="0" fontId="36" fillId="0" borderId="5" xfId="0" applyFont="1" applyBorder="1" applyAlignment="1">
      <alignment vertical="center" wrapText="1"/>
    </xf>
    <xf numFmtId="0" fontId="36" fillId="0" borderId="3" xfId="0" applyFont="1" applyBorder="1" applyAlignment="1">
      <alignment vertical="center" wrapText="1"/>
    </xf>
    <xf numFmtId="0" fontId="44" fillId="0" borderId="6" xfId="0" applyFont="1" applyBorder="1" applyAlignment="1">
      <alignment horizontal="center" wrapText="1"/>
    </xf>
    <xf numFmtId="0" fontId="15" fillId="0" borderId="0" xfId="0" applyFont="1" applyBorder="1"/>
    <xf numFmtId="0" fontId="36" fillId="0" borderId="1" xfId="0" applyFont="1" applyBorder="1" applyAlignment="1">
      <alignment vertical="center" wrapText="1"/>
    </xf>
    <xf numFmtId="0" fontId="26" fillId="0" borderId="3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11" fillId="0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6" fillId="0" borderId="1" xfId="0" applyFont="1" applyFill="1" applyBorder="1" applyAlignment="1">
      <alignment wrapText="1"/>
    </xf>
    <xf numFmtId="0" fontId="1" fillId="3" borderId="1" xfId="9" applyFont="1" applyFill="1" applyBorder="1" applyAlignment="1">
      <alignment horizontal="center" vertical="center" wrapText="1"/>
    </xf>
    <xf numFmtId="0" fontId="1" fillId="0" borderId="1" xfId="9" applyFont="1" applyBorder="1" applyAlignment="1">
      <alignment horizontal="center" vertical="center" wrapText="1"/>
    </xf>
    <xf numFmtId="0" fontId="22" fillId="3" borderId="1" xfId="1" applyFill="1" applyBorder="1" applyAlignment="1">
      <alignment horizontal="center" vertical="center" wrapText="1"/>
    </xf>
    <xf numFmtId="0" fontId="22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40" fillId="0" borderId="0" xfId="1" applyFont="1" applyBorder="1" applyAlignment="1">
      <alignment horizontal="center" vertical="center"/>
    </xf>
    <xf numFmtId="0" fontId="14" fillId="0" borderId="11" xfId="9" applyFont="1" applyBorder="1" applyAlignment="1">
      <alignment horizontal="center"/>
    </xf>
    <xf numFmtId="0" fontId="2" fillId="3" borderId="8" xfId="9" applyFill="1" applyBorder="1" applyAlignment="1">
      <alignment horizontal="center" vertical="center" wrapText="1"/>
    </xf>
    <xf numFmtId="0" fontId="2" fillId="3" borderId="5" xfId="9" applyFill="1" applyBorder="1" applyAlignment="1">
      <alignment horizontal="center" vertical="center" wrapText="1"/>
    </xf>
    <xf numFmtId="0" fontId="2" fillId="0" borderId="8" xfId="9" applyBorder="1" applyAlignment="1">
      <alignment horizontal="center" vertical="center" wrapText="1"/>
    </xf>
    <xf numFmtId="0" fontId="2" fillId="0" borderId="5" xfId="9" applyBorder="1" applyAlignment="1">
      <alignment horizontal="center" vertical="center" wrapText="1"/>
    </xf>
    <xf numFmtId="0" fontId="37" fillId="0" borderId="8" xfId="0" applyFont="1" applyBorder="1" applyAlignment="1">
      <alignment horizontal="center" wrapText="1"/>
    </xf>
    <xf numFmtId="0" fontId="37" fillId="0" borderId="9" xfId="0" applyFont="1" applyBorder="1" applyAlignment="1">
      <alignment horizontal="center" wrapText="1"/>
    </xf>
    <xf numFmtId="0" fontId="3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64" fontId="36" fillId="0" borderId="1" xfId="0" applyNumberFormat="1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11" fillId="0" borderId="2" xfId="2" applyFont="1" applyBorder="1" applyAlignment="1">
      <alignment horizontal="center"/>
    </xf>
    <xf numFmtId="0" fontId="29" fillId="0" borderId="4" xfId="2" applyFont="1" applyBorder="1" applyAlignment="1">
      <alignment horizontal="center" vertical="center" wrapText="1"/>
    </xf>
    <xf numFmtId="0" fontId="29" fillId="0" borderId="4" xfId="2" applyFont="1" applyBorder="1" applyAlignment="1">
      <alignment horizontal="center" vertical="center"/>
    </xf>
    <xf numFmtId="0" fontId="29" fillId="0" borderId="0" xfId="2" applyFont="1" applyAlignment="1">
      <alignment horizontal="center" vertical="center" wrapText="1"/>
    </xf>
    <xf numFmtId="0" fontId="29" fillId="0" borderId="0" xfId="2" applyFont="1" applyAlignment="1">
      <alignment horizontal="center" vertical="center"/>
    </xf>
    <xf numFmtId="0" fontId="9" fillId="0" borderId="2" xfId="2" applyFont="1" applyFill="1" applyBorder="1" applyAlignment="1">
      <alignment horizontal="center"/>
    </xf>
    <xf numFmtId="0" fontId="11" fillId="0" borderId="2" xfId="2" applyFont="1" applyFill="1" applyBorder="1" applyAlignment="1">
      <alignment horizontal="center" vertical="center" wrapText="1"/>
    </xf>
    <xf numFmtId="0" fontId="11" fillId="0" borderId="2" xfId="2" applyFont="1" applyFill="1" applyBorder="1" applyAlignment="1">
      <alignment horizontal="left" vertical="center" wrapText="1"/>
    </xf>
    <xf numFmtId="0" fontId="11" fillId="0" borderId="2" xfId="2" applyFont="1" applyFill="1" applyBorder="1" applyAlignment="1">
      <alignment horizontal="left"/>
    </xf>
    <xf numFmtId="0" fontId="9" fillId="0" borderId="0" xfId="2" applyFont="1" applyAlignment="1">
      <alignment horizontal="left" vertical="center" wrapText="1"/>
    </xf>
    <xf numFmtId="0" fontId="29" fillId="0" borderId="0" xfId="2" applyFont="1" applyFill="1" applyAlignment="1">
      <alignment horizontal="center" vertical="center" wrapText="1"/>
    </xf>
    <xf numFmtId="0" fontId="29" fillId="0" borderId="0" xfId="2" applyFont="1" applyFill="1" applyAlignment="1">
      <alignment horizontal="center" vertical="center"/>
    </xf>
    <xf numFmtId="0" fontId="11" fillId="0" borderId="2" xfId="2" applyFont="1" applyFill="1" applyBorder="1" applyAlignment="1">
      <alignment horizontal="center"/>
    </xf>
    <xf numFmtId="0" fontId="11" fillId="0" borderId="3" xfId="2" applyFont="1" applyFill="1" applyBorder="1" applyAlignment="1">
      <alignment horizontal="center"/>
    </xf>
    <xf numFmtId="0" fontId="29" fillId="0" borderId="4" xfId="2" applyFont="1" applyFill="1" applyBorder="1" applyAlignment="1">
      <alignment horizontal="center" vertical="center" wrapText="1"/>
    </xf>
    <xf numFmtId="0" fontId="11" fillId="0" borderId="3" xfId="2" applyFont="1" applyFill="1" applyBorder="1" applyAlignment="1">
      <alignment horizontal="center" vertical="center"/>
    </xf>
    <xf numFmtId="0" fontId="34" fillId="0" borderId="0" xfId="2" applyFont="1" applyFill="1" applyAlignment="1">
      <alignment horizontal="center" vertical="center"/>
    </xf>
    <xf numFmtId="0" fontId="18" fillId="0" borderId="3" xfId="2" applyFont="1" applyFill="1" applyBorder="1" applyAlignment="1">
      <alignment horizontal="center" vertical="center"/>
    </xf>
    <xf numFmtId="0" fontId="18" fillId="0" borderId="2" xfId="2" applyFont="1" applyFill="1" applyBorder="1" applyAlignment="1">
      <alignment horizontal="center" vertical="center"/>
    </xf>
    <xf numFmtId="0" fontId="9" fillId="0" borderId="0" xfId="2" applyFont="1" applyFill="1" applyAlignment="1">
      <alignment horizontal="left" vertical="center" wrapText="1"/>
    </xf>
    <xf numFmtId="0" fontId="29" fillId="0" borderId="4" xfId="2" applyFont="1" applyFill="1" applyBorder="1" applyAlignment="1">
      <alignment horizontal="center" vertical="top" wrapText="1"/>
    </xf>
    <xf numFmtId="0" fontId="11" fillId="0" borderId="2" xfId="2" applyFont="1" applyFill="1" applyBorder="1" applyAlignment="1">
      <alignment horizontal="center" vertical="center"/>
    </xf>
    <xf numFmtId="0" fontId="9" fillId="0" borderId="0" xfId="2" applyFont="1" applyFill="1" applyAlignment="1">
      <alignment horizontal="left" wrapText="1"/>
    </xf>
    <xf numFmtId="0" fontId="12" fillId="0" borderId="0" xfId="2" applyFont="1" applyFill="1" applyAlignment="1">
      <alignment horizontal="center" vertical="center"/>
    </xf>
    <xf numFmtId="0" fontId="12" fillId="0" borderId="0" xfId="2" applyFont="1" applyFill="1" applyAlignment="1">
      <alignment horizontal="center"/>
    </xf>
    <xf numFmtId="0" fontId="18" fillId="0" borderId="2" xfId="0" applyFont="1" applyBorder="1" applyAlignment="1">
      <alignment horizontal="center"/>
    </xf>
    <xf numFmtId="0" fontId="11" fillId="0" borderId="2" xfId="2" applyFont="1" applyBorder="1" applyAlignment="1">
      <alignment horizontal="center" vertical="center"/>
    </xf>
    <xf numFmtId="0" fontId="9" fillId="0" borderId="0" xfId="2" applyFont="1" applyAlignment="1">
      <alignment horizontal="left" wrapText="1"/>
    </xf>
    <xf numFmtId="0" fontId="11" fillId="0" borderId="2" xfId="2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4" fillId="0" borderId="0" xfId="0" applyFont="1" applyFill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left" vertical="top" wrapText="1"/>
    </xf>
    <xf numFmtId="0" fontId="10" fillId="0" borderId="0" xfId="0" applyFont="1" applyFill="1"/>
    <xf numFmtId="2" fontId="11" fillId="0" borderId="1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8" fillId="0" borderId="0" xfId="0" applyFont="1"/>
    <xf numFmtId="0" fontId="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0" fillId="0" borderId="0" xfId="0" applyFont="1"/>
    <xf numFmtId="0" fontId="9" fillId="0" borderId="1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164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0" xfId="0" applyFont="1" applyAlignment="1">
      <alignment horizontal="justify" vertical="top" wrapText="1"/>
    </xf>
    <xf numFmtId="0" fontId="6" fillId="0" borderId="0" xfId="0" applyFont="1" applyAlignment="1">
      <alignment horizontal="center" vertical="top" wrapText="1"/>
    </xf>
    <xf numFmtId="0" fontId="15" fillId="0" borderId="0" xfId="0" applyFont="1"/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12" fillId="0" borderId="0" xfId="0" applyFont="1" applyAlignment="1">
      <alignment horizontal="center" vertical="top" wrapText="1"/>
    </xf>
    <xf numFmtId="0" fontId="9" fillId="0" borderId="0" xfId="0" applyFont="1" applyBorder="1" applyAlignment="1">
      <alignment horizontal="center" vertical="top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top"/>
    </xf>
    <xf numFmtId="0" fontId="12" fillId="0" borderId="0" xfId="0" applyFont="1" applyAlignment="1">
      <alignment horizontal="right" vertical="top" wrapText="1"/>
    </xf>
    <xf numFmtId="0" fontId="9" fillId="0" borderId="0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top" wrapText="1"/>
    </xf>
    <xf numFmtId="0" fontId="5" fillId="0" borderId="0" xfId="0" applyFont="1" applyFill="1" applyAlignment="1">
      <alignment horizontal="justify" vertical="top" wrapText="1"/>
    </xf>
    <xf numFmtId="0" fontId="9" fillId="0" borderId="0" xfId="0" applyFont="1" applyFill="1" applyAlignment="1">
      <alignment horizontal="justify" vertical="top" wrapText="1"/>
    </xf>
    <xf numFmtId="164" fontId="11" fillId="0" borderId="2" xfId="0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 vertical="top" wrapText="1"/>
    </xf>
    <xf numFmtId="0" fontId="9" fillId="0" borderId="2" xfId="0" applyFont="1" applyFill="1" applyBorder="1" applyAlignment="1">
      <alignment horizontal="center" vertical="top" wrapText="1"/>
    </xf>
    <xf numFmtId="0" fontId="9" fillId="0" borderId="0" xfId="0" applyFont="1" applyFill="1" applyAlignment="1">
      <alignment horizontal="left" vertical="top" wrapText="1"/>
    </xf>
    <xf numFmtId="0" fontId="9" fillId="0" borderId="4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left" vertical="top"/>
    </xf>
    <xf numFmtId="0" fontId="12" fillId="0" borderId="0" xfId="0" applyFont="1" applyFill="1" applyAlignment="1">
      <alignment horizontal="right" vertical="top" wrapText="1"/>
    </xf>
    <xf numFmtId="0" fontId="12" fillId="0" borderId="0" xfId="0" applyFont="1" applyFill="1" applyAlignment="1">
      <alignment horizontal="center" vertical="top" wrapText="1"/>
    </xf>
    <xf numFmtId="0" fontId="11" fillId="0" borderId="2" xfId="0" applyFont="1" applyFill="1" applyBorder="1" applyAlignment="1">
      <alignment horizontal="center" vertical="top" wrapText="1"/>
    </xf>
    <xf numFmtId="0" fontId="11" fillId="0" borderId="3" xfId="0" applyFont="1" applyFill="1" applyBorder="1" applyAlignment="1">
      <alignment horizontal="center" vertical="top" wrapText="1"/>
    </xf>
    <xf numFmtId="0" fontId="23" fillId="0" borderId="1" xfId="1" applyFont="1" applyBorder="1" applyAlignment="1">
      <alignment horizontal="center" vertical="center" wrapText="1"/>
    </xf>
    <xf numFmtId="0" fontId="23" fillId="0" borderId="8" xfId="1" applyFont="1" applyBorder="1" applyAlignment="1">
      <alignment horizontal="center" vertical="center"/>
    </xf>
    <xf numFmtId="0" fontId="23" fillId="0" borderId="3" xfId="1" applyFont="1" applyBorder="1" applyAlignment="1">
      <alignment horizontal="center" vertical="center"/>
    </xf>
    <xf numFmtId="0" fontId="23" fillId="0" borderId="5" xfId="1" applyFont="1" applyBorder="1" applyAlignment="1">
      <alignment horizontal="center" vertical="center"/>
    </xf>
    <xf numFmtId="0" fontId="40" fillId="0" borderId="8" xfId="1" applyFont="1" applyBorder="1" applyAlignment="1">
      <alignment horizontal="center" vertical="center"/>
    </xf>
    <xf numFmtId="0" fontId="40" fillId="0" borderId="3" xfId="1" applyFont="1" applyBorder="1" applyAlignment="1">
      <alignment horizontal="center" vertical="center"/>
    </xf>
    <xf numFmtId="0" fontId="40" fillId="0" borderId="5" xfId="1" applyFont="1" applyBorder="1" applyAlignment="1">
      <alignment horizontal="center" vertical="center"/>
    </xf>
    <xf numFmtId="0" fontId="40" fillId="0" borderId="2" xfId="1" applyFont="1" applyBorder="1" applyAlignment="1">
      <alignment horizontal="center" vertical="center" wrapText="1"/>
    </xf>
    <xf numFmtId="0" fontId="25" fillId="0" borderId="0" xfId="1" applyFont="1" applyAlignment="1">
      <alignment horizontal="center"/>
    </xf>
    <xf numFmtId="0" fontId="23" fillId="0" borderId="1" xfId="1" applyFont="1" applyBorder="1" applyAlignment="1">
      <alignment horizontal="center" vertical="center"/>
    </xf>
    <xf numFmtId="0" fontId="9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5" fillId="0" borderId="0" xfId="0" applyFont="1" applyFill="1" applyAlignment="1">
      <alignment horizontal="left" vertical="top" wrapText="1"/>
    </xf>
    <xf numFmtId="0" fontId="9" fillId="0" borderId="3" xfId="0" applyFont="1" applyBorder="1" applyAlignment="1">
      <alignment horizontal="center" vertical="top" wrapText="1"/>
    </xf>
    <xf numFmtId="0" fontId="12" fillId="0" borderId="0" xfId="0" applyFont="1" applyAlignment="1">
      <alignment horizontal="justify" vertical="top" wrapText="1"/>
    </xf>
    <xf numFmtId="0" fontId="11" fillId="0" borderId="2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center" wrapText="1"/>
    </xf>
    <xf numFmtId="0" fontId="9" fillId="0" borderId="0" xfId="0" applyFont="1" applyFill="1" applyAlignment="1">
      <alignment horizontal="left" wrapText="1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wrapText="1"/>
    </xf>
    <xf numFmtId="0" fontId="21" fillId="0" borderId="0" xfId="0" applyFont="1" applyAlignment="1">
      <alignment horizontal="justify" vertical="top" wrapText="1"/>
    </xf>
    <xf numFmtId="0" fontId="12" fillId="0" borderId="0" xfId="0" applyFont="1" applyFill="1" applyAlignment="1">
      <alignment horizontal="justify" wrapText="1"/>
    </xf>
    <xf numFmtId="0" fontId="10" fillId="0" borderId="0" xfId="0" applyFont="1" applyFill="1" applyAlignment="1"/>
    <xf numFmtId="164" fontId="11" fillId="0" borderId="3" xfId="0" applyNumberFormat="1" applyFont="1" applyFill="1" applyBorder="1" applyAlignment="1">
      <alignment horizontal="center"/>
    </xf>
    <xf numFmtId="0" fontId="12" fillId="0" borderId="0" xfId="0" applyFont="1" applyFill="1" applyAlignment="1">
      <alignment horizontal="justify" vertical="top" wrapText="1"/>
    </xf>
    <xf numFmtId="0" fontId="9" fillId="0" borderId="0" xfId="0" applyFont="1" applyFill="1" applyAlignment="1">
      <alignment horizontal="justify" wrapText="1"/>
    </xf>
    <xf numFmtId="0" fontId="5" fillId="0" borderId="0" xfId="0" applyFont="1" applyFill="1" applyAlignment="1">
      <alignment horizontal="left" wrapText="1"/>
    </xf>
    <xf numFmtId="0" fontId="11" fillId="0" borderId="2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center" wrapText="1"/>
    </xf>
  </cellXfs>
  <cellStyles count="10">
    <cellStyle name="Денежный 2" xfId="5" xr:uid="{371535BD-A812-42A3-A5E1-4D5811A3384F}"/>
    <cellStyle name="Обычный" xfId="0" builtinId="0"/>
    <cellStyle name="Обычный 2" xfId="1" xr:uid="{D5E27E34-D94F-4310-8812-58F406B46FEB}"/>
    <cellStyle name="Обычный 2 2" xfId="6" xr:uid="{AB61C038-DD3E-42FD-8F35-FC3C2AEE4BEF}"/>
    <cellStyle name="Обычный 3" xfId="3" xr:uid="{24917F53-0A29-4E4B-9B57-31A18587F113}"/>
    <cellStyle name="Обычный 3 2" xfId="7" xr:uid="{B679833E-701B-417C-A62D-189411285992}"/>
    <cellStyle name="Обычный 4" xfId="8" xr:uid="{7C05D531-73D7-428D-8826-7B1721ABBDA2}"/>
    <cellStyle name="Обычный 5" xfId="4" xr:uid="{E3F62B7A-A07B-4656-87E6-2A5D6ABC656F}"/>
    <cellStyle name="Обычный 6" xfId="9" xr:uid="{D2DC3AEA-6322-4F0B-B3F6-4C60FE207256}"/>
    <cellStyle name="Обычный_Пример акта" xfId="2" xr:uid="{F1B1DE67-89D0-4100-9518-353297AF34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!&#1064;&#1072;&#1073;&#1083;&#1086;&#1085;&#1099;%20&#1048;&#1044;%2010.12.24/&#1069;&#1052;&#1056;%2016.12.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&#1040;&#1054;&#1057;&#1056;%20&#1050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 ЭС"/>
      <sheetName val="Титульный Гефест"/>
      <sheetName val="Пр.6А"/>
      <sheetName val="Пр.6Б"/>
      <sheetName val="Пр.7"/>
      <sheetName val="Пр.10"/>
      <sheetName val="Пр.11"/>
      <sheetName val="Пр.13 Справка ИД"/>
      <sheetName val="Пр.14 замечания"/>
      <sheetName val="Пр.15 Реестр"/>
      <sheetName val="Пр.16"/>
      <sheetName val="1"/>
      <sheetName val="акт ГЕО основа"/>
      <sheetName val="акт ГЕО оси"/>
      <sheetName val="2 (общий)"/>
      <sheetName val="2 ТП"/>
      <sheetName val="3 ТП"/>
      <sheetName val="4 ТП"/>
      <sheetName val="9"/>
      <sheetName val="7 ТП"/>
      <sheetName val="ТП-1"/>
      <sheetName val="ТП-2"/>
      <sheetName val="ТП-3"/>
      <sheetName val="ТП-4"/>
      <sheetName val="10 ТП"/>
      <sheetName val="11"/>
      <sheetName val="2 ВРЩ"/>
      <sheetName val="3 ВРЩ "/>
      <sheetName val="4 ВРЩ"/>
      <sheetName val="7-О ВРЩ"/>
      <sheetName val="7-М ВРЩ "/>
      <sheetName val="2 КЛ"/>
      <sheetName val="3 КЛ"/>
      <sheetName val="4 КЛ"/>
      <sheetName val="7-М КЛ"/>
      <sheetName val="КЛ-5"/>
      <sheetName val="22"/>
      <sheetName val="ВЛ-2"/>
      <sheetName val="1-1 (4)"/>
      <sheetName val="1-1 (6)"/>
      <sheetName val="1-1 (7)"/>
      <sheetName val="1-1 (8)"/>
      <sheetName val="1-1 (17)"/>
      <sheetName val="25"/>
      <sheetName val="1-1 (21)"/>
      <sheetName val="1-1 (20)"/>
      <sheetName val="КЛ-1"/>
      <sheetName val="КЛ-2"/>
      <sheetName val="КЛ-3"/>
      <sheetName val="КЛ-4"/>
      <sheetName val="КЛ-6"/>
      <sheetName val="КЛ-7"/>
      <sheetName val="КЛ-8"/>
      <sheetName val="КЛ-9"/>
      <sheetName val="10 КЛ"/>
      <sheetName val="2 ВЛЗ"/>
      <sheetName val="3 ВЛЗ"/>
      <sheetName val="4 ВЛЗ"/>
      <sheetName val="7-О ВЛЗ"/>
      <sheetName val="7-М ВЛЗ"/>
      <sheetName val="ВЛ-1"/>
      <sheetName val="ВЛЗ-3"/>
      <sheetName val="ВЛЗ-6"/>
      <sheetName val="ВЛЗ-8"/>
      <sheetName val="24 ВЛЗ"/>
      <sheetName val="26 ВЛЗ"/>
      <sheetName val="10 ВЛЗ"/>
      <sheetName val="2 ВЛИ"/>
      <sheetName val="3 ВЛИ"/>
      <sheetName val="4 ВЛИ"/>
      <sheetName val="7-О ВЛИ"/>
      <sheetName val="7-ОМ ВЛИ"/>
      <sheetName val="ВЛ-1 (2)"/>
      <sheetName val="ВЛИ-3"/>
      <sheetName val="ВЛИ-6"/>
      <sheetName val="ВЛИ-8"/>
      <sheetName val="24 ВЛИ"/>
      <sheetName val="26 ВЛИ"/>
      <sheetName val="Лист1"/>
      <sheetName val="ВРЩ-1"/>
      <sheetName val="ВРЩ-2"/>
      <sheetName val="10 ВЛИ"/>
      <sheetName val="Лист2"/>
    </sheetNames>
    <sheetDataSet>
      <sheetData sheetId="0"/>
      <sheetData sheetId="1"/>
      <sheetData sheetId="2"/>
      <sheetData sheetId="3"/>
      <sheetData sheetId="4">
        <row r="3">
          <cell r="B3" t="str">
            <v>Реконструкция КТП-6/0,4 кВ № 1894 в части установки 1 АВ-160 А, ВЛИ-0,38 кВ, ПС №116 "Солнечногорск", в т.ч. ПИР, МО, Солнечногорский р-н, д. Пешки, уч.81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АОСР-1"/>
      <sheetName val="АОСР-2"/>
      <sheetName val="АОСР-3"/>
      <sheetName val="АОСР-4"/>
      <sheetName val="АОСР-5"/>
      <sheetName val="АОСР-6"/>
    </sheetNames>
    <sheetDataSet>
      <sheetData sheetId="0">
        <row r="13">
          <cell r="B13" t="str">
            <v>ООО "Энергосистемы"</v>
          </cell>
        </row>
        <row r="46">
          <cell r="F46" t="str">
            <v>АСБл 3х120</v>
          </cell>
        </row>
        <row r="47">
          <cell r="F47" t="str">
            <v>АСБл 3х240</v>
          </cell>
        </row>
        <row r="48">
          <cell r="F48" t="str">
            <v>АВБбШВ 4х70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DD6C-1118-4E67-B524-37AE4A96B92E}">
  <dimension ref="A1:G29"/>
  <sheetViews>
    <sheetView workbookViewId="0">
      <selection activeCell="J19" sqref="J19"/>
    </sheetView>
  </sheetViews>
  <sheetFormatPr defaultColWidth="9.109375" defaultRowHeight="14.4" x14ac:dyDescent="0.3"/>
  <cols>
    <col min="1" max="1" width="18.6640625" style="138" customWidth="1"/>
    <col min="2" max="2" width="31.33203125" style="138" customWidth="1"/>
    <col min="3" max="3" width="36.5546875" style="138" customWidth="1"/>
    <col min="4" max="5" width="34.88671875" style="138" customWidth="1"/>
    <col min="6" max="6" width="36.6640625" style="138" customWidth="1"/>
    <col min="7" max="7" width="36.109375" style="138" customWidth="1"/>
    <col min="8" max="16384" width="9.109375" style="138"/>
  </cols>
  <sheetData>
    <row r="1" spans="1:7" x14ac:dyDescent="0.3">
      <c r="A1" s="135" t="s">
        <v>276</v>
      </c>
      <c r="B1" s="135"/>
      <c r="C1" s="136" t="s">
        <v>236</v>
      </c>
      <c r="D1" s="136" t="s">
        <v>277</v>
      </c>
      <c r="E1" s="137"/>
      <c r="F1" s="175" t="s">
        <v>278</v>
      </c>
      <c r="G1" s="175"/>
    </row>
    <row r="2" spans="1:7" ht="28.8" x14ac:dyDescent="0.3">
      <c r="A2" s="139" t="s">
        <v>279</v>
      </c>
      <c r="B2" s="139"/>
      <c r="C2" s="140" t="s">
        <v>280</v>
      </c>
      <c r="D2" s="140" t="s">
        <v>281</v>
      </c>
      <c r="E2" s="141"/>
      <c r="F2" s="176" t="s">
        <v>258</v>
      </c>
      <c r="G2" s="177"/>
    </row>
    <row r="3" spans="1:7" ht="63" customHeight="1" x14ac:dyDescent="0.3">
      <c r="A3" s="142" t="s">
        <v>282</v>
      </c>
      <c r="B3" s="142"/>
      <c r="C3" s="143" t="s">
        <v>283</v>
      </c>
      <c r="D3" s="143" t="s">
        <v>284</v>
      </c>
      <c r="E3" s="144"/>
      <c r="F3" s="178" t="s">
        <v>285</v>
      </c>
      <c r="G3" s="179"/>
    </row>
    <row r="4" spans="1:7" x14ac:dyDescent="0.3">
      <c r="A4" s="139" t="s">
        <v>286</v>
      </c>
      <c r="B4" s="139"/>
      <c r="C4" s="140"/>
      <c r="D4" s="140"/>
      <c r="E4" s="140"/>
      <c r="F4" s="140" t="s">
        <v>287</v>
      </c>
      <c r="G4" s="140" t="s">
        <v>288</v>
      </c>
    </row>
    <row r="5" spans="1:7" x14ac:dyDescent="0.3">
      <c r="A5" s="142"/>
      <c r="B5" s="142"/>
      <c r="C5" s="143"/>
      <c r="D5" s="143"/>
      <c r="E5" s="143"/>
      <c r="F5" s="143" t="s">
        <v>289</v>
      </c>
      <c r="G5" s="143" t="s">
        <v>290</v>
      </c>
    </row>
    <row r="6" spans="1:7" x14ac:dyDescent="0.3">
      <c r="A6" s="139" t="s">
        <v>291</v>
      </c>
      <c r="B6" s="139"/>
      <c r="C6" s="140" t="s">
        <v>292</v>
      </c>
      <c r="D6" s="140" t="s">
        <v>293</v>
      </c>
      <c r="E6" s="140"/>
      <c r="F6" s="140" t="s">
        <v>294</v>
      </c>
      <c r="G6" s="140" t="s">
        <v>295</v>
      </c>
    </row>
    <row r="7" spans="1:7" x14ac:dyDescent="0.3">
      <c r="A7" s="142" t="s">
        <v>296</v>
      </c>
      <c r="B7" s="142"/>
      <c r="C7" s="143" t="s">
        <v>297</v>
      </c>
      <c r="D7" s="143" t="s">
        <v>298</v>
      </c>
      <c r="E7" s="143"/>
      <c r="F7" s="143" t="s">
        <v>299</v>
      </c>
      <c r="G7" s="143" t="s">
        <v>300</v>
      </c>
    </row>
    <row r="8" spans="1:7" ht="28.8" x14ac:dyDescent="0.3">
      <c r="A8" s="139" t="s">
        <v>301</v>
      </c>
      <c r="B8" s="140" t="s">
        <v>247</v>
      </c>
      <c r="C8" s="140" t="s">
        <v>247</v>
      </c>
      <c r="D8" s="140" t="s">
        <v>302</v>
      </c>
      <c r="E8" s="140"/>
      <c r="F8" s="169" t="s">
        <v>303</v>
      </c>
      <c r="G8" s="169" t="s">
        <v>303</v>
      </c>
    </row>
    <row r="9" spans="1:7" ht="28.8" x14ac:dyDescent="0.3">
      <c r="A9" s="142" t="s">
        <v>304</v>
      </c>
      <c r="B9" s="143" t="s">
        <v>305</v>
      </c>
      <c r="C9" s="168" t="s">
        <v>305</v>
      </c>
      <c r="D9" s="143" t="s">
        <v>306</v>
      </c>
      <c r="E9" s="143"/>
      <c r="F9" s="170" t="s">
        <v>337</v>
      </c>
      <c r="G9" s="170" t="s">
        <v>343</v>
      </c>
    </row>
    <row r="10" spans="1:7" x14ac:dyDescent="0.3">
      <c r="A10" s="139" t="s">
        <v>307</v>
      </c>
      <c r="B10" s="140" t="s">
        <v>308</v>
      </c>
      <c r="C10" s="167" t="s">
        <v>308</v>
      </c>
      <c r="D10" s="140" t="s">
        <v>309</v>
      </c>
      <c r="E10" s="140"/>
      <c r="F10" s="169" t="s">
        <v>338</v>
      </c>
      <c r="G10" s="169" t="s">
        <v>336</v>
      </c>
    </row>
    <row r="11" spans="1:7" x14ac:dyDescent="0.3">
      <c r="A11" s="142" t="s">
        <v>310</v>
      </c>
      <c r="B11" s="142"/>
      <c r="C11" s="143"/>
      <c r="D11" s="143"/>
      <c r="E11" s="143"/>
      <c r="F11" s="171" t="s">
        <v>339</v>
      </c>
      <c r="G11" s="143" t="s">
        <v>311</v>
      </c>
    </row>
    <row r="12" spans="1:7" x14ac:dyDescent="0.3">
      <c r="A12" s="139" t="s">
        <v>312</v>
      </c>
      <c r="B12" s="139"/>
      <c r="C12" s="140"/>
      <c r="D12" s="140"/>
      <c r="E12" s="140"/>
      <c r="F12" s="172" t="s">
        <v>338</v>
      </c>
      <c r="G12" s="140"/>
    </row>
    <row r="13" spans="1:7" x14ac:dyDescent="0.3">
      <c r="A13" s="139" t="s">
        <v>313</v>
      </c>
      <c r="B13" s="139"/>
      <c r="C13" s="140" t="s">
        <v>313</v>
      </c>
      <c r="D13" s="140" t="s">
        <v>313</v>
      </c>
      <c r="E13" s="140"/>
      <c r="F13" s="140"/>
      <c r="G13" s="140"/>
    </row>
    <row r="14" spans="1:7" x14ac:dyDescent="0.3">
      <c r="A14" s="142" t="s">
        <v>314</v>
      </c>
      <c r="B14" s="142"/>
      <c r="C14" s="143" t="s">
        <v>315</v>
      </c>
      <c r="D14" s="143" t="s">
        <v>315</v>
      </c>
      <c r="E14" s="143"/>
      <c r="F14" s="171" t="s">
        <v>339</v>
      </c>
      <c r="G14" s="143"/>
    </row>
    <row r="15" spans="1:7" x14ac:dyDescent="0.3">
      <c r="A15" s="139"/>
      <c r="B15" s="139"/>
      <c r="C15" s="140"/>
      <c r="D15" s="140"/>
      <c r="E15" s="140"/>
      <c r="F15" s="172" t="s">
        <v>338</v>
      </c>
      <c r="G15" s="140"/>
    </row>
    <row r="16" spans="1:7" x14ac:dyDescent="0.3">
      <c r="A16" s="142"/>
      <c r="B16" s="142"/>
      <c r="C16" s="143"/>
      <c r="D16" s="143"/>
      <c r="E16" s="143"/>
      <c r="F16" s="143"/>
      <c r="G16" s="143"/>
    </row>
    <row r="17" spans="1:7" x14ac:dyDescent="0.3">
      <c r="A17" s="139"/>
      <c r="B17" s="139"/>
      <c r="C17" s="140"/>
      <c r="D17" s="140"/>
      <c r="E17" s="140"/>
      <c r="F17" s="140"/>
      <c r="G17" s="140"/>
    </row>
    <row r="18" spans="1:7" x14ac:dyDescent="0.3">
      <c r="A18" s="142" t="s">
        <v>238</v>
      </c>
      <c r="B18" s="142"/>
      <c r="C18" s="143" t="s">
        <v>238</v>
      </c>
      <c r="D18" s="143" t="s">
        <v>316</v>
      </c>
      <c r="E18" s="143"/>
      <c r="F18" s="143"/>
      <c r="G18" s="143"/>
    </row>
    <row r="19" spans="1:7" x14ac:dyDescent="0.3">
      <c r="A19" s="139" t="s">
        <v>317</v>
      </c>
      <c r="B19" s="139"/>
      <c r="C19" s="140" t="s">
        <v>246</v>
      </c>
      <c r="D19" s="140" t="s">
        <v>318</v>
      </c>
      <c r="E19" s="140"/>
      <c r="F19" s="140"/>
      <c r="G19" s="140"/>
    </row>
    <row r="20" spans="1:7" x14ac:dyDescent="0.3">
      <c r="A20" s="142" t="s">
        <v>319</v>
      </c>
      <c r="B20" s="142"/>
      <c r="C20" s="143" t="s">
        <v>240</v>
      </c>
      <c r="D20" s="143" t="s">
        <v>320</v>
      </c>
      <c r="E20" s="143"/>
      <c r="F20" s="143"/>
      <c r="G20" s="143"/>
    </row>
    <row r="21" spans="1:7" x14ac:dyDescent="0.3">
      <c r="A21" s="145"/>
      <c r="B21" s="145"/>
      <c r="C21" s="140"/>
      <c r="D21" s="140"/>
      <c r="E21" s="140"/>
      <c r="F21" s="140"/>
      <c r="G21" s="140"/>
    </row>
    <row r="23" spans="1:7" ht="79.5" customHeight="1" x14ac:dyDescent="0.3">
      <c r="A23" s="146" t="s">
        <v>321</v>
      </c>
      <c r="B23" s="146"/>
      <c r="C23" s="147" t="str">
        <f>CONCATENATE(C2,",",C3)</f>
        <v>ОГРН 1135044003709  ИНН 5044089069 КПП 504401001,141508, Московская область, г.о. Солнечногорск, г. Солнечногорск, ул. Промышленная, стр. 5, помещение 179</v>
      </c>
      <c r="D23" s="147" t="str">
        <f>CONCATENATE(D2,",",D3)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F23" s="148" t="str">
        <f>CONCATENATE(F8," ",F1,"-",F10," .",F9)</f>
        <v>Гл. специалист ССК УКС ПАО "Россети Московский регион"-Курчин М.М. .Приказ № от  2026г (НРС С-31-330248)</v>
      </c>
      <c r="G23" s="148" t="str">
        <f>CONCATENATE(G8," ",F1,"-",G10," .",G9)</f>
        <v>Гл. специалист ССК УКС ПАО "Россети Московский регион"-Алексанян Г.Р. .Приказ №2363 от 29 июля 2025г (НРС С-50-069023)</v>
      </c>
    </row>
    <row r="24" spans="1:7" ht="86.4" x14ac:dyDescent="0.3">
      <c r="A24" s="146" t="s">
        <v>321</v>
      </c>
      <c r="B24" s="146"/>
      <c r="C24" s="147" t="str">
        <f>CONCATENATE(C1,",",C2,",",C3)</f>
        <v>ООО "Энергосистемы",ОГРН 1135044003709  ИНН 5044089069 КПП 504401001,141508, Московская область, г.о. Солнечногорск, г. Солнечногорск, ул. Промышленная, стр. 5, помещение 179</v>
      </c>
      <c r="D24" s="147" t="str">
        <f>CONCATENATE(D1,",",D2,",",D3)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F24" s="148" t="str">
        <f>CONCATENATE(F8," ",F1,"-",F10)</f>
        <v>Гл. специалист ССК УКС ПАО "Россети Московский регион"-Курчин М.М.</v>
      </c>
      <c r="G24" s="148" t="str">
        <f>CONCATENATE(G8," ",F1,"-",G10)</f>
        <v>Гл. специалист ССК УКС ПАО "Россети Московский регион"-Алексанян Г.Р.</v>
      </c>
    </row>
    <row r="25" spans="1:7" ht="57.6" x14ac:dyDescent="0.3">
      <c r="C25" s="149" t="str">
        <f>CONCATENATE(C8," ",C1,"-",C10,".",C9)</f>
        <v>Инженер по строительному контролю ООО "Энергосистемы"-Русин В.А..Приказ № 13-ОТ/25 от 05 мая 2025 (НОСТРОЙ С-50-085497)</v>
      </c>
      <c r="D25" s="149" t="str">
        <f>CONCATENATE(D8," ",D1,"-",D10,".",D9)</f>
        <v>Специалист по строительному контролю ООО «Гефест»-Саженова Л.В..Приказ №01/24-ОТ от 15.01.2024 (НРС № С-61-104369)</v>
      </c>
      <c r="F25" s="148" t="str">
        <f>CONCATENATE(F8," ",F1)</f>
        <v>Гл. специалист ССК УКС ПАО "Россети Московский регион"</v>
      </c>
      <c r="G25" s="148" t="str">
        <f>CONCATENATE(G8," ",F1)</f>
        <v>Гл. специалист ССК УКС ПАО "Россети Московский регион"</v>
      </c>
    </row>
    <row r="26" spans="1:7" ht="43.2" x14ac:dyDescent="0.3">
      <c r="C26" s="149" t="str">
        <f>CONCATENATE(C8," ",C1)</f>
        <v>Инженер по строительному контролю ООО "Энергосистемы"</v>
      </c>
      <c r="D26" s="149" t="str">
        <f>CONCATENATE(D8," ",D1)</f>
        <v>Специалист по строительному контролю ООО «Гефест»</v>
      </c>
      <c r="F26" s="146" t="str">
        <f>CONCATENATE(F6," ",F1," ",F7)</f>
        <v>Начальник СРЭС СЭС филиала ПАО "Россети Московский регион" Чуев А.Н.</v>
      </c>
      <c r="G26" s="146" t="str">
        <f>CONCATENATE(G6," ",F1," ",G7)</f>
        <v>Начальник ХРЭС СЭС филиала ПАО "Россети Московский регион" Арнаутов А.П.</v>
      </c>
    </row>
    <row r="27" spans="1:7" ht="43.2" x14ac:dyDescent="0.3">
      <c r="C27" s="150" t="str">
        <f>CONCATENATE(C18," ",C1,"-",C20,".",C19)</f>
        <v>Прораб ООО "Энергосистемы"-Волков М.Ю..Приказ №05-ОТ/24 от 09 января 2024г</v>
      </c>
      <c r="D27" s="150" t="str">
        <f>CONCATENATE(D18," ",D1,"-",D20,".",D19)</f>
        <v>Мастер электромонтажного участка  ООО «Гефест»-Красилов К.А..Приказ №01/24-ОТ от 15.01.2024</v>
      </c>
      <c r="F27" s="151" t="str">
        <f>CONCATENATE(F14," ",F1," ",F15)</f>
        <v>Мастер СРЭС СЭС филиала ПАО "Россети Московский регион" Курчин М.М.</v>
      </c>
      <c r="G27" s="151" t="str">
        <f>CONCATENATE(G14," ",F1," ",G15)</f>
        <v xml:space="preserve"> ПАО "Россети Московский регион" </v>
      </c>
    </row>
    <row r="28" spans="1:7" ht="28.8" x14ac:dyDescent="0.3">
      <c r="C28" s="150" t="str">
        <f>CONCATENATE(C18," ",C1," ",C20)</f>
        <v>Прораб ООО "Энергосистемы" Волков М.Ю.</v>
      </c>
      <c r="D28" s="150" t="str">
        <f>CONCATENATE(D18," ",D1,"-",D20)</f>
        <v>Мастер электромонтажного участка  ООО «Гефест»-Красилов К.А.</v>
      </c>
      <c r="F28" s="146" t="str">
        <f>CONCATENATE(F16," ",F1," ",F17)</f>
        <v xml:space="preserve"> ПАО "Россети Московский регион" </v>
      </c>
    </row>
    <row r="29" spans="1:7" ht="28.8" x14ac:dyDescent="0.3">
      <c r="C29" s="152" t="str">
        <f>CONCATENATE(C18," ",C1)</f>
        <v>Прораб ООО "Энергосистемы"</v>
      </c>
      <c r="D29" s="150" t="str">
        <f>CONCATENATE(D18," ",D1)</f>
        <v>Мастер электромонтажного участка  ООО «Гефест»</v>
      </c>
    </row>
  </sheetData>
  <mergeCells count="3">
    <mergeCell ref="F1:G1"/>
    <mergeCell ref="F2:G2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1F49-CC5D-4DDA-BC95-B5F36014A3BD}">
  <dimension ref="A1:H41"/>
  <sheetViews>
    <sheetView tabSelected="1" workbookViewId="0">
      <selection activeCell="E3" sqref="E3"/>
    </sheetView>
  </sheetViews>
  <sheetFormatPr defaultRowHeight="14.4" x14ac:dyDescent="0.3"/>
  <cols>
    <col min="1" max="1" width="25.88671875" customWidth="1"/>
    <col min="2" max="2" width="61.6640625" customWidth="1"/>
    <col min="8" max="8" width="0" hidden="1" customWidth="1"/>
    <col min="257" max="257" width="25.88671875" customWidth="1"/>
    <col min="258" max="258" width="61.6640625" customWidth="1"/>
    <col min="513" max="513" width="25.88671875" customWidth="1"/>
    <col min="514" max="514" width="61.6640625" customWidth="1"/>
    <col min="769" max="769" width="25.88671875" customWidth="1"/>
    <col min="770" max="770" width="61.6640625" customWidth="1"/>
    <col min="1025" max="1025" width="25.88671875" customWidth="1"/>
    <col min="1026" max="1026" width="61.6640625" customWidth="1"/>
    <col min="1281" max="1281" width="25.88671875" customWidth="1"/>
    <col min="1282" max="1282" width="61.6640625" customWidth="1"/>
    <col min="1537" max="1537" width="25.88671875" customWidth="1"/>
    <col min="1538" max="1538" width="61.6640625" customWidth="1"/>
    <col min="1793" max="1793" width="25.88671875" customWidth="1"/>
    <col min="1794" max="1794" width="61.6640625" customWidth="1"/>
    <col min="2049" max="2049" width="25.88671875" customWidth="1"/>
    <col min="2050" max="2050" width="61.6640625" customWidth="1"/>
    <col min="2305" max="2305" width="25.88671875" customWidth="1"/>
    <col min="2306" max="2306" width="61.6640625" customWidth="1"/>
    <col min="2561" max="2561" width="25.88671875" customWidth="1"/>
    <col min="2562" max="2562" width="61.6640625" customWidth="1"/>
    <col min="2817" max="2817" width="25.88671875" customWidth="1"/>
    <col min="2818" max="2818" width="61.6640625" customWidth="1"/>
    <col min="3073" max="3073" width="25.88671875" customWidth="1"/>
    <col min="3074" max="3074" width="61.6640625" customWidth="1"/>
    <col min="3329" max="3329" width="25.88671875" customWidth="1"/>
    <col min="3330" max="3330" width="61.6640625" customWidth="1"/>
    <col min="3585" max="3585" width="25.88671875" customWidth="1"/>
    <col min="3586" max="3586" width="61.6640625" customWidth="1"/>
    <col min="3841" max="3841" width="25.88671875" customWidth="1"/>
    <col min="3842" max="3842" width="61.6640625" customWidth="1"/>
    <col min="4097" max="4097" width="25.88671875" customWidth="1"/>
    <col min="4098" max="4098" width="61.6640625" customWidth="1"/>
    <col min="4353" max="4353" width="25.88671875" customWidth="1"/>
    <col min="4354" max="4354" width="61.6640625" customWidth="1"/>
    <col min="4609" max="4609" width="25.88671875" customWidth="1"/>
    <col min="4610" max="4610" width="61.6640625" customWidth="1"/>
    <col min="4865" max="4865" width="25.88671875" customWidth="1"/>
    <col min="4866" max="4866" width="61.6640625" customWidth="1"/>
    <col min="5121" max="5121" width="25.88671875" customWidth="1"/>
    <col min="5122" max="5122" width="61.6640625" customWidth="1"/>
    <col min="5377" max="5377" width="25.88671875" customWidth="1"/>
    <col min="5378" max="5378" width="61.6640625" customWidth="1"/>
    <col min="5633" max="5633" width="25.88671875" customWidth="1"/>
    <col min="5634" max="5634" width="61.6640625" customWidth="1"/>
    <col min="5889" max="5889" width="25.88671875" customWidth="1"/>
    <col min="5890" max="5890" width="61.6640625" customWidth="1"/>
    <col min="6145" max="6145" width="25.88671875" customWidth="1"/>
    <col min="6146" max="6146" width="61.6640625" customWidth="1"/>
    <col min="6401" max="6401" width="25.88671875" customWidth="1"/>
    <col min="6402" max="6402" width="61.6640625" customWidth="1"/>
    <col min="6657" max="6657" width="25.88671875" customWidth="1"/>
    <col min="6658" max="6658" width="61.6640625" customWidth="1"/>
    <col min="6913" max="6913" width="25.88671875" customWidth="1"/>
    <col min="6914" max="6914" width="61.6640625" customWidth="1"/>
    <col min="7169" max="7169" width="25.88671875" customWidth="1"/>
    <col min="7170" max="7170" width="61.6640625" customWidth="1"/>
    <col min="7425" max="7425" width="25.88671875" customWidth="1"/>
    <col min="7426" max="7426" width="61.6640625" customWidth="1"/>
    <col min="7681" max="7681" width="25.88671875" customWidth="1"/>
    <col min="7682" max="7682" width="61.6640625" customWidth="1"/>
    <col min="7937" max="7937" width="25.88671875" customWidth="1"/>
    <col min="7938" max="7938" width="61.6640625" customWidth="1"/>
    <col min="8193" max="8193" width="25.88671875" customWidth="1"/>
    <col min="8194" max="8194" width="61.6640625" customWidth="1"/>
    <col min="8449" max="8449" width="25.88671875" customWidth="1"/>
    <col min="8450" max="8450" width="61.6640625" customWidth="1"/>
    <col min="8705" max="8705" width="25.88671875" customWidth="1"/>
    <col min="8706" max="8706" width="61.6640625" customWidth="1"/>
    <col min="8961" max="8961" width="25.88671875" customWidth="1"/>
    <col min="8962" max="8962" width="61.6640625" customWidth="1"/>
    <col min="9217" max="9217" width="25.88671875" customWidth="1"/>
    <col min="9218" max="9218" width="61.6640625" customWidth="1"/>
    <col min="9473" max="9473" width="25.88671875" customWidth="1"/>
    <col min="9474" max="9474" width="61.6640625" customWidth="1"/>
    <col min="9729" max="9729" width="25.88671875" customWidth="1"/>
    <col min="9730" max="9730" width="61.6640625" customWidth="1"/>
    <col min="9985" max="9985" width="25.88671875" customWidth="1"/>
    <col min="9986" max="9986" width="61.6640625" customWidth="1"/>
    <col min="10241" max="10241" width="25.88671875" customWidth="1"/>
    <col min="10242" max="10242" width="61.6640625" customWidth="1"/>
    <col min="10497" max="10497" width="25.88671875" customWidth="1"/>
    <col min="10498" max="10498" width="61.6640625" customWidth="1"/>
    <col min="10753" max="10753" width="25.88671875" customWidth="1"/>
    <col min="10754" max="10754" width="61.6640625" customWidth="1"/>
    <col min="11009" max="11009" width="25.88671875" customWidth="1"/>
    <col min="11010" max="11010" width="61.6640625" customWidth="1"/>
    <col min="11265" max="11265" width="25.88671875" customWidth="1"/>
    <col min="11266" max="11266" width="61.6640625" customWidth="1"/>
    <col min="11521" max="11521" width="25.88671875" customWidth="1"/>
    <col min="11522" max="11522" width="61.6640625" customWidth="1"/>
    <col min="11777" max="11777" width="25.88671875" customWidth="1"/>
    <col min="11778" max="11778" width="61.6640625" customWidth="1"/>
    <col min="12033" max="12033" width="25.88671875" customWidth="1"/>
    <col min="12034" max="12034" width="61.6640625" customWidth="1"/>
    <col min="12289" max="12289" width="25.88671875" customWidth="1"/>
    <col min="12290" max="12290" width="61.6640625" customWidth="1"/>
    <col min="12545" max="12545" width="25.88671875" customWidth="1"/>
    <col min="12546" max="12546" width="61.6640625" customWidth="1"/>
    <col min="12801" max="12801" width="25.88671875" customWidth="1"/>
    <col min="12802" max="12802" width="61.6640625" customWidth="1"/>
    <col min="13057" max="13057" width="25.88671875" customWidth="1"/>
    <col min="13058" max="13058" width="61.6640625" customWidth="1"/>
    <col min="13313" max="13313" width="25.88671875" customWidth="1"/>
    <col min="13314" max="13314" width="61.6640625" customWidth="1"/>
    <col min="13569" max="13569" width="25.88671875" customWidth="1"/>
    <col min="13570" max="13570" width="61.6640625" customWidth="1"/>
    <col min="13825" max="13825" width="25.88671875" customWidth="1"/>
    <col min="13826" max="13826" width="61.6640625" customWidth="1"/>
    <col min="14081" max="14081" width="25.88671875" customWidth="1"/>
    <col min="14082" max="14082" width="61.6640625" customWidth="1"/>
    <col min="14337" max="14337" width="25.88671875" customWidth="1"/>
    <col min="14338" max="14338" width="61.6640625" customWidth="1"/>
    <col min="14593" max="14593" width="25.88671875" customWidth="1"/>
    <col min="14594" max="14594" width="61.6640625" customWidth="1"/>
    <col min="14849" max="14849" width="25.88671875" customWidth="1"/>
    <col min="14850" max="14850" width="61.6640625" customWidth="1"/>
    <col min="15105" max="15105" width="25.88671875" customWidth="1"/>
    <col min="15106" max="15106" width="61.6640625" customWidth="1"/>
    <col min="15361" max="15361" width="25.88671875" customWidth="1"/>
    <col min="15362" max="15362" width="61.6640625" customWidth="1"/>
    <col min="15617" max="15617" width="25.88671875" customWidth="1"/>
    <col min="15618" max="15618" width="61.6640625" customWidth="1"/>
    <col min="15873" max="15873" width="25.88671875" customWidth="1"/>
    <col min="15874" max="15874" width="61.6640625" customWidth="1"/>
    <col min="16129" max="16129" width="25.88671875" customWidth="1"/>
    <col min="16130" max="16130" width="61.6640625" customWidth="1"/>
  </cols>
  <sheetData>
    <row r="1" spans="1:8" ht="57.6" x14ac:dyDescent="0.3">
      <c r="A1" s="133" t="s">
        <v>32</v>
      </c>
      <c r="B1" s="47" t="s">
        <v>340</v>
      </c>
      <c r="C1" s="183" t="s">
        <v>230</v>
      </c>
      <c r="D1" s="183"/>
      <c r="E1" s="184" t="s">
        <v>353</v>
      </c>
      <c r="F1" s="184"/>
    </row>
    <row r="2" spans="1:8" ht="15.75" customHeight="1" x14ac:dyDescent="0.3">
      <c r="A2" s="134" t="s">
        <v>231</v>
      </c>
      <c r="B2" s="49" t="s">
        <v>287</v>
      </c>
      <c r="C2" s="182" t="s">
        <v>233</v>
      </c>
      <c r="D2" s="182"/>
      <c r="E2" s="185">
        <v>45569</v>
      </c>
      <c r="F2" s="185"/>
    </row>
    <row r="3" spans="1:8" x14ac:dyDescent="0.3">
      <c r="A3" s="134" t="s">
        <v>232</v>
      </c>
      <c r="B3" s="50" t="s">
        <v>341</v>
      </c>
    </row>
    <row r="4" spans="1:8" x14ac:dyDescent="0.3">
      <c r="A4" s="134" t="s">
        <v>255</v>
      </c>
      <c r="B4" s="75" t="s">
        <v>342</v>
      </c>
    </row>
    <row r="5" spans="1:8" x14ac:dyDescent="0.3">
      <c r="A5" s="133" t="s">
        <v>322</v>
      </c>
      <c r="B5" s="74" t="s">
        <v>264</v>
      </c>
    </row>
    <row r="6" spans="1:8" x14ac:dyDescent="0.3">
      <c r="A6" s="180" t="s">
        <v>234</v>
      </c>
      <c r="B6" s="181"/>
    </row>
    <row r="7" spans="1:8" ht="19.5" customHeight="1" x14ac:dyDescent="0.3">
      <c r="A7" s="134" t="s">
        <v>235</v>
      </c>
      <c r="B7" s="153" t="s">
        <v>236</v>
      </c>
    </row>
    <row r="8" spans="1:8" ht="19.5" customHeight="1" x14ac:dyDescent="0.3">
      <c r="A8" s="157" t="s">
        <v>323</v>
      </c>
      <c r="B8" s="153" t="s">
        <v>280</v>
      </c>
    </row>
    <row r="9" spans="1:8" ht="25.5" customHeight="1" x14ac:dyDescent="0.3">
      <c r="A9" s="157" t="s">
        <v>232</v>
      </c>
      <c r="B9" s="153" t="s">
        <v>283</v>
      </c>
    </row>
    <row r="10" spans="1:8" x14ac:dyDescent="0.3">
      <c r="A10" s="134" t="s">
        <v>237</v>
      </c>
      <c r="B10" s="159" t="s">
        <v>238</v>
      </c>
      <c r="H10" s="158" t="str">
        <f>CONCATENATE(B10," ",B7," ",B11,", ",B12)</f>
        <v>Прораб ООО "Энергосистемы" Волков М.Ю., Приказ №05-ОТ/24 от 09 января 2024г</v>
      </c>
    </row>
    <row r="11" spans="1:8" x14ac:dyDescent="0.3">
      <c r="A11" s="134" t="s">
        <v>239</v>
      </c>
      <c r="B11" s="153" t="s">
        <v>240</v>
      </c>
      <c r="H11" s="6"/>
    </row>
    <row r="12" spans="1:8" x14ac:dyDescent="0.3">
      <c r="A12" s="134" t="s">
        <v>324</v>
      </c>
      <c r="B12" s="153" t="s">
        <v>246</v>
      </c>
      <c r="H12" s="129"/>
    </row>
    <row r="13" spans="1:8" x14ac:dyDescent="0.3">
      <c r="A13" s="134" t="s">
        <v>237</v>
      </c>
      <c r="B13" s="153" t="s">
        <v>247</v>
      </c>
      <c r="H13" s="158" t="str">
        <f>CONCATENATE(B13," ",B7," ",B14,", ",B15)</f>
        <v>Инженер по строительному контролю ООО "Энергосистемы" Русин В.А., Приказ № 13-ОТ/25 от 05 мая 2025 (НОСТРОЙ С-50-085497)</v>
      </c>
    </row>
    <row r="14" spans="1:8" x14ac:dyDescent="0.3">
      <c r="A14" s="134" t="s">
        <v>239</v>
      </c>
      <c r="B14" s="153" t="s">
        <v>308</v>
      </c>
      <c r="H14" s="6"/>
    </row>
    <row r="15" spans="1:8" x14ac:dyDescent="0.3">
      <c r="A15" s="134" t="s">
        <v>324</v>
      </c>
      <c r="B15" s="153" t="s">
        <v>305</v>
      </c>
      <c r="H15" s="129"/>
    </row>
    <row r="16" spans="1:8" x14ac:dyDescent="0.3">
      <c r="A16" s="186" t="s">
        <v>251</v>
      </c>
      <c r="B16" s="187"/>
    </row>
    <row r="17" spans="1:8" ht="20.25" customHeight="1" x14ac:dyDescent="0.3">
      <c r="A17" s="134" t="s">
        <v>235</v>
      </c>
      <c r="B17" s="153" t="s">
        <v>250</v>
      </c>
      <c r="H17" s="56" t="s">
        <v>254</v>
      </c>
    </row>
    <row r="18" spans="1:8" x14ac:dyDescent="0.3">
      <c r="A18" s="134" t="s">
        <v>237</v>
      </c>
      <c r="B18" s="154" t="s">
        <v>252</v>
      </c>
      <c r="D18" s="57"/>
    </row>
    <row r="19" spans="1:8" x14ac:dyDescent="0.3">
      <c r="A19" s="134" t="s">
        <v>239</v>
      </c>
      <c r="B19" s="155" t="s">
        <v>253</v>
      </c>
    </row>
    <row r="20" spans="1:8" x14ac:dyDescent="0.3">
      <c r="A20" s="134" t="s">
        <v>237</v>
      </c>
      <c r="B20" s="156" t="s">
        <v>197</v>
      </c>
    </row>
    <row r="21" spans="1:8" x14ac:dyDescent="0.3">
      <c r="A21" s="134" t="s">
        <v>239</v>
      </c>
      <c r="B21" s="156" t="s">
        <v>242</v>
      </c>
    </row>
    <row r="22" spans="1:8" x14ac:dyDescent="0.3">
      <c r="A22" s="186" t="s">
        <v>241</v>
      </c>
      <c r="B22" s="187"/>
      <c r="H22" t="str">
        <f>CONCATENATE(B23," ",B24," ",B25)</f>
        <v>ПАО "Россети Московский регион" ОГРН 1057746555811 ИНН 5036065113 КПП 772501001 115114, город Москва, проезд Павелецкий 2-й, дом 3, строение 2</v>
      </c>
    </row>
    <row r="23" spans="1:8" x14ac:dyDescent="0.3">
      <c r="A23" s="48" t="s">
        <v>235</v>
      </c>
      <c r="B23" s="51" t="str">
        <f>'Данные организации'!F1</f>
        <v>ПАО "Россети Московский регион"</v>
      </c>
      <c r="H23" t="str">
        <f>CONCATENATE(B26," ",B27," ",B28)</f>
        <v>Гл. специалист ССК УКС Алексанян Г.Р. Приказ №2363 от 29 июля 2025г (НРС С-50-069023)</v>
      </c>
    </row>
    <row r="24" spans="1:8" x14ac:dyDescent="0.3">
      <c r="A24" s="48" t="s">
        <v>323</v>
      </c>
      <c r="B24" s="51" t="str">
        <f>'Данные организации'!F2</f>
        <v>ОГРН 1057746555811 ИНН 5036065113 КПП 772501001</v>
      </c>
    </row>
    <row r="25" spans="1:8" x14ac:dyDescent="0.3">
      <c r="A25" s="48" t="s">
        <v>232</v>
      </c>
      <c r="B25" s="51" t="str">
        <f>'Данные организации'!F3</f>
        <v>115114, город Москва, проезд Павелецкий 2-й, дом 3, строение 2</v>
      </c>
    </row>
    <row r="26" spans="1:8" x14ac:dyDescent="0.3">
      <c r="A26" s="48" t="s">
        <v>237</v>
      </c>
      <c r="B26" s="49" t="s">
        <v>303</v>
      </c>
    </row>
    <row r="27" spans="1:8" x14ac:dyDescent="0.3">
      <c r="A27" s="48" t="s">
        <v>239</v>
      </c>
      <c r="B27" s="49" t="s">
        <v>336</v>
      </c>
    </row>
    <row r="28" spans="1:8" x14ac:dyDescent="0.3">
      <c r="A28" s="48" t="s">
        <v>324</v>
      </c>
      <c r="B28" s="49" t="s">
        <v>343</v>
      </c>
    </row>
    <row r="29" spans="1:8" x14ac:dyDescent="0.3">
      <c r="A29" s="52"/>
      <c r="B29" s="53"/>
    </row>
    <row r="30" spans="1:8" x14ac:dyDescent="0.3">
      <c r="A30" s="180" t="s">
        <v>243</v>
      </c>
      <c r="B30" s="181"/>
    </row>
    <row r="31" spans="1:8" x14ac:dyDescent="0.3">
      <c r="A31" s="46" t="s">
        <v>235</v>
      </c>
      <c r="B31" s="153" t="s">
        <v>236</v>
      </c>
    </row>
    <row r="32" spans="1:8" x14ac:dyDescent="0.3">
      <c r="A32" s="46" t="s">
        <v>231</v>
      </c>
      <c r="B32" s="54" t="s">
        <v>244</v>
      </c>
    </row>
    <row r="33" spans="1:2" x14ac:dyDescent="0.3">
      <c r="A33" s="46" t="s">
        <v>329</v>
      </c>
      <c r="B33" s="55" t="s">
        <v>344</v>
      </c>
    </row>
    <row r="34" spans="1:2" ht="57.6" x14ac:dyDescent="0.3">
      <c r="A34" s="46" t="s">
        <v>245</v>
      </c>
      <c r="B34" s="166" t="str">
        <f>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</row>
    <row r="36" spans="1:2" x14ac:dyDescent="0.3">
      <c r="A36" s="131" t="s">
        <v>32</v>
      </c>
      <c r="B36" s="132" t="s">
        <v>265</v>
      </c>
    </row>
    <row r="37" spans="1:2" x14ac:dyDescent="0.3">
      <c r="A37" s="131" t="s">
        <v>275</v>
      </c>
      <c r="B37" s="132">
        <v>1</v>
      </c>
    </row>
    <row r="38" spans="1:2" x14ac:dyDescent="0.3">
      <c r="A38" s="131" t="s">
        <v>333</v>
      </c>
      <c r="B38" s="132">
        <v>792</v>
      </c>
    </row>
    <row r="39" spans="1:2" x14ac:dyDescent="0.3">
      <c r="A39" s="131" t="s">
        <v>332</v>
      </c>
      <c r="B39" s="132" t="s">
        <v>345</v>
      </c>
    </row>
    <row r="40" spans="1:2" x14ac:dyDescent="0.3">
      <c r="A40" s="131" t="s">
        <v>331</v>
      </c>
      <c r="B40" s="132">
        <v>6</v>
      </c>
    </row>
    <row r="41" spans="1:2" x14ac:dyDescent="0.3">
      <c r="A41" s="131" t="s">
        <v>330</v>
      </c>
      <c r="B41" s="132" t="s">
        <v>334</v>
      </c>
    </row>
  </sheetData>
  <mergeCells count="8">
    <mergeCell ref="A30:B30"/>
    <mergeCell ref="C2:D2"/>
    <mergeCell ref="C1:D1"/>
    <mergeCell ref="E1:F1"/>
    <mergeCell ref="E2:F2"/>
    <mergeCell ref="A6:B6"/>
    <mergeCell ref="A16:B16"/>
    <mergeCell ref="A22:B2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D7A48384-F9AB-44E7-A4A8-E766AD9D3691}">
          <x14:formula1>
            <xm:f>'Данные организации'!$F$8:$G$8</xm:f>
          </x14:formula1>
          <xm:sqref>B26</xm:sqref>
        </x14:dataValidation>
        <x14:dataValidation type="list" allowBlank="1" showInputMessage="1" showErrorMessage="1" xr:uid="{1FCC2554-CA28-4017-BB56-74C4D6FD7346}">
          <x14:formula1>
            <xm:f>'Данные организации'!$F$10:$G$10</xm:f>
          </x14:formula1>
          <xm:sqref>B27</xm:sqref>
        </x14:dataValidation>
        <x14:dataValidation type="list" allowBlank="1" showInputMessage="1" showErrorMessage="1" xr:uid="{16CA35ED-FC56-4DCB-B1F8-13CA738A35BF}">
          <x14:formula1>
            <xm:f>'Данные организации'!$F$9:$G$9</xm:f>
          </x14:formula1>
          <xm:sqref>B28</xm:sqref>
        </x14:dataValidation>
        <x14:dataValidation type="list" allowBlank="1" showInputMessage="1" showErrorMessage="1" xr:uid="{25BC8F2F-32A0-4E9F-B51C-2699967535D3}">
          <x14:formula1>
            <xm:f>'Данные организации'!$C$1:$D$1</xm:f>
          </x14:formula1>
          <xm:sqref>B7 B31</xm:sqref>
        </x14:dataValidation>
        <x14:dataValidation type="list" allowBlank="1" showInputMessage="1" showErrorMessage="1" xr:uid="{1C0FD712-2BE8-4A6A-9529-51E503D90B19}">
          <x14:formula1>
            <xm:f>'Данные организации'!$C$2:$D$2</xm:f>
          </x14:formula1>
          <xm:sqref>B8</xm:sqref>
        </x14:dataValidation>
        <x14:dataValidation type="list" allowBlank="1" showInputMessage="1" showErrorMessage="1" xr:uid="{8181E052-6C67-477D-A081-365ABFE447FA}">
          <x14:formula1>
            <xm:f>'Данные организации'!$C$3:$D$3</xm:f>
          </x14:formula1>
          <xm:sqref>B9</xm:sqref>
        </x14:dataValidation>
        <x14:dataValidation type="list" allowBlank="1" showInputMessage="1" showErrorMessage="1" xr:uid="{73A07C70-0CB2-434A-B8E0-68A2DB49A492}">
          <x14:formula1>
            <xm:f>'Данные организации'!$C$18:$D$18</xm:f>
          </x14:formula1>
          <xm:sqref>B10</xm:sqref>
        </x14:dataValidation>
        <x14:dataValidation type="list" allowBlank="1" showInputMessage="1" showErrorMessage="1" xr:uid="{992EC683-49B5-4F4E-AEF5-8D34A3513F3A}">
          <x14:formula1>
            <xm:f>'Данные организации'!$C$20:$D$20</xm:f>
          </x14:formula1>
          <xm:sqref>B11</xm:sqref>
        </x14:dataValidation>
        <x14:dataValidation type="list" allowBlank="1" showInputMessage="1" showErrorMessage="1" xr:uid="{160F979A-B198-4FE8-B35B-882A470EFD00}">
          <x14:formula1>
            <xm:f>'Данные организации'!$C$19:$D$19</xm:f>
          </x14:formula1>
          <xm:sqref>B12</xm:sqref>
        </x14:dataValidation>
        <x14:dataValidation type="list" allowBlank="1" showInputMessage="1" showErrorMessage="1" xr:uid="{033243E3-6BA4-497A-BD75-C021C11A2F69}">
          <x14:formula1>
            <xm:f>'Данные организации'!$C$8:$D$8</xm:f>
          </x14:formula1>
          <xm:sqref>B13</xm:sqref>
        </x14:dataValidation>
        <x14:dataValidation type="list" allowBlank="1" showInputMessage="1" showErrorMessage="1" xr:uid="{E6AEA4EA-D57C-4FE6-BD45-ED56EFF76A2C}">
          <x14:formula1>
            <xm:f>'Данные организации'!$C$10:$D$10</xm:f>
          </x14:formula1>
          <xm:sqref>B14</xm:sqref>
        </x14:dataValidation>
        <x14:dataValidation type="list" allowBlank="1" showInputMessage="1" showErrorMessage="1" xr:uid="{03FD6868-08DF-46A9-92BB-99649C9EEFDB}">
          <x14:formula1>
            <xm:f>'Данные организации'!$C$9:$D$9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BBF6-7BF3-4B2A-9EB3-D76F245E3194}">
  <sheetPr>
    <tabColor indexed="57"/>
  </sheetPr>
  <dimension ref="A1:AZ123"/>
  <sheetViews>
    <sheetView view="pageBreakPreview" topLeftCell="A49" zoomScale="130" zoomScaleNormal="125" zoomScaleSheetLayoutView="130" workbookViewId="0">
      <selection activeCell="AT68" sqref="AT68"/>
    </sheetView>
  </sheetViews>
  <sheetFormatPr defaultColWidth="9.109375" defaultRowHeight="13.8" x14ac:dyDescent="0.25"/>
  <cols>
    <col min="1" max="31" width="2.44140625" style="34" customWidth="1"/>
    <col min="32" max="32" width="2.5546875" style="34" customWidth="1"/>
    <col min="33" max="51" width="2.44140625" style="34" customWidth="1"/>
    <col min="52" max="256" width="9.109375" style="34"/>
    <col min="257" max="287" width="2.44140625" style="34" customWidth="1"/>
    <col min="288" max="288" width="2.5546875" style="34" customWidth="1"/>
    <col min="289" max="307" width="2.44140625" style="34" customWidth="1"/>
    <col min="308" max="512" width="9.109375" style="34"/>
    <col min="513" max="543" width="2.44140625" style="34" customWidth="1"/>
    <col min="544" max="544" width="2.5546875" style="34" customWidth="1"/>
    <col min="545" max="563" width="2.44140625" style="34" customWidth="1"/>
    <col min="564" max="768" width="9.109375" style="34"/>
    <col min="769" max="799" width="2.44140625" style="34" customWidth="1"/>
    <col min="800" max="800" width="2.5546875" style="34" customWidth="1"/>
    <col min="801" max="819" width="2.44140625" style="34" customWidth="1"/>
    <col min="820" max="1024" width="9.109375" style="34"/>
    <col min="1025" max="1055" width="2.44140625" style="34" customWidth="1"/>
    <col min="1056" max="1056" width="2.5546875" style="34" customWidth="1"/>
    <col min="1057" max="1075" width="2.44140625" style="34" customWidth="1"/>
    <col min="1076" max="1280" width="9.109375" style="34"/>
    <col min="1281" max="1311" width="2.44140625" style="34" customWidth="1"/>
    <col min="1312" max="1312" width="2.5546875" style="34" customWidth="1"/>
    <col min="1313" max="1331" width="2.44140625" style="34" customWidth="1"/>
    <col min="1332" max="1536" width="9.109375" style="34"/>
    <col min="1537" max="1567" width="2.44140625" style="34" customWidth="1"/>
    <col min="1568" max="1568" width="2.5546875" style="34" customWidth="1"/>
    <col min="1569" max="1587" width="2.44140625" style="34" customWidth="1"/>
    <col min="1588" max="1792" width="9.109375" style="34"/>
    <col min="1793" max="1823" width="2.44140625" style="34" customWidth="1"/>
    <col min="1824" max="1824" width="2.5546875" style="34" customWidth="1"/>
    <col min="1825" max="1843" width="2.44140625" style="34" customWidth="1"/>
    <col min="1844" max="2048" width="9.109375" style="34"/>
    <col min="2049" max="2079" width="2.44140625" style="34" customWidth="1"/>
    <col min="2080" max="2080" width="2.5546875" style="34" customWidth="1"/>
    <col min="2081" max="2099" width="2.44140625" style="34" customWidth="1"/>
    <col min="2100" max="2304" width="9.109375" style="34"/>
    <col min="2305" max="2335" width="2.44140625" style="34" customWidth="1"/>
    <col min="2336" max="2336" width="2.5546875" style="34" customWidth="1"/>
    <col min="2337" max="2355" width="2.44140625" style="34" customWidth="1"/>
    <col min="2356" max="2560" width="9.109375" style="34"/>
    <col min="2561" max="2591" width="2.44140625" style="34" customWidth="1"/>
    <col min="2592" max="2592" width="2.5546875" style="34" customWidth="1"/>
    <col min="2593" max="2611" width="2.44140625" style="34" customWidth="1"/>
    <col min="2612" max="2816" width="9.109375" style="34"/>
    <col min="2817" max="2847" width="2.44140625" style="34" customWidth="1"/>
    <col min="2848" max="2848" width="2.5546875" style="34" customWidth="1"/>
    <col min="2849" max="2867" width="2.44140625" style="34" customWidth="1"/>
    <col min="2868" max="3072" width="9.109375" style="34"/>
    <col min="3073" max="3103" width="2.44140625" style="34" customWidth="1"/>
    <col min="3104" max="3104" width="2.5546875" style="34" customWidth="1"/>
    <col min="3105" max="3123" width="2.44140625" style="34" customWidth="1"/>
    <col min="3124" max="3328" width="9.109375" style="34"/>
    <col min="3329" max="3359" width="2.44140625" style="34" customWidth="1"/>
    <col min="3360" max="3360" width="2.5546875" style="34" customWidth="1"/>
    <col min="3361" max="3379" width="2.44140625" style="34" customWidth="1"/>
    <col min="3380" max="3584" width="9.109375" style="34"/>
    <col min="3585" max="3615" width="2.44140625" style="34" customWidth="1"/>
    <col min="3616" max="3616" width="2.5546875" style="34" customWidth="1"/>
    <col min="3617" max="3635" width="2.44140625" style="34" customWidth="1"/>
    <col min="3636" max="3840" width="9.109375" style="34"/>
    <col min="3841" max="3871" width="2.44140625" style="34" customWidth="1"/>
    <col min="3872" max="3872" width="2.5546875" style="34" customWidth="1"/>
    <col min="3873" max="3891" width="2.44140625" style="34" customWidth="1"/>
    <col min="3892" max="4096" width="9.109375" style="34"/>
    <col min="4097" max="4127" width="2.44140625" style="34" customWidth="1"/>
    <col min="4128" max="4128" width="2.5546875" style="34" customWidth="1"/>
    <col min="4129" max="4147" width="2.44140625" style="34" customWidth="1"/>
    <col min="4148" max="4352" width="9.109375" style="34"/>
    <col min="4353" max="4383" width="2.44140625" style="34" customWidth="1"/>
    <col min="4384" max="4384" width="2.5546875" style="34" customWidth="1"/>
    <col min="4385" max="4403" width="2.44140625" style="34" customWidth="1"/>
    <col min="4404" max="4608" width="9.109375" style="34"/>
    <col min="4609" max="4639" width="2.44140625" style="34" customWidth="1"/>
    <col min="4640" max="4640" width="2.5546875" style="34" customWidth="1"/>
    <col min="4641" max="4659" width="2.44140625" style="34" customWidth="1"/>
    <col min="4660" max="4864" width="9.109375" style="34"/>
    <col min="4865" max="4895" width="2.44140625" style="34" customWidth="1"/>
    <col min="4896" max="4896" width="2.5546875" style="34" customWidth="1"/>
    <col min="4897" max="4915" width="2.44140625" style="34" customWidth="1"/>
    <col min="4916" max="5120" width="9.109375" style="34"/>
    <col min="5121" max="5151" width="2.44140625" style="34" customWidth="1"/>
    <col min="5152" max="5152" width="2.5546875" style="34" customWidth="1"/>
    <col min="5153" max="5171" width="2.44140625" style="34" customWidth="1"/>
    <col min="5172" max="5376" width="9.109375" style="34"/>
    <col min="5377" max="5407" width="2.44140625" style="34" customWidth="1"/>
    <col min="5408" max="5408" width="2.5546875" style="34" customWidth="1"/>
    <col min="5409" max="5427" width="2.44140625" style="34" customWidth="1"/>
    <col min="5428" max="5632" width="9.109375" style="34"/>
    <col min="5633" max="5663" width="2.44140625" style="34" customWidth="1"/>
    <col min="5664" max="5664" width="2.5546875" style="34" customWidth="1"/>
    <col min="5665" max="5683" width="2.44140625" style="34" customWidth="1"/>
    <col min="5684" max="5888" width="9.109375" style="34"/>
    <col min="5889" max="5919" width="2.44140625" style="34" customWidth="1"/>
    <col min="5920" max="5920" width="2.5546875" style="34" customWidth="1"/>
    <col min="5921" max="5939" width="2.44140625" style="34" customWidth="1"/>
    <col min="5940" max="6144" width="9.109375" style="34"/>
    <col min="6145" max="6175" width="2.44140625" style="34" customWidth="1"/>
    <col min="6176" max="6176" width="2.5546875" style="34" customWidth="1"/>
    <col min="6177" max="6195" width="2.44140625" style="34" customWidth="1"/>
    <col min="6196" max="6400" width="9.109375" style="34"/>
    <col min="6401" max="6431" width="2.44140625" style="34" customWidth="1"/>
    <col min="6432" max="6432" width="2.5546875" style="34" customWidth="1"/>
    <col min="6433" max="6451" width="2.44140625" style="34" customWidth="1"/>
    <col min="6452" max="6656" width="9.109375" style="34"/>
    <col min="6657" max="6687" width="2.44140625" style="34" customWidth="1"/>
    <col min="6688" max="6688" width="2.5546875" style="34" customWidth="1"/>
    <col min="6689" max="6707" width="2.44140625" style="34" customWidth="1"/>
    <col min="6708" max="6912" width="9.109375" style="34"/>
    <col min="6913" max="6943" width="2.44140625" style="34" customWidth="1"/>
    <col min="6944" max="6944" width="2.5546875" style="34" customWidth="1"/>
    <col min="6945" max="6963" width="2.44140625" style="34" customWidth="1"/>
    <col min="6964" max="7168" width="9.109375" style="34"/>
    <col min="7169" max="7199" width="2.44140625" style="34" customWidth="1"/>
    <col min="7200" max="7200" width="2.5546875" style="34" customWidth="1"/>
    <col min="7201" max="7219" width="2.44140625" style="34" customWidth="1"/>
    <col min="7220" max="7424" width="9.109375" style="34"/>
    <col min="7425" max="7455" width="2.44140625" style="34" customWidth="1"/>
    <col min="7456" max="7456" width="2.5546875" style="34" customWidth="1"/>
    <col min="7457" max="7475" width="2.44140625" style="34" customWidth="1"/>
    <col min="7476" max="7680" width="9.109375" style="34"/>
    <col min="7681" max="7711" width="2.44140625" style="34" customWidth="1"/>
    <col min="7712" max="7712" width="2.5546875" style="34" customWidth="1"/>
    <col min="7713" max="7731" width="2.44140625" style="34" customWidth="1"/>
    <col min="7732" max="7936" width="9.109375" style="34"/>
    <col min="7937" max="7967" width="2.44140625" style="34" customWidth="1"/>
    <col min="7968" max="7968" width="2.5546875" style="34" customWidth="1"/>
    <col min="7969" max="7987" width="2.44140625" style="34" customWidth="1"/>
    <col min="7988" max="8192" width="9.109375" style="34"/>
    <col min="8193" max="8223" width="2.44140625" style="34" customWidth="1"/>
    <col min="8224" max="8224" width="2.5546875" style="34" customWidth="1"/>
    <col min="8225" max="8243" width="2.44140625" style="34" customWidth="1"/>
    <col min="8244" max="8448" width="9.109375" style="34"/>
    <col min="8449" max="8479" width="2.44140625" style="34" customWidth="1"/>
    <col min="8480" max="8480" width="2.5546875" style="34" customWidth="1"/>
    <col min="8481" max="8499" width="2.44140625" style="34" customWidth="1"/>
    <col min="8500" max="8704" width="9.109375" style="34"/>
    <col min="8705" max="8735" width="2.44140625" style="34" customWidth="1"/>
    <col min="8736" max="8736" width="2.5546875" style="34" customWidth="1"/>
    <col min="8737" max="8755" width="2.44140625" style="34" customWidth="1"/>
    <col min="8756" max="8960" width="9.109375" style="34"/>
    <col min="8961" max="8991" width="2.44140625" style="34" customWidth="1"/>
    <col min="8992" max="8992" width="2.5546875" style="34" customWidth="1"/>
    <col min="8993" max="9011" width="2.44140625" style="34" customWidth="1"/>
    <col min="9012" max="9216" width="9.109375" style="34"/>
    <col min="9217" max="9247" width="2.44140625" style="34" customWidth="1"/>
    <col min="9248" max="9248" width="2.5546875" style="34" customWidth="1"/>
    <col min="9249" max="9267" width="2.44140625" style="34" customWidth="1"/>
    <col min="9268" max="9472" width="9.109375" style="34"/>
    <col min="9473" max="9503" width="2.44140625" style="34" customWidth="1"/>
    <col min="9504" max="9504" width="2.5546875" style="34" customWidth="1"/>
    <col min="9505" max="9523" width="2.44140625" style="34" customWidth="1"/>
    <col min="9524" max="9728" width="9.109375" style="34"/>
    <col min="9729" max="9759" width="2.44140625" style="34" customWidth="1"/>
    <col min="9760" max="9760" width="2.5546875" style="34" customWidth="1"/>
    <col min="9761" max="9779" width="2.44140625" style="34" customWidth="1"/>
    <col min="9780" max="9984" width="9.109375" style="34"/>
    <col min="9985" max="10015" width="2.44140625" style="34" customWidth="1"/>
    <col min="10016" max="10016" width="2.5546875" style="34" customWidth="1"/>
    <col min="10017" max="10035" width="2.44140625" style="34" customWidth="1"/>
    <col min="10036" max="10240" width="9.109375" style="34"/>
    <col min="10241" max="10271" width="2.44140625" style="34" customWidth="1"/>
    <col min="10272" max="10272" width="2.5546875" style="34" customWidth="1"/>
    <col min="10273" max="10291" width="2.44140625" style="34" customWidth="1"/>
    <col min="10292" max="10496" width="9.109375" style="34"/>
    <col min="10497" max="10527" width="2.44140625" style="34" customWidth="1"/>
    <col min="10528" max="10528" width="2.5546875" style="34" customWidth="1"/>
    <col min="10529" max="10547" width="2.44140625" style="34" customWidth="1"/>
    <col min="10548" max="10752" width="9.109375" style="34"/>
    <col min="10753" max="10783" width="2.44140625" style="34" customWidth="1"/>
    <col min="10784" max="10784" width="2.5546875" style="34" customWidth="1"/>
    <col min="10785" max="10803" width="2.44140625" style="34" customWidth="1"/>
    <col min="10804" max="11008" width="9.109375" style="34"/>
    <col min="11009" max="11039" width="2.44140625" style="34" customWidth="1"/>
    <col min="11040" max="11040" width="2.5546875" style="34" customWidth="1"/>
    <col min="11041" max="11059" width="2.44140625" style="34" customWidth="1"/>
    <col min="11060" max="11264" width="9.109375" style="34"/>
    <col min="11265" max="11295" width="2.44140625" style="34" customWidth="1"/>
    <col min="11296" max="11296" width="2.5546875" style="34" customWidth="1"/>
    <col min="11297" max="11315" width="2.44140625" style="34" customWidth="1"/>
    <col min="11316" max="11520" width="9.109375" style="34"/>
    <col min="11521" max="11551" width="2.44140625" style="34" customWidth="1"/>
    <col min="11552" max="11552" width="2.5546875" style="34" customWidth="1"/>
    <col min="11553" max="11571" width="2.44140625" style="34" customWidth="1"/>
    <col min="11572" max="11776" width="9.109375" style="34"/>
    <col min="11777" max="11807" width="2.44140625" style="34" customWidth="1"/>
    <col min="11808" max="11808" width="2.5546875" style="34" customWidth="1"/>
    <col min="11809" max="11827" width="2.44140625" style="34" customWidth="1"/>
    <col min="11828" max="12032" width="9.109375" style="34"/>
    <col min="12033" max="12063" width="2.44140625" style="34" customWidth="1"/>
    <col min="12064" max="12064" width="2.5546875" style="34" customWidth="1"/>
    <col min="12065" max="12083" width="2.44140625" style="34" customWidth="1"/>
    <col min="12084" max="12288" width="9.109375" style="34"/>
    <col min="12289" max="12319" width="2.44140625" style="34" customWidth="1"/>
    <col min="12320" max="12320" width="2.5546875" style="34" customWidth="1"/>
    <col min="12321" max="12339" width="2.44140625" style="34" customWidth="1"/>
    <col min="12340" max="12544" width="9.109375" style="34"/>
    <col min="12545" max="12575" width="2.44140625" style="34" customWidth="1"/>
    <col min="12576" max="12576" width="2.5546875" style="34" customWidth="1"/>
    <col min="12577" max="12595" width="2.44140625" style="34" customWidth="1"/>
    <col min="12596" max="12800" width="9.109375" style="34"/>
    <col min="12801" max="12831" width="2.44140625" style="34" customWidth="1"/>
    <col min="12832" max="12832" width="2.5546875" style="34" customWidth="1"/>
    <col min="12833" max="12851" width="2.44140625" style="34" customWidth="1"/>
    <col min="12852" max="13056" width="9.109375" style="34"/>
    <col min="13057" max="13087" width="2.44140625" style="34" customWidth="1"/>
    <col min="13088" max="13088" width="2.5546875" style="34" customWidth="1"/>
    <col min="13089" max="13107" width="2.44140625" style="34" customWidth="1"/>
    <col min="13108" max="13312" width="9.109375" style="34"/>
    <col min="13313" max="13343" width="2.44140625" style="34" customWidth="1"/>
    <col min="13344" max="13344" width="2.5546875" style="34" customWidth="1"/>
    <col min="13345" max="13363" width="2.44140625" style="34" customWidth="1"/>
    <col min="13364" max="13568" width="9.109375" style="34"/>
    <col min="13569" max="13599" width="2.44140625" style="34" customWidth="1"/>
    <col min="13600" max="13600" width="2.5546875" style="34" customWidth="1"/>
    <col min="13601" max="13619" width="2.44140625" style="34" customWidth="1"/>
    <col min="13620" max="13824" width="9.109375" style="34"/>
    <col min="13825" max="13855" width="2.44140625" style="34" customWidth="1"/>
    <col min="13856" max="13856" width="2.5546875" style="34" customWidth="1"/>
    <col min="13857" max="13875" width="2.44140625" style="34" customWidth="1"/>
    <col min="13876" max="14080" width="9.109375" style="34"/>
    <col min="14081" max="14111" width="2.44140625" style="34" customWidth="1"/>
    <col min="14112" max="14112" width="2.5546875" style="34" customWidth="1"/>
    <col min="14113" max="14131" width="2.44140625" style="34" customWidth="1"/>
    <col min="14132" max="14336" width="9.109375" style="34"/>
    <col min="14337" max="14367" width="2.44140625" style="34" customWidth="1"/>
    <col min="14368" max="14368" width="2.5546875" style="34" customWidth="1"/>
    <col min="14369" max="14387" width="2.44140625" style="34" customWidth="1"/>
    <col min="14388" max="14592" width="9.109375" style="34"/>
    <col min="14593" max="14623" width="2.44140625" style="34" customWidth="1"/>
    <col min="14624" max="14624" width="2.5546875" style="34" customWidth="1"/>
    <col min="14625" max="14643" width="2.44140625" style="34" customWidth="1"/>
    <col min="14644" max="14848" width="9.109375" style="34"/>
    <col min="14849" max="14879" width="2.44140625" style="34" customWidth="1"/>
    <col min="14880" max="14880" width="2.5546875" style="34" customWidth="1"/>
    <col min="14881" max="14899" width="2.44140625" style="34" customWidth="1"/>
    <col min="14900" max="15104" width="9.109375" style="34"/>
    <col min="15105" max="15135" width="2.44140625" style="34" customWidth="1"/>
    <col min="15136" max="15136" width="2.5546875" style="34" customWidth="1"/>
    <col min="15137" max="15155" width="2.44140625" style="34" customWidth="1"/>
    <col min="15156" max="15360" width="9.109375" style="34"/>
    <col min="15361" max="15391" width="2.44140625" style="34" customWidth="1"/>
    <col min="15392" max="15392" width="2.5546875" style="34" customWidth="1"/>
    <col min="15393" max="15411" width="2.44140625" style="34" customWidth="1"/>
    <col min="15412" max="15616" width="9.109375" style="34"/>
    <col min="15617" max="15647" width="2.44140625" style="34" customWidth="1"/>
    <col min="15648" max="15648" width="2.5546875" style="34" customWidth="1"/>
    <col min="15649" max="15667" width="2.44140625" style="34" customWidth="1"/>
    <col min="15668" max="15872" width="9.109375" style="34"/>
    <col min="15873" max="15903" width="2.44140625" style="34" customWidth="1"/>
    <col min="15904" max="15904" width="2.5546875" style="34" customWidth="1"/>
    <col min="15905" max="15923" width="2.44140625" style="34" customWidth="1"/>
    <col min="15924" max="16128" width="9.109375" style="34"/>
    <col min="16129" max="16159" width="2.44140625" style="34" customWidth="1"/>
    <col min="16160" max="16160" width="2.5546875" style="34" customWidth="1"/>
    <col min="16161" max="16179" width="2.44140625" style="34" customWidth="1"/>
    <col min="16180" max="16384" width="9.109375" style="34"/>
  </cols>
  <sheetData>
    <row r="1" spans="1:43" s="30" customFormat="1" ht="12.75" customHeight="1" x14ac:dyDescent="0.2">
      <c r="AJ1" s="31" t="s">
        <v>143</v>
      </c>
    </row>
    <row r="2" spans="1:43" s="30" customFormat="1" ht="11.25" customHeight="1" x14ac:dyDescent="0.2">
      <c r="AJ2" s="31" t="s">
        <v>144</v>
      </c>
    </row>
    <row r="3" spans="1:43" s="30" customFormat="1" ht="14.25" customHeight="1" x14ac:dyDescent="0.2">
      <c r="A3" s="30" t="s">
        <v>145</v>
      </c>
      <c r="AJ3" s="32"/>
      <c r="AK3" s="32"/>
      <c r="AL3" s="32"/>
      <c r="AM3" s="32"/>
      <c r="AN3" s="32"/>
      <c r="AO3" s="32"/>
      <c r="AP3" s="32"/>
      <c r="AQ3" s="32"/>
    </row>
    <row r="4" spans="1:43" s="30" customFormat="1" ht="38.4" customHeight="1" x14ac:dyDescent="0.2">
      <c r="A4" s="216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  <c r="AH4" s="216"/>
      <c r="AI4" s="216"/>
      <c r="AJ4" s="216"/>
    </row>
    <row r="5" spans="1:43" s="30" customFormat="1" ht="12" customHeight="1" x14ac:dyDescent="0.2">
      <c r="A5" s="214" t="str">
        <f>'Данные '!B36</f>
        <v>ГНБ №1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</row>
    <row r="6" spans="1:43" s="33" customFormat="1" ht="18.75" customHeight="1" x14ac:dyDescent="0.15">
      <c r="A6" s="191" t="s">
        <v>146</v>
      </c>
      <c r="B6" s="192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2"/>
      <c r="AI6" s="192"/>
      <c r="AJ6" s="192"/>
    </row>
    <row r="7" spans="1:43" s="30" customFormat="1" ht="12.75" customHeight="1" x14ac:dyDescent="0.2">
      <c r="A7" s="215" t="s">
        <v>147</v>
      </c>
      <c r="B7" s="215"/>
      <c r="C7" s="215"/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  <c r="AA7" s="215"/>
      <c r="AB7" s="215"/>
      <c r="AC7" s="215"/>
      <c r="AD7" s="215"/>
      <c r="AE7" s="215"/>
      <c r="AF7" s="215"/>
      <c r="AG7" s="215"/>
      <c r="AH7" s="215"/>
      <c r="AI7" s="215"/>
      <c r="AJ7" s="215"/>
    </row>
    <row r="8" spans="1:43" s="30" customFormat="1" ht="12" customHeight="1" x14ac:dyDescent="0.2">
      <c r="A8" s="214" t="str">
        <f>'Данные '!B23</f>
        <v>ПАО "Россети Московский регион"</v>
      </c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</row>
    <row r="9" spans="1:43" s="33" customFormat="1" ht="19.5" customHeight="1" x14ac:dyDescent="0.15">
      <c r="A9" s="191" t="s">
        <v>148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</row>
    <row r="10" spans="1:43" s="30" customFormat="1" ht="12" customHeight="1" x14ac:dyDescent="0.2">
      <c r="A10" s="214" t="str">
        <f>'Данные '!B24</f>
        <v>ОГРН 1057746555811 ИНН 5036065113 КПП 772501001</v>
      </c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14"/>
      <c r="AH10" s="214"/>
      <c r="AI10" s="214"/>
      <c r="AJ10" s="214"/>
    </row>
    <row r="11" spans="1:43" s="33" customFormat="1" ht="28.5" customHeight="1" x14ac:dyDescent="0.15">
      <c r="A11" s="191" t="s">
        <v>149</v>
      </c>
      <c r="B11" s="192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</row>
    <row r="12" spans="1:43" s="30" customFormat="1" ht="12" customHeight="1" x14ac:dyDescent="0.2">
      <c r="A12" s="214" t="str">
        <f>'Данные '!B25</f>
        <v>115114, город Москва, проезд Павелецкий 2-й, дом 3, строение 2</v>
      </c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  <c r="AG12" s="214"/>
      <c r="AH12" s="214"/>
      <c r="AI12" s="214"/>
      <c r="AJ12" s="214"/>
    </row>
    <row r="13" spans="1:43" s="33" customFormat="1" ht="11.25" customHeight="1" x14ac:dyDescent="0.15">
      <c r="A13" s="191" t="s">
        <v>150</v>
      </c>
      <c r="B13" s="192"/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</row>
    <row r="14" spans="1:43" s="30" customFormat="1" ht="12" customHeight="1" x14ac:dyDescent="0.2">
      <c r="A14" s="30" t="s">
        <v>151</v>
      </c>
    </row>
    <row r="15" spans="1:43" s="30" customFormat="1" ht="12" customHeight="1" x14ac:dyDescent="0.2">
      <c r="A15" s="214" t="str">
        <f>'Данные '!B7</f>
        <v>ООО "Энергосистемы"</v>
      </c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</row>
    <row r="16" spans="1:43" s="33" customFormat="1" ht="9.75" customHeight="1" x14ac:dyDescent="0.15">
      <c r="A16" s="191" t="s">
        <v>152</v>
      </c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</row>
    <row r="17" spans="1:36" s="30" customFormat="1" ht="12" customHeight="1" x14ac:dyDescent="0.2">
      <c r="A17" s="214" t="str">
        <f>'Данные '!B8</f>
        <v>ОГРН 1135044003709  ИНН 5044089069 КПП 504401001</v>
      </c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4"/>
      <c r="X17" s="214"/>
      <c r="Y17" s="214"/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</row>
    <row r="18" spans="1:36" s="33" customFormat="1" ht="8.25" customHeight="1" x14ac:dyDescent="0.15">
      <c r="A18" s="191" t="s">
        <v>153</v>
      </c>
      <c r="B18" s="192"/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</row>
    <row r="19" spans="1:36" s="30" customFormat="1" ht="12" customHeight="1" x14ac:dyDescent="0.2">
      <c r="A19" s="214" t="str">
        <f>'Данные '!B9</f>
        <v>141508, Московская область, г.о. Солнечногорск, г. Солнечногорск, ул. Промышленная, стр. 5, помещение 179</v>
      </c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4"/>
      <c r="AA19" s="214"/>
      <c r="AB19" s="214"/>
      <c r="AC19" s="214"/>
      <c r="AD19" s="214"/>
      <c r="AE19" s="214"/>
      <c r="AF19" s="214"/>
      <c r="AG19" s="214"/>
      <c r="AH19" s="214"/>
      <c r="AI19" s="214"/>
      <c r="AJ19" s="214"/>
    </row>
    <row r="20" spans="1:36" s="33" customFormat="1" ht="27" customHeight="1" x14ac:dyDescent="0.15">
      <c r="A20" s="191" t="s">
        <v>154</v>
      </c>
      <c r="B20" s="192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</row>
    <row r="21" spans="1:36" s="30" customFormat="1" ht="12" customHeight="1" x14ac:dyDescent="0.2">
      <c r="A21" s="30" t="s">
        <v>155</v>
      </c>
    </row>
    <row r="22" spans="1:36" s="30" customFormat="1" ht="12" customHeight="1" x14ac:dyDescent="0.2">
      <c r="A22" s="214" t="str">
        <f>'Данные '!B7</f>
        <v>ООО "Энергосистемы"</v>
      </c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214"/>
      <c r="S22" s="214"/>
      <c r="T22" s="214"/>
      <c r="U22" s="214"/>
      <c r="V22" s="214"/>
      <c r="W22" s="214"/>
      <c r="X22" s="214"/>
      <c r="Y22" s="214"/>
      <c r="Z22" s="214"/>
      <c r="AA22" s="214"/>
      <c r="AB22" s="214"/>
      <c r="AC22" s="214"/>
      <c r="AD22" s="214"/>
      <c r="AE22" s="214"/>
      <c r="AF22" s="214"/>
      <c r="AG22" s="214"/>
      <c r="AH22" s="214"/>
      <c r="AI22" s="214"/>
      <c r="AJ22" s="214"/>
    </row>
    <row r="23" spans="1:36" s="33" customFormat="1" ht="7.5" customHeight="1" x14ac:dyDescent="0.15">
      <c r="A23" s="198" t="s">
        <v>152</v>
      </c>
      <c r="B23" s="199"/>
      <c r="C23" s="199"/>
      <c r="D23" s="199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199"/>
      <c r="AJ23" s="199"/>
    </row>
    <row r="24" spans="1:36" s="30" customFormat="1" ht="12" customHeight="1" x14ac:dyDescent="0.2">
      <c r="A24" s="209" t="str">
        <f>'Данные '!B8</f>
        <v>ОГРН 1135044003709  ИНН 5044089069 КПП 504401001</v>
      </c>
      <c r="B24" s="209"/>
      <c r="C24" s="209"/>
      <c r="D24" s="209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09"/>
    </row>
    <row r="25" spans="1:36" s="33" customFormat="1" ht="7.5" customHeight="1" x14ac:dyDescent="0.15">
      <c r="A25" s="198" t="s">
        <v>156</v>
      </c>
      <c r="B25" s="199"/>
      <c r="C25" s="199"/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199"/>
      <c r="AJ25" s="199"/>
    </row>
    <row r="26" spans="1:36" s="30" customFormat="1" ht="12" customHeight="1" x14ac:dyDescent="0.2">
      <c r="A26" s="209" t="str">
        <f>'Данные '!B9</f>
        <v>141508, Московская область, г.о. Солнечногорск, г. Солнечногорск, ул. Промышленная, стр. 5, помещение 179</v>
      </c>
      <c r="B26" s="209"/>
      <c r="C26" s="209"/>
      <c r="D26" s="209"/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  <c r="AA26" s="209"/>
      <c r="AB26" s="209"/>
      <c r="AC26" s="209"/>
      <c r="AD26" s="209"/>
      <c r="AE26" s="209"/>
      <c r="AF26" s="209"/>
      <c r="AG26" s="209"/>
      <c r="AH26" s="209"/>
      <c r="AI26" s="209"/>
      <c r="AJ26" s="209"/>
    </row>
    <row r="27" spans="1:36" s="33" customFormat="1" ht="22.5" customHeight="1" x14ac:dyDescent="0.15">
      <c r="A27" s="198" t="s">
        <v>157</v>
      </c>
      <c r="B27" s="199"/>
      <c r="C27" s="199"/>
      <c r="D27" s="199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199"/>
      <c r="AI27" s="199"/>
      <c r="AJ27" s="199"/>
    </row>
    <row r="28" spans="1:36" ht="9" customHeight="1" x14ac:dyDescent="0.25">
      <c r="A28" s="97"/>
      <c r="B28" s="97"/>
      <c r="C28" s="97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</row>
    <row r="29" spans="1:36" s="30" customFormat="1" ht="12.9" customHeight="1" x14ac:dyDescent="0.2">
      <c r="A29" s="211" t="s">
        <v>158</v>
      </c>
      <c r="B29" s="211"/>
      <c r="C29" s="211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  <c r="AD29" s="211"/>
      <c r="AE29" s="211"/>
      <c r="AF29" s="211"/>
      <c r="AG29" s="211"/>
      <c r="AH29" s="211"/>
      <c r="AI29" s="211"/>
      <c r="AJ29" s="211"/>
    </row>
    <row r="30" spans="1:36" s="30" customFormat="1" ht="12.9" customHeight="1" x14ac:dyDescent="0.2">
      <c r="A30" s="212" t="s">
        <v>159</v>
      </c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</row>
    <row r="31" spans="1:36" s="30" customFormat="1" ht="6" customHeight="1" x14ac:dyDescent="0.2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</row>
    <row r="32" spans="1:36" s="30" customFormat="1" ht="12.9" customHeight="1" x14ac:dyDescent="0.3">
      <c r="A32" s="102"/>
      <c r="B32" s="103" t="s">
        <v>204</v>
      </c>
      <c r="C32" s="42"/>
      <c r="D32" s="42"/>
      <c r="E32" s="104"/>
      <c r="F32" s="104"/>
      <c r="G32" s="104"/>
      <c r="H32" s="105"/>
      <c r="I32" s="105"/>
      <c r="J32" s="105"/>
      <c r="K32" s="106"/>
      <c r="L32" s="106"/>
      <c r="M32" s="193">
        <f>'Данные '!B37</f>
        <v>1</v>
      </c>
      <c r="N32" s="193"/>
      <c r="O32" s="101" t="s">
        <v>205</v>
      </c>
      <c r="P32" s="101"/>
      <c r="Q32" s="101"/>
      <c r="R32" s="101"/>
      <c r="S32" s="101"/>
      <c r="T32" s="101"/>
      <c r="U32" s="101"/>
      <c r="V32" s="101"/>
      <c r="W32"/>
      <c r="X32"/>
      <c r="Y32"/>
      <c r="Z32" s="213" t="str">
        <f>M76</f>
        <v>01.12.2025</v>
      </c>
      <c r="AA32" s="213"/>
      <c r="AB32" s="213"/>
      <c r="AC32" s="213"/>
      <c r="AD32" s="213"/>
      <c r="AE32"/>
      <c r="AF32"/>
      <c r="AG32"/>
      <c r="AH32"/>
      <c r="AI32"/>
      <c r="AJ32"/>
    </row>
    <row r="33" spans="1:52" s="33" customFormat="1" ht="9" customHeight="1" x14ac:dyDescent="0.15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8"/>
      <c r="Z33" s="109" t="s">
        <v>160</v>
      </c>
      <c r="AA33" s="108"/>
      <c r="AB33" s="108"/>
      <c r="AC33" s="108"/>
      <c r="AD33" s="108"/>
      <c r="AE33" s="108"/>
      <c r="AF33" s="108"/>
      <c r="AG33" s="108"/>
      <c r="AH33" s="108"/>
      <c r="AI33" s="107"/>
      <c r="AJ33" s="107"/>
    </row>
    <row r="34" spans="1:52" ht="6.75" customHeight="1" x14ac:dyDescent="0.25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99"/>
      <c r="AJ34" s="99"/>
    </row>
    <row r="35" spans="1:52" s="30" customFormat="1" ht="21" customHeight="1" x14ac:dyDescent="0.2">
      <c r="A35" s="210" t="s">
        <v>161</v>
      </c>
      <c r="B35" s="210"/>
      <c r="C35" s="210"/>
      <c r="D35" s="210"/>
      <c r="E35" s="210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  <c r="AA35" s="210"/>
      <c r="AB35" s="210"/>
      <c r="AC35" s="210"/>
      <c r="AD35" s="210"/>
      <c r="AE35" s="210"/>
      <c r="AF35" s="210"/>
      <c r="AG35" s="210"/>
      <c r="AH35" s="210"/>
      <c r="AI35" s="210"/>
      <c r="AJ35" s="210"/>
    </row>
    <row r="36" spans="1:52" s="30" customFormat="1" ht="14.25" customHeight="1" x14ac:dyDescent="0.2">
      <c r="A36" s="194" t="str">
        <f>'Данные '!H23</f>
        <v>Гл. специалист ССК УКС Алексанян Г.Р. Приказ №2363 от 29 июля 2025г (НРС С-50-069023)</v>
      </c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</row>
    <row r="37" spans="1:52" s="33" customFormat="1" ht="28.5" customHeight="1" x14ac:dyDescent="0.15">
      <c r="A37" s="198" t="s">
        <v>162</v>
      </c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  <c r="AJ37" s="199"/>
    </row>
    <row r="38" spans="1:52" s="30" customFormat="1" ht="21.75" customHeight="1" x14ac:dyDescent="0.2">
      <c r="A38" s="194" t="str">
        <f>'Данные '!H22</f>
        <v>ПАО "Россети Московский регион" ОГРН 1057746555811 ИНН 5036065113 КПП 772501001 115114, город Москва, проезд Павелецкий 2-й, дом 3, строение 2</v>
      </c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</row>
    <row r="39" spans="1:52" s="33" customFormat="1" ht="25.5" customHeight="1" x14ac:dyDescent="0.2">
      <c r="A39" s="208" t="s">
        <v>163</v>
      </c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  <c r="AD39" s="208"/>
      <c r="AE39" s="208"/>
      <c r="AF39" s="208"/>
      <c r="AG39" s="208"/>
      <c r="AH39" s="208"/>
      <c r="AI39" s="208"/>
      <c r="AJ39" s="208"/>
      <c r="AZ39" s="30"/>
    </row>
    <row r="40" spans="1:52" s="30" customFormat="1" ht="12" customHeight="1" x14ac:dyDescent="0.2">
      <c r="A40" s="101" t="s">
        <v>164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</row>
    <row r="41" spans="1:52" s="30" customFormat="1" ht="12" customHeight="1" x14ac:dyDescent="0.2">
      <c r="A41" s="209" t="str">
        <f>'Данные '!H10</f>
        <v>Прораб ООО "Энергосистемы" Волков М.Ю., Приказ №05-ОТ/24 от 09 января 2024г</v>
      </c>
      <c r="B41" s="209"/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  <c r="AA41" s="209"/>
      <c r="AB41" s="209"/>
      <c r="AC41" s="209"/>
      <c r="AD41" s="209"/>
      <c r="AE41" s="209"/>
      <c r="AF41" s="209"/>
      <c r="AG41" s="209"/>
      <c r="AH41" s="209"/>
      <c r="AI41" s="209"/>
      <c r="AJ41" s="209"/>
    </row>
    <row r="42" spans="1:52" s="33" customFormat="1" ht="9" customHeight="1" x14ac:dyDescent="0.15">
      <c r="A42" s="198" t="s">
        <v>165</v>
      </c>
      <c r="B42" s="199"/>
      <c r="C42" s="199"/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  <c r="AA42" s="199"/>
      <c r="AB42" s="199"/>
      <c r="AC42" s="199"/>
      <c r="AD42" s="199"/>
      <c r="AE42" s="199"/>
      <c r="AF42" s="199"/>
      <c r="AG42" s="199"/>
      <c r="AH42" s="199"/>
      <c r="AI42" s="199"/>
      <c r="AJ42" s="199"/>
    </row>
    <row r="43" spans="1:52" s="30" customFormat="1" ht="17.25" customHeight="1" x14ac:dyDescent="0.2">
      <c r="A43" s="210" t="s">
        <v>166</v>
      </c>
      <c r="B43" s="210"/>
      <c r="C43" s="210"/>
      <c r="D43" s="210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  <c r="AA43" s="210"/>
      <c r="AB43" s="210"/>
      <c r="AC43" s="210"/>
      <c r="AD43" s="210"/>
      <c r="AE43" s="210"/>
      <c r="AF43" s="210"/>
      <c r="AG43" s="210"/>
      <c r="AH43" s="210"/>
      <c r="AI43" s="210"/>
      <c r="AJ43" s="210"/>
    </row>
    <row r="44" spans="1:52" s="35" customFormat="1" ht="23.25" customHeight="1" x14ac:dyDescent="0.3">
      <c r="A44" s="194" t="str">
        <f>'Данные '!H13</f>
        <v>Инженер по строительному контролю ООО "Энергосистемы" Русин В.А., Приказ № 13-ОТ/25 от 05 мая 2025 (НОСТРОЙ С-50-085497)</v>
      </c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</row>
    <row r="45" spans="1:52" s="33" customFormat="1" ht="30" customHeight="1" x14ac:dyDescent="0.15">
      <c r="A45" s="198" t="s">
        <v>167</v>
      </c>
      <c r="B45" s="199"/>
      <c r="C45" s="199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  <c r="AA45" s="199"/>
      <c r="AB45" s="199"/>
      <c r="AC45" s="199"/>
      <c r="AD45" s="199"/>
      <c r="AE45" s="199"/>
      <c r="AF45" s="199"/>
      <c r="AG45" s="199"/>
      <c r="AH45" s="199"/>
      <c r="AI45" s="199"/>
      <c r="AJ45" s="199"/>
    </row>
    <row r="46" spans="1:52" s="30" customFormat="1" ht="35.25" customHeight="1" x14ac:dyDescent="0.2">
      <c r="A46" s="207" t="s">
        <v>168</v>
      </c>
      <c r="B46" s="207"/>
      <c r="C46" s="207"/>
      <c r="D46" s="207"/>
      <c r="E46" s="207"/>
      <c r="F46" s="207"/>
      <c r="G46" s="207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</row>
    <row r="47" spans="1:52" s="35" customFormat="1" ht="12.9" customHeight="1" x14ac:dyDescent="0.3">
      <c r="A47" s="209" t="s">
        <v>197</v>
      </c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  <c r="AA47" s="209"/>
      <c r="AB47" s="209"/>
      <c r="AC47" s="209"/>
      <c r="AD47" s="209"/>
      <c r="AE47" s="209"/>
      <c r="AF47" s="209"/>
      <c r="AG47" s="209"/>
      <c r="AH47" s="209"/>
      <c r="AI47" s="209"/>
      <c r="AJ47" s="209"/>
    </row>
    <row r="48" spans="1:52" s="33" customFormat="1" ht="29.25" customHeight="1" x14ac:dyDescent="0.15">
      <c r="A48" s="198" t="s">
        <v>169</v>
      </c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  <c r="AC48" s="199"/>
      <c r="AD48" s="199"/>
      <c r="AE48" s="199"/>
      <c r="AF48" s="199"/>
      <c r="AG48" s="199"/>
      <c r="AH48" s="199"/>
      <c r="AI48" s="199"/>
      <c r="AJ48" s="199"/>
    </row>
    <row r="49" spans="1:36" s="30" customFormat="1" ht="25.5" customHeight="1" x14ac:dyDescent="0.2">
      <c r="A49" s="207" t="s">
        <v>170</v>
      </c>
      <c r="B49" s="207"/>
      <c r="C49" s="207"/>
      <c r="D49" s="207"/>
      <c r="E49" s="207"/>
      <c r="F49" s="207"/>
      <c r="G49" s="207"/>
      <c r="H49" s="207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207"/>
      <c r="AG49" s="207"/>
      <c r="AH49" s="207"/>
      <c r="AI49" s="207"/>
      <c r="AJ49" s="207"/>
    </row>
    <row r="50" spans="1:36" s="30" customFormat="1" ht="12" customHeight="1" x14ac:dyDescent="0.2">
      <c r="A50" s="194" t="str">
        <f>CONCATENATE('Данные '!B18, " ",'Данные '!B17," ",'Данные '!B19)</f>
        <v>Гл.инженер ООО «КСС Регион» Сигарев А.А.</v>
      </c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</row>
    <row r="51" spans="1:36" s="33" customFormat="1" ht="9.75" customHeight="1" x14ac:dyDescent="0.15">
      <c r="A51" s="198" t="s">
        <v>171</v>
      </c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199"/>
      <c r="AJ51" s="199"/>
    </row>
    <row r="52" spans="1:36" s="30" customFormat="1" ht="12" customHeight="1" x14ac:dyDescent="0.2">
      <c r="A52" s="194"/>
      <c r="B52" s="194"/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</row>
    <row r="53" spans="1:36" s="33" customFormat="1" ht="16.5" customHeight="1" x14ac:dyDescent="0.15">
      <c r="A53" s="198" t="s">
        <v>172</v>
      </c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</row>
    <row r="54" spans="1:36" s="30" customFormat="1" ht="12" customHeight="1" x14ac:dyDescent="0.2">
      <c r="A54" s="101" t="s">
        <v>173</v>
      </c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</row>
    <row r="55" spans="1:36" s="30" customFormat="1" ht="12.9" customHeight="1" x14ac:dyDescent="0.25">
      <c r="A55" s="200" t="str">
        <f>'Данные '!B17</f>
        <v>ООО «КСС Регион»</v>
      </c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200"/>
      <c r="AG55" s="200"/>
      <c r="AH55" s="200"/>
      <c r="AI55" s="200"/>
      <c r="AJ55" s="200"/>
    </row>
    <row r="56" spans="1:36" s="33" customFormat="1" ht="10.5" customHeight="1" x14ac:dyDescent="0.15">
      <c r="A56" s="202" t="s">
        <v>174</v>
      </c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2"/>
    </row>
    <row r="57" spans="1:36" s="30" customFormat="1" ht="12" customHeight="1" x14ac:dyDescent="0.2">
      <c r="A57" s="101" t="s">
        <v>175</v>
      </c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</row>
    <row r="58" spans="1:36" s="30" customFormat="1" ht="12" customHeight="1" x14ac:dyDescent="0.2">
      <c r="A58" s="101" t="s">
        <v>176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</row>
    <row r="59" spans="1:36" s="30" customFormat="1" ht="20.399999999999999" customHeight="1" x14ac:dyDescent="0.2">
      <c r="A59" s="111" t="s">
        <v>206</v>
      </c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94">
        <f>M32</f>
        <v>1</v>
      </c>
      <c r="N59" s="194"/>
      <c r="O59" s="194"/>
      <c r="P59" s="111" t="s">
        <v>207</v>
      </c>
      <c r="Q59" s="112"/>
      <c r="R59" s="112"/>
      <c r="S59" s="112"/>
      <c r="T59" s="112"/>
      <c r="U59" s="195" t="s">
        <v>351</v>
      </c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</row>
    <row r="60" spans="1:36" s="33" customFormat="1" ht="8.25" customHeight="1" x14ac:dyDescent="0.15">
      <c r="A60" s="198" t="s">
        <v>177</v>
      </c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199"/>
      <c r="AJ60" s="199"/>
    </row>
    <row r="61" spans="1:36" s="30" customFormat="1" ht="12" customHeight="1" x14ac:dyDescent="0.2">
      <c r="A61" s="101" t="s">
        <v>178</v>
      </c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</row>
    <row r="62" spans="1:36" s="30" customFormat="1" ht="12" customHeight="1" x14ac:dyDescent="0.2">
      <c r="A62" s="194" t="str">
        <f>'Данные '!B33</f>
        <v>4980-325834-217-09/24</v>
      </c>
      <c r="B62" s="194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</row>
    <row r="63" spans="1:36" s="33" customFormat="1" ht="15" customHeight="1" x14ac:dyDescent="0.15">
      <c r="A63" s="198" t="s">
        <v>179</v>
      </c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  <c r="AD63" s="199"/>
      <c r="AE63" s="199"/>
      <c r="AF63" s="199"/>
      <c r="AG63" s="199"/>
      <c r="AH63" s="199"/>
      <c r="AI63" s="199"/>
      <c r="AJ63" s="199"/>
    </row>
    <row r="64" spans="1:36" s="30" customFormat="1" ht="12" customHeight="1" x14ac:dyDescent="0.25">
      <c r="A64" s="101" t="s">
        <v>180</v>
      </c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</row>
    <row r="65" spans="1:36" s="36" customFormat="1" ht="7.5" customHeight="1" x14ac:dyDescent="0.1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</row>
    <row r="66" spans="1:36" s="30" customFormat="1" ht="12" customHeight="1" x14ac:dyDescent="0.2">
      <c r="A66" s="195" t="s">
        <v>209</v>
      </c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</row>
    <row r="67" spans="1:36" s="30" customFormat="1" ht="12" customHeight="1" x14ac:dyDescent="0.2">
      <c r="A67" s="116" t="s">
        <v>263</v>
      </c>
      <c r="B67" s="116" t="s">
        <v>349</v>
      </c>
      <c r="C67" s="116"/>
      <c r="D67" s="116"/>
      <c r="E67" s="116"/>
      <c r="F67" s="116"/>
      <c r="G67" s="116"/>
      <c r="H67" s="116"/>
      <c r="I67" s="116"/>
      <c r="J67" s="116"/>
      <c r="K67" s="116"/>
      <c r="L67" s="116" t="s">
        <v>260</v>
      </c>
      <c r="M67" s="116"/>
      <c r="N67" s="203">
        <f>'Данные '!B38</f>
        <v>792</v>
      </c>
      <c r="O67" s="203"/>
      <c r="P67" s="203"/>
      <c r="Q67" s="203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</row>
    <row r="68" spans="1:36" s="33" customFormat="1" ht="18.75" customHeight="1" x14ac:dyDescent="0.15">
      <c r="A68" s="198" t="s">
        <v>208</v>
      </c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199"/>
      <c r="AF68" s="199"/>
      <c r="AG68" s="199"/>
      <c r="AH68" s="199"/>
      <c r="AI68" s="199"/>
      <c r="AJ68" s="199"/>
    </row>
    <row r="69" spans="1:36" s="30" customFormat="1" ht="12" customHeight="1" x14ac:dyDescent="0.2">
      <c r="A69" s="101" t="s">
        <v>181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</row>
    <row r="70" spans="1:36" s="30" customFormat="1" ht="12" customHeight="1" x14ac:dyDescent="0.25">
      <c r="A70" s="101" t="s">
        <v>182</v>
      </c>
      <c r="B70" s="101"/>
      <c r="C70" s="101"/>
      <c r="D70" s="101"/>
      <c r="E70" s="101"/>
      <c r="F70" s="101"/>
      <c r="G70" s="196" t="s">
        <v>210</v>
      </c>
      <c r="H70" s="196"/>
      <c r="I70" s="196"/>
      <c r="J70" s="196"/>
      <c r="K70" s="196"/>
      <c r="L70" s="196"/>
      <c r="M70" s="196"/>
      <c r="N70" s="196"/>
      <c r="O70" s="196"/>
      <c r="P70" s="200">
        <f>'Данные '!B37</f>
        <v>1</v>
      </c>
      <c r="Q70" s="200"/>
      <c r="R70" s="200"/>
      <c r="S70" s="104"/>
      <c r="T70" s="104"/>
      <c r="U70" s="104"/>
      <c r="V70" s="42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</row>
    <row r="71" spans="1:36" s="33" customFormat="1" ht="7.5" customHeight="1" x14ac:dyDescent="0.15">
      <c r="A71" s="204"/>
      <c r="B71" s="204"/>
      <c r="C71" s="117"/>
      <c r="D71" s="117"/>
      <c r="E71" s="117"/>
      <c r="F71" s="117"/>
      <c r="G71" s="199" t="s">
        <v>183</v>
      </c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199"/>
      <c r="AG71" s="199"/>
      <c r="AH71" s="199"/>
      <c r="AI71" s="199"/>
      <c r="AJ71" s="199"/>
    </row>
    <row r="72" spans="1:36" s="30" customFormat="1" ht="12" customHeight="1" x14ac:dyDescent="0.25">
      <c r="A72" s="196" t="s">
        <v>350</v>
      </c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  <c r="AA72" s="196"/>
      <c r="AB72" s="196"/>
      <c r="AC72" s="196"/>
      <c r="AD72" s="196"/>
      <c r="AE72" s="196"/>
      <c r="AF72" s="196"/>
      <c r="AG72" s="196"/>
      <c r="AH72" s="196"/>
      <c r="AI72" s="196"/>
      <c r="AJ72" s="196"/>
    </row>
    <row r="73" spans="1:36" s="33" customFormat="1" ht="7.5" customHeight="1" x14ac:dyDescent="0.15">
      <c r="A73" s="198" t="s">
        <v>184</v>
      </c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199"/>
      <c r="AG73" s="199"/>
      <c r="AH73" s="199"/>
      <c r="AI73" s="199"/>
      <c r="AJ73" s="199"/>
    </row>
    <row r="74" spans="1:36" ht="9" customHeight="1" x14ac:dyDescent="0.25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9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</row>
    <row r="75" spans="1:36" s="30" customFormat="1" ht="12" customHeight="1" x14ac:dyDescent="0.3">
      <c r="A75" s="101" t="s">
        <v>185</v>
      </c>
      <c r="B75" s="101"/>
      <c r="C75" s="101"/>
      <c r="D75" s="120"/>
      <c r="E75" s="120"/>
      <c r="F75" s="120"/>
      <c r="G75" s="120"/>
      <c r="H75" s="101"/>
      <c r="I75" s="101"/>
      <c r="J75" s="101"/>
      <c r="K75" s="101"/>
      <c r="L75"/>
      <c r="M75" s="206" t="str">
        <f>'Данные '!B4</f>
        <v>01.12.2025</v>
      </c>
      <c r="N75" s="206"/>
      <c r="O75" s="206"/>
      <c r="P75" s="206"/>
      <c r="Q75"/>
      <c r="R75"/>
      <c r="S75"/>
      <c r="T75"/>
      <c r="U75"/>
      <c r="V75"/>
      <c r="W75"/>
      <c r="X75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</row>
    <row r="76" spans="1:36" s="30" customFormat="1" ht="12" customHeight="1" x14ac:dyDescent="0.3">
      <c r="A76" s="101" t="s">
        <v>186</v>
      </c>
      <c r="B76" s="101"/>
      <c r="C76" s="101"/>
      <c r="D76" s="120"/>
      <c r="E76" s="120"/>
      <c r="F76" s="120"/>
      <c r="G76" s="120"/>
      <c r="H76" s="101"/>
      <c r="I76" s="101"/>
      <c r="J76" s="101"/>
      <c r="K76" s="101"/>
      <c r="L76"/>
      <c r="M76" s="205" t="str">
        <f>'Данные '!B4</f>
        <v>01.12.2025</v>
      </c>
      <c r="N76" s="205"/>
      <c r="O76" s="205"/>
      <c r="P76" s="205"/>
      <c r="Q76"/>
      <c r="R76"/>
      <c r="S76"/>
      <c r="T76"/>
      <c r="U76"/>
      <c r="V76"/>
      <c r="W76"/>
      <c r="X76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</row>
    <row r="77" spans="1:36" ht="7.5" customHeight="1" x14ac:dyDescent="0.3">
      <c r="A77" s="110"/>
      <c r="B77" s="110"/>
      <c r="C77" s="110"/>
      <c r="D77" s="121"/>
      <c r="E77" s="121"/>
      <c r="F77" s="121"/>
      <c r="G77" s="121"/>
      <c r="H77" s="99"/>
      <c r="I77" s="99"/>
      <c r="J77" s="99"/>
      <c r="K77" s="99"/>
      <c r="L77"/>
      <c r="M77"/>
      <c r="N77"/>
      <c r="O77"/>
      <c r="P77"/>
      <c r="Q77"/>
      <c r="R77"/>
      <c r="S77"/>
      <c r="T77"/>
      <c r="U77"/>
      <c r="V77"/>
      <c r="W77"/>
      <c r="X77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</row>
    <row r="78" spans="1:36" s="30" customFormat="1" ht="12" customHeight="1" x14ac:dyDescent="0.2">
      <c r="A78" s="101" t="s">
        <v>187</v>
      </c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</row>
    <row r="79" spans="1:36" s="30" customFormat="1" ht="12" customHeight="1" x14ac:dyDescent="0.25">
      <c r="A79" s="196" t="s">
        <v>257</v>
      </c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  <c r="AA79" s="196"/>
      <c r="AB79" s="196"/>
      <c r="AC79" s="196"/>
      <c r="AD79" s="196"/>
      <c r="AE79" s="196"/>
      <c r="AF79" s="196"/>
      <c r="AG79" s="196"/>
      <c r="AH79" s="196"/>
      <c r="AI79" s="196"/>
      <c r="AJ79" s="196"/>
    </row>
    <row r="80" spans="1:36" s="33" customFormat="1" ht="8.25" customHeight="1" x14ac:dyDescent="0.15">
      <c r="A80" s="198" t="s">
        <v>188</v>
      </c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  <c r="AA80" s="199"/>
      <c r="AB80" s="199"/>
      <c r="AC80" s="199"/>
      <c r="AD80" s="199"/>
      <c r="AE80" s="199"/>
      <c r="AF80" s="199"/>
      <c r="AG80" s="199"/>
      <c r="AH80" s="199"/>
      <c r="AI80" s="199"/>
      <c r="AJ80" s="199"/>
    </row>
    <row r="81" spans="1:36" s="30" customFormat="1" ht="12" customHeight="1" x14ac:dyDescent="0.25">
      <c r="A81" s="200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  <c r="AA81" s="200"/>
      <c r="AB81" s="200"/>
      <c r="AC81" s="200"/>
      <c r="AD81" s="200"/>
      <c r="AE81" s="200"/>
      <c r="AF81" s="200"/>
      <c r="AG81" s="200"/>
      <c r="AH81" s="200"/>
      <c r="AI81" s="200"/>
      <c r="AJ81" s="200"/>
    </row>
    <row r="82" spans="1:36" s="33" customFormat="1" ht="8.25" customHeight="1" x14ac:dyDescent="0.15">
      <c r="A82" s="198" t="s">
        <v>189</v>
      </c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  <c r="AA82" s="199"/>
      <c r="AB82" s="199"/>
      <c r="AC82" s="199"/>
      <c r="AD82" s="199"/>
      <c r="AE82" s="199"/>
      <c r="AF82" s="199"/>
      <c r="AG82" s="199"/>
      <c r="AH82" s="199"/>
      <c r="AI82" s="199"/>
      <c r="AJ82" s="199"/>
    </row>
    <row r="83" spans="1:36" s="30" customFormat="1" ht="12" customHeight="1" x14ac:dyDescent="0.2">
      <c r="A83" s="101" t="s">
        <v>190</v>
      </c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</row>
    <row r="84" spans="1:36" s="30" customFormat="1" ht="12" customHeight="1" x14ac:dyDescent="0.25">
      <c r="A84" s="200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  <c r="AA84" s="200"/>
      <c r="AB84" s="200"/>
      <c r="AC84" s="200"/>
      <c r="AD84" s="200"/>
      <c r="AE84" s="200"/>
      <c r="AF84" s="200"/>
      <c r="AG84" s="200"/>
      <c r="AH84" s="200"/>
      <c r="AI84" s="200"/>
      <c r="AJ84" s="200"/>
    </row>
    <row r="85" spans="1:36" s="33" customFormat="1" ht="9" customHeight="1" x14ac:dyDescent="0.15">
      <c r="A85" s="198" t="s">
        <v>191</v>
      </c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  <c r="AA85" s="199"/>
      <c r="AB85" s="199"/>
      <c r="AC85" s="199"/>
      <c r="AD85" s="199"/>
      <c r="AE85" s="199"/>
      <c r="AF85" s="199"/>
      <c r="AG85" s="199"/>
      <c r="AH85" s="199"/>
      <c r="AI85" s="199"/>
      <c r="AJ85" s="199"/>
    </row>
    <row r="86" spans="1:36" s="30" customFormat="1" ht="12" customHeight="1" x14ac:dyDescent="0.25">
      <c r="A86" s="101" t="s">
        <v>192</v>
      </c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  <c r="AA86" s="200"/>
      <c r="AB86" s="200"/>
      <c r="AC86" s="200"/>
      <c r="AD86" s="200"/>
      <c r="AE86" s="200"/>
      <c r="AF86" s="200"/>
      <c r="AG86" s="200"/>
      <c r="AH86" s="200"/>
      <c r="AI86" s="200"/>
      <c r="AJ86" s="200"/>
    </row>
    <row r="87" spans="1:36" ht="6" customHeight="1" x14ac:dyDescent="0.25">
      <c r="A87" s="99"/>
      <c r="B87" s="99"/>
      <c r="C87" s="99"/>
      <c r="D87" s="122"/>
      <c r="E87" s="122"/>
      <c r="F87" s="122"/>
      <c r="G87" s="122"/>
      <c r="H87" s="122"/>
      <c r="I87" s="122"/>
      <c r="J87" s="122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</row>
    <row r="88" spans="1:36" s="30" customFormat="1" ht="12" customHeight="1" x14ac:dyDescent="0.25">
      <c r="A88" s="101" t="s">
        <v>193</v>
      </c>
      <c r="B88" s="101"/>
      <c r="C88" s="101"/>
      <c r="D88" s="101"/>
      <c r="E88" s="101"/>
      <c r="F88" s="101"/>
      <c r="G88" s="101"/>
      <c r="H88" s="200"/>
      <c r="I88" s="200"/>
      <c r="J88" s="101" t="s">
        <v>194</v>
      </c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</row>
    <row r="89" spans="1:36" ht="4.5" customHeight="1" x14ac:dyDescent="0.25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</row>
    <row r="90" spans="1:36" s="30" customFormat="1" ht="12" customHeight="1" x14ac:dyDescent="0.2">
      <c r="A90" s="101" t="s">
        <v>195</v>
      </c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</row>
    <row r="91" spans="1:36" s="30" customFormat="1" ht="12" customHeight="1" x14ac:dyDescent="0.25">
      <c r="A91" s="42" t="s">
        <v>196</v>
      </c>
      <c r="B91" s="196" t="s">
        <v>211</v>
      </c>
      <c r="C91" s="196"/>
      <c r="D91" s="196"/>
      <c r="E91" s="196"/>
      <c r="F91" s="196"/>
      <c r="G91" s="196"/>
      <c r="H91" s="196"/>
      <c r="I91" s="200">
        <f>M32</f>
        <v>1</v>
      </c>
      <c r="J91" s="200"/>
      <c r="K91" s="43"/>
      <c r="L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</row>
    <row r="92" spans="1:36" s="30" customFormat="1" ht="12" customHeight="1" x14ac:dyDescent="0.25">
      <c r="A92" s="42" t="s">
        <v>213</v>
      </c>
      <c r="B92" s="123" t="s">
        <v>212</v>
      </c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42"/>
      <c r="P92" s="43"/>
      <c r="R92" s="201">
        <f>I91</f>
        <v>1</v>
      </c>
      <c r="S92" s="201"/>
      <c r="T92" s="42"/>
      <c r="U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</row>
    <row r="93" spans="1:36" s="30" customFormat="1" ht="12" customHeight="1" x14ac:dyDescent="0.25">
      <c r="A93" s="40" t="s">
        <v>214</v>
      </c>
      <c r="B93" s="123" t="s">
        <v>224</v>
      </c>
      <c r="C93" s="123"/>
      <c r="D93" s="123"/>
      <c r="E93" s="123"/>
      <c r="F93" s="123"/>
      <c r="G93" s="123"/>
      <c r="H93" s="123"/>
      <c r="I93" s="123"/>
      <c r="J93" s="201">
        <f>I91</f>
        <v>1</v>
      </c>
      <c r="K93" s="201"/>
      <c r="L93" s="43"/>
      <c r="M93" s="42"/>
      <c r="N93" s="130"/>
      <c r="O93" s="40"/>
      <c r="P93" s="41"/>
      <c r="Q93" s="40"/>
      <c r="T93" s="40"/>
      <c r="U93" s="41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</row>
    <row r="94" spans="1:36" s="30" customFormat="1" ht="12" customHeight="1" x14ac:dyDescent="0.25">
      <c r="A94" s="40" t="s">
        <v>215</v>
      </c>
      <c r="B94" s="123" t="s">
        <v>210</v>
      </c>
      <c r="C94" s="123"/>
      <c r="D94" s="123"/>
      <c r="E94" s="123"/>
      <c r="F94" s="123"/>
      <c r="G94" s="123"/>
      <c r="H94" s="123"/>
      <c r="I94" s="123"/>
      <c r="J94" s="123"/>
      <c r="K94" s="123">
        <f>I91</f>
        <v>1</v>
      </c>
      <c r="L94" s="43"/>
      <c r="M94" s="42"/>
      <c r="P94" s="41"/>
      <c r="Q94" s="40"/>
      <c r="R94" s="41"/>
      <c r="S94" s="41"/>
      <c r="T94" s="40"/>
      <c r="U94" s="41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</row>
    <row r="95" spans="1:36" s="30" customFormat="1" ht="12" customHeight="1" x14ac:dyDescent="0.25">
      <c r="A95" s="40" t="s">
        <v>216</v>
      </c>
      <c r="B95" s="123" t="s">
        <v>267</v>
      </c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40"/>
      <c r="P95" s="41"/>
      <c r="Q95" s="42"/>
      <c r="R95" s="41"/>
      <c r="S95" s="41"/>
      <c r="T95" s="40"/>
      <c r="U95" s="41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</row>
    <row r="96" spans="1:36" s="30" customFormat="1" ht="12" customHeight="1" x14ac:dyDescent="0.25">
      <c r="A96" s="40" t="s">
        <v>217</v>
      </c>
      <c r="B96" s="123" t="s">
        <v>225</v>
      </c>
      <c r="C96" s="123"/>
      <c r="D96" s="123"/>
      <c r="E96" s="123"/>
      <c r="F96" s="123"/>
      <c r="G96" s="123"/>
      <c r="H96" s="123"/>
      <c r="I96" s="123"/>
      <c r="J96" s="123"/>
      <c r="K96" s="42"/>
      <c r="L96" s="123"/>
      <c r="M96" s="123"/>
      <c r="N96" s="123"/>
      <c r="O96" s="40"/>
      <c r="P96" s="41"/>
      <c r="Q96" s="40"/>
      <c r="R96" s="41"/>
      <c r="S96" s="41"/>
      <c r="T96" s="40"/>
      <c r="U96" s="41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</row>
    <row r="97" spans="1:36" s="30" customFormat="1" ht="12" customHeight="1" x14ac:dyDescent="0.25">
      <c r="A97" s="40" t="s">
        <v>218</v>
      </c>
      <c r="B97" s="123" t="s">
        <v>226</v>
      </c>
      <c r="C97" s="123"/>
      <c r="D97" s="123"/>
      <c r="E97" s="123"/>
      <c r="F97" s="123"/>
      <c r="G97" s="123"/>
      <c r="H97" s="123"/>
      <c r="I97" s="123"/>
      <c r="J97" s="42"/>
      <c r="K97" s="123"/>
      <c r="L97" s="123"/>
      <c r="M97" s="123"/>
      <c r="N97" s="123"/>
      <c r="O97" s="40"/>
      <c r="P97" s="41"/>
      <c r="Q97" s="40"/>
      <c r="R97" s="41"/>
      <c r="S97" s="41"/>
      <c r="T97" s="40"/>
      <c r="U97" s="41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</row>
    <row r="98" spans="1:36" s="30" customFormat="1" ht="12" customHeight="1" x14ac:dyDescent="0.25">
      <c r="A98" s="40" t="s">
        <v>219</v>
      </c>
      <c r="B98" s="123" t="s">
        <v>268</v>
      </c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42"/>
      <c r="N98" s="123"/>
      <c r="O98" s="40"/>
      <c r="P98" s="41"/>
      <c r="Q98" s="40"/>
      <c r="R98" s="41"/>
      <c r="S98" s="41"/>
      <c r="T98" s="40"/>
      <c r="U98" s="41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</row>
    <row r="99" spans="1:36" s="30" customFormat="1" ht="12" customHeight="1" x14ac:dyDescent="0.25">
      <c r="A99" s="40" t="s">
        <v>220</v>
      </c>
      <c r="B99" s="123" t="s">
        <v>269</v>
      </c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42"/>
      <c r="N99" s="124"/>
      <c r="O99" s="44"/>
      <c r="P99" s="45"/>
      <c r="Q99" s="44"/>
      <c r="R99" s="45"/>
      <c r="S99" s="45"/>
      <c r="T99" s="44"/>
      <c r="U99" s="45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</row>
    <row r="100" spans="1:36" s="30" customFormat="1" ht="12" customHeight="1" x14ac:dyDescent="0.25">
      <c r="A100" s="42" t="s">
        <v>221</v>
      </c>
      <c r="B100" s="123" t="s">
        <v>227</v>
      </c>
      <c r="C100" s="130"/>
      <c r="D100" s="123"/>
      <c r="E100" s="104"/>
      <c r="F100" s="104"/>
      <c r="G100" s="104"/>
      <c r="H100" s="104"/>
      <c r="I100" s="104"/>
      <c r="J100" s="104"/>
      <c r="K100" s="42"/>
      <c r="L100" s="130"/>
      <c r="M100" s="104"/>
      <c r="N100" s="104"/>
      <c r="O100" s="42"/>
      <c r="P100" s="43"/>
      <c r="Q100" s="42"/>
      <c r="R100" s="43"/>
      <c r="S100" s="43"/>
      <c r="T100" s="42"/>
      <c r="U100" s="43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</row>
    <row r="101" spans="1:36" s="30" customFormat="1" ht="12" customHeight="1" x14ac:dyDescent="0.25">
      <c r="A101" s="42" t="s">
        <v>222</v>
      </c>
      <c r="B101" s="104" t="s">
        <v>270</v>
      </c>
      <c r="C101" s="130"/>
      <c r="D101" s="104"/>
      <c r="E101" s="104"/>
      <c r="F101" s="104"/>
      <c r="G101" s="104"/>
      <c r="H101" s="104"/>
      <c r="I101" s="104"/>
      <c r="J101" s="104"/>
      <c r="K101" s="104"/>
      <c r="L101" s="42"/>
      <c r="M101" s="104"/>
      <c r="N101" s="104"/>
      <c r="O101" s="42"/>
      <c r="P101" s="128"/>
      <c r="Q101" s="42"/>
      <c r="R101" s="128"/>
      <c r="S101" s="128"/>
      <c r="T101" s="42"/>
      <c r="U101" s="128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</row>
    <row r="102" spans="1:36" s="30" customFormat="1" ht="12" customHeight="1" x14ac:dyDescent="0.25">
      <c r="A102" s="40" t="s">
        <v>223</v>
      </c>
      <c r="B102" s="104" t="s">
        <v>228</v>
      </c>
      <c r="C102" s="130"/>
      <c r="D102" s="104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40"/>
      <c r="P102" s="41"/>
      <c r="Q102" s="42"/>
      <c r="R102" s="41"/>
      <c r="S102" s="41"/>
      <c r="T102" s="40"/>
      <c r="U102" s="41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</row>
    <row r="103" spans="1:36" s="30" customFormat="1" ht="12" customHeight="1" x14ac:dyDescent="0.25">
      <c r="A103" s="40" t="s">
        <v>271</v>
      </c>
      <c r="B103" s="123" t="s">
        <v>229</v>
      </c>
      <c r="C103" s="130"/>
      <c r="D103" s="123"/>
      <c r="E103" s="123"/>
      <c r="F103" s="123"/>
      <c r="G103" s="123"/>
      <c r="H103" s="123"/>
      <c r="I103" s="123"/>
      <c r="J103" s="123"/>
      <c r="K103" s="123"/>
      <c r="L103" s="123"/>
      <c r="M103" s="42"/>
      <c r="N103" s="123"/>
      <c r="O103" s="40"/>
      <c r="P103" s="41"/>
      <c r="Q103" s="40"/>
      <c r="R103" s="41"/>
      <c r="S103" s="41"/>
      <c r="T103" s="40"/>
      <c r="U103" s="41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</row>
    <row r="104" spans="1:36" s="33" customFormat="1" ht="9.75" customHeight="1" x14ac:dyDescent="0.15">
      <c r="A104" s="191" t="s">
        <v>198</v>
      </c>
      <c r="B104" s="1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</row>
    <row r="105" spans="1:36" ht="6.75" customHeight="1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</row>
    <row r="106" spans="1:36" s="30" customFormat="1" ht="12" customHeight="1" x14ac:dyDescent="0.2">
      <c r="A106" s="30" t="s">
        <v>199</v>
      </c>
    </row>
    <row r="107" spans="1:36" s="30" customFormat="1" ht="12" customHeight="1" x14ac:dyDescent="0.2">
      <c r="A107" s="30" t="s">
        <v>200</v>
      </c>
    </row>
    <row r="108" spans="1:36" s="30" customFormat="1" ht="12" customHeight="1" x14ac:dyDescent="0.25">
      <c r="A108" s="188" t="str">
        <f>'Данные '!B27</f>
        <v>Алексанян Г.Р.</v>
      </c>
      <c r="B108" s="188"/>
      <c r="C108" s="188"/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188"/>
      <c r="AC108" s="188"/>
      <c r="AD108" s="188"/>
      <c r="AE108" s="188"/>
      <c r="AF108" s="188"/>
      <c r="AG108" s="188"/>
      <c r="AH108" s="188"/>
      <c r="AI108" s="188"/>
      <c r="AJ108" s="188"/>
    </row>
    <row r="109" spans="1:36" s="33" customFormat="1" ht="9" customHeight="1" x14ac:dyDescent="0.15">
      <c r="A109" s="189" t="s">
        <v>201</v>
      </c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39"/>
      <c r="Q109" s="39"/>
      <c r="R109" s="39"/>
      <c r="S109" s="39"/>
      <c r="T109" s="39"/>
      <c r="U109" s="36"/>
      <c r="V109" s="36"/>
      <c r="W109" s="36"/>
      <c r="X109" s="36"/>
      <c r="Y109" s="36"/>
      <c r="Z109" s="36"/>
      <c r="AA109" s="36"/>
      <c r="AB109" s="190" t="s">
        <v>48</v>
      </c>
      <c r="AC109" s="190"/>
      <c r="AD109" s="190"/>
      <c r="AE109" s="190"/>
      <c r="AF109" s="190"/>
      <c r="AG109" s="190"/>
      <c r="AH109" s="190"/>
      <c r="AI109" s="190"/>
      <c r="AJ109" s="190"/>
    </row>
    <row r="110" spans="1:36" s="30" customFormat="1" ht="12" customHeight="1" x14ac:dyDescent="0.2">
      <c r="A110" s="30" t="s">
        <v>164</v>
      </c>
    </row>
    <row r="111" spans="1:36" s="30" customFormat="1" ht="12" customHeight="1" x14ac:dyDescent="0.25">
      <c r="A111" s="188" t="str">
        <f>'Данные '!B11</f>
        <v>Волков М.Ю.</v>
      </c>
      <c r="B111" s="188"/>
      <c r="C111" s="188"/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188"/>
      <c r="AC111" s="188"/>
      <c r="AD111" s="188"/>
      <c r="AE111" s="188"/>
      <c r="AF111" s="188"/>
      <c r="AG111" s="188"/>
      <c r="AH111" s="188"/>
      <c r="AI111" s="188"/>
      <c r="AJ111" s="188"/>
    </row>
    <row r="112" spans="1:36" s="33" customFormat="1" ht="9" customHeight="1" x14ac:dyDescent="0.15">
      <c r="A112" s="189" t="s">
        <v>201</v>
      </c>
      <c r="B112" s="189"/>
      <c r="C112" s="189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  <c r="N112" s="189"/>
      <c r="O112" s="189"/>
      <c r="P112" s="39"/>
      <c r="Q112" s="39"/>
      <c r="R112" s="39"/>
      <c r="S112" s="39"/>
      <c r="T112" s="39"/>
      <c r="U112" s="36"/>
      <c r="V112" s="36"/>
      <c r="W112" s="36"/>
      <c r="X112" s="36"/>
      <c r="Y112" s="36"/>
      <c r="Z112" s="36"/>
      <c r="AA112" s="36"/>
      <c r="AB112" s="190" t="s">
        <v>48</v>
      </c>
      <c r="AC112" s="190"/>
      <c r="AD112" s="190"/>
      <c r="AE112" s="190"/>
      <c r="AF112" s="190"/>
      <c r="AG112" s="190"/>
      <c r="AH112" s="190"/>
      <c r="AI112" s="190"/>
      <c r="AJ112" s="190"/>
    </row>
    <row r="113" spans="1:36" s="30" customFormat="1" ht="12" customHeight="1" x14ac:dyDescent="0.2">
      <c r="A113" s="30" t="s">
        <v>202</v>
      </c>
    </row>
    <row r="114" spans="1:36" s="30" customFormat="1" ht="12" customHeight="1" x14ac:dyDescent="0.2">
      <c r="A114" s="30" t="s">
        <v>203</v>
      </c>
    </row>
    <row r="115" spans="1:36" s="30" customFormat="1" ht="12" customHeight="1" x14ac:dyDescent="0.25">
      <c r="A115" s="188" t="str">
        <f>'Данные '!B14</f>
        <v>Русин В.А.</v>
      </c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188"/>
      <c r="AC115" s="188"/>
      <c r="AD115" s="188"/>
      <c r="AE115" s="188"/>
      <c r="AF115" s="188"/>
      <c r="AG115" s="188"/>
      <c r="AH115" s="188"/>
      <c r="AI115" s="188"/>
      <c r="AJ115" s="188"/>
    </row>
    <row r="116" spans="1:36" s="33" customFormat="1" ht="9" customHeight="1" x14ac:dyDescent="0.15">
      <c r="A116" s="189" t="s">
        <v>201</v>
      </c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39"/>
      <c r="Q116" s="39"/>
      <c r="R116" s="39"/>
      <c r="S116" s="39"/>
      <c r="T116" s="39"/>
      <c r="U116" s="36"/>
      <c r="V116" s="36"/>
      <c r="W116" s="36"/>
      <c r="X116" s="36"/>
      <c r="Y116" s="36"/>
      <c r="Z116" s="36"/>
      <c r="AA116" s="36"/>
      <c r="AB116" s="190" t="s">
        <v>48</v>
      </c>
      <c r="AC116" s="190"/>
      <c r="AD116" s="190"/>
      <c r="AE116" s="190"/>
      <c r="AF116" s="190"/>
      <c r="AG116" s="190"/>
      <c r="AH116" s="190"/>
      <c r="AI116" s="190"/>
      <c r="AJ116" s="190"/>
    </row>
    <row r="117" spans="1:36" s="30" customFormat="1" ht="38.25" customHeight="1" x14ac:dyDescent="0.2">
      <c r="A117" s="197" t="s">
        <v>168</v>
      </c>
      <c r="B117" s="197"/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</row>
    <row r="118" spans="1:36" s="30" customFormat="1" ht="12" customHeight="1" x14ac:dyDescent="0.25">
      <c r="A118" s="188"/>
      <c r="B118" s="188"/>
      <c r="C118" s="188"/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188"/>
      <c r="AC118" s="188"/>
      <c r="AD118" s="188"/>
      <c r="AE118" s="188"/>
      <c r="AF118" s="188"/>
      <c r="AG118" s="188"/>
      <c r="AH118" s="188"/>
      <c r="AI118" s="188"/>
      <c r="AJ118" s="188"/>
    </row>
    <row r="119" spans="1:36" s="33" customFormat="1" ht="9" customHeight="1" x14ac:dyDescent="0.15">
      <c r="A119" s="189" t="s">
        <v>201</v>
      </c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  <c r="N119" s="189"/>
      <c r="O119" s="189"/>
      <c r="P119" s="39"/>
      <c r="Q119" s="39"/>
      <c r="R119" s="39"/>
      <c r="S119" s="39"/>
      <c r="T119" s="39"/>
      <c r="U119" s="36"/>
      <c r="V119" s="36"/>
      <c r="W119" s="36"/>
      <c r="X119" s="36"/>
      <c r="Y119" s="36"/>
      <c r="Z119" s="36"/>
      <c r="AA119" s="36"/>
      <c r="AB119" s="190" t="s">
        <v>48</v>
      </c>
      <c r="AC119" s="190"/>
      <c r="AD119" s="190"/>
      <c r="AE119" s="190"/>
      <c r="AF119" s="190"/>
      <c r="AG119" s="190"/>
      <c r="AH119" s="190"/>
      <c r="AI119" s="190"/>
      <c r="AJ119" s="190"/>
    </row>
    <row r="120" spans="1:36" s="30" customFormat="1" ht="24.75" customHeight="1" x14ac:dyDescent="0.2">
      <c r="A120" s="197" t="s">
        <v>170</v>
      </c>
      <c r="B120" s="197"/>
      <c r="C120" s="197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</row>
    <row r="121" spans="1:36" s="30" customFormat="1" ht="12" customHeight="1" x14ac:dyDescent="0.25">
      <c r="A121" s="188" t="str">
        <f>'Данные '!B19</f>
        <v>Сигарев А.А.</v>
      </c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188"/>
      <c r="AC121" s="188"/>
      <c r="AD121" s="188"/>
      <c r="AE121" s="188"/>
      <c r="AF121" s="188"/>
      <c r="AG121" s="188"/>
      <c r="AH121" s="188"/>
      <c r="AI121" s="188"/>
      <c r="AJ121" s="188"/>
    </row>
    <row r="122" spans="1:36" s="33" customFormat="1" ht="9" customHeight="1" x14ac:dyDescent="0.15">
      <c r="A122" s="189" t="s">
        <v>201</v>
      </c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39"/>
      <c r="Q122" s="39"/>
      <c r="R122" s="39"/>
      <c r="S122" s="39"/>
      <c r="T122" s="39"/>
      <c r="U122" s="36"/>
      <c r="V122" s="36"/>
      <c r="W122" s="36"/>
      <c r="X122" s="36"/>
      <c r="Y122" s="36"/>
      <c r="Z122" s="36"/>
      <c r="AA122" s="36"/>
      <c r="AB122" s="190" t="s">
        <v>48</v>
      </c>
      <c r="AC122" s="190"/>
      <c r="AD122" s="190"/>
      <c r="AE122" s="190"/>
      <c r="AF122" s="190"/>
      <c r="AG122" s="190"/>
      <c r="AH122" s="190"/>
      <c r="AI122" s="190"/>
      <c r="AJ122" s="190"/>
    </row>
    <row r="123" spans="1:36" ht="12" customHeight="1" x14ac:dyDescent="0.25"/>
  </sheetData>
  <mergeCells count="97">
    <mergeCell ref="A7:AJ7"/>
    <mergeCell ref="A20:AJ20"/>
    <mergeCell ref="A4:AJ4"/>
    <mergeCell ref="A5:AJ5"/>
    <mergeCell ref="A6:AJ6"/>
    <mergeCell ref="A8:AJ8"/>
    <mergeCell ref="A9:AJ9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A17:AJ17"/>
    <mergeCell ref="A18:AJ18"/>
    <mergeCell ref="A19:AJ19"/>
    <mergeCell ref="A35:AJ35"/>
    <mergeCell ref="A36:AJ36"/>
    <mergeCell ref="A24:AJ24"/>
    <mergeCell ref="A25:AJ25"/>
    <mergeCell ref="A26:AJ26"/>
    <mergeCell ref="A27:AJ27"/>
    <mergeCell ref="A29:AJ29"/>
    <mergeCell ref="A30:AJ30"/>
    <mergeCell ref="Z32:AD32"/>
    <mergeCell ref="A49:AJ49"/>
    <mergeCell ref="A37:AJ37"/>
    <mergeCell ref="A38:AJ38"/>
    <mergeCell ref="A39:AJ39"/>
    <mergeCell ref="A41:AJ41"/>
    <mergeCell ref="A42:AJ42"/>
    <mergeCell ref="A43:AJ43"/>
    <mergeCell ref="A44:AJ44"/>
    <mergeCell ref="A45:AJ45"/>
    <mergeCell ref="A46:AJ46"/>
    <mergeCell ref="A47:AJ47"/>
    <mergeCell ref="A48:AJ48"/>
    <mergeCell ref="A68:AJ68"/>
    <mergeCell ref="P70:R70"/>
    <mergeCell ref="A60:AJ60"/>
    <mergeCell ref="A62:AJ62"/>
    <mergeCell ref="A63:AJ63"/>
    <mergeCell ref="A50:AJ50"/>
    <mergeCell ref="A51:AJ51"/>
    <mergeCell ref="A52:AJ52"/>
    <mergeCell ref="A53:AJ53"/>
    <mergeCell ref="A55:AJ55"/>
    <mergeCell ref="B91:H91"/>
    <mergeCell ref="I91:J91"/>
    <mergeCell ref="R92:S92"/>
    <mergeCell ref="J93:K93"/>
    <mergeCell ref="A56:AJ56"/>
    <mergeCell ref="N67:Q67"/>
    <mergeCell ref="A79:AJ79"/>
    <mergeCell ref="A80:AJ80"/>
    <mergeCell ref="A81:AJ81"/>
    <mergeCell ref="A71:B71"/>
    <mergeCell ref="G71:AJ71"/>
    <mergeCell ref="A72:AJ72"/>
    <mergeCell ref="A73:AJ73"/>
    <mergeCell ref="M76:P76"/>
    <mergeCell ref="M75:P75"/>
    <mergeCell ref="A66:AJ66"/>
    <mergeCell ref="A82:AJ82"/>
    <mergeCell ref="A84:AJ84"/>
    <mergeCell ref="A85:AJ85"/>
    <mergeCell ref="L86:AJ86"/>
    <mergeCell ref="H88:I88"/>
    <mergeCell ref="A121:O121"/>
    <mergeCell ref="AB121:AJ121"/>
    <mergeCell ref="A122:O122"/>
    <mergeCell ref="AB122:AJ122"/>
    <mergeCell ref="M32:N32"/>
    <mergeCell ref="M59:O59"/>
    <mergeCell ref="U59:AJ59"/>
    <mergeCell ref="G70:O70"/>
    <mergeCell ref="A117:AJ117"/>
    <mergeCell ref="A118:O118"/>
    <mergeCell ref="AB118:AJ118"/>
    <mergeCell ref="A119:O119"/>
    <mergeCell ref="AB119:AJ119"/>
    <mergeCell ref="A120:AJ120"/>
    <mergeCell ref="A112:O112"/>
    <mergeCell ref="AB112:AJ112"/>
    <mergeCell ref="A115:O115"/>
    <mergeCell ref="AB115:AJ115"/>
    <mergeCell ref="A116:O116"/>
    <mergeCell ref="AB116:AJ116"/>
    <mergeCell ref="A104:AJ104"/>
    <mergeCell ref="A108:O108"/>
    <mergeCell ref="AB108:AJ108"/>
    <mergeCell ref="A109:O109"/>
    <mergeCell ref="AB109:AJ109"/>
    <mergeCell ref="A111:O111"/>
    <mergeCell ref="AB111:AJ111"/>
  </mergeCells>
  <pageMargins left="0.78740157480314965" right="0.27559055118110237" top="0.39370078740157483" bottom="0.39370078740157483" header="0" footer="0"/>
  <pageSetup paperSize="9" scale="94" fitToHeight="3" orientation="portrait" r:id="rId1"/>
  <headerFooter alignWithMargins="0"/>
  <rowBreaks count="1" manualBreakCount="1">
    <brk id="53" max="3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view="pageBreakPreview" topLeftCell="A4" zoomScale="90" zoomScaleNormal="100" zoomScaleSheetLayoutView="90" workbookViewId="0">
      <selection activeCell="O13" sqref="O13"/>
    </sheetView>
  </sheetViews>
  <sheetFormatPr defaultRowHeight="14.4" x14ac:dyDescent="0.3"/>
  <cols>
    <col min="1" max="1" width="15.6640625" customWidth="1"/>
    <col min="2" max="2" width="12.88671875"/>
    <col min="3" max="3" width="15.33203125"/>
    <col min="4" max="4" width="25.88671875" customWidth="1"/>
    <col min="5" max="5" width="25.6640625"/>
  </cols>
  <sheetData>
    <row r="1" spans="1:5" x14ac:dyDescent="0.3">
      <c r="A1" s="234" t="s">
        <v>8</v>
      </c>
      <c r="B1" s="235"/>
      <c r="C1" s="235"/>
      <c r="D1" s="235"/>
      <c r="E1" s="235"/>
    </row>
    <row r="2" spans="1:5" x14ac:dyDescent="0.3">
      <c r="A2" s="234" t="s">
        <v>9</v>
      </c>
      <c r="B2" s="235"/>
      <c r="C2" s="235"/>
      <c r="D2" s="235"/>
      <c r="E2" s="235"/>
    </row>
    <row r="4" spans="1:5" ht="30" customHeight="1" x14ac:dyDescent="0.3">
      <c r="A4" s="236" t="s">
        <v>266</v>
      </c>
      <c r="B4" s="235"/>
      <c r="C4" s="235"/>
      <c r="D4" s="235"/>
      <c r="E4" s="235"/>
    </row>
    <row r="6" spans="1:5" ht="45" customHeight="1" x14ac:dyDescent="0.3">
      <c r="A6" s="217" t="s">
        <v>3</v>
      </c>
      <c r="B6" s="217"/>
      <c r="C6" s="217"/>
      <c r="D6" s="218" t="str">
        <f>CONCATENATE('Данные '!B17,",",'Данные '!H17)</f>
        <v>ООО «КСС Регион»,Россия, 142300, Московская область, ГО Чехов, ов, ул. Полиграфистов, д. 14А, ком. 29</v>
      </c>
      <c r="E6" s="218"/>
    </row>
    <row r="7" spans="1:5" ht="93.75" customHeight="1" x14ac:dyDescent="0.3">
      <c r="A7" s="217" t="s">
        <v>4</v>
      </c>
      <c r="B7" s="217"/>
      <c r="C7" s="217"/>
      <c r="D7" s="218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E7" s="218"/>
    </row>
    <row r="8" spans="1:5" ht="48.75" customHeight="1" x14ac:dyDescent="0.3">
      <c r="A8" s="217" t="s">
        <v>5</v>
      </c>
      <c r="B8" s="217"/>
      <c r="C8" s="217"/>
      <c r="D8" s="218" t="str">
        <f>'Данные '!B3</f>
        <v>МО, Солнечногорский р-н, д. Ложки</v>
      </c>
      <c r="E8" s="218"/>
    </row>
    <row r="9" spans="1:5" ht="47.25" customHeight="1" x14ac:dyDescent="0.3">
      <c r="A9" s="217" t="s">
        <v>6</v>
      </c>
      <c r="B9" s="217"/>
      <c r="C9" s="217"/>
      <c r="D9" s="218" t="str">
        <f>'Данные '!B36</f>
        <v>ГНБ №1</v>
      </c>
      <c r="E9" s="218"/>
    </row>
    <row r="10" spans="1:5" ht="49.5" customHeight="1" x14ac:dyDescent="0.3">
      <c r="A10" s="217" t="s">
        <v>7</v>
      </c>
      <c r="B10" s="217"/>
      <c r="C10" s="217"/>
      <c r="D10" s="219" t="str">
        <f>'АОСР-1'!B67</f>
        <v>Труба F2 D160мм</v>
      </c>
      <c r="E10" s="219"/>
    </row>
    <row r="11" spans="1:5" ht="29.25" customHeight="1" x14ac:dyDescent="0.3">
      <c r="A11" s="220" t="s">
        <v>10</v>
      </c>
      <c r="B11" s="220"/>
      <c r="C11" s="220"/>
      <c r="D11" s="218" t="s">
        <v>348</v>
      </c>
      <c r="E11" s="218"/>
    </row>
    <row r="12" spans="1:5" ht="24" customHeight="1" x14ac:dyDescent="0.3">
      <c r="A12" s="220" t="s">
        <v>11</v>
      </c>
      <c r="B12" s="220"/>
      <c r="C12" s="220"/>
      <c r="D12" s="225" t="s">
        <v>352</v>
      </c>
      <c r="E12" s="225"/>
    </row>
    <row r="13" spans="1:5" ht="33.75" customHeight="1" x14ac:dyDescent="0.3">
      <c r="A13" s="220" t="s">
        <v>12</v>
      </c>
      <c r="B13" s="220"/>
      <c r="C13" s="220"/>
      <c r="D13" s="218" t="s">
        <v>248</v>
      </c>
      <c r="E13" s="218"/>
    </row>
    <row r="14" spans="1:5" ht="32.25" customHeight="1" x14ac:dyDescent="0.3">
      <c r="A14" s="220" t="s">
        <v>13</v>
      </c>
      <c r="B14" s="220"/>
      <c r="C14" s="220"/>
      <c r="D14" s="218" t="s">
        <v>272</v>
      </c>
      <c r="E14" s="218"/>
    </row>
    <row r="15" spans="1:5" ht="30" customHeight="1" x14ac:dyDescent="0.3">
      <c r="A15" s="220" t="s">
        <v>14</v>
      </c>
      <c r="B15" s="220"/>
      <c r="C15" s="220"/>
      <c r="D15" s="218" t="s">
        <v>272</v>
      </c>
      <c r="E15" s="218"/>
    </row>
    <row r="16" spans="1:5" x14ac:dyDescent="0.3">
      <c r="A16" s="3"/>
      <c r="B16" s="3"/>
      <c r="C16" s="3"/>
      <c r="D16" s="3"/>
      <c r="E16" s="3"/>
    </row>
    <row r="17" spans="1:5" x14ac:dyDescent="0.3">
      <c r="A17" s="237" t="s">
        <v>15</v>
      </c>
      <c r="B17" s="238"/>
      <c r="C17" s="238"/>
      <c r="D17" s="238"/>
      <c r="E17" s="238"/>
    </row>
    <row r="18" spans="1:5" x14ac:dyDescent="0.3">
      <c r="A18" s="3"/>
      <c r="B18" s="3"/>
      <c r="C18" s="3"/>
      <c r="D18" s="3"/>
      <c r="E18" s="3"/>
    </row>
    <row r="19" spans="1:5" ht="20.399999999999999" x14ac:dyDescent="0.3">
      <c r="A19" s="5" t="s">
        <v>16</v>
      </c>
      <c r="B19" s="5" t="s">
        <v>17</v>
      </c>
      <c r="C19" s="5" t="s">
        <v>18</v>
      </c>
      <c r="D19" s="5" t="s">
        <v>19</v>
      </c>
      <c r="E19" s="5" t="s">
        <v>20</v>
      </c>
    </row>
    <row r="20" spans="1:5" x14ac:dyDescent="0.3">
      <c r="A20" s="226" t="s">
        <v>346</v>
      </c>
      <c r="B20" s="227"/>
      <c r="C20" s="227"/>
      <c r="D20" s="227"/>
      <c r="E20" s="228"/>
    </row>
    <row r="21" spans="1:5" x14ac:dyDescent="0.3">
      <c r="A21" s="173">
        <v>1</v>
      </c>
      <c r="B21" s="173">
        <v>3</v>
      </c>
      <c r="C21" s="173">
        <v>-36</v>
      </c>
      <c r="D21" s="173">
        <v>301</v>
      </c>
      <c r="E21" s="173" t="s">
        <v>273</v>
      </c>
    </row>
    <row r="22" spans="1:5" x14ac:dyDescent="0.3">
      <c r="A22" s="173">
        <f>A21+1</f>
        <v>2</v>
      </c>
      <c r="B22" s="173">
        <f>B21+15</f>
        <v>18</v>
      </c>
      <c r="C22" s="173">
        <v>20</v>
      </c>
      <c r="D22" s="173">
        <v>671</v>
      </c>
      <c r="E22" s="173"/>
    </row>
    <row r="23" spans="1:5" x14ac:dyDescent="0.3">
      <c r="A23" s="173">
        <f t="shared" ref="A23:A70" si="0">A22+1</f>
        <v>3</v>
      </c>
      <c r="B23" s="173">
        <f>B22+1.35</f>
        <v>19.350000000000001</v>
      </c>
      <c r="C23" s="173">
        <v>4</v>
      </c>
      <c r="D23" s="173">
        <v>669</v>
      </c>
      <c r="E23" s="173"/>
    </row>
    <row r="24" spans="1:5" x14ac:dyDescent="0.3">
      <c r="A24" s="173">
        <f t="shared" si="0"/>
        <v>4</v>
      </c>
      <c r="B24" s="173">
        <f>B23+16.87</f>
        <v>36.22</v>
      </c>
      <c r="C24" s="173">
        <v>-1</v>
      </c>
      <c r="D24" s="173">
        <v>653</v>
      </c>
      <c r="E24" s="173"/>
    </row>
    <row r="25" spans="1:5" x14ac:dyDescent="0.3">
      <c r="A25" s="173">
        <f t="shared" si="0"/>
        <v>5</v>
      </c>
      <c r="B25" s="173">
        <f>B24+21.31</f>
        <v>57.53</v>
      </c>
      <c r="C25" s="173">
        <v>1</v>
      </c>
      <c r="D25" s="173">
        <v>653</v>
      </c>
      <c r="E25" s="173"/>
    </row>
    <row r="26" spans="1:5" x14ac:dyDescent="0.3">
      <c r="A26" s="173">
        <f t="shared" si="0"/>
        <v>6</v>
      </c>
      <c r="B26" s="173">
        <f>B25+5.26</f>
        <v>62.79</v>
      </c>
      <c r="C26" s="173">
        <v>0</v>
      </c>
      <c r="D26" s="173">
        <v>356</v>
      </c>
      <c r="E26" s="173"/>
    </row>
    <row r="27" spans="1:5" x14ac:dyDescent="0.3">
      <c r="A27" s="173">
        <f t="shared" si="0"/>
        <v>7</v>
      </c>
      <c r="B27" s="173">
        <f>B26+1.87</f>
        <v>64.66</v>
      </c>
      <c r="C27" s="173">
        <v>0</v>
      </c>
      <c r="D27" s="173">
        <v>657</v>
      </c>
      <c r="E27" s="173"/>
    </row>
    <row r="28" spans="1:5" x14ac:dyDescent="0.3">
      <c r="A28" s="173">
        <f t="shared" si="0"/>
        <v>8</v>
      </c>
      <c r="B28" s="173">
        <f>B27+9.65</f>
        <v>74.31</v>
      </c>
      <c r="C28" s="173">
        <v>0</v>
      </c>
      <c r="D28" s="173">
        <v>663</v>
      </c>
      <c r="E28" s="173"/>
    </row>
    <row r="29" spans="1:5" x14ac:dyDescent="0.3">
      <c r="A29" s="173">
        <f t="shared" si="0"/>
        <v>9</v>
      </c>
      <c r="B29" s="173">
        <f>B28+1.94</f>
        <v>76.25</v>
      </c>
      <c r="C29" s="173">
        <v>0</v>
      </c>
      <c r="D29" s="173">
        <v>664</v>
      </c>
      <c r="E29" s="173"/>
    </row>
    <row r="30" spans="1:5" x14ac:dyDescent="0.3">
      <c r="A30" s="173">
        <f t="shared" si="0"/>
        <v>10</v>
      </c>
      <c r="B30" s="173">
        <f>B29+12.06</f>
        <v>88.31</v>
      </c>
      <c r="C30" s="173">
        <v>0</v>
      </c>
      <c r="D30" s="173">
        <v>681</v>
      </c>
      <c r="E30" s="173"/>
    </row>
    <row r="31" spans="1:5" x14ac:dyDescent="0.3">
      <c r="A31" s="173">
        <f t="shared" si="0"/>
        <v>11</v>
      </c>
      <c r="B31" s="173">
        <f>B30+10.73</f>
        <v>99.04</v>
      </c>
      <c r="C31" s="173">
        <v>22</v>
      </c>
      <c r="D31" s="173">
        <v>681</v>
      </c>
      <c r="E31" s="173"/>
    </row>
    <row r="32" spans="1:5" x14ac:dyDescent="0.3">
      <c r="A32" s="173">
        <f t="shared" si="0"/>
        <v>12</v>
      </c>
      <c r="B32" s="173">
        <f>B31+7.67</f>
        <v>106.71000000000001</v>
      </c>
      <c r="C32" s="173">
        <v>24</v>
      </c>
      <c r="D32" s="173">
        <v>480</v>
      </c>
      <c r="E32" s="173"/>
    </row>
    <row r="33" spans="1:5" x14ac:dyDescent="0.3">
      <c r="A33" s="173">
        <f t="shared" si="0"/>
        <v>13</v>
      </c>
      <c r="B33" s="173">
        <f>B32+7.29</f>
        <v>114.00000000000001</v>
      </c>
      <c r="C33" s="173">
        <v>28</v>
      </c>
      <c r="D33" s="173">
        <v>190</v>
      </c>
      <c r="E33" s="173" t="s">
        <v>335</v>
      </c>
    </row>
    <row r="34" spans="1:5" x14ac:dyDescent="0.3">
      <c r="A34" s="229" t="s">
        <v>347</v>
      </c>
      <c r="B34" s="230"/>
      <c r="C34" s="230"/>
      <c r="D34" s="230"/>
      <c r="E34" s="231"/>
    </row>
    <row r="35" spans="1:5" x14ac:dyDescent="0.3">
      <c r="A35" s="173">
        <v>1</v>
      </c>
      <c r="B35" s="173">
        <v>3</v>
      </c>
      <c r="C35" s="173">
        <v>-36</v>
      </c>
      <c r="D35" s="173">
        <v>301</v>
      </c>
      <c r="E35" s="173" t="s">
        <v>273</v>
      </c>
    </row>
    <row r="36" spans="1:5" x14ac:dyDescent="0.3">
      <c r="A36" s="173">
        <f>A35+1</f>
        <v>2</v>
      </c>
      <c r="B36" s="173">
        <f>B35+15</f>
        <v>18</v>
      </c>
      <c r="C36" s="173">
        <v>20</v>
      </c>
      <c r="D36" s="173">
        <v>671</v>
      </c>
      <c r="E36" s="173"/>
    </row>
    <row r="37" spans="1:5" x14ac:dyDescent="0.3">
      <c r="A37" s="173">
        <f t="shared" si="0"/>
        <v>3</v>
      </c>
      <c r="B37" s="173">
        <f>B36+1.35</f>
        <v>19.350000000000001</v>
      </c>
      <c r="C37" s="173">
        <v>4</v>
      </c>
      <c r="D37" s="173">
        <v>669</v>
      </c>
      <c r="E37" s="173"/>
    </row>
    <row r="38" spans="1:5" x14ac:dyDescent="0.3">
      <c r="A38" s="173">
        <f t="shared" si="0"/>
        <v>4</v>
      </c>
      <c r="B38" s="173">
        <f>B37+16.87</f>
        <v>36.22</v>
      </c>
      <c r="C38" s="173">
        <v>-1</v>
      </c>
      <c r="D38" s="173">
        <v>653</v>
      </c>
      <c r="E38" s="173"/>
    </row>
    <row r="39" spans="1:5" x14ac:dyDescent="0.3">
      <c r="A39" s="173">
        <f t="shared" si="0"/>
        <v>5</v>
      </c>
      <c r="B39" s="173">
        <f>B38+21.31</f>
        <v>57.53</v>
      </c>
      <c r="C39" s="173">
        <v>1</v>
      </c>
      <c r="D39" s="173">
        <v>653</v>
      </c>
      <c r="E39" s="173"/>
    </row>
    <row r="40" spans="1:5" x14ac:dyDescent="0.3">
      <c r="A40" s="173">
        <f t="shared" si="0"/>
        <v>6</v>
      </c>
      <c r="B40" s="173">
        <f>B39+5.26</f>
        <v>62.79</v>
      </c>
      <c r="C40" s="173">
        <v>0</v>
      </c>
      <c r="D40" s="173">
        <v>356</v>
      </c>
      <c r="E40" s="173"/>
    </row>
    <row r="41" spans="1:5" x14ac:dyDescent="0.3">
      <c r="A41" s="173">
        <f t="shared" si="0"/>
        <v>7</v>
      </c>
      <c r="B41" s="173">
        <f>B40+1.87</f>
        <v>64.66</v>
      </c>
      <c r="C41" s="173">
        <v>0</v>
      </c>
      <c r="D41" s="173">
        <v>657</v>
      </c>
      <c r="E41" s="173"/>
    </row>
    <row r="42" spans="1:5" x14ac:dyDescent="0.3">
      <c r="A42" s="173">
        <f t="shared" si="0"/>
        <v>8</v>
      </c>
      <c r="B42" s="173">
        <f>B41+9.65</f>
        <v>74.31</v>
      </c>
      <c r="C42" s="173">
        <v>0</v>
      </c>
      <c r="D42" s="173">
        <v>663</v>
      </c>
      <c r="E42" s="173"/>
    </row>
    <row r="43" spans="1:5" x14ac:dyDescent="0.3">
      <c r="A43" s="173">
        <f t="shared" si="0"/>
        <v>9</v>
      </c>
      <c r="B43" s="173">
        <f>B42+1.94</f>
        <v>76.25</v>
      </c>
      <c r="C43" s="173">
        <v>0</v>
      </c>
      <c r="D43" s="173">
        <v>664</v>
      </c>
      <c r="E43" s="173"/>
    </row>
    <row r="44" spans="1:5" x14ac:dyDescent="0.3">
      <c r="A44" s="173">
        <f t="shared" si="0"/>
        <v>10</v>
      </c>
      <c r="B44" s="173">
        <f>B43+12.06</f>
        <v>88.31</v>
      </c>
      <c r="C44" s="173">
        <v>0</v>
      </c>
      <c r="D44" s="173">
        <v>681</v>
      </c>
      <c r="E44" s="173"/>
    </row>
    <row r="45" spans="1:5" x14ac:dyDescent="0.3">
      <c r="A45" s="173">
        <f t="shared" si="0"/>
        <v>11</v>
      </c>
      <c r="B45" s="173">
        <f>B44+10.73</f>
        <v>99.04</v>
      </c>
      <c r="C45" s="173">
        <v>22</v>
      </c>
      <c r="D45" s="173">
        <v>681</v>
      </c>
      <c r="E45" s="173"/>
    </row>
    <row r="46" spans="1:5" x14ac:dyDescent="0.3">
      <c r="A46" s="173">
        <f t="shared" si="0"/>
        <v>12</v>
      </c>
      <c r="B46" s="173">
        <f>B45+7.67</f>
        <v>106.71000000000001</v>
      </c>
      <c r="C46" s="173">
        <v>24</v>
      </c>
      <c r="D46" s="173">
        <v>480</v>
      </c>
      <c r="E46" s="173"/>
    </row>
    <row r="47" spans="1:5" x14ac:dyDescent="0.3">
      <c r="A47" s="173">
        <f t="shared" si="0"/>
        <v>13</v>
      </c>
      <c r="B47" s="173">
        <f>B46+7.29</f>
        <v>114.00000000000001</v>
      </c>
      <c r="C47" s="173">
        <v>28</v>
      </c>
      <c r="D47" s="173">
        <v>190</v>
      </c>
      <c r="E47" s="173" t="s">
        <v>335</v>
      </c>
    </row>
    <row r="48" spans="1:5" hidden="1" x14ac:dyDescent="0.3">
      <c r="A48" s="5">
        <f t="shared" si="0"/>
        <v>14</v>
      </c>
      <c r="B48" s="5">
        <f t="shared" ref="B48:B70" si="1">B47+3</f>
        <v>117.00000000000001</v>
      </c>
      <c r="C48" s="5">
        <v>0</v>
      </c>
      <c r="D48" s="5">
        <v>417</v>
      </c>
      <c r="E48" s="5"/>
    </row>
    <row r="49" spans="1:5" hidden="1" x14ac:dyDescent="0.3">
      <c r="A49" s="5">
        <f t="shared" si="0"/>
        <v>15</v>
      </c>
      <c r="B49" s="5">
        <f t="shared" si="1"/>
        <v>120.00000000000001</v>
      </c>
      <c r="C49" s="5">
        <v>0</v>
      </c>
      <c r="D49" s="5">
        <v>418</v>
      </c>
      <c r="E49" s="5"/>
    </row>
    <row r="50" spans="1:5" hidden="1" x14ac:dyDescent="0.3">
      <c r="A50" s="5">
        <f t="shared" si="0"/>
        <v>16</v>
      </c>
      <c r="B50" s="5">
        <f t="shared" si="1"/>
        <v>123.00000000000001</v>
      </c>
      <c r="C50" s="5">
        <v>0</v>
      </c>
      <c r="D50" s="5">
        <v>419</v>
      </c>
      <c r="E50" s="5"/>
    </row>
    <row r="51" spans="1:5" hidden="1" x14ac:dyDescent="0.3">
      <c r="A51" s="5">
        <f t="shared" si="0"/>
        <v>17</v>
      </c>
      <c r="B51" s="5">
        <f t="shared" si="1"/>
        <v>126.00000000000001</v>
      </c>
      <c r="C51" s="5">
        <v>0</v>
      </c>
      <c r="D51" s="5">
        <v>418</v>
      </c>
      <c r="E51" s="5"/>
    </row>
    <row r="52" spans="1:5" hidden="1" x14ac:dyDescent="0.3">
      <c r="A52" s="5">
        <f t="shared" si="0"/>
        <v>18</v>
      </c>
      <c r="B52" s="5">
        <f t="shared" si="1"/>
        <v>129</v>
      </c>
      <c r="C52" s="5">
        <v>0</v>
      </c>
      <c r="D52" s="5">
        <v>418</v>
      </c>
      <c r="E52" s="5"/>
    </row>
    <row r="53" spans="1:5" hidden="1" x14ac:dyDescent="0.3">
      <c r="A53" s="5">
        <f t="shared" si="0"/>
        <v>19</v>
      </c>
      <c r="B53" s="5">
        <f t="shared" si="1"/>
        <v>132</v>
      </c>
      <c r="C53" s="5">
        <v>0</v>
      </c>
      <c r="D53" s="5">
        <v>417</v>
      </c>
      <c r="E53" s="5"/>
    </row>
    <row r="54" spans="1:5" hidden="1" x14ac:dyDescent="0.3">
      <c r="A54" s="5">
        <f t="shared" si="0"/>
        <v>20</v>
      </c>
      <c r="B54" s="5">
        <f t="shared" si="1"/>
        <v>135</v>
      </c>
      <c r="C54" s="5">
        <v>0</v>
      </c>
      <c r="D54" s="5">
        <v>418</v>
      </c>
      <c r="E54" s="5"/>
    </row>
    <row r="55" spans="1:5" hidden="1" x14ac:dyDescent="0.3">
      <c r="A55" s="5">
        <f t="shared" si="0"/>
        <v>21</v>
      </c>
      <c r="B55" s="5">
        <f t="shared" si="1"/>
        <v>138</v>
      </c>
      <c r="C55" s="5">
        <v>0</v>
      </c>
      <c r="D55" s="5">
        <v>417</v>
      </c>
      <c r="E55" s="5"/>
    </row>
    <row r="56" spans="1:5" hidden="1" x14ac:dyDescent="0.3">
      <c r="A56" s="5">
        <f t="shared" si="0"/>
        <v>22</v>
      </c>
      <c r="B56" s="5">
        <f t="shared" si="1"/>
        <v>141</v>
      </c>
      <c r="C56" s="5">
        <v>0</v>
      </c>
      <c r="D56" s="5">
        <v>418</v>
      </c>
      <c r="E56" s="5"/>
    </row>
    <row r="57" spans="1:5" hidden="1" x14ac:dyDescent="0.3">
      <c r="A57" s="5">
        <f t="shared" si="0"/>
        <v>23</v>
      </c>
      <c r="B57" s="5">
        <f t="shared" si="1"/>
        <v>144</v>
      </c>
      <c r="C57" s="5">
        <v>0</v>
      </c>
      <c r="D57" s="5">
        <v>416</v>
      </c>
      <c r="E57" s="5"/>
    </row>
    <row r="58" spans="1:5" hidden="1" x14ac:dyDescent="0.3">
      <c r="A58" s="5">
        <f t="shared" si="0"/>
        <v>24</v>
      </c>
      <c r="B58" s="5">
        <f t="shared" si="1"/>
        <v>147</v>
      </c>
      <c r="C58" s="5">
        <v>0</v>
      </c>
      <c r="D58" s="5">
        <v>414</v>
      </c>
      <c r="E58" s="5"/>
    </row>
    <row r="59" spans="1:5" hidden="1" x14ac:dyDescent="0.3">
      <c r="A59" s="5">
        <f t="shared" si="0"/>
        <v>25</v>
      </c>
      <c r="B59" s="5">
        <f t="shared" si="1"/>
        <v>150</v>
      </c>
      <c r="C59" s="5">
        <v>0</v>
      </c>
      <c r="D59" s="5">
        <v>390</v>
      </c>
      <c r="E59" s="5"/>
    </row>
    <row r="60" spans="1:5" hidden="1" x14ac:dyDescent="0.3">
      <c r="A60" s="5">
        <f t="shared" si="0"/>
        <v>26</v>
      </c>
      <c r="B60" s="5">
        <f t="shared" si="1"/>
        <v>153</v>
      </c>
      <c r="C60" s="5">
        <f t="shared" ref="C60:C68" si="2">C61-3</f>
        <v>3</v>
      </c>
      <c r="D60" s="5">
        <v>354</v>
      </c>
      <c r="E60" s="5"/>
    </row>
    <row r="61" spans="1:5" hidden="1" x14ac:dyDescent="0.3">
      <c r="A61" s="5">
        <f t="shared" si="0"/>
        <v>27</v>
      </c>
      <c r="B61" s="5">
        <f t="shared" si="1"/>
        <v>156</v>
      </c>
      <c r="C61" s="5">
        <f t="shared" si="2"/>
        <v>6</v>
      </c>
      <c r="D61" s="5">
        <v>321</v>
      </c>
      <c r="E61" s="5"/>
    </row>
    <row r="62" spans="1:5" hidden="1" x14ac:dyDescent="0.3">
      <c r="A62" s="5">
        <f t="shared" si="0"/>
        <v>28</v>
      </c>
      <c r="B62" s="5">
        <f t="shared" si="1"/>
        <v>159</v>
      </c>
      <c r="C62" s="5">
        <f t="shared" si="2"/>
        <v>9</v>
      </c>
      <c r="D62" s="5">
        <v>290</v>
      </c>
      <c r="E62" s="5"/>
    </row>
    <row r="63" spans="1:5" hidden="1" x14ac:dyDescent="0.3">
      <c r="A63" s="5">
        <f t="shared" si="0"/>
        <v>29</v>
      </c>
      <c r="B63" s="5">
        <f t="shared" si="1"/>
        <v>162</v>
      </c>
      <c r="C63" s="5">
        <f t="shared" si="2"/>
        <v>12</v>
      </c>
      <c r="D63" s="5">
        <v>268</v>
      </c>
      <c r="E63" s="5"/>
    </row>
    <row r="64" spans="1:5" hidden="1" x14ac:dyDescent="0.3">
      <c r="A64" s="5">
        <f t="shared" si="0"/>
        <v>30</v>
      </c>
      <c r="B64" s="5">
        <f t="shared" si="1"/>
        <v>165</v>
      </c>
      <c r="C64" s="5">
        <f t="shared" si="2"/>
        <v>15</v>
      </c>
      <c r="D64" s="5">
        <v>221</v>
      </c>
      <c r="E64" s="5"/>
    </row>
    <row r="65" spans="1:5" hidden="1" x14ac:dyDescent="0.3">
      <c r="A65" s="5">
        <f t="shared" si="0"/>
        <v>31</v>
      </c>
      <c r="B65" s="5">
        <f t="shared" si="1"/>
        <v>168</v>
      </c>
      <c r="C65" s="5">
        <f t="shared" si="2"/>
        <v>18</v>
      </c>
      <c r="D65" s="5">
        <v>198</v>
      </c>
      <c r="E65" s="5"/>
    </row>
    <row r="66" spans="1:5" hidden="1" x14ac:dyDescent="0.3">
      <c r="A66" s="5">
        <f t="shared" si="0"/>
        <v>32</v>
      </c>
      <c r="B66" s="5">
        <f t="shared" si="1"/>
        <v>171</v>
      </c>
      <c r="C66" s="5">
        <f t="shared" si="2"/>
        <v>21</v>
      </c>
      <c r="D66" s="5">
        <v>165</v>
      </c>
      <c r="E66" s="5"/>
    </row>
    <row r="67" spans="1:5" hidden="1" x14ac:dyDescent="0.3">
      <c r="A67" s="5">
        <f t="shared" si="0"/>
        <v>33</v>
      </c>
      <c r="B67" s="5">
        <f t="shared" si="1"/>
        <v>174</v>
      </c>
      <c r="C67" s="5">
        <f t="shared" si="2"/>
        <v>24</v>
      </c>
      <c r="D67" s="5">
        <v>132</v>
      </c>
      <c r="E67" s="5"/>
    </row>
    <row r="68" spans="1:5" hidden="1" x14ac:dyDescent="0.3">
      <c r="A68" s="5">
        <f t="shared" si="0"/>
        <v>34</v>
      </c>
      <c r="B68" s="5">
        <f t="shared" si="1"/>
        <v>177</v>
      </c>
      <c r="C68" s="5">
        <f t="shared" si="2"/>
        <v>27</v>
      </c>
      <c r="D68" s="5">
        <v>111</v>
      </c>
      <c r="E68" s="5"/>
    </row>
    <row r="69" spans="1:5" hidden="1" x14ac:dyDescent="0.3">
      <c r="A69" s="5">
        <f t="shared" si="0"/>
        <v>35</v>
      </c>
      <c r="B69" s="5">
        <f t="shared" si="1"/>
        <v>180</v>
      </c>
      <c r="C69" s="5">
        <f>C70-3</f>
        <v>30</v>
      </c>
      <c r="D69" s="5">
        <v>105</v>
      </c>
      <c r="E69" s="5"/>
    </row>
    <row r="70" spans="1:5" hidden="1" x14ac:dyDescent="0.3">
      <c r="A70" s="5">
        <f t="shared" si="0"/>
        <v>36</v>
      </c>
      <c r="B70" s="5">
        <f t="shared" si="1"/>
        <v>183</v>
      </c>
      <c r="C70" s="5">
        <v>33</v>
      </c>
      <c r="D70" s="5">
        <v>96</v>
      </c>
      <c r="E70" s="5" t="s">
        <v>335</v>
      </c>
    </row>
    <row r="71" spans="1:5" ht="60.75" customHeight="1" x14ac:dyDescent="0.3">
      <c r="A71" s="239" t="s">
        <v>21</v>
      </c>
      <c r="B71" s="239"/>
      <c r="C71" s="239"/>
      <c r="D71" s="239"/>
      <c r="E71" s="239"/>
    </row>
    <row r="72" spans="1:5" x14ac:dyDescent="0.3">
      <c r="A72" s="3"/>
      <c r="B72" s="3"/>
      <c r="C72" s="3"/>
      <c r="D72" s="3"/>
      <c r="E72" s="3"/>
    </row>
    <row r="73" spans="1:5" x14ac:dyDescent="0.3">
      <c r="A73" s="223" t="s">
        <v>22</v>
      </c>
      <c r="B73" s="224"/>
      <c r="C73" s="224"/>
      <c r="D73" s="224"/>
      <c r="E73" s="224"/>
    </row>
    <row r="74" spans="1:5" x14ac:dyDescent="0.3">
      <c r="A74" s="77"/>
      <c r="B74" s="77"/>
      <c r="C74" s="77"/>
      <c r="D74" s="77"/>
      <c r="E74" s="77"/>
    </row>
    <row r="75" spans="1:5" ht="25.5" customHeight="1" x14ac:dyDescent="0.3">
      <c r="A75" s="125" t="s">
        <v>23</v>
      </c>
      <c r="B75" s="126">
        <v>2</v>
      </c>
      <c r="C75" s="125" t="s">
        <v>24</v>
      </c>
      <c r="D75" s="125"/>
      <c r="E75" s="77"/>
    </row>
    <row r="76" spans="1:5" ht="37.5" customHeight="1" x14ac:dyDescent="0.3">
      <c r="A76" s="125" t="s">
        <v>25</v>
      </c>
      <c r="B76" s="126">
        <v>500</v>
      </c>
      <c r="C76" s="125" t="s">
        <v>26</v>
      </c>
      <c r="D76" s="125"/>
      <c r="E76" s="77"/>
    </row>
    <row r="77" spans="1:5" ht="45" customHeight="1" x14ac:dyDescent="0.3">
      <c r="A77" s="125" t="s">
        <v>27</v>
      </c>
      <c r="B77" s="126" t="str">
        <f>'Данные '!B39</f>
        <v>2х(3х116)</v>
      </c>
      <c r="C77" s="125" t="s">
        <v>28</v>
      </c>
      <c r="D77" s="127" t="str">
        <f>'Данные '!B4</f>
        <v>01.12.2025</v>
      </c>
      <c r="E77" s="77"/>
    </row>
    <row r="78" spans="1:5" x14ac:dyDescent="0.3">
      <c r="A78" s="221" t="s">
        <v>0</v>
      </c>
      <c r="B78" s="221"/>
      <c r="C78" s="222"/>
      <c r="D78" s="222"/>
      <c r="E78" s="92" t="s">
        <v>249</v>
      </c>
    </row>
    <row r="79" spans="1:5" x14ac:dyDescent="0.3">
      <c r="A79" s="232" t="s">
        <v>1</v>
      </c>
      <c r="B79" s="232"/>
      <c r="C79" s="233"/>
      <c r="D79" s="233"/>
      <c r="E79" t="s">
        <v>249</v>
      </c>
    </row>
    <row r="80" spans="1:5" x14ac:dyDescent="0.3">
      <c r="A80" s="1"/>
      <c r="B80" s="1"/>
      <c r="C80" s="2"/>
      <c r="D80" s="2" t="s">
        <v>2</v>
      </c>
    </row>
  </sheetData>
  <mergeCells count="32">
    <mergeCell ref="A79:B79"/>
    <mergeCell ref="C79:D79"/>
    <mergeCell ref="A1:E1"/>
    <mergeCell ref="A2:E2"/>
    <mergeCell ref="A4:E4"/>
    <mergeCell ref="A17:E17"/>
    <mergeCell ref="A71:E71"/>
    <mergeCell ref="A6:C6"/>
    <mergeCell ref="D6:E6"/>
    <mergeCell ref="A7:C7"/>
    <mergeCell ref="D7:E7"/>
    <mergeCell ref="A8:C8"/>
    <mergeCell ref="D8:E8"/>
    <mergeCell ref="A9:C9"/>
    <mergeCell ref="A12:C12"/>
    <mergeCell ref="A13:C13"/>
    <mergeCell ref="A10:C10"/>
    <mergeCell ref="D9:E9"/>
    <mergeCell ref="D10:E10"/>
    <mergeCell ref="A11:C11"/>
    <mergeCell ref="A78:B78"/>
    <mergeCell ref="C78:D78"/>
    <mergeCell ref="A14:C14"/>
    <mergeCell ref="A15:C15"/>
    <mergeCell ref="A73:E73"/>
    <mergeCell ref="D11:E11"/>
    <mergeCell ref="D12:E12"/>
    <mergeCell ref="D13:E13"/>
    <mergeCell ref="D14:E14"/>
    <mergeCell ref="D15:E15"/>
    <mergeCell ref="A20:E20"/>
    <mergeCell ref="A34:E34"/>
  </mergeCells>
  <pageMargins left="0.90551181102362199" right="0.47244094488188976" top="0.47244094488188976" bottom="0.70866141732283461" header="0.47244094488188976" footer="0.47244094488188976"/>
  <pageSetup paperSize="9" scale="8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3594-4F80-492F-A43F-2C28766E81AA}">
  <dimension ref="A1:G37"/>
  <sheetViews>
    <sheetView view="pageBreakPreview" zoomScaleNormal="100" zoomScaleSheetLayoutView="100" workbookViewId="0">
      <selection activeCell="J8" sqref="J8"/>
    </sheetView>
  </sheetViews>
  <sheetFormatPr defaultRowHeight="14.4" x14ac:dyDescent="0.3"/>
  <cols>
    <col min="1" max="1" width="27.109375" customWidth="1"/>
    <col min="2" max="2" width="19.6640625" customWidth="1"/>
    <col min="3" max="4" width="4.33203125" customWidth="1"/>
    <col min="5" max="5" width="16.5546875" customWidth="1"/>
    <col min="6" max="6" width="5" customWidth="1"/>
    <col min="7" max="7" width="15.33203125" customWidth="1"/>
  </cols>
  <sheetData>
    <row r="1" spans="1:7" x14ac:dyDescent="0.3">
      <c r="A1" s="234" t="s">
        <v>29</v>
      </c>
      <c r="B1" s="249"/>
      <c r="C1" s="249"/>
      <c r="D1" s="249"/>
      <c r="E1" s="249"/>
      <c r="F1" s="249"/>
      <c r="G1" s="249"/>
    </row>
    <row r="2" spans="1:7" x14ac:dyDescent="0.3">
      <c r="A2" s="234" t="s">
        <v>30</v>
      </c>
      <c r="B2" s="249"/>
      <c r="C2" s="249"/>
      <c r="D2" s="249"/>
      <c r="E2" s="249"/>
      <c r="F2" s="249"/>
      <c r="G2" s="249"/>
    </row>
    <row r="3" spans="1:7" x14ac:dyDescent="0.3">
      <c r="A3" s="6"/>
      <c r="B3" s="6"/>
      <c r="C3" s="6"/>
      <c r="D3" s="6"/>
      <c r="E3" s="6"/>
      <c r="F3" s="6"/>
      <c r="G3" s="6"/>
    </row>
    <row r="4" spans="1:7" ht="79.5" customHeight="1" x14ac:dyDescent="0.3">
      <c r="A4" s="7" t="s">
        <v>31</v>
      </c>
      <c r="B4" s="250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50"/>
      <c r="D4" s="250"/>
      <c r="E4" s="250"/>
      <c r="F4" s="250"/>
      <c r="G4" s="250"/>
    </row>
    <row r="5" spans="1:7" x14ac:dyDescent="0.3">
      <c r="A5" s="7" t="s">
        <v>32</v>
      </c>
      <c r="B5" s="251" t="str">
        <f>'Данные '!B36</f>
        <v>ГНБ №1</v>
      </c>
      <c r="C5" s="251"/>
      <c r="D5" s="251"/>
      <c r="E5" s="251"/>
      <c r="F5" s="251"/>
      <c r="G5" s="251"/>
    </row>
    <row r="6" spans="1:7" x14ac:dyDescent="0.3">
      <c r="A6" s="6"/>
      <c r="B6" s="6"/>
      <c r="C6" s="6"/>
      <c r="D6" s="6"/>
      <c r="E6" s="6"/>
      <c r="F6" s="6"/>
      <c r="G6" s="6"/>
    </row>
    <row r="7" spans="1:7" ht="15.9" customHeight="1" x14ac:dyDescent="0.3">
      <c r="A7" s="8"/>
      <c r="B7" s="9" t="s">
        <v>33</v>
      </c>
      <c r="C7" s="252">
        <f>'АОСР-1'!M32</f>
        <v>1</v>
      </c>
      <c r="D7" s="252"/>
      <c r="E7" s="6"/>
      <c r="F7" s="6"/>
      <c r="G7" s="6"/>
    </row>
    <row r="8" spans="1:7" ht="31.5" customHeight="1" x14ac:dyDescent="0.3">
      <c r="A8" s="248" t="s">
        <v>34</v>
      </c>
      <c r="B8" s="249"/>
      <c r="C8" s="249"/>
      <c r="D8" s="249"/>
      <c r="E8" s="249"/>
      <c r="F8" s="249"/>
      <c r="G8" s="249"/>
    </row>
    <row r="9" spans="1:7" x14ac:dyDescent="0.3">
      <c r="A9" s="6"/>
      <c r="B9" s="6"/>
      <c r="C9" s="6"/>
      <c r="D9" s="6"/>
      <c r="E9" s="6"/>
      <c r="F9" s="6"/>
      <c r="G9" s="6"/>
    </row>
    <row r="10" spans="1:7" x14ac:dyDescent="0.3">
      <c r="A10" s="10"/>
      <c r="B10" s="11"/>
      <c r="C10" s="11"/>
      <c r="D10" s="11"/>
      <c r="E10" s="11"/>
      <c r="F10" s="242" t="str">
        <f>'Данные '!B4</f>
        <v>01.12.2025</v>
      </c>
      <c r="G10" s="242"/>
    </row>
    <row r="11" spans="1:7" x14ac:dyDescent="0.3">
      <c r="A11" s="11"/>
      <c r="B11" s="11"/>
      <c r="C11" s="11"/>
      <c r="D11" s="11"/>
      <c r="E11" s="11"/>
      <c r="F11" s="11"/>
      <c r="G11" s="11"/>
    </row>
    <row r="12" spans="1:7" ht="15.9" customHeight="1" x14ac:dyDescent="0.3">
      <c r="A12" s="240" t="s">
        <v>35</v>
      </c>
      <c r="B12" s="241"/>
      <c r="C12" s="241"/>
      <c r="D12" s="241"/>
      <c r="E12" s="241"/>
      <c r="F12" s="241"/>
      <c r="G12" s="241"/>
    </row>
    <row r="13" spans="1:7" ht="15.9" customHeight="1" x14ac:dyDescent="0.3">
      <c r="A13" s="12" t="s">
        <v>36</v>
      </c>
      <c r="B13" s="243" t="str">
        <f>CONCATENATE('Данные '!B18," ",'Данные '!B17," ",'Данные '!B19)</f>
        <v>Гл.инженер ООО «КСС Регион» Сигарев А.А.</v>
      </c>
      <c r="C13" s="243"/>
      <c r="D13" s="243"/>
      <c r="E13" s="243"/>
      <c r="F13" s="243"/>
      <c r="G13" s="243"/>
    </row>
    <row r="14" spans="1:7" ht="13.5" customHeight="1" x14ac:dyDescent="0.3">
      <c r="A14" s="12"/>
      <c r="B14" s="244" t="s">
        <v>37</v>
      </c>
      <c r="C14" s="244"/>
      <c r="D14" s="244"/>
      <c r="E14" s="244"/>
      <c r="F14" s="244"/>
      <c r="G14" s="244"/>
    </row>
    <row r="15" spans="1:7" ht="15.9" hidden="1" customHeight="1" x14ac:dyDescent="0.3">
      <c r="A15" s="12" t="s">
        <v>38</v>
      </c>
      <c r="B15" s="245" t="str">
        <f>CONCATENATE('Данные '!B20," ",'Данные '!B19," ",'Данные '!B21)</f>
        <v>- Сигарев А.А. Ефремкин Е.И.</v>
      </c>
      <c r="C15" s="245"/>
      <c r="D15" s="245"/>
      <c r="E15" s="245"/>
      <c r="F15" s="245"/>
      <c r="G15" s="245"/>
    </row>
    <row r="16" spans="1:7" ht="18" hidden="1" customHeight="1" x14ac:dyDescent="0.3">
      <c r="A16" s="12"/>
      <c r="B16" s="246" t="s">
        <v>37</v>
      </c>
      <c r="C16" s="246"/>
      <c r="D16" s="246"/>
      <c r="E16" s="246"/>
      <c r="F16" s="246"/>
      <c r="G16" s="246"/>
    </row>
    <row r="17" spans="1:7" x14ac:dyDescent="0.3">
      <c r="A17" s="12" t="s">
        <v>39</v>
      </c>
      <c r="B17" s="243" t="str">
        <f>CONCATENATE('Данные '!B10," ",'Данные '!B7," ",'Данные '!B11)</f>
        <v>Прораб ООО "Энергосистемы" Волков М.Ю.</v>
      </c>
      <c r="C17" s="243"/>
      <c r="D17" s="243"/>
      <c r="E17" s="243"/>
      <c r="F17" s="243"/>
      <c r="G17" s="243"/>
    </row>
    <row r="18" spans="1:7" ht="15" customHeight="1" x14ac:dyDescent="0.3">
      <c r="A18" s="12"/>
      <c r="B18" s="244" t="s">
        <v>37</v>
      </c>
      <c r="C18" s="244"/>
      <c r="D18" s="244"/>
      <c r="E18" s="244"/>
      <c r="F18" s="244"/>
      <c r="G18" s="244"/>
    </row>
    <row r="19" spans="1:7" x14ac:dyDescent="0.3">
      <c r="A19" s="11"/>
      <c r="B19" s="11"/>
      <c r="C19" s="11"/>
      <c r="D19" s="11"/>
      <c r="E19" s="11"/>
      <c r="F19" s="11"/>
      <c r="G19" s="11"/>
    </row>
    <row r="20" spans="1:7" ht="27.75" customHeight="1" x14ac:dyDescent="0.3">
      <c r="A20" s="247" t="s">
        <v>40</v>
      </c>
      <c r="B20" s="241"/>
      <c r="C20" s="241"/>
      <c r="D20" s="241"/>
      <c r="E20" s="241"/>
      <c r="F20" s="241"/>
      <c r="G20" s="241"/>
    </row>
    <row r="21" spans="1:7" ht="15" customHeight="1" x14ac:dyDescent="0.3">
      <c r="A21" s="10" t="s">
        <v>41</v>
      </c>
      <c r="B21" s="165" t="str">
        <f>B5</f>
        <v>ГНБ №1</v>
      </c>
      <c r="C21" s="11" t="s">
        <v>42</v>
      </c>
      <c r="D21" s="11"/>
      <c r="E21" s="11"/>
      <c r="F21" s="11"/>
      <c r="G21" s="11"/>
    </row>
    <row r="22" spans="1:7" ht="15" customHeight="1" x14ac:dyDescent="0.3">
      <c r="A22" s="13" t="s">
        <v>43</v>
      </c>
      <c r="B22" s="243" t="str">
        <f>'Данные '!B33</f>
        <v>4980-325834-217-09/24</v>
      </c>
      <c r="C22" s="243"/>
      <c r="D22" s="243"/>
      <c r="E22" s="11"/>
      <c r="F22" s="11"/>
      <c r="G22" s="11"/>
    </row>
    <row r="23" spans="1:7" ht="15" customHeight="1" x14ac:dyDescent="0.3">
      <c r="A23" s="13" t="s">
        <v>44</v>
      </c>
      <c r="B23" s="11"/>
      <c r="C23" s="11"/>
      <c r="D23" s="11"/>
      <c r="E23" s="11"/>
      <c r="F23" s="11"/>
      <c r="G23" s="11"/>
    </row>
    <row r="24" spans="1:7" x14ac:dyDescent="0.3">
      <c r="A24" s="247" t="s">
        <v>45</v>
      </c>
      <c r="B24" s="241"/>
      <c r="C24" s="241"/>
      <c r="D24" s="241"/>
      <c r="E24" s="241"/>
      <c r="F24" s="241"/>
      <c r="G24" s="241"/>
    </row>
    <row r="25" spans="1:7" ht="32.1" customHeight="1" x14ac:dyDescent="0.3">
      <c r="A25" s="11"/>
      <c r="B25" s="11"/>
      <c r="C25" s="11"/>
      <c r="D25" s="11"/>
      <c r="E25" s="11"/>
      <c r="F25" s="11"/>
      <c r="G25" s="11"/>
    </row>
    <row r="26" spans="1:7" ht="19.5" customHeight="1" x14ac:dyDescent="0.3">
      <c r="A26" s="14" t="s">
        <v>46</v>
      </c>
      <c r="B26" s="19" t="str">
        <f>'Данные '!B18</f>
        <v>Гл.инженер</v>
      </c>
      <c r="C26" s="16"/>
      <c r="D26" s="16"/>
      <c r="E26" s="15"/>
      <c r="F26" s="16"/>
      <c r="G26" s="19" t="str">
        <f>'Данные '!B19</f>
        <v>Сигарев А.А.</v>
      </c>
    </row>
    <row r="27" spans="1:7" ht="22.5" customHeight="1" x14ac:dyDescent="0.3">
      <c r="A27" s="14"/>
      <c r="B27" s="17" t="s">
        <v>47</v>
      </c>
      <c r="C27" s="18"/>
      <c r="D27" s="18"/>
      <c r="E27" s="17" t="s">
        <v>48</v>
      </c>
      <c r="F27" s="14"/>
      <c r="G27" s="17" t="s">
        <v>49</v>
      </c>
    </row>
    <row r="28" spans="1:7" ht="27" hidden="1" customHeight="1" x14ac:dyDescent="0.3">
      <c r="A28" s="14" t="s">
        <v>50</v>
      </c>
      <c r="B28" s="15"/>
      <c r="C28" s="16"/>
      <c r="D28" s="16"/>
      <c r="E28" s="15"/>
      <c r="F28" s="16"/>
      <c r="G28" s="15"/>
    </row>
    <row r="29" spans="1:7" hidden="1" x14ac:dyDescent="0.3">
      <c r="A29" s="14"/>
      <c r="B29" s="17" t="s">
        <v>47</v>
      </c>
      <c r="C29" s="18"/>
      <c r="D29" s="18"/>
      <c r="E29" s="17" t="s">
        <v>48</v>
      </c>
      <c r="F29" s="14"/>
      <c r="G29" s="17" t="s">
        <v>49</v>
      </c>
    </row>
    <row r="30" spans="1:7" ht="20.399999999999999" x14ac:dyDescent="0.3">
      <c r="A30" s="14" t="s">
        <v>51</v>
      </c>
      <c r="B30" s="19" t="str">
        <f>'Данные '!B7</f>
        <v>ООО "Энергосистемы"</v>
      </c>
      <c r="C30" s="16"/>
      <c r="D30" s="16"/>
      <c r="E30" s="15"/>
      <c r="F30" s="16"/>
      <c r="G30" s="19" t="str">
        <f>'Данные '!B11</f>
        <v>Волков М.Ю.</v>
      </c>
    </row>
    <row r="31" spans="1:7" x14ac:dyDescent="0.3">
      <c r="A31" s="14"/>
      <c r="B31" s="17" t="s">
        <v>47</v>
      </c>
      <c r="C31" s="18"/>
      <c r="D31" s="18"/>
      <c r="E31" s="17" t="s">
        <v>48</v>
      </c>
      <c r="F31" s="14"/>
      <c r="G31" s="17" t="s">
        <v>49</v>
      </c>
    </row>
    <row r="32" spans="1:7" x14ac:dyDescent="0.3">
      <c r="A32" s="11"/>
      <c r="B32" s="11"/>
      <c r="C32" s="11"/>
      <c r="D32" s="11"/>
      <c r="E32" s="11"/>
      <c r="F32" s="11"/>
      <c r="G32" s="11"/>
    </row>
    <row r="33" spans="1:7" x14ac:dyDescent="0.3">
      <c r="A33" s="11"/>
      <c r="B33" s="11"/>
      <c r="C33" s="11"/>
      <c r="D33" s="11"/>
      <c r="E33" s="11"/>
      <c r="F33" s="11"/>
      <c r="G33" s="11"/>
    </row>
    <row r="34" spans="1:7" hidden="1" x14ac:dyDescent="0.3">
      <c r="A34" s="240" t="s">
        <v>52</v>
      </c>
      <c r="B34" s="241"/>
      <c r="C34" s="241"/>
      <c r="D34" s="241"/>
      <c r="E34" s="241"/>
      <c r="F34" s="241"/>
      <c r="G34" s="241"/>
    </row>
    <row r="37" spans="1:7" ht="30" customHeight="1" x14ac:dyDescent="0.3"/>
  </sheetData>
  <mergeCells count="18">
    <mergeCell ref="A8:G8"/>
    <mergeCell ref="A1:G1"/>
    <mergeCell ref="A2:G2"/>
    <mergeCell ref="B4:G4"/>
    <mergeCell ref="B5:G5"/>
    <mergeCell ref="C7:D7"/>
    <mergeCell ref="A34:G34"/>
    <mergeCell ref="F10:G10"/>
    <mergeCell ref="A12:G12"/>
    <mergeCell ref="B13:G13"/>
    <mergeCell ref="B14:G14"/>
    <mergeCell ref="B15:G15"/>
    <mergeCell ref="B16:G16"/>
    <mergeCell ref="B17:G17"/>
    <mergeCell ref="B18:G18"/>
    <mergeCell ref="A20:G20"/>
    <mergeCell ref="B22:D22"/>
    <mergeCell ref="A24:G24"/>
  </mergeCells>
  <pageMargins left="1.18" right="0.59" top="0.79" bottom="0.79" header="0.49" footer="0.49"/>
  <pageSetup paperSize="9" scale="8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2B6A-BFFC-4636-A040-11BB734BEDCC}">
  <dimension ref="A1:H33"/>
  <sheetViews>
    <sheetView view="pageBreakPreview" zoomScaleNormal="100" zoomScaleSheetLayoutView="100" workbookViewId="0">
      <selection activeCell="I25" sqref="I25"/>
    </sheetView>
  </sheetViews>
  <sheetFormatPr defaultColWidth="9.109375" defaultRowHeight="13.8" x14ac:dyDescent="0.25"/>
  <cols>
    <col min="1" max="1" width="21.109375" style="68" customWidth="1"/>
    <col min="2" max="2" width="16.88671875" style="68" customWidth="1"/>
    <col min="3" max="3" width="6.33203125" style="68" customWidth="1"/>
    <col min="4" max="4" width="9.109375" style="68"/>
    <col min="5" max="5" width="4" style="68" customWidth="1"/>
    <col min="6" max="6" width="15" style="68" customWidth="1"/>
    <col min="7" max="16384" width="9.109375" style="68"/>
  </cols>
  <sheetData>
    <row r="1" spans="1:8" x14ac:dyDescent="0.25">
      <c r="A1" s="257" t="s">
        <v>29</v>
      </c>
      <c r="B1" s="257"/>
      <c r="C1" s="257"/>
      <c r="D1" s="257"/>
      <c r="E1" s="257"/>
      <c r="F1" s="257"/>
      <c r="G1" s="257"/>
      <c r="H1" s="257"/>
    </row>
    <row r="2" spans="1:8" ht="15" customHeight="1" x14ac:dyDescent="0.25">
      <c r="A2" s="257" t="s">
        <v>261</v>
      </c>
      <c r="B2" s="257"/>
      <c r="C2" s="257"/>
      <c r="D2" s="257"/>
      <c r="E2" s="257"/>
      <c r="F2" s="257"/>
      <c r="G2" s="257"/>
      <c r="H2" s="257"/>
    </row>
    <row r="3" spans="1:8" x14ac:dyDescent="0.25">
      <c r="A3" s="63"/>
      <c r="B3" s="63"/>
      <c r="C3" s="63"/>
      <c r="D3" s="63"/>
      <c r="E3" s="63"/>
      <c r="F3" s="63"/>
    </row>
    <row r="4" spans="1:8" ht="69" customHeight="1" x14ac:dyDescent="0.25">
      <c r="A4" s="64" t="s">
        <v>31</v>
      </c>
      <c r="B4" s="250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50"/>
      <c r="D4" s="250"/>
      <c r="E4" s="250"/>
      <c r="F4" s="250"/>
      <c r="G4" s="250"/>
      <c r="H4" s="250"/>
    </row>
    <row r="5" spans="1:8" x14ac:dyDescent="0.25">
      <c r="A5" s="64" t="s">
        <v>32</v>
      </c>
      <c r="B5" s="251" t="str">
        <f>'Данные '!B36</f>
        <v>ГНБ №1</v>
      </c>
      <c r="C5" s="251"/>
      <c r="D5" s="251"/>
      <c r="E5" s="251"/>
      <c r="F5" s="251"/>
      <c r="G5" s="251"/>
      <c r="H5" s="251"/>
    </row>
    <row r="6" spans="1:8" x14ac:dyDescent="0.25">
      <c r="A6" s="63"/>
      <c r="B6" s="63"/>
      <c r="C6" s="63"/>
      <c r="D6" s="63"/>
      <c r="E6" s="63"/>
      <c r="F6" s="63"/>
    </row>
    <row r="7" spans="1:8" ht="15.9" customHeight="1" x14ac:dyDescent="0.25">
      <c r="B7" s="20"/>
      <c r="C7" s="20" t="s">
        <v>33</v>
      </c>
      <c r="D7" s="76">
        <f>'Форма 2'!C7</f>
        <v>1</v>
      </c>
      <c r="E7" s="20"/>
      <c r="F7" s="20"/>
      <c r="G7" s="20"/>
      <c r="H7" s="20"/>
    </row>
    <row r="8" spans="1:8" ht="27.75" customHeight="1" x14ac:dyDescent="0.25">
      <c r="A8" s="253" t="s">
        <v>58</v>
      </c>
      <c r="B8" s="253"/>
      <c r="C8" s="253"/>
      <c r="D8" s="253"/>
      <c r="E8" s="253"/>
      <c r="F8" s="253"/>
      <c r="G8" s="253"/>
      <c r="H8" s="253"/>
    </row>
    <row r="9" spans="1:8" x14ac:dyDescent="0.25">
      <c r="A9" s="63"/>
      <c r="B9" s="63"/>
      <c r="C9" s="63"/>
      <c r="D9" s="63"/>
      <c r="E9" s="63"/>
      <c r="F9" s="63"/>
    </row>
    <row r="10" spans="1:8" x14ac:dyDescent="0.25">
      <c r="A10" s="10"/>
      <c r="B10" s="63"/>
      <c r="C10" s="63"/>
      <c r="D10" s="63"/>
      <c r="E10" s="63"/>
      <c r="F10" s="242" t="str">
        <f>'Форма 2'!F10</f>
        <v>01.12.2025</v>
      </c>
      <c r="G10" s="242"/>
    </row>
    <row r="11" spans="1:8" x14ac:dyDescent="0.25">
      <c r="A11" s="63"/>
      <c r="B11" s="63"/>
      <c r="C11" s="63"/>
      <c r="D11" s="63"/>
      <c r="E11" s="63"/>
      <c r="F11" s="63"/>
    </row>
    <row r="12" spans="1:8" x14ac:dyDescent="0.25">
      <c r="A12" s="240" t="s">
        <v>35</v>
      </c>
      <c r="B12" s="241"/>
      <c r="C12" s="241"/>
      <c r="D12" s="241"/>
      <c r="E12" s="241"/>
      <c r="F12" s="241"/>
    </row>
    <row r="13" spans="1:8" x14ac:dyDescent="0.25">
      <c r="A13" s="64" t="s">
        <v>36</v>
      </c>
      <c r="B13" s="255" t="str">
        <f>CONCATENATE('Данные '!B18," ",'Данные '!B17," ",'Данные '!B19)</f>
        <v>Гл.инженер ООО «КСС Регион» Сигарев А.А.</v>
      </c>
      <c r="C13" s="255"/>
      <c r="D13" s="255"/>
      <c r="E13" s="255"/>
      <c r="F13" s="255"/>
      <c r="G13" s="255"/>
      <c r="H13" s="255"/>
    </row>
    <row r="14" spans="1:8" ht="17.25" customHeight="1" x14ac:dyDescent="0.25">
      <c r="A14" s="64"/>
      <c r="B14" s="254" t="s">
        <v>37</v>
      </c>
      <c r="C14" s="254"/>
      <c r="D14" s="254"/>
      <c r="E14" s="254"/>
      <c r="F14" s="254"/>
      <c r="G14" s="254"/>
      <c r="H14" s="254"/>
    </row>
    <row r="15" spans="1:8" ht="20.399999999999999" hidden="1" x14ac:dyDescent="0.25">
      <c r="A15" s="64" t="s">
        <v>38</v>
      </c>
      <c r="B15" s="250"/>
      <c r="C15" s="250"/>
      <c r="D15" s="250"/>
      <c r="E15" s="250"/>
      <c r="F15" s="250"/>
      <c r="G15" s="250"/>
      <c r="H15" s="250"/>
    </row>
    <row r="16" spans="1:8" ht="16.5" hidden="1" customHeight="1" x14ac:dyDescent="0.25">
      <c r="A16" s="64"/>
      <c r="B16" s="246" t="s">
        <v>37</v>
      </c>
      <c r="C16" s="246"/>
      <c r="D16" s="246"/>
      <c r="E16" s="246"/>
      <c r="F16" s="246"/>
      <c r="G16" s="246"/>
      <c r="H16" s="246"/>
    </row>
    <row r="17" spans="1:8" x14ac:dyDescent="0.25">
      <c r="A17" s="64" t="s">
        <v>39</v>
      </c>
      <c r="B17" s="243" t="str">
        <f>CONCATENATE('Данные '!B10," ",'Данные '!B7," ",'Данные '!B11)</f>
        <v>Прораб ООО "Энергосистемы" Волков М.Ю.</v>
      </c>
      <c r="C17" s="243"/>
      <c r="D17" s="243"/>
      <c r="E17" s="243"/>
      <c r="F17" s="243"/>
      <c r="G17" s="243"/>
      <c r="H17" s="243"/>
    </row>
    <row r="18" spans="1:8" ht="16.5" customHeight="1" x14ac:dyDescent="0.25">
      <c r="A18" s="64"/>
      <c r="B18" s="254" t="s">
        <v>37</v>
      </c>
      <c r="C18" s="254"/>
      <c r="D18" s="254"/>
      <c r="E18" s="254"/>
      <c r="F18" s="254"/>
      <c r="G18" s="254"/>
      <c r="H18" s="254"/>
    </row>
    <row r="19" spans="1:8" x14ac:dyDescent="0.25">
      <c r="A19" s="63"/>
      <c r="B19" s="63"/>
      <c r="C19" s="63"/>
      <c r="D19" s="164"/>
      <c r="E19" s="63"/>
      <c r="F19" s="63"/>
    </row>
    <row r="20" spans="1:8" ht="16.5" customHeight="1" x14ac:dyDescent="0.25">
      <c r="A20" s="13" t="s">
        <v>59</v>
      </c>
      <c r="B20" s="13"/>
      <c r="C20" s="256" t="str">
        <f>B5</f>
        <v>ГНБ №1</v>
      </c>
      <c r="D20" s="256"/>
      <c r="E20" s="10"/>
      <c r="F20" s="240" t="s">
        <v>60</v>
      </c>
      <c r="G20" s="240"/>
      <c r="H20" s="240"/>
    </row>
    <row r="21" spans="1:8" ht="16.5" customHeight="1" x14ac:dyDescent="0.25">
      <c r="A21" s="240" t="s">
        <v>61</v>
      </c>
      <c r="B21" s="240"/>
      <c r="C21" s="255" t="str">
        <f>'Данные '!B33</f>
        <v>4980-325834-217-09/24</v>
      </c>
      <c r="D21" s="255"/>
      <c r="E21" s="255"/>
      <c r="F21" s="64"/>
      <c r="G21" s="64"/>
      <c r="H21" s="64"/>
    </row>
    <row r="22" spans="1:8" ht="14.25" customHeight="1" x14ac:dyDescent="0.25">
      <c r="A22" s="240" t="s">
        <v>262</v>
      </c>
      <c r="B22" s="240"/>
      <c r="C22" s="163">
        <f>'Форма 1'!B76</f>
        <v>500</v>
      </c>
      <c r="D22" s="69" t="s">
        <v>62</v>
      </c>
      <c r="E22" s="69"/>
      <c r="F22" s="69"/>
    </row>
    <row r="23" spans="1:8" ht="14.25" customHeight="1" x14ac:dyDescent="0.25">
      <c r="A23" s="240" t="s">
        <v>63</v>
      </c>
      <c r="B23" s="240"/>
      <c r="C23" s="69"/>
      <c r="D23" s="69"/>
      <c r="E23" s="69"/>
      <c r="F23" s="69"/>
    </row>
    <row r="24" spans="1:8" x14ac:dyDescent="0.25">
      <c r="A24" s="63"/>
      <c r="B24" s="63"/>
      <c r="C24" s="63"/>
      <c r="D24" s="63"/>
      <c r="E24" s="63"/>
      <c r="F24" s="63"/>
    </row>
    <row r="25" spans="1:8" ht="27.75" customHeight="1" x14ac:dyDescent="0.25">
      <c r="A25" s="62" t="s">
        <v>46</v>
      </c>
      <c r="B25" s="59" t="str">
        <f>'Данные '!B18</f>
        <v>Гл.инженер</v>
      </c>
      <c r="C25" s="16"/>
      <c r="D25" s="66"/>
      <c r="E25" s="16"/>
      <c r="F25" s="66"/>
    </row>
    <row r="26" spans="1:8" ht="15.75" customHeight="1" x14ac:dyDescent="0.25">
      <c r="A26" s="62"/>
      <c r="B26" s="65" t="s">
        <v>47</v>
      </c>
      <c r="C26" s="61"/>
      <c r="D26" s="65" t="s">
        <v>48</v>
      </c>
      <c r="E26" s="62"/>
      <c r="F26" s="65" t="s">
        <v>49</v>
      </c>
    </row>
    <row r="27" spans="1:8" ht="37.5" hidden="1" customHeight="1" x14ac:dyDescent="0.25">
      <c r="A27" s="62" t="s">
        <v>50</v>
      </c>
      <c r="B27" s="66"/>
      <c r="C27" s="16"/>
      <c r="D27" s="66"/>
      <c r="E27" s="16"/>
      <c r="F27" s="66"/>
    </row>
    <row r="28" spans="1:8" ht="15" hidden="1" customHeight="1" x14ac:dyDescent="0.25">
      <c r="A28" s="62"/>
      <c r="B28" s="65" t="s">
        <v>47</v>
      </c>
      <c r="C28" s="61"/>
      <c r="D28" s="65" t="s">
        <v>48</v>
      </c>
      <c r="E28" s="62"/>
      <c r="F28" s="65" t="s">
        <v>49</v>
      </c>
    </row>
    <row r="29" spans="1:8" ht="26.25" customHeight="1" x14ac:dyDescent="0.25">
      <c r="A29" s="62" t="s">
        <v>51</v>
      </c>
      <c r="B29" s="59" t="str">
        <f>'Данные '!B10</f>
        <v>Прораб</v>
      </c>
      <c r="C29" s="16"/>
      <c r="D29" s="66"/>
      <c r="E29" s="16"/>
      <c r="F29" s="66"/>
    </row>
    <row r="30" spans="1:8" x14ac:dyDescent="0.25">
      <c r="A30" s="62"/>
      <c r="B30" s="65" t="s">
        <v>47</v>
      </c>
      <c r="C30" s="61"/>
      <c r="D30" s="65" t="s">
        <v>48</v>
      </c>
      <c r="E30" s="62"/>
      <c r="F30" s="65" t="s">
        <v>49</v>
      </c>
    </row>
    <row r="31" spans="1:8" x14ac:dyDescent="0.25">
      <c r="A31" s="63"/>
      <c r="B31" s="63"/>
      <c r="C31" s="63"/>
      <c r="D31" s="63"/>
      <c r="E31" s="63"/>
      <c r="F31" s="63"/>
    </row>
    <row r="32" spans="1:8" x14ac:dyDescent="0.25">
      <c r="A32" s="63"/>
      <c r="B32" s="63"/>
      <c r="C32" s="63"/>
      <c r="D32" s="63"/>
      <c r="E32" s="63"/>
      <c r="F32" s="63"/>
    </row>
    <row r="33" spans="1:6" ht="30" hidden="1" customHeight="1" x14ac:dyDescent="0.25">
      <c r="A33" s="240" t="s">
        <v>52</v>
      </c>
      <c r="B33" s="241"/>
      <c r="C33" s="241"/>
      <c r="D33" s="241"/>
      <c r="E33" s="241"/>
      <c r="F33" s="241"/>
    </row>
  </sheetData>
  <mergeCells count="20">
    <mergeCell ref="A1:H1"/>
    <mergeCell ref="A2:H2"/>
    <mergeCell ref="B13:H13"/>
    <mergeCell ref="F20:H20"/>
    <mergeCell ref="A12:F12"/>
    <mergeCell ref="A33:F33"/>
    <mergeCell ref="B4:H4"/>
    <mergeCell ref="B5:H5"/>
    <mergeCell ref="A8:H8"/>
    <mergeCell ref="F10:G10"/>
    <mergeCell ref="B14:H14"/>
    <mergeCell ref="B15:H15"/>
    <mergeCell ref="B16:H16"/>
    <mergeCell ref="B18:H18"/>
    <mergeCell ref="B17:H17"/>
    <mergeCell ref="A21:B21"/>
    <mergeCell ref="C21:E21"/>
    <mergeCell ref="A22:B22"/>
    <mergeCell ref="A23:B23"/>
    <mergeCell ref="C20:D20"/>
  </mergeCells>
  <pageMargins left="1.18" right="0.59" top="0.79" bottom="0.79" header="0.49" footer="0.49"/>
  <pageSetup paperSize="9" scale="8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6CEC-F45D-4240-AE50-ADFEEBB187BA}">
  <dimension ref="A1:H62"/>
  <sheetViews>
    <sheetView view="pageBreakPreview" topLeftCell="A12" zoomScaleNormal="100" zoomScaleSheetLayoutView="100" workbookViewId="0">
      <selection activeCell="K55" sqref="K55"/>
    </sheetView>
  </sheetViews>
  <sheetFormatPr defaultColWidth="9.109375" defaultRowHeight="10.199999999999999" x14ac:dyDescent="0.2"/>
  <cols>
    <col min="1" max="1" width="27.109375" style="4" customWidth="1"/>
    <col min="2" max="7" width="9.109375" style="4"/>
    <col min="8" max="8" width="3.6640625" style="4" customWidth="1"/>
    <col min="9" max="16384" width="9.109375" style="4"/>
  </cols>
  <sheetData>
    <row r="1" spans="1:8" ht="15.9" customHeight="1" x14ac:dyDescent="0.2">
      <c r="A1" s="257" t="s">
        <v>53</v>
      </c>
      <c r="B1" s="257"/>
      <c r="C1" s="257"/>
      <c r="D1" s="257"/>
      <c r="E1" s="257"/>
      <c r="F1" s="238"/>
      <c r="G1" s="238"/>
      <c r="H1" s="238"/>
    </row>
    <row r="2" spans="1:8" ht="15.9" customHeight="1" x14ac:dyDescent="0.2">
      <c r="A2" s="268" t="s">
        <v>64</v>
      </c>
      <c r="B2" s="268"/>
      <c r="C2" s="268"/>
      <c r="D2" s="268"/>
      <c r="E2" s="268"/>
      <c r="F2" s="224"/>
      <c r="G2" s="224"/>
      <c r="H2" s="224"/>
    </row>
    <row r="3" spans="1:8" x14ac:dyDescent="0.2">
      <c r="A3" s="77"/>
      <c r="B3" s="77"/>
      <c r="C3" s="77"/>
      <c r="D3" s="77"/>
      <c r="E3" s="77"/>
      <c r="F3" s="77"/>
      <c r="G3" s="77"/>
      <c r="H3" s="77"/>
    </row>
    <row r="4" spans="1:8" ht="37.799999999999997" customHeight="1" x14ac:dyDescent="0.2">
      <c r="A4" s="78" t="s">
        <v>54</v>
      </c>
      <c r="B4" s="270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70"/>
      <c r="D4" s="270"/>
      <c r="E4" s="270"/>
      <c r="F4" s="270"/>
      <c r="G4" s="270"/>
      <c r="H4" s="270"/>
    </row>
    <row r="5" spans="1:8" ht="10.8" x14ac:dyDescent="0.2">
      <c r="A5" s="78" t="s">
        <v>55</v>
      </c>
      <c r="B5" s="271" t="str">
        <f>'Данные '!B36</f>
        <v>ГНБ №1</v>
      </c>
      <c r="C5" s="271"/>
      <c r="D5" s="271"/>
      <c r="E5" s="271"/>
      <c r="F5" s="271"/>
      <c r="G5" s="271"/>
      <c r="H5" s="271"/>
    </row>
    <row r="6" spans="1:8" x14ac:dyDescent="0.2">
      <c r="A6" s="77"/>
      <c r="B6" s="77"/>
      <c r="C6" s="77"/>
      <c r="D6" s="77"/>
      <c r="E6" s="77"/>
      <c r="F6" s="77"/>
      <c r="G6" s="77"/>
      <c r="H6" s="77"/>
    </row>
    <row r="7" spans="1:8" hidden="1" x14ac:dyDescent="0.2">
      <c r="A7" s="77"/>
      <c r="B7" s="77"/>
      <c r="C7" s="77"/>
      <c r="D7" s="77"/>
      <c r="E7" s="77"/>
      <c r="F7" s="77"/>
      <c r="G7" s="77"/>
      <c r="H7" s="77"/>
    </row>
    <row r="8" spans="1:8" ht="15.9" customHeight="1" x14ac:dyDescent="0.2">
      <c r="A8" s="79"/>
      <c r="B8" s="80"/>
      <c r="C8" s="91" t="s">
        <v>33</v>
      </c>
      <c r="D8" s="82">
        <f>'Форма 2'!C7</f>
        <v>1</v>
      </c>
      <c r="E8" s="80"/>
      <c r="F8" s="80"/>
      <c r="G8" s="80"/>
      <c r="H8" s="80"/>
    </row>
    <row r="9" spans="1:8" ht="15.9" customHeight="1" x14ac:dyDescent="0.2">
      <c r="A9" s="269" t="s">
        <v>65</v>
      </c>
      <c r="B9" s="269"/>
      <c r="C9" s="269"/>
      <c r="D9" s="269"/>
      <c r="E9" s="269"/>
      <c r="F9" s="224"/>
      <c r="G9" s="224"/>
      <c r="H9" s="224"/>
    </row>
    <row r="10" spans="1:8" x14ac:dyDescent="0.2">
      <c r="A10" s="77"/>
      <c r="B10" s="77"/>
      <c r="C10" s="77"/>
      <c r="D10" s="77"/>
      <c r="E10" s="77"/>
      <c r="F10" s="77"/>
      <c r="G10" s="77"/>
      <c r="H10" s="77"/>
    </row>
    <row r="11" spans="1:8" ht="15.9" hidden="1" customHeight="1" x14ac:dyDescent="0.2">
      <c r="A11" s="265" t="s">
        <v>66</v>
      </c>
      <c r="B11" s="265"/>
      <c r="C11" s="84"/>
      <c r="D11" s="84"/>
      <c r="E11" s="84"/>
      <c r="F11" s="71"/>
      <c r="G11" s="71"/>
      <c r="H11" s="71"/>
    </row>
    <row r="12" spans="1:8" x14ac:dyDescent="0.2">
      <c r="A12" s="77"/>
      <c r="B12" s="77"/>
      <c r="C12" s="77"/>
      <c r="D12" s="77"/>
      <c r="E12" s="77"/>
      <c r="F12" s="77"/>
      <c r="G12" s="77"/>
      <c r="H12" s="77"/>
    </row>
    <row r="13" spans="1:8" customFormat="1" ht="14.4" x14ac:dyDescent="0.3">
      <c r="A13" s="84"/>
      <c r="B13" s="85"/>
      <c r="C13" s="85"/>
      <c r="D13" s="85"/>
      <c r="E13" s="85"/>
      <c r="F13" s="262" t="str">
        <f>'Форма 2'!F10</f>
        <v>01.12.2025</v>
      </c>
      <c r="G13" s="262"/>
      <c r="H13" s="92"/>
    </row>
    <row r="14" spans="1:8" x14ac:dyDescent="0.2">
      <c r="A14" s="77"/>
      <c r="B14" s="77"/>
      <c r="C14" s="77"/>
      <c r="D14" s="77"/>
      <c r="E14" s="77"/>
      <c r="F14" s="77"/>
      <c r="G14" s="77"/>
      <c r="H14" s="77"/>
    </row>
    <row r="15" spans="1:8" ht="15.9" customHeight="1" x14ac:dyDescent="0.2">
      <c r="A15" s="265" t="s">
        <v>67</v>
      </c>
      <c r="B15" s="265"/>
      <c r="C15" s="265"/>
      <c r="D15" s="265"/>
      <c r="E15" s="265"/>
      <c r="F15" s="224"/>
      <c r="G15" s="224"/>
      <c r="H15" s="224"/>
    </row>
    <row r="16" spans="1:8" ht="10.8" x14ac:dyDescent="0.2">
      <c r="A16" s="78" t="s">
        <v>56</v>
      </c>
      <c r="B16" s="270" t="str">
        <f>CONCATENATE('Данные '!B18," ",'Данные '!B17," ",'Данные '!B19)</f>
        <v>Гл.инженер ООО «КСС Регион» Сигарев А.А.</v>
      </c>
      <c r="C16" s="270"/>
      <c r="D16" s="270"/>
      <c r="E16" s="270"/>
      <c r="F16" s="270"/>
      <c r="G16" s="270"/>
      <c r="H16" s="270"/>
    </row>
    <row r="17" spans="1:8" ht="15" customHeight="1" x14ac:dyDescent="0.2">
      <c r="A17" s="78"/>
      <c r="B17" s="266" t="s">
        <v>57</v>
      </c>
      <c r="C17" s="266"/>
      <c r="D17" s="266"/>
      <c r="E17" s="266"/>
      <c r="F17" s="266"/>
      <c r="G17" s="266"/>
      <c r="H17" s="266"/>
    </row>
    <row r="18" spans="1:8" ht="10.8" x14ac:dyDescent="0.2">
      <c r="A18" s="78" t="s">
        <v>68</v>
      </c>
      <c r="B18" s="270" t="str">
        <f>CONCATENATE('Данные '!B10," ",'Данные '!B7," ",'Данные '!B11)</f>
        <v>Прораб ООО "Энергосистемы" Волков М.Ю.</v>
      </c>
      <c r="C18" s="270"/>
      <c r="D18" s="270"/>
      <c r="E18" s="270"/>
      <c r="F18" s="270"/>
      <c r="G18" s="270"/>
      <c r="H18" s="270"/>
    </row>
    <row r="19" spans="1:8" ht="15" customHeight="1" x14ac:dyDescent="0.2">
      <c r="A19" s="78"/>
      <c r="B19" s="266" t="s">
        <v>57</v>
      </c>
      <c r="C19" s="266"/>
      <c r="D19" s="266"/>
      <c r="E19" s="266"/>
      <c r="F19" s="266"/>
      <c r="G19" s="266"/>
      <c r="H19" s="266"/>
    </row>
    <row r="20" spans="1:8" ht="15.75" hidden="1" customHeight="1" x14ac:dyDescent="0.2">
      <c r="A20" s="78" t="s">
        <v>69</v>
      </c>
      <c r="B20" s="264"/>
      <c r="C20" s="264"/>
      <c r="D20" s="264"/>
      <c r="E20" s="264"/>
      <c r="F20" s="264"/>
      <c r="G20" s="264"/>
      <c r="H20" s="264"/>
    </row>
    <row r="21" spans="1:8" ht="15" hidden="1" customHeight="1" x14ac:dyDescent="0.2">
      <c r="A21" s="78"/>
      <c r="B21" s="263" t="s">
        <v>57</v>
      </c>
      <c r="C21" s="263"/>
      <c r="D21" s="263"/>
      <c r="E21" s="263"/>
      <c r="F21" s="263"/>
      <c r="G21" s="263"/>
      <c r="H21" s="263"/>
    </row>
    <row r="22" spans="1:8" ht="20.399999999999999" hidden="1" x14ac:dyDescent="0.2">
      <c r="A22" s="78" t="s">
        <v>70</v>
      </c>
      <c r="B22" s="264"/>
      <c r="C22" s="264"/>
      <c r="D22" s="264"/>
      <c r="E22" s="264"/>
      <c r="F22" s="264"/>
      <c r="G22" s="264"/>
      <c r="H22" s="264"/>
    </row>
    <row r="23" spans="1:8" ht="15" hidden="1" customHeight="1" x14ac:dyDescent="0.2">
      <c r="A23" s="78"/>
      <c r="B23" s="263" t="s">
        <v>57</v>
      </c>
      <c r="C23" s="263"/>
      <c r="D23" s="263"/>
      <c r="E23" s="263"/>
      <c r="F23" s="263"/>
      <c r="G23" s="263"/>
      <c r="H23" s="263"/>
    </row>
    <row r="24" spans="1:8" ht="19.5" hidden="1" customHeight="1" x14ac:dyDescent="0.2">
      <c r="A24" s="78" t="s">
        <v>71</v>
      </c>
      <c r="B24" s="264"/>
      <c r="C24" s="264"/>
      <c r="D24" s="264"/>
      <c r="E24" s="264"/>
      <c r="F24" s="264"/>
      <c r="G24" s="264"/>
      <c r="H24" s="264"/>
    </row>
    <row r="25" spans="1:8" ht="11.25" hidden="1" customHeight="1" x14ac:dyDescent="0.2">
      <c r="A25" s="86"/>
      <c r="B25" s="263" t="s">
        <v>57</v>
      </c>
      <c r="C25" s="263"/>
      <c r="D25" s="263"/>
      <c r="E25" s="263"/>
      <c r="F25" s="263"/>
      <c r="G25" s="263"/>
      <c r="H25" s="263"/>
    </row>
    <row r="26" spans="1:8" ht="16.5" customHeight="1" x14ac:dyDescent="0.2">
      <c r="A26" s="265" t="s">
        <v>72</v>
      </c>
      <c r="B26" s="265"/>
      <c r="C26" s="84"/>
      <c r="D26" s="255" t="str">
        <f>'Данные '!B17</f>
        <v>ООО «КСС Регион»</v>
      </c>
      <c r="E26" s="255"/>
      <c r="F26" s="255"/>
      <c r="G26" s="255"/>
      <c r="H26" s="255"/>
    </row>
    <row r="27" spans="1:8" x14ac:dyDescent="0.2">
      <c r="A27" s="93"/>
      <c r="B27" s="93"/>
      <c r="C27" s="93"/>
      <c r="D27" s="266" t="s">
        <v>87</v>
      </c>
      <c r="E27" s="266"/>
      <c r="F27" s="266"/>
      <c r="G27" s="266"/>
      <c r="H27" s="266"/>
    </row>
    <row r="28" spans="1:8" x14ac:dyDescent="0.2">
      <c r="A28" s="77"/>
      <c r="B28" s="77"/>
      <c r="C28" s="77"/>
      <c r="D28" s="77"/>
      <c r="E28" s="77"/>
      <c r="F28" s="77"/>
      <c r="G28" s="77"/>
      <c r="H28" s="77"/>
    </row>
    <row r="29" spans="1:8" ht="16.5" customHeight="1" x14ac:dyDescent="0.2">
      <c r="A29" s="261" t="s">
        <v>74</v>
      </c>
      <c r="B29" s="261"/>
      <c r="C29" s="261"/>
      <c r="D29" s="261"/>
      <c r="E29" s="261"/>
      <c r="F29" s="224"/>
      <c r="G29" s="224"/>
      <c r="H29" s="224"/>
    </row>
    <row r="30" spans="1:8" x14ac:dyDescent="0.2">
      <c r="A30" s="77"/>
      <c r="B30" s="77"/>
      <c r="C30" s="77"/>
      <c r="D30" s="77"/>
      <c r="E30" s="77"/>
      <c r="F30" s="77"/>
      <c r="G30" s="77"/>
      <c r="H30" s="77"/>
    </row>
    <row r="31" spans="1:8" ht="15.9" customHeight="1" x14ac:dyDescent="0.2">
      <c r="A31" s="261" t="s">
        <v>75</v>
      </c>
      <c r="B31" s="261"/>
      <c r="C31" s="261"/>
      <c r="D31" s="261"/>
      <c r="E31" s="261"/>
      <c r="F31" s="224"/>
      <c r="G31" s="224"/>
      <c r="H31" s="224"/>
    </row>
    <row r="32" spans="1:8" ht="14.25" customHeight="1" x14ac:dyDescent="0.2">
      <c r="A32" s="265" t="s">
        <v>76</v>
      </c>
      <c r="B32" s="265"/>
      <c r="C32" s="265"/>
      <c r="D32" s="94">
        <f>'Данные '!B37</f>
        <v>1</v>
      </c>
      <c r="E32" s="84"/>
      <c r="F32" s="71"/>
      <c r="G32" s="71"/>
      <c r="H32" s="71"/>
    </row>
    <row r="33" spans="1:8" ht="15.9" customHeight="1" x14ac:dyDescent="0.2">
      <c r="A33" s="89" t="s">
        <v>88</v>
      </c>
      <c r="B33" s="255" t="str">
        <f>'Данные '!B31</f>
        <v>ООО "Энергосистемы"</v>
      </c>
      <c r="C33" s="255"/>
      <c r="D33" s="84" t="s">
        <v>89</v>
      </c>
      <c r="E33" s="255" t="str">
        <f>'Данные '!B33</f>
        <v>4980-325834-217-09/24</v>
      </c>
      <c r="F33" s="255"/>
      <c r="G33" s="255"/>
      <c r="H33" s="255"/>
    </row>
    <row r="34" spans="1:8" ht="17.25" customHeight="1" x14ac:dyDescent="0.2">
      <c r="A34" s="261" t="s">
        <v>77</v>
      </c>
      <c r="B34" s="261"/>
      <c r="C34" s="261"/>
      <c r="D34" s="261"/>
      <c r="E34" s="261"/>
      <c r="F34" s="224"/>
      <c r="G34" s="224"/>
      <c r="H34" s="224"/>
    </row>
    <row r="35" spans="1:8" ht="15.75" customHeight="1" x14ac:dyDescent="0.2">
      <c r="A35" s="261" t="s">
        <v>78</v>
      </c>
      <c r="B35" s="261"/>
      <c r="C35" s="261"/>
      <c r="D35" s="261"/>
      <c r="E35" s="261"/>
      <c r="F35" s="224"/>
      <c r="G35" s="224"/>
      <c r="H35" s="224"/>
    </row>
    <row r="36" spans="1:8" ht="32.1" hidden="1" customHeight="1" x14ac:dyDescent="0.2">
      <c r="A36" s="261" t="s">
        <v>79</v>
      </c>
      <c r="B36" s="261"/>
      <c r="C36" s="261"/>
      <c r="D36" s="261"/>
      <c r="E36" s="261"/>
      <c r="F36" s="224"/>
      <c r="G36" s="224"/>
      <c r="H36" s="224"/>
    </row>
    <row r="37" spans="1:8" ht="32.1" hidden="1" customHeight="1" x14ac:dyDescent="0.2">
      <c r="A37" s="261" t="s">
        <v>80</v>
      </c>
      <c r="B37" s="261"/>
      <c r="C37" s="261"/>
      <c r="D37" s="261"/>
      <c r="E37" s="261"/>
      <c r="F37" s="224"/>
      <c r="G37" s="224"/>
      <c r="H37" s="224"/>
    </row>
    <row r="38" spans="1:8" x14ac:dyDescent="0.2">
      <c r="A38" s="77"/>
      <c r="B38" s="77"/>
      <c r="C38" s="77"/>
      <c r="D38" s="77"/>
      <c r="E38" s="77"/>
      <c r="F38" s="77"/>
      <c r="G38" s="77"/>
      <c r="H38" s="77"/>
    </row>
    <row r="39" spans="1:8" ht="15.9" customHeight="1" x14ac:dyDescent="0.2">
      <c r="A39" s="261" t="s">
        <v>81</v>
      </c>
      <c r="B39" s="261"/>
      <c r="C39" s="261"/>
      <c r="D39" s="261"/>
      <c r="E39" s="261"/>
      <c r="F39" s="224"/>
      <c r="G39" s="224"/>
      <c r="H39" s="224"/>
    </row>
    <row r="40" spans="1:8" ht="15.9" customHeight="1" x14ac:dyDescent="0.2">
      <c r="A40" s="84" t="s">
        <v>82</v>
      </c>
      <c r="B40" s="264"/>
      <c r="C40" s="264"/>
      <c r="D40" s="264"/>
      <c r="E40" s="264"/>
      <c r="F40" s="264"/>
      <c r="G40" s="264"/>
      <c r="H40" s="264"/>
    </row>
    <row r="41" spans="1:8" ht="17.25" customHeight="1" x14ac:dyDescent="0.2">
      <c r="A41" s="267" t="s">
        <v>90</v>
      </c>
      <c r="B41" s="267"/>
      <c r="C41" s="267"/>
      <c r="D41" s="267"/>
      <c r="E41" s="267"/>
      <c r="F41" s="267"/>
      <c r="G41" s="267"/>
      <c r="H41" s="267"/>
    </row>
    <row r="42" spans="1:8" ht="13.5" customHeight="1" x14ac:dyDescent="0.2">
      <c r="A42" s="95" t="s">
        <v>91</v>
      </c>
      <c r="B42" s="94">
        <f>'Данные '!B38</f>
        <v>792</v>
      </c>
      <c r="C42" s="95" t="s">
        <v>92</v>
      </c>
      <c r="D42" s="84"/>
      <c r="E42" s="255" t="str">
        <f>'АОСР-1'!B67</f>
        <v>Труба F2 D160мм</v>
      </c>
      <c r="F42" s="255"/>
      <c r="G42" s="255"/>
      <c r="H42" s="255"/>
    </row>
    <row r="43" spans="1:8" s="60" customFormat="1" ht="13.5" customHeight="1" x14ac:dyDescent="0.2">
      <c r="A43" s="71" t="s">
        <v>93</v>
      </c>
      <c r="B43" s="160">
        <f>'Данные '!B40</f>
        <v>6</v>
      </c>
      <c r="C43" s="71" t="s">
        <v>94</v>
      </c>
      <c r="D43" s="84"/>
      <c r="E43" s="70"/>
      <c r="F43" s="71"/>
      <c r="G43" s="72"/>
      <c r="H43" s="71"/>
    </row>
    <row r="44" spans="1:8" x14ac:dyDescent="0.2">
      <c r="A44" s="77"/>
      <c r="B44" s="77"/>
      <c r="C44" s="77"/>
      <c r="D44" s="77"/>
      <c r="E44" s="77"/>
      <c r="F44" s="77"/>
      <c r="G44" s="77"/>
      <c r="H44" s="77"/>
    </row>
    <row r="45" spans="1:8" ht="24.75" customHeight="1" x14ac:dyDescent="0.2">
      <c r="A45" s="260" t="s">
        <v>95</v>
      </c>
      <c r="B45" s="261"/>
      <c r="C45" s="261"/>
      <c r="D45" s="261"/>
      <c r="E45" s="261"/>
      <c r="F45" s="224"/>
      <c r="G45" s="224"/>
      <c r="H45" s="224"/>
    </row>
    <row r="46" spans="1:8" ht="15.9" customHeight="1" x14ac:dyDescent="0.2">
      <c r="A46" s="260" t="s">
        <v>96</v>
      </c>
      <c r="B46" s="261"/>
      <c r="C46" s="261"/>
      <c r="D46" s="261"/>
      <c r="E46" s="261"/>
      <c r="F46" s="224"/>
      <c r="G46" s="224"/>
      <c r="H46" s="224"/>
    </row>
    <row r="47" spans="1:8" ht="15.9" customHeight="1" x14ac:dyDescent="0.2">
      <c r="A47" s="96" t="s">
        <v>97</v>
      </c>
      <c r="B47" s="95"/>
      <c r="C47" s="95"/>
      <c r="D47" s="95"/>
      <c r="E47" s="161">
        <f>'Форма 1'!B76</f>
        <v>500</v>
      </c>
      <c r="F47" s="71" t="s">
        <v>98</v>
      </c>
      <c r="G47" s="71"/>
      <c r="H47" s="71"/>
    </row>
    <row r="48" spans="1:8" x14ac:dyDescent="0.2">
      <c r="A48" s="77"/>
      <c r="B48" s="77"/>
      <c r="C48" s="77"/>
      <c r="D48" s="77"/>
      <c r="E48" s="77"/>
      <c r="F48" s="77"/>
      <c r="G48" s="77"/>
      <c r="H48" s="77"/>
    </row>
    <row r="49" spans="1:8" ht="15.9" customHeight="1" x14ac:dyDescent="0.2">
      <c r="A49" s="261" t="s">
        <v>83</v>
      </c>
      <c r="B49" s="261"/>
      <c r="C49" s="261"/>
      <c r="D49" s="261"/>
      <c r="E49" s="261"/>
      <c r="F49" s="224"/>
      <c r="G49" s="224"/>
      <c r="H49" s="224"/>
    </row>
    <row r="50" spans="1:8" ht="15" customHeight="1" x14ac:dyDescent="0.2">
      <c r="A50" s="261" t="s">
        <v>84</v>
      </c>
      <c r="B50" s="261"/>
      <c r="C50" s="261"/>
      <c r="D50" s="261"/>
      <c r="E50" s="261"/>
      <c r="F50" s="224"/>
      <c r="G50" s="224"/>
      <c r="H50" s="224"/>
    </row>
    <row r="51" spans="1:8" ht="25.5" customHeight="1" x14ac:dyDescent="0.2">
      <c r="A51" s="261" t="s">
        <v>85</v>
      </c>
      <c r="B51" s="261"/>
      <c r="C51" s="261"/>
      <c r="D51" s="261"/>
      <c r="E51" s="261"/>
      <c r="F51" s="224"/>
      <c r="G51" s="224"/>
      <c r="H51" s="224"/>
    </row>
    <row r="52" spans="1:8" ht="19.5" customHeight="1" x14ac:dyDescent="0.2">
      <c r="A52" s="260" t="s">
        <v>99</v>
      </c>
      <c r="B52" s="261"/>
      <c r="C52" s="261"/>
      <c r="D52" s="261"/>
      <c r="E52" s="261"/>
      <c r="F52" s="224"/>
      <c r="G52" s="224"/>
      <c r="H52" s="224"/>
    </row>
    <row r="54" spans="1:8" ht="15.9" customHeight="1" x14ac:dyDescent="0.2">
      <c r="A54" s="247" t="s">
        <v>86</v>
      </c>
      <c r="B54" s="247"/>
      <c r="C54" s="247"/>
      <c r="D54" s="247"/>
      <c r="E54" s="247"/>
      <c r="F54" s="238"/>
      <c r="G54" s="238"/>
      <c r="H54" s="238"/>
    </row>
    <row r="55" spans="1:8" x14ac:dyDescent="0.2">
      <c r="A55" s="162" t="s">
        <v>326</v>
      </c>
      <c r="B55" s="12"/>
      <c r="C55" s="12"/>
      <c r="D55" s="12"/>
      <c r="E55" s="259"/>
      <c r="F55" s="259"/>
      <c r="G55" s="258" t="str">
        <f>'Данные '!B19</f>
        <v>Сигарев А.А.</v>
      </c>
      <c r="H55" s="258"/>
    </row>
    <row r="56" spans="1:8" x14ac:dyDescent="0.2">
      <c r="A56" s="12"/>
      <c r="B56" s="12"/>
      <c r="C56" s="12"/>
      <c r="D56" s="12"/>
      <c r="E56" s="12"/>
      <c r="F56" s="21"/>
      <c r="G56" s="21"/>
    </row>
    <row r="57" spans="1:8" x14ac:dyDescent="0.2">
      <c r="A57" s="162" t="s">
        <v>325</v>
      </c>
      <c r="B57" s="12"/>
      <c r="C57" s="12"/>
      <c r="D57" s="12"/>
      <c r="E57" s="259"/>
      <c r="F57" s="259"/>
      <c r="G57" s="258" t="str">
        <f>'Данные '!B11</f>
        <v>Волков М.Ю.</v>
      </c>
      <c r="H57" s="258"/>
    </row>
    <row r="58" spans="1:8" x14ac:dyDescent="0.2">
      <c r="A58" s="12"/>
      <c r="B58" s="12"/>
      <c r="C58" s="12"/>
      <c r="D58" s="12"/>
      <c r="E58" s="12"/>
      <c r="F58" s="21"/>
      <c r="G58" s="21"/>
    </row>
    <row r="59" spans="1:8" ht="20.399999999999999" hidden="1" x14ac:dyDescent="0.2">
      <c r="A59" s="162" t="s">
        <v>327</v>
      </c>
      <c r="B59" s="12"/>
      <c r="C59" s="12"/>
      <c r="D59" s="12"/>
      <c r="E59" s="259"/>
      <c r="F59" s="259"/>
      <c r="G59" s="22"/>
    </row>
    <row r="60" spans="1:8" hidden="1" x14ac:dyDescent="0.2">
      <c r="A60" s="12"/>
      <c r="B60" s="12"/>
      <c r="C60" s="12"/>
      <c r="D60" s="12"/>
      <c r="E60" s="12"/>
      <c r="F60" s="21"/>
      <c r="G60" s="21"/>
    </row>
    <row r="61" spans="1:8" hidden="1" x14ac:dyDescent="0.2">
      <c r="A61" s="12" t="s">
        <v>71</v>
      </c>
      <c r="B61" s="12"/>
      <c r="C61" s="12"/>
      <c r="D61" s="12"/>
      <c r="E61" s="259"/>
      <c r="F61" s="259"/>
      <c r="G61" s="22"/>
    </row>
    <row r="62" spans="1:8" x14ac:dyDescent="0.2">
      <c r="A62" s="14"/>
      <c r="B62" s="14"/>
      <c r="C62" s="14"/>
      <c r="D62" s="14"/>
      <c r="E62" s="14"/>
      <c r="F62" s="21"/>
      <c r="G62" s="21"/>
    </row>
  </sheetData>
  <mergeCells count="47">
    <mergeCell ref="A1:H1"/>
    <mergeCell ref="A2:H2"/>
    <mergeCell ref="A9:H9"/>
    <mergeCell ref="A11:B11"/>
    <mergeCell ref="A29:H29"/>
    <mergeCell ref="B4:H4"/>
    <mergeCell ref="B5:H5"/>
    <mergeCell ref="B16:H16"/>
    <mergeCell ref="B17:H17"/>
    <mergeCell ref="B18:H18"/>
    <mergeCell ref="A15:H15"/>
    <mergeCell ref="A32:C32"/>
    <mergeCell ref="B33:C33"/>
    <mergeCell ref="E33:H33"/>
    <mergeCell ref="A31:H31"/>
    <mergeCell ref="B19:H19"/>
    <mergeCell ref="B20:H20"/>
    <mergeCell ref="B21:H21"/>
    <mergeCell ref="B22:H22"/>
    <mergeCell ref="B40:H40"/>
    <mergeCell ref="A34:H34"/>
    <mergeCell ref="A35:H35"/>
    <mergeCell ref="A36:H36"/>
    <mergeCell ref="A37:H37"/>
    <mergeCell ref="E59:F59"/>
    <mergeCell ref="E61:F61"/>
    <mergeCell ref="F13:G13"/>
    <mergeCell ref="B23:H23"/>
    <mergeCell ref="B24:H24"/>
    <mergeCell ref="B25:H25"/>
    <mergeCell ref="A26:B26"/>
    <mergeCell ref="D26:H26"/>
    <mergeCell ref="D27:H27"/>
    <mergeCell ref="A49:H49"/>
    <mergeCell ref="A50:H50"/>
    <mergeCell ref="A51:H51"/>
    <mergeCell ref="A52:H52"/>
    <mergeCell ref="A54:H54"/>
    <mergeCell ref="A39:H39"/>
    <mergeCell ref="A41:H41"/>
    <mergeCell ref="G55:H55"/>
    <mergeCell ref="G57:H57"/>
    <mergeCell ref="E42:H42"/>
    <mergeCell ref="E55:F55"/>
    <mergeCell ref="E57:F57"/>
    <mergeCell ref="A45:H45"/>
    <mergeCell ref="A46:H46"/>
  </mergeCells>
  <pageMargins left="1.18" right="0.59" top="0.79" bottom="0.79" header="0.49" footer="0.49"/>
  <pageSetup paperSize="9" scale="9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60BA-0F43-4321-A415-E454DB814F61}">
  <sheetPr>
    <pageSetUpPr fitToPage="1"/>
  </sheetPr>
  <dimension ref="A1:K24"/>
  <sheetViews>
    <sheetView view="pageBreakPreview" zoomScaleNormal="100" zoomScaleSheetLayoutView="100" workbookViewId="0">
      <selection activeCell="O17" sqref="O17"/>
    </sheetView>
  </sheetViews>
  <sheetFormatPr defaultColWidth="9.109375" defaultRowHeight="13.8" x14ac:dyDescent="0.25"/>
  <cols>
    <col min="1" max="1" width="11.109375" style="23" customWidth="1"/>
    <col min="2" max="2" width="9.109375" style="23"/>
    <col min="3" max="3" width="11.44140625" style="23" customWidth="1"/>
    <col min="4" max="4" width="12.33203125" style="23" customWidth="1"/>
    <col min="5" max="5" width="14" style="23" customWidth="1"/>
    <col min="6" max="6" width="17.6640625" style="23" customWidth="1"/>
    <col min="7" max="7" width="16" style="23" customWidth="1"/>
    <col min="8" max="8" width="23.5546875" style="23" customWidth="1"/>
    <col min="9" max="9" width="9.109375" style="23"/>
    <col min="10" max="10" width="12.5546875" style="23" customWidth="1"/>
    <col min="11" max="11" width="13.44140625" style="23" customWidth="1"/>
    <col min="12" max="16384" width="9.109375" style="23"/>
  </cols>
  <sheetData>
    <row r="1" spans="1:11" x14ac:dyDescent="0.25">
      <c r="K1" s="24" t="s">
        <v>29</v>
      </c>
    </row>
    <row r="2" spans="1:11" x14ac:dyDescent="0.25">
      <c r="K2" s="24" t="s">
        <v>117</v>
      </c>
    </row>
    <row r="3" spans="1:11" x14ac:dyDescent="0.25">
      <c r="H3" s="25"/>
    </row>
    <row r="4" spans="1:11" ht="105" customHeight="1" x14ac:dyDescent="0.25">
      <c r="G4" s="26" t="s">
        <v>31</v>
      </c>
      <c r="H4" s="279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I4" s="279"/>
      <c r="J4" s="279"/>
      <c r="K4" s="279"/>
    </row>
    <row r="5" spans="1:11" ht="14.4" x14ac:dyDescent="0.25">
      <c r="H5" s="27" t="s">
        <v>32</v>
      </c>
      <c r="I5" s="279" t="str">
        <f>'Данные '!B36</f>
        <v>ГНБ №1</v>
      </c>
      <c r="J5" s="279"/>
      <c r="K5" s="279"/>
    </row>
    <row r="7" spans="1:11" ht="15.6" x14ac:dyDescent="0.3">
      <c r="A7" s="280" t="s">
        <v>118</v>
      </c>
      <c r="B7" s="280"/>
      <c r="C7" s="280"/>
      <c r="D7" s="280"/>
      <c r="E7" s="280"/>
      <c r="F7" s="280"/>
      <c r="G7" s="280"/>
      <c r="H7" s="280"/>
      <c r="I7" s="280"/>
      <c r="J7" s="280"/>
      <c r="K7" s="280"/>
    </row>
    <row r="8" spans="1:11" ht="15.6" x14ac:dyDescent="0.3">
      <c r="A8" s="280" t="s">
        <v>119</v>
      </c>
      <c r="B8" s="280"/>
      <c r="C8" s="280"/>
      <c r="D8" s="280"/>
      <c r="E8" s="280"/>
      <c r="F8" s="280"/>
      <c r="G8" s="280"/>
      <c r="H8" s="280"/>
      <c r="I8" s="280"/>
      <c r="J8" s="280"/>
      <c r="K8" s="280"/>
    </row>
    <row r="11" spans="1:11" x14ac:dyDescent="0.25">
      <c r="A11" s="281" t="s">
        <v>120</v>
      </c>
      <c r="B11" s="281"/>
      <c r="C11" s="281"/>
      <c r="D11" s="281"/>
      <c r="E11" s="281"/>
      <c r="F11" s="281"/>
      <c r="G11" s="281"/>
      <c r="H11" s="281"/>
      <c r="I11" s="281"/>
      <c r="J11" s="281"/>
      <c r="K11" s="281"/>
    </row>
    <row r="12" spans="1:11" x14ac:dyDescent="0.25">
      <c r="A12" s="272" t="s">
        <v>121</v>
      </c>
      <c r="B12" s="272" t="s">
        <v>122</v>
      </c>
      <c r="C12" s="272" t="s">
        <v>123</v>
      </c>
      <c r="D12" s="272"/>
      <c r="E12" s="272"/>
      <c r="F12" s="272"/>
      <c r="G12" s="272"/>
      <c r="H12" s="272"/>
      <c r="I12" s="272"/>
      <c r="J12" s="272"/>
      <c r="K12" s="272" t="s">
        <v>124</v>
      </c>
    </row>
    <row r="13" spans="1:11" ht="47.25" customHeight="1" x14ac:dyDescent="0.25">
      <c r="A13" s="272"/>
      <c r="B13" s="272"/>
      <c r="C13" s="272" t="s">
        <v>125</v>
      </c>
      <c r="D13" s="272" t="s">
        <v>126</v>
      </c>
      <c r="E13" s="272" t="s">
        <v>127</v>
      </c>
      <c r="F13" s="272" t="s">
        <v>128</v>
      </c>
      <c r="G13" s="272" t="s">
        <v>129</v>
      </c>
      <c r="H13" s="272" t="s">
        <v>130</v>
      </c>
      <c r="I13" s="272" t="s">
        <v>131</v>
      </c>
      <c r="J13" s="272"/>
      <c r="K13" s="272"/>
    </row>
    <row r="14" spans="1:11" x14ac:dyDescent="0.25">
      <c r="A14" s="272"/>
      <c r="B14" s="272"/>
      <c r="C14" s="272"/>
      <c r="D14" s="272"/>
      <c r="E14" s="272"/>
      <c r="F14" s="272"/>
      <c r="G14" s="272"/>
      <c r="H14" s="272"/>
      <c r="I14" s="28" t="s">
        <v>132</v>
      </c>
      <c r="J14" s="28" t="s">
        <v>133</v>
      </c>
      <c r="K14" s="272"/>
    </row>
    <row r="15" spans="1:11" x14ac:dyDescent="0.25">
      <c r="A15" s="29">
        <v>1</v>
      </c>
      <c r="B15" s="29">
        <v>2</v>
      </c>
      <c r="C15" s="29">
        <v>3</v>
      </c>
      <c r="D15" s="29">
        <v>4</v>
      </c>
      <c r="E15" s="29">
        <v>5</v>
      </c>
      <c r="F15" s="29">
        <v>6</v>
      </c>
      <c r="G15" s="29">
        <v>7</v>
      </c>
      <c r="H15" s="29">
        <v>8</v>
      </c>
      <c r="I15" s="29">
        <v>9</v>
      </c>
      <c r="J15" s="29">
        <v>10</v>
      </c>
      <c r="K15" s="29">
        <v>11</v>
      </c>
    </row>
    <row r="16" spans="1:11" x14ac:dyDescent="0.25">
      <c r="A16" s="273" t="str">
        <f>'Форма 1'!A20:E20</f>
        <v>Буровой канал №1</v>
      </c>
      <c r="B16" s="274"/>
      <c r="C16" s="274"/>
      <c r="D16" s="274"/>
      <c r="E16" s="274"/>
      <c r="F16" s="274"/>
      <c r="G16" s="274"/>
      <c r="H16" s="274"/>
      <c r="I16" s="274"/>
      <c r="J16" s="274"/>
      <c r="K16" s="275"/>
    </row>
    <row r="17" spans="1:11" ht="32.4" x14ac:dyDescent="0.25">
      <c r="A17" s="73" t="str">
        <f>'Данные '!B4</f>
        <v>01.12.2025</v>
      </c>
      <c r="B17" s="58" t="str">
        <f>'Данные '!B36</f>
        <v>ГНБ №1</v>
      </c>
      <c r="C17" s="58">
        <v>1.02</v>
      </c>
      <c r="D17" s="58">
        <v>80</v>
      </c>
      <c r="E17" s="58">
        <v>11</v>
      </c>
      <c r="F17" s="58">
        <v>0.5</v>
      </c>
      <c r="G17" s="58">
        <v>14</v>
      </c>
      <c r="H17" s="58">
        <v>78</v>
      </c>
      <c r="I17" s="58">
        <v>16</v>
      </c>
      <c r="J17" s="58">
        <v>81</v>
      </c>
      <c r="K17" s="67" t="str">
        <f>CONCATENATE('Данные '!B18," ",'Данные '!B17," ",'Данные '!B19)</f>
        <v>Гл.инженер ООО «КСС Регион» Сигарев А.А.</v>
      </c>
    </row>
    <row r="18" spans="1:11" ht="14.4" x14ac:dyDescent="0.25">
      <c r="A18" s="276" t="str">
        <f>'Форма 1'!A34:E34</f>
        <v>Буровой канал №2</v>
      </c>
      <c r="B18" s="277"/>
      <c r="C18" s="277"/>
      <c r="D18" s="277"/>
      <c r="E18" s="277"/>
      <c r="F18" s="277"/>
      <c r="G18" s="277"/>
      <c r="H18" s="277"/>
      <c r="I18" s="277"/>
      <c r="J18" s="277"/>
      <c r="K18" s="278"/>
    </row>
    <row r="19" spans="1:11" ht="33" customHeight="1" x14ac:dyDescent="0.25">
      <c r="A19" s="73" t="str">
        <f>'Данные '!B4</f>
        <v>01.12.2025</v>
      </c>
      <c r="B19" s="58" t="str">
        <f>'Данные '!B36</f>
        <v>ГНБ №1</v>
      </c>
      <c r="C19" s="58">
        <v>1.03</v>
      </c>
      <c r="D19" s="58">
        <v>82</v>
      </c>
      <c r="E19" s="58">
        <v>12</v>
      </c>
      <c r="F19" s="58">
        <v>0.6</v>
      </c>
      <c r="G19" s="58">
        <v>13</v>
      </c>
      <c r="H19" s="58">
        <v>75</v>
      </c>
      <c r="I19" s="58">
        <v>18</v>
      </c>
      <c r="J19" s="58">
        <v>79</v>
      </c>
      <c r="K19" s="67" t="str">
        <f>CONCATENATE('Данные '!B18," ",'Данные '!B17," ",'Данные '!B19)</f>
        <v>Гл.инженер ООО «КСС Регион» Сигарев А.А.</v>
      </c>
    </row>
    <row r="20" spans="1:11" ht="14.4" x14ac:dyDescent="0.25">
      <c r="A20" s="174"/>
      <c r="B20" s="174"/>
      <c r="C20" s="174"/>
      <c r="D20" s="174"/>
      <c r="E20" s="174"/>
      <c r="F20" s="174"/>
      <c r="G20" s="174"/>
      <c r="H20" s="174"/>
      <c r="I20" s="174"/>
      <c r="J20" s="174"/>
      <c r="K20" s="174"/>
    </row>
    <row r="23" spans="1:11" x14ac:dyDescent="0.25">
      <c r="A23" s="56" t="s">
        <v>259</v>
      </c>
    </row>
    <row r="24" spans="1:11" x14ac:dyDescent="0.25">
      <c r="A24" s="56" t="s">
        <v>328</v>
      </c>
    </row>
  </sheetData>
  <mergeCells count="18">
    <mergeCell ref="A18:K18"/>
    <mergeCell ref="H4:K4"/>
    <mergeCell ref="F13:F14"/>
    <mergeCell ref="G13:G14"/>
    <mergeCell ref="H13:H14"/>
    <mergeCell ref="I13:J13"/>
    <mergeCell ref="I5:K5"/>
    <mergeCell ref="A7:K7"/>
    <mergeCell ref="A8:K8"/>
    <mergeCell ref="A11:K11"/>
    <mergeCell ref="A12:A14"/>
    <mergeCell ref="B12:B14"/>
    <mergeCell ref="C12:J12"/>
    <mergeCell ref="K12:K14"/>
    <mergeCell ref="C13:C14"/>
    <mergeCell ref="D13:D14"/>
    <mergeCell ref="E13:E14"/>
    <mergeCell ref="A16:K16"/>
  </mergeCells>
  <pageMargins left="0.7" right="0.7" top="0.75" bottom="0.75" header="0.3" footer="0.3"/>
  <pageSetup paperSize="9" scale="8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4681-E17D-473B-8BCC-DC2E3D586230}">
  <dimension ref="A1:G75"/>
  <sheetViews>
    <sheetView view="pageBreakPreview" topLeftCell="A35" zoomScaleNormal="100" zoomScaleSheetLayoutView="100" workbookViewId="0">
      <selection activeCell="B68" sqref="B68"/>
    </sheetView>
  </sheetViews>
  <sheetFormatPr defaultColWidth="9.109375" defaultRowHeight="10.199999999999999" x14ac:dyDescent="0.2"/>
  <cols>
    <col min="1" max="1" width="20.44140625" style="4" customWidth="1"/>
    <col min="2" max="2" width="9.109375" style="4"/>
    <col min="3" max="3" width="13.109375" style="4" customWidth="1"/>
    <col min="4" max="4" width="10.5546875" style="4" customWidth="1"/>
    <col min="5" max="5" width="12.109375" style="4" customWidth="1"/>
    <col min="6" max="16384" width="9.109375" style="4"/>
  </cols>
  <sheetData>
    <row r="1" spans="1:7" x14ac:dyDescent="0.2">
      <c r="A1" s="257" t="s">
        <v>53</v>
      </c>
      <c r="B1" s="257"/>
      <c r="C1" s="257"/>
      <c r="D1" s="257"/>
      <c r="E1" s="257"/>
      <c r="F1" s="257"/>
      <c r="G1" s="257"/>
    </row>
    <row r="2" spans="1:7" x14ac:dyDescent="0.2">
      <c r="A2" s="268" t="s">
        <v>100</v>
      </c>
      <c r="B2" s="268"/>
      <c r="C2" s="268"/>
      <c r="D2" s="268"/>
      <c r="E2" s="268"/>
      <c r="F2" s="268"/>
      <c r="G2" s="268"/>
    </row>
    <row r="3" spans="1:7" x14ac:dyDescent="0.2">
      <c r="A3" s="77"/>
      <c r="B3" s="77"/>
      <c r="C3" s="77"/>
      <c r="D3" s="77"/>
      <c r="E3" s="77"/>
      <c r="F3" s="77"/>
      <c r="G3" s="77"/>
    </row>
    <row r="4" spans="1:7" ht="79.5" customHeight="1" x14ac:dyDescent="0.25">
      <c r="A4" s="78" t="s">
        <v>54</v>
      </c>
      <c r="B4" s="301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301"/>
      <c r="D4" s="301"/>
      <c r="E4" s="301"/>
      <c r="F4" s="301"/>
      <c r="G4" s="301"/>
    </row>
    <row r="5" spans="1:7" ht="10.8" x14ac:dyDescent="0.2">
      <c r="A5" s="78" t="s">
        <v>55</v>
      </c>
      <c r="B5" s="271" t="str">
        <f>'Данные '!B36</f>
        <v>ГНБ №1</v>
      </c>
      <c r="C5" s="271"/>
      <c r="D5" s="271"/>
      <c r="E5" s="271"/>
      <c r="F5" s="271"/>
      <c r="G5" s="77"/>
    </row>
    <row r="6" spans="1:7" x14ac:dyDescent="0.2">
      <c r="A6" s="77"/>
      <c r="B6" s="77"/>
      <c r="C6" s="77"/>
      <c r="D6" s="77"/>
      <c r="E6" s="77"/>
      <c r="F6" s="77"/>
      <c r="G6" s="77"/>
    </row>
    <row r="7" spans="1:7" ht="15.9" customHeight="1" x14ac:dyDescent="0.2">
      <c r="A7" s="79"/>
      <c r="B7" s="80"/>
      <c r="C7" s="81" t="s">
        <v>33</v>
      </c>
      <c r="D7" s="82">
        <f>'Форма 2'!C7</f>
        <v>1</v>
      </c>
      <c r="E7" s="80"/>
      <c r="F7" s="80"/>
      <c r="G7" s="80"/>
    </row>
    <row r="8" spans="1:7" ht="15.9" customHeight="1" x14ac:dyDescent="0.2">
      <c r="A8" s="289" t="s">
        <v>101</v>
      </c>
      <c r="B8" s="289"/>
      <c r="C8" s="289"/>
      <c r="D8" s="289"/>
      <c r="E8" s="289"/>
      <c r="F8" s="289"/>
      <c r="G8" s="289"/>
    </row>
    <row r="9" spans="1:7" x14ac:dyDescent="0.2">
      <c r="A9" s="77"/>
      <c r="B9" s="77"/>
      <c r="C9" s="77"/>
      <c r="D9" s="77"/>
      <c r="E9" s="77"/>
      <c r="F9" s="77"/>
      <c r="G9" s="77"/>
    </row>
    <row r="10" spans="1:7" ht="15.9" hidden="1" customHeight="1" x14ac:dyDescent="0.2">
      <c r="A10" s="83" t="s">
        <v>141</v>
      </c>
      <c r="B10" s="270" t="e">
        <f>'Данные '!#REF!</f>
        <v>#REF!</v>
      </c>
      <c r="C10" s="270"/>
      <c r="D10" s="270"/>
      <c r="E10" s="270"/>
      <c r="F10" s="270"/>
      <c r="G10" s="270"/>
    </row>
    <row r="11" spans="1:7" hidden="1" x14ac:dyDescent="0.2">
      <c r="A11" s="77"/>
      <c r="B11" s="77"/>
      <c r="C11" s="77"/>
      <c r="D11" s="77"/>
      <c r="E11" s="77"/>
      <c r="F11" s="77"/>
      <c r="G11" s="77"/>
    </row>
    <row r="12" spans="1:7" customFormat="1" ht="14.4" x14ac:dyDescent="0.3">
      <c r="A12" s="84"/>
      <c r="B12" s="85"/>
      <c r="C12" s="85"/>
      <c r="D12" s="85"/>
      <c r="E12" s="85"/>
      <c r="F12" s="262" t="str">
        <f>'Форма 2'!F10</f>
        <v>01.12.2025</v>
      </c>
      <c r="G12" s="262"/>
    </row>
    <row r="13" spans="1:7" x14ac:dyDescent="0.2">
      <c r="A13" s="77"/>
      <c r="B13" s="77"/>
      <c r="C13" s="77"/>
      <c r="D13" s="77"/>
      <c r="E13" s="77"/>
      <c r="F13" s="77"/>
      <c r="G13" s="77"/>
    </row>
    <row r="14" spans="1:7" x14ac:dyDescent="0.2">
      <c r="A14" s="77"/>
      <c r="B14" s="77"/>
      <c r="C14" s="77"/>
      <c r="D14" s="77"/>
      <c r="E14" s="77"/>
      <c r="F14" s="77"/>
      <c r="G14" s="77"/>
    </row>
    <row r="15" spans="1:7" ht="15.9" customHeight="1" x14ac:dyDescent="0.2">
      <c r="A15" s="223" t="s">
        <v>102</v>
      </c>
      <c r="B15" s="224"/>
      <c r="C15" s="224"/>
      <c r="D15" s="224"/>
      <c r="E15" s="224"/>
      <c r="F15" s="224"/>
      <c r="G15" s="77"/>
    </row>
    <row r="16" spans="1:7" x14ac:dyDescent="0.2">
      <c r="A16" s="77"/>
      <c r="B16" s="77"/>
      <c r="C16" s="77"/>
      <c r="D16" s="77"/>
      <c r="E16" s="77"/>
      <c r="F16" s="77"/>
      <c r="G16" s="77"/>
    </row>
    <row r="17" spans="1:7" ht="10.8" x14ac:dyDescent="0.25">
      <c r="A17" s="78" t="s">
        <v>56</v>
      </c>
      <c r="B17" s="292" t="str">
        <f>CONCATENATE('Данные '!B18," ",'Данные '!B17," ",'Данные '!B19)</f>
        <v>Гл.инженер ООО «КСС Регион» Сигарев А.А.</v>
      </c>
      <c r="C17" s="292"/>
      <c r="D17" s="292"/>
      <c r="E17" s="292"/>
      <c r="F17" s="292"/>
      <c r="G17" s="292"/>
    </row>
    <row r="18" spans="1:7" ht="15" customHeight="1" x14ac:dyDescent="0.2">
      <c r="A18" s="78"/>
      <c r="B18" s="266" t="s">
        <v>57</v>
      </c>
      <c r="C18" s="266"/>
      <c r="D18" s="266"/>
      <c r="E18" s="266"/>
      <c r="F18" s="266"/>
      <c r="G18" s="266"/>
    </row>
    <row r="19" spans="1:7" ht="12.75" customHeight="1" x14ac:dyDescent="0.25">
      <c r="A19" s="78" t="s">
        <v>68</v>
      </c>
      <c r="B19" s="292" t="str">
        <f>CONCATENATE('Данные '!B10," ",'Данные '!B7," ",'Данные '!B11)</f>
        <v>Прораб ООО "Энергосистемы" Волков М.Ю.</v>
      </c>
      <c r="C19" s="292"/>
      <c r="D19" s="292"/>
      <c r="E19" s="292"/>
      <c r="F19" s="292"/>
      <c r="G19" s="292"/>
    </row>
    <row r="20" spans="1:7" ht="15" customHeight="1" x14ac:dyDescent="0.2">
      <c r="A20" s="78"/>
      <c r="B20" s="263" t="s">
        <v>57</v>
      </c>
      <c r="C20" s="263"/>
      <c r="D20" s="263"/>
      <c r="E20" s="263"/>
      <c r="F20" s="263"/>
      <c r="G20" s="263"/>
    </row>
    <row r="21" spans="1:7" ht="20.399999999999999" hidden="1" x14ac:dyDescent="0.25">
      <c r="A21" s="78" t="s">
        <v>69</v>
      </c>
      <c r="B21" s="292"/>
      <c r="C21" s="292"/>
      <c r="D21" s="292"/>
      <c r="E21" s="292"/>
      <c r="F21" s="292"/>
      <c r="G21" s="292"/>
    </row>
    <row r="22" spans="1:7" ht="15" hidden="1" customHeight="1" x14ac:dyDescent="0.2">
      <c r="A22" s="78"/>
      <c r="B22" s="263" t="s">
        <v>57</v>
      </c>
      <c r="C22" s="263"/>
      <c r="D22" s="263"/>
      <c r="E22" s="263"/>
      <c r="F22" s="263"/>
      <c r="G22" s="263"/>
    </row>
    <row r="23" spans="1:7" ht="30.6" x14ac:dyDescent="0.25">
      <c r="A23" s="78" t="s">
        <v>70</v>
      </c>
      <c r="B23" s="292"/>
      <c r="C23" s="292"/>
      <c r="D23" s="292"/>
      <c r="E23" s="292"/>
      <c r="F23" s="292"/>
      <c r="G23" s="292"/>
    </row>
    <row r="24" spans="1:7" ht="15" customHeight="1" x14ac:dyDescent="0.2">
      <c r="A24" s="78"/>
      <c r="B24" s="266" t="s">
        <v>57</v>
      </c>
      <c r="C24" s="266"/>
      <c r="D24" s="266"/>
      <c r="E24" s="266"/>
      <c r="F24" s="266"/>
      <c r="G24" s="266"/>
    </row>
    <row r="25" spans="1:7" ht="20.399999999999999" x14ac:dyDescent="0.25">
      <c r="A25" s="78" t="s">
        <v>71</v>
      </c>
      <c r="B25" s="292"/>
      <c r="C25" s="292"/>
      <c r="D25" s="292"/>
      <c r="E25" s="292"/>
      <c r="F25" s="292"/>
      <c r="G25" s="292"/>
    </row>
    <row r="26" spans="1:7" ht="13.5" customHeight="1" x14ac:dyDescent="0.2">
      <c r="A26" s="86"/>
      <c r="B26" s="266" t="s">
        <v>57</v>
      </c>
      <c r="C26" s="266"/>
      <c r="D26" s="266"/>
      <c r="E26" s="266"/>
      <c r="F26" s="266"/>
      <c r="G26" s="266"/>
    </row>
    <row r="27" spans="1:7" x14ac:dyDescent="0.2">
      <c r="A27" s="265" t="s">
        <v>72</v>
      </c>
      <c r="B27" s="265"/>
      <c r="C27" s="78"/>
      <c r="D27" s="78"/>
      <c r="E27" s="78"/>
      <c r="F27" s="77"/>
      <c r="G27" s="77"/>
    </row>
    <row r="28" spans="1:7" ht="10.8" x14ac:dyDescent="0.2">
      <c r="A28" s="270" t="str">
        <f>'Данные '!B7</f>
        <v>ООО "Энергосистемы"</v>
      </c>
      <c r="B28" s="270"/>
      <c r="C28" s="270"/>
      <c r="D28" s="270"/>
      <c r="E28" s="270"/>
      <c r="F28" s="270"/>
      <c r="G28" s="270"/>
    </row>
    <row r="29" spans="1:7" ht="11.25" customHeight="1" x14ac:dyDescent="0.2">
      <c r="A29" s="266" t="s">
        <v>73</v>
      </c>
      <c r="B29" s="266"/>
      <c r="C29" s="266"/>
      <c r="D29" s="266"/>
      <c r="E29" s="266"/>
      <c r="F29" s="266"/>
      <c r="G29" s="266"/>
    </row>
    <row r="30" spans="1:7" x14ac:dyDescent="0.2">
      <c r="A30" s="265" t="s">
        <v>103</v>
      </c>
      <c r="B30" s="265"/>
      <c r="C30" s="78"/>
      <c r="D30" s="78"/>
      <c r="E30" s="78"/>
      <c r="F30" s="77"/>
      <c r="G30" s="77"/>
    </row>
    <row r="31" spans="1:7" ht="25.2" customHeight="1" x14ac:dyDescent="0.2">
      <c r="A31" s="270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31" s="270"/>
      <c r="C31" s="270"/>
      <c r="D31" s="270"/>
      <c r="E31" s="270"/>
      <c r="F31" s="270"/>
      <c r="G31" s="270"/>
    </row>
    <row r="32" spans="1:7" x14ac:dyDescent="0.2">
      <c r="A32" s="263" t="s">
        <v>104</v>
      </c>
      <c r="B32" s="263"/>
      <c r="C32" s="263"/>
      <c r="D32" s="263"/>
      <c r="E32" s="263"/>
      <c r="F32" s="263"/>
      <c r="G32" s="263"/>
    </row>
    <row r="33" spans="1:7" x14ac:dyDescent="0.2">
      <c r="A33" s="77"/>
      <c r="B33" s="77"/>
      <c r="C33" s="77"/>
      <c r="D33" s="77"/>
      <c r="E33" s="77"/>
      <c r="F33" s="77"/>
      <c r="G33" s="77"/>
    </row>
    <row r="34" spans="1:7" ht="15.9" customHeight="1" x14ac:dyDescent="0.2">
      <c r="A34" s="297" t="s">
        <v>105</v>
      </c>
      <c r="B34" s="224"/>
      <c r="C34" s="224"/>
      <c r="D34" s="224"/>
      <c r="E34" s="224"/>
      <c r="F34" s="224"/>
      <c r="G34" s="77"/>
    </row>
    <row r="35" spans="1:7" ht="13.5" customHeight="1" x14ac:dyDescent="0.2">
      <c r="A35" s="299" t="s">
        <v>256</v>
      </c>
      <c r="B35" s="299"/>
      <c r="C35" s="299"/>
      <c r="D35" s="161" t="str">
        <f>'Данные '!B36</f>
        <v>ГНБ №1</v>
      </c>
      <c r="E35" s="71" t="s">
        <v>134</v>
      </c>
      <c r="F35" s="300" t="str">
        <f>'Данные '!B31</f>
        <v>ООО "Энергосистемы"</v>
      </c>
      <c r="G35" s="300"/>
    </row>
    <row r="36" spans="1:7" ht="15.9" customHeight="1" x14ac:dyDescent="0.2">
      <c r="A36" s="298" t="s">
        <v>106</v>
      </c>
      <c r="B36" s="295"/>
      <c r="C36" s="295"/>
      <c r="D36" s="295"/>
      <c r="E36" s="295"/>
      <c r="F36" s="295"/>
      <c r="G36" s="71"/>
    </row>
    <row r="37" spans="1:7" ht="15.9" customHeight="1" x14ac:dyDescent="0.2">
      <c r="A37" s="298" t="s">
        <v>107</v>
      </c>
      <c r="B37" s="295"/>
      <c r="C37" s="295"/>
      <c r="D37" s="295"/>
      <c r="E37" s="295"/>
      <c r="F37" s="295"/>
      <c r="G37" s="71"/>
    </row>
    <row r="38" spans="1:7" ht="24" customHeight="1" x14ac:dyDescent="0.2">
      <c r="A38" s="290" t="s">
        <v>108</v>
      </c>
      <c r="B38" s="290"/>
      <c r="C38" s="290"/>
      <c r="D38" s="290"/>
      <c r="E38" s="290"/>
      <c r="F38" s="290"/>
      <c r="G38" s="290"/>
    </row>
    <row r="39" spans="1:7" ht="15.75" customHeight="1" x14ac:dyDescent="0.2">
      <c r="A39" s="290" t="s">
        <v>109</v>
      </c>
      <c r="B39" s="290"/>
      <c r="C39" s="290"/>
      <c r="D39" s="290"/>
      <c r="E39" s="290"/>
      <c r="F39" s="290"/>
      <c r="G39" s="290"/>
    </row>
    <row r="40" spans="1:7" x14ac:dyDescent="0.2">
      <c r="A40" s="71"/>
      <c r="B40" s="71"/>
      <c r="C40" s="71"/>
      <c r="D40" s="71"/>
      <c r="E40" s="71"/>
      <c r="F40" s="71"/>
      <c r="G40" s="71"/>
    </row>
    <row r="41" spans="1:7" ht="15.9" customHeight="1" x14ac:dyDescent="0.2">
      <c r="A41" s="294" t="s">
        <v>110</v>
      </c>
      <c r="B41" s="295"/>
      <c r="C41" s="295"/>
      <c r="D41" s="295"/>
      <c r="E41" s="295"/>
      <c r="F41" s="295"/>
      <c r="G41" s="71"/>
    </row>
    <row r="42" spans="1:7" ht="15.75" customHeight="1" x14ac:dyDescent="0.2">
      <c r="A42" s="83" t="s">
        <v>135</v>
      </c>
      <c r="B42" s="161" t="str">
        <f>'Данные '!B39</f>
        <v>2х(3х116)</v>
      </c>
      <c r="C42" s="71" t="s">
        <v>136</v>
      </c>
      <c r="D42" s="161" t="str">
        <f>'Данные '!B41</f>
        <v>Ø160</v>
      </c>
      <c r="E42" s="71" t="s">
        <v>137</v>
      </c>
      <c r="F42" s="71"/>
      <c r="G42" s="71"/>
    </row>
    <row r="43" spans="1:7" ht="15.75" customHeight="1" x14ac:dyDescent="0.2">
      <c r="A43" s="87" t="s">
        <v>138</v>
      </c>
      <c r="B43" s="88"/>
      <c r="C43" s="291" t="str">
        <f>'Форма 1'!D11</f>
        <v>Vermeer Navigator D80x100 Series II</v>
      </c>
      <c r="D43" s="291"/>
      <c r="E43" s="291"/>
      <c r="F43" s="71"/>
      <c r="G43" s="71"/>
    </row>
    <row r="44" spans="1:7" x14ac:dyDescent="0.2">
      <c r="A44" s="77"/>
      <c r="B44" s="77"/>
      <c r="C44" s="77"/>
      <c r="D44" s="77"/>
      <c r="E44" s="77"/>
      <c r="F44" s="77"/>
      <c r="G44" s="77"/>
    </row>
    <row r="45" spans="1:7" ht="15.9" customHeight="1" x14ac:dyDescent="0.25">
      <c r="A45" s="89" t="s">
        <v>139</v>
      </c>
      <c r="B45" s="262" t="str">
        <f>B46</f>
        <v>01.12.2025</v>
      </c>
      <c r="C45" s="262"/>
      <c r="D45" s="71"/>
      <c r="E45" s="71"/>
      <c r="F45" s="71"/>
      <c r="G45" s="77"/>
    </row>
    <row r="46" spans="1:7" ht="15.9" customHeight="1" x14ac:dyDescent="0.25">
      <c r="A46" s="89" t="s">
        <v>140</v>
      </c>
      <c r="B46" s="296" t="str">
        <f>F12</f>
        <v>01.12.2025</v>
      </c>
      <c r="C46" s="296"/>
      <c r="D46" s="71"/>
      <c r="E46" s="71"/>
      <c r="F46" s="71"/>
      <c r="G46" s="77"/>
    </row>
    <row r="47" spans="1:7" x14ac:dyDescent="0.2">
      <c r="A47" s="77"/>
      <c r="B47" s="77"/>
      <c r="C47" s="77"/>
      <c r="D47" s="77"/>
      <c r="E47" s="77"/>
      <c r="F47" s="77"/>
      <c r="G47" s="77"/>
    </row>
    <row r="48" spans="1:7" ht="15.75" customHeight="1" x14ac:dyDescent="0.2">
      <c r="A48" s="265" t="s">
        <v>111</v>
      </c>
      <c r="B48" s="265"/>
      <c r="C48" s="265"/>
      <c r="D48" s="77"/>
      <c r="E48" s="77"/>
      <c r="F48" s="77"/>
      <c r="G48" s="77"/>
    </row>
    <row r="49" spans="1:7" ht="24" customHeight="1" x14ac:dyDescent="0.2">
      <c r="A49" s="288" t="s">
        <v>274</v>
      </c>
      <c r="B49" s="288"/>
      <c r="C49" s="288"/>
      <c r="D49" s="288"/>
      <c r="E49" s="288"/>
      <c r="F49" s="288"/>
      <c r="G49" s="288"/>
    </row>
    <row r="50" spans="1:7" ht="10.8" x14ac:dyDescent="0.2">
      <c r="A50" s="90"/>
      <c r="B50" s="77"/>
      <c r="C50" s="77"/>
      <c r="D50" s="77"/>
      <c r="E50" s="77"/>
      <c r="F50" s="77"/>
      <c r="G50" s="77"/>
    </row>
    <row r="51" spans="1:7" ht="14.25" customHeight="1" x14ac:dyDescent="0.2">
      <c r="A51" s="263" t="s">
        <v>112</v>
      </c>
      <c r="B51" s="263"/>
      <c r="C51" s="263"/>
      <c r="D51" s="263"/>
      <c r="E51" s="263"/>
      <c r="F51" s="263"/>
      <c r="G51" s="263"/>
    </row>
    <row r="52" spans="1:7" x14ac:dyDescent="0.2">
      <c r="A52" s="77"/>
      <c r="B52" s="77"/>
      <c r="C52" s="77"/>
      <c r="D52" s="77"/>
      <c r="E52" s="77"/>
      <c r="F52" s="77"/>
      <c r="G52" s="77"/>
    </row>
    <row r="53" spans="1:7" ht="17.25" customHeight="1" x14ac:dyDescent="0.2">
      <c r="A53" s="285" t="s">
        <v>142</v>
      </c>
      <c r="B53" s="265"/>
      <c r="C53" s="265"/>
      <c r="D53" s="265"/>
      <c r="E53" s="265"/>
      <c r="F53" s="265"/>
      <c r="G53" s="265"/>
    </row>
    <row r="54" spans="1:7" ht="10.8" x14ac:dyDescent="0.2">
      <c r="A54" s="245"/>
      <c r="B54" s="245"/>
      <c r="C54" s="245"/>
      <c r="D54" s="245"/>
      <c r="E54" s="245"/>
      <c r="F54" s="245"/>
      <c r="G54" s="245"/>
    </row>
    <row r="55" spans="1:7" x14ac:dyDescent="0.2">
      <c r="A55" s="286"/>
      <c r="B55" s="286"/>
      <c r="C55" s="286"/>
      <c r="D55" s="286"/>
      <c r="E55" s="286"/>
      <c r="F55" s="286"/>
      <c r="G55" s="286"/>
    </row>
    <row r="56" spans="1:7" ht="15" customHeight="1" x14ac:dyDescent="0.2">
      <c r="A56" s="254" t="s">
        <v>113</v>
      </c>
      <c r="B56" s="254"/>
      <c r="C56" s="254"/>
      <c r="D56" s="254"/>
      <c r="E56" s="254"/>
      <c r="F56" s="254"/>
      <c r="G56" s="254"/>
    </row>
    <row r="58" spans="1:7" ht="15.9" customHeight="1" x14ac:dyDescent="0.2">
      <c r="A58" s="287" t="s">
        <v>114</v>
      </c>
      <c r="B58" s="238"/>
      <c r="C58" s="238"/>
      <c r="D58" s="238"/>
      <c r="E58" s="238"/>
      <c r="F58" s="238"/>
    </row>
    <row r="59" spans="1:7" ht="26.25" customHeight="1" x14ac:dyDescent="0.2">
      <c r="A59" s="240" t="s">
        <v>115</v>
      </c>
      <c r="B59" s="240"/>
      <c r="C59" s="240"/>
      <c r="D59" s="240"/>
      <c r="E59" s="240"/>
      <c r="F59" s="240"/>
      <c r="G59" s="240"/>
    </row>
    <row r="60" spans="1:7" ht="10.8" x14ac:dyDescent="0.2">
      <c r="A60" s="245"/>
      <c r="B60" s="245"/>
      <c r="C60" s="245"/>
      <c r="D60" s="245"/>
      <c r="E60" s="245"/>
      <c r="F60" s="245"/>
      <c r="G60" s="245"/>
    </row>
    <row r="61" spans="1:7" x14ac:dyDescent="0.2">
      <c r="A61" s="259"/>
      <c r="B61" s="259"/>
      <c r="C61" s="259"/>
      <c r="D61" s="259"/>
      <c r="E61" s="259"/>
      <c r="F61" s="259"/>
      <c r="G61" s="259"/>
    </row>
    <row r="62" spans="1:7" ht="12.75" customHeight="1" x14ac:dyDescent="0.2">
      <c r="A62" s="246" t="s">
        <v>116</v>
      </c>
      <c r="B62" s="246"/>
      <c r="C62" s="246"/>
      <c r="D62" s="246"/>
      <c r="E62" s="246"/>
      <c r="F62" s="246"/>
      <c r="G62" s="246"/>
    </row>
    <row r="64" spans="1:7" ht="15.9" customHeight="1" x14ac:dyDescent="0.2">
      <c r="A64" s="247" t="s">
        <v>86</v>
      </c>
      <c r="B64" s="238"/>
      <c r="C64" s="238"/>
      <c r="D64" s="238"/>
      <c r="E64" s="238"/>
      <c r="F64" s="238"/>
    </row>
    <row r="65" spans="1:7" ht="26.25" customHeight="1" x14ac:dyDescent="0.25">
      <c r="A65" s="12" t="s">
        <v>56</v>
      </c>
      <c r="B65" s="250" t="str">
        <f>CONCATENATE('Данные '!B17,",",'Данные '!B18," ",'Данные '!B19)</f>
        <v>ООО «КСС Регион»,Гл.инженер Сигарев А.А.</v>
      </c>
      <c r="C65" s="250"/>
      <c r="D65" s="250"/>
      <c r="E65" s="22"/>
      <c r="F65" s="284"/>
      <c r="G65" s="284"/>
    </row>
    <row r="66" spans="1:7" x14ac:dyDescent="0.2">
      <c r="A66" s="12"/>
      <c r="B66" s="21"/>
      <c r="C66" s="21"/>
      <c r="D66" s="21"/>
      <c r="E66" s="21"/>
    </row>
    <row r="67" spans="1:7" ht="10.8" x14ac:dyDescent="0.25">
      <c r="A67" s="12" t="s">
        <v>68</v>
      </c>
      <c r="B67" s="250" t="str">
        <f>CONCATENATE('Данные '!B10,", ",'Данные '!B7," ",'Данные '!B11)</f>
        <v>Прораб, ООО "Энергосистемы" Волков М.Ю.</v>
      </c>
      <c r="C67" s="250"/>
      <c r="D67" s="250"/>
      <c r="E67" s="22"/>
      <c r="F67" s="284"/>
      <c r="G67" s="284"/>
    </row>
    <row r="68" spans="1:7" x14ac:dyDescent="0.2">
      <c r="A68" s="12"/>
      <c r="B68" s="21"/>
      <c r="C68" s="21"/>
      <c r="D68" s="21"/>
      <c r="E68" s="21"/>
    </row>
    <row r="69" spans="1:7" ht="30.6" x14ac:dyDescent="0.25">
      <c r="A69" s="12" t="s">
        <v>70</v>
      </c>
      <c r="B69" s="250"/>
      <c r="C69" s="250"/>
      <c r="D69" s="250"/>
      <c r="E69" s="22"/>
      <c r="F69" s="284"/>
      <c r="G69" s="284"/>
    </row>
    <row r="70" spans="1:7" x14ac:dyDescent="0.2">
      <c r="A70" s="12"/>
      <c r="B70" s="21"/>
      <c r="C70" s="21"/>
      <c r="D70" s="21"/>
      <c r="E70" s="21"/>
    </row>
    <row r="71" spans="1:7" ht="20.399999999999999" x14ac:dyDescent="0.2">
      <c r="A71" s="12" t="s">
        <v>71</v>
      </c>
      <c r="B71" s="282"/>
      <c r="C71" s="282"/>
      <c r="D71" s="282"/>
      <c r="E71" s="22"/>
      <c r="F71" s="283"/>
      <c r="G71" s="283"/>
    </row>
    <row r="72" spans="1:7" x14ac:dyDescent="0.2">
      <c r="A72" s="14"/>
      <c r="B72" s="21"/>
      <c r="C72" s="21"/>
      <c r="D72" s="21"/>
      <c r="E72" s="21"/>
    </row>
    <row r="74" spans="1:7" x14ac:dyDescent="0.2">
      <c r="A74" s="293"/>
      <c r="B74" s="238"/>
      <c r="C74" s="238"/>
      <c r="D74" s="238"/>
      <c r="E74" s="238"/>
      <c r="F74" s="238"/>
    </row>
    <row r="75" spans="1:7" ht="45" customHeight="1" x14ac:dyDescent="0.2">
      <c r="A75" s="247"/>
      <c r="B75" s="238"/>
      <c r="C75" s="238"/>
      <c r="D75" s="238"/>
      <c r="E75" s="238"/>
      <c r="F75" s="238"/>
    </row>
  </sheetData>
  <mergeCells count="58">
    <mergeCell ref="B4:G4"/>
    <mergeCell ref="A1:G1"/>
    <mergeCell ref="A2:G2"/>
    <mergeCell ref="A30:B30"/>
    <mergeCell ref="B19:G19"/>
    <mergeCell ref="B20:G20"/>
    <mergeCell ref="B21:G21"/>
    <mergeCell ref="B22:G22"/>
    <mergeCell ref="A74:F74"/>
    <mergeCell ref="A75:F75"/>
    <mergeCell ref="B5:F5"/>
    <mergeCell ref="F12:G12"/>
    <mergeCell ref="B17:G17"/>
    <mergeCell ref="B18:G18"/>
    <mergeCell ref="A41:F41"/>
    <mergeCell ref="B46:C46"/>
    <mergeCell ref="A34:F34"/>
    <mergeCell ref="A36:F36"/>
    <mergeCell ref="A37:F37"/>
    <mergeCell ref="A35:C35"/>
    <mergeCell ref="F35:G35"/>
    <mergeCell ref="A15:F15"/>
    <mergeCell ref="A27:B27"/>
    <mergeCell ref="A48:C48"/>
    <mergeCell ref="A49:G49"/>
    <mergeCell ref="A8:G8"/>
    <mergeCell ref="B10:G10"/>
    <mergeCell ref="A31:G31"/>
    <mergeCell ref="A32:G32"/>
    <mergeCell ref="A38:G38"/>
    <mergeCell ref="A39:G39"/>
    <mergeCell ref="C43:E43"/>
    <mergeCell ref="B45:C45"/>
    <mergeCell ref="B23:G23"/>
    <mergeCell ref="B24:G24"/>
    <mergeCell ref="B25:G25"/>
    <mergeCell ref="B26:G26"/>
    <mergeCell ref="A28:G28"/>
    <mergeCell ref="A29:G29"/>
    <mergeCell ref="A51:G51"/>
    <mergeCell ref="A53:G53"/>
    <mergeCell ref="A59:G59"/>
    <mergeCell ref="A60:G60"/>
    <mergeCell ref="A61:G61"/>
    <mergeCell ref="A54:G54"/>
    <mergeCell ref="A55:G55"/>
    <mergeCell ref="A56:G56"/>
    <mergeCell ref="A58:F58"/>
    <mergeCell ref="B71:D71"/>
    <mergeCell ref="F71:G71"/>
    <mergeCell ref="A62:G62"/>
    <mergeCell ref="B65:D65"/>
    <mergeCell ref="F65:G65"/>
    <mergeCell ref="B67:D67"/>
    <mergeCell ref="F67:G67"/>
    <mergeCell ref="B69:D69"/>
    <mergeCell ref="F69:G69"/>
    <mergeCell ref="A64:F64"/>
  </mergeCells>
  <pageMargins left="1.18" right="0.59" top="0.79" bottom="0.79" header="0.49" footer="0.49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5</vt:i4>
      </vt:variant>
    </vt:vector>
  </HeadingPairs>
  <TitlesOfParts>
    <vt:vector size="14" baseType="lpstr">
      <vt:lpstr>Данные организации</vt:lpstr>
      <vt:lpstr>Данные </vt:lpstr>
      <vt:lpstr>АОСР-1</vt:lpstr>
      <vt:lpstr>Форма 1</vt:lpstr>
      <vt:lpstr>Форма 2</vt:lpstr>
      <vt:lpstr>Форма 3</vt:lpstr>
      <vt:lpstr>Форма 4</vt:lpstr>
      <vt:lpstr>Форма 5</vt:lpstr>
      <vt:lpstr>Форма 6</vt:lpstr>
      <vt:lpstr>'АОСР-1'!Область_печати</vt:lpstr>
      <vt:lpstr>'Форма 1'!Область_печати</vt:lpstr>
      <vt:lpstr>'Форма 3'!Область_печати</vt:lpstr>
      <vt:lpstr>'Форма 4'!Область_печати</vt:lpstr>
      <vt:lpstr>'Форма 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Субботин Александр Игоревич</dc:creator>
  <cp:lastModifiedBy>Белоусова Екатерина Николаевна</cp:lastModifiedBy>
  <cp:revision>13</cp:revision>
  <cp:lastPrinted>2025-11-25T10:28:43Z</cp:lastPrinted>
  <dcterms:created xsi:type="dcterms:W3CDTF">2023-02-27T08:16:00Z</dcterms:created>
  <dcterms:modified xsi:type="dcterms:W3CDTF">2026-07-18T08:15:24Z</dcterms:modified>
</cp:coreProperties>
</file>