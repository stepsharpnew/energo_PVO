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3BD44AE4-79B2-484D-831C-F961B58A9C09}" xr6:coauthVersionLast="45" xr6:coauthVersionMax="47" xr10:uidLastSave="{00000000-0000-0000-0000-000000000000}"/>
  <bookViews>
    <workbookView xWindow="-120" yWindow="-120" windowWidth="29040" windowHeight="15840" tabRatio="905" activeTab="1" xr2:uid="{00000000-000D-0000-FFFF-FFFF00000000}"/>
  </bookViews>
  <sheets>
    <sheet name="Данные организации" sheetId="129" r:id="rId1"/>
    <sheet name="Данные объект" sheetId="128" r:id="rId2"/>
    <sheet name="Обложка" sheetId="125" r:id="rId3"/>
    <sheet name="Титульный лист" sheetId="116" r:id="rId4"/>
    <sheet name="Раздел1" sheetId="118" r:id="rId5"/>
    <sheet name="Раздел2" sheetId="119" r:id="rId6"/>
    <sheet name="Раздел3" sheetId="120" r:id="rId7"/>
    <sheet name="Раздел4" sheetId="124" r:id="rId8"/>
    <sheet name="Раздел5" sheetId="122" r:id="rId9"/>
    <sheet name="Раздел6" sheetId="121" r:id="rId10"/>
    <sheet name="ярлык" sheetId="127" r:id="rId11"/>
  </sheets>
  <externalReferences>
    <externalReference r:id="rId12"/>
  </externalReferences>
  <definedNames>
    <definedName name="_xlnm.Print_Titles" localSheetId="4">Раздел1!$3:$4</definedName>
    <definedName name="_xlnm.Print_Titles" localSheetId="6">Раздел3!$3:$4</definedName>
    <definedName name="_xlnm.Print_Titles" localSheetId="7">Раздел4!$3:$4</definedName>
    <definedName name="_xlnm.Print_Titles" localSheetId="8">Раздел5!$3:$4</definedName>
    <definedName name="_xlnm.Print_Titles" localSheetId="9">Раздел6!$3:$4</definedName>
    <definedName name="_xlnm.Print_Titles" localSheetId="10">ярлык!#REF!</definedName>
    <definedName name="_xlnm.Print_Area" localSheetId="2">Обложка!$A$1:$I$55</definedName>
    <definedName name="_xlnm.Print_Area" localSheetId="4">Раздел1!$A$1:$F$45</definedName>
    <definedName name="_xlnm.Print_Area" localSheetId="5">Раздел2!$A$1:$E$51</definedName>
    <definedName name="_xlnm.Print_Area" localSheetId="6">Раздел3!$A$1:$E$53</definedName>
    <definedName name="_xlnm.Print_Area" localSheetId="7">Раздел4!$A$1:$G$47</definedName>
    <definedName name="_xlnm.Print_Area" localSheetId="8">Раздел5!$A$1:$C$57</definedName>
    <definedName name="_xlnm.Print_Area" localSheetId="9">Раздел6!$A$1:$G$57</definedName>
    <definedName name="_xlnm.Print_Area" localSheetId="3">'Титульный лист'!$A$1:$AJ$232</definedName>
    <definedName name="_xlnm.Print_Area" localSheetId="10">ярлык!$A$1:$F$15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19" l="1"/>
  <c r="E7" i="118"/>
  <c r="E6" i="118"/>
  <c r="V195" i="116"/>
  <c r="O39" i="116"/>
  <c r="C39" i="128"/>
  <c r="H27" i="129" l="1"/>
  <c r="H26" i="129"/>
  <c r="I25" i="129"/>
  <c r="G25" i="129"/>
  <c r="H25" i="129"/>
  <c r="F7" i="118" l="1"/>
  <c r="F6" i="118"/>
  <c r="F5" i="118"/>
  <c r="G6" i="124"/>
  <c r="E6" i="124"/>
  <c r="D7" i="118"/>
  <c r="D6" i="118"/>
  <c r="E5" i="118"/>
  <c r="D5" i="118"/>
  <c r="C34" i="128" l="1"/>
  <c r="V119" i="116" l="1"/>
  <c r="V103" i="116"/>
  <c r="C39" i="116" l="1"/>
  <c r="B55" i="128" l="1"/>
  <c r="A17" i="116" l="1"/>
  <c r="A15" i="116"/>
  <c r="Q4" i="116"/>
  <c r="A13" i="116"/>
  <c r="F23" i="125"/>
  <c r="H185" i="116"/>
  <c r="H182" i="116"/>
  <c r="A178" i="116"/>
  <c r="A176" i="116"/>
  <c r="C119" i="116"/>
  <c r="C103" i="116"/>
  <c r="O96" i="116"/>
  <c r="C96" i="116"/>
  <c r="T95" i="116"/>
  <c r="O95" i="116"/>
  <c r="C95" i="116"/>
  <c r="A69" i="116"/>
  <c r="A67" i="116"/>
  <c r="A65" i="116"/>
  <c r="A8" i="116"/>
  <c r="C58" i="128"/>
  <c r="C48" i="128"/>
  <c r="C47" i="128"/>
  <c r="C46" i="128"/>
  <c r="C45" i="128"/>
  <c r="C44" i="128"/>
  <c r="C42" i="128"/>
  <c r="C41" i="128"/>
  <c r="C40" i="128"/>
  <c r="O103" i="116" s="1"/>
  <c r="C38" i="128"/>
  <c r="C37" i="128"/>
  <c r="C36" i="128"/>
  <c r="C35" i="128"/>
  <c r="C33" i="128"/>
  <c r="J39" i="116" s="1"/>
  <c r="B32" i="128"/>
  <c r="B31" i="128"/>
  <c r="C28" i="128"/>
  <c r="C27" i="128"/>
  <c r="C26" i="128"/>
  <c r="C24" i="128"/>
  <c r="C23" i="128"/>
  <c r="C22" i="128"/>
  <c r="J95" i="116" s="1"/>
  <c r="C21" i="128"/>
  <c r="C17" i="128"/>
  <c r="D30" i="129"/>
  <c r="C30" i="129"/>
  <c r="G30" i="129"/>
  <c r="D29" i="129"/>
  <c r="C29" i="129"/>
  <c r="I29" i="129"/>
  <c r="G29" i="129"/>
  <c r="D28" i="129"/>
  <c r="C28" i="129"/>
  <c r="I28" i="129"/>
  <c r="G28" i="129"/>
  <c r="D27" i="129"/>
  <c r="C27" i="129"/>
  <c r="I27" i="129"/>
  <c r="G27" i="129"/>
  <c r="D26" i="129"/>
  <c r="C26" i="129"/>
  <c r="I26" i="129"/>
  <c r="G26" i="129"/>
  <c r="D25" i="129"/>
  <c r="C25" i="129"/>
  <c r="D24" i="129"/>
  <c r="C24" i="129"/>
  <c r="G5" i="124" l="1"/>
  <c r="E5" i="124"/>
  <c r="J96" i="116"/>
  <c r="O119" i="116"/>
  <c r="A31" i="116"/>
  <c r="A33" i="116"/>
</calcChain>
</file>

<file path=xl/sharedStrings.xml><?xml version="1.0" encoding="utf-8"?>
<sst xmlns="http://schemas.openxmlformats.org/spreadsheetml/2006/main" count="458" uniqueCount="268">
  <si>
    <t>Лицо, осуществляющее подготовку проектной документации</t>
  </si>
  <si>
    <t xml:space="preserve">(наименование объекта капитального строительства, его  почтовый или строительный адрес) </t>
  </si>
  <si>
    <t xml:space="preserve">Уполномоченный представитель застройщика </t>
  </si>
  <si>
    <t>Наименование, дата, номер документа, подтверждающего полномочие</t>
  </si>
  <si>
    <t>Подпись</t>
  </si>
  <si>
    <t>Другие лица, осуществляющие строительство, их уполномоченные представители</t>
  </si>
  <si>
    <t>(наименование объекта капитального строительства,</t>
  </si>
  <si>
    <t>М.П.</t>
  </si>
  <si>
    <t>Регистрационная надпись органа государственного строительного надзора</t>
  </si>
  <si>
    <t>(заполняется должностным лицом органа государственного строительного надзора)</t>
  </si>
  <si>
    <t>Дата</t>
  </si>
  <si>
    <t>Застройщик</t>
  </si>
  <si>
    <t xml:space="preserve">Начало строительства, реконструкции, капитального ремонта объекта капитального  </t>
  </si>
  <si>
    <t>строительства</t>
  </si>
  <si>
    <t xml:space="preserve">Окончание строительства, реконструкции, капитального ремонта объекта капитального  </t>
  </si>
  <si>
    <t xml:space="preserve">                                                                                                    </t>
  </si>
  <si>
    <t xml:space="preserve"> (дата)</t>
  </si>
  <si>
    <t>(заполняется в случае, если в процессе строительства, реконструкции, капитального ремонта велось несколько журналов).</t>
  </si>
  <si>
    <t>Изменения в записях с указанием основания</t>
  </si>
  <si>
    <t xml:space="preserve">Дата начала 
работ на объекте капитального строительства с указанием вида работ
</t>
  </si>
  <si>
    <t>РАЗДЕЛ 1</t>
  </si>
  <si>
    <t>Наименование специального журнала (журнала авторского надзора) и дата его выдачи</t>
  </si>
  <si>
    <t xml:space="preserve">Дата передачи застройщику или заказчику журнала </t>
  </si>
  <si>
    <t>РАЗДЕЛ 2</t>
  </si>
  <si>
    <t xml:space="preserve">Перечень специальных журналов, в которых ведется учет выполнения работ, а также журналов авторского надзора лица, осуществляющего подготовку проектной документации </t>
  </si>
  <si>
    <t>РАЗДЕЛ 3</t>
  </si>
  <si>
    <t>РАЗДЕЛ 4</t>
  </si>
  <si>
    <t>Выявленные 
недостатки</t>
  </si>
  <si>
    <t>Срок устранения выявленных недостатков</t>
  </si>
  <si>
    <t>Дата устранения недостатков</t>
  </si>
  <si>
    <t>РАЗДЕЛ 5</t>
  </si>
  <si>
    <t>Перечень исполнительной документации при строительстве, 
реконструкции, капитальном ремонте объекта капитального строительства</t>
  </si>
  <si>
    <t>Сведения о государственном строительном надзоре при строительстве, 
реконструкции, капитальном ремонте объекта капитального строительства</t>
  </si>
  <si>
    <t>1</t>
  </si>
  <si>
    <t>2</t>
  </si>
  <si>
    <t>3</t>
  </si>
  <si>
    <t>Срок устранения выявленных нарушений</t>
  </si>
  <si>
    <t>Фактическая дата устранения выявленных нарушений</t>
  </si>
  <si>
    <t xml:space="preserve">Должность, фамилия, инициалы, подпись должностного лица </t>
  </si>
  <si>
    <t>№№/ 
пп</t>
  </si>
  <si>
    <t>В журнале пронумеровано и прошнуровано</t>
  </si>
  <si>
    <t>“ ____ ” _____________ 20___ г.</t>
  </si>
  <si>
    <t>(должность, фамилия, инициалы и подпись руководителя организации,</t>
  </si>
  <si>
    <t>выдавшего журнал)</t>
  </si>
  <si>
    <t>Общий журнал работ, в котором ведется учет выполнения работ</t>
  </si>
  <si>
    <t>по строительству, реконтрукции, капитальному ремонту</t>
  </si>
  <si>
    <t>объекта капитального строительства</t>
  </si>
  <si>
    <t>№</t>
  </si>
  <si>
    <t>(фамилия, имя, отчество (последнее - при наличии), адрес места жительства, ОГРНИП, ИНН индивидуального  предпринимателя,</t>
  </si>
  <si>
    <t>полное и (или) сокращенное наименование, ОГРН, ИНН, место нахождения юридического лица, телефон/факс, адрес
электронной почты (при наличии),</t>
  </si>
  <si>
    <t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t>
  </si>
  <si>
    <t>фамилия, имя, отчество (последнее - при наличии), паспортные данные, адрес места жительства, телефон/факс, адрес электронной почты (при наличии) - для физических лиц, не являющихся индивидуальными предпринимателями)</t>
  </si>
  <si>
    <t>Фамилия, имя, отчество
 (последнее при наличии)</t>
  </si>
  <si>
    <t>Должность
 (при наличии)</t>
  </si>
  <si>
    <t>Идентификационный номер в национальном реестре специалистов в области строительства (за исключением случаев, когда членство в  саморегулируемых организациях в области инженерных изысканий, архитектурно- строительного проектирования, строительства, реконструкции, капитального ремонта объектов капитального строительства не требуется)</t>
  </si>
  <si>
    <t>4</t>
  </si>
  <si>
    <t>5</t>
  </si>
  <si>
    <t>6</t>
  </si>
  <si>
    <t>Технический заказчик</t>
  </si>
  <si>
    <t>Уполномоченный представитель технического заказчика</t>
  </si>
  <si>
    <t>Лицо, ответственное за эксплуатацию здания, сооружения, или региональный оператор (заполняется в случае, если договор строительного подряда заключается с лицом, ответственным за эксплуатацию здания, сооружения, или региональным оператором)</t>
  </si>
  <si>
    <t xml:space="preserve">Уполномоченный представитель лица, ответственного за эксплуатацию здания, сооружения, или регионального оператора (заполняется в случае, если договор строительного подряда заключается с лицом, ответственным за эксплуатацию  здания, сооружения, или региональным оператором) </t>
  </si>
  <si>
    <t>Наименование, дата, номер документа, подтверждаю-щего полномочие</t>
  </si>
  <si>
    <t>Сведения о выданном разрешении на строительство (заполняется в случае, если разрешение на строительство требуется в соответствии со статьей 51 Градостроительного кодекса Российской Федерации (Собрание законодательства Российской Федерации, 2005, № 1, ст. 16; 2022, № 29, ст. 5317)</t>
  </si>
  <si>
    <t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t>
  </si>
  <si>
    <t>Сведения о положительном заключении экспертизы проектной документации (заполняется в случае, если при строительстве, реконструкции объекта капитального строительства в соответствии со статьей 49 Градостроительного кодекса Российской Федерации (Собрание законодательства Российской Федерации, 2005, № 1, ст. 16; 2022, № 29, ст. 5317) проводится экспертиза проектной документации)</t>
  </si>
  <si>
    <t>(номер и дата выдачи, орган или организация, его утвердившие)</t>
  </si>
  <si>
    <t>Лицо, осуществляющее строительство, реконструкцию, капитальный ремонт</t>
  </si>
  <si>
    <t>Уполномоченный представитель лица, осуществляющего строительство,   реконструкцию, капитальный ремонт</t>
  </si>
  <si>
    <t>№ 
п/п</t>
  </si>
  <si>
    <t>Фамилия, имя, отчество (последнее - при наличии), адрес места жительства, ОГРНИП, ИНН-для индивидуальных предпринимателей, полное и (или) сокращенное наименование, ОГРН, ИНН, место нахождения - для юридических лиц, фамилия, имя, отчество (последнее - при наличии) паспортные данные, адрес места жительства - для физических лиц, не являющихся индивидуальными предпринимателями</t>
  </si>
  <si>
    <t>Фамилия, имя, отчество (последнее - при наличии), должность (при наличии) уполномоченного представителя лица, осуществляющего строительство, реконструкцию, капитальный ремонт, наименование, дата, номер документа, подтверждающего полномочие</t>
  </si>
  <si>
    <t>Выполняемые работы по строительству, реконструкции, капитальному ремонту объекта капитального строительства</t>
  </si>
  <si>
    <t xml:space="preserve">Подпись
уполномоченного
представителя
лица,
осуществляющего
строительство,
реконструкцию,
капитальный
ремонт
</t>
  </si>
  <si>
    <t>номер, дата приказа (распоряжения) о назначении должностного лица ответственным за осуществление государственного строительного надзора на объекте капитального строительства)</t>
  </si>
  <si>
    <t>фамилия, имя, отчество (последнее - при наличии), должность должностного лица,</t>
  </si>
  <si>
    <t>краткие  проектные  характеристики объекта капитального строительства)</t>
  </si>
  <si>
    <r>
      <t xml:space="preserve">В настоящем журнале </t>
    </r>
    <r>
      <rPr>
        <i/>
        <sz val="10"/>
        <rFont val="Times New Roman"/>
        <family val="1"/>
        <charset val="204"/>
      </rPr>
      <t/>
    </r>
  </si>
  <si>
    <t xml:space="preserve">страниц. Журнал пронумерован, сброшюрован и скреплен </t>
  </si>
  <si>
    <t xml:space="preserve">печатью.  (заполняется в случае, если общий журнал, в котором ведется учет выполненных </t>
  </si>
  <si>
    <t>работ, ведется на бумажном носителе).</t>
  </si>
  <si>
    <t xml:space="preserve">В журнале содержится учет выполнения работ в период с </t>
  </si>
  <si>
    <t>по</t>
  </si>
  <si>
    <t>(расшифровка подписи)</t>
  </si>
  <si>
    <t>(должность (при наличии)  -  для застройщика или технического заказчика, являющегося юридическим лицом)</t>
  </si>
  <si>
    <t>(личная подпись)</t>
  </si>
  <si>
    <t>(при наличии)</t>
  </si>
  <si>
    <t>(для застройщика или технического заказчика, являющегося юридическим лицом, заполняется в случае, если общий журнал, в котором ведется учет выполненных работ, ведется на бумажном носителе)</t>
  </si>
  <si>
    <t>(должность (при наличии)</t>
  </si>
  <si>
    <t>"</t>
  </si>
  <si>
    <t>г.</t>
  </si>
  <si>
    <t>№
п/п</t>
  </si>
  <si>
    <t>Фамилия, инициалы, должность (при наличии) лица, внесшего изменения, наименование, дата, номер документа, подтверждающего полномочие лица</t>
  </si>
  <si>
    <t>Полное и (или) сокращенное наименование или фамилия, имя отчество (последнее - при наличии) лица, осуществляющего строительство, реконструкцию, капитальный ремонт</t>
  </si>
  <si>
    <t>Фамилия, 
инициалы,
должность (при наличии) лица, входящего в список инженерно- технического персонала</t>
  </si>
  <si>
    <t xml:space="preserve">Дата окончания работ на объекте капитального строительства </t>
  </si>
  <si>
    <t>Должность (при наличии), фамилия, инициалы, подпись уполномоченного представителя лица, осуществляющего строительство, реконструкцию, капитальный ремонт</t>
  </si>
  <si>
    <t>Полное и (или) сокращенное наименование или фамилия, имя, отчество (при наличии) лица, осуществляющего строительство, реконструкцию, капитальный ремонт (лица, осуществляющего подготовку проектной документации), ведущих журнал, их уполномоченных представителей с указанием должности (при наличии), фамилии, инициалов</t>
  </si>
  <si>
    <t>Подпись уполномоченного представителя застройщика или технического заказчика, лица, ответственного за эксплуатацию здания, сооружения, и (или) регионального оператора</t>
  </si>
  <si>
    <t>Сведения о выполнении работ в процессе строительства, реконструкции, капитального ремонта объекта капитального строительства</t>
  </si>
  <si>
    <t xml:space="preserve">Условия
произ-водства
работ
</t>
  </si>
  <si>
    <t>Наименование работ, выполняемых в процессе строительства, реконструкции, капитального ремонта объекта капитального строительства с указанием осей, рядов, отметов, пикетов, этажей, ярусов, секций, помещений, в которых выполнялись работы, сведения о методах выполнения работ, применяемых строительных материалах, изделиях и конструкциях, проведенных испытаниях конструкций, оборудования, систем, сетей и устройств (опробование вхолостую или под нагрузкой, подача электроэнергии, давления, испытания на прочность и герметичность)</t>
  </si>
  <si>
    <t>Дата
выпол-нения работ</t>
  </si>
  <si>
    <t>Должность (при наличии), фамилия, инициалы,подпись уполномоченного представителя лица, осуществляющего строительство, реконструкцию, капитальный ремонт</t>
  </si>
  <si>
    <t>Сведения о строительном контроле в процессе строительства, реконструкции, капитального ремонта объекта капитального строительства</t>
  </si>
  <si>
    <t>7</t>
  </si>
  <si>
    <t>Сведения о проведении строительного 
контроля при строительстве, реконструкции, капитальном ремонте объекта
 капитального строительства</t>
  </si>
  <si>
    <t xml:space="preserve">Должность (при наличии), фамилия, инициалы, подпись уполномоченного представителя застройщика или технического заказчика, лица, ответственного за
эксплуатацию здания, сооружения, и(или) регионального оператора по вопросам строительного контроля
</t>
  </si>
  <si>
    <t>Наименование исполнительной документации (с указанием наименования и реквизитов документа, вида работ, места расположения конструкций, участков сетей инженерно- технического обеспечения)</t>
  </si>
  <si>
    <t>Дата подписания документа, должности (при наличии), фамилии, инициалы лиц, подписавших документы</t>
  </si>
  <si>
    <t>Дата
контрольного
(надзорного)
мероприятия</t>
  </si>
  <si>
    <t>Данные о проведенных органом государственного строительного надзора контрольных (надзорных) мероприятиях</t>
  </si>
  <si>
    <t>в котором ведется учет выполнения работ по строительству, реконструкции, капитальному ремонту объекта капитального строительства</t>
  </si>
  <si>
    <t>(полное и (или) сокращенное наименование, ОГРН, ИНН, место нахождения юридического лица, телефон/факс, адрес
электронной почты (при наличии),</t>
  </si>
  <si>
    <t>полное и (или) сокращенное наименование, ОГРН, ИНН саморегулируемой организации, членом которой является указанное юридическое лицо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t>
  </si>
  <si>
    <t>(номер, дата выдачи разрешения на строительство, наименование органа исполнительной власти,</t>
  </si>
  <si>
    <t>государственной корпорации или органа местного самоуправления, выдавших разрешение)</t>
  </si>
  <si>
    <t>Полное и (или) сокращенное наименование или фамилия, имя, отчество (последнее - при наличии) лица, осуществляющего подготовку проектной документации, сведения о разделах проектной документации, подготовленных этим лицом</t>
  </si>
  <si>
    <t>Фамилия, имя, отчество (последнее - при наличии), должность (при наличии)</t>
  </si>
  <si>
    <t>Уполномоченный представитель лица, ответственного за эксплуатацию здания, сооружения, и (или) регионального оператора по вопросам строительного контроля</t>
  </si>
  <si>
    <t>Уполномоченный представитель лица, осуществляющего строительство, реконструкцию, капитальный ремонт, по вопросам строительного контроля</t>
  </si>
  <si>
    <t>(наименование органа  государственного строительного надзора, почтовые реквизиты, телефон/факс, адрес электронной почты (при наличии),</t>
  </si>
  <si>
    <t>Сведения об изменениях в записях титульного листа общего журнала, в котором ведется учет выполнения работ по строительству, реконструкции, капитальному ремонту объекта капитального строительства</t>
  </si>
  <si>
    <t>Список инженерно-технического персонала лица, осуществляющего строительство, реконструкцию, капитальный ремонт, занятого при строительстве, реконструкции,  капитальном ремонте объекта капитального строительства</t>
  </si>
  <si>
    <t>РАЗДЕЛ 6</t>
  </si>
  <si>
    <t>ОБЩИЙ ЖУРНАЛ РАБОТ,</t>
  </si>
  <si>
    <t xml:space="preserve">№
п/п
</t>
  </si>
  <si>
    <t>приказ Минстроя РФ №1026/пр от 02.12.2022</t>
  </si>
  <si>
    <r>
      <t>( указать строительство, реконструкция, капитальный ремонт)</t>
    </r>
    <r>
      <rPr>
        <b/>
        <sz val="5"/>
        <rFont val="Times New Roman"/>
        <family val="1"/>
        <charset val="204"/>
      </rPr>
      <t xml:space="preserve"> </t>
    </r>
  </si>
  <si>
    <r>
      <t>по</t>
    </r>
    <r>
      <rPr>
        <b/>
        <sz val="8"/>
        <rFont val="Times New Roman"/>
        <family val="1"/>
        <charset val="204"/>
      </rPr>
      <t xml:space="preserve"> </t>
    </r>
    <r>
      <rPr>
        <sz val="9"/>
        <rFont val="Times New Roman"/>
        <family val="1"/>
        <charset val="204"/>
      </rPr>
      <t/>
    </r>
  </si>
  <si>
    <r>
      <t>Сведения о государственном строительном надзоре</t>
    </r>
    <r>
      <rPr>
        <b/>
        <sz val="8"/>
        <rFont val="Times New Roman"/>
        <family val="1"/>
        <charset val="204"/>
      </rPr>
      <t xml:space="preserve"> </t>
    </r>
  </si>
  <si>
    <r>
      <t>Общие сведения об объекте капитального строительства</t>
    </r>
    <r>
      <rPr>
        <b/>
        <sz val="8"/>
        <rFont val="Times New Roman"/>
        <family val="1"/>
        <charset val="204"/>
      </rPr>
      <t xml:space="preserve">   </t>
    </r>
    <r>
      <rPr>
        <i/>
        <sz val="8"/>
        <rFont val="Times New Roman"/>
        <family val="1"/>
        <charset val="204"/>
      </rPr>
      <t xml:space="preserve">                           </t>
    </r>
  </si>
  <si>
    <t xml:space="preserve">Уполномоченный представитель застройщика или технического заказчика по вопросам строительного контроля </t>
  </si>
  <si>
    <t>Уполномоченный представитель лица, осуществляющего подготовку проектной документации, по вопросам проверки соответствия выполняемых работ проектной документации (далее - авторский надзор)</t>
  </si>
  <si>
    <t>Капитонов Д.А.</t>
  </si>
  <si>
    <t>Инженер по строительному контролю</t>
  </si>
  <si>
    <t>Волков М.Ю.</t>
  </si>
  <si>
    <t>Прораб</t>
  </si>
  <si>
    <t>Приказ №05-ОТ/24 от 09 января 2024г</t>
  </si>
  <si>
    <t>Энергосистемы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</si>
  <si>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</si>
  <si>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</si>
  <si>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</si>
  <si>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</si>
  <si>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</si>
  <si>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</si>
  <si>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</si>
  <si>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</si>
  <si>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ОГРН 1057746555811 ИНН 5036065113 КПП 772501001</t>
  </si>
  <si>
    <t>адрес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</si>
  <si>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</si>
  <si>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</si>
  <si>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</si>
  <si>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</si>
  <si>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</si>
  <si>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</si>
  <si>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</si>
  <si>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</si>
  <si>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</si>
  <si>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</si>
  <si>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</si>
  <si>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</si>
  <si>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</si>
  <si>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</si>
  <si>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</si>
  <si>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</si>
  <si>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</si>
  <si>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</si>
  <si>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</si>
  <si>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</si>
  <si>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</si>
  <si>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ФИО стр.контр.</t>
  </si>
  <si>
    <t>Саженова Л.В.</t>
  </si>
  <si>
    <t>Представитель</t>
  </si>
  <si>
    <t>Технический надзор</t>
  </si>
  <si>
    <t>ФИО предст.</t>
  </si>
  <si>
    <t>Гл. спец. сектора по льготным договорам тп</t>
  </si>
  <si>
    <t>Ефремкин Е.И.</t>
  </si>
  <si>
    <t>Гл. специалист ПТГ</t>
  </si>
  <si>
    <t>Царькова Н.К.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</si>
  <si>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</si>
  <si>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</si>
  <si>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</si>
  <si>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</si>
  <si>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</si>
  <si>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</si>
  <si>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</si>
  <si>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</si>
  <si>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Объект</t>
  </si>
  <si>
    <t>р-н</t>
  </si>
  <si>
    <t>Адрес</t>
  </si>
  <si>
    <t>Дата разбивки</t>
  </si>
  <si>
    <t>Дата старт</t>
  </si>
  <si>
    <t>Дата финиш</t>
  </si>
  <si>
    <t>год</t>
  </si>
  <si>
    <t>Наименование электроустановки</t>
  </si>
  <si>
    <t>ВЛ-10</t>
  </si>
  <si>
    <t>ВЛ от ТП ф.</t>
  </si>
  <si>
    <t>ВЛ-0,4</t>
  </si>
  <si>
    <t>КЛ</t>
  </si>
  <si>
    <t>КЛ от ТП ф</t>
  </si>
  <si>
    <t>ВРЩ</t>
  </si>
  <si>
    <t xml:space="preserve">ВРЩ вблизи ТП </t>
  </si>
  <si>
    <t>Монтажная организация</t>
  </si>
  <si>
    <t xml:space="preserve">Организация </t>
  </si>
  <si>
    <t>Реквизиты</t>
  </si>
  <si>
    <t>Должность</t>
  </si>
  <si>
    <t>ФИО</t>
  </si>
  <si>
    <t>Ф.И.О.</t>
  </si>
  <si>
    <t>Приказ</t>
  </si>
  <si>
    <t>Заказчик</t>
  </si>
  <si>
    <t>Проект</t>
  </si>
  <si>
    <t>Город</t>
  </si>
  <si>
    <t>г. Солнечногорск</t>
  </si>
  <si>
    <t>Название</t>
  </si>
  <si>
    <t>Пусконаладочная организация</t>
  </si>
  <si>
    <t xml:space="preserve"> ООО «Энергосистемы»</t>
  </si>
  <si>
    <t>141508, Московская область, г.о. Солнечногорск, г. Солнечногорск, ул. Промышленная, стр. 5, помещение 179</t>
  </si>
  <si>
    <t>номер свидетельства</t>
  </si>
  <si>
    <t>Св-во №5.3-6120 от 15 мая 2024г</t>
  </si>
  <si>
    <t>Руководитель ЭИЛ</t>
  </si>
  <si>
    <t xml:space="preserve"> Щербаков А.А.</t>
  </si>
  <si>
    <t>НОСТРОЙ С-50-188017</t>
  </si>
  <si>
    <t>НРС № С-61-104369</t>
  </si>
  <si>
    <t xml:space="preserve">Приказ №01/24-ОТ от 15.01.2024 </t>
  </si>
  <si>
    <t xml:space="preserve">Приказ № 18-ОТ/24 от 03 июня 2024 </t>
  </si>
  <si>
    <t>нострой</t>
  </si>
  <si>
    <t>1. Энергосистемы
2.Гефест
3.Энком</t>
  </si>
  <si>
    <t>По выпадающим</t>
  </si>
  <si>
    <t>ОГРН 1077762950055 ИНН 7743668640 КПП 770801001</t>
  </si>
  <si>
    <t>107140, г.Москва, ул. Краснопрудная, д. 12/1, стр. 1, помещ. 1/6</t>
  </si>
  <si>
    <t>Дандре Г.А.</t>
  </si>
  <si>
    <t>Филлипов А.Ю.</t>
  </si>
  <si>
    <t>НРС № С-77-286715</t>
  </si>
  <si>
    <t xml:space="preserve">Главный инженер </t>
  </si>
  <si>
    <t>Горбан Г.К.</t>
  </si>
  <si>
    <t>Приказ № ОТ-25 от 12.01.2024</t>
  </si>
  <si>
    <t>-</t>
  </si>
  <si>
    <t>Фечин А.А.</t>
  </si>
  <si>
    <t xml:space="preserve">Специалист СК ООО "Энергосистемы" </t>
  </si>
  <si>
    <t>Прораб ООО "Энергосистемы"</t>
  </si>
  <si>
    <t>Главный энергетик ООО "Энергосистемы"</t>
  </si>
  <si>
    <t>Журнал входного контроля</t>
  </si>
  <si>
    <t>не выявлены</t>
  </si>
  <si>
    <t>Арнаутов А.П.</t>
  </si>
  <si>
    <t>КЛ-6кВ от ф. ЦРП-3 С.1 - ТП-350 от КРУН-6кВ №4; КЛ-10кВ ф. 35207 от КРУН-10кВ №2</t>
  </si>
  <si>
    <t>Русин В.А.</t>
  </si>
  <si>
    <t>НОСТРОЙ С-50-085497</t>
  </si>
  <si>
    <t>Приказ № 13-ОТ/25 от 05 мая 2025</t>
  </si>
  <si>
    <t>АОСР Выемка грунта под прокладку КЛ-6/10 кВ</t>
  </si>
  <si>
    <t>ООО "Энергосистемы"</t>
  </si>
  <si>
    <t>НРС С-50-069023</t>
  </si>
  <si>
    <t>Алексанян Г.Р.</t>
  </si>
  <si>
    <t>Мастер СРЭС СЭС филиала</t>
  </si>
  <si>
    <t>Курчин М.М.</t>
  </si>
  <si>
    <t>Приказ №53 от 13 марта 2025г.</t>
  </si>
  <si>
    <t>НРС С-50-77-262451</t>
  </si>
  <si>
    <t>Шатковский А.Н.</t>
  </si>
  <si>
    <t>SAP - 309788</t>
  </si>
  <si>
    <t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t>
  </si>
  <si>
    <t>Строительству</t>
  </si>
  <si>
    <t>Заполняется от руки</t>
  </si>
  <si>
    <t>16.07.2025
Гл.Специалист ССК УКС ПАО "Россети Московский Регион" Хлебнов Д.Ф.
Прораб ООО "Энергосистемы" Волков М.Ю.
Специалист СК ООО "Энергосистемы" Русин В.А.</t>
  </si>
  <si>
    <t>Приказ №2363 от 29 июля 2025г</t>
  </si>
  <si>
    <t>Произведен строительный контроль</t>
  </si>
  <si>
    <t>Приказ № от  июля 2026г</t>
  </si>
  <si>
    <t>НРС С-31-330248</t>
  </si>
  <si>
    <t>Приказ №1904 от 03 июня 2026г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</si>
</sst>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[$-F800]dddd\,\ mmmm\ dd\,\ yyyy"/>
  </numFmts>
  <fonts count="3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Arial"/>
      <family val="2"/>
      <charset val="204"/>
    </font>
    <font>
      <b/>
      <i/>
      <sz val="10"/>
      <name val="Times New Roman"/>
      <family val="1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10"/>
      <name val="Times New Roman"/>
      <family val="1"/>
      <charset val="204"/>
    </font>
    <font>
      <i/>
      <sz val="5"/>
      <name val="Times New Roman"/>
      <family val="1"/>
      <charset val="204"/>
    </font>
    <font>
      <b/>
      <sz val="5"/>
      <name val="Times New Roman"/>
      <family val="1"/>
      <charset val="204"/>
    </font>
    <font>
      <sz val="5"/>
      <name val="Arial"/>
      <family val="2"/>
      <charset val="204"/>
    </font>
    <font>
      <sz val="5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8"/>
      <name val="Times New Roman"/>
      <family val="1"/>
      <charset val="204"/>
    </font>
    <font>
      <i/>
      <sz val="8"/>
      <color indexed="8"/>
      <name val="Times New Roman"/>
      <family val="1"/>
      <charset val="204"/>
    </font>
    <font>
      <vertAlign val="superscript"/>
      <sz val="5"/>
      <name val="Arial"/>
      <family val="2"/>
      <charset val="204"/>
    </font>
    <font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2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4" fillId="0" borderId="0"/>
    <xf numFmtId="0" fontId="2" fillId="0" borderId="0"/>
    <xf numFmtId="0" fontId="1" fillId="0" borderId="0"/>
  </cellStyleXfs>
  <cellXfs count="253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0" fillId="0" borderId="1" xfId="0" applyNumberFormat="1" applyFont="1" applyBorder="1" applyAlignment="1">
      <alignment horizontal="center" vertical="center" textRotation="90" wrapText="1"/>
    </xf>
    <xf numFmtId="0" fontId="4" fillId="0" borderId="0" xfId="0" applyFont="1" applyAlignment="1">
      <alignment vertical="center" wrapText="1"/>
    </xf>
    <xf numFmtId="49" fontId="7" fillId="2" borderId="0" xfId="0" applyNumberFormat="1" applyFont="1" applyFill="1" applyAlignment="1">
      <alignment horizontal="center" vertical="center" wrapText="1"/>
    </xf>
    <xf numFmtId="0" fontId="15" fillId="0" borderId="9" xfId="0" applyFont="1" applyBorder="1" applyAlignment="1">
      <alignment horizontal="right"/>
    </xf>
    <xf numFmtId="0" fontId="19" fillId="0" borderId="0" xfId="0" applyFont="1"/>
    <xf numFmtId="0" fontId="12" fillId="0" borderId="0" xfId="0" applyFont="1"/>
    <xf numFmtId="49" fontId="21" fillId="0" borderId="0" xfId="0" applyNumberFormat="1" applyFont="1" applyAlignment="1">
      <alignment wrapText="1"/>
    </xf>
    <xf numFmtId="49" fontId="10" fillId="2" borderId="10" xfId="0" applyNumberFormat="1" applyFont="1" applyFill="1" applyBorder="1" applyAlignment="1">
      <alignment horizontal="center" vertical="center" wrapText="1"/>
    </xf>
    <xf numFmtId="49" fontId="23" fillId="2" borderId="9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21" fillId="0" borderId="1" xfId="0" applyFont="1" applyBorder="1" applyAlignment="1">
      <alignment wrapText="1"/>
    </xf>
    <xf numFmtId="0" fontId="12" fillId="0" borderId="2" xfId="0" applyFont="1" applyBorder="1"/>
    <xf numFmtId="0" fontId="12" fillId="0" borderId="3" xfId="0" applyFont="1" applyBorder="1"/>
    <xf numFmtId="0" fontId="12" fillId="0" borderId="9" xfId="0" applyFont="1" applyBorder="1"/>
    <xf numFmtId="0" fontId="12" fillId="0" borderId="5" xfId="0" applyFont="1" applyBorder="1"/>
    <xf numFmtId="0" fontId="12" fillId="0" borderId="4" xfId="0" applyFont="1" applyBorder="1"/>
    <xf numFmtId="0" fontId="26" fillId="0" borderId="22" xfId="0" applyFont="1" applyBorder="1" applyAlignment="1">
      <alignment vertical="center"/>
    </xf>
    <xf numFmtId="0" fontId="26" fillId="0" borderId="22" xfId="0" applyFont="1" applyBorder="1" applyAlignment="1">
      <alignment horizontal="center" vertical="center"/>
    </xf>
    <xf numFmtId="0" fontId="26" fillId="0" borderId="22" xfId="0" applyFont="1" applyBorder="1"/>
    <xf numFmtId="0" fontId="0" fillId="3" borderId="12" xfId="0" applyFill="1" applyBorder="1" applyAlignment="1">
      <alignment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3" borderId="12" xfId="0" applyFill="1" applyBorder="1"/>
    <xf numFmtId="0" fontId="0" fillId="4" borderId="12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12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5" borderId="12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5" borderId="12" xfId="0" applyFill="1" applyBorder="1"/>
    <xf numFmtId="0" fontId="28" fillId="0" borderId="0" xfId="0" applyFont="1"/>
    <xf numFmtId="0" fontId="29" fillId="0" borderId="12" xfId="0" applyFont="1" applyBorder="1" applyAlignment="1">
      <alignment horizontal="center"/>
    </xf>
    <xf numFmtId="0" fontId="29" fillId="8" borderId="12" xfId="0" applyFont="1" applyFill="1" applyBorder="1" applyAlignment="1">
      <alignment horizontal="center"/>
    </xf>
    <xf numFmtId="0" fontId="30" fillId="0" borderId="12" xfId="0" applyFont="1" applyBorder="1" applyAlignment="1">
      <alignment horizontal="center" wrapText="1"/>
    </xf>
    <xf numFmtId="0" fontId="30" fillId="8" borderId="12" xfId="0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horizontal="center" wrapText="1"/>
    </xf>
    <xf numFmtId="0" fontId="30" fillId="8" borderId="12" xfId="0" applyFont="1" applyFill="1" applyBorder="1" applyAlignment="1">
      <alignment horizontal="center" wrapText="1"/>
    </xf>
    <xf numFmtId="14" fontId="28" fillId="0" borderId="0" xfId="0" applyNumberFormat="1" applyFont="1"/>
    <xf numFmtId="0" fontId="30" fillId="0" borderId="16" xfId="0" applyFont="1" applyBorder="1" applyAlignment="1">
      <alignment horizontal="center" wrapText="1"/>
    </xf>
    <xf numFmtId="164" fontId="30" fillId="9" borderId="12" xfId="0" applyNumberFormat="1" applyFont="1" applyFill="1" applyBorder="1" applyAlignment="1">
      <alignment horizontal="center" wrapText="1"/>
    </xf>
    <xf numFmtId="164" fontId="30" fillId="10" borderId="12" xfId="0" applyNumberFormat="1" applyFont="1" applyFill="1" applyBorder="1" applyAlignment="1">
      <alignment horizontal="center" wrapText="1"/>
    </xf>
    <xf numFmtId="0" fontId="30" fillId="6" borderId="12" xfId="0" applyFont="1" applyFill="1" applyBorder="1" applyAlignment="1">
      <alignment horizontal="center" wrapText="1"/>
    </xf>
    <xf numFmtId="0" fontId="28" fillId="0" borderId="12" xfId="0" applyFont="1" applyBorder="1"/>
    <xf numFmtId="0" fontId="25" fillId="0" borderId="12" xfId="0" applyFont="1" applyBorder="1"/>
    <xf numFmtId="0" fontId="30" fillId="0" borderId="20" xfId="0" applyFont="1" applyBorder="1" applyAlignment="1">
      <alignment horizontal="center" wrapText="1"/>
    </xf>
    <xf numFmtId="0" fontId="30" fillId="7" borderId="12" xfId="0" applyFont="1" applyFill="1" applyBorder="1" applyAlignment="1">
      <alignment horizontal="center" wrapText="1"/>
    </xf>
    <xf numFmtId="0" fontId="30" fillId="7" borderId="12" xfId="0" applyFont="1" applyFill="1" applyBorder="1" applyAlignment="1">
      <alignment horizontal="center"/>
    </xf>
    <xf numFmtId="0" fontId="25" fillId="0" borderId="0" xfId="0" applyFont="1"/>
    <xf numFmtId="0" fontId="30" fillId="7" borderId="18" xfId="0" applyFont="1" applyFill="1" applyBorder="1" applyAlignment="1">
      <alignment horizontal="center" wrapText="1"/>
    </xf>
    <xf numFmtId="0" fontId="30" fillId="5" borderId="12" xfId="0" applyFont="1" applyFill="1" applyBorder="1" applyAlignment="1">
      <alignment horizontal="center" wrapText="1"/>
    </xf>
    <xf numFmtId="0" fontId="30" fillId="4" borderId="12" xfId="0" applyFont="1" applyFill="1" applyBorder="1" applyAlignment="1">
      <alignment horizontal="center" wrapText="1"/>
    </xf>
    <xf numFmtId="0" fontId="29" fillId="4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2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/>
    <xf numFmtId="0" fontId="21" fillId="0" borderId="0" xfId="0" applyFont="1" applyAlignment="1">
      <alignment horizontal="center"/>
    </xf>
    <xf numFmtId="0" fontId="17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/>
    <xf numFmtId="0" fontId="20" fillId="0" borderId="0" xfId="0" applyFont="1"/>
    <xf numFmtId="0" fontId="13" fillId="0" borderId="0" xfId="0" applyFont="1" applyAlignment="1">
      <alignment horizontal="left" vertical="center"/>
    </xf>
    <xf numFmtId="0" fontId="3" fillId="0" borderId="0" xfId="0" applyFont="1"/>
    <xf numFmtId="0" fontId="21" fillId="0" borderId="0" xfId="2" applyFont="1" applyAlignment="1">
      <alignment vertical="center"/>
    </xf>
    <xf numFmtId="0" fontId="22" fillId="0" borderId="0" xfId="2" applyFont="1" applyAlignment="1">
      <alignment vertical="center"/>
    </xf>
    <xf numFmtId="0" fontId="21" fillId="0" borderId="0" xfId="2" applyFont="1"/>
    <xf numFmtId="0" fontId="3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3" fillId="0" borderId="0" xfId="2" applyFont="1"/>
    <xf numFmtId="0" fontId="22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2" fillId="0" borderId="0" xfId="0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center" vertical="top" wrapText="1"/>
    </xf>
    <xf numFmtId="0" fontId="11" fillId="0" borderId="0" xfId="0" applyFont="1"/>
    <xf numFmtId="0" fontId="17" fillId="0" borderId="0" xfId="0" applyFont="1" applyAlignment="1">
      <alignment horizontal="left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1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21" fillId="0" borderId="0" xfId="2" applyFont="1" applyAlignment="1">
      <alignment horizontal="right"/>
    </xf>
    <xf numFmtId="0" fontId="14" fillId="0" borderId="12" xfId="0" applyFont="1" applyBorder="1" applyAlignment="1">
      <alignment horizontal="center" vertical="center" wrapText="1"/>
    </xf>
    <xf numFmtId="0" fontId="28" fillId="11" borderId="12" xfId="0" applyFont="1" applyFill="1" applyBorder="1" applyAlignment="1">
      <alignment wrapText="1"/>
    </xf>
    <xf numFmtId="0" fontId="28" fillId="11" borderId="12" xfId="0" applyFont="1" applyFill="1" applyBorder="1"/>
    <xf numFmtId="0" fontId="14" fillId="3" borderId="12" xfId="0" applyFont="1" applyFill="1" applyBorder="1" applyAlignment="1">
      <alignment horizontal="center" vertical="center" wrapText="1"/>
    </xf>
    <xf numFmtId="0" fontId="35" fillId="0" borderId="0" xfId="0" applyFont="1"/>
    <xf numFmtId="49" fontId="10" fillId="0" borderId="10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 vertical="top" wrapText="1"/>
    </xf>
    <xf numFmtId="49" fontId="30" fillId="8" borderId="12" xfId="0" applyNumberFormat="1" applyFont="1" applyFill="1" applyBorder="1" applyAlignment="1">
      <alignment horizontal="center" wrapText="1"/>
    </xf>
    <xf numFmtId="49" fontId="10" fillId="0" borderId="10" xfId="0" applyNumberFormat="1" applyFont="1" applyFill="1" applyBorder="1" applyAlignment="1">
      <alignment horizontal="center" vertical="center" wrapText="1"/>
    </xf>
    <xf numFmtId="49" fontId="10" fillId="0" borderId="9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0" borderId="24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16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left" vertical="center"/>
    </xf>
    <xf numFmtId="0" fontId="30" fillId="6" borderId="12" xfId="3" applyFont="1" applyFill="1" applyBorder="1" applyAlignment="1">
      <alignment horizontal="center" wrapText="1"/>
    </xf>
    <xf numFmtId="0" fontId="10" fillId="0" borderId="10" xfId="0" applyNumberFormat="1" applyFont="1" applyFill="1" applyBorder="1" applyAlignment="1">
      <alignment horizontal="center" vertical="center" wrapText="1"/>
    </xf>
    <xf numFmtId="0" fontId="10" fillId="2" borderId="9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14" fillId="3" borderId="16" xfId="1" applyFill="1" applyBorder="1" applyAlignment="1">
      <alignment horizontal="center" vertical="center" wrapText="1"/>
    </xf>
    <xf numFmtId="49" fontId="10" fillId="0" borderId="11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0" fillId="2" borderId="26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left" vertical="center" wrapText="1"/>
    </xf>
    <xf numFmtId="49" fontId="10" fillId="2" borderId="1" xfId="0" applyNumberFormat="1" applyFont="1" applyFill="1" applyBorder="1" applyAlignment="1">
      <alignment vertical="center" wrapText="1"/>
    </xf>
    <xf numFmtId="0" fontId="37" fillId="0" borderId="0" xfId="0" applyFont="1"/>
    <xf numFmtId="0" fontId="10" fillId="2" borderId="10" xfId="0" applyNumberFormat="1" applyFont="1" applyFill="1" applyBorder="1" applyAlignment="1">
      <alignment horizontal="left" vertical="center" wrapText="1"/>
    </xf>
    <xf numFmtId="0" fontId="21" fillId="0" borderId="1" xfId="0" applyNumberFormat="1" applyFont="1" applyBorder="1" applyAlignment="1">
      <alignment horizontal="center" vertical="center" wrapText="1"/>
    </xf>
    <xf numFmtId="0" fontId="21" fillId="0" borderId="1" xfId="0" applyNumberFormat="1" applyFont="1" applyBorder="1" applyAlignment="1">
      <alignment horizontal="left" vertical="top" wrapText="1"/>
    </xf>
    <xf numFmtId="49" fontId="21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left" vertical="center" wrapText="1"/>
    </xf>
    <xf numFmtId="0" fontId="26" fillId="0" borderId="22" xfId="0" applyFont="1" applyBorder="1" applyAlignment="1">
      <alignment horizontal="center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1" fillId="0" borderId="21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27" fillId="0" borderId="16" xfId="0" applyFont="1" applyBorder="1" applyAlignment="1">
      <alignment horizontal="center" wrapText="1"/>
    </xf>
    <xf numFmtId="0" fontId="27" fillId="0" borderId="18" xfId="0" applyFont="1" applyBorder="1" applyAlignment="1">
      <alignment horizontal="center" wrapText="1"/>
    </xf>
    <xf numFmtId="0" fontId="27" fillId="0" borderId="16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7" fillId="0" borderId="23" xfId="0" applyFont="1" applyBorder="1" applyAlignment="1">
      <alignment horizontal="center" wrapText="1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 wrapText="1"/>
    </xf>
    <xf numFmtId="0" fontId="22" fillId="0" borderId="0" xfId="0" applyFont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17" fillId="0" borderId="0" xfId="0" applyFont="1" applyAlignment="1">
      <alignment horizontal="center" vertical="top" wrapText="1"/>
    </xf>
    <xf numFmtId="0" fontId="22" fillId="0" borderId="1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11" borderId="13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2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17" fillId="0" borderId="21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21" fillId="0" borderId="1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wrapText="1"/>
    </xf>
    <xf numFmtId="0" fontId="34" fillId="0" borderId="0" xfId="0" applyFont="1" applyAlignment="1">
      <alignment horizontal="justify" vertical="center" wrapText="1"/>
    </xf>
    <xf numFmtId="0" fontId="36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center"/>
    </xf>
    <xf numFmtId="0" fontId="21" fillId="0" borderId="0" xfId="0" applyFont="1" applyAlignment="1">
      <alignment horizontal="left" wrapText="1"/>
    </xf>
    <xf numFmtId="165" fontId="11" fillId="0" borderId="13" xfId="0" applyNumberFormat="1" applyFont="1" applyBorder="1" applyAlignment="1">
      <alignment horizontal="center"/>
    </xf>
    <xf numFmtId="0" fontId="21" fillId="12" borderId="13" xfId="0" applyFont="1" applyFill="1" applyBorder="1" applyAlignment="1">
      <alignment horizontal="center" wrapText="1"/>
    </xf>
    <xf numFmtId="165" fontId="21" fillId="0" borderId="13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 wrapText="1"/>
    </xf>
    <xf numFmtId="0" fontId="17" fillId="0" borderId="21" xfId="0" applyFont="1" applyBorder="1" applyAlignment="1">
      <alignment horizontal="center" vertical="top" wrapText="1"/>
    </xf>
    <xf numFmtId="0" fontId="2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center"/>
    </xf>
    <xf numFmtId="0" fontId="21" fillId="0" borderId="13" xfId="2" applyFont="1" applyBorder="1" applyAlignment="1">
      <alignment horizontal="center"/>
    </xf>
    <xf numFmtId="0" fontId="22" fillId="0" borderId="13" xfId="2" applyFont="1" applyBorder="1" applyAlignment="1">
      <alignment horizontal="center"/>
    </xf>
    <xf numFmtId="0" fontId="11" fillId="0" borderId="13" xfId="2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" fillId="0" borderId="0" xfId="2" applyFont="1" applyAlignment="1">
      <alignment horizontal="left" vertical="center"/>
    </xf>
    <xf numFmtId="0" fontId="21" fillId="12" borderId="12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wrapText="1"/>
    </xf>
    <xf numFmtId="49" fontId="16" fillId="0" borderId="7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49" fontId="16" fillId="0" borderId="7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1000000}"/>
    <cellStyle name="Обычный 6" xfId="3" xr:uid="{2E9D31AD-C9DC-4747-970B-7B5808D094D2}"/>
    <cellStyle name="Обычный_Пример акт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69;&#1052;&#105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"/>
      <sheetName val="пр16"/>
      <sheetName val="Реестр пр15"/>
      <sheetName val="Прил.6Б"/>
      <sheetName val="Прил.7"/>
      <sheetName val="Прил.10"/>
      <sheetName val="Прил.11"/>
      <sheetName val="акт разб"/>
      <sheetName val="1"/>
      <sheetName val="2 (5)"/>
      <sheetName val="3 (5)"/>
      <sheetName val="4 (5)"/>
      <sheetName val="7 (5)"/>
      <sheetName val="ВРЩ"/>
      <sheetName val="ВРЩ-1"/>
      <sheetName val="2"/>
      <sheetName val="3"/>
      <sheetName val="4"/>
      <sheetName val="7"/>
      <sheetName val="9"/>
      <sheetName val="ТП"/>
      <sheetName val="ТП-1"/>
      <sheetName val="ТП-2"/>
      <sheetName val="ТП-3"/>
      <sheetName val="10"/>
      <sheetName val="11"/>
      <sheetName val="2 (2)"/>
      <sheetName val="3 (2)"/>
      <sheetName val="4 (2)"/>
      <sheetName val="7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22"/>
      <sheetName val="КЛ-9"/>
      <sheetName val="10 (2)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2 (3)"/>
      <sheetName val="3 (3)"/>
      <sheetName val="4 (3)"/>
      <sheetName val="7 (3)"/>
      <sheetName val="ВЛ-1"/>
      <sheetName val="ВЛ-3"/>
      <sheetName val="ВЛ-6"/>
      <sheetName val="ВЛ-8"/>
      <sheetName val="24"/>
      <sheetName val="26"/>
      <sheetName val="10 (3)"/>
      <sheetName val="2 (4)"/>
      <sheetName val="3 (4)"/>
      <sheetName val="4 (4)"/>
      <sheetName val="7 (4)"/>
      <sheetName val="ВЛ-1 (2)"/>
      <sheetName val="ВЛ-3 (2)"/>
      <sheetName val="ВЛ-6 (2)"/>
      <sheetName val="ВЛ-8 (2)"/>
      <sheetName val="24 (2)"/>
      <sheetName val="26 (3)"/>
      <sheetName val="10 (4)"/>
      <sheetName val="Sheet1"/>
      <sheetName val="Реестр"/>
      <sheetName val="Закл.1"/>
    </sheetNames>
    <sheetDataSet>
      <sheetData sheetId="0"/>
      <sheetData sheetId="1"/>
      <sheetData sheetId="2"/>
      <sheetData sheetId="3">
        <row r="2">
          <cell r="F2" t="str">
            <v>ОГРН 1057746555811 ИНН 5036065113 КПП 772501001</v>
          </cell>
        </row>
        <row r="3">
          <cell r="F3" t="str">
            <v>115114, город Москва, проезд Павелецкий 2-й, дом 3, строение 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opLeftCell="D1" workbookViewId="0">
      <selection activeCell="K15" sqref="K15"/>
    </sheetView>
  </sheetViews>
  <sheetFormatPr defaultRowHeight="12.75" x14ac:dyDescent="0.2"/>
  <cols>
    <col min="1" max="1" width="14.7109375" customWidth="1"/>
    <col min="2" max="2" width="26.42578125" customWidth="1"/>
    <col min="3" max="3" width="38.28515625" customWidth="1"/>
    <col min="4" max="4" width="44.28515625" customWidth="1"/>
    <col min="5" max="5" width="39.42578125" customWidth="1"/>
    <col min="6" max="6" width="23.5703125" customWidth="1"/>
    <col min="7" max="8" width="27.85546875" customWidth="1"/>
    <col min="9" max="9" width="39" customWidth="1"/>
  </cols>
  <sheetData>
    <row r="1" spans="1:9" ht="15" x14ac:dyDescent="0.25">
      <c r="A1" s="33" t="s">
        <v>140</v>
      </c>
      <c r="B1" s="33"/>
      <c r="C1" s="34" t="s">
        <v>250</v>
      </c>
      <c r="D1" s="34" t="s">
        <v>142</v>
      </c>
      <c r="E1" s="34" t="s">
        <v>143</v>
      </c>
      <c r="F1" s="35"/>
      <c r="G1" s="160" t="s">
        <v>144</v>
      </c>
      <c r="H1" s="160"/>
      <c r="I1" s="160"/>
    </row>
    <row r="2" spans="1:9" ht="25.5" x14ac:dyDescent="0.2">
      <c r="A2" s="36" t="s">
        <v>145</v>
      </c>
      <c r="B2" s="36"/>
      <c r="C2" s="37" t="s">
        <v>146</v>
      </c>
      <c r="D2" s="37" t="s">
        <v>147</v>
      </c>
      <c r="E2" s="38" t="s">
        <v>229</v>
      </c>
      <c r="F2" s="38"/>
      <c r="G2" s="161" t="s">
        <v>148</v>
      </c>
      <c r="H2" s="162"/>
      <c r="I2" s="163"/>
    </row>
    <row r="3" spans="1:9" ht="53.25" customHeight="1" x14ac:dyDescent="0.2">
      <c r="A3" s="39" t="s">
        <v>149</v>
      </c>
      <c r="B3" s="39"/>
      <c r="C3" s="40" t="s">
        <v>150</v>
      </c>
      <c r="D3" s="40" t="s">
        <v>151</v>
      </c>
      <c r="E3" s="41" t="s">
        <v>230</v>
      </c>
      <c r="F3" s="41"/>
      <c r="G3" s="164" t="s">
        <v>152</v>
      </c>
      <c r="H3" s="165"/>
      <c r="I3" s="166"/>
    </row>
    <row r="4" spans="1:9" x14ac:dyDescent="0.2">
      <c r="A4" s="36" t="s">
        <v>153</v>
      </c>
      <c r="B4" s="36"/>
      <c r="C4" s="37"/>
      <c r="D4" s="37"/>
      <c r="E4" s="37"/>
      <c r="F4" s="37"/>
      <c r="G4" s="37" t="s">
        <v>154</v>
      </c>
      <c r="H4" s="37"/>
      <c r="I4" s="37" t="s">
        <v>155</v>
      </c>
    </row>
    <row r="5" spans="1:9" x14ac:dyDescent="0.2">
      <c r="A5" s="39"/>
      <c r="B5" s="39"/>
      <c r="C5" s="40"/>
      <c r="D5" s="40"/>
      <c r="E5" s="40"/>
      <c r="F5" s="40"/>
      <c r="G5" s="40" t="s">
        <v>156</v>
      </c>
      <c r="H5" s="40"/>
      <c r="I5" s="40" t="s">
        <v>157</v>
      </c>
    </row>
    <row r="6" spans="1:9" ht="24" customHeight="1" x14ac:dyDescent="0.2">
      <c r="A6" s="36" t="s">
        <v>158</v>
      </c>
      <c r="B6" s="36"/>
      <c r="C6" s="37" t="s">
        <v>159</v>
      </c>
      <c r="D6" s="37" t="s">
        <v>160</v>
      </c>
      <c r="E6" s="37" t="s">
        <v>160</v>
      </c>
      <c r="F6" s="37"/>
      <c r="G6" s="37" t="s">
        <v>161</v>
      </c>
      <c r="H6" s="37"/>
      <c r="I6" s="37" t="s">
        <v>162</v>
      </c>
    </row>
    <row r="7" spans="1:9" ht="15" customHeight="1" x14ac:dyDescent="0.2">
      <c r="A7" s="39" t="s">
        <v>163</v>
      </c>
      <c r="B7" s="39"/>
      <c r="C7" s="40" t="s">
        <v>164</v>
      </c>
      <c r="D7" s="40" t="s">
        <v>165</v>
      </c>
      <c r="E7" s="40" t="s">
        <v>231</v>
      </c>
      <c r="F7" s="40"/>
      <c r="G7" s="40" t="s">
        <v>166</v>
      </c>
      <c r="H7" s="40"/>
      <c r="I7" s="40" t="s">
        <v>244</v>
      </c>
    </row>
    <row r="8" spans="1:9" ht="29.25" customHeight="1" x14ac:dyDescent="0.2">
      <c r="A8" s="36" t="s">
        <v>167</v>
      </c>
      <c r="B8" s="37" t="s">
        <v>135</v>
      </c>
      <c r="C8" s="37" t="s">
        <v>135</v>
      </c>
      <c r="D8" s="37" t="s">
        <v>168</v>
      </c>
      <c r="E8" s="37" t="s">
        <v>168</v>
      </c>
      <c r="F8" s="37"/>
      <c r="G8" s="145" t="s">
        <v>263</v>
      </c>
      <c r="H8" s="40"/>
      <c r="I8" s="145" t="s">
        <v>263</v>
      </c>
    </row>
    <row r="9" spans="1:9" ht="42.75" customHeight="1" x14ac:dyDescent="0.2">
      <c r="A9" s="39" t="s">
        <v>170</v>
      </c>
      <c r="B9" s="39" t="s">
        <v>248</v>
      </c>
      <c r="C9" s="122" t="s">
        <v>225</v>
      </c>
      <c r="D9" s="122" t="s">
        <v>224</v>
      </c>
      <c r="E9" s="40" t="s">
        <v>236</v>
      </c>
      <c r="F9" s="40"/>
      <c r="G9" s="37" t="s">
        <v>169</v>
      </c>
      <c r="H9" s="37" t="s">
        <v>169</v>
      </c>
      <c r="I9" s="37" t="s">
        <v>169</v>
      </c>
    </row>
    <row r="10" spans="1:9" ht="42.75" customHeight="1" x14ac:dyDescent="0.2">
      <c r="A10" s="39"/>
      <c r="B10" s="122" t="s">
        <v>247</v>
      </c>
      <c r="C10" s="122" t="s">
        <v>222</v>
      </c>
      <c r="D10" s="122" t="s">
        <v>223</v>
      </c>
      <c r="E10" s="40" t="s">
        <v>233</v>
      </c>
      <c r="F10" s="40"/>
      <c r="G10" s="145" t="s">
        <v>265</v>
      </c>
      <c r="H10" s="145" t="s">
        <v>255</v>
      </c>
      <c r="I10" s="145" t="s">
        <v>267</v>
      </c>
    </row>
    <row r="11" spans="1:9" x14ac:dyDescent="0.2">
      <c r="A11" s="36" t="s">
        <v>171</v>
      </c>
      <c r="B11" s="37" t="s">
        <v>246</v>
      </c>
      <c r="C11" s="37" t="s">
        <v>134</v>
      </c>
      <c r="D11" s="37" t="s">
        <v>172</v>
      </c>
      <c r="E11" s="37" t="s">
        <v>232</v>
      </c>
      <c r="F11" s="37"/>
      <c r="G11" s="145" t="s">
        <v>266</v>
      </c>
      <c r="H11" s="145" t="s">
        <v>256</v>
      </c>
      <c r="I11" s="145" t="s">
        <v>251</v>
      </c>
    </row>
    <row r="12" spans="1:9" ht="30.75" customHeight="1" x14ac:dyDescent="0.2">
      <c r="A12" s="39" t="s">
        <v>173</v>
      </c>
      <c r="B12" s="39"/>
      <c r="C12" s="40"/>
      <c r="D12" s="40"/>
      <c r="E12" s="40"/>
      <c r="F12" s="40"/>
      <c r="G12" s="37" t="s">
        <v>254</v>
      </c>
      <c r="H12" s="146" t="s">
        <v>257</v>
      </c>
      <c r="I12" s="37" t="s">
        <v>252</v>
      </c>
    </row>
    <row r="13" spans="1:9" x14ac:dyDescent="0.2">
      <c r="A13" s="36" t="s">
        <v>175</v>
      </c>
      <c r="B13" s="36"/>
      <c r="C13" s="37"/>
      <c r="D13" s="37"/>
      <c r="E13" s="37"/>
      <c r="F13" s="37"/>
      <c r="G13" s="40" t="s">
        <v>253</v>
      </c>
      <c r="H13" s="40"/>
      <c r="I13" s="40" t="s">
        <v>174</v>
      </c>
    </row>
    <row r="14" spans="1:9" x14ac:dyDescent="0.2">
      <c r="A14" s="36"/>
      <c r="B14" s="36"/>
      <c r="C14" s="37"/>
      <c r="D14" s="37"/>
      <c r="E14" s="37"/>
      <c r="F14" s="37"/>
      <c r="G14" s="37" t="s">
        <v>254</v>
      </c>
      <c r="H14" s="37"/>
      <c r="I14" s="37"/>
    </row>
    <row r="15" spans="1:9" ht="39" customHeight="1" x14ac:dyDescent="0.2">
      <c r="A15" s="39"/>
      <c r="B15" s="39"/>
      <c r="C15" s="40"/>
      <c r="D15" s="40"/>
      <c r="E15" s="40"/>
      <c r="F15" s="40"/>
      <c r="G15" s="37"/>
      <c r="H15" s="37"/>
      <c r="I15" s="37"/>
    </row>
    <row r="16" spans="1:9" ht="16.5" customHeight="1" x14ac:dyDescent="0.2">
      <c r="A16" s="36"/>
      <c r="B16" s="36"/>
      <c r="C16" s="37"/>
      <c r="D16" s="37"/>
      <c r="E16" s="37"/>
      <c r="F16" s="37"/>
      <c r="G16" s="40"/>
      <c r="H16" s="40"/>
      <c r="I16" s="40"/>
    </row>
    <row r="17" spans="1:9" ht="16.5" customHeight="1" x14ac:dyDescent="0.2">
      <c r="A17" s="39"/>
      <c r="B17" s="39"/>
      <c r="C17" s="40"/>
      <c r="D17" s="40"/>
      <c r="E17" s="40"/>
      <c r="F17" s="40"/>
      <c r="G17" s="37"/>
      <c r="H17" s="37"/>
      <c r="I17" s="125"/>
    </row>
    <row r="18" spans="1:9" ht="18" customHeight="1" x14ac:dyDescent="0.2">
      <c r="A18" s="36"/>
      <c r="B18" s="36"/>
      <c r="C18" s="37"/>
      <c r="D18" s="37"/>
      <c r="E18" s="37"/>
      <c r="F18" s="37"/>
      <c r="G18" s="40"/>
      <c r="H18" s="40"/>
      <c r="I18" s="40"/>
    </row>
    <row r="19" spans="1:9" ht="21.75" customHeight="1" x14ac:dyDescent="0.2">
      <c r="A19" s="39" t="s">
        <v>137</v>
      </c>
      <c r="B19" s="39"/>
      <c r="C19" s="40" t="s">
        <v>137</v>
      </c>
      <c r="D19" s="40" t="s">
        <v>180</v>
      </c>
      <c r="E19" s="40" t="s">
        <v>234</v>
      </c>
      <c r="F19" s="40"/>
      <c r="G19" s="37"/>
      <c r="H19" s="37"/>
      <c r="I19" s="37"/>
    </row>
    <row r="20" spans="1:9" ht="26.25" customHeight="1" x14ac:dyDescent="0.2">
      <c r="A20" s="36" t="s">
        <v>181</v>
      </c>
      <c r="B20" s="36"/>
      <c r="C20" s="37" t="s">
        <v>138</v>
      </c>
      <c r="D20" s="37" t="s">
        <v>182</v>
      </c>
      <c r="E20" s="37" t="s">
        <v>236</v>
      </c>
      <c r="F20" s="37"/>
      <c r="G20" s="40"/>
      <c r="H20" s="40"/>
      <c r="I20" s="40"/>
    </row>
    <row r="21" spans="1:9" x14ac:dyDescent="0.2">
      <c r="A21" s="39" t="s">
        <v>183</v>
      </c>
      <c r="B21" s="39"/>
      <c r="C21" s="40" t="s">
        <v>136</v>
      </c>
      <c r="D21" s="40" t="s">
        <v>184</v>
      </c>
      <c r="E21" s="40" t="s">
        <v>235</v>
      </c>
      <c r="F21" s="40"/>
      <c r="G21" s="37"/>
      <c r="H21" s="37"/>
      <c r="I21" s="37"/>
    </row>
    <row r="22" spans="1:9" x14ac:dyDescent="0.2">
      <c r="A22" s="42"/>
      <c r="B22" s="42"/>
      <c r="C22" s="37"/>
      <c r="D22" s="37"/>
      <c r="E22" s="37"/>
      <c r="F22" s="37"/>
      <c r="G22" s="40"/>
      <c r="H22" s="40"/>
      <c r="I22" s="40"/>
    </row>
    <row r="23" spans="1:9" x14ac:dyDescent="0.2">
      <c r="G23" s="37"/>
      <c r="H23" s="37"/>
      <c r="I23" s="37"/>
    </row>
    <row r="24" spans="1:9" ht="84" customHeight="1" x14ac:dyDescent="0.2">
      <c r="A24" s="2" t="s">
        <v>185</v>
      </c>
      <c r="B24" s="2"/>
      <c r="C24" s="43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4" s="43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44"/>
    </row>
    <row r="25" spans="1:9" ht="90.75" customHeight="1" x14ac:dyDescent="0.2">
      <c r="A25" s="2" t="s">
        <v>185</v>
      </c>
      <c r="B25" s="2"/>
      <c r="C25" s="43" t="str">
        <f>CONCATENATE(C1,",",C2,",",C3)</f>
        <v xml:space="preserve">ООО 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5" s="43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5" s="44"/>
      <c r="G25" s="45" t="str">
        <f>CONCATENATE(G9," ",G1,"-",G12," .",G10,"-",G11)</f>
        <v>Гл. специалист ССК УКС ПАО "Россети Московский регион"-Курчин М.М. .Приказ № от  июля 2026г-НРС С-31-330248</v>
      </c>
      <c r="H25" s="45" t="str">
        <f>CONCATENATE(H9," ",G1,"-",H12,".",H10,"-",H11)</f>
        <v>Гл. специалист ССК УКС ПАО "Россети Московский регион"-Шатковский А.Н..Приказ №53 от 13 марта 2025г.-НРС С-50-77-262451</v>
      </c>
      <c r="I25" s="45" t="str">
        <f>CONCATENATE(I9," ",G1,"-",I12," .",I10,"-",I11)</f>
        <v>Гл. специалист ССК УКС ПАО "Россети Московский регион"-Алексанян Г.Р. .Приказ №1904 от 03 июня 2026г-НРС С-50-069023</v>
      </c>
    </row>
    <row r="26" spans="1:9" ht="79.5" customHeight="1" x14ac:dyDescent="0.2">
      <c r="C26" s="46" t="str">
        <f>CONCATENATE(C8," ",C1,"-",C11,".",C9)</f>
        <v xml:space="preserve">Инженер по строительному контролю ООО "Энергосистемы"-Капитонов Д.А..Приказ № 18-ОТ/24 от 03 июня 2024 </v>
      </c>
      <c r="D26" s="46" t="str">
        <f>CONCATENATE(D8," ",D1,"-",D11,".",D9)</f>
        <v xml:space="preserve">Специалист по строительному контролю ООО «Гефест»-Саженова Л.В..Приказ №01/24-ОТ от 15.01.2024 </v>
      </c>
      <c r="E26" s="47"/>
      <c r="G26" s="45" t="str">
        <f>CONCATENATE(G9," ",G1,"-",G12)</f>
        <v>Гл. специалист ССК УКС ПАО "Россети Московский регион"-Курчин М.М.</v>
      </c>
      <c r="H26" s="45" t="str">
        <f>CONCATENATE(H9," ",G1," ",H12)</f>
        <v>Гл. специалист ССК УКС ПАО "Россети Московский регион" Шатковский А.Н.</v>
      </c>
      <c r="I26" s="45" t="str">
        <f>CONCATENATE(I9," ",G1,"-",I12)</f>
        <v>Гл. специалист ССК УКС ПАО "Россети Московский регион"-Алексанян Г.Р.</v>
      </c>
    </row>
    <row r="27" spans="1:9" ht="62.25" customHeight="1" x14ac:dyDescent="0.2">
      <c r="C27" s="46" t="str">
        <f>CONCATENATE(C8," ",C1)</f>
        <v>Инженер по строительному контролю ООО "Энергосистемы"</v>
      </c>
      <c r="D27" s="46" t="str">
        <f>CONCATENATE(D8," ",D1)</f>
        <v>Специалист по строительному контролю ООО «Гефест»</v>
      </c>
      <c r="E27" s="47"/>
      <c r="G27" s="45" t="str">
        <f>CONCATENATE(G9," ",G1)</f>
        <v>Гл. специалист ССК УКС ПАО "Россети Московский регион"</v>
      </c>
      <c r="H27" s="45" t="str">
        <f>CONCATENATE(H9," ",G1)</f>
        <v>Гл. специалист ССК УКС ПАО "Россети Московский регион"</v>
      </c>
      <c r="I27" s="45" t="str">
        <f>CONCATENATE(I9," ",G1)</f>
        <v>Гл. специалист ССК УКС ПАО "Россети Московский регион"</v>
      </c>
    </row>
    <row r="28" spans="1:9" ht="56.25" customHeight="1" x14ac:dyDescent="0.2">
      <c r="C28" s="48" t="str">
        <f>CONCATENATE(C19," ",C1,"-",C21,".",C20)</f>
        <v>Прораб ООО "Энергосистемы"-Волков М.Ю..Приказ №05-ОТ/24 от 09 января 2024г</v>
      </c>
      <c r="D28" s="48" t="str">
        <f>CONCATENATE(D19," ",D1,"-",D21,".",D20)</f>
        <v>Мастер электромонтажного участка  ООО «Гефест»-Красилов К.А..Приказ №01/24-ОТ от 15.01.2024</v>
      </c>
      <c r="E28" s="45"/>
      <c r="G28" s="2" t="str">
        <f>CONCATENATE(G6," ",G1," ",G7)</f>
        <v>Начальник СРЭС СЭС филиала ПАО "Россети Московский регион" Чуев А.Н.</v>
      </c>
      <c r="H28" s="2"/>
      <c r="I28" s="2" t="str">
        <f>CONCATENATE(I6," ",G1," ",I7)</f>
        <v>Начальник ХРЭС СЭС филиала ПАО "Россети Московский регион" Арнаутов А.П.</v>
      </c>
    </row>
    <row r="29" spans="1:9" ht="49.5" customHeight="1" x14ac:dyDescent="0.2">
      <c r="C29" s="48" t="str">
        <f>CONCATENATE(C19," ",C1," ",C21)</f>
        <v>Прораб ООО "Энергосистемы" Волков М.Ю.</v>
      </c>
      <c r="D29" s="48" t="str">
        <f>CONCATENATE(D19," ",D1,"-",D21)</f>
        <v>Мастер электромонтажного участка  ООО «Гефест»-Красилов К.А.</v>
      </c>
      <c r="E29" s="45"/>
      <c r="G29" s="49" t="str">
        <f>CONCATENATE(G16," ",G1," ",G17)</f>
        <v xml:space="preserve"> ПАО "Россети Московский регион" </v>
      </c>
      <c r="H29" s="49"/>
      <c r="I29" s="49" t="str">
        <f>CONCATENATE(I16," ",G1," ",I17)</f>
        <v xml:space="preserve"> ПАО "Россети Московский регион" </v>
      </c>
    </row>
    <row r="30" spans="1:9" ht="36" customHeight="1" x14ac:dyDescent="0.2">
      <c r="C30" s="50" t="str">
        <f>CONCATENATE(C19," ",C1)</f>
        <v>Прораб ООО "Энергосистемы"</v>
      </c>
      <c r="D30" s="48" t="str">
        <f>CONCATENATE(D19," ",D1)</f>
        <v>Мастер электромонтажного участка  ООО «Гефест»</v>
      </c>
      <c r="E30" s="45"/>
      <c r="G30" s="2" t="str">
        <f>CONCATENATE(G18," ",G1," ",G19)</f>
        <v xml:space="preserve"> ПАО "Россети Московский регион" </v>
      </c>
      <c r="H30" s="2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K96"/>
  <sheetViews>
    <sheetView tabSelected="1" topLeftCell="A19" workbookViewId="0">
      <selection activeCell="F50" sqref="F50"/>
    </sheetView>
  </sheetViews>
  <sheetFormatPr defaultRowHeight="12.75" x14ac:dyDescent="0.2"/>
  <cols>
    <col min="1" max="1" width="30" style="73" customWidth="1"/>
    <col min="2" max="2" width="116.7109375" customWidth="1"/>
    <col min="3" max="3" width="46.7109375" style="51" customWidth="1"/>
    <col min="5" max="5" width="10.28515625" customWidth="1"/>
    <col min="6" max="6" width="5.85546875" customWidth="1"/>
    <col min="8" max="8" width="33.28515625" customWidth="1"/>
    <col min="9" max="9" width="22.7109375" customWidth="1"/>
    <col min="10" max="10" width="4.7109375" customWidth="1"/>
    <col min="13" max="13" width="57.140625" customWidth="1"/>
  </cols>
  <sheetData>
    <row r="1" spans="1:3" ht="14.25" x14ac:dyDescent="0.2">
      <c r="A1" s="169" t="s">
        <v>186</v>
      </c>
      <c r="B1" s="170"/>
    </row>
    <row r="2" spans="1:3" ht="15" x14ac:dyDescent="0.25">
      <c r="A2" s="52" t="s">
        <v>187</v>
      </c>
      <c r="B2" s="53" t="s">
        <v>258</v>
      </c>
    </row>
    <row r="3" spans="1:3" ht="75" x14ac:dyDescent="0.25">
      <c r="A3" s="54" t="s">
        <v>188</v>
      </c>
      <c r="B3" s="55" t="s">
        <v>259</v>
      </c>
    </row>
    <row r="4" spans="1:3" ht="15" x14ac:dyDescent="0.25">
      <c r="A4" s="56" t="s">
        <v>189</v>
      </c>
      <c r="B4" s="57" t="s">
        <v>155</v>
      </c>
    </row>
    <row r="5" spans="1:3" ht="15" x14ac:dyDescent="0.25">
      <c r="A5" s="56" t="s">
        <v>190</v>
      </c>
      <c r="B5" s="57"/>
    </row>
    <row r="6" spans="1:3" ht="15" x14ac:dyDescent="0.25">
      <c r="A6" s="56" t="s">
        <v>191</v>
      </c>
      <c r="B6" s="129"/>
    </row>
    <row r="7" spans="1:3" ht="15" x14ac:dyDescent="0.25">
      <c r="A7" s="56" t="s">
        <v>192</v>
      </c>
      <c r="B7" s="129"/>
    </row>
    <row r="8" spans="1:3" ht="15" x14ac:dyDescent="0.25">
      <c r="A8" s="56" t="s">
        <v>193</v>
      </c>
      <c r="B8" s="129"/>
      <c r="C8" s="58"/>
    </row>
    <row r="9" spans="1:3" ht="15" x14ac:dyDescent="0.25">
      <c r="A9" s="54" t="s">
        <v>194</v>
      </c>
      <c r="B9" s="129"/>
    </row>
    <row r="10" spans="1:3" ht="14.25" x14ac:dyDescent="0.2">
      <c r="A10" s="169" t="s">
        <v>195</v>
      </c>
      <c r="B10" s="170"/>
    </row>
    <row r="11" spans="1:3" ht="15" x14ac:dyDescent="0.25">
      <c r="A11" s="59"/>
      <c r="B11" s="60" t="s">
        <v>245</v>
      </c>
    </row>
    <row r="12" spans="1:3" ht="15" hidden="1" x14ac:dyDescent="0.25">
      <c r="A12" s="59" t="s">
        <v>196</v>
      </c>
      <c r="B12" s="60" t="s">
        <v>197</v>
      </c>
    </row>
    <row r="13" spans="1:3" ht="15" hidden="1" x14ac:dyDescent="0.25">
      <c r="A13" s="59" t="s">
        <v>198</v>
      </c>
      <c r="B13" s="61" t="s">
        <v>197</v>
      </c>
    </row>
    <row r="14" spans="1:3" ht="15" hidden="1" x14ac:dyDescent="0.25">
      <c r="A14" s="59" t="s">
        <v>199</v>
      </c>
      <c r="B14" s="60" t="s">
        <v>200</v>
      </c>
    </row>
    <row r="15" spans="1:3" ht="15" hidden="1" x14ac:dyDescent="0.25">
      <c r="A15" s="59" t="s">
        <v>201</v>
      </c>
      <c r="B15" s="60" t="s">
        <v>202</v>
      </c>
    </row>
    <row r="16" spans="1:3" ht="14.25" x14ac:dyDescent="0.2">
      <c r="A16" s="169" t="s">
        <v>203</v>
      </c>
      <c r="B16" s="170"/>
    </row>
    <row r="17" spans="1:3" ht="15" x14ac:dyDescent="0.25">
      <c r="A17" s="56" t="s">
        <v>204</v>
      </c>
      <c r="B17" s="62" t="s">
        <v>141</v>
      </c>
      <c r="C17" s="63" t="str">
        <f>CONCATENATE(B17," ",B18," ",B19)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8" spans="1:3" ht="15" x14ac:dyDescent="0.25">
      <c r="A18" s="56" t="s">
        <v>205</v>
      </c>
      <c r="B18" s="62" t="s">
        <v>146</v>
      </c>
      <c r="C18" s="124" t="s">
        <v>228</v>
      </c>
    </row>
    <row r="19" spans="1:3" ht="39" x14ac:dyDescent="0.25">
      <c r="A19" s="56" t="s">
        <v>149</v>
      </c>
      <c r="B19" s="62" t="s">
        <v>150</v>
      </c>
      <c r="C19" s="123" t="s">
        <v>227</v>
      </c>
    </row>
    <row r="20" spans="1:3" ht="15" x14ac:dyDescent="0.25">
      <c r="A20" s="56" t="s">
        <v>206</v>
      </c>
      <c r="B20" s="62" t="s">
        <v>159</v>
      </c>
      <c r="C20" s="63"/>
    </row>
    <row r="21" spans="1:3" ht="15" x14ac:dyDescent="0.25">
      <c r="A21" s="56" t="s">
        <v>207</v>
      </c>
      <c r="B21" s="62" t="s">
        <v>164</v>
      </c>
      <c r="C21" s="63" t="str">
        <f>CONCATENATE(B20," ",B17," ",B21)</f>
        <v>И.о.генерального директора ООО"Энергосистемы" Чернявская Н.Ю.</v>
      </c>
    </row>
    <row r="22" spans="1:3" ht="15" x14ac:dyDescent="0.25">
      <c r="A22" s="56" t="s">
        <v>206</v>
      </c>
      <c r="B22" s="62" t="s">
        <v>168</v>
      </c>
      <c r="C22" s="63" t="str">
        <f>CONCATENATE(B22," ",B17)</f>
        <v>Специалист по строительному контролю ООО"Энергосистемы"</v>
      </c>
    </row>
    <row r="23" spans="1:3" ht="15" x14ac:dyDescent="0.25">
      <c r="A23" s="56" t="s">
        <v>208</v>
      </c>
      <c r="B23" s="141" t="s">
        <v>246</v>
      </c>
      <c r="C23" s="64" t="str">
        <f>CONCATENATE(B22," ",B17," ",B23)</f>
        <v>Специалист по строительному контролю ООО"Энергосистемы" Русин В.А.</v>
      </c>
    </row>
    <row r="24" spans="1:3" ht="15" x14ac:dyDescent="0.25">
      <c r="A24" s="56" t="s">
        <v>209</v>
      </c>
      <c r="B24" s="62" t="s">
        <v>248</v>
      </c>
      <c r="C24" s="64" t="str">
        <f>CONCATENATE(B22," ",B17," ",B23,".",B24)</f>
        <v>Специалист по строительному контролю ООО"Энергосистемы" Русин В.А..Приказ № 13-ОТ/25 от 05 мая 2025</v>
      </c>
    </row>
    <row r="25" spans="1:3" ht="15" x14ac:dyDescent="0.25">
      <c r="A25" s="56"/>
      <c r="B25" s="62" t="s">
        <v>247</v>
      </c>
      <c r="C25" s="64"/>
    </row>
    <row r="26" spans="1:3" ht="15" x14ac:dyDescent="0.25">
      <c r="A26" s="56" t="s">
        <v>206</v>
      </c>
      <c r="B26" s="62" t="s">
        <v>137</v>
      </c>
      <c r="C26" s="63" t="str">
        <f>CONCATENATE(B26," ",B17)</f>
        <v>Прораб ООО"Энергосистемы"</v>
      </c>
    </row>
    <row r="27" spans="1:3" ht="15" x14ac:dyDescent="0.25">
      <c r="A27" s="56" t="s">
        <v>208</v>
      </c>
      <c r="B27" s="62" t="s">
        <v>136</v>
      </c>
      <c r="C27" s="64" t="str">
        <f>CONCATENATE(B26," ",B17," ",B27)</f>
        <v>Прораб ООО"Энергосистемы" Волков М.Ю.</v>
      </c>
    </row>
    <row r="28" spans="1:3" ht="15" x14ac:dyDescent="0.25">
      <c r="A28" s="65" t="s">
        <v>209</v>
      </c>
      <c r="B28" s="62" t="s">
        <v>138</v>
      </c>
      <c r="C28" s="64" t="str">
        <f>CONCATENATE(B26," ",B17," ",B27,".",B28)</f>
        <v>Прораб ООО"Энергосистемы" Волков М.Ю..Приказ №05-ОТ/24 от 09 января 2024г</v>
      </c>
    </row>
    <row r="29" spans="1:3" ht="14.25" x14ac:dyDescent="0.2">
      <c r="A29" s="171" t="s">
        <v>210</v>
      </c>
      <c r="B29" s="172"/>
    </row>
    <row r="30" spans="1:3" ht="15" x14ac:dyDescent="0.25">
      <c r="A30" s="65" t="s">
        <v>204</v>
      </c>
      <c r="B30" s="66" t="s">
        <v>144</v>
      </c>
    </row>
    <row r="31" spans="1:3" ht="15" x14ac:dyDescent="0.25">
      <c r="A31" s="65" t="s">
        <v>205</v>
      </c>
      <c r="B31" s="66" t="str">
        <f>'[1]Данные организации'!F2</f>
        <v>ОГРН 1057746555811 ИНН 5036065113 КПП 772501001</v>
      </c>
    </row>
    <row r="32" spans="1:3" ht="15" x14ac:dyDescent="0.25">
      <c r="A32" s="65" t="s">
        <v>149</v>
      </c>
      <c r="B32" s="66" t="str">
        <f>'[1]Данные организации'!F3</f>
        <v>115114, город Москва, проезд Павелецкий 2-й, дом 3, строение 2</v>
      </c>
    </row>
    <row r="33" spans="1:5" ht="15" x14ac:dyDescent="0.25">
      <c r="A33" s="65" t="s">
        <v>206</v>
      </c>
      <c r="B33" s="67" t="s">
        <v>161</v>
      </c>
      <c r="C33" s="51" t="str">
        <f>CONCATENATE(B33," ",B30)</f>
        <v>Начальник СРЭС СЭС филиала ПАО "Россети Московский регион"</v>
      </c>
    </row>
    <row r="34" spans="1:5" ht="15" x14ac:dyDescent="0.25">
      <c r="A34" s="65" t="s">
        <v>208</v>
      </c>
      <c r="B34" s="66" t="s">
        <v>166</v>
      </c>
      <c r="C34" s="51" t="str">
        <f>CONCATENATE(B33," ",B30," ",B34)</f>
        <v>Начальник СРЭС СЭС филиала ПАО "Россети Московский регион" Чуев А.Н.</v>
      </c>
    </row>
    <row r="35" spans="1:5" ht="15" hidden="1" x14ac:dyDescent="0.25">
      <c r="A35" s="65" t="s">
        <v>206</v>
      </c>
      <c r="B35" s="66" t="s">
        <v>176</v>
      </c>
      <c r="C35" s="51" t="str">
        <f>CONCATENATE(B35," ",B30)</f>
        <v>Гл. спец. сектора по льготным договорам тп ПАО "Россети Московский регион"</v>
      </c>
    </row>
    <row r="36" spans="1:5" ht="15" hidden="1" x14ac:dyDescent="0.25">
      <c r="A36" s="65" t="s">
        <v>208</v>
      </c>
      <c r="B36" s="66" t="s">
        <v>177</v>
      </c>
      <c r="C36" s="51" t="str">
        <f>CONCATENATE(B35," ",B30," ",B36)</f>
        <v>Гл. спец. сектора по льготным договорам тп ПАО "Россети Московский регион" Ефремкин Е.И.</v>
      </c>
    </row>
    <row r="37" spans="1:5" ht="15" hidden="1" x14ac:dyDescent="0.25">
      <c r="A37" s="65" t="s">
        <v>206</v>
      </c>
      <c r="B37" s="66" t="s">
        <v>178</v>
      </c>
      <c r="C37" s="51" t="str">
        <f>CONCATENATE(B37," ",B30)</f>
        <v>Гл. специалист ПТГ ПАО "Россети Московский регион"</v>
      </c>
    </row>
    <row r="38" spans="1:5" ht="15" hidden="1" x14ac:dyDescent="0.25">
      <c r="A38" s="65" t="s">
        <v>208</v>
      </c>
      <c r="B38" s="66" t="s">
        <v>179</v>
      </c>
      <c r="C38" s="51" t="str">
        <f>CONCATENATE(B37," ",B30," ",B38)</f>
        <v>Гл. специалист ПТГ ПАО "Россети Московский регион" Царькова Н.К.</v>
      </c>
    </row>
    <row r="39" spans="1:5" ht="15" x14ac:dyDescent="0.25">
      <c r="A39" s="65"/>
      <c r="B39" s="66" t="s">
        <v>263</v>
      </c>
      <c r="C39" s="51" t="str">
        <f>CONCATENATE(B33," ",B30," ",B34," ",B39)</f>
        <v>Начальник СРЭС СЭС филиала ПАО "Россети Московский регион" Чуев А.Н. Приказ №2363 от 29 июля 2025г</v>
      </c>
    </row>
    <row r="40" spans="1:5" ht="15" x14ac:dyDescent="0.25">
      <c r="A40" s="65" t="s">
        <v>206</v>
      </c>
      <c r="B40" s="66" t="s">
        <v>169</v>
      </c>
      <c r="C40" s="51" t="str">
        <f>CONCATENATE(B40," ",B30)</f>
        <v>Гл. специалист ССК УКС ПАО "Россети Московский регион"</v>
      </c>
    </row>
    <row r="41" spans="1:5" ht="15" x14ac:dyDescent="0.25">
      <c r="A41" s="65" t="s">
        <v>208</v>
      </c>
      <c r="B41" s="66" t="s">
        <v>252</v>
      </c>
      <c r="C41" s="68" t="str">
        <f>CONCATENATE(B40," ",B30," ",B41)</f>
        <v>Гл. специалист ССК УКС ПАО "Россети Московский регион" Алексанян Г.Р.</v>
      </c>
    </row>
    <row r="42" spans="1:5" ht="15" x14ac:dyDescent="0.25">
      <c r="A42" s="65" t="s">
        <v>209</v>
      </c>
      <c r="B42" s="66" t="s">
        <v>267</v>
      </c>
      <c r="C42" s="51" t="str">
        <f>CONCATENATE(B40," ",B30," ",B41,".",B42)</f>
        <v>Гл. специалист ССК УКС ПАО "Россети Московский регион" Алексанян Г.Р..Приказ №1904 от 03 июня 2026г</v>
      </c>
    </row>
    <row r="43" spans="1:5" ht="15" x14ac:dyDescent="0.25">
      <c r="A43" s="65" t="s">
        <v>226</v>
      </c>
      <c r="B43" s="69" t="s">
        <v>251</v>
      </c>
      <c r="E43" s="126"/>
    </row>
    <row r="44" spans="1:5" ht="15" x14ac:dyDescent="0.25">
      <c r="A44" s="65" t="s">
        <v>206</v>
      </c>
      <c r="B44" s="69"/>
      <c r="C44" s="51" t="str">
        <f>CONCATENATE(B44," ",B30)</f>
        <v xml:space="preserve"> ПАО "Россети Московский регион"</v>
      </c>
    </row>
    <row r="45" spans="1:5" ht="15" x14ac:dyDescent="0.25">
      <c r="A45" s="65" t="s">
        <v>208</v>
      </c>
      <c r="B45" s="69"/>
      <c r="C45" s="51" t="str">
        <f>CONCATENATE(B44," ",B30," ",B45)</f>
        <v xml:space="preserve"> ПАО "Россети Московский регион" </v>
      </c>
    </row>
    <row r="46" spans="1:5" ht="15" x14ac:dyDescent="0.25">
      <c r="A46" s="65" t="s">
        <v>209</v>
      </c>
      <c r="B46" s="69"/>
      <c r="C46" s="51" t="str">
        <f>CONCATENATE(B44," ",B30," ",B45,".",B46)</f>
        <v xml:space="preserve"> ПАО "Россети Московский регион" .</v>
      </c>
    </row>
    <row r="47" spans="1:5" ht="15" x14ac:dyDescent="0.25">
      <c r="A47" s="65" t="s">
        <v>206</v>
      </c>
      <c r="B47" s="69"/>
      <c r="C47" s="51" t="str">
        <f>CONCATENATE(B47," ",B30)</f>
        <v xml:space="preserve"> ПАО "Россети Московский регион"</v>
      </c>
    </row>
    <row r="48" spans="1:5" ht="15" x14ac:dyDescent="0.25">
      <c r="A48" s="65" t="s">
        <v>208</v>
      </c>
      <c r="B48" s="66"/>
      <c r="C48" s="51" t="str">
        <f>CONCATENATE(B47," ",B30," ",B48)</f>
        <v xml:space="preserve"> ПАО "Россети Московский регион" </v>
      </c>
    </row>
    <row r="49" spans="1:3" ht="14.25" x14ac:dyDescent="0.2">
      <c r="A49" s="169" t="s">
        <v>211</v>
      </c>
      <c r="B49" s="173"/>
    </row>
    <row r="50" spans="1:3" ht="15" x14ac:dyDescent="0.25">
      <c r="A50" s="54" t="s">
        <v>204</v>
      </c>
      <c r="B50" s="70" t="s">
        <v>141</v>
      </c>
    </row>
    <row r="51" spans="1:3" ht="15" x14ac:dyDescent="0.25">
      <c r="A51" s="56" t="s">
        <v>205</v>
      </c>
      <c r="B51" s="70" t="s">
        <v>146</v>
      </c>
    </row>
    <row r="52" spans="1:3" ht="30" x14ac:dyDescent="0.25">
      <c r="A52" s="56" t="s">
        <v>149</v>
      </c>
      <c r="B52" s="70" t="s">
        <v>150</v>
      </c>
    </row>
    <row r="53" spans="1:3" ht="15" x14ac:dyDescent="0.25">
      <c r="A53" s="54" t="s">
        <v>212</v>
      </c>
      <c r="B53" s="70" t="s">
        <v>213</v>
      </c>
    </row>
    <row r="54" spans="1:3" ht="15" x14ac:dyDescent="0.25">
      <c r="A54" s="54" t="s">
        <v>47</v>
      </c>
      <c r="B54" s="70"/>
    </row>
    <row r="55" spans="1:3" ht="75" x14ac:dyDescent="0.25">
      <c r="A55" s="54" t="s">
        <v>214</v>
      </c>
      <c r="B55" s="70" t="str">
        <f>B3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</row>
    <row r="56" spans="1:3" x14ac:dyDescent="0.2">
      <c r="A56" s="167" t="s">
        <v>215</v>
      </c>
      <c r="B56" s="167"/>
    </row>
    <row r="57" spans="1:3" x14ac:dyDescent="0.2">
      <c r="A57" s="168"/>
      <c r="B57" s="168"/>
    </row>
    <row r="58" spans="1:3" ht="15" x14ac:dyDescent="0.25">
      <c r="A58" s="54" t="s">
        <v>204</v>
      </c>
      <c r="B58" s="71" t="s">
        <v>216</v>
      </c>
      <c r="C58" s="51" t="str">
        <f>CONCATENATE(B62," ",B58," ",B63)</f>
        <v>Руководитель ЭИЛ  ООО «Энергосистемы»  Щербаков А.А.</v>
      </c>
    </row>
    <row r="59" spans="1:3" ht="15" x14ac:dyDescent="0.25">
      <c r="A59" s="65" t="s">
        <v>205</v>
      </c>
      <c r="B59" s="72" t="s">
        <v>146</v>
      </c>
    </row>
    <row r="60" spans="1:3" ht="15" x14ac:dyDescent="0.25">
      <c r="A60" s="65" t="s">
        <v>149</v>
      </c>
      <c r="B60" s="72" t="s">
        <v>217</v>
      </c>
    </row>
    <row r="61" spans="1:3" ht="15" x14ac:dyDescent="0.25">
      <c r="A61" s="65" t="s">
        <v>218</v>
      </c>
      <c r="B61" s="72" t="s">
        <v>219</v>
      </c>
    </row>
    <row r="62" spans="1:3" ht="15" x14ac:dyDescent="0.25">
      <c r="A62" s="54" t="s">
        <v>206</v>
      </c>
      <c r="B62" s="71" t="s">
        <v>220</v>
      </c>
    </row>
    <row r="63" spans="1:3" ht="15" x14ac:dyDescent="0.25">
      <c r="A63" s="54" t="s">
        <v>208</v>
      </c>
      <c r="B63" s="71" t="s">
        <v>221</v>
      </c>
    </row>
    <row r="66" spans="3:37" ht="13.5" x14ac:dyDescent="0.2">
      <c r="C66" s="74"/>
      <c r="D66" s="75"/>
      <c r="E66" s="75"/>
      <c r="F66" s="75"/>
      <c r="G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</row>
    <row r="67" spans="3:37" ht="13.5" x14ac:dyDescent="0.2">
      <c r="C67" s="74"/>
      <c r="D67" s="75"/>
      <c r="E67" s="75"/>
      <c r="F67" s="75"/>
      <c r="G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</row>
    <row r="68" spans="3:37" ht="13.5" x14ac:dyDescent="0.2">
      <c r="C68" s="74"/>
      <c r="D68" s="75"/>
      <c r="E68" s="75"/>
      <c r="F68" s="75"/>
      <c r="G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</row>
    <row r="69" spans="3:37" ht="13.5" x14ac:dyDescent="0.2">
      <c r="C69" s="74"/>
      <c r="D69" s="75"/>
      <c r="E69" s="75"/>
      <c r="F69" s="75"/>
      <c r="G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</row>
    <row r="70" spans="3:37" ht="13.5" x14ac:dyDescent="0.2">
      <c r="C70" s="74"/>
      <c r="D70" s="75"/>
      <c r="E70" s="75"/>
      <c r="F70" s="75"/>
      <c r="G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</row>
    <row r="71" spans="3:37" ht="13.5" x14ac:dyDescent="0.2">
      <c r="C71" s="74"/>
      <c r="D71" s="75"/>
      <c r="E71" s="75"/>
      <c r="F71" s="75"/>
      <c r="G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</row>
    <row r="72" spans="3:37" ht="13.5" x14ac:dyDescent="0.2">
      <c r="C72" s="74"/>
      <c r="D72" s="75"/>
      <c r="E72" s="75"/>
      <c r="F72" s="75"/>
      <c r="G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</row>
    <row r="73" spans="3:37" ht="13.5" x14ac:dyDescent="0.2">
      <c r="C73" s="74"/>
      <c r="D73" s="75"/>
      <c r="E73" s="75"/>
      <c r="F73" s="75"/>
      <c r="G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</row>
    <row r="77" spans="3:37" ht="14.45" customHeight="1" x14ac:dyDescent="0.2"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</row>
    <row r="78" spans="3:37" ht="14.45" customHeight="1" x14ac:dyDescent="0.2"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</row>
    <row r="79" spans="3:37" x14ac:dyDescent="0.2"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</row>
    <row r="80" spans="3:37" x14ac:dyDescent="0.2"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</row>
    <row r="81" spans="2:37" x14ac:dyDescent="0.2"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</row>
    <row r="82" spans="2:37" x14ac:dyDescent="0.2"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</row>
    <row r="83" spans="2:37" x14ac:dyDescent="0.2"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</row>
    <row r="84" spans="2:37" x14ac:dyDescent="0.2"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</row>
    <row r="85" spans="2:37" x14ac:dyDescent="0.2"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</row>
    <row r="86" spans="2:37" x14ac:dyDescent="0.2"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</row>
    <row r="87" spans="2:37" x14ac:dyDescent="0.2"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</row>
    <row r="88" spans="2:37" x14ac:dyDescent="0.2"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</row>
    <row r="89" spans="2:37" x14ac:dyDescent="0.2"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</row>
    <row r="90" spans="2:37" x14ac:dyDescent="0.2"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</row>
    <row r="91" spans="2:37" ht="14.45" customHeight="1" x14ac:dyDescent="0.2"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</row>
    <row r="96" spans="2:37" ht="16.149999999999999" customHeight="1" x14ac:dyDescent="0.2">
      <c r="B96" s="2"/>
    </row>
  </sheetData>
  <mergeCells count="6">
    <mergeCell ref="A56:B57"/>
    <mergeCell ref="A1:B1"/>
    <mergeCell ref="A10:B10"/>
    <mergeCell ref="A16:B16"/>
    <mergeCell ref="A29:B29"/>
    <mergeCell ref="A49:B49"/>
  </mergeCells>
  <dataValidations count="1">
    <dataValidation type="list" allowBlank="1" showInputMessage="1" showErrorMessage="1" sqref="C65" xr:uid="{00000000-0002-0000-0100-000000000000}">
      <formula1>ТП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EF862542-98AA-4FE9-A97A-58C81B2CA417}">
          <x14:formula1>
            <xm:f>'Данные организации'!$C$1:$E$1</xm:f>
          </x14:formula1>
          <xm:sqref>B17 B50</xm:sqref>
        </x14:dataValidation>
        <x14:dataValidation type="list" allowBlank="1" showInputMessage="1" showErrorMessage="1" xr:uid="{7C181A29-63F1-4409-93B3-0A91FF57663D}">
          <x14:formula1>
            <xm:f>'Данные организации'!$C$2:$E$2</xm:f>
          </x14:formula1>
          <xm:sqref>B18 B51</xm:sqref>
        </x14:dataValidation>
        <x14:dataValidation type="list" allowBlank="1" showInputMessage="1" showErrorMessage="1" xr:uid="{BA8A57FC-D57C-4F4C-80EE-1D8FC1F1C5A6}">
          <x14:formula1>
            <xm:f>'Данные организации'!$C$3:$E$3</xm:f>
          </x14:formula1>
          <xm:sqref>B19 B52</xm:sqref>
        </x14:dataValidation>
        <x14:dataValidation type="list" allowBlank="1" showInputMessage="1" showErrorMessage="1" xr:uid="{6FF7B7B3-5F35-4BF5-B7EB-BD3E1A97CFB7}">
          <x14:formula1>
            <xm:f>'Данные организации'!$C$6:$E$6</xm:f>
          </x14:formula1>
          <xm:sqref>B20</xm:sqref>
        </x14:dataValidation>
        <x14:dataValidation type="list" allowBlank="1" showInputMessage="1" showErrorMessage="1" xr:uid="{BB6E05AE-DBD9-459F-98DE-755D348D9F31}">
          <x14:formula1>
            <xm:f>'Данные организации'!$C$7:$E$7</xm:f>
          </x14:formula1>
          <xm:sqref>B21</xm:sqref>
        </x14:dataValidation>
        <x14:dataValidation type="list" allowBlank="1" showInputMessage="1" showErrorMessage="1" xr:uid="{0D755A2E-69DC-475E-95DB-4C6F090C4404}">
          <x14:formula1>
            <xm:f>'Данные организации'!$B$8:$E$8</xm:f>
          </x14:formula1>
          <xm:sqref>B22</xm:sqref>
        </x14:dataValidation>
        <x14:dataValidation type="list" allowBlank="1" showInputMessage="1" showErrorMessage="1" xr:uid="{88FCACEF-829A-4E3D-8F40-8A747696CA00}">
          <x14:formula1>
            <xm:f>'Данные организации'!$B$9:$E$9</xm:f>
          </x14:formula1>
          <xm:sqref>B24</xm:sqref>
        </x14:dataValidation>
        <x14:dataValidation type="list" allowBlank="1" showInputMessage="1" showErrorMessage="1" xr:uid="{9549A048-7139-4AA4-9513-DA29BBA073D2}">
          <x14:formula1>
            <xm:f>'Данные организации'!$B$10:$E$10</xm:f>
          </x14:formula1>
          <xm:sqref>B25</xm:sqref>
        </x14:dataValidation>
        <x14:dataValidation type="list" allowBlank="1" showInputMessage="1" showErrorMessage="1" xr:uid="{2D25F9BC-F680-4C69-9DEF-766795AB241E}">
          <x14:formula1>
            <xm:f>'Данные организации'!$C$19:$E$19</xm:f>
          </x14:formula1>
          <xm:sqref>B26</xm:sqref>
        </x14:dataValidation>
        <x14:dataValidation type="list" allowBlank="1" showInputMessage="1" showErrorMessage="1" xr:uid="{09DFAFAF-6EB6-484C-B6F2-8AD7C98635F4}">
          <x14:formula1>
            <xm:f>'Данные организации'!$C$21:$E$21</xm:f>
          </x14:formula1>
          <xm:sqref>B27</xm:sqref>
        </x14:dataValidation>
        <x14:dataValidation type="list" allowBlank="1" showInputMessage="1" showErrorMessage="1" xr:uid="{637D1046-067D-430C-AFF0-827AE3F835EA}">
          <x14:formula1>
            <xm:f>'Данные организации'!$C$20:$E$20</xm:f>
          </x14:formula1>
          <xm:sqref>B28</xm:sqref>
        </x14:dataValidation>
        <x14:dataValidation type="list" allowBlank="1" showInputMessage="1" showErrorMessage="1" xr:uid="{60184A9B-6891-4EB1-9688-F9DDE5A07E48}">
          <x14:formula1>
            <xm:f>'Данные организации'!$G$6:$I$6</xm:f>
          </x14:formula1>
          <xm:sqref>B33</xm:sqref>
        </x14:dataValidation>
        <x14:dataValidation type="list" allowBlank="1" showInputMessage="1" showErrorMessage="1" xr:uid="{B99BAADF-BFF5-4243-927D-0C3197E5BCF0}">
          <x14:formula1>
            <xm:f>'Данные организации'!$B$11:$E$11</xm:f>
          </x14:formula1>
          <xm:sqref>B23</xm:sqref>
        </x14:dataValidation>
        <x14:dataValidation type="list" allowBlank="1" showInputMessage="1" showErrorMessage="1" xr:uid="{1DADFFE0-F5A7-459E-853B-9A492E409A45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4B228C58-9E56-4EB8-BD33-6C39F0AC5146}">
          <x14:formula1>
            <xm:f>'Данные организации'!$G$7:$I$7</xm:f>
          </x14:formula1>
          <xm:sqref>B34</xm:sqref>
        </x14:dataValidation>
        <x14:dataValidation type="list" allowBlank="1" showInputMessage="1" showErrorMessage="1" xr:uid="{DCAADB88-1F8D-4AA9-B0B8-E99465320AA6}">
          <x14:formula1>
            <xm:f>'Данные организации'!$G$8:$I$8</xm:f>
          </x14:formula1>
          <xm:sqref>B39</xm:sqref>
        </x14:dataValidation>
        <x14:dataValidation type="list" allowBlank="1" showInputMessage="1" showErrorMessage="1" xr:uid="{AF8AD6DD-1DC6-4DF5-AB2E-344990CCE699}">
          <x14:formula1>
            <xm:f>'Данные организации'!$G$12:$I$12</xm:f>
          </x14:formula1>
          <xm:sqref>B41 B44</xm:sqref>
        </x14:dataValidation>
        <x14:dataValidation type="list" allowBlank="1" showInputMessage="1" showErrorMessage="1" xr:uid="{0F2161CF-C2FF-48EF-B0DE-01B3B5BD6D63}">
          <x14:formula1>
            <xm:f>'Данные организации'!$G$10:$I$10</xm:f>
          </x14:formula1>
          <xm:sqref>B42</xm:sqref>
        </x14:dataValidation>
        <x14:dataValidation type="list" allowBlank="1" showInputMessage="1" showErrorMessage="1" xr:uid="{58B66D04-5D24-45E3-84F4-B4F108BC7C95}">
          <x14:formula1>
            <xm:f>'Данные организации'!$G$13:$I$13</xm:f>
          </x14:formula1>
          <xm:sqref>B45</xm:sqref>
        </x14:dataValidation>
        <x14:dataValidation type="list" allowBlank="1" showInputMessage="1" showErrorMessage="1" xr:uid="{B556946E-29C3-4EDA-BAA5-E1E4A7EF162C}">
          <x14:formula1>
            <xm:f>'Данные организации'!$G$9:$I$9</xm:f>
          </x14:formula1>
          <xm:sqref>B40</xm:sqref>
        </x14:dataValidation>
        <x14:dataValidation type="list" allowBlank="1" showInputMessage="1" showErrorMessage="1" xr:uid="{E3685923-6558-4156-8F4F-C01A0893844B}">
          <x14:formula1>
            <xm:f>'Данные организации'!$G$11:$I$11</xm:f>
          </x14:formula1>
          <xm:sqref>B43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</sheetPr>
  <dimension ref="A1:L55"/>
  <sheetViews>
    <sheetView view="pageBreakPreview" zoomScale="120" zoomScaleNormal="100" zoomScaleSheetLayoutView="120" workbookViewId="0">
      <selection activeCell="A22" sqref="A22:I22"/>
    </sheetView>
  </sheetViews>
  <sheetFormatPr defaultRowHeight="12.75" x14ac:dyDescent="0.2"/>
  <cols>
    <col min="1" max="4" width="9.140625" customWidth="1"/>
    <col min="5" max="5" width="6.7109375" customWidth="1"/>
    <col min="6" max="6" width="7.42578125" customWidth="1"/>
    <col min="7" max="7" width="12" customWidth="1"/>
    <col min="8" max="8" width="9.140625" customWidth="1"/>
    <col min="9" max="9" width="15.140625" customWidth="1"/>
  </cols>
  <sheetData>
    <row r="1" spans="1:9" x14ac:dyDescent="0.2">
      <c r="A1" s="5"/>
      <c r="B1" s="6"/>
      <c r="C1" s="6"/>
      <c r="D1" s="6"/>
      <c r="E1" s="6"/>
      <c r="F1" s="6"/>
      <c r="G1" s="6"/>
      <c r="H1" s="6"/>
      <c r="I1" s="15" t="s">
        <v>127</v>
      </c>
    </row>
    <row r="2" spans="1:9" x14ac:dyDescent="0.2">
      <c r="A2" s="7"/>
      <c r="B2" s="136"/>
      <c r="C2" s="136"/>
      <c r="D2" s="136"/>
      <c r="E2" s="136"/>
      <c r="F2" s="136"/>
      <c r="G2" s="136"/>
      <c r="H2" s="136"/>
      <c r="I2" s="8"/>
    </row>
    <row r="3" spans="1:9" x14ac:dyDescent="0.2">
      <c r="A3" s="7"/>
      <c r="B3" s="136"/>
      <c r="C3" s="136"/>
      <c r="D3" s="136"/>
      <c r="E3" s="136"/>
      <c r="F3" s="136"/>
      <c r="G3" s="136"/>
      <c r="H3" s="136"/>
      <c r="I3" s="8"/>
    </row>
    <row r="4" spans="1:9" x14ac:dyDescent="0.2">
      <c r="A4" s="7"/>
      <c r="B4" s="136"/>
      <c r="C4" s="136"/>
      <c r="D4" s="136"/>
      <c r="E4" s="136"/>
      <c r="F4" s="136"/>
      <c r="G4" s="136"/>
      <c r="H4" s="136"/>
      <c r="I4" s="8"/>
    </row>
    <row r="5" spans="1:9" x14ac:dyDescent="0.2">
      <c r="A5" s="7"/>
      <c r="B5" s="136"/>
      <c r="C5" s="136"/>
      <c r="D5" s="136"/>
      <c r="E5" s="136"/>
      <c r="F5" s="136"/>
      <c r="G5" s="136"/>
      <c r="H5" s="136"/>
      <c r="I5" s="8"/>
    </row>
    <row r="6" spans="1:9" x14ac:dyDescent="0.2">
      <c r="A6" s="7"/>
      <c r="B6" s="136"/>
      <c r="C6" s="136"/>
      <c r="D6" s="136"/>
      <c r="E6" s="136"/>
      <c r="F6" s="136"/>
      <c r="G6" s="136"/>
      <c r="H6" s="136"/>
      <c r="I6" s="8"/>
    </row>
    <row r="7" spans="1:9" x14ac:dyDescent="0.2">
      <c r="A7" s="7"/>
      <c r="B7" s="136"/>
      <c r="C7" s="136"/>
      <c r="D7" s="136"/>
      <c r="E7" s="136"/>
      <c r="F7" s="136"/>
      <c r="G7" s="136"/>
      <c r="H7" s="136"/>
      <c r="I7" s="8"/>
    </row>
    <row r="8" spans="1:9" x14ac:dyDescent="0.2">
      <c r="A8" s="7"/>
      <c r="B8" s="136"/>
      <c r="C8" s="136"/>
      <c r="D8" s="136"/>
      <c r="E8" s="136"/>
      <c r="F8" s="136"/>
      <c r="G8" s="136"/>
      <c r="H8" s="136"/>
      <c r="I8" s="8"/>
    </row>
    <row r="9" spans="1:9" x14ac:dyDescent="0.2">
      <c r="A9" s="7"/>
      <c r="B9" s="136"/>
      <c r="C9" s="136"/>
      <c r="D9" s="136"/>
      <c r="E9" s="136"/>
      <c r="F9" s="136"/>
      <c r="G9" s="136"/>
      <c r="H9" s="136"/>
      <c r="I9" s="8"/>
    </row>
    <row r="10" spans="1:9" x14ac:dyDescent="0.2">
      <c r="A10" s="7"/>
      <c r="B10" s="136"/>
      <c r="C10" s="136"/>
      <c r="D10" s="136"/>
      <c r="E10" s="136"/>
      <c r="F10" s="136"/>
      <c r="G10" s="136"/>
      <c r="H10" s="136"/>
      <c r="I10" s="8"/>
    </row>
    <row r="11" spans="1:9" x14ac:dyDescent="0.2">
      <c r="A11" s="7"/>
      <c r="B11" s="136"/>
      <c r="C11" s="136"/>
      <c r="D11" s="136"/>
      <c r="E11" s="136"/>
      <c r="F11" s="136"/>
      <c r="G11" s="136"/>
      <c r="H11" s="136"/>
      <c r="I11" s="8"/>
    </row>
    <row r="12" spans="1:9" x14ac:dyDescent="0.2">
      <c r="A12" s="7"/>
      <c r="B12" s="136"/>
      <c r="C12" s="136"/>
      <c r="D12" s="136"/>
      <c r="E12" s="136"/>
      <c r="F12" s="136"/>
      <c r="G12" s="136"/>
      <c r="H12" s="136"/>
      <c r="I12" s="8"/>
    </row>
    <row r="13" spans="1:9" x14ac:dyDescent="0.2">
      <c r="A13" s="7"/>
      <c r="B13" s="136"/>
      <c r="C13" s="136"/>
      <c r="D13" s="136"/>
      <c r="E13" s="136"/>
      <c r="F13" s="136"/>
      <c r="G13" s="136"/>
      <c r="H13" s="136"/>
      <c r="I13" s="8"/>
    </row>
    <row r="14" spans="1:9" x14ac:dyDescent="0.2">
      <c r="A14" s="7"/>
      <c r="B14" s="136"/>
      <c r="C14" s="136"/>
      <c r="D14" s="136"/>
      <c r="E14" s="136"/>
      <c r="F14" s="136"/>
      <c r="G14" s="136"/>
      <c r="H14" s="136"/>
      <c r="I14" s="8"/>
    </row>
    <row r="15" spans="1:9" x14ac:dyDescent="0.2">
      <c r="A15" s="7"/>
      <c r="B15" s="136"/>
      <c r="C15" s="136"/>
      <c r="D15" s="136"/>
      <c r="E15" s="136"/>
      <c r="F15" s="136"/>
      <c r="G15" s="136"/>
      <c r="H15" s="136"/>
      <c r="I15" s="8"/>
    </row>
    <row r="16" spans="1:9" x14ac:dyDescent="0.2">
      <c r="A16" s="7"/>
      <c r="B16" s="136"/>
      <c r="C16" s="136"/>
      <c r="D16" s="136"/>
      <c r="E16" s="136"/>
      <c r="F16" s="136"/>
      <c r="G16" s="136"/>
      <c r="H16" s="136"/>
      <c r="I16" s="8"/>
    </row>
    <row r="17" spans="1:12" x14ac:dyDescent="0.2">
      <c r="A17" s="7"/>
      <c r="B17" s="136"/>
      <c r="C17" s="136"/>
      <c r="D17" s="136"/>
      <c r="E17" s="136"/>
      <c r="F17" s="136"/>
      <c r="G17" s="136"/>
      <c r="H17" s="136"/>
      <c r="I17" s="8"/>
    </row>
    <row r="18" spans="1:12" x14ac:dyDescent="0.2">
      <c r="A18" s="7"/>
      <c r="B18" s="136"/>
      <c r="C18" s="136"/>
      <c r="D18" s="136"/>
      <c r="E18" s="136"/>
      <c r="F18" s="136"/>
      <c r="G18" s="136"/>
      <c r="H18" s="136"/>
      <c r="I18" s="8"/>
    </row>
    <row r="19" spans="1:12" x14ac:dyDescent="0.2">
      <c r="A19" s="7"/>
      <c r="B19" s="136"/>
      <c r="C19" s="136"/>
      <c r="D19" s="136"/>
      <c r="E19" s="136"/>
      <c r="F19" s="136"/>
      <c r="G19" s="136"/>
      <c r="H19" s="136"/>
      <c r="I19" s="8"/>
    </row>
    <row r="20" spans="1:12" x14ac:dyDescent="0.2">
      <c r="A20" s="7"/>
      <c r="B20" s="136"/>
      <c r="C20" s="136"/>
      <c r="D20" s="136"/>
      <c r="E20" s="136"/>
      <c r="F20" s="136"/>
      <c r="G20" s="136"/>
      <c r="H20" s="136"/>
      <c r="I20" s="8"/>
    </row>
    <row r="21" spans="1:12" x14ac:dyDescent="0.2">
      <c r="A21" s="174" t="s">
        <v>125</v>
      </c>
      <c r="B21" s="175"/>
      <c r="C21" s="175"/>
      <c r="D21" s="175"/>
      <c r="E21" s="175"/>
      <c r="F21" s="175"/>
      <c r="G21" s="175"/>
      <c r="H21" s="175"/>
      <c r="I21" s="176"/>
    </row>
    <row r="22" spans="1:12" ht="37.5" customHeight="1" x14ac:dyDescent="0.2">
      <c r="A22" s="177" t="s">
        <v>112</v>
      </c>
      <c r="B22" s="178"/>
      <c r="C22" s="178"/>
      <c r="D22" s="178"/>
      <c r="E22" s="178"/>
      <c r="F22" s="178"/>
      <c r="G22" s="178"/>
      <c r="H22" s="178"/>
      <c r="I22" s="179"/>
    </row>
    <row r="23" spans="1:12" ht="18.75" x14ac:dyDescent="0.2">
      <c r="A23" s="7"/>
      <c r="B23" s="136"/>
      <c r="C23" s="136"/>
      <c r="D23" s="136"/>
      <c r="E23" s="137" t="s">
        <v>47</v>
      </c>
      <c r="F23" s="180" t="str">
        <f>'Данные объект'!B2</f>
        <v>SAP - 309788</v>
      </c>
      <c r="G23" s="180"/>
      <c r="H23" s="138"/>
      <c r="I23" s="139"/>
      <c r="J23" s="13"/>
      <c r="K23" s="13"/>
      <c r="L23" s="13"/>
    </row>
    <row r="24" spans="1:12" x14ac:dyDescent="0.2">
      <c r="A24" s="7"/>
      <c r="B24" s="136"/>
      <c r="C24" s="136"/>
      <c r="D24" s="136"/>
      <c r="E24" s="136"/>
      <c r="F24" s="136"/>
      <c r="G24" s="136"/>
      <c r="H24" s="136"/>
      <c r="I24" s="8"/>
    </row>
    <row r="25" spans="1:12" x14ac:dyDescent="0.2">
      <c r="A25" s="7"/>
      <c r="B25" s="136"/>
      <c r="C25" s="136"/>
      <c r="D25" s="136"/>
      <c r="E25" s="136"/>
      <c r="F25" s="136"/>
      <c r="G25" s="136"/>
      <c r="H25" s="136"/>
      <c r="I25" s="8"/>
    </row>
    <row r="26" spans="1:12" x14ac:dyDescent="0.2">
      <c r="A26" s="7"/>
      <c r="B26" s="136"/>
      <c r="C26" s="136"/>
      <c r="D26" s="136"/>
      <c r="E26" s="136"/>
      <c r="F26" s="136"/>
      <c r="G26" s="136"/>
      <c r="H26" s="136"/>
      <c r="I26" s="8"/>
    </row>
    <row r="27" spans="1:12" x14ac:dyDescent="0.2">
      <c r="A27" s="7"/>
      <c r="B27" s="136"/>
      <c r="C27" s="136"/>
      <c r="D27" s="136"/>
      <c r="E27" s="136"/>
      <c r="F27" s="136"/>
      <c r="G27" s="136"/>
      <c r="H27" s="136"/>
      <c r="I27" s="8"/>
    </row>
    <row r="28" spans="1:12" x14ac:dyDescent="0.2">
      <c r="A28" s="7"/>
      <c r="B28" s="136"/>
      <c r="C28" s="136"/>
      <c r="D28" s="136"/>
      <c r="E28" s="136"/>
      <c r="F28" s="136"/>
      <c r="G28" s="136"/>
      <c r="H28" s="136"/>
      <c r="I28" s="8"/>
    </row>
    <row r="29" spans="1:12" x14ac:dyDescent="0.2">
      <c r="A29" s="7"/>
      <c r="B29" s="136"/>
      <c r="C29" s="136"/>
      <c r="D29" s="136"/>
      <c r="E29" s="136"/>
      <c r="F29" s="136"/>
      <c r="G29" s="136"/>
      <c r="H29" s="136"/>
      <c r="I29" s="8"/>
    </row>
    <row r="30" spans="1:12" x14ac:dyDescent="0.2">
      <c r="A30" s="7"/>
      <c r="B30" s="136"/>
      <c r="C30" s="136"/>
      <c r="D30" s="136"/>
      <c r="E30" s="136"/>
      <c r="F30" s="136"/>
      <c r="G30" s="136"/>
      <c r="H30" s="136"/>
      <c r="I30" s="8"/>
    </row>
    <row r="31" spans="1:12" x14ac:dyDescent="0.2">
      <c r="A31" s="7"/>
      <c r="B31" s="136"/>
      <c r="C31" s="136"/>
      <c r="D31" s="136"/>
      <c r="E31" s="136"/>
      <c r="F31" s="136"/>
      <c r="G31" s="136"/>
      <c r="H31" s="136"/>
      <c r="I31" s="8"/>
    </row>
    <row r="32" spans="1:12" x14ac:dyDescent="0.2">
      <c r="A32" s="7"/>
      <c r="B32" s="136"/>
      <c r="C32" s="136"/>
      <c r="D32" s="136"/>
      <c r="E32" s="136"/>
      <c r="F32" s="136"/>
      <c r="G32" s="136"/>
      <c r="H32" s="136"/>
      <c r="I32" s="8"/>
    </row>
    <row r="33" spans="1:9" x14ac:dyDescent="0.2">
      <c r="A33" s="7"/>
      <c r="B33" s="136"/>
      <c r="C33" s="136"/>
      <c r="D33" s="136"/>
      <c r="E33" s="136"/>
      <c r="F33" s="136"/>
      <c r="G33" s="136"/>
      <c r="H33" s="136"/>
      <c r="I33" s="8"/>
    </row>
    <row r="34" spans="1:9" x14ac:dyDescent="0.2">
      <c r="A34" s="7"/>
      <c r="B34" s="136"/>
      <c r="C34" s="136"/>
      <c r="D34" s="136"/>
      <c r="E34" s="136"/>
      <c r="F34" s="136"/>
      <c r="G34" s="136"/>
      <c r="H34" s="136"/>
      <c r="I34" s="8"/>
    </row>
    <row r="35" spans="1:9" x14ac:dyDescent="0.2">
      <c r="A35" s="7"/>
      <c r="B35" s="136"/>
      <c r="C35" s="136"/>
      <c r="D35" s="136"/>
      <c r="E35" s="136"/>
      <c r="F35" s="136"/>
      <c r="G35" s="136"/>
      <c r="H35" s="136"/>
      <c r="I35" s="8"/>
    </row>
    <row r="36" spans="1:9" x14ac:dyDescent="0.2">
      <c r="A36" s="7"/>
      <c r="B36" s="136"/>
      <c r="C36" s="136"/>
      <c r="D36" s="136"/>
      <c r="E36" s="136"/>
      <c r="F36" s="136"/>
      <c r="G36" s="136"/>
      <c r="H36" s="136"/>
      <c r="I36" s="8"/>
    </row>
    <row r="37" spans="1:9" x14ac:dyDescent="0.2">
      <c r="A37" s="7"/>
      <c r="B37" s="136"/>
      <c r="C37" s="136"/>
      <c r="D37" s="136"/>
      <c r="E37" s="136"/>
      <c r="F37" s="136"/>
      <c r="G37" s="136"/>
      <c r="H37" s="136"/>
      <c r="I37" s="8"/>
    </row>
    <row r="38" spans="1:9" x14ac:dyDescent="0.2">
      <c r="A38" s="7"/>
      <c r="B38" s="136"/>
      <c r="C38" s="136"/>
      <c r="D38" s="136"/>
      <c r="E38" s="136"/>
      <c r="F38" s="136"/>
      <c r="G38" s="136"/>
      <c r="H38" s="136"/>
      <c r="I38" s="8"/>
    </row>
    <row r="39" spans="1:9" x14ac:dyDescent="0.2">
      <c r="A39" s="7"/>
      <c r="B39" s="136"/>
      <c r="C39" s="136"/>
      <c r="D39" s="136"/>
      <c r="E39" s="136"/>
      <c r="F39" s="136"/>
      <c r="G39" s="136"/>
      <c r="H39" s="136"/>
      <c r="I39" s="8"/>
    </row>
    <row r="40" spans="1:9" x14ac:dyDescent="0.2">
      <c r="A40" s="7"/>
      <c r="B40" s="136"/>
      <c r="C40" s="136"/>
      <c r="D40" s="136"/>
      <c r="E40" s="136"/>
      <c r="F40" s="136"/>
      <c r="G40" s="136"/>
      <c r="H40" s="136"/>
      <c r="I40" s="8"/>
    </row>
    <row r="41" spans="1:9" x14ac:dyDescent="0.2">
      <c r="A41" s="7"/>
      <c r="B41" s="136"/>
      <c r="C41" s="136"/>
      <c r="D41" s="136"/>
      <c r="E41" s="136"/>
      <c r="F41" s="136"/>
      <c r="G41" s="136"/>
      <c r="H41" s="136"/>
      <c r="I41" s="8"/>
    </row>
    <row r="42" spans="1:9" x14ac:dyDescent="0.2">
      <c r="A42" s="7"/>
      <c r="B42" s="136"/>
      <c r="C42" s="136"/>
      <c r="D42" s="136"/>
      <c r="E42" s="136"/>
      <c r="F42" s="136"/>
      <c r="G42" s="136"/>
      <c r="H42" s="136"/>
      <c r="I42" s="8"/>
    </row>
    <row r="43" spans="1:9" x14ac:dyDescent="0.2">
      <c r="A43" s="7"/>
      <c r="B43" s="136"/>
      <c r="C43" s="136"/>
      <c r="D43" s="136"/>
      <c r="E43" s="136"/>
      <c r="F43" s="136"/>
      <c r="G43" s="136"/>
      <c r="H43" s="136"/>
      <c r="I43" s="8"/>
    </row>
    <row r="44" spans="1:9" x14ac:dyDescent="0.2">
      <c r="A44" s="7"/>
      <c r="B44" s="136"/>
      <c r="C44" s="136"/>
      <c r="D44" s="136"/>
      <c r="E44" s="136"/>
      <c r="F44" s="136"/>
      <c r="G44" s="136"/>
      <c r="H44" s="136"/>
      <c r="I44" s="8"/>
    </row>
    <row r="45" spans="1:9" x14ac:dyDescent="0.2">
      <c r="A45" s="7"/>
      <c r="B45" s="136"/>
      <c r="C45" s="136"/>
      <c r="D45" s="136"/>
      <c r="E45" s="136"/>
      <c r="F45" s="136"/>
      <c r="G45" s="136"/>
      <c r="H45" s="136"/>
      <c r="I45" s="8"/>
    </row>
    <row r="46" spans="1:9" x14ac:dyDescent="0.2">
      <c r="A46" s="7"/>
      <c r="B46" s="136"/>
      <c r="C46" s="136"/>
      <c r="D46" s="136"/>
      <c r="E46" s="136"/>
      <c r="F46" s="136"/>
      <c r="G46" s="136"/>
      <c r="H46" s="136"/>
      <c r="I46" s="8"/>
    </row>
    <row r="47" spans="1:9" x14ac:dyDescent="0.2">
      <c r="A47" s="7"/>
      <c r="B47" s="136"/>
      <c r="C47" s="136"/>
      <c r="D47" s="136"/>
      <c r="E47" s="136"/>
      <c r="F47" s="136"/>
      <c r="G47" s="136"/>
      <c r="H47" s="136"/>
      <c r="I47" s="8"/>
    </row>
    <row r="48" spans="1:9" x14ac:dyDescent="0.2">
      <c r="A48" s="7"/>
      <c r="B48" s="136"/>
      <c r="C48" s="136"/>
      <c r="D48" s="136"/>
      <c r="E48" s="136"/>
      <c r="F48" s="136"/>
      <c r="G48" s="136"/>
      <c r="H48" s="136"/>
      <c r="I48" s="8"/>
    </row>
    <row r="49" spans="1:9" x14ac:dyDescent="0.2">
      <c r="A49" s="7"/>
      <c r="B49" s="136"/>
      <c r="C49" s="136"/>
      <c r="D49" s="136"/>
      <c r="E49" s="136"/>
      <c r="F49" s="136"/>
      <c r="G49" s="136"/>
      <c r="H49" s="136"/>
      <c r="I49" s="8"/>
    </row>
    <row r="50" spans="1:9" x14ac:dyDescent="0.2">
      <c r="A50" s="7"/>
      <c r="B50" s="136"/>
      <c r="C50" s="136"/>
      <c r="D50" s="136"/>
      <c r="E50" s="136"/>
      <c r="F50" s="136"/>
      <c r="G50" s="136"/>
      <c r="H50" s="136"/>
      <c r="I50" s="8"/>
    </row>
    <row r="51" spans="1:9" x14ac:dyDescent="0.2">
      <c r="A51" s="7"/>
      <c r="B51" s="136"/>
      <c r="C51" s="136"/>
      <c r="D51" s="136"/>
      <c r="E51" s="136"/>
      <c r="F51" s="136"/>
      <c r="G51" s="136"/>
      <c r="H51" s="136"/>
      <c r="I51" s="8"/>
    </row>
    <row r="52" spans="1:9" x14ac:dyDescent="0.2">
      <c r="A52" s="7"/>
      <c r="B52" s="136"/>
      <c r="C52" s="136"/>
      <c r="D52" s="136"/>
      <c r="E52" s="136"/>
      <c r="F52" s="136"/>
      <c r="G52" s="136"/>
      <c r="H52" s="136"/>
      <c r="I52" s="8"/>
    </row>
    <row r="53" spans="1:9" x14ac:dyDescent="0.2">
      <c r="A53" s="7"/>
      <c r="B53" s="136"/>
      <c r="C53" s="136"/>
      <c r="D53" s="136"/>
      <c r="E53" s="136"/>
      <c r="F53" s="136"/>
      <c r="G53" s="136"/>
      <c r="H53" s="136"/>
      <c r="I53" s="8"/>
    </row>
    <row r="54" spans="1:9" x14ac:dyDescent="0.2">
      <c r="A54" s="7"/>
      <c r="B54" s="136"/>
      <c r="C54" s="136"/>
      <c r="D54" s="136"/>
      <c r="E54" s="136"/>
      <c r="F54" s="136"/>
      <c r="G54" s="136"/>
      <c r="H54" s="136"/>
      <c r="I54" s="8"/>
    </row>
    <row r="55" spans="1:9" ht="37.5" customHeight="1" thickBot="1" x14ac:dyDescent="0.25">
      <c r="A55" s="9"/>
      <c r="B55" s="10"/>
      <c r="C55" s="10"/>
      <c r="D55" s="10"/>
      <c r="E55" s="10"/>
      <c r="F55" s="10"/>
      <c r="G55" s="10"/>
      <c r="H55" s="10"/>
      <c r="I55" s="11"/>
    </row>
  </sheetData>
  <mergeCells count="3">
    <mergeCell ref="A21:I21"/>
    <mergeCell ref="A22:I22"/>
    <mergeCell ref="F23:G23"/>
  </mergeCells>
  <pageMargins left="0.9055118110236221" right="0.51181102362204722" top="0.55118110236220474" bottom="0.55118110236220474" header="0.31496062992125984" footer="0.31496062992125984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7"/>
  </sheetPr>
  <dimension ref="A1:AJ232"/>
  <sheetViews>
    <sheetView view="pageBreakPreview" topLeftCell="A205" zoomScaleNormal="140" zoomScaleSheetLayoutView="100" workbookViewId="0">
      <selection activeCell="AM233" sqref="AM233"/>
    </sheetView>
  </sheetViews>
  <sheetFormatPr defaultColWidth="9.140625" defaultRowHeight="15" x14ac:dyDescent="0.25"/>
  <cols>
    <col min="1" max="36" width="2.5703125" style="91" customWidth="1"/>
    <col min="37" max="16384" width="9.140625" style="91"/>
  </cols>
  <sheetData>
    <row r="1" spans="1:36" s="77" customFormat="1" ht="12" x14ac:dyDescent="0.2">
      <c r="A1" s="196" t="s">
        <v>44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</row>
    <row r="2" spans="1:36" s="77" customFormat="1" ht="12" x14ac:dyDescent="0.2">
      <c r="A2" s="196" t="s">
        <v>45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</row>
    <row r="3" spans="1:36" s="77" customFormat="1" ht="20.25" customHeight="1" x14ac:dyDescent="0.2">
      <c r="A3" s="196" t="s">
        <v>46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</row>
    <row r="4" spans="1:36" s="81" customFormat="1" ht="17.25" customHeight="1" x14ac:dyDescent="0.2">
      <c r="A4" s="78"/>
      <c r="B4" s="78"/>
      <c r="C4" s="78"/>
      <c r="D4" s="78"/>
      <c r="E4" s="79"/>
      <c r="F4" s="78"/>
      <c r="G4" s="78"/>
      <c r="H4" s="78"/>
      <c r="I4" s="78"/>
      <c r="J4" s="78"/>
      <c r="K4" s="80"/>
      <c r="O4" s="79"/>
      <c r="P4" s="79" t="s">
        <v>47</v>
      </c>
      <c r="Q4" s="201" t="str">
        <f>'Данные объект'!B2</f>
        <v>SAP - 309788</v>
      </c>
      <c r="R4" s="201"/>
      <c r="S4" s="201"/>
      <c r="T4" s="201"/>
      <c r="U4" s="201"/>
    </row>
    <row r="5" spans="1:36" s="81" customFormat="1" ht="14.25" customHeight="1" x14ac:dyDescent="0.2">
      <c r="A5" s="78"/>
      <c r="B5" s="78"/>
      <c r="C5" s="78"/>
      <c r="D5" s="78"/>
      <c r="E5" s="78"/>
      <c r="F5" s="78"/>
      <c r="G5" s="78"/>
      <c r="H5" s="78"/>
      <c r="I5" s="78"/>
      <c r="J5" s="78"/>
      <c r="K5" s="80"/>
    </row>
    <row r="6" spans="1:36" s="17" customFormat="1" ht="12" x14ac:dyDescent="0.2">
      <c r="A6" s="197" t="s">
        <v>129</v>
      </c>
      <c r="B6" s="197"/>
      <c r="C6" s="198" t="s">
        <v>260</v>
      </c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</row>
    <row r="7" spans="1:36" s="16" customFormat="1" ht="8.25" x14ac:dyDescent="0.15">
      <c r="A7" s="83"/>
      <c r="B7" s="83"/>
      <c r="C7" s="199" t="s">
        <v>128</v>
      </c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</row>
    <row r="8" spans="1:36" s="17" customFormat="1" ht="11.25" x14ac:dyDescent="0.2">
      <c r="A8" s="181" t="str">
        <f>'Данные объект'!B3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</row>
    <row r="9" spans="1:36" s="17" customFormat="1" ht="46.5" customHeight="1" x14ac:dyDescent="0.2">
      <c r="A9" s="182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</row>
    <row r="10" spans="1:36" s="16" customFormat="1" ht="8.25" x14ac:dyDescent="0.15">
      <c r="A10" s="200" t="s">
        <v>1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</row>
    <row r="11" spans="1:36" customFormat="1" ht="18" customHeight="1" x14ac:dyDescent="0.2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5"/>
    </row>
    <row r="12" spans="1:36" s="88" customFormat="1" ht="15.75" customHeight="1" x14ac:dyDescent="0.2">
      <c r="A12" s="86" t="s">
        <v>11</v>
      </c>
      <c r="B12" s="86"/>
      <c r="C12" s="87"/>
      <c r="D12" s="87"/>
      <c r="E12" s="87"/>
      <c r="F12" s="87"/>
      <c r="G12" s="87"/>
      <c r="H12" s="87"/>
      <c r="I12" s="87"/>
      <c r="J12" s="87"/>
    </row>
    <row r="13" spans="1:36" s="88" customFormat="1" ht="11.25" x14ac:dyDescent="0.2">
      <c r="A13" s="184" t="str">
        <f>'Данные объект'!B17</f>
        <v>ООО"Энергосистемы"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</row>
    <row r="14" spans="1:36" s="89" customFormat="1" ht="7.5" x14ac:dyDescent="0.15">
      <c r="A14" s="202" t="s">
        <v>48</v>
      </c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</row>
    <row r="15" spans="1:36" s="88" customFormat="1" ht="11.25" x14ac:dyDescent="0.2">
      <c r="A15" s="184" t="str">
        <f>'Данные объект'!B18</f>
        <v>ОГРН 1135044003709  ИНН 5044089069 КПП 504401001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</row>
    <row r="16" spans="1:36" s="89" customFormat="1" ht="7.5" x14ac:dyDescent="0.15">
      <c r="A16" s="202" t="s">
        <v>49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</row>
    <row r="17" spans="1:36" s="88" customFormat="1" ht="11.25" x14ac:dyDescent="0.2">
      <c r="A17" s="184" t="str">
        <f>'Данные объект'!B19</f>
        <v xml:space="preserve">141508, Московская область, г.о. Солнечногорск, г. Солнечногорск, ул. Промышленная, стр. 5, помещение 179
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</row>
    <row r="18" spans="1:36" s="89" customFormat="1" ht="24.75" customHeight="1" x14ac:dyDescent="0.15">
      <c r="A18" s="204" t="s">
        <v>50</v>
      </c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</row>
    <row r="19" spans="1:36" s="88" customFormat="1" ht="11.25" x14ac:dyDescent="0.2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</row>
    <row r="20" spans="1:36" s="89" customFormat="1" ht="15.75" customHeight="1" x14ac:dyDescent="0.15">
      <c r="A20" s="202" t="s">
        <v>51</v>
      </c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</row>
    <row r="21" spans="1:36" ht="13.5" customHeight="1" x14ac:dyDescent="0.25">
      <c r="A21" s="90"/>
      <c r="B21" s="90"/>
      <c r="C21" s="90"/>
      <c r="D21" s="90"/>
      <c r="E21" s="90"/>
      <c r="F21" s="90"/>
      <c r="G21" s="90"/>
      <c r="H21" s="90"/>
      <c r="I21" s="90"/>
      <c r="J21" s="90"/>
    </row>
    <row r="22" spans="1:36" s="17" customFormat="1" ht="17.25" customHeight="1" x14ac:dyDescent="0.2">
      <c r="A22" s="195" t="s">
        <v>2</v>
      </c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</row>
    <row r="23" spans="1:36" s="17" customFormat="1" ht="91.5" customHeight="1" x14ac:dyDescent="0.2">
      <c r="A23" s="188" t="s">
        <v>39</v>
      </c>
      <c r="B23" s="188"/>
      <c r="C23" s="188" t="s">
        <v>52</v>
      </c>
      <c r="D23" s="188"/>
      <c r="E23" s="188"/>
      <c r="F23" s="188"/>
      <c r="G23" s="188"/>
      <c r="H23" s="188"/>
      <c r="I23" s="188"/>
      <c r="J23" s="188" t="s">
        <v>53</v>
      </c>
      <c r="K23" s="188"/>
      <c r="L23" s="188"/>
      <c r="M23" s="188"/>
      <c r="N23" s="188"/>
      <c r="O23" s="188" t="s">
        <v>3</v>
      </c>
      <c r="P23" s="188"/>
      <c r="Q23" s="188"/>
      <c r="R23" s="188"/>
      <c r="S23" s="188"/>
      <c r="T23" s="188" t="s">
        <v>54</v>
      </c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 t="s">
        <v>4</v>
      </c>
      <c r="AH23" s="188"/>
      <c r="AI23" s="188"/>
      <c r="AJ23" s="188"/>
    </row>
    <row r="24" spans="1:36" s="17" customFormat="1" ht="11.25" x14ac:dyDescent="0.2">
      <c r="A24" s="188" t="s">
        <v>33</v>
      </c>
      <c r="B24" s="188"/>
      <c r="C24" s="188" t="s">
        <v>34</v>
      </c>
      <c r="D24" s="188"/>
      <c r="E24" s="188"/>
      <c r="F24" s="188"/>
      <c r="G24" s="188"/>
      <c r="H24" s="188"/>
      <c r="I24" s="188"/>
      <c r="J24" s="188" t="s">
        <v>35</v>
      </c>
      <c r="K24" s="188"/>
      <c r="L24" s="188"/>
      <c r="M24" s="188"/>
      <c r="N24" s="188"/>
      <c r="O24" s="188" t="s">
        <v>55</v>
      </c>
      <c r="P24" s="188"/>
      <c r="Q24" s="188"/>
      <c r="R24" s="188"/>
      <c r="S24" s="188"/>
      <c r="T24" s="188" t="s">
        <v>56</v>
      </c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 t="s">
        <v>57</v>
      </c>
      <c r="AH24" s="188"/>
      <c r="AI24" s="188"/>
      <c r="AJ24" s="188"/>
    </row>
    <row r="25" spans="1:36" s="17" customFormat="1" ht="60" customHeight="1" x14ac:dyDescent="0.2">
      <c r="A25" s="188" t="s">
        <v>33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</row>
    <row r="26" spans="1:36" s="17" customFormat="1" ht="56.25" customHeight="1" x14ac:dyDescent="0.2">
      <c r="A26" s="188" t="s">
        <v>34</v>
      </c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</row>
    <row r="27" spans="1:36" s="17" customFormat="1" ht="11.25" x14ac:dyDescent="0.2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</row>
    <row r="28" spans="1:36" s="17" customFormat="1" ht="11.25" x14ac:dyDescent="0.2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</row>
    <row r="29" spans="1:36" ht="16.5" customHeight="1" x14ac:dyDescent="0.25">
      <c r="A29" s="90"/>
      <c r="B29" s="90"/>
      <c r="C29" s="90"/>
      <c r="D29" s="90"/>
      <c r="E29" s="90"/>
      <c r="F29" s="90"/>
      <c r="G29" s="90"/>
      <c r="H29" s="90"/>
      <c r="I29" s="90"/>
      <c r="J29" s="90"/>
    </row>
    <row r="30" spans="1:36" s="94" customFormat="1" ht="17.25" customHeight="1" x14ac:dyDescent="0.2">
      <c r="A30" s="92" t="s">
        <v>58</v>
      </c>
      <c r="B30" s="93"/>
      <c r="C30" s="93"/>
      <c r="D30" s="93"/>
      <c r="E30" s="93"/>
      <c r="F30" s="93"/>
      <c r="G30" s="93"/>
      <c r="H30" s="93"/>
      <c r="I30" s="93"/>
      <c r="J30" s="93"/>
    </row>
    <row r="31" spans="1:36" s="88" customFormat="1" ht="11.25" x14ac:dyDescent="0.2">
      <c r="A31" s="184" t="str">
        <f>CONCATENATE('Данные объект'!B30," ",'Данные объект'!B31)</f>
        <v>ПАО "Россети Московский регион" ОГРН 1057746555811 ИНН 5036065113 КПП 772501001</v>
      </c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</row>
    <row r="32" spans="1:36" s="89" customFormat="1" ht="7.5" x14ac:dyDescent="0.15">
      <c r="A32" s="202" t="s">
        <v>113</v>
      </c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</row>
    <row r="33" spans="1:36" s="88" customFormat="1" ht="11.25" x14ac:dyDescent="0.2">
      <c r="A33" s="184" t="str">
        <f>'Данные объект'!B32</f>
        <v>115114, город Москва, проезд Павелецкий 2-й, дом 3, строение 2</v>
      </c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</row>
    <row r="34" spans="1:36" s="89" customFormat="1" ht="20.25" customHeight="1" x14ac:dyDescent="0.15">
      <c r="A34" s="204" t="s">
        <v>114</v>
      </c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</row>
    <row r="35" spans="1:36" s="97" customFormat="1" ht="6" customHeight="1" x14ac:dyDescent="0.25">
      <c r="A35" s="95"/>
      <c r="B35" s="96"/>
      <c r="C35" s="96"/>
      <c r="D35" s="96"/>
      <c r="E35" s="96"/>
      <c r="F35" s="96"/>
      <c r="G35" s="96"/>
      <c r="H35" s="96"/>
      <c r="I35" s="96"/>
      <c r="J35" s="96"/>
    </row>
    <row r="36" spans="1:36" s="94" customFormat="1" ht="15" customHeight="1" x14ac:dyDescent="0.2">
      <c r="A36" s="232" t="s">
        <v>59</v>
      </c>
      <c r="B36" s="232"/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  <c r="AA36" s="232"/>
      <c r="AB36" s="232"/>
      <c r="AC36" s="232"/>
      <c r="AD36" s="232"/>
      <c r="AE36" s="232"/>
      <c r="AF36" s="232"/>
      <c r="AG36" s="232"/>
      <c r="AH36" s="232"/>
      <c r="AI36" s="232"/>
      <c r="AJ36" s="232"/>
    </row>
    <row r="37" spans="1:36" s="17" customFormat="1" ht="106.5" customHeight="1" x14ac:dyDescent="0.2">
      <c r="A37" s="188" t="s">
        <v>39</v>
      </c>
      <c r="B37" s="188"/>
      <c r="C37" s="188" t="s">
        <v>52</v>
      </c>
      <c r="D37" s="188"/>
      <c r="E37" s="188"/>
      <c r="F37" s="188"/>
      <c r="G37" s="188"/>
      <c r="H37" s="188"/>
      <c r="I37" s="188"/>
      <c r="J37" s="188" t="s">
        <v>53</v>
      </c>
      <c r="K37" s="188"/>
      <c r="L37" s="188"/>
      <c r="M37" s="188"/>
      <c r="N37" s="188"/>
      <c r="O37" s="188" t="s">
        <v>62</v>
      </c>
      <c r="P37" s="188"/>
      <c r="Q37" s="188"/>
      <c r="R37" s="188"/>
      <c r="S37" s="188"/>
      <c r="T37" s="188" t="s">
        <v>54</v>
      </c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 t="s">
        <v>4</v>
      </c>
      <c r="AH37" s="188"/>
      <c r="AI37" s="188"/>
      <c r="AJ37" s="188"/>
    </row>
    <row r="38" spans="1:36" s="17" customFormat="1" ht="11.25" x14ac:dyDescent="0.2">
      <c r="A38" s="188" t="s">
        <v>33</v>
      </c>
      <c r="B38" s="188"/>
      <c r="C38" s="188" t="s">
        <v>34</v>
      </c>
      <c r="D38" s="188"/>
      <c r="E38" s="188"/>
      <c r="F38" s="188"/>
      <c r="G38" s="188"/>
      <c r="H38" s="188"/>
      <c r="I38" s="188"/>
      <c r="J38" s="188" t="s">
        <v>35</v>
      </c>
      <c r="K38" s="188"/>
      <c r="L38" s="188"/>
      <c r="M38" s="188"/>
      <c r="N38" s="188"/>
      <c r="O38" s="188" t="s">
        <v>55</v>
      </c>
      <c r="P38" s="188"/>
      <c r="Q38" s="188"/>
      <c r="R38" s="188"/>
      <c r="S38" s="188"/>
      <c r="T38" s="188" t="s">
        <v>56</v>
      </c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 t="s">
        <v>57</v>
      </c>
      <c r="AH38" s="188"/>
      <c r="AI38" s="188"/>
      <c r="AJ38" s="188"/>
    </row>
    <row r="39" spans="1:36" s="17" customFormat="1" ht="58.5" customHeight="1" x14ac:dyDescent="0.2">
      <c r="A39" s="188"/>
      <c r="B39" s="188"/>
      <c r="C39" s="188" t="str">
        <f>'Данные объект'!B34</f>
        <v>Чуев А.Н.</v>
      </c>
      <c r="D39" s="188"/>
      <c r="E39" s="188"/>
      <c r="F39" s="188"/>
      <c r="G39" s="188"/>
      <c r="H39" s="188"/>
      <c r="I39" s="188"/>
      <c r="J39" s="188" t="str">
        <f>'Данные объект'!C33</f>
        <v>Начальник СРЭС СЭС филиала ПАО "Россети Московский регион"</v>
      </c>
      <c r="K39" s="188"/>
      <c r="L39" s="188"/>
      <c r="M39" s="188"/>
      <c r="N39" s="188"/>
      <c r="O39" s="233" t="str">
        <f>'Данные объект'!B39</f>
        <v>Приказ №2363 от 29 июля 2025г</v>
      </c>
      <c r="P39" s="233"/>
      <c r="Q39" s="233"/>
      <c r="R39" s="233"/>
      <c r="S39" s="233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</row>
    <row r="40" spans="1:36" s="17" customFormat="1" ht="11.25" x14ac:dyDescent="0.2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</row>
    <row r="41" spans="1:36" s="88" customFormat="1" ht="9.75" hidden="1" customHeight="1" x14ac:dyDescent="0.2">
      <c r="A41" s="98"/>
      <c r="B41" s="98"/>
      <c r="C41" s="98"/>
      <c r="D41" s="98"/>
      <c r="E41" s="98"/>
      <c r="F41" s="98"/>
      <c r="G41" s="98"/>
      <c r="H41" s="98"/>
      <c r="I41" s="98"/>
      <c r="J41" s="98"/>
    </row>
    <row r="42" spans="1:36" s="17" customFormat="1" ht="28.5" hidden="1" customHeight="1" x14ac:dyDescent="0.2">
      <c r="A42" s="205" t="s">
        <v>60</v>
      </c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</row>
    <row r="43" spans="1:36" s="88" customFormat="1" ht="11.25" hidden="1" x14ac:dyDescent="0.2">
      <c r="A43" s="230"/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</row>
    <row r="44" spans="1:36" s="89" customFormat="1" ht="7.5" hidden="1" x14ac:dyDescent="0.15">
      <c r="A44" s="202" t="s">
        <v>48</v>
      </c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</row>
    <row r="45" spans="1:36" s="88" customFormat="1" ht="11.25" hidden="1" x14ac:dyDescent="0.2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</row>
    <row r="46" spans="1:36" s="89" customFormat="1" ht="7.5" hidden="1" x14ac:dyDescent="0.15">
      <c r="A46" s="202" t="s">
        <v>49</v>
      </c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</row>
    <row r="47" spans="1:36" s="88" customFormat="1" ht="11.25" hidden="1" x14ac:dyDescent="0.2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</row>
    <row r="48" spans="1:36" s="89" customFormat="1" ht="7.5" hidden="1" x14ac:dyDescent="0.15">
      <c r="A48" s="204" t="s">
        <v>51</v>
      </c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4"/>
    </row>
    <row r="49" spans="1:36" ht="12.6" hidden="1" customHeight="1" x14ac:dyDescent="0.25">
      <c r="A49" s="90"/>
      <c r="B49" s="90"/>
      <c r="C49" s="90"/>
      <c r="D49" s="90"/>
      <c r="E49" s="90"/>
      <c r="F49" s="90"/>
      <c r="G49" s="90"/>
      <c r="H49" s="90"/>
      <c r="I49" s="90"/>
      <c r="J49" s="90"/>
    </row>
    <row r="50" spans="1:36" s="88" customFormat="1" ht="39.75" hidden="1" customHeight="1" x14ac:dyDescent="0.2">
      <c r="A50" s="205" t="s">
        <v>61</v>
      </c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</row>
    <row r="51" spans="1:36" s="88" customFormat="1" ht="37.5" hidden="1" customHeight="1" x14ac:dyDescent="0.2">
      <c r="A51" s="188" t="s">
        <v>39</v>
      </c>
      <c r="B51" s="189"/>
      <c r="C51" s="188" t="s">
        <v>52</v>
      </c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90" t="s">
        <v>53</v>
      </c>
      <c r="P51" s="191"/>
      <c r="Q51" s="191"/>
      <c r="R51" s="191"/>
      <c r="S51" s="191"/>
      <c r="T51" s="191"/>
      <c r="U51" s="192"/>
      <c r="V51" s="190" t="s">
        <v>3</v>
      </c>
      <c r="W51" s="193"/>
      <c r="X51" s="193"/>
      <c r="Y51" s="193"/>
      <c r="Z51" s="193"/>
      <c r="AA51" s="193"/>
      <c r="AB51" s="193"/>
      <c r="AC51" s="193"/>
      <c r="AD51" s="194"/>
      <c r="AE51" s="208" t="s">
        <v>4</v>
      </c>
      <c r="AF51" s="191"/>
      <c r="AG51" s="191"/>
      <c r="AH51" s="191"/>
      <c r="AI51" s="191"/>
      <c r="AJ51" s="192"/>
    </row>
    <row r="52" spans="1:36" s="88" customFormat="1" ht="11.25" hidden="1" x14ac:dyDescent="0.2">
      <c r="A52" s="189" t="s">
        <v>33</v>
      </c>
      <c r="B52" s="189"/>
      <c r="C52" s="189" t="s">
        <v>34</v>
      </c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>
        <v>3</v>
      </c>
      <c r="P52" s="189"/>
      <c r="Q52" s="189"/>
      <c r="R52" s="189"/>
      <c r="S52" s="189"/>
      <c r="T52" s="189"/>
      <c r="U52" s="189"/>
      <c r="V52" s="189">
        <v>4</v>
      </c>
      <c r="W52" s="189"/>
      <c r="X52" s="189"/>
      <c r="Y52" s="189"/>
      <c r="Z52" s="189"/>
      <c r="AA52" s="189"/>
      <c r="AB52" s="189"/>
      <c r="AC52" s="189"/>
      <c r="AD52" s="189"/>
      <c r="AE52" s="189">
        <v>5</v>
      </c>
      <c r="AF52" s="189"/>
      <c r="AG52" s="189"/>
      <c r="AH52" s="189"/>
      <c r="AI52" s="189"/>
      <c r="AJ52" s="189"/>
    </row>
    <row r="53" spans="1:36" s="88" customFormat="1" ht="11.25" hidden="1" x14ac:dyDescent="0.2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</row>
    <row r="54" spans="1:36" s="88" customFormat="1" ht="11.25" hidden="1" x14ac:dyDescent="0.2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</row>
    <row r="55" spans="1:36" s="88" customFormat="1" ht="11.25" hidden="1" x14ac:dyDescent="0.2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</row>
    <row r="56" spans="1:36" s="88" customFormat="1" ht="11.25" hidden="1" x14ac:dyDescent="0.2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</row>
    <row r="57" spans="1:36" s="88" customFormat="1" ht="12.75" hidden="1" customHeight="1" x14ac:dyDescent="0.2">
      <c r="A57" s="98"/>
      <c r="B57" s="98"/>
      <c r="C57" s="98"/>
      <c r="D57" s="98"/>
      <c r="E57" s="98"/>
      <c r="F57" s="98"/>
      <c r="G57" s="98"/>
      <c r="H57" s="98"/>
      <c r="I57" s="98"/>
      <c r="J57" s="98"/>
    </row>
    <row r="58" spans="1:36" s="88" customFormat="1" ht="42" hidden="1" customHeight="1" x14ac:dyDescent="0.2">
      <c r="A58" s="205" t="s">
        <v>63</v>
      </c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</row>
    <row r="59" spans="1:36" s="17" customFormat="1" ht="11.25" hidden="1" x14ac:dyDescent="0.2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</row>
    <row r="60" spans="1:36" s="16" customFormat="1" ht="8.25" hidden="1" x14ac:dyDescent="0.15">
      <c r="A60" s="207" t="s">
        <v>115</v>
      </c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</row>
    <row r="61" spans="1:36" s="17" customFormat="1" ht="11.25" hidden="1" x14ac:dyDescent="0.2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</row>
    <row r="62" spans="1:36" s="16" customFormat="1" ht="8.25" hidden="1" x14ac:dyDescent="0.15">
      <c r="A62" s="207" t="s">
        <v>116</v>
      </c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199"/>
      <c r="AJ62" s="199"/>
    </row>
    <row r="63" spans="1:36" customFormat="1" ht="12.75" x14ac:dyDescent="0.2">
      <c r="A63" s="99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</row>
    <row r="64" spans="1:36" s="17" customFormat="1" ht="18" customHeight="1" x14ac:dyDescent="0.2">
      <c r="A64" s="86" t="s">
        <v>0</v>
      </c>
      <c r="B64" s="87"/>
      <c r="C64" s="87"/>
      <c r="D64" s="87"/>
      <c r="E64" s="87"/>
      <c r="F64" s="87"/>
      <c r="G64" s="87"/>
      <c r="H64" s="87"/>
      <c r="I64" s="87"/>
      <c r="J64" s="87"/>
      <c r="K64" s="101"/>
    </row>
    <row r="65" spans="1:36" s="88" customFormat="1" ht="11.25" x14ac:dyDescent="0.2">
      <c r="A65" s="184" t="str">
        <f>'Данные объект'!B50</f>
        <v>ООО"Энергосистемы"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</row>
    <row r="66" spans="1:36" s="89" customFormat="1" ht="7.5" x14ac:dyDescent="0.15">
      <c r="A66" s="202" t="s">
        <v>48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</row>
    <row r="67" spans="1:36" s="88" customFormat="1" ht="11.25" x14ac:dyDescent="0.2">
      <c r="A67" s="184" t="str">
        <f>'Данные объект'!B51</f>
        <v>ОГРН 1135044003709  ИНН 5044089069 КПП 504401001</v>
      </c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</row>
    <row r="68" spans="1:36" s="89" customFormat="1" ht="7.5" x14ac:dyDescent="0.15">
      <c r="A68" s="202" t="s">
        <v>49</v>
      </c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</row>
    <row r="69" spans="1:36" s="88" customFormat="1" ht="11.25" x14ac:dyDescent="0.2">
      <c r="A69" s="184" t="str">
        <f>'Данные объект'!B52</f>
        <v xml:space="preserve">141508, Московская область, г.о. Солнечногорск, г. Солнечногорск, ул. Промышленная, стр. 5, помещение 179
</v>
      </c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</row>
    <row r="70" spans="1:36" s="89" customFormat="1" ht="28.5" customHeight="1" x14ac:dyDescent="0.15">
      <c r="A70" s="204" t="s">
        <v>64</v>
      </c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</row>
    <row r="71" spans="1:36" customFormat="1" ht="9.75" customHeight="1" x14ac:dyDescent="0.2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85"/>
    </row>
    <row r="72" spans="1:36" s="17" customFormat="1" ht="24.75" customHeight="1" x14ac:dyDescent="0.2">
      <c r="A72" s="205" t="s">
        <v>133</v>
      </c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</row>
    <row r="73" spans="1:36" s="17" customFormat="1" ht="150.75" customHeight="1" x14ac:dyDescent="0.2">
      <c r="A73" s="188" t="s">
        <v>69</v>
      </c>
      <c r="B73" s="188"/>
      <c r="C73" s="188" t="s">
        <v>117</v>
      </c>
      <c r="D73" s="188"/>
      <c r="E73" s="188"/>
      <c r="F73" s="188"/>
      <c r="G73" s="188"/>
      <c r="H73" s="188"/>
      <c r="I73" s="188"/>
      <c r="J73" s="188" t="s">
        <v>118</v>
      </c>
      <c r="K73" s="188"/>
      <c r="L73" s="188"/>
      <c r="M73" s="188"/>
      <c r="N73" s="188"/>
      <c r="O73" s="188" t="s">
        <v>62</v>
      </c>
      <c r="P73" s="188"/>
      <c r="Q73" s="188"/>
      <c r="R73" s="188"/>
      <c r="S73" s="188"/>
      <c r="T73" s="188" t="s">
        <v>54</v>
      </c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 t="s">
        <v>4</v>
      </c>
      <c r="AH73" s="188"/>
      <c r="AI73" s="188"/>
      <c r="AJ73" s="188"/>
    </row>
    <row r="74" spans="1:36" s="17" customFormat="1" ht="11.25" x14ac:dyDescent="0.2">
      <c r="A74" s="188" t="s">
        <v>33</v>
      </c>
      <c r="B74" s="188"/>
      <c r="C74" s="188" t="s">
        <v>34</v>
      </c>
      <c r="D74" s="188"/>
      <c r="E74" s="188"/>
      <c r="F74" s="188"/>
      <c r="G74" s="188"/>
      <c r="H74" s="188"/>
      <c r="I74" s="188"/>
      <c r="J74" s="188" t="s">
        <v>35</v>
      </c>
      <c r="K74" s="188"/>
      <c r="L74" s="188"/>
      <c r="M74" s="188"/>
      <c r="N74" s="188"/>
      <c r="O74" s="188" t="s">
        <v>55</v>
      </c>
      <c r="P74" s="188"/>
      <c r="Q74" s="188"/>
      <c r="R74" s="188"/>
      <c r="S74" s="188"/>
      <c r="T74" s="188" t="s">
        <v>56</v>
      </c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 t="s">
        <v>57</v>
      </c>
      <c r="AH74" s="188"/>
      <c r="AI74" s="188"/>
      <c r="AJ74" s="188"/>
    </row>
    <row r="75" spans="1:36" s="17" customFormat="1" ht="11.25" x14ac:dyDescent="0.2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</row>
    <row r="76" spans="1:36" s="17" customFormat="1" ht="11.25" x14ac:dyDescent="0.2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</row>
    <row r="77" spans="1:36" s="17" customFormat="1" ht="11.25" x14ac:dyDescent="0.2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</row>
    <row r="78" spans="1:36" s="17" customFormat="1" ht="11.25" x14ac:dyDescent="0.2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</row>
    <row r="79" spans="1:36" s="88" customFormat="1" ht="12.6" customHeight="1" x14ac:dyDescent="0.2">
      <c r="A79" s="86"/>
      <c r="B79" s="86"/>
      <c r="C79" s="86"/>
      <c r="D79" s="86"/>
      <c r="E79" s="86"/>
      <c r="F79" s="86"/>
      <c r="G79" s="87"/>
      <c r="H79" s="87"/>
      <c r="I79" s="87"/>
      <c r="J79" s="87"/>
    </row>
    <row r="80" spans="1:36" s="88" customFormat="1" ht="35.25" customHeight="1" x14ac:dyDescent="0.2">
      <c r="A80" s="210" t="s">
        <v>65</v>
      </c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210"/>
      <c r="AG80" s="210"/>
      <c r="AH80" s="210"/>
      <c r="AI80" s="210"/>
      <c r="AJ80" s="210"/>
    </row>
    <row r="81" spans="1:36" s="88" customFormat="1" ht="11.25" x14ac:dyDescent="0.2">
      <c r="A81" s="230"/>
      <c r="B81" s="230"/>
      <c r="C81" s="230"/>
      <c r="D81" s="230"/>
      <c r="E81" s="230"/>
      <c r="F81" s="230"/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30"/>
      <c r="Z81" s="230"/>
      <c r="AA81" s="230"/>
      <c r="AB81" s="230"/>
      <c r="AC81" s="230"/>
      <c r="AD81" s="230"/>
      <c r="AE81" s="230"/>
      <c r="AF81" s="230"/>
      <c r="AG81" s="230"/>
      <c r="AH81" s="230"/>
      <c r="AI81" s="230"/>
      <c r="AJ81" s="230"/>
    </row>
    <row r="82" spans="1:36" s="89" customFormat="1" ht="7.5" x14ac:dyDescent="0.15">
      <c r="A82" s="231" t="s">
        <v>66</v>
      </c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</row>
    <row r="83" spans="1:36" ht="12.75" customHeight="1" x14ac:dyDescent="0.25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</row>
    <row r="84" spans="1:36" s="88" customFormat="1" ht="18" customHeight="1" x14ac:dyDescent="0.2">
      <c r="A84" s="104" t="s">
        <v>67</v>
      </c>
      <c r="B84" s="103"/>
      <c r="C84" s="103"/>
      <c r="D84" s="103"/>
      <c r="E84" s="103"/>
      <c r="F84" s="103"/>
      <c r="G84" s="103"/>
      <c r="H84" s="103"/>
      <c r="I84" s="103"/>
      <c r="J84" s="103"/>
    </row>
    <row r="85" spans="1:36" s="88" customFormat="1" ht="11.25" x14ac:dyDescent="0.2">
      <c r="A85" s="184" t="s">
        <v>139</v>
      </c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</row>
    <row r="86" spans="1:36" s="89" customFormat="1" ht="7.5" x14ac:dyDescent="0.15">
      <c r="A86" s="202" t="s">
        <v>48</v>
      </c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</row>
    <row r="87" spans="1:36" s="88" customFormat="1" ht="11.25" x14ac:dyDescent="0.2">
      <c r="A87" s="184" t="s">
        <v>146</v>
      </c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</row>
    <row r="88" spans="1:36" s="89" customFormat="1" ht="7.5" customHeight="1" x14ac:dyDescent="0.15">
      <c r="A88" s="204" t="s">
        <v>49</v>
      </c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</row>
    <row r="89" spans="1:36" s="88" customFormat="1" ht="11.25" x14ac:dyDescent="0.2">
      <c r="A89" s="212" t="s">
        <v>150</v>
      </c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</row>
    <row r="90" spans="1:36" s="89" customFormat="1" ht="27" customHeight="1" x14ac:dyDescent="0.15">
      <c r="A90" s="204" t="s">
        <v>64</v>
      </c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  <c r="AJ90" s="204"/>
    </row>
    <row r="91" spans="1:36" ht="18" customHeight="1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</row>
    <row r="92" spans="1:36" s="17" customFormat="1" ht="15" customHeight="1" x14ac:dyDescent="0.2">
      <c r="A92" s="213" t="s">
        <v>68</v>
      </c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</row>
    <row r="93" spans="1:36" s="17" customFormat="1" ht="98.25" customHeight="1" x14ac:dyDescent="0.2">
      <c r="A93" s="188" t="s">
        <v>69</v>
      </c>
      <c r="B93" s="188"/>
      <c r="C93" s="188" t="s">
        <v>52</v>
      </c>
      <c r="D93" s="188"/>
      <c r="E93" s="188"/>
      <c r="F93" s="188"/>
      <c r="G93" s="188"/>
      <c r="H93" s="188"/>
      <c r="I93" s="188"/>
      <c r="J93" s="188" t="s">
        <v>53</v>
      </c>
      <c r="K93" s="188"/>
      <c r="L93" s="188"/>
      <c r="M93" s="188"/>
      <c r="N93" s="188"/>
      <c r="O93" s="188" t="s">
        <v>62</v>
      </c>
      <c r="P93" s="188"/>
      <c r="Q93" s="188"/>
      <c r="R93" s="188"/>
      <c r="S93" s="188"/>
      <c r="T93" s="188" t="s">
        <v>54</v>
      </c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 t="s">
        <v>4</v>
      </c>
      <c r="AH93" s="188"/>
      <c r="AI93" s="188"/>
      <c r="AJ93" s="188"/>
    </row>
    <row r="94" spans="1:36" s="17" customFormat="1" ht="11.25" x14ac:dyDescent="0.2">
      <c r="A94" s="188" t="s">
        <v>33</v>
      </c>
      <c r="B94" s="188"/>
      <c r="C94" s="188" t="s">
        <v>34</v>
      </c>
      <c r="D94" s="188"/>
      <c r="E94" s="188"/>
      <c r="F94" s="188"/>
      <c r="G94" s="188"/>
      <c r="H94" s="188"/>
      <c r="I94" s="188"/>
      <c r="J94" s="188" t="s">
        <v>35</v>
      </c>
      <c r="K94" s="188"/>
      <c r="L94" s="188"/>
      <c r="M94" s="188"/>
      <c r="N94" s="188"/>
      <c r="O94" s="188" t="s">
        <v>55</v>
      </c>
      <c r="P94" s="188"/>
      <c r="Q94" s="188"/>
      <c r="R94" s="188"/>
      <c r="S94" s="188"/>
      <c r="T94" s="188" t="s">
        <v>56</v>
      </c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 t="s">
        <v>57</v>
      </c>
      <c r="AH94" s="188"/>
      <c r="AI94" s="188"/>
      <c r="AJ94" s="188"/>
    </row>
    <row r="95" spans="1:36" s="17" customFormat="1" ht="54" hidden="1" customHeight="1" x14ac:dyDescent="0.2">
      <c r="A95" s="188"/>
      <c r="B95" s="188"/>
      <c r="C95" s="188" t="str">
        <f>'Данные объект'!B23</f>
        <v>Русин В.А.</v>
      </c>
      <c r="D95" s="188"/>
      <c r="E95" s="188"/>
      <c r="F95" s="188"/>
      <c r="G95" s="188"/>
      <c r="H95" s="188"/>
      <c r="I95" s="188"/>
      <c r="J95" s="188" t="str">
        <f>'Данные объект'!C22</f>
        <v>Специалист по строительному контролю ООО"Энергосистемы"</v>
      </c>
      <c r="K95" s="188"/>
      <c r="L95" s="188"/>
      <c r="M95" s="188"/>
      <c r="N95" s="188"/>
      <c r="O95" s="188" t="str">
        <f>'Данные объект'!B24</f>
        <v>Приказ № 13-ОТ/25 от 05 мая 2025</v>
      </c>
      <c r="P95" s="188"/>
      <c r="Q95" s="188"/>
      <c r="R95" s="188"/>
      <c r="S95" s="188"/>
      <c r="T95" s="188" t="str">
        <f>'Данные объект'!B25</f>
        <v>НОСТРОЙ С-50-085497</v>
      </c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</row>
    <row r="96" spans="1:36" s="17" customFormat="1" ht="39" customHeight="1" x14ac:dyDescent="0.2">
      <c r="A96" s="188"/>
      <c r="B96" s="188"/>
      <c r="C96" s="188" t="str">
        <f>'Данные объект'!B27</f>
        <v>Волков М.Ю.</v>
      </c>
      <c r="D96" s="188"/>
      <c r="E96" s="188"/>
      <c r="F96" s="188"/>
      <c r="G96" s="188"/>
      <c r="H96" s="188"/>
      <c r="I96" s="188"/>
      <c r="J96" s="188" t="str">
        <f>'Данные объект'!C26</f>
        <v>Прораб ООО"Энергосистемы"</v>
      </c>
      <c r="K96" s="188"/>
      <c r="L96" s="188"/>
      <c r="M96" s="188"/>
      <c r="N96" s="188"/>
      <c r="O96" s="188" t="str">
        <f>'Данные объект'!B28</f>
        <v>Приказ №05-ОТ/24 от 09 января 2024г</v>
      </c>
      <c r="P96" s="188"/>
      <c r="Q96" s="188"/>
      <c r="R96" s="188"/>
      <c r="S96" s="188"/>
      <c r="T96" s="211" t="s">
        <v>237</v>
      </c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11"/>
      <c r="AG96" s="188"/>
      <c r="AH96" s="188"/>
      <c r="AI96" s="188"/>
      <c r="AJ96" s="188"/>
    </row>
    <row r="97" spans="1:36" s="17" customFormat="1" ht="11.25" x14ac:dyDescent="0.2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</row>
    <row r="98" spans="1:36" s="17" customFormat="1" ht="11.25" x14ac:dyDescent="0.2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</row>
    <row r="99" spans="1:36" ht="15.75" customHeight="1" x14ac:dyDescent="0.25">
      <c r="A99" s="106"/>
      <c r="B99" s="106"/>
      <c r="C99" s="106"/>
      <c r="D99" s="106"/>
      <c r="E99" s="106"/>
      <c r="F99" s="106"/>
      <c r="G99" s="106"/>
      <c r="H99" s="106"/>
      <c r="I99" s="106"/>
      <c r="J99" s="106"/>
    </row>
    <row r="100" spans="1:36" s="88" customFormat="1" ht="15.75" customHeight="1" x14ac:dyDescent="0.2">
      <c r="A100" s="234" t="s">
        <v>132</v>
      </c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</row>
    <row r="101" spans="1:36" s="88" customFormat="1" ht="37.5" customHeight="1" x14ac:dyDescent="0.2">
      <c r="A101" s="188" t="s">
        <v>69</v>
      </c>
      <c r="B101" s="189"/>
      <c r="C101" s="188" t="s">
        <v>52</v>
      </c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90" t="s">
        <v>53</v>
      </c>
      <c r="P101" s="191"/>
      <c r="Q101" s="191"/>
      <c r="R101" s="191"/>
      <c r="S101" s="191"/>
      <c r="T101" s="191"/>
      <c r="U101" s="192"/>
      <c r="V101" s="190" t="s">
        <v>3</v>
      </c>
      <c r="W101" s="193"/>
      <c r="X101" s="193"/>
      <c r="Y101" s="193"/>
      <c r="Z101" s="193"/>
      <c r="AA101" s="193"/>
      <c r="AB101" s="193"/>
      <c r="AC101" s="193"/>
      <c r="AD101" s="194"/>
      <c r="AE101" s="208" t="s">
        <v>4</v>
      </c>
      <c r="AF101" s="191"/>
      <c r="AG101" s="191"/>
      <c r="AH101" s="191"/>
      <c r="AI101" s="191"/>
      <c r="AJ101" s="192"/>
    </row>
    <row r="102" spans="1:36" s="88" customFormat="1" ht="9.75" customHeight="1" x14ac:dyDescent="0.2">
      <c r="A102" s="189" t="s">
        <v>33</v>
      </c>
      <c r="B102" s="189"/>
      <c r="C102" s="189" t="s">
        <v>34</v>
      </c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>
        <v>3</v>
      </c>
      <c r="P102" s="189"/>
      <c r="Q102" s="189"/>
      <c r="R102" s="189"/>
      <c r="S102" s="189"/>
      <c r="T102" s="189"/>
      <c r="U102" s="189"/>
      <c r="V102" s="189">
        <v>4</v>
      </c>
      <c r="W102" s="189"/>
      <c r="X102" s="189"/>
      <c r="Y102" s="189"/>
      <c r="Z102" s="189"/>
      <c r="AA102" s="189"/>
      <c r="AB102" s="189"/>
      <c r="AC102" s="189"/>
      <c r="AD102" s="189"/>
      <c r="AE102" s="189">
        <v>5</v>
      </c>
      <c r="AF102" s="189"/>
      <c r="AG102" s="189"/>
      <c r="AH102" s="189"/>
      <c r="AI102" s="189"/>
      <c r="AJ102" s="189"/>
    </row>
    <row r="103" spans="1:36" s="88" customFormat="1" ht="41.25" customHeight="1" x14ac:dyDescent="0.2">
      <c r="A103" s="185"/>
      <c r="B103" s="185"/>
      <c r="C103" s="189" t="str">
        <f>'Данные объект'!B41</f>
        <v>Алексанян Г.Р.</v>
      </c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209" t="str">
        <f>'Данные объект'!C40</f>
        <v>Гл. специалист ССК УКС ПАО "Россети Московский регион"</v>
      </c>
      <c r="P103" s="209"/>
      <c r="Q103" s="209"/>
      <c r="R103" s="209"/>
      <c r="S103" s="209"/>
      <c r="T103" s="209"/>
      <c r="U103" s="209"/>
      <c r="V103" s="188" t="str">
        <f>CONCATENATE('Данные объект'!B42," ",'Данные объект'!B43)</f>
        <v>Приказ №1904 от 03 июня 2026г НРС С-50-069023</v>
      </c>
      <c r="W103" s="188"/>
      <c r="X103" s="188"/>
      <c r="Y103" s="188"/>
      <c r="Z103" s="188"/>
      <c r="AA103" s="188"/>
      <c r="AB103" s="188"/>
      <c r="AC103" s="188"/>
      <c r="AD103" s="188"/>
      <c r="AE103" s="186"/>
      <c r="AF103" s="186"/>
      <c r="AG103" s="186"/>
      <c r="AH103" s="186"/>
      <c r="AI103" s="186"/>
      <c r="AJ103" s="186"/>
    </row>
    <row r="104" spans="1:36" s="88" customFormat="1" ht="11.25" x14ac:dyDescent="0.2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</row>
    <row r="105" spans="1:36" s="88" customFormat="1" ht="11.25" x14ac:dyDescent="0.2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</row>
    <row r="106" spans="1:36" s="88" customFormat="1" ht="11.25" x14ac:dyDescent="0.2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</row>
    <row r="107" spans="1:36" s="88" customFormat="1" ht="11.25" x14ac:dyDescent="0.2"/>
    <row r="108" spans="1:36" s="88" customFormat="1" ht="24" customHeight="1" x14ac:dyDescent="0.2">
      <c r="A108" s="215" t="s">
        <v>119</v>
      </c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  <c r="AI108" s="215"/>
      <c r="AJ108" s="215"/>
    </row>
    <row r="109" spans="1:36" s="88" customFormat="1" ht="37.5" customHeight="1" x14ac:dyDescent="0.2">
      <c r="A109" s="188" t="s">
        <v>69</v>
      </c>
      <c r="B109" s="189"/>
      <c r="C109" s="188" t="s">
        <v>52</v>
      </c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90" t="s">
        <v>53</v>
      </c>
      <c r="P109" s="191"/>
      <c r="Q109" s="191"/>
      <c r="R109" s="191"/>
      <c r="S109" s="191"/>
      <c r="T109" s="191"/>
      <c r="U109" s="192"/>
      <c r="V109" s="190" t="s">
        <v>3</v>
      </c>
      <c r="W109" s="193"/>
      <c r="X109" s="193"/>
      <c r="Y109" s="193"/>
      <c r="Z109" s="193"/>
      <c r="AA109" s="193"/>
      <c r="AB109" s="193"/>
      <c r="AC109" s="193"/>
      <c r="AD109" s="194"/>
      <c r="AE109" s="208" t="s">
        <v>4</v>
      </c>
      <c r="AF109" s="191"/>
      <c r="AG109" s="191"/>
      <c r="AH109" s="191"/>
      <c r="AI109" s="191"/>
      <c r="AJ109" s="192"/>
    </row>
    <row r="110" spans="1:36" s="88" customFormat="1" ht="14.25" customHeight="1" x14ac:dyDescent="0.2">
      <c r="A110" s="189" t="s">
        <v>33</v>
      </c>
      <c r="B110" s="189"/>
      <c r="C110" s="189" t="s">
        <v>34</v>
      </c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>
        <v>3</v>
      </c>
      <c r="P110" s="189"/>
      <c r="Q110" s="189"/>
      <c r="R110" s="189"/>
      <c r="S110" s="189"/>
      <c r="T110" s="189"/>
      <c r="U110" s="189"/>
      <c r="V110" s="189">
        <v>4</v>
      </c>
      <c r="W110" s="189"/>
      <c r="X110" s="189"/>
      <c r="Y110" s="189"/>
      <c r="Z110" s="189"/>
      <c r="AA110" s="189"/>
      <c r="AB110" s="189"/>
      <c r="AC110" s="189"/>
      <c r="AD110" s="189"/>
      <c r="AE110" s="189">
        <v>5</v>
      </c>
      <c r="AF110" s="189"/>
      <c r="AG110" s="189"/>
      <c r="AH110" s="189"/>
      <c r="AI110" s="189"/>
      <c r="AJ110" s="189"/>
    </row>
    <row r="111" spans="1:36" s="88" customFormat="1" ht="11.25" x14ac:dyDescent="0.2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</row>
    <row r="112" spans="1:36" s="88" customFormat="1" ht="11.25" x14ac:dyDescent="0.2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</row>
    <row r="113" spans="1:36" s="88" customFormat="1" ht="11.25" x14ac:dyDescent="0.2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</row>
    <row r="114" spans="1:36" s="88" customFormat="1" ht="11.25" x14ac:dyDescent="0.2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</row>
    <row r="115" spans="1:36" s="88" customFormat="1" ht="11.25" x14ac:dyDescent="0.2"/>
    <row r="116" spans="1:36" s="88" customFormat="1" ht="21.75" customHeight="1" x14ac:dyDescent="0.2">
      <c r="A116" s="221" t="s">
        <v>120</v>
      </c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</row>
    <row r="117" spans="1:36" s="88" customFormat="1" ht="42" customHeight="1" x14ac:dyDescent="0.2">
      <c r="A117" s="188" t="s">
        <v>69</v>
      </c>
      <c r="B117" s="189"/>
      <c r="C117" s="188" t="s">
        <v>52</v>
      </c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90" t="s">
        <v>53</v>
      </c>
      <c r="P117" s="191"/>
      <c r="Q117" s="191"/>
      <c r="R117" s="191"/>
      <c r="S117" s="191"/>
      <c r="T117" s="191"/>
      <c r="U117" s="192"/>
      <c r="V117" s="190" t="s">
        <v>3</v>
      </c>
      <c r="W117" s="193"/>
      <c r="X117" s="193"/>
      <c r="Y117" s="193"/>
      <c r="Z117" s="193"/>
      <c r="AA117" s="193"/>
      <c r="AB117" s="193"/>
      <c r="AC117" s="193"/>
      <c r="AD117" s="194"/>
      <c r="AE117" s="208" t="s">
        <v>4</v>
      </c>
      <c r="AF117" s="191"/>
      <c r="AG117" s="191"/>
      <c r="AH117" s="191"/>
      <c r="AI117" s="191"/>
      <c r="AJ117" s="192"/>
    </row>
    <row r="118" spans="1:36" s="88" customFormat="1" ht="11.25" customHeight="1" x14ac:dyDescent="0.2">
      <c r="A118" s="189" t="s">
        <v>33</v>
      </c>
      <c r="B118" s="189"/>
      <c r="C118" s="189" t="s">
        <v>34</v>
      </c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>
        <v>3</v>
      </c>
      <c r="P118" s="189"/>
      <c r="Q118" s="189"/>
      <c r="R118" s="189"/>
      <c r="S118" s="189"/>
      <c r="T118" s="189"/>
      <c r="U118" s="189"/>
      <c r="V118" s="189">
        <v>4</v>
      </c>
      <c r="W118" s="189"/>
      <c r="X118" s="189"/>
      <c r="Y118" s="189"/>
      <c r="Z118" s="189"/>
      <c r="AA118" s="189"/>
      <c r="AB118" s="189"/>
      <c r="AC118" s="189"/>
      <c r="AD118" s="189"/>
      <c r="AE118" s="189">
        <v>5</v>
      </c>
      <c r="AF118" s="189"/>
      <c r="AG118" s="189"/>
      <c r="AH118" s="189"/>
      <c r="AI118" s="189"/>
      <c r="AJ118" s="189"/>
    </row>
    <row r="119" spans="1:36" s="88" customFormat="1" ht="46.5" customHeight="1" x14ac:dyDescent="0.2">
      <c r="A119" s="185"/>
      <c r="B119" s="185"/>
      <c r="C119" s="185" t="str">
        <f>'Данные объект'!B23</f>
        <v>Русин В.А.</v>
      </c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209" t="str">
        <f>'Данные объект'!C22</f>
        <v>Специалист по строительному контролю ООО"Энергосистемы"</v>
      </c>
      <c r="P119" s="209"/>
      <c r="Q119" s="209"/>
      <c r="R119" s="209"/>
      <c r="S119" s="209"/>
      <c r="T119" s="209"/>
      <c r="U119" s="209"/>
      <c r="V119" s="188" t="str">
        <f>CONCATENATE('Данные объект'!B24," ",'Данные объект'!B25)</f>
        <v>Приказ № 13-ОТ/25 от 05 мая 2025 НОСТРОЙ С-50-085497</v>
      </c>
      <c r="W119" s="188"/>
      <c r="X119" s="188"/>
      <c r="Y119" s="188"/>
      <c r="Z119" s="188"/>
      <c r="AA119" s="188"/>
      <c r="AB119" s="188"/>
      <c r="AC119" s="188"/>
      <c r="AD119" s="188"/>
      <c r="AE119" s="186"/>
      <c r="AF119" s="186"/>
      <c r="AG119" s="186"/>
      <c r="AH119" s="186"/>
      <c r="AI119" s="186"/>
      <c r="AJ119" s="186"/>
    </row>
    <row r="120" spans="1:36" s="88" customFormat="1" ht="11.25" x14ac:dyDescent="0.2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</row>
    <row r="121" spans="1:36" s="88" customFormat="1" ht="11.25" x14ac:dyDescent="0.2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</row>
    <row r="122" spans="1:36" s="88" customFormat="1" ht="11.25" x14ac:dyDescent="0.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</row>
    <row r="123" spans="1:36" s="88" customFormat="1" ht="21" customHeight="1" x14ac:dyDescent="0.2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</row>
    <row r="124" spans="1:36" s="88" customFormat="1" ht="16.5" customHeight="1" x14ac:dyDescent="0.2">
      <c r="A124" s="195" t="s">
        <v>5</v>
      </c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</row>
    <row r="125" spans="1:36" s="88" customFormat="1" ht="149.25" customHeight="1" x14ac:dyDescent="0.2">
      <c r="A125" s="188" t="s">
        <v>69</v>
      </c>
      <c r="B125" s="189"/>
      <c r="C125" s="188" t="s">
        <v>70</v>
      </c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90" t="s">
        <v>71</v>
      </c>
      <c r="P125" s="191"/>
      <c r="Q125" s="191"/>
      <c r="R125" s="191"/>
      <c r="S125" s="191"/>
      <c r="T125" s="191"/>
      <c r="U125" s="192"/>
      <c r="V125" s="190" t="s">
        <v>72</v>
      </c>
      <c r="W125" s="193"/>
      <c r="X125" s="193"/>
      <c r="Y125" s="193"/>
      <c r="Z125" s="193"/>
      <c r="AA125" s="193"/>
      <c r="AB125" s="193"/>
      <c r="AC125" s="193"/>
      <c r="AD125" s="194"/>
      <c r="AE125" s="190" t="s">
        <v>73</v>
      </c>
      <c r="AF125" s="191"/>
      <c r="AG125" s="191"/>
      <c r="AH125" s="191"/>
      <c r="AI125" s="191"/>
      <c r="AJ125" s="192"/>
    </row>
    <row r="126" spans="1:36" s="88" customFormat="1" ht="11.25" x14ac:dyDescent="0.2">
      <c r="A126" s="189" t="s">
        <v>33</v>
      </c>
      <c r="B126" s="189"/>
      <c r="C126" s="189" t="s">
        <v>34</v>
      </c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>
        <v>3</v>
      </c>
      <c r="P126" s="189"/>
      <c r="Q126" s="189"/>
      <c r="R126" s="189"/>
      <c r="S126" s="189"/>
      <c r="T126" s="189"/>
      <c r="U126" s="189"/>
      <c r="V126" s="189">
        <v>4</v>
      </c>
      <c r="W126" s="189"/>
      <c r="X126" s="189"/>
      <c r="Y126" s="189"/>
      <c r="Z126" s="189"/>
      <c r="AA126" s="189"/>
      <c r="AB126" s="189"/>
      <c r="AC126" s="189"/>
      <c r="AD126" s="189"/>
      <c r="AE126" s="189">
        <v>5</v>
      </c>
      <c r="AF126" s="189"/>
      <c r="AG126" s="189"/>
      <c r="AH126" s="189"/>
      <c r="AI126" s="189"/>
      <c r="AJ126" s="189"/>
    </row>
    <row r="127" spans="1:36" s="88" customFormat="1" ht="11.25" x14ac:dyDescent="0.2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</row>
    <row r="128" spans="1:36" s="88" customFormat="1" ht="11.25" x14ac:dyDescent="0.2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</row>
    <row r="129" spans="1:36" s="88" customFormat="1" ht="11.25" x14ac:dyDescent="0.2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</row>
    <row r="130" spans="1:36" s="88" customFormat="1" ht="11.25" x14ac:dyDescent="0.2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</row>
    <row r="131" spans="1:36" s="88" customFormat="1" ht="11.25" x14ac:dyDescent="0.2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</row>
    <row r="132" spans="1:36" s="88" customFormat="1" ht="11.25" x14ac:dyDescent="0.2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</row>
    <row r="133" spans="1:36" s="88" customFormat="1" ht="11.25" x14ac:dyDescent="0.2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</row>
    <row r="134" spans="1:36" s="88" customFormat="1" ht="11.25" hidden="1" x14ac:dyDescent="0.2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</row>
    <row r="135" spans="1:36" s="88" customFormat="1" ht="11.25" hidden="1" x14ac:dyDescent="0.2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</row>
    <row r="136" spans="1:36" s="88" customFormat="1" ht="11.25" hidden="1" x14ac:dyDescent="0.2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</row>
    <row r="137" spans="1:36" s="88" customFormat="1" ht="11.25" hidden="1" x14ac:dyDescent="0.2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</row>
    <row r="138" spans="1:36" s="88" customFormat="1" ht="11.25" hidden="1" x14ac:dyDescent="0.2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</row>
    <row r="139" spans="1:36" s="88" customFormat="1" ht="11.25" hidden="1" x14ac:dyDescent="0.2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</row>
    <row r="140" spans="1:36" s="88" customFormat="1" ht="11.25" hidden="1" x14ac:dyDescent="0.2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</row>
    <row r="141" spans="1:36" s="88" customFormat="1" ht="11.25" hidden="1" x14ac:dyDescent="0.2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</row>
    <row r="142" spans="1:36" s="88" customFormat="1" ht="11.25" hidden="1" x14ac:dyDescent="0.2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</row>
    <row r="143" spans="1:36" s="88" customFormat="1" ht="11.25" hidden="1" x14ac:dyDescent="0.2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</row>
    <row r="144" spans="1:36" s="88" customFormat="1" ht="11.25" hidden="1" x14ac:dyDescent="0.2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</row>
    <row r="145" spans="1:36" s="88" customFormat="1" ht="11.25" hidden="1" x14ac:dyDescent="0.2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</row>
    <row r="146" spans="1:36" s="88" customFormat="1" ht="11.25" hidden="1" x14ac:dyDescent="0.2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</row>
    <row r="147" spans="1:36" s="88" customFormat="1" ht="11.25" hidden="1" x14ac:dyDescent="0.2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</row>
    <row r="148" spans="1:36" s="88" customFormat="1" ht="11.25" hidden="1" x14ac:dyDescent="0.2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</row>
    <row r="149" spans="1:36" s="88" customFormat="1" ht="11.25" hidden="1" x14ac:dyDescent="0.2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</row>
    <row r="150" spans="1:36" s="88" customFormat="1" ht="11.25" hidden="1" x14ac:dyDescent="0.2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</row>
    <row r="151" spans="1:36" s="88" customFormat="1" ht="11.25" hidden="1" x14ac:dyDescent="0.2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</row>
    <row r="152" spans="1:36" s="88" customFormat="1" ht="11.25" hidden="1" x14ac:dyDescent="0.2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</row>
    <row r="153" spans="1:36" s="88" customFormat="1" ht="11.25" hidden="1" x14ac:dyDescent="0.2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</row>
    <row r="154" spans="1:36" s="88" customFormat="1" ht="11.25" hidden="1" x14ac:dyDescent="0.2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</row>
    <row r="155" spans="1:36" s="88" customFormat="1" ht="11.25" hidden="1" x14ac:dyDescent="0.2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</row>
    <row r="156" spans="1:36" s="88" customFormat="1" ht="11.25" hidden="1" x14ac:dyDescent="0.2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</row>
    <row r="157" spans="1:36" s="88" customFormat="1" ht="11.25" hidden="1" x14ac:dyDescent="0.2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</row>
    <row r="158" spans="1:36" s="88" customFormat="1" ht="11.25" hidden="1" x14ac:dyDescent="0.2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</row>
    <row r="159" spans="1:36" s="88" customFormat="1" ht="11.25" hidden="1" x14ac:dyDescent="0.2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</row>
    <row r="160" spans="1:36" s="88" customFormat="1" ht="11.25" hidden="1" x14ac:dyDescent="0.2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</row>
    <row r="161" spans="1:36" s="88" customFormat="1" ht="11.25" hidden="1" x14ac:dyDescent="0.2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</row>
    <row r="162" spans="1:36" s="88" customFormat="1" ht="11.25" hidden="1" x14ac:dyDescent="0.2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</row>
    <row r="163" spans="1:36" s="88" customFormat="1" ht="11.25" hidden="1" x14ac:dyDescent="0.2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</row>
    <row r="164" spans="1:36" s="88" customFormat="1" ht="11.25" hidden="1" x14ac:dyDescent="0.2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</row>
    <row r="165" spans="1:36" s="88" customFormat="1" ht="11.25" hidden="1" x14ac:dyDescent="0.2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</row>
    <row r="166" spans="1:36" ht="20.25" customHeight="1" x14ac:dyDescent="0.25"/>
    <row r="167" spans="1:36" s="88" customFormat="1" ht="11.25" x14ac:dyDescent="0.2">
      <c r="A167" s="109" t="s">
        <v>130</v>
      </c>
      <c r="G167" s="110"/>
      <c r="H167" s="110"/>
      <c r="I167" s="110"/>
      <c r="J167" s="110"/>
    </row>
    <row r="168" spans="1:36" s="88" customFormat="1" ht="11.25" x14ac:dyDescent="0.2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  <c r="AJ168" s="187"/>
    </row>
    <row r="169" spans="1:36" s="89" customFormat="1" ht="9" customHeight="1" x14ac:dyDescent="0.15">
      <c r="A169" s="206" t="s">
        <v>121</v>
      </c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0"/>
    </row>
    <row r="170" spans="1:36" s="88" customFormat="1" ht="11.25" x14ac:dyDescent="0.2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  <c r="AC170" s="184"/>
      <c r="AD170" s="184"/>
      <c r="AE170" s="184"/>
      <c r="AF170" s="184"/>
      <c r="AG170" s="184"/>
      <c r="AH170" s="184"/>
      <c r="AI170" s="184"/>
      <c r="AJ170" s="184"/>
    </row>
    <row r="171" spans="1:36" s="89" customFormat="1" ht="9" customHeight="1" x14ac:dyDescent="0.15">
      <c r="A171" s="207" t="s">
        <v>75</v>
      </c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  <c r="AB171" s="199"/>
      <c r="AC171" s="199"/>
      <c r="AD171" s="199"/>
      <c r="AE171" s="199"/>
      <c r="AF171" s="199"/>
      <c r="AG171" s="199"/>
      <c r="AH171" s="199"/>
      <c r="AI171" s="199"/>
      <c r="AJ171" s="199"/>
    </row>
    <row r="172" spans="1:36" s="88" customFormat="1" ht="11.25" x14ac:dyDescent="0.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  <c r="AC172" s="184"/>
      <c r="AD172" s="184"/>
      <c r="AE172" s="184"/>
      <c r="AF172" s="184"/>
      <c r="AG172" s="184"/>
      <c r="AH172" s="184"/>
      <c r="AI172" s="184"/>
      <c r="AJ172" s="184"/>
    </row>
    <row r="173" spans="1:36" s="89" customFormat="1" ht="11.25" customHeight="1" x14ac:dyDescent="0.15">
      <c r="A173" s="207" t="s">
        <v>74</v>
      </c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  <c r="AB173" s="199"/>
      <c r="AC173" s="199"/>
      <c r="AD173" s="199"/>
      <c r="AE173" s="199"/>
      <c r="AF173" s="199"/>
      <c r="AG173" s="199"/>
      <c r="AH173" s="199"/>
      <c r="AI173" s="199"/>
      <c r="AJ173" s="199"/>
    </row>
    <row r="174" spans="1:36" x14ac:dyDescent="0.25">
      <c r="A174" s="111"/>
    </row>
    <row r="175" spans="1:36" s="88" customFormat="1" ht="11.25" x14ac:dyDescent="0.2">
      <c r="A175" s="109" t="s">
        <v>131</v>
      </c>
      <c r="G175" s="110"/>
      <c r="H175" s="110"/>
      <c r="I175" s="110"/>
      <c r="J175" s="110"/>
    </row>
    <row r="176" spans="1:36" s="88" customFormat="1" ht="58.5" customHeight="1" x14ac:dyDescent="0.2">
      <c r="A176" s="203" t="str">
        <f>'Данные объект'!B3</f>
        <v>Строительство 2БКТП-10/0,4 кВ № 1 с трансформаторами 2х1250 кВА и № 2 с трансформаторами 2х1000 кВА, 2КЛ-10 кВ от яч. 6 и яч. 17 РУ-10кВ РП-10 кВ № 26116 до 1-ой и 2-ой сек. РУ-10 кВ сооруж. БКТП-10/0,4 кВ № 1, 2КЛ-10 кВ от 1-ой и 2-ой сек. РУ-10 кВ сооруж. БКТП-10/0,4 кВ № 1 до 1-ой и 2-ой сек. РУ-10 кВ сооруж. БКТП-10/0,4 кВ № 2, 48КЛ-0,4 кВ от сооруж. БКТП-10/0,4 кВ № 1 и № 2 до сооруж. ВРУ-0,4 кВ № 1, 2, 3 к.1-8, в т.ч. ПИР, МО, Солнечногорский р-н, г.п. Андреевка, р.п. Андреевка</v>
      </c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</row>
    <row r="177" spans="1:36" s="89" customFormat="1" ht="12.75" customHeight="1" x14ac:dyDescent="0.15">
      <c r="A177" s="183" t="s">
        <v>6</v>
      </c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</row>
    <row r="178" spans="1:36" s="88" customFormat="1" ht="11.25" x14ac:dyDescent="0.2">
      <c r="A178" s="184" t="str">
        <f>'Данные объект'!B11</f>
        <v>КЛ-6кВ от ф. ЦРП-3 С.1 - ТП-350 от КРУН-6кВ №4; КЛ-10кВ ф. 35207 от КРУН-10кВ №2</v>
      </c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  <c r="AC178" s="184"/>
      <c r="AD178" s="184"/>
      <c r="AE178" s="184"/>
      <c r="AF178" s="184"/>
      <c r="AG178" s="184"/>
      <c r="AH178" s="184"/>
      <c r="AI178" s="184"/>
      <c r="AJ178" s="184"/>
    </row>
    <row r="179" spans="1:36" s="89" customFormat="1" ht="10.5" customHeight="1" x14ac:dyDescent="0.15">
      <c r="A179" s="183" t="s">
        <v>76</v>
      </c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</row>
    <row r="180" spans="1:36" ht="10.5" customHeight="1" x14ac:dyDescent="0.25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</row>
    <row r="181" spans="1:36" s="88" customFormat="1" ht="15.75" customHeight="1" x14ac:dyDescent="0.2">
      <c r="A181" s="215" t="s">
        <v>12</v>
      </c>
      <c r="B181" s="215"/>
      <c r="C181" s="215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  <c r="AA181" s="215"/>
      <c r="AB181" s="215"/>
      <c r="AC181" s="215"/>
      <c r="AD181" s="215"/>
      <c r="AE181" s="215"/>
      <c r="AF181" s="215"/>
      <c r="AG181" s="215"/>
      <c r="AH181" s="215"/>
      <c r="AI181" s="215"/>
      <c r="AJ181" s="215"/>
    </row>
    <row r="182" spans="1:36" s="88" customFormat="1" ht="11.25" x14ac:dyDescent="0.2">
      <c r="A182" s="88" t="s">
        <v>13</v>
      </c>
      <c r="C182" s="113"/>
      <c r="D182" s="113"/>
      <c r="E182" s="113"/>
      <c r="F182" s="113"/>
      <c r="G182" s="113"/>
      <c r="H182" s="216">
        <f>'Данные объект'!B7</f>
        <v>0</v>
      </c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  <c r="AD182" s="216"/>
      <c r="AE182" s="216"/>
      <c r="AF182" s="216"/>
      <c r="AG182" s="216"/>
      <c r="AH182" s="216"/>
      <c r="AI182" s="216"/>
      <c r="AJ182" s="216"/>
    </row>
    <row r="183" spans="1:36" s="89" customFormat="1" ht="10.5" customHeight="1" x14ac:dyDescent="0.15">
      <c r="A183" s="114" t="s">
        <v>15</v>
      </c>
      <c r="C183" s="83"/>
      <c r="D183" s="83"/>
      <c r="E183" s="83"/>
      <c r="F183" s="83"/>
      <c r="G183" s="83"/>
      <c r="H183" s="200" t="s">
        <v>16</v>
      </c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</row>
    <row r="184" spans="1:36" s="88" customFormat="1" ht="15" customHeight="1" x14ac:dyDescent="0.2">
      <c r="A184" s="215" t="s">
        <v>14</v>
      </c>
      <c r="B184" s="215"/>
      <c r="C184" s="215"/>
      <c r="D184" s="215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  <c r="AA184" s="215"/>
      <c r="AB184" s="215"/>
      <c r="AC184" s="215"/>
      <c r="AD184" s="215"/>
      <c r="AE184" s="215"/>
      <c r="AF184" s="215"/>
      <c r="AG184" s="215"/>
      <c r="AH184" s="215"/>
      <c r="AI184" s="215"/>
      <c r="AJ184" s="215"/>
    </row>
    <row r="185" spans="1:36" s="88" customFormat="1" ht="11.25" x14ac:dyDescent="0.2">
      <c r="A185" s="88" t="s">
        <v>13</v>
      </c>
      <c r="C185" s="113"/>
      <c r="D185" s="113"/>
      <c r="E185" s="113"/>
      <c r="F185" s="113"/>
      <c r="G185" s="113"/>
      <c r="H185" s="216">
        <f>'Данные объект'!B8</f>
        <v>0</v>
      </c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  <c r="AD185" s="216"/>
      <c r="AE185" s="216"/>
      <c r="AF185" s="216"/>
      <c r="AG185" s="216"/>
      <c r="AH185" s="216"/>
      <c r="AI185" s="216"/>
      <c r="AJ185" s="216"/>
    </row>
    <row r="186" spans="1:36" s="89" customFormat="1" ht="11.25" customHeight="1" x14ac:dyDescent="0.15">
      <c r="C186" s="83"/>
      <c r="D186" s="83"/>
      <c r="E186" s="83"/>
      <c r="F186" s="83"/>
      <c r="G186" s="83"/>
      <c r="H186" s="200" t="s">
        <v>16</v>
      </c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</row>
    <row r="187" spans="1:36" ht="6.75" customHeight="1" x14ac:dyDescent="0.25">
      <c r="C187" s="84"/>
      <c r="D187" s="84"/>
      <c r="E187" s="84"/>
      <c r="F187" s="84"/>
      <c r="G187" s="84"/>
      <c r="H187" s="84"/>
      <c r="I187" s="84"/>
      <c r="J187" s="84"/>
    </row>
    <row r="188" spans="1:36" s="88" customFormat="1" ht="12.75" x14ac:dyDescent="0.2">
      <c r="A188" s="88" t="s">
        <v>77</v>
      </c>
      <c r="B188" s="115"/>
      <c r="C188" s="115"/>
      <c r="D188" s="115"/>
      <c r="E188" s="115"/>
      <c r="F188" s="115"/>
      <c r="G188" s="115"/>
      <c r="H188" s="115"/>
      <c r="I188" s="115"/>
      <c r="J188" s="217"/>
      <c r="K188" s="217"/>
      <c r="L188" s="217"/>
      <c r="M188" s="88" t="s">
        <v>78</v>
      </c>
    </row>
    <row r="189" spans="1:36" s="88" customFormat="1" ht="15.75" customHeight="1" x14ac:dyDescent="0.2">
      <c r="A189" s="88" t="s">
        <v>79</v>
      </c>
      <c r="B189" s="115"/>
      <c r="C189" s="115"/>
      <c r="D189" s="115"/>
      <c r="E189" s="115"/>
      <c r="F189" s="115"/>
      <c r="G189" s="115"/>
      <c r="H189" s="115"/>
      <c r="I189" s="115"/>
      <c r="J189" s="116"/>
      <c r="K189" s="116"/>
      <c r="L189" s="116"/>
    </row>
    <row r="190" spans="1:36" s="88" customFormat="1" ht="15.75" customHeight="1" x14ac:dyDescent="0.2">
      <c r="A190" s="88" t="s">
        <v>80</v>
      </c>
      <c r="B190" s="115"/>
      <c r="C190" s="115"/>
      <c r="D190" s="115"/>
      <c r="E190" s="115"/>
      <c r="F190" s="115"/>
      <c r="G190" s="115"/>
      <c r="H190" s="115"/>
      <c r="I190" s="115"/>
      <c r="J190" s="116"/>
      <c r="K190" s="116"/>
      <c r="L190" s="116"/>
    </row>
    <row r="191" spans="1:36" s="88" customFormat="1" ht="15.75" customHeight="1" x14ac:dyDescent="0.2">
      <c r="B191" s="115"/>
      <c r="C191" s="115"/>
      <c r="D191" s="115"/>
      <c r="E191" s="115"/>
      <c r="F191" s="115"/>
      <c r="G191" s="115"/>
      <c r="H191" s="115"/>
      <c r="I191" s="115"/>
      <c r="J191" s="116"/>
      <c r="K191" s="116"/>
      <c r="L191" s="116"/>
    </row>
    <row r="192" spans="1:36" s="88" customFormat="1" ht="11.25" x14ac:dyDescent="0.2">
      <c r="A192" s="88" t="s">
        <v>81</v>
      </c>
      <c r="V192" s="218"/>
      <c r="W192" s="187"/>
      <c r="X192" s="187"/>
      <c r="Y192" s="187"/>
      <c r="Z192" s="187"/>
      <c r="AA192" s="187"/>
      <c r="AB192" s="187"/>
      <c r="AC192" s="88" t="s">
        <v>82</v>
      </c>
      <c r="AE192" s="218"/>
      <c r="AF192" s="187"/>
      <c r="AG192" s="187"/>
      <c r="AH192" s="187"/>
      <c r="AI192" s="187"/>
      <c r="AJ192" s="187"/>
    </row>
    <row r="193" spans="1:36" s="88" customFormat="1" ht="15" customHeight="1" x14ac:dyDescent="0.2">
      <c r="A193" s="215" t="s">
        <v>17</v>
      </c>
      <c r="B193" s="215"/>
      <c r="C193" s="215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  <c r="AA193" s="215"/>
      <c r="AB193" s="215"/>
      <c r="AC193" s="215"/>
      <c r="AD193" s="215"/>
      <c r="AE193" s="215"/>
      <c r="AF193" s="215"/>
      <c r="AG193" s="215"/>
      <c r="AH193" s="215"/>
      <c r="AI193" s="215"/>
      <c r="AJ193" s="215"/>
    </row>
    <row r="194" spans="1:36" s="88" customFormat="1" ht="12" customHeight="1" x14ac:dyDescent="0.2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</row>
    <row r="195" spans="1:36" s="88" customFormat="1" ht="26.25" customHeight="1" x14ac:dyDescent="0.2">
      <c r="A195" s="187"/>
      <c r="B195" s="187"/>
      <c r="C195" s="187"/>
      <c r="D195" s="187"/>
      <c r="E195" s="187"/>
      <c r="F195" s="187"/>
      <c r="G195" s="187"/>
      <c r="H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V195" s="219" t="str">
        <f>'Данные объект'!C34</f>
        <v>Начальник СРЭС СЭС филиала ПАО "Россети Московский регион" Чуев А.Н.</v>
      </c>
      <c r="W195" s="219"/>
      <c r="X195" s="219"/>
      <c r="Y195" s="219"/>
      <c r="Z195" s="219"/>
      <c r="AA195" s="219"/>
      <c r="AB195" s="219"/>
      <c r="AC195" s="219"/>
      <c r="AD195" s="219"/>
      <c r="AE195" s="219"/>
      <c r="AF195" s="219"/>
      <c r="AG195" s="219"/>
      <c r="AH195" s="219"/>
      <c r="AI195" s="219"/>
      <c r="AJ195" s="219"/>
    </row>
    <row r="196" spans="1:36" s="89" customFormat="1" ht="16.5" customHeight="1" x14ac:dyDescent="0.15">
      <c r="A196" s="220" t="s">
        <v>85</v>
      </c>
      <c r="B196" s="220"/>
      <c r="C196" s="220"/>
      <c r="D196" s="220"/>
      <c r="E196" s="220"/>
      <c r="F196" s="220"/>
      <c r="G196" s="220"/>
      <c r="H196" s="220"/>
      <c r="I196" s="117"/>
      <c r="J196" s="220" t="s">
        <v>83</v>
      </c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V196" s="183" t="s">
        <v>84</v>
      </c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</row>
    <row r="197" spans="1:36" ht="15.75" x14ac:dyDescent="0.25">
      <c r="A197" s="222"/>
      <c r="B197" s="222"/>
      <c r="C197" s="222"/>
      <c r="D197" s="118"/>
    </row>
    <row r="198" spans="1:36" s="88" customFormat="1" ht="13.5" customHeight="1" x14ac:dyDescent="0.2">
      <c r="A198" s="223"/>
      <c r="B198" s="223"/>
      <c r="C198" s="223"/>
      <c r="D198" s="119"/>
      <c r="F198" s="224" t="s">
        <v>7</v>
      </c>
      <c r="G198" s="224"/>
      <c r="H198" s="224"/>
    </row>
    <row r="199" spans="1:36" s="89" customFormat="1" ht="7.5" x14ac:dyDescent="0.15">
      <c r="E199" s="225" t="s">
        <v>86</v>
      </c>
      <c r="F199" s="225"/>
      <c r="G199" s="225"/>
      <c r="H199" s="225"/>
      <c r="I199" s="225"/>
    </row>
    <row r="200" spans="1:36" s="89" customFormat="1" ht="7.5" x14ac:dyDescent="0.15">
      <c r="B200" s="229" t="s">
        <v>87</v>
      </c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</row>
    <row r="201" spans="1:36" s="89" customFormat="1" ht="7.5" x14ac:dyDescent="0.15"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</row>
    <row r="202" spans="1:36" s="89" customFormat="1" ht="7.5" x14ac:dyDescent="0.15"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</row>
    <row r="203" spans="1:36" s="89" customFormat="1" ht="7.5" x14ac:dyDescent="0.15"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</row>
    <row r="204" spans="1:36" s="89" customFormat="1" ht="7.5" x14ac:dyDescent="0.15"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</row>
    <row r="205" spans="1:36" ht="6.75" customHeight="1" x14ac:dyDescent="0.25">
      <c r="E205" s="120"/>
      <c r="F205" s="120"/>
      <c r="G205" s="120"/>
      <c r="H205" s="120"/>
      <c r="I205" s="120"/>
    </row>
    <row r="206" spans="1:36" ht="6.75" customHeight="1" x14ac:dyDescent="0.25"/>
    <row r="207" spans="1:36" s="88" customFormat="1" ht="11.25" x14ac:dyDescent="0.2">
      <c r="A207" s="88" t="s">
        <v>8</v>
      </c>
    </row>
    <row r="208" spans="1:36" s="88" customFormat="1" ht="11.25" x14ac:dyDescent="0.2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</row>
    <row r="209" spans="1:36" s="89" customFormat="1" ht="9.75" customHeight="1" x14ac:dyDescent="0.15">
      <c r="A209" s="200" t="s">
        <v>9</v>
      </c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</row>
    <row r="210" spans="1:36" ht="9" customHeight="1" x14ac:dyDescent="0.25"/>
    <row r="211" spans="1:36" x14ac:dyDescent="0.25">
      <c r="A211" s="214"/>
      <c r="B211" s="214"/>
      <c r="C211" s="214"/>
      <c r="D211" s="214"/>
      <c r="E211" s="214"/>
      <c r="F211" s="214"/>
      <c r="G211" s="214"/>
      <c r="H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V211" s="214"/>
      <c r="W211" s="214"/>
      <c r="X211" s="214"/>
      <c r="Y211" s="214"/>
      <c r="Z211" s="214"/>
      <c r="AA211" s="214"/>
      <c r="AB211" s="214"/>
      <c r="AC211" s="214"/>
      <c r="AD211" s="214"/>
      <c r="AE211" s="214"/>
      <c r="AF211" s="214"/>
      <c r="AG211" s="214"/>
      <c r="AH211" s="214"/>
      <c r="AI211" s="214"/>
      <c r="AJ211" s="214"/>
    </row>
    <row r="212" spans="1:36" s="89" customFormat="1" ht="9" customHeight="1" x14ac:dyDescent="0.15">
      <c r="A212" s="220" t="s">
        <v>85</v>
      </c>
      <c r="B212" s="220"/>
      <c r="C212" s="220"/>
      <c r="D212" s="220"/>
      <c r="E212" s="220"/>
      <c r="F212" s="220"/>
      <c r="G212" s="220"/>
      <c r="H212" s="220"/>
      <c r="I212" s="117"/>
      <c r="J212" s="220" t="s">
        <v>83</v>
      </c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V212" s="183" t="s">
        <v>88</v>
      </c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</row>
    <row r="213" spans="1:36" ht="9" customHeight="1" x14ac:dyDescent="0.25"/>
    <row r="214" spans="1:36" s="88" customFormat="1" ht="11.25" x14ac:dyDescent="0.2">
      <c r="W214" s="121" t="s">
        <v>89</v>
      </c>
      <c r="X214" s="226"/>
      <c r="Y214" s="226"/>
      <c r="Z214" s="94" t="s">
        <v>89</v>
      </c>
      <c r="AA214" s="227"/>
      <c r="AB214" s="227"/>
      <c r="AC214" s="227"/>
      <c r="AD214" s="227"/>
      <c r="AE214" s="94"/>
      <c r="AF214" s="228"/>
      <c r="AG214" s="228"/>
      <c r="AH214" s="228"/>
      <c r="AI214" s="94" t="s">
        <v>90</v>
      </c>
    </row>
    <row r="216" spans="1:36" s="88" customFormat="1" ht="11.25" x14ac:dyDescent="0.2">
      <c r="A216" s="221" t="s">
        <v>122</v>
      </c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</row>
    <row r="217" spans="1:36" s="88" customFormat="1" ht="52.5" customHeight="1" x14ac:dyDescent="0.2">
      <c r="A217" s="188" t="s">
        <v>91</v>
      </c>
      <c r="B217" s="189"/>
      <c r="C217" s="208" t="s">
        <v>10</v>
      </c>
      <c r="D217" s="191"/>
      <c r="E217" s="191"/>
      <c r="F217" s="192"/>
      <c r="G217" s="190" t="s">
        <v>18</v>
      </c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4"/>
      <c r="V217" s="190" t="s">
        <v>92</v>
      </c>
      <c r="W217" s="193"/>
      <c r="X217" s="193"/>
      <c r="Y217" s="193"/>
      <c r="Z217" s="193"/>
      <c r="AA217" s="193"/>
      <c r="AB217" s="193"/>
      <c r="AC217" s="193"/>
      <c r="AD217" s="193"/>
      <c r="AE217" s="194"/>
      <c r="AF217" s="208" t="s">
        <v>4</v>
      </c>
      <c r="AG217" s="191"/>
      <c r="AH217" s="191"/>
      <c r="AI217" s="191"/>
      <c r="AJ217" s="192"/>
    </row>
    <row r="218" spans="1:36" s="88" customFormat="1" ht="11.25" x14ac:dyDescent="0.2">
      <c r="A218" s="188" t="s">
        <v>33</v>
      </c>
      <c r="B218" s="188"/>
      <c r="C218" s="189" t="s">
        <v>34</v>
      </c>
      <c r="D218" s="189"/>
      <c r="E218" s="189"/>
      <c r="F218" s="189"/>
      <c r="G218" s="188" t="s">
        <v>35</v>
      </c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209">
        <v>4</v>
      </c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189">
        <v>5</v>
      </c>
      <c r="AG218" s="189"/>
      <c r="AH218" s="189"/>
      <c r="AI218" s="189"/>
      <c r="AJ218" s="189"/>
    </row>
    <row r="219" spans="1:36" s="88" customFormat="1" ht="11.25" x14ac:dyDescent="0.2">
      <c r="A219" s="188"/>
      <c r="B219" s="188"/>
      <c r="C219" s="189"/>
      <c r="D219" s="189"/>
      <c r="E219" s="189"/>
      <c r="F219" s="189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189"/>
      <c r="AG219" s="189"/>
      <c r="AH219" s="189"/>
      <c r="AI219" s="189"/>
      <c r="AJ219" s="189"/>
    </row>
    <row r="220" spans="1:36" s="88" customFormat="1" ht="11.25" x14ac:dyDescent="0.2">
      <c r="A220" s="188"/>
      <c r="B220" s="188"/>
      <c r="C220" s="189"/>
      <c r="D220" s="189"/>
      <c r="E220" s="189"/>
      <c r="F220" s="189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189"/>
      <c r="AG220" s="189"/>
      <c r="AH220" s="189"/>
      <c r="AI220" s="189"/>
      <c r="AJ220" s="189"/>
    </row>
    <row r="221" spans="1:36" s="88" customFormat="1" ht="11.25" x14ac:dyDescent="0.2">
      <c r="A221" s="188"/>
      <c r="B221" s="188"/>
      <c r="C221" s="189"/>
      <c r="D221" s="189"/>
      <c r="E221" s="189"/>
      <c r="F221" s="189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189"/>
      <c r="AG221" s="189"/>
      <c r="AH221" s="189"/>
      <c r="AI221" s="189"/>
      <c r="AJ221" s="189"/>
    </row>
    <row r="222" spans="1:36" s="88" customFormat="1" ht="11.25" x14ac:dyDescent="0.2">
      <c r="A222" s="188"/>
      <c r="B222" s="188"/>
      <c r="C222" s="189"/>
      <c r="D222" s="189"/>
      <c r="E222" s="189"/>
      <c r="F222" s="189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189"/>
      <c r="AG222" s="189"/>
      <c r="AH222" s="189"/>
      <c r="AI222" s="189"/>
      <c r="AJ222" s="189"/>
    </row>
    <row r="223" spans="1:36" s="88" customFormat="1" ht="11.25" x14ac:dyDescent="0.2">
      <c r="A223" s="188"/>
      <c r="B223" s="188"/>
      <c r="C223" s="189"/>
      <c r="D223" s="189"/>
      <c r="E223" s="189"/>
      <c r="F223" s="189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189"/>
      <c r="AG223" s="189"/>
      <c r="AH223" s="189"/>
      <c r="AI223" s="189"/>
      <c r="AJ223" s="189"/>
    </row>
    <row r="224" spans="1:36" s="88" customFormat="1" ht="11.25" x14ac:dyDescent="0.2">
      <c r="A224" s="188"/>
      <c r="B224" s="188"/>
      <c r="C224" s="189"/>
      <c r="D224" s="189"/>
      <c r="E224" s="189"/>
      <c r="F224" s="189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189"/>
      <c r="AG224" s="189"/>
      <c r="AH224" s="189"/>
      <c r="AI224" s="189"/>
      <c r="AJ224" s="189"/>
    </row>
    <row r="225" spans="1:36" s="88" customFormat="1" ht="11.25" x14ac:dyDescent="0.2">
      <c r="A225" s="188"/>
      <c r="B225" s="188"/>
      <c r="C225" s="189"/>
      <c r="D225" s="189"/>
      <c r="E225" s="189"/>
      <c r="F225" s="189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189"/>
      <c r="AG225" s="189"/>
      <c r="AH225" s="189"/>
      <c r="AI225" s="189"/>
      <c r="AJ225" s="189"/>
    </row>
    <row r="226" spans="1:36" s="88" customFormat="1" ht="11.25" x14ac:dyDescent="0.2">
      <c r="A226" s="188"/>
      <c r="B226" s="188"/>
      <c r="C226" s="189"/>
      <c r="D226" s="189"/>
      <c r="E226" s="189"/>
      <c r="F226" s="189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189"/>
      <c r="AG226" s="189"/>
      <c r="AH226" s="189"/>
      <c r="AI226" s="189"/>
      <c r="AJ226" s="189"/>
    </row>
    <row r="227" spans="1:36" s="88" customFormat="1" ht="11.25" x14ac:dyDescent="0.2">
      <c r="A227" s="188"/>
      <c r="B227" s="188"/>
      <c r="C227" s="189"/>
      <c r="D227" s="189"/>
      <c r="E227" s="189"/>
      <c r="F227" s="189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189"/>
      <c r="AG227" s="189"/>
      <c r="AH227" s="189"/>
      <c r="AI227" s="189"/>
      <c r="AJ227" s="189"/>
    </row>
    <row r="228" spans="1:36" s="88" customFormat="1" ht="11.25" x14ac:dyDescent="0.2">
      <c r="A228" s="188"/>
      <c r="B228" s="188"/>
      <c r="C228" s="189"/>
      <c r="D228" s="189"/>
      <c r="E228" s="189"/>
      <c r="F228" s="189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189"/>
      <c r="AG228" s="189"/>
      <c r="AH228" s="189"/>
      <c r="AI228" s="189"/>
      <c r="AJ228" s="189"/>
    </row>
    <row r="229" spans="1:36" s="88" customFormat="1" ht="11.25" x14ac:dyDescent="0.2">
      <c r="A229" s="188"/>
      <c r="B229" s="188"/>
      <c r="C229" s="189"/>
      <c r="D229" s="189"/>
      <c r="E229" s="189"/>
      <c r="F229" s="189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189"/>
      <c r="AG229" s="189"/>
      <c r="AH229" s="189"/>
      <c r="AI229" s="189"/>
      <c r="AJ229" s="189"/>
    </row>
    <row r="230" spans="1:36" s="88" customFormat="1" ht="11.25" x14ac:dyDescent="0.2">
      <c r="A230" s="188"/>
      <c r="B230" s="188"/>
      <c r="C230" s="189"/>
      <c r="D230" s="189"/>
      <c r="E230" s="189"/>
      <c r="F230" s="189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189"/>
      <c r="AG230" s="189"/>
      <c r="AH230" s="189"/>
      <c r="AI230" s="189"/>
      <c r="AJ230" s="189"/>
    </row>
    <row r="231" spans="1:36" s="88" customFormat="1" ht="11.25" x14ac:dyDescent="0.2">
      <c r="A231" s="188"/>
      <c r="B231" s="188"/>
      <c r="C231" s="189"/>
      <c r="D231" s="189"/>
      <c r="E231" s="189"/>
      <c r="F231" s="189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189"/>
      <c r="AG231" s="189"/>
      <c r="AH231" s="189"/>
      <c r="AI231" s="189"/>
      <c r="AJ231" s="189"/>
    </row>
    <row r="232" spans="1:36" s="88" customFormat="1" ht="11.25" x14ac:dyDescent="0.2">
      <c r="A232" s="188"/>
      <c r="B232" s="188"/>
      <c r="C232" s="189"/>
      <c r="D232" s="189"/>
      <c r="E232" s="189"/>
      <c r="F232" s="189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189"/>
      <c r="AG232" s="189"/>
      <c r="AH232" s="189"/>
      <c r="AI232" s="189"/>
      <c r="AJ232" s="189"/>
    </row>
  </sheetData>
  <mergeCells count="637">
    <mergeCell ref="A225:B225"/>
    <mergeCell ref="C225:F225"/>
    <mergeCell ref="G225:U225"/>
    <mergeCell ref="V225:AE225"/>
    <mergeCell ref="AF225:AJ225"/>
    <mergeCell ref="A223:B223"/>
    <mergeCell ref="C223:F223"/>
    <mergeCell ref="G223:U223"/>
    <mergeCell ref="V223:AE223"/>
    <mergeCell ref="AF223:AJ223"/>
    <mergeCell ref="A224:B224"/>
    <mergeCell ref="C224:F224"/>
    <mergeCell ref="G224:U224"/>
    <mergeCell ref="V224:AE224"/>
    <mergeCell ref="AF224:AJ224"/>
    <mergeCell ref="A221:B221"/>
    <mergeCell ref="C221:F221"/>
    <mergeCell ref="G221:U221"/>
    <mergeCell ref="V221:AE221"/>
    <mergeCell ref="AF221:AJ221"/>
    <mergeCell ref="A222:B222"/>
    <mergeCell ref="C222:F222"/>
    <mergeCell ref="G222:U222"/>
    <mergeCell ref="V222:AE222"/>
    <mergeCell ref="AF222:AJ222"/>
    <mergeCell ref="A219:B219"/>
    <mergeCell ref="C219:F219"/>
    <mergeCell ref="G219:U219"/>
    <mergeCell ref="V219:AE219"/>
    <mergeCell ref="AF219:AJ219"/>
    <mergeCell ref="A220:B220"/>
    <mergeCell ref="C220:F220"/>
    <mergeCell ref="G220:U220"/>
    <mergeCell ref="V220:AE220"/>
    <mergeCell ref="AF220:AJ220"/>
    <mergeCell ref="A157:B157"/>
    <mergeCell ref="C157:N157"/>
    <mergeCell ref="O157:U157"/>
    <mergeCell ref="V157:AD157"/>
    <mergeCell ref="AE157:AJ157"/>
    <mergeCell ref="A158:B158"/>
    <mergeCell ref="C158:N158"/>
    <mergeCell ref="O158:U158"/>
    <mergeCell ref="V158:AD158"/>
    <mergeCell ref="AE158:AJ158"/>
    <mergeCell ref="A155:B155"/>
    <mergeCell ref="C155:N155"/>
    <mergeCell ref="O155:U155"/>
    <mergeCell ref="V155:AD155"/>
    <mergeCell ref="AE155:AJ155"/>
    <mergeCell ref="A156:B156"/>
    <mergeCell ref="C156:N156"/>
    <mergeCell ref="O156:U156"/>
    <mergeCell ref="V156:AD156"/>
    <mergeCell ref="AE156:AJ156"/>
    <mergeCell ref="A153:B153"/>
    <mergeCell ref="C153:N153"/>
    <mergeCell ref="O153:U153"/>
    <mergeCell ref="V153:AD153"/>
    <mergeCell ref="AE153:AJ153"/>
    <mergeCell ref="A154:B154"/>
    <mergeCell ref="C154:N154"/>
    <mergeCell ref="O154:U154"/>
    <mergeCell ref="V154:AD154"/>
    <mergeCell ref="AE154:AJ154"/>
    <mergeCell ref="A151:B151"/>
    <mergeCell ref="C151:N151"/>
    <mergeCell ref="O151:U151"/>
    <mergeCell ref="V151:AD151"/>
    <mergeCell ref="AE151:AJ151"/>
    <mergeCell ref="A152:B152"/>
    <mergeCell ref="C152:N152"/>
    <mergeCell ref="O152:U152"/>
    <mergeCell ref="V152:AD152"/>
    <mergeCell ref="AE152:AJ152"/>
    <mergeCell ref="A149:B149"/>
    <mergeCell ref="C149:N149"/>
    <mergeCell ref="O149:U149"/>
    <mergeCell ref="V149:AD149"/>
    <mergeCell ref="AE149:AJ149"/>
    <mergeCell ref="A150:B150"/>
    <mergeCell ref="C150:N150"/>
    <mergeCell ref="O150:U150"/>
    <mergeCell ref="V150:AD150"/>
    <mergeCell ref="AE150:AJ150"/>
    <mergeCell ref="A147:B147"/>
    <mergeCell ref="C147:N147"/>
    <mergeCell ref="O147:U147"/>
    <mergeCell ref="V147:AD147"/>
    <mergeCell ref="AE147:AJ147"/>
    <mergeCell ref="A148:B148"/>
    <mergeCell ref="C148:N148"/>
    <mergeCell ref="O148:U148"/>
    <mergeCell ref="V148:AD148"/>
    <mergeCell ref="AE148:AJ148"/>
    <mergeCell ref="A145:B145"/>
    <mergeCell ref="C145:N145"/>
    <mergeCell ref="O145:U145"/>
    <mergeCell ref="V145:AD145"/>
    <mergeCell ref="AE145:AJ145"/>
    <mergeCell ref="A146:B146"/>
    <mergeCell ref="C146:N146"/>
    <mergeCell ref="O146:U146"/>
    <mergeCell ref="V146:AD146"/>
    <mergeCell ref="AE146:AJ146"/>
    <mergeCell ref="A143:B143"/>
    <mergeCell ref="C143:N143"/>
    <mergeCell ref="O143:U143"/>
    <mergeCell ref="V143:AD143"/>
    <mergeCell ref="AE143:AJ143"/>
    <mergeCell ref="A144:B144"/>
    <mergeCell ref="C144:N144"/>
    <mergeCell ref="O144:U144"/>
    <mergeCell ref="V144:AD144"/>
    <mergeCell ref="AE144:AJ144"/>
    <mergeCell ref="A165:B165"/>
    <mergeCell ref="C165:N165"/>
    <mergeCell ref="O165:U165"/>
    <mergeCell ref="V165:AD165"/>
    <mergeCell ref="AE165:AJ165"/>
    <mergeCell ref="A163:B163"/>
    <mergeCell ref="C163:N163"/>
    <mergeCell ref="O163:U163"/>
    <mergeCell ref="V163:AD163"/>
    <mergeCell ref="AE163:AJ163"/>
    <mergeCell ref="A164:B164"/>
    <mergeCell ref="C164:N164"/>
    <mergeCell ref="O164:U164"/>
    <mergeCell ref="V164:AD164"/>
    <mergeCell ref="AE164:AJ164"/>
    <mergeCell ref="A161:B161"/>
    <mergeCell ref="C161:N161"/>
    <mergeCell ref="O161:U161"/>
    <mergeCell ref="V161:AD161"/>
    <mergeCell ref="AE161:AJ161"/>
    <mergeCell ref="A162:B162"/>
    <mergeCell ref="C162:N162"/>
    <mergeCell ref="O162:U162"/>
    <mergeCell ref="V162:AD162"/>
    <mergeCell ref="AE162:AJ162"/>
    <mergeCell ref="A159:B159"/>
    <mergeCell ref="C159:N159"/>
    <mergeCell ref="O159:U159"/>
    <mergeCell ref="V159:AD159"/>
    <mergeCell ref="AE159:AJ159"/>
    <mergeCell ref="A160:B160"/>
    <mergeCell ref="C160:N160"/>
    <mergeCell ref="O160:U160"/>
    <mergeCell ref="V160:AD160"/>
    <mergeCell ref="AE160:AJ160"/>
    <mergeCell ref="A141:B141"/>
    <mergeCell ref="C141:N141"/>
    <mergeCell ref="O141:U141"/>
    <mergeCell ref="V141:AD141"/>
    <mergeCell ref="AE141:AJ141"/>
    <mergeCell ref="A142:B142"/>
    <mergeCell ref="C142:N142"/>
    <mergeCell ref="O142:U142"/>
    <mergeCell ref="V142:AD142"/>
    <mergeCell ref="AE142:AJ142"/>
    <mergeCell ref="A139:B139"/>
    <mergeCell ref="C139:N139"/>
    <mergeCell ref="O139:U139"/>
    <mergeCell ref="V139:AD139"/>
    <mergeCell ref="AE139:AJ139"/>
    <mergeCell ref="A140:B140"/>
    <mergeCell ref="C140:N140"/>
    <mergeCell ref="O140:U140"/>
    <mergeCell ref="V140:AD140"/>
    <mergeCell ref="AE140:AJ140"/>
    <mergeCell ref="A137:B137"/>
    <mergeCell ref="C137:N137"/>
    <mergeCell ref="O137:U137"/>
    <mergeCell ref="V137:AD137"/>
    <mergeCell ref="AE137:AJ137"/>
    <mergeCell ref="A138:B138"/>
    <mergeCell ref="C138:N138"/>
    <mergeCell ref="O138:U138"/>
    <mergeCell ref="V138:AD138"/>
    <mergeCell ref="AE138:AJ138"/>
    <mergeCell ref="A135:B135"/>
    <mergeCell ref="C135:N135"/>
    <mergeCell ref="O135:U135"/>
    <mergeCell ref="V135:AD135"/>
    <mergeCell ref="AE135:AJ135"/>
    <mergeCell ref="A136:B136"/>
    <mergeCell ref="C136:N136"/>
    <mergeCell ref="O136:U136"/>
    <mergeCell ref="V136:AD136"/>
    <mergeCell ref="AE136:AJ136"/>
    <mergeCell ref="A133:B133"/>
    <mergeCell ref="C133:N133"/>
    <mergeCell ref="O133:U133"/>
    <mergeCell ref="V133:AD133"/>
    <mergeCell ref="AE133:AJ133"/>
    <mergeCell ref="A134:B134"/>
    <mergeCell ref="C134:N134"/>
    <mergeCell ref="O134:U134"/>
    <mergeCell ref="V134:AD134"/>
    <mergeCell ref="AE134:AJ134"/>
    <mergeCell ref="A131:B131"/>
    <mergeCell ref="C131:N131"/>
    <mergeCell ref="O131:U131"/>
    <mergeCell ref="V131:AD131"/>
    <mergeCell ref="AE131:AJ131"/>
    <mergeCell ref="A132:B132"/>
    <mergeCell ref="C132:N132"/>
    <mergeCell ref="O132:U132"/>
    <mergeCell ref="V132:AD132"/>
    <mergeCell ref="AE132:AJ132"/>
    <mergeCell ref="A129:B129"/>
    <mergeCell ref="C129:N129"/>
    <mergeCell ref="O129:U129"/>
    <mergeCell ref="V129:AD129"/>
    <mergeCell ref="AE129:AJ129"/>
    <mergeCell ref="A130:B130"/>
    <mergeCell ref="C130:N130"/>
    <mergeCell ref="O130:U130"/>
    <mergeCell ref="V130:AD130"/>
    <mergeCell ref="AE130:AJ130"/>
    <mergeCell ref="O121:U121"/>
    <mergeCell ref="V121:AD121"/>
    <mergeCell ref="AE121:AJ121"/>
    <mergeCell ref="A122:B122"/>
    <mergeCell ref="C122:N122"/>
    <mergeCell ref="O122:U122"/>
    <mergeCell ref="V122:AD122"/>
    <mergeCell ref="AE122:AJ122"/>
    <mergeCell ref="A128:B128"/>
    <mergeCell ref="C128:N128"/>
    <mergeCell ref="O128:U128"/>
    <mergeCell ref="V128:AD128"/>
    <mergeCell ref="AE128:AJ128"/>
    <mergeCell ref="A124:AJ124"/>
    <mergeCell ref="AE126:AJ126"/>
    <mergeCell ref="A113:B113"/>
    <mergeCell ref="C113:N113"/>
    <mergeCell ref="O113:U113"/>
    <mergeCell ref="V113:AD113"/>
    <mergeCell ref="AE113:AJ113"/>
    <mergeCell ref="A114:B114"/>
    <mergeCell ref="C114:N114"/>
    <mergeCell ref="O114:U114"/>
    <mergeCell ref="V114:AD114"/>
    <mergeCell ref="AE114:AJ114"/>
    <mergeCell ref="O106:U106"/>
    <mergeCell ref="V106:AD106"/>
    <mergeCell ref="AE106:AJ106"/>
    <mergeCell ref="A112:B112"/>
    <mergeCell ref="C112:N112"/>
    <mergeCell ref="O112:U112"/>
    <mergeCell ref="V112:AD112"/>
    <mergeCell ref="AE112:AJ112"/>
    <mergeCell ref="A110:B110"/>
    <mergeCell ref="C110:N110"/>
    <mergeCell ref="O110:U110"/>
    <mergeCell ref="V110:AD110"/>
    <mergeCell ref="A108:AJ108"/>
    <mergeCell ref="A109:B109"/>
    <mergeCell ref="C109:N109"/>
    <mergeCell ref="O109:U109"/>
    <mergeCell ref="V109:AD109"/>
    <mergeCell ref="AE109:AJ109"/>
    <mergeCell ref="A111:B111"/>
    <mergeCell ref="C111:N111"/>
    <mergeCell ref="O111:U111"/>
    <mergeCell ref="V111:AD111"/>
    <mergeCell ref="A59:AJ59"/>
    <mergeCell ref="O104:U104"/>
    <mergeCell ref="V104:AD104"/>
    <mergeCell ref="AE104:AJ104"/>
    <mergeCell ref="A105:B105"/>
    <mergeCell ref="C105:N105"/>
    <mergeCell ref="O105:U105"/>
    <mergeCell ref="V105:AD105"/>
    <mergeCell ref="AE105:AJ105"/>
    <mergeCell ref="A98:B98"/>
    <mergeCell ref="C98:I98"/>
    <mergeCell ref="J98:N98"/>
    <mergeCell ref="O98:S98"/>
    <mergeCell ref="T98:AF98"/>
    <mergeCell ref="AG98:AJ98"/>
    <mergeCell ref="A100:AJ100"/>
    <mergeCell ref="AE103:AJ103"/>
    <mergeCell ref="A104:B104"/>
    <mergeCell ref="C104:N104"/>
    <mergeCell ref="AG96:AJ96"/>
    <mergeCell ref="A78:B78"/>
    <mergeCell ref="C78:I78"/>
    <mergeCell ref="J78:N78"/>
    <mergeCell ref="O78:S78"/>
    <mergeCell ref="T78:AF78"/>
    <mergeCell ref="AG78:AJ78"/>
    <mergeCell ref="T76:AF76"/>
    <mergeCell ref="AG76:AJ76"/>
    <mergeCell ref="A60:AJ60"/>
    <mergeCell ref="A77:B77"/>
    <mergeCell ref="C77:I77"/>
    <mergeCell ref="J77:N77"/>
    <mergeCell ref="O77:S77"/>
    <mergeCell ref="T77:AF77"/>
    <mergeCell ref="T73:AF73"/>
    <mergeCell ref="A65:AJ65"/>
    <mergeCell ref="A66:AJ66"/>
    <mergeCell ref="A67:AJ67"/>
    <mergeCell ref="A68:AJ68"/>
    <mergeCell ref="A69:AJ69"/>
    <mergeCell ref="A70:AJ70"/>
    <mergeCell ref="A56:B56"/>
    <mergeCell ref="C56:N56"/>
    <mergeCell ref="O56:U56"/>
    <mergeCell ref="V56:AD56"/>
    <mergeCell ref="AE56:AJ56"/>
    <mergeCell ref="AG39:AJ39"/>
    <mergeCell ref="A38:B38"/>
    <mergeCell ref="O52:U52"/>
    <mergeCell ref="V52:AD52"/>
    <mergeCell ref="J39:N39"/>
    <mergeCell ref="O39:S39"/>
    <mergeCell ref="C38:I38"/>
    <mergeCell ref="J38:N38"/>
    <mergeCell ref="O38:S38"/>
    <mergeCell ref="T38:AF38"/>
    <mergeCell ref="AG38:AJ38"/>
    <mergeCell ref="A43:AJ43"/>
    <mergeCell ref="A40:B40"/>
    <mergeCell ref="O53:U53"/>
    <mergeCell ref="A53:B53"/>
    <mergeCell ref="C53:N53"/>
    <mergeCell ref="C40:I40"/>
    <mergeCell ref="J40:N40"/>
    <mergeCell ref="O40:S40"/>
    <mergeCell ref="T40:AF40"/>
    <mergeCell ref="T39:AF39"/>
    <mergeCell ref="AG28:AJ28"/>
    <mergeCell ref="J28:N28"/>
    <mergeCell ref="AG40:AJ40"/>
    <mergeCell ref="A52:B52"/>
    <mergeCell ref="C52:N52"/>
    <mergeCell ref="O28:S28"/>
    <mergeCell ref="T28:AF28"/>
    <mergeCell ref="A28:B28"/>
    <mergeCell ref="C28:I28"/>
    <mergeCell ref="A33:AJ33"/>
    <mergeCell ref="A55:B55"/>
    <mergeCell ref="C55:N55"/>
    <mergeCell ref="O55:U55"/>
    <mergeCell ref="V55:AD55"/>
    <mergeCell ref="AE55:AJ55"/>
    <mergeCell ref="A54:B54"/>
    <mergeCell ref="C54:N54"/>
    <mergeCell ref="O54:U54"/>
    <mergeCell ref="V54:AD54"/>
    <mergeCell ref="AE54:AJ54"/>
    <mergeCell ref="C27:I27"/>
    <mergeCell ref="J27:N27"/>
    <mergeCell ref="O27:S27"/>
    <mergeCell ref="T27:AF27"/>
    <mergeCell ref="AG77:AJ77"/>
    <mergeCell ref="J93:N93"/>
    <mergeCell ref="O93:S93"/>
    <mergeCell ref="T93:AF93"/>
    <mergeCell ref="AG93:AJ93"/>
    <mergeCell ref="V53:AD53"/>
    <mergeCell ref="O73:S73"/>
    <mergeCell ref="A85:AJ85"/>
    <mergeCell ref="A86:AJ86"/>
    <mergeCell ref="A87:AJ87"/>
    <mergeCell ref="A42:AJ42"/>
    <mergeCell ref="A34:AJ34"/>
    <mergeCell ref="A36:AJ36"/>
    <mergeCell ref="A37:B37"/>
    <mergeCell ref="C37:I37"/>
    <mergeCell ref="J37:N37"/>
    <mergeCell ref="O37:S37"/>
    <mergeCell ref="T37:AF37"/>
    <mergeCell ref="AG37:AJ37"/>
    <mergeCell ref="AG27:AJ27"/>
    <mergeCell ref="A81:AJ81"/>
    <mergeCell ref="A82:AJ82"/>
    <mergeCell ref="AF230:AJ230"/>
    <mergeCell ref="A119:B119"/>
    <mergeCell ref="C119:N119"/>
    <mergeCell ref="O119:U119"/>
    <mergeCell ref="V119:AD119"/>
    <mergeCell ref="AE119:AJ119"/>
    <mergeCell ref="A116:AJ116"/>
    <mergeCell ref="A117:B117"/>
    <mergeCell ref="C117:N117"/>
    <mergeCell ref="O117:U117"/>
    <mergeCell ref="V117:AD117"/>
    <mergeCell ref="AE117:AJ117"/>
    <mergeCell ref="A118:B118"/>
    <mergeCell ref="C118:N118"/>
    <mergeCell ref="O118:U118"/>
    <mergeCell ref="V118:AD118"/>
    <mergeCell ref="AE118:AJ118"/>
    <mergeCell ref="A120:B120"/>
    <mergeCell ref="C120:N120"/>
    <mergeCell ref="O120:U120"/>
    <mergeCell ref="A106:B106"/>
    <mergeCell ref="C106:N106"/>
    <mergeCell ref="V120:AD120"/>
    <mergeCell ref="AE120:AJ120"/>
    <mergeCell ref="A121:B121"/>
    <mergeCell ref="C121:N121"/>
    <mergeCell ref="A228:B228"/>
    <mergeCell ref="C228:F228"/>
    <mergeCell ref="G228:U228"/>
    <mergeCell ref="V228:AE228"/>
    <mergeCell ref="AF228:AJ228"/>
    <mergeCell ref="V226:AE226"/>
    <mergeCell ref="AF226:AJ226"/>
    <mergeCell ref="A227:B227"/>
    <mergeCell ref="C227:F227"/>
    <mergeCell ref="G227:U227"/>
    <mergeCell ref="V227:AE227"/>
    <mergeCell ref="AF227:AJ227"/>
    <mergeCell ref="A226:B226"/>
    <mergeCell ref="C226:F226"/>
    <mergeCell ref="G226:U226"/>
    <mergeCell ref="V217:AE217"/>
    <mergeCell ref="AF217:AJ217"/>
    <mergeCell ref="A218:B218"/>
    <mergeCell ref="C218:F218"/>
    <mergeCell ref="G218:U218"/>
    <mergeCell ref="A232:B232"/>
    <mergeCell ref="C232:F232"/>
    <mergeCell ref="G232:U232"/>
    <mergeCell ref="V232:AE232"/>
    <mergeCell ref="AF232:AJ232"/>
    <mergeCell ref="A231:B231"/>
    <mergeCell ref="C231:F231"/>
    <mergeCell ref="G231:U231"/>
    <mergeCell ref="V231:AE231"/>
    <mergeCell ref="AF231:AJ231"/>
    <mergeCell ref="A229:B229"/>
    <mergeCell ref="C229:F229"/>
    <mergeCell ref="G229:U229"/>
    <mergeCell ref="V229:AE229"/>
    <mergeCell ref="AF229:AJ229"/>
    <mergeCell ref="A230:B230"/>
    <mergeCell ref="C230:F230"/>
    <mergeCell ref="G230:U230"/>
    <mergeCell ref="V230:AE230"/>
    <mergeCell ref="V218:AE218"/>
    <mergeCell ref="AF218:AJ218"/>
    <mergeCell ref="A217:B217"/>
    <mergeCell ref="C217:F217"/>
    <mergeCell ref="G217:U217"/>
    <mergeCell ref="A193:AJ193"/>
    <mergeCell ref="V195:AJ195"/>
    <mergeCell ref="V196:AJ196"/>
    <mergeCell ref="J195:T195"/>
    <mergeCell ref="J196:T196"/>
    <mergeCell ref="A216:AJ216"/>
    <mergeCell ref="A197:C197"/>
    <mergeCell ref="A198:C198"/>
    <mergeCell ref="F198:H198"/>
    <mergeCell ref="E199:I199"/>
    <mergeCell ref="A195:H195"/>
    <mergeCell ref="A196:H196"/>
    <mergeCell ref="A212:H212"/>
    <mergeCell ref="J212:T212"/>
    <mergeCell ref="V212:AJ212"/>
    <mergeCell ref="X214:Y214"/>
    <mergeCell ref="AA214:AD214"/>
    <mergeCell ref="AF214:AH214"/>
    <mergeCell ref="B200:L204"/>
    <mergeCell ref="A208:AJ208"/>
    <mergeCell ref="A209:AJ209"/>
    <mergeCell ref="A211:H211"/>
    <mergeCell ref="J211:T211"/>
    <mergeCell ref="V211:AJ211"/>
    <mergeCell ref="A88:AJ88"/>
    <mergeCell ref="A184:AJ184"/>
    <mergeCell ref="H186:AJ186"/>
    <mergeCell ref="H185:AJ185"/>
    <mergeCell ref="J188:L188"/>
    <mergeCell ref="V192:AB192"/>
    <mergeCell ref="AE192:AJ192"/>
    <mergeCell ref="A173:AJ173"/>
    <mergeCell ref="A181:AJ181"/>
    <mergeCell ref="H182:AJ182"/>
    <mergeCell ref="H183:AJ183"/>
    <mergeCell ref="A176:AJ176"/>
    <mergeCell ref="AG94:AJ94"/>
    <mergeCell ref="A97:B97"/>
    <mergeCell ref="C97:I97"/>
    <mergeCell ref="J97:N97"/>
    <mergeCell ref="O97:S97"/>
    <mergeCell ref="T97:AF97"/>
    <mergeCell ref="AG97:AJ97"/>
    <mergeCell ref="J96:N96"/>
    <mergeCell ref="O96:S96"/>
    <mergeCell ref="T96:AF96"/>
    <mergeCell ref="AE51:AJ51"/>
    <mergeCell ref="A31:AJ31"/>
    <mergeCell ref="A94:B94"/>
    <mergeCell ref="C94:I94"/>
    <mergeCell ref="J94:N94"/>
    <mergeCell ref="O94:S94"/>
    <mergeCell ref="T94:AF94"/>
    <mergeCell ref="A89:AJ89"/>
    <mergeCell ref="A92:AJ92"/>
    <mergeCell ref="A90:AJ90"/>
    <mergeCell ref="A93:B93"/>
    <mergeCell ref="C93:I93"/>
    <mergeCell ref="J74:N74"/>
    <mergeCell ref="AG73:AJ73"/>
    <mergeCell ref="O74:S74"/>
    <mergeCell ref="T74:AF74"/>
    <mergeCell ref="AG74:AJ74"/>
    <mergeCell ref="C73:I73"/>
    <mergeCell ref="J73:N73"/>
    <mergeCell ref="T95:AF95"/>
    <mergeCell ref="AG95:AJ95"/>
    <mergeCell ref="A1:AJ1"/>
    <mergeCell ref="A2:AJ2"/>
    <mergeCell ref="AE53:AJ53"/>
    <mergeCell ref="T75:AF75"/>
    <mergeCell ref="AG75:AJ75"/>
    <mergeCell ref="A75:B75"/>
    <mergeCell ref="C75:I75"/>
    <mergeCell ref="J75:N75"/>
    <mergeCell ref="A80:AJ80"/>
    <mergeCell ref="O75:S75"/>
    <mergeCell ref="A76:B76"/>
    <mergeCell ref="C76:I76"/>
    <mergeCell ref="J76:N76"/>
    <mergeCell ref="O76:S76"/>
    <mergeCell ref="A74:B74"/>
    <mergeCell ref="C74:I74"/>
    <mergeCell ref="A72:AJ72"/>
    <mergeCell ref="A73:B73"/>
    <mergeCell ref="A58:AJ58"/>
    <mergeCell ref="A61:AJ61"/>
    <mergeCell ref="A62:AJ62"/>
    <mergeCell ref="A17:AJ17"/>
    <mergeCell ref="A18:AJ18"/>
    <mergeCell ref="A27:B27"/>
    <mergeCell ref="A169:AJ169"/>
    <mergeCell ref="A170:AJ170"/>
    <mergeCell ref="A171:AJ171"/>
    <mergeCell ref="A95:B95"/>
    <mergeCell ref="C95:I95"/>
    <mergeCell ref="J95:N95"/>
    <mergeCell ref="O95:S95"/>
    <mergeCell ref="A101:B101"/>
    <mergeCell ref="C101:N101"/>
    <mergeCell ref="O101:U101"/>
    <mergeCell ref="V101:AD101"/>
    <mergeCell ref="AE101:AJ101"/>
    <mergeCell ref="A102:B102"/>
    <mergeCell ref="C102:N102"/>
    <mergeCell ref="O102:U102"/>
    <mergeCell ref="V102:AD102"/>
    <mergeCell ref="AE110:AJ110"/>
    <mergeCell ref="AE102:AJ102"/>
    <mergeCell ref="A103:B103"/>
    <mergeCell ref="C103:N103"/>
    <mergeCell ref="O103:U103"/>
    <mergeCell ref="V103:AD103"/>
    <mergeCell ref="A96:B96"/>
    <mergeCell ref="C96:I96"/>
    <mergeCell ref="O24:S24"/>
    <mergeCell ref="T24:AF24"/>
    <mergeCell ref="A23:B23"/>
    <mergeCell ref="AE52:AJ52"/>
    <mergeCell ref="A48:AJ48"/>
    <mergeCell ref="A50:AJ50"/>
    <mergeCell ref="A51:B51"/>
    <mergeCell ref="C51:N51"/>
    <mergeCell ref="O51:U51"/>
    <mergeCell ref="V51:AD51"/>
    <mergeCell ref="A47:AJ47"/>
    <mergeCell ref="AG24:AJ24"/>
    <mergeCell ref="A25:B25"/>
    <mergeCell ref="C25:I25"/>
    <mergeCell ref="J25:N25"/>
    <mergeCell ref="O25:S25"/>
    <mergeCell ref="T25:AF25"/>
    <mergeCell ref="A44:AJ44"/>
    <mergeCell ref="A45:AJ45"/>
    <mergeCell ref="A46:AJ46"/>
    <mergeCell ref="A39:B39"/>
    <mergeCell ref="C39:I39"/>
    <mergeCell ref="AG25:AJ25"/>
    <mergeCell ref="A32:AJ32"/>
    <mergeCell ref="O26:S26"/>
    <mergeCell ref="T26:AF26"/>
    <mergeCell ref="AG26:AJ26"/>
    <mergeCell ref="A3:AJ3"/>
    <mergeCell ref="A6:B6"/>
    <mergeCell ref="C6:AJ6"/>
    <mergeCell ref="C7:AJ7"/>
    <mergeCell ref="A10:AJ10"/>
    <mergeCell ref="Q4:U4"/>
    <mergeCell ref="A26:B26"/>
    <mergeCell ref="A13:AJ13"/>
    <mergeCell ref="A14:AJ14"/>
    <mergeCell ref="A15:AJ15"/>
    <mergeCell ref="A16:AJ16"/>
    <mergeCell ref="A19:AJ19"/>
    <mergeCell ref="A20:AJ20"/>
    <mergeCell ref="A24:B24"/>
    <mergeCell ref="C24:I24"/>
    <mergeCell ref="AG23:AJ23"/>
    <mergeCell ref="C23:I23"/>
    <mergeCell ref="J23:N23"/>
    <mergeCell ref="O23:S23"/>
    <mergeCell ref="T23:AF23"/>
    <mergeCell ref="J24:N24"/>
    <mergeCell ref="A8:AJ9"/>
    <mergeCell ref="A177:AJ177"/>
    <mergeCell ref="A178:AJ178"/>
    <mergeCell ref="A179:AJ179"/>
    <mergeCell ref="A127:B127"/>
    <mergeCell ref="C127:N127"/>
    <mergeCell ref="O127:U127"/>
    <mergeCell ref="V127:AD127"/>
    <mergeCell ref="AE127:AJ127"/>
    <mergeCell ref="A168:AJ168"/>
    <mergeCell ref="AE111:AJ111"/>
    <mergeCell ref="A172:AJ172"/>
    <mergeCell ref="A125:B125"/>
    <mergeCell ref="C125:N125"/>
    <mergeCell ref="O125:U125"/>
    <mergeCell ref="V125:AD125"/>
    <mergeCell ref="AE125:AJ125"/>
    <mergeCell ref="A126:B126"/>
    <mergeCell ref="C126:N126"/>
    <mergeCell ref="O126:U126"/>
    <mergeCell ref="V126:AD126"/>
    <mergeCell ref="A22:AJ22"/>
    <mergeCell ref="C26:I26"/>
    <mergeCell ref="J26:N26"/>
  </mergeCells>
  <phoneticPr fontId="0" type="noConversion"/>
  <pageMargins left="0.70866141732283472" right="0.19685039370078741" top="0.23622047244094491" bottom="0.27559055118110237" header="0" footer="0"/>
  <pageSetup paperSize="9" scale="96" fitToHeight="2" orientation="portrait" r:id="rId1"/>
  <headerFooter alignWithMargins="0"/>
  <rowBreaks count="3" manualBreakCount="3">
    <brk id="40" max="35" man="1"/>
    <brk id="99" max="35" man="1"/>
    <brk id="174" max="3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7"/>
  </sheetPr>
  <dimension ref="A1:F62"/>
  <sheetViews>
    <sheetView view="pageBreakPreview" topLeftCell="A13" zoomScale="90" zoomScaleNormal="100" zoomScaleSheetLayoutView="90" workbookViewId="0">
      <selection activeCell="J5" sqref="J5"/>
    </sheetView>
  </sheetViews>
  <sheetFormatPr defaultRowHeight="12.75" x14ac:dyDescent="0.2"/>
  <cols>
    <col min="1" max="1" width="6.42578125" customWidth="1"/>
    <col min="2" max="5" width="17.42578125" customWidth="1"/>
    <col min="6" max="6" width="19.7109375" customWidth="1"/>
  </cols>
  <sheetData>
    <row r="1" spans="1:6" ht="21" customHeight="1" x14ac:dyDescent="0.2">
      <c r="A1" s="236" t="s">
        <v>20</v>
      </c>
      <c r="B1" s="236"/>
      <c r="C1" s="236"/>
      <c r="D1" s="236"/>
      <c r="E1" s="236"/>
      <c r="F1" s="236"/>
    </row>
    <row r="2" spans="1:6" ht="51" customHeight="1" thickBot="1" x14ac:dyDescent="0.25">
      <c r="A2" s="235" t="s">
        <v>123</v>
      </c>
      <c r="B2" s="235"/>
      <c r="C2" s="235"/>
      <c r="D2" s="235"/>
      <c r="E2" s="235"/>
      <c r="F2" s="235"/>
    </row>
    <row r="3" spans="1:6" ht="113.25" thickBot="1" x14ac:dyDescent="0.25">
      <c r="A3" s="19" t="s">
        <v>126</v>
      </c>
      <c r="B3" s="19" t="s">
        <v>93</v>
      </c>
      <c r="C3" s="19" t="s">
        <v>94</v>
      </c>
      <c r="D3" s="19" t="s">
        <v>19</v>
      </c>
      <c r="E3" s="19" t="s">
        <v>95</v>
      </c>
      <c r="F3" s="19" t="s">
        <v>96</v>
      </c>
    </row>
    <row r="4" spans="1:6" ht="13.5" thickBot="1" x14ac:dyDescent="0.25">
      <c r="A4" s="19">
        <v>1</v>
      </c>
      <c r="B4" s="19">
        <v>2</v>
      </c>
      <c r="C4" s="19">
        <v>3</v>
      </c>
      <c r="D4" s="19">
        <v>4</v>
      </c>
      <c r="E4" s="19">
        <v>5</v>
      </c>
      <c r="F4" s="19">
        <v>6</v>
      </c>
    </row>
    <row r="5" spans="1:6" ht="51" customHeight="1" thickBot="1" x14ac:dyDescent="0.25">
      <c r="A5" s="19" t="s">
        <v>33</v>
      </c>
      <c r="B5" s="19" t="s">
        <v>246</v>
      </c>
      <c r="C5" s="19" t="s">
        <v>239</v>
      </c>
      <c r="D5" s="142">
        <f>'Данные объект'!B7</f>
        <v>0</v>
      </c>
      <c r="E5" s="142">
        <f>'Данные объект'!B8</f>
        <v>0</v>
      </c>
      <c r="F5" s="155" t="str">
        <f>'Данные объект'!C21</f>
        <v>И.о.генерального директора ООО"Энергосистемы" Чернявская Н.Ю.</v>
      </c>
    </row>
    <row r="6" spans="1:6" ht="51" customHeight="1" thickBot="1" x14ac:dyDescent="0.25">
      <c r="A6" s="19" t="s">
        <v>34</v>
      </c>
      <c r="B6" s="19" t="s">
        <v>136</v>
      </c>
      <c r="C6" s="19" t="s">
        <v>240</v>
      </c>
      <c r="D6" s="130">
        <f>'Данные объект'!B7</f>
        <v>0</v>
      </c>
      <c r="E6" s="130">
        <f>'Данные объект'!B8</f>
        <v>0</v>
      </c>
      <c r="F6" s="155" t="str">
        <f>'Данные объект'!C21</f>
        <v>И.о.генерального директора ООО"Энергосистемы" Чернявская Н.Ю.</v>
      </c>
    </row>
    <row r="7" spans="1:6" ht="51" customHeight="1" thickBot="1" x14ac:dyDescent="0.25">
      <c r="A7" s="19" t="s">
        <v>35</v>
      </c>
      <c r="B7" s="19" t="s">
        <v>238</v>
      </c>
      <c r="C7" s="19" t="s">
        <v>241</v>
      </c>
      <c r="D7" s="130">
        <f>'Данные объект'!B7</f>
        <v>0</v>
      </c>
      <c r="E7" s="130">
        <f>'Данные объект'!B8</f>
        <v>0</v>
      </c>
      <c r="F7" s="155" t="str">
        <f>'Данные объект'!C21</f>
        <v>И.о.генерального директора ООО"Энергосистемы" Чернявская Н.Ю.</v>
      </c>
    </row>
    <row r="8" spans="1:6" ht="13.5" thickBot="1" x14ac:dyDescent="0.25">
      <c r="A8" s="19"/>
      <c r="B8" s="19"/>
      <c r="C8" s="19"/>
      <c r="D8" s="19"/>
      <c r="E8" s="19"/>
      <c r="F8" s="19"/>
    </row>
    <row r="9" spans="1:6" ht="13.5" thickBot="1" x14ac:dyDescent="0.25">
      <c r="A9" s="19"/>
      <c r="B9" s="19"/>
      <c r="C9" s="19"/>
      <c r="D9" s="19"/>
      <c r="E9" s="19"/>
      <c r="F9" s="19"/>
    </row>
    <row r="10" spans="1:6" ht="13.5" thickBot="1" x14ac:dyDescent="0.25">
      <c r="A10" s="19"/>
      <c r="B10" s="19"/>
      <c r="C10" s="19"/>
      <c r="D10" s="19"/>
      <c r="E10" s="19"/>
      <c r="F10" s="19"/>
    </row>
    <row r="11" spans="1:6" ht="13.5" thickBot="1" x14ac:dyDescent="0.25">
      <c r="A11" s="19"/>
      <c r="B11" s="19"/>
      <c r="C11" s="19"/>
      <c r="D11" s="19"/>
      <c r="E11" s="19"/>
      <c r="F11" s="19"/>
    </row>
    <row r="12" spans="1:6" ht="13.5" thickBot="1" x14ac:dyDescent="0.25">
      <c r="A12" s="19"/>
      <c r="B12" s="19"/>
      <c r="C12" s="19"/>
      <c r="D12" s="19"/>
      <c r="E12" s="19"/>
      <c r="F12" s="19"/>
    </row>
    <row r="13" spans="1:6" ht="13.5" thickBot="1" x14ac:dyDescent="0.25">
      <c r="A13" s="19"/>
      <c r="B13" s="19"/>
      <c r="C13" s="19"/>
      <c r="D13" s="19"/>
      <c r="E13" s="19"/>
      <c r="F13" s="19"/>
    </row>
    <row r="14" spans="1:6" ht="13.5" thickBot="1" x14ac:dyDescent="0.25">
      <c r="A14" s="19"/>
      <c r="B14" s="19"/>
      <c r="C14" s="19"/>
      <c r="D14" s="19"/>
      <c r="E14" s="19"/>
      <c r="F14" s="19"/>
    </row>
    <row r="15" spans="1:6" ht="13.5" thickBot="1" x14ac:dyDescent="0.25">
      <c r="A15" s="19"/>
      <c r="B15" s="19"/>
      <c r="C15" s="19"/>
      <c r="D15" s="19"/>
      <c r="E15" s="19"/>
      <c r="F15" s="19"/>
    </row>
    <row r="16" spans="1:6" ht="13.5" thickBot="1" x14ac:dyDescent="0.25">
      <c r="A16" s="19"/>
      <c r="B16" s="19"/>
      <c r="C16" s="19"/>
      <c r="D16" s="19"/>
      <c r="E16" s="19"/>
      <c r="F16" s="19"/>
    </row>
    <row r="17" spans="1:6" ht="13.5" thickBot="1" x14ac:dyDescent="0.25">
      <c r="A17" s="19"/>
      <c r="B17" s="19"/>
      <c r="C17" s="19"/>
      <c r="D17" s="19"/>
      <c r="E17" s="19"/>
      <c r="F17" s="19"/>
    </row>
    <row r="18" spans="1:6" ht="13.5" thickBot="1" x14ac:dyDescent="0.25">
      <c r="A18" s="19"/>
      <c r="B18" s="19"/>
      <c r="C18" s="19"/>
      <c r="D18" s="19"/>
      <c r="E18" s="19"/>
      <c r="F18" s="19"/>
    </row>
    <row r="19" spans="1:6" ht="13.5" thickBot="1" x14ac:dyDescent="0.25">
      <c r="A19" s="19"/>
      <c r="B19" s="19"/>
      <c r="C19" s="19"/>
      <c r="D19" s="19"/>
      <c r="E19" s="19"/>
      <c r="F19" s="19"/>
    </row>
    <row r="20" spans="1:6" ht="13.5" thickBot="1" x14ac:dyDescent="0.25">
      <c r="A20" s="19"/>
      <c r="B20" s="19"/>
      <c r="C20" s="19"/>
      <c r="D20" s="19"/>
      <c r="E20" s="19"/>
      <c r="F20" s="19"/>
    </row>
    <row r="21" spans="1:6" ht="13.5" thickBot="1" x14ac:dyDescent="0.25">
      <c r="A21" s="19"/>
      <c r="B21" s="19"/>
      <c r="C21" s="19"/>
      <c r="D21" s="19"/>
      <c r="E21" s="19"/>
      <c r="F21" s="19"/>
    </row>
    <row r="22" spans="1:6" ht="13.5" thickBot="1" x14ac:dyDescent="0.25">
      <c r="A22" s="19"/>
      <c r="B22" s="19"/>
      <c r="C22" s="19"/>
      <c r="D22" s="19"/>
      <c r="E22" s="19"/>
      <c r="F22" s="19"/>
    </row>
    <row r="23" spans="1:6" ht="13.5" thickBot="1" x14ac:dyDescent="0.25">
      <c r="A23" s="19"/>
      <c r="B23" s="19"/>
      <c r="C23" s="19"/>
      <c r="D23" s="19"/>
      <c r="E23" s="19"/>
      <c r="F23" s="19"/>
    </row>
    <row r="24" spans="1:6" ht="13.5" thickBot="1" x14ac:dyDescent="0.25">
      <c r="A24" s="19"/>
      <c r="B24" s="19"/>
      <c r="C24" s="19"/>
      <c r="D24" s="19"/>
      <c r="E24" s="19"/>
      <c r="F24" s="19"/>
    </row>
    <row r="25" spans="1:6" ht="13.5" thickBot="1" x14ac:dyDescent="0.25">
      <c r="A25" s="19"/>
      <c r="B25" s="19"/>
      <c r="C25" s="19"/>
      <c r="D25" s="19"/>
      <c r="E25" s="19"/>
      <c r="F25" s="19"/>
    </row>
    <row r="26" spans="1:6" ht="13.5" thickBot="1" x14ac:dyDescent="0.25">
      <c r="A26" s="19"/>
      <c r="B26" s="19"/>
      <c r="C26" s="19"/>
      <c r="D26" s="19"/>
      <c r="E26" s="19"/>
      <c r="F26" s="19"/>
    </row>
    <row r="27" spans="1:6" ht="13.5" thickBot="1" x14ac:dyDescent="0.25">
      <c r="A27" s="19"/>
      <c r="B27" s="19"/>
      <c r="C27" s="19"/>
      <c r="D27" s="19"/>
      <c r="E27" s="19"/>
      <c r="F27" s="19"/>
    </row>
    <row r="28" spans="1:6" ht="13.5" thickBot="1" x14ac:dyDescent="0.25">
      <c r="A28" s="19"/>
      <c r="B28" s="19"/>
      <c r="C28" s="19"/>
      <c r="D28" s="19"/>
      <c r="E28" s="19"/>
      <c r="F28" s="19"/>
    </row>
    <row r="29" spans="1:6" ht="13.5" thickBot="1" x14ac:dyDescent="0.25">
      <c r="A29" s="19"/>
      <c r="B29" s="19"/>
      <c r="C29" s="19"/>
      <c r="D29" s="19"/>
      <c r="E29" s="19"/>
      <c r="F29" s="19"/>
    </row>
    <row r="30" spans="1:6" ht="13.5" thickBot="1" x14ac:dyDescent="0.25">
      <c r="A30" s="19"/>
      <c r="B30" s="19"/>
      <c r="C30" s="19"/>
      <c r="D30" s="19"/>
      <c r="E30" s="19"/>
      <c r="F30" s="19"/>
    </row>
    <row r="31" spans="1:6" ht="13.5" thickBot="1" x14ac:dyDescent="0.25">
      <c r="A31" s="19"/>
      <c r="B31" s="19"/>
      <c r="C31" s="19"/>
      <c r="D31" s="19"/>
      <c r="E31" s="19"/>
      <c r="F31" s="19"/>
    </row>
    <row r="32" spans="1:6" ht="13.5" thickBot="1" x14ac:dyDescent="0.25">
      <c r="A32" s="19"/>
      <c r="B32" s="19"/>
      <c r="C32" s="19"/>
      <c r="D32" s="19"/>
      <c r="E32" s="19"/>
      <c r="F32" s="19"/>
    </row>
    <row r="33" spans="1:6" ht="13.5" thickBot="1" x14ac:dyDescent="0.25">
      <c r="A33" s="19"/>
      <c r="B33" s="19"/>
      <c r="C33" s="19"/>
      <c r="D33" s="19"/>
      <c r="E33" s="19"/>
      <c r="F33" s="19"/>
    </row>
    <row r="34" spans="1:6" ht="13.5" thickBot="1" x14ac:dyDescent="0.25">
      <c r="A34" s="19"/>
      <c r="B34" s="19"/>
      <c r="C34" s="19"/>
      <c r="D34" s="19"/>
      <c r="E34" s="19"/>
      <c r="F34" s="19"/>
    </row>
    <row r="35" spans="1:6" ht="13.5" thickBot="1" x14ac:dyDescent="0.25">
      <c r="A35" s="19"/>
      <c r="B35" s="19"/>
      <c r="C35" s="19"/>
      <c r="D35" s="19"/>
      <c r="E35" s="19"/>
      <c r="F35" s="19"/>
    </row>
    <row r="36" spans="1:6" ht="13.5" thickBot="1" x14ac:dyDescent="0.25">
      <c r="A36" s="19"/>
      <c r="B36" s="19"/>
      <c r="C36" s="19"/>
      <c r="D36" s="19"/>
      <c r="E36" s="19"/>
      <c r="F36" s="19"/>
    </row>
    <row r="37" spans="1:6" ht="13.5" thickBot="1" x14ac:dyDescent="0.25">
      <c r="A37" s="19"/>
      <c r="B37" s="19"/>
      <c r="C37" s="19"/>
      <c r="D37" s="19"/>
      <c r="E37" s="19"/>
      <c r="F37" s="19"/>
    </row>
    <row r="38" spans="1:6" ht="13.5" thickBot="1" x14ac:dyDescent="0.25">
      <c r="A38" s="19"/>
      <c r="B38" s="19"/>
      <c r="C38" s="19"/>
      <c r="D38" s="19"/>
      <c r="E38" s="19"/>
      <c r="F38" s="19"/>
    </row>
    <row r="39" spans="1:6" ht="13.5" thickBot="1" x14ac:dyDescent="0.25">
      <c r="A39" s="19"/>
      <c r="B39" s="19"/>
      <c r="C39" s="19"/>
      <c r="D39" s="19"/>
      <c r="E39" s="19"/>
      <c r="F39" s="19"/>
    </row>
    <row r="40" spans="1:6" x14ac:dyDescent="0.2">
      <c r="A40" s="19"/>
      <c r="B40" s="19"/>
      <c r="C40" s="19"/>
      <c r="D40" s="19"/>
      <c r="E40" s="19"/>
      <c r="F40" s="19"/>
    </row>
    <row r="41" spans="1:6" ht="13.5" hidden="1" thickBot="1" x14ac:dyDescent="0.25">
      <c r="A41" s="19"/>
      <c r="B41" s="19"/>
      <c r="C41" s="19"/>
      <c r="D41" s="19"/>
      <c r="E41" s="19"/>
      <c r="F41" s="19"/>
    </row>
    <row r="42" spans="1:6" ht="13.5" hidden="1" thickBot="1" x14ac:dyDescent="0.25">
      <c r="A42" s="19"/>
      <c r="B42" s="19"/>
      <c r="C42" s="19"/>
      <c r="D42" s="19"/>
      <c r="E42" s="19"/>
      <c r="F42" s="19"/>
    </row>
    <row r="43" spans="1:6" ht="13.5" hidden="1" thickBot="1" x14ac:dyDescent="0.25">
      <c r="A43" s="19"/>
      <c r="B43" s="19"/>
      <c r="C43" s="19"/>
      <c r="D43" s="19"/>
      <c r="E43" s="19"/>
      <c r="F43" s="19"/>
    </row>
    <row r="44" spans="1:6" hidden="1" x14ac:dyDescent="0.2">
      <c r="A44" s="19"/>
      <c r="B44" s="19"/>
      <c r="C44" s="19"/>
      <c r="D44" s="19"/>
      <c r="E44" s="19"/>
      <c r="F44" s="19"/>
    </row>
    <row r="45" spans="1:6" ht="13.5" hidden="1" thickBot="1" x14ac:dyDescent="0.25">
      <c r="A45" s="21"/>
      <c r="B45" s="21"/>
      <c r="C45" s="21"/>
      <c r="D45" s="21"/>
      <c r="E45" s="21"/>
      <c r="F45" s="21"/>
    </row>
    <row r="46" spans="1:6" ht="0.75" hidden="1" customHeight="1" x14ac:dyDescent="0.2">
      <c r="A46" s="2"/>
      <c r="B46" s="2"/>
      <c r="C46" s="2"/>
      <c r="D46" s="2"/>
      <c r="E46" s="2"/>
      <c r="F46" s="2"/>
    </row>
    <row r="47" spans="1:6" hidden="1" x14ac:dyDescent="0.2"/>
    <row r="48" spans="1:6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</sheetData>
  <mergeCells count="2">
    <mergeCell ref="A2:F2"/>
    <mergeCell ref="A1:F1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scale="9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7"/>
  </sheetPr>
  <dimension ref="A1:E51"/>
  <sheetViews>
    <sheetView view="pageBreakPreview" zoomScaleNormal="145" zoomScaleSheetLayoutView="100" workbookViewId="0">
      <selection activeCell="K7" sqref="K7"/>
    </sheetView>
  </sheetViews>
  <sheetFormatPr defaultRowHeight="12.75" x14ac:dyDescent="0.2"/>
  <cols>
    <col min="1" max="1" width="6.7109375" customWidth="1"/>
    <col min="2" max="2" width="21.5703125" customWidth="1"/>
    <col min="3" max="3" width="31.7109375" customWidth="1"/>
    <col min="4" max="4" width="17.85546875" customWidth="1"/>
    <col min="5" max="5" width="16.5703125" customWidth="1"/>
  </cols>
  <sheetData>
    <row r="1" spans="1:5" x14ac:dyDescent="0.2">
      <c r="A1" s="237" t="s">
        <v>23</v>
      </c>
      <c r="B1" s="237"/>
      <c r="C1" s="237"/>
      <c r="D1" s="237"/>
      <c r="E1" s="237"/>
    </row>
    <row r="2" spans="1:5" ht="35.25" customHeight="1" thickBot="1" x14ac:dyDescent="0.25">
      <c r="A2" s="235" t="s">
        <v>24</v>
      </c>
      <c r="B2" s="238"/>
      <c r="C2" s="238"/>
      <c r="D2" s="238"/>
      <c r="E2" s="238"/>
    </row>
    <row r="3" spans="1:5" s="17" customFormat="1" ht="135.75" thickBot="1" x14ac:dyDescent="0.25">
      <c r="A3" s="19" t="s">
        <v>126</v>
      </c>
      <c r="B3" s="20" t="s">
        <v>21</v>
      </c>
      <c r="C3" s="20" t="s">
        <v>97</v>
      </c>
      <c r="D3" s="20" t="s">
        <v>22</v>
      </c>
      <c r="E3" s="20" t="s">
        <v>98</v>
      </c>
    </row>
    <row r="4" spans="1:5" s="17" customFormat="1" ht="12" thickBot="1" x14ac:dyDescent="0.25">
      <c r="A4" s="21">
        <v>1</v>
      </c>
      <c r="B4" s="22">
        <v>2</v>
      </c>
      <c r="C4" s="22">
        <v>3</v>
      </c>
      <c r="D4" s="22">
        <v>4</v>
      </c>
      <c r="E4" s="22">
        <v>5</v>
      </c>
    </row>
    <row r="5" spans="1:5" s="17" customFormat="1" ht="24" customHeight="1" thickBot="1" x14ac:dyDescent="0.25">
      <c r="A5" s="19" t="s">
        <v>33</v>
      </c>
      <c r="B5" s="23" t="s">
        <v>242</v>
      </c>
      <c r="C5" s="143" t="str">
        <f>'Данные объект'!C23</f>
        <v>Специалист по строительному контролю ООО"Энергосистемы" Русин В.А.</v>
      </c>
      <c r="D5" s="131"/>
      <c r="E5" s="23"/>
    </row>
    <row r="6" spans="1:5" s="17" customFormat="1" ht="12" thickBot="1" x14ac:dyDescent="0.25">
      <c r="A6" s="19"/>
      <c r="B6" s="23"/>
      <c r="C6" s="23"/>
      <c r="D6" s="131"/>
      <c r="E6" s="23"/>
    </row>
    <row r="7" spans="1:5" s="17" customFormat="1" ht="12" thickBot="1" x14ac:dyDescent="0.25">
      <c r="A7" s="19"/>
      <c r="B7" s="23"/>
      <c r="C7" s="23"/>
      <c r="D7" s="23"/>
      <c r="E7" s="23"/>
    </row>
    <row r="8" spans="1:5" s="17" customFormat="1" ht="12" thickBot="1" x14ac:dyDescent="0.25">
      <c r="A8" s="19"/>
      <c r="B8" s="23"/>
      <c r="C8" s="23"/>
      <c r="D8" s="23"/>
      <c r="E8" s="23"/>
    </row>
    <row r="9" spans="1:5" s="17" customFormat="1" ht="12" thickBot="1" x14ac:dyDescent="0.25">
      <c r="A9" s="19"/>
      <c r="B9" s="23"/>
      <c r="C9" s="23"/>
      <c r="D9" s="23"/>
      <c r="E9" s="23"/>
    </row>
    <row r="10" spans="1:5" s="17" customFormat="1" ht="12" thickBot="1" x14ac:dyDescent="0.25">
      <c r="A10" s="19"/>
      <c r="B10" s="23"/>
      <c r="C10" s="23"/>
      <c r="D10" s="23"/>
      <c r="E10" s="23"/>
    </row>
    <row r="11" spans="1:5" s="17" customFormat="1" ht="12" thickBot="1" x14ac:dyDescent="0.25">
      <c r="A11" s="19"/>
      <c r="B11" s="23"/>
      <c r="C11" s="23"/>
      <c r="D11" s="23"/>
      <c r="E11" s="23"/>
    </row>
    <row r="12" spans="1:5" s="17" customFormat="1" ht="12" thickBot="1" x14ac:dyDescent="0.25">
      <c r="A12" s="19"/>
      <c r="B12" s="23"/>
      <c r="C12" s="23"/>
      <c r="D12" s="23"/>
      <c r="E12" s="23"/>
    </row>
    <row r="13" spans="1:5" s="17" customFormat="1" ht="12" thickBot="1" x14ac:dyDescent="0.25">
      <c r="A13" s="19"/>
      <c r="B13" s="23"/>
      <c r="C13" s="23"/>
      <c r="D13" s="23"/>
      <c r="E13" s="23"/>
    </row>
    <row r="14" spans="1:5" s="17" customFormat="1" ht="12" thickBot="1" x14ac:dyDescent="0.25">
      <c r="A14" s="19"/>
      <c r="B14" s="23"/>
      <c r="C14" s="23"/>
      <c r="D14" s="23"/>
      <c r="E14" s="23"/>
    </row>
    <row r="15" spans="1:5" s="17" customFormat="1" ht="12" thickBot="1" x14ac:dyDescent="0.25">
      <c r="A15" s="19"/>
      <c r="B15" s="23"/>
      <c r="C15" s="23"/>
      <c r="D15" s="23"/>
      <c r="E15" s="23"/>
    </row>
    <row r="16" spans="1:5" s="17" customFormat="1" ht="12" thickBot="1" x14ac:dyDescent="0.25">
      <c r="A16" s="19"/>
      <c r="B16" s="23"/>
      <c r="C16" s="23"/>
      <c r="D16" s="23"/>
      <c r="E16" s="23"/>
    </row>
    <row r="17" spans="1:5" s="17" customFormat="1" ht="12" thickBot="1" x14ac:dyDescent="0.25">
      <c r="A17" s="19"/>
      <c r="B17" s="23"/>
      <c r="C17" s="23"/>
      <c r="D17" s="23"/>
      <c r="E17" s="23"/>
    </row>
    <row r="18" spans="1:5" s="17" customFormat="1" ht="12" thickBot="1" x14ac:dyDescent="0.25">
      <c r="A18" s="19"/>
      <c r="B18" s="19"/>
      <c r="C18" s="19"/>
      <c r="D18" s="19"/>
      <c r="E18" s="19"/>
    </row>
    <row r="19" spans="1:5" s="17" customFormat="1" ht="12" thickBot="1" x14ac:dyDescent="0.25">
      <c r="A19" s="19"/>
      <c r="B19" s="19"/>
      <c r="C19" s="19"/>
      <c r="D19" s="19"/>
      <c r="E19" s="19"/>
    </row>
    <row r="20" spans="1:5" s="17" customFormat="1" ht="12" thickBot="1" x14ac:dyDescent="0.25">
      <c r="A20" s="19"/>
      <c r="B20" s="19"/>
      <c r="C20" s="19"/>
      <c r="D20" s="19"/>
      <c r="E20" s="19"/>
    </row>
    <row r="21" spans="1:5" s="17" customFormat="1" ht="12" thickBot="1" x14ac:dyDescent="0.25">
      <c r="A21" s="19"/>
      <c r="B21" s="19"/>
      <c r="C21" s="19"/>
      <c r="D21" s="19"/>
      <c r="E21" s="19"/>
    </row>
    <row r="22" spans="1:5" s="17" customFormat="1" ht="12" thickBot="1" x14ac:dyDescent="0.25">
      <c r="A22" s="19"/>
      <c r="B22" s="19"/>
      <c r="C22" s="19"/>
      <c r="D22" s="19"/>
      <c r="E22" s="19"/>
    </row>
    <row r="23" spans="1:5" s="17" customFormat="1" ht="12" thickBot="1" x14ac:dyDescent="0.25">
      <c r="A23" s="19"/>
      <c r="B23" s="19"/>
      <c r="C23" s="19"/>
      <c r="D23" s="19"/>
      <c r="E23" s="19"/>
    </row>
    <row r="24" spans="1:5" s="17" customFormat="1" ht="12" thickBot="1" x14ac:dyDescent="0.25">
      <c r="A24" s="19"/>
      <c r="B24" s="19"/>
      <c r="C24" s="19"/>
      <c r="D24" s="19"/>
      <c r="E24" s="19"/>
    </row>
    <row r="25" spans="1:5" s="17" customFormat="1" ht="12" thickBot="1" x14ac:dyDescent="0.25">
      <c r="A25" s="19"/>
      <c r="B25" s="19"/>
      <c r="C25" s="19"/>
      <c r="D25" s="19"/>
      <c r="E25" s="19"/>
    </row>
    <row r="26" spans="1:5" ht="13.5" thickBot="1" x14ac:dyDescent="0.25">
      <c r="A26" s="19"/>
      <c r="B26" s="19"/>
      <c r="C26" s="19"/>
      <c r="D26" s="19"/>
      <c r="E26" s="19"/>
    </row>
    <row r="27" spans="1:5" ht="13.5" thickBot="1" x14ac:dyDescent="0.25">
      <c r="A27" s="19"/>
      <c r="B27" s="19"/>
      <c r="C27" s="19"/>
      <c r="D27" s="19"/>
      <c r="E27" s="19"/>
    </row>
    <row r="28" spans="1:5" ht="13.5" thickBot="1" x14ac:dyDescent="0.25">
      <c r="A28" s="19"/>
      <c r="B28" s="19"/>
      <c r="C28" s="19"/>
      <c r="D28" s="19"/>
      <c r="E28" s="19"/>
    </row>
    <row r="29" spans="1:5" ht="13.5" thickBot="1" x14ac:dyDescent="0.25">
      <c r="A29" s="19"/>
      <c r="B29" s="19"/>
      <c r="C29" s="19"/>
      <c r="D29" s="19"/>
      <c r="E29" s="19"/>
    </row>
    <row r="30" spans="1:5" ht="13.5" thickBot="1" x14ac:dyDescent="0.25">
      <c r="A30" s="19"/>
      <c r="B30" s="19"/>
      <c r="C30" s="19"/>
      <c r="D30" s="19"/>
      <c r="E30" s="19"/>
    </row>
    <row r="31" spans="1:5" ht="13.5" thickBot="1" x14ac:dyDescent="0.25">
      <c r="A31" s="19"/>
      <c r="B31" s="19"/>
      <c r="C31" s="19"/>
      <c r="D31" s="19"/>
      <c r="E31" s="19"/>
    </row>
    <row r="32" spans="1:5" ht="13.5" thickBot="1" x14ac:dyDescent="0.25">
      <c r="A32" s="19"/>
      <c r="B32" s="19"/>
      <c r="C32" s="19"/>
      <c r="D32" s="19"/>
      <c r="E32" s="19"/>
    </row>
    <row r="33" spans="1:5" ht="13.5" thickBot="1" x14ac:dyDescent="0.25">
      <c r="A33" s="19"/>
      <c r="B33" s="19"/>
      <c r="C33" s="19"/>
      <c r="D33" s="19"/>
      <c r="E33" s="19"/>
    </row>
    <row r="34" spans="1:5" ht="13.5" thickBot="1" x14ac:dyDescent="0.25">
      <c r="A34" s="19"/>
      <c r="B34" s="19"/>
      <c r="C34" s="19"/>
      <c r="D34" s="19"/>
      <c r="E34" s="19"/>
    </row>
    <row r="35" spans="1:5" ht="13.5" thickBot="1" x14ac:dyDescent="0.25">
      <c r="A35" s="19"/>
      <c r="B35" s="19"/>
      <c r="C35" s="19"/>
      <c r="D35" s="19"/>
      <c r="E35" s="19"/>
    </row>
    <row r="36" spans="1:5" ht="13.5" thickBot="1" x14ac:dyDescent="0.25">
      <c r="A36" s="19"/>
      <c r="B36" s="19"/>
      <c r="C36" s="19"/>
      <c r="D36" s="19"/>
      <c r="E36" s="19"/>
    </row>
    <row r="37" spans="1:5" ht="13.5" thickBot="1" x14ac:dyDescent="0.25">
      <c r="A37" s="19"/>
      <c r="B37" s="19"/>
      <c r="C37" s="19"/>
      <c r="D37" s="19"/>
      <c r="E37" s="19"/>
    </row>
    <row r="38" spans="1:5" ht="13.5" thickBot="1" x14ac:dyDescent="0.25">
      <c r="A38" s="19"/>
      <c r="B38" s="19"/>
      <c r="C38" s="19"/>
      <c r="D38" s="19"/>
      <c r="E38" s="19"/>
    </row>
    <row r="39" spans="1:5" ht="13.5" thickBot="1" x14ac:dyDescent="0.25">
      <c r="A39" s="19"/>
      <c r="B39" s="19"/>
      <c r="C39" s="19"/>
      <c r="D39" s="19"/>
      <c r="E39" s="19"/>
    </row>
    <row r="40" spans="1:5" ht="13.5" thickBot="1" x14ac:dyDescent="0.25">
      <c r="A40" s="19"/>
      <c r="B40" s="19"/>
      <c r="C40" s="19"/>
      <c r="D40" s="19"/>
      <c r="E40" s="19"/>
    </row>
    <row r="41" spans="1:5" ht="13.5" thickBot="1" x14ac:dyDescent="0.25">
      <c r="A41" s="19"/>
      <c r="B41" s="19"/>
      <c r="C41" s="19"/>
      <c r="D41" s="19"/>
      <c r="E41" s="19"/>
    </row>
    <row r="42" spans="1:5" ht="13.5" thickBot="1" x14ac:dyDescent="0.25">
      <c r="A42" s="19"/>
      <c r="B42" s="19"/>
      <c r="C42" s="19"/>
      <c r="D42" s="19"/>
      <c r="E42" s="19"/>
    </row>
    <row r="43" spans="1:5" ht="13.5" thickBot="1" x14ac:dyDescent="0.25">
      <c r="A43" s="19"/>
      <c r="B43" s="19"/>
      <c r="C43" s="19"/>
      <c r="D43" s="19"/>
      <c r="E43" s="19"/>
    </row>
    <row r="44" spans="1:5" ht="13.5" thickBot="1" x14ac:dyDescent="0.25">
      <c r="A44" s="19"/>
      <c r="B44" s="19"/>
      <c r="C44" s="19"/>
      <c r="D44" s="19"/>
      <c r="E44" s="19"/>
    </row>
    <row r="45" spans="1:5" ht="13.5" thickBot="1" x14ac:dyDescent="0.25">
      <c r="A45" s="19"/>
      <c r="B45" s="19"/>
      <c r="C45" s="19"/>
      <c r="D45" s="19"/>
      <c r="E45" s="19"/>
    </row>
    <row r="46" spans="1:5" ht="13.5" thickBot="1" x14ac:dyDescent="0.25">
      <c r="A46" s="19"/>
      <c r="B46" s="19"/>
      <c r="C46" s="19"/>
      <c r="D46" s="19"/>
      <c r="E46" s="19"/>
    </row>
    <row r="47" spans="1:5" ht="13.5" thickBot="1" x14ac:dyDescent="0.25">
      <c r="A47" s="19"/>
      <c r="B47" s="19"/>
      <c r="C47" s="19"/>
      <c r="D47" s="19"/>
      <c r="E47" s="19"/>
    </row>
    <row r="48" spans="1:5" ht="13.5" thickBot="1" x14ac:dyDescent="0.25">
      <c r="A48" s="19"/>
      <c r="B48" s="19"/>
      <c r="C48" s="19"/>
      <c r="D48" s="19"/>
      <c r="E48" s="19"/>
    </row>
    <row r="49" spans="1:5" ht="13.5" thickBot="1" x14ac:dyDescent="0.25">
      <c r="A49" s="19"/>
      <c r="B49" s="19"/>
      <c r="C49" s="19"/>
      <c r="D49" s="19"/>
      <c r="E49" s="19"/>
    </row>
    <row r="50" spans="1:5" ht="13.5" thickBot="1" x14ac:dyDescent="0.25">
      <c r="A50" s="19"/>
      <c r="B50" s="19"/>
      <c r="C50" s="19"/>
      <c r="D50" s="19"/>
      <c r="E50" s="19"/>
    </row>
    <row r="51" spans="1:5" x14ac:dyDescent="0.2">
      <c r="A51" s="19"/>
      <c r="B51" s="19"/>
      <c r="C51" s="19"/>
      <c r="D51" s="19"/>
      <c r="E51" s="19"/>
    </row>
  </sheetData>
  <mergeCells count="2">
    <mergeCell ref="A1:E1"/>
    <mergeCell ref="A2:E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7"/>
  </sheetPr>
  <dimension ref="A1:F63"/>
  <sheetViews>
    <sheetView view="pageBreakPreview" zoomScale="115" zoomScaleNormal="145" zoomScaleSheetLayoutView="115" workbookViewId="0">
      <selection activeCell="J14" sqref="J14"/>
    </sheetView>
  </sheetViews>
  <sheetFormatPr defaultRowHeight="12.75" x14ac:dyDescent="0.2"/>
  <cols>
    <col min="1" max="1" width="4.7109375" customWidth="1"/>
    <col min="2" max="2" width="8.5703125" customWidth="1"/>
    <col min="3" max="3" width="8.42578125" hidden="1" customWidth="1"/>
    <col min="4" max="4" width="52" customWidth="1"/>
    <col min="5" max="5" width="20" customWidth="1"/>
  </cols>
  <sheetData>
    <row r="1" spans="1:6" ht="18.75" x14ac:dyDescent="0.3">
      <c r="A1" s="237" t="s">
        <v>25</v>
      </c>
      <c r="B1" s="237"/>
      <c r="C1" s="237"/>
      <c r="D1" s="237"/>
      <c r="E1" s="237"/>
      <c r="F1" s="1"/>
    </row>
    <row r="2" spans="1:6" ht="37.5" customHeight="1" thickBot="1" x14ac:dyDescent="0.35">
      <c r="A2" s="235" t="s">
        <v>99</v>
      </c>
      <c r="B2" s="235"/>
      <c r="C2" s="235"/>
      <c r="D2" s="235"/>
      <c r="E2" s="235"/>
      <c r="F2" s="1"/>
    </row>
    <row r="3" spans="1:6" s="17" customFormat="1" ht="113.25" thickBot="1" x14ac:dyDescent="0.25">
      <c r="A3" s="21" t="s">
        <v>126</v>
      </c>
      <c r="B3" s="3" t="s">
        <v>102</v>
      </c>
      <c r="C3" s="3" t="s">
        <v>100</v>
      </c>
      <c r="D3" s="3" t="s">
        <v>101</v>
      </c>
      <c r="E3" s="3" t="s">
        <v>103</v>
      </c>
    </row>
    <row r="4" spans="1:6" s="17" customFormat="1" ht="12" thickBot="1" x14ac:dyDescent="0.25">
      <c r="A4" s="21">
        <v>1</v>
      </c>
      <c r="B4" s="21">
        <v>2</v>
      </c>
      <c r="C4" s="22" t="s">
        <v>35</v>
      </c>
      <c r="D4" s="22" t="s">
        <v>35</v>
      </c>
      <c r="E4" s="22" t="s">
        <v>55</v>
      </c>
    </row>
    <row r="5" spans="1:6" s="17" customFormat="1" ht="12.6" customHeight="1" thickBot="1" x14ac:dyDescent="0.3">
      <c r="A5" s="148"/>
      <c r="B5" s="153"/>
      <c r="C5" s="149"/>
      <c r="D5" s="152"/>
      <c r="E5" s="22"/>
      <c r="F5" s="154" t="s">
        <v>261</v>
      </c>
    </row>
    <row r="6" spans="1:6" s="17" customFormat="1" ht="12.6" customHeight="1" thickBot="1" x14ac:dyDescent="0.25">
      <c r="A6" s="22"/>
      <c r="B6" s="153"/>
      <c r="C6" s="150"/>
      <c r="D6" s="132"/>
      <c r="E6" s="147"/>
    </row>
    <row r="7" spans="1:6" s="17" customFormat="1" ht="12.6" customHeight="1" thickBot="1" x14ac:dyDescent="0.25">
      <c r="A7" s="147"/>
      <c r="B7" s="153"/>
      <c r="C7" s="150"/>
      <c r="D7" s="132"/>
      <c r="E7" s="147"/>
    </row>
    <row r="8" spans="1:6" s="17" customFormat="1" ht="12.6" customHeight="1" thickBot="1" x14ac:dyDescent="0.25">
      <c r="A8" s="147"/>
      <c r="B8" s="153"/>
      <c r="C8" s="150"/>
      <c r="D8" s="132"/>
      <c r="E8" s="147"/>
    </row>
    <row r="9" spans="1:6" s="17" customFormat="1" ht="12.6" customHeight="1" thickBot="1" x14ac:dyDescent="0.25">
      <c r="A9" s="147"/>
      <c r="B9" s="153"/>
      <c r="C9" s="150"/>
      <c r="D9" s="132"/>
      <c r="E9" s="147"/>
    </row>
    <row r="10" spans="1:6" s="17" customFormat="1" ht="12.6" customHeight="1" thickBot="1" x14ac:dyDescent="0.25">
      <c r="A10" s="147"/>
      <c r="B10" s="153"/>
      <c r="C10" s="150"/>
      <c r="D10" s="132"/>
      <c r="E10" s="147"/>
    </row>
    <row r="11" spans="1:6" s="17" customFormat="1" ht="12.6" customHeight="1" thickBot="1" x14ac:dyDescent="0.25">
      <c r="A11" s="147"/>
      <c r="B11" s="153"/>
      <c r="C11" s="150"/>
      <c r="D11" s="132"/>
      <c r="E11" s="147"/>
    </row>
    <row r="12" spans="1:6" s="17" customFormat="1" ht="12.6" customHeight="1" thickBot="1" x14ac:dyDescent="0.25">
      <c r="A12" s="147"/>
      <c r="B12" s="153"/>
      <c r="C12" s="150"/>
      <c r="D12" s="132"/>
      <c r="E12" s="147"/>
    </row>
    <row r="13" spans="1:6" s="17" customFormat="1" ht="12.6" customHeight="1" thickBot="1" x14ac:dyDescent="0.25">
      <c r="A13" s="147"/>
      <c r="B13" s="21"/>
      <c r="C13" s="151"/>
      <c r="D13" s="132"/>
      <c r="E13" s="147"/>
    </row>
    <row r="14" spans="1:6" s="17" customFormat="1" ht="12.6" customHeight="1" thickBot="1" x14ac:dyDescent="0.25">
      <c r="A14" s="147"/>
      <c r="B14" s="21"/>
      <c r="C14" s="21"/>
      <c r="D14" s="132"/>
      <c r="E14" s="133"/>
    </row>
    <row r="15" spans="1:6" s="17" customFormat="1" ht="12.6" customHeight="1" thickBot="1" x14ac:dyDescent="0.25">
      <c r="A15" s="133"/>
      <c r="B15" s="21"/>
      <c r="C15" s="21"/>
      <c r="D15" s="132"/>
      <c r="E15" s="133"/>
    </row>
    <row r="16" spans="1:6" s="17" customFormat="1" ht="12.6" customHeight="1" thickBot="1" x14ac:dyDescent="0.25">
      <c r="A16" s="133"/>
      <c r="B16" s="21"/>
      <c r="C16" s="21"/>
      <c r="D16" s="132"/>
      <c r="E16" s="133"/>
    </row>
    <row r="17" spans="1:5" s="17" customFormat="1" ht="12.6" customHeight="1" thickBot="1" x14ac:dyDescent="0.25">
      <c r="A17" s="133"/>
      <c r="B17" s="21"/>
      <c r="C17" s="21"/>
      <c r="D17" s="132"/>
      <c r="E17" s="133"/>
    </row>
    <row r="18" spans="1:5" s="17" customFormat="1" ht="12.6" customHeight="1" thickBot="1" x14ac:dyDescent="0.25">
      <c r="A18" s="133"/>
      <c r="B18" s="21"/>
      <c r="C18" s="21"/>
      <c r="D18" s="132"/>
      <c r="E18" s="133"/>
    </row>
    <row r="19" spans="1:5" s="17" customFormat="1" ht="12.6" customHeight="1" thickBot="1" x14ac:dyDescent="0.25">
      <c r="A19" s="133"/>
      <c r="B19" s="21"/>
      <c r="C19" s="21"/>
      <c r="D19" s="132"/>
      <c r="E19" s="133"/>
    </row>
    <row r="20" spans="1:5" s="17" customFormat="1" ht="12.6" customHeight="1" thickBot="1" x14ac:dyDescent="0.25">
      <c r="A20" s="133"/>
      <c r="B20" s="21"/>
      <c r="C20" s="21"/>
      <c r="D20" s="140"/>
      <c r="E20" s="133"/>
    </row>
    <row r="21" spans="1:5" s="17" customFormat="1" ht="12.6" customHeight="1" thickBot="1" x14ac:dyDescent="0.25">
      <c r="A21" s="133"/>
      <c r="B21" s="21"/>
      <c r="C21" s="21"/>
      <c r="D21" s="140"/>
      <c r="E21" s="133"/>
    </row>
    <row r="22" spans="1:5" s="17" customFormat="1" ht="12.6" customHeight="1" thickBot="1" x14ac:dyDescent="0.25">
      <c r="A22" s="133"/>
      <c r="B22" s="21"/>
      <c r="C22" s="21"/>
      <c r="D22" s="140"/>
      <c r="E22" s="133"/>
    </row>
    <row r="23" spans="1:5" s="17" customFormat="1" ht="12.6" customHeight="1" thickBot="1" x14ac:dyDescent="0.25">
      <c r="A23" s="133"/>
      <c r="B23" s="21"/>
      <c r="C23" s="21"/>
      <c r="D23" s="140"/>
      <c r="E23" s="133"/>
    </row>
    <row r="24" spans="1:5" s="17" customFormat="1" ht="12.6" customHeight="1" thickBot="1" x14ac:dyDescent="0.25">
      <c r="A24" s="21"/>
      <c r="B24" s="21"/>
      <c r="C24" s="21"/>
      <c r="D24" s="140"/>
      <c r="E24" s="133"/>
    </row>
    <row r="25" spans="1:5" s="17" customFormat="1" ht="12.6" customHeight="1" thickBot="1" x14ac:dyDescent="0.25">
      <c r="A25" s="21"/>
      <c r="B25" s="21"/>
      <c r="C25" s="21"/>
      <c r="D25" s="132"/>
      <c r="E25" s="133"/>
    </row>
    <row r="26" spans="1:5" s="17" customFormat="1" ht="12.6" customHeight="1" thickBot="1" x14ac:dyDescent="0.25">
      <c r="A26" s="21"/>
      <c r="B26" s="21"/>
      <c r="C26" s="21"/>
      <c r="D26" s="132"/>
      <c r="E26" s="21"/>
    </row>
    <row r="27" spans="1:5" s="17" customFormat="1" ht="12.6" customHeight="1" thickBot="1" x14ac:dyDescent="0.25">
      <c r="A27" s="21"/>
      <c r="B27" s="21"/>
      <c r="C27" s="21"/>
      <c r="D27" s="132"/>
      <c r="E27" s="21"/>
    </row>
    <row r="28" spans="1:5" s="17" customFormat="1" ht="12.6" customHeight="1" thickBot="1" x14ac:dyDescent="0.25">
      <c r="A28" s="21"/>
      <c r="B28" s="21"/>
      <c r="C28" s="21"/>
      <c r="D28" s="132"/>
      <c r="E28" s="21"/>
    </row>
    <row r="29" spans="1:5" s="17" customFormat="1" ht="12.6" customHeight="1" thickBot="1" x14ac:dyDescent="0.25">
      <c r="A29" s="21"/>
      <c r="B29" s="21"/>
      <c r="C29" s="21"/>
      <c r="D29" s="132"/>
      <c r="E29" s="21"/>
    </row>
    <row r="30" spans="1:5" s="17" customFormat="1" ht="12.6" customHeight="1" thickBot="1" x14ac:dyDescent="0.25">
      <c r="A30" s="21"/>
      <c r="B30" s="21"/>
      <c r="C30" s="21"/>
      <c r="D30" s="132"/>
      <c r="E30" s="21"/>
    </row>
    <row r="31" spans="1:5" s="17" customFormat="1" ht="12.6" customHeight="1" thickBot="1" x14ac:dyDescent="0.25">
      <c r="A31" s="21"/>
      <c r="B31" s="21"/>
      <c r="C31" s="21"/>
      <c r="D31" s="132"/>
      <c r="E31" s="21"/>
    </row>
    <row r="32" spans="1:5" s="17" customFormat="1" ht="12.6" customHeight="1" thickBot="1" x14ac:dyDescent="0.25">
      <c r="A32" s="21"/>
      <c r="B32" s="21"/>
      <c r="C32" s="21"/>
      <c r="D32" s="132"/>
      <c r="E32" s="21"/>
    </row>
    <row r="33" spans="1:5" s="17" customFormat="1" ht="12.6" customHeight="1" thickBot="1" x14ac:dyDescent="0.25">
      <c r="A33" s="21"/>
      <c r="B33" s="21"/>
      <c r="C33" s="21"/>
      <c r="D33" s="132"/>
      <c r="E33" s="21"/>
    </row>
    <row r="34" spans="1:5" s="17" customFormat="1" ht="12.6" customHeight="1" thickBot="1" x14ac:dyDescent="0.25">
      <c r="A34" s="21"/>
      <c r="B34" s="21"/>
      <c r="C34" s="21"/>
      <c r="D34" s="132"/>
      <c r="E34" s="21"/>
    </row>
    <row r="35" spans="1:5" s="17" customFormat="1" ht="12.6" customHeight="1" thickBot="1" x14ac:dyDescent="0.25">
      <c r="A35" s="21"/>
      <c r="B35" s="21"/>
      <c r="C35" s="21"/>
      <c r="D35" s="132"/>
      <c r="E35" s="21"/>
    </row>
    <row r="36" spans="1:5" s="17" customFormat="1" ht="12.6" customHeight="1" thickBot="1" x14ac:dyDescent="0.25">
      <c r="A36" s="21"/>
      <c r="B36" s="21"/>
      <c r="C36" s="21"/>
      <c r="D36" s="132"/>
      <c r="E36" s="21"/>
    </row>
    <row r="37" spans="1:5" s="17" customFormat="1" ht="12.6" customHeight="1" thickBot="1" x14ac:dyDescent="0.25">
      <c r="A37" s="21"/>
      <c r="B37" s="21"/>
      <c r="C37" s="21"/>
      <c r="D37" s="132"/>
      <c r="E37" s="21"/>
    </row>
    <row r="38" spans="1:5" s="17" customFormat="1" ht="12.6" customHeight="1" thickBot="1" x14ac:dyDescent="0.25">
      <c r="A38" s="21"/>
      <c r="B38" s="21"/>
      <c r="C38" s="21"/>
      <c r="D38" s="21"/>
      <c r="E38" s="21"/>
    </row>
    <row r="39" spans="1:5" s="17" customFormat="1" ht="12.6" customHeight="1" thickBot="1" x14ac:dyDescent="0.25">
      <c r="A39" s="21"/>
      <c r="B39" s="21"/>
      <c r="C39" s="21"/>
      <c r="D39" s="21"/>
      <c r="E39" s="21"/>
    </row>
    <row r="40" spans="1:5" s="17" customFormat="1" ht="12.6" customHeight="1" thickBot="1" x14ac:dyDescent="0.25">
      <c r="A40" s="21"/>
      <c r="B40" s="21"/>
      <c r="C40" s="21"/>
      <c r="D40" s="21"/>
      <c r="E40" s="21"/>
    </row>
    <row r="41" spans="1:5" s="17" customFormat="1" ht="12.6" customHeight="1" thickBot="1" x14ac:dyDescent="0.25">
      <c r="A41" s="21"/>
      <c r="B41" s="21"/>
      <c r="C41" s="21"/>
      <c r="D41" s="21"/>
      <c r="E41" s="21"/>
    </row>
    <row r="42" spans="1:5" s="17" customFormat="1" ht="12.6" customHeight="1" thickBot="1" x14ac:dyDescent="0.25">
      <c r="A42" s="21"/>
      <c r="B42" s="21"/>
      <c r="C42" s="21"/>
      <c r="D42" s="21"/>
      <c r="E42" s="21"/>
    </row>
    <row r="43" spans="1:5" s="17" customFormat="1" ht="12.6" customHeight="1" thickBot="1" x14ac:dyDescent="0.25">
      <c r="A43" s="21"/>
      <c r="B43" s="21"/>
      <c r="C43" s="21"/>
      <c r="D43" s="21"/>
      <c r="E43" s="21"/>
    </row>
    <row r="44" spans="1:5" s="17" customFormat="1" ht="12.6" customHeight="1" thickBot="1" x14ac:dyDescent="0.25">
      <c r="A44" s="21"/>
      <c r="B44" s="21"/>
      <c r="C44" s="21"/>
      <c r="D44" s="21"/>
      <c r="E44" s="21"/>
    </row>
    <row r="45" spans="1:5" s="17" customFormat="1" ht="12.6" customHeight="1" thickBot="1" x14ac:dyDescent="0.25">
      <c r="A45" s="21"/>
      <c r="B45" s="21"/>
      <c r="C45" s="21"/>
      <c r="D45" s="21"/>
      <c r="E45" s="21"/>
    </row>
    <row r="46" spans="1:5" s="17" customFormat="1" ht="12.6" customHeight="1" thickBot="1" x14ac:dyDescent="0.25">
      <c r="A46" s="21"/>
      <c r="B46" s="21"/>
      <c r="C46" s="21"/>
      <c r="D46" s="21"/>
      <c r="E46" s="21"/>
    </row>
    <row r="47" spans="1:5" s="17" customFormat="1" ht="12.6" customHeight="1" thickBot="1" x14ac:dyDescent="0.25">
      <c r="A47" s="21"/>
      <c r="B47" s="21"/>
      <c r="C47" s="21"/>
      <c r="D47" s="21"/>
      <c r="E47" s="21"/>
    </row>
    <row r="48" spans="1:5" s="17" customFormat="1" ht="12.6" customHeight="1" thickBot="1" x14ac:dyDescent="0.25">
      <c r="A48" s="21"/>
      <c r="B48" s="21"/>
      <c r="C48" s="21"/>
      <c r="D48" s="21"/>
      <c r="E48" s="21"/>
    </row>
    <row r="49" spans="1:5" s="17" customFormat="1" ht="12.6" customHeight="1" thickBot="1" x14ac:dyDescent="0.25">
      <c r="A49" s="21"/>
      <c r="B49" s="21"/>
      <c r="C49" s="21"/>
      <c r="D49" s="21"/>
      <c r="E49" s="21"/>
    </row>
    <row r="50" spans="1:5" s="17" customFormat="1" ht="12.6" customHeight="1" thickBot="1" x14ac:dyDescent="0.25">
      <c r="A50" s="21"/>
      <c r="B50" s="21"/>
      <c r="C50" s="21"/>
      <c r="D50" s="21"/>
      <c r="E50" s="21"/>
    </row>
    <row r="51" spans="1:5" s="17" customFormat="1" ht="12.6" customHeight="1" thickBot="1" x14ac:dyDescent="0.25">
      <c r="A51" s="21"/>
      <c r="B51" s="21"/>
      <c r="C51" s="21"/>
      <c r="D51" s="21"/>
      <c r="E51" s="21"/>
    </row>
    <row r="52" spans="1:5" s="17" customFormat="1" ht="12.6" customHeight="1" thickBot="1" x14ac:dyDescent="0.25">
      <c r="A52" s="21"/>
      <c r="B52" s="21"/>
      <c r="C52" s="21"/>
      <c r="D52" s="21"/>
      <c r="E52" s="21"/>
    </row>
    <row r="53" spans="1:5" s="17" customFormat="1" ht="12.6" customHeight="1" thickBot="1" x14ac:dyDescent="0.25">
      <c r="A53" s="21"/>
      <c r="B53" s="21"/>
      <c r="C53" s="21"/>
      <c r="D53" s="21"/>
      <c r="E53" s="21"/>
    </row>
    <row r="54" spans="1:5" s="17" customFormat="1" ht="12" thickBot="1" x14ac:dyDescent="0.25">
      <c r="A54" s="21"/>
      <c r="B54" s="21"/>
      <c r="C54" s="21"/>
      <c r="D54" s="21"/>
      <c r="E54" s="21"/>
    </row>
    <row r="55" spans="1:5" s="17" customFormat="1" ht="12" thickBot="1" x14ac:dyDescent="0.25">
      <c r="A55" s="21"/>
      <c r="B55" s="21"/>
      <c r="C55" s="21"/>
      <c r="D55" s="21"/>
      <c r="E55" s="21"/>
    </row>
    <row r="56" spans="1:5" s="17" customFormat="1" ht="12" thickBot="1" x14ac:dyDescent="0.25">
      <c r="A56" s="21"/>
      <c r="B56" s="21"/>
      <c r="C56" s="21"/>
      <c r="D56" s="21"/>
      <c r="E56" s="21"/>
    </row>
    <row r="57" spans="1:5" ht="27" customHeight="1" x14ac:dyDescent="0.2">
      <c r="A57" s="14"/>
      <c r="B57" s="14"/>
      <c r="C57" s="14"/>
      <c r="D57" s="14"/>
      <c r="E57" s="14"/>
    </row>
    <row r="58" spans="1:5" ht="27" customHeight="1" x14ac:dyDescent="0.2">
      <c r="A58" s="14"/>
      <c r="B58" s="14"/>
      <c r="C58" s="14"/>
      <c r="D58" s="14"/>
      <c r="E58" s="14"/>
    </row>
    <row r="59" spans="1:5" ht="27" customHeight="1" x14ac:dyDescent="0.2">
      <c r="A59" s="14"/>
      <c r="B59" s="14"/>
      <c r="C59" s="14"/>
      <c r="D59" s="14"/>
      <c r="E59" s="14"/>
    </row>
    <row r="60" spans="1:5" ht="27" customHeight="1" x14ac:dyDescent="0.2">
      <c r="A60" s="14"/>
      <c r="B60" s="14"/>
      <c r="C60" s="14"/>
      <c r="D60" s="14"/>
      <c r="E60" s="14"/>
    </row>
    <row r="61" spans="1:5" ht="27" customHeight="1" x14ac:dyDescent="0.2">
      <c r="A61" s="14"/>
      <c r="B61" s="14"/>
      <c r="C61" s="14"/>
      <c r="D61" s="14"/>
      <c r="E61" s="14"/>
    </row>
    <row r="62" spans="1:5" ht="27" customHeight="1" x14ac:dyDescent="0.2">
      <c r="A62" s="14"/>
      <c r="B62" s="14"/>
      <c r="C62" s="14"/>
      <c r="D62" s="14"/>
      <c r="E62" s="14"/>
    </row>
    <row r="63" spans="1:5" ht="27" customHeight="1" x14ac:dyDescent="0.2">
      <c r="A63" s="14"/>
      <c r="B63" s="14"/>
      <c r="C63" s="14"/>
      <c r="D63" s="14"/>
      <c r="E63" s="14"/>
    </row>
  </sheetData>
  <mergeCells count="2">
    <mergeCell ref="A1:E1"/>
    <mergeCell ref="A2:E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7"/>
  </sheetPr>
  <dimension ref="A1:G54"/>
  <sheetViews>
    <sheetView view="pageBreakPreview" zoomScaleNormal="100" zoomScaleSheetLayoutView="100" workbookViewId="0">
      <selection activeCell="K6" sqref="K6"/>
    </sheetView>
  </sheetViews>
  <sheetFormatPr defaultRowHeight="12.75" x14ac:dyDescent="0.2"/>
  <cols>
    <col min="1" max="1" width="4.5703125" customWidth="1"/>
    <col min="2" max="2" width="16" customWidth="1"/>
    <col min="3" max="3" width="17.7109375" customWidth="1"/>
    <col min="4" max="4" width="8" customWidth="1"/>
    <col min="5" max="5" width="20.42578125" customWidth="1"/>
    <col min="6" max="6" width="8.140625" customWidth="1"/>
    <col min="7" max="7" width="19.5703125" customWidth="1"/>
  </cols>
  <sheetData>
    <row r="1" spans="1:7" x14ac:dyDescent="0.2">
      <c r="A1" s="237" t="s">
        <v>26</v>
      </c>
      <c r="B1" s="237"/>
      <c r="C1" s="237"/>
      <c r="D1" s="237"/>
      <c r="E1" s="237"/>
      <c r="F1" s="237"/>
      <c r="G1" s="237"/>
    </row>
    <row r="2" spans="1:7" ht="33" customHeight="1" thickBot="1" x14ac:dyDescent="0.25">
      <c r="A2" s="235" t="s">
        <v>104</v>
      </c>
      <c r="B2" s="238"/>
      <c r="C2" s="238"/>
      <c r="D2" s="238"/>
      <c r="E2" s="238"/>
      <c r="F2" s="238"/>
      <c r="G2" s="238"/>
    </row>
    <row r="3" spans="1:7" s="17" customFormat="1" ht="180.75" thickBot="1" x14ac:dyDescent="0.25">
      <c r="A3" s="19" t="s">
        <v>126</v>
      </c>
      <c r="B3" s="3" t="s">
        <v>106</v>
      </c>
      <c r="C3" s="3" t="s">
        <v>27</v>
      </c>
      <c r="D3" s="12" t="s">
        <v>28</v>
      </c>
      <c r="E3" s="3" t="s">
        <v>107</v>
      </c>
      <c r="F3" s="12" t="s">
        <v>29</v>
      </c>
      <c r="G3" s="3" t="s">
        <v>107</v>
      </c>
    </row>
    <row r="4" spans="1:7" s="17" customFormat="1" ht="12" thickBot="1" x14ac:dyDescent="0.25">
      <c r="A4" s="4">
        <v>1</v>
      </c>
      <c r="B4" s="4">
        <v>2</v>
      </c>
      <c r="C4" s="4">
        <v>3</v>
      </c>
      <c r="D4" s="4">
        <v>4</v>
      </c>
      <c r="E4" s="4" t="s">
        <v>56</v>
      </c>
      <c r="F4" s="4" t="s">
        <v>57</v>
      </c>
      <c r="G4" s="4" t="s">
        <v>105</v>
      </c>
    </row>
    <row r="5" spans="1:7" s="17" customFormat="1" ht="53.25" customHeight="1" thickBot="1" x14ac:dyDescent="0.25">
      <c r="A5" s="158" t="s">
        <v>33</v>
      </c>
      <c r="B5" s="159" t="s">
        <v>264</v>
      </c>
      <c r="C5" s="159" t="s">
        <v>243</v>
      </c>
      <c r="D5" s="158" t="s">
        <v>237</v>
      </c>
      <c r="E5" s="157" t="str">
        <f>'Данные объект'!C41</f>
        <v>Гл. специалист ССК УКС ПАО "Россети Московский регион" Алексанян Г.Р.</v>
      </c>
      <c r="F5" s="156" t="s">
        <v>237</v>
      </c>
      <c r="G5" s="157" t="str">
        <f>'Данные объект'!C41</f>
        <v>Гл. специалист ССК УКС ПАО "Россети Московский регион" Алексанян Г.Р.</v>
      </c>
    </row>
    <row r="6" spans="1:7" s="17" customFormat="1" ht="36.6" customHeight="1" thickBot="1" x14ac:dyDescent="0.25">
      <c r="A6" s="158" t="s">
        <v>34</v>
      </c>
      <c r="B6" s="159" t="s">
        <v>264</v>
      </c>
      <c r="C6" s="159" t="s">
        <v>243</v>
      </c>
      <c r="D6" s="158" t="s">
        <v>237</v>
      </c>
      <c r="E6" s="144" t="str">
        <f>'Данные объект'!C23</f>
        <v>Специалист по строительному контролю ООО"Энергосистемы" Русин В.А.</v>
      </c>
      <c r="F6" s="156" t="s">
        <v>237</v>
      </c>
      <c r="G6" s="144" t="str">
        <f>'Данные объект'!C23</f>
        <v>Специалист по строительному контролю ООО"Энергосистемы" Русин В.А.</v>
      </c>
    </row>
    <row r="7" spans="1:7" s="17" customFormat="1" ht="12" thickBot="1" x14ac:dyDescent="0.25">
      <c r="A7" s="24"/>
      <c r="B7" s="24"/>
      <c r="C7" s="24"/>
      <c r="D7" s="24"/>
      <c r="E7" s="24"/>
      <c r="F7" s="24"/>
      <c r="G7" s="24"/>
    </row>
    <row r="8" spans="1:7" s="17" customFormat="1" ht="12" thickBot="1" x14ac:dyDescent="0.25">
      <c r="A8" s="24"/>
      <c r="B8" s="24"/>
      <c r="C8" s="24"/>
      <c r="D8" s="24"/>
      <c r="E8" s="24"/>
      <c r="F8" s="24"/>
      <c r="G8" s="24"/>
    </row>
    <row r="9" spans="1:7" s="17" customFormat="1" ht="12" thickBot="1" x14ac:dyDescent="0.25">
      <c r="A9" s="24"/>
      <c r="B9" s="24"/>
      <c r="C9" s="24"/>
      <c r="D9" s="24"/>
      <c r="E9" s="24"/>
      <c r="F9" s="24"/>
      <c r="G9" s="24"/>
    </row>
    <row r="10" spans="1:7" s="17" customFormat="1" ht="12" thickBot="1" x14ac:dyDescent="0.25">
      <c r="A10" s="24"/>
      <c r="B10" s="24"/>
      <c r="C10" s="24"/>
      <c r="D10" s="24"/>
      <c r="E10" s="24"/>
      <c r="F10" s="24"/>
      <c r="G10" s="24"/>
    </row>
    <row r="11" spans="1:7" s="17" customFormat="1" ht="12" thickBot="1" x14ac:dyDescent="0.25">
      <c r="A11" s="24"/>
      <c r="B11" s="24"/>
      <c r="C11" s="24"/>
      <c r="D11" s="24"/>
      <c r="E11" s="24"/>
      <c r="F11" s="24"/>
      <c r="G11" s="24"/>
    </row>
    <row r="12" spans="1:7" s="17" customFormat="1" ht="12" thickBot="1" x14ac:dyDescent="0.25">
      <c r="A12" s="24"/>
      <c r="B12" s="24"/>
      <c r="C12" s="24"/>
      <c r="D12" s="24"/>
      <c r="E12" s="24"/>
      <c r="F12" s="24"/>
      <c r="G12" s="24"/>
    </row>
    <row r="13" spans="1:7" s="17" customFormat="1" ht="12" thickBot="1" x14ac:dyDescent="0.25">
      <c r="A13" s="24"/>
      <c r="B13" s="24"/>
      <c r="C13" s="24"/>
      <c r="D13" s="24"/>
      <c r="E13" s="24"/>
      <c r="F13" s="24"/>
      <c r="G13" s="24"/>
    </row>
    <row r="14" spans="1:7" s="17" customFormat="1" ht="12" thickBot="1" x14ac:dyDescent="0.25">
      <c r="A14" s="24"/>
      <c r="B14" s="24"/>
      <c r="C14" s="24"/>
      <c r="D14" s="24"/>
      <c r="E14" s="24"/>
      <c r="F14" s="24"/>
      <c r="G14" s="24"/>
    </row>
    <row r="15" spans="1:7" s="17" customFormat="1" ht="12" thickBot="1" x14ac:dyDescent="0.25">
      <c r="A15" s="24"/>
      <c r="B15" s="24"/>
      <c r="C15" s="24"/>
      <c r="D15" s="24"/>
      <c r="E15" s="24"/>
      <c r="F15" s="24"/>
      <c r="G15" s="24"/>
    </row>
    <row r="16" spans="1:7" s="17" customFormat="1" ht="12" thickBot="1" x14ac:dyDescent="0.25">
      <c r="A16" s="24"/>
      <c r="B16" s="24"/>
      <c r="C16" s="24"/>
      <c r="D16" s="24"/>
      <c r="E16" s="24"/>
      <c r="F16" s="24"/>
      <c r="G16" s="24"/>
    </row>
    <row r="17" spans="1:7" s="17" customFormat="1" ht="12" thickBot="1" x14ac:dyDescent="0.25">
      <c r="A17" s="24"/>
      <c r="B17" s="18"/>
      <c r="C17" s="24"/>
      <c r="D17" s="24"/>
      <c r="E17" s="24"/>
      <c r="F17" s="24"/>
      <c r="G17" s="24"/>
    </row>
    <row r="18" spans="1:7" s="17" customFormat="1" ht="12" thickBot="1" x14ac:dyDescent="0.25">
      <c r="A18" s="24"/>
      <c r="B18" s="24"/>
      <c r="C18" s="24"/>
      <c r="D18" s="24"/>
      <c r="E18" s="24"/>
      <c r="F18" s="24"/>
      <c r="G18" s="24"/>
    </row>
    <row r="19" spans="1:7" s="17" customFormat="1" ht="12" thickBot="1" x14ac:dyDescent="0.25">
      <c r="A19" s="24"/>
      <c r="B19" s="24"/>
      <c r="C19" s="24"/>
      <c r="D19" s="24"/>
      <c r="E19" s="24"/>
      <c r="F19" s="24"/>
      <c r="G19" s="24"/>
    </row>
    <row r="20" spans="1:7" s="17" customFormat="1" ht="12" thickBot="1" x14ac:dyDescent="0.25">
      <c r="A20" s="24"/>
      <c r="B20" s="24"/>
      <c r="C20" s="24"/>
      <c r="D20" s="24"/>
      <c r="E20" s="24"/>
      <c r="F20" s="24"/>
      <c r="G20" s="24"/>
    </row>
    <row r="21" spans="1:7" s="17" customFormat="1" ht="12" thickBot="1" x14ac:dyDescent="0.25">
      <c r="A21" s="24"/>
      <c r="B21" s="24"/>
      <c r="C21" s="24"/>
      <c r="D21" s="24"/>
      <c r="E21" s="24"/>
      <c r="F21" s="24"/>
      <c r="G21" s="24"/>
    </row>
    <row r="22" spans="1:7" s="17" customFormat="1" ht="12" thickBot="1" x14ac:dyDescent="0.25">
      <c r="A22" s="24"/>
      <c r="B22" s="24"/>
      <c r="C22" s="24"/>
      <c r="D22" s="24"/>
      <c r="E22" s="24"/>
      <c r="F22" s="24"/>
      <c r="G22" s="24"/>
    </row>
    <row r="23" spans="1:7" s="17" customFormat="1" ht="12" thickBot="1" x14ac:dyDescent="0.25">
      <c r="A23" s="24"/>
      <c r="B23" s="24"/>
      <c r="C23" s="24"/>
      <c r="D23" s="24"/>
      <c r="E23" s="24"/>
      <c r="F23" s="24"/>
      <c r="G23" s="24"/>
    </row>
    <row r="24" spans="1:7" s="17" customFormat="1" ht="12" thickBot="1" x14ac:dyDescent="0.25">
      <c r="A24" s="24"/>
      <c r="B24" s="24"/>
      <c r="C24" s="24"/>
      <c r="D24" s="24"/>
      <c r="E24" s="24"/>
      <c r="F24" s="24"/>
      <c r="G24" s="24"/>
    </row>
    <row r="25" spans="1:7" s="17" customFormat="1" ht="12" thickBot="1" x14ac:dyDescent="0.25">
      <c r="A25" s="24"/>
      <c r="B25" s="24"/>
      <c r="C25" s="24"/>
      <c r="D25" s="24"/>
      <c r="E25" s="24"/>
      <c r="F25" s="24"/>
      <c r="G25" s="24"/>
    </row>
    <row r="26" spans="1:7" s="17" customFormat="1" ht="12" thickBot="1" x14ac:dyDescent="0.25">
      <c r="A26" s="24"/>
      <c r="B26" s="24"/>
      <c r="C26" s="24"/>
      <c r="D26" s="24"/>
      <c r="E26" s="24"/>
      <c r="F26" s="24"/>
      <c r="G26" s="24"/>
    </row>
    <row r="27" spans="1:7" s="17" customFormat="1" ht="12" thickBot="1" x14ac:dyDescent="0.25">
      <c r="A27" s="24"/>
      <c r="B27" s="24"/>
      <c r="C27" s="24"/>
      <c r="D27" s="24"/>
      <c r="E27" s="24"/>
      <c r="F27" s="24"/>
      <c r="G27" s="24"/>
    </row>
    <row r="28" spans="1:7" s="17" customFormat="1" ht="12" thickBot="1" x14ac:dyDescent="0.25">
      <c r="A28" s="24"/>
      <c r="B28" s="24"/>
      <c r="C28" s="24"/>
      <c r="D28" s="24"/>
      <c r="E28" s="24"/>
      <c r="F28" s="24"/>
      <c r="G28" s="24"/>
    </row>
    <row r="29" spans="1:7" s="17" customFormat="1" ht="12" thickBot="1" x14ac:dyDescent="0.25">
      <c r="A29" s="24"/>
      <c r="B29" s="24"/>
      <c r="C29" s="24"/>
      <c r="D29" s="24"/>
      <c r="E29" s="24"/>
      <c r="F29" s="24"/>
      <c r="G29" s="24"/>
    </row>
    <row r="30" spans="1:7" s="17" customFormat="1" ht="12" thickBot="1" x14ac:dyDescent="0.25">
      <c r="A30" s="24"/>
      <c r="B30" s="24"/>
      <c r="C30" s="24"/>
      <c r="D30" s="24"/>
      <c r="E30" s="24"/>
      <c r="F30" s="24"/>
      <c r="G30" s="24"/>
    </row>
    <row r="31" spans="1:7" s="17" customFormat="1" ht="12" thickBot="1" x14ac:dyDescent="0.25">
      <c r="A31" s="24"/>
      <c r="B31" s="24"/>
      <c r="C31" s="24"/>
      <c r="D31" s="24"/>
      <c r="E31" s="24"/>
      <c r="F31" s="24"/>
      <c r="G31" s="24"/>
    </row>
    <row r="32" spans="1:7" s="17" customFormat="1" ht="12" thickBot="1" x14ac:dyDescent="0.25">
      <c r="A32" s="24"/>
      <c r="B32" s="24"/>
      <c r="C32" s="24"/>
      <c r="D32" s="24"/>
      <c r="E32" s="24"/>
      <c r="F32" s="24"/>
      <c r="G32" s="24"/>
    </row>
    <row r="33" spans="1:7" s="17" customFormat="1" ht="12" thickBot="1" x14ac:dyDescent="0.25">
      <c r="A33" s="24"/>
      <c r="B33" s="24"/>
      <c r="C33" s="24"/>
      <c r="D33" s="24"/>
      <c r="E33" s="24"/>
      <c r="F33" s="24"/>
      <c r="G33" s="24"/>
    </row>
    <row r="34" spans="1:7" s="17" customFormat="1" ht="12" thickBot="1" x14ac:dyDescent="0.25">
      <c r="A34" s="24"/>
      <c r="B34" s="24"/>
      <c r="C34" s="24"/>
      <c r="D34" s="24"/>
      <c r="E34" s="24"/>
      <c r="F34" s="24"/>
      <c r="G34" s="24"/>
    </row>
    <row r="35" spans="1:7" s="17" customFormat="1" ht="12" thickBot="1" x14ac:dyDescent="0.25">
      <c r="A35" s="24"/>
      <c r="B35" s="24"/>
      <c r="C35" s="24"/>
      <c r="D35" s="24"/>
      <c r="E35" s="24"/>
      <c r="F35" s="24"/>
      <c r="G35" s="24"/>
    </row>
    <row r="36" spans="1:7" s="17" customFormat="1" ht="12" thickBot="1" x14ac:dyDescent="0.25">
      <c r="A36" s="24"/>
      <c r="B36" s="24"/>
      <c r="C36" s="24"/>
      <c r="D36" s="24"/>
      <c r="E36" s="24"/>
      <c r="F36" s="24"/>
      <c r="G36" s="24"/>
    </row>
    <row r="37" spans="1:7" s="17" customFormat="1" ht="12" thickBot="1" x14ac:dyDescent="0.25">
      <c r="A37" s="24"/>
      <c r="B37" s="24"/>
      <c r="C37" s="24"/>
      <c r="D37" s="24"/>
      <c r="E37" s="24"/>
      <c r="F37" s="24"/>
      <c r="G37" s="24"/>
    </row>
    <row r="38" spans="1:7" s="17" customFormat="1" ht="12" thickBot="1" x14ac:dyDescent="0.25">
      <c r="A38" s="24"/>
      <c r="B38" s="24"/>
      <c r="C38" s="24"/>
      <c r="D38" s="24"/>
      <c r="E38" s="24"/>
      <c r="F38" s="24"/>
      <c r="G38" s="24"/>
    </row>
    <row r="39" spans="1:7" s="17" customFormat="1" ht="12" thickBot="1" x14ac:dyDescent="0.25">
      <c r="A39" s="24"/>
      <c r="B39" s="24"/>
      <c r="C39" s="24"/>
      <c r="D39" s="24"/>
      <c r="E39" s="24"/>
      <c r="F39" s="24"/>
      <c r="G39" s="24"/>
    </row>
    <row r="40" spans="1:7" s="17" customFormat="1" ht="12" thickBot="1" x14ac:dyDescent="0.25">
      <c r="A40" s="24"/>
      <c r="B40" s="24"/>
      <c r="C40" s="24"/>
      <c r="D40" s="24"/>
      <c r="E40" s="24"/>
      <c r="F40" s="24"/>
      <c r="G40" s="24"/>
    </row>
    <row r="41" spans="1:7" s="17" customFormat="1" ht="12" thickBot="1" x14ac:dyDescent="0.25">
      <c r="A41" s="24"/>
      <c r="B41" s="24"/>
      <c r="C41" s="24"/>
      <c r="D41" s="24"/>
      <c r="E41" s="24"/>
      <c r="F41" s="24"/>
      <c r="G41" s="24"/>
    </row>
    <row r="42" spans="1:7" s="17" customFormat="1" ht="12" thickBot="1" x14ac:dyDescent="0.25">
      <c r="A42" s="24"/>
      <c r="B42" s="24"/>
      <c r="C42" s="24"/>
      <c r="D42" s="24"/>
      <c r="E42" s="24"/>
      <c r="F42" s="24"/>
      <c r="G42" s="24"/>
    </row>
    <row r="43" spans="1:7" s="17" customFormat="1" ht="12" thickBot="1" x14ac:dyDescent="0.25">
      <c r="A43" s="24"/>
      <c r="B43" s="24"/>
      <c r="C43" s="24"/>
      <c r="D43" s="24"/>
      <c r="E43" s="24"/>
      <c r="F43" s="24"/>
      <c r="G43" s="24"/>
    </row>
    <row r="44" spans="1:7" s="17" customFormat="1" ht="12" thickBot="1" x14ac:dyDescent="0.25">
      <c r="A44" s="24"/>
      <c r="B44" s="24"/>
      <c r="C44" s="24"/>
      <c r="D44" s="24"/>
      <c r="E44" s="24"/>
      <c r="F44" s="24"/>
      <c r="G44" s="24"/>
    </row>
    <row r="45" spans="1:7" s="17" customFormat="1" ht="12" thickBot="1" x14ac:dyDescent="0.25">
      <c r="A45" s="24"/>
      <c r="B45" s="24"/>
      <c r="C45" s="24"/>
      <c r="D45" s="24"/>
      <c r="E45" s="24"/>
      <c r="F45" s="24"/>
      <c r="G45" s="24"/>
    </row>
    <row r="46" spans="1:7" s="17" customFormat="1" ht="12" thickBot="1" x14ac:dyDescent="0.25">
      <c r="A46" s="24"/>
      <c r="B46" s="24"/>
      <c r="C46" s="24"/>
      <c r="D46" s="24"/>
      <c r="E46" s="24"/>
      <c r="F46" s="24"/>
      <c r="G46" s="24"/>
    </row>
    <row r="47" spans="1:7" s="17" customFormat="1" ht="12" thickBot="1" x14ac:dyDescent="0.25">
      <c r="A47" s="24"/>
      <c r="B47" s="24"/>
      <c r="C47" s="24"/>
      <c r="D47" s="24"/>
      <c r="E47" s="24"/>
      <c r="F47" s="24"/>
      <c r="G47" s="24"/>
    </row>
    <row r="48" spans="1:7" s="17" customFormat="1" ht="12" thickBot="1" x14ac:dyDescent="0.25">
      <c r="A48" s="24"/>
      <c r="B48" s="24"/>
      <c r="C48" s="24"/>
      <c r="D48" s="24"/>
      <c r="E48" s="24"/>
      <c r="F48" s="24"/>
      <c r="G48" s="24"/>
    </row>
    <row r="49" spans="1:7" s="17" customFormat="1" ht="12" thickBot="1" x14ac:dyDescent="0.25">
      <c r="A49" s="24"/>
      <c r="B49" s="24"/>
      <c r="C49" s="24"/>
      <c r="D49" s="24"/>
      <c r="E49" s="24"/>
      <c r="F49" s="24"/>
      <c r="G49" s="24"/>
    </row>
    <row r="50" spans="1:7" s="17" customFormat="1" ht="12" thickBot="1" x14ac:dyDescent="0.25">
      <c r="A50" s="24"/>
      <c r="B50" s="24"/>
      <c r="C50" s="24"/>
      <c r="D50" s="24"/>
      <c r="E50" s="24"/>
      <c r="F50" s="24"/>
      <c r="G50" s="24"/>
    </row>
    <row r="51" spans="1:7" s="17" customFormat="1" ht="12" thickBot="1" x14ac:dyDescent="0.25">
      <c r="A51" s="24"/>
      <c r="B51" s="24"/>
      <c r="C51" s="24"/>
      <c r="D51" s="24"/>
      <c r="E51" s="24"/>
      <c r="F51" s="24"/>
      <c r="G51" s="24"/>
    </row>
    <row r="52" spans="1:7" s="17" customFormat="1" ht="12" thickBot="1" x14ac:dyDescent="0.25">
      <c r="A52" s="24"/>
      <c r="B52" s="24"/>
      <c r="C52" s="24"/>
      <c r="D52" s="24"/>
      <c r="E52" s="24"/>
      <c r="F52" s="24"/>
      <c r="G52" s="24"/>
    </row>
    <row r="53" spans="1:7" s="17" customFormat="1" ht="12" thickBot="1" x14ac:dyDescent="0.25">
      <c r="A53" s="24"/>
      <c r="B53" s="24"/>
      <c r="C53" s="24"/>
      <c r="D53" s="24"/>
      <c r="E53" s="24"/>
      <c r="F53" s="24"/>
      <c r="G53" s="24"/>
    </row>
    <row r="54" spans="1:7" s="17" customFormat="1" ht="12" thickBot="1" x14ac:dyDescent="0.25">
      <c r="A54" s="24"/>
      <c r="B54" s="24"/>
      <c r="C54" s="24"/>
      <c r="D54" s="24"/>
      <c r="E54" s="24"/>
      <c r="F54" s="24"/>
      <c r="G54" s="24"/>
    </row>
  </sheetData>
  <mergeCells count="2">
    <mergeCell ref="A1:G1"/>
    <mergeCell ref="A2:G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7"/>
  </sheetPr>
  <dimension ref="A1:C58"/>
  <sheetViews>
    <sheetView view="pageBreakPreview" zoomScaleNormal="100" zoomScaleSheetLayoutView="100" workbookViewId="0">
      <selection activeCell="G12" sqref="G12"/>
    </sheetView>
  </sheetViews>
  <sheetFormatPr defaultRowHeight="12.75" x14ac:dyDescent="0.2"/>
  <cols>
    <col min="1" max="1" width="4.42578125" customWidth="1"/>
    <col min="2" max="2" width="58.7109375" customWidth="1"/>
    <col min="3" max="3" width="30.42578125" customWidth="1"/>
  </cols>
  <sheetData>
    <row r="1" spans="1:3" x14ac:dyDescent="0.2">
      <c r="A1" s="237" t="s">
        <v>30</v>
      </c>
      <c r="B1" s="237"/>
      <c r="C1" s="237"/>
    </row>
    <row r="2" spans="1:3" ht="31.5" customHeight="1" thickBot="1" x14ac:dyDescent="0.25">
      <c r="A2" s="240" t="s">
        <v>31</v>
      </c>
      <c r="B2" s="241"/>
      <c r="C2" s="241"/>
    </row>
    <row r="3" spans="1:3" s="17" customFormat="1" ht="45.75" thickBot="1" x14ac:dyDescent="0.25">
      <c r="A3" s="19" t="s">
        <v>91</v>
      </c>
      <c r="B3" s="3" t="s">
        <v>108</v>
      </c>
      <c r="C3" s="3" t="s">
        <v>109</v>
      </c>
    </row>
    <row r="4" spans="1:3" s="17" customFormat="1" ht="12" thickBot="1" x14ac:dyDescent="0.25">
      <c r="A4" s="127" t="s">
        <v>33</v>
      </c>
      <c r="B4" s="127" t="s">
        <v>34</v>
      </c>
      <c r="C4" s="127" t="s">
        <v>35</v>
      </c>
    </row>
    <row r="5" spans="1:3" s="17" customFormat="1" ht="79.5" thickBot="1" x14ac:dyDescent="0.25">
      <c r="A5" s="134" t="s">
        <v>33</v>
      </c>
      <c r="B5" s="132" t="s">
        <v>249</v>
      </c>
      <c r="C5" s="128" t="s">
        <v>262</v>
      </c>
    </row>
    <row r="6" spans="1:3" s="17" customFormat="1" ht="12" thickBot="1" x14ac:dyDescent="0.25">
      <c r="A6" s="134" t="s">
        <v>34</v>
      </c>
      <c r="B6" s="132"/>
      <c r="C6" s="128"/>
    </row>
    <row r="7" spans="1:3" s="17" customFormat="1" ht="12" thickBot="1" x14ac:dyDescent="0.25">
      <c r="A7" s="134" t="s">
        <v>35</v>
      </c>
      <c r="B7" s="132"/>
      <c r="C7" s="128"/>
    </row>
    <row r="8" spans="1:3" s="17" customFormat="1" ht="12" thickBot="1" x14ac:dyDescent="0.25">
      <c r="A8" s="134" t="s">
        <v>55</v>
      </c>
      <c r="B8" s="132"/>
      <c r="C8" s="128"/>
    </row>
    <row r="9" spans="1:3" s="17" customFormat="1" ht="12" thickBot="1" x14ac:dyDescent="0.25">
      <c r="A9" s="135" t="s">
        <v>56</v>
      </c>
      <c r="B9" s="132"/>
      <c r="C9" s="128"/>
    </row>
    <row r="10" spans="1:3" s="17" customFormat="1" ht="12" thickBot="1" x14ac:dyDescent="0.25">
      <c r="A10" s="135" t="s">
        <v>57</v>
      </c>
      <c r="B10" s="132"/>
      <c r="C10" s="128"/>
    </row>
    <row r="11" spans="1:3" s="17" customFormat="1" ht="12" thickBot="1" x14ac:dyDescent="0.25">
      <c r="A11" s="135"/>
      <c r="B11" s="132"/>
      <c r="C11" s="128"/>
    </row>
    <row r="12" spans="1:3" s="17" customFormat="1" ht="12" thickBot="1" x14ac:dyDescent="0.25">
      <c r="A12" s="135"/>
      <c r="B12" s="132"/>
      <c r="C12" s="128"/>
    </row>
    <row r="13" spans="1:3" s="17" customFormat="1" ht="12" thickBot="1" x14ac:dyDescent="0.25">
      <c r="A13" s="135"/>
      <c r="B13" s="132"/>
      <c r="C13" s="128"/>
    </row>
    <row r="14" spans="1:3" s="17" customFormat="1" ht="12" thickBot="1" x14ac:dyDescent="0.25">
      <c r="A14" s="135"/>
      <c r="B14" s="132"/>
      <c r="C14" s="128"/>
    </row>
    <row r="15" spans="1:3" s="17" customFormat="1" ht="12" thickBot="1" x14ac:dyDescent="0.25">
      <c r="A15" s="135"/>
      <c r="B15" s="132"/>
      <c r="C15" s="128"/>
    </row>
    <row r="16" spans="1:3" s="17" customFormat="1" ht="12" thickBot="1" x14ac:dyDescent="0.25">
      <c r="A16" s="135"/>
      <c r="B16" s="132"/>
      <c r="C16" s="128"/>
    </row>
    <row r="17" spans="1:3" s="17" customFormat="1" ht="12" thickBot="1" x14ac:dyDescent="0.25">
      <c r="A17" s="135"/>
      <c r="B17" s="132"/>
      <c r="C17" s="128"/>
    </row>
    <row r="18" spans="1:3" s="17" customFormat="1" ht="12" thickBot="1" x14ac:dyDescent="0.25">
      <c r="A18" s="135"/>
      <c r="B18" s="132"/>
      <c r="C18" s="128"/>
    </row>
    <row r="19" spans="1:3" s="17" customFormat="1" ht="12" thickBot="1" x14ac:dyDescent="0.25">
      <c r="A19" s="4"/>
      <c r="B19" s="140"/>
      <c r="C19" s="128"/>
    </row>
    <row r="20" spans="1:3" s="17" customFormat="1" ht="12" thickBot="1" x14ac:dyDescent="0.25">
      <c r="A20" s="4"/>
      <c r="B20" s="140"/>
      <c r="C20" s="128"/>
    </row>
    <row r="21" spans="1:3" s="17" customFormat="1" ht="12" thickBot="1" x14ac:dyDescent="0.25">
      <c r="A21" s="4"/>
      <c r="B21" s="140"/>
      <c r="C21" s="128"/>
    </row>
    <row r="22" spans="1:3" s="17" customFormat="1" ht="12" thickBot="1" x14ac:dyDescent="0.25">
      <c r="A22" s="4"/>
      <c r="B22" s="140"/>
      <c r="C22" s="128"/>
    </row>
    <row r="23" spans="1:3" s="17" customFormat="1" ht="12" thickBot="1" x14ac:dyDescent="0.25">
      <c r="A23" s="4"/>
      <c r="B23" s="140"/>
      <c r="C23" s="128"/>
    </row>
    <row r="24" spans="1:3" s="17" customFormat="1" ht="12" thickBot="1" x14ac:dyDescent="0.25">
      <c r="A24" s="4"/>
      <c r="B24" s="4"/>
      <c r="C24" s="4"/>
    </row>
    <row r="25" spans="1:3" s="17" customFormat="1" ht="12" thickBot="1" x14ac:dyDescent="0.25">
      <c r="A25" s="4"/>
      <c r="B25" s="4"/>
      <c r="C25" s="4"/>
    </row>
    <row r="26" spans="1:3" s="17" customFormat="1" ht="12" thickBot="1" x14ac:dyDescent="0.25">
      <c r="A26" s="4"/>
      <c r="B26" s="4"/>
      <c r="C26" s="4"/>
    </row>
    <row r="27" spans="1:3" s="17" customFormat="1" ht="12" thickBot="1" x14ac:dyDescent="0.25">
      <c r="A27" s="4"/>
      <c r="B27" s="4"/>
      <c r="C27" s="4"/>
    </row>
    <row r="28" spans="1:3" s="17" customFormat="1" ht="12" thickBot="1" x14ac:dyDescent="0.25">
      <c r="A28" s="4"/>
      <c r="B28" s="4"/>
      <c r="C28" s="4"/>
    </row>
    <row r="29" spans="1:3" s="17" customFormat="1" ht="12" thickBot="1" x14ac:dyDescent="0.25">
      <c r="A29" s="4"/>
      <c r="B29" s="4"/>
      <c r="C29" s="4"/>
    </row>
    <row r="30" spans="1:3" s="17" customFormat="1" ht="12" thickBot="1" x14ac:dyDescent="0.25">
      <c r="A30" s="4"/>
      <c r="B30" s="4"/>
      <c r="C30" s="4"/>
    </row>
    <row r="31" spans="1:3" s="17" customFormat="1" ht="12" thickBot="1" x14ac:dyDescent="0.25">
      <c r="A31" s="4"/>
      <c r="B31" s="4"/>
      <c r="C31" s="4"/>
    </row>
    <row r="32" spans="1:3" s="17" customFormat="1" ht="12" thickBot="1" x14ac:dyDescent="0.25">
      <c r="A32" s="4"/>
      <c r="B32" s="4"/>
      <c r="C32" s="4"/>
    </row>
    <row r="33" spans="1:3" s="17" customFormat="1" ht="12" thickBot="1" x14ac:dyDescent="0.25">
      <c r="A33" s="4"/>
      <c r="B33" s="4"/>
      <c r="C33" s="4"/>
    </row>
    <row r="34" spans="1:3" s="17" customFormat="1" ht="12" thickBot="1" x14ac:dyDescent="0.25">
      <c r="A34" s="4"/>
      <c r="B34" s="4"/>
      <c r="C34" s="4"/>
    </row>
    <row r="35" spans="1:3" s="17" customFormat="1" ht="12" thickBot="1" x14ac:dyDescent="0.25">
      <c r="A35" s="4"/>
      <c r="B35" s="4"/>
      <c r="C35" s="4"/>
    </row>
    <row r="36" spans="1:3" s="17" customFormat="1" ht="12" thickBot="1" x14ac:dyDescent="0.25">
      <c r="A36" s="4"/>
      <c r="B36" s="4"/>
      <c r="C36" s="4"/>
    </row>
    <row r="37" spans="1:3" s="17" customFormat="1" ht="12" thickBot="1" x14ac:dyDescent="0.25">
      <c r="A37" s="4"/>
      <c r="B37" s="4"/>
      <c r="C37" s="4"/>
    </row>
    <row r="38" spans="1:3" s="17" customFormat="1" ht="12" thickBot="1" x14ac:dyDescent="0.25">
      <c r="A38" s="4"/>
      <c r="B38" s="4"/>
      <c r="C38" s="4"/>
    </row>
    <row r="39" spans="1:3" s="17" customFormat="1" ht="12" thickBot="1" x14ac:dyDescent="0.25">
      <c r="A39" s="4"/>
      <c r="B39" s="4"/>
      <c r="C39" s="4"/>
    </row>
    <row r="40" spans="1:3" s="17" customFormat="1" ht="12" thickBot="1" x14ac:dyDescent="0.25">
      <c r="A40" s="4"/>
      <c r="B40" s="4"/>
      <c r="C40" s="4"/>
    </row>
    <row r="41" spans="1:3" s="17" customFormat="1" ht="12" thickBot="1" x14ac:dyDescent="0.25">
      <c r="A41" s="4"/>
      <c r="B41" s="4"/>
      <c r="C41" s="4"/>
    </row>
    <row r="42" spans="1:3" s="17" customFormat="1" ht="12" thickBot="1" x14ac:dyDescent="0.25">
      <c r="A42" s="4"/>
      <c r="B42" s="4"/>
      <c r="C42" s="4"/>
    </row>
    <row r="43" spans="1:3" s="17" customFormat="1" ht="12" thickBot="1" x14ac:dyDescent="0.25">
      <c r="A43" s="4"/>
      <c r="B43" s="4"/>
      <c r="C43" s="4"/>
    </row>
    <row r="44" spans="1:3" s="17" customFormat="1" ht="12" thickBot="1" x14ac:dyDescent="0.25">
      <c r="A44" s="4"/>
      <c r="B44" s="4"/>
      <c r="C44" s="4"/>
    </row>
    <row r="45" spans="1:3" s="17" customFormat="1" ht="12" thickBot="1" x14ac:dyDescent="0.25">
      <c r="A45" s="4"/>
      <c r="B45" s="4"/>
      <c r="C45" s="4"/>
    </row>
    <row r="46" spans="1:3" s="17" customFormat="1" ht="12" thickBot="1" x14ac:dyDescent="0.25">
      <c r="A46" s="4"/>
      <c r="B46" s="4"/>
      <c r="C46" s="4"/>
    </row>
    <row r="47" spans="1:3" s="17" customFormat="1" ht="12" thickBot="1" x14ac:dyDescent="0.25">
      <c r="A47" s="4"/>
      <c r="B47" s="4"/>
      <c r="C47" s="4"/>
    </row>
    <row r="48" spans="1:3" s="17" customFormat="1" ht="12" thickBot="1" x14ac:dyDescent="0.25">
      <c r="A48" s="4"/>
      <c r="B48" s="4"/>
      <c r="C48" s="4"/>
    </row>
    <row r="49" spans="1:3" s="17" customFormat="1" ht="12" thickBot="1" x14ac:dyDescent="0.25">
      <c r="A49" s="4"/>
      <c r="B49" s="4"/>
      <c r="C49" s="4"/>
    </row>
    <row r="50" spans="1:3" s="17" customFormat="1" ht="12" thickBot="1" x14ac:dyDescent="0.25">
      <c r="A50" s="4"/>
      <c r="B50" s="4"/>
      <c r="C50" s="4"/>
    </row>
    <row r="51" spans="1:3" s="17" customFormat="1" ht="12" thickBot="1" x14ac:dyDescent="0.25">
      <c r="A51" s="4"/>
      <c r="B51" s="4"/>
      <c r="C51" s="4"/>
    </row>
    <row r="52" spans="1:3" s="17" customFormat="1" ht="12" thickBot="1" x14ac:dyDescent="0.25">
      <c r="A52" s="4"/>
      <c r="B52" s="4"/>
      <c r="C52" s="4"/>
    </row>
    <row r="53" spans="1:3" s="17" customFormat="1" ht="12" thickBot="1" x14ac:dyDescent="0.25">
      <c r="A53" s="4"/>
      <c r="B53" s="4"/>
      <c r="C53" s="4"/>
    </row>
    <row r="54" spans="1:3" s="17" customFormat="1" ht="12" thickBot="1" x14ac:dyDescent="0.25">
      <c r="A54" s="4"/>
      <c r="B54" s="4"/>
      <c r="C54" s="4"/>
    </row>
    <row r="55" spans="1:3" s="17" customFormat="1" ht="12" thickBot="1" x14ac:dyDescent="0.25">
      <c r="A55" s="4"/>
      <c r="B55" s="4"/>
      <c r="C55" s="4"/>
    </row>
    <row r="56" spans="1:3" s="17" customFormat="1" ht="12" thickBot="1" x14ac:dyDescent="0.25">
      <c r="A56" s="4"/>
      <c r="B56" s="4"/>
      <c r="C56" s="4"/>
    </row>
    <row r="57" spans="1:3" s="17" customFormat="1" ht="12" thickBot="1" x14ac:dyDescent="0.25">
      <c r="A57" s="4"/>
      <c r="B57" s="4"/>
      <c r="C57" s="4"/>
    </row>
    <row r="58" spans="1:3" ht="18.75" x14ac:dyDescent="0.3">
      <c r="A58" s="239"/>
      <c r="B58" s="239"/>
      <c r="C58" s="239"/>
    </row>
  </sheetData>
  <mergeCells count="3">
    <mergeCell ref="A58:C58"/>
    <mergeCell ref="A1:C1"/>
    <mergeCell ref="A2:C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7"/>
  </sheetPr>
  <dimension ref="A1:G57"/>
  <sheetViews>
    <sheetView view="pageBreakPreview" zoomScaleNormal="100" zoomScaleSheetLayoutView="100" workbookViewId="0">
      <selection activeCell="A63" sqref="A63"/>
    </sheetView>
  </sheetViews>
  <sheetFormatPr defaultRowHeight="12.75" x14ac:dyDescent="0.2"/>
  <cols>
    <col min="1" max="1" width="4.5703125" customWidth="1"/>
    <col min="2" max="2" width="11.7109375" customWidth="1"/>
    <col min="3" max="3" width="25.28515625" customWidth="1"/>
    <col min="4" max="4" width="13.85546875" customWidth="1"/>
    <col min="5" max="5" width="14.7109375" customWidth="1"/>
    <col min="6" max="6" width="12" customWidth="1"/>
    <col min="7" max="7" width="11.85546875" customWidth="1"/>
  </cols>
  <sheetData>
    <row r="1" spans="1:7" x14ac:dyDescent="0.2">
      <c r="A1" s="237" t="s">
        <v>124</v>
      </c>
      <c r="B1" s="237"/>
      <c r="C1" s="237"/>
      <c r="D1" s="237"/>
      <c r="E1" s="237"/>
      <c r="F1" s="237"/>
      <c r="G1" s="237"/>
    </row>
    <row r="2" spans="1:7" ht="35.25" customHeight="1" thickBot="1" x14ac:dyDescent="0.25">
      <c r="A2" s="242" t="s">
        <v>32</v>
      </c>
      <c r="B2" s="242"/>
      <c r="C2" s="243"/>
      <c r="D2" s="243"/>
      <c r="E2" s="243"/>
      <c r="F2" s="243"/>
      <c r="G2" s="243"/>
    </row>
    <row r="3" spans="1:7" s="17" customFormat="1" ht="68.25" thickBot="1" x14ac:dyDescent="0.25">
      <c r="A3" s="19" t="s">
        <v>91</v>
      </c>
      <c r="B3" s="25" t="s">
        <v>110</v>
      </c>
      <c r="C3" s="25" t="s">
        <v>111</v>
      </c>
      <c r="D3" s="25" t="s">
        <v>36</v>
      </c>
      <c r="E3" s="25" t="s">
        <v>38</v>
      </c>
      <c r="F3" s="25" t="s">
        <v>37</v>
      </c>
      <c r="G3" s="25" t="s">
        <v>38</v>
      </c>
    </row>
    <row r="4" spans="1:7" s="17" customFormat="1" ht="12" thickBot="1" x14ac:dyDescent="0.25">
      <c r="A4" s="26">
        <v>1</v>
      </c>
      <c r="B4" s="26">
        <v>2</v>
      </c>
      <c r="C4" s="26">
        <v>3</v>
      </c>
      <c r="D4" s="26">
        <v>4</v>
      </c>
      <c r="E4" s="26">
        <v>5</v>
      </c>
      <c r="F4" s="26">
        <v>6</v>
      </c>
      <c r="G4" s="26">
        <v>7</v>
      </c>
    </row>
    <row r="5" spans="1:7" s="17" customFormat="1" ht="12" thickBot="1" x14ac:dyDescent="0.25">
      <c r="A5" s="27"/>
      <c r="B5" s="27"/>
      <c r="C5" s="27"/>
      <c r="D5" s="27"/>
      <c r="E5" s="27"/>
      <c r="F5" s="27"/>
      <c r="G5" s="27"/>
    </row>
    <row r="6" spans="1:7" s="17" customFormat="1" ht="12" thickBot="1" x14ac:dyDescent="0.25">
      <c r="A6" s="27"/>
      <c r="B6" s="27"/>
      <c r="C6" s="27"/>
      <c r="D6" s="27"/>
      <c r="E6" s="27"/>
      <c r="F6" s="27"/>
      <c r="G6" s="27"/>
    </row>
    <row r="7" spans="1:7" s="17" customFormat="1" ht="12" thickBot="1" x14ac:dyDescent="0.25">
      <c r="A7" s="27"/>
      <c r="B7" s="27"/>
      <c r="C7" s="27"/>
      <c r="D7" s="27"/>
      <c r="E7" s="27"/>
      <c r="F7" s="27"/>
      <c r="G7" s="27"/>
    </row>
    <row r="8" spans="1:7" s="17" customFormat="1" ht="12" thickBot="1" x14ac:dyDescent="0.25">
      <c r="A8" s="27"/>
      <c r="B8" s="27"/>
      <c r="C8" s="27"/>
      <c r="D8" s="27"/>
      <c r="E8" s="27"/>
      <c r="F8" s="27"/>
      <c r="G8" s="27"/>
    </row>
    <row r="9" spans="1:7" s="17" customFormat="1" ht="12" thickBot="1" x14ac:dyDescent="0.25">
      <c r="A9" s="27"/>
      <c r="B9" s="27"/>
      <c r="C9" s="27"/>
      <c r="D9" s="27"/>
      <c r="E9" s="27"/>
      <c r="F9" s="27"/>
      <c r="G9" s="27"/>
    </row>
    <row r="10" spans="1:7" s="17" customFormat="1" ht="12" thickBot="1" x14ac:dyDescent="0.25">
      <c r="A10" s="27"/>
      <c r="B10" s="27"/>
      <c r="C10" s="27"/>
      <c r="D10" s="27"/>
      <c r="E10" s="27"/>
      <c r="F10" s="27"/>
      <c r="G10" s="27"/>
    </row>
    <row r="11" spans="1:7" s="17" customFormat="1" ht="12" thickBot="1" x14ac:dyDescent="0.25">
      <c r="A11" s="27"/>
      <c r="B11" s="27"/>
      <c r="C11" s="27"/>
      <c r="D11" s="27"/>
      <c r="E11" s="27"/>
      <c r="F11" s="27"/>
      <c r="G11" s="27"/>
    </row>
    <row r="12" spans="1:7" s="17" customFormat="1" ht="12" thickBot="1" x14ac:dyDescent="0.25">
      <c r="A12" s="27"/>
      <c r="B12" s="27"/>
      <c r="C12" s="27"/>
      <c r="D12" s="27"/>
      <c r="E12" s="27"/>
      <c r="F12" s="27"/>
      <c r="G12" s="27"/>
    </row>
    <row r="13" spans="1:7" s="17" customFormat="1" ht="12" thickBot="1" x14ac:dyDescent="0.25">
      <c r="A13" s="27"/>
      <c r="B13" s="27"/>
      <c r="C13" s="27"/>
      <c r="D13" s="27"/>
      <c r="E13" s="27"/>
      <c r="F13" s="27"/>
      <c r="G13" s="27"/>
    </row>
    <row r="14" spans="1:7" s="17" customFormat="1" ht="12" thickBot="1" x14ac:dyDescent="0.25">
      <c r="A14" s="27"/>
      <c r="B14" s="27"/>
      <c r="C14" s="27"/>
      <c r="D14" s="27"/>
      <c r="E14" s="27"/>
      <c r="F14" s="27"/>
      <c r="G14" s="27"/>
    </row>
    <row r="15" spans="1:7" s="17" customFormat="1" ht="12" thickBot="1" x14ac:dyDescent="0.25">
      <c r="A15" s="27"/>
      <c r="B15" s="27"/>
      <c r="C15" s="27"/>
      <c r="D15" s="27"/>
      <c r="E15" s="27"/>
      <c r="F15" s="27"/>
      <c r="G15" s="27"/>
    </row>
    <row r="16" spans="1:7" s="17" customFormat="1" ht="12" thickBot="1" x14ac:dyDescent="0.25">
      <c r="A16" s="27"/>
      <c r="B16" s="27"/>
      <c r="C16" s="27"/>
      <c r="D16" s="27"/>
      <c r="E16" s="27"/>
      <c r="F16" s="27"/>
      <c r="G16" s="27"/>
    </row>
    <row r="17" spans="1:7" s="17" customFormat="1" ht="12" thickBot="1" x14ac:dyDescent="0.25">
      <c r="A17" s="27"/>
      <c r="B17" s="27"/>
      <c r="C17" s="27"/>
      <c r="D17" s="27"/>
      <c r="E17" s="27"/>
      <c r="F17" s="27"/>
      <c r="G17" s="27"/>
    </row>
    <row r="18" spans="1:7" s="17" customFormat="1" ht="12" thickBot="1" x14ac:dyDescent="0.25">
      <c r="A18" s="27"/>
      <c r="B18" s="27"/>
      <c r="C18" s="27"/>
      <c r="D18" s="27"/>
      <c r="E18" s="27"/>
      <c r="F18" s="27"/>
      <c r="G18" s="27"/>
    </row>
    <row r="19" spans="1:7" s="17" customFormat="1" ht="12" thickBot="1" x14ac:dyDescent="0.25">
      <c r="A19" s="27"/>
      <c r="B19" s="27"/>
      <c r="C19" s="27"/>
      <c r="D19" s="27"/>
      <c r="E19" s="27"/>
      <c r="F19" s="27"/>
      <c r="G19" s="27"/>
    </row>
    <row r="20" spans="1:7" s="17" customFormat="1" ht="12" thickBot="1" x14ac:dyDescent="0.25">
      <c r="A20" s="27"/>
      <c r="B20" s="27"/>
      <c r="C20" s="27"/>
      <c r="D20" s="27"/>
      <c r="E20" s="27"/>
      <c r="F20" s="27"/>
      <c r="G20" s="27"/>
    </row>
    <row r="21" spans="1:7" s="17" customFormat="1" ht="12" thickBot="1" x14ac:dyDescent="0.25">
      <c r="A21" s="27"/>
      <c r="B21" s="27"/>
      <c r="C21" s="27"/>
      <c r="D21" s="27"/>
      <c r="E21" s="27"/>
      <c r="F21" s="27"/>
      <c r="G21" s="27"/>
    </row>
    <row r="22" spans="1:7" s="17" customFormat="1" ht="12" thickBot="1" x14ac:dyDescent="0.25">
      <c r="A22" s="27"/>
      <c r="B22" s="27"/>
      <c r="C22" s="27"/>
      <c r="D22" s="27"/>
      <c r="E22" s="27"/>
      <c r="F22" s="27"/>
      <c r="G22" s="27"/>
    </row>
    <row r="23" spans="1:7" s="17" customFormat="1" ht="12" thickBot="1" x14ac:dyDescent="0.25">
      <c r="A23" s="27"/>
      <c r="B23" s="27"/>
      <c r="C23" s="27"/>
      <c r="D23" s="27"/>
      <c r="E23" s="27"/>
      <c r="F23" s="27"/>
      <c r="G23" s="27"/>
    </row>
    <row r="24" spans="1:7" s="17" customFormat="1" ht="12" thickBot="1" x14ac:dyDescent="0.25">
      <c r="A24" s="27"/>
      <c r="B24" s="27"/>
      <c r="C24" s="27"/>
      <c r="D24" s="27"/>
      <c r="E24" s="27"/>
      <c r="F24" s="27"/>
      <c r="G24" s="27"/>
    </row>
    <row r="25" spans="1:7" s="17" customFormat="1" ht="12" thickBot="1" x14ac:dyDescent="0.25">
      <c r="A25" s="27"/>
      <c r="B25" s="27"/>
      <c r="C25" s="27"/>
      <c r="D25" s="27"/>
      <c r="E25" s="27"/>
      <c r="F25" s="27"/>
      <c r="G25" s="27"/>
    </row>
    <row r="26" spans="1:7" s="17" customFormat="1" ht="12" thickBot="1" x14ac:dyDescent="0.25">
      <c r="A26" s="27"/>
      <c r="B26" s="27"/>
      <c r="C26" s="27"/>
      <c r="D26" s="27"/>
      <c r="E26" s="27"/>
      <c r="F26" s="27"/>
      <c r="G26" s="27"/>
    </row>
    <row r="27" spans="1:7" s="17" customFormat="1" ht="12" thickBot="1" x14ac:dyDescent="0.25">
      <c r="A27" s="27"/>
      <c r="B27" s="27"/>
      <c r="C27" s="27"/>
      <c r="D27" s="27"/>
      <c r="E27" s="27"/>
      <c r="F27" s="27"/>
      <c r="G27" s="27"/>
    </row>
    <row r="28" spans="1:7" s="17" customFormat="1" ht="12" thickBot="1" x14ac:dyDescent="0.25">
      <c r="A28" s="27"/>
      <c r="B28" s="27"/>
      <c r="C28" s="27"/>
      <c r="D28" s="27"/>
      <c r="E28" s="27"/>
      <c r="F28" s="27"/>
      <c r="G28" s="27"/>
    </row>
    <row r="29" spans="1:7" ht="13.5" thickBot="1" x14ac:dyDescent="0.25">
      <c r="A29" s="27"/>
      <c r="B29" s="27"/>
      <c r="C29" s="27"/>
      <c r="D29" s="27"/>
      <c r="E29" s="27"/>
      <c r="F29" s="27"/>
      <c r="G29" s="27"/>
    </row>
    <row r="30" spans="1:7" ht="13.5" thickBot="1" x14ac:dyDescent="0.25">
      <c r="A30" s="27"/>
      <c r="B30" s="27"/>
      <c r="C30" s="27"/>
      <c r="D30" s="27"/>
      <c r="E30" s="27"/>
      <c r="F30" s="27"/>
      <c r="G30" s="27"/>
    </row>
    <row r="31" spans="1:7" ht="13.5" thickBot="1" x14ac:dyDescent="0.25">
      <c r="A31" s="27"/>
      <c r="B31" s="27"/>
      <c r="C31" s="27"/>
      <c r="D31" s="27"/>
      <c r="E31" s="27"/>
      <c r="F31" s="27"/>
      <c r="G31" s="27"/>
    </row>
    <row r="32" spans="1:7" ht="13.5" thickBot="1" x14ac:dyDescent="0.25">
      <c r="A32" s="27"/>
      <c r="B32" s="27"/>
      <c r="C32" s="27"/>
      <c r="D32" s="27"/>
      <c r="E32" s="27"/>
      <c r="F32" s="27"/>
      <c r="G32" s="27"/>
    </row>
    <row r="33" spans="1:7" ht="13.5" thickBot="1" x14ac:dyDescent="0.25">
      <c r="A33" s="27"/>
      <c r="B33" s="27"/>
      <c r="C33" s="27"/>
      <c r="D33" s="27"/>
      <c r="E33" s="27"/>
      <c r="F33" s="27"/>
      <c r="G33" s="27"/>
    </row>
    <row r="34" spans="1:7" ht="13.5" thickBot="1" x14ac:dyDescent="0.25">
      <c r="A34" s="27"/>
      <c r="B34" s="27"/>
      <c r="C34" s="27"/>
      <c r="D34" s="27"/>
      <c r="E34" s="27"/>
      <c r="F34" s="27"/>
      <c r="G34" s="27"/>
    </row>
    <row r="35" spans="1:7" ht="13.5" thickBot="1" x14ac:dyDescent="0.25">
      <c r="A35" s="27"/>
      <c r="B35" s="27"/>
      <c r="C35" s="27"/>
      <c r="D35" s="27"/>
      <c r="E35" s="27"/>
      <c r="F35" s="27"/>
      <c r="G35" s="27"/>
    </row>
    <row r="36" spans="1:7" ht="13.5" thickBot="1" x14ac:dyDescent="0.25">
      <c r="A36" s="27"/>
      <c r="B36" s="27"/>
      <c r="C36" s="27"/>
      <c r="D36" s="27"/>
      <c r="E36" s="27"/>
      <c r="F36" s="27"/>
      <c r="G36" s="27"/>
    </row>
    <row r="37" spans="1:7" ht="13.5" thickBot="1" x14ac:dyDescent="0.25">
      <c r="A37" s="27"/>
      <c r="B37" s="27"/>
      <c r="C37" s="27"/>
      <c r="D37" s="27"/>
      <c r="E37" s="27"/>
      <c r="F37" s="27"/>
      <c r="G37" s="27"/>
    </row>
    <row r="38" spans="1:7" ht="13.5" thickBot="1" x14ac:dyDescent="0.25">
      <c r="A38" s="27"/>
      <c r="B38" s="27"/>
      <c r="C38" s="27"/>
      <c r="D38" s="27"/>
      <c r="E38" s="27"/>
      <c r="F38" s="27"/>
      <c r="G38" s="27"/>
    </row>
    <row r="39" spans="1:7" ht="13.5" thickBot="1" x14ac:dyDescent="0.25">
      <c r="A39" s="27"/>
      <c r="B39" s="27"/>
      <c r="C39" s="27"/>
      <c r="D39" s="27"/>
      <c r="E39" s="27"/>
      <c r="F39" s="27"/>
      <c r="G39" s="27"/>
    </row>
    <row r="40" spans="1:7" ht="13.5" thickBot="1" x14ac:dyDescent="0.25">
      <c r="A40" s="27"/>
      <c r="B40" s="27"/>
      <c r="C40" s="27"/>
      <c r="D40" s="27"/>
      <c r="E40" s="27"/>
      <c r="F40" s="27"/>
      <c r="G40" s="27"/>
    </row>
    <row r="41" spans="1:7" ht="13.5" thickBot="1" x14ac:dyDescent="0.25">
      <c r="A41" s="27"/>
      <c r="B41" s="27"/>
      <c r="C41" s="27"/>
      <c r="D41" s="27"/>
      <c r="E41" s="27"/>
      <c r="F41" s="27"/>
      <c r="G41" s="27"/>
    </row>
    <row r="42" spans="1:7" ht="13.5" thickBot="1" x14ac:dyDescent="0.25">
      <c r="A42" s="27"/>
      <c r="B42" s="27"/>
      <c r="C42" s="27"/>
      <c r="D42" s="27"/>
      <c r="E42" s="27"/>
      <c r="F42" s="27"/>
      <c r="G42" s="27"/>
    </row>
    <row r="43" spans="1:7" ht="13.5" thickBot="1" x14ac:dyDescent="0.25">
      <c r="A43" s="27"/>
      <c r="B43" s="27"/>
      <c r="C43" s="27"/>
      <c r="D43" s="27"/>
      <c r="E43" s="27"/>
      <c r="F43" s="27"/>
      <c r="G43" s="27"/>
    </row>
    <row r="44" spans="1:7" ht="13.5" thickBot="1" x14ac:dyDescent="0.25">
      <c r="A44" s="27"/>
      <c r="B44" s="27"/>
      <c r="C44" s="27"/>
      <c r="D44" s="27"/>
      <c r="E44" s="27"/>
      <c r="F44" s="27"/>
      <c r="G44" s="27"/>
    </row>
    <row r="45" spans="1:7" ht="13.5" thickBot="1" x14ac:dyDescent="0.25">
      <c r="A45" s="27"/>
      <c r="B45" s="27"/>
      <c r="C45" s="27"/>
      <c r="D45" s="27"/>
      <c r="E45" s="27"/>
      <c r="F45" s="27"/>
      <c r="G45" s="27"/>
    </row>
    <row r="46" spans="1:7" ht="13.5" thickBot="1" x14ac:dyDescent="0.25">
      <c r="A46" s="27"/>
      <c r="B46" s="27"/>
      <c r="C46" s="27"/>
      <c r="D46" s="27"/>
      <c r="E46" s="27"/>
      <c r="F46" s="27"/>
      <c r="G46" s="27"/>
    </row>
    <row r="47" spans="1:7" ht="13.5" thickBot="1" x14ac:dyDescent="0.25">
      <c r="A47" s="27"/>
      <c r="B47" s="27"/>
      <c r="C47" s="27"/>
      <c r="D47" s="27"/>
      <c r="E47" s="27"/>
      <c r="F47" s="27"/>
      <c r="G47" s="27"/>
    </row>
    <row r="48" spans="1:7" ht="13.5" thickBot="1" x14ac:dyDescent="0.25">
      <c r="A48" s="27"/>
      <c r="B48" s="27"/>
      <c r="C48" s="27"/>
      <c r="D48" s="27"/>
      <c r="E48" s="27"/>
      <c r="F48" s="27"/>
      <c r="G48" s="27"/>
    </row>
    <row r="49" spans="1:7" ht="13.5" thickBot="1" x14ac:dyDescent="0.25">
      <c r="A49" s="27"/>
      <c r="B49" s="27"/>
      <c r="C49" s="27"/>
      <c r="D49" s="27"/>
      <c r="E49" s="27"/>
      <c r="F49" s="27"/>
      <c r="G49" s="27"/>
    </row>
    <row r="50" spans="1:7" ht="13.5" thickBot="1" x14ac:dyDescent="0.25">
      <c r="A50" s="27"/>
      <c r="B50" s="27"/>
      <c r="C50" s="27"/>
      <c r="D50" s="27"/>
      <c r="E50" s="27"/>
      <c r="F50" s="27"/>
      <c r="G50" s="27"/>
    </row>
    <row r="51" spans="1:7" ht="13.5" thickBot="1" x14ac:dyDescent="0.25">
      <c r="A51" s="27"/>
      <c r="B51" s="27"/>
      <c r="C51" s="27"/>
      <c r="D51" s="27"/>
      <c r="E51" s="27"/>
      <c r="F51" s="27"/>
      <c r="G51" s="27"/>
    </row>
    <row r="52" spans="1:7" ht="13.5" thickBot="1" x14ac:dyDescent="0.25">
      <c r="A52" s="27"/>
      <c r="B52" s="27"/>
      <c r="C52" s="27"/>
      <c r="D52" s="27"/>
      <c r="E52" s="27"/>
      <c r="F52" s="27"/>
      <c r="G52" s="27"/>
    </row>
    <row r="53" spans="1:7" ht="13.5" thickBot="1" x14ac:dyDescent="0.25">
      <c r="A53" s="27"/>
      <c r="B53" s="27"/>
      <c r="C53" s="27"/>
      <c r="D53" s="27"/>
      <c r="E53" s="27"/>
      <c r="F53" s="27"/>
      <c r="G53" s="27"/>
    </row>
    <row r="54" spans="1:7" ht="13.5" thickBot="1" x14ac:dyDescent="0.25">
      <c r="A54" s="27"/>
      <c r="B54" s="27"/>
      <c r="C54" s="27"/>
      <c r="D54" s="27"/>
      <c r="E54" s="27"/>
      <c r="F54" s="27"/>
      <c r="G54" s="27"/>
    </row>
    <row r="55" spans="1:7" ht="13.5" thickBot="1" x14ac:dyDescent="0.25">
      <c r="A55" s="27"/>
      <c r="B55" s="27"/>
      <c r="C55" s="27"/>
      <c r="D55" s="27"/>
      <c r="E55" s="27"/>
      <c r="F55" s="27"/>
      <c r="G55" s="27"/>
    </row>
    <row r="56" spans="1:7" ht="13.5" thickBot="1" x14ac:dyDescent="0.25">
      <c r="A56" s="27"/>
      <c r="B56" s="27"/>
      <c r="C56" s="27"/>
      <c r="D56" s="27"/>
      <c r="E56" s="27"/>
      <c r="F56" s="27"/>
      <c r="G56" s="27"/>
    </row>
    <row r="57" spans="1:7" ht="13.5" thickBot="1" x14ac:dyDescent="0.25">
      <c r="A57" s="27"/>
      <c r="B57" s="27"/>
      <c r="C57" s="27"/>
      <c r="D57" s="27"/>
      <c r="E57" s="27"/>
      <c r="F57" s="27"/>
      <c r="G57" s="27"/>
    </row>
  </sheetData>
  <mergeCells count="2">
    <mergeCell ref="A1:G1"/>
    <mergeCell ref="A2:G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7"/>
  </sheetPr>
  <dimension ref="A1:F15"/>
  <sheetViews>
    <sheetView view="pageBreakPreview" zoomScale="145" zoomScaleNormal="145" zoomScaleSheetLayoutView="145" workbookViewId="0">
      <selection activeCell="I10" sqref="I10"/>
    </sheetView>
  </sheetViews>
  <sheetFormatPr defaultRowHeight="12.75" x14ac:dyDescent="0.2"/>
  <cols>
    <col min="1" max="5" width="9.7109375" customWidth="1"/>
    <col min="6" max="6" width="5.28515625" customWidth="1"/>
  </cols>
  <sheetData>
    <row r="1" spans="1:6" s="17" customFormat="1" ht="11.25" x14ac:dyDescent="0.2">
      <c r="A1" s="28" t="s">
        <v>40</v>
      </c>
      <c r="B1" s="29"/>
      <c r="C1" s="29"/>
      <c r="D1" s="29"/>
      <c r="E1" s="29"/>
      <c r="F1" s="30"/>
    </row>
    <row r="2" spans="1:6" s="17" customFormat="1" ht="11.25" x14ac:dyDescent="0.2">
      <c r="A2" s="244"/>
      <c r="B2" s="245"/>
      <c r="C2" s="245"/>
      <c r="F2" s="31"/>
    </row>
    <row r="3" spans="1:6" s="17" customFormat="1" ht="11.25" x14ac:dyDescent="0.2">
      <c r="A3" s="32" t="s">
        <v>41</v>
      </c>
      <c r="F3" s="31"/>
    </row>
    <row r="4" spans="1:6" x14ac:dyDescent="0.2">
      <c r="A4" s="244"/>
      <c r="B4" s="245"/>
      <c r="C4" s="245"/>
      <c r="D4" s="245"/>
      <c r="E4" s="245"/>
      <c r="F4" s="246"/>
    </row>
    <row r="5" spans="1:6" s="16" customFormat="1" ht="9.75" x14ac:dyDescent="0.15">
      <c r="A5" s="247" t="s">
        <v>42</v>
      </c>
      <c r="B5" s="248"/>
      <c r="C5" s="248"/>
      <c r="D5" s="248"/>
      <c r="E5" s="248"/>
      <c r="F5" s="249"/>
    </row>
    <row r="6" spans="1:6" x14ac:dyDescent="0.2">
      <c r="A6" s="244"/>
      <c r="B6" s="245"/>
      <c r="C6" s="245"/>
      <c r="D6" s="245"/>
      <c r="E6" s="245"/>
      <c r="F6" s="246"/>
    </row>
    <row r="7" spans="1:6" s="16" customFormat="1" ht="10.5" thickBot="1" x14ac:dyDescent="0.2">
      <c r="A7" s="250" t="s">
        <v>43</v>
      </c>
      <c r="B7" s="251"/>
      <c r="C7" s="251"/>
      <c r="D7" s="251"/>
      <c r="E7" s="251"/>
      <c r="F7" s="252"/>
    </row>
    <row r="8" spans="1:6" ht="13.5" thickBot="1" x14ac:dyDescent="0.25"/>
    <row r="9" spans="1:6" x14ac:dyDescent="0.2">
      <c r="A9" s="28" t="s">
        <v>40</v>
      </c>
      <c r="B9" s="29"/>
      <c r="C9" s="29"/>
      <c r="D9" s="29"/>
      <c r="E9" s="29"/>
      <c r="F9" s="30"/>
    </row>
    <row r="10" spans="1:6" x14ac:dyDescent="0.2">
      <c r="A10" s="244"/>
      <c r="B10" s="245"/>
      <c r="C10" s="245"/>
      <c r="D10" s="17"/>
      <c r="E10" s="17"/>
      <c r="F10" s="31"/>
    </row>
    <row r="11" spans="1:6" x14ac:dyDescent="0.2">
      <c r="A11" s="32" t="s">
        <v>41</v>
      </c>
      <c r="B11" s="17"/>
      <c r="C11" s="17"/>
      <c r="D11" s="17"/>
      <c r="E11" s="17"/>
      <c r="F11" s="31"/>
    </row>
    <row r="12" spans="1:6" x14ac:dyDescent="0.2">
      <c r="A12" s="244"/>
      <c r="B12" s="245"/>
      <c r="C12" s="245"/>
      <c r="D12" s="245"/>
      <c r="E12" s="245"/>
      <c r="F12" s="246"/>
    </row>
    <row r="13" spans="1:6" x14ac:dyDescent="0.2">
      <c r="A13" s="247" t="s">
        <v>42</v>
      </c>
      <c r="B13" s="248"/>
      <c r="C13" s="248"/>
      <c r="D13" s="248"/>
      <c r="E13" s="248"/>
      <c r="F13" s="249"/>
    </row>
    <row r="14" spans="1:6" x14ac:dyDescent="0.2">
      <c r="A14" s="244"/>
      <c r="B14" s="245"/>
      <c r="C14" s="245"/>
      <c r="D14" s="245"/>
      <c r="E14" s="245"/>
      <c r="F14" s="246"/>
    </row>
    <row r="15" spans="1:6" ht="13.5" thickBot="1" x14ac:dyDescent="0.25">
      <c r="A15" s="250" t="s">
        <v>43</v>
      </c>
      <c r="B15" s="251"/>
      <c r="C15" s="251"/>
      <c r="D15" s="251"/>
      <c r="E15" s="251"/>
      <c r="F15" s="252"/>
    </row>
  </sheetData>
  <mergeCells count="10">
    <mergeCell ref="A10:C10"/>
    <mergeCell ref="A12:F12"/>
    <mergeCell ref="A13:F13"/>
    <mergeCell ref="A14:F14"/>
    <mergeCell ref="A15:F15"/>
    <mergeCell ref="A4:F4"/>
    <mergeCell ref="A5:F5"/>
    <mergeCell ref="A6:F6"/>
    <mergeCell ref="A7:F7"/>
    <mergeCell ref="A2:C2"/>
  </mergeCells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14</vt:i4>
      </vt:variant>
    </vt:vector>
  </HeadingPairs>
  <TitlesOfParts>
    <vt:vector size="25" baseType="lpstr">
      <vt:lpstr>Данные организации</vt:lpstr>
      <vt:lpstr>Данные объект</vt:lpstr>
      <vt:lpstr>Обложка</vt:lpstr>
      <vt:lpstr>Титульный лист</vt:lpstr>
      <vt:lpstr>Раздел1</vt:lpstr>
      <vt:lpstr>Раздел2</vt:lpstr>
      <vt:lpstr>Раздел3</vt:lpstr>
      <vt:lpstr>Раздел4</vt:lpstr>
      <vt:lpstr>Раздел5</vt:lpstr>
      <vt:lpstr>Раздел6</vt:lpstr>
      <vt:lpstr>ярлык</vt:lpstr>
      <vt:lpstr>Раздел1!Заголовки_для_печати</vt:lpstr>
      <vt:lpstr>Раздел3!Заголовки_для_печати</vt:lpstr>
      <vt:lpstr>Раздел4!Заголовки_для_печати</vt:lpstr>
      <vt:lpstr>Раздел5!Заголовки_для_печати</vt:lpstr>
      <vt:lpstr>Раздел6!Заголовки_для_печати</vt:lpstr>
      <vt:lpstr>Обложка!Область_печати</vt:lpstr>
      <vt:lpstr>Раздел1!Область_печати</vt:lpstr>
      <vt:lpstr>Раздел2!Область_печати</vt:lpstr>
      <vt:lpstr>Раздел3!Область_печати</vt:lpstr>
      <vt:lpstr>Раздел4!Область_печати</vt:lpstr>
      <vt:lpstr>Раздел5!Область_печати</vt:lpstr>
      <vt:lpstr>Раздел6!Область_печати</vt:lpstr>
      <vt:lpstr>'Титульный лист'!Область_печати</vt:lpstr>
      <vt:lpstr>ярлык!Область_печати</vt:lpstr>
    </vt:vector>
  </TitlesOfParts>
  <Company>Excel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Camarillo</dc:creator>
  <cp:lastModifiedBy>Бараночникова Виктория Романовна</cp:lastModifiedBy>
  <cp:lastPrinted>2026-04-13T11:43:36Z</cp:lastPrinted>
  <dcterms:created xsi:type="dcterms:W3CDTF">1996-10-08T23:32:33Z</dcterms:created>
  <dcterms:modified xsi:type="dcterms:W3CDTF">2026-07-15T06:47:33Z</dcterms:modified>
</cp:coreProperties>
</file>