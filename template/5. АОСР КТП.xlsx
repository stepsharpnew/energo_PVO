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91E97887-55DF-42F2-AE2E-7258F53E21A1}" xr6:coauthVersionLast="45" xr6:coauthVersionMax="47" xr10:uidLastSave="{00000000-0000-0000-0000-000000000000}"/>
  <bookViews>
    <workbookView xWindow="-120" yWindow="-120" windowWidth="29040" windowHeight="15840" tabRatio="873" xr2:uid="{00000000-000D-0000-FFFF-FFFF00000000}"/>
  </bookViews>
  <sheets>
    <sheet name="Данные организации" sheetId="14" r:id="rId1"/>
    <sheet name="Данные объект" sheetId="15" r:id="rId2"/>
    <sheet name="АОСР-1" sheetId="2" r:id="rId3"/>
    <sheet name="АОСР-2" sheetId="4" r:id="rId4"/>
    <sheet name="АОСР-3" sheetId="5" r:id="rId5"/>
    <sheet name="АОСР-4" sheetId="6" r:id="rId6"/>
    <sheet name="АОСР-5" sheetId="7" r:id="rId7"/>
    <sheet name="АОСР-6" sheetId="8" r:id="rId8"/>
    <sheet name="АОСР-7" sheetId="9" r:id="rId9"/>
    <sheet name="АОСР-8" sheetId="11" r:id="rId10"/>
    <sheet name="АОСР-9" sheetId="16" r:id="rId11"/>
  </sheets>
  <externalReferences>
    <externalReference r:id="rId12"/>
  </externalReferences>
  <definedNames>
    <definedName name="_xlnm.Print_Area" localSheetId="2">'АОСР-1'!$A$1:$AJ$111</definedName>
    <definedName name="_xlnm.Print_Area" localSheetId="3">'АОСР-2'!$A$1:$AJ$115</definedName>
    <definedName name="_xlnm.Print_Area" localSheetId="4">'АОСР-3'!$A$1:$AJ$115</definedName>
    <definedName name="_xlnm.Print_Area" localSheetId="5">'АОСР-4'!$A$1:$AJ$123</definedName>
    <definedName name="_xlnm.Print_Area" localSheetId="6">'АОСР-5'!$A$1:$AJ$113</definedName>
    <definedName name="_xlnm.Print_Area" localSheetId="7">'АОСР-6'!$A$1:$AJ$118</definedName>
    <definedName name="_xlnm.Print_Area" localSheetId="8">'АОСР-7'!$A$1:$AJ$116</definedName>
    <definedName name="_xlnm.Print_Area" localSheetId="9">'АОСР-8'!$A$1:$AJ$119</definedName>
    <definedName name="_xlnm.Print_Area" localSheetId="10">'АОСР-9'!$A$1:$AJ$117</definedName>
    <definedName name="_xlnm.Print_Area" localSheetId="1">'Данные объект'!$A$1:$B$53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5" i="14" l="1"/>
  <c r="H24" i="14"/>
  <c r="H23" i="14"/>
  <c r="A110" i="16" l="1"/>
  <c r="A112" i="11"/>
  <c r="A109" i="9"/>
  <c r="A111" i="8"/>
  <c r="A106" i="7"/>
  <c r="A116" i="6"/>
  <c r="A108" i="5"/>
  <c r="A108" i="4"/>
  <c r="A104" i="2"/>
  <c r="C33" i="16" l="1"/>
  <c r="A116" i="16"/>
  <c r="A107" i="16"/>
  <c r="A103" i="16"/>
  <c r="A100" i="16"/>
  <c r="B95" i="16"/>
  <c r="B94" i="16"/>
  <c r="B93" i="16"/>
  <c r="P80" i="16"/>
  <c r="AB33" i="16" s="1"/>
  <c r="P79" i="16"/>
  <c r="A66" i="16"/>
  <c r="L63" i="16"/>
  <c r="A59" i="16"/>
  <c r="A54" i="16"/>
  <c r="A45" i="16"/>
  <c r="A39" i="16"/>
  <c r="A27" i="16"/>
  <c r="A25" i="16"/>
  <c r="A23" i="16"/>
  <c r="A20" i="16"/>
  <c r="A18" i="16"/>
  <c r="A16" i="16"/>
  <c r="A13" i="16"/>
  <c r="A11" i="16"/>
  <c r="A9" i="16"/>
  <c r="A5" i="16"/>
  <c r="A4" i="16"/>
  <c r="C37" i="15" l="1"/>
  <c r="C36" i="15"/>
  <c r="C33" i="15"/>
  <c r="C35" i="15"/>
  <c r="C34" i="15"/>
  <c r="A37" i="16" s="1"/>
  <c r="A48" i="4" l="1"/>
  <c r="A48" i="7"/>
  <c r="A48" i="2"/>
  <c r="A48" i="9"/>
  <c r="A48" i="16"/>
  <c r="A48" i="11"/>
  <c r="A48" i="8"/>
  <c r="A48" i="5"/>
  <c r="A48" i="6"/>
  <c r="B99" i="6"/>
  <c r="B100" i="6"/>
  <c r="B101" i="6"/>
  <c r="B98" i="6"/>
  <c r="O63" i="5" l="1"/>
  <c r="B97" i="11" l="1"/>
  <c r="B96" i="11"/>
  <c r="B95" i="11"/>
  <c r="B96" i="8"/>
  <c r="B95" i="8"/>
  <c r="B93" i="5" l="1"/>
  <c r="B93" i="4"/>
  <c r="H63" i="6"/>
  <c r="V63" i="5"/>
  <c r="A63" i="6"/>
  <c r="T63" i="4" l="1"/>
  <c r="B89" i="2"/>
  <c r="B44" i="15"/>
  <c r="A37" i="8" l="1"/>
  <c r="C21" i="15"/>
  <c r="A42" i="2" s="1"/>
  <c r="C18" i="15"/>
  <c r="A45" i="4" s="1"/>
  <c r="A18" i="7"/>
  <c r="R63" i="9"/>
  <c r="M63" i="9"/>
  <c r="J63" i="8"/>
  <c r="J63" i="7"/>
  <c r="A109" i="11"/>
  <c r="A105" i="11"/>
  <c r="A102" i="11"/>
  <c r="A106" i="9"/>
  <c r="A102" i="9"/>
  <c r="A99" i="9"/>
  <c r="A108" i="8"/>
  <c r="A104" i="8"/>
  <c r="A101" i="8"/>
  <c r="A103" i="7"/>
  <c r="A99" i="7"/>
  <c r="A96" i="7"/>
  <c r="A113" i="6"/>
  <c r="A109" i="6"/>
  <c r="A106" i="6"/>
  <c r="A66" i="11"/>
  <c r="A66" i="9"/>
  <c r="A66" i="8"/>
  <c r="A66" i="7"/>
  <c r="A66" i="6"/>
  <c r="A105" i="5"/>
  <c r="A101" i="5"/>
  <c r="A98" i="5"/>
  <c r="D70" i="5"/>
  <c r="A66" i="5"/>
  <c r="A59" i="11"/>
  <c r="A54" i="11"/>
  <c r="A59" i="9"/>
  <c r="A54" i="9"/>
  <c r="A59" i="8"/>
  <c r="A54" i="8"/>
  <c r="A59" i="7"/>
  <c r="A54" i="7"/>
  <c r="A42" i="7"/>
  <c r="A59" i="6"/>
  <c r="A54" i="6"/>
  <c r="A42" i="6"/>
  <c r="A59" i="5"/>
  <c r="A54" i="5"/>
  <c r="A27" i="11"/>
  <c r="A25" i="11"/>
  <c r="A23" i="11"/>
  <c r="A20" i="11"/>
  <c r="A16" i="11"/>
  <c r="A9" i="11"/>
  <c r="A5" i="11"/>
  <c r="A4" i="11"/>
  <c r="A27" i="9"/>
  <c r="A25" i="9"/>
  <c r="A23" i="9"/>
  <c r="A20" i="9"/>
  <c r="A16" i="9"/>
  <c r="A9" i="9"/>
  <c r="A5" i="9"/>
  <c r="A4" i="9"/>
  <c r="A27" i="8"/>
  <c r="A25" i="8"/>
  <c r="A23" i="8"/>
  <c r="A20" i="8"/>
  <c r="A16" i="8"/>
  <c r="A9" i="8"/>
  <c r="A5" i="8"/>
  <c r="A4" i="8"/>
  <c r="A27" i="7"/>
  <c r="A25" i="7"/>
  <c r="A23" i="7"/>
  <c r="A20" i="7"/>
  <c r="A16" i="7"/>
  <c r="A9" i="7"/>
  <c r="A5" i="7"/>
  <c r="A4" i="7"/>
  <c r="A27" i="6"/>
  <c r="A25" i="6"/>
  <c r="A23" i="6"/>
  <c r="A20" i="6"/>
  <c r="A16" i="6"/>
  <c r="A9" i="6"/>
  <c r="A5" i="6"/>
  <c r="A4" i="6"/>
  <c r="A27" i="5"/>
  <c r="A25" i="5"/>
  <c r="A23" i="5"/>
  <c r="A20" i="5"/>
  <c r="A16" i="5"/>
  <c r="A9" i="5"/>
  <c r="A5" i="5"/>
  <c r="A4" i="5"/>
  <c r="A105" i="4"/>
  <c r="A101" i="4"/>
  <c r="A98" i="4"/>
  <c r="D70" i="4"/>
  <c r="A66" i="4"/>
  <c r="A66" i="2"/>
  <c r="P63" i="4"/>
  <c r="A59" i="4"/>
  <c r="C33" i="4"/>
  <c r="C33" i="5" s="1"/>
  <c r="C33" i="6" s="1"/>
  <c r="A27" i="4"/>
  <c r="A25" i="4"/>
  <c r="A23" i="4"/>
  <c r="A20" i="4"/>
  <c r="A16" i="4"/>
  <c r="A9" i="4"/>
  <c r="A5" i="4"/>
  <c r="A4" i="4"/>
  <c r="A4" i="2"/>
  <c r="P81" i="11"/>
  <c r="AB33" i="11" s="1"/>
  <c r="P80" i="11"/>
  <c r="P77" i="9"/>
  <c r="AB33" i="9" s="1"/>
  <c r="P76" i="9"/>
  <c r="P80" i="8"/>
  <c r="AB33" i="8" s="1"/>
  <c r="P79" i="8"/>
  <c r="P77" i="7"/>
  <c r="AB33" i="7" s="1"/>
  <c r="P76" i="7"/>
  <c r="P82" i="6"/>
  <c r="AB33" i="6" s="1"/>
  <c r="P81" i="6"/>
  <c r="P79" i="5"/>
  <c r="AB33" i="5" s="1"/>
  <c r="P78" i="5"/>
  <c r="P79" i="4"/>
  <c r="AB33" i="4" s="1"/>
  <c r="P78" i="4"/>
  <c r="A101" i="2"/>
  <c r="A97" i="2"/>
  <c r="A94" i="2"/>
  <c r="P76" i="2"/>
  <c r="AB33" i="2" s="1"/>
  <c r="P75" i="2"/>
  <c r="N63" i="2"/>
  <c r="Q63" i="11" s="1"/>
  <c r="A59" i="2"/>
  <c r="A27" i="2"/>
  <c r="A25" i="2"/>
  <c r="A23" i="2"/>
  <c r="A20" i="2"/>
  <c r="A16" i="2"/>
  <c r="A9" i="2"/>
  <c r="A5" i="2"/>
  <c r="C32" i="15"/>
  <c r="C31" i="15"/>
  <c r="C30" i="15"/>
  <c r="C29" i="15"/>
  <c r="C28" i="15"/>
  <c r="C27" i="15"/>
  <c r="C26" i="15"/>
  <c r="B25" i="15"/>
  <c r="A13" i="6" s="1"/>
  <c r="B24" i="15"/>
  <c r="A11" i="11" s="1"/>
  <c r="C20" i="15"/>
  <c r="C19" i="15"/>
  <c r="C17" i="15"/>
  <c r="C16" i="15"/>
  <c r="C15" i="15"/>
  <c r="D29" i="14"/>
  <c r="C29" i="14"/>
  <c r="G28" i="14"/>
  <c r="D28" i="14"/>
  <c r="C28" i="14"/>
  <c r="I27" i="14"/>
  <c r="G27" i="14"/>
  <c r="D27" i="14"/>
  <c r="C27" i="14"/>
  <c r="I26" i="14"/>
  <c r="G26" i="14"/>
  <c r="D26" i="14"/>
  <c r="C26" i="14"/>
  <c r="I25" i="14"/>
  <c r="G25" i="14"/>
  <c r="D25" i="14"/>
  <c r="C25" i="14"/>
  <c r="I24" i="14"/>
  <c r="G24" i="14"/>
  <c r="D24" i="14"/>
  <c r="C24" i="14"/>
  <c r="I23" i="14"/>
  <c r="G23" i="14"/>
  <c r="D23" i="14"/>
  <c r="C23" i="14"/>
  <c r="A118" i="11"/>
  <c r="B94" i="11"/>
  <c r="A115" i="9"/>
  <c r="B94" i="9"/>
  <c r="B93" i="9"/>
  <c r="B92" i="9"/>
  <c r="B90" i="9"/>
  <c r="A117" i="8"/>
  <c r="B94" i="8"/>
  <c r="A112" i="7"/>
  <c r="B91" i="7"/>
  <c r="B90" i="7"/>
  <c r="A122" i="6"/>
  <c r="B97" i="6"/>
  <c r="A114" i="5"/>
  <c r="B92" i="5"/>
  <c r="B92" i="4"/>
  <c r="A114" i="4"/>
  <c r="A54" i="4"/>
  <c r="A110" i="2"/>
  <c r="A54" i="2"/>
  <c r="A42" i="9" l="1"/>
  <c r="A42" i="16"/>
  <c r="C33" i="7"/>
  <c r="C33" i="8" s="1"/>
  <c r="C33" i="9" s="1"/>
  <c r="C33" i="11" s="1"/>
  <c r="A11" i="5"/>
  <c r="A11" i="4"/>
  <c r="A11" i="8"/>
  <c r="A37" i="2"/>
  <c r="A37" i="7"/>
  <c r="A37" i="5"/>
  <c r="A13" i="11"/>
  <c r="A45" i="7"/>
  <c r="A13" i="8"/>
  <c r="A42" i="5"/>
  <c r="A45" i="5"/>
  <c r="A42" i="8"/>
  <c r="C23" i="15"/>
  <c r="A45" i="8"/>
  <c r="A13" i="5"/>
  <c r="A11" i="2"/>
  <c r="A13" i="4"/>
  <c r="A11" i="9"/>
  <c r="A37" i="6"/>
  <c r="A37" i="9"/>
  <c r="A45" i="6"/>
  <c r="A45" i="9"/>
  <c r="A45" i="2"/>
  <c r="A11" i="7"/>
  <c r="A13" i="7"/>
  <c r="A37" i="11"/>
  <c r="A37" i="4"/>
  <c r="A13" i="9"/>
  <c r="A42" i="4"/>
  <c r="A11" i="6"/>
  <c r="A42" i="11"/>
  <c r="A13" i="2"/>
  <c r="A45" i="11"/>
  <c r="C11" i="15"/>
  <c r="A18" i="6"/>
  <c r="A18" i="2"/>
  <c r="A18" i="4"/>
  <c r="A18" i="5"/>
  <c r="A18" i="11"/>
  <c r="A18" i="9"/>
  <c r="A18" i="8"/>
  <c r="A39" i="4" l="1"/>
  <c r="A39" i="2"/>
  <c r="A39" i="7"/>
  <c r="A39" i="9"/>
  <c r="A39" i="11"/>
  <c r="A39" i="6"/>
  <c r="A39" i="8"/>
  <c r="A39" i="5"/>
</calcChain>
</file>

<file path=xl/sharedStrings.xml><?xml version="1.0" encoding="utf-8"?>
<sst xmlns="http://schemas.openxmlformats.org/spreadsheetml/2006/main" count="1132" uniqueCount="244">
  <si>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</si>
  <si>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</si>
  <si>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</si>
  <si>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</si>
  <si>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</si>
  <si>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</si>
  <si>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</si>
  <si>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</si>
  <si>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</si>
  <si>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</si>
  <si>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</si>
  <si>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</si>
  <si>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</si>
  <si>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</si>
  <si>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</si>
  <si>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</si>
  <si>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</si>
  <si>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</si>
  <si>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</si>
  <si>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</si>
  <si>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</si>
  <si>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</si>
  <si>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</si>
  <si>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</si>
  <si>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</si>
  <si>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</si>
  <si>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</si>
  <si>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</si>
  <si>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</si>
  <si>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</si>
  <si>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</si>
  <si>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</si>
  <si>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</si>
  <si>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</si>
  <si>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</si>
  <si>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</si>
  <si>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</si>
  <si>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</si>
  <si>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</si>
  <si>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</si>
  <si>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</si>
  <si>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</si>
  <si>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</si>
  <si>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</si>
  <si>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</si>
  <si>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</si>
  <si>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</si>
  <si>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</si>
  <si>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</si>
  <si>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</si>
  <si>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</si>
  <si>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</si>
  <si>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</si>
  <si>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</si>
  <si>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</si>
  <si>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</si>
  <si>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</si>
  <si>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</si>
  <si>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</si>
  <si>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</si>
  <si>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</si>
  <si>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</si>
  <si>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</si>
  <si>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</si>
  <si>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</si>
  <si>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</si>
  <si>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</si>
  <si>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</si>
  <si>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</si>
  <si>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</si>
  <si>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</si>
  <si>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</si>
  <si>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</si>
  <si>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</si>
  <si>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</si>
  <si>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</si>
  <si>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</si>
  <si>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</si>
  <si>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</si>
  <si>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</si>
  <si>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</si>
  <si>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</si>
  <si>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</si>
  <si>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Исполнительная схема устройства фундамента</t>
  </si>
  <si>
    <t>Песчаное основание под фундамент ТП</t>
  </si>
  <si>
    <t>Щебеночное основание под фундамент ТП</t>
  </si>
  <si>
    <t>Песок -</t>
  </si>
  <si>
    <t>м3</t>
  </si>
  <si>
    <t xml:space="preserve">1. </t>
  </si>
  <si>
    <t>1 лист</t>
  </si>
  <si>
    <t>2.</t>
  </si>
  <si>
    <t>/ТП</t>
  </si>
  <si>
    <t>Щебень -</t>
  </si>
  <si>
    <t>Исполнительная схема заземления ТП</t>
  </si>
  <si>
    <t>Устройство заземления ТП</t>
  </si>
  <si>
    <t>Уголок - 50х50х5</t>
  </si>
  <si>
    <t>Полоса 40х4</t>
  </si>
  <si>
    <t>2 лист</t>
  </si>
  <si>
    <t>3 лист</t>
  </si>
  <si>
    <t>3.</t>
  </si>
  <si>
    <t>4.</t>
  </si>
  <si>
    <t>Обратная засыпка заземления ТП</t>
  </si>
  <si>
    <t>Монтаж ТП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</si>
  <si>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</si>
  <si>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Приказ №05-ОТ/24 от 09 января 2024г</t>
  </si>
  <si>
    <t>Инженер по строительному контролю</t>
  </si>
  <si>
    <t>Капитонов Д.А.</t>
  </si>
  <si>
    <t>Приказ № 18-ОТ/24 от 03 июня 2024 (НОСТРОЙ С-50-188017)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</si>
  <si>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</si>
  <si>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</si>
  <si>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</si>
  <si>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</si>
  <si>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</si>
  <si>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</si>
  <si>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</si>
  <si>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</si>
  <si>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</si>
  <si>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</si>
  <si>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</si>
  <si>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</si>
  <si>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</si>
  <si>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</si>
  <si>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</si>
  <si>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</si>
  <si>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</si>
  <si>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</si>
  <si>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</si>
  <si>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</si>
  <si>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</si>
  <si>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</si>
  <si>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</si>
  <si>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</si>
  <si>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</si>
  <si>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</si>
  <si>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</si>
  <si>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</si>
  <si>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</si>
  <si>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</si>
  <si>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</si>
  <si>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</si>
  <si>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</si>
  <si>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</si>
  <si>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</si>
  <si>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</si>
  <si>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</si>
  <si>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</si>
  <si>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</si>
  <si>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</si>
  <si>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</si>
  <si>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</si>
  <si>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</si>
  <si>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</si>
  <si>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</si>
  <si>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</si>
  <si>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ТП</t>
  </si>
  <si>
    <t>Реквизиты</t>
  </si>
  <si>
    <t>ФИО</t>
  </si>
  <si>
    <t>Приказ</t>
  </si>
  <si>
    <t xml:space="preserve">Выемка грунта под монтаж фундамента </t>
  </si>
  <si>
    <t xml:space="preserve">Песчаное основание под монтаж фундамента </t>
  </si>
  <si>
    <t xml:space="preserve">Щебеночное основание под монтаж фундамента </t>
  </si>
  <si>
    <t>м</t>
  </si>
  <si>
    <t>м2</t>
  </si>
  <si>
    <t xml:space="preserve">Выемка грунта под заземление </t>
  </si>
  <si>
    <t xml:space="preserve">Устройство заземления </t>
  </si>
  <si>
    <t xml:space="preserve">Обратная засыпка грунта заземления </t>
  </si>
  <si>
    <t>Устройство площадки обслуживания и лестницы ТП</t>
  </si>
  <si>
    <t>Устройство площадки обслуживания и лестницы</t>
  </si>
  <si>
    <t>Швеллер 10П</t>
  </si>
  <si>
    <t>Электромонтажные работы выполнены по проектной документации согласно требованиям СП 76.13330.2016 и ПУЭ</t>
  </si>
  <si>
    <t>/</t>
  </si>
  <si>
    <t>Уголок 63х63х5</t>
  </si>
  <si>
    <t>Сталь круглая Ø12</t>
  </si>
  <si>
    <t>1.</t>
  </si>
  <si>
    <t>шт.</t>
  </si>
  <si>
    <t>Монтаж фундамента</t>
  </si>
  <si>
    <t>Исполнительная схема площадки обслуживания ТП</t>
  </si>
  <si>
    <t>№4516 от 28.12.2024</t>
  </si>
  <si>
    <t xml:space="preserve">№3560 от 24.10.2024 </t>
  </si>
  <si>
    <t>№263 от 31.01.2024</t>
  </si>
  <si>
    <t>№2041 от 26.06.2023</t>
  </si>
  <si>
    <t>№1755 от 07.06.2023</t>
  </si>
  <si>
    <t>Приказы Жижкевича и Хлебнова: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</si>
  <si>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</si>
  <si>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(наименования и структурные единицы технических регламентов, иных нормативных правовых актов, разделы проектной и (или) рабочей документации)</t>
  </si>
  <si>
    <t>Выемка грунта под заземление ТП</t>
  </si>
  <si>
    <t>Профлист оцинкованный</t>
  </si>
  <si>
    <t xml:space="preserve">Полоса 50х4 </t>
  </si>
  <si>
    <t>Блок ФБС 24.4.6</t>
  </si>
  <si>
    <t>Документ о качестве № 119 от 03.04.2024г.</t>
  </si>
  <si>
    <t>Сертификат № 2024647014 от 13.04.2024г.</t>
  </si>
  <si>
    <t xml:space="preserve">Сертификат № 21010194 от 09.04.2024г. </t>
  </si>
  <si>
    <t>Сертификат № РОСС RU/32001.04ИБФ1.ОСП28.47246 от 08.02.2024г.</t>
  </si>
  <si>
    <t>2 листа</t>
  </si>
  <si>
    <t>5.</t>
  </si>
  <si>
    <t>Сертификат качества № 2021644263 от 12.04.2024г.</t>
  </si>
  <si>
    <t>Документ о качестве № 2305390 от 18.02.2024г.</t>
  </si>
  <si>
    <t>Сертификат качества № 2060647170 от 08.04.2024г.</t>
  </si>
  <si>
    <t>Сертификат № 3968968 от 18.04.2024г.</t>
  </si>
  <si>
    <t>SAP - 315915</t>
  </si>
  <si>
    <t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t>
  </si>
  <si>
    <t>р-н Солнечногорский, Новинское лесничество квартал 29 выд. 27,31</t>
  </si>
  <si>
    <t>07.04.2025</t>
  </si>
  <si>
    <t>18.04.2025</t>
  </si>
  <si>
    <t>4844-315915-113-05/24</t>
  </si>
  <si>
    <t>Паспорт качества № 1925 от 15.01.2025г.</t>
  </si>
  <si>
    <t>Сертификат № 31 от 16.01.2025г.</t>
  </si>
  <si>
    <t>А также иные представители лиц, участвующих в освидетельствовании:</t>
  </si>
  <si>
    <t>Представители иных лиц: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</si>
  <si>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</si>
  <si>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</si>
  <si>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</si>
  <si>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НРС № С-77-286715</t>
  </si>
  <si>
    <t>Филлипов А.Ю.</t>
  </si>
  <si>
    <t>Геодезист</t>
  </si>
  <si>
    <t>Андречик К.Л.</t>
  </si>
  <si>
    <t>Авдошкин Р.А.</t>
  </si>
  <si>
    <t xml:space="preserve">Главный инженер </t>
  </si>
  <si>
    <t>Приказ № ОТ-25 от 12.01.2024</t>
  </si>
  <si>
    <t>Горбан Г.К.</t>
  </si>
  <si>
    <t>Приказ № 13-ОТ/25 от 05 мая 2025 (НОСТРОЙ С-50-085497)</t>
  </si>
  <si>
    <t>Русин В.А.</t>
  </si>
  <si>
    <t>Приказ №05-ОТ/24 от 09.01.2024г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</si>
  <si>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</si>
  <si>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,</t>
  </si>
  <si>
    <t>(номер, другие реквизиты чертежа, наименование проектной и/или рабочей документации, сведения о лицах, осуществляющих подготовку раздела проектной и/или рабочей документации)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</si>
  <si>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</si>
  <si>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 xml:space="preserve">, </t>
  </si>
  <si>
    <t>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</si>
  <si>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                                          и иных испытаний выполненных работ, проведенных в процессе строительного контроля)</t>
  </si>
  <si>
    <t>КТП №3865</t>
  </si>
  <si>
    <t xml:space="preserve">Устройство ограждения </t>
  </si>
  <si>
    <t>Уголок 50х50х5</t>
  </si>
  <si>
    <t xml:space="preserve">Сертификат качества № </t>
  </si>
  <si>
    <t>Рабица 50х50х2</t>
  </si>
  <si>
    <t>Исполнительная схема ограждения ТП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</si>
  <si>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</si>
  <si>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</si>
  <si>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</si>
  <si>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</si>
  <si>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</si>
  <si>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Приказ №2363 от 29 июля 2025г (НРС С-50-069023)</t>
  </si>
  <si>
    <t>Приказ № от  июля 2026г (НРС С-31-330248)</t>
  </si>
  <si>
    <t>Приказ №1904 от 03 июня 2026г (НРС С-50-069023)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</si>
</sst>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"/>
  </numFmts>
  <fonts count="26" x14ac:knownFonts="1">
    <font>
      <sz val="10"/>
      <name val="Times New Roman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sz val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7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62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5" fillId="0" borderId="0" xfId="1" applyFont="1"/>
    <xf numFmtId="0" fontId="7" fillId="0" borderId="0" xfId="1" applyFont="1" applyAlignment="1">
      <alignment vertical="center"/>
    </xf>
    <xf numFmtId="0" fontId="4" fillId="0" borderId="0" xfId="1" applyFont="1" applyAlignment="1">
      <alignment horizontal="left"/>
    </xf>
    <xf numFmtId="0" fontId="9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top"/>
    </xf>
    <xf numFmtId="0" fontId="11" fillId="0" borderId="0" xfId="1" applyFont="1"/>
    <xf numFmtId="0" fontId="10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0" fontId="0" fillId="0" borderId="1" xfId="0" applyBorder="1"/>
    <xf numFmtId="0" fontId="12" fillId="0" borderId="2" xfId="1" applyFont="1" applyBorder="1"/>
    <xf numFmtId="0" fontId="4" fillId="0" borderId="0" xfId="0" applyFont="1"/>
    <xf numFmtId="0" fontId="14" fillId="0" borderId="2" xfId="1" applyFont="1" applyBorder="1" applyAlignment="1">
      <alignment horizontal="left"/>
    </xf>
    <xf numFmtId="0" fontId="14" fillId="0" borderId="2" xfId="1" applyFont="1" applyBorder="1"/>
    <xf numFmtId="0" fontId="12" fillId="0" borderId="3" xfId="1" applyFont="1" applyBorder="1"/>
    <xf numFmtId="0" fontId="14" fillId="0" borderId="3" xfId="1" applyFont="1" applyBorder="1"/>
    <xf numFmtId="0" fontId="8" fillId="0" borderId="0" xfId="1" applyFont="1"/>
    <xf numFmtId="0" fontId="8" fillId="0" borderId="0" xfId="1" applyFont="1" applyAlignment="1">
      <alignment horizontal="right"/>
    </xf>
    <xf numFmtId="0" fontId="8" fillId="0" borderId="0" xfId="1" applyFont="1" applyAlignment="1">
      <alignment wrapText="1"/>
    </xf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15" fillId="0" borderId="2" xfId="1" applyFont="1" applyBorder="1"/>
    <xf numFmtId="0" fontId="17" fillId="0" borderId="0" xfId="1" applyFont="1" applyAlignment="1">
      <alignment horizontal="center"/>
    </xf>
    <xf numFmtId="0" fontId="8" fillId="0" borderId="0" xfId="1" applyFont="1" applyAlignment="1">
      <alignment vertical="center"/>
    </xf>
    <xf numFmtId="0" fontId="15" fillId="0" borderId="2" xfId="1" applyFont="1" applyBorder="1" applyAlignment="1">
      <alignment vertical="center" wrapText="1"/>
    </xf>
    <xf numFmtId="0" fontId="17" fillId="0" borderId="0" xfId="1" applyFont="1"/>
    <xf numFmtId="0" fontId="15" fillId="0" borderId="3" xfId="1" applyFont="1" applyBorder="1"/>
    <xf numFmtId="0" fontId="15" fillId="0" borderId="0" xfId="1" applyFont="1"/>
    <xf numFmtId="0" fontId="8" fillId="0" borderId="0" xfId="1" applyFont="1" applyAlignment="1">
      <alignment horizontal="left"/>
    </xf>
    <xf numFmtId="0" fontId="17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0" fontId="15" fillId="0" borderId="2" xfId="1" applyFont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19" fillId="0" borderId="9" xfId="0" applyFont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4" borderId="1" xfId="0" applyFill="1" applyBorder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7" xfId="0" applyFont="1" applyBorder="1" applyAlignment="1">
      <alignment horizontal="center" wrapText="1"/>
    </xf>
    <xf numFmtId="14" fontId="0" fillId="0" borderId="0" xfId="0" applyNumberFormat="1"/>
    <xf numFmtId="0" fontId="22" fillId="0" borderId="5" xfId="0" applyFont="1" applyBorder="1" applyAlignment="1">
      <alignment horizontal="center" wrapText="1"/>
    </xf>
    <xf numFmtId="0" fontId="22" fillId="5" borderId="1" xfId="0" applyFont="1" applyFill="1" applyBorder="1" applyAlignment="1">
      <alignment horizontal="center" wrapText="1"/>
    </xf>
    <xf numFmtId="0" fontId="4" fillId="0" borderId="1" xfId="0" applyFont="1" applyBorder="1"/>
    <xf numFmtId="0" fontId="22" fillId="0" borderId="8" xfId="0" applyFont="1" applyBorder="1" applyAlignment="1">
      <alignment horizontal="center" wrapText="1"/>
    </xf>
    <xf numFmtId="0" fontId="22" fillId="6" borderId="1" xfId="0" applyFont="1" applyFill="1" applyBorder="1" applyAlignment="1">
      <alignment horizontal="center" wrapText="1"/>
    </xf>
    <xf numFmtId="0" fontId="22" fillId="6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15" fillId="0" borderId="2" xfId="1" applyFont="1" applyBorder="1" applyAlignment="1">
      <alignment vertical="center"/>
    </xf>
    <xf numFmtId="0" fontId="24" fillId="0" borderId="0" xfId="0" applyFont="1"/>
    <xf numFmtId="0" fontId="15" fillId="0" borderId="2" xfId="1" applyFont="1" applyFill="1" applyBorder="1" applyAlignment="1">
      <alignment vertical="center" wrapText="1"/>
    </xf>
    <xf numFmtId="0" fontId="15" fillId="0" borderId="2" xfId="1" applyFont="1" applyFill="1" applyBorder="1" applyAlignment="1">
      <alignment vertical="center"/>
    </xf>
    <xf numFmtId="0" fontId="15" fillId="0" borderId="2" xfId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center" vertical="center" wrapText="1"/>
    </xf>
    <xf numFmtId="0" fontId="8" fillId="0" borderId="0" xfId="1" applyFont="1" applyFill="1"/>
    <xf numFmtId="0" fontId="17" fillId="0" borderId="0" xfId="1" applyFont="1" applyFill="1"/>
    <xf numFmtId="0" fontId="25" fillId="0" borderId="2" xfId="1" applyFont="1" applyBorder="1" applyAlignment="1">
      <alignment vertical="center"/>
    </xf>
    <xf numFmtId="0" fontId="25" fillId="0" borderId="2" xfId="1" applyFont="1" applyBorder="1" applyAlignment="1">
      <alignment vertical="center" wrapText="1"/>
    </xf>
    <xf numFmtId="0" fontId="21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wrapText="1"/>
    </xf>
    <xf numFmtId="49" fontId="22" fillId="7" borderId="1" xfId="0" applyNumberFormat="1" applyFont="1" applyFill="1" applyBorder="1" applyAlignment="1">
      <alignment horizontal="center" wrapText="1"/>
    </xf>
    <xf numFmtId="0" fontId="22" fillId="4" borderId="1" xfId="0" applyFont="1" applyFill="1" applyBorder="1" applyAlignment="1">
      <alignment horizontal="center" wrapText="1"/>
    </xf>
    <xf numFmtId="165" fontId="22" fillId="8" borderId="1" xfId="0" applyNumberFormat="1" applyFont="1" applyFill="1" applyBorder="1" applyAlignment="1">
      <alignment horizontal="center" wrapText="1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2" xfId="1" applyFont="1" applyBorder="1"/>
    <xf numFmtId="0" fontId="15" fillId="9" borderId="2" xfId="1" applyFont="1" applyFill="1" applyBorder="1" applyAlignment="1">
      <alignment vertical="center"/>
    </xf>
    <xf numFmtId="0" fontId="15" fillId="9" borderId="2" xfId="1" applyFont="1" applyFill="1" applyBorder="1" applyAlignment="1">
      <alignment vertical="center" wrapText="1"/>
    </xf>
    <xf numFmtId="0" fontId="8" fillId="0" borderId="2" xfId="1" applyFont="1" applyBorder="1" applyAlignment="1"/>
    <xf numFmtId="0" fontId="15" fillId="9" borderId="2" xfId="1" applyFont="1" applyFill="1" applyBorder="1"/>
    <xf numFmtId="0" fontId="15" fillId="9" borderId="2" xfId="1" applyFont="1" applyFill="1" applyBorder="1" applyAlignment="1">
      <alignment horizontal="right" vertical="center" wrapText="1"/>
    </xf>
    <xf numFmtId="0" fontId="15" fillId="9" borderId="3" xfId="1" applyFont="1" applyFill="1" applyBorder="1"/>
    <xf numFmtId="0" fontId="14" fillId="9" borderId="2" xfId="1" applyFont="1" applyFill="1" applyBorder="1" applyAlignment="1">
      <alignment vertical="center" wrapText="1"/>
    </xf>
    <xf numFmtId="0" fontId="15" fillId="9" borderId="2" xfId="1" applyFont="1" applyFill="1" applyBorder="1" applyAlignment="1">
      <alignment horizontal="left" vertical="center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5" fillId="0" borderId="0" xfId="1" applyFont="1" applyBorder="1"/>
    <xf numFmtId="0" fontId="4" fillId="0" borderId="1" xfId="2" applyBorder="1" applyAlignment="1">
      <alignment horizontal="center" vertical="center" wrapText="1"/>
    </xf>
    <xf numFmtId="0" fontId="4" fillId="2" borderId="1" xfId="2" applyFill="1" applyBorder="1" applyAlignment="1">
      <alignment horizontal="center" vertical="center" wrapText="1"/>
    </xf>
    <xf numFmtId="0" fontId="4" fillId="0" borderId="5" xfId="2" applyBorder="1" applyAlignment="1">
      <alignment horizontal="center" vertical="center" wrapText="1"/>
    </xf>
    <xf numFmtId="0" fontId="4" fillId="2" borderId="5" xfId="2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0" fillId="0" borderId="5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5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10" xfId="0" applyFont="1" applyBorder="1" applyAlignment="1">
      <alignment horizontal="center" wrapText="1"/>
    </xf>
    <xf numFmtId="0" fontId="8" fillId="0" borderId="0" xfId="1" applyFont="1" applyAlignment="1">
      <alignment horizontal="left" vertical="center" wrapText="1"/>
    </xf>
    <xf numFmtId="164" fontId="15" fillId="0" borderId="3" xfId="1" applyNumberFormat="1" applyFont="1" applyBorder="1" applyAlignment="1">
      <alignment horizontal="center"/>
    </xf>
    <xf numFmtId="0" fontId="15" fillId="0" borderId="2" xfId="1" applyFont="1" applyBorder="1" applyAlignment="1">
      <alignment horizontal="left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5" fillId="0" borderId="2" xfId="1" applyFont="1" applyBorder="1" applyAlignment="1">
      <alignment horizontal="center"/>
    </xf>
    <xf numFmtId="0" fontId="15" fillId="0" borderId="2" xfId="1" applyFont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/>
    </xf>
    <xf numFmtId="0" fontId="13" fillId="0" borderId="4" xfId="1" applyFont="1" applyBorder="1" applyAlignment="1">
      <alignment horizontal="center" vertical="top" wrapText="1"/>
    </xf>
    <xf numFmtId="0" fontId="8" fillId="0" borderId="0" xfId="1" applyFont="1" applyAlignment="1">
      <alignment horizontal="left" wrapText="1"/>
    </xf>
    <xf numFmtId="0" fontId="6" fillId="0" borderId="0" xfId="1" applyFont="1" applyAlignment="1">
      <alignment horizontal="center" vertical="center"/>
    </xf>
    <xf numFmtId="164" fontId="15" fillId="0" borderId="2" xfId="1" applyNumberFormat="1" applyFont="1" applyBorder="1" applyAlignment="1">
      <alignment horizontal="center"/>
    </xf>
    <xf numFmtId="0" fontId="15" fillId="0" borderId="2" xfId="1" applyFont="1" applyBorder="1" applyAlignment="1">
      <alignment horizontal="center" vertical="center"/>
    </xf>
    <xf numFmtId="0" fontId="16" fillId="0" borderId="0" xfId="1" applyFont="1" applyAlignment="1">
      <alignment horizontal="center"/>
    </xf>
    <xf numFmtId="0" fontId="13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top"/>
    </xf>
    <xf numFmtId="0" fontId="13" fillId="0" borderId="0" xfId="1" applyFont="1" applyAlignment="1">
      <alignment horizontal="center" wrapText="1"/>
    </xf>
    <xf numFmtId="0" fontId="13" fillId="0" borderId="0" xfId="1" applyFont="1" applyAlignment="1">
      <alignment horizontal="center"/>
    </xf>
    <xf numFmtId="0" fontId="13" fillId="0" borderId="4" xfId="1" applyFont="1" applyBorder="1" applyAlignment="1">
      <alignment horizontal="center" vertical="top"/>
    </xf>
    <xf numFmtId="0" fontId="16" fillId="0" borderId="0" xfId="1" applyFont="1" applyAlignment="1">
      <alignment horizontal="center" vertical="center"/>
    </xf>
    <xf numFmtId="0" fontId="15" fillId="0" borderId="2" xfId="1" applyFont="1" applyFill="1" applyBorder="1" applyAlignment="1">
      <alignment horizontal="left" vertical="center" wrapText="1"/>
    </xf>
    <xf numFmtId="0" fontId="13" fillId="0" borderId="0" xfId="1" applyFont="1" applyFill="1" applyAlignment="1">
      <alignment horizontal="center" vertical="center" wrapText="1"/>
    </xf>
    <xf numFmtId="0" fontId="13" fillId="0" borderId="0" xfId="1" applyFont="1" applyFill="1" applyAlignment="1">
      <alignment horizontal="center" vertical="center"/>
    </xf>
    <xf numFmtId="0" fontId="15" fillId="0" borderId="2" xfId="1" applyFont="1" applyFill="1" applyBorder="1" applyAlignment="1">
      <alignment horizontal="center"/>
    </xf>
    <xf numFmtId="0" fontId="13" fillId="0" borderId="4" xfId="1" applyFont="1" applyFill="1" applyBorder="1" applyAlignment="1">
      <alignment horizontal="center" vertical="center"/>
    </xf>
    <xf numFmtId="0" fontId="15" fillId="9" borderId="2" xfId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left" vertical="center" wrapText="1"/>
    </xf>
    <xf numFmtId="0" fontId="25" fillId="0" borderId="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3" fillId="0" borderId="0" xfId="1" applyFont="1" applyBorder="1" applyAlignment="1">
      <alignment horizontal="center" vertical="center"/>
    </xf>
    <xf numFmtId="0" fontId="14" fillId="0" borderId="3" xfId="1" applyFont="1" applyBorder="1" applyAlignment="1">
      <alignment horizontal="left"/>
    </xf>
    <xf numFmtId="0" fontId="15" fillId="0" borderId="2" xfId="1" applyFont="1" applyBorder="1" applyAlignment="1">
      <alignment horizontal="left" vertical="center"/>
    </xf>
    <xf numFmtId="0" fontId="15" fillId="9" borderId="3" xfId="1" applyFont="1" applyFill="1" applyBorder="1" applyAlignment="1">
      <alignment horizontal="center" vertical="center" wrapText="1"/>
    </xf>
    <xf numFmtId="0" fontId="15" fillId="9" borderId="2" xfId="1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2" xfId="2" xr:uid="{2B2BF83D-AD3A-44F3-AD16-A159673767BF}"/>
    <cellStyle name="Обычный_Пример акта" xfId="1" xr:uid="{00000000-0005-0000-0000-000001000000}"/>
  </cellStyles>
  <dxfs count="0"/>
  <tableStyles count="0" defaultTableStyle="TableStyleMedium2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trushina\Desktop\&#1069;&#1052;&#105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Sheet1"/>
      <sheetName val="Реестр"/>
      <sheetName val="Закл.1"/>
      <sheetName val="Прил.7"/>
      <sheetName val="Прил.10"/>
      <sheetName val="Прил.11"/>
      <sheetName val="акт разб"/>
      <sheetName val="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1"/>
      <sheetName val="10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D1" workbookViewId="0">
      <selection activeCell="I9" sqref="I9"/>
    </sheetView>
  </sheetViews>
  <sheetFormatPr defaultRowHeight="12.75" x14ac:dyDescent="0.2"/>
  <cols>
    <col min="1" max="1" width="21.83203125" customWidth="1"/>
    <col min="2" max="2" width="36.83203125" customWidth="1"/>
    <col min="3" max="3" width="42.6640625" customWidth="1"/>
    <col min="4" max="6" width="40.6640625" customWidth="1"/>
    <col min="7" max="8" width="42.83203125" customWidth="1"/>
    <col min="9" max="9" width="42.1640625" customWidth="1"/>
  </cols>
  <sheetData>
    <row r="1" spans="1:9" ht="15" x14ac:dyDescent="0.25">
      <c r="A1" s="41" t="s">
        <v>108</v>
      </c>
      <c r="B1" s="41"/>
      <c r="C1" s="42" t="s">
        <v>109</v>
      </c>
      <c r="D1" s="42" t="s">
        <v>110</v>
      </c>
      <c r="E1" s="42" t="s">
        <v>111</v>
      </c>
      <c r="F1" s="43"/>
      <c r="G1" s="111" t="s">
        <v>112</v>
      </c>
      <c r="H1" s="111"/>
      <c r="I1" s="111"/>
    </row>
    <row r="2" spans="1:9" ht="25.5" x14ac:dyDescent="0.2">
      <c r="A2" s="44" t="s">
        <v>113</v>
      </c>
      <c r="B2" s="44"/>
      <c r="C2" s="45" t="s">
        <v>114</v>
      </c>
      <c r="D2" s="45" t="s">
        <v>115</v>
      </c>
      <c r="E2" s="92" t="s">
        <v>209</v>
      </c>
      <c r="F2" s="46"/>
      <c r="G2" s="112" t="s">
        <v>82</v>
      </c>
      <c r="H2" s="113"/>
      <c r="I2" s="114"/>
    </row>
    <row r="3" spans="1:9" ht="63" customHeight="1" x14ac:dyDescent="0.2">
      <c r="A3" s="47" t="s">
        <v>66</v>
      </c>
      <c r="B3" s="47"/>
      <c r="C3" s="48" t="s">
        <v>116</v>
      </c>
      <c r="D3" s="48" t="s">
        <v>117</v>
      </c>
      <c r="E3" s="93" t="s">
        <v>210</v>
      </c>
      <c r="F3" s="49"/>
      <c r="G3" s="115" t="s">
        <v>118</v>
      </c>
      <c r="H3" s="116"/>
      <c r="I3" s="117"/>
    </row>
    <row r="4" spans="1:9" x14ac:dyDescent="0.2">
      <c r="A4" s="44" t="s">
        <v>119</v>
      </c>
      <c r="B4" s="44"/>
      <c r="C4" s="45"/>
      <c r="D4" s="45"/>
      <c r="E4" s="45"/>
      <c r="F4" s="45"/>
      <c r="G4" s="45" t="s">
        <v>120</v>
      </c>
      <c r="H4" s="45"/>
      <c r="I4" s="45" t="s">
        <v>121</v>
      </c>
    </row>
    <row r="5" spans="1:9" x14ac:dyDescent="0.2">
      <c r="A5" s="47"/>
      <c r="B5" s="47"/>
      <c r="C5" s="48"/>
      <c r="D5" s="48"/>
      <c r="E5" s="48"/>
      <c r="F5" s="48"/>
      <c r="G5" s="48" t="s">
        <v>122</v>
      </c>
      <c r="H5" s="48"/>
      <c r="I5" s="48" t="s">
        <v>123</v>
      </c>
    </row>
    <row r="6" spans="1:9" x14ac:dyDescent="0.2">
      <c r="A6" s="44" t="s">
        <v>124</v>
      </c>
      <c r="B6" s="44"/>
      <c r="C6" s="45" t="s">
        <v>125</v>
      </c>
      <c r="D6" s="45" t="s">
        <v>126</v>
      </c>
      <c r="E6" s="45" t="s">
        <v>126</v>
      </c>
      <c r="F6" s="45"/>
      <c r="G6" s="45" t="s">
        <v>127</v>
      </c>
      <c r="H6" s="45"/>
      <c r="I6" s="45" t="s">
        <v>128</v>
      </c>
    </row>
    <row r="7" spans="1:9" x14ac:dyDescent="0.2">
      <c r="A7" s="47" t="s">
        <v>129</v>
      </c>
      <c r="B7" s="47"/>
      <c r="C7" s="48" t="s">
        <v>130</v>
      </c>
      <c r="D7" s="48" t="s">
        <v>131</v>
      </c>
      <c r="E7" s="48" t="s">
        <v>211</v>
      </c>
      <c r="F7" s="48"/>
      <c r="G7" s="48" t="s">
        <v>74</v>
      </c>
      <c r="H7" s="48"/>
      <c r="I7" s="48"/>
    </row>
    <row r="8" spans="1:9" ht="25.5" x14ac:dyDescent="0.2">
      <c r="A8" s="44" t="s">
        <v>132</v>
      </c>
      <c r="B8" s="45" t="s">
        <v>105</v>
      </c>
      <c r="C8" s="45" t="s">
        <v>105</v>
      </c>
      <c r="D8" s="45" t="s">
        <v>133</v>
      </c>
      <c r="E8" s="45" t="s">
        <v>133</v>
      </c>
      <c r="F8" s="45"/>
      <c r="G8" s="45" t="s">
        <v>134</v>
      </c>
      <c r="H8" s="45" t="s">
        <v>134</v>
      </c>
      <c r="I8" s="45" t="s">
        <v>134</v>
      </c>
    </row>
    <row r="9" spans="1:9" ht="25.5" x14ac:dyDescent="0.2">
      <c r="A9" s="47" t="s">
        <v>135</v>
      </c>
      <c r="B9" s="48" t="s">
        <v>220</v>
      </c>
      <c r="C9" s="48" t="s">
        <v>107</v>
      </c>
      <c r="D9" s="48" t="s">
        <v>136</v>
      </c>
      <c r="E9" s="48" t="s">
        <v>212</v>
      </c>
      <c r="F9" s="48"/>
      <c r="G9" s="107" t="s">
        <v>242</v>
      </c>
      <c r="H9" s="109" t="s">
        <v>239</v>
      </c>
      <c r="I9" s="107" t="s">
        <v>243</v>
      </c>
    </row>
    <row r="10" spans="1:9" x14ac:dyDescent="0.2">
      <c r="A10" s="44" t="s">
        <v>137</v>
      </c>
      <c r="B10" s="45" t="s">
        <v>221</v>
      </c>
      <c r="C10" s="45" t="s">
        <v>106</v>
      </c>
      <c r="D10" s="45" t="s">
        <v>138</v>
      </c>
      <c r="E10" s="45" t="s">
        <v>213</v>
      </c>
      <c r="F10" s="45"/>
      <c r="G10" s="108" t="s">
        <v>236</v>
      </c>
      <c r="H10" s="110" t="s">
        <v>240</v>
      </c>
      <c r="I10" s="108" t="s">
        <v>238</v>
      </c>
    </row>
    <row r="11" spans="1:9" x14ac:dyDescent="0.2">
      <c r="A11" s="47" t="s">
        <v>139</v>
      </c>
      <c r="B11" s="47"/>
      <c r="C11" s="48"/>
      <c r="D11" s="48"/>
      <c r="E11" s="48"/>
      <c r="F11" s="48"/>
      <c r="G11" s="48"/>
      <c r="H11" s="48"/>
      <c r="I11" s="48"/>
    </row>
    <row r="12" spans="1:9" x14ac:dyDescent="0.2">
      <c r="A12" s="44" t="s">
        <v>140</v>
      </c>
      <c r="B12" s="44"/>
      <c r="C12" s="45"/>
      <c r="D12" s="45"/>
      <c r="E12" s="45"/>
      <c r="F12" s="45"/>
      <c r="G12" s="45"/>
      <c r="H12" s="45"/>
      <c r="I12" s="45"/>
    </row>
    <row r="13" spans="1:9" x14ac:dyDescent="0.2">
      <c r="A13" s="44" t="s">
        <v>214</v>
      </c>
      <c r="B13" s="44"/>
      <c r="C13" s="45" t="s">
        <v>214</v>
      </c>
      <c r="D13" s="45" t="s">
        <v>214</v>
      </c>
      <c r="E13" s="45" t="s">
        <v>214</v>
      </c>
      <c r="F13" s="45"/>
      <c r="G13" s="45"/>
      <c r="H13" s="45"/>
      <c r="I13" s="45"/>
    </row>
    <row r="14" spans="1:9" x14ac:dyDescent="0.2">
      <c r="A14" s="47" t="s">
        <v>156</v>
      </c>
      <c r="B14" s="47"/>
      <c r="C14" s="48" t="s">
        <v>215</v>
      </c>
      <c r="D14" s="48" t="s">
        <v>215</v>
      </c>
      <c r="E14" s="48" t="s">
        <v>216</v>
      </c>
      <c r="F14" s="48"/>
      <c r="G14" s="48" t="s">
        <v>237</v>
      </c>
      <c r="H14" s="48"/>
      <c r="I14" s="48" t="s">
        <v>75</v>
      </c>
    </row>
    <row r="15" spans="1:9" x14ac:dyDescent="0.2">
      <c r="A15" s="44"/>
      <c r="B15" s="44"/>
      <c r="C15" s="45"/>
      <c r="D15" s="45"/>
      <c r="E15" s="45"/>
      <c r="F15" s="45"/>
      <c r="G15" s="45" t="s">
        <v>236</v>
      </c>
      <c r="H15" s="45"/>
      <c r="I15" s="45" t="s">
        <v>75</v>
      </c>
    </row>
    <row r="16" spans="1:9" x14ac:dyDescent="0.2">
      <c r="A16" s="47"/>
      <c r="B16" s="47"/>
      <c r="C16" s="48"/>
      <c r="D16" s="48"/>
      <c r="E16" s="48"/>
      <c r="F16" s="48"/>
      <c r="G16" s="48"/>
      <c r="H16" s="48"/>
      <c r="I16" s="48"/>
    </row>
    <row r="17" spans="1:9" x14ac:dyDescent="0.2">
      <c r="A17" s="44"/>
      <c r="B17" s="44"/>
      <c r="C17" s="45"/>
      <c r="D17" s="45"/>
      <c r="E17" s="45"/>
      <c r="F17" s="45"/>
      <c r="G17" s="45"/>
      <c r="H17" s="45"/>
      <c r="I17" s="45"/>
    </row>
    <row r="18" spans="1:9" x14ac:dyDescent="0.2">
      <c r="A18" s="47" t="s">
        <v>70</v>
      </c>
      <c r="B18" s="47"/>
      <c r="C18" s="48" t="s">
        <v>70</v>
      </c>
      <c r="D18" s="48" t="s">
        <v>142</v>
      </c>
      <c r="E18" s="48" t="s">
        <v>217</v>
      </c>
      <c r="F18" s="48"/>
      <c r="G18" s="48"/>
      <c r="H18" s="48"/>
      <c r="I18" s="48"/>
    </row>
    <row r="19" spans="1:9" x14ac:dyDescent="0.2">
      <c r="A19" s="44" t="s">
        <v>143</v>
      </c>
      <c r="B19" s="44"/>
      <c r="C19" s="45" t="s">
        <v>222</v>
      </c>
      <c r="D19" s="45" t="s">
        <v>144</v>
      </c>
      <c r="E19" s="45" t="s">
        <v>218</v>
      </c>
      <c r="F19" s="45"/>
      <c r="G19" s="45"/>
      <c r="H19" s="45"/>
      <c r="I19" s="45"/>
    </row>
    <row r="20" spans="1:9" x14ac:dyDescent="0.2">
      <c r="A20" s="47" t="s">
        <v>145</v>
      </c>
      <c r="B20" s="47"/>
      <c r="C20" s="48" t="s">
        <v>72</v>
      </c>
      <c r="D20" s="48" t="s">
        <v>146</v>
      </c>
      <c r="E20" s="48" t="s">
        <v>219</v>
      </c>
      <c r="F20" s="48"/>
      <c r="G20" s="48"/>
      <c r="H20" s="48"/>
      <c r="I20" s="48"/>
    </row>
    <row r="21" spans="1:9" x14ac:dyDescent="0.2">
      <c r="A21" s="50"/>
      <c r="B21" s="50"/>
      <c r="C21" s="45"/>
      <c r="D21" s="45"/>
      <c r="E21" s="45"/>
      <c r="F21" s="45"/>
      <c r="G21" s="45"/>
      <c r="H21" s="45"/>
      <c r="I21" s="45"/>
    </row>
    <row r="23" spans="1:9" ht="79.5" customHeight="1" x14ac:dyDescent="0.2">
      <c r="A23" s="51" t="s">
        <v>147</v>
      </c>
      <c r="B23" s="51"/>
      <c r="C23" s="52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52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53"/>
      <c r="G23" s="54" t="str">
        <f>CONCATENATE(G8," ",G1,"-",G10," .",G9)</f>
        <v>Гл. специалист ССК УКС ПАО "Россети Московский регион"-Курчин М.М. .Приказ № от  июля 2026г (НРС С-31-330248)</v>
      </c>
      <c r="H23" s="54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54" t="str">
        <f>CONCATENATE(I8," ",G1,"-",I10," .",I9)</f>
        <v>Гл. специалист ССК УКС ПАО "Россети Московский регион"-Алексанян Г.Р. .Приказ №1904 от 03 июня 2026г (НРС С-50-069023)</v>
      </c>
    </row>
    <row r="24" spans="1:9" ht="76.5" x14ac:dyDescent="0.2">
      <c r="A24" s="51" t="s">
        <v>147</v>
      </c>
      <c r="B24" s="51"/>
      <c r="C24" s="52" t="str">
        <f>CONCATENATE(C1,",",C2,",",C3)</f>
        <v xml:space="preserve">ООО"Энергосистемы",ОГРН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52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53"/>
      <c r="G24" s="54" t="str">
        <f>CONCATENATE(G8," ",G1,"-",G10)</f>
        <v>Гл. специалист ССК УКС ПАО "Россети Московский регион"-Курчин М.М.</v>
      </c>
      <c r="H24" s="54" t="str">
        <f>CONCATENATE(H8," ",G1,"-",H10)</f>
        <v>Гл. специалист ССК УКС ПАО "Россети Московский регион"-Шатковский А.Н.</v>
      </c>
      <c r="I24" s="54" t="str">
        <f>CONCATENATE(I8," ",G1,"-",I10)</f>
        <v>Гл. специалист ССК УКС ПАО "Россети Московский регион"-Алексанян Г.Р.</v>
      </c>
    </row>
    <row r="25" spans="1:9" ht="51" x14ac:dyDescent="0.2">
      <c r="C25" s="55" t="str">
        <f>CONCATENATE(C8," ",C1,"-",C10,".",C9)</f>
        <v>Инженер по строительному контролю ООО"Энергосистемы"-Капитонов Д.А..Приказ № 18-ОТ/24 от 03 июня 2024 (НОСТРОЙ С-50-188017)</v>
      </c>
      <c r="D25" s="55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6"/>
      <c r="G25" s="54" t="str">
        <f>CONCATENATE(G8," ",G1)</f>
        <v>Гл. специалист ССК УКС ПАО "Россети Московский регион"</v>
      </c>
      <c r="H25" s="54" t="str">
        <f>CONCATENATE(H8," ",G1)</f>
        <v>Гл. специалист ССК УКС ПАО "Россети Московский регион"</v>
      </c>
      <c r="I25" s="54" t="str">
        <f>CONCATENATE(I8," ",G1)</f>
        <v>Гл. специалист ССК УКС ПАО "Россети Московский регион"</v>
      </c>
    </row>
    <row r="26" spans="1:9" ht="25.5" x14ac:dyDescent="0.2">
      <c r="C26" s="55" t="str">
        <f>CONCATENATE(C8," ",C1)</f>
        <v>Инженер по строительному контролю ООО"Энергосистемы"</v>
      </c>
      <c r="D26" s="55" t="str">
        <f>CONCATENATE(D8," ",D1)</f>
        <v>Специалист по строительному контролю ООО «Гефест»</v>
      </c>
      <c r="E26" s="56"/>
      <c r="G26" s="51" t="str">
        <f>CONCATENATE(G6," ",G1," ",G7)</f>
        <v>Начальник СРЭС СЭС филиала ПАО "Россети Московский регион" Чуев А.Н.</v>
      </c>
      <c r="H26" s="51"/>
      <c r="I26" s="51" t="str">
        <f>CONCATENATE(I6," ",G1," ",I7)</f>
        <v xml:space="preserve">Начальник ХРЭС СЭС филиала ПАО "Россети Московский регион" </v>
      </c>
    </row>
    <row r="27" spans="1:9" ht="38.25" x14ac:dyDescent="0.2">
      <c r="C27" s="57" t="str">
        <f>CONCATENATE(C18," ",C1,"-",C20,".",C19)</f>
        <v>Прораб ООО"Энергосистемы"-Волков М.Ю..Приказ №05-ОТ/24 от 09.01.2024г</v>
      </c>
      <c r="D27" s="57" t="str">
        <f>CONCATENATE(D18," ",D1,"-",D20,".",D19)</f>
        <v>Мастер электромонтажного участка  ООО «Гефест»-Красилов К.А..Приказ №01/24-ОТ от 15.01.2024</v>
      </c>
      <c r="E27" s="54"/>
      <c r="G27" s="58" t="str">
        <f>CONCATENATE(G14," ",G1," ",G15)</f>
        <v>Мастер СРЭС СЭС филиала ПАО "Россети Московский регион" Курчин М.М.</v>
      </c>
      <c r="H27" s="58"/>
      <c r="I27" s="58" t="str">
        <f>CONCATENATE(I14," ",G1," ",I15)</f>
        <v>- ПАО "Россети Московский регион" -</v>
      </c>
    </row>
    <row r="28" spans="1:9" ht="25.5" x14ac:dyDescent="0.2">
      <c r="C28" s="57" t="str">
        <f>CONCATENATE(C18," ",C1," ",C20)</f>
        <v>Прораб ООО"Энергосистемы" Волков М.Ю.</v>
      </c>
      <c r="D28" s="57" t="str">
        <f>CONCATENATE(D18," ",D1,"-",D20)</f>
        <v>Мастер электромонтажного участка  ООО «Гефест»-Красилов К.А.</v>
      </c>
      <c r="E28" s="54"/>
      <c r="G28" s="51" t="str">
        <f>CONCATENATE(G16," ",G1," ",G17)</f>
        <v xml:space="preserve"> ПАО "Россети Московский регион" </v>
      </c>
      <c r="H28" s="51"/>
    </row>
    <row r="29" spans="1:9" ht="25.5" x14ac:dyDescent="0.2">
      <c r="C29" s="59" t="str">
        <f>CONCATENATE(C18," ",C1)</f>
        <v>Прораб ООО"Энергосистемы"</v>
      </c>
      <c r="D29" s="57" t="str">
        <f>CONCATENATE(D18," ",D1)</f>
        <v>Мастер электромонтажного участка  ООО «Гефест»</v>
      </c>
      <c r="E29" s="54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K77"/>
  <sheetViews>
    <sheetView view="pageBreakPreview" zoomScale="85" zoomScaleNormal="85" zoomScaleSheetLayoutView="85" workbookViewId="0">
      <selection activeCell="B33" sqref="B33"/>
    </sheetView>
  </sheetViews>
  <sheetFormatPr defaultRowHeight="12.75" x14ac:dyDescent="0.2"/>
  <cols>
    <col min="1" max="1" width="35" style="71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18" t="s">
        <v>148</v>
      </c>
      <c r="B1" s="119"/>
    </row>
    <row r="2" spans="1:3" ht="15" x14ac:dyDescent="0.25">
      <c r="A2" s="60" t="s">
        <v>149</v>
      </c>
      <c r="B2" s="84" t="s">
        <v>199</v>
      </c>
    </row>
    <row r="3" spans="1:3" ht="45" x14ac:dyDescent="0.25">
      <c r="A3" s="61" t="s">
        <v>63</v>
      </c>
      <c r="B3" s="85" t="s">
        <v>200</v>
      </c>
    </row>
    <row r="4" spans="1:3" ht="15" x14ac:dyDescent="0.25">
      <c r="A4" s="62" t="s">
        <v>150</v>
      </c>
      <c r="B4" s="86" t="s">
        <v>120</v>
      </c>
    </row>
    <row r="5" spans="1:3" ht="15" x14ac:dyDescent="0.25">
      <c r="A5" s="62" t="s">
        <v>65</v>
      </c>
      <c r="B5" s="86" t="s">
        <v>201</v>
      </c>
    </row>
    <row r="6" spans="1:3" ht="15" x14ac:dyDescent="0.25">
      <c r="A6" s="62" t="s">
        <v>151</v>
      </c>
      <c r="B6" s="87" t="s">
        <v>202</v>
      </c>
    </row>
    <row r="7" spans="1:3" ht="15" x14ac:dyDescent="0.25">
      <c r="A7" s="62" t="s">
        <v>152</v>
      </c>
      <c r="B7" s="87" t="s">
        <v>203</v>
      </c>
      <c r="C7" s="63"/>
    </row>
    <row r="8" spans="1:3" ht="14.25" x14ac:dyDescent="0.2">
      <c r="A8" s="118" t="s">
        <v>153</v>
      </c>
      <c r="B8" s="119"/>
    </row>
    <row r="9" spans="1:3" ht="15" x14ac:dyDescent="0.25">
      <c r="A9" s="64" t="s">
        <v>154</v>
      </c>
      <c r="B9" s="89" t="s">
        <v>230</v>
      </c>
    </row>
    <row r="10" spans="1:3" ht="14.25" x14ac:dyDescent="0.2">
      <c r="A10" s="118" t="s">
        <v>67</v>
      </c>
      <c r="B10" s="119"/>
    </row>
    <row r="11" spans="1:3" ht="15" x14ac:dyDescent="0.25">
      <c r="A11" s="62" t="s">
        <v>68</v>
      </c>
      <c r="B11" s="65" t="s">
        <v>109</v>
      </c>
      <c r="C11" s="18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5" x14ac:dyDescent="0.25">
      <c r="A12" s="62" t="s">
        <v>155</v>
      </c>
      <c r="B12" s="65" t="s">
        <v>114</v>
      </c>
      <c r="C12" s="18"/>
    </row>
    <row r="13" spans="1:3" ht="30" x14ac:dyDescent="0.25">
      <c r="A13" s="62" t="s">
        <v>66</v>
      </c>
      <c r="B13" s="65" t="s">
        <v>116</v>
      </c>
      <c r="C13" s="18"/>
    </row>
    <row r="14" spans="1:3" ht="15" hidden="1" x14ac:dyDescent="0.25">
      <c r="A14" s="62" t="s">
        <v>69</v>
      </c>
      <c r="B14" s="65" t="s">
        <v>126</v>
      </c>
      <c r="C14" s="18"/>
    </row>
    <row r="15" spans="1:3" ht="15" hidden="1" x14ac:dyDescent="0.25">
      <c r="A15" s="62" t="s">
        <v>156</v>
      </c>
      <c r="B15" s="65" t="s">
        <v>131</v>
      </c>
      <c r="C15" s="18" t="str">
        <f>CONCATENATE(B14," ",B11," ",B15)</f>
        <v xml:space="preserve">Генеральный директор ООО"Энергосистемы" Звездов Р.Е. </v>
      </c>
    </row>
    <row r="16" spans="1:3" ht="15" x14ac:dyDescent="0.25">
      <c r="A16" s="62" t="s">
        <v>69</v>
      </c>
      <c r="B16" s="65" t="s">
        <v>105</v>
      </c>
      <c r="C16" s="18" t="str">
        <f>CONCATENATE(B16," ",B11)</f>
        <v>Инженер по строительному контролю ООО"Энергосистемы"</v>
      </c>
    </row>
    <row r="17" spans="1:3" ht="15" x14ac:dyDescent="0.25">
      <c r="A17" s="62" t="s">
        <v>71</v>
      </c>
      <c r="B17" s="65" t="s">
        <v>106</v>
      </c>
      <c r="C17" s="66" t="str">
        <f>CONCATENATE(B16," ",B11," ",B17)</f>
        <v>Инженер по строительному контролю ООО"Энергосистемы" Капитонов Д.А.</v>
      </c>
    </row>
    <row r="18" spans="1:3" ht="15" x14ac:dyDescent="0.25">
      <c r="A18" s="62" t="s">
        <v>157</v>
      </c>
      <c r="B18" s="65" t="s">
        <v>107</v>
      </c>
      <c r="C18" s="66" t="str">
        <f>CONCATENATE(B16," ",B11," ",B17,", ",B18)</f>
        <v>Инженер по строительному контролю ООО"Энергосистемы" Капитонов Д.А., Приказ № 18-ОТ/24 от 03 июня 2024 (НОСТРОЙ С-50-188017)</v>
      </c>
    </row>
    <row r="19" spans="1:3" ht="15" x14ac:dyDescent="0.25">
      <c r="A19" s="62" t="s">
        <v>69</v>
      </c>
      <c r="B19" s="65" t="s">
        <v>70</v>
      </c>
      <c r="C19" s="18" t="str">
        <f>CONCATENATE(B19," ",B11)</f>
        <v>Прораб ООО"Энергосистемы"</v>
      </c>
    </row>
    <row r="20" spans="1:3" ht="15" x14ac:dyDescent="0.25">
      <c r="A20" s="62" t="s">
        <v>71</v>
      </c>
      <c r="B20" s="65" t="s">
        <v>146</v>
      </c>
      <c r="C20" s="66" t="str">
        <f>CONCATENATE(B19," ",B11," ",B20)</f>
        <v>Прораб ООО"Энергосистемы" Красилов К.А.</v>
      </c>
    </row>
    <row r="21" spans="1:3" ht="15" x14ac:dyDescent="0.25">
      <c r="A21" s="67" t="s">
        <v>157</v>
      </c>
      <c r="B21" s="65" t="s">
        <v>104</v>
      </c>
      <c r="C21" s="66" t="str">
        <f>CONCATENATE(B19," ",B11," ",B20,", ",B21)</f>
        <v>Прораб ООО"Энергосистемы" Красилов К.А., Приказ №05-ОТ/24 от 09 января 2024г</v>
      </c>
    </row>
    <row r="22" spans="1:3" ht="14.25" x14ac:dyDescent="0.2">
      <c r="A22" s="120" t="s">
        <v>73</v>
      </c>
      <c r="B22" s="121"/>
    </row>
    <row r="23" spans="1:3" ht="15" x14ac:dyDescent="0.25">
      <c r="A23" s="67" t="s">
        <v>68</v>
      </c>
      <c r="B23" s="68" t="s">
        <v>112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67" t="s">
        <v>155</v>
      </c>
      <c r="B24" s="68" t="str">
        <f>'[1]Данные организации'!F2</f>
        <v>ОГРН 1057746555811 ИНН 5036065113 КПП 772501001</v>
      </c>
    </row>
    <row r="25" spans="1:3" ht="15" x14ac:dyDescent="0.25">
      <c r="A25" s="67" t="s">
        <v>66</v>
      </c>
      <c r="B25" s="68" t="str">
        <f>'[1]Данные организации'!F3</f>
        <v>115114, город Москва, проезд Павелецкий 2-й, дом 3, строение 2</v>
      </c>
    </row>
    <row r="26" spans="1:3" ht="15" hidden="1" x14ac:dyDescent="0.25">
      <c r="A26" s="67" t="s">
        <v>69</v>
      </c>
      <c r="B26" s="69" t="s">
        <v>127</v>
      </c>
      <c r="C26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67" t="s">
        <v>71</v>
      </c>
      <c r="B27" s="68" t="s">
        <v>74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67" t="s">
        <v>69</v>
      </c>
      <c r="B28" s="68" t="s">
        <v>141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67" t="s">
        <v>71</v>
      </c>
      <c r="B29" s="68" t="s">
        <v>76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67" t="s">
        <v>69</v>
      </c>
      <c r="B30" s="68" t="s">
        <v>77</v>
      </c>
      <c r="C30" t="str">
        <f>CONCATENATE(B30," ",B23)</f>
        <v>Гл. специалист ПТГ ПАО "Россети Московский регион"</v>
      </c>
    </row>
    <row r="31" spans="1:3" ht="15" hidden="1" x14ac:dyDescent="0.25">
      <c r="A31" s="67" t="s">
        <v>71</v>
      </c>
      <c r="B31" s="68" t="s">
        <v>78</v>
      </c>
      <c r="C31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67" t="s">
        <v>69</v>
      </c>
      <c r="B32" s="68" t="s">
        <v>134</v>
      </c>
      <c r="C32" t="str">
        <f>CONCATENATE(B32," ",B23)</f>
        <v>Гл. специалист ССК УКС ПАО "Россети Московский регион"</v>
      </c>
    </row>
    <row r="33" spans="1:31" ht="15" x14ac:dyDescent="0.25">
      <c r="A33" s="67" t="s">
        <v>71</v>
      </c>
      <c r="B33" s="68" t="s">
        <v>238</v>
      </c>
      <c r="C33" s="20" t="str">
        <f>CONCATENATE(B32," ",B23," ",B33)</f>
        <v>Гл. специалист ССК УКС ПАО "Россети Московский регион" Алексанян Г.Р.</v>
      </c>
    </row>
    <row r="34" spans="1:31" ht="15" x14ac:dyDescent="0.25">
      <c r="A34" s="67" t="s">
        <v>157</v>
      </c>
      <c r="B34" s="68" t="s">
        <v>241</v>
      </c>
      <c r="C34" t="str">
        <f>CONCATENATE(B32," ",B23," ",B33,", ",B34)</f>
        <v>Гл. специалист ССК УКС ПАО "Россети Московский регион" Алексанян Г.Р., Приказ №2363 от 29 июля 2025г (НРС С-50-069023)</v>
      </c>
      <c r="I34" s="75"/>
    </row>
    <row r="35" spans="1:31" ht="15" x14ac:dyDescent="0.25">
      <c r="A35" s="67" t="s">
        <v>69</v>
      </c>
      <c r="B35" s="68" t="s">
        <v>237</v>
      </c>
      <c r="C35" t="str">
        <f>CONCATENATE(B35," ",B23)</f>
        <v>Мастер СРЭС СЭС филиала ПАО "Россети Московский регион"</v>
      </c>
      <c r="I35" s="75"/>
    </row>
    <row r="36" spans="1:31" ht="15" x14ac:dyDescent="0.25">
      <c r="A36" s="67" t="s">
        <v>71</v>
      </c>
      <c r="B36" s="68" t="s">
        <v>236</v>
      </c>
      <c r="C36" s="20" t="str">
        <f>CONCATENATE(B35," ",B23," ",B36)</f>
        <v>Мастер СРЭС СЭС филиала ПАО "Россети Московский регион" Курчин М.М.</v>
      </c>
      <c r="I36" s="75"/>
    </row>
    <row r="37" spans="1:31" ht="15" x14ac:dyDescent="0.25">
      <c r="A37" s="67" t="s">
        <v>157</v>
      </c>
      <c r="B37" s="68"/>
      <c r="C37" t="str">
        <f>CONCATENATE(B35," ",B23," ",B36,", ",B37)</f>
        <v xml:space="preserve">Мастер СРЭС СЭС филиала ПАО "Россети Московский регион" Курчин М.М., </v>
      </c>
      <c r="I37" s="75"/>
    </row>
    <row r="38" spans="1:31" ht="14.25" x14ac:dyDescent="0.2">
      <c r="A38" s="118" t="s">
        <v>79</v>
      </c>
      <c r="B38" s="122"/>
      <c r="I38" s="75"/>
    </row>
    <row r="39" spans="1:31" ht="15" x14ac:dyDescent="0.25">
      <c r="A39" s="61" t="s">
        <v>68</v>
      </c>
      <c r="B39" s="70" t="s">
        <v>109</v>
      </c>
      <c r="I39" s="75"/>
    </row>
    <row r="40" spans="1:31" ht="15" x14ac:dyDescent="0.25">
      <c r="A40" s="62" t="s">
        <v>155</v>
      </c>
      <c r="B40" s="70" t="s">
        <v>114</v>
      </c>
      <c r="I40" s="75"/>
    </row>
    <row r="41" spans="1:31" ht="30" x14ac:dyDescent="0.25">
      <c r="A41" s="62" t="s">
        <v>66</v>
      </c>
      <c r="B41" s="70" t="s">
        <v>116</v>
      </c>
      <c r="I41" s="75"/>
    </row>
    <row r="42" spans="1:31" ht="15" x14ac:dyDescent="0.25">
      <c r="A42" s="61" t="s">
        <v>64</v>
      </c>
      <c r="B42" s="70" t="s">
        <v>80</v>
      </c>
      <c r="I42" s="75"/>
    </row>
    <row r="43" spans="1:31" ht="15" x14ac:dyDescent="0.25">
      <c r="A43" s="61" t="s">
        <v>17</v>
      </c>
      <c r="B43" s="88" t="s">
        <v>204</v>
      </c>
    </row>
    <row r="44" spans="1:31" ht="45" x14ac:dyDescent="0.25">
      <c r="A44" s="61" t="s">
        <v>81</v>
      </c>
      <c r="B44" s="70" t="str">
        <f>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</row>
    <row r="45" spans="1:31" x14ac:dyDescent="0.2">
      <c r="C45" s="75" t="s">
        <v>182</v>
      </c>
    </row>
    <row r="46" spans="1:31" x14ac:dyDescent="0.2">
      <c r="C46" s="75"/>
    </row>
    <row r="47" spans="1:31" x14ac:dyDescent="0.2">
      <c r="C47" s="75"/>
      <c r="D47" s="72"/>
      <c r="E47" s="72"/>
      <c r="F47" s="72"/>
      <c r="G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spans="1:31" x14ac:dyDescent="0.2">
      <c r="C48" s="75"/>
      <c r="D48" s="72"/>
      <c r="E48" s="72"/>
      <c r="F48" s="72"/>
      <c r="G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spans="3:37" x14ac:dyDescent="0.2">
      <c r="C49" s="75" t="s">
        <v>177</v>
      </c>
      <c r="D49" s="72"/>
      <c r="E49" s="72"/>
      <c r="F49" s="72"/>
      <c r="G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spans="3:37" x14ac:dyDescent="0.2">
      <c r="C50" s="75" t="s">
        <v>178</v>
      </c>
      <c r="D50" s="72"/>
      <c r="E50" s="72"/>
      <c r="F50" s="72"/>
      <c r="G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spans="3:37" x14ac:dyDescent="0.2">
      <c r="C51" s="75" t="s">
        <v>179</v>
      </c>
      <c r="D51" s="72"/>
      <c r="E51" s="72"/>
      <c r="F51" s="72"/>
      <c r="G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spans="3:37" x14ac:dyDescent="0.2">
      <c r="C52" s="75" t="s">
        <v>180</v>
      </c>
      <c r="D52" s="72"/>
      <c r="E52" s="72"/>
      <c r="F52" s="72"/>
      <c r="G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</row>
    <row r="53" spans="3:37" x14ac:dyDescent="0.2">
      <c r="C53" s="75" t="s">
        <v>181</v>
      </c>
      <c r="D53" s="72"/>
      <c r="E53" s="72"/>
      <c r="F53" s="72"/>
      <c r="G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 spans="3:37" x14ac:dyDescent="0.2">
      <c r="C54" s="72"/>
      <c r="D54" s="72"/>
      <c r="E54" s="72"/>
      <c r="F54" s="72"/>
      <c r="G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8" spans="3:37" ht="14.45" customHeight="1" x14ac:dyDescent="0.2"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</row>
    <row r="59" spans="3:37" ht="14.45" customHeight="1" x14ac:dyDescent="0.2"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</row>
    <row r="60" spans="3:37" x14ac:dyDescent="0.2"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</row>
    <row r="61" spans="3:37" x14ac:dyDescent="0.2"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</row>
    <row r="62" spans="3:37" x14ac:dyDescent="0.2"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</row>
    <row r="63" spans="3:37" x14ac:dyDescent="0.2"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</row>
    <row r="64" spans="3:37" x14ac:dyDescent="0.2"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</row>
    <row r="65" spans="2:37" x14ac:dyDescent="0.2"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</row>
    <row r="66" spans="2:37" x14ac:dyDescent="0.2"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</row>
    <row r="67" spans="2:37" x14ac:dyDescent="0.2"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</row>
    <row r="68" spans="2:37" x14ac:dyDescent="0.2"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spans="2:37" x14ac:dyDescent="0.2"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spans="2:37" x14ac:dyDescent="0.2"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</row>
    <row r="71" spans="2:37" x14ac:dyDescent="0.2"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</row>
    <row r="72" spans="2:37" ht="14.45" customHeight="1" x14ac:dyDescent="0.2"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</row>
    <row r="77" spans="2:37" ht="16.149999999999999" customHeight="1" x14ac:dyDescent="0.2">
      <c r="B77" s="51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scale="73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00000000-0002-0000-0100-000000000000}">
          <x14:formula1>
            <xm:f>'Данные организации'!$C$1:$E$1</xm:f>
          </x14:formula1>
          <xm:sqref>B39 B11</xm:sqref>
        </x14:dataValidation>
        <x14:dataValidation type="list" allowBlank="1" showInputMessage="1" showErrorMessage="1" xr:uid="{00000000-0002-0000-0100-000001000000}">
          <x14:formula1>
            <xm:f>'Данные организации'!$C$2:$E$2</xm:f>
          </x14:formula1>
          <xm:sqref>B40 B12</xm:sqref>
        </x14:dataValidation>
        <x14:dataValidation type="list" allowBlank="1" showInputMessage="1" showErrorMessage="1" xr:uid="{00000000-0002-0000-0100-000002000000}">
          <x14:formula1>
            <xm:f>'Данные организации'!$C$3:$E$3</xm:f>
          </x14:formula1>
          <xm:sqref>B41 B13</xm:sqref>
        </x14:dataValidation>
        <x14:dataValidation type="list" allowBlank="1" showInputMessage="1" showErrorMessage="1" xr:uid="{00000000-0002-0000-0100-000003000000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00000000-0002-0000-0100-000004000000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00000000-0002-0000-0100-000005000000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00000000-0002-0000-0100-000006000000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00000000-0002-0000-0100-000007000000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00000000-0002-0000-0100-000009000000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00000000-0002-0000-0100-00000A000000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00000000-0002-0000-0100-00000C000000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A2331736-8112-4B6E-81FF-BFA21373CE40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5C68DD1A-9542-4D51-B9D3-911C029B449E}">
          <x14:formula1>
            <xm:f>'Данные организации'!$G$14:$I$14</xm:f>
          </x14:formula1>
          <xm:sqref>B35</xm:sqref>
        </x14:dataValidation>
        <x14:dataValidation type="list" allowBlank="1" showInputMessage="1" showErrorMessage="1" xr:uid="{69606044-A29F-47F2-BA84-C7C6E0375521}">
          <x14:formula1>
            <xm:f>'Данные организации'!$G$15:$I$15</xm:f>
          </x14:formula1>
          <xm:sqref>B36</xm:sqref>
        </x14:dataValidation>
        <x14:dataValidation type="list" allowBlank="1" showInputMessage="1" showErrorMessage="1" xr:uid="{83EC42DE-38CD-47D6-AE89-529B5B4CDB9B}">
          <x14:formula1>
            <xm:f>'Данные организации'!$G$16:$I$16</xm:f>
          </x14:formula1>
          <xm:sqref>B37</xm:sqref>
        </x14:dataValidation>
        <x14:dataValidation type="list" allowBlank="1" showInputMessage="1" showErrorMessage="1" xr:uid="{CBE30624-BD83-4A3A-B58D-1EFFCC335C22}">
          <x14:formula1>
            <xm:f>'Данные организации'!$C$20:$E$20</xm:f>
          </x14:formula1>
          <xm:sqref>B20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Q112"/>
  <sheetViews>
    <sheetView view="pageBreakPreview" topLeftCell="A25" zoomScale="125" zoomScaleNormal="125" zoomScaleSheetLayoutView="125" workbookViewId="0">
      <selection activeCell="A37" sqref="A37:AJ37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5" customFormat="1" ht="12.75" customHeight="1" x14ac:dyDescent="0.2">
      <c r="AJ1" s="26" t="s">
        <v>42</v>
      </c>
    </row>
    <row r="2" spans="1:43" s="25" customFormat="1" ht="11.25" customHeight="1" x14ac:dyDescent="0.2">
      <c r="AJ2" s="26" t="s">
        <v>41</v>
      </c>
    </row>
    <row r="3" spans="1:43" s="25" customFormat="1" ht="14.25" customHeight="1" x14ac:dyDescent="0.2">
      <c r="A3" s="25" t="s">
        <v>20</v>
      </c>
      <c r="AJ3" s="27"/>
      <c r="AK3" s="27"/>
      <c r="AL3" s="27"/>
      <c r="AM3" s="27"/>
      <c r="AN3" s="27"/>
      <c r="AO3" s="27"/>
      <c r="AP3" s="27"/>
      <c r="AQ3" s="27"/>
    </row>
    <row r="4" spans="1:43" s="25" customFormat="1" ht="36.75" customHeight="1" x14ac:dyDescent="0.2">
      <c r="A4" s="129" t="str">
        <f>'Данные объект'!B3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</row>
    <row r="5" spans="1:43" s="25" customFormat="1" ht="12" customHeight="1" x14ac:dyDescent="0.2">
      <c r="A5" s="139" t="str">
        <f>'Данные объект'!B9</f>
        <v>КТП №3865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ht="13.5" customHeight="1" x14ac:dyDescent="0.25">
      <c r="A6" s="141" t="s">
        <v>223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</row>
    <row r="7" spans="1:43" s="25" customFormat="1" ht="1.1499999999999999" hidden="1" customHeight="1" x14ac:dyDescent="0.2">
      <c r="A7" s="136" t="s">
        <v>43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43" s="25" customFormat="1" ht="12" customHeight="1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25" customFormat="1" ht="12" customHeight="1" x14ac:dyDescent="0.2">
      <c r="A9" s="139" t="str">
        <f>'Данные объект'!B23</f>
        <v>ПАО "Россети Московский регион"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1:43" ht="19.5" customHeight="1" x14ac:dyDescent="0.25">
      <c r="A10" s="126" t="s">
        <v>59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43" s="25" customFormat="1" ht="12" customHeight="1" x14ac:dyDescent="0.2">
      <c r="A11" s="139" t="str">
        <f>'Данные объект'!B24</f>
        <v>ОГРН 1057746555811 ИНН 5036065113 КПП 772501001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1:43" ht="28.5" customHeight="1" x14ac:dyDescent="0.25">
      <c r="A12" s="126" t="s">
        <v>60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3" s="25" customFormat="1" ht="12" customHeight="1" x14ac:dyDescent="0.2">
      <c r="A13" s="139" t="str">
        <f>'Данные объект'!B25</f>
        <v>115114, город Москва, проезд Павелецкий 2-й, дом 3, строение 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1:43" ht="11.25" customHeight="1" x14ac:dyDescent="0.25">
      <c r="A14" s="126" t="s">
        <v>44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43" s="25" customFormat="1" ht="12" customHeight="1" x14ac:dyDescent="0.2">
      <c r="A15" s="25" t="s">
        <v>21</v>
      </c>
    </row>
    <row r="16" spans="1:43" s="25" customFormat="1" ht="12" customHeight="1" x14ac:dyDescent="0.2">
      <c r="A16" s="139" t="str">
        <f>'Данные объект'!B11</f>
        <v>ООО"Энергосистемы"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9.75" customHeight="1" x14ac:dyDescent="0.25">
      <c r="A17" s="143" t="s">
        <v>38</v>
      </c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</row>
    <row r="18" spans="1:36" s="25" customFormat="1" ht="12" customHeight="1" x14ac:dyDescent="0.2">
      <c r="A18" s="139" t="str">
        <f>'Данные объект'!B12</f>
        <v>ОГРН 1135044003709  ИНН 5044089069 КПП 504401001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8.25" customHeight="1" x14ac:dyDescent="0.25">
      <c r="A19" s="126" t="s">
        <v>45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</row>
    <row r="20" spans="1:36" s="25" customFormat="1" ht="12" customHeight="1" x14ac:dyDescent="0.2">
      <c r="A20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1:36" ht="27" customHeight="1" x14ac:dyDescent="0.25">
      <c r="A21" s="126" t="s">
        <v>61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</row>
    <row r="22" spans="1:36" s="25" customFormat="1" ht="12" customHeight="1" x14ac:dyDescent="0.2">
      <c r="A22" s="25" t="s">
        <v>19</v>
      </c>
    </row>
    <row r="23" spans="1:36" s="25" customFormat="1" ht="12" customHeight="1" x14ac:dyDescent="0.2">
      <c r="A23" s="139" t="str">
        <f>'Данные объект'!B39</f>
        <v>ООО"Энергосистемы"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spans="1:36" ht="7.5" customHeight="1" x14ac:dyDescent="0.25">
      <c r="A24" s="126" t="s">
        <v>37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</row>
    <row r="25" spans="1:36" s="25" customFormat="1" ht="12" customHeight="1" x14ac:dyDescent="0.2">
      <c r="A25" s="139" t="str">
        <f>'Данные объект'!B40</f>
        <v>ОГРН 1135044003709  ИНН 5044089069 КПП 504401001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spans="1:36" ht="7.5" customHeight="1" x14ac:dyDescent="0.25">
      <c r="A26" s="126" t="s">
        <v>62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s="25" customFormat="1" ht="12" customHeight="1" x14ac:dyDescent="0.2">
      <c r="A27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spans="1:36" ht="22.5" customHeight="1" x14ac:dyDescent="0.25">
      <c r="A28" s="126" t="s">
        <v>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5" customFormat="1" ht="12.95" customHeight="1" x14ac:dyDescent="0.2">
      <c r="A30" s="146" t="s">
        <v>35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</row>
    <row r="31" spans="1:36" s="25" customFormat="1" ht="12.95" customHeight="1" x14ac:dyDescent="0.2">
      <c r="A31" s="140" t="s">
        <v>18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s="25" customFormat="1" ht="12.9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36" s="25" customFormat="1" ht="12.95" customHeight="1" x14ac:dyDescent="0.2">
      <c r="A33" s="29"/>
      <c r="B33" s="29" t="s">
        <v>17</v>
      </c>
      <c r="C33" s="30">
        <v>1</v>
      </c>
      <c r="D33" s="30"/>
      <c r="E33" s="128" t="s">
        <v>91</v>
      </c>
      <c r="F33" s="128"/>
      <c r="G33" s="128"/>
      <c r="H33" s="31"/>
      <c r="I33" s="31"/>
      <c r="J33" s="31"/>
      <c r="X33" s="26"/>
      <c r="Y33" s="36"/>
      <c r="Z33" s="36"/>
      <c r="AB33" s="138" t="str">
        <f>P76</f>
        <v>18.04.2025</v>
      </c>
      <c r="AC33" s="138"/>
      <c r="AD33" s="138"/>
      <c r="AE33" s="138"/>
      <c r="AF33" s="138"/>
      <c r="AG33" s="138"/>
      <c r="AH33" s="138"/>
      <c r="AI33" s="138"/>
      <c r="AJ33" s="25" t="s">
        <v>5</v>
      </c>
    </row>
    <row r="34" spans="1:36" ht="12.95" customHeight="1" x14ac:dyDescent="0.25">
      <c r="Y34" s="11"/>
      <c r="Z34" s="14"/>
      <c r="AA34" s="11"/>
      <c r="AB34" s="145" t="s">
        <v>16</v>
      </c>
      <c r="AC34" s="145"/>
      <c r="AD34" s="145"/>
      <c r="AE34" s="145"/>
      <c r="AF34" s="145"/>
      <c r="AG34" s="145"/>
      <c r="AH34" s="145"/>
      <c r="AI34" s="145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5" customFormat="1" ht="27.75" customHeight="1" x14ac:dyDescent="0.2">
      <c r="A36" s="136" t="s">
        <v>47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</row>
    <row r="37" spans="1:36" s="25" customFormat="1" ht="25.5" customHeight="1" x14ac:dyDescent="0.2">
      <c r="A37" s="129" t="str">
        <f>'Данные объект'!C34</f>
        <v>Гл. специалист ССК УКС ПАО "Россети Московский регион" Алексанян Г.Р., Приказ №2363 от 29 июля 2025г (НРС С-50-069023)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36" ht="28.5" customHeight="1" x14ac:dyDescent="0.25">
      <c r="A38" s="126" t="s">
        <v>48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36" s="25" customFormat="1" ht="23.25" customHeight="1" x14ac:dyDescent="0.2">
      <c r="A39" s="12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</row>
    <row r="40" spans="1:36" ht="25.5" customHeight="1" x14ac:dyDescent="0.25">
      <c r="A40" s="135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s="25" customFormat="1" ht="12" customHeight="1" x14ac:dyDescent="0.2">
      <c r="A41" s="25" t="s">
        <v>24</v>
      </c>
    </row>
    <row r="42" spans="1:36" s="25" customFormat="1" ht="12" customHeight="1" x14ac:dyDescent="0.2">
      <c r="A42" s="139" t="str">
        <f>'Данные объект'!C21</f>
        <v>Прораб ООО"Энергосистемы" Красилов К.А., Приказ №05-ОТ/24 от 09 января 2024г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spans="1:36" ht="9" customHeight="1" x14ac:dyDescent="0.25">
      <c r="A43" s="126" t="s">
        <v>25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</row>
    <row r="44" spans="1:36" s="25" customFormat="1" ht="15" customHeight="1" x14ac:dyDescent="0.2">
      <c r="A44" s="136" t="s">
        <v>50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</row>
    <row r="45" spans="1:36" s="32" customFormat="1" ht="26.25" customHeight="1" x14ac:dyDescent="0.2">
      <c r="A45" s="129" t="str">
        <f>'Данные объект'!C18</f>
        <v>Инженер по строительному контролю ООО"Энергосистемы" Капитонов Д.А., Приказ № 18-ОТ/24 от 03 июня 2024 (НОСТРОЙ С-50-188017)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36" ht="27" customHeight="1" x14ac:dyDescent="0.25">
      <c r="A46" s="126" t="s">
        <v>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x14ac:dyDescent="0.25">
      <c r="A47" s="136" t="s">
        <v>207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x14ac:dyDescent="0.25">
      <c r="A48" s="129" t="str">
        <f>'Данные объект'!$C$36</f>
        <v>Мастер СРЭС СЭС филиала ПАО "Россети Московский регион" Курчин М.М.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x14ac:dyDescent="0.25">
      <c r="A49" s="126" t="s">
        <v>25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s="25" customFormat="1" ht="33.6" customHeight="1" x14ac:dyDescent="0.2">
      <c r="A50" s="123" t="s">
        <v>52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</row>
    <row r="51" spans="1:36" s="32" customFormat="1" ht="12.95" customHeight="1" x14ac:dyDescent="0.2">
      <c r="A51" s="139" t="s">
        <v>75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spans="1:36" ht="29.25" customHeight="1" x14ac:dyDescent="0.25">
      <c r="A52" s="126" t="s">
        <v>53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s="25" customFormat="1" ht="27" hidden="1" customHeight="1" x14ac:dyDescent="0.2">
      <c r="A53" s="123" t="s">
        <v>54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</row>
    <row r="54" spans="1:36" s="25" customFormat="1" ht="12" hidden="1" customHeight="1" x14ac:dyDescent="0.2">
      <c r="A54" s="129" t="e">
        <f>CONCATENATE(#REF!,", ",#REF!," - ",#REF!)</f>
        <v>#REF!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ht="9.75" hidden="1" customHeight="1" x14ac:dyDescent="0.25">
      <c r="A55" s="126" t="s">
        <v>28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25" customFormat="1" ht="12" hidden="1" customHeight="1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ht="16.5" hidden="1" customHeight="1" x14ac:dyDescent="0.25">
      <c r="A57" s="126" t="s">
        <v>55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 spans="1:36" s="25" customFormat="1" ht="12" customHeight="1" x14ac:dyDescent="0.2">
      <c r="A58" s="25" t="s">
        <v>15</v>
      </c>
    </row>
    <row r="59" spans="1:36" s="25" customFormat="1" ht="12.95" customHeight="1" x14ac:dyDescent="0.2">
      <c r="A59" s="128" t="str">
        <f>'Данные объект'!B11</f>
        <v>ООО"Энергосистемы"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spans="1:36" ht="10.5" customHeight="1" x14ac:dyDescent="0.25">
      <c r="A60" s="132" t="s">
        <v>39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s="25" customFormat="1" ht="12" customHeight="1" x14ac:dyDescent="0.2">
      <c r="A61" s="25" t="s">
        <v>14</v>
      </c>
    </row>
    <row r="62" spans="1:36" s="25" customFormat="1" ht="12" customHeight="1" x14ac:dyDescent="0.2">
      <c r="A62" s="25" t="s">
        <v>29</v>
      </c>
    </row>
    <row r="63" spans="1:36" s="25" customFormat="1" ht="12" customHeight="1" x14ac:dyDescent="0.2">
      <c r="A63" s="74" t="s">
        <v>158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129" t="str">
        <f>'Данные объект'!B9</f>
        <v>КТП №3865</v>
      </c>
      <c r="O63" s="129"/>
      <c r="P63" s="129"/>
      <c r="Q63" s="129"/>
      <c r="R63" s="129"/>
      <c r="S63" s="129"/>
      <c r="T63" s="129"/>
      <c r="U63" s="74" t="s">
        <v>224</v>
      </c>
      <c r="V63" s="130">
        <v>4.28</v>
      </c>
      <c r="W63" s="130"/>
      <c r="X63" s="129" t="s">
        <v>87</v>
      </c>
      <c r="Y63" s="129"/>
      <c r="Z63" s="129"/>
      <c r="AA63" s="76"/>
      <c r="AB63" s="76"/>
      <c r="AC63" s="76"/>
      <c r="AD63" s="76"/>
      <c r="AE63" s="76"/>
      <c r="AF63" s="94"/>
      <c r="AG63" s="94"/>
      <c r="AH63" s="94"/>
      <c r="AI63" s="94"/>
      <c r="AJ63" s="94"/>
    </row>
    <row r="64" spans="1:36" ht="8.25" customHeight="1" x14ac:dyDescent="0.25">
      <c r="A64" s="126" t="s">
        <v>13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</row>
    <row r="65" spans="1:36" s="25" customFormat="1" ht="12" customHeight="1" x14ac:dyDescent="0.2">
      <c r="A65" s="25" t="s">
        <v>12</v>
      </c>
    </row>
    <row r="66" spans="1:36" s="25" customFormat="1" ht="12" customHeight="1" x14ac:dyDescent="0.2">
      <c r="A66" s="129" t="str">
        <f>'Данные объект'!B43</f>
        <v>4844-315915-113-05/24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ht="15" customHeight="1" x14ac:dyDescent="0.25">
      <c r="A67" s="126" t="s">
        <v>225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25" customFormat="1" ht="12" customHeight="1" x14ac:dyDescent="0.2">
      <c r="A68" s="25" t="s">
        <v>11</v>
      </c>
      <c r="J68" s="97"/>
      <c r="K68" s="97"/>
      <c r="L68" s="134" t="s">
        <v>75</v>
      </c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</row>
    <row r="69" spans="1:36" s="2" customFormat="1" ht="17.25" customHeight="1" x14ac:dyDescent="0.2">
      <c r="A69" s="133" t="s">
        <v>183</v>
      </c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</row>
    <row r="70" spans="1:36" s="25" customFormat="1" ht="12" customHeight="1" x14ac:dyDescent="0.2">
      <c r="A70" s="25" t="s">
        <v>10</v>
      </c>
    </row>
    <row r="71" spans="1:36" s="25" customFormat="1" ht="12" customHeight="1" x14ac:dyDescent="0.2">
      <c r="A71" s="25" t="s">
        <v>9</v>
      </c>
      <c r="G71" s="125" t="s">
        <v>83</v>
      </c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</row>
    <row r="72" spans="1:36" ht="15" customHeight="1" x14ac:dyDescent="0.25">
      <c r="A72" s="137"/>
      <c r="B72" s="137"/>
      <c r="C72" s="8"/>
      <c r="D72" s="8"/>
      <c r="E72" s="8"/>
      <c r="F72" s="8"/>
      <c r="G72" s="126" t="s">
        <v>226</v>
      </c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</row>
    <row r="73" spans="1:36" s="25" customFormat="1" ht="12" hidden="1" customHeight="1" x14ac:dyDescent="0.2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</row>
    <row r="74" spans="1:36" ht="9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1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s="25" customFormat="1" ht="12" customHeight="1" x14ac:dyDescent="0.2">
      <c r="A75" s="25" t="s">
        <v>7</v>
      </c>
      <c r="D75" s="34"/>
      <c r="E75" s="34"/>
      <c r="F75" s="34"/>
      <c r="G75" s="34"/>
      <c r="L75" s="26"/>
      <c r="M75" s="36"/>
      <c r="N75" s="36"/>
      <c r="P75" s="138" t="str">
        <f>'Данные объект'!B6</f>
        <v>07.04.2025</v>
      </c>
      <c r="Q75" s="138"/>
      <c r="R75" s="138"/>
      <c r="S75" s="138"/>
      <c r="T75" s="138"/>
      <c r="U75" s="138"/>
      <c r="V75" s="138"/>
      <c r="W75" s="138"/>
      <c r="X75" s="25" t="s">
        <v>5</v>
      </c>
    </row>
    <row r="76" spans="1:36" s="25" customFormat="1" ht="12" customHeight="1" x14ac:dyDescent="0.2">
      <c r="A76" s="25" t="s">
        <v>6</v>
      </c>
      <c r="D76" s="34"/>
      <c r="E76" s="34"/>
      <c r="F76" s="34"/>
      <c r="G76" s="34"/>
      <c r="L76" s="26"/>
      <c r="M76" s="36"/>
      <c r="N76" s="36"/>
      <c r="P76" s="124" t="str">
        <f>'Данные объект'!B7</f>
        <v>18.04.2025</v>
      </c>
      <c r="Q76" s="124"/>
      <c r="R76" s="124"/>
      <c r="S76" s="124"/>
      <c r="T76" s="124"/>
      <c r="U76" s="124"/>
      <c r="V76" s="124"/>
      <c r="W76" s="124"/>
      <c r="X76" s="25" t="s">
        <v>5</v>
      </c>
    </row>
    <row r="77" spans="1:36" s="25" customFormat="1" ht="7.5" customHeight="1" x14ac:dyDescent="0.2">
      <c r="A77" s="37"/>
      <c r="B77" s="37"/>
      <c r="C77" s="37"/>
      <c r="D77" s="38"/>
      <c r="E77" s="38"/>
      <c r="F77" s="38"/>
      <c r="G77" s="38"/>
    </row>
    <row r="78" spans="1:36" s="25" customFormat="1" ht="12" customHeight="1" x14ac:dyDescent="0.2">
      <c r="A78" s="25" t="s">
        <v>4</v>
      </c>
    </row>
    <row r="79" spans="1:36" s="25" customFormat="1" ht="12" customHeight="1" x14ac:dyDescent="0.2">
      <c r="A79" s="125" t="s">
        <v>169</v>
      </c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</row>
    <row r="80" spans="1:36" ht="8.25" customHeight="1" x14ac:dyDescent="0.25">
      <c r="A80" s="126" t="s">
        <v>184</v>
      </c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</row>
    <row r="81" spans="1:36" s="25" customFormat="1" ht="12" customHeight="1" x14ac:dyDescent="0.2">
      <c r="A81" s="25" t="s">
        <v>3</v>
      </c>
    </row>
    <row r="82" spans="1:36" s="25" customFormat="1" ht="12" customHeight="1" x14ac:dyDescent="0.2">
      <c r="A82" s="128" t="s">
        <v>84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</row>
    <row r="83" spans="1:36" ht="9" customHeight="1" x14ac:dyDescent="0.25">
      <c r="A83" s="126" t="s">
        <v>31</v>
      </c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25" customFormat="1" ht="12" customHeight="1" x14ac:dyDescent="0.2">
      <c r="A84" s="25" t="s">
        <v>2</v>
      </c>
      <c r="L84" s="128" t="s">
        <v>75</v>
      </c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</row>
    <row r="85" spans="1:36" s="25" customFormat="1" ht="6" customHeight="1" x14ac:dyDescent="0.2">
      <c r="D85" s="39"/>
      <c r="E85" s="39"/>
      <c r="F85" s="39"/>
      <c r="G85" s="39"/>
      <c r="H85" s="39"/>
      <c r="I85" s="39"/>
      <c r="J85" s="39"/>
    </row>
    <row r="86" spans="1:36" s="25" customFormat="1" ht="12" customHeight="1" x14ac:dyDescent="0.2">
      <c r="A86" s="25" t="s">
        <v>103</v>
      </c>
      <c r="H86" s="128">
        <v>1</v>
      </c>
      <c r="I86" s="128"/>
      <c r="J86" s="25" t="s">
        <v>32</v>
      </c>
    </row>
    <row r="87" spans="1:36" s="25" customFormat="1" ht="4.5" customHeight="1" x14ac:dyDescent="0.2"/>
    <row r="88" spans="1:36" s="25" customFormat="1" ht="12" customHeight="1" x14ac:dyDescent="0.2">
      <c r="A88" s="25" t="s">
        <v>1</v>
      </c>
    </row>
    <row r="89" spans="1:36" s="25" customFormat="1" ht="12" customHeight="1" x14ac:dyDescent="0.2">
      <c r="A89" s="30" t="s">
        <v>173</v>
      </c>
      <c r="B89" s="30" t="str">
        <f>G71</f>
        <v>Исполнительная схема устройства фундамента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 t="s">
        <v>75</v>
      </c>
      <c r="X89" s="30" t="s">
        <v>89</v>
      </c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</row>
    <row r="90" spans="1:36" ht="9.75" customHeight="1" x14ac:dyDescent="0.25">
      <c r="A90" s="126" t="s">
        <v>0</v>
      </c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</row>
    <row r="91" spans="1:36" ht="6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25" customFormat="1" ht="12" customHeight="1" x14ac:dyDescent="0.2">
      <c r="A92" s="25" t="s">
        <v>22</v>
      </c>
    </row>
    <row r="93" spans="1:36" s="25" customFormat="1" ht="12" customHeight="1" x14ac:dyDescent="0.2">
      <c r="A93" s="25" t="s">
        <v>23</v>
      </c>
    </row>
    <row r="94" spans="1:36" s="25" customFormat="1" ht="12" customHeight="1" x14ac:dyDescent="0.2">
      <c r="A94" s="128" t="str">
        <f>'Данные объект'!B33</f>
        <v>Алексанян Г.Р.</v>
      </c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128"/>
      <c r="AC94" s="128"/>
      <c r="AD94" s="128"/>
      <c r="AE94" s="128"/>
      <c r="AF94" s="128"/>
      <c r="AG94" s="128"/>
      <c r="AH94" s="128"/>
      <c r="AI94" s="128"/>
      <c r="AJ94" s="128"/>
    </row>
    <row r="95" spans="1:36" ht="9" customHeight="1" x14ac:dyDescent="0.25">
      <c r="A95" s="132" t="s">
        <v>34</v>
      </c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7"/>
      <c r="Q95" s="17"/>
      <c r="R95" s="17"/>
      <c r="S95" s="17"/>
      <c r="T95" s="17"/>
      <c r="U95" s="16"/>
      <c r="V95" s="16"/>
      <c r="W95" s="16"/>
      <c r="X95" s="16"/>
      <c r="Y95" s="16"/>
      <c r="Z95" s="16"/>
      <c r="AA95" s="16"/>
      <c r="AB95" s="131" t="s">
        <v>33</v>
      </c>
      <c r="AC95" s="131"/>
      <c r="AD95" s="131"/>
      <c r="AE95" s="131"/>
      <c r="AF95" s="131"/>
      <c r="AG95" s="131"/>
      <c r="AH95" s="131"/>
      <c r="AI95" s="131"/>
      <c r="AJ95" s="131"/>
    </row>
    <row r="96" spans="1:36" s="25" customFormat="1" ht="12" customHeight="1" x14ac:dyDescent="0.2">
      <c r="A96" s="25" t="s">
        <v>24</v>
      </c>
    </row>
    <row r="97" spans="1:36" s="25" customFormat="1" ht="12" customHeight="1" x14ac:dyDescent="0.2">
      <c r="A97" s="128" t="str">
        <f>'Данные объект'!B20</f>
        <v>Красилов К.А.</v>
      </c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128"/>
      <c r="AC97" s="128"/>
      <c r="AD97" s="128"/>
      <c r="AE97" s="128"/>
      <c r="AF97" s="128"/>
      <c r="AG97" s="128"/>
      <c r="AH97" s="128"/>
      <c r="AI97" s="128"/>
      <c r="AJ97" s="128"/>
    </row>
    <row r="98" spans="1:36" ht="9" customHeight="1" x14ac:dyDescent="0.25">
      <c r="A98" s="132" t="s">
        <v>34</v>
      </c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7"/>
      <c r="Q98" s="17"/>
      <c r="R98" s="17"/>
      <c r="S98" s="17"/>
      <c r="T98" s="17"/>
      <c r="U98" s="16"/>
      <c r="V98" s="16"/>
      <c r="W98" s="16"/>
      <c r="X98" s="16"/>
      <c r="Y98" s="16"/>
      <c r="Z98" s="16"/>
      <c r="AA98" s="16"/>
      <c r="AB98" s="131" t="s">
        <v>33</v>
      </c>
      <c r="AC98" s="131"/>
      <c r="AD98" s="131"/>
      <c r="AE98" s="131"/>
      <c r="AF98" s="131"/>
      <c r="AG98" s="131"/>
      <c r="AH98" s="131"/>
      <c r="AI98" s="131"/>
      <c r="AJ98" s="131"/>
    </row>
    <row r="99" spans="1:36" s="25" customFormat="1" ht="12" customHeight="1" x14ac:dyDescent="0.2">
      <c r="A99" s="25" t="s">
        <v>26</v>
      </c>
    </row>
    <row r="100" spans="1:36" s="25" customFormat="1" ht="12" customHeight="1" x14ac:dyDescent="0.2">
      <c r="A100" s="25" t="s">
        <v>27</v>
      </c>
    </row>
    <row r="101" spans="1:36" s="25" customFormat="1" ht="12" customHeight="1" x14ac:dyDescent="0.2">
      <c r="A101" s="128" t="str">
        <f>'Данные объект'!B17</f>
        <v>Капитонов Д.А.</v>
      </c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128"/>
      <c r="AC101" s="128"/>
      <c r="AD101" s="128"/>
      <c r="AE101" s="128"/>
      <c r="AF101" s="128"/>
      <c r="AG101" s="128"/>
      <c r="AH101" s="128"/>
      <c r="AI101" s="128"/>
      <c r="AJ101" s="128"/>
    </row>
    <row r="102" spans="1:36" ht="9" customHeight="1" x14ac:dyDescent="0.25">
      <c r="A102" s="132" t="s">
        <v>34</v>
      </c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1" t="s">
        <v>33</v>
      </c>
      <c r="AC102" s="131"/>
      <c r="AD102" s="131"/>
      <c r="AE102" s="131"/>
      <c r="AF102" s="131"/>
      <c r="AG102" s="131"/>
      <c r="AH102" s="131"/>
      <c r="AI102" s="131"/>
      <c r="AJ102" s="131"/>
    </row>
    <row r="103" spans="1:36" x14ac:dyDescent="0.25">
      <c r="A103" s="25" t="s">
        <v>208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91"/>
      <c r="AC103" s="91"/>
      <c r="AD103" s="91"/>
      <c r="AE103" s="91"/>
      <c r="AF103" s="91"/>
      <c r="AG103" s="91"/>
      <c r="AH103" s="91"/>
      <c r="AI103" s="91"/>
      <c r="AJ103" s="91"/>
    </row>
    <row r="104" spans="1:36" x14ac:dyDescent="0.25">
      <c r="A104" s="128" t="str">
        <f>'Данные объект'!$B$36</f>
        <v>Курчин М.М.</v>
      </c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28"/>
      <c r="AC104" s="128"/>
      <c r="AD104" s="128"/>
      <c r="AE104" s="128"/>
      <c r="AF104" s="128"/>
      <c r="AG104" s="128"/>
      <c r="AH104" s="128"/>
      <c r="AI104" s="128"/>
      <c r="AJ104" s="128"/>
    </row>
    <row r="105" spans="1:36" ht="9" customHeight="1" x14ac:dyDescent="0.25">
      <c r="A105" s="132" t="s">
        <v>34</v>
      </c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1" t="s">
        <v>33</v>
      </c>
      <c r="AC105" s="131"/>
      <c r="AD105" s="131"/>
      <c r="AE105" s="131"/>
      <c r="AF105" s="131"/>
      <c r="AG105" s="131"/>
      <c r="AH105" s="131"/>
      <c r="AI105" s="131"/>
      <c r="AJ105" s="131"/>
    </row>
    <row r="106" spans="1:36" s="25" customFormat="1" ht="39" customHeight="1" x14ac:dyDescent="0.2">
      <c r="A106" s="123" t="s">
        <v>52</v>
      </c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</row>
    <row r="107" spans="1:36" s="25" customFormat="1" ht="12" customHeight="1" x14ac:dyDescent="0.2">
      <c r="A107" s="128" t="s">
        <v>75</v>
      </c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128" t="s">
        <v>75</v>
      </c>
      <c r="AC107" s="128"/>
      <c r="AD107" s="128"/>
      <c r="AE107" s="128"/>
      <c r="AF107" s="128"/>
      <c r="AG107" s="128"/>
      <c r="AH107" s="128"/>
      <c r="AI107" s="128"/>
      <c r="AJ107" s="128"/>
    </row>
    <row r="108" spans="1:36" ht="9" customHeight="1" x14ac:dyDescent="0.25">
      <c r="A108" s="132" t="s">
        <v>34</v>
      </c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1" t="s">
        <v>33</v>
      </c>
      <c r="AC108" s="131"/>
      <c r="AD108" s="131"/>
      <c r="AE108" s="131"/>
      <c r="AF108" s="131"/>
      <c r="AG108" s="131"/>
      <c r="AH108" s="131"/>
      <c r="AI108" s="131"/>
      <c r="AJ108" s="131"/>
    </row>
    <row r="109" spans="1:36" s="25" customFormat="1" ht="40.5" hidden="1" customHeight="1" x14ac:dyDescent="0.2">
      <c r="A109" s="123" t="s">
        <v>54</v>
      </c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3"/>
      <c r="AH109" s="123"/>
      <c r="AI109" s="123"/>
      <c r="AJ109" s="123"/>
    </row>
    <row r="110" spans="1:36" s="25" customFormat="1" ht="12" hidden="1" customHeight="1" x14ac:dyDescent="0.2">
      <c r="A110" s="128" t="e">
        <f>#REF!</f>
        <v>#REF!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128"/>
      <c r="AC110" s="128"/>
      <c r="AD110" s="128"/>
      <c r="AE110" s="128"/>
      <c r="AF110" s="128"/>
      <c r="AG110" s="128"/>
      <c r="AH110" s="128"/>
      <c r="AI110" s="128"/>
      <c r="AJ110" s="128"/>
    </row>
    <row r="111" spans="1:36" ht="9" hidden="1" customHeight="1" x14ac:dyDescent="0.25">
      <c r="A111" s="132" t="s">
        <v>34</v>
      </c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1" t="s">
        <v>33</v>
      </c>
      <c r="AC111" s="131"/>
      <c r="AD111" s="131"/>
      <c r="AE111" s="131"/>
      <c r="AF111" s="131"/>
      <c r="AG111" s="131"/>
      <c r="AH111" s="131"/>
      <c r="AI111" s="131"/>
      <c r="AJ111" s="131"/>
    </row>
    <row r="112" spans="1:36" ht="12" customHeight="1" x14ac:dyDescent="0.25"/>
  </sheetData>
  <mergeCells count="97">
    <mergeCell ref="A44:AJ44"/>
    <mergeCell ref="A51:AJ51"/>
    <mergeCell ref="A42:AJ42"/>
    <mergeCell ref="A38:AJ38"/>
    <mergeCell ref="A43:AJ43"/>
    <mergeCell ref="A45:AJ45"/>
    <mergeCell ref="A46:AJ46"/>
    <mergeCell ref="A50:AJ50"/>
    <mergeCell ref="A48:AJ48"/>
    <mergeCell ref="A24:AJ24"/>
    <mergeCell ref="A25:AJ25"/>
    <mergeCell ref="AB33:AI33"/>
    <mergeCell ref="AB34:AI34"/>
    <mergeCell ref="E33:G33"/>
    <mergeCell ref="A26:AJ26"/>
    <mergeCell ref="A27:AJ27"/>
    <mergeCell ref="A28:AJ28"/>
    <mergeCell ref="A30:AJ30"/>
    <mergeCell ref="A36:AJ36"/>
    <mergeCell ref="A31:AJ31"/>
    <mergeCell ref="A4:AJ4"/>
    <mergeCell ref="A5:AJ5"/>
    <mergeCell ref="A6:AJ6"/>
    <mergeCell ref="A9:AJ9"/>
    <mergeCell ref="A10:AJ10"/>
    <mergeCell ref="A13:AJ13"/>
    <mergeCell ref="A7:AJ8"/>
    <mergeCell ref="A14:AJ14"/>
    <mergeCell ref="A23:AJ23"/>
    <mergeCell ref="A11:AJ11"/>
    <mergeCell ref="A12:AJ12"/>
    <mergeCell ref="A16:AJ16"/>
    <mergeCell ref="A17:AJ17"/>
    <mergeCell ref="A18:AJ18"/>
    <mergeCell ref="A19:AJ19"/>
    <mergeCell ref="A20:AJ20"/>
    <mergeCell ref="A21:AJ21"/>
    <mergeCell ref="A107:O107"/>
    <mergeCell ref="AB107:AJ107"/>
    <mergeCell ref="A106:AJ106"/>
    <mergeCell ref="A98:O98"/>
    <mergeCell ref="AB98:AJ98"/>
    <mergeCell ref="AB101:AJ101"/>
    <mergeCell ref="A102:O102"/>
    <mergeCell ref="A105:O105"/>
    <mergeCell ref="AB105:AJ105"/>
    <mergeCell ref="A49:AJ49"/>
    <mergeCell ref="AB97:AJ97"/>
    <mergeCell ref="A73:AJ73"/>
    <mergeCell ref="A66:AJ66"/>
    <mergeCell ref="A111:O111"/>
    <mergeCell ref="AB111:AJ111"/>
    <mergeCell ref="A109:AJ109"/>
    <mergeCell ref="A110:O110"/>
    <mergeCell ref="AB110:AJ110"/>
    <mergeCell ref="A37:AJ37"/>
    <mergeCell ref="A108:O108"/>
    <mergeCell ref="AB108:AJ108"/>
    <mergeCell ref="A101:O101"/>
    <mergeCell ref="A39:AJ39"/>
    <mergeCell ref="A40:AJ40"/>
    <mergeCell ref="A60:AJ60"/>
    <mergeCell ref="A59:AJ59"/>
    <mergeCell ref="A52:AJ52"/>
    <mergeCell ref="A54:AJ54"/>
    <mergeCell ref="A55:AJ55"/>
    <mergeCell ref="A90:AJ90"/>
    <mergeCell ref="A47:AJ47"/>
    <mergeCell ref="A72:B72"/>
    <mergeCell ref="A82:AJ82"/>
    <mergeCell ref="P75:W75"/>
    <mergeCell ref="AB102:AJ102"/>
    <mergeCell ref="AB104:AJ104"/>
    <mergeCell ref="L84:AJ84"/>
    <mergeCell ref="A56:AJ56"/>
    <mergeCell ref="AB95:AJ95"/>
    <mergeCell ref="H86:I86"/>
    <mergeCell ref="A83:AJ83"/>
    <mergeCell ref="A97:O97"/>
    <mergeCell ref="A95:O95"/>
    <mergeCell ref="A104:O104"/>
    <mergeCell ref="A67:AJ67"/>
    <mergeCell ref="G71:AJ71"/>
    <mergeCell ref="A57:AJ57"/>
    <mergeCell ref="A64:AJ64"/>
    <mergeCell ref="A69:AJ69"/>
    <mergeCell ref="L68:AJ68"/>
    <mergeCell ref="A53:AJ53"/>
    <mergeCell ref="P76:W76"/>
    <mergeCell ref="A79:AJ79"/>
    <mergeCell ref="A80:AJ80"/>
    <mergeCell ref="AB94:AJ94"/>
    <mergeCell ref="A94:O94"/>
    <mergeCell ref="G72:AJ72"/>
    <mergeCell ref="N63:T63"/>
    <mergeCell ref="V63:W63"/>
    <mergeCell ref="X63:Z63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Q116"/>
  <sheetViews>
    <sheetView view="pageBreakPreview" topLeftCell="A88" zoomScale="125" zoomScaleNormal="125" zoomScaleSheetLayoutView="125" workbookViewId="0">
      <selection activeCell="A108" sqref="A108:O108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5" customFormat="1" ht="12.75" customHeight="1" x14ac:dyDescent="0.2">
      <c r="AJ1" s="26" t="s">
        <v>42</v>
      </c>
    </row>
    <row r="2" spans="1:43" s="25" customFormat="1" ht="11.25" customHeight="1" x14ac:dyDescent="0.2">
      <c r="AJ2" s="26" t="s">
        <v>41</v>
      </c>
    </row>
    <row r="3" spans="1:43" s="25" customFormat="1" ht="14.25" customHeight="1" x14ac:dyDescent="0.2">
      <c r="A3" s="25" t="s">
        <v>20</v>
      </c>
      <c r="AJ3" s="27"/>
      <c r="AK3" s="27"/>
      <c r="AL3" s="27"/>
      <c r="AM3" s="27"/>
      <c r="AN3" s="27"/>
      <c r="AO3" s="27"/>
      <c r="AP3" s="27"/>
      <c r="AQ3" s="27"/>
    </row>
    <row r="4" spans="1:43" s="25" customFormat="1" ht="34.5" customHeight="1" x14ac:dyDescent="0.2">
      <c r="A4" s="129" t="str">
        <f>'Данные объект'!B3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</row>
    <row r="5" spans="1:43" s="25" customFormat="1" ht="12" customHeight="1" x14ac:dyDescent="0.2">
      <c r="A5" s="139" t="str">
        <f>'Данные объект'!B9</f>
        <v>КТП №3865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ht="10.5" customHeight="1" x14ac:dyDescent="0.25">
      <c r="A6" s="141" t="s">
        <v>223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</row>
    <row r="7" spans="1:43" s="25" customFormat="1" ht="12.6" hidden="1" customHeight="1" x14ac:dyDescent="0.2">
      <c r="A7" s="136" t="s">
        <v>43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43" s="25" customFormat="1" ht="12" customHeight="1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25" customFormat="1" ht="12" customHeight="1" x14ac:dyDescent="0.2">
      <c r="A9" s="139" t="str">
        <f>'Данные объект'!B23</f>
        <v>ПАО "Россети Московский регион"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1:43" ht="19.5" customHeight="1" x14ac:dyDescent="0.25">
      <c r="A10" s="126" t="s">
        <v>59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43" s="25" customFormat="1" ht="12" customHeight="1" x14ac:dyDescent="0.2">
      <c r="A11" s="139" t="str">
        <f>'Данные объект'!B24</f>
        <v>ОГРН 1057746555811 ИНН 5036065113 КПП 772501001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1:43" ht="28.5" customHeight="1" x14ac:dyDescent="0.25">
      <c r="A12" s="126" t="s">
        <v>60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3" s="25" customFormat="1" ht="12" customHeight="1" x14ac:dyDescent="0.2">
      <c r="A13" s="139" t="str">
        <f>'Данные объект'!B25</f>
        <v>115114, город Москва, проезд Павелецкий 2-й, дом 3, строение 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1:43" ht="11.25" customHeight="1" x14ac:dyDescent="0.25">
      <c r="A14" s="126" t="s">
        <v>44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43" s="25" customFormat="1" ht="12" customHeight="1" x14ac:dyDescent="0.2">
      <c r="A15" s="25" t="s">
        <v>21</v>
      </c>
    </row>
    <row r="16" spans="1:43" s="25" customFormat="1" ht="12" customHeight="1" x14ac:dyDescent="0.2">
      <c r="A16" s="139" t="str">
        <f>'Данные объект'!B11</f>
        <v>ООО"Энергосистемы"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9.75" customHeight="1" x14ac:dyDescent="0.25">
      <c r="A17" s="126" t="s">
        <v>38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</row>
    <row r="18" spans="1:36" s="25" customFormat="1" ht="12" customHeight="1" x14ac:dyDescent="0.2">
      <c r="A18" s="139" t="str">
        <f>'Данные объект'!B12</f>
        <v>ОГРН 1135044003709  ИНН 5044089069 КПП 504401001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8.25" customHeight="1" x14ac:dyDescent="0.25">
      <c r="A19" s="126" t="s">
        <v>45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</row>
    <row r="20" spans="1:36" s="25" customFormat="1" ht="12" customHeight="1" x14ac:dyDescent="0.2">
      <c r="A20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1:36" ht="27" customHeight="1" x14ac:dyDescent="0.25">
      <c r="A21" s="126" t="s">
        <v>61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</row>
    <row r="22" spans="1:36" s="25" customFormat="1" ht="12" customHeight="1" x14ac:dyDescent="0.2">
      <c r="A22" s="25" t="s">
        <v>19</v>
      </c>
    </row>
    <row r="23" spans="1:36" s="25" customFormat="1" ht="12" customHeight="1" x14ac:dyDescent="0.2">
      <c r="A23" s="139" t="str">
        <f>'Данные объект'!B39</f>
        <v>ООО"Энергосистемы"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spans="1:36" ht="7.5" customHeight="1" x14ac:dyDescent="0.25">
      <c r="A24" s="126" t="s">
        <v>37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</row>
    <row r="25" spans="1:36" s="25" customFormat="1" ht="12" customHeight="1" x14ac:dyDescent="0.2">
      <c r="A25" s="139" t="str">
        <f>'Данные объект'!B40</f>
        <v>ОГРН 1135044003709  ИНН 5044089069 КПП 504401001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spans="1:36" ht="7.5" customHeight="1" x14ac:dyDescent="0.25">
      <c r="A26" s="126" t="s">
        <v>62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s="25" customFormat="1" ht="12" customHeight="1" x14ac:dyDescent="0.2">
      <c r="A27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spans="1:36" ht="22.5" customHeight="1" x14ac:dyDescent="0.25">
      <c r="A28" s="126" t="s">
        <v>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5" customFormat="1" ht="12.95" customHeight="1" x14ac:dyDescent="0.2">
      <c r="A30" s="146" t="s">
        <v>35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</row>
    <row r="31" spans="1:36" s="25" customFormat="1" ht="12.95" customHeight="1" x14ac:dyDescent="0.2">
      <c r="A31" s="140" t="s">
        <v>18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ht="12.9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36" s="25" customFormat="1" ht="12.95" customHeight="1" x14ac:dyDescent="0.2">
      <c r="A33" s="29"/>
      <c r="B33" s="29" t="s">
        <v>17</v>
      </c>
      <c r="C33" s="30">
        <f>'АОСР-1'!C33+1</f>
        <v>2</v>
      </c>
      <c r="D33" s="30"/>
      <c r="E33" s="128" t="s">
        <v>91</v>
      </c>
      <c r="F33" s="128"/>
      <c r="G33" s="128"/>
      <c r="H33" s="31"/>
      <c r="I33" s="31"/>
      <c r="J33" s="31"/>
      <c r="X33" s="26"/>
      <c r="Y33" s="36"/>
      <c r="Z33" s="36"/>
      <c r="AB33" s="138" t="str">
        <f>P79</f>
        <v>18.04.2025</v>
      </c>
      <c r="AC33" s="138"/>
      <c r="AD33" s="138"/>
      <c r="AE33" s="138"/>
      <c r="AF33" s="138"/>
      <c r="AG33" s="138"/>
      <c r="AH33" s="138"/>
      <c r="AI33" s="138"/>
      <c r="AJ33" s="25" t="s">
        <v>5</v>
      </c>
    </row>
    <row r="34" spans="1:36" ht="12.95" customHeight="1" x14ac:dyDescent="0.25">
      <c r="Y34" s="11"/>
      <c r="Z34" s="14"/>
      <c r="AA34" s="11"/>
      <c r="AB34" s="145" t="s">
        <v>16</v>
      </c>
      <c r="AC34" s="145"/>
      <c r="AD34" s="145"/>
      <c r="AE34" s="145"/>
      <c r="AF34" s="145"/>
      <c r="AG34" s="145"/>
      <c r="AH34" s="145"/>
      <c r="AI34" s="145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5" customFormat="1" ht="27.75" customHeight="1" x14ac:dyDescent="0.2">
      <c r="A36" s="136" t="s">
        <v>47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</row>
    <row r="37" spans="1:36" s="25" customFormat="1" ht="24.75" customHeight="1" x14ac:dyDescent="0.2">
      <c r="A37" s="129" t="str">
        <f>'Данные объект'!C34</f>
        <v>Гл. специалист ССК УКС ПАО "Россети Московский регион" Алексанян Г.Р., Приказ №2363 от 29 июля 2025г (НРС С-50-069023)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36" ht="28.5" customHeight="1" x14ac:dyDescent="0.25">
      <c r="A38" s="126" t="s">
        <v>48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36" s="25" customFormat="1" ht="23.25" customHeight="1" x14ac:dyDescent="0.2">
      <c r="A39" s="12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</row>
    <row r="40" spans="1:36" ht="25.5" customHeight="1" x14ac:dyDescent="0.25">
      <c r="A40" s="135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s="25" customFormat="1" ht="12" customHeight="1" x14ac:dyDescent="0.2">
      <c r="A41" s="25" t="s">
        <v>24</v>
      </c>
    </row>
    <row r="42" spans="1:36" s="25" customFormat="1" ht="12" customHeight="1" x14ac:dyDescent="0.2">
      <c r="A42" s="139" t="str">
        <f>'Данные объект'!C21</f>
        <v>Прораб ООО"Энергосистемы" Красилов К.А., Приказ №05-ОТ/24 от 09 января 2024г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spans="1:36" ht="9" customHeight="1" x14ac:dyDescent="0.25">
      <c r="A43" s="126" t="s">
        <v>25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</row>
    <row r="44" spans="1:36" s="25" customFormat="1" ht="14.25" customHeight="1" x14ac:dyDescent="0.2">
      <c r="A44" s="136" t="s">
        <v>50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</row>
    <row r="45" spans="1:36" s="32" customFormat="1" ht="23.25" customHeight="1" x14ac:dyDescent="0.2">
      <c r="A45" s="129" t="str">
        <f>'Данные объект'!C18</f>
        <v>Инженер по строительному контролю ООО"Энергосистемы" Капитонов Д.А., Приказ № 18-ОТ/24 от 03 июня 2024 (НОСТРОЙ С-50-188017)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36" ht="25.9" customHeight="1" x14ac:dyDescent="0.25">
      <c r="A46" s="126" t="s">
        <v>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x14ac:dyDescent="0.25">
      <c r="A47" s="136" t="s">
        <v>207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ht="15" customHeight="1" x14ac:dyDescent="0.25">
      <c r="A48" s="129" t="str">
        <f>'Данные объект'!$C$36</f>
        <v>Мастер СРЭС СЭС филиала ПАО "Россети Московский регион" Курчин М.М.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x14ac:dyDescent="0.25">
      <c r="A49" s="126" t="s">
        <v>25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s="25" customFormat="1" ht="36.75" customHeight="1" x14ac:dyDescent="0.2">
      <c r="A50" s="123" t="s">
        <v>52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</row>
    <row r="51" spans="1:36" s="32" customFormat="1" ht="12.95" customHeight="1" x14ac:dyDescent="0.2">
      <c r="A51" s="139" t="s">
        <v>75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spans="1:36" ht="29.25" customHeight="1" x14ac:dyDescent="0.25">
      <c r="A52" s="126" t="s">
        <v>53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s="25" customFormat="1" ht="25.5" hidden="1" customHeight="1" x14ac:dyDescent="0.2">
      <c r="A53" s="123" t="s">
        <v>54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</row>
    <row r="54" spans="1:36" s="25" customFormat="1" ht="12" hidden="1" customHeight="1" x14ac:dyDescent="0.2">
      <c r="A54" s="129" t="e">
        <f>CONCATENATE(#REF!,", ",#REF!," - ",#REF!)</f>
        <v>#REF!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ht="9.75" hidden="1" customHeight="1" x14ac:dyDescent="0.25">
      <c r="A55" s="126" t="s">
        <v>28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25" customFormat="1" ht="12" hidden="1" customHeight="1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ht="16.5" hidden="1" customHeight="1" x14ac:dyDescent="0.25">
      <c r="A57" s="126" t="s">
        <v>55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 spans="1:36" s="25" customFormat="1" ht="12" customHeight="1" x14ac:dyDescent="0.2">
      <c r="A58" s="25" t="s">
        <v>15</v>
      </c>
    </row>
    <row r="59" spans="1:36" s="25" customFormat="1" ht="12.95" customHeight="1" x14ac:dyDescent="0.2">
      <c r="A59" s="128" t="str">
        <f>'Данные объект'!B11</f>
        <v>ООО"Энергосистемы"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spans="1:36" ht="10.5" customHeight="1" x14ac:dyDescent="0.25">
      <c r="A60" s="132" t="s">
        <v>39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s="25" customFormat="1" ht="12" customHeight="1" x14ac:dyDescent="0.2">
      <c r="A61" s="25" t="s">
        <v>14</v>
      </c>
    </row>
    <row r="62" spans="1:36" s="25" customFormat="1" ht="12" customHeight="1" x14ac:dyDescent="0.2">
      <c r="A62" s="25" t="s">
        <v>29</v>
      </c>
    </row>
    <row r="63" spans="1:36" s="25" customFormat="1" ht="12" customHeight="1" x14ac:dyDescent="0.2">
      <c r="A63" s="130" t="s">
        <v>159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 t="str">
        <f>'Данные объект'!B9</f>
        <v>КТП №3865</v>
      </c>
      <c r="Q63" s="130"/>
      <c r="R63" s="130"/>
      <c r="S63" s="77" t="s">
        <v>227</v>
      </c>
      <c r="T63" s="152">
        <f>'АОСР-1'!V63</f>
        <v>4.28</v>
      </c>
      <c r="U63" s="152"/>
      <c r="V63" s="78" t="s">
        <v>87</v>
      </c>
      <c r="W63" s="79"/>
      <c r="X63" s="76"/>
      <c r="Y63" s="76"/>
      <c r="Z63" s="76"/>
      <c r="AA63" s="76"/>
      <c r="AB63" s="76"/>
      <c r="AC63" s="94"/>
      <c r="AD63" s="94"/>
      <c r="AE63" s="94"/>
      <c r="AF63" s="94"/>
      <c r="AG63" s="79"/>
      <c r="AH63" s="76"/>
      <c r="AI63" s="76"/>
      <c r="AJ63" s="76"/>
    </row>
    <row r="64" spans="1:36" ht="8.25" customHeight="1" x14ac:dyDescent="0.25">
      <c r="A64" s="148" t="s">
        <v>13</v>
      </c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</row>
    <row r="65" spans="1:36" s="25" customFormat="1" ht="12" customHeight="1" x14ac:dyDescent="0.2">
      <c r="A65" s="80" t="s">
        <v>12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</row>
    <row r="66" spans="1:36" s="25" customFormat="1" ht="12" customHeight="1" x14ac:dyDescent="0.2">
      <c r="A66" s="130" t="str">
        <f>'Данные объект'!B43</f>
        <v>4844-315915-113-05/24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</row>
    <row r="67" spans="1:36" ht="15" customHeight="1" x14ac:dyDescent="0.25">
      <c r="A67" s="148" t="s">
        <v>40</v>
      </c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</row>
    <row r="68" spans="1:36" s="25" customFormat="1" ht="12" customHeight="1" x14ac:dyDescent="0.2">
      <c r="A68" s="80" t="s">
        <v>11</v>
      </c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50"/>
      <c r="AI68" s="150"/>
      <c r="AJ68" s="150"/>
    </row>
    <row r="69" spans="1:36" s="32" customFormat="1" ht="7.5" customHeight="1" x14ac:dyDescent="0.1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151" t="s">
        <v>56</v>
      </c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</row>
    <row r="70" spans="1:36" s="25" customFormat="1" ht="12" customHeight="1" x14ac:dyDescent="0.2">
      <c r="A70" s="147" t="s">
        <v>86</v>
      </c>
      <c r="B70" s="147"/>
      <c r="C70" s="147"/>
      <c r="D70" s="130">
        <f>T63</f>
        <v>4.28</v>
      </c>
      <c r="E70" s="130"/>
      <c r="F70" s="130" t="s">
        <v>87</v>
      </c>
      <c r="G70" s="130"/>
      <c r="H70" s="76" t="s">
        <v>170</v>
      </c>
      <c r="I70" s="95" t="s">
        <v>205</v>
      </c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</row>
    <row r="71" spans="1:36" ht="18.75" customHeight="1" x14ac:dyDescent="0.25">
      <c r="A71" s="148" t="s">
        <v>228</v>
      </c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</row>
    <row r="72" spans="1:36" s="25" customFormat="1" ht="12" customHeight="1" x14ac:dyDescent="0.2">
      <c r="A72" s="25" t="s">
        <v>10</v>
      </c>
    </row>
    <row r="73" spans="1:36" s="25" customFormat="1" ht="12" customHeight="1" x14ac:dyDescent="0.2">
      <c r="A73" s="25" t="s">
        <v>9</v>
      </c>
      <c r="G73" s="125" t="s">
        <v>83</v>
      </c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</row>
    <row r="74" spans="1:36" ht="7.5" customHeight="1" x14ac:dyDescent="0.25">
      <c r="A74" s="137"/>
      <c r="B74" s="137"/>
      <c r="C74" s="8"/>
      <c r="D74" s="8"/>
      <c r="E74" s="8"/>
      <c r="F74" s="8"/>
      <c r="G74" s="127" t="s">
        <v>8</v>
      </c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25" customFormat="1" ht="12" hidden="1" customHeight="1" x14ac:dyDescent="0.2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</row>
    <row r="76" spans="1:36" ht="7.5" customHeight="1" x14ac:dyDescent="0.25">
      <c r="A76" s="126" t="s">
        <v>30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5" customFormat="1" ht="12" customHeight="1" x14ac:dyDescent="0.2">
      <c r="A78" s="25" t="s">
        <v>7</v>
      </c>
      <c r="D78" s="34"/>
      <c r="E78" s="34"/>
      <c r="F78" s="34"/>
      <c r="G78" s="34"/>
      <c r="L78" s="26"/>
      <c r="M78" s="36"/>
      <c r="N78" s="36"/>
      <c r="P78" s="138" t="str">
        <f>'Данные объект'!B6</f>
        <v>07.04.2025</v>
      </c>
      <c r="Q78" s="138"/>
      <c r="R78" s="138"/>
      <c r="S78" s="138"/>
      <c r="T78" s="138"/>
      <c r="U78" s="138"/>
      <c r="V78" s="138"/>
      <c r="W78" s="138"/>
      <c r="X78" s="25" t="s">
        <v>5</v>
      </c>
    </row>
    <row r="79" spans="1:36" s="25" customFormat="1" ht="12" customHeight="1" x14ac:dyDescent="0.2">
      <c r="A79" s="25" t="s">
        <v>6</v>
      </c>
      <c r="D79" s="34"/>
      <c r="E79" s="34"/>
      <c r="F79" s="34"/>
      <c r="G79" s="34"/>
      <c r="L79" s="26"/>
      <c r="M79" s="36"/>
      <c r="N79" s="36"/>
      <c r="P79" s="124" t="str">
        <f>'Данные объект'!B7</f>
        <v>18.04.2025</v>
      </c>
      <c r="Q79" s="124"/>
      <c r="R79" s="124"/>
      <c r="S79" s="124"/>
      <c r="T79" s="124"/>
      <c r="U79" s="124"/>
      <c r="V79" s="124"/>
      <c r="W79" s="124"/>
      <c r="X79" s="25" t="s">
        <v>5</v>
      </c>
    </row>
    <row r="80" spans="1:36" ht="7.5" customHeight="1" x14ac:dyDescent="0.25">
      <c r="A80" s="6"/>
      <c r="B80" s="6"/>
      <c r="C80" s="6"/>
      <c r="D80" s="5"/>
      <c r="E80" s="5"/>
      <c r="F80" s="5"/>
      <c r="G80" s="5"/>
    </row>
    <row r="81" spans="1:36" s="25" customFormat="1" ht="12" customHeight="1" x14ac:dyDescent="0.2">
      <c r="A81" s="25" t="s">
        <v>4</v>
      </c>
    </row>
    <row r="82" spans="1:36" s="25" customFormat="1" ht="12" customHeight="1" x14ac:dyDescent="0.2">
      <c r="A82" s="125" t="s">
        <v>169</v>
      </c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</row>
    <row r="83" spans="1:36" ht="8.25" customHeight="1" x14ac:dyDescent="0.25">
      <c r="A83" s="126" t="s">
        <v>184</v>
      </c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25" customFormat="1" ht="12" customHeight="1" x14ac:dyDescent="0.2">
      <c r="A84" s="25" t="s">
        <v>3</v>
      </c>
    </row>
    <row r="85" spans="1:36" s="25" customFormat="1" ht="12" customHeight="1" x14ac:dyDescent="0.2">
      <c r="A85" s="128" t="s">
        <v>85</v>
      </c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</row>
    <row r="86" spans="1:36" ht="9" customHeight="1" x14ac:dyDescent="0.25">
      <c r="A86" s="126" t="s">
        <v>31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</row>
    <row r="87" spans="1:36" s="25" customFormat="1" ht="12" customHeight="1" x14ac:dyDescent="0.2">
      <c r="A87" s="25" t="s">
        <v>2</v>
      </c>
      <c r="L87" s="128" t="s">
        <v>75</v>
      </c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</row>
    <row r="88" spans="1:36" ht="6" customHeight="1" x14ac:dyDescent="0.25">
      <c r="D88" s="4"/>
      <c r="E88" s="4"/>
      <c r="F88" s="4"/>
      <c r="G88" s="4"/>
      <c r="H88" s="4"/>
      <c r="I88" s="4"/>
      <c r="J88" s="4"/>
    </row>
    <row r="89" spans="1:36" s="25" customFormat="1" ht="12" customHeight="1" x14ac:dyDescent="0.2">
      <c r="A89" s="25" t="s">
        <v>103</v>
      </c>
      <c r="H89" s="128">
        <v>1</v>
      </c>
      <c r="I89" s="128"/>
      <c r="J89" s="25" t="s">
        <v>32</v>
      </c>
    </row>
    <row r="90" spans="1:36" ht="4.5" customHeight="1" x14ac:dyDescent="0.25"/>
    <row r="91" spans="1:36" s="25" customFormat="1" ht="12" customHeight="1" x14ac:dyDescent="0.2">
      <c r="A91" s="25" t="s">
        <v>1</v>
      </c>
    </row>
    <row r="92" spans="1:36" s="25" customFormat="1" ht="12" customHeight="1" x14ac:dyDescent="0.2">
      <c r="A92" s="30" t="s">
        <v>88</v>
      </c>
      <c r="B92" s="125" t="str">
        <f>G73</f>
        <v>Исполнительная схема устройства фундамента</v>
      </c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30"/>
      <c r="R92" s="30"/>
      <c r="S92" s="30"/>
      <c r="T92" s="30"/>
      <c r="U92" s="30"/>
      <c r="V92" s="30"/>
      <c r="W92" s="30" t="s">
        <v>75</v>
      </c>
      <c r="X92" s="30" t="s">
        <v>89</v>
      </c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</row>
    <row r="93" spans="1:36" s="25" customFormat="1" ht="12" customHeight="1" x14ac:dyDescent="0.2">
      <c r="A93" s="35" t="s">
        <v>90</v>
      </c>
      <c r="B93" s="35" t="str">
        <f>I70</f>
        <v>Паспорт качества № 1925 от 15.01.2025г.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 t="s">
        <v>75</v>
      </c>
      <c r="X93" s="35" t="s">
        <v>89</v>
      </c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</row>
    <row r="94" spans="1:36" ht="9.75" customHeight="1" x14ac:dyDescent="0.25">
      <c r="A94" s="126" t="s">
        <v>0</v>
      </c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</row>
    <row r="95" spans="1:36" ht="6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25" customFormat="1" ht="12" customHeight="1" x14ac:dyDescent="0.2">
      <c r="A96" s="25" t="s">
        <v>22</v>
      </c>
    </row>
    <row r="97" spans="1:36" s="25" customFormat="1" ht="12" customHeight="1" x14ac:dyDescent="0.2">
      <c r="A97" s="25" t="s">
        <v>23</v>
      </c>
    </row>
    <row r="98" spans="1:36" s="25" customFormat="1" ht="12" customHeight="1" x14ac:dyDescent="0.2">
      <c r="A98" s="128" t="str">
        <f>'Данные объект'!B33</f>
        <v>Алексанян Г.Р.</v>
      </c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128"/>
      <c r="AC98" s="128"/>
      <c r="AD98" s="128"/>
      <c r="AE98" s="128"/>
      <c r="AF98" s="128"/>
      <c r="AG98" s="128"/>
      <c r="AH98" s="128"/>
      <c r="AI98" s="128"/>
      <c r="AJ98" s="128"/>
    </row>
    <row r="99" spans="1:36" ht="9" customHeight="1" x14ac:dyDescent="0.25">
      <c r="A99" s="132" t="s">
        <v>34</v>
      </c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1" t="s">
        <v>33</v>
      </c>
      <c r="AC99" s="131"/>
      <c r="AD99" s="131"/>
      <c r="AE99" s="131"/>
      <c r="AF99" s="131"/>
      <c r="AG99" s="131"/>
      <c r="AH99" s="131"/>
      <c r="AI99" s="131"/>
      <c r="AJ99" s="131"/>
    </row>
    <row r="100" spans="1:36" s="25" customFormat="1" ht="12" customHeight="1" x14ac:dyDescent="0.2">
      <c r="A100" s="25" t="s">
        <v>24</v>
      </c>
    </row>
    <row r="101" spans="1:36" s="25" customFormat="1" ht="12" customHeight="1" x14ac:dyDescent="0.2">
      <c r="A101" s="128" t="str">
        <f>'Данные объект'!B20</f>
        <v>Красилов К.А.</v>
      </c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128"/>
      <c r="AC101" s="128"/>
      <c r="AD101" s="128"/>
      <c r="AE101" s="128"/>
      <c r="AF101" s="128"/>
      <c r="AG101" s="128"/>
      <c r="AH101" s="128"/>
      <c r="AI101" s="128"/>
      <c r="AJ101" s="128"/>
    </row>
    <row r="102" spans="1:36" ht="9" customHeight="1" x14ac:dyDescent="0.25">
      <c r="A102" s="132" t="s">
        <v>34</v>
      </c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1" t="s">
        <v>33</v>
      </c>
      <c r="AC102" s="131"/>
      <c r="AD102" s="131"/>
      <c r="AE102" s="131"/>
      <c r="AF102" s="131"/>
      <c r="AG102" s="131"/>
      <c r="AH102" s="131"/>
      <c r="AI102" s="131"/>
      <c r="AJ102" s="131"/>
    </row>
    <row r="103" spans="1:36" s="25" customFormat="1" ht="12" customHeight="1" x14ac:dyDescent="0.2">
      <c r="A103" s="25" t="s">
        <v>26</v>
      </c>
    </row>
    <row r="104" spans="1:36" s="25" customFormat="1" ht="12" customHeight="1" x14ac:dyDescent="0.2">
      <c r="A104" s="25" t="s">
        <v>27</v>
      </c>
    </row>
    <row r="105" spans="1:36" s="25" customFormat="1" ht="12" customHeight="1" x14ac:dyDescent="0.2">
      <c r="A105" s="128" t="str">
        <f>'Данные объект'!B17</f>
        <v>Капитонов Д.А.</v>
      </c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128"/>
      <c r="AC105" s="128"/>
      <c r="AD105" s="128"/>
      <c r="AE105" s="128"/>
      <c r="AF105" s="128"/>
      <c r="AG105" s="128"/>
      <c r="AH105" s="128"/>
      <c r="AI105" s="128"/>
      <c r="AJ105" s="128"/>
    </row>
    <row r="106" spans="1:36" ht="9" customHeight="1" x14ac:dyDescent="0.25">
      <c r="A106" s="132" t="s">
        <v>34</v>
      </c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1" t="s">
        <v>33</v>
      </c>
      <c r="AC106" s="131"/>
      <c r="AD106" s="131"/>
      <c r="AE106" s="131"/>
      <c r="AF106" s="131"/>
      <c r="AG106" s="131"/>
      <c r="AH106" s="131"/>
      <c r="AI106" s="131"/>
      <c r="AJ106" s="131"/>
    </row>
    <row r="107" spans="1:36" x14ac:dyDescent="0.25">
      <c r="A107" s="25" t="s">
        <v>208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91"/>
      <c r="AC107" s="91"/>
      <c r="AD107" s="91"/>
      <c r="AE107" s="91"/>
      <c r="AF107" s="91"/>
      <c r="AG107" s="91"/>
      <c r="AH107" s="91"/>
      <c r="AI107" s="91"/>
      <c r="AJ107" s="91"/>
    </row>
    <row r="108" spans="1:36" x14ac:dyDescent="0.25">
      <c r="A108" s="128" t="str">
        <f>'Данные объект'!$B$36</f>
        <v>Курчин М.М.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28"/>
      <c r="AC108" s="128"/>
      <c r="AD108" s="128"/>
      <c r="AE108" s="128"/>
      <c r="AF108" s="128"/>
      <c r="AG108" s="128"/>
      <c r="AH108" s="128"/>
      <c r="AI108" s="128"/>
      <c r="AJ108" s="128"/>
    </row>
    <row r="109" spans="1:36" ht="9" customHeight="1" x14ac:dyDescent="0.25">
      <c r="A109" s="132" t="s">
        <v>34</v>
      </c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1" t="s">
        <v>33</v>
      </c>
      <c r="AC109" s="131"/>
      <c r="AD109" s="131"/>
      <c r="AE109" s="131"/>
      <c r="AF109" s="131"/>
      <c r="AG109" s="131"/>
      <c r="AH109" s="131"/>
      <c r="AI109" s="131"/>
      <c r="AJ109" s="131"/>
    </row>
    <row r="110" spans="1:36" s="25" customFormat="1" ht="40.5" customHeight="1" x14ac:dyDescent="0.2">
      <c r="A110" s="123" t="s">
        <v>52</v>
      </c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3"/>
      <c r="AG110" s="123"/>
      <c r="AH110" s="123"/>
      <c r="AI110" s="123"/>
      <c r="AJ110" s="123"/>
    </row>
    <row r="111" spans="1:36" s="25" customFormat="1" ht="12" customHeight="1" x14ac:dyDescent="0.2">
      <c r="A111" s="128" t="s">
        <v>75</v>
      </c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128" t="s">
        <v>75</v>
      </c>
      <c r="AC111" s="128"/>
      <c r="AD111" s="128"/>
      <c r="AE111" s="128"/>
      <c r="AF111" s="128"/>
      <c r="AG111" s="128"/>
      <c r="AH111" s="128"/>
      <c r="AI111" s="128"/>
      <c r="AJ111" s="128"/>
    </row>
    <row r="112" spans="1:36" ht="9" customHeight="1" x14ac:dyDescent="0.25">
      <c r="A112" s="132" t="s">
        <v>34</v>
      </c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1" t="s">
        <v>33</v>
      </c>
      <c r="AC112" s="131"/>
      <c r="AD112" s="131"/>
      <c r="AE112" s="131"/>
      <c r="AF112" s="131"/>
      <c r="AG112" s="131"/>
      <c r="AH112" s="131"/>
      <c r="AI112" s="131"/>
      <c r="AJ112" s="131"/>
    </row>
    <row r="113" spans="1:36" s="25" customFormat="1" ht="40.5" hidden="1" customHeight="1" x14ac:dyDescent="0.2">
      <c r="A113" s="123" t="s">
        <v>54</v>
      </c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  <c r="AE113" s="123"/>
      <c r="AF113" s="123"/>
      <c r="AG113" s="123"/>
      <c r="AH113" s="123"/>
      <c r="AI113" s="123"/>
      <c r="AJ113" s="123"/>
    </row>
    <row r="114" spans="1:36" s="25" customFormat="1" ht="12" hidden="1" customHeight="1" x14ac:dyDescent="0.2">
      <c r="A114" s="128" t="e">
        <f>#REF!</f>
        <v>#REF!</v>
      </c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128"/>
      <c r="AC114" s="128"/>
      <c r="AD114" s="128"/>
      <c r="AE114" s="128"/>
      <c r="AF114" s="128"/>
      <c r="AG114" s="128"/>
      <c r="AH114" s="128"/>
      <c r="AI114" s="128"/>
      <c r="AJ114" s="128"/>
    </row>
    <row r="115" spans="1:36" ht="9" hidden="1" customHeight="1" x14ac:dyDescent="0.25">
      <c r="A115" s="132" t="s">
        <v>34</v>
      </c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1" t="s">
        <v>33</v>
      </c>
      <c r="AC115" s="131"/>
      <c r="AD115" s="131"/>
      <c r="AE115" s="131"/>
      <c r="AF115" s="131"/>
      <c r="AG115" s="131"/>
      <c r="AH115" s="131"/>
      <c r="AI115" s="131"/>
      <c r="AJ115" s="131"/>
    </row>
    <row r="116" spans="1:36" ht="12" customHeight="1" x14ac:dyDescent="0.25"/>
  </sheetData>
  <mergeCells count="103">
    <mergeCell ref="A14:AJ14"/>
    <mergeCell ref="A16:AJ16"/>
    <mergeCell ref="A17:AJ17"/>
    <mergeCell ref="A18:AJ18"/>
    <mergeCell ref="A19:AJ19"/>
    <mergeCell ref="A20:AJ20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21:AJ21"/>
    <mergeCell ref="A23:AJ23"/>
    <mergeCell ref="A44:AJ44"/>
    <mergeCell ref="A36:AJ36"/>
    <mergeCell ref="A37:AJ37"/>
    <mergeCell ref="A25:AJ25"/>
    <mergeCell ref="A26:AJ26"/>
    <mergeCell ref="A27:AJ27"/>
    <mergeCell ref="A28:AJ28"/>
    <mergeCell ref="A30:AJ30"/>
    <mergeCell ref="E33:G33"/>
    <mergeCell ref="A31:AJ31"/>
    <mergeCell ref="AB33:AI33"/>
    <mergeCell ref="AB34:AI34"/>
    <mergeCell ref="A38:AJ38"/>
    <mergeCell ref="A39:AJ39"/>
    <mergeCell ref="A24:AJ24"/>
    <mergeCell ref="A63:O63"/>
    <mergeCell ref="P63:R63"/>
    <mergeCell ref="T63:U63"/>
    <mergeCell ref="A40:AJ40"/>
    <mergeCell ref="A42:AJ42"/>
    <mergeCell ref="A43:AJ43"/>
    <mergeCell ref="A60:AJ60"/>
    <mergeCell ref="A45:AJ45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47:AJ47"/>
    <mergeCell ref="A48:AJ48"/>
    <mergeCell ref="A49:AJ49"/>
    <mergeCell ref="G73:AJ73"/>
    <mergeCell ref="A74:B74"/>
    <mergeCell ref="G74:AJ74"/>
    <mergeCell ref="A70:C70"/>
    <mergeCell ref="D70:E70"/>
    <mergeCell ref="F70:G70"/>
    <mergeCell ref="A64:AJ64"/>
    <mergeCell ref="A66:AJ66"/>
    <mergeCell ref="A67:AJ67"/>
    <mergeCell ref="P68:AJ68"/>
    <mergeCell ref="P69:AJ69"/>
    <mergeCell ref="A71:AJ71"/>
    <mergeCell ref="A113:AJ113"/>
    <mergeCell ref="A114:O114"/>
    <mergeCell ref="AB114:AJ114"/>
    <mergeCell ref="A115:O115"/>
    <mergeCell ref="AB115:AJ115"/>
    <mergeCell ref="A102:O102"/>
    <mergeCell ref="AB102:AJ102"/>
    <mergeCell ref="B92:P92"/>
    <mergeCell ref="A75:AJ75"/>
    <mergeCell ref="A76:AJ76"/>
    <mergeCell ref="L87:AJ87"/>
    <mergeCell ref="H89:I89"/>
    <mergeCell ref="A94:AJ94"/>
    <mergeCell ref="A98:O98"/>
    <mergeCell ref="AB98:AJ98"/>
    <mergeCell ref="A85:AJ85"/>
    <mergeCell ref="P78:W78"/>
    <mergeCell ref="P79:W79"/>
    <mergeCell ref="A108:O108"/>
    <mergeCell ref="AB108:AJ108"/>
    <mergeCell ref="A109:O109"/>
    <mergeCell ref="AB109:AJ109"/>
    <mergeCell ref="A112:O112"/>
    <mergeCell ref="A105:O105"/>
    <mergeCell ref="A99:O99"/>
    <mergeCell ref="A82:AJ82"/>
    <mergeCell ref="A83:AJ83"/>
    <mergeCell ref="AB112:AJ112"/>
    <mergeCell ref="AB105:AJ105"/>
    <mergeCell ref="A106:O106"/>
    <mergeCell ref="AB106:AJ106"/>
    <mergeCell ref="A110:AJ110"/>
    <mergeCell ref="A111:O111"/>
    <mergeCell ref="A86:AJ86"/>
    <mergeCell ref="AB111:AJ111"/>
    <mergeCell ref="AB99:AJ99"/>
    <mergeCell ref="A101:O101"/>
    <mergeCell ref="AB101:AJ101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Q116"/>
  <sheetViews>
    <sheetView view="pageBreakPreview" topLeftCell="A82" zoomScale="125" zoomScaleNormal="125" zoomScaleSheetLayoutView="125" workbookViewId="0">
      <selection activeCell="A108" sqref="A108:O108"/>
    </sheetView>
  </sheetViews>
  <sheetFormatPr defaultColWidth="10.6640625" defaultRowHeight="15" x14ac:dyDescent="0.25"/>
  <cols>
    <col min="1" max="13" width="2.83203125" style="1" customWidth="1"/>
    <col min="14" max="14" width="3.5" style="1" customWidth="1"/>
    <col min="15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5" customFormat="1" ht="12.75" customHeight="1" x14ac:dyDescent="0.2">
      <c r="AJ1" s="26" t="s">
        <v>42</v>
      </c>
    </row>
    <row r="2" spans="1:43" s="25" customFormat="1" ht="11.25" customHeight="1" x14ac:dyDescent="0.2">
      <c r="AJ2" s="26" t="s">
        <v>41</v>
      </c>
    </row>
    <row r="3" spans="1:43" s="25" customFormat="1" ht="14.25" customHeight="1" x14ac:dyDescent="0.2">
      <c r="A3" s="25" t="s">
        <v>20</v>
      </c>
      <c r="AJ3" s="27"/>
      <c r="AK3" s="27"/>
      <c r="AL3" s="27"/>
      <c r="AM3" s="27"/>
      <c r="AN3" s="27"/>
      <c r="AO3" s="27"/>
      <c r="AP3" s="27"/>
      <c r="AQ3" s="27"/>
    </row>
    <row r="4" spans="1:43" s="25" customFormat="1" ht="38.25" customHeight="1" x14ac:dyDescent="0.2">
      <c r="A4" s="129" t="str">
        <f>'Данные объект'!B3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</row>
    <row r="5" spans="1:43" s="25" customFormat="1" ht="12" customHeight="1" x14ac:dyDescent="0.2">
      <c r="A5" s="139" t="str">
        <f>'Данные объект'!B9</f>
        <v>КТП №3865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ht="11.25" customHeight="1" x14ac:dyDescent="0.25">
      <c r="A6" s="141" t="s">
        <v>223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</row>
    <row r="7" spans="1:43" s="25" customFormat="1" ht="1.9" customHeight="1" x14ac:dyDescent="0.2">
      <c r="A7" s="136" t="s">
        <v>43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43" s="25" customFormat="1" ht="12" customHeight="1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25" customFormat="1" ht="12" customHeight="1" x14ac:dyDescent="0.2">
      <c r="A9" s="139" t="str">
        <f>'Данные объект'!B23</f>
        <v>ПАО "Россети Московский регион"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1:43" ht="19.5" customHeight="1" x14ac:dyDescent="0.25">
      <c r="A10" s="126" t="s">
        <v>59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43" s="25" customFormat="1" ht="12" customHeight="1" x14ac:dyDescent="0.2">
      <c r="A11" s="139" t="str">
        <f>'Данные объект'!B24</f>
        <v>ОГРН 1057746555811 ИНН 5036065113 КПП 772501001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1:43" ht="28.5" customHeight="1" x14ac:dyDescent="0.25">
      <c r="A12" s="126" t="s">
        <v>60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3" s="25" customFormat="1" ht="12" customHeight="1" x14ac:dyDescent="0.2">
      <c r="A13" s="139" t="str">
        <f>'Данные объект'!B25</f>
        <v>115114, город Москва, проезд Павелецкий 2-й, дом 3, строение 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1:43" ht="11.25" customHeight="1" x14ac:dyDescent="0.25">
      <c r="A14" s="126" t="s">
        <v>44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43" s="25" customFormat="1" ht="12" customHeight="1" x14ac:dyDescent="0.2">
      <c r="A15" s="25" t="s">
        <v>21</v>
      </c>
    </row>
    <row r="16" spans="1:43" s="25" customFormat="1" ht="12" customHeight="1" x14ac:dyDescent="0.2">
      <c r="A16" s="139" t="str">
        <f>'Данные объект'!B11</f>
        <v>ООО"Энергосистемы"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9.75" customHeight="1" x14ac:dyDescent="0.25">
      <c r="A17" s="126" t="s">
        <v>38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</row>
    <row r="18" spans="1:36" s="25" customFormat="1" ht="12" customHeight="1" x14ac:dyDescent="0.2">
      <c r="A18" s="139" t="str">
        <f>'Данные объект'!B12</f>
        <v>ОГРН 1135044003709  ИНН 5044089069 КПП 504401001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8.25" customHeight="1" x14ac:dyDescent="0.25">
      <c r="A19" s="126" t="s">
        <v>45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</row>
    <row r="20" spans="1:36" s="25" customFormat="1" ht="12" customHeight="1" x14ac:dyDescent="0.2">
      <c r="A20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1:36" ht="27" customHeight="1" x14ac:dyDescent="0.25">
      <c r="A21" s="126" t="s">
        <v>61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</row>
    <row r="22" spans="1:36" s="25" customFormat="1" ht="12" customHeight="1" x14ac:dyDescent="0.2">
      <c r="A22" s="25" t="s">
        <v>19</v>
      </c>
    </row>
    <row r="23" spans="1:36" s="25" customFormat="1" ht="12" customHeight="1" x14ac:dyDescent="0.2">
      <c r="A23" s="139" t="str">
        <f>'Данные объект'!B39</f>
        <v>ООО"Энергосистемы"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spans="1:36" ht="7.5" customHeight="1" x14ac:dyDescent="0.25">
      <c r="A24" s="126" t="s">
        <v>37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</row>
    <row r="25" spans="1:36" s="25" customFormat="1" ht="12" customHeight="1" x14ac:dyDescent="0.2">
      <c r="A25" s="139" t="str">
        <f>'Данные объект'!B40</f>
        <v>ОГРН 1135044003709  ИНН 5044089069 КПП 504401001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spans="1:36" ht="7.5" customHeight="1" x14ac:dyDescent="0.25">
      <c r="A26" s="126" t="s">
        <v>62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s="25" customFormat="1" ht="12" customHeight="1" x14ac:dyDescent="0.2">
      <c r="A27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spans="1:36" ht="22.5" customHeight="1" x14ac:dyDescent="0.25">
      <c r="A28" s="126" t="s">
        <v>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5" customFormat="1" ht="12.95" customHeight="1" x14ac:dyDescent="0.2">
      <c r="A30" s="146" t="s">
        <v>35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</row>
    <row r="31" spans="1:36" s="25" customFormat="1" ht="12.95" customHeight="1" x14ac:dyDescent="0.2">
      <c r="A31" s="140" t="s">
        <v>18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s="25" customFormat="1" ht="12.9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36" s="25" customFormat="1" ht="12.95" customHeight="1" x14ac:dyDescent="0.2">
      <c r="A33" s="29"/>
      <c r="B33" s="29" t="s">
        <v>17</v>
      </c>
      <c r="C33" s="30">
        <f>'АОСР-2'!C33+1</f>
        <v>3</v>
      </c>
      <c r="D33" s="30"/>
      <c r="E33" s="128" t="s">
        <v>91</v>
      </c>
      <c r="F33" s="128"/>
      <c r="G33" s="128"/>
      <c r="H33" s="31"/>
      <c r="I33" s="31"/>
      <c r="J33" s="31"/>
      <c r="X33" s="26"/>
      <c r="Y33" s="36"/>
      <c r="Z33" s="36"/>
      <c r="AB33" s="138" t="str">
        <f>P79</f>
        <v>18.04.2025</v>
      </c>
      <c r="AC33" s="138"/>
      <c r="AD33" s="138"/>
      <c r="AE33" s="138"/>
      <c r="AF33" s="138"/>
      <c r="AG33" s="138"/>
      <c r="AH33" s="138"/>
      <c r="AI33" s="138"/>
      <c r="AJ33" s="25" t="s">
        <v>5</v>
      </c>
    </row>
    <row r="34" spans="1:36" ht="12.95" customHeight="1" x14ac:dyDescent="0.25">
      <c r="Y34" s="11"/>
      <c r="Z34" s="14"/>
      <c r="AA34" s="11"/>
      <c r="AB34" s="145" t="s">
        <v>16</v>
      </c>
      <c r="AC34" s="145"/>
      <c r="AD34" s="145"/>
      <c r="AE34" s="145"/>
      <c r="AF34" s="145"/>
      <c r="AG34" s="145"/>
      <c r="AH34" s="145"/>
      <c r="AI34" s="145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5" customFormat="1" ht="27.75" customHeight="1" x14ac:dyDescent="0.2">
      <c r="A36" s="136" t="s">
        <v>47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</row>
    <row r="37" spans="1:36" s="25" customFormat="1" ht="24.75" customHeight="1" x14ac:dyDescent="0.2">
      <c r="A37" s="129" t="str">
        <f>'Данные объект'!C34</f>
        <v>Гл. специалист ССК УКС ПАО "Россети Московский регион" Алексанян Г.Р., Приказ №2363 от 29 июля 2025г (НРС С-50-069023)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36" ht="28.5" customHeight="1" x14ac:dyDescent="0.25">
      <c r="A38" s="126" t="s">
        <v>48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36" s="25" customFormat="1" ht="23.25" customHeight="1" x14ac:dyDescent="0.2">
      <c r="A39" s="12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</row>
    <row r="40" spans="1:36" ht="25.5" customHeight="1" x14ac:dyDescent="0.25">
      <c r="A40" s="135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s="25" customFormat="1" ht="12" customHeight="1" x14ac:dyDescent="0.2">
      <c r="A41" s="25" t="s">
        <v>24</v>
      </c>
    </row>
    <row r="42" spans="1:36" s="25" customFormat="1" ht="12" customHeight="1" x14ac:dyDescent="0.2">
      <c r="A42" s="139" t="str">
        <f>'Данные объект'!C21</f>
        <v>Прораб ООО"Энергосистемы" Красилов К.А., Приказ №05-ОТ/24 от 09 января 2024г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spans="1:36" ht="9" customHeight="1" x14ac:dyDescent="0.25">
      <c r="A43" s="126" t="s">
        <v>25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</row>
    <row r="44" spans="1:36" s="25" customFormat="1" ht="14.25" customHeight="1" x14ac:dyDescent="0.2">
      <c r="A44" s="136" t="s">
        <v>50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</row>
    <row r="45" spans="1:36" s="32" customFormat="1" ht="23.25" customHeight="1" x14ac:dyDescent="0.2">
      <c r="A45" s="129" t="str">
        <f>'Данные объект'!C18</f>
        <v>Инженер по строительному контролю ООО"Энергосистемы" Капитонов Д.А., Приказ № 18-ОТ/24 от 03 июня 2024 (НОСТРОЙ С-50-188017)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36" ht="27.6" customHeight="1" x14ac:dyDescent="0.25">
      <c r="A46" s="126" t="s">
        <v>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x14ac:dyDescent="0.25">
      <c r="A47" s="136" t="s">
        <v>207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ht="15" customHeight="1" x14ac:dyDescent="0.25">
      <c r="A48" s="129" t="str">
        <f>'Данные объект'!$C$36</f>
        <v>Мастер СРЭС СЭС филиала ПАО "Россети Московский регион" Курчин М.М.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x14ac:dyDescent="0.25">
      <c r="A49" s="126" t="s">
        <v>25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s="25" customFormat="1" ht="36.75" customHeight="1" x14ac:dyDescent="0.2">
      <c r="A50" s="123" t="s">
        <v>52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</row>
    <row r="51" spans="1:36" s="32" customFormat="1" ht="12.95" customHeight="1" x14ac:dyDescent="0.2">
      <c r="A51" s="139" t="s">
        <v>75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spans="1:36" ht="29.25" customHeight="1" x14ac:dyDescent="0.25">
      <c r="A52" s="126" t="s">
        <v>53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s="25" customFormat="1" ht="25.5" hidden="1" customHeight="1" x14ac:dyDescent="0.2">
      <c r="A53" s="123" t="s">
        <v>54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</row>
    <row r="54" spans="1:36" s="25" customFormat="1" ht="12" hidden="1" customHeight="1" x14ac:dyDescent="0.2">
      <c r="A54" s="129" t="e">
        <f>CONCATENATE(#REF!,", ",#REF!," - ",#REF!)</f>
        <v>#REF!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ht="9.75" hidden="1" customHeight="1" x14ac:dyDescent="0.25">
      <c r="A55" s="126" t="s">
        <v>28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25" customFormat="1" ht="12" hidden="1" customHeight="1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ht="16.5" hidden="1" customHeight="1" x14ac:dyDescent="0.25">
      <c r="A57" s="126" t="s">
        <v>55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 spans="1:36" s="25" customFormat="1" ht="12" customHeight="1" x14ac:dyDescent="0.2">
      <c r="A58" s="25" t="s">
        <v>15</v>
      </c>
    </row>
    <row r="59" spans="1:36" s="25" customFormat="1" ht="12.95" customHeight="1" x14ac:dyDescent="0.2">
      <c r="A59" s="128" t="str">
        <f>'Данные объект'!B11</f>
        <v>ООО"Энергосистемы"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spans="1:36" ht="10.5" customHeight="1" x14ac:dyDescent="0.25">
      <c r="A60" s="132" t="s">
        <v>39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s="25" customFormat="1" ht="12" customHeight="1" x14ac:dyDescent="0.2">
      <c r="A61" s="25" t="s">
        <v>14</v>
      </c>
    </row>
    <row r="62" spans="1:36" s="25" customFormat="1" ht="12" customHeight="1" x14ac:dyDescent="0.2">
      <c r="A62" s="25" t="s">
        <v>29</v>
      </c>
    </row>
    <row r="63" spans="1:36" s="25" customFormat="1" ht="12" customHeight="1" x14ac:dyDescent="0.2">
      <c r="A63" s="153" t="s">
        <v>160</v>
      </c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4" t="str">
        <f>'Данные объект'!B9</f>
        <v>КТП №3865</v>
      </c>
      <c r="P63" s="154"/>
      <c r="Q63" s="154"/>
      <c r="R63" s="154"/>
      <c r="S63" s="154"/>
      <c r="T63" s="154"/>
      <c r="U63" s="74" t="s">
        <v>227</v>
      </c>
      <c r="V63" s="130">
        <f>'АОСР-1'!V63</f>
        <v>4.28</v>
      </c>
      <c r="W63" s="130"/>
      <c r="X63" s="40" t="s">
        <v>87</v>
      </c>
      <c r="Y63" s="130"/>
      <c r="Z63" s="130"/>
      <c r="AA63" s="130"/>
      <c r="AB63" s="130"/>
      <c r="AC63" s="130"/>
      <c r="AD63" s="76"/>
      <c r="AE63" s="94"/>
      <c r="AF63" s="94"/>
      <c r="AG63" s="94"/>
      <c r="AH63" s="33"/>
      <c r="AI63" s="33"/>
      <c r="AJ63" s="33"/>
    </row>
    <row r="64" spans="1:36" ht="8.25" customHeight="1" x14ac:dyDescent="0.25">
      <c r="A64" s="126" t="s">
        <v>13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</row>
    <row r="65" spans="1:36" s="25" customFormat="1" ht="12" customHeight="1" x14ac:dyDescent="0.2">
      <c r="A65" s="25" t="s">
        <v>12</v>
      </c>
    </row>
    <row r="66" spans="1:36" s="25" customFormat="1" ht="12" customHeight="1" x14ac:dyDescent="0.2">
      <c r="A66" s="129" t="str">
        <f>'Данные объект'!B43</f>
        <v>4844-315915-113-05/24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ht="15" customHeight="1" x14ac:dyDescent="0.25">
      <c r="A67" s="126" t="s">
        <v>40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25" customFormat="1" ht="12" customHeight="1" x14ac:dyDescent="0.2">
      <c r="A68" s="25" t="s">
        <v>11</v>
      </c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1" t="s">
        <v>56</v>
      </c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</row>
    <row r="70" spans="1:36" s="25" customFormat="1" ht="12" customHeight="1" x14ac:dyDescent="0.2">
      <c r="A70" s="153" t="s">
        <v>92</v>
      </c>
      <c r="B70" s="153"/>
      <c r="C70" s="153"/>
      <c r="D70" s="129">
        <f>V63</f>
        <v>4.28</v>
      </c>
      <c r="E70" s="129"/>
      <c r="F70" s="129" t="s">
        <v>87</v>
      </c>
      <c r="G70" s="129"/>
      <c r="H70" s="33" t="s">
        <v>170</v>
      </c>
      <c r="I70" s="95" t="s">
        <v>206</v>
      </c>
      <c r="J70" s="96"/>
      <c r="K70" s="96"/>
      <c r="L70" s="96"/>
      <c r="M70" s="96"/>
      <c r="N70" s="96"/>
      <c r="O70" s="96"/>
      <c r="P70" s="96"/>
      <c r="Q70" s="96"/>
      <c r="R70" s="96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spans="1:36" ht="18.75" customHeight="1" x14ac:dyDescent="0.25">
      <c r="A71" s="126" t="s">
        <v>57</v>
      </c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</row>
    <row r="72" spans="1:36" s="25" customFormat="1" ht="12" customHeight="1" x14ac:dyDescent="0.2">
      <c r="A72" s="25" t="s">
        <v>10</v>
      </c>
    </row>
    <row r="73" spans="1:36" s="25" customFormat="1" ht="12" customHeight="1" x14ac:dyDescent="0.2">
      <c r="A73" s="25" t="s">
        <v>9</v>
      </c>
      <c r="G73" s="125" t="s">
        <v>83</v>
      </c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</row>
    <row r="74" spans="1:36" ht="7.5" customHeight="1" x14ac:dyDescent="0.25">
      <c r="A74" s="137"/>
      <c r="B74" s="137"/>
      <c r="C74" s="8"/>
      <c r="D74" s="8"/>
      <c r="E74" s="8"/>
      <c r="F74" s="8"/>
      <c r="G74" s="127" t="s">
        <v>8</v>
      </c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25" customFormat="1" ht="12" hidden="1" customHeight="1" x14ac:dyDescent="0.2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</row>
    <row r="76" spans="1:36" ht="7.5" customHeight="1" x14ac:dyDescent="0.25">
      <c r="A76" s="126" t="s">
        <v>229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5" customFormat="1" ht="12" customHeight="1" x14ac:dyDescent="0.2">
      <c r="A78" s="25" t="s">
        <v>7</v>
      </c>
      <c r="D78" s="34"/>
      <c r="E78" s="34"/>
      <c r="F78" s="34"/>
      <c r="G78" s="34"/>
      <c r="L78" s="26"/>
      <c r="M78" s="36"/>
      <c r="N78" s="36"/>
      <c r="P78" s="138" t="str">
        <f>'Данные объект'!B6</f>
        <v>07.04.2025</v>
      </c>
      <c r="Q78" s="138"/>
      <c r="R78" s="138"/>
      <c r="S78" s="138"/>
      <c r="T78" s="138"/>
      <c r="U78" s="138"/>
      <c r="V78" s="138"/>
      <c r="W78" s="138"/>
      <c r="X78" s="25" t="s">
        <v>5</v>
      </c>
    </row>
    <row r="79" spans="1:36" s="25" customFormat="1" ht="12" customHeight="1" x14ac:dyDescent="0.2">
      <c r="A79" s="25" t="s">
        <v>6</v>
      </c>
      <c r="D79" s="34"/>
      <c r="E79" s="34"/>
      <c r="F79" s="34"/>
      <c r="G79" s="34"/>
      <c r="L79" s="26"/>
      <c r="M79" s="36"/>
      <c r="N79" s="36"/>
      <c r="P79" s="124" t="str">
        <f>'Данные объект'!B7</f>
        <v>18.04.2025</v>
      </c>
      <c r="Q79" s="124"/>
      <c r="R79" s="124"/>
      <c r="S79" s="124"/>
      <c r="T79" s="124"/>
      <c r="U79" s="124"/>
      <c r="V79" s="124"/>
      <c r="W79" s="124"/>
      <c r="X79" s="25" t="s">
        <v>5</v>
      </c>
    </row>
    <row r="80" spans="1:36" ht="7.5" customHeight="1" x14ac:dyDescent="0.25">
      <c r="A80" s="6"/>
      <c r="B80" s="6"/>
      <c r="C80" s="6"/>
      <c r="D80" s="5"/>
      <c r="E80" s="5"/>
      <c r="F80" s="5"/>
      <c r="G80" s="5"/>
    </row>
    <row r="81" spans="1:36" s="25" customFormat="1" ht="12" customHeight="1" x14ac:dyDescent="0.2">
      <c r="A81" s="25" t="s">
        <v>4</v>
      </c>
    </row>
    <row r="82" spans="1:36" s="25" customFormat="1" ht="12" customHeight="1" x14ac:dyDescent="0.2">
      <c r="A82" s="125" t="s">
        <v>169</v>
      </c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</row>
    <row r="83" spans="1:36" ht="8.25" customHeight="1" x14ac:dyDescent="0.25">
      <c r="A83" s="126" t="s">
        <v>184</v>
      </c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25" customFormat="1" ht="12" customHeight="1" x14ac:dyDescent="0.2">
      <c r="A84" s="25" t="s">
        <v>3</v>
      </c>
    </row>
    <row r="85" spans="1:36" s="25" customFormat="1" ht="12" customHeight="1" x14ac:dyDescent="0.2">
      <c r="A85" s="128" t="s">
        <v>175</v>
      </c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</row>
    <row r="86" spans="1:36" ht="9" customHeight="1" x14ac:dyDescent="0.25">
      <c r="A86" s="126" t="s">
        <v>31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</row>
    <row r="87" spans="1:36" s="25" customFormat="1" ht="12" customHeight="1" x14ac:dyDescent="0.2">
      <c r="A87" s="25" t="s">
        <v>2</v>
      </c>
      <c r="L87" s="128" t="s">
        <v>75</v>
      </c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</row>
    <row r="88" spans="1:36" ht="6" customHeight="1" x14ac:dyDescent="0.25">
      <c r="D88" s="4"/>
      <c r="E88" s="4"/>
      <c r="F88" s="4"/>
      <c r="G88" s="4"/>
      <c r="H88" s="4"/>
      <c r="I88" s="4"/>
      <c r="J88" s="4"/>
    </row>
    <row r="89" spans="1:36" s="25" customFormat="1" ht="12" customHeight="1" x14ac:dyDescent="0.2">
      <c r="A89" s="25" t="s">
        <v>103</v>
      </c>
      <c r="H89" s="128">
        <v>1</v>
      </c>
      <c r="I89" s="128"/>
      <c r="J89" s="25" t="s">
        <v>32</v>
      </c>
    </row>
    <row r="90" spans="1:36" ht="4.5" customHeight="1" x14ac:dyDescent="0.25"/>
    <row r="91" spans="1:36" s="25" customFormat="1" ht="12" customHeight="1" x14ac:dyDescent="0.2">
      <c r="A91" s="25" t="s">
        <v>1</v>
      </c>
    </row>
    <row r="92" spans="1:36" s="25" customFormat="1" ht="12" customHeight="1" x14ac:dyDescent="0.2">
      <c r="A92" s="30" t="s">
        <v>88</v>
      </c>
      <c r="B92" s="125" t="str">
        <f>G73</f>
        <v>Исполнительная схема устройства фундамента</v>
      </c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30"/>
      <c r="R92" s="30"/>
      <c r="S92" s="30"/>
      <c r="T92" s="30"/>
      <c r="U92" s="30"/>
      <c r="V92" s="30"/>
      <c r="W92" s="30"/>
      <c r="X92" s="30" t="s">
        <v>75</v>
      </c>
      <c r="Y92" s="30" t="s">
        <v>89</v>
      </c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</row>
    <row r="93" spans="1:36" s="25" customFormat="1" ht="12" customHeight="1" x14ac:dyDescent="0.2">
      <c r="A93" s="35" t="s">
        <v>90</v>
      </c>
      <c r="B93" s="35" t="str">
        <f>I70</f>
        <v>Сертификат № 31 от 16.01.2025г.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 t="s">
        <v>75</v>
      </c>
      <c r="Y93" s="35" t="s">
        <v>89</v>
      </c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</row>
    <row r="94" spans="1:36" ht="9.75" customHeight="1" x14ac:dyDescent="0.25">
      <c r="A94" s="126" t="s">
        <v>0</v>
      </c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</row>
    <row r="95" spans="1:36" ht="6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25" customFormat="1" ht="12" customHeight="1" x14ac:dyDescent="0.2">
      <c r="A96" s="25" t="s">
        <v>22</v>
      </c>
    </row>
    <row r="97" spans="1:36" s="25" customFormat="1" ht="12" customHeight="1" x14ac:dyDescent="0.2">
      <c r="A97" s="25" t="s">
        <v>23</v>
      </c>
    </row>
    <row r="98" spans="1:36" s="25" customFormat="1" ht="12" customHeight="1" x14ac:dyDescent="0.2">
      <c r="A98" s="128" t="str">
        <f>'Данные объект'!B33</f>
        <v>Алексанян Г.Р.</v>
      </c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128"/>
      <c r="AC98" s="128"/>
      <c r="AD98" s="128"/>
      <c r="AE98" s="128"/>
      <c r="AF98" s="128"/>
      <c r="AG98" s="128"/>
      <c r="AH98" s="128"/>
      <c r="AI98" s="128"/>
      <c r="AJ98" s="128"/>
    </row>
    <row r="99" spans="1:36" ht="9" customHeight="1" x14ac:dyDescent="0.25">
      <c r="A99" s="132" t="s">
        <v>34</v>
      </c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7"/>
      <c r="Q99" s="17"/>
      <c r="R99" s="17"/>
      <c r="S99" s="17"/>
      <c r="T99" s="17"/>
      <c r="U99" s="16"/>
      <c r="V99" s="16"/>
      <c r="W99" s="16"/>
      <c r="X99" s="16"/>
      <c r="Y99" s="16"/>
      <c r="Z99" s="16"/>
      <c r="AA99" s="16"/>
      <c r="AB99" s="131" t="s">
        <v>33</v>
      </c>
      <c r="AC99" s="131"/>
      <c r="AD99" s="131"/>
      <c r="AE99" s="131"/>
      <c r="AF99" s="131"/>
      <c r="AG99" s="131"/>
      <c r="AH99" s="131"/>
      <c r="AI99" s="131"/>
      <c r="AJ99" s="131"/>
    </row>
    <row r="100" spans="1:36" s="25" customFormat="1" ht="12" customHeight="1" x14ac:dyDescent="0.2">
      <c r="A100" s="25" t="s">
        <v>24</v>
      </c>
    </row>
    <row r="101" spans="1:36" s="25" customFormat="1" ht="12" customHeight="1" x14ac:dyDescent="0.2">
      <c r="A101" s="128" t="str">
        <f>'Данные объект'!B20</f>
        <v>Красилов К.А.</v>
      </c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128"/>
      <c r="AC101" s="128"/>
      <c r="AD101" s="128"/>
      <c r="AE101" s="128"/>
      <c r="AF101" s="128"/>
      <c r="AG101" s="128"/>
      <c r="AH101" s="128"/>
      <c r="AI101" s="128"/>
      <c r="AJ101" s="128"/>
    </row>
    <row r="102" spans="1:36" ht="9" customHeight="1" x14ac:dyDescent="0.25">
      <c r="A102" s="132" t="s">
        <v>34</v>
      </c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1" t="s">
        <v>33</v>
      </c>
      <c r="AC102" s="131"/>
      <c r="AD102" s="131"/>
      <c r="AE102" s="131"/>
      <c r="AF102" s="131"/>
      <c r="AG102" s="131"/>
      <c r="AH102" s="131"/>
      <c r="AI102" s="131"/>
      <c r="AJ102" s="131"/>
    </row>
    <row r="103" spans="1:36" s="25" customFormat="1" ht="12" customHeight="1" x14ac:dyDescent="0.2">
      <c r="A103" s="25" t="s">
        <v>26</v>
      </c>
    </row>
    <row r="104" spans="1:36" s="25" customFormat="1" ht="12" customHeight="1" x14ac:dyDescent="0.2">
      <c r="A104" s="25" t="s">
        <v>27</v>
      </c>
    </row>
    <row r="105" spans="1:36" s="25" customFormat="1" ht="12" customHeight="1" x14ac:dyDescent="0.2">
      <c r="A105" s="128" t="str">
        <f>'Данные объект'!B17</f>
        <v>Капитонов Д.А.</v>
      </c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128"/>
      <c r="AC105" s="128"/>
      <c r="AD105" s="128"/>
      <c r="AE105" s="128"/>
      <c r="AF105" s="128"/>
      <c r="AG105" s="128"/>
      <c r="AH105" s="128"/>
      <c r="AI105" s="128"/>
      <c r="AJ105" s="128"/>
    </row>
    <row r="106" spans="1:36" ht="9" customHeight="1" x14ac:dyDescent="0.25">
      <c r="A106" s="132" t="s">
        <v>34</v>
      </c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1" t="s">
        <v>33</v>
      </c>
      <c r="AC106" s="131"/>
      <c r="AD106" s="131"/>
      <c r="AE106" s="131"/>
      <c r="AF106" s="131"/>
      <c r="AG106" s="131"/>
      <c r="AH106" s="131"/>
      <c r="AI106" s="131"/>
      <c r="AJ106" s="131"/>
    </row>
    <row r="107" spans="1:36" x14ac:dyDescent="0.25">
      <c r="A107" s="25" t="s">
        <v>208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91"/>
      <c r="AC107" s="91"/>
      <c r="AD107" s="91"/>
      <c r="AE107" s="91"/>
      <c r="AF107" s="91"/>
      <c r="AG107" s="91"/>
      <c r="AH107" s="91"/>
      <c r="AI107" s="91"/>
      <c r="AJ107" s="91"/>
    </row>
    <row r="108" spans="1:36" x14ac:dyDescent="0.25">
      <c r="A108" s="128" t="str">
        <f>'Данные объект'!$B$36</f>
        <v>Курчин М.М.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28"/>
      <c r="AC108" s="128"/>
      <c r="AD108" s="128"/>
      <c r="AE108" s="128"/>
      <c r="AF108" s="128"/>
      <c r="AG108" s="128"/>
      <c r="AH108" s="128"/>
      <c r="AI108" s="128"/>
      <c r="AJ108" s="128"/>
    </row>
    <row r="109" spans="1:36" ht="9" customHeight="1" x14ac:dyDescent="0.25">
      <c r="A109" s="132" t="s">
        <v>34</v>
      </c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1" t="s">
        <v>33</v>
      </c>
      <c r="AC109" s="131"/>
      <c r="AD109" s="131"/>
      <c r="AE109" s="131"/>
      <c r="AF109" s="131"/>
      <c r="AG109" s="131"/>
      <c r="AH109" s="131"/>
      <c r="AI109" s="131"/>
      <c r="AJ109" s="131"/>
    </row>
    <row r="110" spans="1:36" s="25" customFormat="1" ht="38.25" customHeight="1" x14ac:dyDescent="0.2">
      <c r="A110" s="123" t="s">
        <v>52</v>
      </c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3"/>
      <c r="AG110" s="123"/>
      <c r="AH110" s="123"/>
      <c r="AI110" s="123"/>
      <c r="AJ110" s="123"/>
    </row>
    <row r="111" spans="1:36" s="25" customFormat="1" ht="12" customHeight="1" x14ac:dyDescent="0.2">
      <c r="A111" s="128" t="s">
        <v>75</v>
      </c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128" t="s">
        <v>75</v>
      </c>
      <c r="AC111" s="128"/>
      <c r="AD111" s="128"/>
      <c r="AE111" s="128"/>
      <c r="AF111" s="128"/>
      <c r="AG111" s="128"/>
      <c r="AH111" s="128"/>
      <c r="AI111" s="128"/>
      <c r="AJ111" s="128"/>
    </row>
    <row r="112" spans="1:36" ht="9" customHeight="1" x14ac:dyDescent="0.25">
      <c r="A112" s="132" t="s">
        <v>34</v>
      </c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1" t="s">
        <v>33</v>
      </c>
      <c r="AC112" s="131"/>
      <c r="AD112" s="131"/>
      <c r="AE112" s="131"/>
      <c r="AF112" s="131"/>
      <c r="AG112" s="131"/>
      <c r="AH112" s="131"/>
      <c r="AI112" s="131"/>
      <c r="AJ112" s="131"/>
    </row>
    <row r="113" spans="1:36" s="25" customFormat="1" ht="40.5" hidden="1" customHeight="1" x14ac:dyDescent="0.2">
      <c r="A113" s="123" t="s">
        <v>54</v>
      </c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  <c r="AE113" s="123"/>
      <c r="AF113" s="123"/>
      <c r="AG113" s="123"/>
      <c r="AH113" s="123"/>
      <c r="AI113" s="123"/>
      <c r="AJ113" s="123"/>
    </row>
    <row r="114" spans="1:36" s="25" customFormat="1" ht="12" hidden="1" customHeight="1" x14ac:dyDescent="0.2">
      <c r="A114" s="128" t="e">
        <f>#REF!</f>
        <v>#REF!</v>
      </c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128"/>
      <c r="AC114" s="128"/>
      <c r="AD114" s="128"/>
      <c r="AE114" s="128"/>
      <c r="AF114" s="128"/>
      <c r="AG114" s="128"/>
      <c r="AH114" s="128"/>
      <c r="AI114" s="128"/>
      <c r="AJ114" s="128"/>
    </row>
    <row r="115" spans="1:36" ht="9" hidden="1" customHeight="1" x14ac:dyDescent="0.25">
      <c r="A115" s="132" t="s">
        <v>34</v>
      </c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1" t="s">
        <v>33</v>
      </c>
      <c r="AC115" s="131"/>
      <c r="AD115" s="131"/>
      <c r="AE115" s="131"/>
      <c r="AF115" s="131"/>
      <c r="AG115" s="131"/>
      <c r="AH115" s="131"/>
      <c r="AI115" s="131"/>
      <c r="AJ115" s="131"/>
    </row>
    <row r="116" spans="1:36" ht="12" customHeight="1" x14ac:dyDescent="0.25"/>
  </sheetData>
  <mergeCells count="104">
    <mergeCell ref="A4:AJ4"/>
    <mergeCell ref="A5:AJ5"/>
    <mergeCell ref="A6:AJ6"/>
    <mergeCell ref="A7:AJ8"/>
    <mergeCell ref="A9:AJ9"/>
    <mergeCell ref="A16:AJ16"/>
    <mergeCell ref="A17:AJ17"/>
    <mergeCell ref="A18:AJ18"/>
    <mergeCell ref="A10:AJ10"/>
    <mergeCell ref="A11:AJ11"/>
    <mergeCell ref="A12:AJ12"/>
    <mergeCell ref="A13:AJ13"/>
    <mergeCell ref="A14:AJ14"/>
    <mergeCell ref="A19:AJ19"/>
    <mergeCell ref="A37:AJ37"/>
    <mergeCell ref="AB33:AI33"/>
    <mergeCell ref="AB34:AI34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31:AJ31"/>
    <mergeCell ref="E33:G33"/>
    <mergeCell ref="A36:AJ36"/>
    <mergeCell ref="A20:AJ20"/>
    <mergeCell ref="A53:AJ53"/>
    <mergeCell ref="A38:AJ38"/>
    <mergeCell ref="A39:AJ39"/>
    <mergeCell ref="A40:AJ40"/>
    <mergeCell ref="A42:AJ42"/>
    <mergeCell ref="A43:AJ43"/>
    <mergeCell ref="A44:AJ44"/>
    <mergeCell ref="A45:AJ45"/>
    <mergeCell ref="A46:AJ46"/>
    <mergeCell ref="A50:AJ50"/>
    <mergeCell ref="A51:AJ51"/>
    <mergeCell ref="A52:AJ52"/>
    <mergeCell ref="A47:AJ47"/>
    <mergeCell ref="A48:AJ48"/>
    <mergeCell ref="A49:AJ49"/>
    <mergeCell ref="P69:AJ69"/>
    <mergeCell ref="Y63:AC63"/>
    <mergeCell ref="V63:W63"/>
    <mergeCell ref="A54:AJ54"/>
    <mergeCell ref="A55:AJ55"/>
    <mergeCell ref="A56:AJ56"/>
    <mergeCell ref="A57:AJ57"/>
    <mergeCell ref="A59:AJ59"/>
    <mergeCell ref="A60:AJ60"/>
    <mergeCell ref="A64:AJ64"/>
    <mergeCell ref="A66:AJ66"/>
    <mergeCell ref="A67:AJ67"/>
    <mergeCell ref="P68:AJ68"/>
    <mergeCell ref="A63:N63"/>
    <mergeCell ref="O63:T63"/>
    <mergeCell ref="A83:AJ83"/>
    <mergeCell ref="P78:W78"/>
    <mergeCell ref="P79:W79"/>
    <mergeCell ref="A70:C70"/>
    <mergeCell ref="D70:E70"/>
    <mergeCell ref="F70:G70"/>
    <mergeCell ref="A71:AJ71"/>
    <mergeCell ref="G73:AJ73"/>
    <mergeCell ref="A74:B74"/>
    <mergeCell ref="G74:AJ74"/>
    <mergeCell ref="A75:AJ75"/>
    <mergeCell ref="A76:AJ76"/>
    <mergeCell ref="A82:AJ82"/>
    <mergeCell ref="A99:O99"/>
    <mergeCell ref="AB99:AJ99"/>
    <mergeCell ref="A85:AJ85"/>
    <mergeCell ref="A86:AJ86"/>
    <mergeCell ref="L87:AJ87"/>
    <mergeCell ref="H89:I89"/>
    <mergeCell ref="B92:P92"/>
    <mergeCell ref="A94:AJ94"/>
    <mergeCell ref="A98:O98"/>
    <mergeCell ref="AB98:AJ98"/>
    <mergeCell ref="AB109:AJ109"/>
    <mergeCell ref="A113:AJ113"/>
    <mergeCell ref="A114:O114"/>
    <mergeCell ref="AB114:AJ114"/>
    <mergeCell ref="A115:O115"/>
    <mergeCell ref="AB115:AJ115"/>
    <mergeCell ref="A112:O112"/>
    <mergeCell ref="AB112:AJ112"/>
    <mergeCell ref="A101:O101"/>
    <mergeCell ref="AB101:AJ101"/>
    <mergeCell ref="A102:O102"/>
    <mergeCell ref="AB102:AJ102"/>
    <mergeCell ref="A105:O105"/>
    <mergeCell ref="AB105:AJ105"/>
    <mergeCell ref="A106:O106"/>
    <mergeCell ref="AB106:AJ106"/>
    <mergeCell ref="A110:AJ110"/>
    <mergeCell ref="A111:O111"/>
    <mergeCell ref="AB111:AJ111"/>
    <mergeCell ref="A108:O108"/>
    <mergeCell ref="AB108:AJ108"/>
    <mergeCell ref="A109:O109"/>
  </mergeCells>
  <pageMargins left="0.78740157480314965" right="0.27559055118110237" top="0.39370078740157483" bottom="0.39370078740157483" header="0" footer="0"/>
  <pageSetup paperSize="9" scale="99" fitToHeight="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Q124"/>
  <sheetViews>
    <sheetView view="pageBreakPreview" topLeftCell="A82" zoomScale="125" zoomScaleNormal="125" zoomScaleSheetLayoutView="125" workbookViewId="0">
      <selection activeCell="A116" sqref="A116:O116"/>
    </sheetView>
  </sheetViews>
  <sheetFormatPr defaultColWidth="10.6640625" defaultRowHeight="15" x14ac:dyDescent="0.25"/>
  <cols>
    <col min="1" max="5" width="2.83203125" style="1" customWidth="1"/>
    <col min="6" max="6" width="4" style="1" customWidth="1"/>
    <col min="7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5" customFormat="1" ht="12.75" customHeight="1" x14ac:dyDescent="0.2">
      <c r="AJ1" s="26" t="s">
        <v>42</v>
      </c>
    </row>
    <row r="2" spans="1:43" s="25" customFormat="1" ht="11.25" customHeight="1" x14ac:dyDescent="0.2">
      <c r="AJ2" s="26" t="s">
        <v>41</v>
      </c>
    </row>
    <row r="3" spans="1:43" s="25" customFormat="1" ht="14.25" customHeight="1" x14ac:dyDescent="0.2">
      <c r="A3" s="25" t="s">
        <v>20</v>
      </c>
      <c r="AJ3" s="27"/>
      <c r="AK3" s="27"/>
      <c r="AL3" s="27"/>
      <c r="AM3" s="27"/>
      <c r="AN3" s="27"/>
      <c r="AO3" s="27"/>
      <c r="AP3" s="27"/>
      <c r="AQ3" s="27"/>
    </row>
    <row r="4" spans="1:43" s="25" customFormat="1" ht="36.75" customHeight="1" x14ac:dyDescent="0.2">
      <c r="A4" s="129" t="str">
        <f>'Данные объект'!B3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</row>
    <row r="5" spans="1:43" s="25" customFormat="1" ht="12" customHeight="1" x14ac:dyDescent="0.2">
      <c r="A5" s="139" t="str">
        <f>'Данные объект'!B9</f>
        <v>КТП №3865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ht="18" customHeight="1" x14ac:dyDescent="0.25">
      <c r="A6" s="126" t="s">
        <v>36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</row>
    <row r="7" spans="1:43" s="25" customFormat="1" ht="12.6" hidden="1" customHeight="1" x14ac:dyDescent="0.2">
      <c r="A7" s="136" t="s">
        <v>43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43" s="25" customFormat="1" ht="12" customHeight="1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25" customFormat="1" ht="12" customHeight="1" x14ac:dyDescent="0.2">
      <c r="A9" s="139" t="str">
        <f>'Данные объект'!B23</f>
        <v>ПАО "Россети Московский регион"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1:43" ht="19.5" customHeight="1" x14ac:dyDescent="0.25">
      <c r="A10" s="126" t="s">
        <v>59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43" s="25" customFormat="1" ht="12" customHeight="1" x14ac:dyDescent="0.2">
      <c r="A11" s="139" t="str">
        <f>'Данные объект'!B24</f>
        <v>ОГРН 1057746555811 ИНН 5036065113 КПП 772501001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1:43" ht="28.5" customHeight="1" x14ac:dyDescent="0.25">
      <c r="A12" s="126" t="s">
        <v>60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3" s="25" customFormat="1" ht="12" customHeight="1" x14ac:dyDescent="0.2">
      <c r="A13" s="139" t="str">
        <f>'Данные объект'!B25</f>
        <v>115114, город Москва, проезд Павелецкий 2-й, дом 3, строение 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1:43" ht="11.25" customHeight="1" x14ac:dyDescent="0.25">
      <c r="A14" s="126" t="s">
        <v>44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43" s="25" customFormat="1" ht="12" customHeight="1" x14ac:dyDescent="0.2">
      <c r="A15" s="25" t="s">
        <v>21</v>
      </c>
    </row>
    <row r="16" spans="1:43" s="25" customFormat="1" ht="12" customHeight="1" x14ac:dyDescent="0.2">
      <c r="A16" s="139" t="str">
        <f>'Данные объект'!B11</f>
        <v>ООО"Энергосистемы"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9.75" customHeight="1" x14ac:dyDescent="0.25">
      <c r="A17" s="126" t="s">
        <v>38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</row>
    <row r="18" spans="1:36" s="25" customFormat="1" ht="12" customHeight="1" x14ac:dyDescent="0.2">
      <c r="A18" s="139" t="str">
        <f>'Данные объект'!B12</f>
        <v>ОГРН 1135044003709  ИНН 5044089069 КПП 504401001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8.25" customHeight="1" x14ac:dyDescent="0.25">
      <c r="A19" s="126" t="s">
        <v>45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</row>
    <row r="20" spans="1:36" s="25" customFormat="1" ht="12" customHeight="1" x14ac:dyDescent="0.2">
      <c r="A20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1:36" ht="27" customHeight="1" x14ac:dyDescent="0.25">
      <c r="A21" s="126" t="s">
        <v>61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</row>
    <row r="22" spans="1:36" s="25" customFormat="1" ht="12" customHeight="1" x14ac:dyDescent="0.2">
      <c r="A22" s="25" t="s">
        <v>19</v>
      </c>
    </row>
    <row r="23" spans="1:36" s="25" customFormat="1" ht="12" customHeight="1" x14ac:dyDescent="0.2">
      <c r="A23" s="139" t="str">
        <f>'Данные объект'!B39</f>
        <v>ООО"Энергосистемы"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spans="1:36" ht="7.5" customHeight="1" x14ac:dyDescent="0.25">
      <c r="A24" s="126" t="s">
        <v>37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</row>
    <row r="25" spans="1:36" s="25" customFormat="1" ht="12" customHeight="1" x14ac:dyDescent="0.2">
      <c r="A25" s="139" t="str">
        <f>'Данные объект'!B40</f>
        <v>ОГРН 1135044003709  ИНН 5044089069 КПП 504401001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spans="1:36" ht="7.5" customHeight="1" x14ac:dyDescent="0.25">
      <c r="A26" s="126" t="s">
        <v>62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s="25" customFormat="1" ht="12" customHeight="1" x14ac:dyDescent="0.2">
      <c r="A27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spans="1:36" ht="22.5" customHeight="1" x14ac:dyDescent="0.25">
      <c r="A28" s="126" t="s">
        <v>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5" customFormat="1" ht="12.95" customHeight="1" x14ac:dyDescent="0.2">
      <c r="A30" s="146" t="s">
        <v>35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</row>
    <row r="31" spans="1:36" s="25" customFormat="1" ht="12.95" customHeight="1" x14ac:dyDescent="0.2">
      <c r="A31" s="140" t="s">
        <v>18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s="25" customFormat="1" ht="12.9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36" s="25" customFormat="1" ht="12.95" customHeight="1" x14ac:dyDescent="0.2">
      <c r="A33" s="29"/>
      <c r="B33" s="29" t="s">
        <v>17</v>
      </c>
      <c r="C33" s="30">
        <f>'АОСР-3'!C33+1</f>
        <v>4</v>
      </c>
      <c r="D33" s="30"/>
      <c r="E33" s="128" t="s">
        <v>91</v>
      </c>
      <c r="F33" s="128"/>
      <c r="G33" s="128"/>
      <c r="H33" s="31"/>
      <c r="I33" s="31"/>
      <c r="J33" s="31"/>
      <c r="X33" s="26"/>
      <c r="Y33" s="36"/>
      <c r="Z33" s="36"/>
      <c r="AB33" s="138" t="str">
        <f>P82</f>
        <v>18.04.2025</v>
      </c>
      <c r="AC33" s="138"/>
      <c r="AD33" s="138"/>
      <c r="AE33" s="138"/>
      <c r="AF33" s="138"/>
      <c r="AG33" s="138"/>
      <c r="AH33" s="138"/>
      <c r="AI33" s="138"/>
      <c r="AJ33" s="25" t="s">
        <v>5</v>
      </c>
    </row>
    <row r="34" spans="1:36" ht="12.95" customHeight="1" x14ac:dyDescent="0.25">
      <c r="Y34" s="11"/>
      <c r="Z34" s="14"/>
      <c r="AA34" s="11"/>
      <c r="AB34" s="145" t="s">
        <v>16</v>
      </c>
      <c r="AC34" s="145"/>
      <c r="AD34" s="145"/>
      <c r="AE34" s="145"/>
      <c r="AF34" s="145"/>
      <c r="AG34" s="145"/>
      <c r="AH34" s="145"/>
      <c r="AI34" s="145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5" customFormat="1" ht="27.75" customHeight="1" x14ac:dyDescent="0.2">
      <c r="A36" s="136" t="s">
        <v>47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</row>
    <row r="37" spans="1:36" s="25" customFormat="1" ht="24.75" customHeight="1" x14ac:dyDescent="0.2">
      <c r="A37" s="129" t="str">
        <f>'Данные объект'!C34</f>
        <v>Гл. специалист ССК УКС ПАО "Россети Московский регион" Алексанян Г.Р., Приказ №2363 от 29 июля 2025г (НРС С-50-069023)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36" ht="28.5" customHeight="1" x14ac:dyDescent="0.25">
      <c r="A38" s="126" t="s">
        <v>48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36" s="25" customFormat="1" ht="23.25" customHeight="1" x14ac:dyDescent="0.2">
      <c r="A39" s="12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</row>
    <row r="40" spans="1:36" ht="25.5" customHeight="1" x14ac:dyDescent="0.25">
      <c r="A40" s="135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s="25" customFormat="1" ht="12" customHeight="1" x14ac:dyDescent="0.2">
      <c r="A41" s="25" t="s">
        <v>24</v>
      </c>
    </row>
    <row r="42" spans="1:36" s="25" customFormat="1" ht="12" customHeight="1" x14ac:dyDescent="0.2">
      <c r="A42" s="139" t="str">
        <f>'Данные объект'!C21</f>
        <v>Прораб ООО"Энергосистемы" Красилов К.А., Приказ №05-ОТ/24 от 09 января 2024г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spans="1:36" ht="9" customHeight="1" x14ac:dyDescent="0.25">
      <c r="A43" s="126" t="s">
        <v>25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</row>
    <row r="44" spans="1:36" s="25" customFormat="1" ht="14.25" customHeight="1" x14ac:dyDescent="0.2">
      <c r="A44" s="136" t="s">
        <v>50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</row>
    <row r="45" spans="1:36" s="32" customFormat="1" ht="23.25" customHeight="1" x14ac:dyDescent="0.2">
      <c r="A45" s="129" t="str">
        <f>'Данные объект'!C18</f>
        <v>Инженер по строительному контролю ООО"Энергосистемы" Капитонов Д.А., Приказ № 18-ОТ/24 от 03 июня 2024 (НОСТРОЙ С-50-188017)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36" ht="30" customHeight="1" x14ac:dyDescent="0.25">
      <c r="A46" s="126" t="s">
        <v>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x14ac:dyDescent="0.25">
      <c r="A47" s="136" t="s">
        <v>207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ht="15" customHeight="1" x14ac:dyDescent="0.25">
      <c r="A48" s="129" t="str">
        <f>'Данные объект'!$C$36</f>
        <v>Мастер СРЭС СЭС филиала ПАО "Россети Московский регион" Курчин М.М.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x14ac:dyDescent="0.25">
      <c r="A49" s="126" t="s">
        <v>25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s="25" customFormat="1" ht="36.75" customHeight="1" x14ac:dyDescent="0.2">
      <c r="A50" s="123" t="s">
        <v>52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</row>
    <row r="51" spans="1:36" s="32" customFormat="1" ht="12.95" customHeight="1" x14ac:dyDescent="0.2">
      <c r="A51" s="139" t="s">
        <v>75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spans="1:36" ht="29.25" customHeight="1" x14ac:dyDescent="0.25">
      <c r="A52" s="126" t="s">
        <v>53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s="25" customFormat="1" ht="25.5" hidden="1" customHeight="1" x14ac:dyDescent="0.2">
      <c r="A53" s="123" t="s">
        <v>54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</row>
    <row r="54" spans="1:36" s="25" customFormat="1" ht="12" hidden="1" customHeight="1" x14ac:dyDescent="0.2">
      <c r="A54" s="129" t="e">
        <f>CONCATENATE(#REF!,", ",#REF!," - ",#REF!)</f>
        <v>#REF!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ht="9.75" hidden="1" customHeight="1" x14ac:dyDescent="0.25">
      <c r="A55" s="126" t="s">
        <v>28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25" customFormat="1" ht="12" hidden="1" customHeight="1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ht="16.5" hidden="1" customHeight="1" x14ac:dyDescent="0.25">
      <c r="A57" s="126" t="s">
        <v>55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 spans="1:36" s="25" customFormat="1" ht="12" customHeight="1" x14ac:dyDescent="0.2">
      <c r="A58" s="25" t="s">
        <v>15</v>
      </c>
    </row>
    <row r="59" spans="1:36" s="25" customFormat="1" ht="12.95" customHeight="1" x14ac:dyDescent="0.2">
      <c r="A59" s="128" t="str">
        <f>'Данные объект'!B11</f>
        <v>ООО"Энергосистемы"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spans="1:36" ht="10.5" customHeight="1" x14ac:dyDescent="0.25">
      <c r="A60" s="132" t="s">
        <v>39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s="25" customFormat="1" ht="12" customHeight="1" x14ac:dyDescent="0.2">
      <c r="A61" s="25" t="s">
        <v>14</v>
      </c>
    </row>
    <row r="62" spans="1:36" s="25" customFormat="1" ht="12" customHeight="1" x14ac:dyDescent="0.2">
      <c r="A62" s="25" t="s">
        <v>29</v>
      </c>
    </row>
    <row r="63" spans="1:36" s="25" customFormat="1" ht="12" customHeight="1" x14ac:dyDescent="0.2">
      <c r="A63" s="74" t="str">
        <f>'АОСР-3'!A85</f>
        <v>Монтаж фундамента</v>
      </c>
      <c r="B63" s="74"/>
      <c r="C63" s="74"/>
      <c r="D63" s="74"/>
      <c r="E63" s="74"/>
      <c r="F63" s="74"/>
      <c r="G63" s="74"/>
      <c r="H63" s="139" t="str">
        <f>'Данные объект'!B9</f>
        <v>КТП №3865</v>
      </c>
      <c r="I63" s="139"/>
      <c r="J63" s="139"/>
      <c r="K63" s="139"/>
      <c r="L63" s="139"/>
      <c r="M63" s="139"/>
      <c r="N63" s="139"/>
      <c r="O63" s="74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8.25" customHeight="1" x14ac:dyDescent="0.25">
      <c r="A64" s="126" t="s">
        <v>13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</row>
    <row r="65" spans="1:36" s="25" customFormat="1" ht="12" customHeight="1" x14ac:dyDescent="0.2">
      <c r="A65" s="25" t="s">
        <v>12</v>
      </c>
    </row>
    <row r="66" spans="1:36" s="25" customFormat="1" ht="12" customHeight="1" x14ac:dyDescent="0.2">
      <c r="A66" s="129" t="str">
        <f>'Данные объект'!B43</f>
        <v>4844-315915-113-05/24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ht="15" customHeight="1" x14ac:dyDescent="0.25">
      <c r="A67" s="126" t="s">
        <v>225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25" customFormat="1" ht="12" customHeight="1" x14ac:dyDescent="0.2">
      <c r="A68" s="25" t="s">
        <v>11</v>
      </c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157" t="s">
        <v>56</v>
      </c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</row>
    <row r="70" spans="1:36" s="25" customFormat="1" ht="12" customHeight="1" x14ac:dyDescent="0.2">
      <c r="A70" s="95" t="s">
        <v>188</v>
      </c>
      <c r="B70" s="96"/>
      <c r="C70" s="96"/>
      <c r="D70" s="96"/>
      <c r="E70" s="96"/>
      <c r="F70" s="96"/>
      <c r="G70" s="96"/>
      <c r="H70" s="96" t="s">
        <v>75</v>
      </c>
      <c r="I70" s="152">
        <v>4</v>
      </c>
      <c r="J70" s="152"/>
      <c r="K70" s="95" t="s">
        <v>174</v>
      </c>
      <c r="L70" s="95"/>
      <c r="M70" s="95" t="s">
        <v>170</v>
      </c>
      <c r="N70" s="95" t="s">
        <v>189</v>
      </c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</row>
    <row r="71" spans="1:36" s="25" customFormat="1" ht="12" customHeight="1" x14ac:dyDescent="0.2">
      <c r="A71" s="95" t="s">
        <v>171</v>
      </c>
      <c r="B71" s="96"/>
      <c r="C71" s="96"/>
      <c r="D71" s="96"/>
      <c r="E71" s="96"/>
      <c r="F71" s="96"/>
      <c r="G71" s="96"/>
      <c r="H71" s="96" t="s">
        <v>75</v>
      </c>
      <c r="I71" s="152">
        <v>14.2</v>
      </c>
      <c r="J71" s="152"/>
      <c r="K71" s="95" t="s">
        <v>161</v>
      </c>
      <c r="L71" s="95"/>
      <c r="M71" s="95" t="s">
        <v>170</v>
      </c>
      <c r="N71" s="95" t="s">
        <v>190</v>
      </c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</row>
    <row r="72" spans="1:36" s="25" customFormat="1" ht="12" customHeight="1" x14ac:dyDescent="0.2">
      <c r="A72" s="95" t="s">
        <v>187</v>
      </c>
      <c r="B72" s="96"/>
      <c r="C72" s="96"/>
      <c r="D72" s="96"/>
      <c r="E72" s="96"/>
      <c r="F72" s="96"/>
      <c r="G72" s="96"/>
      <c r="H72" s="96" t="s">
        <v>75</v>
      </c>
      <c r="I72" s="152">
        <v>3</v>
      </c>
      <c r="J72" s="152"/>
      <c r="K72" s="95" t="s">
        <v>161</v>
      </c>
      <c r="L72" s="95"/>
      <c r="M72" s="95" t="s">
        <v>170</v>
      </c>
      <c r="N72" s="95" t="s">
        <v>198</v>
      </c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</row>
    <row r="73" spans="1:36" s="25" customFormat="1" ht="12" customHeight="1" x14ac:dyDescent="0.2">
      <c r="A73" s="95" t="s">
        <v>186</v>
      </c>
      <c r="B73" s="96"/>
      <c r="C73" s="96"/>
      <c r="D73" s="96"/>
      <c r="E73" s="96"/>
      <c r="F73" s="96"/>
      <c r="G73" s="96"/>
      <c r="H73" s="96" t="s">
        <v>75</v>
      </c>
      <c r="I73" s="152">
        <v>3.76</v>
      </c>
      <c r="J73" s="152"/>
      <c r="K73" s="95" t="s">
        <v>162</v>
      </c>
      <c r="L73" s="95"/>
      <c r="M73" s="95" t="s">
        <v>170</v>
      </c>
      <c r="N73" s="95" t="s">
        <v>192</v>
      </c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</row>
    <row r="74" spans="1:36" ht="18.75" customHeight="1" x14ac:dyDescent="0.25">
      <c r="A74" s="126" t="s">
        <v>57</v>
      </c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25" customFormat="1" ht="12" customHeight="1" x14ac:dyDescent="0.2">
      <c r="A75" s="25" t="s">
        <v>10</v>
      </c>
    </row>
    <row r="76" spans="1:36" s="25" customFormat="1" ht="12" customHeight="1" x14ac:dyDescent="0.2">
      <c r="A76" s="25" t="s">
        <v>9</v>
      </c>
      <c r="G76" s="125" t="s">
        <v>83</v>
      </c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</row>
    <row r="77" spans="1:36" ht="7.5" customHeight="1" x14ac:dyDescent="0.25">
      <c r="A77" s="137"/>
      <c r="B77" s="137"/>
      <c r="C77" s="8"/>
      <c r="D77" s="8"/>
      <c r="E77" s="8"/>
      <c r="F77" s="8"/>
      <c r="G77" s="127" t="s">
        <v>8</v>
      </c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</row>
    <row r="78" spans="1:36" s="25" customFormat="1" ht="12" hidden="1" customHeight="1" x14ac:dyDescent="0.2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</row>
    <row r="79" spans="1:36" ht="7.5" customHeight="1" x14ac:dyDescent="0.25">
      <c r="A79" s="126" t="s">
        <v>30</v>
      </c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</row>
    <row r="80" spans="1:36" ht="9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13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s="25" customFormat="1" ht="12" customHeight="1" x14ac:dyDescent="0.2">
      <c r="A81" s="25" t="s">
        <v>7</v>
      </c>
      <c r="D81" s="34"/>
      <c r="E81" s="34"/>
      <c r="F81" s="34"/>
      <c r="G81" s="34"/>
      <c r="L81" s="26"/>
      <c r="M81" s="36"/>
      <c r="N81" s="36"/>
      <c r="P81" s="138" t="str">
        <f>'Данные объект'!B6</f>
        <v>07.04.2025</v>
      </c>
      <c r="Q81" s="138"/>
      <c r="R81" s="138"/>
      <c r="S81" s="138"/>
      <c r="T81" s="138"/>
      <c r="U81" s="138"/>
      <c r="V81" s="138"/>
      <c r="W81" s="138"/>
      <c r="X81" s="25" t="s">
        <v>5</v>
      </c>
    </row>
    <row r="82" spans="1:36" s="25" customFormat="1" ht="12" customHeight="1" x14ac:dyDescent="0.2">
      <c r="A82" s="25" t="s">
        <v>6</v>
      </c>
      <c r="D82" s="34"/>
      <c r="E82" s="34"/>
      <c r="F82" s="34"/>
      <c r="G82" s="34"/>
      <c r="L82" s="26"/>
      <c r="M82" s="36"/>
      <c r="N82" s="36"/>
      <c r="P82" s="124" t="str">
        <f>'Данные объект'!B7</f>
        <v>18.04.2025</v>
      </c>
      <c r="Q82" s="124"/>
      <c r="R82" s="124"/>
      <c r="S82" s="124"/>
      <c r="T82" s="124"/>
      <c r="U82" s="124"/>
      <c r="V82" s="124"/>
      <c r="W82" s="124"/>
      <c r="X82" s="25" t="s">
        <v>5</v>
      </c>
    </row>
    <row r="83" spans="1:36" s="25" customFormat="1" ht="7.5" customHeight="1" x14ac:dyDescent="0.2">
      <c r="A83" s="37"/>
      <c r="B83" s="37"/>
      <c r="C83" s="37"/>
      <c r="D83" s="38"/>
      <c r="E83" s="38"/>
      <c r="F83" s="38"/>
      <c r="G83" s="38"/>
    </row>
    <row r="84" spans="1:36" s="25" customFormat="1" ht="12" customHeight="1" x14ac:dyDescent="0.2">
      <c r="A84" s="25" t="s">
        <v>4</v>
      </c>
    </row>
    <row r="85" spans="1:36" s="25" customFormat="1" ht="12" customHeight="1" x14ac:dyDescent="0.2">
      <c r="A85" s="125" t="s">
        <v>169</v>
      </c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</row>
    <row r="86" spans="1:36" ht="8.25" customHeight="1" x14ac:dyDescent="0.25">
      <c r="A86" s="126" t="s">
        <v>184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</row>
    <row r="87" spans="1:36" s="25" customFormat="1" ht="12" hidden="1" customHeight="1" x14ac:dyDescent="0.2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</row>
    <row r="88" spans="1:36" ht="8.25" hidden="1" customHeight="1" x14ac:dyDescent="0.25">
      <c r="A88" s="126" t="s">
        <v>58</v>
      </c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s="25" customFormat="1" ht="12" customHeight="1" x14ac:dyDescent="0.2">
      <c r="A89" s="25" t="s">
        <v>3</v>
      </c>
    </row>
    <row r="90" spans="1:36" s="25" customFormat="1" ht="12" customHeight="1" x14ac:dyDescent="0.2">
      <c r="A90" s="128" t="s">
        <v>185</v>
      </c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</row>
    <row r="91" spans="1:36" ht="9" customHeight="1" x14ac:dyDescent="0.25">
      <c r="A91" s="126" t="s">
        <v>31</v>
      </c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</row>
    <row r="92" spans="1:36" s="25" customFormat="1" ht="12" customHeight="1" x14ac:dyDescent="0.2">
      <c r="A92" s="25" t="s">
        <v>2</v>
      </c>
      <c r="L92" s="128" t="s">
        <v>75</v>
      </c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</row>
    <row r="93" spans="1:36" ht="6" customHeight="1" x14ac:dyDescent="0.25">
      <c r="D93" s="4"/>
      <c r="E93" s="4"/>
      <c r="F93" s="4"/>
      <c r="G93" s="4"/>
      <c r="H93" s="4"/>
      <c r="I93" s="4"/>
      <c r="J93" s="4"/>
    </row>
    <row r="94" spans="1:36" s="25" customFormat="1" ht="12" customHeight="1" x14ac:dyDescent="0.2">
      <c r="A94" s="25" t="s">
        <v>103</v>
      </c>
      <c r="H94" s="128">
        <v>1</v>
      </c>
      <c r="I94" s="128"/>
      <c r="J94" s="25" t="s">
        <v>32</v>
      </c>
    </row>
    <row r="95" spans="1:36" ht="4.5" customHeight="1" x14ac:dyDescent="0.25"/>
    <row r="96" spans="1:36" s="25" customFormat="1" ht="12" customHeight="1" x14ac:dyDescent="0.2">
      <c r="A96" s="25" t="s">
        <v>1</v>
      </c>
    </row>
    <row r="97" spans="1:36" s="25" customFormat="1" ht="12" customHeight="1" x14ac:dyDescent="0.2">
      <c r="A97" s="30" t="s">
        <v>88</v>
      </c>
      <c r="B97" s="30" t="str">
        <f>G76</f>
        <v>Исполнительная схема устройства фундамента</v>
      </c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 t="s">
        <v>75</v>
      </c>
      <c r="Z97" s="30" t="s">
        <v>89</v>
      </c>
      <c r="AA97" s="30"/>
      <c r="AB97" s="30"/>
      <c r="AC97" s="30"/>
      <c r="AD97" s="30"/>
      <c r="AE97" s="30"/>
      <c r="AF97" s="30"/>
      <c r="AG97" s="30"/>
      <c r="AH97" s="30"/>
      <c r="AI97" s="30"/>
      <c r="AJ97" s="30"/>
    </row>
    <row r="98" spans="1:36" s="25" customFormat="1" ht="12" customHeight="1" x14ac:dyDescent="0.2">
      <c r="A98" s="30" t="s">
        <v>90</v>
      </c>
      <c r="B98" s="35" t="str">
        <f>N70</f>
        <v>Документ о качестве № 119 от 03.04.2024г.</v>
      </c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 t="s">
        <v>75</v>
      </c>
      <c r="Z98" s="30" t="s">
        <v>89</v>
      </c>
      <c r="AA98" s="30"/>
      <c r="AB98" s="30"/>
      <c r="AC98" s="30"/>
      <c r="AD98" s="30"/>
      <c r="AE98" s="30"/>
      <c r="AF98" s="30"/>
      <c r="AG98" s="30"/>
      <c r="AH98" s="30"/>
      <c r="AI98" s="30"/>
      <c r="AJ98" s="30"/>
    </row>
    <row r="99" spans="1:36" s="25" customFormat="1" ht="12" customHeight="1" x14ac:dyDescent="0.2">
      <c r="A99" s="35" t="s">
        <v>99</v>
      </c>
      <c r="B99" s="35" t="str">
        <f t="shared" ref="B99:B101" si="0">N71</f>
        <v>Сертификат № 2024647014 от 13.04.2024г.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 t="s">
        <v>75</v>
      </c>
      <c r="Z99" s="35" t="s">
        <v>89</v>
      </c>
      <c r="AA99" s="35"/>
      <c r="AB99" s="35"/>
      <c r="AC99" s="35"/>
      <c r="AD99" s="35"/>
      <c r="AE99" s="35"/>
      <c r="AF99" s="35"/>
      <c r="AG99" s="35"/>
      <c r="AH99" s="35"/>
      <c r="AI99" s="35"/>
      <c r="AJ99" s="35"/>
    </row>
    <row r="100" spans="1:36" s="25" customFormat="1" ht="12" customHeight="1" x14ac:dyDescent="0.2">
      <c r="A100" s="35" t="s">
        <v>100</v>
      </c>
      <c r="B100" s="35" t="str">
        <f t="shared" si="0"/>
        <v>Сертификат № 3968968 от 18.04.2024г.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 t="s">
        <v>75</v>
      </c>
      <c r="Z100" s="35" t="s">
        <v>89</v>
      </c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</row>
    <row r="101" spans="1:36" s="25" customFormat="1" ht="12" customHeight="1" x14ac:dyDescent="0.2">
      <c r="A101" s="35" t="s">
        <v>194</v>
      </c>
      <c r="B101" s="35" t="str">
        <f t="shared" si="0"/>
        <v>Сертификат № РОСС RU/32001.04ИБФ1.ОСП28.47246 от 08.02.2024г.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 t="s">
        <v>75</v>
      </c>
      <c r="Z101" s="35" t="s">
        <v>193</v>
      </c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</row>
    <row r="102" spans="1:36" ht="9.75" customHeight="1" x14ac:dyDescent="0.25">
      <c r="A102" s="126" t="s">
        <v>0</v>
      </c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</row>
    <row r="103" spans="1:36" ht="6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25" customFormat="1" ht="12" customHeight="1" x14ac:dyDescent="0.2">
      <c r="A104" s="25" t="s">
        <v>22</v>
      </c>
    </row>
    <row r="105" spans="1:36" s="25" customFormat="1" ht="12" customHeight="1" x14ac:dyDescent="0.2">
      <c r="A105" s="25" t="s">
        <v>23</v>
      </c>
    </row>
    <row r="106" spans="1:36" s="25" customFormat="1" ht="12" customHeight="1" x14ac:dyDescent="0.2">
      <c r="A106" s="128" t="str">
        <f>'Данные объект'!B33</f>
        <v>Алексанян Г.Р.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spans="1:36" ht="9" customHeight="1" x14ac:dyDescent="0.25">
      <c r="A107" s="132" t="s">
        <v>34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1" t="s">
        <v>33</v>
      </c>
      <c r="AC107" s="131"/>
      <c r="AD107" s="131"/>
      <c r="AE107" s="131"/>
      <c r="AF107" s="131"/>
      <c r="AG107" s="131"/>
      <c r="AH107" s="131"/>
      <c r="AI107" s="131"/>
      <c r="AJ107" s="131"/>
    </row>
    <row r="108" spans="1:36" s="25" customFormat="1" ht="12" customHeight="1" x14ac:dyDescent="0.2">
      <c r="A108" s="25" t="s">
        <v>24</v>
      </c>
    </row>
    <row r="109" spans="1:36" s="25" customFormat="1" ht="12" customHeight="1" x14ac:dyDescent="0.2">
      <c r="A109" s="128" t="str">
        <f>'Данные объект'!B20</f>
        <v>Красилов К.А.</v>
      </c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spans="1:36" ht="9" customHeight="1" x14ac:dyDescent="0.25">
      <c r="A110" s="132" t="s">
        <v>34</v>
      </c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1" t="s">
        <v>33</v>
      </c>
      <c r="AC110" s="131"/>
      <c r="AD110" s="131"/>
      <c r="AE110" s="131"/>
      <c r="AF110" s="131"/>
      <c r="AG110" s="131"/>
      <c r="AH110" s="131"/>
      <c r="AI110" s="131"/>
      <c r="AJ110" s="131"/>
    </row>
    <row r="111" spans="1:36" s="25" customFormat="1" ht="12" customHeight="1" x14ac:dyDescent="0.2">
      <c r="A111" s="25" t="s">
        <v>26</v>
      </c>
    </row>
    <row r="112" spans="1:36" s="25" customFormat="1" ht="12" customHeight="1" x14ac:dyDescent="0.2">
      <c r="A112" s="25" t="s">
        <v>27</v>
      </c>
    </row>
    <row r="113" spans="1:36" s="25" customFormat="1" ht="12" customHeight="1" x14ac:dyDescent="0.2">
      <c r="A113" s="128" t="str">
        <f>'Данные объект'!B17</f>
        <v>Капитонов Д.А.</v>
      </c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128"/>
      <c r="AC113" s="128"/>
      <c r="AD113" s="128"/>
      <c r="AE113" s="128"/>
      <c r="AF113" s="128"/>
      <c r="AG113" s="128"/>
      <c r="AH113" s="128"/>
      <c r="AI113" s="128"/>
      <c r="AJ113" s="128"/>
    </row>
    <row r="114" spans="1:36" ht="9" customHeight="1" x14ac:dyDescent="0.25">
      <c r="A114" s="132" t="s">
        <v>34</v>
      </c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1" t="s">
        <v>33</v>
      </c>
      <c r="AC114" s="131"/>
      <c r="AD114" s="131"/>
      <c r="AE114" s="131"/>
      <c r="AF114" s="131"/>
      <c r="AG114" s="131"/>
      <c r="AH114" s="131"/>
      <c r="AI114" s="131"/>
      <c r="AJ114" s="131"/>
    </row>
    <row r="115" spans="1:36" x14ac:dyDescent="0.25">
      <c r="A115" s="25" t="s">
        <v>208</v>
      </c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91"/>
      <c r="AC115" s="91"/>
      <c r="AD115" s="91"/>
      <c r="AE115" s="91"/>
      <c r="AF115" s="91"/>
      <c r="AG115" s="91"/>
      <c r="AH115" s="91"/>
      <c r="AI115" s="91"/>
      <c r="AJ115" s="91"/>
    </row>
    <row r="116" spans="1:36" x14ac:dyDescent="0.25">
      <c r="A116" s="128" t="str">
        <f>'Данные объект'!$B$36</f>
        <v>Курчин М.М.</v>
      </c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28"/>
      <c r="AC116" s="128"/>
      <c r="AD116" s="128"/>
      <c r="AE116" s="128"/>
      <c r="AF116" s="128"/>
      <c r="AG116" s="128"/>
      <c r="AH116" s="128"/>
      <c r="AI116" s="128"/>
      <c r="AJ116" s="128"/>
    </row>
    <row r="117" spans="1:36" ht="9" customHeight="1" x14ac:dyDescent="0.25">
      <c r="A117" s="132" t="s">
        <v>34</v>
      </c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1" t="s">
        <v>33</v>
      </c>
      <c r="AC117" s="131"/>
      <c r="AD117" s="131"/>
      <c r="AE117" s="131"/>
      <c r="AF117" s="131"/>
      <c r="AG117" s="131"/>
      <c r="AH117" s="131"/>
      <c r="AI117" s="131"/>
      <c r="AJ117" s="131"/>
    </row>
    <row r="118" spans="1:36" s="25" customFormat="1" ht="36" customHeight="1" x14ac:dyDescent="0.2">
      <c r="A118" s="123" t="s">
        <v>52</v>
      </c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23"/>
      <c r="AJ118" s="123"/>
    </row>
    <row r="119" spans="1:36" s="25" customFormat="1" ht="12" customHeight="1" x14ac:dyDescent="0.2">
      <c r="A119" s="128" t="s">
        <v>75</v>
      </c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128" t="s">
        <v>75</v>
      </c>
      <c r="AC119" s="128"/>
      <c r="AD119" s="128"/>
      <c r="AE119" s="128"/>
      <c r="AF119" s="128"/>
      <c r="AG119" s="128"/>
      <c r="AH119" s="128"/>
      <c r="AI119" s="128"/>
      <c r="AJ119" s="128"/>
    </row>
    <row r="120" spans="1:36" ht="9" customHeight="1" x14ac:dyDescent="0.25">
      <c r="A120" s="132" t="s">
        <v>34</v>
      </c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7"/>
      <c r="Q120" s="17"/>
      <c r="R120" s="17"/>
      <c r="S120" s="17"/>
      <c r="T120" s="17"/>
      <c r="U120" s="16"/>
      <c r="V120" s="16"/>
      <c r="W120" s="16"/>
      <c r="X120" s="16"/>
      <c r="Y120" s="16"/>
      <c r="Z120" s="16"/>
      <c r="AA120" s="16"/>
      <c r="AB120" s="131" t="s">
        <v>33</v>
      </c>
      <c r="AC120" s="131"/>
      <c r="AD120" s="131"/>
      <c r="AE120" s="131"/>
      <c r="AF120" s="131"/>
      <c r="AG120" s="131"/>
      <c r="AH120" s="131"/>
      <c r="AI120" s="131"/>
      <c r="AJ120" s="131"/>
    </row>
    <row r="121" spans="1:36" s="25" customFormat="1" ht="40.5" hidden="1" customHeight="1" x14ac:dyDescent="0.2">
      <c r="A121" s="123" t="s">
        <v>54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3"/>
      <c r="AH121" s="123"/>
      <c r="AI121" s="123"/>
      <c r="AJ121" s="123"/>
    </row>
    <row r="122" spans="1:36" ht="12" hidden="1" customHeight="1" x14ac:dyDescent="0.25">
      <c r="A122" s="155" t="e">
        <f>#REF!</f>
        <v>#REF!</v>
      </c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6"/>
      <c r="AC122" s="156"/>
      <c r="AD122" s="156"/>
      <c r="AE122" s="156"/>
      <c r="AF122" s="156"/>
      <c r="AG122" s="156"/>
      <c r="AH122" s="156"/>
      <c r="AI122" s="156"/>
      <c r="AJ122" s="156"/>
    </row>
    <row r="123" spans="1:36" ht="9" hidden="1" customHeight="1" x14ac:dyDescent="0.25">
      <c r="A123" s="132" t="s">
        <v>34</v>
      </c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7"/>
      <c r="Q123" s="17"/>
      <c r="R123" s="17"/>
      <c r="S123" s="17"/>
      <c r="T123" s="17"/>
      <c r="U123" s="16"/>
      <c r="V123" s="16"/>
      <c r="W123" s="16"/>
      <c r="X123" s="16"/>
      <c r="Y123" s="16"/>
      <c r="Z123" s="16"/>
      <c r="AA123" s="16"/>
      <c r="AB123" s="131" t="s">
        <v>33</v>
      </c>
      <c r="AC123" s="131"/>
      <c r="AD123" s="131"/>
      <c r="AE123" s="131"/>
      <c r="AF123" s="131"/>
      <c r="AG123" s="131"/>
      <c r="AH123" s="131"/>
      <c r="AI123" s="131"/>
      <c r="AJ123" s="131"/>
    </row>
    <row r="124" spans="1:36" ht="12" hidden="1" customHeight="1" x14ac:dyDescent="0.25"/>
  </sheetData>
  <mergeCells count="103">
    <mergeCell ref="A16:AJ16"/>
    <mergeCell ref="A17:AJ17"/>
    <mergeCell ref="A18:AJ18"/>
    <mergeCell ref="A19:AJ19"/>
    <mergeCell ref="A23:AJ23"/>
    <mergeCell ref="A20:AJ20"/>
    <mergeCell ref="A21:AJ21"/>
    <mergeCell ref="A39:AJ39"/>
    <mergeCell ref="A24:AJ24"/>
    <mergeCell ref="A10:AJ10"/>
    <mergeCell ref="A11:AJ11"/>
    <mergeCell ref="A12:AJ12"/>
    <mergeCell ref="A13:AJ13"/>
    <mergeCell ref="A14:AJ14"/>
    <mergeCell ref="A4:AJ4"/>
    <mergeCell ref="A5:AJ5"/>
    <mergeCell ref="A6:AJ6"/>
    <mergeCell ref="A7:AJ8"/>
    <mergeCell ref="A9:AJ9"/>
    <mergeCell ref="A50:AJ50"/>
    <mergeCell ref="A51:AJ51"/>
    <mergeCell ref="A47:AJ47"/>
    <mergeCell ref="A48:AJ48"/>
    <mergeCell ref="A49:AJ49"/>
    <mergeCell ref="I70:J70"/>
    <mergeCell ref="A25:AJ25"/>
    <mergeCell ref="A26:AJ26"/>
    <mergeCell ref="A27:AJ27"/>
    <mergeCell ref="A28:AJ28"/>
    <mergeCell ref="A30:AJ30"/>
    <mergeCell ref="AB33:AI33"/>
    <mergeCell ref="A36:AJ36"/>
    <mergeCell ref="A37:AJ37"/>
    <mergeCell ref="AB34:AI34"/>
    <mergeCell ref="A31:AJ31"/>
    <mergeCell ref="E33:G33"/>
    <mergeCell ref="K68:AJ68"/>
    <mergeCell ref="K69:AJ69"/>
    <mergeCell ref="A52:AJ52"/>
    <mergeCell ref="A53:AJ53"/>
    <mergeCell ref="A54:AJ54"/>
    <mergeCell ref="A90:AJ90"/>
    <mergeCell ref="A91:AJ91"/>
    <mergeCell ref="G77:AJ77"/>
    <mergeCell ref="A78:AJ78"/>
    <mergeCell ref="A79:AJ79"/>
    <mergeCell ref="A85:AJ85"/>
    <mergeCell ref="A38:AJ38"/>
    <mergeCell ref="H63:N63"/>
    <mergeCell ref="I72:J72"/>
    <mergeCell ref="A74:AJ74"/>
    <mergeCell ref="A64:AJ64"/>
    <mergeCell ref="A66:AJ66"/>
    <mergeCell ref="A67:AJ67"/>
    <mergeCell ref="A56:AJ56"/>
    <mergeCell ref="A57:AJ57"/>
    <mergeCell ref="A59:AJ59"/>
    <mergeCell ref="A60:AJ60"/>
    <mergeCell ref="A55:AJ55"/>
    <mergeCell ref="A40:AJ40"/>
    <mergeCell ref="A42:AJ42"/>
    <mergeCell ref="A43:AJ43"/>
    <mergeCell ref="A44:AJ44"/>
    <mergeCell ref="A45:AJ45"/>
    <mergeCell ref="A46:AJ46"/>
    <mergeCell ref="I71:J71"/>
    <mergeCell ref="I73:J73"/>
    <mergeCell ref="G76:AJ76"/>
    <mergeCell ref="P81:W81"/>
    <mergeCell ref="P82:W82"/>
    <mergeCell ref="A77:B77"/>
    <mergeCell ref="L92:AJ92"/>
    <mergeCell ref="A122:O122"/>
    <mergeCell ref="AB122:AJ122"/>
    <mergeCell ref="H94:I94"/>
    <mergeCell ref="A109:O109"/>
    <mergeCell ref="AB109:AJ109"/>
    <mergeCell ref="A110:O110"/>
    <mergeCell ref="AB110:AJ110"/>
    <mergeCell ref="A113:O113"/>
    <mergeCell ref="AB113:AJ113"/>
    <mergeCell ref="A102:AJ102"/>
    <mergeCell ref="A106:O106"/>
    <mergeCell ref="AB106:AJ106"/>
    <mergeCell ref="A107:O107"/>
    <mergeCell ref="AB107:AJ107"/>
    <mergeCell ref="A88:AJ88"/>
    <mergeCell ref="A87:AJ87"/>
    <mergeCell ref="A86:AJ86"/>
    <mergeCell ref="A123:O123"/>
    <mergeCell ref="AB123:AJ123"/>
    <mergeCell ref="A114:O114"/>
    <mergeCell ref="AB114:AJ114"/>
    <mergeCell ref="A118:AJ118"/>
    <mergeCell ref="A119:O119"/>
    <mergeCell ref="AB119:AJ119"/>
    <mergeCell ref="A120:O120"/>
    <mergeCell ref="AB120:AJ120"/>
    <mergeCell ref="A121:AJ121"/>
    <mergeCell ref="A116:O116"/>
    <mergeCell ref="AB116:AJ116"/>
    <mergeCell ref="A117:O117"/>
    <mergeCell ref="AB117:AJ117"/>
  </mergeCells>
  <pageMargins left="0.78740157480314965" right="0.27559055118110237" top="0.39370078740157483" bottom="0.39370078740157483" header="0" footer="0"/>
  <pageSetup paperSize="9" scale="99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Q114"/>
  <sheetViews>
    <sheetView view="pageBreakPreview" topLeftCell="A83" zoomScale="125" zoomScaleNormal="125" zoomScaleSheetLayoutView="125" workbookViewId="0">
      <selection activeCell="A106" sqref="A106:O10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5" customFormat="1" ht="12.75" customHeight="1" x14ac:dyDescent="0.2">
      <c r="AJ1" s="26" t="s">
        <v>42</v>
      </c>
    </row>
    <row r="2" spans="1:43" s="25" customFormat="1" ht="11.25" customHeight="1" x14ac:dyDescent="0.2">
      <c r="AJ2" s="26" t="s">
        <v>41</v>
      </c>
    </row>
    <row r="3" spans="1:43" s="25" customFormat="1" ht="14.25" customHeight="1" x14ac:dyDescent="0.2">
      <c r="A3" s="25" t="s">
        <v>20</v>
      </c>
      <c r="AJ3" s="27"/>
      <c r="AK3" s="27"/>
      <c r="AL3" s="27"/>
      <c r="AM3" s="27"/>
      <c r="AN3" s="27"/>
      <c r="AO3" s="27"/>
      <c r="AP3" s="27"/>
      <c r="AQ3" s="27"/>
    </row>
    <row r="4" spans="1:43" s="25" customFormat="1" ht="37.5" customHeight="1" x14ac:dyDescent="0.2">
      <c r="A4" s="129" t="str">
        <f>'Данные объект'!B3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</row>
    <row r="5" spans="1:43" s="25" customFormat="1" ht="12" customHeight="1" x14ac:dyDescent="0.2">
      <c r="A5" s="139" t="str">
        <f>'Данные объект'!B9</f>
        <v>КТП №3865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ht="9.75" customHeight="1" x14ac:dyDescent="0.25">
      <c r="A6" s="141" t="s">
        <v>223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</row>
    <row r="7" spans="1:43" s="25" customFormat="1" ht="0.6" customHeight="1" x14ac:dyDescent="0.2">
      <c r="A7" s="136" t="s">
        <v>43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43" s="25" customFormat="1" ht="12" customHeight="1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25" customFormat="1" ht="12" customHeight="1" x14ac:dyDescent="0.2">
      <c r="A9" s="139" t="str">
        <f>'Данные объект'!B23</f>
        <v>ПАО "Россети Московский регион"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1:43" ht="19.5" customHeight="1" x14ac:dyDescent="0.25">
      <c r="A10" s="126" t="s">
        <v>59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43" s="25" customFormat="1" ht="12" customHeight="1" x14ac:dyDescent="0.2">
      <c r="A11" s="139" t="str">
        <f>'Данные объект'!B24</f>
        <v>ОГРН 1057746555811 ИНН 5036065113 КПП 772501001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1:43" ht="28.5" customHeight="1" x14ac:dyDescent="0.25">
      <c r="A12" s="126" t="s">
        <v>60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3" s="25" customFormat="1" ht="12" customHeight="1" x14ac:dyDescent="0.2">
      <c r="A13" s="139" t="str">
        <f>'Данные объект'!B25</f>
        <v>115114, город Москва, проезд Павелецкий 2-й, дом 3, строение 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1:43" ht="11.25" customHeight="1" x14ac:dyDescent="0.25">
      <c r="A14" s="126" t="s">
        <v>44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43" s="25" customFormat="1" ht="12" customHeight="1" x14ac:dyDescent="0.2">
      <c r="A15" s="25" t="s">
        <v>21</v>
      </c>
    </row>
    <row r="16" spans="1:43" s="25" customFormat="1" ht="12" customHeight="1" x14ac:dyDescent="0.2">
      <c r="A16" s="139" t="str">
        <f>'Данные объект'!B11</f>
        <v>ООО"Энергосистемы"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9.75" customHeight="1" x14ac:dyDescent="0.25">
      <c r="A17" s="126" t="s">
        <v>38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</row>
    <row r="18" spans="1:36" s="25" customFormat="1" ht="12" customHeight="1" x14ac:dyDescent="0.2">
      <c r="A18" s="139" t="str">
        <f>'Данные объект'!B12</f>
        <v>ОГРН 1135044003709  ИНН 5044089069 КПП 504401001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8.25" customHeight="1" x14ac:dyDescent="0.25">
      <c r="A19" s="126" t="s">
        <v>45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</row>
    <row r="20" spans="1:36" s="25" customFormat="1" ht="12" customHeight="1" x14ac:dyDescent="0.2">
      <c r="A20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1:36" ht="27" customHeight="1" x14ac:dyDescent="0.25">
      <c r="A21" s="126" t="s">
        <v>61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</row>
    <row r="22" spans="1:36" s="25" customFormat="1" ht="12" customHeight="1" x14ac:dyDescent="0.2">
      <c r="A22" s="25" t="s">
        <v>19</v>
      </c>
    </row>
    <row r="23" spans="1:36" s="25" customFormat="1" ht="12" customHeight="1" x14ac:dyDescent="0.2">
      <c r="A23" s="139" t="str">
        <f>'Данные объект'!B39</f>
        <v>ООО"Энергосистемы"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spans="1:36" ht="7.5" customHeight="1" x14ac:dyDescent="0.25">
      <c r="A24" s="126" t="s">
        <v>37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</row>
    <row r="25" spans="1:36" s="25" customFormat="1" ht="12" customHeight="1" x14ac:dyDescent="0.2">
      <c r="A25" s="139" t="str">
        <f>'Данные объект'!B40</f>
        <v>ОГРН 1135044003709  ИНН 5044089069 КПП 504401001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spans="1:36" ht="7.5" customHeight="1" x14ac:dyDescent="0.25">
      <c r="A26" s="126" t="s">
        <v>62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s="25" customFormat="1" ht="12" customHeight="1" x14ac:dyDescent="0.2">
      <c r="A27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spans="1:36" ht="22.5" customHeight="1" x14ac:dyDescent="0.25">
      <c r="A28" s="126" t="s">
        <v>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5" customFormat="1" ht="12.95" customHeight="1" x14ac:dyDescent="0.2">
      <c r="A30" s="146" t="s">
        <v>35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</row>
    <row r="31" spans="1:36" s="25" customFormat="1" ht="12.95" customHeight="1" x14ac:dyDescent="0.2">
      <c r="A31" s="140" t="s">
        <v>18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s="25" customFormat="1" ht="12.9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36" s="25" customFormat="1" ht="12.95" customHeight="1" x14ac:dyDescent="0.2">
      <c r="A33" s="29"/>
      <c r="B33" s="29" t="s">
        <v>17</v>
      </c>
      <c r="C33" s="30">
        <f>'АОСР-4'!C33+1</f>
        <v>5</v>
      </c>
      <c r="D33" s="30"/>
      <c r="E33" s="128" t="s">
        <v>91</v>
      </c>
      <c r="F33" s="128"/>
      <c r="G33" s="128"/>
      <c r="H33" s="31"/>
      <c r="I33" s="31"/>
      <c r="J33" s="31"/>
      <c r="X33" s="26"/>
      <c r="Y33" s="36"/>
      <c r="Z33" s="36"/>
      <c r="AB33" s="138" t="str">
        <f>P77</f>
        <v>18.04.2025</v>
      </c>
      <c r="AC33" s="138"/>
      <c r="AD33" s="138"/>
      <c r="AE33" s="138"/>
      <c r="AF33" s="138"/>
      <c r="AG33" s="138"/>
      <c r="AH33" s="138"/>
      <c r="AI33" s="138"/>
      <c r="AJ33" s="25" t="s">
        <v>5</v>
      </c>
    </row>
    <row r="34" spans="1:36" ht="12.95" customHeight="1" x14ac:dyDescent="0.25">
      <c r="Y34" s="11"/>
      <c r="Z34" s="14"/>
      <c r="AA34" s="11"/>
      <c r="AB34" s="145" t="s">
        <v>16</v>
      </c>
      <c r="AC34" s="145"/>
      <c r="AD34" s="145"/>
      <c r="AE34" s="145"/>
      <c r="AF34" s="145"/>
      <c r="AG34" s="145"/>
      <c r="AH34" s="145"/>
      <c r="AI34" s="145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5" customFormat="1" ht="27.75" customHeight="1" x14ac:dyDescent="0.2">
      <c r="A36" s="136" t="s">
        <v>47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</row>
    <row r="37" spans="1:36" s="25" customFormat="1" ht="24.75" customHeight="1" x14ac:dyDescent="0.2">
      <c r="A37" s="129" t="str">
        <f>'Данные объект'!C34</f>
        <v>Гл. специалист ССК УКС ПАО "Россети Московский регион" Алексанян Г.Р., Приказ №2363 от 29 июля 2025г (НРС С-50-069023)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36" ht="28.5" customHeight="1" x14ac:dyDescent="0.25">
      <c r="A38" s="126" t="s">
        <v>48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36" s="25" customFormat="1" ht="23.25" customHeight="1" x14ac:dyDescent="0.2">
      <c r="A39" s="12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</row>
    <row r="40" spans="1:36" ht="25.5" customHeight="1" x14ac:dyDescent="0.25">
      <c r="A40" s="135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s="25" customFormat="1" ht="12" customHeight="1" x14ac:dyDescent="0.2">
      <c r="A41" s="25" t="s">
        <v>24</v>
      </c>
    </row>
    <row r="42" spans="1:36" s="25" customFormat="1" ht="12" customHeight="1" x14ac:dyDescent="0.2">
      <c r="A42" s="139" t="str">
        <f>'Данные объект'!C21</f>
        <v>Прораб ООО"Энергосистемы" Красилов К.А., Приказ №05-ОТ/24 от 09 января 2024г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spans="1:36" ht="9" customHeight="1" x14ac:dyDescent="0.25">
      <c r="A43" s="126" t="s">
        <v>25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</row>
    <row r="44" spans="1:36" s="25" customFormat="1" ht="14.25" customHeight="1" x14ac:dyDescent="0.2">
      <c r="A44" s="136" t="s">
        <v>50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</row>
    <row r="45" spans="1:36" s="32" customFormat="1" ht="23.25" customHeight="1" x14ac:dyDescent="0.2">
      <c r="A45" s="129" t="str">
        <f>'Данные объект'!C18</f>
        <v>Инженер по строительному контролю ООО"Энергосистемы" Капитонов Д.А., Приказ № 18-ОТ/24 от 03 июня 2024 (НОСТРОЙ С-50-188017)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36" ht="25.9" customHeight="1" x14ac:dyDescent="0.25">
      <c r="A46" s="126" t="s">
        <v>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x14ac:dyDescent="0.25">
      <c r="A47" s="136" t="s">
        <v>207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ht="15" customHeight="1" x14ac:dyDescent="0.25">
      <c r="A48" s="129" t="str">
        <f>'Данные объект'!$C$36</f>
        <v>Мастер СРЭС СЭС филиала ПАО "Россети Московский регион" Курчин М.М.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x14ac:dyDescent="0.25">
      <c r="A49" s="126" t="s">
        <v>25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s="25" customFormat="1" ht="36.75" customHeight="1" x14ac:dyDescent="0.2">
      <c r="A50" s="123" t="s">
        <v>52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</row>
    <row r="51" spans="1:36" s="32" customFormat="1" ht="12.95" customHeight="1" x14ac:dyDescent="0.2">
      <c r="A51" s="139" t="s">
        <v>75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spans="1:36" ht="29.25" customHeight="1" x14ac:dyDescent="0.25">
      <c r="A52" s="126" t="s">
        <v>53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s="25" customFormat="1" ht="25.5" hidden="1" customHeight="1" x14ac:dyDescent="0.2">
      <c r="A53" s="123" t="s">
        <v>54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</row>
    <row r="54" spans="1:36" s="25" customFormat="1" ht="12" hidden="1" customHeight="1" x14ac:dyDescent="0.2">
      <c r="A54" s="129" t="e">
        <f>CONCATENATE(#REF!,", ",#REF!," - ",#REF!)</f>
        <v>#REF!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ht="9.75" hidden="1" customHeight="1" x14ac:dyDescent="0.25">
      <c r="A55" s="126" t="s">
        <v>28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25" customFormat="1" ht="12" hidden="1" customHeight="1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ht="16.5" hidden="1" customHeight="1" x14ac:dyDescent="0.25">
      <c r="A57" s="126" t="s">
        <v>55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 spans="1:36" s="25" customFormat="1" ht="12" customHeight="1" x14ac:dyDescent="0.2">
      <c r="A58" s="25" t="s">
        <v>15</v>
      </c>
    </row>
    <row r="59" spans="1:36" s="25" customFormat="1" ht="12.95" customHeight="1" x14ac:dyDescent="0.2">
      <c r="A59" s="128" t="str">
        <f>'Данные объект'!B11</f>
        <v>ООО"Энергосистемы"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spans="1:36" ht="10.5" customHeight="1" x14ac:dyDescent="0.25">
      <c r="A60" s="132" t="s">
        <v>39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s="25" customFormat="1" ht="12" customHeight="1" x14ac:dyDescent="0.2">
      <c r="A61" s="25" t="s">
        <v>14</v>
      </c>
    </row>
    <row r="62" spans="1:36" s="25" customFormat="1" ht="12" customHeight="1" x14ac:dyDescent="0.2">
      <c r="A62" s="25" t="s">
        <v>29</v>
      </c>
    </row>
    <row r="63" spans="1:36" s="25" customFormat="1" ht="12" customHeight="1" x14ac:dyDescent="0.2">
      <c r="A63" s="74" t="s">
        <v>163</v>
      </c>
      <c r="B63" s="74"/>
      <c r="C63" s="74"/>
      <c r="D63" s="74"/>
      <c r="E63" s="74"/>
      <c r="F63" s="74"/>
      <c r="G63" s="74"/>
      <c r="H63" s="74"/>
      <c r="I63" s="74"/>
      <c r="J63" s="82" t="str">
        <f>'Данные объект'!B9</f>
        <v>КТП №3865</v>
      </c>
      <c r="K63" s="74"/>
      <c r="L63" s="74"/>
      <c r="M63" s="74"/>
      <c r="N63" s="82"/>
      <c r="O63" s="74"/>
      <c r="P63" s="152">
        <v>17.600000000000001</v>
      </c>
      <c r="Q63" s="152"/>
      <c r="R63" s="152"/>
      <c r="S63" s="129" t="s">
        <v>87</v>
      </c>
      <c r="T63" s="129"/>
      <c r="U63" s="129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8.25" customHeight="1" x14ac:dyDescent="0.25">
      <c r="A64" s="126" t="s">
        <v>13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</row>
    <row r="65" spans="1:36" s="25" customFormat="1" ht="12" customHeight="1" x14ac:dyDescent="0.2">
      <c r="A65" s="25" t="s">
        <v>12</v>
      </c>
    </row>
    <row r="66" spans="1:36" s="25" customFormat="1" ht="12" customHeight="1" x14ac:dyDescent="0.2">
      <c r="A66" s="129" t="str">
        <f>'Данные объект'!B43</f>
        <v>4844-315915-113-05/24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ht="15" customHeight="1" x14ac:dyDescent="0.25">
      <c r="A67" s="126" t="s">
        <v>225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25" customFormat="1" ht="12" customHeight="1" x14ac:dyDescent="0.2">
      <c r="A68" s="94" t="s">
        <v>11</v>
      </c>
      <c r="B68" s="94"/>
      <c r="C68" s="94"/>
      <c r="D68" s="94"/>
      <c r="E68" s="94"/>
      <c r="F68" s="94"/>
      <c r="G68" s="94"/>
      <c r="H68" s="94"/>
      <c r="I68" s="94"/>
      <c r="J68" s="97"/>
      <c r="K68" s="97"/>
      <c r="L68" s="134" t="s">
        <v>75</v>
      </c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</row>
    <row r="69" spans="1:36" s="2" customFormat="1" ht="24.6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133" t="s">
        <v>183</v>
      </c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</row>
    <row r="70" spans="1:36" s="25" customFormat="1" ht="12" customHeight="1" x14ac:dyDescent="0.2">
      <c r="A70" s="25" t="s">
        <v>10</v>
      </c>
    </row>
    <row r="71" spans="1:36" s="25" customFormat="1" ht="12" customHeight="1" x14ac:dyDescent="0.2">
      <c r="A71" s="25" t="s">
        <v>9</v>
      </c>
      <c r="G71" s="128" t="s">
        <v>93</v>
      </c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</row>
    <row r="72" spans="1:36" ht="7.5" customHeight="1" x14ac:dyDescent="0.25">
      <c r="A72" s="137"/>
      <c r="B72" s="137"/>
      <c r="C72" s="8"/>
      <c r="D72" s="8"/>
      <c r="E72" s="8"/>
      <c r="F72" s="8"/>
      <c r="G72" s="127" t="s">
        <v>8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25" customFormat="1" ht="12" hidden="1" customHeight="1" x14ac:dyDescent="0.2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</row>
    <row r="74" spans="1:36" ht="7.5" customHeight="1" x14ac:dyDescent="0.25">
      <c r="A74" s="126" t="s">
        <v>30</v>
      </c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ht="9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13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s="25" customFormat="1" ht="12" customHeight="1" x14ac:dyDescent="0.2">
      <c r="A76" s="25" t="s">
        <v>7</v>
      </c>
      <c r="D76" s="34"/>
      <c r="E76" s="34"/>
      <c r="F76" s="34"/>
      <c r="G76" s="34"/>
      <c r="L76" s="26"/>
      <c r="M76" s="36"/>
      <c r="N76" s="36"/>
      <c r="P76" s="138" t="str">
        <f>'Данные объект'!B6</f>
        <v>07.04.2025</v>
      </c>
      <c r="Q76" s="138"/>
      <c r="R76" s="138"/>
      <c r="S76" s="138"/>
      <c r="T76" s="138"/>
      <c r="U76" s="138"/>
      <c r="V76" s="138"/>
      <c r="W76" s="138"/>
      <c r="X76" s="25" t="s">
        <v>5</v>
      </c>
    </row>
    <row r="77" spans="1:36" s="25" customFormat="1" ht="12" customHeight="1" x14ac:dyDescent="0.2">
      <c r="A77" s="25" t="s">
        <v>6</v>
      </c>
      <c r="D77" s="34"/>
      <c r="E77" s="34"/>
      <c r="F77" s="34"/>
      <c r="G77" s="34"/>
      <c r="L77" s="26"/>
      <c r="M77" s="36"/>
      <c r="N77" s="36"/>
      <c r="P77" s="124" t="str">
        <f>'Данные объект'!B7</f>
        <v>18.04.2025</v>
      </c>
      <c r="Q77" s="124"/>
      <c r="R77" s="124"/>
      <c r="S77" s="124"/>
      <c r="T77" s="124"/>
      <c r="U77" s="124"/>
      <c r="V77" s="124"/>
      <c r="W77" s="124"/>
      <c r="X77" s="25" t="s">
        <v>5</v>
      </c>
    </row>
    <row r="78" spans="1:36" ht="7.5" customHeight="1" x14ac:dyDescent="0.25">
      <c r="A78" s="6"/>
      <c r="B78" s="6"/>
      <c r="C78" s="6"/>
      <c r="D78" s="5"/>
      <c r="E78" s="5"/>
      <c r="F78" s="5"/>
      <c r="G78" s="5"/>
    </row>
    <row r="79" spans="1:36" s="25" customFormat="1" ht="12" customHeight="1" x14ac:dyDescent="0.2">
      <c r="A79" s="25" t="s">
        <v>4</v>
      </c>
    </row>
    <row r="80" spans="1:36" s="25" customFormat="1" ht="12" customHeight="1" x14ac:dyDescent="0.2">
      <c r="A80" s="125" t="s">
        <v>169</v>
      </c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</row>
    <row r="81" spans="1:36" ht="8.25" customHeight="1" x14ac:dyDescent="0.25">
      <c r="A81" s="126" t="s">
        <v>184</v>
      </c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</row>
    <row r="82" spans="1:36" s="25" customFormat="1" ht="12" customHeight="1" x14ac:dyDescent="0.2">
      <c r="A82" s="25" t="s">
        <v>3</v>
      </c>
    </row>
    <row r="83" spans="1:36" s="25" customFormat="1" ht="12" customHeight="1" x14ac:dyDescent="0.2">
      <c r="A83" s="128" t="s">
        <v>94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ht="9" customHeight="1" x14ac:dyDescent="0.25">
      <c r="A84" s="126" t="s">
        <v>31</v>
      </c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</row>
    <row r="85" spans="1:36" s="25" customFormat="1" ht="12" customHeight="1" x14ac:dyDescent="0.2">
      <c r="A85" s="25" t="s">
        <v>2</v>
      </c>
      <c r="L85" s="128" t="s">
        <v>75</v>
      </c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</row>
    <row r="86" spans="1:36" s="25" customFormat="1" ht="6" customHeight="1" x14ac:dyDescent="0.2">
      <c r="D86" s="39"/>
      <c r="E86" s="39"/>
      <c r="F86" s="39"/>
      <c r="G86" s="39"/>
      <c r="H86" s="39"/>
      <c r="I86" s="39"/>
      <c r="J86" s="39"/>
    </row>
    <row r="87" spans="1:36" s="25" customFormat="1" ht="12" customHeight="1" x14ac:dyDescent="0.2">
      <c r="A87" s="25" t="s">
        <v>103</v>
      </c>
      <c r="H87" s="128">
        <v>1</v>
      </c>
      <c r="I87" s="128"/>
      <c r="J87" s="25" t="s">
        <v>32</v>
      </c>
    </row>
    <row r="88" spans="1:36" s="25" customFormat="1" ht="4.5" customHeight="1" x14ac:dyDescent="0.2"/>
    <row r="89" spans="1:36" s="25" customFormat="1" ht="12" customHeight="1" x14ac:dyDescent="0.2">
      <c r="A89" s="25" t="s">
        <v>1</v>
      </c>
    </row>
    <row r="90" spans="1:36" s="25" customFormat="1" ht="12" customHeight="1" x14ac:dyDescent="0.2">
      <c r="A90" s="30" t="s">
        <v>88</v>
      </c>
      <c r="B90" s="125" t="str">
        <f>G71</f>
        <v>Исполнительная схема заземления ТП</v>
      </c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30" t="s">
        <v>75</v>
      </c>
      <c r="R90" s="30" t="s">
        <v>89</v>
      </c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</row>
    <row r="91" spans="1:36" ht="12" hidden="1" customHeight="1" x14ac:dyDescent="0.25">
      <c r="A91" s="24" t="s">
        <v>90</v>
      </c>
      <c r="B91" s="158" t="e">
        <f>#REF!</f>
        <v>#REF!</v>
      </c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24" t="s">
        <v>75</v>
      </c>
      <c r="R91" s="24" t="s">
        <v>89</v>
      </c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</row>
    <row r="92" spans="1:36" ht="9.75" customHeight="1" x14ac:dyDescent="0.25">
      <c r="A92" s="126" t="s">
        <v>0</v>
      </c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</row>
    <row r="93" spans="1:36" ht="6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25" customFormat="1" ht="12" customHeight="1" x14ac:dyDescent="0.2">
      <c r="A94" s="25" t="s">
        <v>22</v>
      </c>
    </row>
    <row r="95" spans="1:36" s="25" customFormat="1" ht="12" customHeight="1" x14ac:dyDescent="0.2">
      <c r="A95" s="25" t="s">
        <v>23</v>
      </c>
    </row>
    <row r="96" spans="1:36" s="25" customFormat="1" ht="12" customHeight="1" x14ac:dyDescent="0.2">
      <c r="A96" s="128" t="str">
        <f>'Данные объект'!B33</f>
        <v>Алексанян Г.Р.</v>
      </c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128"/>
      <c r="AC96" s="128"/>
      <c r="AD96" s="128"/>
      <c r="AE96" s="128"/>
      <c r="AF96" s="128"/>
      <c r="AG96" s="128"/>
      <c r="AH96" s="128"/>
      <c r="AI96" s="128"/>
      <c r="AJ96" s="128"/>
    </row>
    <row r="97" spans="1:36" ht="9" customHeight="1" x14ac:dyDescent="0.25">
      <c r="A97" s="132" t="s">
        <v>34</v>
      </c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7"/>
      <c r="Q97" s="17"/>
      <c r="R97" s="17"/>
      <c r="S97" s="17"/>
      <c r="T97" s="17"/>
      <c r="U97" s="16"/>
      <c r="V97" s="16"/>
      <c r="W97" s="16"/>
      <c r="X97" s="16"/>
      <c r="Y97" s="16"/>
      <c r="Z97" s="16"/>
      <c r="AA97" s="16"/>
      <c r="AB97" s="131" t="s">
        <v>33</v>
      </c>
      <c r="AC97" s="131"/>
      <c r="AD97" s="131"/>
      <c r="AE97" s="131"/>
      <c r="AF97" s="131"/>
      <c r="AG97" s="131"/>
      <c r="AH97" s="131"/>
      <c r="AI97" s="131"/>
      <c r="AJ97" s="131"/>
    </row>
    <row r="98" spans="1:36" s="25" customFormat="1" ht="12" customHeight="1" x14ac:dyDescent="0.2">
      <c r="A98" s="25" t="s">
        <v>24</v>
      </c>
    </row>
    <row r="99" spans="1:36" s="25" customFormat="1" ht="12" customHeight="1" x14ac:dyDescent="0.2">
      <c r="A99" s="128" t="str">
        <f>'Данные объект'!B20</f>
        <v>Красилов К.А.</v>
      </c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128"/>
      <c r="AC99" s="128"/>
      <c r="AD99" s="128"/>
      <c r="AE99" s="128"/>
      <c r="AF99" s="128"/>
      <c r="AG99" s="128"/>
      <c r="AH99" s="128"/>
      <c r="AI99" s="128"/>
      <c r="AJ99" s="128"/>
    </row>
    <row r="100" spans="1:36" ht="9" customHeight="1" x14ac:dyDescent="0.25">
      <c r="A100" s="132" t="s">
        <v>34</v>
      </c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1" t="s">
        <v>33</v>
      </c>
      <c r="AC100" s="131"/>
      <c r="AD100" s="131"/>
      <c r="AE100" s="131"/>
      <c r="AF100" s="131"/>
      <c r="AG100" s="131"/>
      <c r="AH100" s="131"/>
      <c r="AI100" s="131"/>
      <c r="AJ100" s="131"/>
    </row>
    <row r="101" spans="1:36" s="25" customFormat="1" ht="12" customHeight="1" x14ac:dyDescent="0.2">
      <c r="A101" s="25" t="s">
        <v>26</v>
      </c>
    </row>
    <row r="102" spans="1:36" s="25" customFormat="1" ht="12" customHeight="1" x14ac:dyDescent="0.2">
      <c r="A102" s="25" t="s">
        <v>27</v>
      </c>
    </row>
    <row r="103" spans="1:36" s="25" customFormat="1" ht="12" customHeight="1" x14ac:dyDescent="0.2">
      <c r="A103" s="128" t="str">
        <f>'Данные объект'!B17</f>
        <v>Капитонов Д.А.</v>
      </c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128"/>
      <c r="AC103" s="128"/>
      <c r="AD103" s="128"/>
      <c r="AE103" s="128"/>
      <c r="AF103" s="128"/>
      <c r="AG103" s="128"/>
      <c r="AH103" s="128"/>
      <c r="AI103" s="128"/>
      <c r="AJ103" s="128"/>
    </row>
    <row r="104" spans="1:36" ht="9" customHeight="1" x14ac:dyDescent="0.25">
      <c r="A104" s="132" t="s">
        <v>34</v>
      </c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1" t="s">
        <v>33</v>
      </c>
      <c r="AC104" s="131"/>
      <c r="AD104" s="131"/>
      <c r="AE104" s="131"/>
      <c r="AF104" s="131"/>
      <c r="AG104" s="131"/>
      <c r="AH104" s="131"/>
      <c r="AI104" s="131"/>
      <c r="AJ104" s="131"/>
    </row>
    <row r="105" spans="1:36" x14ac:dyDescent="0.25">
      <c r="A105" s="25" t="s">
        <v>208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91"/>
      <c r="AC105" s="91"/>
      <c r="AD105" s="91"/>
      <c r="AE105" s="91"/>
      <c r="AF105" s="91"/>
      <c r="AG105" s="91"/>
      <c r="AH105" s="91"/>
      <c r="AI105" s="91"/>
      <c r="AJ105" s="91"/>
    </row>
    <row r="106" spans="1:36" x14ac:dyDescent="0.25">
      <c r="A106" s="128" t="str">
        <f>'Данные объект'!$B$36</f>
        <v>Курчин М.М.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spans="1:36" ht="9" customHeight="1" x14ac:dyDescent="0.25">
      <c r="A107" s="132" t="s">
        <v>34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1" t="s">
        <v>33</v>
      </c>
      <c r="AC107" s="131"/>
      <c r="AD107" s="131"/>
      <c r="AE107" s="131"/>
      <c r="AF107" s="131"/>
      <c r="AG107" s="131"/>
      <c r="AH107" s="131"/>
      <c r="AI107" s="131"/>
      <c r="AJ107" s="131"/>
    </row>
    <row r="108" spans="1:36" s="25" customFormat="1" ht="36" customHeight="1" x14ac:dyDescent="0.2">
      <c r="A108" s="123" t="s">
        <v>52</v>
      </c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3"/>
      <c r="AH108" s="123"/>
      <c r="AI108" s="123"/>
      <c r="AJ108" s="123"/>
    </row>
    <row r="109" spans="1:36" s="25" customFormat="1" ht="12" customHeight="1" x14ac:dyDescent="0.2">
      <c r="A109" s="128" t="s">
        <v>75</v>
      </c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128" t="s">
        <v>75</v>
      </c>
      <c r="AC109" s="128"/>
      <c r="AD109" s="128"/>
      <c r="AE109" s="128"/>
      <c r="AF109" s="128"/>
      <c r="AG109" s="128"/>
      <c r="AH109" s="128"/>
      <c r="AI109" s="128"/>
      <c r="AJ109" s="128"/>
    </row>
    <row r="110" spans="1:36" ht="9" customHeight="1" x14ac:dyDescent="0.25">
      <c r="A110" s="132" t="s">
        <v>34</v>
      </c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1" t="s">
        <v>33</v>
      </c>
      <c r="AC110" s="131"/>
      <c r="AD110" s="131"/>
      <c r="AE110" s="131"/>
      <c r="AF110" s="131"/>
      <c r="AG110" s="131"/>
      <c r="AH110" s="131"/>
      <c r="AI110" s="131"/>
      <c r="AJ110" s="131"/>
    </row>
    <row r="111" spans="1:36" s="25" customFormat="1" ht="40.5" hidden="1" customHeight="1" x14ac:dyDescent="0.2">
      <c r="A111" s="123" t="s">
        <v>54</v>
      </c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3"/>
      <c r="AH111" s="123"/>
      <c r="AI111" s="123"/>
      <c r="AJ111" s="123"/>
    </row>
    <row r="112" spans="1:36" s="25" customFormat="1" ht="12" hidden="1" customHeight="1" x14ac:dyDescent="0.2">
      <c r="A112" s="128" t="e">
        <f>#REF!</f>
        <v>#REF!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128"/>
      <c r="AC112" s="128"/>
      <c r="AD112" s="128"/>
      <c r="AE112" s="128"/>
      <c r="AF112" s="128"/>
      <c r="AG112" s="128"/>
      <c r="AH112" s="128"/>
      <c r="AI112" s="128"/>
      <c r="AJ112" s="128"/>
    </row>
    <row r="113" spans="1:36" ht="9" hidden="1" customHeight="1" x14ac:dyDescent="0.25">
      <c r="A113" s="132" t="s">
        <v>34</v>
      </c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1" t="s">
        <v>33</v>
      </c>
      <c r="AC113" s="131"/>
      <c r="AD113" s="131"/>
      <c r="AE113" s="131"/>
      <c r="AF113" s="131"/>
      <c r="AG113" s="131"/>
      <c r="AH113" s="131"/>
      <c r="AI113" s="131"/>
      <c r="AJ113" s="131"/>
    </row>
    <row r="114" spans="1:36" ht="12" hidden="1" customHeight="1" x14ac:dyDescent="0.25"/>
  </sheetData>
  <mergeCells count="99"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50:AJ50"/>
    <mergeCell ref="E33:G33"/>
    <mergeCell ref="A36:AJ36"/>
    <mergeCell ref="A37:AJ37"/>
    <mergeCell ref="AB33:AI33"/>
    <mergeCell ref="AB34:AI34"/>
    <mergeCell ref="A38:AJ38"/>
    <mergeCell ref="A39:AJ39"/>
    <mergeCell ref="A40:AJ40"/>
    <mergeCell ref="A42:AJ42"/>
    <mergeCell ref="A43:AJ43"/>
    <mergeCell ref="A44:AJ44"/>
    <mergeCell ref="A45:AJ45"/>
    <mergeCell ref="A46:AJ46"/>
    <mergeCell ref="A47:AJ47"/>
    <mergeCell ref="A48:AJ48"/>
    <mergeCell ref="A73:AJ73"/>
    <mergeCell ref="A74:AJ74"/>
    <mergeCell ref="A66:AJ66"/>
    <mergeCell ref="A51:AJ51"/>
    <mergeCell ref="A52:AJ52"/>
    <mergeCell ref="A53:AJ53"/>
    <mergeCell ref="A54:AJ54"/>
    <mergeCell ref="A55:AJ55"/>
    <mergeCell ref="A56:AJ56"/>
    <mergeCell ref="S63:U63"/>
    <mergeCell ref="A57:AJ57"/>
    <mergeCell ref="A59:AJ59"/>
    <mergeCell ref="A60:AJ60"/>
    <mergeCell ref="P63:R63"/>
    <mergeCell ref="A64:AJ64"/>
    <mergeCell ref="A67:AJ67"/>
    <mergeCell ref="J69:AJ69"/>
    <mergeCell ref="G71:AJ71"/>
    <mergeCell ref="A72:B72"/>
    <mergeCell ref="G72:AJ72"/>
    <mergeCell ref="L68:AJ68"/>
    <mergeCell ref="AB100:AJ100"/>
    <mergeCell ref="P76:W76"/>
    <mergeCell ref="A80:AJ80"/>
    <mergeCell ref="A81:AJ81"/>
    <mergeCell ref="P77:W77"/>
    <mergeCell ref="A92:AJ92"/>
    <mergeCell ref="A96:O96"/>
    <mergeCell ref="AB96:AJ96"/>
    <mergeCell ref="A97:O97"/>
    <mergeCell ref="AB97:AJ97"/>
    <mergeCell ref="A113:O113"/>
    <mergeCell ref="AB113:AJ113"/>
    <mergeCell ref="A104:O104"/>
    <mergeCell ref="AB104:AJ104"/>
    <mergeCell ref="A108:AJ108"/>
    <mergeCell ref="A109:O109"/>
    <mergeCell ref="AB109:AJ109"/>
    <mergeCell ref="A111:AJ111"/>
    <mergeCell ref="A112:O112"/>
    <mergeCell ref="AB112:AJ112"/>
    <mergeCell ref="A110:O110"/>
    <mergeCell ref="AB110:AJ110"/>
    <mergeCell ref="A49:AJ49"/>
    <mergeCell ref="A106:O106"/>
    <mergeCell ref="AB106:AJ106"/>
    <mergeCell ref="A107:O107"/>
    <mergeCell ref="AB107:AJ107"/>
    <mergeCell ref="A103:O103"/>
    <mergeCell ref="AB103:AJ103"/>
    <mergeCell ref="A99:O99"/>
    <mergeCell ref="AB99:AJ99"/>
    <mergeCell ref="A100:O100"/>
    <mergeCell ref="A83:AJ83"/>
    <mergeCell ref="A84:AJ84"/>
    <mergeCell ref="L85:AJ85"/>
    <mergeCell ref="H87:I87"/>
    <mergeCell ref="B90:P90"/>
    <mergeCell ref="B91:P91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AQ119"/>
  <sheetViews>
    <sheetView view="pageBreakPreview" topLeftCell="A83" zoomScale="125" zoomScaleNormal="125" zoomScaleSheetLayoutView="125" workbookViewId="0">
      <selection activeCell="A111" sqref="A111:O111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5" customFormat="1" ht="12.75" customHeight="1" x14ac:dyDescent="0.2">
      <c r="AJ1" s="26" t="s">
        <v>42</v>
      </c>
    </row>
    <row r="2" spans="1:43" s="25" customFormat="1" ht="11.25" customHeight="1" x14ac:dyDescent="0.2">
      <c r="AJ2" s="26" t="s">
        <v>41</v>
      </c>
    </row>
    <row r="3" spans="1:43" s="25" customFormat="1" ht="14.25" customHeight="1" x14ac:dyDescent="0.2">
      <c r="A3" s="25" t="s">
        <v>20</v>
      </c>
      <c r="AJ3" s="27"/>
      <c r="AK3" s="27"/>
      <c r="AL3" s="27"/>
      <c r="AM3" s="27"/>
      <c r="AN3" s="27"/>
      <c r="AO3" s="27"/>
      <c r="AP3" s="27"/>
      <c r="AQ3" s="27"/>
    </row>
    <row r="4" spans="1:43" s="25" customFormat="1" ht="36" customHeight="1" x14ac:dyDescent="0.2">
      <c r="A4" s="129" t="str">
        <f>'Данные объект'!B3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</row>
    <row r="5" spans="1:43" s="25" customFormat="1" ht="12" customHeight="1" x14ac:dyDescent="0.2">
      <c r="A5" s="139" t="str">
        <f>'Данные объект'!B9</f>
        <v>КТП №3865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ht="10.5" customHeight="1" x14ac:dyDescent="0.25">
      <c r="A6" s="141" t="s">
        <v>223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</row>
    <row r="7" spans="1:43" s="25" customFormat="1" ht="1.9" customHeight="1" x14ac:dyDescent="0.2">
      <c r="A7" s="136" t="s">
        <v>43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43" s="25" customFormat="1" ht="12" customHeight="1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25" customFormat="1" ht="12" customHeight="1" x14ac:dyDescent="0.2">
      <c r="A9" s="139" t="str">
        <f>'Данные объект'!B23</f>
        <v>ПАО "Россети Московский регион"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1:43" ht="19.5" customHeight="1" x14ac:dyDescent="0.25">
      <c r="A10" s="126" t="s">
        <v>59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43" s="25" customFormat="1" ht="12" customHeight="1" x14ac:dyDescent="0.2">
      <c r="A11" s="139" t="str">
        <f>'Данные объект'!B24</f>
        <v>ОГРН 1057746555811 ИНН 5036065113 КПП 772501001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1:43" ht="28.5" customHeight="1" x14ac:dyDescent="0.25">
      <c r="A12" s="126" t="s">
        <v>60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3" s="25" customFormat="1" ht="12" customHeight="1" x14ac:dyDescent="0.2">
      <c r="A13" s="139" t="str">
        <f>'Данные объект'!B25</f>
        <v>115114, город Москва, проезд Павелецкий 2-й, дом 3, строение 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1:43" ht="11.25" customHeight="1" x14ac:dyDescent="0.25">
      <c r="A14" s="126" t="s">
        <v>44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43" s="25" customFormat="1" ht="12" customHeight="1" x14ac:dyDescent="0.2">
      <c r="A15" s="25" t="s">
        <v>21</v>
      </c>
    </row>
    <row r="16" spans="1:43" s="25" customFormat="1" ht="12" customHeight="1" x14ac:dyDescent="0.2">
      <c r="A16" s="139" t="str">
        <f>'Данные объект'!B11</f>
        <v>ООО"Энергосистемы"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9.75" customHeight="1" x14ac:dyDescent="0.25">
      <c r="A17" s="126" t="s">
        <v>38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</row>
    <row r="18" spans="1:36" s="25" customFormat="1" ht="12" customHeight="1" x14ac:dyDescent="0.2">
      <c r="A18" s="139" t="str">
        <f>'Данные объект'!B12</f>
        <v>ОГРН 1135044003709  ИНН 5044089069 КПП 504401001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8.25" customHeight="1" x14ac:dyDescent="0.25">
      <c r="A19" s="126" t="s">
        <v>45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</row>
    <row r="20" spans="1:36" s="25" customFormat="1" ht="12" customHeight="1" x14ac:dyDescent="0.2">
      <c r="A20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1:36" ht="27" customHeight="1" x14ac:dyDescent="0.25">
      <c r="A21" s="126" t="s">
        <v>61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</row>
    <row r="22" spans="1:36" s="25" customFormat="1" ht="12" customHeight="1" x14ac:dyDescent="0.2">
      <c r="A22" s="25" t="s">
        <v>19</v>
      </c>
    </row>
    <row r="23" spans="1:36" s="25" customFormat="1" ht="12" customHeight="1" x14ac:dyDescent="0.2">
      <c r="A23" s="139" t="str">
        <f>'Данные объект'!B39</f>
        <v>ООО"Энергосистемы"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spans="1:36" ht="7.5" customHeight="1" x14ac:dyDescent="0.25">
      <c r="A24" s="126" t="s">
        <v>37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</row>
    <row r="25" spans="1:36" s="25" customFormat="1" ht="12" customHeight="1" x14ac:dyDescent="0.2">
      <c r="A25" s="139" t="str">
        <f>'Данные объект'!B40</f>
        <v>ОГРН 1135044003709  ИНН 5044089069 КПП 504401001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spans="1:36" ht="7.5" customHeight="1" x14ac:dyDescent="0.25">
      <c r="A26" s="126" t="s">
        <v>62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s="25" customFormat="1" ht="12" customHeight="1" x14ac:dyDescent="0.2">
      <c r="A27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spans="1:36" ht="22.5" customHeight="1" x14ac:dyDescent="0.25">
      <c r="A28" s="126" t="s">
        <v>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5" customFormat="1" ht="12.95" customHeight="1" x14ac:dyDescent="0.2">
      <c r="A30" s="146" t="s">
        <v>35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</row>
    <row r="31" spans="1:36" s="25" customFormat="1" ht="12.95" customHeight="1" x14ac:dyDescent="0.2">
      <c r="A31" s="140" t="s">
        <v>18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s="25" customFormat="1" ht="12.9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36" s="25" customFormat="1" ht="12.95" customHeight="1" x14ac:dyDescent="0.2">
      <c r="A33" s="29"/>
      <c r="B33" s="29" t="s">
        <v>17</v>
      </c>
      <c r="C33" s="30">
        <f>'АОСР-5'!C33+1</f>
        <v>6</v>
      </c>
      <c r="D33" s="30"/>
      <c r="E33" s="128" t="s">
        <v>91</v>
      </c>
      <c r="F33" s="128"/>
      <c r="G33" s="128"/>
      <c r="H33" s="31"/>
      <c r="I33" s="31"/>
      <c r="J33" s="31"/>
      <c r="X33" s="26"/>
      <c r="Y33" s="36"/>
      <c r="Z33" s="36"/>
      <c r="AB33" s="138" t="str">
        <f>P80</f>
        <v>18.04.2025</v>
      </c>
      <c r="AC33" s="138"/>
      <c r="AD33" s="138"/>
      <c r="AE33" s="138"/>
      <c r="AF33" s="138"/>
      <c r="AG33" s="138"/>
      <c r="AH33" s="138"/>
      <c r="AI33" s="138"/>
      <c r="AJ33" s="25" t="s">
        <v>5</v>
      </c>
    </row>
    <row r="34" spans="1:36" ht="12.95" customHeight="1" x14ac:dyDescent="0.25">
      <c r="Y34" s="11"/>
      <c r="Z34" s="14"/>
      <c r="AA34" s="11"/>
      <c r="AB34" s="145" t="s">
        <v>16</v>
      </c>
      <c r="AC34" s="145"/>
      <c r="AD34" s="145"/>
      <c r="AE34" s="145"/>
      <c r="AF34" s="145"/>
      <c r="AG34" s="145"/>
      <c r="AH34" s="145"/>
      <c r="AI34" s="145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5" customFormat="1" ht="27.75" customHeight="1" x14ac:dyDescent="0.2">
      <c r="A36" s="136" t="s">
        <v>47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</row>
    <row r="37" spans="1:36" s="25" customFormat="1" ht="24.75" customHeight="1" x14ac:dyDescent="0.2">
      <c r="A37" s="129" t="str">
        <f>'Данные объект'!C34</f>
        <v>Гл. специалист ССК УКС ПАО "Россети Московский регион" Алексанян Г.Р., Приказ №2363 от 29 июля 2025г (НРС С-50-069023)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36" ht="28.5" customHeight="1" x14ac:dyDescent="0.25">
      <c r="A38" s="126" t="s">
        <v>48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36" s="25" customFormat="1" ht="23.25" customHeight="1" x14ac:dyDescent="0.2">
      <c r="A39" s="12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</row>
    <row r="40" spans="1:36" ht="25.5" customHeight="1" x14ac:dyDescent="0.25">
      <c r="A40" s="135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s="25" customFormat="1" ht="12" customHeight="1" x14ac:dyDescent="0.2">
      <c r="A41" s="25" t="s">
        <v>24</v>
      </c>
    </row>
    <row r="42" spans="1:36" s="25" customFormat="1" ht="12" customHeight="1" x14ac:dyDescent="0.2">
      <c r="A42" s="139" t="str">
        <f>'Данные объект'!C21</f>
        <v>Прораб ООО"Энергосистемы" Красилов К.А., Приказ №05-ОТ/24 от 09 января 2024г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spans="1:36" ht="9" customHeight="1" x14ac:dyDescent="0.25">
      <c r="A43" s="126" t="s">
        <v>25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</row>
    <row r="44" spans="1:36" s="25" customFormat="1" ht="14.25" customHeight="1" x14ac:dyDescent="0.2">
      <c r="A44" s="136" t="s">
        <v>50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</row>
    <row r="45" spans="1:36" s="32" customFormat="1" ht="23.25" customHeight="1" x14ac:dyDescent="0.2">
      <c r="A45" s="129" t="str">
        <f>'Данные объект'!C18</f>
        <v>Инженер по строительному контролю ООО"Энергосистемы" Капитонов Д.А., Приказ № 18-ОТ/24 от 03 июня 2024 (НОСТРОЙ С-50-188017)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36" ht="30" customHeight="1" x14ac:dyDescent="0.25">
      <c r="A46" s="126" t="s">
        <v>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x14ac:dyDescent="0.25">
      <c r="A47" s="136" t="s">
        <v>207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ht="15" customHeight="1" x14ac:dyDescent="0.25">
      <c r="A48" s="129" t="str">
        <f>'Данные объект'!$C$36</f>
        <v>Мастер СРЭС СЭС филиала ПАО "Россети Московский регион" Курчин М.М.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x14ac:dyDescent="0.25">
      <c r="A49" s="126" t="s">
        <v>25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s="25" customFormat="1" ht="36.75" customHeight="1" x14ac:dyDescent="0.2">
      <c r="A50" s="123" t="s">
        <v>52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</row>
    <row r="51" spans="1:36" s="32" customFormat="1" ht="12.95" customHeight="1" x14ac:dyDescent="0.2">
      <c r="A51" s="139" t="s">
        <v>75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spans="1:36" ht="29.25" customHeight="1" x14ac:dyDescent="0.25">
      <c r="A52" s="126" t="s">
        <v>53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s="25" customFormat="1" ht="25.5" hidden="1" customHeight="1" x14ac:dyDescent="0.2">
      <c r="A53" s="123" t="s">
        <v>54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</row>
    <row r="54" spans="1:36" s="25" customFormat="1" ht="12" hidden="1" customHeight="1" x14ac:dyDescent="0.2">
      <c r="A54" s="129" t="e">
        <f>CONCATENATE(#REF!,", ",#REF!," - ",#REF!)</f>
        <v>#REF!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ht="9.75" hidden="1" customHeight="1" x14ac:dyDescent="0.25">
      <c r="A55" s="126" t="s">
        <v>28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25" customFormat="1" ht="12" hidden="1" customHeight="1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ht="16.5" hidden="1" customHeight="1" x14ac:dyDescent="0.25">
      <c r="A57" s="126" t="s">
        <v>55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 spans="1:36" s="25" customFormat="1" ht="12" customHeight="1" x14ac:dyDescent="0.2">
      <c r="A58" s="25" t="s">
        <v>15</v>
      </c>
    </row>
    <row r="59" spans="1:36" s="25" customFormat="1" ht="12.95" customHeight="1" x14ac:dyDescent="0.2">
      <c r="A59" s="128" t="str">
        <f>'Данные объект'!B11</f>
        <v>ООО"Энергосистемы"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spans="1:36" ht="10.5" customHeight="1" x14ac:dyDescent="0.25">
      <c r="A60" s="132" t="s">
        <v>39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s="25" customFormat="1" ht="12" customHeight="1" x14ac:dyDescent="0.2">
      <c r="A61" s="25" t="s">
        <v>14</v>
      </c>
    </row>
    <row r="62" spans="1:36" s="25" customFormat="1" ht="12" customHeight="1" x14ac:dyDescent="0.2">
      <c r="A62" s="25" t="s">
        <v>29</v>
      </c>
    </row>
    <row r="63" spans="1:36" s="25" customFormat="1" ht="12" customHeight="1" x14ac:dyDescent="0.2">
      <c r="A63" s="159" t="s">
        <v>164</v>
      </c>
      <c r="B63" s="159"/>
      <c r="C63" s="159"/>
      <c r="D63" s="159"/>
      <c r="E63" s="159"/>
      <c r="F63" s="159"/>
      <c r="G63" s="159"/>
      <c r="H63" s="159"/>
      <c r="I63" s="159"/>
      <c r="J63" s="74" t="str">
        <f>'Данные объект'!B9</f>
        <v>КТП №3865</v>
      </c>
      <c r="K63" s="74"/>
      <c r="L63" s="74"/>
      <c r="M63" s="74"/>
      <c r="N63" s="74"/>
      <c r="O63" s="74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8.25" customHeight="1" x14ac:dyDescent="0.25">
      <c r="A64" s="126" t="s">
        <v>13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</row>
    <row r="65" spans="1:36" s="25" customFormat="1" ht="12" customHeight="1" x14ac:dyDescent="0.2">
      <c r="A65" s="25" t="s">
        <v>12</v>
      </c>
    </row>
    <row r="66" spans="1:36" s="25" customFormat="1" ht="12" customHeight="1" x14ac:dyDescent="0.2">
      <c r="A66" s="129" t="str">
        <f>'Данные объект'!B43</f>
        <v>4844-315915-113-05/24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ht="15" customHeight="1" x14ac:dyDescent="0.25">
      <c r="A67" s="126" t="s">
        <v>40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25" customFormat="1" ht="12" customHeight="1" x14ac:dyDescent="0.2">
      <c r="A68" s="25" t="s">
        <v>11</v>
      </c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57" t="s">
        <v>56</v>
      </c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</row>
    <row r="70" spans="1:36" s="25" customFormat="1" ht="12" customHeight="1" x14ac:dyDescent="0.2">
      <c r="A70" s="161" t="s">
        <v>95</v>
      </c>
      <c r="B70" s="161"/>
      <c r="C70" s="161"/>
      <c r="D70" s="161"/>
      <c r="E70" s="161"/>
      <c r="F70" s="161"/>
      <c r="G70" s="96" t="s">
        <v>75</v>
      </c>
      <c r="H70" s="152">
        <v>36</v>
      </c>
      <c r="I70" s="152"/>
      <c r="J70" s="96" t="s">
        <v>161</v>
      </c>
      <c r="K70" s="95" t="s">
        <v>170</v>
      </c>
      <c r="L70" s="95" t="s">
        <v>195</v>
      </c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</row>
    <row r="71" spans="1:36" s="25" customFormat="1" ht="12" customHeight="1" x14ac:dyDescent="0.2">
      <c r="A71" s="161" t="s">
        <v>96</v>
      </c>
      <c r="B71" s="161"/>
      <c r="C71" s="161"/>
      <c r="D71" s="161"/>
      <c r="E71" s="161"/>
      <c r="F71" s="161"/>
      <c r="G71" s="96" t="s">
        <v>75</v>
      </c>
      <c r="H71" s="160">
        <v>39.200000000000003</v>
      </c>
      <c r="I71" s="160"/>
      <c r="J71" s="96" t="s">
        <v>161</v>
      </c>
      <c r="K71" s="95" t="s">
        <v>170</v>
      </c>
      <c r="L71" s="95" t="s">
        <v>191</v>
      </c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</row>
    <row r="72" spans="1:36" ht="18.75" customHeight="1" x14ac:dyDescent="0.25">
      <c r="A72" s="126" t="s">
        <v>57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25" customFormat="1" ht="12" customHeight="1" x14ac:dyDescent="0.2">
      <c r="A73" s="25" t="s">
        <v>10</v>
      </c>
    </row>
    <row r="74" spans="1:36" s="25" customFormat="1" ht="12" customHeight="1" x14ac:dyDescent="0.2">
      <c r="A74" s="25" t="s">
        <v>9</v>
      </c>
      <c r="G74" s="128" t="s">
        <v>93</v>
      </c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ht="7.5" customHeight="1" x14ac:dyDescent="0.25">
      <c r="A75" s="137"/>
      <c r="B75" s="137"/>
      <c r="C75" s="8"/>
      <c r="D75" s="8"/>
      <c r="E75" s="8"/>
      <c r="F75" s="8"/>
      <c r="G75" s="127" t="s">
        <v>8</v>
      </c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</row>
    <row r="76" spans="1:36" s="25" customFormat="1" ht="12" hidden="1" customHeight="1" x14ac:dyDescent="0.2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</row>
    <row r="77" spans="1:36" ht="7.5" customHeight="1" x14ac:dyDescent="0.25">
      <c r="A77" s="126" t="s">
        <v>30</v>
      </c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</row>
    <row r="78" spans="1:36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5" customFormat="1" ht="12" customHeight="1" x14ac:dyDescent="0.2">
      <c r="A79" s="25" t="s">
        <v>7</v>
      </c>
      <c r="D79" s="34"/>
      <c r="E79" s="34"/>
      <c r="F79" s="34"/>
      <c r="G79" s="34"/>
      <c r="L79" s="26"/>
      <c r="M79" s="36"/>
      <c r="N79" s="36"/>
      <c r="P79" s="138" t="str">
        <f>'Данные объект'!B6</f>
        <v>07.04.2025</v>
      </c>
      <c r="Q79" s="138"/>
      <c r="R79" s="138"/>
      <c r="S79" s="138"/>
      <c r="T79" s="138"/>
      <c r="U79" s="138"/>
      <c r="V79" s="138"/>
      <c r="W79" s="138"/>
      <c r="X79" s="25" t="s">
        <v>5</v>
      </c>
    </row>
    <row r="80" spans="1:36" s="25" customFormat="1" ht="12" customHeight="1" x14ac:dyDescent="0.2">
      <c r="A80" s="25" t="s">
        <v>6</v>
      </c>
      <c r="D80" s="34"/>
      <c r="E80" s="34"/>
      <c r="F80" s="34"/>
      <c r="G80" s="34"/>
      <c r="L80" s="26"/>
      <c r="M80" s="36"/>
      <c r="N80" s="36"/>
      <c r="P80" s="124" t="str">
        <f>'Данные объект'!B7</f>
        <v>18.04.2025</v>
      </c>
      <c r="Q80" s="124"/>
      <c r="R80" s="124"/>
      <c r="S80" s="124"/>
      <c r="T80" s="124"/>
      <c r="U80" s="124"/>
      <c r="V80" s="124"/>
      <c r="W80" s="124"/>
      <c r="X80" s="25" t="s">
        <v>5</v>
      </c>
    </row>
    <row r="81" spans="1:36" ht="7.5" customHeight="1" x14ac:dyDescent="0.25">
      <c r="A81" s="6"/>
      <c r="B81" s="6"/>
      <c r="C81" s="6"/>
      <c r="D81" s="5"/>
      <c r="E81" s="5"/>
      <c r="F81" s="5"/>
      <c r="G81" s="5"/>
    </row>
    <row r="82" spans="1:36" s="25" customFormat="1" ht="12" customHeight="1" x14ac:dyDescent="0.2">
      <c r="A82" s="25" t="s">
        <v>4</v>
      </c>
    </row>
    <row r="83" spans="1:36" s="25" customFormat="1" ht="12" customHeight="1" x14ac:dyDescent="0.2">
      <c r="A83" s="125" t="s">
        <v>169</v>
      </c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</row>
    <row r="84" spans="1:36" ht="8.25" customHeight="1" x14ac:dyDescent="0.25">
      <c r="A84" s="126" t="s">
        <v>184</v>
      </c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</row>
    <row r="85" spans="1:36" s="25" customFormat="1" ht="12" hidden="1" customHeight="1" x14ac:dyDescent="0.2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</row>
    <row r="86" spans="1:36" s="25" customFormat="1" ht="12" customHeight="1" x14ac:dyDescent="0.2">
      <c r="A86" s="25" t="s">
        <v>3</v>
      </c>
    </row>
    <row r="87" spans="1:36" s="25" customFormat="1" ht="12" customHeight="1" x14ac:dyDescent="0.2">
      <c r="A87" s="128" t="s">
        <v>101</v>
      </c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</row>
    <row r="88" spans="1:36" ht="9" customHeight="1" x14ac:dyDescent="0.25">
      <c r="A88" s="126" t="s">
        <v>31</v>
      </c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s="25" customFormat="1" ht="12" customHeight="1" x14ac:dyDescent="0.2">
      <c r="A89" s="25" t="s">
        <v>2</v>
      </c>
      <c r="L89" s="128" t="s">
        <v>75</v>
      </c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5" customFormat="1" ht="12" customHeight="1" x14ac:dyDescent="0.2">
      <c r="A91" s="25" t="s">
        <v>103</v>
      </c>
      <c r="H91" s="128">
        <v>1</v>
      </c>
      <c r="I91" s="128"/>
      <c r="J91" s="25" t="s">
        <v>32</v>
      </c>
    </row>
    <row r="92" spans="1:36" s="25" customFormat="1" ht="4.5" customHeight="1" x14ac:dyDescent="0.2"/>
    <row r="93" spans="1:36" s="25" customFormat="1" ht="12" customHeight="1" x14ac:dyDescent="0.2">
      <c r="A93" s="25" t="s">
        <v>1</v>
      </c>
    </row>
    <row r="94" spans="1:36" s="25" customFormat="1" ht="12" customHeight="1" x14ac:dyDescent="0.2">
      <c r="A94" s="30" t="s">
        <v>88</v>
      </c>
      <c r="B94" s="30" t="str">
        <f>G74</f>
        <v>Исполнительная схема заземления ТП</v>
      </c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 t="s">
        <v>75</v>
      </c>
      <c r="Z94" s="30" t="s">
        <v>89</v>
      </c>
      <c r="AA94" s="30"/>
      <c r="AB94" s="30"/>
      <c r="AC94" s="30"/>
      <c r="AD94" s="30"/>
      <c r="AE94" s="30"/>
      <c r="AF94" s="30"/>
      <c r="AG94" s="30"/>
      <c r="AH94" s="30"/>
      <c r="AI94" s="30"/>
      <c r="AJ94" s="30"/>
    </row>
    <row r="95" spans="1:36" s="25" customFormat="1" ht="12" customHeight="1" x14ac:dyDescent="0.2">
      <c r="A95" s="35" t="s">
        <v>90</v>
      </c>
      <c r="B95" s="35" t="str">
        <f>L70</f>
        <v>Сертификат качества № 2021644263 от 12.04.2024г.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 t="s">
        <v>75</v>
      </c>
      <c r="Z95" s="35" t="s">
        <v>89</v>
      </c>
      <c r="AA95" s="35"/>
      <c r="AB95" s="35"/>
      <c r="AC95" s="35"/>
      <c r="AD95" s="35"/>
      <c r="AE95" s="35"/>
      <c r="AF95" s="35"/>
      <c r="AG95" s="35"/>
      <c r="AH95" s="35"/>
      <c r="AI95" s="35"/>
      <c r="AJ95" s="35"/>
    </row>
    <row r="96" spans="1:36" s="25" customFormat="1" ht="12" customHeight="1" x14ac:dyDescent="0.2">
      <c r="A96" s="35" t="s">
        <v>99</v>
      </c>
      <c r="B96" s="35" t="str">
        <f>L71</f>
        <v xml:space="preserve">Сертификат № 21010194 от 09.04.2024г. 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 t="s">
        <v>75</v>
      </c>
      <c r="Z96" s="35" t="s">
        <v>89</v>
      </c>
      <c r="AA96" s="35"/>
      <c r="AB96" s="35"/>
      <c r="AC96" s="35"/>
      <c r="AD96" s="35"/>
      <c r="AE96" s="35"/>
      <c r="AF96" s="35"/>
      <c r="AG96" s="35"/>
      <c r="AH96" s="35"/>
      <c r="AI96" s="35"/>
      <c r="AJ96" s="35"/>
    </row>
    <row r="97" spans="1:36" ht="9.75" customHeight="1" x14ac:dyDescent="0.25">
      <c r="A97" s="126" t="s">
        <v>0</v>
      </c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5" customFormat="1" ht="12" customHeight="1" x14ac:dyDescent="0.2">
      <c r="A99" s="25" t="s">
        <v>22</v>
      </c>
    </row>
    <row r="100" spans="1:36" s="25" customFormat="1" ht="12" customHeight="1" x14ac:dyDescent="0.2">
      <c r="A100" s="25" t="s">
        <v>23</v>
      </c>
    </row>
    <row r="101" spans="1:36" s="25" customFormat="1" ht="12" customHeight="1" x14ac:dyDescent="0.2">
      <c r="A101" s="128" t="str">
        <f>'Данные объект'!B33</f>
        <v>Алексанян Г.Р.</v>
      </c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128"/>
      <c r="AC101" s="128"/>
      <c r="AD101" s="128"/>
      <c r="AE101" s="128"/>
      <c r="AF101" s="128"/>
      <c r="AG101" s="128"/>
      <c r="AH101" s="128"/>
      <c r="AI101" s="128"/>
      <c r="AJ101" s="128"/>
    </row>
    <row r="102" spans="1:36" ht="9" customHeight="1" x14ac:dyDescent="0.25">
      <c r="A102" s="132" t="s">
        <v>34</v>
      </c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1" t="s">
        <v>33</v>
      </c>
      <c r="AC102" s="131"/>
      <c r="AD102" s="131"/>
      <c r="AE102" s="131"/>
      <c r="AF102" s="131"/>
      <c r="AG102" s="131"/>
      <c r="AH102" s="131"/>
      <c r="AI102" s="131"/>
      <c r="AJ102" s="131"/>
    </row>
    <row r="103" spans="1:36" s="25" customFormat="1" ht="12" customHeight="1" x14ac:dyDescent="0.2">
      <c r="A103" s="25" t="s">
        <v>24</v>
      </c>
    </row>
    <row r="104" spans="1:36" s="25" customFormat="1" ht="12" customHeight="1" x14ac:dyDescent="0.2">
      <c r="A104" s="128" t="str">
        <f>'Данные объект'!B20</f>
        <v>Красилов К.А.</v>
      </c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128"/>
      <c r="AC104" s="128"/>
      <c r="AD104" s="128"/>
      <c r="AE104" s="128"/>
      <c r="AF104" s="128"/>
      <c r="AG104" s="128"/>
      <c r="AH104" s="128"/>
      <c r="AI104" s="128"/>
      <c r="AJ104" s="128"/>
    </row>
    <row r="105" spans="1:36" ht="9" customHeight="1" x14ac:dyDescent="0.25">
      <c r="A105" s="132" t="s">
        <v>34</v>
      </c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1" t="s">
        <v>33</v>
      </c>
      <c r="AC105" s="131"/>
      <c r="AD105" s="131"/>
      <c r="AE105" s="131"/>
      <c r="AF105" s="131"/>
      <c r="AG105" s="131"/>
      <c r="AH105" s="131"/>
      <c r="AI105" s="131"/>
      <c r="AJ105" s="131"/>
    </row>
    <row r="106" spans="1:36" s="25" customFormat="1" ht="12" customHeight="1" x14ac:dyDescent="0.2">
      <c r="A106" s="25" t="s">
        <v>26</v>
      </c>
    </row>
    <row r="107" spans="1:36" s="25" customFormat="1" ht="12" customHeight="1" x14ac:dyDescent="0.2">
      <c r="A107" s="25" t="s">
        <v>27</v>
      </c>
    </row>
    <row r="108" spans="1:36" s="25" customFormat="1" ht="12" customHeight="1" x14ac:dyDescent="0.2">
      <c r="A108" s="128" t="str">
        <f>'Данные объект'!B17</f>
        <v>Капитонов Д.А.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128"/>
      <c r="AC108" s="128"/>
      <c r="AD108" s="128"/>
      <c r="AE108" s="128"/>
      <c r="AF108" s="128"/>
      <c r="AG108" s="128"/>
      <c r="AH108" s="128"/>
      <c r="AI108" s="128"/>
      <c r="AJ108" s="128"/>
    </row>
    <row r="109" spans="1:36" ht="9" customHeight="1" x14ac:dyDescent="0.25">
      <c r="A109" s="132" t="s">
        <v>34</v>
      </c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1" t="s">
        <v>33</v>
      </c>
      <c r="AC109" s="131"/>
      <c r="AD109" s="131"/>
      <c r="AE109" s="131"/>
      <c r="AF109" s="131"/>
      <c r="AG109" s="131"/>
      <c r="AH109" s="131"/>
      <c r="AI109" s="131"/>
      <c r="AJ109" s="131"/>
    </row>
    <row r="110" spans="1:36" x14ac:dyDescent="0.25">
      <c r="A110" s="25" t="s">
        <v>208</v>
      </c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91"/>
      <c r="AC110" s="91"/>
      <c r="AD110" s="91"/>
      <c r="AE110" s="91"/>
      <c r="AF110" s="91"/>
      <c r="AG110" s="91"/>
      <c r="AH110" s="91"/>
      <c r="AI110" s="91"/>
      <c r="AJ110" s="91"/>
    </row>
    <row r="111" spans="1:36" x14ac:dyDescent="0.25">
      <c r="A111" s="128" t="str">
        <f>'Данные объект'!$B$36</f>
        <v>Курчин М.М.</v>
      </c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28"/>
      <c r="AC111" s="128"/>
      <c r="AD111" s="128"/>
      <c r="AE111" s="128"/>
      <c r="AF111" s="128"/>
      <c r="AG111" s="128"/>
      <c r="AH111" s="128"/>
      <c r="AI111" s="128"/>
      <c r="AJ111" s="128"/>
    </row>
    <row r="112" spans="1:36" ht="9" customHeight="1" x14ac:dyDescent="0.25">
      <c r="A112" s="132" t="s">
        <v>34</v>
      </c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1" t="s">
        <v>33</v>
      </c>
      <c r="AC112" s="131"/>
      <c r="AD112" s="131"/>
      <c r="AE112" s="131"/>
      <c r="AF112" s="131"/>
      <c r="AG112" s="131"/>
      <c r="AH112" s="131"/>
      <c r="AI112" s="131"/>
      <c r="AJ112" s="131"/>
    </row>
    <row r="113" spans="1:36" s="25" customFormat="1" ht="36" customHeight="1" x14ac:dyDescent="0.2">
      <c r="A113" s="123" t="s">
        <v>52</v>
      </c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  <c r="AE113" s="123"/>
      <c r="AF113" s="123"/>
      <c r="AG113" s="123"/>
      <c r="AH113" s="123"/>
      <c r="AI113" s="123"/>
      <c r="AJ113" s="123"/>
    </row>
    <row r="114" spans="1:36" s="25" customFormat="1" ht="12" customHeight="1" x14ac:dyDescent="0.2">
      <c r="A114" s="128" t="s">
        <v>75</v>
      </c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128" t="s">
        <v>75</v>
      </c>
      <c r="AC114" s="128"/>
      <c r="AD114" s="128"/>
      <c r="AE114" s="128"/>
      <c r="AF114" s="128"/>
      <c r="AG114" s="128"/>
      <c r="AH114" s="128"/>
      <c r="AI114" s="128"/>
      <c r="AJ114" s="128"/>
    </row>
    <row r="115" spans="1:36" ht="9" customHeight="1" x14ac:dyDescent="0.25">
      <c r="A115" s="132" t="s">
        <v>34</v>
      </c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1" t="s">
        <v>33</v>
      </c>
      <c r="AC115" s="131"/>
      <c r="AD115" s="131"/>
      <c r="AE115" s="131"/>
      <c r="AF115" s="131"/>
      <c r="AG115" s="131"/>
      <c r="AH115" s="131"/>
      <c r="AI115" s="131"/>
      <c r="AJ115" s="131"/>
    </row>
    <row r="116" spans="1:36" s="25" customFormat="1" ht="40.5" hidden="1" customHeight="1" x14ac:dyDescent="0.2">
      <c r="A116" s="123" t="s">
        <v>54</v>
      </c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23"/>
      <c r="AF116" s="123"/>
      <c r="AG116" s="123"/>
      <c r="AH116" s="123"/>
      <c r="AI116" s="123"/>
      <c r="AJ116" s="123"/>
    </row>
    <row r="117" spans="1:36" s="25" customFormat="1" ht="12" hidden="1" customHeight="1" x14ac:dyDescent="0.2">
      <c r="A117" s="128" t="e">
        <f>#REF!</f>
        <v>#REF!</v>
      </c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128"/>
      <c r="AC117" s="128"/>
      <c r="AD117" s="128"/>
      <c r="AE117" s="128"/>
      <c r="AF117" s="128"/>
      <c r="AG117" s="128"/>
      <c r="AH117" s="128"/>
      <c r="AI117" s="128"/>
      <c r="AJ117" s="128"/>
    </row>
    <row r="118" spans="1:36" ht="9" hidden="1" customHeight="1" x14ac:dyDescent="0.25">
      <c r="A118" s="132" t="s">
        <v>34</v>
      </c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1" t="s">
        <v>33</v>
      </c>
      <c r="AC118" s="131"/>
      <c r="AD118" s="131"/>
      <c r="AE118" s="131"/>
      <c r="AF118" s="131"/>
      <c r="AG118" s="131"/>
      <c r="AH118" s="131"/>
      <c r="AI118" s="131"/>
      <c r="AJ118" s="131"/>
    </row>
    <row r="119" spans="1:36" ht="12" customHeight="1" x14ac:dyDescent="0.25"/>
  </sheetData>
  <mergeCells count="102"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50:AJ50"/>
    <mergeCell ref="E33:G33"/>
    <mergeCell ref="A36:AJ36"/>
    <mergeCell ref="A37:AJ37"/>
    <mergeCell ref="AB33:AI33"/>
    <mergeCell ref="AB34:AI34"/>
    <mergeCell ref="A38:AJ38"/>
    <mergeCell ref="A39:AJ39"/>
    <mergeCell ref="A40:AJ40"/>
    <mergeCell ref="A42:AJ42"/>
    <mergeCell ref="A43:AJ43"/>
    <mergeCell ref="A44:AJ44"/>
    <mergeCell ref="A45:AJ45"/>
    <mergeCell ref="A46:AJ46"/>
    <mergeCell ref="A47:AJ47"/>
    <mergeCell ref="A48:AJ48"/>
    <mergeCell ref="A49:AJ49"/>
    <mergeCell ref="A57:AJ57"/>
    <mergeCell ref="A59:AJ59"/>
    <mergeCell ref="A60:AJ60"/>
    <mergeCell ref="A51:AJ51"/>
    <mergeCell ref="A52:AJ52"/>
    <mergeCell ref="A53:AJ53"/>
    <mergeCell ref="A54:AJ54"/>
    <mergeCell ref="A55:AJ55"/>
    <mergeCell ref="A64:AJ64"/>
    <mergeCell ref="A56:AJ56"/>
    <mergeCell ref="A112:O112"/>
    <mergeCell ref="AB112:AJ112"/>
    <mergeCell ref="A111:O111"/>
    <mergeCell ref="AB111:AJ111"/>
    <mergeCell ref="A113:AJ113"/>
    <mergeCell ref="G74:AJ74"/>
    <mergeCell ref="A63:I63"/>
    <mergeCell ref="L69:AJ69"/>
    <mergeCell ref="L68:AJ68"/>
    <mergeCell ref="A66:AJ66"/>
    <mergeCell ref="A67:AJ67"/>
    <mergeCell ref="A72:AJ72"/>
    <mergeCell ref="H71:I71"/>
    <mergeCell ref="A70:F70"/>
    <mergeCell ref="H70:I70"/>
    <mergeCell ref="A71:F71"/>
    <mergeCell ref="A75:B75"/>
    <mergeCell ref="A104:O104"/>
    <mergeCell ref="A102:O102"/>
    <mergeCell ref="AB102:AJ102"/>
    <mergeCell ref="A83:AJ83"/>
    <mergeCell ref="A84:AJ84"/>
    <mergeCell ref="AB108:AJ108"/>
    <mergeCell ref="A109:O109"/>
    <mergeCell ref="A118:O118"/>
    <mergeCell ref="AB118:AJ118"/>
    <mergeCell ref="A114:O114"/>
    <mergeCell ref="A116:AJ116"/>
    <mergeCell ref="A117:O117"/>
    <mergeCell ref="AB117:AJ117"/>
    <mergeCell ref="AB114:AJ114"/>
    <mergeCell ref="A115:O115"/>
    <mergeCell ref="AB115:AJ115"/>
    <mergeCell ref="AB109:AJ109"/>
    <mergeCell ref="A88:AJ88"/>
    <mergeCell ref="L89:AJ89"/>
    <mergeCell ref="H91:I91"/>
    <mergeCell ref="A108:O108"/>
    <mergeCell ref="A97:AJ97"/>
    <mergeCell ref="A101:O101"/>
    <mergeCell ref="G75:AJ75"/>
    <mergeCell ref="A76:AJ76"/>
    <mergeCell ref="A77:AJ77"/>
    <mergeCell ref="P79:W79"/>
    <mergeCell ref="AB101:AJ101"/>
    <mergeCell ref="AB104:AJ104"/>
    <mergeCell ref="A105:O105"/>
    <mergeCell ref="AB105:AJ105"/>
    <mergeCell ref="A85:AJ85"/>
    <mergeCell ref="P80:W80"/>
    <mergeCell ref="A87:AJ87"/>
  </mergeCells>
  <phoneticPr fontId="8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AQ117"/>
  <sheetViews>
    <sheetView view="pageBreakPreview" topLeftCell="A86" zoomScale="125" zoomScaleNormal="125" zoomScaleSheetLayoutView="125" workbookViewId="0">
      <selection activeCell="A109" sqref="A109:O109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5" customFormat="1" ht="12.75" customHeight="1" x14ac:dyDescent="0.2">
      <c r="AJ1" s="26" t="s">
        <v>42</v>
      </c>
    </row>
    <row r="2" spans="1:43" s="25" customFormat="1" ht="11.25" customHeight="1" x14ac:dyDescent="0.2">
      <c r="AJ2" s="26" t="s">
        <v>41</v>
      </c>
    </row>
    <row r="3" spans="1:43" s="25" customFormat="1" ht="14.25" customHeight="1" x14ac:dyDescent="0.2">
      <c r="A3" s="25" t="s">
        <v>20</v>
      </c>
      <c r="AJ3" s="27"/>
      <c r="AK3" s="27"/>
      <c r="AL3" s="27"/>
      <c r="AM3" s="27"/>
      <c r="AN3" s="27"/>
      <c r="AO3" s="27"/>
      <c r="AP3" s="27"/>
      <c r="AQ3" s="27"/>
    </row>
    <row r="4" spans="1:43" s="25" customFormat="1" ht="33" customHeight="1" x14ac:dyDescent="0.2">
      <c r="A4" s="129" t="str">
        <f>'Данные объект'!B3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</row>
    <row r="5" spans="1:43" s="25" customFormat="1" ht="12" customHeight="1" x14ac:dyDescent="0.2">
      <c r="A5" s="139" t="str">
        <f>'Данные объект'!B9</f>
        <v>КТП №3865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ht="9.75" customHeight="1" x14ac:dyDescent="0.25">
      <c r="A6" s="141" t="s">
        <v>223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</row>
    <row r="7" spans="1:43" s="25" customFormat="1" ht="1.1499999999999999" hidden="1" customHeight="1" x14ac:dyDescent="0.2">
      <c r="A7" s="136" t="s">
        <v>43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43" s="25" customFormat="1" ht="12" customHeight="1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25" customFormat="1" ht="12" customHeight="1" x14ac:dyDescent="0.2">
      <c r="A9" s="139" t="str">
        <f>'Данные объект'!B23</f>
        <v>ПАО "Россети Московский регион"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1:43" ht="19.5" customHeight="1" x14ac:dyDescent="0.25">
      <c r="A10" s="126" t="s">
        <v>59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43" s="25" customFormat="1" ht="12" customHeight="1" x14ac:dyDescent="0.2">
      <c r="A11" s="139" t="str">
        <f>'Данные объект'!B24</f>
        <v>ОГРН 1057746555811 ИНН 5036065113 КПП 772501001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1:43" ht="28.5" customHeight="1" x14ac:dyDescent="0.25">
      <c r="A12" s="126" t="s">
        <v>60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3" s="25" customFormat="1" ht="12" customHeight="1" x14ac:dyDescent="0.2">
      <c r="A13" s="139" t="str">
        <f>'Данные объект'!B25</f>
        <v>115114, город Москва, проезд Павелецкий 2-й, дом 3, строение 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1:43" ht="11.25" customHeight="1" x14ac:dyDescent="0.25">
      <c r="A14" s="126" t="s">
        <v>44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43" s="25" customFormat="1" ht="12" customHeight="1" x14ac:dyDescent="0.2">
      <c r="A15" s="25" t="s">
        <v>21</v>
      </c>
    </row>
    <row r="16" spans="1:43" s="25" customFormat="1" ht="12" customHeight="1" x14ac:dyDescent="0.2">
      <c r="A16" s="139" t="str">
        <f>'Данные объект'!B11</f>
        <v>ООО"Энергосистемы"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9.75" customHeight="1" x14ac:dyDescent="0.25">
      <c r="A17" s="126" t="s">
        <v>38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</row>
    <row r="18" spans="1:36" s="25" customFormat="1" ht="12" customHeight="1" x14ac:dyDescent="0.2">
      <c r="A18" s="139" t="str">
        <f>'Данные объект'!B12</f>
        <v>ОГРН 1135044003709  ИНН 5044089069 КПП 504401001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8.25" customHeight="1" x14ac:dyDescent="0.25">
      <c r="A19" s="126" t="s">
        <v>45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</row>
    <row r="20" spans="1:36" s="25" customFormat="1" ht="12" customHeight="1" x14ac:dyDescent="0.2">
      <c r="A20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1:36" ht="27" customHeight="1" x14ac:dyDescent="0.25">
      <c r="A21" s="126" t="s">
        <v>61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</row>
    <row r="22" spans="1:36" s="25" customFormat="1" ht="12" customHeight="1" x14ac:dyDescent="0.2">
      <c r="A22" s="25" t="s">
        <v>19</v>
      </c>
    </row>
    <row r="23" spans="1:36" s="25" customFormat="1" ht="12" customHeight="1" x14ac:dyDescent="0.2">
      <c r="A23" s="139" t="str">
        <f>'Данные объект'!B39</f>
        <v>ООО"Энергосистемы"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spans="1:36" ht="7.5" customHeight="1" x14ac:dyDescent="0.25">
      <c r="A24" s="126" t="s">
        <v>37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</row>
    <row r="25" spans="1:36" s="25" customFormat="1" ht="12" customHeight="1" x14ac:dyDescent="0.2">
      <c r="A25" s="139" t="str">
        <f>'Данные объект'!B40</f>
        <v>ОГРН 1135044003709  ИНН 5044089069 КПП 504401001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spans="1:36" ht="7.5" customHeight="1" x14ac:dyDescent="0.25">
      <c r="A26" s="126" t="s">
        <v>62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s="25" customFormat="1" ht="12" customHeight="1" x14ac:dyDescent="0.2">
      <c r="A27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spans="1:36" ht="22.5" customHeight="1" x14ac:dyDescent="0.25">
      <c r="A28" s="126" t="s">
        <v>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5" customFormat="1" ht="12.95" customHeight="1" x14ac:dyDescent="0.2">
      <c r="A30" s="146" t="s">
        <v>35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</row>
    <row r="31" spans="1:36" s="25" customFormat="1" ht="12.95" customHeight="1" x14ac:dyDescent="0.2">
      <c r="A31" s="140" t="s">
        <v>18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s="25" customFormat="1" ht="12.9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36" s="25" customFormat="1" ht="12.95" customHeight="1" x14ac:dyDescent="0.2">
      <c r="A33" s="29"/>
      <c r="B33" s="29" t="s">
        <v>17</v>
      </c>
      <c r="C33" s="30">
        <f>'АОСР-6'!C33+1</f>
        <v>7</v>
      </c>
      <c r="D33" s="30"/>
      <c r="E33" s="128" t="s">
        <v>91</v>
      </c>
      <c r="F33" s="128"/>
      <c r="G33" s="128"/>
      <c r="H33" s="31"/>
      <c r="I33" s="31"/>
      <c r="J33" s="31"/>
      <c r="X33" s="26"/>
      <c r="Y33" s="36"/>
      <c r="Z33" s="36"/>
      <c r="AB33" s="138" t="str">
        <f>P77</f>
        <v>18.04.2025</v>
      </c>
      <c r="AC33" s="138"/>
      <c r="AD33" s="138"/>
      <c r="AE33" s="138"/>
      <c r="AF33" s="138"/>
      <c r="AG33" s="138"/>
      <c r="AH33" s="138"/>
      <c r="AI33" s="138"/>
      <c r="AJ33" s="25" t="s">
        <v>5</v>
      </c>
    </row>
    <row r="34" spans="1:36" ht="12.95" customHeight="1" x14ac:dyDescent="0.25">
      <c r="Y34" s="11"/>
      <c r="Z34" s="14"/>
      <c r="AA34" s="11"/>
      <c r="AB34" s="145" t="s">
        <v>16</v>
      </c>
      <c r="AC34" s="145"/>
      <c r="AD34" s="145"/>
      <c r="AE34" s="145"/>
      <c r="AF34" s="145"/>
      <c r="AG34" s="145"/>
      <c r="AH34" s="145"/>
      <c r="AI34" s="145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5" customFormat="1" ht="27.75" customHeight="1" x14ac:dyDescent="0.2">
      <c r="A36" s="136" t="s">
        <v>47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</row>
    <row r="37" spans="1:36" s="25" customFormat="1" ht="24.75" customHeight="1" x14ac:dyDescent="0.2">
      <c r="A37" s="129" t="str">
        <f>'Данные объект'!C34</f>
        <v>Гл. специалист ССК УКС ПАО "Россети Московский регион" Алексанян Г.Р., Приказ №2363 от 29 июля 2025г (НРС С-50-069023)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36" ht="28.5" customHeight="1" x14ac:dyDescent="0.25">
      <c r="A38" s="126" t="s">
        <v>48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36" s="25" customFormat="1" ht="23.25" customHeight="1" x14ac:dyDescent="0.2">
      <c r="A39" s="12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</row>
    <row r="40" spans="1:36" ht="25.5" customHeight="1" x14ac:dyDescent="0.25">
      <c r="A40" s="135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s="25" customFormat="1" ht="12" customHeight="1" x14ac:dyDescent="0.2">
      <c r="A41" s="25" t="s">
        <v>24</v>
      </c>
    </row>
    <row r="42" spans="1:36" s="25" customFormat="1" ht="12" customHeight="1" x14ac:dyDescent="0.2">
      <c r="A42" s="139" t="str">
        <f>'Данные объект'!C21</f>
        <v>Прораб ООО"Энергосистемы" Красилов К.А., Приказ №05-ОТ/24 от 09 января 2024г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spans="1:36" ht="9" customHeight="1" x14ac:dyDescent="0.25">
      <c r="A43" s="126" t="s">
        <v>25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</row>
    <row r="44" spans="1:36" s="25" customFormat="1" ht="14.25" customHeight="1" x14ac:dyDescent="0.2">
      <c r="A44" s="136" t="s">
        <v>50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</row>
    <row r="45" spans="1:36" s="32" customFormat="1" ht="23.25" customHeight="1" x14ac:dyDescent="0.2">
      <c r="A45" s="129" t="str">
        <f>'Данные объект'!C18</f>
        <v>Инженер по строительному контролю ООО"Энергосистемы" Капитонов Д.А., Приказ № 18-ОТ/24 от 03 июня 2024 (НОСТРОЙ С-50-188017)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36" ht="27" customHeight="1" x14ac:dyDescent="0.25">
      <c r="A46" s="126" t="s">
        <v>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x14ac:dyDescent="0.25">
      <c r="A47" s="136" t="s">
        <v>207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ht="15" customHeight="1" x14ac:dyDescent="0.25">
      <c r="A48" s="129" t="str">
        <f>'Данные объект'!$C$36</f>
        <v>Мастер СРЭС СЭС филиала ПАО "Россети Московский регион" Курчин М.М.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x14ac:dyDescent="0.25">
      <c r="A49" s="126" t="s">
        <v>25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s="25" customFormat="1" ht="36.75" customHeight="1" x14ac:dyDescent="0.2">
      <c r="A50" s="123" t="s">
        <v>52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</row>
    <row r="51" spans="1:36" s="32" customFormat="1" ht="12.95" customHeight="1" x14ac:dyDescent="0.2">
      <c r="A51" s="139" t="s">
        <v>75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spans="1:36" ht="29.25" customHeight="1" x14ac:dyDescent="0.25">
      <c r="A52" s="126" t="s">
        <v>53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s="25" customFormat="1" ht="25.5" hidden="1" customHeight="1" x14ac:dyDescent="0.2">
      <c r="A53" s="123" t="s">
        <v>54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</row>
    <row r="54" spans="1:36" s="25" customFormat="1" ht="12" hidden="1" customHeight="1" x14ac:dyDescent="0.2">
      <c r="A54" s="129" t="e">
        <f>CONCATENATE(#REF!,", ",#REF!," - ",#REF!)</f>
        <v>#REF!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ht="9.75" hidden="1" customHeight="1" x14ac:dyDescent="0.25">
      <c r="A55" s="126" t="s">
        <v>28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25" customFormat="1" ht="12" hidden="1" customHeight="1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ht="16.5" hidden="1" customHeight="1" x14ac:dyDescent="0.25">
      <c r="A57" s="126" t="s">
        <v>55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 spans="1:36" s="25" customFormat="1" ht="12" customHeight="1" x14ac:dyDescent="0.2">
      <c r="A58" s="25" t="s">
        <v>15</v>
      </c>
    </row>
    <row r="59" spans="1:36" s="25" customFormat="1" ht="12.95" customHeight="1" x14ac:dyDescent="0.2">
      <c r="A59" s="128" t="str">
        <f>'Данные объект'!B11</f>
        <v>ООО"Энергосистемы"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spans="1:36" ht="10.5" customHeight="1" x14ac:dyDescent="0.25">
      <c r="A60" s="132" t="s">
        <v>39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s="25" customFormat="1" ht="12" customHeight="1" x14ac:dyDescent="0.2">
      <c r="A61" s="25" t="s">
        <v>14</v>
      </c>
    </row>
    <row r="62" spans="1:36" s="25" customFormat="1" ht="12" customHeight="1" x14ac:dyDescent="0.2">
      <c r="A62" s="25" t="s">
        <v>29</v>
      </c>
    </row>
    <row r="63" spans="1:36" s="25" customFormat="1" ht="12" customHeight="1" x14ac:dyDescent="0.2">
      <c r="A63" s="159" t="s">
        <v>165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74" t="str">
        <f>'Данные объект'!B9</f>
        <v>КТП №3865</v>
      </c>
      <c r="N63" s="82"/>
      <c r="O63" s="82"/>
      <c r="P63" s="82"/>
      <c r="Q63" s="83"/>
      <c r="R63" s="129">
        <f>'АОСР-5'!P63</f>
        <v>17.600000000000001</v>
      </c>
      <c r="S63" s="129"/>
      <c r="T63" s="129"/>
      <c r="U63" s="129" t="s">
        <v>87</v>
      </c>
      <c r="V63" s="129"/>
      <c r="W63" s="129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8.25" customHeight="1" x14ac:dyDescent="0.25">
      <c r="A64" s="126" t="s">
        <v>13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</row>
    <row r="65" spans="1:36" s="25" customFormat="1" ht="12" customHeight="1" x14ac:dyDescent="0.2">
      <c r="A65" s="25" t="s">
        <v>12</v>
      </c>
    </row>
    <row r="66" spans="1:36" s="25" customFormat="1" ht="12" customHeight="1" x14ac:dyDescent="0.2">
      <c r="A66" s="129" t="str">
        <f>'Данные объект'!B43</f>
        <v>4844-315915-113-05/24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ht="15" customHeight="1" x14ac:dyDescent="0.25">
      <c r="A67" s="126" t="s">
        <v>40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25" customFormat="1" ht="12" customHeight="1" x14ac:dyDescent="0.2">
      <c r="A68" s="25" t="s">
        <v>11</v>
      </c>
      <c r="J68" s="134" t="s">
        <v>75</v>
      </c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</row>
    <row r="69" spans="1:36" s="2" customFormat="1" ht="25.9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132" t="s">
        <v>183</v>
      </c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 spans="1:36" s="25" customFormat="1" ht="12" customHeight="1" x14ac:dyDescent="0.2">
      <c r="A70" s="25" t="s">
        <v>10</v>
      </c>
    </row>
    <row r="71" spans="1:36" s="25" customFormat="1" ht="12" customHeight="1" x14ac:dyDescent="0.2">
      <c r="A71" s="25" t="s">
        <v>9</v>
      </c>
      <c r="G71" s="128" t="s">
        <v>93</v>
      </c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</row>
    <row r="72" spans="1:36" ht="7.5" customHeight="1" x14ac:dyDescent="0.25">
      <c r="A72" s="137"/>
      <c r="B72" s="137"/>
      <c r="C72" s="8"/>
      <c r="D72" s="8"/>
      <c r="E72" s="8"/>
      <c r="F72" s="8"/>
      <c r="G72" s="127" t="s">
        <v>8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25" customFormat="1" ht="12" hidden="1" customHeight="1" x14ac:dyDescent="0.2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</row>
    <row r="74" spans="1:36" ht="7.5" customHeight="1" x14ac:dyDescent="0.25">
      <c r="A74" s="126" t="s">
        <v>30</v>
      </c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ht="9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13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s="25" customFormat="1" ht="12" customHeight="1" x14ac:dyDescent="0.2">
      <c r="A76" s="25" t="s">
        <v>7</v>
      </c>
      <c r="D76" s="34"/>
      <c r="E76" s="34"/>
      <c r="F76" s="34"/>
      <c r="G76" s="34"/>
      <c r="L76" s="26"/>
      <c r="M76" s="36"/>
      <c r="N76" s="36"/>
      <c r="P76" s="138" t="str">
        <f>'Данные объект'!B6</f>
        <v>07.04.2025</v>
      </c>
      <c r="Q76" s="138"/>
      <c r="R76" s="138"/>
      <c r="S76" s="138"/>
      <c r="T76" s="138"/>
      <c r="U76" s="138"/>
      <c r="V76" s="138"/>
      <c r="W76" s="138"/>
      <c r="X76" s="25" t="s">
        <v>5</v>
      </c>
    </row>
    <row r="77" spans="1:36" s="25" customFormat="1" ht="12" customHeight="1" x14ac:dyDescent="0.2">
      <c r="A77" s="25" t="s">
        <v>6</v>
      </c>
      <c r="D77" s="34"/>
      <c r="E77" s="34"/>
      <c r="F77" s="34"/>
      <c r="G77" s="34"/>
      <c r="L77" s="26"/>
      <c r="M77" s="36"/>
      <c r="N77" s="36"/>
      <c r="P77" s="124" t="str">
        <f>'Данные объект'!B7</f>
        <v>18.04.2025</v>
      </c>
      <c r="Q77" s="124"/>
      <c r="R77" s="124"/>
      <c r="S77" s="124"/>
      <c r="T77" s="124"/>
      <c r="U77" s="124"/>
      <c r="V77" s="124"/>
      <c r="W77" s="124"/>
      <c r="X77" s="25" t="s">
        <v>5</v>
      </c>
    </row>
    <row r="78" spans="1:36" ht="7.5" customHeight="1" x14ac:dyDescent="0.25">
      <c r="A78" s="6"/>
      <c r="B78" s="6"/>
      <c r="C78" s="6"/>
      <c r="D78" s="5"/>
      <c r="E78" s="5"/>
      <c r="F78" s="5"/>
      <c r="G78" s="5"/>
    </row>
    <row r="79" spans="1:36" s="25" customFormat="1" ht="12" customHeight="1" x14ac:dyDescent="0.2">
      <c r="A79" s="25" t="s">
        <v>4</v>
      </c>
    </row>
    <row r="80" spans="1:36" s="25" customFormat="1" ht="12" customHeight="1" x14ac:dyDescent="0.2">
      <c r="A80" s="125" t="s">
        <v>169</v>
      </c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</row>
    <row r="81" spans="1:36" ht="8.25" customHeight="1" x14ac:dyDescent="0.25">
      <c r="A81" s="126" t="s">
        <v>184</v>
      </c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</row>
    <row r="82" spans="1:36" s="25" customFormat="1" ht="12" customHeight="1" x14ac:dyDescent="0.2">
      <c r="A82" s="25" t="s">
        <v>3</v>
      </c>
    </row>
    <row r="83" spans="1:36" s="25" customFormat="1" ht="12" customHeight="1" x14ac:dyDescent="0.2">
      <c r="A83" s="128" t="s">
        <v>166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spans="1:36" ht="9" customHeight="1" x14ac:dyDescent="0.25">
      <c r="A84" s="126" t="s">
        <v>31</v>
      </c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</row>
    <row r="85" spans="1:36" s="25" customFormat="1" ht="12" customHeight="1" x14ac:dyDescent="0.2">
      <c r="A85" s="25" t="s">
        <v>2</v>
      </c>
      <c r="L85" s="128" t="s">
        <v>75</v>
      </c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</row>
    <row r="86" spans="1:36" ht="6" customHeight="1" x14ac:dyDescent="0.25">
      <c r="D86" s="4"/>
      <c r="E86" s="4"/>
      <c r="F86" s="4"/>
      <c r="G86" s="4"/>
      <c r="H86" s="4"/>
      <c r="I86" s="4"/>
      <c r="J86" s="4"/>
    </row>
    <row r="87" spans="1:36" s="25" customFormat="1" ht="12" customHeight="1" x14ac:dyDescent="0.2">
      <c r="A87" s="25" t="s">
        <v>103</v>
      </c>
      <c r="H87" s="128">
        <v>1</v>
      </c>
      <c r="I87" s="128"/>
      <c r="J87" s="25" t="s">
        <v>32</v>
      </c>
    </row>
    <row r="88" spans="1:36" ht="4.5" customHeight="1" x14ac:dyDescent="0.25"/>
    <row r="89" spans="1:36" s="25" customFormat="1" ht="12" customHeight="1" x14ac:dyDescent="0.2">
      <c r="A89" s="25" t="s">
        <v>1</v>
      </c>
    </row>
    <row r="90" spans="1:36" s="25" customFormat="1" ht="12" customHeight="1" x14ac:dyDescent="0.2">
      <c r="A90" s="30" t="s">
        <v>88</v>
      </c>
      <c r="B90" s="125" t="str">
        <f>G71</f>
        <v>Исполнительная схема заземления ТП</v>
      </c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30" t="s">
        <v>75</v>
      </c>
      <c r="R90" s="30" t="s">
        <v>89</v>
      </c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</row>
    <row r="91" spans="1:36" ht="12" hidden="1" customHeight="1" x14ac:dyDescent="0.25">
      <c r="A91" s="22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2"/>
      <c r="R91" s="22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</row>
    <row r="92" spans="1:36" ht="12" hidden="1" customHeight="1" x14ac:dyDescent="0.25">
      <c r="A92" s="24" t="s">
        <v>90</v>
      </c>
      <c r="B92" s="158" t="e">
        <f>#REF!</f>
        <v>#REF!</v>
      </c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24" t="s">
        <v>75</v>
      </c>
      <c r="R92" s="24" t="s">
        <v>89</v>
      </c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</row>
    <row r="93" spans="1:36" ht="12" hidden="1" customHeight="1" x14ac:dyDescent="0.25">
      <c r="A93" s="24" t="s">
        <v>99</v>
      </c>
      <c r="B93" s="158" t="e">
        <f>#REF!</f>
        <v>#REF!</v>
      </c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24" t="s">
        <v>75</v>
      </c>
      <c r="R93" s="24" t="s">
        <v>97</v>
      </c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</row>
    <row r="94" spans="1:36" ht="12" hidden="1" customHeight="1" x14ac:dyDescent="0.25">
      <c r="A94" s="24" t="s">
        <v>100</v>
      </c>
      <c r="B94" s="158" t="e">
        <f>#REF!</f>
        <v>#REF!</v>
      </c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24" t="s">
        <v>75</v>
      </c>
      <c r="R94" s="24" t="s">
        <v>98</v>
      </c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</row>
    <row r="95" spans="1:36" ht="9.75" customHeight="1" x14ac:dyDescent="0.25">
      <c r="A95" s="126" t="s">
        <v>0</v>
      </c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5" customFormat="1" ht="12" customHeight="1" x14ac:dyDescent="0.2">
      <c r="A97" s="25" t="s">
        <v>22</v>
      </c>
    </row>
    <row r="98" spans="1:36" s="25" customFormat="1" ht="12" customHeight="1" x14ac:dyDescent="0.2">
      <c r="A98" s="25" t="s">
        <v>23</v>
      </c>
    </row>
    <row r="99" spans="1:36" s="25" customFormat="1" ht="12" customHeight="1" x14ac:dyDescent="0.2">
      <c r="A99" s="128" t="str">
        <f>'Данные объект'!B33</f>
        <v>Алексанян Г.Р.</v>
      </c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128"/>
      <c r="AC99" s="128"/>
      <c r="AD99" s="128"/>
      <c r="AE99" s="128"/>
      <c r="AF99" s="128"/>
      <c r="AG99" s="128"/>
      <c r="AH99" s="128"/>
      <c r="AI99" s="128"/>
      <c r="AJ99" s="128"/>
    </row>
    <row r="100" spans="1:36" ht="9" customHeight="1" x14ac:dyDescent="0.25">
      <c r="A100" s="132" t="s">
        <v>34</v>
      </c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1" t="s">
        <v>33</v>
      </c>
      <c r="AC100" s="131"/>
      <c r="AD100" s="131"/>
      <c r="AE100" s="131"/>
      <c r="AF100" s="131"/>
      <c r="AG100" s="131"/>
      <c r="AH100" s="131"/>
      <c r="AI100" s="131"/>
      <c r="AJ100" s="131"/>
    </row>
    <row r="101" spans="1:36" s="25" customFormat="1" ht="12" customHeight="1" x14ac:dyDescent="0.2">
      <c r="A101" s="25" t="s">
        <v>24</v>
      </c>
    </row>
    <row r="102" spans="1:36" s="25" customFormat="1" ht="12" customHeight="1" x14ac:dyDescent="0.2">
      <c r="A102" s="128" t="str">
        <f>'Данные объект'!B20</f>
        <v>Красилов К.А.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128"/>
      <c r="AC102" s="128"/>
      <c r="AD102" s="128"/>
      <c r="AE102" s="128"/>
      <c r="AF102" s="128"/>
      <c r="AG102" s="128"/>
      <c r="AH102" s="128"/>
      <c r="AI102" s="128"/>
      <c r="AJ102" s="128"/>
    </row>
    <row r="103" spans="1:36" ht="9" customHeight="1" x14ac:dyDescent="0.25">
      <c r="A103" s="132" t="s">
        <v>34</v>
      </c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1" t="s">
        <v>33</v>
      </c>
      <c r="AC103" s="131"/>
      <c r="AD103" s="131"/>
      <c r="AE103" s="131"/>
      <c r="AF103" s="131"/>
      <c r="AG103" s="131"/>
      <c r="AH103" s="131"/>
      <c r="AI103" s="131"/>
      <c r="AJ103" s="131"/>
    </row>
    <row r="104" spans="1:36" s="25" customFormat="1" ht="12" customHeight="1" x14ac:dyDescent="0.2">
      <c r="A104" s="25" t="s">
        <v>26</v>
      </c>
    </row>
    <row r="105" spans="1:36" s="25" customFormat="1" ht="12" customHeight="1" x14ac:dyDescent="0.2">
      <c r="A105" s="25" t="s">
        <v>27</v>
      </c>
    </row>
    <row r="106" spans="1:36" s="25" customFormat="1" ht="12" customHeight="1" x14ac:dyDescent="0.2">
      <c r="A106" s="128" t="str">
        <f>'Данные объект'!B17</f>
        <v>Капитонов Д.А.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spans="1:36" ht="9" customHeight="1" x14ac:dyDescent="0.25">
      <c r="A107" s="132" t="s">
        <v>34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1" t="s">
        <v>33</v>
      </c>
      <c r="AC107" s="131"/>
      <c r="AD107" s="131"/>
      <c r="AE107" s="131"/>
      <c r="AF107" s="131"/>
      <c r="AG107" s="131"/>
      <c r="AH107" s="131"/>
      <c r="AI107" s="131"/>
      <c r="AJ107" s="131"/>
    </row>
    <row r="108" spans="1:36" x14ac:dyDescent="0.25">
      <c r="A108" s="25" t="s">
        <v>208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91"/>
      <c r="AC108" s="91"/>
      <c r="AD108" s="91"/>
      <c r="AE108" s="91"/>
      <c r="AF108" s="91"/>
      <c r="AG108" s="91"/>
      <c r="AH108" s="91"/>
      <c r="AI108" s="91"/>
      <c r="AJ108" s="91"/>
    </row>
    <row r="109" spans="1:36" x14ac:dyDescent="0.25">
      <c r="A109" s="128" t="str">
        <f>'Данные объект'!$B$36</f>
        <v>Курчин М.М.</v>
      </c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spans="1:36" ht="9" customHeight="1" x14ac:dyDescent="0.25">
      <c r="A110" s="132" t="s">
        <v>34</v>
      </c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1" t="s">
        <v>33</v>
      </c>
      <c r="AC110" s="131"/>
      <c r="AD110" s="131"/>
      <c r="AE110" s="131"/>
      <c r="AF110" s="131"/>
      <c r="AG110" s="131"/>
      <c r="AH110" s="131"/>
      <c r="AI110" s="131"/>
      <c r="AJ110" s="131"/>
    </row>
    <row r="111" spans="1:36" s="25" customFormat="1" ht="35.25" customHeight="1" x14ac:dyDescent="0.2">
      <c r="A111" s="123" t="s">
        <v>52</v>
      </c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3"/>
      <c r="AH111" s="123"/>
      <c r="AI111" s="123"/>
      <c r="AJ111" s="123"/>
    </row>
    <row r="112" spans="1:36" ht="12" customHeight="1" x14ac:dyDescent="0.25">
      <c r="A112" s="156" t="s">
        <v>75</v>
      </c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6" t="s">
        <v>75</v>
      </c>
      <c r="AC112" s="156"/>
      <c r="AD112" s="156"/>
      <c r="AE112" s="156"/>
      <c r="AF112" s="156"/>
      <c r="AG112" s="156"/>
      <c r="AH112" s="156"/>
      <c r="AI112" s="156"/>
      <c r="AJ112" s="156"/>
    </row>
    <row r="113" spans="1:36" ht="9" customHeight="1" x14ac:dyDescent="0.25">
      <c r="A113" s="132" t="s">
        <v>34</v>
      </c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1" t="s">
        <v>33</v>
      </c>
      <c r="AC113" s="131"/>
      <c r="AD113" s="131"/>
      <c r="AE113" s="131"/>
      <c r="AF113" s="131"/>
      <c r="AG113" s="131"/>
      <c r="AH113" s="131"/>
      <c r="AI113" s="131"/>
      <c r="AJ113" s="131"/>
    </row>
    <row r="114" spans="1:36" s="25" customFormat="1" ht="40.5" hidden="1" customHeight="1" x14ac:dyDescent="0.2">
      <c r="A114" s="123" t="s">
        <v>54</v>
      </c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</row>
    <row r="115" spans="1:36" s="25" customFormat="1" ht="12" hidden="1" customHeight="1" x14ac:dyDescent="0.2">
      <c r="A115" s="128" t="e">
        <f>#REF!</f>
        <v>#REF!</v>
      </c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128"/>
      <c r="AC115" s="128"/>
      <c r="AD115" s="128"/>
      <c r="AE115" s="128"/>
      <c r="AF115" s="128"/>
      <c r="AG115" s="128"/>
      <c r="AH115" s="128"/>
      <c r="AI115" s="128"/>
      <c r="AJ115" s="128"/>
    </row>
    <row r="116" spans="1:36" ht="9" hidden="1" customHeight="1" x14ac:dyDescent="0.25">
      <c r="A116" s="132" t="s">
        <v>34</v>
      </c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1" t="s">
        <v>33</v>
      </c>
      <c r="AC116" s="131"/>
      <c r="AD116" s="131"/>
      <c r="AE116" s="131"/>
      <c r="AF116" s="131"/>
      <c r="AG116" s="131"/>
      <c r="AH116" s="131"/>
      <c r="AI116" s="131"/>
      <c r="AJ116" s="131"/>
    </row>
    <row r="117" spans="1:36" ht="12" customHeight="1" x14ac:dyDescent="0.25"/>
  </sheetData>
  <mergeCells count="102"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E33:G33"/>
    <mergeCell ref="A36:AJ36"/>
    <mergeCell ref="A37:AJ37"/>
    <mergeCell ref="AB33:AI33"/>
    <mergeCell ref="AB34:AI34"/>
    <mergeCell ref="A63:L63"/>
    <mergeCell ref="R63:T63"/>
    <mergeCell ref="U63:W63"/>
    <mergeCell ref="A38:AJ38"/>
    <mergeCell ref="A46:AJ46"/>
    <mergeCell ref="A50:AJ50"/>
    <mergeCell ref="A51:AJ51"/>
    <mergeCell ref="A52:AJ52"/>
    <mergeCell ref="A53:AJ53"/>
    <mergeCell ref="A54:AJ54"/>
    <mergeCell ref="A39:AJ39"/>
    <mergeCell ref="A40:AJ40"/>
    <mergeCell ref="A42:AJ42"/>
    <mergeCell ref="A43:AJ43"/>
    <mergeCell ref="A44:AJ44"/>
    <mergeCell ref="A45:AJ45"/>
    <mergeCell ref="A47:AJ47"/>
    <mergeCell ref="A48:AJ48"/>
    <mergeCell ref="A49:AJ49"/>
    <mergeCell ref="A67:AJ67"/>
    <mergeCell ref="A55:AJ55"/>
    <mergeCell ref="A56:AJ56"/>
    <mergeCell ref="A57:AJ57"/>
    <mergeCell ref="A59:AJ59"/>
    <mergeCell ref="A60:AJ60"/>
    <mergeCell ref="A64:AJ64"/>
    <mergeCell ref="J68:AJ68"/>
    <mergeCell ref="J69:AJ69"/>
    <mergeCell ref="A66:AJ66"/>
    <mergeCell ref="P76:W76"/>
    <mergeCell ref="P77:W77"/>
    <mergeCell ref="A80:AJ80"/>
    <mergeCell ref="A81:AJ81"/>
    <mergeCell ref="G71:AJ71"/>
    <mergeCell ref="A72:B72"/>
    <mergeCell ref="G72:AJ72"/>
    <mergeCell ref="A73:AJ73"/>
    <mergeCell ref="A74:AJ74"/>
    <mergeCell ref="A102:O102"/>
    <mergeCell ref="AB102:AJ102"/>
    <mergeCell ref="A103:O103"/>
    <mergeCell ref="AB103:AJ103"/>
    <mergeCell ref="A106:O106"/>
    <mergeCell ref="AB106:AJ106"/>
    <mergeCell ref="A100:O100"/>
    <mergeCell ref="AB100:AJ100"/>
    <mergeCell ref="A83:AJ83"/>
    <mergeCell ref="A84:AJ84"/>
    <mergeCell ref="L85:AJ85"/>
    <mergeCell ref="H87:I87"/>
    <mergeCell ref="B90:P90"/>
    <mergeCell ref="B92:P92"/>
    <mergeCell ref="B93:P93"/>
    <mergeCell ref="B94:P94"/>
    <mergeCell ref="A95:AJ95"/>
    <mergeCell ref="A99:O99"/>
    <mergeCell ref="AB99:AJ99"/>
    <mergeCell ref="A107:O107"/>
    <mergeCell ref="AB107:AJ107"/>
    <mergeCell ref="A115:O115"/>
    <mergeCell ref="AB115:AJ115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9:O109"/>
    <mergeCell ref="AB109:AJ109"/>
    <mergeCell ref="A110:O110"/>
    <mergeCell ref="AB110:AJ11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AQ120"/>
  <sheetViews>
    <sheetView view="pageBreakPreview" topLeftCell="A91" zoomScale="125" zoomScaleNormal="125" zoomScaleSheetLayoutView="125" workbookViewId="0">
      <selection activeCell="AB112" sqref="AB112:AJ112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5" customFormat="1" ht="12.75" customHeight="1" x14ac:dyDescent="0.2">
      <c r="AJ1" s="26" t="s">
        <v>42</v>
      </c>
    </row>
    <row r="2" spans="1:43" s="25" customFormat="1" ht="11.25" customHeight="1" x14ac:dyDescent="0.2">
      <c r="AJ2" s="26" t="s">
        <v>41</v>
      </c>
    </row>
    <row r="3" spans="1:43" s="25" customFormat="1" ht="14.25" customHeight="1" x14ac:dyDescent="0.2">
      <c r="A3" s="25" t="s">
        <v>20</v>
      </c>
      <c r="AJ3" s="27"/>
      <c r="AK3" s="27"/>
      <c r="AL3" s="27"/>
      <c r="AM3" s="27"/>
      <c r="AN3" s="27"/>
      <c r="AO3" s="27"/>
      <c r="AP3" s="27"/>
      <c r="AQ3" s="27"/>
    </row>
    <row r="4" spans="1:43" s="25" customFormat="1" ht="36" customHeight="1" x14ac:dyDescent="0.2">
      <c r="A4" s="129" t="str">
        <f>'Данные объект'!B3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</row>
    <row r="5" spans="1:43" s="25" customFormat="1" ht="12" customHeight="1" x14ac:dyDescent="0.2">
      <c r="A5" s="139" t="str">
        <f>'Данные объект'!B9</f>
        <v>КТП №3865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ht="11.25" customHeight="1" x14ac:dyDescent="0.25">
      <c r="A6" s="141" t="s">
        <v>223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</row>
    <row r="7" spans="1:43" s="25" customFormat="1" ht="1.9" customHeight="1" x14ac:dyDescent="0.2">
      <c r="A7" s="136" t="s">
        <v>43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43" s="25" customFormat="1" ht="12" customHeight="1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25" customFormat="1" ht="12" customHeight="1" x14ac:dyDescent="0.2">
      <c r="A9" s="139" t="str">
        <f>'Данные объект'!B23</f>
        <v>ПАО "Россети Московский регион"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1:43" ht="19.5" customHeight="1" x14ac:dyDescent="0.25">
      <c r="A10" s="126" t="s">
        <v>59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43" s="25" customFormat="1" ht="12" customHeight="1" x14ac:dyDescent="0.2">
      <c r="A11" s="139" t="str">
        <f>'Данные объект'!B24</f>
        <v>ОГРН 1057746555811 ИНН 5036065113 КПП 772501001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1:43" ht="28.5" customHeight="1" x14ac:dyDescent="0.25">
      <c r="A12" s="126" t="s">
        <v>60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3" s="25" customFormat="1" ht="12" customHeight="1" x14ac:dyDescent="0.2">
      <c r="A13" s="139" t="str">
        <f>'Данные объект'!B25</f>
        <v>115114, город Москва, проезд Павелецкий 2-й, дом 3, строение 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1:43" ht="11.25" customHeight="1" x14ac:dyDescent="0.25">
      <c r="A14" s="126" t="s">
        <v>44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43" s="25" customFormat="1" ht="12" customHeight="1" x14ac:dyDescent="0.2">
      <c r="A15" s="25" t="s">
        <v>21</v>
      </c>
    </row>
    <row r="16" spans="1:43" s="25" customFormat="1" ht="12" customHeight="1" x14ac:dyDescent="0.2">
      <c r="A16" s="139" t="str">
        <f>'Данные объект'!B11</f>
        <v>ООО"Энергосистемы"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9.75" customHeight="1" x14ac:dyDescent="0.25">
      <c r="A17" s="126" t="s">
        <v>38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</row>
    <row r="18" spans="1:36" s="25" customFormat="1" ht="12" customHeight="1" x14ac:dyDescent="0.2">
      <c r="A18" s="139" t="str">
        <f>'Данные объект'!B12</f>
        <v>ОГРН 1135044003709  ИНН 5044089069 КПП 504401001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8.25" customHeight="1" x14ac:dyDescent="0.25">
      <c r="A19" s="126" t="s">
        <v>45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</row>
    <row r="20" spans="1:36" s="25" customFormat="1" ht="12" customHeight="1" x14ac:dyDescent="0.2">
      <c r="A20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1:36" ht="27" customHeight="1" x14ac:dyDescent="0.25">
      <c r="A21" s="126" t="s">
        <v>61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</row>
    <row r="22" spans="1:36" s="25" customFormat="1" ht="12" customHeight="1" x14ac:dyDescent="0.2">
      <c r="A22" s="25" t="s">
        <v>19</v>
      </c>
    </row>
    <row r="23" spans="1:36" s="25" customFormat="1" ht="12" customHeight="1" x14ac:dyDescent="0.2">
      <c r="A23" s="139" t="str">
        <f>'Данные объект'!B39</f>
        <v>ООО"Энергосистемы"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spans="1:36" ht="7.5" customHeight="1" x14ac:dyDescent="0.25">
      <c r="A24" s="126" t="s">
        <v>37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</row>
    <row r="25" spans="1:36" s="25" customFormat="1" ht="12" customHeight="1" x14ac:dyDescent="0.2">
      <c r="A25" s="139" t="str">
        <f>'Данные объект'!B40</f>
        <v>ОГРН 1135044003709  ИНН 5044089069 КПП 504401001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spans="1:36" ht="7.5" customHeight="1" x14ac:dyDescent="0.25">
      <c r="A26" s="126" t="s">
        <v>62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s="25" customFormat="1" ht="12" customHeight="1" x14ac:dyDescent="0.2">
      <c r="A27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spans="1:36" ht="22.5" customHeight="1" x14ac:dyDescent="0.25">
      <c r="A28" s="126" t="s">
        <v>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5" customFormat="1" ht="12.95" customHeight="1" x14ac:dyDescent="0.2">
      <c r="A30" s="146" t="s">
        <v>35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</row>
    <row r="31" spans="1:36" s="25" customFormat="1" ht="12.95" customHeight="1" x14ac:dyDescent="0.2">
      <c r="A31" s="140" t="s">
        <v>18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s="25" customFormat="1" ht="12.9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36" s="25" customFormat="1" ht="12.95" customHeight="1" x14ac:dyDescent="0.2">
      <c r="A33" s="29"/>
      <c r="B33" s="29" t="s">
        <v>17</v>
      </c>
      <c r="C33" s="30">
        <f>'АОСР-7'!C33+1</f>
        <v>8</v>
      </c>
      <c r="D33" s="30"/>
      <c r="E33" s="128" t="s">
        <v>91</v>
      </c>
      <c r="F33" s="128"/>
      <c r="G33" s="128"/>
      <c r="H33" s="31"/>
      <c r="I33" s="31"/>
      <c r="J33" s="31"/>
      <c r="X33" s="26"/>
      <c r="Y33" s="36"/>
      <c r="Z33" s="36"/>
      <c r="AB33" s="138" t="str">
        <f>P81</f>
        <v>18.04.2025</v>
      </c>
      <c r="AC33" s="138"/>
      <c r="AD33" s="138"/>
      <c r="AE33" s="138"/>
      <c r="AF33" s="138"/>
      <c r="AG33" s="138"/>
      <c r="AH33" s="138"/>
      <c r="AI33" s="138"/>
      <c r="AJ33" s="25" t="s">
        <v>5</v>
      </c>
    </row>
    <row r="34" spans="1:36" ht="12.95" customHeight="1" x14ac:dyDescent="0.25">
      <c r="Y34" s="11"/>
      <c r="Z34" s="14"/>
      <c r="AA34" s="11"/>
      <c r="AB34" s="145" t="s">
        <v>16</v>
      </c>
      <c r="AC34" s="145"/>
      <c r="AD34" s="145"/>
      <c r="AE34" s="145"/>
      <c r="AF34" s="145"/>
      <c r="AG34" s="145"/>
      <c r="AH34" s="145"/>
      <c r="AI34" s="145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5" customFormat="1" ht="27.75" customHeight="1" x14ac:dyDescent="0.2">
      <c r="A36" s="136" t="s">
        <v>47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</row>
    <row r="37" spans="1:36" s="25" customFormat="1" ht="24.75" customHeight="1" x14ac:dyDescent="0.2">
      <c r="A37" s="129" t="str">
        <f>'Данные объект'!C34</f>
        <v>Гл. специалист ССК УКС ПАО "Россети Московский регион" Алексанян Г.Р., Приказ №2363 от 29 июля 2025г (НРС С-50-069023)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36" ht="28.5" customHeight="1" x14ac:dyDescent="0.25">
      <c r="A38" s="126" t="s">
        <v>48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36" s="25" customFormat="1" ht="23.25" customHeight="1" x14ac:dyDescent="0.2">
      <c r="A39" s="12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</row>
    <row r="40" spans="1:36" ht="25.5" customHeight="1" x14ac:dyDescent="0.25">
      <c r="A40" s="135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s="25" customFormat="1" ht="12" customHeight="1" x14ac:dyDescent="0.2">
      <c r="A41" s="25" t="s">
        <v>24</v>
      </c>
    </row>
    <row r="42" spans="1:36" s="25" customFormat="1" ht="12" customHeight="1" x14ac:dyDescent="0.2">
      <c r="A42" s="139" t="str">
        <f>'Данные объект'!C21</f>
        <v>Прораб ООО"Энергосистемы" Красилов К.А., Приказ №05-ОТ/24 от 09 января 2024г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spans="1:36" ht="9" customHeight="1" x14ac:dyDescent="0.25">
      <c r="A43" s="126" t="s">
        <v>25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</row>
    <row r="44" spans="1:36" s="25" customFormat="1" ht="14.25" customHeight="1" x14ac:dyDescent="0.2">
      <c r="A44" s="136" t="s">
        <v>50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</row>
    <row r="45" spans="1:36" s="32" customFormat="1" ht="23.25" customHeight="1" x14ac:dyDescent="0.2">
      <c r="A45" s="129" t="str">
        <f>'Данные объект'!C18</f>
        <v>Инженер по строительному контролю ООО"Энергосистемы" Капитонов Д.А., Приказ № 18-ОТ/24 от 03 июня 2024 (НОСТРОЙ С-50-188017)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36" ht="30" customHeight="1" x14ac:dyDescent="0.25">
      <c r="A46" s="126" t="s">
        <v>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x14ac:dyDescent="0.25">
      <c r="A47" s="136" t="s">
        <v>207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ht="15" customHeight="1" x14ac:dyDescent="0.25">
      <c r="A48" s="129" t="str">
        <f>'Данные объект'!$C$36</f>
        <v>Мастер СРЭС СЭС филиала ПАО "Россети Московский регион" Курчин М.М.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ht="13.5" customHeight="1" x14ac:dyDescent="0.25">
      <c r="A49" s="126" t="s">
        <v>25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s="25" customFormat="1" ht="36.75" customHeight="1" x14ac:dyDescent="0.2">
      <c r="A50" s="123" t="s">
        <v>52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</row>
    <row r="51" spans="1:36" s="32" customFormat="1" ht="12.95" customHeight="1" x14ac:dyDescent="0.2">
      <c r="A51" s="139" t="s">
        <v>75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spans="1:36" ht="29.25" customHeight="1" x14ac:dyDescent="0.25">
      <c r="A52" s="126" t="s">
        <v>53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s="25" customFormat="1" ht="25.5" hidden="1" customHeight="1" x14ac:dyDescent="0.2">
      <c r="A53" s="123" t="s">
        <v>54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</row>
    <row r="54" spans="1:36" s="25" customFormat="1" ht="12" hidden="1" customHeight="1" x14ac:dyDescent="0.2">
      <c r="A54" s="129" t="e">
        <f>CONCATENATE(#REF!,", ",#REF!," - ",#REF!)</f>
        <v>#REF!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ht="9.75" hidden="1" customHeight="1" x14ac:dyDescent="0.25">
      <c r="A55" s="126" t="s">
        <v>28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25" customFormat="1" ht="12" hidden="1" customHeight="1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ht="16.5" hidden="1" customHeight="1" x14ac:dyDescent="0.25">
      <c r="A57" s="126" t="s">
        <v>55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 spans="1:36" s="25" customFormat="1" ht="12" customHeight="1" x14ac:dyDescent="0.2">
      <c r="A58" s="25" t="s">
        <v>15</v>
      </c>
    </row>
    <row r="59" spans="1:36" s="25" customFormat="1" ht="12.95" customHeight="1" x14ac:dyDescent="0.2">
      <c r="A59" s="128" t="str">
        <f>'Данные объект'!B11</f>
        <v>ООО"Энергосистемы"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spans="1:36" ht="10.5" customHeight="1" x14ac:dyDescent="0.25">
      <c r="A60" s="132" t="s">
        <v>39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s="25" customFormat="1" ht="12" customHeight="1" x14ac:dyDescent="0.2">
      <c r="A61" s="25" t="s">
        <v>14</v>
      </c>
    </row>
    <row r="62" spans="1:36" s="25" customFormat="1" ht="12" customHeight="1" x14ac:dyDescent="0.2">
      <c r="A62" s="25" t="s">
        <v>29</v>
      </c>
    </row>
    <row r="63" spans="1:36" s="25" customFormat="1" ht="12" customHeight="1" x14ac:dyDescent="0.2">
      <c r="A63" s="159" t="s">
        <v>167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29" t="str">
        <f>'АОСР-1'!N63</f>
        <v>КТП №3865</v>
      </c>
      <c r="R63" s="129"/>
      <c r="S63" s="129"/>
      <c r="T63" s="129"/>
      <c r="U63" s="129"/>
      <c r="V63" s="129"/>
      <c r="W63" s="129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8.25" customHeight="1" x14ac:dyDescent="0.25">
      <c r="A64" s="126" t="s">
        <v>13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</row>
    <row r="65" spans="1:36" s="25" customFormat="1" ht="12" customHeight="1" x14ac:dyDescent="0.2">
      <c r="A65" s="25" t="s">
        <v>12</v>
      </c>
    </row>
    <row r="66" spans="1:36" s="25" customFormat="1" ht="12" customHeight="1" x14ac:dyDescent="0.2">
      <c r="A66" s="129" t="str">
        <f>'Данные объект'!B43</f>
        <v>4844-315915-113-05/24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ht="15" customHeight="1" x14ac:dyDescent="0.25">
      <c r="A67" s="126" t="s">
        <v>40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25" customFormat="1" ht="12" customHeight="1" x14ac:dyDescent="0.2">
      <c r="A68" s="25" t="s">
        <v>11</v>
      </c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1" t="s">
        <v>56</v>
      </c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</row>
    <row r="70" spans="1:36" s="25" customFormat="1" ht="12" customHeight="1" x14ac:dyDescent="0.2">
      <c r="A70" s="161" t="s">
        <v>171</v>
      </c>
      <c r="B70" s="161"/>
      <c r="C70" s="161"/>
      <c r="D70" s="161"/>
      <c r="E70" s="161"/>
      <c r="F70" s="161"/>
      <c r="G70" s="96" t="s">
        <v>75</v>
      </c>
      <c r="H70" s="152">
        <v>12.84</v>
      </c>
      <c r="I70" s="152"/>
      <c r="J70" s="98" t="s">
        <v>161</v>
      </c>
      <c r="K70" s="99" t="s">
        <v>170</v>
      </c>
      <c r="L70" s="95" t="s">
        <v>190</v>
      </c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</row>
    <row r="71" spans="1:36" ht="12" customHeight="1" x14ac:dyDescent="0.25">
      <c r="A71" s="161" t="s">
        <v>172</v>
      </c>
      <c r="B71" s="161"/>
      <c r="C71" s="161"/>
      <c r="D71" s="161"/>
      <c r="E71" s="161"/>
      <c r="F71" s="161"/>
      <c r="G71" s="96" t="s">
        <v>75</v>
      </c>
      <c r="H71" s="152">
        <v>91.2</v>
      </c>
      <c r="I71" s="152"/>
      <c r="J71" s="100" t="s">
        <v>161</v>
      </c>
      <c r="K71" s="99" t="s">
        <v>170</v>
      </c>
      <c r="L71" s="95" t="s">
        <v>197</v>
      </c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101"/>
      <c r="AG71" s="101"/>
      <c r="AH71" s="101"/>
      <c r="AI71" s="101"/>
      <c r="AJ71" s="101"/>
    </row>
    <row r="72" spans="1:36" ht="12" customHeight="1" x14ac:dyDescent="0.25">
      <c r="A72" s="161" t="s">
        <v>168</v>
      </c>
      <c r="B72" s="161"/>
      <c r="C72" s="161"/>
      <c r="D72" s="161"/>
      <c r="E72" s="161"/>
      <c r="F72" s="161"/>
      <c r="G72" s="96" t="s">
        <v>75</v>
      </c>
      <c r="H72" s="152">
        <v>3.76</v>
      </c>
      <c r="I72" s="152"/>
      <c r="J72" s="100" t="s">
        <v>161</v>
      </c>
      <c r="K72" s="99" t="s">
        <v>170</v>
      </c>
      <c r="L72" s="102" t="s">
        <v>196</v>
      </c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101"/>
      <c r="AG72" s="101"/>
      <c r="AH72" s="101"/>
      <c r="AI72" s="101"/>
      <c r="AJ72" s="101"/>
    </row>
    <row r="73" spans="1:36" ht="18.75" customHeight="1" x14ac:dyDescent="0.25">
      <c r="A73" s="126" t="s">
        <v>57</v>
      </c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</row>
    <row r="74" spans="1:36" s="25" customFormat="1" ht="12" customHeight="1" x14ac:dyDescent="0.2">
      <c r="A74" s="25" t="s">
        <v>10</v>
      </c>
    </row>
    <row r="75" spans="1:36" s="25" customFormat="1" ht="12" customHeight="1" x14ac:dyDescent="0.2">
      <c r="A75" s="25" t="s">
        <v>9</v>
      </c>
      <c r="G75" s="128" t="s">
        <v>176</v>
      </c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</row>
    <row r="76" spans="1:36" ht="7.5" customHeight="1" x14ac:dyDescent="0.25">
      <c r="A76" s="137"/>
      <c r="B76" s="137"/>
      <c r="C76" s="8"/>
      <c r="D76" s="8"/>
      <c r="E76" s="8"/>
      <c r="F76" s="8"/>
      <c r="G76" s="127" t="s">
        <v>8</v>
      </c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</row>
    <row r="77" spans="1:36" s="25" customFormat="1" ht="12" hidden="1" customHeight="1" x14ac:dyDescent="0.2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</row>
    <row r="78" spans="1:36" ht="7.5" customHeight="1" x14ac:dyDescent="0.25">
      <c r="A78" s="126" t="s">
        <v>30</v>
      </c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5" customFormat="1" ht="12" customHeight="1" x14ac:dyDescent="0.2">
      <c r="A80" s="25" t="s">
        <v>7</v>
      </c>
      <c r="D80" s="34"/>
      <c r="E80" s="34"/>
      <c r="F80" s="34"/>
      <c r="G80" s="34"/>
      <c r="L80" s="26"/>
      <c r="M80" s="36"/>
      <c r="N80" s="36"/>
      <c r="P80" s="138" t="str">
        <f>'Данные объект'!B6</f>
        <v>07.04.2025</v>
      </c>
      <c r="Q80" s="138"/>
      <c r="R80" s="138"/>
      <c r="S80" s="138"/>
      <c r="T80" s="138"/>
      <c r="U80" s="138"/>
      <c r="V80" s="138"/>
      <c r="W80" s="138"/>
      <c r="X80" s="25" t="s">
        <v>5</v>
      </c>
    </row>
    <row r="81" spans="1:36" s="25" customFormat="1" ht="12" customHeight="1" x14ac:dyDescent="0.2">
      <c r="A81" s="25" t="s">
        <v>6</v>
      </c>
      <c r="D81" s="34"/>
      <c r="E81" s="34"/>
      <c r="F81" s="34"/>
      <c r="G81" s="34"/>
      <c r="L81" s="26"/>
      <c r="M81" s="36"/>
      <c r="N81" s="36"/>
      <c r="P81" s="124" t="str">
        <f>'Данные объект'!B7</f>
        <v>18.04.2025</v>
      </c>
      <c r="Q81" s="124"/>
      <c r="R81" s="124"/>
      <c r="S81" s="124"/>
      <c r="T81" s="124"/>
      <c r="U81" s="124"/>
      <c r="V81" s="124"/>
      <c r="W81" s="124"/>
      <c r="X81" s="25" t="s">
        <v>5</v>
      </c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5" customFormat="1" ht="12" customHeight="1" x14ac:dyDescent="0.2">
      <c r="A83" s="25" t="s">
        <v>4</v>
      </c>
    </row>
    <row r="84" spans="1:36" s="25" customFormat="1" ht="12" customHeight="1" x14ac:dyDescent="0.2">
      <c r="A84" s="125" t="s">
        <v>169</v>
      </c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</row>
    <row r="85" spans="1:36" ht="8.25" customHeight="1" x14ac:dyDescent="0.25">
      <c r="A85" s="126" t="s">
        <v>184</v>
      </c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</row>
    <row r="86" spans="1:36" s="25" customFormat="1" ht="12" customHeight="1" x14ac:dyDescent="0.2">
      <c r="A86" s="25" t="s">
        <v>3</v>
      </c>
    </row>
    <row r="87" spans="1:36" s="25" customFormat="1" ht="12" customHeight="1" x14ac:dyDescent="0.2">
      <c r="A87" s="128" t="s">
        <v>102</v>
      </c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</row>
    <row r="88" spans="1:36" ht="9" customHeight="1" x14ac:dyDescent="0.25">
      <c r="A88" s="126" t="s">
        <v>31</v>
      </c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s="25" customFormat="1" ht="12" customHeight="1" x14ac:dyDescent="0.2">
      <c r="A89" s="25" t="s">
        <v>2</v>
      </c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5" customFormat="1" ht="12" customHeight="1" x14ac:dyDescent="0.2">
      <c r="A91" s="25" t="s">
        <v>103</v>
      </c>
      <c r="H91" s="128">
        <v>1</v>
      </c>
      <c r="I91" s="128"/>
      <c r="J91" s="25" t="s">
        <v>32</v>
      </c>
    </row>
    <row r="92" spans="1:36" ht="4.5" customHeight="1" x14ac:dyDescent="0.25"/>
    <row r="93" spans="1:36" s="25" customFormat="1" ht="12" customHeight="1" x14ac:dyDescent="0.2">
      <c r="A93" s="25" t="s">
        <v>1</v>
      </c>
    </row>
    <row r="94" spans="1:36" s="25" customFormat="1" ht="12" customHeight="1" x14ac:dyDescent="0.2">
      <c r="A94" s="30" t="s">
        <v>88</v>
      </c>
      <c r="B94" s="125" t="str">
        <f>G75</f>
        <v>Исполнительная схема площадки обслуживания ТП</v>
      </c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30" t="s">
        <v>75</v>
      </c>
      <c r="W94" s="30" t="s">
        <v>89</v>
      </c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</row>
    <row r="95" spans="1:36" s="25" customFormat="1" ht="12" customHeight="1" x14ac:dyDescent="0.2">
      <c r="A95" s="35" t="s">
        <v>90</v>
      </c>
      <c r="B95" s="35" t="str">
        <f>L70</f>
        <v>Сертификат № 2024647014 от 13.04.2024г.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 t="s">
        <v>75</v>
      </c>
      <c r="W95" s="35" t="s">
        <v>89</v>
      </c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</row>
    <row r="96" spans="1:36" s="25" customFormat="1" ht="12" customHeight="1" x14ac:dyDescent="0.2">
      <c r="A96" s="35" t="s">
        <v>99</v>
      </c>
      <c r="B96" s="35" t="str">
        <f>L71</f>
        <v>Сертификат качества № 2060647170 от 08.04.2024г.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 t="s">
        <v>75</v>
      </c>
      <c r="W96" s="35" t="s">
        <v>89</v>
      </c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</row>
    <row r="97" spans="1:36" s="25" customFormat="1" ht="12" customHeight="1" x14ac:dyDescent="0.2">
      <c r="A97" s="35" t="s">
        <v>100</v>
      </c>
      <c r="B97" s="35" t="str">
        <f>L72</f>
        <v>Документ о качестве № 2305390 от 18.02.2024г.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 t="s">
        <v>75</v>
      </c>
      <c r="W97" s="35" t="s">
        <v>89</v>
      </c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</row>
    <row r="98" spans="1:36" ht="9.75" customHeight="1" x14ac:dyDescent="0.25">
      <c r="A98" s="126" t="s">
        <v>0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5" customFormat="1" ht="12" customHeight="1" x14ac:dyDescent="0.2">
      <c r="A100" s="25" t="s">
        <v>22</v>
      </c>
    </row>
    <row r="101" spans="1:36" s="25" customFormat="1" ht="12" customHeight="1" x14ac:dyDescent="0.2">
      <c r="A101" s="25" t="s">
        <v>23</v>
      </c>
    </row>
    <row r="102" spans="1:36" s="25" customFormat="1" ht="12" customHeight="1" x14ac:dyDescent="0.2">
      <c r="A102" s="128" t="str">
        <f>'Данные объект'!B33</f>
        <v>Алексанян Г.Р.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128"/>
      <c r="AC102" s="128"/>
      <c r="AD102" s="128"/>
      <c r="AE102" s="128"/>
      <c r="AF102" s="128"/>
      <c r="AG102" s="128"/>
      <c r="AH102" s="128"/>
      <c r="AI102" s="128"/>
      <c r="AJ102" s="128"/>
    </row>
    <row r="103" spans="1:36" ht="9" customHeight="1" x14ac:dyDescent="0.25">
      <c r="A103" s="132" t="s">
        <v>34</v>
      </c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1" t="s">
        <v>33</v>
      </c>
      <c r="AC103" s="131"/>
      <c r="AD103" s="131"/>
      <c r="AE103" s="131"/>
      <c r="AF103" s="131"/>
      <c r="AG103" s="131"/>
      <c r="AH103" s="131"/>
      <c r="AI103" s="131"/>
      <c r="AJ103" s="131"/>
    </row>
    <row r="104" spans="1:36" s="25" customFormat="1" ht="12" customHeight="1" x14ac:dyDescent="0.2">
      <c r="A104" s="25" t="s">
        <v>24</v>
      </c>
    </row>
    <row r="105" spans="1:36" s="25" customFormat="1" ht="12" customHeight="1" x14ac:dyDescent="0.2">
      <c r="A105" s="128" t="str">
        <f>'Данные объект'!B20</f>
        <v>Красилов К.А.</v>
      </c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128"/>
      <c r="AC105" s="128"/>
      <c r="AD105" s="128"/>
      <c r="AE105" s="128"/>
      <c r="AF105" s="128"/>
      <c r="AG105" s="128"/>
      <c r="AH105" s="128"/>
      <c r="AI105" s="128"/>
      <c r="AJ105" s="128"/>
    </row>
    <row r="106" spans="1:36" ht="9" customHeight="1" x14ac:dyDescent="0.25">
      <c r="A106" s="132" t="s">
        <v>34</v>
      </c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1" t="s">
        <v>33</v>
      </c>
      <c r="AC106" s="131"/>
      <c r="AD106" s="131"/>
      <c r="AE106" s="131"/>
      <c r="AF106" s="131"/>
      <c r="AG106" s="131"/>
      <c r="AH106" s="131"/>
      <c r="AI106" s="131"/>
      <c r="AJ106" s="131"/>
    </row>
    <row r="107" spans="1:36" s="25" customFormat="1" ht="12" customHeight="1" x14ac:dyDescent="0.2">
      <c r="A107" s="25" t="s">
        <v>26</v>
      </c>
    </row>
    <row r="108" spans="1:36" s="25" customFormat="1" ht="12" customHeight="1" x14ac:dyDescent="0.2">
      <c r="A108" s="25" t="s">
        <v>27</v>
      </c>
    </row>
    <row r="109" spans="1:36" s="25" customFormat="1" ht="12" customHeight="1" x14ac:dyDescent="0.2">
      <c r="A109" s="128" t="str">
        <f>'Данные объект'!B17</f>
        <v>Капитонов Д.А.</v>
      </c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spans="1:36" ht="9" customHeight="1" x14ac:dyDescent="0.25">
      <c r="A110" s="132" t="s">
        <v>34</v>
      </c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1" t="s">
        <v>33</v>
      </c>
      <c r="AC110" s="131"/>
      <c r="AD110" s="131"/>
      <c r="AE110" s="131"/>
      <c r="AF110" s="131"/>
      <c r="AG110" s="131"/>
      <c r="AH110" s="131"/>
      <c r="AI110" s="131"/>
      <c r="AJ110" s="131"/>
    </row>
    <row r="111" spans="1:36" x14ac:dyDescent="0.25">
      <c r="A111" s="25" t="s">
        <v>208</v>
      </c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1"/>
      <c r="AC111" s="91"/>
      <c r="AD111" s="91"/>
      <c r="AE111" s="91"/>
      <c r="AF111" s="91"/>
      <c r="AG111" s="91"/>
      <c r="AH111" s="91"/>
      <c r="AI111" s="91"/>
      <c r="AJ111" s="91"/>
    </row>
    <row r="112" spans="1:36" x14ac:dyDescent="0.25">
      <c r="A112" s="128" t="str">
        <f>'Данные объект'!$B$36</f>
        <v>Курчин М.М.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28"/>
      <c r="AC112" s="128"/>
      <c r="AD112" s="128"/>
      <c r="AE112" s="128"/>
      <c r="AF112" s="128"/>
      <c r="AG112" s="128"/>
      <c r="AH112" s="128"/>
      <c r="AI112" s="128"/>
      <c r="AJ112" s="128"/>
    </row>
    <row r="113" spans="1:36" ht="9" customHeight="1" x14ac:dyDescent="0.25">
      <c r="A113" s="132" t="s">
        <v>34</v>
      </c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1" t="s">
        <v>33</v>
      </c>
      <c r="AC113" s="131"/>
      <c r="AD113" s="131"/>
      <c r="AE113" s="131"/>
      <c r="AF113" s="131"/>
      <c r="AG113" s="131"/>
      <c r="AH113" s="131"/>
      <c r="AI113" s="131"/>
      <c r="AJ113" s="131"/>
    </row>
    <row r="114" spans="1:36" s="25" customFormat="1" ht="35.25" customHeight="1" x14ac:dyDescent="0.2">
      <c r="A114" s="123" t="s">
        <v>52</v>
      </c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</row>
    <row r="115" spans="1:36" ht="12" customHeight="1" x14ac:dyDescent="0.25">
      <c r="A115" s="156" t="s">
        <v>75</v>
      </c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6" t="s">
        <v>75</v>
      </c>
      <c r="AC115" s="156"/>
      <c r="AD115" s="156"/>
      <c r="AE115" s="156"/>
      <c r="AF115" s="156"/>
      <c r="AG115" s="156"/>
      <c r="AH115" s="156"/>
      <c r="AI115" s="156"/>
      <c r="AJ115" s="156"/>
    </row>
    <row r="116" spans="1:36" ht="9" customHeight="1" x14ac:dyDescent="0.25">
      <c r="A116" s="132" t="s">
        <v>34</v>
      </c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1" t="s">
        <v>33</v>
      </c>
      <c r="AC116" s="131"/>
      <c r="AD116" s="131"/>
      <c r="AE116" s="131"/>
      <c r="AF116" s="131"/>
      <c r="AG116" s="131"/>
      <c r="AH116" s="131"/>
      <c r="AI116" s="131"/>
      <c r="AJ116" s="131"/>
    </row>
    <row r="117" spans="1:36" s="25" customFormat="1" ht="40.5" hidden="1" customHeight="1" x14ac:dyDescent="0.2">
      <c r="A117" s="123" t="s">
        <v>54</v>
      </c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  <c r="AC117" s="123"/>
      <c r="AD117" s="123"/>
      <c r="AE117" s="123"/>
      <c r="AF117" s="123"/>
      <c r="AG117" s="123"/>
      <c r="AH117" s="123"/>
      <c r="AI117" s="123"/>
      <c r="AJ117" s="123"/>
    </row>
    <row r="118" spans="1:36" s="25" customFormat="1" ht="12" hidden="1" customHeight="1" x14ac:dyDescent="0.2">
      <c r="A118" s="128" t="e">
        <f>#REF!</f>
        <v>#REF!</v>
      </c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128"/>
      <c r="AC118" s="128"/>
      <c r="AD118" s="128"/>
      <c r="AE118" s="128"/>
      <c r="AF118" s="128"/>
      <c r="AG118" s="128"/>
      <c r="AH118" s="128"/>
      <c r="AI118" s="128"/>
      <c r="AJ118" s="128"/>
    </row>
    <row r="119" spans="1:36" ht="9" hidden="1" customHeight="1" x14ac:dyDescent="0.25">
      <c r="A119" s="132" t="s">
        <v>34</v>
      </c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1" t="s">
        <v>33</v>
      </c>
      <c r="AC119" s="131"/>
      <c r="AD119" s="131"/>
      <c r="AE119" s="131"/>
      <c r="AF119" s="131"/>
      <c r="AG119" s="131"/>
      <c r="AH119" s="131"/>
      <c r="AI119" s="131"/>
      <c r="AJ119" s="131"/>
    </row>
    <row r="120" spans="1:36" ht="12" customHeight="1" x14ac:dyDescent="0.25"/>
  </sheetData>
  <mergeCells count="105">
    <mergeCell ref="A102:O102"/>
    <mergeCell ref="AB102:AJ102"/>
    <mergeCell ref="A103:O103"/>
    <mergeCell ref="AB103:AJ103"/>
    <mergeCell ref="A105:O105"/>
    <mergeCell ref="AB105:AJ105"/>
    <mergeCell ref="A116:O116"/>
    <mergeCell ref="AB116:AJ116"/>
    <mergeCell ref="L89:AJ89"/>
    <mergeCell ref="H91:I91"/>
    <mergeCell ref="A113:O113"/>
    <mergeCell ref="AB113:AJ113"/>
    <mergeCell ref="A84:AJ84"/>
    <mergeCell ref="A85:AJ85"/>
    <mergeCell ref="A87:AJ87"/>
    <mergeCell ref="A88:AJ88"/>
    <mergeCell ref="A119:O119"/>
    <mergeCell ref="AB119:AJ119"/>
    <mergeCell ref="P80:W80"/>
    <mergeCell ref="P81:W81"/>
    <mergeCell ref="B94:U94"/>
    <mergeCell ref="A114:AJ114"/>
    <mergeCell ref="A115:O115"/>
    <mergeCell ref="AB115:AJ115"/>
    <mergeCell ref="A117:AJ117"/>
    <mergeCell ref="A106:O106"/>
    <mergeCell ref="AB106:AJ106"/>
    <mergeCell ref="A109:O109"/>
    <mergeCell ref="AB109:AJ109"/>
    <mergeCell ref="A110:O110"/>
    <mergeCell ref="AB110:AJ110"/>
    <mergeCell ref="A118:O118"/>
    <mergeCell ref="AB118:AJ118"/>
    <mergeCell ref="A98:AJ98"/>
    <mergeCell ref="A112:O112"/>
    <mergeCell ref="AB112:AJ112"/>
    <mergeCell ref="A77:AJ77"/>
    <mergeCell ref="Q63:W63"/>
    <mergeCell ref="A78:AJ78"/>
    <mergeCell ref="A63:P63"/>
    <mergeCell ref="A70:F70"/>
    <mergeCell ref="H70:I70"/>
    <mergeCell ref="A72:F72"/>
    <mergeCell ref="H72:I72"/>
    <mergeCell ref="A73:AJ73"/>
    <mergeCell ref="G75:AJ75"/>
    <mergeCell ref="A76:B76"/>
    <mergeCell ref="G76:AJ76"/>
    <mergeCell ref="P69:AJ69"/>
    <mergeCell ref="A71:F71"/>
    <mergeCell ref="H71:I71"/>
    <mergeCell ref="P68:AJ68"/>
    <mergeCell ref="A42:AJ42"/>
    <mergeCell ref="A43:AJ43"/>
    <mergeCell ref="A67:AJ67"/>
    <mergeCell ref="A44:AJ44"/>
    <mergeCell ref="A45:AJ45"/>
    <mergeCell ref="A46:AJ46"/>
    <mergeCell ref="A50:AJ50"/>
    <mergeCell ref="A51:AJ51"/>
    <mergeCell ref="A60:AJ60"/>
    <mergeCell ref="A52:AJ52"/>
    <mergeCell ref="A53:AJ53"/>
    <mergeCell ref="A64:AJ64"/>
    <mergeCell ref="A66:AJ66"/>
    <mergeCell ref="A54:AJ54"/>
    <mergeCell ref="A55:AJ55"/>
    <mergeCell ref="A56:AJ56"/>
    <mergeCell ref="A57:AJ57"/>
    <mergeCell ref="A59:AJ59"/>
    <mergeCell ref="A47:AJ47"/>
    <mergeCell ref="A48:AJ48"/>
    <mergeCell ref="A49:AJ49"/>
    <mergeCell ref="A10:AJ10"/>
    <mergeCell ref="A11:AJ11"/>
    <mergeCell ref="A12:AJ12"/>
    <mergeCell ref="A13:AJ13"/>
    <mergeCell ref="A14:AJ14"/>
    <mergeCell ref="A4:AJ4"/>
    <mergeCell ref="A5:AJ5"/>
    <mergeCell ref="A6:AJ6"/>
    <mergeCell ref="A7:AJ8"/>
    <mergeCell ref="A9:AJ9"/>
    <mergeCell ref="E33:G33"/>
    <mergeCell ref="A36:AJ36"/>
    <mergeCell ref="A37:AJ37"/>
    <mergeCell ref="AB33:AI33"/>
    <mergeCell ref="AB34:AI34"/>
    <mergeCell ref="A38:AJ38"/>
    <mergeCell ref="A39:AJ39"/>
    <mergeCell ref="A40:AJ40"/>
    <mergeCell ref="A16:AJ16"/>
    <mergeCell ref="A17:AJ17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</mergeCells>
  <phoneticPr fontId="18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EDB3-6FCA-47BD-A7E0-5552E420CBAE}">
  <sheetPr>
    <tabColor rgb="FF00B050"/>
    <pageSetUpPr fitToPage="1"/>
  </sheetPr>
  <dimension ref="A1:AQ118"/>
  <sheetViews>
    <sheetView view="pageBreakPreview" topLeftCell="A67" zoomScale="125" zoomScaleNormal="125" zoomScaleSheetLayoutView="125" workbookViewId="0">
      <selection activeCell="AU78" sqref="AU78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5" customFormat="1" ht="12.75" customHeight="1" x14ac:dyDescent="0.2">
      <c r="AJ1" s="26" t="s">
        <v>42</v>
      </c>
    </row>
    <row r="2" spans="1:43" s="25" customFormat="1" ht="11.25" customHeight="1" x14ac:dyDescent="0.2">
      <c r="AJ2" s="26" t="s">
        <v>41</v>
      </c>
    </row>
    <row r="3" spans="1:43" s="25" customFormat="1" ht="14.25" customHeight="1" x14ac:dyDescent="0.2">
      <c r="A3" s="25" t="s">
        <v>20</v>
      </c>
      <c r="AJ3" s="27"/>
      <c r="AK3" s="27"/>
      <c r="AL3" s="27"/>
      <c r="AM3" s="27"/>
      <c r="AN3" s="27"/>
      <c r="AO3" s="27"/>
      <c r="AP3" s="27"/>
      <c r="AQ3" s="27"/>
    </row>
    <row r="4" spans="1:43" s="25" customFormat="1" ht="36" customHeight="1" x14ac:dyDescent="0.2">
      <c r="A4" s="129" t="str">
        <f>'Данные объект'!B3</f>
        <v>Строительство ТП-10/0,4кВ, КЛ-10 кВ от КЛ-10кВ ф. ЦРП-16 - Соколово – ТП-600, ВЛЗ-10 кВ от ВЛЗ-10кВ ф. ЦРП-16- Соколово – ТП-600 ПС №329 "Осиновка", КЛ-0,4 кВ, РЛР, ВРЩ-0,4 кВ, в т.ч. ПИР, МО, Солнечногорский р-н, Новинское лесничество квартал 29 выд. 27,31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</row>
    <row r="5" spans="1:43" s="25" customFormat="1" ht="12" customHeight="1" x14ac:dyDescent="0.2">
      <c r="A5" s="139" t="str">
        <f>'Данные объект'!B9</f>
        <v>КТП №3865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</row>
    <row r="6" spans="1:43" ht="11.25" customHeight="1" x14ac:dyDescent="0.25">
      <c r="A6" s="141" t="s">
        <v>223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</row>
    <row r="7" spans="1:43" s="25" customFormat="1" ht="1.9" customHeight="1" x14ac:dyDescent="0.2">
      <c r="A7" s="136" t="s">
        <v>43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43" s="25" customFormat="1" ht="12" customHeight="1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</row>
    <row r="9" spans="1:43" s="25" customFormat="1" ht="12" customHeight="1" x14ac:dyDescent="0.2">
      <c r="A9" s="139" t="str">
        <f>'Данные объект'!B23</f>
        <v>ПАО "Россети Московский регион"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</row>
    <row r="10" spans="1:43" ht="19.5" customHeight="1" x14ac:dyDescent="0.25">
      <c r="A10" s="126" t="s">
        <v>59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</row>
    <row r="11" spans="1:43" s="25" customFormat="1" ht="12" customHeight="1" x14ac:dyDescent="0.2">
      <c r="A11" s="139" t="str">
        <f>'Данные объект'!B24</f>
        <v>ОГРН 1057746555811 ИНН 5036065113 КПП 772501001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</row>
    <row r="12" spans="1:43" ht="28.5" customHeight="1" x14ac:dyDescent="0.25">
      <c r="A12" s="126" t="s">
        <v>60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</row>
    <row r="13" spans="1:43" s="25" customFormat="1" ht="12" customHeight="1" x14ac:dyDescent="0.2">
      <c r="A13" s="139" t="str">
        <f>'Данные объект'!B25</f>
        <v>115114, город Москва, проезд Павелецкий 2-й, дом 3, строение 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</row>
    <row r="14" spans="1:43" ht="11.25" customHeight="1" x14ac:dyDescent="0.25">
      <c r="A14" s="126" t="s">
        <v>44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</row>
    <row r="15" spans="1:43" s="25" customFormat="1" ht="12" customHeight="1" x14ac:dyDescent="0.2">
      <c r="A15" s="25" t="s">
        <v>21</v>
      </c>
    </row>
    <row r="16" spans="1:43" s="25" customFormat="1" ht="12" customHeight="1" x14ac:dyDescent="0.2">
      <c r="A16" s="139" t="str">
        <f>'Данные объект'!B11</f>
        <v>ООО"Энергосистемы"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9.75" customHeight="1" x14ac:dyDescent="0.25">
      <c r="A17" s="126" t="s">
        <v>38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</row>
    <row r="18" spans="1:36" s="25" customFormat="1" ht="12" customHeight="1" x14ac:dyDescent="0.2">
      <c r="A18" s="139" t="str">
        <f>'Данные объект'!B12</f>
        <v>ОГРН 1135044003709  ИНН 5044089069 КПП 504401001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8.25" customHeight="1" x14ac:dyDescent="0.25">
      <c r="A19" s="126" t="s">
        <v>45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</row>
    <row r="20" spans="1:36" s="25" customFormat="1" ht="12" customHeight="1" x14ac:dyDescent="0.2">
      <c r="A20" s="139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</row>
    <row r="21" spans="1:36" ht="27" customHeight="1" x14ac:dyDescent="0.25">
      <c r="A21" s="126" t="s">
        <v>61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</row>
    <row r="22" spans="1:36" s="25" customFormat="1" ht="12" customHeight="1" x14ac:dyDescent="0.2">
      <c r="A22" s="25" t="s">
        <v>19</v>
      </c>
    </row>
    <row r="23" spans="1:36" s="25" customFormat="1" ht="12" customHeight="1" x14ac:dyDescent="0.2">
      <c r="A23" s="139" t="str">
        <f>'Данные объект'!B39</f>
        <v>ООО"Энергосистемы"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</row>
    <row r="24" spans="1:36" ht="7.5" customHeight="1" x14ac:dyDescent="0.25">
      <c r="A24" s="126" t="s">
        <v>37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</row>
    <row r="25" spans="1:36" s="25" customFormat="1" ht="12" customHeight="1" x14ac:dyDescent="0.2">
      <c r="A25" s="139" t="str">
        <f>'Данные объект'!B40</f>
        <v>ОГРН 1135044003709  ИНН 5044089069 КПП 504401001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</row>
    <row r="26" spans="1:36" ht="7.5" customHeight="1" x14ac:dyDescent="0.25">
      <c r="A26" s="126" t="s">
        <v>62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s="25" customFormat="1" ht="12" customHeight="1" x14ac:dyDescent="0.2">
      <c r="A27" s="139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</row>
    <row r="28" spans="1:36" ht="22.5" customHeight="1" x14ac:dyDescent="0.25">
      <c r="A28" s="126" t="s">
        <v>46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5" customFormat="1" ht="12.95" customHeight="1" x14ac:dyDescent="0.2">
      <c r="A30" s="146" t="s">
        <v>35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</row>
    <row r="31" spans="1:36" s="25" customFormat="1" ht="12.95" customHeight="1" x14ac:dyDescent="0.2">
      <c r="A31" s="140" t="s">
        <v>18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s="25" customFormat="1" ht="12.95" customHeight="1" x14ac:dyDescent="0.2">
      <c r="A32" s="105"/>
      <c r="B32" s="105"/>
      <c r="C32" s="105"/>
      <c r="D32" s="105"/>
      <c r="E32" s="105"/>
      <c r="F32" s="105"/>
      <c r="G32" s="105"/>
      <c r="H32" s="105"/>
      <c r="I32" s="105"/>
      <c r="J32" s="105"/>
    </row>
    <row r="33" spans="1:36" s="25" customFormat="1" ht="12.95" customHeight="1" x14ac:dyDescent="0.2">
      <c r="A33" s="29"/>
      <c r="B33" s="29" t="s">
        <v>17</v>
      </c>
      <c r="C33" s="30">
        <f>'АОСР-8'!C33+1</f>
        <v>9</v>
      </c>
      <c r="D33" s="30"/>
      <c r="E33" s="128" t="s">
        <v>91</v>
      </c>
      <c r="F33" s="128"/>
      <c r="G33" s="128"/>
      <c r="H33" s="31"/>
      <c r="I33" s="31"/>
      <c r="J33" s="31"/>
      <c r="X33" s="26"/>
      <c r="Y33" s="36"/>
      <c r="Z33" s="36"/>
      <c r="AB33" s="138" t="str">
        <f>P80</f>
        <v>18.04.2025</v>
      </c>
      <c r="AC33" s="138"/>
      <c r="AD33" s="138"/>
      <c r="AE33" s="138"/>
      <c r="AF33" s="138"/>
      <c r="AG33" s="138"/>
      <c r="AH33" s="138"/>
      <c r="AI33" s="138"/>
      <c r="AJ33" s="25" t="s">
        <v>5</v>
      </c>
    </row>
    <row r="34" spans="1:36" ht="12.95" customHeight="1" x14ac:dyDescent="0.25">
      <c r="Y34" s="11"/>
      <c r="Z34" s="14"/>
      <c r="AA34" s="11"/>
      <c r="AB34" s="145" t="s">
        <v>16</v>
      </c>
      <c r="AC34" s="145"/>
      <c r="AD34" s="145"/>
      <c r="AE34" s="145"/>
      <c r="AF34" s="145"/>
      <c r="AG34" s="145"/>
      <c r="AH34" s="145"/>
      <c r="AI34" s="145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5" customFormat="1" ht="27.75" customHeight="1" x14ac:dyDescent="0.2">
      <c r="A36" s="136" t="s">
        <v>47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</row>
    <row r="37" spans="1:36" s="25" customFormat="1" ht="24.75" customHeight="1" x14ac:dyDescent="0.2">
      <c r="A37" s="129" t="str">
        <f>'Данные объект'!C34</f>
        <v>Гл. специалист ССК УКС ПАО "Россети Московский регион" Алексанян Г.Р., Приказ №2363 от 29 июля 2025г (НРС С-50-069023)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36" ht="28.5" customHeight="1" x14ac:dyDescent="0.25">
      <c r="A38" s="126" t="s">
        <v>48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</row>
    <row r="39" spans="1:36" s="25" customFormat="1" ht="23.25" customHeight="1" x14ac:dyDescent="0.2">
      <c r="A39" s="129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</row>
    <row r="40" spans="1:36" ht="25.5" customHeight="1" x14ac:dyDescent="0.25">
      <c r="A40" s="135" t="s">
        <v>49</v>
      </c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s="25" customFormat="1" ht="12" customHeight="1" x14ac:dyDescent="0.2">
      <c r="A41" s="25" t="s">
        <v>24</v>
      </c>
    </row>
    <row r="42" spans="1:36" s="25" customFormat="1" ht="12" customHeight="1" x14ac:dyDescent="0.2">
      <c r="A42" s="139" t="str">
        <f>'Данные объект'!C21</f>
        <v>Прораб ООО"Энергосистемы" Красилов К.А., Приказ №05-ОТ/24 от 09 января 2024г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</row>
    <row r="43" spans="1:36" ht="9" customHeight="1" x14ac:dyDescent="0.25">
      <c r="A43" s="126" t="s">
        <v>25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</row>
    <row r="44" spans="1:36" s="25" customFormat="1" ht="14.25" customHeight="1" x14ac:dyDescent="0.2">
      <c r="A44" s="136" t="s">
        <v>50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</row>
    <row r="45" spans="1:36" s="32" customFormat="1" ht="23.25" customHeight="1" x14ac:dyDescent="0.2">
      <c r="A45" s="129" t="str">
        <f>'Данные объект'!C18</f>
        <v>Инженер по строительному контролю ООО"Энергосистемы" Капитонов Д.А., Приказ № 18-ОТ/24 от 03 июня 2024 (НОСТРОЙ С-50-188017)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36" ht="30" customHeight="1" x14ac:dyDescent="0.25">
      <c r="A46" s="126" t="s">
        <v>51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x14ac:dyDescent="0.25">
      <c r="A47" s="136" t="s">
        <v>207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ht="15" customHeight="1" x14ac:dyDescent="0.25">
      <c r="A48" s="129" t="str">
        <f>'Данные объект'!$C$36</f>
        <v>Мастер СРЭС СЭС филиала ПАО "Россети Московский регион" Курчин М.М.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ht="13.5" customHeight="1" x14ac:dyDescent="0.25">
      <c r="A49" s="126" t="s">
        <v>25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s="25" customFormat="1" ht="36.75" customHeight="1" x14ac:dyDescent="0.2">
      <c r="A50" s="123" t="s">
        <v>52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</row>
    <row r="51" spans="1:36" s="32" customFormat="1" ht="12.95" customHeight="1" x14ac:dyDescent="0.2">
      <c r="A51" s="139" t="s">
        <v>75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</row>
    <row r="52" spans="1:36" ht="29.25" customHeight="1" x14ac:dyDescent="0.25">
      <c r="A52" s="126" t="s">
        <v>53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s="25" customFormat="1" ht="25.5" hidden="1" customHeight="1" x14ac:dyDescent="0.2">
      <c r="A53" s="123" t="s">
        <v>54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</row>
    <row r="54" spans="1:36" s="25" customFormat="1" ht="12" hidden="1" customHeight="1" x14ac:dyDescent="0.2">
      <c r="A54" s="129" t="e">
        <f>CONCATENATE(#REF!,", ",#REF!," - ",#REF!)</f>
        <v>#REF!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ht="9.75" hidden="1" customHeight="1" x14ac:dyDescent="0.25">
      <c r="A55" s="126" t="s">
        <v>28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</row>
    <row r="56" spans="1:36" s="25" customFormat="1" ht="12" hidden="1" customHeight="1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</row>
    <row r="57" spans="1:36" ht="16.5" hidden="1" customHeight="1" x14ac:dyDescent="0.25">
      <c r="A57" s="126" t="s">
        <v>55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 spans="1:36" s="25" customFormat="1" ht="12" customHeight="1" x14ac:dyDescent="0.2">
      <c r="A58" s="25" t="s">
        <v>15</v>
      </c>
    </row>
    <row r="59" spans="1:36" s="25" customFormat="1" ht="12.95" customHeight="1" x14ac:dyDescent="0.2">
      <c r="A59" s="128" t="str">
        <f>'Данные объект'!B11</f>
        <v>ООО"Энергосистемы"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spans="1:36" ht="10.5" customHeight="1" x14ac:dyDescent="0.25">
      <c r="A60" s="132" t="s">
        <v>39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</row>
    <row r="61" spans="1:36" s="25" customFormat="1" ht="12" customHeight="1" x14ac:dyDescent="0.2">
      <c r="A61" s="25" t="s">
        <v>14</v>
      </c>
    </row>
    <row r="62" spans="1:36" s="25" customFormat="1" ht="12" customHeight="1" x14ac:dyDescent="0.2">
      <c r="A62" s="25" t="s">
        <v>29</v>
      </c>
    </row>
    <row r="63" spans="1:36" s="25" customFormat="1" ht="12" customHeight="1" x14ac:dyDescent="0.2">
      <c r="A63" s="159" t="s">
        <v>231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29" t="str">
        <f>'АОСР-1'!N63</f>
        <v>КТП №3865</v>
      </c>
      <c r="M63" s="129"/>
      <c r="N63" s="129"/>
      <c r="O63" s="129"/>
      <c r="P63" s="129"/>
      <c r="Q63" s="129"/>
      <c r="R63" s="129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33"/>
      <c r="AF63" s="33"/>
      <c r="AG63" s="33"/>
      <c r="AH63" s="33"/>
      <c r="AI63" s="33"/>
      <c r="AJ63" s="33"/>
    </row>
    <row r="64" spans="1:36" ht="8.25" customHeight="1" x14ac:dyDescent="0.25">
      <c r="A64" s="126" t="s">
        <v>13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</row>
    <row r="65" spans="1:36" s="25" customFormat="1" ht="12" customHeight="1" x14ac:dyDescent="0.2">
      <c r="A65" s="25" t="s">
        <v>12</v>
      </c>
    </row>
    <row r="66" spans="1:36" s="25" customFormat="1" ht="12" customHeight="1" x14ac:dyDescent="0.2">
      <c r="A66" s="129" t="str">
        <f>'Данные объект'!B43</f>
        <v>4844-315915-113-05/24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ht="15" customHeight="1" x14ac:dyDescent="0.25">
      <c r="A67" s="126" t="s">
        <v>40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25" customFormat="1" ht="12" customHeight="1" x14ac:dyDescent="0.2">
      <c r="A68" s="25" t="s">
        <v>11</v>
      </c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106"/>
      <c r="K69" s="9"/>
      <c r="L69" s="9"/>
      <c r="M69" s="9"/>
      <c r="N69" s="9"/>
      <c r="O69" s="9"/>
      <c r="P69" s="131" t="s">
        <v>56</v>
      </c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</row>
    <row r="70" spans="1:36" s="25" customFormat="1" ht="12" customHeight="1" x14ac:dyDescent="0.2">
      <c r="A70" s="161" t="s">
        <v>234</v>
      </c>
      <c r="B70" s="161"/>
      <c r="C70" s="161"/>
      <c r="D70" s="161"/>
      <c r="E70" s="161"/>
      <c r="F70" s="161"/>
      <c r="G70" s="96" t="s">
        <v>75</v>
      </c>
      <c r="H70" s="152"/>
      <c r="I70" s="152"/>
      <c r="J70" s="98" t="s">
        <v>161</v>
      </c>
      <c r="K70" s="99" t="s">
        <v>170</v>
      </c>
      <c r="L70" s="95" t="s">
        <v>233</v>
      </c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</row>
    <row r="71" spans="1:36" ht="12" customHeight="1" x14ac:dyDescent="0.25">
      <c r="A71" s="161" t="s">
        <v>232</v>
      </c>
      <c r="B71" s="161"/>
      <c r="C71" s="161"/>
      <c r="D71" s="161"/>
      <c r="E71" s="161"/>
      <c r="F71" s="161"/>
      <c r="G71" s="96" t="s">
        <v>75</v>
      </c>
      <c r="H71" s="152"/>
      <c r="I71" s="152"/>
      <c r="J71" s="100" t="s">
        <v>161</v>
      </c>
      <c r="K71" s="99" t="s">
        <v>170</v>
      </c>
      <c r="L71" s="95" t="s">
        <v>233</v>
      </c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101"/>
      <c r="AG71" s="101"/>
      <c r="AH71" s="101"/>
      <c r="AI71" s="101"/>
      <c r="AJ71" s="101"/>
    </row>
    <row r="72" spans="1:36" ht="18.75" customHeight="1" x14ac:dyDescent="0.25">
      <c r="A72" s="126" t="s">
        <v>57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25" customFormat="1" ht="12" customHeight="1" x14ac:dyDescent="0.2">
      <c r="A73" s="25" t="s">
        <v>10</v>
      </c>
    </row>
    <row r="74" spans="1:36" s="25" customFormat="1" ht="12" customHeight="1" x14ac:dyDescent="0.2">
      <c r="A74" s="25" t="s">
        <v>9</v>
      </c>
      <c r="G74" s="128" t="s">
        <v>235</v>
      </c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spans="1:36" ht="7.5" customHeight="1" x14ac:dyDescent="0.25">
      <c r="A75" s="137"/>
      <c r="B75" s="137"/>
      <c r="C75" s="8"/>
      <c r="D75" s="8"/>
      <c r="E75" s="8"/>
      <c r="F75" s="8"/>
      <c r="G75" s="127" t="s">
        <v>8</v>
      </c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</row>
    <row r="76" spans="1:36" s="25" customFormat="1" ht="12" hidden="1" customHeight="1" x14ac:dyDescent="0.2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</row>
    <row r="77" spans="1:36" ht="7.5" customHeight="1" x14ac:dyDescent="0.25">
      <c r="A77" s="126" t="s">
        <v>30</v>
      </c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</row>
    <row r="78" spans="1:36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5" customFormat="1" ht="12" customHeight="1" x14ac:dyDescent="0.2">
      <c r="A79" s="25" t="s">
        <v>7</v>
      </c>
      <c r="D79" s="34"/>
      <c r="E79" s="34"/>
      <c r="F79" s="34"/>
      <c r="G79" s="34"/>
      <c r="L79" s="26"/>
      <c r="M79" s="36"/>
      <c r="N79" s="36"/>
      <c r="P79" s="138" t="str">
        <f>'Данные объект'!B6</f>
        <v>07.04.2025</v>
      </c>
      <c r="Q79" s="138"/>
      <c r="R79" s="138"/>
      <c r="S79" s="138"/>
      <c r="T79" s="138"/>
      <c r="U79" s="138"/>
      <c r="V79" s="138"/>
      <c r="W79" s="138"/>
      <c r="X79" s="25" t="s">
        <v>5</v>
      </c>
    </row>
    <row r="80" spans="1:36" s="25" customFormat="1" ht="12" customHeight="1" x14ac:dyDescent="0.2">
      <c r="A80" s="25" t="s">
        <v>6</v>
      </c>
      <c r="D80" s="34"/>
      <c r="E80" s="34"/>
      <c r="F80" s="34"/>
      <c r="G80" s="34"/>
      <c r="L80" s="26"/>
      <c r="M80" s="36"/>
      <c r="N80" s="36"/>
      <c r="P80" s="124" t="str">
        <f>'Данные объект'!B7</f>
        <v>18.04.2025</v>
      </c>
      <c r="Q80" s="124"/>
      <c r="R80" s="124"/>
      <c r="S80" s="124"/>
      <c r="T80" s="124"/>
      <c r="U80" s="124"/>
      <c r="V80" s="124"/>
      <c r="W80" s="124"/>
      <c r="X80" s="25" t="s">
        <v>5</v>
      </c>
    </row>
    <row r="81" spans="1:36" ht="7.5" customHeight="1" x14ac:dyDescent="0.25">
      <c r="A81" s="6"/>
      <c r="B81" s="6"/>
      <c r="C81" s="6"/>
      <c r="D81" s="5"/>
      <c r="E81" s="5"/>
      <c r="F81" s="5"/>
      <c r="G81" s="5"/>
    </row>
    <row r="82" spans="1:36" s="25" customFormat="1" ht="12" customHeight="1" x14ac:dyDescent="0.2">
      <c r="A82" s="25" t="s">
        <v>4</v>
      </c>
    </row>
    <row r="83" spans="1:36" s="25" customFormat="1" ht="12" customHeight="1" x14ac:dyDescent="0.2">
      <c r="A83" s="125" t="s">
        <v>169</v>
      </c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</row>
    <row r="84" spans="1:36" ht="8.25" customHeight="1" x14ac:dyDescent="0.25">
      <c r="A84" s="126" t="s">
        <v>184</v>
      </c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</row>
    <row r="85" spans="1:36" s="25" customFormat="1" ht="12" customHeight="1" x14ac:dyDescent="0.2">
      <c r="A85" s="25" t="s">
        <v>3</v>
      </c>
    </row>
    <row r="86" spans="1:36" s="25" customFormat="1" ht="12" customHeight="1" x14ac:dyDescent="0.2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</row>
    <row r="87" spans="1:36" ht="9" customHeight="1" x14ac:dyDescent="0.25">
      <c r="A87" s="126" t="s">
        <v>31</v>
      </c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</row>
    <row r="88" spans="1:36" s="25" customFormat="1" ht="12" customHeight="1" x14ac:dyDescent="0.2">
      <c r="A88" s="25" t="s">
        <v>2</v>
      </c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5" customFormat="1" ht="12" customHeight="1" x14ac:dyDescent="0.2">
      <c r="A90" s="25" t="s">
        <v>103</v>
      </c>
      <c r="H90" s="128">
        <v>1</v>
      </c>
      <c r="I90" s="128"/>
      <c r="J90" s="25" t="s">
        <v>32</v>
      </c>
    </row>
    <row r="91" spans="1:36" ht="4.5" customHeight="1" x14ac:dyDescent="0.25"/>
    <row r="92" spans="1:36" s="25" customFormat="1" ht="12" customHeight="1" x14ac:dyDescent="0.2">
      <c r="A92" s="25" t="s">
        <v>1</v>
      </c>
    </row>
    <row r="93" spans="1:36" s="25" customFormat="1" ht="12" customHeight="1" x14ac:dyDescent="0.2">
      <c r="A93" s="30" t="s">
        <v>88</v>
      </c>
      <c r="B93" s="125" t="str">
        <f>G74</f>
        <v>Исполнительная схема ограждения ТП</v>
      </c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30" t="s">
        <v>75</v>
      </c>
      <c r="W93" s="30" t="s">
        <v>89</v>
      </c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</row>
    <row r="94" spans="1:36" s="25" customFormat="1" ht="12" customHeight="1" x14ac:dyDescent="0.2">
      <c r="A94" s="35" t="s">
        <v>90</v>
      </c>
      <c r="B94" s="35" t="str">
        <f>L70</f>
        <v xml:space="preserve">Сертификат качества № 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 t="s">
        <v>75</v>
      </c>
      <c r="W94" s="35" t="s">
        <v>89</v>
      </c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</row>
    <row r="95" spans="1:36" s="25" customFormat="1" ht="12" customHeight="1" x14ac:dyDescent="0.2">
      <c r="A95" s="35" t="s">
        <v>99</v>
      </c>
      <c r="B95" s="35" t="str">
        <f>L71</f>
        <v xml:space="preserve">Сертификат качества № 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 t="s">
        <v>75</v>
      </c>
      <c r="W95" s="35" t="s">
        <v>89</v>
      </c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</row>
    <row r="96" spans="1:36" ht="9.75" customHeight="1" x14ac:dyDescent="0.25">
      <c r="A96" s="126" t="s">
        <v>0</v>
      </c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</row>
    <row r="97" spans="1:36" ht="6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25" customFormat="1" ht="12" customHeight="1" x14ac:dyDescent="0.2">
      <c r="A98" s="25" t="s">
        <v>22</v>
      </c>
    </row>
    <row r="99" spans="1:36" s="25" customFormat="1" ht="12" customHeight="1" x14ac:dyDescent="0.2">
      <c r="A99" s="25" t="s">
        <v>23</v>
      </c>
    </row>
    <row r="100" spans="1:36" s="25" customFormat="1" ht="12" customHeight="1" x14ac:dyDescent="0.2">
      <c r="A100" s="128" t="str">
        <f>'Данные объект'!B33</f>
        <v>Алексанян Г.Р.</v>
      </c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128"/>
      <c r="AC100" s="128"/>
      <c r="AD100" s="128"/>
      <c r="AE100" s="128"/>
      <c r="AF100" s="128"/>
      <c r="AG100" s="128"/>
      <c r="AH100" s="128"/>
      <c r="AI100" s="128"/>
      <c r="AJ100" s="128"/>
    </row>
    <row r="101" spans="1:36" ht="9" customHeight="1" x14ac:dyDescent="0.25">
      <c r="A101" s="132" t="s">
        <v>34</v>
      </c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1" t="s">
        <v>33</v>
      </c>
      <c r="AC101" s="131"/>
      <c r="AD101" s="131"/>
      <c r="AE101" s="131"/>
      <c r="AF101" s="131"/>
      <c r="AG101" s="131"/>
      <c r="AH101" s="131"/>
      <c r="AI101" s="131"/>
      <c r="AJ101" s="131"/>
    </row>
    <row r="102" spans="1:36" s="25" customFormat="1" ht="12" customHeight="1" x14ac:dyDescent="0.2">
      <c r="A102" s="25" t="s">
        <v>24</v>
      </c>
    </row>
    <row r="103" spans="1:36" s="25" customFormat="1" ht="12" customHeight="1" x14ac:dyDescent="0.2">
      <c r="A103" s="128" t="str">
        <f>'Данные объект'!B20</f>
        <v>Красилов К.А.</v>
      </c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128"/>
      <c r="AC103" s="128"/>
      <c r="AD103" s="128"/>
      <c r="AE103" s="128"/>
      <c r="AF103" s="128"/>
      <c r="AG103" s="128"/>
      <c r="AH103" s="128"/>
      <c r="AI103" s="128"/>
      <c r="AJ103" s="128"/>
    </row>
    <row r="104" spans="1:36" ht="9" customHeight="1" x14ac:dyDescent="0.25">
      <c r="A104" s="132" t="s">
        <v>34</v>
      </c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1" t="s">
        <v>33</v>
      </c>
      <c r="AC104" s="131"/>
      <c r="AD104" s="131"/>
      <c r="AE104" s="131"/>
      <c r="AF104" s="131"/>
      <c r="AG104" s="131"/>
      <c r="AH104" s="131"/>
      <c r="AI104" s="131"/>
      <c r="AJ104" s="131"/>
    </row>
    <row r="105" spans="1:36" s="25" customFormat="1" ht="12" customHeight="1" x14ac:dyDescent="0.2">
      <c r="A105" s="25" t="s">
        <v>26</v>
      </c>
    </row>
    <row r="106" spans="1:36" s="25" customFormat="1" ht="12" customHeight="1" x14ac:dyDescent="0.2">
      <c r="A106" s="25" t="s">
        <v>27</v>
      </c>
    </row>
    <row r="107" spans="1:36" s="25" customFormat="1" ht="12" customHeight="1" x14ac:dyDescent="0.2">
      <c r="A107" s="128" t="str">
        <f>'Данные объект'!B17</f>
        <v>Капитонов Д.А.</v>
      </c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128"/>
      <c r="AC107" s="128"/>
      <c r="AD107" s="128"/>
      <c r="AE107" s="128"/>
      <c r="AF107" s="128"/>
      <c r="AG107" s="128"/>
      <c r="AH107" s="128"/>
      <c r="AI107" s="128"/>
      <c r="AJ107" s="128"/>
    </row>
    <row r="108" spans="1:36" ht="9" customHeight="1" x14ac:dyDescent="0.25">
      <c r="A108" s="132" t="s">
        <v>34</v>
      </c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1" t="s">
        <v>33</v>
      </c>
      <c r="AC108" s="131"/>
      <c r="AD108" s="131"/>
      <c r="AE108" s="131"/>
      <c r="AF108" s="131"/>
      <c r="AG108" s="131"/>
      <c r="AH108" s="131"/>
      <c r="AI108" s="131"/>
      <c r="AJ108" s="131"/>
    </row>
    <row r="109" spans="1:36" x14ac:dyDescent="0.25">
      <c r="A109" s="25" t="s">
        <v>208</v>
      </c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04"/>
      <c r="AC109" s="104"/>
      <c r="AD109" s="104"/>
      <c r="AE109" s="104"/>
      <c r="AF109" s="104"/>
      <c r="AG109" s="104"/>
      <c r="AH109" s="104"/>
      <c r="AI109" s="104"/>
      <c r="AJ109" s="104"/>
    </row>
    <row r="110" spans="1:36" x14ac:dyDescent="0.25">
      <c r="A110" s="128" t="str">
        <f>'Данные объект'!$B$36</f>
        <v>Курчин М.М.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28"/>
      <c r="AC110" s="128"/>
      <c r="AD110" s="128"/>
      <c r="AE110" s="128"/>
      <c r="AF110" s="128"/>
      <c r="AG110" s="128"/>
      <c r="AH110" s="128"/>
      <c r="AI110" s="128"/>
      <c r="AJ110" s="128"/>
    </row>
    <row r="111" spans="1:36" ht="9" customHeight="1" x14ac:dyDescent="0.25">
      <c r="A111" s="132" t="s">
        <v>34</v>
      </c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1" t="s">
        <v>33</v>
      </c>
      <c r="AC111" s="131"/>
      <c r="AD111" s="131"/>
      <c r="AE111" s="131"/>
      <c r="AF111" s="131"/>
      <c r="AG111" s="131"/>
      <c r="AH111" s="131"/>
      <c r="AI111" s="131"/>
      <c r="AJ111" s="131"/>
    </row>
    <row r="112" spans="1:36" s="25" customFormat="1" ht="35.25" customHeight="1" x14ac:dyDescent="0.2">
      <c r="A112" s="123" t="s">
        <v>52</v>
      </c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3"/>
      <c r="AH112" s="123"/>
      <c r="AI112" s="123"/>
      <c r="AJ112" s="123"/>
    </row>
    <row r="113" spans="1:36" ht="12" customHeight="1" x14ac:dyDescent="0.25">
      <c r="A113" s="156" t="s">
        <v>75</v>
      </c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6" t="s">
        <v>75</v>
      </c>
      <c r="AC113" s="156"/>
      <c r="AD113" s="156"/>
      <c r="AE113" s="156"/>
      <c r="AF113" s="156"/>
      <c r="AG113" s="156"/>
      <c r="AH113" s="156"/>
      <c r="AI113" s="156"/>
      <c r="AJ113" s="156"/>
    </row>
    <row r="114" spans="1:36" ht="9" customHeight="1" x14ac:dyDescent="0.25">
      <c r="A114" s="132" t="s">
        <v>34</v>
      </c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1" t="s">
        <v>33</v>
      </c>
      <c r="AC114" s="131"/>
      <c r="AD114" s="131"/>
      <c r="AE114" s="131"/>
      <c r="AF114" s="131"/>
      <c r="AG114" s="131"/>
      <c r="AH114" s="131"/>
      <c r="AI114" s="131"/>
      <c r="AJ114" s="131"/>
    </row>
    <row r="115" spans="1:36" s="25" customFormat="1" ht="40.5" hidden="1" customHeight="1" x14ac:dyDescent="0.2">
      <c r="A115" s="123" t="s">
        <v>54</v>
      </c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</row>
    <row r="116" spans="1:36" s="25" customFormat="1" ht="12" hidden="1" customHeight="1" x14ac:dyDescent="0.2">
      <c r="A116" s="128" t="e">
        <f>#REF!</f>
        <v>#REF!</v>
      </c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128"/>
      <c r="AC116" s="128"/>
      <c r="AD116" s="128"/>
      <c r="AE116" s="128"/>
      <c r="AF116" s="128"/>
      <c r="AG116" s="128"/>
      <c r="AH116" s="128"/>
      <c r="AI116" s="128"/>
      <c r="AJ116" s="128"/>
    </row>
    <row r="117" spans="1:36" ht="9" hidden="1" customHeight="1" x14ac:dyDescent="0.25">
      <c r="A117" s="132" t="s">
        <v>34</v>
      </c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1" t="s">
        <v>33</v>
      </c>
      <c r="AC117" s="131"/>
      <c r="AD117" s="131"/>
      <c r="AE117" s="131"/>
      <c r="AF117" s="131"/>
      <c r="AG117" s="131"/>
      <c r="AH117" s="131"/>
      <c r="AI117" s="131"/>
      <c r="AJ117" s="131"/>
    </row>
    <row r="118" spans="1:36" ht="12" customHeight="1" x14ac:dyDescent="0.25"/>
  </sheetData>
  <mergeCells count="103">
    <mergeCell ref="A114:O114"/>
    <mergeCell ref="AB114:AJ114"/>
    <mergeCell ref="A115:AJ115"/>
    <mergeCell ref="A116:O116"/>
    <mergeCell ref="AB116:AJ116"/>
    <mergeCell ref="A117:O117"/>
    <mergeCell ref="AB117:AJ117"/>
    <mergeCell ref="A110:O110"/>
    <mergeCell ref="AB110:AJ110"/>
    <mergeCell ref="A111:O111"/>
    <mergeCell ref="AB111:AJ111"/>
    <mergeCell ref="A112:AJ112"/>
    <mergeCell ref="A113:O113"/>
    <mergeCell ref="AB113:AJ113"/>
    <mergeCell ref="A104:O104"/>
    <mergeCell ref="AB104:AJ104"/>
    <mergeCell ref="A107:O107"/>
    <mergeCell ref="AB107:AJ107"/>
    <mergeCell ref="A108:O108"/>
    <mergeCell ref="AB108:AJ108"/>
    <mergeCell ref="A100:O100"/>
    <mergeCell ref="AB100:AJ100"/>
    <mergeCell ref="A101:O101"/>
    <mergeCell ref="AB101:AJ101"/>
    <mergeCell ref="A103:O103"/>
    <mergeCell ref="AB103:AJ103"/>
    <mergeCell ref="A86:AJ86"/>
    <mergeCell ref="A87:AJ87"/>
    <mergeCell ref="L88:AJ88"/>
    <mergeCell ref="H90:I90"/>
    <mergeCell ref="B93:U93"/>
    <mergeCell ref="A96:AJ96"/>
    <mergeCell ref="A76:AJ76"/>
    <mergeCell ref="A77:AJ77"/>
    <mergeCell ref="P79:W79"/>
    <mergeCell ref="P80:W80"/>
    <mergeCell ref="A83:AJ83"/>
    <mergeCell ref="A84:AJ84"/>
    <mergeCell ref="A72:AJ72"/>
    <mergeCell ref="G74:AJ74"/>
    <mergeCell ref="A75:B75"/>
    <mergeCell ref="G75:AJ75"/>
    <mergeCell ref="A67:AJ67"/>
    <mergeCell ref="P68:AJ68"/>
    <mergeCell ref="P69:AJ69"/>
    <mergeCell ref="A70:F70"/>
    <mergeCell ref="H70:I70"/>
    <mergeCell ref="A71:F71"/>
    <mergeCell ref="H71:I71"/>
    <mergeCell ref="A59:AJ59"/>
    <mergeCell ref="A60:AJ60"/>
    <mergeCell ref="L63:R63"/>
    <mergeCell ref="A64:AJ64"/>
    <mergeCell ref="A66:AJ66"/>
    <mergeCell ref="A63:K63"/>
    <mergeCell ref="A52:AJ52"/>
    <mergeCell ref="A53:AJ53"/>
    <mergeCell ref="A54:AJ54"/>
    <mergeCell ref="A55:AJ55"/>
    <mergeCell ref="A56:AJ56"/>
    <mergeCell ref="A57:AJ57"/>
    <mergeCell ref="A46:AJ46"/>
    <mergeCell ref="A47:AJ47"/>
    <mergeCell ref="A48:AJ48"/>
    <mergeCell ref="A49:AJ49"/>
    <mergeCell ref="A50:AJ50"/>
    <mergeCell ref="A51:AJ51"/>
    <mergeCell ref="A39:AJ39"/>
    <mergeCell ref="A40:AJ40"/>
    <mergeCell ref="A42:AJ42"/>
    <mergeCell ref="A43:AJ43"/>
    <mergeCell ref="A44:AJ44"/>
    <mergeCell ref="A45:AJ45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10</vt:i4>
      </vt:variant>
    </vt:vector>
  </HeadingPairs>
  <TitlesOfParts>
    <vt:vector size="21" baseType="lpstr"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АОСР-7</vt:lpstr>
      <vt:lpstr>АОСР-8</vt:lpstr>
      <vt:lpstr>АОСР-9</vt:lpstr>
      <vt:lpstr>'АОСР-1'!Область_печати</vt:lpstr>
      <vt:lpstr>'АОСР-2'!Область_печати</vt:lpstr>
      <vt:lpstr>'АОСР-3'!Область_печати</vt:lpstr>
      <vt:lpstr>'АОСР-4'!Область_печати</vt:lpstr>
      <vt:lpstr>'АОСР-5'!Область_печати</vt:lpstr>
      <vt:lpstr>'АОСР-6'!Область_печати</vt:lpstr>
      <vt:lpstr>'АОСР-7'!Область_печати</vt:lpstr>
      <vt:lpstr>'АОСР-8'!Область_печати</vt:lpstr>
      <vt:lpstr>'АОСР-9'!Область_печати</vt:lpstr>
      <vt:lpstr>'Данные объект'!Область_печати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Бараночникова Виктория Романовна</cp:lastModifiedBy>
  <cp:lastPrinted>2025-06-25T08:53:07Z</cp:lastPrinted>
  <dcterms:created xsi:type="dcterms:W3CDTF">2018-02-24T16:53:12Z</dcterms:created>
  <dcterms:modified xsi:type="dcterms:W3CDTF">2026-07-15T06:50:35Z</dcterms:modified>
</cp:coreProperties>
</file>