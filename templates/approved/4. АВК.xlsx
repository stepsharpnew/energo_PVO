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codeName="ЭтаКнига" defaultThemeVersion="124226"/>
  <xr:revisionPtr revIDLastSave="0" documentId="13_ncr:1_{0E36F797-F68B-4DCE-A343-206795773536}" xr6:coauthVersionLast="45" xr6:coauthVersionMax="47" xr10:uidLastSave="{00000000-0000-0000-0000-000000000000}"/>
  <bookViews>
    <workbookView xWindow="-120" yWindow="-120" windowWidth="29040" windowHeight="15840" tabRatio="938" activeTab="2" xr2:uid="{00000000-000D-0000-FFFF-FFFF00000000}"/>
  </bookViews>
  <sheets>
    <sheet name="Данные организации" sheetId="53" r:id="rId1"/>
    <sheet name="Данные объект" sheetId="54" r:id="rId2"/>
    <sheet name=" Журнал АВК" sheetId="52" r:id="rId3"/>
    <sheet name="КТП" sheetId="16" r:id="rId4"/>
    <sheet name="ТМГ" sheetId="17" r:id="rId5"/>
    <sheet name="РЛК" sheetId="14" state="hidden" r:id="rId6"/>
    <sheet name="ПРВТ" sheetId="15" state="hidden" r:id="rId7"/>
    <sheet name="счетчик СТЭМ" sheetId="51" r:id="rId8"/>
    <sheet name="выключатели ВА" sheetId="34" state="hidden" r:id="rId9"/>
    <sheet name="стойки" sheetId="13" r:id="rId10"/>
    <sheet name="лин.армат 6-10к" sheetId="23" state="hidden" r:id="rId11"/>
    <sheet name="лин.армат 0,4" sheetId="18" r:id="rId12"/>
    <sheet name="ВРЩ" sheetId="22" state="hidden" r:id="rId13"/>
    <sheet name="изоляторы" sheetId="28" state="hidden" r:id="rId14"/>
    <sheet name=" муфты " sheetId="30" state="hidden" r:id="rId15"/>
    <sheet name="ПКТ" sheetId="29" state="hidden" r:id="rId16"/>
    <sheet name="ТТ Т-0,66" sheetId="32" state="hidden" r:id="rId17"/>
    <sheet name="РМК" sheetId="33" state="hidden" r:id="rId18"/>
    <sheet name="КРН" sheetId="47" state="hidden" r:id="rId19"/>
    <sheet name="КСО" sheetId="37" state="hidden" r:id="rId20"/>
    <sheet name="ТОЛ" sheetId="38" state="hidden" r:id="rId21"/>
    <sheet name="Провод СИП 3" sheetId="12" state="hidden" r:id="rId22"/>
    <sheet name="Провод СИП 2" sheetId="55" r:id="rId23"/>
    <sheet name="провод Пувг" sheetId="39" state="hidden" r:id="rId24"/>
    <sheet name="провод ПВС" sheetId="48" state="hidden" r:id="rId25"/>
    <sheet name="каб.АСБ" sheetId="35" r:id="rId26"/>
    <sheet name="АВБшв" sheetId="49" state="hidden" r:id="rId27"/>
    <sheet name="КВВГ" sheetId="40" state="hidden" r:id="rId28"/>
    <sheet name=" фунд.КТП" sheetId="26" state="hidden" r:id="rId29"/>
    <sheet name="труба" sheetId="43" state="hidden" r:id="rId30"/>
    <sheet name="песок" sheetId="72" state="hidden" r:id="rId31"/>
    <sheet name="краска" sheetId="71" r:id="rId32"/>
    <sheet name="уголок 50" sheetId="20" r:id="rId33"/>
    <sheet name="уголок  63" sheetId="56" r:id="rId34"/>
    <sheet name="пол.40х4" sheetId="24" r:id="rId35"/>
    <sheet name="пол.50х4" sheetId="57" r:id="rId36"/>
    <sheet name="арм. 10" sheetId="21" state="hidden" r:id="rId37"/>
    <sheet name="арм. 12" sheetId="25" r:id="rId38"/>
    <sheet name="арм. 8" sheetId="27" r:id="rId39"/>
    <sheet name="швеллер" sheetId="45" r:id="rId40"/>
    <sheet name="Профлист" sheetId="69" r:id="rId41"/>
    <sheet name="упл.каб.прох." sheetId="44" state="hidden" r:id="rId42"/>
    <sheet name="сиг.лента" sheetId="50" state="hidden" r:id="rId43"/>
    <sheet name="ПЗК" sheetId="31" state="hidden" r:id="rId44"/>
    <sheet name="Лист1" sheetId="73" state="hidden" r:id="rId45"/>
    <sheet name="ПНД" sheetId="42" state="hidden" r:id="rId46"/>
  </sheets>
  <definedNames>
    <definedName name="_xlnm.Print_Area" localSheetId="2">' Журнал АВК'!$A$1:$J$86</definedName>
    <definedName name="_xlnm.Print_Area" localSheetId="14">' муфты '!$A$1:$L$95</definedName>
    <definedName name="_xlnm.Print_Area" localSheetId="28">' фунд.КТП'!$A$1:$L$93</definedName>
    <definedName name="_xlnm.Print_Area" localSheetId="26">АВБшв!$A$1:$L$95</definedName>
    <definedName name="_xlnm.Print_Area" localSheetId="36">'арм. 10'!$A$1:$L$97</definedName>
    <definedName name="_xlnm.Print_Area" localSheetId="37">'арм. 12'!$A$1:$L$97</definedName>
    <definedName name="_xlnm.Print_Area" localSheetId="38">'арм. 8'!$A$1:$L$97</definedName>
    <definedName name="_xlnm.Print_Area" localSheetId="12">ВРЩ!$A$1:$L$97</definedName>
    <definedName name="_xlnm.Print_Area" localSheetId="8">'выключатели ВА'!$A$1:$L$96</definedName>
    <definedName name="_xlnm.Print_Area" localSheetId="13">изоляторы!$A$1:$L$97</definedName>
    <definedName name="_xlnm.Print_Area" localSheetId="25">каб.АСБ!$A$1:$L$95</definedName>
    <definedName name="_xlnm.Print_Area" localSheetId="27">КВВГ!$A$1:$L$95</definedName>
    <definedName name="_xlnm.Print_Area" localSheetId="31">краска!$A$1:$L$100</definedName>
    <definedName name="_xlnm.Print_Area" localSheetId="18">КРН!$A$1:$L$95</definedName>
    <definedName name="_xlnm.Print_Area" localSheetId="19">КСО!$A$1:$L$95</definedName>
    <definedName name="_xlnm.Print_Area" localSheetId="3">КТП!$A$1:$L$95</definedName>
    <definedName name="_xlnm.Print_Area" localSheetId="11">'лин.армат 0,4'!$A$1:$L$110</definedName>
    <definedName name="_xlnm.Print_Area" localSheetId="10">'лин.армат 6-10к'!$A$1:$L$107</definedName>
    <definedName name="_xlnm.Print_Area" localSheetId="30">песок!$A$1:$L$97</definedName>
    <definedName name="_xlnm.Print_Area" localSheetId="43">ПЗК!$A$1:$L$95</definedName>
    <definedName name="_xlnm.Print_Area" localSheetId="15">ПКТ!$A$1:$L$95</definedName>
    <definedName name="_xlnm.Print_Area" localSheetId="45">ПНД!$A$1:$L$95</definedName>
    <definedName name="_xlnm.Print_Area" localSheetId="34">пол.40х4!$A$1:$L$97</definedName>
    <definedName name="_xlnm.Print_Area" localSheetId="35">пол.50х4!$A$1:$L$97</definedName>
    <definedName name="_xlnm.Print_Area" localSheetId="6">ПРВТ!$A$1:$L$95</definedName>
    <definedName name="_xlnm.Print_Area" localSheetId="24">'провод ПВС'!$A$1:$L$95</definedName>
    <definedName name="_xlnm.Print_Area" localSheetId="23">'провод Пувг'!$A$1:$L$95</definedName>
    <definedName name="_xlnm.Print_Area" localSheetId="22">'Провод СИП 2'!$A$1:$L$99</definedName>
    <definedName name="_xlnm.Print_Area" localSheetId="21">'Провод СИП 3'!$A$1:$L$97</definedName>
    <definedName name="_xlnm.Print_Area" localSheetId="40">Профлист!$A$1:$L$95</definedName>
    <definedName name="_xlnm.Print_Area" localSheetId="5">РЛК!$A$1:$L$97</definedName>
    <definedName name="_xlnm.Print_Area" localSheetId="17">РМК!$A$1:$L$95</definedName>
    <definedName name="_xlnm.Print_Area" localSheetId="42">сиг.лента!$A$1:$L$95</definedName>
    <definedName name="_xlnm.Print_Area" localSheetId="9">стойки!$A$1:$L$97</definedName>
    <definedName name="_xlnm.Print_Area" localSheetId="7">'счетчик СТЭМ'!$A$1:$L$93</definedName>
    <definedName name="_xlnm.Print_Area" localSheetId="4">ТМГ!$A$1:$L$97</definedName>
    <definedName name="_xlnm.Print_Area" localSheetId="20">ТОЛ!$A$1:$L$95</definedName>
    <definedName name="_xlnm.Print_Area" localSheetId="29">труба!$A$1:$L$97</definedName>
    <definedName name="_xlnm.Print_Area" localSheetId="16">'ТТ Т-0,66'!$A$1:$L$95</definedName>
    <definedName name="_xlnm.Print_Area" localSheetId="33">'уголок  63'!$A$1:$L$99</definedName>
    <definedName name="_xlnm.Print_Area" localSheetId="32">'уголок 50'!$A$1:$L$97</definedName>
    <definedName name="_xlnm.Print_Area" localSheetId="41">'упл.каб.прох.'!$A$1:$L$97</definedName>
    <definedName name="_xlnm.Print_Area" localSheetId="39">швеллер!$A$1:$L$95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6" i="52" l="1"/>
  <c r="E76" i="52"/>
  <c r="D76" i="52"/>
  <c r="C76" i="52"/>
  <c r="B76" i="52"/>
  <c r="G13" i="72" l="1"/>
  <c r="A16" i="72"/>
  <c r="A9" i="72"/>
  <c r="A59" i="72"/>
  <c r="C34" i="72"/>
  <c r="C30" i="72"/>
  <c r="A93" i="72" s="1"/>
  <c r="C28" i="72"/>
  <c r="A90" i="72" s="1"/>
  <c r="C26" i="72"/>
  <c r="A88" i="72" s="1"/>
  <c r="C22" i="72"/>
  <c r="A85" i="72" s="1"/>
  <c r="H19" i="72"/>
  <c r="C19" i="72"/>
  <c r="K16" i="72"/>
  <c r="C29" i="71" l="1"/>
  <c r="C27" i="71"/>
  <c r="A92" i="71" s="1"/>
  <c r="C14" i="71"/>
  <c r="A11" i="71"/>
  <c r="G8" i="71"/>
  <c r="A4" i="71"/>
  <c r="A54" i="71"/>
  <c r="H14" i="71"/>
  <c r="K11" i="71"/>
  <c r="G24" i="53" l="1"/>
  <c r="F24" i="53"/>
  <c r="G23" i="53" l="1"/>
  <c r="A9" i="51" l="1"/>
  <c r="C20" i="52" l="1"/>
  <c r="C21" i="52"/>
  <c r="C22" i="52"/>
  <c r="A57" i="26" l="1"/>
  <c r="A57" i="42"/>
  <c r="C45" i="16"/>
  <c r="A16" i="16"/>
  <c r="E54" i="52" l="1"/>
  <c r="D54" i="52"/>
  <c r="C54" i="52"/>
  <c r="C30" i="27"/>
  <c r="H19" i="42" l="1"/>
  <c r="H19" i="43"/>
  <c r="H19" i="31"/>
  <c r="H19" i="50"/>
  <c r="H19" i="44"/>
  <c r="H19" i="69"/>
  <c r="H19" i="45"/>
  <c r="H19" i="27"/>
  <c r="H19" i="25"/>
  <c r="H19" i="21"/>
  <c r="H19" i="57"/>
  <c r="H19" i="24"/>
  <c r="H19" i="56"/>
  <c r="H19" i="20"/>
  <c r="H19" i="26"/>
  <c r="H19" i="40"/>
  <c r="H19" i="49"/>
  <c r="H19" i="35"/>
  <c r="H19" i="48"/>
  <c r="H19" i="39"/>
  <c r="H19" i="55"/>
  <c r="H19" i="12"/>
  <c r="H19" i="38"/>
  <c r="H19" i="37"/>
  <c r="H19" i="47"/>
  <c r="H19" i="33"/>
  <c r="H19" i="32"/>
  <c r="H19" i="29"/>
  <c r="H19" i="30"/>
  <c r="H19" i="28"/>
  <c r="H19" i="22"/>
  <c r="H19" i="18"/>
  <c r="H19" i="23"/>
  <c r="H19" i="13"/>
  <c r="H19" i="34"/>
  <c r="H19" i="51"/>
  <c r="H19" i="15"/>
  <c r="H19" i="14"/>
  <c r="H19" i="17"/>
  <c r="H19" i="16"/>
  <c r="C32" i="42"/>
  <c r="C34" i="43"/>
  <c r="C32" i="31"/>
  <c r="C32" i="50"/>
  <c r="C34" i="44"/>
  <c r="C32" i="69"/>
  <c r="C32" i="45"/>
  <c r="C32" i="27"/>
  <c r="C32" i="25"/>
  <c r="C32" i="21"/>
  <c r="C32" i="57"/>
  <c r="C32" i="24"/>
  <c r="C34" i="56"/>
  <c r="C32" i="20"/>
  <c r="C32" i="26"/>
  <c r="C32" i="40"/>
  <c r="C32" i="49"/>
  <c r="C32" i="35"/>
  <c r="C32" i="48"/>
  <c r="C32" i="39"/>
  <c r="C34" i="55"/>
  <c r="C32" i="12"/>
  <c r="C32" i="38"/>
  <c r="C32" i="37"/>
  <c r="C32" i="47"/>
  <c r="C32" i="33"/>
  <c r="C32" i="32"/>
  <c r="C32" i="29"/>
  <c r="C32" i="30"/>
  <c r="C34" i="28"/>
  <c r="C32" i="22"/>
  <c r="C32" i="18"/>
  <c r="C32" i="23"/>
  <c r="C32" i="13"/>
  <c r="C32" i="34"/>
  <c r="C32" i="51"/>
  <c r="C32" i="15"/>
  <c r="C32" i="14"/>
  <c r="C32" i="17"/>
  <c r="C32" i="16"/>
  <c r="C30" i="44"/>
  <c r="A93" i="44" s="1"/>
  <c r="A16" i="44"/>
  <c r="C30" i="43"/>
  <c r="A93" i="43" s="1"/>
  <c r="A16" i="43"/>
  <c r="C30" i="42"/>
  <c r="C30" i="31"/>
  <c r="C30" i="50"/>
  <c r="A91" i="50" s="1"/>
  <c r="A16" i="50"/>
  <c r="C30" i="48"/>
  <c r="A91" i="48" s="1"/>
  <c r="A16" i="48"/>
  <c r="C30" i="40"/>
  <c r="A91" i="40" s="1"/>
  <c r="A16" i="40"/>
  <c r="C30" i="49"/>
  <c r="C30" i="39"/>
  <c r="A91" i="39" s="1"/>
  <c r="C30" i="38"/>
  <c r="A91" i="38" s="1"/>
  <c r="C30" i="37"/>
  <c r="A91" i="37" s="1"/>
  <c r="C30" i="47"/>
  <c r="A91" i="47" s="1"/>
  <c r="C30" i="35"/>
  <c r="A91" i="35" s="1"/>
  <c r="C30" i="33"/>
  <c r="A91" i="33" s="1"/>
  <c r="C30" i="32"/>
  <c r="A91" i="32" s="1"/>
  <c r="C30" i="30"/>
  <c r="A57" i="69"/>
  <c r="C30" i="69"/>
  <c r="C30" i="29"/>
  <c r="A91" i="29" s="1"/>
  <c r="C30" i="28"/>
  <c r="A93" i="28" s="1"/>
  <c r="C30" i="45"/>
  <c r="A91" i="27"/>
  <c r="C30" i="25"/>
  <c r="C30" i="57"/>
  <c r="C30" i="22"/>
  <c r="A91" i="22" s="1"/>
  <c r="C30" i="21"/>
  <c r="A91" i="21" s="1"/>
  <c r="C30" i="20"/>
  <c r="C30" i="24"/>
  <c r="C32" i="56"/>
  <c r="C30" i="18"/>
  <c r="C30" i="23"/>
  <c r="C30" i="34"/>
  <c r="A90" i="34" s="1"/>
  <c r="C30" i="26"/>
  <c r="A57" i="51"/>
  <c r="C30" i="51"/>
  <c r="C19" i="51"/>
  <c r="C30" i="17"/>
  <c r="A57" i="16"/>
  <c r="C30" i="16"/>
  <c r="C19" i="18"/>
  <c r="C19" i="23"/>
  <c r="C19" i="34"/>
  <c r="C19" i="26"/>
  <c r="C19" i="17"/>
  <c r="C19" i="16"/>
  <c r="C19" i="15"/>
  <c r="C19" i="14"/>
  <c r="C19" i="13"/>
  <c r="C30" i="15"/>
  <c r="A91" i="15" s="1"/>
  <c r="C30" i="14"/>
  <c r="A93" i="14" s="1"/>
  <c r="C30" i="55"/>
  <c r="C30" i="13"/>
  <c r="A93" i="13" s="1"/>
  <c r="H24" i="53"/>
  <c r="C30" i="12"/>
  <c r="C49" i="54"/>
  <c r="C47" i="54"/>
  <c r="C45" i="54"/>
  <c r="C28" i="28" l="1"/>
  <c r="C23" i="71"/>
  <c r="A85" i="71" s="1"/>
  <c r="C26" i="31"/>
  <c r="C21" i="71"/>
  <c r="A83" i="71" s="1"/>
  <c r="C22" i="12"/>
  <c r="C17" i="71"/>
  <c r="A80" i="71" s="1"/>
  <c r="C28" i="40"/>
  <c r="C28" i="55"/>
  <c r="C28" i="33"/>
  <c r="C28" i="32"/>
  <c r="C28" i="17"/>
  <c r="C28" i="31"/>
  <c r="C28" i="13"/>
  <c r="C28" i="27"/>
  <c r="C28" i="29"/>
  <c r="C28" i="51"/>
  <c r="C28" i="25"/>
  <c r="C28" i="37"/>
  <c r="C28" i="23"/>
  <c r="C28" i="38"/>
  <c r="C28" i="20"/>
  <c r="C26" i="40"/>
  <c r="C26" i="27"/>
  <c r="C26" i="33"/>
  <c r="C26" i="23"/>
  <c r="C26" i="25"/>
  <c r="C26" i="55"/>
  <c r="C26" i="18"/>
  <c r="C26" i="37"/>
  <c r="C26" i="13"/>
  <c r="C26" i="42"/>
  <c r="C26" i="17"/>
  <c r="C26" i="29"/>
  <c r="C26" i="20"/>
  <c r="C26" i="69"/>
  <c r="C26" i="51"/>
  <c r="C26" i="21"/>
  <c r="C22" i="33"/>
  <c r="C22" i="20"/>
  <c r="C22" i="51"/>
  <c r="C22" i="29"/>
  <c r="C22" i="21"/>
  <c r="C22" i="69"/>
  <c r="C22" i="38"/>
  <c r="C22" i="42"/>
  <c r="C22" i="23"/>
  <c r="C22" i="27"/>
  <c r="C22" i="13"/>
  <c r="C22" i="18"/>
  <c r="C22" i="25"/>
  <c r="C22" i="55"/>
  <c r="C22" i="40"/>
  <c r="C26" i="38"/>
  <c r="C28" i="42"/>
  <c r="C22" i="48"/>
  <c r="C22" i="35"/>
  <c r="C26" i="48"/>
  <c r="C22" i="43"/>
  <c r="C28" i="18"/>
  <c r="C28" i="21"/>
  <c r="C28" i="69"/>
  <c r="C26" i="35"/>
  <c r="C22" i="39"/>
  <c r="C28" i="48"/>
  <c r="C28" i="35"/>
  <c r="C26" i="39"/>
  <c r="C26" i="43"/>
  <c r="C28" i="39"/>
  <c r="C28" i="43"/>
  <c r="C22" i="56"/>
  <c r="C26" i="14"/>
  <c r="C26" i="45"/>
  <c r="C22" i="30"/>
  <c r="C22" i="47"/>
  <c r="C22" i="50"/>
  <c r="C28" i="14"/>
  <c r="C26" i="16"/>
  <c r="C28" i="26"/>
  <c r="C28" i="56"/>
  <c r="C26" i="22"/>
  <c r="C28" i="45"/>
  <c r="C26" i="30"/>
  <c r="C26" i="47"/>
  <c r="C22" i="49"/>
  <c r="C26" i="50"/>
  <c r="C22" i="44"/>
  <c r="C22" i="14"/>
  <c r="C22" i="45"/>
  <c r="C22" i="16"/>
  <c r="C28" i="30"/>
  <c r="C28" i="12"/>
  <c r="C22" i="34"/>
  <c r="C22" i="57"/>
  <c r="C22" i="28"/>
  <c r="C28" i="49"/>
  <c r="C26" i="44"/>
  <c r="C22" i="26"/>
  <c r="C22" i="22"/>
  <c r="C28" i="50"/>
  <c r="C22" i="15"/>
  <c r="C26" i="15"/>
  <c r="C26" i="34"/>
  <c r="C26" i="24"/>
  <c r="C26" i="57"/>
  <c r="C26" i="28"/>
  <c r="C22" i="32"/>
  <c r="C22" i="31"/>
  <c r="C28" i="44"/>
  <c r="C26" i="26"/>
  <c r="C26" i="56"/>
  <c r="C26" i="12"/>
  <c r="C28" i="16"/>
  <c r="C28" i="22"/>
  <c r="C28" i="47"/>
  <c r="C26" i="49"/>
  <c r="C22" i="24"/>
  <c r="C28" i="15"/>
  <c r="A88" i="15" s="1"/>
  <c r="C22" i="17"/>
  <c r="C28" i="34"/>
  <c r="C28" i="24"/>
  <c r="C28" i="57"/>
  <c r="C26" i="32"/>
  <c r="C22" i="37"/>
  <c r="A16" i="42"/>
  <c r="A16" i="31"/>
  <c r="A16" i="49"/>
  <c r="A16" i="30"/>
  <c r="A16" i="69"/>
  <c r="A16" i="45"/>
  <c r="A16" i="25"/>
  <c r="A16" i="57"/>
  <c r="A16" i="24"/>
  <c r="A16" i="20"/>
  <c r="A16" i="56"/>
  <c r="A16" i="18"/>
  <c r="A16" i="23"/>
  <c r="A16" i="26"/>
  <c r="A16" i="51"/>
  <c r="A16" i="17"/>
  <c r="A91" i="16" l="1"/>
  <c r="A93" i="17"/>
  <c r="A89" i="51"/>
  <c r="A89" i="26"/>
  <c r="A104" i="23"/>
  <c r="A107" i="18"/>
  <c r="A93" i="56"/>
  <c r="A91" i="20"/>
  <c r="A91" i="24"/>
  <c r="A91" i="57"/>
  <c r="A91" i="25"/>
  <c r="A91" i="45"/>
  <c r="A91" i="69"/>
  <c r="A91" i="30"/>
  <c r="A91" i="49"/>
  <c r="A91" i="31"/>
  <c r="A91" i="42"/>
  <c r="D75" i="52"/>
  <c r="E75" i="52"/>
  <c r="F75" i="52"/>
  <c r="C75" i="52"/>
  <c r="F51" i="52"/>
  <c r="E51" i="52"/>
  <c r="D51" i="52"/>
  <c r="C51" i="52"/>
  <c r="G43" i="69"/>
  <c r="A86" i="69"/>
  <c r="A83" i="69"/>
  <c r="K16" i="69"/>
  <c r="G13" i="69"/>
  <c r="A9" i="69"/>
  <c r="A57" i="57" l="1"/>
  <c r="A86" i="57"/>
  <c r="A83" i="57"/>
  <c r="K16" i="57"/>
  <c r="G13" i="57"/>
  <c r="A9" i="57"/>
  <c r="F37" i="52"/>
  <c r="E37" i="52"/>
  <c r="D37" i="52"/>
  <c r="C37" i="52"/>
  <c r="F45" i="52"/>
  <c r="F44" i="52"/>
  <c r="E45" i="52"/>
  <c r="D45" i="52"/>
  <c r="C45" i="52"/>
  <c r="A59" i="56"/>
  <c r="A88" i="56"/>
  <c r="A85" i="56"/>
  <c r="K16" i="56"/>
  <c r="G13" i="56"/>
  <c r="A9" i="56"/>
  <c r="A95" i="55" l="1"/>
  <c r="A92" i="55"/>
  <c r="A90" i="55"/>
  <c r="A87" i="55"/>
  <c r="A59" i="55"/>
  <c r="C19" i="55"/>
  <c r="K16" i="55"/>
  <c r="A16" i="55"/>
  <c r="G13" i="55"/>
  <c r="A9" i="55"/>
  <c r="C23" i="53"/>
  <c r="B23" i="53"/>
  <c r="A86" i="45" l="1"/>
  <c r="A83" i="45"/>
  <c r="A88" i="44"/>
  <c r="A85" i="44"/>
  <c r="A88" i="43"/>
  <c r="A85" i="43"/>
  <c r="A86" i="42"/>
  <c r="A83" i="42"/>
  <c r="A86" i="31"/>
  <c r="A83" i="31"/>
  <c r="A86" i="50"/>
  <c r="A83" i="50"/>
  <c r="A86" i="48"/>
  <c r="A83" i="48"/>
  <c r="A86" i="40"/>
  <c r="A83" i="40"/>
  <c r="A86" i="49"/>
  <c r="A83" i="49"/>
  <c r="A86" i="39"/>
  <c r="A83" i="39"/>
  <c r="A86" i="38"/>
  <c r="A83" i="38"/>
  <c r="A86" i="37"/>
  <c r="A83" i="37"/>
  <c r="A86" i="47"/>
  <c r="A83" i="47"/>
  <c r="A86" i="35"/>
  <c r="A83" i="35"/>
  <c r="A85" i="34"/>
  <c r="A82" i="34"/>
  <c r="A86" i="33"/>
  <c r="A83" i="33"/>
  <c r="A86" i="32"/>
  <c r="A83" i="32"/>
  <c r="A86" i="30"/>
  <c r="A83" i="30"/>
  <c r="A86" i="29"/>
  <c r="A83" i="29"/>
  <c r="A86" i="15"/>
  <c r="A88" i="14"/>
  <c r="A85" i="14"/>
  <c r="A57" i="17"/>
  <c r="A57" i="15"/>
  <c r="A57" i="14"/>
  <c r="A88" i="13"/>
  <c r="A85" i="13"/>
  <c r="A90" i="12"/>
  <c r="A88" i="12"/>
  <c r="A85" i="12"/>
  <c r="A83" i="16" l="1"/>
  <c r="A83" i="15"/>
  <c r="A90" i="13"/>
  <c r="A86" i="16" l="1"/>
  <c r="A85" i="17"/>
  <c r="A93" i="12"/>
  <c r="A88" i="17" l="1"/>
  <c r="A99" i="18"/>
  <c r="A90" i="14"/>
  <c r="K16" i="42"/>
  <c r="G13" i="42"/>
  <c r="A9" i="42"/>
  <c r="A9" i="39"/>
  <c r="K16" i="38"/>
  <c r="G13" i="38"/>
  <c r="A9" i="38"/>
  <c r="K16" i="37"/>
  <c r="G13" i="37"/>
  <c r="A9" i="37"/>
  <c r="K16" i="30"/>
  <c r="G13" i="30"/>
  <c r="A9" i="30"/>
  <c r="K16" i="24"/>
  <c r="G13" i="24"/>
  <c r="A9" i="24"/>
  <c r="K16" i="51"/>
  <c r="G13" i="51"/>
  <c r="K16" i="20"/>
  <c r="G13" i="20"/>
  <c r="A9" i="20"/>
  <c r="A102" i="18" l="1"/>
  <c r="A83" i="20"/>
  <c r="A88" i="16"/>
  <c r="F74" i="52"/>
  <c r="F73" i="52"/>
  <c r="F72" i="52"/>
  <c r="F71" i="52"/>
  <c r="F70" i="52"/>
  <c r="F69" i="52"/>
  <c r="F68" i="52"/>
  <c r="F67" i="52"/>
  <c r="F66" i="52"/>
  <c r="F65" i="52"/>
  <c r="F64" i="52"/>
  <c r="F63" i="52"/>
  <c r="F62" i="52"/>
  <c r="F61" i="52"/>
  <c r="F60" i="52"/>
  <c r="F59" i="52"/>
  <c r="F58" i="52"/>
  <c r="F57" i="52"/>
  <c r="F56" i="52"/>
  <c r="F55" i="52"/>
  <c r="F54" i="52"/>
  <c r="F53" i="52"/>
  <c r="F52" i="52"/>
  <c r="F50" i="52"/>
  <c r="E74" i="52"/>
  <c r="E73" i="52"/>
  <c r="E72" i="52"/>
  <c r="E71" i="52"/>
  <c r="E70" i="52"/>
  <c r="E69" i="52"/>
  <c r="E68" i="52"/>
  <c r="E67" i="52"/>
  <c r="E66" i="52"/>
  <c r="E65" i="52"/>
  <c r="E64" i="52"/>
  <c r="E63" i="52"/>
  <c r="E62" i="52"/>
  <c r="E61" i="52"/>
  <c r="E60" i="52"/>
  <c r="E59" i="52"/>
  <c r="E58" i="52"/>
  <c r="E57" i="52"/>
  <c r="E56" i="52"/>
  <c r="E55" i="52"/>
  <c r="E53" i="52"/>
  <c r="E52" i="52"/>
  <c r="E50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3" i="52"/>
  <c r="D52" i="52"/>
  <c r="D50" i="52"/>
  <c r="F49" i="52"/>
  <c r="E49" i="52"/>
  <c r="E48" i="52"/>
  <c r="E47" i="52"/>
  <c r="E46" i="52"/>
  <c r="E44" i="52"/>
  <c r="D49" i="52"/>
  <c r="F48" i="52"/>
  <c r="D48" i="52"/>
  <c r="F47" i="52"/>
  <c r="D47" i="52"/>
  <c r="C74" i="52"/>
  <c r="C73" i="52"/>
  <c r="C72" i="52"/>
  <c r="C71" i="52"/>
  <c r="C70" i="52"/>
  <c r="C69" i="52"/>
  <c r="C68" i="52"/>
  <c r="C67" i="52"/>
  <c r="C66" i="52"/>
  <c r="C65" i="52"/>
  <c r="C64" i="52"/>
  <c r="C63" i="52"/>
  <c r="C62" i="52"/>
  <c r="C61" i="52"/>
  <c r="C60" i="52"/>
  <c r="C59" i="52"/>
  <c r="C58" i="52"/>
  <c r="C57" i="52"/>
  <c r="C56" i="52"/>
  <c r="C55" i="52"/>
  <c r="C53" i="52"/>
  <c r="C52" i="52"/>
  <c r="C50" i="52"/>
  <c r="C49" i="52"/>
  <c r="C48" i="52"/>
  <c r="C47" i="52"/>
  <c r="F46" i="52"/>
  <c r="D46" i="52"/>
  <c r="C46" i="52"/>
  <c r="F43" i="52"/>
  <c r="D44" i="52"/>
  <c r="C44" i="52"/>
  <c r="E43" i="52"/>
  <c r="D43" i="52"/>
  <c r="C43" i="52"/>
  <c r="F42" i="52"/>
  <c r="E42" i="52"/>
  <c r="D42" i="52"/>
  <c r="C42" i="52"/>
  <c r="F41" i="52"/>
  <c r="E41" i="52"/>
  <c r="D41" i="52"/>
  <c r="C41" i="52"/>
  <c r="F40" i="52"/>
  <c r="E40" i="52"/>
  <c r="D39" i="52"/>
  <c r="C40" i="52"/>
  <c r="F39" i="52"/>
  <c r="E39" i="52"/>
  <c r="C39" i="52"/>
  <c r="F38" i="52"/>
  <c r="E38" i="52"/>
  <c r="D38" i="52"/>
  <c r="C38" i="52"/>
  <c r="F36" i="52"/>
  <c r="E36" i="52"/>
  <c r="D36" i="52"/>
  <c r="C36" i="52"/>
  <c r="C19" i="12"/>
  <c r="A16" i="12"/>
  <c r="K16" i="12"/>
  <c r="K16" i="13" s="1"/>
  <c r="G13" i="12"/>
  <c r="A9" i="12"/>
  <c r="A9" i="32" s="1"/>
  <c r="A16" i="37" l="1"/>
  <c r="A16" i="47"/>
  <c r="A16" i="39"/>
  <c r="A16" i="38"/>
  <c r="C19" i="69"/>
  <c r="C19" i="56"/>
  <c r="C19" i="57"/>
  <c r="C19" i="28"/>
  <c r="C19" i="32"/>
  <c r="C19" i="27"/>
  <c r="C19" i="22"/>
  <c r="C19" i="30"/>
  <c r="C19" i="39"/>
  <c r="C19" i="48"/>
  <c r="C19" i="21"/>
  <c r="C19" i="42"/>
  <c r="C19" i="45"/>
  <c r="C19" i="35"/>
  <c r="C19" i="47" s="1"/>
  <c r="C19" i="31"/>
  <c r="C19" i="38"/>
  <c r="C19" i="40"/>
  <c r="C19" i="44"/>
  <c r="C19" i="25"/>
  <c r="C19" i="37"/>
  <c r="C19" i="20"/>
  <c r="C19" i="49"/>
  <c r="C19" i="24"/>
  <c r="C19" i="50"/>
  <c r="C19" i="29"/>
  <c r="C19" i="43"/>
  <c r="C19" i="33"/>
  <c r="A86" i="20"/>
  <c r="A83" i="21"/>
  <c r="A90" i="56"/>
  <c r="A90" i="17"/>
  <c r="I28" i="52"/>
  <c r="I27" i="52"/>
  <c r="B51" i="52" s="1"/>
  <c r="C31" i="54"/>
  <c r="C30" i="54"/>
  <c r="C29" i="54"/>
  <c r="C28" i="54"/>
  <c r="C27" i="54"/>
  <c r="C26" i="54"/>
  <c r="B25" i="54"/>
  <c r="B24" i="54"/>
  <c r="C23" i="54" s="1"/>
  <c r="C21" i="54"/>
  <c r="C20" i="54"/>
  <c r="C19" i="54"/>
  <c r="C18" i="54"/>
  <c r="C17" i="54"/>
  <c r="C16" i="54"/>
  <c r="C15" i="54"/>
  <c r="C11" i="54"/>
  <c r="C29" i="53"/>
  <c r="B29" i="53"/>
  <c r="F28" i="53"/>
  <c r="C28" i="53"/>
  <c r="B28" i="53"/>
  <c r="H27" i="53"/>
  <c r="F27" i="53"/>
  <c r="C27" i="53"/>
  <c r="B27" i="53"/>
  <c r="H26" i="53"/>
  <c r="F26" i="53"/>
  <c r="C26" i="53"/>
  <c r="B26" i="53"/>
  <c r="H25" i="53"/>
  <c r="F25" i="53"/>
  <c r="C25" i="53"/>
  <c r="B25" i="53"/>
  <c r="C24" i="53"/>
  <c r="B24" i="53"/>
  <c r="H23" i="53"/>
  <c r="F23" i="53"/>
  <c r="B45" i="52" l="1"/>
  <c r="B37" i="52"/>
  <c r="A86" i="21"/>
  <c r="A83" i="22"/>
  <c r="A104" i="18"/>
  <c r="B54" i="52"/>
  <c r="B39" i="52"/>
  <c r="B53" i="52"/>
  <c r="B42" i="52"/>
  <c r="B38" i="52"/>
  <c r="B52" i="52"/>
  <c r="B41" i="52"/>
  <c r="B58" i="52"/>
  <c r="B57" i="52"/>
  <c r="B56" i="52"/>
  <c r="B55" i="52"/>
  <c r="B50" i="52"/>
  <c r="B44" i="52"/>
  <c r="B49" i="52"/>
  <c r="B47" i="52"/>
  <c r="B43" i="52"/>
  <c r="B60" i="52"/>
  <c r="B75" i="52" s="1"/>
  <c r="B48" i="52"/>
  <c r="B36" i="52"/>
  <c r="B59" i="52"/>
  <c r="B40" i="52"/>
  <c r="B46" i="52"/>
  <c r="A57" i="38"/>
  <c r="G43" i="51"/>
  <c r="A86" i="22" l="1"/>
  <c r="A81" i="51"/>
  <c r="A88" i="20"/>
  <c r="B69" i="52"/>
  <c r="B67" i="52"/>
  <c r="B61" i="52"/>
  <c r="B70" i="52"/>
  <c r="B63" i="52"/>
  <c r="B68" i="52"/>
  <c r="B71" i="52"/>
  <c r="B64" i="52"/>
  <c r="B72" i="52"/>
  <c r="B73" i="52"/>
  <c r="B74" i="52"/>
  <c r="B66" i="52"/>
  <c r="B62" i="52"/>
  <c r="B65" i="52"/>
  <c r="G13" i="14"/>
  <c r="G13" i="45"/>
  <c r="G13" i="44"/>
  <c r="G13" i="43"/>
  <c r="G13" i="31"/>
  <c r="G13" i="50"/>
  <c r="G13" i="48"/>
  <c r="G13" i="40"/>
  <c r="G13" i="49"/>
  <c r="G13" i="39"/>
  <c r="G13" i="47"/>
  <c r="G13" i="35"/>
  <c r="G13" i="34"/>
  <c r="G13" i="33"/>
  <c r="G13" i="32"/>
  <c r="G13" i="29"/>
  <c r="G13" i="28"/>
  <c r="G13" i="27"/>
  <c r="G13" i="26"/>
  <c r="G13" i="25"/>
  <c r="G13" i="23"/>
  <c r="G13" i="22"/>
  <c r="G13" i="21"/>
  <c r="G13" i="18"/>
  <c r="G13" i="17"/>
  <c r="G13" i="16"/>
  <c r="G13" i="15"/>
  <c r="G13" i="13"/>
  <c r="A57" i="50"/>
  <c r="G43" i="50"/>
  <c r="K16" i="50"/>
  <c r="A9" i="50"/>
  <c r="A84" i="51" l="1"/>
  <c r="A96" i="23"/>
  <c r="A88" i="21"/>
  <c r="K16" i="49"/>
  <c r="A9" i="49"/>
  <c r="A99" i="23" l="1"/>
  <c r="A83" i="24"/>
  <c r="A88" i="22"/>
  <c r="A57" i="48"/>
  <c r="G43" i="48"/>
  <c r="K16" i="48"/>
  <c r="A9" i="48"/>
  <c r="A86" i="24" l="1"/>
  <c r="A83" i="25"/>
  <c r="A86" i="51"/>
  <c r="A88" i="57"/>
  <c r="A57" i="47"/>
  <c r="G43" i="47"/>
  <c r="K16" i="47"/>
  <c r="A9" i="47"/>
  <c r="A86" i="25" l="1"/>
  <c r="A81" i="26"/>
  <c r="A101" i="23"/>
  <c r="A57" i="45"/>
  <c r="G43" i="45"/>
  <c r="K16" i="45"/>
  <c r="A9" i="45"/>
  <c r="A59" i="44"/>
  <c r="G45" i="44"/>
  <c r="K16" i="44"/>
  <c r="A9" i="44"/>
  <c r="A59" i="43"/>
  <c r="G45" i="43"/>
  <c r="K16" i="43"/>
  <c r="A9" i="43"/>
  <c r="A57" i="31"/>
  <c r="A84" i="26" l="1"/>
  <c r="A83" i="27"/>
  <c r="A88" i="24"/>
  <c r="A57" i="40"/>
  <c r="G43" i="40"/>
  <c r="K16" i="40"/>
  <c r="A9" i="40"/>
  <c r="A86" i="27" l="1"/>
  <c r="A85" i="28"/>
  <c r="A88" i="25"/>
  <c r="A57" i="39"/>
  <c r="G43" i="39"/>
  <c r="K16" i="39"/>
  <c r="A88" i="28" l="1"/>
  <c r="A86" i="26"/>
  <c r="G43" i="38"/>
  <c r="A57" i="37"/>
  <c r="G43" i="37"/>
  <c r="A88" i="27" l="1"/>
  <c r="A57" i="35"/>
  <c r="K16" i="35"/>
  <c r="A16" i="35"/>
  <c r="A9" i="35"/>
  <c r="A57" i="34"/>
  <c r="G43" i="34"/>
  <c r="K16" i="34"/>
  <c r="A16" i="34"/>
  <c r="A9" i="34"/>
  <c r="A90" i="28" l="1"/>
  <c r="A57" i="33"/>
  <c r="G43" i="33"/>
  <c r="K16" i="33"/>
  <c r="A16" i="33"/>
  <c r="A9" i="33"/>
  <c r="A88" i="29" l="1"/>
  <c r="A57" i="25"/>
  <c r="A57" i="24"/>
  <c r="A57" i="21"/>
  <c r="A57" i="20"/>
  <c r="A88" i="30" l="1"/>
  <c r="A16" i="28"/>
  <c r="K16" i="27"/>
  <c r="A16" i="27"/>
  <c r="K16" i="26"/>
  <c r="K16" i="25"/>
  <c r="K16" i="23"/>
  <c r="K16" i="22"/>
  <c r="A16" i="22"/>
  <c r="K16" i="21"/>
  <c r="A16" i="21"/>
  <c r="K16" i="18"/>
  <c r="A88" i="32" l="1"/>
  <c r="A57" i="32"/>
  <c r="G43" i="32"/>
  <c r="K16" i="32"/>
  <c r="A16" i="32"/>
  <c r="A88" i="33" l="1"/>
  <c r="G43" i="31"/>
  <c r="K16" i="31"/>
  <c r="A9" i="31"/>
  <c r="G43" i="30"/>
  <c r="A9" i="27"/>
  <c r="A9" i="25"/>
  <c r="A9" i="23"/>
  <c r="A9" i="22"/>
  <c r="A9" i="21"/>
  <c r="A9" i="18"/>
  <c r="A57" i="29"/>
  <c r="G43" i="29"/>
  <c r="K16" i="29"/>
  <c r="A16" i="29"/>
  <c r="A9" i="29"/>
  <c r="A59" i="28"/>
  <c r="K16" i="28"/>
  <c r="A9" i="28"/>
  <c r="A57" i="27"/>
  <c r="G43" i="26"/>
  <c r="A9" i="26"/>
  <c r="A87" i="34" l="1"/>
  <c r="G43" i="23"/>
  <c r="A57" i="22"/>
  <c r="G43" i="22"/>
  <c r="G43" i="18"/>
  <c r="A88" i="35" l="1"/>
  <c r="K16" i="17"/>
  <c r="A9" i="17"/>
  <c r="K16" i="16"/>
  <c r="A9" i="16"/>
  <c r="K16" i="15"/>
  <c r="A16" i="15"/>
  <c r="A9" i="15"/>
  <c r="K16" i="14"/>
  <c r="A16" i="14"/>
  <c r="A9" i="14"/>
  <c r="A57" i="12"/>
  <c r="A57" i="13"/>
  <c r="A16" i="13"/>
  <c r="A9" i="13"/>
  <c r="A88" i="47" l="1"/>
  <c r="A88" i="38" l="1"/>
  <c r="A88" i="37"/>
  <c r="A88" i="39" l="1"/>
  <c r="A88" i="49"/>
  <c r="A88" i="40" l="1"/>
  <c r="A88" i="48" l="1"/>
  <c r="A88" i="69" l="1"/>
  <c r="A88" i="50"/>
  <c r="A88" i="31" l="1"/>
  <c r="A88" i="42" l="1"/>
  <c r="A90" i="43" l="1"/>
  <c r="A88" i="45" l="1"/>
  <c r="A90" i="44"/>
</calcChain>
</file>

<file path=xl/sharedStrings.xml><?xml version="1.0" encoding="utf-8"?>
<sst xmlns="http://schemas.openxmlformats.org/spreadsheetml/2006/main" count="3991" uniqueCount="228">
  <si>
    <t>входного контроля</t>
  </si>
  <si>
    <t>(место проведения)</t>
  </si>
  <si>
    <t>(должность, организация, фамилия, имя, отчество)</t>
  </si>
  <si>
    <t>(документ, устанавливающий требевания по организации и проведению входного контроля продукции)</t>
  </si>
  <si>
    <t>составила настоящий акт о выполненном входном контроле продукции для строительства.</t>
  </si>
  <si>
    <t>1. К входному контролю представлена следующая продукция:</t>
  </si>
  <si>
    <t>(наименование продукции)</t>
  </si>
  <si>
    <t>3. При входном контроле проведены следующие контрольные мероприятия:</t>
  </si>
  <si>
    <t>Визуальным
 осмотром</t>
  </si>
  <si>
    <t>Вид контроля (НТД)
и дата сдачи образцов (проб) на контроль</t>
  </si>
  <si>
    <t>Приборы контроля</t>
  </si>
  <si>
    <t>№ прибора 
и дата поверки прибора</t>
  </si>
  <si>
    <t>Заключение 
по контролю (годен/не годен)</t>
  </si>
  <si>
    <t>4. В результате проведенного входного контроля представленной продукции установлено:</t>
  </si>
  <si>
    <t>Продукция признана непригодной по следующим причинам:</t>
  </si>
  <si>
    <t>№ и дата  протокола контроля</t>
  </si>
  <si>
    <t>и членов комиссии:</t>
  </si>
  <si>
    <t>Количество, масса, объем 
проверенной продукции (в ед. изм.)</t>
  </si>
  <si>
    <t>годен</t>
  </si>
  <si>
    <t>Инструментальными
 и приборными методами</t>
  </si>
  <si>
    <t>(соответствуют/не соответствуют)</t>
  </si>
  <si>
    <t xml:space="preserve">                                                                                                 (указать последующее действие с непригодной продукцией)</t>
  </si>
  <si>
    <t>Члены комиссии:</t>
  </si>
  <si>
    <t>Председатель:</t>
  </si>
  <si>
    <t>Особые отметки:</t>
  </si>
  <si>
    <t>(организация, от которой сформирована комиссия)</t>
  </si>
  <si>
    <t>(дата)</t>
  </si>
  <si>
    <t>Нами, комиссией</t>
  </si>
  <si>
    <t>1.2. Кол-во:</t>
  </si>
  <si>
    <t xml:space="preserve">1.1. Наименование, номер документа, удостоверяющего качество и НТД на продукцию: </t>
  </si>
  <si>
    <r>
      <t xml:space="preserve">1.3. Поставщик: </t>
    </r>
    <r>
      <rPr>
        <u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 </t>
    </r>
  </si>
  <si>
    <t>Договор</t>
  </si>
  <si>
    <t xml:space="preserve">                                         (наименование организации)                                                                             (реквизиты договора на поставку)</t>
  </si>
  <si>
    <r>
      <t xml:space="preserve">2. Подготовка продукции к контролю по НТД: </t>
    </r>
    <r>
      <rPr>
        <u/>
        <sz val="11"/>
        <color theme="1"/>
        <rFont val="Times New Roman"/>
        <family val="1"/>
        <charset val="204"/>
      </rPr>
      <t/>
    </r>
  </si>
  <si>
    <t xml:space="preserve">                                                                                                                   (выполнена/не выполнена)</t>
  </si>
  <si>
    <t>пригодной</t>
  </si>
  <si>
    <t xml:space="preserve">руководствуясь, </t>
  </si>
  <si>
    <t>(результат контроля продукции)</t>
  </si>
  <si>
    <t>-</t>
  </si>
  <si>
    <t>Визуальный</t>
  </si>
  <si>
    <t>ГОДЕН</t>
  </si>
  <si>
    <t>(изготовитель,</t>
  </si>
  <si>
    <t>№ документа и дата, № партии, дата изготовления)                                                                (ГОСТ, ТУ, чертеж КМД)</t>
  </si>
  <si>
    <t xml:space="preserve"> (соответствует/не соответствует)</t>
  </si>
  <si>
    <t>(соответствует/не соответствует)</t>
  </si>
  <si>
    <t xml:space="preserve">                                                                                                                                                                                             (пригодной/непригодной)</t>
  </si>
  <si>
    <r>
      <t xml:space="preserve">Председателя:                                                                                                       </t>
    </r>
    <r>
      <rPr>
        <sz val="11"/>
        <color theme="0"/>
        <rFont val="Times New Roman"/>
        <family val="1"/>
        <charset val="204"/>
      </rPr>
      <t>.</t>
    </r>
  </si>
  <si>
    <t xml:space="preserve">    (допущена/не допущена)                                                                                  (указать последующее действие с пригодной продукцией)</t>
  </si>
  <si>
    <t>(должность, организация, подпись, фамилия, имя, отчество)</t>
  </si>
  <si>
    <t>Присутствующие:</t>
  </si>
  <si>
    <t>НТД</t>
  </si>
  <si>
    <t xml:space="preserve">Объект строительства: </t>
  </si>
  <si>
    <t xml:space="preserve">                                        (штуки, объем, вес в ед. изм.)                                                  (штуки, объем, вес в ед. изм.)</t>
  </si>
  <si>
    <t>Кол-во партии:</t>
  </si>
  <si>
    <t>г) Выполнение консервации:</t>
  </si>
  <si>
    <t>в) Целостность и сохранность упаковки:</t>
  </si>
  <si>
    <r>
      <t xml:space="preserve">б) Комплектность (в т.ч. ЗИП): </t>
    </r>
    <r>
      <rPr>
        <u/>
        <sz val="11"/>
        <color theme="1"/>
        <rFont val="Times New Roman"/>
        <family val="1"/>
        <charset val="204"/>
      </rPr>
      <t xml:space="preserve"> </t>
    </r>
  </si>
  <si>
    <t>Проверенная продукция для последующего применения признана:</t>
  </si>
  <si>
    <t>ГОСТ 31946-2012</t>
  </si>
  <si>
    <t>соответствует</t>
  </si>
  <si>
    <t>­</t>
  </si>
  <si>
    <t xml:space="preserve">                                                                                            </t>
  </si>
  <si>
    <t xml:space="preserve">                                                                (указать причины отбраковки, документальные результаты контроля,  протоколы испытания и прочие документы)</t>
  </si>
  <si>
    <t>выполнена</t>
  </si>
  <si>
    <t>Разъединитель трехполюсный с приводом РЛК 10/400</t>
  </si>
  <si>
    <t>ГОСТ Р 52726-2007</t>
  </si>
  <si>
    <t>1 комп.</t>
  </si>
  <si>
    <t>Председателя:                                                                                                       .</t>
  </si>
  <si>
    <r>
      <t xml:space="preserve">1.3. Поставщик: </t>
    </r>
    <r>
      <rPr>
        <u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 </t>
    </r>
  </si>
  <si>
    <t>Уголок 50х50х5</t>
  </si>
  <si>
    <r>
      <t xml:space="preserve">Сталь круглая </t>
    </r>
    <r>
      <rPr>
        <sz val="11"/>
        <rFont val="Calibri"/>
        <family val="2"/>
        <charset val="204"/>
      </rPr>
      <t>Ø</t>
    </r>
    <r>
      <rPr>
        <sz val="11"/>
        <rFont val="Times New Roman"/>
        <family val="1"/>
        <charset val="204"/>
      </rPr>
      <t>10</t>
    </r>
  </si>
  <si>
    <t>ГОСТ 2590-88</t>
  </si>
  <si>
    <t>ВРЩ-0,4кВ</t>
  </si>
  <si>
    <t xml:space="preserve">№Т1/22-238 </t>
  </si>
  <si>
    <t>ООО ТК "Норма-кабель"</t>
  </si>
  <si>
    <t>Стальная полоса 40х4</t>
  </si>
  <si>
    <t>ГОСТ 380-2005/ ГОСТ 535-2005/ ГОСТ 103-2006</t>
  </si>
  <si>
    <t>МЗ  Балаково</t>
  </si>
  <si>
    <t>ГОСТ 5781-82</t>
  </si>
  <si>
    <t>№2911/22-1</t>
  </si>
  <si>
    <t>ГОСТ 13579-78</t>
  </si>
  <si>
    <r>
      <t xml:space="preserve">Сталь круглая </t>
    </r>
    <r>
      <rPr>
        <sz val="11"/>
        <rFont val="Calibri"/>
        <family val="2"/>
        <charset val="204"/>
      </rPr>
      <t>Ø12</t>
    </r>
  </si>
  <si>
    <t>ОАО "Белорусский металлургический завод"</t>
  </si>
  <si>
    <t>ГОСТ 34028-2016</t>
  </si>
  <si>
    <t>Изолятор штырьевой ШФ20-Г</t>
  </si>
  <si>
    <t>Предохранитель высоковольтный с кварцевым наполнителем  3ПКТ-103-6-100А-31,5УЗ</t>
  </si>
  <si>
    <t>Трансформатор тока Т-0,66 400/5</t>
  </si>
  <si>
    <t>ФК ИК-1</t>
  </si>
  <si>
    <t xml:space="preserve">Длинно-искровой разрядник РМК </t>
  </si>
  <si>
    <t xml:space="preserve">Кабель АСБл-10 3х120  </t>
  </si>
  <si>
    <t>ГОСТ 18410-73</t>
  </si>
  <si>
    <t>ГОСТ 7746-2015</t>
  </si>
  <si>
    <t>ГОСТ 31947-2012</t>
  </si>
  <si>
    <t>АО"ГК"Электрощит" - ТМ Самара"</t>
  </si>
  <si>
    <t>Кабель контрольный КВВГнг 10х2,5</t>
  </si>
  <si>
    <t>ТУ 16.К71-310-2001</t>
  </si>
  <si>
    <t>Плиты ПЗК 240х480 (над кабелем)</t>
  </si>
  <si>
    <t>Уплотнитель кабельных проходов УКПТ 175/55</t>
  </si>
  <si>
    <t>ООО"Сфера"</t>
  </si>
  <si>
    <t>ГОСТ 8509-93</t>
  </si>
  <si>
    <t>Швеллер №10П</t>
  </si>
  <si>
    <t>Комплектное распределительное устройство наружной установки, 10кВ, 1000А, ввод КРУН-017-1000-УХЛ1;  Комплектное распределительное устройство наружной установки, 10кВ, 1000А, линия КРУН-002-1000-УХЛ1</t>
  </si>
  <si>
    <t>АО"ЧЭАЗ"</t>
  </si>
  <si>
    <t>ГОСТ 14693-90</t>
  </si>
  <si>
    <t>Провод с резиновой изоляцией ПВС 2х2,5</t>
  </si>
  <si>
    <t>ГОСТ 7399-97</t>
  </si>
  <si>
    <t>Сигнальная лента ЛЭС 450</t>
  </si>
  <si>
    <t>АКТ № 0/</t>
  </si>
  <si>
    <t>АКТ №0/</t>
  </si>
  <si>
    <t>ГОСТ 1232-2017</t>
  </si>
  <si>
    <t>АКТ №4/</t>
  </si>
  <si>
    <t>АКТ № 5/</t>
  </si>
  <si>
    <t>АКТ № 3/</t>
  </si>
  <si>
    <t>АКТ № 4/</t>
  </si>
  <si>
    <t>а) Сопроводительные документы:</t>
  </si>
  <si>
    <t>д) Наличие ЗАК/протокола КДО:</t>
  </si>
  <si>
    <t>(номер ЗАК или протокола КДО и дата выдачм/отсутствует)</t>
  </si>
  <si>
    <r>
      <t xml:space="preserve">и </t>
    </r>
    <r>
      <rPr>
        <u/>
        <sz val="11"/>
        <rFont val="Times New Roman"/>
        <family val="1"/>
        <charset val="204"/>
      </rPr>
      <t xml:space="preserve">       допущена       </t>
    </r>
    <r>
      <rPr>
        <sz val="11"/>
        <rFont val="Times New Roman"/>
        <family val="1"/>
        <charset val="204"/>
      </rPr>
      <t xml:space="preserve"> к применению </t>
    </r>
    <r>
      <rPr>
        <u/>
        <sz val="11"/>
        <rFont val="Times New Roman"/>
        <family val="1"/>
        <charset val="204"/>
      </rPr>
      <t xml:space="preserve"> при строительно-монтажных работах на объекте</t>
    </r>
    <r>
      <rPr>
        <sz val="11"/>
        <rFont val="Times New Roman"/>
        <family val="1"/>
        <charset val="204"/>
      </rPr>
      <t>____________________________________________________________</t>
    </r>
  </si>
  <si>
    <t>непригодная продукия подлежит:</t>
  </si>
  <si>
    <t>АКТ № 14/</t>
  </si>
  <si>
    <t>ТР ТС 004/2011, ТР ТС 020/2011</t>
  </si>
  <si>
    <t>Ячейка КСО-298 MSI</t>
  </si>
  <si>
    <t>Трансформатор тока ТОЛ-10 300А.</t>
  </si>
  <si>
    <t>6шт</t>
  </si>
  <si>
    <t>АКТ № 6/</t>
  </si>
  <si>
    <t>организация</t>
  </si>
  <si>
    <t>реквизиты</t>
  </si>
  <si>
    <t>адрес</t>
  </si>
  <si>
    <t>район</t>
  </si>
  <si>
    <t>директор</t>
  </si>
  <si>
    <t>директор ФИО</t>
  </si>
  <si>
    <t>Строй.контроль</t>
  </si>
  <si>
    <t>Приказ стр.контр.</t>
  </si>
  <si>
    <t>ФИО стр.контр.</t>
  </si>
  <si>
    <t>Представитель</t>
  </si>
  <si>
    <t>ФИО предст.</t>
  </si>
  <si>
    <t>Прораб</t>
  </si>
  <si>
    <t>Приказ прораб</t>
  </si>
  <si>
    <t>ФИО прораб</t>
  </si>
  <si>
    <t>сцепленные организация</t>
  </si>
  <si>
    <t>Данные объекта</t>
  </si>
  <si>
    <t xml:space="preserve">№ САП </t>
  </si>
  <si>
    <t>Объект</t>
  </si>
  <si>
    <t>р-н</t>
  </si>
  <si>
    <t>Адрес</t>
  </si>
  <si>
    <t>Дата старт</t>
  </si>
  <si>
    <t>Дата финиш</t>
  </si>
  <si>
    <t>Наименование электроустановки</t>
  </si>
  <si>
    <t>ТП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</si>
  <si>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</si>
  <si>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</si>
  <si>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</si>
  <si>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</si>
  <si>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</si>
  <si>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</si>
  <si>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</si>
  <si>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</si>
  <si>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</si>
  <si>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</si>
  <si>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№</t>
  </si>
  <si>
    <t>Название</t>
  </si>
  <si>
    <t>Провод 3СИП3 1х70</t>
  </si>
  <si>
    <t>ГОСТ 11677-85</t>
  </si>
  <si>
    <t>ТОО "Уральский трансформаторный завод"</t>
  </si>
  <si>
    <t>Трансформатор ТМГ-250/10-0,4УХЛ1</t>
  </si>
  <si>
    <t>Фундаментные блоки ФБС 24.4.6-Т;</t>
  </si>
  <si>
    <t>Уголок 63х63х5</t>
  </si>
  <si>
    <t>ГОСТ 34839-2022</t>
  </si>
  <si>
    <t>АКТ №9/</t>
  </si>
  <si>
    <t>Профлист оцинкованный</t>
  </si>
  <si>
    <t>ГОСТ 31996-2012</t>
  </si>
  <si>
    <t>Труба ПНД ∅160мм</t>
  </si>
  <si>
    <t>Стальная полоса 50х4</t>
  </si>
  <si>
    <t>АКТ № 7/</t>
  </si>
  <si>
    <t>АКТ № 15/</t>
  </si>
  <si>
    <t>Члены комиссии</t>
  </si>
  <si>
    <t>Приказы НТД</t>
  </si>
  <si>
    <r>
      <t xml:space="preserve">Сталь круглая </t>
    </r>
    <r>
      <rPr>
        <sz val="11"/>
        <rFont val="Calibri"/>
        <family val="2"/>
        <charset val="204"/>
      </rPr>
      <t>Ø8</t>
    </r>
  </si>
  <si>
    <t>Кабель алюминиевый АВБбШв- 4х150 мм2</t>
  </si>
  <si>
    <t>Провод установочный с медной жилой на напряжение 380 В гибкий сечением 10 мм² ПуГВ 1х10</t>
  </si>
  <si>
    <t>Труба профильная 80х80х3</t>
  </si>
  <si>
    <t>ГОСТ 8639-82</t>
  </si>
  <si>
    <t>4х150 - 129м</t>
  </si>
  <si>
    <t>АКТ № 1/</t>
  </si>
  <si>
    <t>АКТ № 8/</t>
  </si>
  <si>
    <t>АКТ № 10/</t>
  </si>
  <si>
    <t>АКТ № 11/</t>
  </si>
  <si>
    <t>АКТ №14/</t>
  </si>
  <si>
    <t xml:space="preserve">Комплектная трансформаторная подстанция КТП-ТК/ВК-250/10/0,4 </t>
  </si>
  <si>
    <t>Счетчик электрической энергии СТЭМ 300</t>
  </si>
  <si>
    <t>ОАО "ЗЭТО"</t>
  </si>
  <si>
    <t>Предохранитель-разъеденитель выхлопной ПРВТ-1-10.II-50Л-У1</t>
  </si>
  <si>
    <t>Муфта концевая термоусаживаемая   3 КВНТп-1 70/120</t>
  </si>
  <si>
    <t>3 КВНТп-1 70/120</t>
  </si>
  <si>
    <t>Линейная арматура 10кВ (Траверса ТМ74, ТМ73, Зажим SLW.36, Изолятор штырьевой IF27, Колпачок К-9, Заземляющий проводник ЗП1-1, Плашечный зажим CD35, Зажим ответвительный RP150, Хомут Х51, Вязка спиральная СВ70, Траверса ТМ63, Плашечный зажим CD70, Металлическая лента F207, Скрепа NC20)</t>
  </si>
  <si>
    <t>Ж/б опоры СВ110-5</t>
  </si>
  <si>
    <t>АКТ № 2/</t>
  </si>
  <si>
    <t>АКТ №6/</t>
  </si>
  <si>
    <t>АКТ №12/</t>
  </si>
  <si>
    <t>АКТ №13/</t>
  </si>
  <si>
    <t>АКТ № 16/</t>
  </si>
  <si>
    <t>АКТ № 17/</t>
  </si>
  <si>
    <t>АКТ № 18/</t>
  </si>
  <si>
    <t>АКТ № 19/</t>
  </si>
  <si>
    <t>АКТ № 20/</t>
  </si>
  <si>
    <t>АКТ №1/</t>
  </si>
  <si>
    <t>Провод СИП2 3х70+1х70</t>
  </si>
  <si>
    <t>Линейная арматура 0,4кВ (Заземляющий проводник ЗП6, Зажим Р72, Ответвительный зажим Р70, Натяжной зажим РА1500, Плашечный зажим ПС-2-1, Анкерный кронштейн CS10.3, Комплект промежуточной подвески ES1500, Стяжной хомут Е778, Мателлическая летна F207, Скрепа NC20, Бугель NB20, Герметичный зажим РС481, Ограничитель перенапряжения ОР600/28, Колпачек изолирующий СЕ16-150)</t>
  </si>
  <si>
    <t>Приложение 2</t>
  </si>
  <si>
    <t>ЖУРНАЛ №</t>
  </si>
  <si>
    <t>Приложение 1</t>
  </si>
  <si>
    <t xml:space="preserve">                              </t>
  </si>
  <si>
    <t>ФОРМА</t>
  </si>
  <si>
    <t>Наименование деталей, материалов, изделий, конструкций, оборудования</t>
  </si>
  <si>
    <t>Количество</t>
  </si>
  <si>
    <t>Поставщик</t>
  </si>
  <si>
    <t>Наименование и номер документа изготовителя</t>
  </si>
  <si>
    <t>Решение о необходимости проведения инструментального контроля</t>
  </si>
  <si>
    <t>Результат инструментального контроля</t>
  </si>
  <si>
    <t>Подпись лица, осуществляющего контроль со стороны лица, осуществляющего строительство, и застройщика (технического заказчика)</t>
  </si>
  <si>
    <t>Дата
поставки</t>
  </si>
  <si>
    <t>Результат проверки сопроводительных документов изготовителя и визуального осмотра на соответствие требованиям утвержденной проектной документации и соответствующим документам по стандартизации</t>
  </si>
  <si>
    <t>№ п.п.</t>
  </si>
  <si>
    <t>Краска ПФ 115</t>
  </si>
  <si>
    <t>(должность, организация, подпись фамилия, имя, отчество)</t>
  </si>
  <si>
    <t>ГОСТ 6465-2023</t>
  </si>
  <si>
    <t>Песок для строительных работ фракционированный, средний 1 класс</t>
  </si>
  <si>
    <t>Паспорт б/н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</si>
</sst>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9" fillId="0" borderId="0"/>
  </cellStyleXfs>
  <cellXfs count="3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18" fillId="0" borderId="16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0" fontId="18" fillId="0" borderId="16" xfId="1" applyFont="1" applyBorder="1"/>
    <xf numFmtId="0" fontId="13" fillId="0" borderId="0" xfId="1"/>
    <xf numFmtId="0" fontId="13" fillId="4" borderId="1" xfId="1" applyFill="1" applyBorder="1" applyAlignment="1">
      <alignment vertical="center"/>
    </xf>
    <xf numFmtId="0" fontId="13" fillId="4" borderId="1" xfId="1" applyFill="1" applyBorder="1" applyAlignment="1">
      <alignment horizontal="center"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" xfId="1" applyBorder="1" applyAlignment="1">
      <alignment vertical="center"/>
    </xf>
    <xf numFmtId="0" fontId="13" fillId="0" borderId="1" xfId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4" borderId="1" xfId="1" applyFill="1" applyBorder="1"/>
    <xf numFmtId="0" fontId="13" fillId="0" borderId="0" xfId="1" applyAlignment="1">
      <alignment wrapText="1"/>
    </xf>
    <xf numFmtId="0" fontId="13" fillId="5" borderId="1" xfId="1" applyFill="1" applyBorder="1" applyAlignment="1">
      <alignment wrapText="1"/>
    </xf>
    <xf numFmtId="0" fontId="13" fillId="5" borderId="0" xfId="1" applyFill="1" applyAlignment="1">
      <alignment wrapText="1"/>
    </xf>
    <xf numFmtId="0" fontId="13" fillId="6" borderId="0" xfId="1" applyFill="1" applyAlignment="1">
      <alignment wrapText="1"/>
    </xf>
    <xf numFmtId="0" fontId="13" fillId="7" borderId="1" xfId="1" applyFill="1" applyBorder="1" applyAlignment="1">
      <alignment wrapText="1"/>
    </xf>
    <xf numFmtId="0" fontId="13" fillId="7" borderId="0" xfId="1" applyFill="1" applyAlignment="1">
      <alignment wrapText="1"/>
    </xf>
    <xf numFmtId="0" fontId="13" fillId="6" borderId="1" xfId="1" applyFill="1" applyBorder="1" applyAlignment="1">
      <alignment wrapText="1"/>
    </xf>
    <xf numFmtId="0" fontId="13" fillId="8" borderId="0" xfId="1" applyFill="1" applyAlignment="1">
      <alignment wrapText="1"/>
    </xf>
    <xf numFmtId="0" fontId="13" fillId="6" borderId="1" xfId="1" applyFill="1" applyBorder="1"/>
    <xf numFmtId="0" fontId="19" fillId="0" borderId="0" xfId="2"/>
    <xf numFmtId="0" fontId="1" fillId="0" borderId="1" xfId="2" applyFont="1" applyBorder="1" applyAlignment="1">
      <alignment horizontal="center"/>
    </xf>
    <xf numFmtId="0" fontId="21" fillId="0" borderId="1" xfId="2" applyFont="1" applyBorder="1" applyAlignment="1">
      <alignment horizontal="center" wrapText="1"/>
    </xf>
    <xf numFmtId="0" fontId="21" fillId="0" borderId="3" xfId="2" applyFont="1" applyBorder="1" applyAlignment="1">
      <alignment horizontal="center" wrapText="1"/>
    </xf>
    <xf numFmtId="14" fontId="19" fillId="0" borderId="0" xfId="2" applyNumberFormat="1"/>
    <xf numFmtId="0" fontId="21" fillId="0" borderId="13" xfId="2" applyFont="1" applyBorder="1" applyAlignment="1">
      <alignment horizontal="center" wrapText="1"/>
    </xf>
    <xf numFmtId="164" fontId="21" fillId="10" borderId="1" xfId="2" applyNumberFormat="1" applyFont="1" applyFill="1" applyBorder="1" applyAlignment="1">
      <alignment horizontal="center" wrapText="1"/>
    </xf>
    <xf numFmtId="0" fontId="21" fillId="7" borderId="1" xfId="2" applyFont="1" applyFill="1" applyBorder="1" applyAlignment="1">
      <alignment horizontal="center" wrapText="1"/>
    </xf>
    <xf numFmtId="0" fontId="19" fillId="0" borderId="1" xfId="2" applyBorder="1"/>
    <xf numFmtId="0" fontId="13" fillId="0" borderId="1" xfId="2" applyFont="1" applyBorder="1"/>
    <xf numFmtId="0" fontId="21" fillId="0" borderId="6" xfId="2" applyFont="1" applyBorder="1" applyAlignment="1">
      <alignment horizontal="center" wrapText="1"/>
    </xf>
    <xf numFmtId="0" fontId="21" fillId="8" borderId="1" xfId="2" applyFont="1" applyFill="1" applyBorder="1" applyAlignment="1">
      <alignment horizontal="center" wrapText="1"/>
    </xf>
    <xf numFmtId="0" fontId="21" fillId="8" borderId="1" xfId="2" applyFont="1" applyFill="1" applyBorder="1" applyAlignment="1">
      <alignment horizontal="center"/>
    </xf>
    <xf numFmtId="0" fontId="13" fillId="0" borderId="0" xfId="2" applyFont="1"/>
    <xf numFmtId="0" fontId="21" fillId="6" borderId="1" xfId="2" applyFont="1" applyFill="1" applyBorder="1" applyAlignment="1">
      <alignment horizontal="center" wrapText="1"/>
    </xf>
    <xf numFmtId="0" fontId="19" fillId="0" borderId="0" xfId="2" applyAlignment="1">
      <alignment horizontal="center"/>
    </xf>
    <xf numFmtId="0" fontId="22" fillId="0" borderId="0" xfId="2" applyFont="1" applyAlignment="1">
      <alignment vertical="center" wrapText="1"/>
    </xf>
    <xf numFmtId="0" fontId="22" fillId="0" borderId="0" xfId="2" applyFont="1" applyAlignment="1">
      <alignment vertical="center"/>
    </xf>
    <xf numFmtId="0" fontId="19" fillId="0" borderId="0" xfId="2" applyAlignment="1">
      <alignment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14" fontId="23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8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2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4" fillId="0" borderId="8" xfId="0" applyFont="1" applyFill="1" applyBorder="1"/>
    <xf numFmtId="0" fontId="4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3" fillId="0" borderId="1" xfId="1" applyBorder="1"/>
    <xf numFmtId="0" fontId="18" fillId="0" borderId="1" xfId="1" applyFont="1" applyBorder="1" applyAlignment="1">
      <alignment wrapText="1"/>
    </xf>
    <xf numFmtId="0" fontId="13" fillId="0" borderId="1" xfId="1" applyBorder="1" applyAlignment="1">
      <alignment wrapText="1"/>
    </xf>
    <xf numFmtId="0" fontId="19" fillId="0" borderId="0" xfId="2" applyBorder="1" applyAlignment="1">
      <alignment horizontal="center"/>
    </xf>
    <xf numFmtId="0" fontId="19" fillId="0" borderId="0" xfId="2" applyBorder="1"/>
    <xf numFmtId="0" fontId="22" fillId="0" borderId="0" xfId="2" applyFont="1" applyBorder="1" applyAlignment="1">
      <alignment vertical="center" wrapText="1"/>
    </xf>
    <xf numFmtId="0" fontId="13" fillId="0" borderId="1" xfId="2" applyFont="1" applyBorder="1" applyAlignment="1">
      <alignment horizontal="center"/>
    </xf>
    <xf numFmtId="0" fontId="19" fillId="3" borderId="1" xfId="2" applyFill="1" applyBorder="1"/>
    <xf numFmtId="0" fontId="26" fillId="0" borderId="0" xfId="2" applyFont="1"/>
    <xf numFmtId="0" fontId="13" fillId="12" borderId="1" xfId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0" fillId="0" borderId="0" xfId="2" applyFont="1" applyBorder="1" applyAlignment="1"/>
    <xf numFmtId="0" fontId="20" fillId="0" borderId="1" xfId="2" applyFont="1" applyBorder="1" applyAlignment="1"/>
    <xf numFmtId="0" fontId="13" fillId="11" borderId="1" xfId="1" applyFill="1" applyBorder="1"/>
    <xf numFmtId="0" fontId="21" fillId="0" borderId="1" xfId="2" applyFont="1" applyBorder="1" applyAlignment="1">
      <alignment horizontal="center"/>
    </xf>
    <xf numFmtId="0" fontId="21" fillId="11" borderId="14" xfId="2" applyFont="1" applyFill="1" applyBorder="1" applyAlignment="1">
      <alignment horizontal="center" vertical="center"/>
    </xf>
    <xf numFmtId="0" fontId="19" fillId="11" borderId="1" xfId="2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3" fillId="11" borderId="1" xfId="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1" fillId="0" borderId="8" xfId="0" applyFont="1" applyFill="1" applyBorder="1" applyAlignment="1">
      <alignment vertical="center"/>
    </xf>
    <xf numFmtId="49" fontId="21" fillId="9" borderId="1" xfId="0" applyNumberFormat="1" applyFont="1" applyFill="1" applyBorder="1" applyAlignment="1">
      <alignment horizontal="center" wrapText="1"/>
    </xf>
    <xf numFmtId="14" fontId="23" fillId="0" borderId="1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wrapText="1"/>
    </xf>
    <xf numFmtId="0" fontId="13" fillId="4" borderId="0" xfId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4" fillId="0" borderId="0" xfId="0" applyFont="1" applyBorder="1" applyAlignment="1"/>
    <xf numFmtId="0" fontId="3" fillId="0" borderId="0" xfId="0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3" fillId="4" borderId="13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0" borderId="8" xfId="0" applyFont="1" applyBorder="1"/>
    <xf numFmtId="0" fontId="20" fillId="0" borderId="13" xfId="2" applyFont="1" applyBorder="1" applyAlignment="1">
      <alignment horizontal="center"/>
    </xf>
    <xf numFmtId="0" fontId="20" fillId="0" borderId="14" xfId="2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3" fillId="4" borderId="13" xfId="1" applyFill="1" applyBorder="1" applyAlignment="1">
      <alignment horizontal="center" vertical="center" wrapText="1"/>
    </xf>
    <xf numFmtId="0" fontId="13" fillId="4" borderId="14" xfId="1" applyFill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13" fillId="0" borderId="14" xfId="1" applyBorder="1" applyAlignment="1">
      <alignment horizontal="center" vertical="center" wrapText="1"/>
    </xf>
    <xf numFmtId="0" fontId="13" fillId="0" borderId="1" xfId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0" fillId="0" borderId="13" xfId="2" applyFont="1" applyBorder="1" applyAlignment="1">
      <alignment horizontal="center" wrapText="1"/>
    </xf>
    <xf numFmtId="0" fontId="20" fillId="0" borderId="14" xfId="2" applyFont="1" applyBorder="1" applyAlignment="1">
      <alignment horizontal="center" wrapText="1"/>
    </xf>
    <xf numFmtId="0" fontId="20" fillId="0" borderId="17" xfId="2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2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12" xfId="0" applyFont="1" applyBorder="1" applyAlignment="1">
      <alignment horizontal="center" vertical="top"/>
    </xf>
    <xf numFmtId="0" fontId="1" fillId="0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" fillId="0" borderId="8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8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top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8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4" fillId="0" borderId="8" xfId="0" applyFont="1" applyFill="1" applyBorder="1" applyAlignment="1">
      <alignment horizontal="left" wrapText="1"/>
    </xf>
    <xf numFmtId="0" fontId="11" fillId="0" borderId="0" xfId="0" applyFont="1" applyFill="1" applyAlignment="1">
      <alignment horizontal="center" vertical="top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Fill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14" fontId="1" fillId="0" borderId="8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1" fillId="0" borderId="8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4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238DD360-3848-474E-AE0B-CDC8DE1E00E4}"/>
    <cellStyle name="Обычный 3" xfId="2" xr:uid="{FF3E4FA9-D74F-4C60-9F3F-68C904802C5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B902-A60F-4A85-8745-567FE467C625}">
  <dimension ref="A1:M37"/>
  <sheetViews>
    <sheetView topLeftCell="C1" zoomScale="85" zoomScaleNormal="85" workbookViewId="0">
      <selection activeCell="J14" sqref="J14"/>
    </sheetView>
  </sheetViews>
  <sheetFormatPr defaultColWidth="9.140625" defaultRowHeight="12.75" x14ac:dyDescent="0.2"/>
  <cols>
    <col min="1" max="1" width="18.7109375" style="40" customWidth="1"/>
    <col min="2" max="2" width="36.5703125" style="40" customWidth="1"/>
    <col min="3" max="5" width="34.85546875" style="40" customWidth="1"/>
    <col min="6" max="7" width="36.7109375" style="40" customWidth="1"/>
    <col min="8" max="8" width="36.140625" style="40" customWidth="1"/>
    <col min="9" max="9" width="20.28515625" style="40" customWidth="1"/>
    <col min="10" max="11" width="20.85546875" style="40" customWidth="1"/>
    <col min="12" max="12" width="21.140625" style="40" customWidth="1"/>
    <col min="13" max="16384" width="9.140625" style="40"/>
  </cols>
  <sheetData>
    <row r="1" spans="1:13" ht="15" x14ac:dyDescent="0.25">
      <c r="A1" s="37" t="s">
        <v>125</v>
      </c>
      <c r="B1" s="38"/>
      <c r="C1" s="38"/>
      <c r="D1" s="38"/>
      <c r="E1" s="39"/>
      <c r="F1" s="198"/>
      <c r="G1" s="198"/>
      <c r="H1" s="198"/>
      <c r="I1" s="203"/>
      <c r="J1" s="203"/>
      <c r="K1" s="203"/>
      <c r="L1" s="203"/>
    </row>
    <row r="2" spans="1:13" ht="25.5" customHeight="1" x14ac:dyDescent="0.25">
      <c r="A2" s="41" t="s">
        <v>126</v>
      </c>
      <c r="B2" s="42"/>
      <c r="C2" s="42"/>
      <c r="D2" s="170"/>
      <c r="E2" s="43"/>
      <c r="F2" s="199"/>
      <c r="G2" s="200"/>
      <c r="H2" s="200"/>
      <c r="I2" s="129"/>
      <c r="J2" s="130"/>
      <c r="K2" s="130"/>
      <c r="L2" s="132"/>
    </row>
    <row r="3" spans="1:13" ht="63" customHeight="1" x14ac:dyDescent="0.2">
      <c r="A3" s="44" t="s">
        <v>127</v>
      </c>
      <c r="B3" s="45"/>
      <c r="C3" s="45"/>
      <c r="D3" s="171"/>
      <c r="E3" s="46"/>
      <c r="F3" s="201"/>
      <c r="G3" s="202"/>
      <c r="H3" s="202"/>
      <c r="I3" s="133"/>
      <c r="J3" s="133"/>
      <c r="K3" s="133"/>
      <c r="L3" s="133"/>
      <c r="M3" s="133"/>
    </row>
    <row r="4" spans="1:13" x14ac:dyDescent="0.2">
      <c r="A4" s="41" t="s">
        <v>128</v>
      </c>
      <c r="B4" s="42"/>
      <c r="C4" s="42"/>
      <c r="D4" s="42"/>
      <c r="E4" s="42"/>
      <c r="F4" s="42"/>
      <c r="G4" s="182"/>
      <c r="H4" s="126"/>
      <c r="I4" s="133"/>
      <c r="J4" s="133"/>
      <c r="K4" s="133"/>
      <c r="L4" s="133"/>
      <c r="M4" s="133"/>
    </row>
    <row r="5" spans="1:13" ht="38.25" x14ac:dyDescent="0.2">
      <c r="A5" s="44"/>
      <c r="B5" s="45"/>
      <c r="C5" s="45"/>
      <c r="D5" s="45"/>
      <c r="E5" s="45"/>
      <c r="F5" s="45"/>
      <c r="G5" s="183"/>
      <c r="H5" s="127"/>
      <c r="I5" s="133"/>
      <c r="J5" s="133"/>
      <c r="K5" s="133"/>
      <c r="L5" s="133"/>
      <c r="M5" s="133"/>
    </row>
    <row r="6" spans="1:13" ht="15" x14ac:dyDescent="0.2">
      <c r="A6" s="41" t="s">
        <v>129</v>
      </c>
      <c r="B6" s="42"/>
      <c r="C6" s="42"/>
      <c r="D6" s="172"/>
      <c r="E6" s="42"/>
      <c r="F6" s="42"/>
      <c r="G6" s="182"/>
      <c r="H6" s="126"/>
      <c r="I6" s="133"/>
      <c r="J6" s="133"/>
      <c r="K6" s="133"/>
      <c r="L6" s="131"/>
    </row>
    <row r="7" spans="1:13" ht="51" x14ac:dyDescent="0.2">
      <c r="A7" s="44" t="s">
        <v>130</v>
      </c>
      <c r="B7" s="45"/>
      <c r="C7" s="45"/>
      <c r="D7" s="173"/>
      <c r="E7" s="45"/>
      <c r="F7" s="45"/>
      <c r="G7" s="183"/>
      <c r="H7" s="127"/>
      <c r="I7" s="133"/>
      <c r="J7" s="133"/>
      <c r="K7" s="133"/>
      <c r="L7" s="131"/>
    </row>
    <row r="8" spans="1:13" x14ac:dyDescent="0.2">
      <c r="A8" s="41" t="s">
        <v>131</v>
      </c>
      <c r="B8" s="42"/>
      <c r="C8" s="42"/>
      <c r="D8" s="42"/>
      <c r="E8" s="42"/>
      <c r="F8" s="42"/>
      <c r="G8" s="182"/>
      <c r="H8" s="126"/>
      <c r="I8" s="133"/>
      <c r="J8" s="133"/>
      <c r="K8" s="133"/>
      <c r="L8" s="131"/>
    </row>
    <row r="9" spans="1:13" ht="25.5" x14ac:dyDescent="0.2">
      <c r="A9" s="44" t="s">
        <v>132</v>
      </c>
      <c r="B9" s="45"/>
      <c r="C9" s="45"/>
      <c r="D9" s="45"/>
      <c r="E9" s="45"/>
      <c r="F9" s="45"/>
      <c r="G9" s="183"/>
      <c r="H9" s="127"/>
      <c r="I9" s="131"/>
      <c r="J9" s="131"/>
      <c r="K9" s="131"/>
      <c r="L9" s="131"/>
    </row>
    <row r="10" spans="1:13" x14ac:dyDescent="0.2">
      <c r="A10" s="41" t="s">
        <v>133</v>
      </c>
      <c r="B10" s="42"/>
      <c r="C10" s="42"/>
      <c r="D10" s="42"/>
      <c r="E10" s="42"/>
      <c r="F10" s="42"/>
      <c r="G10" s="182"/>
      <c r="H10" s="126"/>
      <c r="I10" s="131"/>
      <c r="J10" s="131"/>
      <c r="K10" s="131"/>
      <c r="L10" s="131"/>
    </row>
    <row r="11" spans="1:13" x14ac:dyDescent="0.2">
      <c r="A11" s="44" t="s">
        <v>134</v>
      </c>
      <c r="B11" s="45"/>
      <c r="C11" s="45"/>
      <c r="D11" s="45"/>
      <c r="E11" s="45"/>
      <c r="F11" s="45"/>
      <c r="G11" s="183"/>
      <c r="H11" s="127"/>
      <c r="I11" s="131"/>
      <c r="J11" s="131"/>
      <c r="K11" s="131"/>
      <c r="L11" s="131"/>
    </row>
    <row r="12" spans="1:13" x14ac:dyDescent="0.2">
      <c r="A12" s="41" t="s">
        <v>135</v>
      </c>
      <c r="B12" s="42"/>
      <c r="C12" s="42"/>
      <c r="D12" s="42"/>
      <c r="E12" s="42"/>
      <c r="F12" s="42"/>
      <c r="G12" s="182"/>
      <c r="H12" s="126"/>
      <c r="I12" s="131"/>
      <c r="J12" s="131"/>
      <c r="K12" s="131"/>
      <c r="L12" s="131"/>
    </row>
    <row r="13" spans="1:13" x14ac:dyDescent="0.2">
      <c r="A13" s="41"/>
      <c r="B13" s="42"/>
      <c r="C13" s="42"/>
      <c r="D13" s="42"/>
      <c r="E13" s="42"/>
      <c r="F13" s="42"/>
      <c r="G13" s="182"/>
      <c r="H13" s="126"/>
      <c r="I13" s="131"/>
      <c r="J13" s="131"/>
      <c r="K13" s="131"/>
      <c r="L13" s="131"/>
    </row>
    <row r="14" spans="1:13" ht="25.5" x14ac:dyDescent="0.2">
      <c r="A14" s="44"/>
      <c r="B14" s="45"/>
      <c r="C14" s="45"/>
      <c r="D14" s="45"/>
      <c r="E14" s="45"/>
      <c r="F14" s="45"/>
      <c r="G14" s="183"/>
      <c r="H14" s="127"/>
      <c r="I14" s="131"/>
      <c r="J14" s="131"/>
      <c r="K14" s="131"/>
      <c r="L14" s="131"/>
    </row>
    <row r="15" spans="1:13" x14ac:dyDescent="0.2">
      <c r="A15" s="41"/>
      <c r="B15" s="42"/>
      <c r="C15" s="42"/>
      <c r="D15" s="42"/>
      <c r="E15" s="42"/>
      <c r="F15" s="42"/>
      <c r="G15" s="182"/>
      <c r="H15" s="126"/>
      <c r="I15" s="131"/>
      <c r="J15" s="131"/>
      <c r="K15" s="131"/>
      <c r="L15" s="131"/>
    </row>
    <row r="16" spans="1:13" x14ac:dyDescent="0.2">
      <c r="A16" s="44"/>
      <c r="B16" s="45"/>
      <c r="C16" s="45"/>
      <c r="D16" s="45"/>
      <c r="E16" s="45"/>
      <c r="F16" s="45"/>
      <c r="G16" s="183"/>
      <c r="H16" s="127"/>
      <c r="I16" s="131"/>
      <c r="J16" s="131"/>
      <c r="K16" s="131"/>
      <c r="L16" s="131"/>
    </row>
    <row r="17" spans="1:12" x14ac:dyDescent="0.2">
      <c r="A17" s="41"/>
      <c r="B17" s="42"/>
      <c r="C17" s="42"/>
      <c r="D17" s="42"/>
      <c r="E17" s="42"/>
      <c r="F17" s="42"/>
      <c r="G17" s="182"/>
      <c r="H17" s="126"/>
      <c r="I17" s="131"/>
      <c r="J17" s="131"/>
      <c r="K17" s="131"/>
      <c r="L17" s="131"/>
    </row>
    <row r="18" spans="1:12" ht="15" x14ac:dyDescent="0.2">
      <c r="A18" s="44" t="s">
        <v>136</v>
      </c>
      <c r="B18" s="45"/>
      <c r="C18" s="45"/>
      <c r="D18" s="173"/>
      <c r="E18" s="45"/>
      <c r="F18" s="42"/>
      <c r="G18" s="182"/>
      <c r="H18" s="126"/>
      <c r="I18" s="131"/>
      <c r="J18" s="131"/>
      <c r="K18" s="131"/>
      <c r="L18" s="131"/>
    </row>
    <row r="19" spans="1:12" ht="15" x14ac:dyDescent="0.2">
      <c r="A19" s="41" t="s">
        <v>137</v>
      </c>
      <c r="B19" s="42"/>
      <c r="C19" s="42"/>
      <c r="D19" s="172"/>
      <c r="E19" s="42"/>
      <c r="F19" s="42"/>
      <c r="G19" s="182"/>
      <c r="H19" s="126"/>
      <c r="I19" s="131"/>
      <c r="J19" s="131"/>
      <c r="K19" s="131"/>
      <c r="L19" s="131"/>
    </row>
    <row r="20" spans="1:12" ht="15" x14ac:dyDescent="0.2">
      <c r="A20" s="44" t="s">
        <v>138</v>
      </c>
      <c r="B20" s="45"/>
      <c r="C20" s="45"/>
      <c r="D20" s="173"/>
      <c r="E20" s="45"/>
      <c r="F20" s="45"/>
      <c r="G20" s="183"/>
      <c r="H20" s="127"/>
      <c r="I20" s="131"/>
      <c r="J20" s="131"/>
      <c r="K20" s="131"/>
      <c r="L20" s="131"/>
    </row>
    <row r="21" spans="1:12" x14ac:dyDescent="0.2">
      <c r="A21" s="47"/>
      <c r="B21" s="42"/>
      <c r="C21" s="42"/>
      <c r="D21" s="42"/>
      <c r="E21" s="42"/>
      <c r="F21" s="42"/>
      <c r="G21" s="182"/>
      <c r="H21" s="126"/>
      <c r="I21" s="131"/>
      <c r="J21" s="131"/>
      <c r="K21" s="131"/>
      <c r="L21" s="131"/>
    </row>
    <row r="23" spans="1:12" ht="79.5" customHeight="1" x14ac:dyDescent="0.2">
      <c r="A23" s="48" t="s">
        <v>139</v>
      </c>
      <c r="B23" s="49" t="str">
        <f>IF(AND(B2="",B3=""),"",CONCATENATE(IF(B2="","",B2),",",IF(B3="","",B3)))</f>
      </c>
      <c r="C23" s="49" t="str">
        <f>IF(AND(C2="",C3=""),"",CONCATENATE(IF(C2="","",C2),",",IF(C3="","",C3)))</f>
      </c>
      <c r="D23" s="50"/>
      <c r="F23" s="51" t="str">
        <f>IF(AND(F8="",F1="",F10="",F9=""),"",CONCATENATE(IF(F8="","",F8)," ",IF(F1="","",F1),"-",IF(F10="","",F10)," .",IF(F9="","",F9)))</f>
      </c>
      <c r="G23" s="51" t="str">
        <f>IF(AND(G8="",F1="",G9="",G10=""),"",CONCATENATE(IF(G8="","",G8)," ",IF(F1="","",F1),"-",IF(G9="","",G9),".",IF(G10="","",G10)))</f>
      </c>
      <c r="H23" s="51" t="str">
        <f>IF(AND(H8="",F1="",H10="",H9=""),"",CONCATENATE(IF(H8="","",H8)," ",IF(F1="","",F1),"-",IF(H10="","",H10)," .",IF(H9="","",H9)))</f>
      </c>
    </row>
    <row r="24" spans="1:12" ht="76.5" x14ac:dyDescent="0.2">
      <c r="A24" s="48" t="s">
        <v>139</v>
      </c>
      <c r="B24" s="49" t="str">
        <f>IF(AND(B1="",B2="",B3=""),"",CONCATENATE(IF(B1="","",B1),",",IF(B2="","",B2),",",IF(B3="","",B3)))</f>
      </c>
      <c r="C24" s="49" t="str">
        <f>IF(AND(C1="",C2="",C3=""),"",CONCATENATE(IF(C1="","",C1),",",IF(C2="","",C2),",",IF(C3="","",C3)))</f>
      </c>
      <c r="D24" s="50"/>
      <c r="F24" s="51" t="str">
        <f>IF(AND(F8="",F1="",F10=""),"",CONCATENATE(IF(F8="","",F8)," ",IF(F1="","",F1)," ",IF(F10="","",F10)))</f>
      </c>
      <c r="G24" s="51" t="str">
        <f>IF(AND(G8="",F1="",G10=""),"",CONCATENATE(IF(G8="","",G8)," ",IF(F1="","",F1)," ",IF(G10="","",G10)))</f>
      </c>
      <c r="H24" s="51" t="str">
        <f>IF(AND(H8="",F1="",H10=""),"",CONCATENATE(IF(H8="","",H8)," ",IF(F1="","",F1)," ",IF(H10="","",H10)))</f>
      </c>
      <c r="I24" s="42"/>
      <c r="J24" s="42"/>
      <c r="K24" s="169"/>
    </row>
    <row r="25" spans="1:12" ht="51" x14ac:dyDescent="0.2">
      <c r="B25" s="52" t="str">
        <f>IF(AND(B8="",B1="",B10="",B9=""),"",CONCATENATE(IF(B8="","",B8)," ",IF(B1="","",B1),"-",IF(B10="","",B10),".",IF(B9="","",B9)))</f>
      </c>
      <c r="C25" s="52" t="str">
        <f>IF(AND(C8="",C1="",C10="",C9=""),"",CONCATENATE(IF(C8="","",C8)," ",IF(C1="","",C1),"-",IF(C10="","",C10),".",IF(C9="","",C9)))</f>
      </c>
      <c r="D25" s="53"/>
      <c r="F25" s="51" t="str">
        <f>IF(AND(F8="",F1=""),"",CONCATENATE(IF(F8="","",F8)," ",IF(F1="","",F1)))</f>
      </c>
      <c r="G25" s="51"/>
      <c r="H25" s="51" t="str">
        <f>IF(AND(H8="",F1=""),"",CONCATENATE(IF(H8="","",H8)," ",IF(F1="","",F1)))</f>
      </c>
    </row>
    <row r="26" spans="1:12" ht="25.5" x14ac:dyDescent="0.2">
      <c r="B26" s="52" t="str">
        <f>IF(AND(B8="",B1=""),"",CONCATENATE(IF(B8="","",B8)," ",IF(B1="","",B1)))</f>
      </c>
      <c r="C26" s="52" t="str">
        <f>IF(AND(C8="",C1=""),"",CONCATENATE(IF(C8="","",C8)," ",IF(C1="","",C1)))</f>
      </c>
      <c r="D26" s="53"/>
      <c r="F26" s="48" t="str">
        <f>IF(AND(F6="",F1="",F7=""),"",CONCATENATE(IF(F6="","",F6)," ",IF(F1="","",F1)," ",IF(F7="","",F7)))</f>
      </c>
      <c r="G26" s="48"/>
      <c r="H26" s="48" t="str">
        <f>IF(AND(H6="",F1="",H7=""),"",CONCATENATE(IF(H6="","",H6)," ",IF(F1="","",F1)," ",IF(H7="","",H7)))</f>
      </c>
    </row>
    <row r="27" spans="1:12" ht="38.25" x14ac:dyDescent="0.2">
      <c r="B27" s="54" t="str">
        <f>IF(AND(B18="",B1="",B20="",B19=""),"",CONCATENATE(IF(B18="","",B18)," ",IF(B1="","",B1),"-",IF(B20="","",B20),".",IF(B19="","",B19)))</f>
      </c>
      <c r="C27" s="54" t="str">
        <f>IF(AND(C18="",C1="",C20="",C19=""),"",CONCATENATE(IF(C18="","",C18)," ",IF(C1="","",C1),"-",IF(C20="","",C20),".",IF(C19="","",C19)))</f>
      </c>
      <c r="D27" s="51"/>
      <c r="F27" s="55" t="str">
        <f>IF(AND(F14="",F1="",F15=""),"",CONCATENATE(IF(F14="","",F14)," ",IF(F1="","",F1)," ",IF(F15="","",F15)))</f>
      </c>
      <c r="G27" s="55"/>
      <c r="H27" s="55" t="str">
        <f>IF(AND(H14="",F1="",H15=""),"",CONCATENATE(IF(H14="","",H14)," ",IF(F1="","",F1)," ",IF(H15="","",H15)))</f>
      </c>
    </row>
    <row r="28" spans="1:12" ht="25.5" x14ac:dyDescent="0.2">
      <c r="B28" s="54" t="str">
        <f>IF(AND(B18="",B1="",B20=""),"",CONCATENATE(IF(B18="","",B18)," ",IF(B1="","",B1)," ",IF(B20="","",B20)))</f>
      </c>
      <c r="C28" s="54" t="str">
        <f>IF(AND(C18="",C1="",C20=""),"",CONCATENATE(IF(C18="","",C18)," ",IF(C1="","",C1),"-",IF(C20="","",C20)))</f>
      </c>
      <c r="D28" s="51"/>
      <c r="F28" s="48" t="str">
        <f>IF(AND(F16="",F1="",F17=""),"",CONCATENATE(IF(F16="","",F16)," ",IF(F1="","",F1)," ",IF(F17="","",F17)))</f>
      </c>
      <c r="G28" s="48"/>
    </row>
    <row r="29" spans="1:12" ht="25.5" x14ac:dyDescent="0.2">
      <c r="B29" s="56" t="str">
        <f>IF(AND(B18="",B1=""),"",CONCATENATE(IF(B18="","",B18)," ",IF(B1="","",B1)))</f>
      </c>
      <c r="C29" s="54" t="str">
        <f>IF(AND(C18="",C1=""),"",CONCATENATE(IF(C18="","",C18)," ",IF(C1="","",C1)))</f>
      </c>
      <c r="D29" s="51"/>
    </row>
    <row r="32" spans="1:12" ht="14.25" x14ac:dyDescent="0.2">
      <c r="A32" s="196" t="s">
        <v>176</v>
      </c>
      <c r="B32" s="197"/>
    </row>
    <row r="33" spans="1:3" x14ac:dyDescent="0.2">
      <c r="A33" s="137"/>
      <c r="B33" s="65"/>
    </row>
    <row r="34" spans="1:3" ht="15" x14ac:dyDescent="0.25">
      <c r="A34" s="141"/>
      <c r="B34" s="142"/>
    </row>
    <row r="35" spans="1:3" ht="14.25" x14ac:dyDescent="0.2">
      <c r="A35" s="131"/>
      <c r="B35" s="144"/>
      <c r="C35" s="143"/>
    </row>
    <row r="36" spans="1:3" ht="25.5" x14ac:dyDescent="0.2">
      <c r="A36" s="145"/>
      <c r="B36" s="140"/>
    </row>
    <row r="37" spans="1:3" ht="25.5" x14ac:dyDescent="0.2">
      <c r="A37" s="145"/>
      <c r="B37" s="140"/>
    </row>
  </sheetData>
  <mergeCells count="5">
    <mergeCell ref="A32:B32"/>
    <mergeCell ref="F1:H1"/>
    <mergeCell ref="F2:H2"/>
    <mergeCell ref="F3:H3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F4E5-E427-49B3-B9D1-3B71CB7EAF1F}">
  <sheetPr>
    <tabColor rgb="FFFF0000"/>
  </sheetPr>
  <dimension ref="A1:AK73"/>
  <sheetViews>
    <sheetView workbookViewId="0">
      <selection activeCell="B32" sqref="B32"/>
    </sheetView>
  </sheetViews>
  <sheetFormatPr defaultColWidth="9.140625" defaultRowHeight="12.75" x14ac:dyDescent="0.2"/>
  <cols>
    <col min="1" max="1" width="30" style="72" customWidth="1"/>
    <col min="2" max="2" width="116.7109375" style="57" customWidth="1"/>
    <col min="3" max="3" width="46.7109375" style="57" customWidth="1"/>
    <col min="4" max="4" width="9.140625" style="57"/>
    <col min="5" max="5" width="10.28515625" style="57" customWidth="1"/>
    <col min="6" max="6" width="5.85546875" style="57" customWidth="1"/>
    <col min="7" max="7" width="9.140625" style="57"/>
    <col min="8" max="8" width="33.28515625" style="57" customWidth="1"/>
    <col min="9" max="9" width="22.7109375" style="57" customWidth="1"/>
    <col min="10" max="10" width="4.7109375" style="57" customWidth="1"/>
    <col min="11" max="12" width="9.140625" style="57"/>
    <col min="13" max="13" width="57.140625" style="57" customWidth="1"/>
    <col min="14" max="16384" width="9.140625" style="57"/>
  </cols>
  <sheetData>
    <row r="1" spans="1:3" ht="14.25" x14ac:dyDescent="0.2">
      <c r="A1" s="205" t="s">
        <v>140</v>
      </c>
      <c r="B1" s="206"/>
    </row>
    <row r="2" spans="1:3" ht="15" x14ac:dyDescent="0.25">
      <c r="A2" s="58" t="s">
        <v>141</v>
      </c>
      <c r="B2" s="97"/>
    </row>
    <row r="3" spans="1:3" ht="30" x14ac:dyDescent="0.25">
      <c r="A3" s="59" t="s">
        <v>142</v>
      </c>
      <c r="B3" s="98"/>
    </row>
    <row r="4" spans="1:3" ht="15" x14ac:dyDescent="0.25">
      <c r="A4" s="60" t="s">
        <v>143</v>
      </c>
      <c r="B4" s="99"/>
    </row>
    <row r="5" spans="1:3" ht="15" x14ac:dyDescent="0.25">
      <c r="A5" s="60" t="s">
        <v>144</v>
      </c>
      <c r="B5" s="99"/>
    </row>
    <row r="6" spans="1:3" ht="15" x14ac:dyDescent="0.25">
      <c r="A6" s="60" t="s">
        <v>145</v>
      </c>
      <c r="B6" s="166"/>
    </row>
    <row r="7" spans="1:3" ht="15" x14ac:dyDescent="0.25">
      <c r="A7" s="60" t="s">
        <v>146</v>
      </c>
      <c r="B7" s="166"/>
      <c r="C7" s="61"/>
    </row>
    <row r="8" spans="1:3" ht="14.25" hidden="1" x14ac:dyDescent="0.2">
      <c r="A8" s="205" t="s">
        <v>147</v>
      </c>
      <c r="B8" s="206"/>
    </row>
    <row r="9" spans="1:3" ht="15" x14ac:dyDescent="0.25">
      <c r="A9" s="62" t="s">
        <v>148</v>
      </c>
      <c r="B9" s="63"/>
    </row>
    <row r="10" spans="1:3" ht="14.25" x14ac:dyDescent="0.2">
      <c r="A10" s="205" t="s">
        <v>149</v>
      </c>
      <c r="B10" s="206"/>
    </row>
    <row r="11" spans="1:3" ht="15" x14ac:dyDescent="0.25">
      <c r="A11" s="60" t="s">
        <v>150</v>
      </c>
      <c r="B11" s="168"/>
      <c r="C11" s="65" t="str">
        <f>IF(AND(B11="",B12="",B13=""),"",CONCATENATE(IF(B11="","",B11)," ",IF(B12="","",B12)," ",IF(B13="","",B13)))</f>
      </c>
    </row>
    <row r="12" spans="1:3" ht="15" x14ac:dyDescent="0.25">
      <c r="A12" s="60" t="s">
        <v>151</v>
      </c>
      <c r="B12" s="168"/>
      <c r="C12" s="65"/>
    </row>
    <row r="13" spans="1:3" ht="15" x14ac:dyDescent="0.25">
      <c r="A13" s="60" t="s">
        <v>127</v>
      </c>
      <c r="B13" s="168"/>
      <c r="C13" s="65"/>
    </row>
    <row r="14" spans="1:3" ht="15" hidden="1" x14ac:dyDescent="0.25">
      <c r="A14" s="60" t="s">
        <v>152</v>
      </c>
      <c r="B14" s="64"/>
      <c r="C14" s="65"/>
    </row>
    <row r="15" spans="1:3" ht="15" hidden="1" x14ac:dyDescent="0.25">
      <c r="A15" s="60" t="s">
        <v>153</v>
      </c>
      <c r="B15" s="64"/>
      <c r="C15" s="65" t="str">
        <f>IF(AND(B14="",B11="",B15=""),"",CONCATENATE(IF(B14="","",B14)," ",IF(B11="","",B11)," ",IF(B15="","",B15)))</f>
      </c>
    </row>
    <row r="16" spans="1:3" ht="15" hidden="1" x14ac:dyDescent="0.25">
      <c r="A16" s="60" t="s">
        <v>152</v>
      </c>
      <c r="B16" s="64"/>
      <c r="C16" s="65" t="str">
        <f>IF(AND(B16="",B11=""),"",CONCATENATE(IF(B16="","",B16)," ",IF(B11="","",B11)))</f>
      </c>
    </row>
    <row r="17" spans="1:3" ht="15" hidden="1" x14ac:dyDescent="0.25">
      <c r="A17" s="60" t="s">
        <v>154</v>
      </c>
      <c r="B17" s="64"/>
      <c r="C17" s="66" t="str">
        <f>IF(AND(B16="",B11="",B17=""),"",CONCATENATE(IF(B16="","",B16)," ",IF(B11="","",B11)," ",IF(B17="","",B17)))</f>
      </c>
    </row>
    <row r="18" spans="1:3" ht="15" hidden="1" x14ac:dyDescent="0.25">
      <c r="A18" s="60" t="s">
        <v>155</v>
      </c>
      <c r="B18" s="64"/>
      <c r="C18" s="66" t="str">
        <f>IF(AND(B16="",B11="",B17="",B18=""),"",CONCATENATE(IF(B16="","",B16)," ",IF(B11="","",B11)," ",IF(B17="","",B17),".",IF(B18="","",B18)))</f>
      </c>
    </row>
    <row r="19" spans="1:3" ht="15" x14ac:dyDescent="0.25">
      <c r="A19" s="60" t="s">
        <v>152</v>
      </c>
      <c r="B19" s="168"/>
      <c r="C19" s="65" t="str">
        <f>IF(AND(B19="",B11=""),"",CONCATENATE(IF(B19="","",B19)," ",IF(B11="","",B11)))</f>
      </c>
    </row>
    <row r="20" spans="1:3" ht="15" x14ac:dyDescent="0.25">
      <c r="A20" s="60" t="s">
        <v>154</v>
      </c>
      <c r="B20" s="168"/>
      <c r="C20" s="66" t="str">
        <f>IF(AND(B19="",B11="",B20=""),"",CONCATENATE(IF(B19="","",B19)," ",IF(B11="","",B11)," ",IF(B20="","",B20)))</f>
      </c>
    </row>
    <row r="21" spans="1:3" ht="15" hidden="1" x14ac:dyDescent="0.25">
      <c r="A21" s="67" t="s">
        <v>155</v>
      </c>
      <c r="B21" s="64"/>
      <c r="C21" s="66" t="str">
        <f>IF(AND(B19="",B11="",B20="",B21=""),"",CONCATENATE(IF(B19="","",B19)," ",IF(B11="","",B11)," ",IF(B20="","",B20),".",IF(B21="","",B21)))</f>
      </c>
    </row>
    <row r="22" spans="1:3" ht="14.25" x14ac:dyDescent="0.2">
      <c r="A22" s="196" t="s">
        <v>156</v>
      </c>
      <c r="B22" s="197"/>
    </row>
    <row r="23" spans="1:3" ht="15" x14ac:dyDescent="0.25">
      <c r="A23" s="67" t="s">
        <v>150</v>
      </c>
      <c r="B23" s="68"/>
      <c r="C23" s="57" t="str">
        <f>IF(AND(B23="",B24="",B25=""),"",CONCATENATE(IF(B23="","",B23)," ",IF(B24="","",B24),",",IF(B25="","",B25)))</f>
      </c>
    </row>
    <row r="24" spans="1:3" ht="15" x14ac:dyDescent="0.25">
      <c r="A24" s="67" t="s">
        <v>151</v>
      </c>
      <c r="B24" s="68" t="str">
        <f>IF('Данные организации'!F2="","",'Данные организации'!F2)</f>
      </c>
    </row>
    <row r="25" spans="1:3" ht="15" x14ac:dyDescent="0.25">
      <c r="A25" s="67" t="s">
        <v>127</v>
      </c>
      <c r="B25" s="68" t="str">
        <f>IF('Данные организации'!F3="","",'Данные организации'!F3)</f>
      </c>
    </row>
    <row r="26" spans="1:3" ht="15" hidden="1" x14ac:dyDescent="0.25">
      <c r="A26" s="67" t="s">
        <v>152</v>
      </c>
      <c r="B26" s="69"/>
      <c r="C26" s="57" t="str">
        <f>IF(AND(B26="",B23=""),"",CONCATENATE(IF(B26="","",B26)," ",IF(B23="","",B23)))</f>
      </c>
    </row>
    <row r="27" spans="1:3" ht="15" hidden="1" x14ac:dyDescent="0.25">
      <c r="A27" s="67" t="s">
        <v>154</v>
      </c>
      <c r="B27" s="68"/>
      <c r="C27" s="57" t="str">
        <f>IF(AND(B26="",B23="",B27=""),"",CONCATENATE(IF(B26="","",B26)," ",IF(B23="","",B23)," ",IF(B27="","",B27)))</f>
      </c>
    </row>
    <row r="28" spans="1:3" ht="15" hidden="1" x14ac:dyDescent="0.25">
      <c r="A28" s="67" t="s">
        <v>152</v>
      </c>
      <c r="B28" s="68"/>
      <c r="C28" s="57" t="str">
        <f>IF(AND(B28="",B23=""),"",CONCATENATE(IF(B28="","",B28)," ",IF(B23="","",B23)))</f>
      </c>
    </row>
    <row r="29" spans="1:3" ht="15" hidden="1" x14ac:dyDescent="0.25">
      <c r="A29" s="67" t="s">
        <v>154</v>
      </c>
      <c r="B29" s="68"/>
      <c r="C29" s="57" t="str">
        <f>IF(AND(B28="",B23="",B29=""),"",CONCATENATE(IF(B28="","",B28)," ",IF(B23="","",B23)," ",IF(B29="","",B29)))</f>
      </c>
    </row>
    <row r="30" spans="1:3" ht="15" hidden="1" x14ac:dyDescent="0.25">
      <c r="A30" s="67" t="s">
        <v>152</v>
      </c>
      <c r="B30" s="68"/>
      <c r="C30" s="57" t="str">
        <f>IF(AND(B30="",B23=""),"",CONCATENATE(IF(B30="","",B30)," ",IF(B23="","",B23)))</f>
      </c>
    </row>
    <row r="31" spans="1:3" ht="15" hidden="1" x14ac:dyDescent="0.25">
      <c r="A31" s="67" t="s">
        <v>154</v>
      </c>
      <c r="B31" s="68"/>
      <c r="C31" s="57" t="str">
        <f>IF(AND(B30="",B23="",B31=""),"",CONCATENATE(IF(B30="","",B30)," ",IF(B23="","",B23)," ",IF(B31="","",B31)))</f>
      </c>
    </row>
    <row r="32" spans="1:3" ht="15" x14ac:dyDescent="0.25">
      <c r="A32" s="67" t="s">
        <v>152</v>
      </c>
      <c r="B32" s="68"/>
    </row>
    <row r="33" spans="1:31" ht="15" hidden="1" x14ac:dyDescent="0.25">
      <c r="A33" s="67" t="s">
        <v>154</v>
      </c>
      <c r="B33" s="68"/>
      <c r="C33" s="70"/>
    </row>
    <row r="34" spans="1:31" ht="15" hidden="1" x14ac:dyDescent="0.25">
      <c r="A34" s="67" t="s">
        <v>155</v>
      </c>
      <c r="B34" s="68"/>
    </row>
    <row r="35" spans="1:31" ht="14.25" hidden="1" x14ac:dyDescent="0.2">
      <c r="A35" s="205" t="s">
        <v>157</v>
      </c>
      <c r="B35" s="207"/>
    </row>
    <row r="36" spans="1:31" ht="15" x14ac:dyDescent="0.25">
      <c r="A36" s="59" t="s">
        <v>150</v>
      </c>
      <c r="B36" s="71"/>
    </row>
    <row r="37" spans="1:31" ht="15" x14ac:dyDescent="0.25">
      <c r="A37" s="60" t="s">
        <v>151</v>
      </c>
      <c r="B37" s="71"/>
    </row>
    <row r="38" spans="1:31" ht="30" x14ac:dyDescent="0.25">
      <c r="A38" s="60" t="s">
        <v>127</v>
      </c>
      <c r="B38" s="71"/>
    </row>
    <row r="39" spans="1:31" ht="15" hidden="1" x14ac:dyDescent="0.25">
      <c r="A39" s="59" t="s">
        <v>158</v>
      </c>
      <c r="B39" s="71"/>
    </row>
    <row r="40" spans="1:31" ht="15" x14ac:dyDescent="0.25">
      <c r="A40" s="59" t="s">
        <v>159</v>
      </c>
      <c r="B40" s="71"/>
    </row>
    <row r="41" spans="1:31" ht="15" x14ac:dyDescent="0.25">
      <c r="A41" s="59" t="s">
        <v>160</v>
      </c>
      <c r="B41" s="71"/>
    </row>
    <row r="42" spans="1:31" ht="14.25" x14ac:dyDescent="0.2">
      <c r="A42" s="196" t="s">
        <v>175</v>
      </c>
      <c r="B42" s="197"/>
      <c r="C42" s="139"/>
    </row>
    <row r="43" spans="1:31" ht="15" x14ac:dyDescent="0.25">
      <c r="A43" s="146" t="s">
        <v>155</v>
      </c>
      <c r="B43" s="147"/>
      <c r="C43" s="139"/>
    </row>
    <row r="44" spans="1:31" ht="15" x14ac:dyDescent="0.25">
      <c r="A44" s="60" t="s">
        <v>154</v>
      </c>
      <c r="B44" s="153"/>
      <c r="C44" s="139"/>
    </row>
    <row r="45" spans="1:31" ht="15" x14ac:dyDescent="0.25">
      <c r="A45" s="60" t="s">
        <v>154</v>
      </c>
      <c r="B45" s="153"/>
      <c r="C45" s="65" t="str">
        <f>IF(AND(B44="",B45=""),"",CONCATENATE(IF(B44="","",B44)," ",IF(B45="","",B45)))</f>
      </c>
      <c r="D45" s="73"/>
      <c r="E45" s="73"/>
      <c r="F45" s="73"/>
      <c r="G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 spans="1:31" ht="15" x14ac:dyDescent="0.25">
      <c r="A46" s="60" t="s">
        <v>154</v>
      </c>
      <c r="B46" s="148"/>
      <c r="C46" s="74"/>
      <c r="D46" s="73"/>
      <c r="E46" s="73"/>
      <c r="F46" s="73"/>
      <c r="G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 spans="1:31" ht="15" x14ac:dyDescent="0.25">
      <c r="A47" s="60" t="s">
        <v>154</v>
      </c>
      <c r="B47" s="148"/>
      <c r="C47" s="65" t="str">
        <f>IF(AND(B46="",B47=""),"",CONCATENATE(IF(B46="","",B46)," ",IF(B47="","",B47)))</f>
      </c>
      <c r="D47" s="73"/>
      <c r="E47" s="73"/>
      <c r="F47" s="73"/>
      <c r="G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spans="1:31" ht="15" x14ac:dyDescent="0.25">
      <c r="A48" s="60" t="s">
        <v>154</v>
      </c>
      <c r="B48" s="148"/>
      <c r="C48" s="74"/>
      <c r="D48" s="73"/>
      <c r="E48" s="73"/>
      <c r="F48" s="73"/>
      <c r="G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 spans="1:37" ht="15" x14ac:dyDescent="0.25">
      <c r="A49" s="60" t="s">
        <v>154</v>
      </c>
      <c r="B49" s="148"/>
      <c r="C49" s="65" t="str">
        <f>IF(AND(B48="",B49=""),"",CONCATENATE(IF(B48="","",B48)," ",IF(B49="","",B49)))</f>
      </c>
      <c r="D49" s="73"/>
      <c r="E49" s="73"/>
      <c r="F49" s="73"/>
      <c r="G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 spans="1:37" ht="14.25" x14ac:dyDescent="0.2">
      <c r="A50" s="196" t="s">
        <v>176</v>
      </c>
      <c r="B50" s="197"/>
      <c r="C50" s="73"/>
      <c r="D50" s="73"/>
      <c r="E50" s="73"/>
      <c r="F50" s="73"/>
      <c r="G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spans="1:37" x14ac:dyDescent="0.2">
      <c r="A51" s="137" t="s">
        <v>159</v>
      </c>
      <c r="B51" s="138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 spans="1:37" s="135" customFormat="1" x14ac:dyDescent="0.2">
      <c r="A52" s="134"/>
    </row>
    <row r="53" spans="1:37" s="135" customFormat="1" ht="15" x14ac:dyDescent="0.25">
      <c r="A53" s="134"/>
      <c r="B53" s="204"/>
      <c r="C53" s="204"/>
      <c r="D53" s="204"/>
      <c r="E53" s="204"/>
      <c r="F53" s="204"/>
      <c r="G53" s="204"/>
      <c r="H53" s="204"/>
      <c r="I53" s="204"/>
      <c r="J53" s="204"/>
      <c r="K53" s="204"/>
    </row>
    <row r="54" spans="1:37" s="135" customFormat="1" ht="14.45" customHeight="1" x14ac:dyDescent="0.2">
      <c r="A54" s="134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</row>
    <row r="55" spans="1:37" ht="14.45" customHeight="1" x14ac:dyDescent="0.2"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spans="1:37" x14ac:dyDescent="0.2"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</row>
    <row r="57" spans="1:37" x14ac:dyDescent="0.2"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37" x14ac:dyDescent="0.2"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spans="1:37" x14ac:dyDescent="0.2"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</row>
    <row r="60" spans="1:37" x14ac:dyDescent="0.2"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spans="1:37" x14ac:dyDescent="0.2"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 spans="1:37" x14ac:dyDescent="0.2"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</row>
    <row r="63" spans="1:37" x14ac:dyDescent="0.2"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spans="1:37" x14ac:dyDescent="0.2"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</row>
    <row r="65" spans="2:37" x14ac:dyDescent="0.2"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</row>
    <row r="66" spans="2:37" x14ac:dyDescent="0.2"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 spans="2:37" x14ac:dyDescent="0.2"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spans="2:37" ht="14.45" customHeight="1" x14ac:dyDescent="0.2"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73" spans="2:37" ht="16.149999999999999" customHeight="1" x14ac:dyDescent="0.2">
      <c r="B73" s="75"/>
    </row>
  </sheetData>
  <dataConsolidate/>
  <mergeCells count="8">
    <mergeCell ref="A42:B42"/>
    <mergeCell ref="B53:K53"/>
    <mergeCell ref="A50:B50"/>
    <mergeCell ref="A1:B1"/>
    <mergeCell ref="A8:B8"/>
    <mergeCell ref="A10:B10"/>
    <mergeCell ref="A22:B22"/>
    <mergeCell ref="A35:B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F1181293-7521-4494-B012-AEC5CE7274E7}">
          <x14:formula1>
            <xm:f>'Данные организации'!$I$3:$K$3</xm:f>
          </x14:formula1>
          <xm:sqref>B44</xm:sqref>
        </x14:dataValidation>
        <x14:dataValidation type="list" allowBlank="1" showInputMessage="1" showErrorMessage="1" xr:uid="{02F9FB36-4FDE-423A-9CFF-1B621D7F6582}">
          <x14:formula1>
            <xm:f>'Данные организации'!$I$4:$K$4</xm:f>
          </x14:formula1>
          <xm:sqref>B45</xm:sqref>
        </x14:dataValidation>
        <x14:dataValidation type="list" allowBlank="1" showInputMessage="1" showErrorMessage="1" xr:uid="{E484CF59-B5AF-4E1B-806F-53D27C3F13AD}">
          <x14:formula1>
            <xm:f>'Данные организации'!$I$5:$K$5</xm:f>
          </x14:formula1>
          <xm:sqref>B46</xm:sqref>
        </x14:dataValidation>
        <x14:dataValidation type="list" allowBlank="1" showInputMessage="1" showErrorMessage="1" xr:uid="{354DE58F-0DF1-44ED-9FDD-15E549B3177D}">
          <x14:formula1>
            <xm:f>'Данные организации'!$I$6:$K$6</xm:f>
          </x14:formula1>
          <xm:sqref>B47</xm:sqref>
        </x14:dataValidation>
        <x14:dataValidation type="list" allowBlank="1" showInputMessage="1" showErrorMessage="1" xr:uid="{30BCDB1C-3DA7-4F7B-9149-6C468C3494BA}">
          <x14:formula1>
            <xm:f>'Данные организации'!$I$7:$K$7</xm:f>
          </x14:formula1>
          <xm:sqref>B48</xm:sqref>
        </x14:dataValidation>
        <x14:dataValidation type="list" allowBlank="1" showInputMessage="1" showErrorMessage="1" xr:uid="{E59E5FD6-6B58-47E0-8F89-9E3AA67A6B05}">
          <x14:formula1>
            <xm:f>'Данные организации'!$I$8:$K$8</xm:f>
          </x14:formula1>
          <xm:sqref>B49</xm:sqref>
        </x14:dataValidation>
        <x14:dataValidation type="list" allowBlank="1" showInputMessage="1" showErrorMessage="1" xr:uid="{3C88346E-96D2-4120-A3A6-27AF8BC9711D}">
          <x14:formula1>
            <xm:f>'Данные организации'!$B$33:$B$34</xm:f>
          </x14:formula1>
          <xm:sqref>B51</xm:sqref>
        </x14:dataValidation>
        <x14:dataValidation type="list" allowBlank="1" showInputMessage="1" showErrorMessage="1" xr:uid="{958D138A-366B-4CBD-89B8-CFEBD33AAB86}">
          <x14:formula1>
            <xm:f>'Данные организации'!$F$4:$H$4</xm:f>
          </x14:formula1>
          <xm:sqref>B4</xm:sqref>
        </x14:dataValidation>
        <x14:dataValidation type="list" allowBlank="1" showInputMessage="1" showErrorMessage="1" xr:uid="{8549F03F-9FB3-4556-B73D-9182C0850694}">
          <x14:formula1>
            <xm:f>'Данные организации'!$B$20:$D$20</xm:f>
          </x14:formula1>
          <xm:sqref>B20</xm:sqref>
        </x14:dataValidation>
        <x14:dataValidation type="list" allowBlank="1" showInputMessage="1" showErrorMessage="1" xr:uid="{871369C9-A956-44F1-AC36-2B937CB50289}">
          <x14:formula1>
            <xm:f>'Данные организации'!$B$1:$D$1</xm:f>
          </x14:formula1>
          <xm:sqref>B11</xm:sqref>
        </x14:dataValidation>
        <x14:dataValidation type="list" allowBlank="1" showInputMessage="1" showErrorMessage="1" xr:uid="{6CFAEAF5-1F0A-415F-AD35-8CCF2DF08223}">
          <x14:formula1>
            <xm:f>'Данные организации'!$B$2:$D$2</xm:f>
          </x14:formula1>
          <xm:sqref>B12</xm:sqref>
        </x14:dataValidation>
        <x14:dataValidation type="list" allowBlank="1" showInputMessage="1" showErrorMessage="1" xr:uid="{DB49A8CC-3417-4DFD-B16F-0391D99D201E}">
          <x14:formula1>
            <xm:f>'Данные организации'!$B$3:$D$3</xm:f>
          </x14:formula1>
          <xm:sqref>B13</xm:sqref>
        </x14:dataValidation>
        <x14:dataValidation type="list" allowBlank="1" showInputMessage="1" showErrorMessage="1" xr:uid="{5E4F4472-484A-49E3-B69B-B3B77342A3F3}">
          <x14:formula1>
            <xm:f>'Данные организации'!$B$18:$D$18</xm:f>
          </x14:formula1>
          <xm:sqref>B19</xm:sqref>
        </x14:dataValidation>
        <x14:dataValidation type="list" allowBlank="1" showInputMessage="1" showErrorMessage="1" xr:uid="{66347BEE-E694-4A7F-A71C-44C3DBC2BC21}">
          <x14:formula1>
            <xm:f>'Данные организации'!$F$24:$H$24</xm:f>
          </x14:formula1>
          <xm:sqref>B32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4064-E45B-4C40-A8B6-DB1B06C34F31}">
  <dimension ref="A1:P86"/>
  <sheetViews>
    <sheetView tabSelected="1" view="pageBreakPreview" topLeftCell="A70" zoomScaleNormal="100" zoomScaleSheetLayoutView="100" workbookViewId="0">
      <selection activeCell="B77" sqref="B77"/>
    </sheetView>
  </sheetViews>
  <sheetFormatPr defaultRowHeight="15" x14ac:dyDescent="0.25"/>
  <cols>
    <col min="1" max="1" width="7.140625" customWidth="1"/>
    <col min="2" max="2" width="9.42578125" customWidth="1"/>
    <col min="3" max="3" width="29.42578125" style="115" customWidth="1"/>
    <col min="4" max="4" width="9.5703125" customWidth="1"/>
    <col min="5" max="5" width="18.140625" customWidth="1"/>
    <col min="6" max="6" width="17.140625" style="112" customWidth="1"/>
    <col min="7" max="7" width="16.28515625" style="112" customWidth="1"/>
    <col min="8" max="8" width="14.42578125" customWidth="1"/>
    <col min="9" max="9" width="13" customWidth="1"/>
    <col min="10" max="10" width="20.7109375" customWidth="1"/>
  </cols>
  <sheetData>
    <row r="1" spans="2:16" x14ac:dyDescent="0.25">
      <c r="J1" t="s">
        <v>208</v>
      </c>
    </row>
    <row r="2" spans="2:16" x14ac:dyDescent="0.25">
      <c r="B2" s="1"/>
      <c r="C2" s="116"/>
      <c r="D2" s="1"/>
      <c r="E2" s="1"/>
      <c r="F2" s="113"/>
      <c r="G2" s="113"/>
      <c r="H2" s="1"/>
      <c r="I2" s="1"/>
      <c r="J2" s="1"/>
      <c r="K2" s="1"/>
      <c r="L2" s="1"/>
      <c r="M2" s="1"/>
      <c r="N2" s="1"/>
      <c r="O2" s="1"/>
      <c r="P2" s="1"/>
    </row>
    <row r="3" spans="2:16" ht="45" x14ac:dyDescent="0.25">
      <c r="B3" s="1"/>
      <c r="C3" s="116"/>
      <c r="D3" s="1"/>
      <c r="E3" s="1"/>
      <c r="F3" s="113"/>
      <c r="G3" s="113"/>
      <c r="H3" s="1"/>
      <c r="I3" s="1"/>
      <c r="J3" s="177"/>
      <c r="K3" s="1"/>
      <c r="L3" s="1"/>
      <c r="M3" s="1"/>
      <c r="N3" s="1"/>
      <c r="O3" s="1"/>
      <c r="P3" s="1"/>
    </row>
    <row r="4" spans="2:16" ht="18.75" x14ac:dyDescent="0.3">
      <c r="B4" s="175"/>
      <c r="C4" s="175"/>
      <c r="D4" s="175"/>
      <c r="E4" s="175"/>
      <c r="F4" s="175"/>
      <c r="G4" s="175"/>
      <c r="H4" s="175"/>
      <c r="I4" s="175"/>
      <c r="J4" s="175"/>
      <c r="K4" s="28"/>
      <c r="L4" s="28"/>
      <c r="M4" s="28"/>
      <c r="N4" s="28"/>
      <c r="O4" s="28"/>
      <c r="P4" s="28"/>
    </row>
    <row r="5" spans="2:16" x14ac:dyDescent="0.25">
      <c r="B5" s="176"/>
      <c r="C5" s="176"/>
      <c r="D5" s="176"/>
      <c r="E5" s="176"/>
      <c r="F5" s="176"/>
      <c r="G5" s="176"/>
      <c r="H5" s="176"/>
      <c r="I5" s="176"/>
      <c r="J5" s="176"/>
      <c r="K5" s="9"/>
      <c r="L5" s="9"/>
      <c r="M5" s="9"/>
      <c r="N5" s="9"/>
      <c r="O5" s="9"/>
      <c r="P5" s="9"/>
    </row>
    <row r="6" spans="2:16" x14ac:dyDescent="0.25">
      <c r="B6" s="1"/>
      <c r="C6" s="116"/>
      <c r="D6" s="1"/>
      <c r="E6" s="1"/>
      <c r="F6" s="113"/>
      <c r="G6" s="113"/>
      <c r="H6" s="1"/>
      <c r="I6" s="1"/>
      <c r="J6" s="1"/>
      <c r="K6" s="1"/>
      <c r="L6" s="1"/>
      <c r="M6" s="1"/>
      <c r="N6" s="1"/>
      <c r="O6" s="1"/>
      <c r="P6" s="1"/>
    </row>
    <row r="7" spans="2:16" x14ac:dyDescent="0.25">
      <c r="B7" s="1"/>
      <c r="C7" s="116"/>
      <c r="D7" s="1"/>
      <c r="E7" s="1"/>
      <c r="F7" s="113"/>
      <c r="G7" s="113"/>
      <c r="H7" s="1"/>
      <c r="I7" s="1"/>
      <c r="J7" s="1"/>
      <c r="K7" s="1"/>
      <c r="L7" s="1"/>
      <c r="M7" s="1"/>
      <c r="N7" s="1"/>
      <c r="O7" s="1"/>
      <c r="P7" s="1"/>
    </row>
    <row r="8" spans="2:16" x14ac:dyDescent="0.25">
      <c r="B8" s="1"/>
      <c r="C8" s="116"/>
      <c r="D8" s="1"/>
      <c r="E8" s="1"/>
      <c r="F8" s="113"/>
      <c r="G8" s="113"/>
      <c r="H8" s="1"/>
      <c r="I8" s="1"/>
      <c r="J8" s="1"/>
      <c r="K8" s="1"/>
      <c r="L8" s="1"/>
      <c r="M8" s="1"/>
      <c r="N8" s="1"/>
      <c r="O8" s="1"/>
      <c r="P8" s="1"/>
    </row>
    <row r="9" spans="2:16" x14ac:dyDescent="0.25">
      <c r="B9" s="1"/>
      <c r="C9" s="116"/>
      <c r="D9" s="1"/>
      <c r="E9" s="1"/>
      <c r="F9" s="113"/>
      <c r="G9" s="113"/>
      <c r="H9" s="1"/>
      <c r="I9" s="1"/>
      <c r="J9" s="1"/>
      <c r="K9" s="1"/>
      <c r="L9" s="1"/>
      <c r="M9" s="1"/>
      <c r="N9" s="1"/>
      <c r="O9" s="1"/>
      <c r="P9" s="1"/>
    </row>
    <row r="10" spans="2:16" ht="18.75" x14ac:dyDescent="0.3">
      <c r="B10" s="208" t="s">
        <v>209</v>
      </c>
      <c r="C10" s="208"/>
      <c r="D10" s="208"/>
      <c r="E10" s="208"/>
      <c r="F10" s="208"/>
      <c r="G10" s="208"/>
      <c r="H10" s="208"/>
      <c r="I10" s="208"/>
      <c r="J10" s="208"/>
      <c r="K10" s="1"/>
      <c r="L10" s="1"/>
      <c r="M10" s="1"/>
      <c r="N10" s="1"/>
      <c r="O10" s="1"/>
      <c r="P10" s="1"/>
    </row>
    <row r="11" spans="2:16" ht="18.75" x14ac:dyDescent="0.3">
      <c r="B11" s="208"/>
      <c r="C11" s="208"/>
      <c r="D11" s="208"/>
      <c r="E11" s="208"/>
      <c r="F11" s="208"/>
      <c r="G11" s="208"/>
      <c r="H11" s="208"/>
      <c r="I11" s="208"/>
      <c r="J11" s="208"/>
      <c r="K11" s="1"/>
      <c r="L11" s="1"/>
      <c r="M11" s="1"/>
      <c r="N11" s="1"/>
      <c r="O11" s="1"/>
      <c r="P11" s="1"/>
    </row>
    <row r="12" spans="2:16" ht="18.75" x14ac:dyDescent="0.3">
      <c r="B12" s="208"/>
      <c r="C12" s="208"/>
      <c r="D12" s="208"/>
      <c r="E12" s="208"/>
      <c r="F12" s="208"/>
      <c r="G12" s="208"/>
      <c r="H12" s="208"/>
      <c r="I12" s="208"/>
      <c r="J12" s="208"/>
      <c r="K12" s="178"/>
      <c r="L12" s="178"/>
      <c r="M12" s="178"/>
      <c r="N12" s="178"/>
      <c r="O12" s="178"/>
      <c r="P12" s="178"/>
    </row>
    <row r="13" spans="2:16" ht="18.75" x14ac:dyDescent="0.3">
      <c r="B13" s="208"/>
      <c r="C13" s="208"/>
      <c r="D13" s="208"/>
      <c r="E13" s="208"/>
      <c r="F13" s="208"/>
      <c r="G13" s="208"/>
      <c r="H13" s="208"/>
      <c r="I13" s="208"/>
      <c r="J13" s="208"/>
      <c r="K13" s="1"/>
      <c r="L13" s="1"/>
      <c r="M13" s="1"/>
      <c r="N13" s="1"/>
      <c r="O13" s="1"/>
      <c r="P13" s="1"/>
    </row>
    <row r="14" spans="2:16" ht="20.25" x14ac:dyDescent="0.3">
      <c r="K14" s="29"/>
      <c r="L14" s="29"/>
      <c r="M14" s="29"/>
      <c r="N14" s="29"/>
      <c r="O14" s="29"/>
      <c r="P14" s="29"/>
    </row>
    <row r="15" spans="2:16" ht="20.25" x14ac:dyDescent="0.3">
      <c r="K15" s="29"/>
      <c r="L15" s="29"/>
      <c r="M15" s="29"/>
      <c r="N15" s="29"/>
      <c r="O15" s="29"/>
      <c r="P15" s="29"/>
    </row>
    <row r="16" spans="2:16" ht="20.25" x14ac:dyDescent="0.3">
      <c r="K16" s="29"/>
      <c r="L16" s="29"/>
      <c r="M16" s="29"/>
      <c r="N16" s="29"/>
      <c r="O16" s="29"/>
      <c r="P16" s="29"/>
    </row>
    <row r="17" spans="2:16" x14ac:dyDescent="0.25">
      <c r="B17" s="1"/>
      <c r="C17" s="116"/>
      <c r="D17" s="1"/>
      <c r="E17" s="1"/>
      <c r="F17" s="113"/>
      <c r="G17" s="113"/>
      <c r="H17" s="1"/>
      <c r="I17" s="1"/>
      <c r="J17" s="1"/>
      <c r="K17" s="1"/>
      <c r="L17" s="1"/>
      <c r="M17" s="1"/>
      <c r="N17" s="1"/>
      <c r="O17" s="1"/>
      <c r="P17" s="1"/>
    </row>
    <row r="18" spans="2:16" ht="35.25" customHeight="1" x14ac:dyDescent="0.25">
      <c r="B18" s="1"/>
      <c r="C18" s="180"/>
      <c r="D18" s="180"/>
      <c r="E18" s="180"/>
      <c r="F18" s="180"/>
      <c r="G18" s="180"/>
      <c r="H18" s="180"/>
      <c r="I18" s="180"/>
      <c r="J18" s="1"/>
      <c r="K18" s="1"/>
      <c r="L18" s="1"/>
      <c r="O18" s="1"/>
      <c r="P18" s="1"/>
    </row>
    <row r="19" spans="2:16" x14ac:dyDescent="0.25">
      <c r="B19" s="1"/>
      <c r="C19" s="176"/>
      <c r="D19" s="176"/>
      <c r="E19" s="176"/>
      <c r="F19" s="176"/>
      <c r="G19" s="176"/>
      <c r="H19" s="176"/>
      <c r="I19" s="176"/>
      <c r="J19" s="9"/>
      <c r="K19" s="9"/>
      <c r="L19" s="9"/>
      <c r="M19" s="9"/>
      <c r="N19" s="9"/>
      <c r="O19" s="1"/>
      <c r="P19" s="1"/>
    </row>
    <row r="20" spans="2:16" ht="45.75" customHeight="1" x14ac:dyDescent="0.25">
      <c r="B20" s="179"/>
      <c r="C20" s="210" t="str">
        <f>IF('Данные объект'!B3="","",'Данные объект'!B3)</f>
      </c>
      <c r="D20" s="210"/>
      <c r="E20" s="210"/>
      <c r="F20" s="181"/>
      <c r="G20" s="181"/>
      <c r="H20" s="181"/>
      <c r="I20" s="181"/>
      <c r="J20" s="180"/>
      <c r="K20" s="1"/>
      <c r="L20" s="1"/>
      <c r="M20" s="1"/>
      <c r="N20" s="1"/>
      <c r="O20" s="1"/>
      <c r="P20" s="1"/>
    </row>
    <row r="21" spans="2:16" ht="29.25" customHeight="1" x14ac:dyDescent="0.25">
      <c r="B21" s="179"/>
      <c r="C21" s="210" t="str">
        <f>IF('Данные объект'!B5="","",'Данные объект'!B5)</f>
      </c>
      <c r="D21" s="210"/>
      <c r="E21" s="210"/>
      <c r="F21" s="180"/>
      <c r="G21" s="180"/>
      <c r="H21" s="180"/>
      <c r="I21" s="180"/>
      <c r="J21" s="180"/>
      <c r="K21" s="1"/>
      <c r="L21" s="1"/>
      <c r="M21" s="1"/>
      <c r="N21" s="1"/>
      <c r="O21" s="1"/>
      <c r="P21" s="1"/>
    </row>
    <row r="22" spans="2:16" ht="51" customHeight="1" x14ac:dyDescent="0.25">
      <c r="B22" s="179"/>
      <c r="C22" s="210" t="str">
        <f>IF('Данные объект'!B11="","",'Данные объект'!B11)</f>
      </c>
      <c r="D22" s="210"/>
      <c r="E22" s="210"/>
      <c r="F22" s="180"/>
      <c r="G22" s="180"/>
      <c r="H22" s="180"/>
      <c r="I22" s="180"/>
      <c r="J22" s="180"/>
      <c r="K22" s="1"/>
      <c r="L22" s="1"/>
      <c r="M22" s="1"/>
      <c r="N22" s="1"/>
      <c r="O22" s="1"/>
      <c r="P22" s="1"/>
    </row>
    <row r="23" spans="2:16" x14ac:dyDescent="0.25">
      <c r="B23" s="1"/>
      <c r="F23" s="113"/>
      <c r="G23" s="113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25">
      <c r="B24" s="1"/>
      <c r="F24" s="113"/>
      <c r="G24" s="113"/>
      <c r="H24" s="1"/>
      <c r="I24" s="1"/>
      <c r="J24" s="1"/>
      <c r="K24" s="1"/>
      <c r="L24" s="1"/>
      <c r="M24" s="1"/>
      <c r="N24" s="1"/>
      <c r="O24" s="1"/>
      <c r="P24" s="1"/>
    </row>
    <row r="25" spans="2:16" ht="30" customHeight="1" x14ac:dyDescent="0.25">
      <c r="B25" s="1"/>
      <c r="F25" s="113"/>
      <c r="G25" s="113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25">
      <c r="B26" s="1"/>
      <c r="C26" s="116"/>
      <c r="D26" s="1"/>
      <c r="E26" s="1"/>
      <c r="F26" s="113"/>
      <c r="G26" s="113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25">
      <c r="B27" s="1"/>
      <c r="C27" s="116"/>
      <c r="D27" s="1"/>
      <c r="E27" s="1"/>
      <c r="H27" s="30"/>
      <c r="I27" s="209" t="str">
        <f>IF('Данные объект'!B6="","",'Данные объект'!B6)</f>
      </c>
      <c r="J27" s="209"/>
      <c r="K27" s="1"/>
      <c r="L27" s="1"/>
      <c r="M27" s="1"/>
      <c r="N27" s="1"/>
      <c r="O27" s="1"/>
      <c r="P27" s="1"/>
    </row>
    <row r="28" spans="2:16" x14ac:dyDescent="0.25">
      <c r="B28" s="1"/>
      <c r="C28" s="116"/>
      <c r="D28" s="1"/>
      <c r="E28" s="1"/>
      <c r="H28" s="30"/>
      <c r="I28" s="209" t="str">
        <f>IF('Данные объект'!B7="","",'Данные объект'!B7)</f>
      </c>
      <c r="J28" s="209"/>
      <c r="K28" s="1"/>
      <c r="L28" s="1"/>
      <c r="M28" s="1"/>
      <c r="N28" s="1"/>
      <c r="O28" s="1"/>
      <c r="P28" s="1"/>
    </row>
    <row r="29" spans="2:16" x14ac:dyDescent="0.25">
      <c r="B29" s="1"/>
      <c r="C29" s="116"/>
      <c r="D29" s="1"/>
      <c r="E29" s="1"/>
      <c r="F29" s="113"/>
      <c r="G29" s="113"/>
      <c r="H29" s="1"/>
      <c r="I29" s="1"/>
      <c r="J29" s="1"/>
      <c r="K29" s="1"/>
      <c r="L29" s="1"/>
    </row>
    <row r="30" spans="2:16" x14ac:dyDescent="0.25">
      <c r="B30" s="1"/>
      <c r="C30" s="116"/>
      <c r="D30" s="1"/>
      <c r="E30" s="1"/>
      <c r="F30" s="113"/>
      <c r="G30" s="113"/>
      <c r="H30" s="1"/>
      <c r="I30" s="1"/>
      <c r="J30" s="1"/>
      <c r="K30" s="1"/>
      <c r="L30" s="1"/>
    </row>
    <row r="31" spans="2:16" x14ac:dyDescent="0.25">
      <c r="B31" s="1"/>
      <c r="C31" s="116"/>
      <c r="D31" s="1"/>
      <c r="E31" s="1"/>
      <c r="F31" s="113"/>
      <c r="G31" s="113"/>
      <c r="H31" s="1"/>
      <c r="I31" s="1"/>
      <c r="J31" s="1"/>
      <c r="K31" s="1"/>
      <c r="L31" s="1"/>
      <c r="M31" s="1"/>
      <c r="N31" s="1"/>
      <c r="O31" s="1"/>
      <c r="P31" s="1"/>
    </row>
    <row r="34" spans="1:16" ht="180" x14ac:dyDescent="0.25">
      <c r="A34" s="83" t="s">
        <v>222</v>
      </c>
      <c r="B34" s="83" t="s">
        <v>220</v>
      </c>
      <c r="C34" s="83" t="s">
        <v>213</v>
      </c>
      <c r="D34" s="83" t="s">
        <v>214</v>
      </c>
      <c r="E34" s="83" t="s">
        <v>215</v>
      </c>
      <c r="F34" s="83" t="s">
        <v>216</v>
      </c>
      <c r="G34" s="83" t="s">
        <v>221</v>
      </c>
      <c r="H34" s="83" t="s">
        <v>217</v>
      </c>
      <c r="I34" s="83" t="s">
        <v>218</v>
      </c>
      <c r="J34" s="83" t="s">
        <v>219</v>
      </c>
      <c r="L34" s="31"/>
      <c r="N34" s="31"/>
      <c r="P34" s="31"/>
    </row>
    <row r="35" spans="1:16" x14ac:dyDescent="0.25">
      <c r="A35" s="83">
        <v>1</v>
      </c>
      <c r="B35" s="84">
        <v>2</v>
      </c>
      <c r="C35" s="117">
        <v>3</v>
      </c>
      <c r="D35" s="84">
        <v>4</v>
      </c>
      <c r="E35" s="84">
        <v>5</v>
      </c>
      <c r="F35" s="84">
        <v>6</v>
      </c>
      <c r="G35" s="84">
        <v>7</v>
      </c>
      <c r="H35" s="84">
        <v>8</v>
      </c>
      <c r="I35" s="84">
        <v>9</v>
      </c>
      <c r="J35" s="84">
        <v>10</v>
      </c>
    </row>
    <row r="36" spans="1:16" ht="33.75" x14ac:dyDescent="0.25">
      <c r="A36" s="114">
        <v>1</v>
      </c>
      <c r="B36" s="77"/>
      <c r="C36" s="110"/>
      <c r="D36" s="78"/>
      <c r="E36" s="27"/>
      <c r="F36" s="76"/>
      <c r="G36" s="76"/>
      <c r="H36" s="78"/>
      <c r="I36" s="78"/>
      <c r="J36" s="184"/>
    </row>
    <row r="37" spans="1:16" ht="22.5" x14ac:dyDescent="0.25">
      <c r="A37" s="114">
        <v>2</v>
      </c>
      <c r="B37" s="77"/>
      <c r="C37" s="110"/>
      <c r="D37" s="78"/>
      <c r="E37" s="27"/>
      <c r="F37" s="76"/>
      <c r="G37" s="76"/>
      <c r="H37" s="78"/>
      <c r="I37" s="78"/>
      <c r="J37" s="184"/>
    </row>
    <row r="38" spans="1:16" ht="22.5" x14ac:dyDescent="0.25">
      <c r="A38" s="114">
        <v>3</v>
      </c>
      <c r="B38" s="77"/>
      <c r="C38" s="110"/>
      <c r="D38" s="78"/>
      <c r="E38" s="27"/>
      <c r="F38" s="76"/>
      <c r="G38" s="76"/>
      <c r="H38" s="78"/>
      <c r="I38" s="78"/>
      <c r="J38" s="184"/>
    </row>
    <row r="39" spans="1:16" ht="22.5" x14ac:dyDescent="0.25">
      <c r="A39" s="114">
        <v>4</v>
      </c>
      <c r="B39" s="77"/>
      <c r="C39" s="110"/>
      <c r="D39" s="78"/>
      <c r="E39" s="27"/>
      <c r="F39" s="79"/>
      <c r="G39" s="76"/>
      <c r="H39" s="78"/>
      <c r="I39" s="78"/>
      <c r="J39" s="184"/>
      <c r="K39" s="33"/>
      <c r="L39" s="33"/>
      <c r="M39" s="33"/>
    </row>
    <row r="40" spans="1:16" ht="22.5" x14ac:dyDescent="0.25">
      <c r="A40" s="114">
        <v>5</v>
      </c>
      <c r="B40" s="77"/>
      <c r="C40" s="110"/>
      <c r="D40" s="78"/>
      <c r="E40" s="27"/>
      <c r="F40" s="79"/>
      <c r="G40" s="76"/>
      <c r="H40" s="78"/>
      <c r="I40" s="78"/>
      <c r="J40" s="184"/>
      <c r="K40" s="34"/>
      <c r="L40" s="34"/>
      <c r="M40" s="34"/>
    </row>
    <row r="41" spans="1:16" ht="22.5" x14ac:dyDescent="0.25">
      <c r="A41" s="114">
        <v>6</v>
      </c>
      <c r="B41" s="77"/>
      <c r="C41" s="110"/>
      <c r="D41" s="78"/>
      <c r="E41" s="76"/>
      <c r="F41" s="80"/>
      <c r="G41" s="76"/>
      <c r="H41" s="78"/>
      <c r="I41" s="78"/>
      <c r="J41" s="184"/>
      <c r="K41" s="35"/>
      <c r="L41" s="35"/>
      <c r="M41" s="35"/>
    </row>
    <row r="42" spans="1:16" ht="33.75" x14ac:dyDescent="0.25">
      <c r="A42" s="114">
        <v>7</v>
      </c>
      <c r="B42" s="77"/>
      <c r="C42" s="110"/>
      <c r="D42" s="78"/>
      <c r="E42" s="27"/>
      <c r="F42" s="80"/>
      <c r="G42" s="76"/>
      <c r="H42" s="78"/>
      <c r="I42" s="78"/>
      <c r="J42" s="184"/>
      <c r="K42" s="36"/>
      <c r="L42" s="36"/>
      <c r="M42" s="36"/>
    </row>
    <row r="43" spans="1:16" ht="135" x14ac:dyDescent="0.25">
      <c r="A43" s="114">
        <v>8</v>
      </c>
      <c r="B43" s="77"/>
      <c r="C43" s="110"/>
      <c r="D43" s="78"/>
      <c r="E43" s="79"/>
      <c r="F43" s="80"/>
      <c r="G43" s="76"/>
      <c r="H43" s="78"/>
      <c r="I43" s="78"/>
      <c r="J43" s="184"/>
    </row>
    <row r="44" spans="1:16" ht="22.5" x14ac:dyDescent="0.25">
      <c r="A44" s="114">
        <v>9</v>
      </c>
      <c r="B44" s="77"/>
      <c r="C44" s="110"/>
      <c r="D44" s="78"/>
      <c r="E44" s="79"/>
      <c r="F44" s="80"/>
      <c r="G44" s="76"/>
      <c r="H44" s="78"/>
      <c r="I44" s="78"/>
      <c r="J44" s="184"/>
    </row>
    <row r="45" spans="1:16" ht="22.5" x14ac:dyDescent="0.25">
      <c r="A45" s="114">
        <v>10</v>
      </c>
      <c r="B45" s="77"/>
      <c r="C45" s="110"/>
      <c r="D45" s="78"/>
      <c r="E45" s="78"/>
      <c r="F45" s="76"/>
      <c r="G45" s="76"/>
      <c r="H45" s="78"/>
      <c r="I45" s="78"/>
      <c r="J45" s="184"/>
    </row>
    <row r="46" spans="1:16" ht="22.5" x14ac:dyDescent="0.25">
      <c r="A46" s="114">
        <v>11</v>
      </c>
      <c r="B46" s="77"/>
      <c r="C46" s="118"/>
      <c r="D46" s="79"/>
      <c r="E46" s="79"/>
      <c r="F46" s="79"/>
      <c r="G46" s="76"/>
      <c r="H46" s="78"/>
      <c r="I46" s="78"/>
      <c r="J46" s="184"/>
    </row>
    <row r="47" spans="1:16" ht="15.75" x14ac:dyDescent="0.25">
      <c r="A47" s="114">
        <v>12</v>
      </c>
      <c r="B47" s="77"/>
      <c r="C47" s="118"/>
      <c r="D47" s="79"/>
      <c r="E47" s="79"/>
      <c r="F47" s="79"/>
      <c r="G47" s="76"/>
      <c r="H47" s="78"/>
      <c r="I47" s="78"/>
      <c r="J47" s="184"/>
    </row>
    <row r="48" spans="1:16" ht="22.5" x14ac:dyDescent="0.25">
      <c r="A48" s="114">
        <v>13</v>
      </c>
      <c r="B48" s="77"/>
      <c r="C48" s="110"/>
      <c r="D48" s="76"/>
      <c r="E48" s="76"/>
      <c r="F48" s="76"/>
      <c r="G48" s="76"/>
      <c r="H48" s="78"/>
      <c r="I48" s="78"/>
      <c r="J48" s="184"/>
    </row>
    <row r="49" spans="1:10" ht="112.5" x14ac:dyDescent="0.25">
      <c r="A49" s="114">
        <v>14</v>
      </c>
      <c r="B49" s="77"/>
      <c r="C49" s="110"/>
      <c r="D49" s="76"/>
      <c r="E49" s="76"/>
      <c r="F49" s="76"/>
      <c r="G49" s="76"/>
      <c r="H49" s="78"/>
      <c r="I49" s="78"/>
      <c r="J49" s="184"/>
    </row>
    <row r="50" spans="1:10" ht="22.5" x14ac:dyDescent="0.25">
      <c r="A50" s="114">
        <v>15</v>
      </c>
      <c r="B50" s="77"/>
      <c r="C50" s="110"/>
      <c r="D50" s="76"/>
      <c r="E50" s="76"/>
      <c r="F50" s="76"/>
      <c r="G50" s="76"/>
      <c r="H50" s="78"/>
      <c r="I50" s="78"/>
      <c r="J50" s="184"/>
    </row>
    <row r="51" spans="1:10" ht="22.5" x14ac:dyDescent="0.25">
      <c r="A51" s="114">
        <v>16</v>
      </c>
      <c r="B51" s="77"/>
      <c r="C51" s="110"/>
      <c r="D51" s="76"/>
      <c r="E51" s="76"/>
      <c r="F51" s="76"/>
      <c r="G51" s="76"/>
      <c r="H51" s="78"/>
      <c r="I51" s="78"/>
      <c r="J51" s="184"/>
    </row>
    <row r="52" spans="1:10" ht="22.5" x14ac:dyDescent="0.25">
      <c r="A52" s="114">
        <v>17</v>
      </c>
      <c r="B52" s="77"/>
      <c r="C52" s="110"/>
      <c r="D52" s="76"/>
      <c r="E52" s="76"/>
      <c r="F52" s="76"/>
      <c r="G52" s="76"/>
      <c r="H52" s="78"/>
      <c r="I52" s="78"/>
      <c r="J52" s="184"/>
    </row>
    <row r="53" spans="1:10" ht="22.5" x14ac:dyDescent="0.25">
      <c r="A53" s="114">
        <v>18</v>
      </c>
      <c r="B53" s="77"/>
      <c r="C53" s="110"/>
      <c r="D53" s="76"/>
      <c r="E53" s="76"/>
      <c r="F53" s="76"/>
      <c r="G53" s="76"/>
      <c r="H53" s="78"/>
      <c r="I53" s="78"/>
      <c r="J53" s="184"/>
    </row>
    <row r="54" spans="1:10" ht="33.75" x14ac:dyDescent="0.25">
      <c r="A54" s="114">
        <v>19</v>
      </c>
      <c r="B54" s="77"/>
      <c r="C54" s="110"/>
      <c r="D54" s="76"/>
      <c r="E54" s="76"/>
      <c r="F54" s="76"/>
      <c r="G54" s="76"/>
      <c r="H54" s="78"/>
      <c r="I54" s="78"/>
      <c r="J54" s="184"/>
    </row>
    <row r="55" spans="1:10" ht="67.5" x14ac:dyDescent="0.25">
      <c r="A55" s="114">
        <v>20</v>
      </c>
      <c r="B55" s="77"/>
      <c r="C55" s="110"/>
      <c r="D55" s="76"/>
      <c r="E55" s="76"/>
      <c r="F55" s="76"/>
      <c r="G55" s="76"/>
      <c r="H55" s="78"/>
      <c r="I55" s="78"/>
      <c r="J55" s="184"/>
    </row>
    <row r="56" spans="1:10" ht="67.5" x14ac:dyDescent="0.25">
      <c r="A56" s="114">
        <v>21</v>
      </c>
      <c r="B56" s="77"/>
      <c r="C56" s="110"/>
      <c r="D56" s="76"/>
      <c r="E56" s="76"/>
      <c r="F56" s="76"/>
      <c r="G56" s="76"/>
      <c r="H56" s="78"/>
      <c r="I56" s="78"/>
      <c r="J56" s="184"/>
    </row>
    <row r="57" spans="1:10" ht="67.5" x14ac:dyDescent="0.25">
      <c r="A57" s="114">
        <v>22</v>
      </c>
      <c r="B57" s="77"/>
      <c r="C57" s="110"/>
      <c r="D57" s="76"/>
      <c r="E57" s="76"/>
      <c r="F57" s="76"/>
      <c r="G57" s="76"/>
      <c r="H57" s="78"/>
      <c r="I57" s="78"/>
      <c r="J57" s="184"/>
    </row>
    <row r="58" spans="1:10" ht="56.25" x14ac:dyDescent="0.25">
      <c r="A58" s="114">
        <v>23</v>
      </c>
      <c r="B58" s="77"/>
      <c r="C58" s="110"/>
      <c r="D58" s="76"/>
      <c r="E58" s="76"/>
      <c r="F58" s="76"/>
      <c r="G58" s="76"/>
      <c r="H58" s="78"/>
      <c r="I58" s="78"/>
      <c r="J58" s="184"/>
    </row>
    <row r="59" spans="1:10" ht="67.5" x14ac:dyDescent="0.25">
      <c r="A59" s="114">
        <v>24</v>
      </c>
      <c r="B59" s="77"/>
      <c r="C59" s="110"/>
      <c r="D59" s="76"/>
      <c r="E59" s="76"/>
      <c r="F59" s="76"/>
      <c r="G59" s="76"/>
      <c r="H59" s="78"/>
      <c r="I59" s="78"/>
      <c r="J59" s="184"/>
    </row>
    <row r="60" spans="1:10" ht="67.5" x14ac:dyDescent="0.25">
      <c r="A60" s="114">
        <v>25</v>
      </c>
      <c r="B60" s="77"/>
      <c r="C60" s="110"/>
      <c r="D60" s="76"/>
      <c r="E60" s="76"/>
      <c r="F60" s="76"/>
      <c r="G60" s="76"/>
      <c r="H60" s="78"/>
      <c r="I60" s="78"/>
      <c r="J60" s="184"/>
    </row>
    <row r="61" spans="1:10" ht="22.5" x14ac:dyDescent="0.25">
      <c r="A61" s="114">
        <v>26</v>
      </c>
      <c r="B61" s="77"/>
      <c r="C61" s="119"/>
      <c r="D61" s="81"/>
      <c r="E61" s="81"/>
      <c r="F61" s="111"/>
      <c r="G61" s="76"/>
      <c r="H61" s="78"/>
      <c r="I61" s="78"/>
      <c r="J61" s="184"/>
    </row>
    <row r="62" spans="1:10" ht="68.25" x14ac:dyDescent="0.25">
      <c r="A62" s="114">
        <v>27</v>
      </c>
      <c r="B62" s="82"/>
      <c r="C62" s="119"/>
      <c r="D62" s="81"/>
      <c r="E62" s="81"/>
      <c r="F62" s="111"/>
      <c r="G62" s="76"/>
      <c r="H62" s="78"/>
      <c r="I62" s="78"/>
      <c r="J62" s="184"/>
    </row>
    <row r="63" spans="1:10" ht="78.75" x14ac:dyDescent="0.25">
      <c r="A63" s="114">
        <v>28</v>
      </c>
      <c r="B63" s="82"/>
      <c r="C63" s="119"/>
      <c r="D63" s="81"/>
      <c r="E63" s="81"/>
      <c r="F63" s="111"/>
      <c r="G63" s="76"/>
      <c r="H63" s="78"/>
      <c r="I63" s="78"/>
      <c r="J63" s="184"/>
    </row>
    <row r="64" spans="1:10" ht="78.75" x14ac:dyDescent="0.25">
      <c r="A64" s="114">
        <v>29</v>
      </c>
      <c r="B64" s="82"/>
      <c r="C64" s="119"/>
      <c r="D64" s="81"/>
      <c r="E64" s="81"/>
      <c r="F64" s="111"/>
      <c r="G64" s="76"/>
      <c r="H64" s="78"/>
      <c r="I64" s="78"/>
      <c r="J64" s="184"/>
    </row>
    <row r="65" spans="1:10" ht="78.75" x14ac:dyDescent="0.25">
      <c r="A65" s="114">
        <v>30</v>
      </c>
      <c r="B65" s="82"/>
      <c r="C65" s="119"/>
      <c r="D65" s="81"/>
      <c r="E65" s="81"/>
      <c r="F65" s="111"/>
      <c r="G65" s="76"/>
      <c r="H65" s="78"/>
      <c r="I65" s="78"/>
      <c r="J65" s="184"/>
    </row>
    <row r="66" spans="1:10" ht="33.75" x14ac:dyDescent="0.25">
      <c r="A66" s="114">
        <v>31</v>
      </c>
      <c r="B66" s="82"/>
      <c r="C66" s="119"/>
      <c r="D66" s="81"/>
      <c r="E66" s="81"/>
      <c r="F66" s="111"/>
      <c r="G66" s="76"/>
      <c r="H66" s="78"/>
      <c r="I66" s="78"/>
      <c r="J66" s="184"/>
    </row>
    <row r="67" spans="1:10" ht="67.5" x14ac:dyDescent="0.25">
      <c r="A67" s="114">
        <v>32</v>
      </c>
      <c r="B67" s="82"/>
      <c r="C67" s="119"/>
      <c r="D67" s="81"/>
      <c r="E67" s="81"/>
      <c r="F67" s="111"/>
      <c r="G67" s="76"/>
      <c r="H67" s="78"/>
      <c r="I67" s="78"/>
      <c r="J67" s="184"/>
    </row>
    <row r="68" spans="1:10" ht="56.25" x14ac:dyDescent="0.25">
      <c r="A68" s="114">
        <v>33</v>
      </c>
      <c r="B68" s="82"/>
      <c r="C68" s="119"/>
      <c r="D68" s="81"/>
      <c r="E68" s="81"/>
      <c r="F68" s="111"/>
      <c r="G68" s="76"/>
      <c r="H68" s="78"/>
      <c r="I68" s="78"/>
      <c r="J68" s="184"/>
    </row>
    <row r="69" spans="1:10" ht="45" x14ac:dyDescent="0.25">
      <c r="A69" s="114">
        <v>34</v>
      </c>
      <c r="B69" s="82"/>
      <c r="C69" s="119"/>
      <c r="D69" s="81"/>
      <c r="E69" s="81"/>
      <c r="F69" s="111"/>
      <c r="G69" s="76"/>
      <c r="H69" s="78"/>
      <c r="I69" s="78"/>
      <c r="J69" s="184"/>
    </row>
    <row r="70" spans="1:10" ht="33.75" x14ac:dyDescent="0.25">
      <c r="A70" s="114">
        <v>35</v>
      </c>
      <c r="B70" s="82"/>
      <c r="C70" s="119"/>
      <c r="D70" s="81"/>
      <c r="E70" s="81"/>
      <c r="F70" s="111"/>
      <c r="G70" s="76"/>
      <c r="H70" s="78"/>
      <c r="I70" s="78"/>
      <c r="J70" s="184"/>
    </row>
    <row r="71" spans="1:10" ht="22.5" x14ac:dyDescent="0.25">
      <c r="A71" s="114">
        <v>36</v>
      </c>
      <c r="B71" s="82"/>
      <c r="C71" s="119"/>
      <c r="D71" s="81"/>
      <c r="E71" s="81"/>
      <c r="F71" s="111"/>
      <c r="G71" s="76"/>
      <c r="H71" s="78"/>
      <c r="I71" s="78"/>
      <c r="J71" s="184"/>
    </row>
    <row r="72" spans="1:10" ht="22.5" x14ac:dyDescent="0.25">
      <c r="A72" s="114">
        <v>37</v>
      </c>
      <c r="B72" s="82"/>
      <c r="C72" s="119"/>
      <c r="D72" s="81"/>
      <c r="E72" s="81"/>
      <c r="F72" s="111"/>
      <c r="G72" s="76"/>
      <c r="H72" s="78"/>
      <c r="I72" s="78"/>
      <c r="J72" s="184"/>
    </row>
    <row r="73" spans="1:10" ht="45" x14ac:dyDescent="0.25">
      <c r="A73" s="114">
        <v>38</v>
      </c>
      <c r="B73" s="82"/>
      <c r="C73" s="119"/>
      <c r="D73" s="81"/>
      <c r="E73" s="81"/>
      <c r="F73" s="111"/>
      <c r="G73" s="76"/>
      <c r="H73" s="78"/>
      <c r="I73" s="78"/>
      <c r="J73" s="184"/>
    </row>
    <row r="74" spans="1:10" ht="33.75" x14ac:dyDescent="0.25">
      <c r="A74" s="114">
        <v>39</v>
      </c>
      <c r="B74" s="82"/>
      <c r="C74" s="119"/>
      <c r="D74" s="81"/>
      <c r="E74" s="81"/>
      <c r="F74" s="111"/>
      <c r="G74" s="76"/>
      <c r="H74" s="78"/>
      <c r="I74" s="78"/>
      <c r="J74" s="184"/>
    </row>
    <row r="75" spans="1:10" ht="45" x14ac:dyDescent="0.25">
      <c r="A75" s="114">
        <v>40</v>
      </c>
      <c r="B75" s="167"/>
      <c r="C75" s="120"/>
      <c r="D75" s="111"/>
      <c r="E75" s="111"/>
      <c r="F75" s="111"/>
      <c r="G75" s="76"/>
      <c r="H75" s="78"/>
      <c r="I75" s="78"/>
      <c r="J75" s="184"/>
    </row>
    <row r="76" spans="1:10" ht="56.25" x14ac:dyDescent="0.25">
      <c r="A76" s="114">
        <v>41</v>
      </c>
      <c r="B76" s="167"/>
      <c r="C76" s="167"/>
      <c r="D76" s="167"/>
      <c r="E76" s="167"/>
      <c r="F76" s="370"/>
      <c r="G76" s="76"/>
      <c r="H76" s="78"/>
      <c r="I76" s="78"/>
      <c r="J76" s="184"/>
    </row>
    <row r="77" spans="1:10" ht="15.75" x14ac:dyDescent="0.25">
      <c r="A77" s="114">
        <v>42</v>
      </c>
      <c r="B77" s="167"/>
      <c r="C77" s="167"/>
      <c r="D77" s="167"/>
      <c r="E77" s="167"/>
      <c r="F77" s="167"/>
      <c r="G77" s="76"/>
      <c r="H77" s="78"/>
      <c r="I77" s="78"/>
      <c r="J77" s="184"/>
    </row>
    <row r="78" spans="1:10" ht="15.75" x14ac:dyDescent="0.25">
      <c r="A78" s="114">
        <v>43</v>
      </c>
      <c r="B78" s="32"/>
      <c r="C78" s="121"/>
      <c r="D78" s="32"/>
      <c r="E78" s="32"/>
      <c r="F78" s="114"/>
      <c r="G78" s="76"/>
      <c r="H78" s="78"/>
      <c r="I78" s="78"/>
      <c r="J78" s="184"/>
    </row>
    <row r="79" spans="1:10" ht="15.75" x14ac:dyDescent="0.25">
      <c r="A79" s="114">
        <v>44</v>
      </c>
      <c r="B79" s="32"/>
      <c r="C79" s="121"/>
      <c r="D79" s="32"/>
      <c r="E79" s="32"/>
      <c r="F79" s="114"/>
      <c r="G79" s="76"/>
      <c r="H79" s="78"/>
      <c r="I79" s="78"/>
      <c r="J79" s="184"/>
    </row>
    <row r="80" spans="1:10" ht="15.75" x14ac:dyDescent="0.25">
      <c r="A80" s="114">
        <v>45</v>
      </c>
      <c r="B80" s="32"/>
      <c r="C80" s="121"/>
      <c r="D80" s="32"/>
      <c r="E80" s="32"/>
      <c r="F80" s="114"/>
      <c r="G80" s="76"/>
      <c r="H80" s="78"/>
      <c r="I80" s="78"/>
      <c r="J80" s="184"/>
    </row>
    <row r="81" spans="1:10" ht="15.75" x14ac:dyDescent="0.25">
      <c r="A81" s="114">
        <v>46</v>
      </c>
      <c r="B81" s="32"/>
      <c r="C81" s="121"/>
      <c r="D81" s="32"/>
      <c r="E81" s="32"/>
      <c r="F81" s="114"/>
      <c r="G81" s="76"/>
      <c r="H81" s="78"/>
      <c r="I81" s="78"/>
      <c r="J81" s="184"/>
    </row>
    <row r="82" spans="1:10" ht="15.75" x14ac:dyDescent="0.25">
      <c r="A82" s="114">
        <v>47</v>
      </c>
      <c r="B82" s="32"/>
      <c r="C82" s="121"/>
      <c r="D82" s="32"/>
      <c r="E82" s="32"/>
      <c r="F82" s="114"/>
      <c r="G82" s="76"/>
      <c r="H82" s="78"/>
      <c r="I82" s="78"/>
      <c r="J82" s="184"/>
    </row>
    <row r="83" spans="1:10" ht="15.75" x14ac:dyDescent="0.25">
      <c r="A83" s="114">
        <v>48</v>
      </c>
      <c r="B83" s="32"/>
      <c r="C83" s="121"/>
      <c r="D83" s="32"/>
      <c r="E83" s="32"/>
      <c r="F83" s="114"/>
      <c r="G83" s="76"/>
      <c r="H83" s="78"/>
      <c r="I83" s="78"/>
      <c r="J83" s="184"/>
    </row>
    <row r="84" spans="1:10" ht="15.75" x14ac:dyDescent="0.25">
      <c r="A84" s="114">
        <v>49</v>
      </c>
      <c r="B84" s="32"/>
      <c r="C84" s="121"/>
      <c r="D84" s="32"/>
      <c r="E84" s="32"/>
      <c r="F84" s="114"/>
      <c r="G84" s="76"/>
      <c r="H84" s="78"/>
      <c r="I84" s="78"/>
      <c r="J84" s="184"/>
    </row>
    <row r="85" spans="1:10" ht="15.75" x14ac:dyDescent="0.25">
      <c r="A85" s="114">
        <v>50</v>
      </c>
      <c r="B85" s="32"/>
      <c r="C85" s="121"/>
      <c r="D85" s="32"/>
      <c r="E85" s="32"/>
      <c r="F85" s="114"/>
      <c r="G85" s="76"/>
      <c r="H85" s="78"/>
      <c r="I85" s="78"/>
      <c r="J85" s="184"/>
    </row>
    <row r="86" spans="1:10" ht="15.75" x14ac:dyDescent="0.25">
      <c r="A86" s="114">
        <v>51</v>
      </c>
      <c r="B86" s="32"/>
      <c r="C86" s="121"/>
      <c r="D86" s="32"/>
      <c r="E86" s="32"/>
      <c r="F86" s="114"/>
      <c r="G86" s="76"/>
      <c r="H86" s="78"/>
      <c r="I86" s="78"/>
      <c r="J86" s="184"/>
    </row>
  </sheetData>
  <mergeCells count="9">
    <mergeCell ref="B11:J11"/>
    <mergeCell ref="B10:J10"/>
    <mergeCell ref="B13:J13"/>
    <mergeCell ref="I27:J27"/>
    <mergeCell ref="I28:J28"/>
    <mergeCell ref="B12:J12"/>
    <mergeCell ref="C20:E20"/>
    <mergeCell ref="C21:E21"/>
    <mergeCell ref="C22:E22"/>
  </mergeCells>
  <pageMargins left="0.65476190476190477" right="0.46130952380952384" top="0.75" bottom="0.75" header="0.3" footer="0.3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949-09AA-4E94-8A1E-CA91F554BCD1}">
  <sheetPr codeName="Лист5"/>
  <dimension ref="A1:L96"/>
  <sheetViews>
    <sheetView view="pageBreakPreview" topLeftCell="A10" zoomScaleNormal="100" zoomScaleSheetLayoutView="100" workbookViewId="0">
      <selection activeCell="P35" sqref="P3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x14ac:dyDescent="0.25">
      <c r="K1" s="1" t="s">
        <v>210</v>
      </c>
    </row>
    <row r="3" spans="1:12" ht="30.75" customHeight="1" x14ac:dyDescent="0.25">
      <c r="K3" s="262"/>
      <c r="L3" s="262"/>
    </row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183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19.149999999999999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89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14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188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 t="s">
        <v>66</v>
      </c>
      <c r="D43" s="232"/>
      <c r="E43" s="231" t="s">
        <v>53</v>
      </c>
      <c r="F43" s="231"/>
      <c r="G43" s="232" t="s">
        <v>66</v>
      </c>
      <c r="H43" s="232"/>
      <c r="I43" s="232"/>
      <c r="J43" s="232"/>
      <c r="K43" s="106"/>
      <c r="L43" s="106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tr">
        <f>IF(K39="","",K39)</f>
      </c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IF(C43="","",C43)</f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267"/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K3:L3"/>
    <mergeCell ref="F5:G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95:L95"/>
    <mergeCell ref="A69:L69"/>
    <mergeCell ref="A70:C70"/>
    <mergeCell ref="D70:L70"/>
    <mergeCell ref="A82:L82"/>
    <mergeCell ref="A71:L71"/>
    <mergeCell ref="A72:G72"/>
    <mergeCell ref="H72:L72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I6:K6"/>
    <mergeCell ref="I7:K7"/>
    <mergeCell ref="A8:L8"/>
    <mergeCell ref="A9:L9"/>
    <mergeCell ref="A11:L11"/>
    <mergeCell ref="A13:F13"/>
    <mergeCell ref="G13:L13"/>
    <mergeCell ref="C20:F20"/>
    <mergeCell ref="A22:B22"/>
    <mergeCell ref="C22:L22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585A-62B1-4688-AFD9-B83CE5CE96E6}">
  <sheetPr codeName="Лист6"/>
  <dimension ref="A1:L98"/>
  <sheetViews>
    <sheetView view="pageBreakPreview" topLeftCell="A43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x14ac:dyDescent="0.25">
      <c r="I6" s="211" t="s">
        <v>40</v>
      </c>
      <c r="J6" s="212"/>
      <c r="K6" s="213"/>
    </row>
    <row r="7" spans="1:12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9.25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2" spans="1:12" ht="18.75" customHeight="1" x14ac:dyDescent="0.25"/>
    <row r="13" spans="1:12" ht="15.75" x14ac:dyDescent="0.25">
      <c r="A13" s="218" t="s">
        <v>196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5" spans="1:12" ht="21.6" customHeight="1" x14ac:dyDescent="0.25"/>
    <row r="16" spans="1:12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23.4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ht="15" customHeight="1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ht="19.149999999999999" customHeight="1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ht="18" customHeight="1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6.5" customHeight="1" x14ac:dyDescent="0.25">
      <c r="A25" s="215" t="s">
        <v>16</v>
      </c>
      <c r="B25" s="215"/>
      <c r="C25" s="215"/>
    </row>
    <row r="26" spans="1:12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9.2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4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29.25" customHeight="1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ht="15" customHeight="1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x14ac:dyDescent="0.25">
      <c r="A37" s="234" t="s">
        <v>164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ht="15" customHeight="1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1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163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162</v>
      </c>
      <c r="J41" s="232"/>
      <c r="K41" s="232"/>
      <c r="L41" s="232"/>
    </row>
    <row r="42" spans="1:12" ht="15" customHeight="1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69" t="str">
        <f>IF(C43="","",C43)</f>
      </c>
      <c r="B57" s="269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69"/>
      <c r="B58" s="269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69"/>
      <c r="B59" s="269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30" t="s">
        <v>44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1" t="s">
        <v>115</v>
      </c>
      <c r="B70" s="231"/>
      <c r="C70" s="231"/>
      <c r="D70" s="267"/>
      <c r="E70" s="267"/>
      <c r="F70" s="267"/>
      <c r="G70" s="267"/>
      <c r="H70" s="267"/>
      <c r="I70" s="267"/>
      <c r="J70" s="267"/>
      <c r="K70" s="267"/>
      <c r="L70" s="267"/>
    </row>
    <row r="71" spans="1:12" ht="12.75" customHeight="1" x14ac:dyDescent="0.25">
      <c r="A71" s="230" t="s">
        <v>116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ht="12.75" customHeight="1" x14ac:dyDescent="0.25">
      <c r="A72" s="235" t="s">
        <v>57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hidden="1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hidden="1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ht="12.75" customHeight="1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6" spans="1:12" ht="12.75" customHeight="1" x14ac:dyDescent="0.25"/>
    <row r="77" spans="1:12" ht="17.25" customHeight="1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21.6" customHeight="1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1.2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ht="19.149999999999999" customHeight="1" x14ac:dyDescent="0.25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2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8.600000000000001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1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0.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5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97:L97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A69:L69"/>
    <mergeCell ref="A70:C70"/>
    <mergeCell ref="D70:L70"/>
    <mergeCell ref="A80:L80"/>
    <mergeCell ref="A81:L81"/>
    <mergeCell ref="A84:L84"/>
    <mergeCell ref="A71:L71"/>
    <mergeCell ref="A72:G72"/>
    <mergeCell ref="H72:L72"/>
    <mergeCell ref="A57:B59"/>
    <mergeCell ref="C57:D59"/>
    <mergeCell ref="E57:F59"/>
    <mergeCell ref="G57:H59"/>
    <mergeCell ref="I57:J59"/>
    <mergeCell ref="A62:D62"/>
    <mergeCell ref="E62:L62"/>
    <mergeCell ref="A67:L67"/>
    <mergeCell ref="A68:C68"/>
    <mergeCell ref="D68:L68"/>
    <mergeCell ref="A64:C64"/>
    <mergeCell ref="D64:L64"/>
    <mergeCell ref="A65:L65"/>
    <mergeCell ref="A66:D66"/>
    <mergeCell ref="E66:L66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45:B45"/>
    <mergeCell ref="C45:E45"/>
    <mergeCell ref="G45:L45"/>
    <mergeCell ref="A46:L46"/>
    <mergeCell ref="A47:E47"/>
    <mergeCell ref="F47:L4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K3:L3"/>
    <mergeCell ref="F5:G5"/>
    <mergeCell ref="I6:K6"/>
    <mergeCell ref="I7:K7"/>
    <mergeCell ref="A8:L8"/>
    <mergeCell ref="A9:L9"/>
    <mergeCell ref="A11:L11"/>
    <mergeCell ref="A13:F13"/>
    <mergeCell ref="G13:L13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2009-7326-401C-8358-090607D1CB36}">
  <sheetPr codeName="Лист3"/>
  <dimension ref="A1:L98"/>
  <sheetViews>
    <sheetView view="pageBreakPreview" topLeftCell="A28" zoomScaleNormal="100" zoomScaleSheetLayoutView="100" workbookViewId="0">
      <selection activeCell="R41" sqref="R41"/>
    </sheetView>
  </sheetViews>
  <sheetFormatPr defaultColWidth="9.140625" defaultRowHeight="15" x14ac:dyDescent="0.25"/>
  <cols>
    <col min="1" max="1" width="8.5703125" style="1" customWidth="1"/>
    <col min="2" max="2" width="9.5703125" style="1" customWidth="1"/>
    <col min="3" max="3" width="12.140625" style="1" customWidth="1"/>
    <col min="4" max="4" width="10.2851562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108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8.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3.45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64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72"/>
      <c r="L39" s="27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241"/>
      <c r="B41" s="241"/>
      <c r="C41" s="241"/>
      <c r="D41" s="241"/>
      <c r="E41" s="241"/>
      <c r="F41" s="241"/>
      <c r="G41" s="241"/>
      <c r="H41" s="8" t="s">
        <v>50</v>
      </c>
      <c r="I41" s="232" t="s">
        <v>65</v>
      </c>
      <c r="J41" s="232"/>
      <c r="K41" s="232"/>
      <c r="L41" s="232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/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74</v>
      </c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IF(C43="","",C43)</f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88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255"/>
      <c r="E70" s="255"/>
      <c r="F70" s="255"/>
      <c r="G70" s="255"/>
      <c r="H70" s="255"/>
      <c r="I70" s="255"/>
      <c r="J70" s="255"/>
      <c r="K70" s="255"/>
      <c r="L70" s="255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2.7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2.15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6.25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0.45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ht="16.149999999999999" customHeight="1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A95:L95"/>
    <mergeCell ref="A96:L96"/>
    <mergeCell ref="A92:L92"/>
    <mergeCell ref="K93:L93"/>
    <mergeCell ref="A94:L94"/>
    <mergeCell ref="A93:J93"/>
    <mergeCell ref="A91:L91"/>
    <mergeCell ref="A86:L86"/>
    <mergeCell ref="A87:L87"/>
    <mergeCell ref="A88:I88"/>
    <mergeCell ref="K88:L88"/>
    <mergeCell ref="A89:L89"/>
    <mergeCell ref="A90:I90"/>
    <mergeCell ref="K90:L90"/>
    <mergeCell ref="A70:C70"/>
    <mergeCell ref="D70:L70"/>
    <mergeCell ref="A71:L71"/>
    <mergeCell ref="A72:G72"/>
    <mergeCell ref="H72:L72"/>
    <mergeCell ref="A80:L80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B973-1E6F-4C5E-B8C3-4EEF5485ADFF}">
  <sheetPr codeName="Лист4"/>
  <dimension ref="A1:L96"/>
  <sheetViews>
    <sheetView view="pageBreakPreview" topLeftCell="A31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8554687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112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3.4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2.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89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191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 t="s">
        <v>190</v>
      </c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74</v>
      </c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IF(C43="","",C43)</f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267" t="s">
        <v>38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.60000000000000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9.14999999999999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3:I83"/>
    <mergeCell ref="K83:L83"/>
    <mergeCell ref="A73:L73"/>
    <mergeCell ref="A77:L77"/>
    <mergeCell ref="A78:L78"/>
    <mergeCell ref="A79:L79"/>
    <mergeCell ref="A74:L74"/>
    <mergeCell ref="A75:K75"/>
    <mergeCell ref="A80:C80"/>
    <mergeCell ref="D80:L80"/>
    <mergeCell ref="A81:L81"/>
    <mergeCell ref="K3:L3"/>
    <mergeCell ref="F5:G5"/>
    <mergeCell ref="A95:L95"/>
    <mergeCell ref="A96:L96"/>
    <mergeCell ref="A93:L93"/>
    <mergeCell ref="A94:L94"/>
    <mergeCell ref="A90:L90"/>
    <mergeCell ref="K91:L91"/>
    <mergeCell ref="A92:L92"/>
    <mergeCell ref="A91:J91"/>
    <mergeCell ref="A89:L89"/>
    <mergeCell ref="A84:L84"/>
    <mergeCell ref="A85:L85"/>
    <mergeCell ref="A86:I86"/>
    <mergeCell ref="K86:L86"/>
    <mergeCell ref="A87:L87"/>
    <mergeCell ref="A88:I88"/>
    <mergeCell ref="K88:L88"/>
    <mergeCell ref="A70:C70"/>
    <mergeCell ref="D70:L70"/>
    <mergeCell ref="A71:L71"/>
    <mergeCell ref="A72:G72"/>
    <mergeCell ref="H72:L72"/>
    <mergeCell ref="A82:L82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B723-85DF-4071-86BE-1E186B7EF849}">
  <dimension ref="A1:L94"/>
  <sheetViews>
    <sheetView view="pageBreakPreview" topLeftCell="A49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113</v>
      </c>
      <c r="B13" s="218"/>
      <c r="C13" s="218"/>
      <c r="D13" s="218"/>
      <c r="E13" s="218"/>
      <c r="F13" s="218"/>
      <c r="G13" s="275" t="str">
        <f>IF('Данные объект'!B2="","",'Данные объект'!B2)</f>
      </c>
      <c r="H13" s="275"/>
      <c r="I13" s="275"/>
      <c r="J13" s="275"/>
      <c r="K13" s="275"/>
      <c r="L13" s="275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6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0.45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2.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5" customHeight="1" x14ac:dyDescent="0.25">
      <c r="A37" s="234" t="s">
        <v>189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120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 t="str">
        <f>IF(C43="","",C43)</f>
      </c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40" t="s">
        <v>30</v>
      </c>
      <c r="B45" s="240"/>
      <c r="C45" s="241" t="s">
        <v>74</v>
      </c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76" t="str">
        <f>IF(C43="","",C43)</f>
      </c>
      <c r="B57" s="277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55</v>
      </c>
      <c r="B64" s="231"/>
      <c r="C64" s="231"/>
      <c r="D64" s="231"/>
      <c r="E64" s="267" t="s">
        <v>59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54</v>
      </c>
      <c r="B66" s="231"/>
      <c r="C66" s="231"/>
      <c r="D66" s="267" t="s">
        <v>59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115</v>
      </c>
      <c r="B68" s="231"/>
      <c r="C68" s="231"/>
      <c r="D68" s="267"/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116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57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117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68" t="s">
        <v>47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10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4.45" customHeight="1" x14ac:dyDescent="0.25">
      <c r="A78" s="226" t="s">
        <v>118</v>
      </c>
      <c r="B78" s="226"/>
      <c r="C78" s="226"/>
      <c r="D78" s="255" t="s">
        <v>38</v>
      </c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22" t="s">
        <v>21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7.25" customHeight="1" x14ac:dyDescent="0.25">
      <c r="A80" s="265" t="s">
        <v>23</v>
      </c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</row>
    <row r="81" spans="1:12" ht="25.9" customHeight="1" x14ac:dyDescent="0.25">
      <c r="A81" s="257" t="str">
        <f>IF(C22="","",C22)</f>
      </c>
      <c r="B81" s="257"/>
      <c r="C81" s="257"/>
      <c r="D81" s="257"/>
      <c r="E81" s="257"/>
      <c r="F81" s="257"/>
      <c r="G81" s="257"/>
      <c r="H81" s="257"/>
      <c r="I81" s="257"/>
      <c r="J81" s="7"/>
      <c r="K81" s="258"/>
      <c r="L81" s="258"/>
    </row>
    <row r="82" spans="1:12" ht="11.25" customHeight="1" x14ac:dyDescent="0.25">
      <c r="A82" s="222" t="s">
        <v>48</v>
      </c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</row>
    <row r="83" spans="1:12" x14ac:dyDescent="0.25">
      <c r="A83" s="265" t="s">
        <v>22</v>
      </c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</row>
    <row r="84" spans="1:12" ht="22.9" customHeight="1" x14ac:dyDescent="0.25">
      <c r="A84" s="257" t="str">
        <f>IF(C26="","",C26)</f>
      </c>
      <c r="B84" s="257"/>
      <c r="C84" s="257"/>
      <c r="D84" s="257"/>
      <c r="E84" s="257"/>
      <c r="F84" s="257"/>
      <c r="G84" s="257"/>
      <c r="H84" s="257"/>
      <c r="I84" s="257"/>
      <c r="J84" s="7"/>
      <c r="K84" s="258"/>
      <c r="L84" s="258"/>
    </row>
    <row r="85" spans="1:12" ht="12" customHeight="1" x14ac:dyDescent="0.25">
      <c r="A85" s="222" t="s">
        <v>48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ht="20.45" customHeight="1" x14ac:dyDescent="0.25">
      <c r="A86" s="257" t="str">
        <f>IF(C28="","",C28)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1.25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x14ac:dyDescent="0.25">
      <c r="A88" s="265" t="s">
        <v>49</v>
      </c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</row>
    <row r="89" spans="1:12" x14ac:dyDescent="0.25">
      <c r="A89" s="257" t="str">
        <f>IF(C30="","",C30)</f>
      </c>
      <c r="B89" s="257"/>
      <c r="C89" s="257"/>
      <c r="D89" s="257"/>
      <c r="E89" s="257"/>
      <c r="F89" s="257"/>
      <c r="G89" s="257"/>
      <c r="H89" s="257"/>
      <c r="I89" s="257"/>
      <c r="J89" s="257"/>
      <c r="K89" s="266"/>
      <c r="L89" s="266"/>
    </row>
    <row r="90" spans="1:12" x14ac:dyDescent="0.25">
      <c r="A90" s="222" t="s">
        <v>2</v>
      </c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</row>
    <row r="91" spans="1:12" x14ac:dyDescent="0.25">
      <c r="A91" s="265" t="s">
        <v>24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</row>
    <row r="92" spans="1:12" ht="10.5" customHeight="1" x14ac:dyDescent="0.25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</row>
    <row r="93" spans="1:12" ht="13.5" customHeight="1" x14ac:dyDescent="0.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</row>
    <row r="94" spans="1:12" x14ac:dyDescent="0.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</row>
  </sheetData>
  <mergeCells count="118">
    <mergeCell ref="A93:L93"/>
    <mergeCell ref="A94:L94"/>
    <mergeCell ref="A90:L90"/>
    <mergeCell ref="A91:L91"/>
    <mergeCell ref="A92:L92"/>
    <mergeCell ref="A88:L88"/>
    <mergeCell ref="A89:J89"/>
    <mergeCell ref="K89:L89"/>
    <mergeCell ref="A85:L85"/>
    <mergeCell ref="A86:I86"/>
    <mergeCell ref="K86:L86"/>
    <mergeCell ref="A87:L87"/>
    <mergeCell ref="A81:I81"/>
    <mergeCell ref="K81:L81"/>
    <mergeCell ref="A82:L82"/>
    <mergeCell ref="A83:L83"/>
    <mergeCell ref="A84:I84"/>
    <mergeCell ref="K84:L84"/>
    <mergeCell ref="A78:C78"/>
    <mergeCell ref="D78:L78"/>
    <mergeCell ref="A79:L79"/>
    <mergeCell ref="A80:L80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0A9-D9A0-49F5-A3E7-652E3EDDBC4D}">
  <dimension ref="A1:L97"/>
  <sheetViews>
    <sheetView view="pageBreakPreview" topLeftCell="A40" zoomScaleNormal="100" zoomScaleSheetLayoutView="100" workbookViewId="0">
      <selection activeCell="N21" sqref="N2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111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0.4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2.15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5.6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78" t="s">
        <v>36</v>
      </c>
      <c r="B32" s="278"/>
      <c r="C32" s="279" t="str">
        <f>IF('Данные объект'!B51="","",'Данные объект'!B51)</f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5" customHeight="1" x14ac:dyDescent="0.25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>
        <v>2</v>
      </c>
      <c r="D43" s="232"/>
      <c r="E43" s="231" t="s">
        <v>53</v>
      </c>
      <c r="F43" s="231"/>
      <c r="G43" s="232">
        <f>IF(C43="","",C43)</f>
      </c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74</v>
      </c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6.45" customHeight="1" x14ac:dyDescent="0.25">
      <c r="A57" s="291">
        <f>IF(C43="","",C43)</f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114</v>
      </c>
      <c r="B60" s="231"/>
      <c r="C60" s="231"/>
      <c r="D60" s="231"/>
      <c r="E60" s="267" t="s">
        <v>59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90"/>
      <c r="F61" s="290"/>
      <c r="G61" s="290"/>
      <c r="H61" s="290"/>
      <c r="I61" s="290"/>
      <c r="J61" s="290"/>
      <c r="K61" s="290"/>
      <c r="L61" s="290"/>
    </row>
    <row r="62" spans="1:12" x14ac:dyDescent="0.25">
      <c r="A62" s="231" t="s">
        <v>56</v>
      </c>
      <c r="B62" s="231"/>
      <c r="C62" s="231"/>
      <c r="D62" s="267" t="s">
        <v>59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55</v>
      </c>
      <c r="B64" s="231"/>
      <c r="C64" s="231"/>
      <c r="D64" s="231"/>
      <c r="E64" s="267" t="s">
        <v>59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54</v>
      </c>
      <c r="B66" s="231"/>
      <c r="C66" s="231"/>
      <c r="D66" s="267" t="s">
        <v>59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115</v>
      </c>
      <c r="B68" s="231"/>
      <c r="C68" s="231"/>
      <c r="D68" s="267" t="s">
        <v>38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116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57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117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68" t="s">
        <v>47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103"/>
    </row>
    <row r="74" spans="1:12" x14ac:dyDescent="0.2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</row>
    <row r="75" spans="1:12" x14ac:dyDescent="0.25">
      <c r="A75" s="231" t="s">
        <v>14</v>
      </c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</row>
    <row r="76" spans="1:12" x14ac:dyDescent="0.25">
      <c r="A76" s="295" t="s">
        <v>60</v>
      </c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</row>
    <row r="77" spans="1:12" ht="12.75" customHeight="1" x14ac:dyDescent="0.25">
      <c r="A77" s="296" t="s">
        <v>62</v>
      </c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</row>
    <row r="78" spans="1:12" x14ac:dyDescent="0.25">
      <c r="A78" s="290" t="s">
        <v>61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</row>
    <row r="79" spans="1:12" ht="14.45" customHeight="1" x14ac:dyDescent="0.25">
      <c r="A79" s="297" t="s">
        <v>118</v>
      </c>
      <c r="B79" s="297"/>
      <c r="C79" s="297"/>
      <c r="D79" s="267" t="s">
        <v>38</v>
      </c>
      <c r="E79" s="267"/>
      <c r="F79" s="267"/>
      <c r="G79" s="267"/>
      <c r="H79" s="267"/>
      <c r="I79" s="267"/>
      <c r="J79" s="267"/>
      <c r="K79" s="267"/>
      <c r="L79" s="267"/>
    </row>
    <row r="80" spans="1:12" ht="12.75" customHeight="1" x14ac:dyDescent="0.25">
      <c r="A80" s="230" t="s">
        <v>21</v>
      </c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</row>
    <row r="81" spans="1:12" ht="17.25" customHeight="1" x14ac:dyDescent="0.25">
      <c r="A81" s="294" t="s">
        <v>23</v>
      </c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</row>
    <row r="82" spans="1:12" ht="22.15" customHeight="1" x14ac:dyDescent="0.25">
      <c r="A82" s="221" t="str">
        <f>IF(C22="","",C22)</f>
      </c>
      <c r="B82" s="221"/>
      <c r="C82" s="221"/>
      <c r="D82" s="221"/>
      <c r="E82" s="221"/>
      <c r="F82" s="221"/>
      <c r="G82" s="221"/>
      <c r="H82" s="221"/>
      <c r="I82" s="221"/>
      <c r="J82" s="165"/>
      <c r="K82" s="293"/>
      <c r="L82" s="293"/>
    </row>
    <row r="83" spans="1:12" ht="11.25" customHeight="1" x14ac:dyDescent="0.25">
      <c r="A83" s="230" t="s">
        <v>48</v>
      </c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</row>
    <row r="84" spans="1:12" x14ac:dyDescent="0.25">
      <c r="A84" s="294" t="s">
        <v>22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</row>
    <row r="85" spans="1:12" ht="22.15" customHeight="1" x14ac:dyDescent="0.25">
      <c r="A85" s="221" t="str">
        <f>IF(C26="","",C26)</f>
      </c>
      <c r="B85" s="221"/>
      <c r="C85" s="221"/>
      <c r="D85" s="221"/>
      <c r="E85" s="221"/>
      <c r="F85" s="221"/>
      <c r="G85" s="221"/>
      <c r="H85" s="221"/>
      <c r="I85" s="221"/>
      <c r="J85" s="165"/>
      <c r="K85" s="293"/>
      <c r="L85" s="293"/>
    </row>
    <row r="86" spans="1:12" ht="12" customHeight="1" x14ac:dyDescent="0.25">
      <c r="A86" s="230" t="s">
        <v>48</v>
      </c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</row>
    <row r="87" spans="1:12" ht="21" customHeight="1" x14ac:dyDescent="0.25">
      <c r="A87" s="221" t="str">
        <f>IF(C28="","",C28)</f>
      </c>
      <c r="B87" s="221"/>
      <c r="C87" s="221"/>
      <c r="D87" s="221"/>
      <c r="E87" s="221"/>
      <c r="F87" s="221"/>
      <c r="G87" s="221"/>
      <c r="H87" s="221"/>
      <c r="I87" s="221"/>
      <c r="J87" s="165"/>
      <c r="K87" s="293"/>
      <c r="L87" s="293"/>
    </row>
    <row r="88" spans="1:12" ht="11.25" customHeight="1" x14ac:dyDescent="0.25">
      <c r="A88" s="230" t="s">
        <v>48</v>
      </c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</row>
    <row r="89" spans="1:12" x14ac:dyDescent="0.25">
      <c r="A89" s="294" t="s">
        <v>49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</row>
    <row r="90" spans="1:12" x14ac:dyDescent="0.25">
      <c r="A90" s="221" t="str">
        <f>IF(C30="","",C30)</f>
      </c>
      <c r="B90" s="221"/>
      <c r="C90" s="221"/>
      <c r="D90" s="221"/>
      <c r="E90" s="221"/>
      <c r="F90" s="221"/>
      <c r="G90" s="221"/>
      <c r="H90" s="221"/>
      <c r="I90" s="221"/>
      <c r="J90" s="221"/>
      <c r="K90" s="232"/>
      <c r="L90" s="232"/>
    </row>
    <row r="91" spans="1:12" x14ac:dyDescent="0.25">
      <c r="A91" s="230" t="s">
        <v>2</v>
      </c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</row>
    <row r="92" spans="1:12" ht="16.149999999999999" customHeight="1" x14ac:dyDescent="0.25">
      <c r="A92" s="257"/>
      <c r="B92" s="257"/>
      <c r="C92" s="257"/>
      <c r="D92" s="257"/>
      <c r="E92" s="257"/>
      <c r="F92" s="257"/>
      <c r="G92" s="257"/>
      <c r="H92" s="257"/>
      <c r="I92" s="257"/>
      <c r="J92" s="257"/>
      <c r="K92" s="266"/>
      <c r="L92" s="266"/>
    </row>
    <row r="93" spans="1:12" x14ac:dyDescent="0.25">
      <c r="A93" s="222" t="s">
        <v>2</v>
      </c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</row>
    <row r="94" spans="1:12" x14ac:dyDescent="0.25">
      <c r="A94" s="265" t="s">
        <v>24</v>
      </c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</row>
    <row r="95" spans="1:12" ht="10.5" customHeight="1" x14ac:dyDescent="0.25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</row>
    <row r="96" spans="1:12" ht="13.5" customHeight="1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  <row r="97" spans="1:12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</sheetData>
  <mergeCells count="122">
    <mergeCell ref="A97:L97"/>
    <mergeCell ref="A89:L89"/>
    <mergeCell ref="K90:L90"/>
    <mergeCell ref="A91:L91"/>
    <mergeCell ref="K92:L92"/>
    <mergeCell ref="A90:J90"/>
    <mergeCell ref="A92:J92"/>
    <mergeCell ref="A73:K73"/>
    <mergeCell ref="A79:C79"/>
    <mergeCell ref="D79:L79"/>
    <mergeCell ref="A80:L80"/>
    <mergeCell ref="A72:L72"/>
    <mergeCell ref="A93:L93"/>
    <mergeCell ref="A94:L94"/>
    <mergeCell ref="A95:L95"/>
    <mergeCell ref="A96:L96"/>
    <mergeCell ref="A85:I85"/>
    <mergeCell ref="K85:L85"/>
    <mergeCell ref="A86:L86"/>
    <mergeCell ref="A87:I87"/>
    <mergeCell ref="K87:L87"/>
    <mergeCell ref="A88:L88"/>
    <mergeCell ref="A81:L81"/>
    <mergeCell ref="A82:I82"/>
    <mergeCell ref="K82:L82"/>
    <mergeCell ref="A83:L83"/>
    <mergeCell ref="A84:L84"/>
    <mergeCell ref="A75:L75"/>
    <mergeCell ref="A76:L76"/>
    <mergeCell ref="A77:L77"/>
    <mergeCell ref="A78:L78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09E1-59B0-4B4C-8058-4F837DF12C7C}">
  <sheetPr codeName="Лист2"/>
  <dimension ref="A1:R98"/>
  <sheetViews>
    <sheetView view="pageBreakPreview" topLeftCell="A52" zoomScaleNormal="100" zoomScaleSheetLayoutView="100" workbookViewId="0">
      <selection activeCell="P13" sqref="P1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197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5" spans="1:12" x14ac:dyDescent="0.25">
      <c r="J15" s="128"/>
    </row>
    <row r="16" spans="1:12" ht="27.7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3.4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3.45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89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195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74</v>
      </c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IF(C43="","",C43)</f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267"/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8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8" ht="12.7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8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8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8" ht="20.45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  <c r="R85" s="15"/>
    </row>
    <row r="86" spans="1:18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8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8" ht="21.6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8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8" ht="23.45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8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8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8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8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8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8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3:J93"/>
    <mergeCell ref="A14:L14"/>
    <mergeCell ref="K16:L16"/>
    <mergeCell ref="K17:L17"/>
    <mergeCell ref="A19:B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I6:K6"/>
    <mergeCell ref="I7:K7"/>
    <mergeCell ref="A8:L8"/>
    <mergeCell ref="A9:L9"/>
    <mergeCell ref="A11:L11"/>
    <mergeCell ref="A27:L27"/>
    <mergeCell ref="C28:L28"/>
    <mergeCell ref="A29:L29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C20:F20"/>
    <mergeCell ref="C19:F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90:I90"/>
    <mergeCell ref="A70:C70"/>
    <mergeCell ref="D70:L70"/>
    <mergeCell ref="A71:L71"/>
    <mergeCell ref="A72:G72"/>
    <mergeCell ref="H72:L72"/>
    <mergeCell ref="K90:L90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ED68-1E39-446F-9B81-429CB2A503DE}">
  <sheetPr codeName="Лист11"/>
  <dimension ref="A1:L108"/>
  <sheetViews>
    <sheetView view="pageBreakPreview" topLeftCell="A43" zoomScaleNormal="100" zoomScaleSheetLayoutView="100" workbookViewId="0">
      <selection activeCell="O37" sqref="O37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ht="13.9" customHeight="1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09" t="s">
        <v>173</v>
      </c>
      <c r="B13" s="309"/>
      <c r="C13" s="309"/>
      <c r="D13" s="309"/>
      <c r="E13" s="309"/>
      <c r="F13" s="309"/>
      <c r="G13" s="310" t="str">
        <f>IF('Провод СИП 3'!G13="","",'Провод СИП 3'!G13)</f>
      </c>
      <c r="H13" s="310"/>
      <c r="I13" s="310"/>
      <c r="J13" s="310"/>
      <c r="K13" s="310"/>
      <c r="L13" s="310"/>
    </row>
    <row r="14" spans="1:12" ht="13.9" customHeight="1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'Провод СИП 3'!K16:L16</f>
      </c>
      <c r="L16" s="300"/>
    </row>
    <row r="17" spans="1:12" ht="13.9" customHeight="1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IF('Данные объект'!B11="","",'Данные объект'!B11)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9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8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28" t="s">
        <v>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45" customHeight="1" x14ac:dyDescent="0.25">
      <c r="A37" s="305" t="s">
        <v>194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/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tr">
        <f>IF(C43="","",C43)</f>
      </c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68</v>
      </c>
      <c r="B45" s="313"/>
      <c r="C45" s="236" t="s">
        <v>74</v>
      </c>
      <c r="D45" s="236"/>
      <c r="E45" s="236"/>
      <c r="F45" s="122" t="s">
        <v>31</v>
      </c>
      <c r="G45" s="312"/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63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25"/>
      <c r="B57" s="325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ht="15" customHeight="1" x14ac:dyDescent="0.25">
      <c r="A58" s="325"/>
      <c r="B58" s="325"/>
      <c r="C58" s="298" t="s">
        <v>38</v>
      </c>
      <c r="D58" s="298"/>
      <c r="E58" s="298" t="s">
        <v>39</v>
      </c>
      <c r="F58" s="298"/>
      <c r="G58" s="298" t="s">
        <v>38</v>
      </c>
      <c r="H58" s="298"/>
      <c r="I58" s="298" t="s">
        <v>38</v>
      </c>
      <c r="J58" s="298"/>
      <c r="K58" s="24" t="s">
        <v>38</v>
      </c>
      <c r="L58" s="25" t="s">
        <v>18</v>
      </c>
    </row>
    <row r="59" spans="1:12" x14ac:dyDescent="0.25">
      <c r="A59" s="325"/>
      <c r="B59" s="325"/>
      <c r="C59" s="298" t="s">
        <v>38</v>
      </c>
      <c r="D59" s="298"/>
      <c r="E59" s="298" t="s">
        <v>39</v>
      </c>
      <c r="F59" s="298"/>
      <c r="G59" s="298" t="s">
        <v>38</v>
      </c>
      <c r="H59" s="298"/>
      <c r="I59" s="298" t="s">
        <v>38</v>
      </c>
      <c r="J59" s="298"/>
      <c r="K59" s="24" t="s">
        <v>38</v>
      </c>
      <c r="L59" s="25" t="s">
        <v>18</v>
      </c>
    </row>
    <row r="60" spans="1:12" x14ac:dyDescent="0.25">
      <c r="A60" s="325"/>
      <c r="B60" s="325"/>
      <c r="C60" s="298" t="s">
        <v>38</v>
      </c>
      <c r="D60" s="298"/>
      <c r="E60" s="298" t="s">
        <v>39</v>
      </c>
      <c r="F60" s="298"/>
      <c r="G60" s="298" t="s">
        <v>38</v>
      </c>
      <c r="H60" s="298"/>
      <c r="I60" s="298" t="s">
        <v>38</v>
      </c>
      <c r="J60" s="298"/>
      <c r="K60" s="24" t="s">
        <v>38</v>
      </c>
      <c r="L60" s="25" t="s">
        <v>18</v>
      </c>
    </row>
    <row r="61" spans="1:12" x14ac:dyDescent="0.25">
      <c r="A61" s="325"/>
      <c r="B61" s="325"/>
      <c r="C61" s="298" t="s">
        <v>38</v>
      </c>
      <c r="D61" s="298"/>
      <c r="E61" s="298" t="s">
        <v>39</v>
      </c>
      <c r="F61" s="298"/>
      <c r="G61" s="298" t="s">
        <v>38</v>
      </c>
      <c r="H61" s="298"/>
      <c r="I61" s="298" t="s">
        <v>38</v>
      </c>
      <c r="J61" s="298"/>
      <c r="K61" s="24" t="s">
        <v>38</v>
      </c>
      <c r="L61" s="25" t="s">
        <v>18</v>
      </c>
    </row>
    <row r="62" spans="1:12" x14ac:dyDescent="0.25">
      <c r="A62" s="325"/>
      <c r="B62" s="325"/>
      <c r="C62" s="298" t="s">
        <v>38</v>
      </c>
      <c r="D62" s="298"/>
      <c r="E62" s="298" t="s">
        <v>39</v>
      </c>
      <c r="F62" s="298"/>
      <c r="G62" s="298" t="s">
        <v>38</v>
      </c>
      <c r="H62" s="298"/>
      <c r="I62" s="298" t="s">
        <v>38</v>
      </c>
      <c r="J62" s="298"/>
      <c r="K62" s="24" t="s">
        <v>38</v>
      </c>
      <c r="L62" s="25" t="s">
        <v>18</v>
      </c>
    </row>
    <row r="63" spans="1:12" x14ac:dyDescent="0.25">
      <c r="A63" s="325"/>
      <c r="B63" s="325"/>
      <c r="C63" s="298" t="s">
        <v>38</v>
      </c>
      <c r="D63" s="298"/>
      <c r="E63" s="298" t="s">
        <v>39</v>
      </c>
      <c r="F63" s="298"/>
      <c r="G63" s="298" t="s">
        <v>38</v>
      </c>
      <c r="H63" s="298"/>
      <c r="I63" s="298" t="s">
        <v>38</v>
      </c>
      <c r="J63" s="298"/>
      <c r="K63" s="24" t="s">
        <v>38</v>
      </c>
      <c r="L63" s="25" t="s">
        <v>18</v>
      </c>
    </row>
    <row r="64" spans="1:12" x14ac:dyDescent="0.25">
      <c r="A64" s="325"/>
      <c r="B64" s="325"/>
      <c r="C64" s="298" t="s">
        <v>38</v>
      </c>
      <c r="D64" s="298"/>
      <c r="E64" s="298" t="s">
        <v>39</v>
      </c>
      <c r="F64" s="298"/>
      <c r="G64" s="298" t="s">
        <v>38</v>
      </c>
      <c r="H64" s="298"/>
      <c r="I64" s="298" t="s">
        <v>38</v>
      </c>
      <c r="J64" s="298"/>
      <c r="K64" s="24" t="s">
        <v>38</v>
      </c>
      <c r="L64" s="25" t="s">
        <v>18</v>
      </c>
    </row>
    <row r="65" spans="1:12" x14ac:dyDescent="0.25">
      <c r="A65" s="325"/>
      <c r="B65" s="325"/>
      <c r="C65" s="298" t="s">
        <v>38</v>
      </c>
      <c r="D65" s="298"/>
      <c r="E65" s="298" t="s">
        <v>39</v>
      </c>
      <c r="F65" s="298"/>
      <c r="G65" s="298" t="s">
        <v>38</v>
      </c>
      <c r="H65" s="298"/>
      <c r="I65" s="298" t="s">
        <v>38</v>
      </c>
      <c r="J65" s="298"/>
      <c r="K65" s="24" t="s">
        <v>38</v>
      </c>
      <c r="L65" s="25" t="s">
        <v>18</v>
      </c>
    </row>
    <row r="66" spans="1:12" x14ac:dyDescent="0.25">
      <c r="A66" s="325"/>
      <c r="B66" s="325"/>
      <c r="C66" s="298" t="s">
        <v>38</v>
      </c>
      <c r="D66" s="298"/>
      <c r="E66" s="298" t="s">
        <v>39</v>
      </c>
      <c r="F66" s="298"/>
      <c r="G66" s="298" t="s">
        <v>38</v>
      </c>
      <c r="H66" s="298"/>
      <c r="I66" s="298" t="s">
        <v>38</v>
      </c>
      <c r="J66" s="298"/>
      <c r="K66" s="24" t="s">
        <v>38</v>
      </c>
      <c r="L66" s="25" t="s">
        <v>18</v>
      </c>
    </row>
    <row r="67" spans="1:12" x14ac:dyDescent="0.25">
      <c r="A67" s="325"/>
      <c r="B67" s="325"/>
      <c r="C67" s="298" t="s">
        <v>38</v>
      </c>
      <c r="D67" s="298"/>
      <c r="E67" s="298" t="s">
        <v>39</v>
      </c>
      <c r="F67" s="298"/>
      <c r="G67" s="298" t="s">
        <v>38</v>
      </c>
      <c r="H67" s="298"/>
      <c r="I67" s="298" t="s">
        <v>38</v>
      </c>
      <c r="J67" s="298"/>
      <c r="K67" s="24" t="s">
        <v>38</v>
      </c>
      <c r="L67" s="25" t="s">
        <v>18</v>
      </c>
    </row>
    <row r="68" spans="1:12" x14ac:dyDescent="0.25">
      <c r="A68" s="325"/>
      <c r="B68" s="325"/>
      <c r="C68" s="298" t="s">
        <v>38</v>
      </c>
      <c r="D68" s="298"/>
      <c r="E68" s="298" t="s">
        <v>39</v>
      </c>
      <c r="F68" s="298"/>
      <c r="G68" s="298" t="s">
        <v>38</v>
      </c>
      <c r="H68" s="298"/>
      <c r="I68" s="298" t="s">
        <v>38</v>
      </c>
      <c r="J68" s="298"/>
      <c r="K68" s="24" t="s">
        <v>38</v>
      </c>
      <c r="L68" s="25" t="s">
        <v>18</v>
      </c>
    </row>
    <row r="69" spans="1:12" x14ac:dyDescent="0.25">
      <c r="A69" s="325"/>
      <c r="B69" s="325"/>
      <c r="C69" s="298" t="s">
        <v>38</v>
      </c>
      <c r="D69" s="298"/>
      <c r="E69" s="298" t="s">
        <v>39</v>
      </c>
      <c r="F69" s="298"/>
      <c r="G69" s="298" t="s">
        <v>38</v>
      </c>
      <c r="H69" s="298"/>
      <c r="I69" s="298" t="s">
        <v>38</v>
      </c>
      <c r="J69" s="298"/>
      <c r="K69" s="163" t="s">
        <v>38</v>
      </c>
      <c r="L69" s="25" t="s">
        <v>18</v>
      </c>
    </row>
    <row r="70" spans="1:12" x14ac:dyDescent="0.25">
      <c r="A70" s="325"/>
      <c r="B70" s="325"/>
      <c r="C70" s="298" t="s">
        <v>38</v>
      </c>
      <c r="D70" s="298"/>
      <c r="E70" s="298" t="s">
        <v>39</v>
      </c>
      <c r="F70" s="298"/>
      <c r="G70" s="298" t="s">
        <v>38</v>
      </c>
      <c r="H70" s="298"/>
      <c r="I70" s="298" t="s">
        <v>38</v>
      </c>
      <c r="J70" s="298"/>
      <c r="K70" s="163" t="s">
        <v>38</v>
      </c>
      <c r="L70" s="25" t="s">
        <v>18</v>
      </c>
    </row>
    <row r="71" spans="1:12" x14ac:dyDescent="0.25">
      <c r="A71" s="325"/>
      <c r="B71" s="325"/>
      <c r="C71" s="298" t="s">
        <v>38</v>
      </c>
      <c r="D71" s="298"/>
      <c r="E71" s="298" t="s">
        <v>39</v>
      </c>
      <c r="F71" s="298"/>
      <c r="G71" s="298" t="s">
        <v>38</v>
      </c>
      <c r="H71" s="298"/>
      <c r="I71" s="298" t="s">
        <v>38</v>
      </c>
      <c r="J71" s="298"/>
      <c r="K71" s="163" t="s">
        <v>38</v>
      </c>
      <c r="L71" s="25" t="s">
        <v>18</v>
      </c>
    </row>
    <row r="72" spans="1:12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x14ac:dyDescent="0.25">
      <c r="A73" s="240" t="s">
        <v>13</v>
      </c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</row>
    <row r="74" spans="1:12" x14ac:dyDescent="0.25">
      <c r="A74" s="215" t="s">
        <v>114</v>
      </c>
      <c r="B74" s="215"/>
      <c r="C74" s="215"/>
      <c r="D74" s="215"/>
      <c r="E74" s="255" t="s">
        <v>59</v>
      </c>
      <c r="F74" s="255"/>
      <c r="G74" s="255"/>
      <c r="H74" s="255"/>
      <c r="I74" s="255"/>
      <c r="J74" s="255"/>
      <c r="K74" s="255"/>
      <c r="L74" s="255"/>
    </row>
    <row r="75" spans="1:12" x14ac:dyDescent="0.25">
      <c r="A75" s="222" t="s">
        <v>20</v>
      </c>
      <c r="B75" s="222"/>
      <c r="C75" s="222"/>
      <c r="D75" s="222"/>
      <c r="E75" s="220"/>
      <c r="F75" s="220"/>
      <c r="G75" s="220"/>
      <c r="H75" s="220"/>
      <c r="I75" s="220"/>
      <c r="J75" s="220"/>
      <c r="K75" s="220"/>
      <c r="L75" s="220"/>
    </row>
    <row r="76" spans="1:12" x14ac:dyDescent="0.25">
      <c r="A76" s="215" t="s">
        <v>56</v>
      </c>
      <c r="B76" s="215"/>
      <c r="C76" s="215"/>
      <c r="D76" s="255" t="s">
        <v>59</v>
      </c>
      <c r="E76" s="255"/>
      <c r="F76" s="255"/>
      <c r="G76" s="255"/>
      <c r="H76" s="255"/>
      <c r="I76" s="255"/>
      <c r="J76" s="255"/>
      <c r="K76" s="255"/>
      <c r="L76" s="255"/>
    </row>
    <row r="77" spans="1:12" x14ac:dyDescent="0.25">
      <c r="A77" s="222" t="s">
        <v>43</v>
      </c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</row>
    <row r="78" spans="1:12" x14ac:dyDescent="0.25">
      <c r="A78" s="215" t="s">
        <v>55</v>
      </c>
      <c r="B78" s="215"/>
      <c r="C78" s="215"/>
      <c r="D78" s="215"/>
      <c r="E78" s="255" t="s">
        <v>59</v>
      </c>
      <c r="F78" s="255"/>
      <c r="G78" s="255"/>
      <c r="H78" s="255"/>
      <c r="I78" s="255"/>
      <c r="J78" s="255"/>
      <c r="K78" s="255"/>
      <c r="L78" s="255"/>
    </row>
    <row r="79" spans="1:12" x14ac:dyDescent="0.25">
      <c r="A79" s="222" t="s">
        <v>44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x14ac:dyDescent="0.25">
      <c r="A80" s="215" t="s">
        <v>54</v>
      </c>
      <c r="B80" s="215"/>
      <c r="C80" s="215"/>
      <c r="D80" s="225" t="s">
        <v>59</v>
      </c>
      <c r="E80" s="225"/>
      <c r="F80" s="225"/>
      <c r="G80" s="225"/>
      <c r="H80" s="225"/>
      <c r="I80" s="225"/>
      <c r="J80" s="225"/>
      <c r="K80" s="225"/>
      <c r="L80" s="225"/>
    </row>
    <row r="81" spans="1:12" x14ac:dyDescent="0.25">
      <c r="A81" s="222" t="s">
        <v>44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15" t="s">
        <v>115</v>
      </c>
      <c r="B82" s="215"/>
      <c r="C82" s="215"/>
      <c r="D82" s="267"/>
      <c r="E82" s="267"/>
      <c r="F82" s="267"/>
      <c r="G82" s="267"/>
      <c r="H82" s="267"/>
      <c r="I82" s="267"/>
      <c r="J82" s="267"/>
      <c r="K82" s="267"/>
      <c r="L82" s="267"/>
    </row>
    <row r="83" spans="1:12" x14ac:dyDescent="0.25">
      <c r="A83" s="222" t="s">
        <v>116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x14ac:dyDescent="0.25">
      <c r="A84" s="240" t="s">
        <v>57</v>
      </c>
      <c r="B84" s="240"/>
      <c r="C84" s="240"/>
      <c r="D84" s="240"/>
      <c r="E84" s="240"/>
      <c r="F84" s="240"/>
      <c r="G84" s="240"/>
      <c r="H84" s="256" t="s">
        <v>35</v>
      </c>
      <c r="I84" s="256"/>
      <c r="J84" s="256"/>
      <c r="K84" s="256"/>
      <c r="L84" s="256"/>
    </row>
    <row r="85" spans="1:12" x14ac:dyDescent="0.25">
      <c r="A85" s="233" t="s">
        <v>45</v>
      </c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</row>
    <row r="86" spans="1:12" x14ac:dyDescent="0.25">
      <c r="A86" s="261" t="s">
        <v>117</v>
      </c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</row>
    <row r="87" spans="1:12" x14ac:dyDescent="0.25">
      <c r="A87" s="233" t="s">
        <v>47</v>
      </c>
      <c r="B87" s="233"/>
      <c r="C87" s="233"/>
      <c r="D87" s="233"/>
      <c r="E87" s="233"/>
      <c r="F87" s="233"/>
      <c r="G87" s="233"/>
      <c r="H87" s="233"/>
      <c r="I87" s="233"/>
      <c r="J87" s="233"/>
      <c r="K87" s="233"/>
    </row>
    <row r="89" spans="1:12" x14ac:dyDescent="0.25">
      <c r="A89" s="215" t="s">
        <v>14</v>
      </c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</row>
    <row r="90" spans="1:12" x14ac:dyDescent="0.25">
      <c r="A90" s="259" t="s">
        <v>60</v>
      </c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</row>
    <row r="91" spans="1:12" ht="12.75" customHeight="1" x14ac:dyDescent="0.25">
      <c r="A91" s="326" t="s">
        <v>62</v>
      </c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</row>
    <row r="92" spans="1:12" x14ac:dyDescent="0.25">
      <c r="A92" s="327" t="s">
        <v>61</v>
      </c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</row>
    <row r="93" spans="1:12" ht="14.45" customHeight="1" x14ac:dyDescent="0.25">
      <c r="A93" s="226" t="s">
        <v>118</v>
      </c>
      <c r="B93" s="226"/>
      <c r="C93" s="226"/>
      <c r="D93" s="255" t="s">
        <v>38</v>
      </c>
      <c r="E93" s="255"/>
      <c r="F93" s="255"/>
      <c r="G93" s="255"/>
      <c r="H93" s="255"/>
      <c r="I93" s="255"/>
      <c r="J93" s="255"/>
      <c r="K93" s="255"/>
      <c r="L93" s="255"/>
    </row>
    <row r="94" spans="1:12" ht="12.75" customHeight="1" x14ac:dyDescent="0.25">
      <c r="A94" s="222" t="s">
        <v>21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ht="13.15" customHeight="1" x14ac:dyDescent="0.25">
      <c r="A95" s="265" t="s">
        <v>23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x14ac:dyDescent="0.25">
      <c r="A96" s="257" t="str">
        <f>IF(C22="","",C22)</f>
      </c>
      <c r="B96" s="257"/>
      <c r="C96" s="257"/>
      <c r="D96" s="257"/>
      <c r="E96" s="257"/>
      <c r="F96" s="257"/>
      <c r="G96" s="257"/>
      <c r="H96" s="257"/>
      <c r="I96" s="257"/>
      <c r="J96" s="7"/>
      <c r="K96" s="258"/>
      <c r="L96" s="258"/>
    </row>
    <row r="97" spans="1:12" x14ac:dyDescent="0.25">
      <c r="A97" s="222" t="s">
        <v>48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</row>
    <row r="98" spans="1:12" ht="10.5" customHeight="1" x14ac:dyDescent="0.25">
      <c r="A98" s="265" t="s">
        <v>22</v>
      </c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</row>
    <row r="99" spans="1:12" ht="13.5" customHeight="1" x14ac:dyDescent="0.25">
      <c r="A99" s="257" t="str">
        <f>IF(C26="","",C26)</f>
      </c>
      <c r="B99" s="257"/>
      <c r="C99" s="257"/>
      <c r="D99" s="257"/>
      <c r="E99" s="257"/>
      <c r="F99" s="257"/>
      <c r="G99" s="257"/>
      <c r="H99" s="257"/>
      <c r="I99" s="257"/>
      <c r="J99" s="7"/>
      <c r="K99" s="258"/>
      <c r="L99" s="258"/>
    </row>
    <row r="100" spans="1:12" x14ac:dyDescent="0.25">
      <c r="A100" s="222" t="s">
        <v>48</v>
      </c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</row>
    <row r="101" spans="1:12" x14ac:dyDescent="0.25">
      <c r="A101" s="257" t="str">
        <f>IF(C28="","",C28)</f>
      </c>
      <c r="B101" s="257"/>
      <c r="C101" s="257"/>
      <c r="D101" s="257"/>
      <c r="E101" s="257"/>
      <c r="F101" s="257"/>
      <c r="G101" s="257"/>
      <c r="H101" s="257"/>
      <c r="I101" s="257"/>
      <c r="J101" s="7"/>
      <c r="K101" s="258"/>
      <c r="L101" s="258"/>
    </row>
    <row r="102" spans="1:12" x14ac:dyDescent="0.25">
      <c r="A102" s="222" t="s">
        <v>48</v>
      </c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</row>
    <row r="103" spans="1:12" x14ac:dyDescent="0.25">
      <c r="A103" s="265" t="s">
        <v>49</v>
      </c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</row>
    <row r="104" spans="1:12" x14ac:dyDescent="0.25">
      <c r="A104" s="257" t="str">
        <f>IF(C30="","",C30)</f>
      </c>
      <c r="B104" s="257"/>
      <c r="C104" s="257"/>
      <c r="D104" s="257"/>
      <c r="E104" s="257"/>
      <c r="F104" s="257"/>
      <c r="G104" s="257"/>
      <c r="H104" s="257"/>
      <c r="I104" s="257"/>
      <c r="J104" s="257"/>
      <c r="K104" s="266"/>
      <c r="L104" s="266"/>
    </row>
    <row r="105" spans="1:12" x14ac:dyDescent="0.25">
      <c r="A105" s="222" t="s">
        <v>2</v>
      </c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</row>
    <row r="106" spans="1:12" x14ac:dyDescent="0.25">
      <c r="A106" s="265" t="s">
        <v>24</v>
      </c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</row>
    <row r="107" spans="1:12" x14ac:dyDescent="0.25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</row>
    <row r="108" spans="1:12" x14ac:dyDescent="0.25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</row>
  </sheetData>
  <mergeCells count="188">
    <mergeCell ref="A107:L107"/>
    <mergeCell ref="A108:L108"/>
    <mergeCell ref="A105:L105"/>
    <mergeCell ref="A106:L106"/>
    <mergeCell ref="A103:L103"/>
    <mergeCell ref="K104:L104"/>
    <mergeCell ref="A104:J104"/>
    <mergeCell ref="A83:L83"/>
    <mergeCell ref="A84:G84"/>
    <mergeCell ref="H84:L84"/>
    <mergeCell ref="A86:L86"/>
    <mergeCell ref="A87:K87"/>
    <mergeCell ref="A93:C93"/>
    <mergeCell ref="D93:L93"/>
    <mergeCell ref="A94:L94"/>
    <mergeCell ref="A89:L89"/>
    <mergeCell ref="A90:L90"/>
    <mergeCell ref="A91:L91"/>
    <mergeCell ref="A92:L92"/>
    <mergeCell ref="A85:L85"/>
    <mergeCell ref="A100:L100"/>
    <mergeCell ref="A101:I101"/>
    <mergeCell ref="K101:L101"/>
    <mergeCell ref="A102:L102"/>
    <mergeCell ref="A95:L95"/>
    <mergeCell ref="A96:I96"/>
    <mergeCell ref="K96:L96"/>
    <mergeCell ref="A97:L97"/>
    <mergeCell ref="A98:L98"/>
    <mergeCell ref="A99:I99"/>
    <mergeCell ref="K99:L99"/>
    <mergeCell ref="A68:B68"/>
    <mergeCell ref="C68:D68"/>
    <mergeCell ref="E68:F68"/>
    <mergeCell ref="G68:H68"/>
    <mergeCell ref="I68:J68"/>
    <mergeCell ref="A80:C80"/>
    <mergeCell ref="D80:L80"/>
    <mergeCell ref="A81:L81"/>
    <mergeCell ref="A82:C82"/>
    <mergeCell ref="A73:L73"/>
    <mergeCell ref="A75:L75"/>
    <mergeCell ref="A74:D74"/>
    <mergeCell ref="E74:L74"/>
    <mergeCell ref="A76:C76"/>
    <mergeCell ref="D76:L76"/>
    <mergeCell ref="A77:L77"/>
    <mergeCell ref="A78:D78"/>
    <mergeCell ref="E78:L78"/>
    <mergeCell ref="A79:L79"/>
    <mergeCell ref="D82:L82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9:B69"/>
    <mergeCell ref="C69:D69"/>
    <mergeCell ref="E69:F69"/>
    <mergeCell ref="G69:H69"/>
    <mergeCell ref="I69:J69"/>
    <mergeCell ref="A71:B71"/>
    <mergeCell ref="C71:D71"/>
    <mergeCell ref="E71:F71"/>
    <mergeCell ref="G71:H71"/>
    <mergeCell ref="I71:J71"/>
    <mergeCell ref="A70:B70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39:J39"/>
    <mergeCell ref="K39:L3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3:L3"/>
    <mergeCell ref="F5:G5"/>
    <mergeCell ref="C70:D70"/>
    <mergeCell ref="E70:F70"/>
    <mergeCell ref="G70:H70"/>
    <mergeCell ref="I70:J70"/>
    <mergeCell ref="A14:L14"/>
    <mergeCell ref="K16:L16"/>
    <mergeCell ref="K17:L17"/>
    <mergeCell ref="A19:B19"/>
    <mergeCell ref="C19:F19"/>
    <mergeCell ref="H19:L19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A37:L37"/>
    <mergeCell ref="A38:L38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CFE6-7A8C-462A-A4AD-C2C6FD4FC071}">
  <sheetPr codeName="Лист7"/>
  <dimension ref="A1:L111"/>
  <sheetViews>
    <sheetView view="pageBreakPreview" topLeftCell="A61" zoomScaleNormal="100" zoomScaleSheetLayoutView="100" workbookViewId="0">
      <selection activeCell="N81" sqref="N8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ht="13.9" customHeight="1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29" t="str">
        <f>'Провод СИП 3'!A9:L9</f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</row>
    <row r="10" spans="1:12" ht="13.9" customHeight="1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3.9" customHeight="1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3.9" customHeight="1" x14ac:dyDescent="0.25">
      <c r="A13" s="309" t="s">
        <v>187</v>
      </c>
      <c r="B13" s="309"/>
      <c r="C13" s="309"/>
      <c r="D13" s="309"/>
      <c r="E13" s="309"/>
      <c r="F13" s="309"/>
      <c r="G13" s="310" t="str">
        <f>IF('Провод СИП 3'!G13="","",'Провод СИП 3'!G13)</f>
      </c>
      <c r="H13" s="310"/>
      <c r="I13" s="310"/>
      <c r="J13" s="310"/>
      <c r="K13" s="310"/>
      <c r="L13" s="310"/>
    </row>
    <row r="14" spans="1:12" ht="13.9" customHeight="1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8.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'Провод СИП 3'!K16:L16</f>
      </c>
      <c r="L16" s="300"/>
    </row>
    <row r="17" spans="1:12" ht="13.9" customHeight="1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IF('Данные объект'!B11="","",'Данные объект'!B11)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7.4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7.45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1.6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.600000000000001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78" t="s">
        <v>4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63" customHeight="1" x14ac:dyDescent="0.25">
      <c r="A37" s="305" t="s">
        <v>207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/>
      <c r="J41" s="312"/>
      <c r="K41" s="312"/>
      <c r="L41" s="312"/>
    </row>
    <row r="42" spans="1:12" x14ac:dyDescent="0.25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tr">
        <f>IF(C43="","",C43)</f>
      </c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68</v>
      </c>
      <c r="B45" s="313"/>
      <c r="C45" s="236" t="s">
        <v>74</v>
      </c>
      <c r="D45" s="236"/>
      <c r="E45" s="236"/>
      <c r="F45" s="122" t="s">
        <v>31</v>
      </c>
      <c r="G45" s="312"/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63</v>
      </c>
      <c r="G47" s="279"/>
      <c r="H47" s="279"/>
      <c r="I47" s="279"/>
      <c r="J47" s="279"/>
      <c r="K47" s="279"/>
      <c r="L47" s="27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28"/>
      <c r="B57" s="328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328"/>
      <c r="B58" s="328"/>
      <c r="C58" s="298" t="s">
        <v>38</v>
      </c>
      <c r="D58" s="298"/>
      <c r="E58" s="298" t="s">
        <v>39</v>
      </c>
      <c r="F58" s="298"/>
      <c r="G58" s="298" t="s">
        <v>38</v>
      </c>
      <c r="H58" s="298"/>
      <c r="I58" s="298" t="s">
        <v>38</v>
      </c>
      <c r="J58" s="298"/>
      <c r="K58" s="24" t="s">
        <v>38</v>
      </c>
      <c r="L58" s="25" t="s">
        <v>18</v>
      </c>
    </row>
    <row r="59" spans="1:12" ht="15" customHeight="1" x14ac:dyDescent="0.25">
      <c r="A59" s="328"/>
      <c r="B59" s="328"/>
      <c r="C59" s="298" t="s">
        <v>38</v>
      </c>
      <c r="D59" s="298"/>
      <c r="E59" s="298" t="s">
        <v>39</v>
      </c>
      <c r="F59" s="298"/>
      <c r="G59" s="298" t="s">
        <v>38</v>
      </c>
      <c r="H59" s="298"/>
      <c r="I59" s="298" t="s">
        <v>38</v>
      </c>
      <c r="J59" s="298"/>
      <c r="K59" s="24" t="s">
        <v>38</v>
      </c>
      <c r="L59" s="25" t="s">
        <v>18</v>
      </c>
    </row>
    <row r="60" spans="1:12" x14ac:dyDescent="0.25">
      <c r="A60" s="328"/>
      <c r="B60" s="328"/>
      <c r="C60" s="298" t="s">
        <v>38</v>
      </c>
      <c r="D60" s="298"/>
      <c r="E60" s="298" t="s">
        <v>39</v>
      </c>
      <c r="F60" s="298"/>
      <c r="G60" s="298" t="s">
        <v>38</v>
      </c>
      <c r="H60" s="298"/>
      <c r="I60" s="298" t="s">
        <v>38</v>
      </c>
      <c r="J60" s="298"/>
      <c r="K60" s="24" t="s">
        <v>38</v>
      </c>
      <c r="L60" s="25" t="s">
        <v>18</v>
      </c>
    </row>
    <row r="61" spans="1:12" x14ac:dyDescent="0.25">
      <c r="A61" s="328"/>
      <c r="B61" s="328"/>
      <c r="C61" s="298" t="s">
        <v>38</v>
      </c>
      <c r="D61" s="298"/>
      <c r="E61" s="298" t="s">
        <v>39</v>
      </c>
      <c r="F61" s="298"/>
      <c r="G61" s="298" t="s">
        <v>38</v>
      </c>
      <c r="H61" s="298"/>
      <c r="I61" s="298" t="s">
        <v>38</v>
      </c>
      <c r="J61" s="298"/>
      <c r="K61" s="158" t="s">
        <v>38</v>
      </c>
      <c r="L61" s="25" t="s">
        <v>18</v>
      </c>
    </row>
    <row r="62" spans="1:12" x14ac:dyDescent="0.25">
      <c r="A62" s="328"/>
      <c r="B62" s="328"/>
      <c r="C62" s="298" t="s">
        <v>38</v>
      </c>
      <c r="D62" s="298"/>
      <c r="E62" s="298" t="s">
        <v>39</v>
      </c>
      <c r="F62" s="298"/>
      <c r="G62" s="298" t="s">
        <v>38</v>
      </c>
      <c r="H62" s="298"/>
      <c r="I62" s="298" t="s">
        <v>38</v>
      </c>
      <c r="J62" s="298"/>
      <c r="K62" s="150" t="s">
        <v>38</v>
      </c>
      <c r="L62" s="25" t="s">
        <v>18</v>
      </c>
    </row>
    <row r="63" spans="1:12" x14ac:dyDescent="0.25">
      <c r="A63" s="328"/>
      <c r="B63" s="328"/>
      <c r="C63" s="298" t="s">
        <v>38</v>
      </c>
      <c r="D63" s="298"/>
      <c r="E63" s="298" t="s">
        <v>39</v>
      </c>
      <c r="F63" s="298"/>
      <c r="G63" s="298" t="s">
        <v>38</v>
      </c>
      <c r="H63" s="298"/>
      <c r="I63" s="298" t="s">
        <v>38</v>
      </c>
      <c r="J63" s="298"/>
      <c r="K63" s="150" t="s">
        <v>38</v>
      </c>
      <c r="L63" s="25" t="s">
        <v>18</v>
      </c>
    </row>
    <row r="64" spans="1:12" x14ac:dyDescent="0.25">
      <c r="A64" s="328"/>
      <c r="B64" s="328"/>
      <c r="C64" s="298" t="s">
        <v>38</v>
      </c>
      <c r="D64" s="298"/>
      <c r="E64" s="298" t="s">
        <v>39</v>
      </c>
      <c r="F64" s="298"/>
      <c r="G64" s="298" t="s">
        <v>38</v>
      </c>
      <c r="H64" s="298"/>
      <c r="I64" s="298" t="s">
        <v>38</v>
      </c>
      <c r="J64" s="298"/>
      <c r="K64" s="150" t="s">
        <v>38</v>
      </c>
      <c r="L64" s="25" t="s">
        <v>18</v>
      </c>
    </row>
    <row r="65" spans="1:12" x14ac:dyDescent="0.25">
      <c r="A65" s="328"/>
      <c r="B65" s="328"/>
      <c r="C65" s="298" t="s">
        <v>38</v>
      </c>
      <c r="D65" s="298"/>
      <c r="E65" s="298" t="s">
        <v>39</v>
      </c>
      <c r="F65" s="298"/>
      <c r="G65" s="298" t="s">
        <v>38</v>
      </c>
      <c r="H65" s="298"/>
      <c r="I65" s="298" t="s">
        <v>38</v>
      </c>
      <c r="J65" s="298"/>
      <c r="K65" s="158" t="s">
        <v>38</v>
      </c>
      <c r="L65" s="25" t="s">
        <v>18</v>
      </c>
    </row>
    <row r="66" spans="1:12" x14ac:dyDescent="0.25">
      <c r="A66" s="328"/>
      <c r="B66" s="328"/>
      <c r="C66" s="298" t="s">
        <v>38</v>
      </c>
      <c r="D66" s="298"/>
      <c r="E66" s="298" t="s">
        <v>39</v>
      </c>
      <c r="F66" s="298"/>
      <c r="G66" s="298" t="s">
        <v>38</v>
      </c>
      <c r="H66" s="298"/>
      <c r="I66" s="298" t="s">
        <v>38</v>
      </c>
      <c r="J66" s="298"/>
      <c r="K66" s="158" t="s">
        <v>38</v>
      </c>
      <c r="L66" s="25" t="s">
        <v>18</v>
      </c>
    </row>
    <row r="67" spans="1:12" x14ac:dyDescent="0.25">
      <c r="A67" s="328"/>
      <c r="B67" s="328"/>
      <c r="C67" s="298" t="s">
        <v>38</v>
      </c>
      <c r="D67" s="298"/>
      <c r="E67" s="298" t="s">
        <v>39</v>
      </c>
      <c r="F67" s="298"/>
      <c r="G67" s="298" t="s">
        <v>38</v>
      </c>
      <c r="H67" s="298"/>
      <c r="I67" s="298" t="s">
        <v>38</v>
      </c>
      <c r="J67" s="298"/>
      <c r="K67" s="158" t="s">
        <v>38</v>
      </c>
      <c r="L67" s="25" t="s">
        <v>18</v>
      </c>
    </row>
    <row r="68" spans="1:12" x14ac:dyDescent="0.25">
      <c r="A68" s="328"/>
      <c r="B68" s="328"/>
      <c r="C68" s="298" t="s">
        <v>38</v>
      </c>
      <c r="D68" s="298"/>
      <c r="E68" s="298" t="s">
        <v>39</v>
      </c>
      <c r="F68" s="298"/>
      <c r="G68" s="298" t="s">
        <v>38</v>
      </c>
      <c r="H68" s="298"/>
      <c r="I68" s="298" t="s">
        <v>38</v>
      </c>
      <c r="J68" s="298"/>
      <c r="K68" s="158" t="s">
        <v>38</v>
      </c>
      <c r="L68" s="25" t="s">
        <v>18</v>
      </c>
    </row>
    <row r="69" spans="1:12" x14ac:dyDescent="0.25">
      <c r="A69" s="328"/>
      <c r="B69" s="328"/>
      <c r="C69" s="298" t="s">
        <v>38</v>
      </c>
      <c r="D69" s="298"/>
      <c r="E69" s="298" t="s">
        <v>39</v>
      </c>
      <c r="F69" s="298"/>
      <c r="G69" s="298" t="s">
        <v>38</v>
      </c>
      <c r="H69" s="298"/>
      <c r="I69" s="298" t="s">
        <v>38</v>
      </c>
      <c r="J69" s="298"/>
      <c r="K69" s="158" t="s">
        <v>38</v>
      </c>
      <c r="L69" s="25" t="s">
        <v>18</v>
      </c>
    </row>
    <row r="70" spans="1:12" x14ac:dyDescent="0.25">
      <c r="A70" s="328"/>
      <c r="B70" s="328"/>
      <c r="C70" s="298" t="s">
        <v>38</v>
      </c>
      <c r="D70" s="298"/>
      <c r="E70" s="298" t="s">
        <v>39</v>
      </c>
      <c r="F70" s="298"/>
      <c r="G70" s="298" t="s">
        <v>38</v>
      </c>
      <c r="H70" s="298"/>
      <c r="I70" s="298" t="s">
        <v>38</v>
      </c>
      <c r="J70" s="298"/>
      <c r="K70" s="150" t="s">
        <v>38</v>
      </c>
      <c r="L70" s="25" t="s">
        <v>18</v>
      </c>
    </row>
    <row r="71" spans="1:12" ht="15" hidden="1" customHeight="1" x14ac:dyDescent="0.25">
      <c r="A71" s="328"/>
      <c r="B71" s="328"/>
      <c r="C71" s="298"/>
      <c r="D71" s="298"/>
      <c r="E71" s="298"/>
      <c r="F71" s="298"/>
      <c r="G71" s="298"/>
      <c r="H71" s="298"/>
      <c r="I71" s="298"/>
      <c r="J71" s="298"/>
      <c r="K71" s="158"/>
      <c r="L71" s="25"/>
    </row>
    <row r="72" spans="1:12" hidden="1" x14ac:dyDescent="0.25">
      <c r="A72" s="328"/>
      <c r="B72" s="328"/>
      <c r="C72" s="298"/>
      <c r="D72" s="298"/>
      <c r="E72" s="298"/>
      <c r="F72" s="298"/>
      <c r="G72" s="298"/>
      <c r="H72" s="298"/>
      <c r="I72" s="298"/>
      <c r="J72" s="298"/>
      <c r="K72" s="150"/>
      <c r="L72" s="25"/>
    </row>
    <row r="73" spans="1:12" hidden="1" x14ac:dyDescent="0.25">
      <c r="A73" s="328"/>
      <c r="B73" s="328"/>
      <c r="C73" s="298"/>
      <c r="D73" s="298"/>
      <c r="E73" s="298"/>
      <c r="F73" s="298"/>
      <c r="G73" s="298"/>
      <c r="H73" s="298"/>
      <c r="I73" s="298"/>
      <c r="J73" s="298"/>
      <c r="K73" s="24"/>
      <c r="L73" s="25"/>
    </row>
    <row r="74" spans="1:12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1:12" x14ac:dyDescent="0.25">
      <c r="A75" s="240" t="s">
        <v>13</v>
      </c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</row>
    <row r="76" spans="1:12" x14ac:dyDescent="0.25">
      <c r="A76" s="215" t="s">
        <v>114</v>
      </c>
      <c r="B76" s="215"/>
      <c r="C76" s="215"/>
      <c r="D76" s="215"/>
      <c r="E76" s="255" t="s">
        <v>59</v>
      </c>
      <c r="F76" s="255"/>
      <c r="G76" s="255"/>
      <c r="H76" s="255"/>
      <c r="I76" s="255"/>
      <c r="J76" s="255"/>
      <c r="K76" s="255"/>
      <c r="L76" s="255"/>
    </row>
    <row r="77" spans="1:12" x14ac:dyDescent="0.25">
      <c r="A77" s="222" t="s">
        <v>20</v>
      </c>
      <c r="B77" s="222"/>
      <c r="C77" s="222"/>
      <c r="D77" s="222"/>
      <c r="E77" s="220"/>
      <c r="F77" s="220"/>
      <c r="G77" s="220"/>
      <c r="H77" s="220"/>
      <c r="I77" s="220"/>
      <c r="J77" s="220"/>
      <c r="K77" s="220"/>
      <c r="L77" s="220"/>
    </row>
    <row r="78" spans="1:12" x14ac:dyDescent="0.25">
      <c r="A78" s="215" t="s">
        <v>56</v>
      </c>
      <c r="B78" s="215"/>
      <c r="C78" s="215"/>
      <c r="D78" s="255" t="s">
        <v>59</v>
      </c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2" t="s">
        <v>43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x14ac:dyDescent="0.25">
      <c r="A80" s="215" t="s">
        <v>55</v>
      </c>
      <c r="B80" s="215"/>
      <c r="C80" s="215"/>
      <c r="D80" s="215"/>
      <c r="E80" s="255" t="s">
        <v>59</v>
      </c>
      <c r="F80" s="255"/>
      <c r="G80" s="255"/>
      <c r="H80" s="255"/>
      <c r="I80" s="255"/>
      <c r="J80" s="255"/>
      <c r="K80" s="255"/>
      <c r="L80" s="255"/>
    </row>
    <row r="81" spans="1:12" x14ac:dyDescent="0.25">
      <c r="A81" s="222" t="s">
        <v>44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15" t="s">
        <v>54</v>
      </c>
      <c r="B82" s="215"/>
      <c r="C82" s="215"/>
      <c r="D82" s="225" t="s">
        <v>59</v>
      </c>
      <c r="E82" s="225"/>
      <c r="F82" s="225"/>
      <c r="G82" s="225"/>
      <c r="H82" s="225"/>
      <c r="I82" s="225"/>
      <c r="J82" s="225"/>
      <c r="K82" s="225"/>
      <c r="L82" s="225"/>
    </row>
    <row r="83" spans="1:12" x14ac:dyDescent="0.25">
      <c r="A83" s="222" t="s">
        <v>44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x14ac:dyDescent="0.25">
      <c r="A84" s="215" t="s">
        <v>115</v>
      </c>
      <c r="B84" s="215"/>
      <c r="C84" s="215"/>
      <c r="D84" s="267"/>
      <c r="E84" s="267"/>
      <c r="F84" s="267"/>
      <c r="G84" s="267"/>
      <c r="H84" s="267"/>
      <c r="I84" s="267"/>
      <c r="J84" s="267"/>
      <c r="K84" s="267"/>
      <c r="L84" s="267"/>
    </row>
    <row r="85" spans="1:12" x14ac:dyDescent="0.25">
      <c r="A85" s="222" t="s">
        <v>116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x14ac:dyDescent="0.25">
      <c r="A86" s="240" t="s">
        <v>57</v>
      </c>
      <c r="B86" s="240"/>
      <c r="C86" s="240"/>
      <c r="D86" s="240"/>
      <c r="E86" s="240"/>
      <c r="F86" s="240"/>
      <c r="G86" s="240"/>
      <c r="H86" s="256" t="s">
        <v>35</v>
      </c>
      <c r="I86" s="256"/>
      <c r="J86" s="256"/>
      <c r="K86" s="256"/>
      <c r="L86" s="256"/>
    </row>
    <row r="87" spans="1:12" x14ac:dyDescent="0.25">
      <c r="A87" s="233" t="s">
        <v>45</v>
      </c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</row>
    <row r="88" spans="1:12" x14ac:dyDescent="0.25">
      <c r="A88" s="261" t="s">
        <v>117</v>
      </c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</row>
    <row r="89" spans="1:12" x14ac:dyDescent="0.25">
      <c r="A89" s="233" t="s">
        <v>47</v>
      </c>
      <c r="B89" s="233"/>
      <c r="C89" s="233"/>
      <c r="D89" s="233"/>
      <c r="E89" s="233"/>
      <c r="F89" s="233"/>
      <c r="G89" s="233"/>
      <c r="H89" s="233"/>
      <c r="I89" s="233"/>
      <c r="J89" s="233"/>
      <c r="K89" s="233"/>
    </row>
    <row r="91" spans="1:12" x14ac:dyDescent="0.25">
      <c r="A91" s="215" t="s">
        <v>14</v>
      </c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</row>
    <row r="92" spans="1:12" x14ac:dyDescent="0.25">
      <c r="A92" s="259" t="s">
        <v>60</v>
      </c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</row>
    <row r="93" spans="1:12" ht="12.75" customHeight="1" x14ac:dyDescent="0.25">
      <c r="A93" s="260" t="s">
        <v>62</v>
      </c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</row>
    <row r="94" spans="1:12" ht="12.75" hidden="1" customHeight="1" x14ac:dyDescent="0.25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</row>
    <row r="95" spans="1:12" x14ac:dyDescent="0.25">
      <c r="A95" s="220" t="s">
        <v>61</v>
      </c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 ht="14.45" customHeight="1" x14ac:dyDescent="0.25">
      <c r="A96" s="226" t="s">
        <v>118</v>
      </c>
      <c r="B96" s="226"/>
      <c r="C96" s="226"/>
      <c r="D96" s="255" t="s">
        <v>38</v>
      </c>
      <c r="E96" s="255"/>
      <c r="F96" s="255"/>
      <c r="G96" s="255"/>
      <c r="H96" s="255"/>
      <c r="I96" s="255"/>
      <c r="J96" s="255"/>
      <c r="K96" s="255"/>
      <c r="L96" s="255"/>
    </row>
    <row r="97" spans="1:12" ht="12.75" customHeight="1" x14ac:dyDescent="0.25">
      <c r="A97" s="222" t="s">
        <v>21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</row>
    <row r="98" spans="1:12" ht="13.15" customHeight="1" x14ac:dyDescent="0.25">
      <c r="A98" s="265" t="s">
        <v>23</v>
      </c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</row>
    <row r="99" spans="1:12" ht="19.149999999999999" customHeight="1" x14ac:dyDescent="0.25">
      <c r="A99" s="257" t="str">
        <f>IF(C22="","",C22)</f>
      </c>
      <c r="B99" s="257"/>
      <c r="C99" s="257"/>
      <c r="D99" s="257"/>
      <c r="E99" s="257"/>
      <c r="F99" s="257"/>
      <c r="G99" s="257"/>
      <c r="H99" s="257"/>
      <c r="I99" s="257"/>
      <c r="J99" s="7"/>
      <c r="K99" s="258"/>
      <c r="L99" s="258"/>
    </row>
    <row r="100" spans="1:12" x14ac:dyDescent="0.25">
      <c r="A100" s="222" t="s">
        <v>48</v>
      </c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</row>
    <row r="101" spans="1:12" ht="10.5" customHeight="1" x14ac:dyDescent="0.25">
      <c r="A101" s="265" t="s">
        <v>22</v>
      </c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</row>
    <row r="102" spans="1:12" ht="18" customHeight="1" x14ac:dyDescent="0.25">
      <c r="A102" s="257" t="str">
        <f>IF(C26="","",C26)</f>
      </c>
      <c r="B102" s="257"/>
      <c r="C102" s="257"/>
      <c r="D102" s="257"/>
      <c r="E102" s="257"/>
      <c r="F102" s="257"/>
      <c r="G102" s="257"/>
      <c r="H102" s="257"/>
      <c r="I102" s="257"/>
      <c r="J102" s="7"/>
      <c r="K102" s="258"/>
      <c r="L102" s="258"/>
    </row>
    <row r="103" spans="1:12" x14ac:dyDescent="0.25">
      <c r="A103" s="222" t="s">
        <v>48</v>
      </c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</row>
    <row r="104" spans="1:12" x14ac:dyDescent="0.25">
      <c r="A104" s="257" t="str">
        <f>IF(C28="","",C28)</f>
      </c>
      <c r="B104" s="257"/>
      <c r="C104" s="257"/>
      <c r="D104" s="257"/>
      <c r="E104" s="257"/>
      <c r="F104" s="257"/>
      <c r="G104" s="257"/>
      <c r="H104" s="257"/>
      <c r="I104" s="257"/>
      <c r="J104" s="7"/>
      <c r="K104" s="258"/>
      <c r="L104" s="258"/>
    </row>
    <row r="105" spans="1:12" x14ac:dyDescent="0.25">
      <c r="A105" s="222" t="s">
        <v>48</v>
      </c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</row>
    <row r="106" spans="1:12" x14ac:dyDescent="0.25">
      <c r="A106" s="265" t="s">
        <v>49</v>
      </c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</row>
    <row r="107" spans="1:12" x14ac:dyDescent="0.25">
      <c r="A107" s="257" t="str">
        <f>IF(C30="","",C30)</f>
      </c>
      <c r="B107" s="257"/>
      <c r="C107" s="257"/>
      <c r="D107" s="257"/>
      <c r="E107" s="257"/>
      <c r="F107" s="257"/>
      <c r="G107" s="257"/>
      <c r="H107" s="257"/>
      <c r="I107" s="257"/>
      <c r="J107" s="257"/>
      <c r="K107" s="266"/>
      <c r="L107" s="266"/>
    </row>
    <row r="108" spans="1:12" x14ac:dyDescent="0.25">
      <c r="A108" s="222" t="s">
        <v>2</v>
      </c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</row>
    <row r="109" spans="1:12" x14ac:dyDescent="0.25">
      <c r="A109" s="265" t="s">
        <v>24</v>
      </c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</row>
    <row r="110" spans="1:12" x14ac:dyDescent="0.25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</row>
    <row r="111" spans="1:12" x14ac:dyDescent="0.25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</row>
  </sheetData>
  <mergeCells count="199">
    <mergeCell ref="A75:L75"/>
    <mergeCell ref="A61:B61"/>
    <mergeCell ref="C61:D61"/>
    <mergeCell ref="E61:F61"/>
    <mergeCell ref="G61:H61"/>
    <mergeCell ref="I61:J61"/>
    <mergeCell ref="A71:B71"/>
    <mergeCell ref="C71:D71"/>
    <mergeCell ref="E71:F71"/>
    <mergeCell ref="G71:H71"/>
    <mergeCell ref="I71:J71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I66:J66"/>
    <mergeCell ref="A67:B67"/>
    <mergeCell ref="C67:D67"/>
    <mergeCell ref="A104:I104"/>
    <mergeCell ref="K104:L104"/>
    <mergeCell ref="A76:D76"/>
    <mergeCell ref="E76:L76"/>
    <mergeCell ref="A78:C78"/>
    <mergeCell ref="D78:L78"/>
    <mergeCell ref="A79:L79"/>
    <mergeCell ref="A80:D80"/>
    <mergeCell ref="E80:L80"/>
    <mergeCell ref="A81:L81"/>
    <mergeCell ref="A82:C82"/>
    <mergeCell ref="D82:L82"/>
    <mergeCell ref="A77:L77"/>
    <mergeCell ref="A111:L111"/>
    <mergeCell ref="A108:L108"/>
    <mergeCell ref="A109:L109"/>
    <mergeCell ref="A106:L106"/>
    <mergeCell ref="K107:L107"/>
    <mergeCell ref="A107:J107"/>
    <mergeCell ref="A83:L83"/>
    <mergeCell ref="A84:C84"/>
    <mergeCell ref="D84:L84"/>
    <mergeCell ref="A85:L85"/>
    <mergeCell ref="A86:G86"/>
    <mergeCell ref="H86:L86"/>
    <mergeCell ref="A88:L88"/>
    <mergeCell ref="A89:K89"/>
    <mergeCell ref="A110:L110"/>
    <mergeCell ref="A97:L97"/>
    <mergeCell ref="A87:L87"/>
    <mergeCell ref="A102:I102"/>
    <mergeCell ref="A96:C96"/>
    <mergeCell ref="D96:L96"/>
    <mergeCell ref="A91:L91"/>
    <mergeCell ref="A92:L92"/>
    <mergeCell ref="A105:L105"/>
    <mergeCell ref="K102:L102"/>
    <mergeCell ref="G60:H60"/>
    <mergeCell ref="A103:L103"/>
    <mergeCell ref="A100:L100"/>
    <mergeCell ref="A101:L101"/>
    <mergeCell ref="A98:L98"/>
    <mergeCell ref="A99:I99"/>
    <mergeCell ref="K99:L99"/>
    <mergeCell ref="A93:L93"/>
    <mergeCell ref="A94:L94"/>
    <mergeCell ref="A95:L95"/>
    <mergeCell ref="A63:B63"/>
    <mergeCell ref="C63:D63"/>
    <mergeCell ref="E63:F63"/>
    <mergeCell ref="G63:H63"/>
    <mergeCell ref="I63:J63"/>
    <mergeCell ref="A72:B72"/>
    <mergeCell ref="C72:D72"/>
    <mergeCell ref="E72:F72"/>
    <mergeCell ref="G72:H72"/>
    <mergeCell ref="I72:J72"/>
    <mergeCell ref="A64:B64"/>
    <mergeCell ref="C64:D64"/>
    <mergeCell ref="E64:F64"/>
    <mergeCell ref="G64:H64"/>
    <mergeCell ref="I58:J58"/>
    <mergeCell ref="A73:B73"/>
    <mergeCell ref="C73:D73"/>
    <mergeCell ref="E73:F73"/>
    <mergeCell ref="G73:H73"/>
    <mergeCell ref="I73:J73"/>
    <mergeCell ref="I59:J59"/>
    <mergeCell ref="I60:J60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A62:B62"/>
    <mergeCell ref="C62:D62"/>
    <mergeCell ref="E62:F62"/>
    <mergeCell ref="G62:H62"/>
    <mergeCell ref="I62:J62"/>
    <mergeCell ref="A56:B56"/>
    <mergeCell ref="C56:D56"/>
    <mergeCell ref="E56:F56"/>
    <mergeCell ref="G56:H56"/>
    <mergeCell ref="I56:J56"/>
    <mergeCell ref="I57:J57"/>
    <mergeCell ref="A57:B57"/>
    <mergeCell ref="C57:D57"/>
    <mergeCell ref="E57:F57"/>
    <mergeCell ref="G57:H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K3:L3"/>
    <mergeCell ref="F5:G5"/>
    <mergeCell ref="I64:J64"/>
    <mergeCell ref="A70:B70"/>
    <mergeCell ref="C70:D70"/>
    <mergeCell ref="E70:F70"/>
    <mergeCell ref="G70:H70"/>
    <mergeCell ref="I70:J70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G67:H67"/>
    <mergeCell ref="I67:J67"/>
    <mergeCell ref="E67:F67"/>
    <mergeCell ref="A14:L14"/>
    <mergeCell ref="K16:L16"/>
    <mergeCell ref="K17:L17"/>
    <mergeCell ref="A19:B19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91BD-771D-4E1F-9BD9-EA2DD819C9E1}">
  <sheetPr codeName="Лист10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29" t="str">
        <f>'Провод СИП 3'!A9:L9</f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112</v>
      </c>
      <c r="B13" s="309"/>
      <c r="C13" s="309"/>
      <c r="D13" s="309"/>
      <c r="E13" s="309"/>
      <c r="F13" s="309"/>
      <c r="G13" s="310" t="str">
        <f>IF('Провод СИП 3'!G13="","",'Провод СИП 3'!G13)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29.25" customHeight="1" x14ac:dyDescent="0.25">
      <c r="A16" s="330" t="str">
        <f>IF('Провод СИП 3'!A16="","",'Провод СИП 3'!A16)</f>
      </c>
      <c r="B16" s="330"/>
      <c r="C16" s="330"/>
      <c r="D16" s="330"/>
      <c r="E16" s="330"/>
      <c r="F16" s="330"/>
      <c r="G16" s="330"/>
      <c r="H16" s="18"/>
      <c r="I16" s="18"/>
      <c r="J16" s="18"/>
      <c r="K16" s="300" t="str">
        <f>'Провод СИП 3'!K16:L16</f>
      </c>
      <c r="L16" s="300"/>
    </row>
    <row r="17" spans="1:12" x14ac:dyDescent="0.25">
      <c r="A17" s="304" t="s">
        <v>1</v>
      </c>
      <c r="B17" s="304"/>
      <c r="C17" s="304"/>
      <c r="D17" s="304"/>
      <c r="E17" s="304"/>
      <c r="F17" s="304"/>
      <c r="G17" s="304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3.45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8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9.149999999999999" customHeight="1" x14ac:dyDescent="0.25">
      <c r="A30" s="18"/>
      <c r="B30" s="18"/>
      <c r="C30" s="305" t="str">
        <f>IF('Данные объект'!B32="","",'Данные объект'!B32)</f>
      </c>
      <c r="D30" s="305"/>
      <c r="E30" s="305"/>
      <c r="F30" s="305"/>
      <c r="G30" s="305"/>
      <c r="H30" s="305"/>
      <c r="I30" s="305"/>
      <c r="J30" s="305"/>
      <c r="K30" s="305"/>
      <c r="L30" s="305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6" t="s">
        <v>3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</row>
    <row r="34" spans="1:12" x14ac:dyDescent="0.25">
      <c r="A34" s="278" t="s">
        <v>4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72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/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tr">
        <f>IF(C43="","",C43)</f>
      </c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68</v>
      </c>
      <c r="B45" s="313"/>
      <c r="C45" s="236"/>
      <c r="D45" s="236"/>
      <c r="E45" s="236"/>
      <c r="F45" s="122" t="s">
        <v>31</v>
      </c>
      <c r="G45" s="312" t="s">
        <v>73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63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1" t="s">
        <v>17</v>
      </c>
      <c r="B51" s="332"/>
      <c r="C51" s="332"/>
      <c r="D51" s="333"/>
      <c r="E51" s="331" t="s">
        <v>9</v>
      </c>
      <c r="F51" s="333"/>
      <c r="G51" s="331" t="s">
        <v>10</v>
      </c>
      <c r="H51" s="333"/>
      <c r="I51" s="331" t="s">
        <v>11</v>
      </c>
      <c r="J51" s="333"/>
      <c r="K51" s="338" t="s">
        <v>15</v>
      </c>
      <c r="L51" s="338" t="s">
        <v>12</v>
      </c>
    </row>
    <row r="52" spans="1:12" x14ac:dyDescent="0.25">
      <c r="A52" s="334"/>
      <c r="B52" s="236"/>
      <c r="C52" s="236"/>
      <c r="D52" s="335"/>
      <c r="E52" s="336"/>
      <c r="F52" s="337"/>
      <c r="G52" s="336"/>
      <c r="H52" s="337"/>
      <c r="I52" s="336"/>
      <c r="J52" s="337"/>
      <c r="K52" s="339"/>
      <c r="L52" s="339"/>
    </row>
    <row r="53" spans="1:12" ht="13.9" customHeight="1" x14ac:dyDescent="0.25">
      <c r="A53" s="331" t="s">
        <v>8</v>
      </c>
      <c r="B53" s="333"/>
      <c r="C53" s="331" t="s">
        <v>19</v>
      </c>
      <c r="D53" s="333"/>
      <c r="E53" s="336"/>
      <c r="F53" s="337"/>
      <c r="G53" s="336"/>
      <c r="H53" s="337"/>
      <c r="I53" s="336"/>
      <c r="J53" s="337"/>
      <c r="K53" s="339"/>
      <c r="L53" s="339"/>
    </row>
    <row r="54" spans="1:12" x14ac:dyDescent="0.25">
      <c r="A54" s="336"/>
      <c r="B54" s="337"/>
      <c r="C54" s="336"/>
      <c r="D54" s="337"/>
      <c r="E54" s="336"/>
      <c r="F54" s="337"/>
      <c r="G54" s="336"/>
      <c r="H54" s="337"/>
      <c r="I54" s="336"/>
      <c r="J54" s="337"/>
      <c r="K54" s="339"/>
      <c r="L54" s="339"/>
    </row>
    <row r="55" spans="1:12" x14ac:dyDescent="0.25">
      <c r="A55" s="334"/>
      <c r="B55" s="335"/>
      <c r="C55" s="334"/>
      <c r="D55" s="335"/>
      <c r="E55" s="334"/>
      <c r="F55" s="335"/>
      <c r="G55" s="334"/>
      <c r="H55" s="335"/>
      <c r="I55" s="334"/>
      <c r="J55" s="335"/>
      <c r="K55" s="340"/>
      <c r="L55" s="340"/>
    </row>
    <row r="56" spans="1:12" x14ac:dyDescent="0.25">
      <c r="A56" s="325">
        <v>1</v>
      </c>
      <c r="B56" s="325"/>
      <c r="C56" s="325">
        <v>2</v>
      </c>
      <c r="D56" s="325"/>
      <c r="E56" s="325">
        <v>3</v>
      </c>
      <c r="F56" s="325"/>
      <c r="G56" s="325">
        <v>4</v>
      </c>
      <c r="H56" s="325"/>
      <c r="I56" s="325">
        <v>5</v>
      </c>
      <c r="J56" s="325"/>
      <c r="K56" s="157">
        <v>6</v>
      </c>
      <c r="L56" s="157">
        <v>7</v>
      </c>
    </row>
    <row r="57" spans="1:12" ht="13.9" customHeight="1" x14ac:dyDescent="0.25">
      <c r="A57" s="325" t="str">
        <f>IF(C43="","",C43)</f>
      </c>
      <c r="B57" s="325"/>
      <c r="C57" s="325" t="s">
        <v>38</v>
      </c>
      <c r="D57" s="325"/>
      <c r="E57" s="325" t="s">
        <v>39</v>
      </c>
      <c r="F57" s="325"/>
      <c r="G57" s="325" t="s">
        <v>38</v>
      </c>
      <c r="H57" s="325"/>
      <c r="I57" s="325" t="s">
        <v>38</v>
      </c>
      <c r="J57" s="325"/>
      <c r="K57" s="157" t="s">
        <v>38</v>
      </c>
      <c r="L57" s="125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114</v>
      </c>
      <c r="B60" s="231"/>
      <c r="C60" s="231"/>
      <c r="D60" s="231"/>
      <c r="E60" s="267" t="s">
        <v>59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90"/>
      <c r="F61" s="290"/>
      <c r="G61" s="290"/>
      <c r="H61" s="290"/>
      <c r="I61" s="290"/>
      <c r="J61" s="290"/>
      <c r="K61" s="290"/>
      <c r="L61" s="290"/>
    </row>
    <row r="62" spans="1:12" x14ac:dyDescent="0.25">
      <c r="A62" s="231" t="s">
        <v>56</v>
      </c>
      <c r="B62" s="231"/>
      <c r="C62" s="231"/>
      <c r="D62" s="267" t="s">
        <v>59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3.1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15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149999999999999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17.4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1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87E7-A757-413A-87B6-6B2BA5185D65}">
  <sheetPr codeName="Лист17"/>
  <dimension ref="A1:L98"/>
  <sheetViews>
    <sheetView view="pageBreakPreview" zoomScaleNormal="100" zoomScaleSheetLayoutView="100" workbookViewId="0">
      <selection activeCell="P18" sqref="P18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.6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8.600000000000001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14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0" hidden="1" customHeight="1" x14ac:dyDescent="0.25"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idden="1" x14ac:dyDescent="0.25">
      <c r="A33" s="222" t="s">
        <v>2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16.5" customHeight="1" x14ac:dyDescent="0.25">
      <c r="A34" s="228" t="s">
        <v>36</v>
      </c>
      <c r="B34" s="228"/>
      <c r="C34" s="229" t="str">
        <f>IF('Данные объект'!B51="","",'Данные объект'!B51)</f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222" t="s">
        <v>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</row>
    <row r="36" spans="1:12" x14ac:dyDescent="0.25">
      <c r="A36" s="215" t="s">
        <v>4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8" spans="1:12" x14ac:dyDescent="0.25">
      <c r="A38" s="215" t="s">
        <v>5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</row>
    <row r="39" spans="1:12" ht="29.25" customHeight="1" x14ac:dyDescent="0.25">
      <c r="A39" s="345" t="s">
        <v>84</v>
      </c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x14ac:dyDescent="0.25">
      <c r="A40" s="222" t="s">
        <v>6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</row>
    <row r="41" spans="1:12" ht="34.5" customHeight="1" x14ac:dyDescent="0.25">
      <c r="A41" s="240" t="s">
        <v>29</v>
      </c>
      <c r="B41" s="240"/>
      <c r="C41" s="240"/>
      <c r="D41" s="240"/>
      <c r="E41" s="240"/>
      <c r="F41" s="240"/>
      <c r="G41" s="240"/>
      <c r="H41" s="240"/>
      <c r="I41" s="240"/>
      <c r="J41" s="240"/>
      <c r="K41" s="346"/>
      <c r="L41" s="346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3" t="s">
        <v>41</v>
      </c>
      <c r="L42" s="273"/>
    </row>
    <row r="43" spans="1:12" ht="29.25" customHeight="1" x14ac:dyDescent="0.25">
      <c r="A43" s="347"/>
      <c r="B43" s="347"/>
      <c r="C43" s="347"/>
      <c r="D43" s="347"/>
      <c r="E43" s="347"/>
      <c r="F43" s="347"/>
      <c r="G43" s="347"/>
      <c r="H43" s="8" t="s">
        <v>50</v>
      </c>
      <c r="I43" s="271" t="s">
        <v>109</v>
      </c>
      <c r="J43" s="271"/>
      <c r="K43" s="271"/>
      <c r="L43" s="271"/>
    </row>
    <row r="44" spans="1:12" x14ac:dyDescent="0.25">
      <c r="A44" s="222" t="s">
        <v>42</v>
      </c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</row>
    <row r="45" spans="1:12" ht="15" customHeight="1" x14ac:dyDescent="0.25">
      <c r="A45" s="215" t="s">
        <v>28</v>
      </c>
      <c r="B45" s="215"/>
      <c r="C45" s="271"/>
      <c r="D45" s="271"/>
      <c r="E45" s="215" t="s">
        <v>53</v>
      </c>
      <c r="F45" s="215"/>
      <c r="G45" s="271"/>
      <c r="H45" s="271"/>
      <c r="I45" s="271"/>
      <c r="J45" s="271"/>
      <c r="K45" s="4"/>
      <c r="L45" s="4"/>
    </row>
    <row r="46" spans="1:12" x14ac:dyDescent="0.25">
      <c r="A46" s="233" t="s">
        <v>52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ht="15" customHeight="1" x14ac:dyDescent="0.25">
      <c r="A47" s="240" t="s">
        <v>30</v>
      </c>
      <c r="B47" s="240"/>
      <c r="C47" s="241" t="s">
        <v>74</v>
      </c>
      <c r="D47" s="241"/>
      <c r="E47" s="241"/>
      <c r="F47" s="5" t="s">
        <v>31</v>
      </c>
      <c r="G47" s="242"/>
      <c r="H47" s="242"/>
      <c r="I47" s="242"/>
      <c r="J47" s="242"/>
      <c r="K47" s="242"/>
      <c r="L47" s="242"/>
    </row>
    <row r="48" spans="1:12" ht="15" customHeight="1" x14ac:dyDescent="0.25">
      <c r="A48" s="233" t="s">
        <v>32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</row>
    <row r="49" spans="1:12" x14ac:dyDescent="0.25">
      <c r="A49" s="215" t="s">
        <v>33</v>
      </c>
      <c r="B49" s="215"/>
      <c r="C49" s="215"/>
      <c r="D49" s="215"/>
      <c r="E49" s="215"/>
      <c r="F49" s="243" t="s">
        <v>63</v>
      </c>
      <c r="G49" s="243"/>
      <c r="H49" s="243"/>
      <c r="I49" s="243"/>
      <c r="J49" s="243"/>
      <c r="K49" s="243"/>
      <c r="L49" s="243"/>
    </row>
    <row r="50" spans="1:12" x14ac:dyDescent="0.25">
      <c r="A50" s="222" t="s">
        <v>34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" customHeight="1" x14ac:dyDescent="0.25">
      <c r="A51" s="215" t="s">
        <v>7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</row>
    <row r="53" spans="1:12" x14ac:dyDescent="0.25">
      <c r="A53" s="244" t="s">
        <v>17</v>
      </c>
      <c r="B53" s="245"/>
      <c r="C53" s="245"/>
      <c r="D53" s="246"/>
      <c r="E53" s="244" t="s">
        <v>9</v>
      </c>
      <c r="F53" s="246"/>
      <c r="G53" s="244" t="s">
        <v>10</v>
      </c>
      <c r="H53" s="246"/>
      <c r="I53" s="244" t="s">
        <v>11</v>
      </c>
      <c r="J53" s="246"/>
      <c r="K53" s="251" t="s">
        <v>15</v>
      </c>
      <c r="L53" s="251" t="s">
        <v>12</v>
      </c>
    </row>
    <row r="54" spans="1:12" x14ac:dyDescent="0.25">
      <c r="A54" s="247"/>
      <c r="B54" s="241"/>
      <c r="C54" s="241"/>
      <c r="D54" s="248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4" t="s">
        <v>8</v>
      </c>
      <c r="B55" s="246"/>
      <c r="C55" s="244" t="s">
        <v>19</v>
      </c>
      <c r="D55" s="246"/>
      <c r="E55" s="249"/>
      <c r="F55" s="250"/>
      <c r="G55" s="249"/>
      <c r="H55" s="250"/>
      <c r="I55" s="249"/>
      <c r="J55" s="250"/>
      <c r="K55" s="252"/>
      <c r="L55" s="252"/>
    </row>
    <row r="56" spans="1:12" x14ac:dyDescent="0.25">
      <c r="A56" s="249"/>
      <c r="B56" s="250"/>
      <c r="C56" s="249"/>
      <c r="D56" s="250"/>
      <c r="E56" s="249"/>
      <c r="F56" s="250"/>
      <c r="G56" s="249"/>
      <c r="H56" s="250"/>
      <c r="I56" s="249"/>
      <c r="J56" s="250"/>
      <c r="K56" s="252"/>
      <c r="L56" s="252"/>
    </row>
    <row r="57" spans="1:12" x14ac:dyDescent="0.25">
      <c r="A57" s="247"/>
      <c r="B57" s="248"/>
      <c r="C57" s="247"/>
      <c r="D57" s="248"/>
      <c r="E57" s="247"/>
      <c r="F57" s="248"/>
      <c r="G57" s="247"/>
      <c r="H57" s="248"/>
      <c r="I57" s="247"/>
      <c r="J57" s="248"/>
      <c r="K57" s="253"/>
      <c r="L57" s="253"/>
    </row>
    <row r="58" spans="1:12" x14ac:dyDescent="0.25">
      <c r="A58" s="239">
        <v>1</v>
      </c>
      <c r="B58" s="239"/>
      <c r="C58" s="239">
        <v>2</v>
      </c>
      <c r="D58" s="239"/>
      <c r="E58" s="239">
        <v>3</v>
      </c>
      <c r="F58" s="239"/>
      <c r="G58" s="239">
        <v>4</v>
      </c>
      <c r="H58" s="239"/>
      <c r="I58" s="239">
        <v>5</v>
      </c>
      <c r="J58" s="239"/>
      <c r="K58" s="11">
        <v>6</v>
      </c>
      <c r="L58" s="11">
        <v>7</v>
      </c>
    </row>
    <row r="59" spans="1:12" ht="26.45" customHeight="1" x14ac:dyDescent="0.25">
      <c r="A59" s="342" t="str">
        <f>IF(C45="","",C45)</f>
      </c>
      <c r="B59" s="343"/>
      <c r="C59" s="276" t="s">
        <v>38</v>
      </c>
      <c r="D59" s="277"/>
      <c r="E59" s="276" t="s">
        <v>39</v>
      </c>
      <c r="F59" s="277"/>
      <c r="G59" s="276" t="s">
        <v>38</v>
      </c>
      <c r="H59" s="277"/>
      <c r="I59" s="276" t="s">
        <v>38</v>
      </c>
      <c r="J59" s="277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341"/>
      <c r="E70" s="341"/>
      <c r="F70" s="341"/>
      <c r="G70" s="341"/>
      <c r="H70" s="341"/>
      <c r="I70" s="341"/>
      <c r="J70" s="341"/>
      <c r="K70" s="341"/>
      <c r="L70" s="341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2.9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0.45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2.9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83:L83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61:L61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82:C82"/>
    <mergeCell ref="A63:L63"/>
    <mergeCell ref="A62:D62"/>
    <mergeCell ref="E62:L62"/>
    <mergeCell ref="A64:C64"/>
    <mergeCell ref="D64:L64"/>
    <mergeCell ref="A65:L65"/>
    <mergeCell ref="A66:D66"/>
    <mergeCell ref="E66:L66"/>
    <mergeCell ref="A67:L67"/>
    <mergeCell ref="D82:L82"/>
    <mergeCell ref="A70:C70"/>
    <mergeCell ref="A77:L77"/>
    <mergeCell ref="A78:L78"/>
    <mergeCell ref="A79:L79"/>
    <mergeCell ref="A80:L80"/>
    <mergeCell ref="A81:L81"/>
    <mergeCell ref="A73:L73"/>
    <mergeCell ref="D70:L70"/>
    <mergeCell ref="A71:L71"/>
    <mergeCell ref="A72:G72"/>
    <mergeCell ref="H72:L72"/>
    <mergeCell ref="A74:L74"/>
    <mergeCell ref="A75:K75"/>
    <mergeCell ref="K3:L3"/>
    <mergeCell ref="F5:G5"/>
    <mergeCell ref="A96:L96"/>
    <mergeCell ref="A97:L97"/>
    <mergeCell ref="A98:L98"/>
    <mergeCell ref="A94:L94"/>
    <mergeCell ref="A95:L95"/>
    <mergeCell ref="A92:L92"/>
    <mergeCell ref="K93:L93"/>
    <mergeCell ref="A89:L89"/>
    <mergeCell ref="A90:I90"/>
    <mergeCell ref="K90:L90"/>
    <mergeCell ref="A91:L91"/>
    <mergeCell ref="A93:J93"/>
    <mergeCell ref="A84:L84"/>
    <mergeCell ref="A85:I85"/>
    <mergeCell ref="K85:L85"/>
    <mergeCell ref="A86:L86"/>
    <mergeCell ref="A87:L87"/>
    <mergeCell ref="A88:I88"/>
    <mergeCell ref="K88:L88"/>
    <mergeCell ref="A68:C68"/>
    <mergeCell ref="D68:L68"/>
    <mergeCell ref="A69:L69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D017-8308-4EAB-8615-AE22ED4C367D}">
  <sheetPr codeName="Лист19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184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19.149999999999999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6.89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6.89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29.25" customHeight="1" x14ac:dyDescent="0.25">
      <c r="A37" s="234" t="s">
        <v>192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4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167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 t="str">
        <f>IF(C43="","",C43)</f>
      </c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9.25" customHeight="1" x14ac:dyDescent="0.25">
      <c r="A57" s="291" t="s">
        <v>193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2.1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149999999999999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41:G41"/>
    <mergeCell ref="I41:L41"/>
    <mergeCell ref="A32:B32"/>
    <mergeCell ref="C32:L32"/>
    <mergeCell ref="A16:G16"/>
    <mergeCell ref="A33:L33"/>
    <mergeCell ref="A34:L34"/>
    <mergeCell ref="C30:L30"/>
    <mergeCell ref="A31:L31"/>
    <mergeCell ref="A37:L37"/>
    <mergeCell ref="A38:L38"/>
    <mergeCell ref="A39:J39"/>
    <mergeCell ref="K39:L39"/>
    <mergeCell ref="K40:L40"/>
    <mergeCell ref="A36:L36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4:L14"/>
    <mergeCell ref="A19:B19"/>
    <mergeCell ref="C19:F19"/>
    <mergeCell ref="H19:L19"/>
    <mergeCell ref="A17:G17"/>
    <mergeCell ref="K16:L16"/>
    <mergeCell ref="K17:L1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5:B45"/>
    <mergeCell ref="C45:E45"/>
    <mergeCell ref="G45:L45"/>
    <mergeCell ref="A59:L59"/>
    <mergeCell ref="A61:L61"/>
    <mergeCell ref="A56:B56"/>
    <mergeCell ref="C56:D56"/>
    <mergeCell ref="E56:F56"/>
    <mergeCell ref="G56:H56"/>
    <mergeCell ref="I56:J56"/>
    <mergeCell ref="A60:D60"/>
    <mergeCell ref="E60:L60"/>
    <mergeCell ref="A57:B57"/>
    <mergeCell ref="C57:D57"/>
    <mergeCell ref="E57:F57"/>
    <mergeCell ref="G57:H57"/>
    <mergeCell ref="I57:J57"/>
    <mergeCell ref="A80:C80"/>
    <mergeCell ref="D80:L80"/>
    <mergeCell ref="A81:L81"/>
    <mergeCell ref="A86:I86"/>
    <mergeCell ref="K86:L86"/>
    <mergeCell ref="A87:L87"/>
    <mergeCell ref="A88:I88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72:L72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73:K73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58C1-4AFD-45BB-8823-92BA96CE99BC}">
  <sheetPr codeName="Лист18"/>
  <dimension ref="A1:L96"/>
  <sheetViews>
    <sheetView view="pageBreakPreview" zoomScaleNormal="100" zoomScaleSheetLayoutView="100" workbookViewId="0">
      <selection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2.2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9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1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345" t="s">
        <v>85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/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71"/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74</v>
      </c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899999999999999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4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7.45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142F-1681-49BA-A492-4593E601F033}">
  <sheetPr codeName="Лист21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x14ac:dyDescent="0.25">
      <c r="A10" s="2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9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0.45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0.4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86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87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71"/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74</v>
      </c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/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3.4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0.4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9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7:G17"/>
    <mergeCell ref="A16:G16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6E05-41D7-4DFB-92ED-8F4ADC33E33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6.89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88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/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71"/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 t="s">
        <v>74</v>
      </c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/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899999999999999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7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9735-9588-4833-A365-A0DEA154FE98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IF(каб.АСБ!C19="","",каб.АСБ!C19)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149999999999999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8.600000000000001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2.1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33" customHeight="1" x14ac:dyDescent="0.25">
      <c r="A37" s="345" t="s">
        <v>101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102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71" t="s">
        <v>103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/>
      <c r="D45" s="272"/>
      <c r="E45" s="272"/>
      <c r="F45" s="23" t="s">
        <v>31</v>
      </c>
      <c r="G45" s="349"/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ht="13.9" customHeight="1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ht="13.9" customHeight="1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/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0.4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CCA-BAF3-4AD0-9FD5-2D680E60606A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110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3.4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4.6" customHeight="1" x14ac:dyDescent="0.25">
      <c r="A37" s="345" t="s">
        <v>121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 t="s">
        <v>93</v>
      </c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42"/>
      <c r="J41" s="242"/>
      <c r="K41" s="242"/>
      <c r="L41" s="242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/>
      <c r="D45" s="272"/>
      <c r="E45" s="272"/>
      <c r="F45" s="23" t="s">
        <v>31</v>
      </c>
      <c r="G45" s="349"/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50" t="str">
        <f>IF(C43="","",C43)</f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/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.6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0.4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3.4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D807-34D4-4967-B521-C73BB2489B9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111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.7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4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.6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2.1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122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/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42" t="s">
        <v>91</v>
      </c>
      <c r="J41" s="242"/>
      <c r="K41" s="242"/>
      <c r="L41" s="242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 t="s">
        <v>123</v>
      </c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/>
      <c r="D45" s="272"/>
      <c r="E45" s="272"/>
      <c r="F45" s="5" t="s">
        <v>31</v>
      </c>
      <c r="G45" s="349"/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50" t="str">
        <f>IF(C43="","",C43)</f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/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0.4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.60000000000000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8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A8A0-75F4-46F1-B4E1-F3EFA8BAC059}">
  <sheetPr codeName="Лист1"/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352" t="str">
        <f>IF('Данные объект'!B3="","",'Данные объект'!B3)</f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168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225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290"/>
      <c r="H20" s="100"/>
      <c r="I20" s="100"/>
      <c r="J20" s="100"/>
      <c r="K20" s="100"/>
      <c r="L20" s="100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31" t="s">
        <v>46</v>
      </c>
      <c r="B22" s="231"/>
      <c r="C22" s="238" t="str">
        <f>IF('Данные объект'!C45="","",'Данные объект'!C45)</f>
      </c>
      <c r="D22" s="238"/>
      <c r="E22" s="238"/>
      <c r="F22" s="238"/>
      <c r="G22" s="238"/>
      <c r="H22" s="238"/>
      <c r="I22" s="238"/>
      <c r="J22" s="238"/>
      <c r="K22" s="238"/>
      <c r="L22" s="238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2.9" customHeight="1" x14ac:dyDescent="0.25">
      <c r="A28" s="103"/>
      <c r="B28" s="103"/>
      <c r="C28" s="234" t="str">
        <f>IF('Данные объект'!C49="","",'Данные объект'!C49)</f>
      </c>
      <c r="D28" s="234"/>
      <c r="E28" s="234"/>
      <c r="F28" s="234"/>
      <c r="G28" s="234"/>
      <c r="H28" s="234"/>
      <c r="I28" s="234"/>
      <c r="J28" s="234"/>
      <c r="K28" s="234"/>
      <c r="L28" s="234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4.6" customHeight="1" x14ac:dyDescent="0.25">
      <c r="C30" s="210" t="str">
        <f>IF('Данные объект'!B32="","",'Данные объект'!B32)</f>
      </c>
      <c r="D30" s="210"/>
      <c r="E30" s="210"/>
      <c r="F30" s="210"/>
      <c r="G30" s="210"/>
      <c r="H30" s="210"/>
      <c r="I30" s="210"/>
      <c r="J30" s="210"/>
      <c r="K30" s="210"/>
      <c r="L30" s="210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161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58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 t="s">
        <v>74</v>
      </c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x14ac:dyDescent="0.25">
      <c r="A57" s="254" t="str">
        <f>IF(C43="","",C43)</f>
      </c>
      <c r="B57" s="254"/>
      <c r="C57" s="239" t="s">
        <v>38</v>
      </c>
      <c r="D57" s="239"/>
      <c r="E57" s="239" t="s">
        <v>39</v>
      </c>
      <c r="F57" s="239"/>
      <c r="G57" s="239" t="s">
        <v>38</v>
      </c>
      <c r="H57" s="239"/>
      <c r="I57" s="239" t="s">
        <v>38</v>
      </c>
      <c r="J57" s="239"/>
      <c r="K57" s="239" t="s">
        <v>38</v>
      </c>
      <c r="L57" s="239" t="s">
        <v>18</v>
      </c>
    </row>
    <row r="58" spans="1:12" x14ac:dyDescent="0.25">
      <c r="A58" s="254"/>
      <c r="B58" s="254"/>
      <c r="C58" s="239"/>
      <c r="D58" s="239"/>
      <c r="E58" s="239"/>
      <c r="F58" s="239"/>
      <c r="G58" s="239"/>
      <c r="H58" s="239"/>
      <c r="I58" s="239"/>
      <c r="J58" s="239"/>
      <c r="K58" s="239"/>
      <c r="L58" s="239"/>
    </row>
    <row r="59" spans="1:12" x14ac:dyDescent="0.25">
      <c r="A59" s="254"/>
      <c r="B59" s="254"/>
      <c r="C59" s="239"/>
      <c r="D59" s="239"/>
      <c r="E59" s="239"/>
      <c r="F59" s="239"/>
      <c r="G59" s="239"/>
      <c r="H59" s="239"/>
      <c r="I59" s="239"/>
      <c r="J59" s="239"/>
      <c r="K59" s="239"/>
      <c r="L59" s="239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31" t="s">
        <v>115</v>
      </c>
      <c r="B70" s="231"/>
      <c r="C70" s="231"/>
      <c r="D70" s="267"/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30" t="s">
        <v>116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5" t="s">
        <v>57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x14ac:dyDescent="0.25">
      <c r="A73" s="268" t="s">
        <v>45</v>
      </c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</row>
    <row r="74" spans="1:12" x14ac:dyDescent="0.25">
      <c r="A74" s="278" t="s">
        <v>117</v>
      </c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</row>
    <row r="75" spans="1:12" x14ac:dyDescent="0.25">
      <c r="A75" s="268" t="s">
        <v>47</v>
      </c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103"/>
    </row>
    <row r="76" spans="1:12" x14ac:dyDescent="0.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ht="12.75" customHeight="1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2.7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19.899999999999999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0.45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0.45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ht="13.9" customHeight="1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3:J93"/>
    <mergeCell ref="A14:L14"/>
    <mergeCell ref="K16:L16"/>
    <mergeCell ref="K17:L17"/>
    <mergeCell ref="A19:B19"/>
    <mergeCell ref="A31:L31"/>
    <mergeCell ref="A37:L37"/>
    <mergeCell ref="A38:L38"/>
    <mergeCell ref="A39:J39"/>
    <mergeCell ref="K39:L39"/>
    <mergeCell ref="K40:L40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I6:K6"/>
    <mergeCell ref="I7:K7"/>
    <mergeCell ref="A8:L8"/>
    <mergeCell ref="A9:L9"/>
    <mergeCell ref="A11:L11"/>
    <mergeCell ref="A27:L27"/>
    <mergeCell ref="C28:L28"/>
    <mergeCell ref="A29:L29"/>
    <mergeCell ref="C30:L30"/>
    <mergeCell ref="C20:G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K57:K59"/>
    <mergeCell ref="L57:L59"/>
    <mergeCell ref="A61:L61"/>
    <mergeCell ref="A63:L63"/>
    <mergeCell ref="A56:B56"/>
    <mergeCell ref="C56:D56"/>
    <mergeCell ref="E56:F56"/>
    <mergeCell ref="G56:H56"/>
    <mergeCell ref="I56:J56"/>
    <mergeCell ref="A57:B59"/>
    <mergeCell ref="C57:D59"/>
    <mergeCell ref="E57:F59"/>
    <mergeCell ref="G57:H59"/>
    <mergeCell ref="I57:J59"/>
    <mergeCell ref="A62:D62"/>
    <mergeCell ref="E62:L62"/>
    <mergeCell ref="A64:C64"/>
    <mergeCell ref="D64:L64"/>
    <mergeCell ref="A65:L65"/>
    <mergeCell ref="A66:D66"/>
    <mergeCell ref="E66:L66"/>
    <mergeCell ref="A67:L67"/>
    <mergeCell ref="A68:C68"/>
    <mergeCell ref="D68:L68"/>
    <mergeCell ref="A69:L69"/>
    <mergeCell ref="K90:L90"/>
    <mergeCell ref="A80:L80"/>
    <mergeCell ref="A81:L81"/>
    <mergeCell ref="A84:L84"/>
    <mergeCell ref="A85:I85"/>
    <mergeCell ref="K85:L85"/>
    <mergeCell ref="A73:L73"/>
    <mergeCell ref="A77:L77"/>
    <mergeCell ref="A78:L78"/>
    <mergeCell ref="A79:L79"/>
    <mergeCell ref="A74:L74"/>
    <mergeCell ref="A75:K75"/>
    <mergeCell ref="A82:C82"/>
    <mergeCell ref="D82:L82"/>
    <mergeCell ref="A83:L83"/>
    <mergeCell ref="K3:L3"/>
    <mergeCell ref="F5:G5"/>
    <mergeCell ref="A97:L97"/>
    <mergeCell ref="A98:L98"/>
    <mergeCell ref="A41:G41"/>
    <mergeCell ref="C19:G19"/>
    <mergeCell ref="H19:L19"/>
    <mergeCell ref="A95:L95"/>
    <mergeCell ref="A96:L96"/>
    <mergeCell ref="A92:L92"/>
    <mergeCell ref="K93:L93"/>
    <mergeCell ref="A94:L94"/>
    <mergeCell ref="A91:L91"/>
    <mergeCell ref="A86:L86"/>
    <mergeCell ref="A87:L87"/>
    <mergeCell ref="A88:I88"/>
    <mergeCell ref="K88:L88"/>
    <mergeCell ref="A89:L89"/>
    <mergeCell ref="A70:C70"/>
    <mergeCell ref="D70:L70"/>
    <mergeCell ref="A71:L71"/>
    <mergeCell ref="A72:G72"/>
    <mergeCell ref="H72:L72"/>
    <mergeCell ref="A90:I90"/>
  </mergeCells>
  <pageMargins left="0.78740157480314965" right="0.39370078740157483" top="0.39370078740157483" bottom="0.39370078740157483" header="0" footer="0"/>
  <pageSetup paperSize="9" scale="76" fitToHeight="2" orientation="portrait" r:id="rId1"/>
  <rowBreaks count="1" manualBreakCount="1">
    <brk id="59" max="1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F3F-931C-4876-A688-2806217A92C6}">
  <dimension ref="A1:L100"/>
  <sheetViews>
    <sheetView view="pageBreakPreview" topLeftCell="A4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352" t="str">
        <f>IF('Данные объект'!B3="","",'Данные объект'!B3)</f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</row>
    <row r="10" spans="1:12" x14ac:dyDescent="0.25">
      <c r="A10" s="2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205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7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225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220"/>
      <c r="H20" s="9"/>
      <c r="I20" s="9"/>
      <c r="J20" s="9"/>
      <c r="K20" s="9"/>
      <c r="L20" s="9"/>
    </row>
    <row r="21" spans="1:12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23.45" customHeight="1" x14ac:dyDescent="0.25">
      <c r="A22" s="231" t="s">
        <v>46</v>
      </c>
      <c r="B22" s="231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2.15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2.9" customHeight="1" x14ac:dyDescent="0.25">
      <c r="A28" s="103"/>
      <c r="B28" s="103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4.6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0" hidden="1" customHeight="1" x14ac:dyDescent="0.25"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idden="1" x14ac:dyDescent="0.25">
      <c r="A33" s="222" t="s">
        <v>2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16.5" customHeight="1" x14ac:dyDescent="0.25">
      <c r="A34" s="228" t="s">
        <v>36</v>
      </c>
      <c r="B34" s="228"/>
      <c r="C34" s="229" t="str">
        <f>IF('Данные объект'!B51="","",'Данные объект'!B51)</f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222" t="s">
        <v>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</row>
    <row r="36" spans="1:12" x14ac:dyDescent="0.25">
      <c r="A36" s="215" t="s">
        <v>4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8" spans="1:12" x14ac:dyDescent="0.25">
      <c r="A38" s="215" t="s">
        <v>5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</row>
    <row r="39" spans="1:12" ht="29.25" customHeight="1" x14ac:dyDescent="0.25">
      <c r="A39" s="234" t="s">
        <v>206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</row>
    <row r="40" spans="1:12" x14ac:dyDescent="0.25">
      <c r="A40" s="230" t="s">
        <v>6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spans="1:12" ht="34.5" customHeight="1" x14ac:dyDescent="0.25">
      <c r="A41" s="235" t="s">
        <v>29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72"/>
      <c r="L41" s="272"/>
    </row>
    <row r="42" spans="1:12" x14ac:dyDescent="0.25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237" t="s">
        <v>41</v>
      </c>
      <c r="L42" s="237"/>
    </row>
    <row r="43" spans="1:12" ht="29.25" customHeight="1" x14ac:dyDescent="0.25">
      <c r="A43" s="238"/>
      <c r="B43" s="238"/>
      <c r="C43" s="238"/>
      <c r="D43" s="238"/>
      <c r="E43" s="238"/>
      <c r="F43" s="238"/>
      <c r="G43" s="238"/>
      <c r="H43" s="105" t="s">
        <v>50</v>
      </c>
      <c r="I43" s="232" t="s">
        <v>58</v>
      </c>
      <c r="J43" s="232"/>
      <c r="K43" s="232"/>
      <c r="L43" s="232"/>
    </row>
    <row r="44" spans="1:12" x14ac:dyDescent="0.25">
      <c r="A44" s="230" t="s">
        <v>42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31" t="s">
        <v>28</v>
      </c>
      <c r="B45" s="231"/>
      <c r="C45" s="232"/>
      <c r="D45" s="232"/>
      <c r="E45" s="231" t="s">
        <v>53</v>
      </c>
      <c r="F45" s="231"/>
      <c r="G45" s="232"/>
      <c r="H45" s="232"/>
      <c r="I45" s="232"/>
      <c r="J45" s="232"/>
      <c r="K45" s="106"/>
      <c r="L45" s="106"/>
    </row>
    <row r="46" spans="1:12" x14ac:dyDescent="0.25">
      <c r="A46" s="268" t="s">
        <v>52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ht="15" customHeight="1" x14ac:dyDescent="0.25">
      <c r="A47" s="240" t="s">
        <v>30</v>
      </c>
      <c r="B47" s="240"/>
      <c r="C47" s="241" t="s">
        <v>74</v>
      </c>
      <c r="D47" s="241"/>
      <c r="E47" s="241"/>
      <c r="F47" s="5" t="s">
        <v>31</v>
      </c>
      <c r="G47" s="242"/>
      <c r="H47" s="242"/>
      <c r="I47" s="242"/>
      <c r="J47" s="242"/>
      <c r="K47" s="242"/>
      <c r="L47" s="242"/>
    </row>
    <row r="48" spans="1:12" ht="15" customHeight="1" x14ac:dyDescent="0.25">
      <c r="A48" s="233" t="s">
        <v>32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</row>
    <row r="49" spans="1:12" x14ac:dyDescent="0.25">
      <c r="A49" s="215" t="s">
        <v>33</v>
      </c>
      <c r="B49" s="215"/>
      <c r="C49" s="215"/>
      <c r="D49" s="215"/>
      <c r="E49" s="215"/>
      <c r="F49" s="243" t="s">
        <v>63</v>
      </c>
      <c r="G49" s="243"/>
      <c r="H49" s="243"/>
      <c r="I49" s="243"/>
      <c r="J49" s="243"/>
      <c r="K49" s="243"/>
      <c r="L49" s="243"/>
    </row>
    <row r="50" spans="1:12" x14ac:dyDescent="0.25">
      <c r="A50" s="222" t="s">
        <v>34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" customHeight="1" x14ac:dyDescent="0.25">
      <c r="A51" s="215" t="s">
        <v>7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</row>
    <row r="53" spans="1:12" x14ac:dyDescent="0.25">
      <c r="A53" s="244" t="s">
        <v>17</v>
      </c>
      <c r="B53" s="245"/>
      <c r="C53" s="245"/>
      <c r="D53" s="246"/>
      <c r="E53" s="244" t="s">
        <v>9</v>
      </c>
      <c r="F53" s="246"/>
      <c r="G53" s="244" t="s">
        <v>10</v>
      </c>
      <c r="H53" s="246"/>
      <c r="I53" s="244" t="s">
        <v>11</v>
      </c>
      <c r="J53" s="246"/>
      <c r="K53" s="251" t="s">
        <v>15</v>
      </c>
      <c r="L53" s="251" t="s">
        <v>12</v>
      </c>
    </row>
    <row r="54" spans="1:12" x14ac:dyDescent="0.25">
      <c r="A54" s="247"/>
      <c r="B54" s="241"/>
      <c r="C54" s="241"/>
      <c r="D54" s="248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4" t="s">
        <v>8</v>
      </c>
      <c r="B55" s="246"/>
      <c r="C55" s="244" t="s">
        <v>19</v>
      </c>
      <c r="D55" s="246"/>
      <c r="E55" s="249"/>
      <c r="F55" s="250"/>
      <c r="G55" s="249"/>
      <c r="H55" s="250"/>
      <c r="I55" s="249"/>
      <c r="J55" s="250"/>
      <c r="K55" s="252"/>
      <c r="L55" s="252"/>
    </row>
    <row r="56" spans="1:12" x14ac:dyDescent="0.25">
      <c r="A56" s="249"/>
      <c r="B56" s="250"/>
      <c r="C56" s="249"/>
      <c r="D56" s="250"/>
      <c r="E56" s="249"/>
      <c r="F56" s="250"/>
      <c r="G56" s="249"/>
      <c r="H56" s="250"/>
      <c r="I56" s="249"/>
      <c r="J56" s="250"/>
      <c r="K56" s="252"/>
      <c r="L56" s="252"/>
    </row>
    <row r="57" spans="1:12" x14ac:dyDescent="0.25">
      <c r="A57" s="247"/>
      <c r="B57" s="248"/>
      <c r="C57" s="247"/>
      <c r="D57" s="248"/>
      <c r="E57" s="247"/>
      <c r="F57" s="248"/>
      <c r="G57" s="247"/>
      <c r="H57" s="248"/>
      <c r="I57" s="247"/>
      <c r="J57" s="248"/>
      <c r="K57" s="253"/>
      <c r="L57" s="253"/>
    </row>
    <row r="58" spans="1:12" x14ac:dyDescent="0.25">
      <c r="A58" s="239">
        <v>1</v>
      </c>
      <c r="B58" s="239"/>
      <c r="C58" s="239">
        <v>2</v>
      </c>
      <c r="D58" s="239"/>
      <c r="E58" s="239">
        <v>3</v>
      </c>
      <c r="F58" s="239"/>
      <c r="G58" s="239">
        <v>4</v>
      </c>
      <c r="H58" s="239"/>
      <c r="I58" s="239">
        <v>5</v>
      </c>
      <c r="J58" s="239"/>
      <c r="K58" s="87">
        <v>6</v>
      </c>
      <c r="L58" s="87">
        <v>7</v>
      </c>
    </row>
    <row r="59" spans="1:12" x14ac:dyDescent="0.25">
      <c r="A59" s="254" t="str">
        <f>IF(C45="","",C45)</f>
      </c>
      <c r="B59" s="254"/>
      <c r="C59" s="239" t="s">
        <v>38</v>
      </c>
      <c r="D59" s="239"/>
      <c r="E59" s="239" t="s">
        <v>39</v>
      </c>
      <c r="F59" s="239"/>
      <c r="G59" s="239" t="s">
        <v>38</v>
      </c>
      <c r="H59" s="239"/>
      <c r="I59" s="239" t="s">
        <v>38</v>
      </c>
      <c r="J59" s="239"/>
      <c r="K59" s="239" t="s">
        <v>38</v>
      </c>
      <c r="L59" s="239" t="s">
        <v>18</v>
      </c>
    </row>
    <row r="60" spans="1:12" x14ac:dyDescent="0.25">
      <c r="A60" s="254"/>
      <c r="B60" s="254"/>
      <c r="C60" s="239"/>
      <c r="D60" s="239"/>
      <c r="E60" s="239"/>
      <c r="F60" s="239"/>
      <c r="G60" s="239"/>
      <c r="H60" s="239"/>
      <c r="I60" s="239"/>
      <c r="J60" s="239"/>
      <c r="K60" s="239"/>
      <c r="L60" s="239"/>
    </row>
    <row r="61" spans="1:12" x14ac:dyDescent="0.25">
      <c r="A61" s="254"/>
      <c r="B61" s="254"/>
      <c r="C61" s="239"/>
      <c r="D61" s="239"/>
      <c r="E61" s="239"/>
      <c r="F61" s="239"/>
      <c r="G61" s="239"/>
      <c r="H61" s="239"/>
      <c r="I61" s="239"/>
      <c r="J61" s="239"/>
      <c r="K61" s="239"/>
      <c r="L61" s="239"/>
    </row>
    <row r="62" spans="1:12" x14ac:dyDescent="0.2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</row>
    <row r="63" spans="1:12" x14ac:dyDescent="0.25">
      <c r="A63" s="240" t="s">
        <v>13</v>
      </c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</row>
    <row r="64" spans="1:12" x14ac:dyDescent="0.25">
      <c r="A64" s="215" t="s">
        <v>114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20</v>
      </c>
      <c r="B65" s="222"/>
      <c r="C65" s="222"/>
      <c r="D65" s="222"/>
      <c r="E65" s="220"/>
      <c r="F65" s="220"/>
      <c r="G65" s="220"/>
      <c r="H65" s="220"/>
      <c r="I65" s="220"/>
      <c r="J65" s="220"/>
      <c r="K65" s="220"/>
      <c r="L65" s="220"/>
    </row>
    <row r="66" spans="1:12" x14ac:dyDescent="0.25">
      <c r="A66" s="215" t="s">
        <v>56</v>
      </c>
      <c r="B66" s="215"/>
      <c r="C66" s="215"/>
      <c r="D66" s="255" t="s">
        <v>59</v>
      </c>
      <c r="E66" s="255"/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43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55</v>
      </c>
      <c r="B68" s="215"/>
      <c r="C68" s="215"/>
      <c r="D68" s="215"/>
      <c r="E68" s="255" t="s">
        <v>59</v>
      </c>
      <c r="F68" s="255"/>
      <c r="G68" s="255"/>
      <c r="H68" s="255"/>
      <c r="I68" s="255"/>
      <c r="J68" s="255"/>
      <c r="K68" s="255"/>
      <c r="L68" s="25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54</v>
      </c>
      <c r="B70" s="215"/>
      <c r="C70" s="215"/>
      <c r="D70" s="225" t="s">
        <v>59</v>
      </c>
      <c r="E70" s="225"/>
      <c r="F70" s="225"/>
      <c r="G70" s="225"/>
      <c r="H70" s="225"/>
      <c r="I70" s="225"/>
      <c r="J70" s="225"/>
      <c r="K70" s="225"/>
      <c r="L70" s="225"/>
    </row>
    <row r="71" spans="1:12" x14ac:dyDescent="0.25">
      <c r="A71" s="222" t="s">
        <v>44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15" t="s">
        <v>115</v>
      </c>
      <c r="B72" s="215"/>
      <c r="C72" s="215"/>
      <c r="D72" s="255"/>
      <c r="E72" s="255"/>
      <c r="F72" s="255"/>
      <c r="G72" s="255"/>
      <c r="H72" s="255"/>
      <c r="I72" s="255"/>
      <c r="J72" s="255"/>
      <c r="K72" s="255"/>
      <c r="L72" s="255"/>
    </row>
    <row r="73" spans="1:12" x14ac:dyDescent="0.25">
      <c r="A73" s="222" t="s">
        <v>116</v>
      </c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</row>
    <row r="74" spans="1:12" x14ac:dyDescent="0.25">
      <c r="A74" s="240" t="s">
        <v>57</v>
      </c>
      <c r="B74" s="240"/>
      <c r="C74" s="240"/>
      <c r="D74" s="240"/>
      <c r="E74" s="240"/>
      <c r="F74" s="240"/>
      <c r="G74" s="240"/>
      <c r="H74" s="256" t="s">
        <v>35</v>
      </c>
      <c r="I74" s="256"/>
      <c r="J74" s="256"/>
      <c r="K74" s="256"/>
      <c r="L74" s="256"/>
    </row>
    <row r="75" spans="1:12" x14ac:dyDescent="0.25">
      <c r="A75" s="233" t="s">
        <v>45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</row>
    <row r="76" spans="1:12" x14ac:dyDescent="0.25">
      <c r="A76" s="261" t="s">
        <v>117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</row>
    <row r="77" spans="1:12" x14ac:dyDescent="0.25">
      <c r="A77" s="233" t="s">
        <v>47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</row>
    <row r="79" spans="1:12" x14ac:dyDescent="0.25">
      <c r="A79" s="215" t="s">
        <v>14</v>
      </c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</row>
    <row r="80" spans="1:12" ht="12.75" customHeight="1" x14ac:dyDescent="0.25">
      <c r="A80" s="259" t="s">
        <v>60</v>
      </c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60" t="s">
        <v>62</v>
      </c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</row>
    <row r="82" spans="1:12" x14ac:dyDescent="0.25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</row>
    <row r="83" spans="1:12" x14ac:dyDescent="0.25">
      <c r="A83" s="220" t="s">
        <v>61</v>
      </c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</row>
    <row r="84" spans="1:12" ht="12.75" customHeight="1" x14ac:dyDescent="0.25">
      <c r="A84" s="226" t="s">
        <v>118</v>
      </c>
      <c r="B84" s="226"/>
      <c r="C84" s="226"/>
      <c r="D84" s="255" t="s">
        <v>38</v>
      </c>
      <c r="E84" s="255"/>
      <c r="F84" s="255"/>
      <c r="G84" s="255"/>
      <c r="H84" s="255"/>
      <c r="I84" s="255"/>
      <c r="J84" s="255"/>
      <c r="K84" s="255"/>
      <c r="L84" s="255"/>
    </row>
    <row r="85" spans="1:12" ht="12.75" customHeight="1" x14ac:dyDescent="0.25">
      <c r="A85" s="222" t="s">
        <v>21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ht="17.25" customHeight="1" x14ac:dyDescent="0.25">
      <c r="A86" s="265" t="s">
        <v>23</v>
      </c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</row>
    <row r="87" spans="1:12" ht="19.899999999999999" customHeight="1" x14ac:dyDescent="0.25">
      <c r="A87" s="257" t="str">
        <f>IF(C22="","",C22)</f>
      </c>
      <c r="B87" s="257"/>
      <c r="C87" s="257"/>
      <c r="D87" s="257"/>
      <c r="E87" s="257"/>
      <c r="F87" s="257"/>
      <c r="G87" s="257"/>
      <c r="H87" s="257"/>
      <c r="I87" s="257"/>
      <c r="J87" s="7"/>
      <c r="K87" s="258"/>
      <c r="L87" s="258"/>
    </row>
    <row r="88" spans="1:12" ht="11.25" customHeight="1" x14ac:dyDescent="0.25">
      <c r="A88" s="222" t="s">
        <v>48</v>
      </c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</row>
    <row r="89" spans="1:12" x14ac:dyDescent="0.25">
      <c r="A89" s="265" t="s">
        <v>22</v>
      </c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</row>
    <row r="90" spans="1:12" ht="20.45" customHeight="1" x14ac:dyDescent="0.25">
      <c r="A90" s="257" t="str">
        <f>IF(C26="","",C26)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2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ht="20.45" customHeight="1" x14ac:dyDescent="0.25">
      <c r="A92" s="257" t="str">
        <f>IF(C28="","",C28)</f>
      </c>
      <c r="B92" s="257"/>
      <c r="C92" s="257"/>
      <c r="D92" s="257"/>
      <c r="E92" s="257"/>
      <c r="F92" s="257"/>
      <c r="G92" s="257"/>
      <c r="H92" s="257"/>
      <c r="I92" s="257"/>
      <c r="J92" s="7"/>
      <c r="K92" s="258"/>
      <c r="L92" s="258"/>
    </row>
    <row r="93" spans="1:12" ht="11.25" customHeight="1" x14ac:dyDescent="0.25">
      <c r="A93" s="222" t="s">
        <v>48</v>
      </c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</row>
    <row r="94" spans="1:12" x14ac:dyDescent="0.25">
      <c r="A94" s="265" t="s">
        <v>49</v>
      </c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</row>
    <row r="95" spans="1:12" ht="13.9" customHeight="1" x14ac:dyDescent="0.25">
      <c r="A95" s="257" t="str">
        <f>IF(C30="","",C30)</f>
      </c>
      <c r="B95" s="257"/>
      <c r="C95" s="257"/>
      <c r="D95" s="257"/>
      <c r="E95" s="257"/>
      <c r="F95" s="257"/>
      <c r="G95" s="257"/>
      <c r="H95" s="257"/>
      <c r="I95" s="257"/>
      <c r="J95" s="257"/>
      <c r="K95" s="266"/>
      <c r="L95" s="266"/>
    </row>
    <row r="96" spans="1:12" x14ac:dyDescent="0.25">
      <c r="A96" s="222" t="s">
        <v>2</v>
      </c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</row>
    <row r="97" spans="1:12" x14ac:dyDescent="0.25">
      <c r="A97" s="265" t="s">
        <v>24</v>
      </c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</row>
    <row r="98" spans="1:12" ht="10.5" customHeight="1" x14ac:dyDescent="0.25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</row>
    <row r="99" spans="1:12" ht="13.5" customHeight="1" x14ac:dyDescent="0.25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</row>
    <row r="100" spans="1:12" x14ac:dyDescent="0.25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</row>
  </sheetData>
  <mergeCells count="124">
    <mergeCell ref="A14:L14"/>
    <mergeCell ref="K16:L16"/>
    <mergeCell ref="K17:L17"/>
    <mergeCell ref="A19:B19"/>
    <mergeCell ref="C19:G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32:L32"/>
    <mergeCell ref="C20:G20"/>
    <mergeCell ref="A22:B22"/>
    <mergeCell ref="C22:L22"/>
    <mergeCell ref="A23:L23"/>
    <mergeCell ref="A25:C25"/>
    <mergeCell ref="C26:L2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K59:K61"/>
    <mergeCell ref="L59:L61"/>
    <mergeCell ref="A63:L63"/>
    <mergeCell ref="A64:D64"/>
    <mergeCell ref="E64:L64"/>
    <mergeCell ref="A65:L65"/>
    <mergeCell ref="A58:B58"/>
    <mergeCell ref="C58:D58"/>
    <mergeCell ref="E58:F58"/>
    <mergeCell ref="G58:H58"/>
    <mergeCell ref="I58:J58"/>
    <mergeCell ref="A59:B61"/>
    <mergeCell ref="C59:D61"/>
    <mergeCell ref="E59:F61"/>
    <mergeCell ref="G59:H61"/>
    <mergeCell ref="I59:J61"/>
    <mergeCell ref="A70:C70"/>
    <mergeCell ref="D70:L70"/>
    <mergeCell ref="A71:L71"/>
    <mergeCell ref="A72:C72"/>
    <mergeCell ref="D72:L72"/>
    <mergeCell ref="A73:L73"/>
    <mergeCell ref="A66:C66"/>
    <mergeCell ref="D66:L66"/>
    <mergeCell ref="A67:L67"/>
    <mergeCell ref="A68:D68"/>
    <mergeCell ref="E68:L68"/>
    <mergeCell ref="A69:L69"/>
    <mergeCell ref="A82:L82"/>
    <mergeCell ref="A83:L83"/>
    <mergeCell ref="A84:C84"/>
    <mergeCell ref="D84:L84"/>
    <mergeCell ref="A74:G74"/>
    <mergeCell ref="H74:L74"/>
    <mergeCell ref="A75:L75"/>
    <mergeCell ref="A76:L76"/>
    <mergeCell ref="A77:K77"/>
    <mergeCell ref="A79:L79"/>
    <mergeCell ref="K3:L3"/>
    <mergeCell ref="F5:G5"/>
    <mergeCell ref="A97:L97"/>
    <mergeCell ref="A98:L98"/>
    <mergeCell ref="A99:L99"/>
    <mergeCell ref="A100:L100"/>
    <mergeCell ref="A94:L94"/>
    <mergeCell ref="A95:J95"/>
    <mergeCell ref="K95:L95"/>
    <mergeCell ref="A96:L96"/>
    <mergeCell ref="A90:I90"/>
    <mergeCell ref="K90:L90"/>
    <mergeCell ref="A91:L91"/>
    <mergeCell ref="A92:I92"/>
    <mergeCell ref="K92:L92"/>
    <mergeCell ref="A93:L93"/>
    <mergeCell ref="A85:L85"/>
    <mergeCell ref="A86:L86"/>
    <mergeCell ref="A87:I87"/>
    <mergeCell ref="K87:L87"/>
    <mergeCell ref="A88:L88"/>
    <mergeCell ref="A89:L89"/>
    <mergeCell ref="A80:L80"/>
    <mergeCell ref="A81:L81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066-4708-4045-9AB3-4C18E2BAEE34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124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8.5" customHeight="1" x14ac:dyDescent="0.25">
      <c r="A16" s="227" t="str">
        <f>IF('Провод СИП 3'!A16="","",'Провод СИП 3'!A16)</f>
      </c>
      <c r="B16" s="227"/>
      <c r="C16" s="227"/>
      <c r="D16" s="227"/>
      <c r="E16" s="227"/>
      <c r="F16" s="227"/>
      <c r="G16" s="227"/>
      <c r="K16" s="354" t="str">
        <f>'Провод СИП 3'!K16:L16</f>
      </c>
      <c r="L16" s="354"/>
    </row>
    <row r="17" spans="1:12" x14ac:dyDescent="0.25">
      <c r="A17" s="222" t="s">
        <v>1</v>
      </c>
      <c r="B17" s="222"/>
      <c r="C17" s="222"/>
      <c r="D17" s="222"/>
      <c r="E17" s="222"/>
      <c r="F17" s="222"/>
      <c r="G17" s="222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.600000000000001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234" t="s">
        <v>179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9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92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 t="str">
        <f>IF(C43="","",C43)</f>
      </c>
      <c r="H43" s="232"/>
      <c r="I43" s="232"/>
      <c r="J43" s="232"/>
      <c r="K43" s="106"/>
      <c r="L43" s="106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72"/>
      <c r="D45" s="272"/>
      <c r="E45" s="272"/>
      <c r="F45" s="5" t="s">
        <v>31</v>
      </c>
      <c r="G45" s="349"/>
      <c r="H45" s="349"/>
      <c r="I45" s="349"/>
      <c r="J45" s="349"/>
      <c r="K45" s="349"/>
      <c r="L45" s="349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6.45" customHeight="1" x14ac:dyDescent="0.25">
      <c r="A57" s="291" t="str">
        <f>IF(C43="","",C43)</f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114</v>
      </c>
      <c r="B60" s="231"/>
      <c r="C60" s="231"/>
      <c r="D60" s="231"/>
      <c r="E60" s="267" t="s">
        <v>59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</row>
    <row r="62" spans="1:12" x14ac:dyDescent="0.25">
      <c r="A62" s="231" t="s">
        <v>56</v>
      </c>
      <c r="B62" s="231"/>
      <c r="C62" s="231"/>
      <c r="D62" s="267" t="s">
        <v>59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55</v>
      </c>
      <c r="B64" s="231"/>
      <c r="C64" s="231"/>
      <c r="D64" s="231"/>
      <c r="E64" s="267" t="s">
        <v>59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54</v>
      </c>
      <c r="B66" s="231"/>
      <c r="C66" s="231"/>
      <c r="D66" s="267" t="s">
        <v>59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115</v>
      </c>
      <c r="B68" s="231"/>
      <c r="C68" s="231"/>
      <c r="D68" s="267" t="s">
        <v>38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116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57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117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3.4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2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750E-71AC-4845-B2F1-EDA9F92AF7D5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89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.600000000000001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104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9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/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71" t="s">
        <v>105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/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 t="s">
        <v>38</v>
      </c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A91:J91"/>
    <mergeCell ref="K91:L91"/>
    <mergeCell ref="A92:L92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D1D-5F85-48D2-9666-50D91975C1C3}">
  <dimension ref="A1:L96"/>
  <sheetViews>
    <sheetView view="pageBreakPreview" zoomScaleNormal="100" zoomScaleSheetLayoutView="100" workbookViewId="0">
      <selection activeCell="K16" sqref="K16:L16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31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</row>
    <row r="12" spans="1:12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15.75" x14ac:dyDescent="0.25">
      <c r="A13" s="356" t="s">
        <v>185</v>
      </c>
      <c r="B13" s="356"/>
      <c r="C13" s="356"/>
      <c r="D13" s="356"/>
      <c r="E13" s="356"/>
      <c r="F13" s="356"/>
      <c r="G13" s="357" t="str">
        <f>IF('Провод СИП 3'!G13="","",'Провод СИП 3'!G13)</f>
      </c>
      <c r="H13" s="357"/>
      <c r="I13" s="357"/>
      <c r="J13" s="357"/>
      <c r="K13" s="357"/>
      <c r="L13" s="357"/>
    </row>
    <row r="14" spans="1:12" ht="15.75" x14ac:dyDescent="0.25">
      <c r="A14" s="355" t="s">
        <v>0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</row>
    <row r="15" spans="1:12" x14ac:dyDescent="0.2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ht="29.25" customHeight="1" x14ac:dyDescent="0.25">
      <c r="A16" s="358" t="str">
        <f>IF('Провод СИП 3'!A16="","",'Провод СИП 3'!A16)</f>
      </c>
      <c r="B16" s="358"/>
      <c r="C16" s="358"/>
      <c r="D16" s="358"/>
      <c r="E16" s="358"/>
      <c r="F16" s="358"/>
      <c r="G16" s="358"/>
      <c r="H16" s="103"/>
      <c r="I16" s="103"/>
      <c r="J16" s="103"/>
      <c r="K16" s="354" t="str">
        <f>'Провод СИП 3'!K16:L16</f>
      </c>
      <c r="L16" s="354"/>
    </row>
    <row r="17" spans="1:12" x14ac:dyDescent="0.25">
      <c r="A17" s="230" t="s">
        <v>1</v>
      </c>
      <c r="B17" s="230"/>
      <c r="C17" s="230"/>
      <c r="D17" s="230"/>
      <c r="E17" s="230"/>
      <c r="F17" s="230"/>
      <c r="G17" s="230"/>
      <c r="H17" s="103"/>
      <c r="I17" s="103"/>
      <c r="J17" s="103"/>
      <c r="K17" s="290" t="s">
        <v>26</v>
      </c>
      <c r="L17" s="290"/>
    </row>
    <row r="18" spans="1:12" x14ac:dyDescent="0.2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ht="18.75" customHeight="1" x14ac:dyDescent="0.25">
      <c r="A19" s="231" t="s">
        <v>27</v>
      </c>
      <c r="B19" s="231"/>
      <c r="C19" s="267" t="str">
        <f>'Провод СИП 3'!C19:G19</f>
      </c>
      <c r="D19" s="267"/>
      <c r="E19" s="267"/>
      <c r="F19" s="267"/>
      <c r="G19" s="103"/>
      <c r="H19" s="297" t="str">
        <f>IF('Данные объект'!B43="","",'Данные объект'!B43)</f>
      </c>
      <c r="I19" s="297"/>
      <c r="J19" s="297"/>
      <c r="K19" s="297"/>
      <c r="L19" s="297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</row>
    <row r="22" spans="1:12" ht="18" customHeight="1" x14ac:dyDescent="0.25">
      <c r="A22" s="231" t="s">
        <v>46</v>
      </c>
      <c r="B22" s="231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1" customHeight="1" x14ac:dyDescent="0.25">
      <c r="A28" s="103"/>
      <c r="B28" s="103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1.6" customHeight="1" x14ac:dyDescent="0.25">
      <c r="A30" s="103"/>
      <c r="B30" s="103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16.5" customHeight="1" x14ac:dyDescent="0.25">
      <c r="A32" s="278" t="s">
        <v>36</v>
      </c>
      <c r="B32" s="278"/>
      <c r="C32" s="279" t="str">
        <f>IF('Данные объект'!B51="","",'Данные объект'!B51)</f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5" customHeight="1" x14ac:dyDescent="0.25">
      <c r="A37" s="234" t="s">
        <v>89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90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62">
        <v>6</v>
      </c>
      <c r="L56" s="162">
        <v>7</v>
      </c>
    </row>
    <row r="57" spans="1:12" ht="26.45" customHeight="1" x14ac:dyDescent="0.25">
      <c r="A57" s="291" t="str">
        <f>IF(C43="","",C43)</f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62" t="s">
        <v>38</v>
      </c>
      <c r="L57" s="162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31" t="s">
        <v>114</v>
      </c>
      <c r="B60" s="231"/>
      <c r="C60" s="231"/>
      <c r="D60" s="231"/>
      <c r="E60" s="267" t="s">
        <v>59</v>
      </c>
      <c r="F60" s="267"/>
      <c r="G60" s="267"/>
      <c r="H60" s="267"/>
      <c r="I60" s="267"/>
      <c r="J60" s="267"/>
      <c r="K60" s="267"/>
      <c r="L60" s="267"/>
    </row>
    <row r="61" spans="1:12" x14ac:dyDescent="0.25">
      <c r="A61" s="230" t="s">
        <v>20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</row>
    <row r="62" spans="1:12" x14ac:dyDescent="0.25">
      <c r="A62" s="231" t="s">
        <v>56</v>
      </c>
      <c r="B62" s="231"/>
      <c r="C62" s="231"/>
      <c r="D62" s="267" t="s">
        <v>59</v>
      </c>
      <c r="E62" s="267"/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43</v>
      </c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spans="1:12" x14ac:dyDescent="0.25">
      <c r="A64" s="231" t="s">
        <v>55</v>
      </c>
      <c r="B64" s="231"/>
      <c r="C64" s="231"/>
      <c r="D64" s="231"/>
      <c r="E64" s="267" t="s">
        <v>59</v>
      </c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44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54</v>
      </c>
      <c r="B66" s="231"/>
      <c r="C66" s="231"/>
      <c r="D66" s="267" t="s">
        <v>59</v>
      </c>
      <c r="E66" s="267"/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115</v>
      </c>
      <c r="B68" s="231"/>
      <c r="C68" s="231"/>
      <c r="D68" s="267" t="s">
        <v>38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116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5" t="s">
        <v>57</v>
      </c>
      <c r="B70" s="235"/>
      <c r="C70" s="235"/>
      <c r="D70" s="235"/>
      <c r="E70" s="235"/>
      <c r="F70" s="235"/>
      <c r="G70" s="235"/>
      <c r="H70" s="270" t="s">
        <v>35</v>
      </c>
      <c r="I70" s="270"/>
      <c r="J70" s="270"/>
      <c r="K70" s="270"/>
      <c r="L70" s="270"/>
    </row>
    <row r="71" spans="1:12" x14ac:dyDescent="0.25">
      <c r="A71" s="268" t="s">
        <v>45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</row>
    <row r="72" spans="1:12" x14ac:dyDescent="0.25">
      <c r="A72" s="278" t="s">
        <v>117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9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877F-653E-4A6E-98B1-C0437B653167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173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3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8.60000000000000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5.9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0.45" customHeight="1" x14ac:dyDescent="0.25">
      <c r="A28" s="103"/>
      <c r="B28" s="103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0.45" customHeight="1" x14ac:dyDescent="0.25">
      <c r="A30" s="103"/>
      <c r="B30" s="103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16.5" customHeight="1" x14ac:dyDescent="0.25">
      <c r="A32" s="278" t="s">
        <v>36</v>
      </c>
      <c r="B32" s="278"/>
      <c r="C32" s="279" t="str">
        <f>IF('Данные объект'!B51="","",'Данные объект'!B51)</f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19.899999999999999" customHeight="1" x14ac:dyDescent="0.25">
      <c r="A37" s="234" t="s">
        <v>178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9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170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ht="13.9" customHeight="1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ht="13.9" customHeight="1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54">
        <v>6</v>
      </c>
      <c r="L56" s="154">
        <v>7</v>
      </c>
    </row>
    <row r="57" spans="1:12" ht="26.45" customHeight="1" x14ac:dyDescent="0.25">
      <c r="A57" s="291" t="s">
        <v>182</v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54" t="s">
        <v>38</v>
      </c>
      <c r="L57" s="154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115</v>
      </c>
      <c r="B68" s="231"/>
      <c r="C68" s="231"/>
      <c r="D68" s="267"/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116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.6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9.89999999999999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3:L63"/>
    <mergeCell ref="A64:D64"/>
    <mergeCell ref="E64:L64"/>
    <mergeCell ref="A65:L65"/>
    <mergeCell ref="A66:C66"/>
    <mergeCell ref="D66:L66"/>
    <mergeCell ref="A59:L59"/>
    <mergeCell ref="A61:L61"/>
    <mergeCell ref="A62:C62"/>
    <mergeCell ref="D62:L62"/>
    <mergeCell ref="A60:D60"/>
    <mergeCell ref="E60:L60"/>
    <mergeCell ref="A95:L95"/>
    <mergeCell ref="A75:L75"/>
    <mergeCell ref="A76:L76"/>
    <mergeCell ref="A77:L77"/>
    <mergeCell ref="A78:L78"/>
    <mergeCell ref="A67:L67"/>
    <mergeCell ref="A69:L69"/>
    <mergeCell ref="A68:C68"/>
    <mergeCell ref="D68:L68"/>
    <mergeCell ref="A70:G70"/>
    <mergeCell ref="H70:L70"/>
    <mergeCell ref="A71:L71"/>
    <mergeCell ref="A72:L72"/>
    <mergeCell ref="A73:K73"/>
    <mergeCell ref="K3:L3"/>
    <mergeCell ref="F5:G5"/>
    <mergeCell ref="A96:L96"/>
    <mergeCell ref="A90:L90"/>
    <mergeCell ref="A91:J91"/>
    <mergeCell ref="K91:L91"/>
    <mergeCell ref="A92:L92"/>
    <mergeCell ref="A79:L79"/>
    <mergeCell ref="A82:L82"/>
    <mergeCell ref="A83:I83"/>
    <mergeCell ref="K83:L83"/>
    <mergeCell ref="A84:L84"/>
    <mergeCell ref="A85:L85"/>
    <mergeCell ref="A80:C80"/>
    <mergeCell ref="D80:L80"/>
    <mergeCell ref="A81:L81"/>
    <mergeCell ref="A86:I86"/>
    <mergeCell ref="K86:L86"/>
    <mergeCell ref="A87:L87"/>
    <mergeCell ref="A88:I88"/>
    <mergeCell ref="K88:L88"/>
    <mergeCell ref="A89:L89"/>
    <mergeCell ref="A93:L93"/>
    <mergeCell ref="A94:L94"/>
  </mergeCells>
  <pageMargins left="0.78740157480314965" right="0.39370078740157483" top="0.39370078740157483" bottom="0.39370078740157483" header="0" footer="0"/>
  <pageSetup paperSize="9" scale="80" fitToHeight="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1BA4-382A-4E12-8D89-312D84CE656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3.4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1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15" customHeight="1" x14ac:dyDescent="0.25">
      <c r="A37" s="345" t="s">
        <v>94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9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/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8" t="s">
        <v>50</v>
      </c>
      <c r="I41" s="271" t="s">
        <v>95</v>
      </c>
      <c r="J41" s="271"/>
      <c r="K41" s="271"/>
      <c r="L41" s="271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/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341"/>
      <c r="E68" s="341"/>
      <c r="F68" s="341"/>
      <c r="G68" s="341"/>
      <c r="H68" s="341"/>
      <c r="I68" s="341"/>
      <c r="J68" s="341"/>
      <c r="K68" s="341"/>
      <c r="L68" s="341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 spans="1:12" ht="12.75" customHeight="1" x14ac:dyDescent="0.25">
      <c r="A77" s="348" t="s">
        <v>62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2.1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6:L96"/>
    <mergeCell ref="A90:L90"/>
    <mergeCell ref="K91:L91"/>
    <mergeCell ref="A92:L92"/>
    <mergeCell ref="A91:J91"/>
    <mergeCell ref="A73:K73"/>
    <mergeCell ref="A80:C80"/>
    <mergeCell ref="D80:L80"/>
    <mergeCell ref="A81:L81"/>
    <mergeCell ref="A72:L72"/>
    <mergeCell ref="A93:L93"/>
    <mergeCell ref="A94:L94"/>
    <mergeCell ref="A95:L95"/>
    <mergeCell ref="A86:I86"/>
    <mergeCell ref="K86:L86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75:L75"/>
    <mergeCell ref="A76:L76"/>
    <mergeCell ref="A77:L77"/>
    <mergeCell ref="A78:L78"/>
    <mergeCell ref="A79:L79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D7F1-CE0C-435D-B698-2EA7E7F36A0A}">
  <sheetPr codeName="Лист14"/>
  <dimension ref="A1:L94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186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6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IF('Данные объект'!B11="","",'Данные объект'!B11)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1.6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.6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1.6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165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 t="s">
        <v>80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 t="str">
        <f>IF(C43="","",C43)</f>
      </c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07">
        <v>6</v>
      </c>
      <c r="L56" s="107">
        <v>7</v>
      </c>
    </row>
    <row r="57" spans="1:12" ht="26.45" customHeight="1" x14ac:dyDescent="0.25">
      <c r="A57" s="291" t="str">
        <f>IF(C43="","",C43)</f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07" t="s">
        <v>38</v>
      </c>
      <c r="L57" s="107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4.45" customHeight="1" x14ac:dyDescent="0.25">
      <c r="A78" s="226" t="s">
        <v>118</v>
      </c>
      <c r="B78" s="226"/>
      <c r="C78" s="226"/>
      <c r="D78" s="255" t="s">
        <v>38</v>
      </c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22" t="s">
        <v>21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</row>
    <row r="80" spans="1:12" ht="17.25" customHeight="1" x14ac:dyDescent="0.25">
      <c r="A80" s="265" t="s">
        <v>23</v>
      </c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</row>
    <row r="81" spans="1:12" ht="22.9" customHeight="1" x14ac:dyDescent="0.25">
      <c r="A81" s="257" t="str">
        <f>IF(C22="","",C22)</f>
      </c>
      <c r="B81" s="257"/>
      <c r="C81" s="257"/>
      <c r="D81" s="257"/>
      <c r="E81" s="257"/>
      <c r="F81" s="257"/>
      <c r="G81" s="257"/>
      <c r="H81" s="257"/>
      <c r="I81" s="257"/>
      <c r="J81" s="7"/>
      <c r="K81" s="258"/>
      <c r="L81" s="258"/>
    </row>
    <row r="82" spans="1:12" ht="11.25" customHeight="1" x14ac:dyDescent="0.25">
      <c r="A82" s="222" t="s">
        <v>48</v>
      </c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</row>
    <row r="83" spans="1:12" x14ac:dyDescent="0.25">
      <c r="A83" s="265" t="s">
        <v>22</v>
      </c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</row>
    <row r="84" spans="1:12" ht="21" customHeight="1" x14ac:dyDescent="0.25">
      <c r="A84" s="257" t="str">
        <f>IF(C26="","",C26)</f>
      </c>
      <c r="B84" s="257"/>
      <c r="C84" s="257"/>
      <c r="D84" s="257"/>
      <c r="E84" s="257"/>
      <c r="F84" s="257"/>
      <c r="G84" s="257"/>
      <c r="H84" s="257"/>
      <c r="I84" s="257"/>
      <c r="J84" s="7"/>
      <c r="K84" s="258"/>
      <c r="L84" s="258"/>
    </row>
    <row r="85" spans="1:12" ht="12" customHeight="1" x14ac:dyDescent="0.25">
      <c r="A85" s="222" t="s">
        <v>48</v>
      </c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</row>
    <row r="86" spans="1:12" ht="22.15" customHeight="1" x14ac:dyDescent="0.25">
      <c r="A86" s="257" t="str">
        <f>IF(C28="","",C28)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1.25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x14ac:dyDescent="0.25">
      <c r="A88" s="265" t="s">
        <v>49</v>
      </c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</row>
    <row r="89" spans="1:12" x14ac:dyDescent="0.25">
      <c r="A89" s="257" t="str">
        <f>IF(C30="","",C30)</f>
      </c>
      <c r="B89" s="257"/>
      <c r="C89" s="257"/>
      <c r="D89" s="257"/>
      <c r="E89" s="257"/>
      <c r="F89" s="257"/>
      <c r="G89" s="257"/>
      <c r="H89" s="257"/>
      <c r="I89" s="257"/>
      <c r="J89" s="257"/>
      <c r="K89" s="266"/>
      <c r="L89" s="266"/>
    </row>
    <row r="90" spans="1:12" x14ac:dyDescent="0.25">
      <c r="A90" s="222" t="s">
        <v>2</v>
      </c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</row>
    <row r="91" spans="1:12" x14ac:dyDescent="0.25">
      <c r="A91" s="265" t="s">
        <v>24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</row>
    <row r="92" spans="1:12" ht="10.5" customHeight="1" x14ac:dyDescent="0.25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</row>
    <row r="93" spans="1:12" ht="13.5" customHeight="1" x14ac:dyDescent="0.25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</row>
    <row r="94" spans="1:12" x14ac:dyDescent="0.25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</row>
  </sheetData>
  <mergeCells count="118">
    <mergeCell ref="A89:J89"/>
    <mergeCell ref="A14:L14"/>
    <mergeCell ref="K16:L16"/>
    <mergeCell ref="K17:L17"/>
    <mergeCell ref="A19:B19"/>
    <mergeCell ref="C19:F19"/>
    <mergeCell ref="H19:L19"/>
    <mergeCell ref="C30:L30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45:B45"/>
    <mergeCell ref="C45:E45"/>
    <mergeCell ref="G45:L45"/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3:F13"/>
    <mergeCell ref="G13:L13"/>
    <mergeCell ref="A16:G16"/>
    <mergeCell ref="A17:G17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6:B56"/>
    <mergeCell ref="C56:D56"/>
    <mergeCell ref="E56:F56"/>
    <mergeCell ref="G56:H56"/>
    <mergeCell ref="I56:J56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60:D60"/>
    <mergeCell ref="E60:L60"/>
    <mergeCell ref="A62:C62"/>
    <mergeCell ref="D62:L62"/>
    <mergeCell ref="A63:L63"/>
    <mergeCell ref="A64:D64"/>
    <mergeCell ref="E64:L64"/>
    <mergeCell ref="K81:L81"/>
    <mergeCell ref="A78:C78"/>
    <mergeCell ref="D78:L78"/>
    <mergeCell ref="A79:L79"/>
    <mergeCell ref="A65:L65"/>
    <mergeCell ref="A66:C66"/>
    <mergeCell ref="D66:L66"/>
    <mergeCell ref="A71:L71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72:L72"/>
    <mergeCell ref="A73:K73"/>
    <mergeCell ref="K3:L3"/>
    <mergeCell ref="F5:G5"/>
    <mergeCell ref="A93:L93"/>
    <mergeCell ref="A94:L94"/>
    <mergeCell ref="A57:B57"/>
    <mergeCell ref="C57:D57"/>
    <mergeCell ref="E57:F57"/>
    <mergeCell ref="G57:H57"/>
    <mergeCell ref="I57:J57"/>
    <mergeCell ref="A91:L91"/>
    <mergeCell ref="A92:L92"/>
    <mergeCell ref="A88:L88"/>
    <mergeCell ref="K89:L89"/>
    <mergeCell ref="A90:L90"/>
    <mergeCell ref="A87:L87"/>
    <mergeCell ref="A82:L82"/>
    <mergeCell ref="A83:L83"/>
    <mergeCell ref="A84:I84"/>
    <mergeCell ref="K84:L84"/>
    <mergeCell ref="A85:L85"/>
    <mergeCell ref="A86:I86"/>
    <mergeCell ref="K86:L86"/>
    <mergeCell ref="A80:L80"/>
    <mergeCell ref="A81:I81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E29D-E1E2-4F2D-A32C-4F517E0C0A68}"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184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31" t="s">
        <v>27</v>
      </c>
      <c r="B19" s="231"/>
      <c r="C19" s="267" t="str">
        <f>'Провод СИП 3'!C19:G19</f>
      </c>
      <c r="D19" s="267"/>
      <c r="E19" s="267"/>
      <c r="F19" s="267"/>
      <c r="G19" s="103"/>
      <c r="H19" s="297" t="str">
        <f>IF('Данные объект'!B43="","",'Данные объект'!B43)</f>
      </c>
      <c r="I19" s="297"/>
      <c r="J19" s="297"/>
      <c r="K19" s="297"/>
      <c r="L19" s="297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1:12" ht="20.45" customHeight="1" x14ac:dyDescent="0.25">
      <c r="A22" s="231" t="s">
        <v>46</v>
      </c>
      <c r="B22" s="231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0.45" customHeight="1" x14ac:dyDescent="0.25">
      <c r="A28" s="103"/>
      <c r="B28" s="103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15.6" customHeight="1" x14ac:dyDescent="0.25">
      <c r="A30" s="103"/>
      <c r="B30" s="103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30" hidden="1" customHeight="1" x14ac:dyDescent="0.25">
      <c r="A32" s="103"/>
      <c r="B32" s="103"/>
      <c r="C32" s="359"/>
      <c r="D32" s="359"/>
      <c r="E32" s="359"/>
      <c r="F32" s="359"/>
      <c r="G32" s="359"/>
      <c r="H32" s="359"/>
      <c r="I32" s="359"/>
      <c r="J32" s="359"/>
      <c r="K32" s="359"/>
      <c r="L32" s="359"/>
    </row>
    <row r="33" spans="1:12" hidden="1" x14ac:dyDescent="0.25">
      <c r="A33" s="230" t="s">
        <v>2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ht="16.5" customHeight="1" x14ac:dyDescent="0.25">
      <c r="A34" s="278" t="s">
        <v>36</v>
      </c>
      <c r="B34" s="278"/>
      <c r="C34" s="279" t="str">
        <f>IF('Данные объект'!B51="","",'Данные объект'!B51)</f>
      </c>
      <c r="D34" s="279"/>
      <c r="E34" s="279"/>
      <c r="F34" s="279"/>
      <c r="G34" s="279"/>
      <c r="H34" s="279"/>
      <c r="I34" s="279"/>
      <c r="J34" s="279"/>
      <c r="K34" s="279"/>
      <c r="L34" s="279"/>
    </row>
    <row r="35" spans="1:12" x14ac:dyDescent="0.25">
      <c r="A35" s="230" t="s">
        <v>3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</row>
    <row r="36" spans="1:12" x14ac:dyDescent="0.25">
      <c r="A36" s="231" t="s">
        <v>4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31" t="s">
        <v>5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</row>
    <row r="39" spans="1:12" ht="29.25" customHeight="1" x14ac:dyDescent="0.25">
      <c r="A39" s="234" t="s">
        <v>180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</row>
    <row r="40" spans="1:12" x14ac:dyDescent="0.25">
      <c r="A40" s="230" t="s">
        <v>6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spans="1:12" ht="34.5" customHeight="1" x14ac:dyDescent="0.25">
      <c r="A41" s="235" t="s">
        <v>29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6"/>
      <c r="L41" s="236"/>
    </row>
    <row r="42" spans="1:12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237" t="s">
        <v>41</v>
      </c>
      <c r="L42" s="237"/>
    </row>
    <row r="43" spans="1:12" ht="29.25" customHeight="1" x14ac:dyDescent="0.25">
      <c r="A43" s="238"/>
      <c r="B43" s="238"/>
      <c r="C43" s="238"/>
      <c r="D43" s="238"/>
      <c r="E43" s="238"/>
      <c r="F43" s="238"/>
      <c r="G43" s="238"/>
      <c r="H43" s="105" t="s">
        <v>50</v>
      </c>
      <c r="I43" s="232" t="s">
        <v>181</v>
      </c>
      <c r="J43" s="232"/>
      <c r="K43" s="232"/>
      <c r="L43" s="232"/>
    </row>
    <row r="44" spans="1:12" x14ac:dyDescent="0.25">
      <c r="A44" s="230" t="s">
        <v>42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31" t="s">
        <v>28</v>
      </c>
      <c r="B45" s="231"/>
      <c r="C45" s="232"/>
      <c r="D45" s="232"/>
      <c r="E45" s="231" t="s">
        <v>53</v>
      </c>
      <c r="F45" s="231"/>
      <c r="G45" s="232" t="str">
        <f>IF(C45="","",C45)</f>
      </c>
      <c r="H45" s="232"/>
      <c r="I45" s="232"/>
      <c r="J45" s="232"/>
      <c r="K45" s="106"/>
      <c r="L45" s="106"/>
    </row>
    <row r="46" spans="1:12" x14ac:dyDescent="0.25">
      <c r="A46" s="268" t="s">
        <v>52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ht="15" customHeight="1" x14ac:dyDescent="0.25">
      <c r="A47" s="235" t="s">
        <v>30</v>
      </c>
      <c r="B47" s="235"/>
      <c r="C47" s="238"/>
      <c r="D47" s="238"/>
      <c r="E47" s="238"/>
      <c r="F47" s="105" t="s">
        <v>31</v>
      </c>
      <c r="G47" s="232"/>
      <c r="H47" s="232"/>
      <c r="I47" s="232"/>
      <c r="J47" s="232"/>
      <c r="K47" s="232"/>
      <c r="L47" s="232"/>
    </row>
    <row r="48" spans="1:12" ht="15" customHeight="1" x14ac:dyDescent="0.25">
      <c r="A48" s="268" t="s">
        <v>32</v>
      </c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</row>
    <row r="49" spans="1:12" x14ac:dyDescent="0.25">
      <c r="A49" s="231" t="s">
        <v>33</v>
      </c>
      <c r="B49" s="231"/>
      <c r="C49" s="231"/>
      <c r="D49" s="231"/>
      <c r="E49" s="231"/>
      <c r="F49" s="274" t="s">
        <v>63</v>
      </c>
      <c r="G49" s="274"/>
      <c r="H49" s="274"/>
      <c r="I49" s="274"/>
      <c r="J49" s="274"/>
      <c r="K49" s="274"/>
      <c r="L49" s="274"/>
    </row>
    <row r="50" spans="1:12" x14ac:dyDescent="0.25">
      <c r="A50" s="230" t="s">
        <v>34</v>
      </c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</row>
    <row r="51" spans="1:12" ht="15" customHeight="1" x14ac:dyDescent="0.25">
      <c r="A51" s="231" t="s">
        <v>7</v>
      </c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80" t="s">
        <v>17</v>
      </c>
      <c r="B53" s="281"/>
      <c r="C53" s="281"/>
      <c r="D53" s="282"/>
      <c r="E53" s="280" t="s">
        <v>9</v>
      </c>
      <c r="F53" s="282"/>
      <c r="G53" s="280" t="s">
        <v>10</v>
      </c>
      <c r="H53" s="282"/>
      <c r="I53" s="280" t="s">
        <v>11</v>
      </c>
      <c r="J53" s="282"/>
      <c r="K53" s="287" t="s">
        <v>15</v>
      </c>
      <c r="L53" s="287" t="s">
        <v>12</v>
      </c>
    </row>
    <row r="54" spans="1:12" x14ac:dyDescent="0.25">
      <c r="A54" s="283"/>
      <c r="B54" s="238"/>
      <c r="C54" s="238"/>
      <c r="D54" s="284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0" t="s">
        <v>8</v>
      </c>
      <c r="B55" s="282"/>
      <c r="C55" s="280" t="s">
        <v>19</v>
      </c>
      <c r="D55" s="282"/>
      <c r="E55" s="285"/>
      <c r="F55" s="286"/>
      <c r="G55" s="285"/>
      <c r="H55" s="286"/>
      <c r="I55" s="285"/>
      <c r="J55" s="286"/>
      <c r="K55" s="288"/>
      <c r="L55" s="288"/>
    </row>
    <row r="56" spans="1:12" x14ac:dyDescent="0.25">
      <c r="A56" s="285"/>
      <c r="B56" s="286"/>
      <c r="C56" s="285"/>
      <c r="D56" s="286"/>
      <c r="E56" s="285"/>
      <c r="F56" s="286"/>
      <c r="G56" s="285"/>
      <c r="H56" s="286"/>
      <c r="I56" s="285"/>
      <c r="J56" s="286"/>
      <c r="K56" s="288"/>
      <c r="L56" s="288"/>
    </row>
    <row r="57" spans="1:12" x14ac:dyDescent="0.25">
      <c r="A57" s="283"/>
      <c r="B57" s="284"/>
      <c r="C57" s="283"/>
      <c r="D57" s="284"/>
      <c r="E57" s="283"/>
      <c r="F57" s="284"/>
      <c r="G57" s="283"/>
      <c r="H57" s="284"/>
      <c r="I57" s="283"/>
      <c r="J57" s="284"/>
      <c r="K57" s="289"/>
      <c r="L57" s="289"/>
    </row>
    <row r="58" spans="1:12" x14ac:dyDescent="0.25">
      <c r="A58" s="269">
        <v>1</v>
      </c>
      <c r="B58" s="269"/>
      <c r="C58" s="269">
        <v>2</v>
      </c>
      <c r="D58" s="269"/>
      <c r="E58" s="269">
        <v>3</v>
      </c>
      <c r="F58" s="269"/>
      <c r="G58" s="269">
        <v>4</v>
      </c>
      <c r="H58" s="269"/>
      <c r="I58" s="269">
        <v>5</v>
      </c>
      <c r="J58" s="269"/>
      <c r="K58" s="154">
        <v>6</v>
      </c>
      <c r="L58" s="154">
        <v>7</v>
      </c>
    </row>
    <row r="59" spans="1:12" ht="26.45" customHeight="1" x14ac:dyDescent="0.25">
      <c r="A59" s="291" t="str">
        <f>IF(C45="","",C45)</f>
      </c>
      <c r="B59" s="292"/>
      <c r="C59" s="291" t="s">
        <v>38</v>
      </c>
      <c r="D59" s="292"/>
      <c r="E59" s="291" t="s">
        <v>39</v>
      </c>
      <c r="F59" s="292"/>
      <c r="G59" s="291" t="s">
        <v>38</v>
      </c>
      <c r="H59" s="292"/>
      <c r="I59" s="291" t="s">
        <v>38</v>
      </c>
      <c r="J59" s="292"/>
      <c r="K59" s="154" t="s">
        <v>38</v>
      </c>
      <c r="L59" s="154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35" t="s">
        <v>13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</row>
    <row r="62" spans="1:12" x14ac:dyDescent="0.25">
      <c r="A62" s="231" t="s">
        <v>114</v>
      </c>
      <c r="B62" s="231"/>
      <c r="C62" s="231"/>
      <c r="D62" s="231"/>
      <c r="E62" s="267" t="s">
        <v>59</v>
      </c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20</v>
      </c>
      <c r="B63" s="230"/>
      <c r="C63" s="230"/>
      <c r="D63" s="230"/>
      <c r="E63" s="290"/>
      <c r="F63" s="290"/>
      <c r="G63" s="290"/>
      <c r="H63" s="290"/>
      <c r="I63" s="290"/>
      <c r="J63" s="290"/>
      <c r="K63" s="290"/>
      <c r="L63" s="290"/>
    </row>
    <row r="64" spans="1:12" x14ac:dyDescent="0.25">
      <c r="A64" s="231" t="s">
        <v>56</v>
      </c>
      <c r="B64" s="231"/>
      <c r="C64" s="231"/>
      <c r="D64" s="267" t="s">
        <v>59</v>
      </c>
      <c r="E64" s="267"/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43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55</v>
      </c>
      <c r="B66" s="231"/>
      <c r="C66" s="231"/>
      <c r="D66" s="231"/>
      <c r="E66" s="267" t="s">
        <v>59</v>
      </c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54</v>
      </c>
      <c r="B68" s="231"/>
      <c r="C68" s="231"/>
      <c r="D68" s="267" t="s">
        <v>59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44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1" t="s">
        <v>115</v>
      </c>
      <c r="B70" s="231"/>
      <c r="C70" s="231"/>
      <c r="D70" s="267" t="s">
        <v>38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30" t="s">
        <v>116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5" t="s">
        <v>57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3.45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2.15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4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A3A1-8135-470A-A4F0-A9979D5444C1}">
  <dimension ref="A1:L98"/>
  <sheetViews>
    <sheetView view="pageBreakPreview" topLeftCell="A37" zoomScaleNormal="100" zoomScaleSheetLayoutView="100" workbookViewId="0">
      <selection activeCell="N41" sqref="N41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184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29.25" customHeight="1" x14ac:dyDescent="0.25">
      <c r="A16" s="216" t="str">
        <f>IF('Данные объект'!B5="","",'Данные объект'!B5)</f>
      </c>
      <c r="B16" s="216"/>
      <c r="C16" s="216"/>
      <c r="D16" s="216"/>
      <c r="E16" s="216"/>
      <c r="F16" s="216"/>
      <c r="G16" s="216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31" t="s">
        <v>27</v>
      </c>
      <c r="B19" s="231"/>
      <c r="C19" s="267" t="str">
        <f>'Провод СИП 3'!C19:G19</f>
      </c>
      <c r="D19" s="267"/>
      <c r="E19" s="267"/>
      <c r="F19" s="267"/>
      <c r="G19" s="103"/>
      <c r="H19" s="297" t="str">
        <f>IF('Данные объект'!B43="","",'Данные объект'!B43)</f>
      </c>
      <c r="I19" s="297"/>
      <c r="J19" s="297"/>
      <c r="K19" s="297"/>
      <c r="L19" s="297"/>
    </row>
    <row r="20" spans="1:12" x14ac:dyDescent="0.25">
      <c r="A20" s="100"/>
      <c r="B20" s="100"/>
      <c r="C20" s="290" t="s">
        <v>25</v>
      </c>
      <c r="D20" s="290"/>
      <c r="E20" s="290"/>
      <c r="F20" s="290"/>
      <c r="G20" s="100"/>
      <c r="H20" s="100"/>
      <c r="I20" s="100"/>
      <c r="J20" s="100"/>
      <c r="K20" s="100"/>
      <c r="L20" s="100"/>
    </row>
    <row r="21" spans="1:12" x14ac:dyDescent="0.25">
      <c r="A21" s="10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</row>
    <row r="22" spans="1:12" ht="20.45" customHeight="1" x14ac:dyDescent="0.25">
      <c r="A22" s="231" t="s">
        <v>46</v>
      </c>
      <c r="B22" s="231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30" t="s">
        <v>2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spans="1:12" x14ac:dyDescent="0.25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3.45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0.45" customHeight="1" x14ac:dyDescent="0.25">
      <c r="A28" s="103"/>
      <c r="B28" s="103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15.6" customHeight="1" x14ac:dyDescent="0.25">
      <c r="A30" s="103"/>
      <c r="B30" s="103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30" hidden="1" customHeight="1" x14ac:dyDescent="0.25">
      <c r="A32" s="103"/>
      <c r="B32" s="103"/>
      <c r="C32" s="359"/>
      <c r="D32" s="359"/>
      <c r="E32" s="359"/>
      <c r="F32" s="359"/>
      <c r="G32" s="359"/>
      <c r="H32" s="359"/>
      <c r="I32" s="359"/>
      <c r="J32" s="359"/>
      <c r="K32" s="359"/>
      <c r="L32" s="359"/>
    </row>
    <row r="33" spans="1:12" hidden="1" x14ac:dyDescent="0.25">
      <c r="A33" s="230" t="s">
        <v>2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ht="16.5" customHeight="1" x14ac:dyDescent="0.25">
      <c r="A34" s="278" t="s">
        <v>36</v>
      </c>
      <c r="B34" s="278"/>
      <c r="C34" s="279" t="str">
        <f>IF('Данные объект'!B51="","",'Данные объект'!B51)</f>
      </c>
      <c r="D34" s="279"/>
      <c r="E34" s="279"/>
      <c r="F34" s="279"/>
      <c r="G34" s="279"/>
      <c r="H34" s="279"/>
      <c r="I34" s="279"/>
      <c r="J34" s="279"/>
      <c r="K34" s="279"/>
      <c r="L34" s="279"/>
    </row>
    <row r="35" spans="1:12" x14ac:dyDescent="0.25">
      <c r="A35" s="230" t="s">
        <v>3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</row>
    <row r="36" spans="1:12" x14ac:dyDescent="0.25">
      <c r="A36" s="231" t="s">
        <v>4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x14ac:dyDescent="0.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25">
      <c r="A38" s="231" t="s">
        <v>5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</row>
    <row r="39" spans="1:12" ht="29.25" customHeight="1" x14ac:dyDescent="0.25">
      <c r="A39" s="234" t="s">
        <v>226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</row>
    <row r="40" spans="1:12" x14ac:dyDescent="0.25">
      <c r="A40" s="230" t="s">
        <v>6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spans="1:12" ht="34.5" customHeight="1" x14ac:dyDescent="0.25">
      <c r="A41" s="235" t="s">
        <v>29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6"/>
      <c r="L41" s="236"/>
    </row>
    <row r="42" spans="1:12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237" t="s">
        <v>41</v>
      </c>
      <c r="L42" s="237"/>
    </row>
    <row r="43" spans="1:12" ht="29.25" customHeight="1" x14ac:dyDescent="0.25">
      <c r="A43" s="238" t="s">
        <v>227</v>
      </c>
      <c r="B43" s="238"/>
      <c r="C43" s="238"/>
      <c r="D43" s="238"/>
      <c r="E43" s="238"/>
      <c r="F43" s="238"/>
      <c r="G43" s="238"/>
      <c r="H43" s="105" t="s">
        <v>50</v>
      </c>
      <c r="I43" s="232" t="s">
        <v>181</v>
      </c>
      <c r="J43" s="232"/>
      <c r="K43" s="232"/>
      <c r="L43" s="232"/>
    </row>
    <row r="44" spans="1:12" x14ac:dyDescent="0.25">
      <c r="A44" s="230" t="s">
        <v>42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spans="1:12" ht="15" customHeight="1" x14ac:dyDescent="0.25">
      <c r="A45" s="231" t="s">
        <v>28</v>
      </c>
      <c r="B45" s="231"/>
      <c r="C45" s="271"/>
      <c r="D45" s="271"/>
      <c r="E45" s="231" t="s">
        <v>53</v>
      </c>
      <c r="F45" s="231"/>
      <c r="G45" s="232" t="s">
        <v>38</v>
      </c>
      <c r="H45" s="232"/>
      <c r="I45" s="232"/>
      <c r="J45" s="232"/>
      <c r="K45" s="106"/>
      <c r="L45" s="106"/>
    </row>
    <row r="46" spans="1:12" x14ac:dyDescent="0.25">
      <c r="A46" s="268" t="s">
        <v>52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ht="15" customHeight="1" x14ac:dyDescent="0.25">
      <c r="A47" s="235" t="s">
        <v>30</v>
      </c>
      <c r="B47" s="235"/>
      <c r="C47" s="238"/>
      <c r="D47" s="238"/>
      <c r="E47" s="238"/>
      <c r="F47" s="105" t="s">
        <v>31</v>
      </c>
      <c r="G47" s="232"/>
      <c r="H47" s="232"/>
      <c r="I47" s="232"/>
      <c r="J47" s="232"/>
      <c r="K47" s="232"/>
      <c r="L47" s="232"/>
    </row>
    <row r="48" spans="1:12" ht="15" customHeight="1" x14ac:dyDescent="0.25">
      <c r="A48" s="268" t="s">
        <v>32</v>
      </c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</row>
    <row r="49" spans="1:12" x14ac:dyDescent="0.25">
      <c r="A49" s="231" t="s">
        <v>33</v>
      </c>
      <c r="B49" s="231"/>
      <c r="C49" s="231"/>
      <c r="D49" s="231"/>
      <c r="E49" s="231"/>
      <c r="F49" s="274" t="s">
        <v>63</v>
      </c>
      <c r="G49" s="274"/>
      <c r="H49" s="274"/>
      <c r="I49" s="274"/>
      <c r="J49" s="274"/>
      <c r="K49" s="274"/>
      <c r="L49" s="274"/>
    </row>
    <row r="50" spans="1:12" x14ac:dyDescent="0.25">
      <c r="A50" s="230" t="s">
        <v>34</v>
      </c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</row>
    <row r="51" spans="1:12" ht="15" customHeight="1" x14ac:dyDescent="0.25">
      <c r="A51" s="231" t="s">
        <v>7</v>
      </c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103"/>
    </row>
    <row r="52" spans="1:12" x14ac:dyDescent="0.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25">
      <c r="A53" s="280" t="s">
        <v>17</v>
      </c>
      <c r="B53" s="281"/>
      <c r="C53" s="281"/>
      <c r="D53" s="282"/>
      <c r="E53" s="280" t="s">
        <v>9</v>
      </c>
      <c r="F53" s="282"/>
      <c r="G53" s="280" t="s">
        <v>10</v>
      </c>
      <c r="H53" s="282"/>
      <c r="I53" s="280" t="s">
        <v>11</v>
      </c>
      <c r="J53" s="282"/>
      <c r="K53" s="287" t="s">
        <v>15</v>
      </c>
      <c r="L53" s="287" t="s">
        <v>12</v>
      </c>
    </row>
    <row r="54" spans="1:12" x14ac:dyDescent="0.25">
      <c r="A54" s="283"/>
      <c r="B54" s="238"/>
      <c r="C54" s="238"/>
      <c r="D54" s="284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0" t="s">
        <v>8</v>
      </c>
      <c r="B55" s="282"/>
      <c r="C55" s="280" t="s">
        <v>19</v>
      </c>
      <c r="D55" s="282"/>
      <c r="E55" s="285"/>
      <c r="F55" s="286"/>
      <c r="G55" s="285"/>
      <c r="H55" s="286"/>
      <c r="I55" s="285"/>
      <c r="J55" s="286"/>
      <c r="K55" s="288"/>
      <c r="L55" s="288"/>
    </row>
    <row r="56" spans="1:12" x14ac:dyDescent="0.25">
      <c r="A56" s="285"/>
      <c r="B56" s="286"/>
      <c r="C56" s="285"/>
      <c r="D56" s="286"/>
      <c r="E56" s="285"/>
      <c r="F56" s="286"/>
      <c r="G56" s="285"/>
      <c r="H56" s="286"/>
      <c r="I56" s="285"/>
      <c r="J56" s="286"/>
      <c r="K56" s="288"/>
      <c r="L56" s="288"/>
    </row>
    <row r="57" spans="1:12" x14ac:dyDescent="0.25">
      <c r="A57" s="283"/>
      <c r="B57" s="284"/>
      <c r="C57" s="283"/>
      <c r="D57" s="284"/>
      <c r="E57" s="283"/>
      <c r="F57" s="284"/>
      <c r="G57" s="283"/>
      <c r="H57" s="284"/>
      <c r="I57" s="283"/>
      <c r="J57" s="284"/>
      <c r="K57" s="289"/>
      <c r="L57" s="289"/>
    </row>
    <row r="58" spans="1:12" x14ac:dyDescent="0.25">
      <c r="A58" s="269">
        <v>1</v>
      </c>
      <c r="B58" s="269"/>
      <c r="C58" s="269">
        <v>2</v>
      </c>
      <c r="D58" s="269"/>
      <c r="E58" s="269">
        <v>3</v>
      </c>
      <c r="F58" s="269"/>
      <c r="G58" s="269">
        <v>4</v>
      </c>
      <c r="H58" s="269"/>
      <c r="I58" s="269">
        <v>5</v>
      </c>
      <c r="J58" s="269"/>
      <c r="K58" s="193">
        <v>6</v>
      </c>
      <c r="L58" s="193">
        <v>7</v>
      </c>
    </row>
    <row r="59" spans="1:12" ht="26.45" customHeight="1" x14ac:dyDescent="0.25">
      <c r="A59" s="291" t="str">
        <f>IF(C45="","",C45)</f>
      </c>
      <c r="B59" s="292"/>
      <c r="C59" s="291" t="s">
        <v>38</v>
      </c>
      <c r="D59" s="292"/>
      <c r="E59" s="291" t="s">
        <v>39</v>
      </c>
      <c r="F59" s="292"/>
      <c r="G59" s="291" t="s">
        <v>38</v>
      </c>
      <c r="H59" s="292"/>
      <c r="I59" s="291" t="s">
        <v>38</v>
      </c>
      <c r="J59" s="292"/>
      <c r="K59" s="193" t="s">
        <v>38</v>
      </c>
      <c r="L59" s="193" t="s">
        <v>18</v>
      </c>
    </row>
    <row r="60" spans="1:1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x14ac:dyDescent="0.25">
      <c r="A61" s="235" t="s">
        <v>13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</row>
    <row r="62" spans="1:12" x14ac:dyDescent="0.25">
      <c r="A62" s="231" t="s">
        <v>114</v>
      </c>
      <c r="B62" s="231"/>
      <c r="C62" s="231"/>
      <c r="D62" s="231"/>
      <c r="E62" s="267" t="s">
        <v>59</v>
      </c>
      <c r="F62" s="267"/>
      <c r="G62" s="267"/>
      <c r="H62" s="267"/>
      <c r="I62" s="267"/>
      <c r="J62" s="267"/>
      <c r="K62" s="267"/>
      <c r="L62" s="267"/>
    </row>
    <row r="63" spans="1:12" x14ac:dyDescent="0.25">
      <c r="A63" s="230" t="s">
        <v>20</v>
      </c>
      <c r="B63" s="230"/>
      <c r="C63" s="230"/>
      <c r="D63" s="230"/>
      <c r="E63" s="290"/>
      <c r="F63" s="290"/>
      <c r="G63" s="290"/>
      <c r="H63" s="290"/>
      <c r="I63" s="290"/>
      <c r="J63" s="290"/>
      <c r="K63" s="290"/>
      <c r="L63" s="290"/>
    </row>
    <row r="64" spans="1:12" x14ac:dyDescent="0.25">
      <c r="A64" s="231" t="s">
        <v>56</v>
      </c>
      <c r="B64" s="231"/>
      <c r="C64" s="231"/>
      <c r="D64" s="267" t="s">
        <v>59</v>
      </c>
      <c r="E64" s="267"/>
      <c r="F64" s="267"/>
      <c r="G64" s="267"/>
      <c r="H64" s="267"/>
      <c r="I64" s="267"/>
      <c r="J64" s="267"/>
      <c r="K64" s="267"/>
      <c r="L64" s="267"/>
    </row>
    <row r="65" spans="1:12" x14ac:dyDescent="0.25">
      <c r="A65" s="230" t="s">
        <v>43</v>
      </c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spans="1:12" x14ac:dyDescent="0.25">
      <c r="A66" s="231" t="s">
        <v>55</v>
      </c>
      <c r="B66" s="231"/>
      <c r="C66" s="231"/>
      <c r="D66" s="231"/>
      <c r="E66" s="267" t="s">
        <v>59</v>
      </c>
      <c r="F66" s="267"/>
      <c r="G66" s="267"/>
      <c r="H66" s="267"/>
      <c r="I66" s="267"/>
      <c r="J66" s="267"/>
      <c r="K66" s="267"/>
      <c r="L66" s="267"/>
    </row>
    <row r="67" spans="1:12" x14ac:dyDescent="0.25">
      <c r="A67" s="230" t="s">
        <v>44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spans="1:12" x14ac:dyDescent="0.25">
      <c r="A68" s="231" t="s">
        <v>54</v>
      </c>
      <c r="B68" s="231"/>
      <c r="C68" s="231"/>
      <c r="D68" s="267" t="s">
        <v>59</v>
      </c>
      <c r="E68" s="267"/>
      <c r="F68" s="267"/>
      <c r="G68" s="267"/>
      <c r="H68" s="267"/>
      <c r="I68" s="267"/>
      <c r="J68" s="267"/>
      <c r="K68" s="267"/>
      <c r="L68" s="267"/>
    </row>
    <row r="69" spans="1:12" x14ac:dyDescent="0.25">
      <c r="A69" s="230" t="s">
        <v>44</v>
      </c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 x14ac:dyDescent="0.25">
      <c r="A70" s="231" t="s">
        <v>115</v>
      </c>
      <c r="B70" s="231"/>
      <c r="C70" s="231"/>
      <c r="D70" s="267" t="s">
        <v>38</v>
      </c>
      <c r="E70" s="267"/>
      <c r="F70" s="267"/>
      <c r="G70" s="267"/>
      <c r="H70" s="267"/>
      <c r="I70" s="267"/>
      <c r="J70" s="267"/>
      <c r="K70" s="267"/>
      <c r="L70" s="267"/>
    </row>
    <row r="71" spans="1:12" x14ac:dyDescent="0.25">
      <c r="A71" s="230" t="s">
        <v>116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spans="1:12" x14ac:dyDescent="0.25">
      <c r="A72" s="235" t="s">
        <v>57</v>
      </c>
      <c r="B72" s="235"/>
      <c r="C72" s="235"/>
      <c r="D72" s="235"/>
      <c r="E72" s="235"/>
      <c r="F72" s="235"/>
      <c r="G72" s="235"/>
      <c r="H72" s="270" t="s">
        <v>35</v>
      </c>
      <c r="I72" s="270"/>
      <c r="J72" s="270"/>
      <c r="K72" s="270"/>
      <c r="L72" s="270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3.45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2.15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4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94:L94"/>
    <mergeCell ref="A95:L95"/>
    <mergeCell ref="A96:L96"/>
    <mergeCell ref="A97:L97"/>
    <mergeCell ref="A98:L98"/>
    <mergeCell ref="A89:L89"/>
    <mergeCell ref="A90:I90"/>
    <mergeCell ref="K90:L90"/>
    <mergeCell ref="A91:L91"/>
    <mergeCell ref="A92:L92"/>
    <mergeCell ref="A93:J93"/>
    <mergeCell ref="K93:L93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40:L40"/>
    <mergeCell ref="A41:J41"/>
    <mergeCell ref="K41:L41"/>
    <mergeCell ref="K42:L42"/>
    <mergeCell ref="A43:G43"/>
    <mergeCell ref="I43:L43"/>
    <mergeCell ref="A34:B34"/>
    <mergeCell ref="C34:L34"/>
    <mergeCell ref="A35:L35"/>
    <mergeCell ref="A36:L36"/>
    <mergeCell ref="A38:L38"/>
    <mergeCell ref="A39:L39"/>
    <mergeCell ref="C30:L30"/>
    <mergeCell ref="A31:L31"/>
    <mergeCell ref="C32:L32"/>
    <mergeCell ref="A33:L33"/>
    <mergeCell ref="A22:B22"/>
    <mergeCell ref="C22:L22"/>
    <mergeCell ref="A23:L23"/>
    <mergeCell ref="A25:C25"/>
    <mergeCell ref="C26:L26"/>
    <mergeCell ref="A27:L27"/>
    <mergeCell ref="C20:F20"/>
    <mergeCell ref="A11:L11"/>
    <mergeCell ref="A13:F13"/>
    <mergeCell ref="G13:L13"/>
    <mergeCell ref="A14:L14"/>
    <mergeCell ref="A16:G16"/>
    <mergeCell ref="K16:L16"/>
    <mergeCell ref="C28:L28"/>
    <mergeCell ref="A29:L29"/>
    <mergeCell ref="K3:L3"/>
    <mergeCell ref="F5:G5"/>
    <mergeCell ref="I6:K6"/>
    <mergeCell ref="I7:K7"/>
    <mergeCell ref="A8:L8"/>
    <mergeCell ref="A9:L9"/>
    <mergeCell ref="A17:G17"/>
    <mergeCell ref="K17:L17"/>
    <mergeCell ref="A19:B19"/>
    <mergeCell ref="C19:F19"/>
    <mergeCell ref="H19:L19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253D-97A9-403F-9B81-5D05E6CC9E5D}">
  <dimension ref="A1:L102"/>
  <sheetViews>
    <sheetView view="pageBreakPreview" topLeftCell="A13" zoomScaleNormal="100" zoomScaleSheetLayoutView="100" workbookViewId="0">
      <selection activeCell="O23" sqref="O23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I1" s="211" t="s">
        <v>40</v>
      </c>
      <c r="J1" s="212"/>
      <c r="K1" s="213"/>
    </row>
    <row r="2" spans="1:12" ht="14.25" customHeight="1" x14ac:dyDescent="0.25">
      <c r="I2" s="214" t="s">
        <v>37</v>
      </c>
      <c r="J2" s="214"/>
      <c r="K2" s="214"/>
      <c r="L2" s="6"/>
    </row>
    <row r="3" spans="1:12" x14ac:dyDescent="0.25">
      <c r="A3" s="228" t="s">
        <v>51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</row>
    <row r="4" spans="1:12" ht="27.6" customHeight="1" x14ac:dyDescent="0.25">
      <c r="A4" s="307" t="str">
        <f>IF('Данные объект'!B3="","",'Данные объект'!B3)</f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</row>
    <row r="5" spans="1:12" x14ac:dyDescent="0.25">
      <c r="A5" s="17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2" x14ac:dyDescent="0.25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</row>
    <row r="7" spans="1:12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15.75" x14ac:dyDescent="0.25">
      <c r="A8" s="309" t="s">
        <v>124</v>
      </c>
      <c r="B8" s="309"/>
      <c r="C8" s="309"/>
      <c r="D8" s="309"/>
      <c r="E8" s="309"/>
      <c r="F8" s="309"/>
      <c r="G8" s="310" t="str">
        <f>IF('Данные объект'!B2="","",'Данные объект'!B2)</f>
      </c>
      <c r="H8" s="310"/>
      <c r="I8" s="310"/>
      <c r="J8" s="310"/>
      <c r="K8" s="310"/>
      <c r="L8" s="310"/>
    </row>
    <row r="9" spans="1:12" ht="15.75" x14ac:dyDescent="0.25">
      <c r="A9" s="299" t="s">
        <v>0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</row>
    <row r="10" spans="1:1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25">
      <c r="A11" s="194" t="str">
        <f>IF('Данные объект'!B5="","",'Данные объект'!B5)</f>
      </c>
      <c r="B11" s="195"/>
      <c r="C11" s="18"/>
      <c r="D11" s="18"/>
      <c r="E11" s="18"/>
      <c r="F11" s="18"/>
      <c r="G11" s="18"/>
      <c r="H11" s="18"/>
      <c r="I11" s="18"/>
      <c r="J11" s="18"/>
      <c r="K11" s="300"/>
      <c r="L11" s="300"/>
    </row>
    <row r="12" spans="1:12" x14ac:dyDescent="0.25">
      <c r="A12" s="304" t="s">
        <v>1</v>
      </c>
      <c r="B12" s="304"/>
      <c r="C12" s="18"/>
      <c r="D12" s="18"/>
      <c r="E12" s="18"/>
      <c r="F12" s="18"/>
      <c r="G12" s="18"/>
      <c r="H12" s="18"/>
      <c r="I12" s="18"/>
      <c r="J12" s="18"/>
      <c r="K12" s="301" t="s">
        <v>26</v>
      </c>
      <c r="L12" s="301"/>
    </row>
    <row r="13" spans="1:1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8.75" customHeight="1" x14ac:dyDescent="0.25">
      <c r="A14" s="228" t="s">
        <v>27</v>
      </c>
      <c r="B14" s="228"/>
      <c r="C14" s="302" t="str">
        <f>IF('Данные объект'!B11="","",'Данные объект'!B11)</f>
      </c>
      <c r="D14" s="302"/>
      <c r="E14" s="302"/>
      <c r="F14" s="302"/>
      <c r="G14" s="18"/>
      <c r="H14" s="303"/>
      <c r="I14" s="303"/>
      <c r="J14" s="303"/>
      <c r="K14" s="303"/>
      <c r="L14" s="303"/>
    </row>
    <row r="15" spans="1:12" x14ac:dyDescent="0.25">
      <c r="A15" s="19"/>
      <c r="B15" s="19"/>
      <c r="C15" s="301" t="s">
        <v>25</v>
      </c>
      <c r="D15" s="301"/>
      <c r="E15" s="301"/>
      <c r="F15" s="301"/>
      <c r="G15" s="19"/>
      <c r="H15" s="19"/>
      <c r="I15" s="19"/>
      <c r="J15" s="19"/>
      <c r="K15" s="19"/>
      <c r="L15" s="19"/>
    </row>
    <row r="16" spans="1:12" x14ac:dyDescent="0.25">
      <c r="A16" s="20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</row>
    <row r="17" spans="1:12" ht="20.45" customHeight="1" x14ac:dyDescent="0.25">
      <c r="A17" s="228" t="s">
        <v>67</v>
      </c>
      <c r="B17" s="228"/>
      <c r="C17" s="272" t="str">
        <f>IF('Данные объект'!C45="","",'Данные объект'!C45)</f>
      </c>
      <c r="D17" s="272"/>
      <c r="E17" s="272"/>
      <c r="F17" s="272"/>
      <c r="G17" s="272"/>
      <c r="H17" s="272"/>
      <c r="I17" s="272"/>
      <c r="J17" s="272"/>
      <c r="K17" s="272"/>
      <c r="L17" s="272"/>
    </row>
    <row r="18" spans="1:12" x14ac:dyDescent="0.25">
      <c r="A18" s="304" t="s">
        <v>2</v>
      </c>
      <c r="B18" s="304"/>
      <c r="C18" s="304"/>
      <c r="D18" s="304"/>
      <c r="E18" s="304"/>
      <c r="F18" s="304"/>
      <c r="G18" s="304"/>
      <c r="H18" s="304"/>
      <c r="I18" s="304"/>
      <c r="J18" s="304"/>
      <c r="K18" s="304"/>
      <c r="L18" s="304"/>
    </row>
    <row r="19" spans="1:12" x14ac:dyDescent="0.25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</row>
    <row r="20" spans="1:12" x14ac:dyDescent="0.25">
      <c r="A20" s="228" t="s">
        <v>16</v>
      </c>
      <c r="B20" s="228"/>
      <c r="C20" s="22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9.899999999999999" customHeight="1" x14ac:dyDescent="0.25">
      <c r="A21" s="18"/>
      <c r="B21" s="18"/>
      <c r="C21" s="366" t="str">
        <f>IF('Данные объект'!C47="","",'Данные объект'!C47)</f>
      </c>
      <c r="D21" s="366"/>
      <c r="E21" s="366"/>
      <c r="F21" s="366"/>
      <c r="G21" s="366"/>
      <c r="H21" s="366"/>
      <c r="I21" s="366"/>
      <c r="J21" s="366"/>
      <c r="K21" s="366"/>
      <c r="L21" s="366"/>
    </row>
    <row r="22" spans="1:12" ht="15" customHeight="1" x14ac:dyDescent="0.25">
      <c r="A22" s="304" t="s">
        <v>2</v>
      </c>
      <c r="B22" s="304"/>
      <c r="C22" s="304"/>
      <c r="D22" s="304"/>
      <c r="E22" s="304"/>
      <c r="F22" s="304"/>
      <c r="G22" s="304"/>
      <c r="H22" s="304"/>
      <c r="I22" s="304"/>
      <c r="J22" s="304"/>
      <c r="K22" s="304"/>
      <c r="L22" s="304"/>
    </row>
    <row r="23" spans="1:12" ht="20.45" customHeight="1" x14ac:dyDescent="0.25">
      <c r="A23" s="18"/>
      <c r="B23" s="18"/>
      <c r="C23" s="329" t="str">
        <f>IF('Данные объект'!C49="","",'Данные объект'!C49)</f>
      </c>
      <c r="D23" s="329"/>
      <c r="E23" s="329"/>
      <c r="F23" s="329"/>
      <c r="G23" s="329"/>
      <c r="H23" s="329"/>
      <c r="I23" s="329"/>
      <c r="J23" s="329"/>
      <c r="K23" s="329"/>
      <c r="L23" s="329"/>
    </row>
    <row r="24" spans="1:12" ht="15" customHeight="1" x14ac:dyDescent="0.25">
      <c r="A24" s="304" t="s">
        <v>2</v>
      </c>
      <c r="B24" s="304"/>
      <c r="C24" s="304"/>
      <c r="D24" s="304"/>
      <c r="E24" s="304"/>
      <c r="F24" s="304"/>
      <c r="G24" s="304"/>
      <c r="H24" s="304"/>
      <c r="I24" s="304"/>
      <c r="J24" s="304"/>
      <c r="K24" s="304"/>
      <c r="L24" s="304"/>
    </row>
    <row r="25" spans="1:12" ht="31.5" hidden="1" customHeight="1" x14ac:dyDescent="0.25">
      <c r="A25" s="18"/>
      <c r="B25" s="18"/>
      <c r="C25" s="329"/>
      <c r="D25" s="329"/>
      <c r="E25" s="329"/>
      <c r="F25" s="329"/>
      <c r="G25" s="329"/>
      <c r="H25" s="329"/>
      <c r="I25" s="329"/>
      <c r="J25" s="329"/>
      <c r="K25" s="329"/>
      <c r="L25" s="329"/>
    </row>
    <row r="26" spans="1:12" ht="15" hidden="1" customHeight="1" x14ac:dyDescent="0.25">
      <c r="A26" s="304" t="s">
        <v>2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</row>
    <row r="27" spans="1:12" ht="19.899999999999999" customHeight="1" x14ac:dyDescent="0.25">
      <c r="A27" s="18"/>
      <c r="B27" s="18"/>
      <c r="C27" s="329" t="str">
        <f>IF('Данные объект'!B32="","",'Данные объект'!B32)</f>
      </c>
      <c r="D27" s="329"/>
      <c r="E27" s="329"/>
      <c r="F27" s="329"/>
      <c r="G27" s="329"/>
      <c r="H27" s="329"/>
      <c r="I27" s="329"/>
      <c r="J27" s="329"/>
      <c r="K27" s="329"/>
      <c r="L27" s="329"/>
    </row>
    <row r="28" spans="1:12" ht="13.9" customHeight="1" x14ac:dyDescent="0.25">
      <c r="A28" s="304" t="s">
        <v>2</v>
      </c>
      <c r="B28" s="304"/>
      <c r="C28" s="304"/>
      <c r="D28" s="304"/>
      <c r="E28" s="304"/>
      <c r="F28" s="304"/>
      <c r="G28" s="304"/>
      <c r="H28" s="304"/>
      <c r="I28" s="304"/>
      <c r="J28" s="304"/>
      <c r="K28" s="304"/>
      <c r="L28" s="304"/>
    </row>
    <row r="29" spans="1:12" ht="16.5" customHeight="1" x14ac:dyDescent="0.25">
      <c r="A29" s="228" t="s">
        <v>36</v>
      </c>
      <c r="B29" s="228"/>
      <c r="C29" s="229" t="str">
        <f>IF('Данные объект'!B51="","",'Данные объект'!B51)</f>
      </c>
      <c r="D29" s="229"/>
      <c r="E29" s="229"/>
      <c r="F29" s="229"/>
      <c r="G29" s="229"/>
      <c r="H29" s="229"/>
      <c r="I29" s="229"/>
      <c r="J29" s="229"/>
      <c r="K29" s="229"/>
      <c r="L29" s="229"/>
    </row>
    <row r="30" spans="1:12" x14ac:dyDescent="0.25">
      <c r="A30" s="304" t="s">
        <v>3</v>
      </c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</row>
    <row r="31" spans="1:12" x14ac:dyDescent="0.25">
      <c r="A31" s="228" t="s">
        <v>4</v>
      </c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</row>
    <row r="32" spans="1:1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228" t="s">
        <v>5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</row>
    <row r="34" spans="1:12" ht="29.25" customHeight="1" x14ac:dyDescent="0.25">
      <c r="A34" s="329" t="s">
        <v>223</v>
      </c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</row>
    <row r="35" spans="1:12" x14ac:dyDescent="0.25">
      <c r="A35" s="304" t="s">
        <v>6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</row>
    <row r="36" spans="1:12" ht="34.5" customHeight="1" x14ac:dyDescent="0.25">
      <c r="A36" s="361" t="s">
        <v>29</v>
      </c>
      <c r="B36" s="361"/>
      <c r="C36" s="361"/>
      <c r="D36" s="361"/>
      <c r="E36" s="361"/>
      <c r="F36" s="361"/>
      <c r="G36" s="361"/>
      <c r="H36" s="361"/>
      <c r="I36" s="361"/>
      <c r="J36" s="361"/>
      <c r="K36" s="272"/>
      <c r="L36" s="272"/>
    </row>
    <row r="37" spans="1:12" x14ac:dyDescent="0.25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365" t="s">
        <v>41</v>
      </c>
      <c r="L37" s="365"/>
    </row>
    <row r="38" spans="1:12" ht="29.25" customHeight="1" x14ac:dyDescent="0.25">
      <c r="A38" s="272"/>
      <c r="B38" s="272"/>
      <c r="C38" s="272"/>
      <c r="D38" s="272"/>
      <c r="E38" s="272"/>
      <c r="F38" s="272"/>
      <c r="G38" s="272"/>
      <c r="H38" s="23" t="s">
        <v>50</v>
      </c>
      <c r="I38" s="362" t="s">
        <v>225</v>
      </c>
      <c r="J38" s="362"/>
      <c r="K38" s="362"/>
      <c r="L38" s="362"/>
    </row>
    <row r="39" spans="1:12" x14ac:dyDescent="0.25">
      <c r="A39" s="304" t="s">
        <v>42</v>
      </c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</row>
    <row r="40" spans="1:12" ht="15" customHeight="1" x14ac:dyDescent="0.25">
      <c r="A40" s="228" t="s">
        <v>28</v>
      </c>
      <c r="B40" s="228"/>
      <c r="C40" s="364"/>
      <c r="D40" s="364"/>
      <c r="E40" s="228" t="s">
        <v>53</v>
      </c>
      <c r="F40" s="228"/>
      <c r="G40" s="349"/>
      <c r="H40" s="349"/>
      <c r="I40" s="349"/>
      <c r="J40" s="349"/>
      <c r="K40" s="195"/>
      <c r="L40" s="195"/>
    </row>
    <row r="41" spans="1:12" x14ac:dyDescent="0.25">
      <c r="A41" s="363" t="s">
        <v>52</v>
      </c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</row>
    <row r="42" spans="1:12" ht="15" customHeight="1" x14ac:dyDescent="0.25">
      <c r="A42" s="361" t="s">
        <v>68</v>
      </c>
      <c r="B42" s="361"/>
      <c r="C42" s="272"/>
      <c r="D42" s="272"/>
      <c r="E42" s="272"/>
      <c r="F42" s="23" t="s">
        <v>31</v>
      </c>
      <c r="G42" s="362" t="s">
        <v>79</v>
      </c>
      <c r="H42" s="362"/>
      <c r="I42" s="362"/>
      <c r="J42" s="362"/>
      <c r="K42" s="362"/>
      <c r="L42" s="362"/>
    </row>
    <row r="43" spans="1:12" ht="15" customHeight="1" x14ac:dyDescent="0.25">
      <c r="A43" s="363" t="s">
        <v>32</v>
      </c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</row>
    <row r="44" spans="1:12" x14ac:dyDescent="0.25">
      <c r="A44" s="228" t="s">
        <v>33</v>
      </c>
      <c r="B44" s="228"/>
      <c r="C44" s="228"/>
      <c r="D44" s="228"/>
      <c r="E44" s="228"/>
      <c r="F44" s="229" t="s">
        <v>63</v>
      </c>
      <c r="G44" s="229"/>
      <c r="H44" s="229"/>
      <c r="I44" s="229"/>
      <c r="J44" s="229"/>
      <c r="K44" s="229"/>
      <c r="L44" s="229"/>
    </row>
    <row r="45" spans="1:12" x14ac:dyDescent="0.25">
      <c r="A45" s="304" t="s">
        <v>34</v>
      </c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</row>
    <row r="46" spans="1:12" ht="15" customHeight="1" x14ac:dyDescent="0.25">
      <c r="A46" s="228" t="s">
        <v>7</v>
      </c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18"/>
    </row>
    <row r="47" spans="1:12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3.9" customHeight="1" x14ac:dyDescent="0.25">
      <c r="A48" s="315" t="s">
        <v>17</v>
      </c>
      <c r="B48" s="316"/>
      <c r="C48" s="316"/>
      <c r="D48" s="317"/>
      <c r="E48" s="315" t="s">
        <v>9</v>
      </c>
      <c r="F48" s="317"/>
      <c r="G48" s="315" t="s">
        <v>10</v>
      </c>
      <c r="H48" s="317"/>
      <c r="I48" s="315" t="s">
        <v>11</v>
      </c>
      <c r="J48" s="317"/>
      <c r="K48" s="322" t="s">
        <v>15</v>
      </c>
      <c r="L48" s="322" t="s">
        <v>12</v>
      </c>
    </row>
    <row r="49" spans="1:12" x14ac:dyDescent="0.25">
      <c r="A49" s="318"/>
      <c r="B49" s="272"/>
      <c r="C49" s="272"/>
      <c r="D49" s="319"/>
      <c r="E49" s="320"/>
      <c r="F49" s="321"/>
      <c r="G49" s="320"/>
      <c r="H49" s="321"/>
      <c r="I49" s="320"/>
      <c r="J49" s="321"/>
      <c r="K49" s="323"/>
      <c r="L49" s="323"/>
    </row>
    <row r="50" spans="1:12" ht="13.9" customHeight="1" x14ac:dyDescent="0.25">
      <c r="A50" s="315" t="s">
        <v>8</v>
      </c>
      <c r="B50" s="317"/>
      <c r="C50" s="315" t="s">
        <v>19</v>
      </c>
      <c r="D50" s="317"/>
      <c r="E50" s="320"/>
      <c r="F50" s="321"/>
      <c r="G50" s="320"/>
      <c r="H50" s="321"/>
      <c r="I50" s="320"/>
      <c r="J50" s="321"/>
      <c r="K50" s="323"/>
      <c r="L50" s="323"/>
    </row>
    <row r="51" spans="1:12" x14ac:dyDescent="0.25">
      <c r="A51" s="320"/>
      <c r="B51" s="321"/>
      <c r="C51" s="320"/>
      <c r="D51" s="321"/>
      <c r="E51" s="320"/>
      <c r="F51" s="321"/>
      <c r="G51" s="320"/>
      <c r="H51" s="321"/>
      <c r="I51" s="320"/>
      <c r="J51" s="321"/>
      <c r="K51" s="323"/>
      <c r="L51" s="323"/>
    </row>
    <row r="52" spans="1:12" x14ac:dyDescent="0.25">
      <c r="A52" s="318"/>
      <c r="B52" s="319"/>
      <c r="C52" s="318"/>
      <c r="D52" s="319"/>
      <c r="E52" s="318"/>
      <c r="F52" s="319"/>
      <c r="G52" s="318"/>
      <c r="H52" s="319"/>
      <c r="I52" s="318"/>
      <c r="J52" s="319"/>
      <c r="K52" s="324"/>
      <c r="L52" s="324"/>
    </row>
    <row r="53" spans="1:12" x14ac:dyDescent="0.25">
      <c r="A53" s="298">
        <v>1</v>
      </c>
      <c r="B53" s="298"/>
      <c r="C53" s="298">
        <v>2</v>
      </c>
      <c r="D53" s="298"/>
      <c r="E53" s="298">
        <v>3</v>
      </c>
      <c r="F53" s="298"/>
      <c r="G53" s="298">
        <v>4</v>
      </c>
      <c r="H53" s="298"/>
      <c r="I53" s="298">
        <v>5</v>
      </c>
      <c r="J53" s="298"/>
      <c r="K53" s="187">
        <v>6</v>
      </c>
      <c r="L53" s="187">
        <v>7</v>
      </c>
    </row>
    <row r="54" spans="1:12" ht="13.9" customHeight="1" x14ac:dyDescent="0.25">
      <c r="A54" s="360" t="str">
        <f>IF(C40="","",C40)</f>
      </c>
      <c r="B54" s="360"/>
      <c r="C54" s="298" t="s">
        <v>38</v>
      </c>
      <c r="D54" s="298"/>
      <c r="E54" s="298" t="s">
        <v>39</v>
      </c>
      <c r="F54" s="298"/>
      <c r="G54" s="298" t="s">
        <v>38</v>
      </c>
      <c r="H54" s="298"/>
      <c r="I54" s="298" t="s">
        <v>38</v>
      </c>
      <c r="J54" s="298"/>
      <c r="K54" s="187" t="s">
        <v>38</v>
      </c>
      <c r="L54" s="25" t="s">
        <v>18</v>
      </c>
    </row>
    <row r="55" spans="1:12" x14ac:dyDescent="0.25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</row>
    <row r="56" spans="1:12" x14ac:dyDescent="0.25">
      <c r="A56" s="240" t="s">
        <v>13</v>
      </c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</row>
    <row r="57" spans="1:12" x14ac:dyDescent="0.25">
      <c r="A57" s="215" t="s">
        <v>114</v>
      </c>
      <c r="B57" s="215"/>
      <c r="C57" s="215"/>
      <c r="D57" s="215"/>
      <c r="E57" s="255" t="s">
        <v>59</v>
      </c>
      <c r="F57" s="255"/>
      <c r="G57" s="255"/>
      <c r="H57" s="255"/>
      <c r="I57" s="255"/>
      <c r="J57" s="255"/>
      <c r="K57" s="255"/>
      <c r="L57" s="255"/>
    </row>
    <row r="58" spans="1:12" x14ac:dyDescent="0.25">
      <c r="A58" s="222" t="s">
        <v>20</v>
      </c>
      <c r="B58" s="222"/>
      <c r="C58" s="222"/>
      <c r="D58" s="222"/>
      <c r="E58" s="220"/>
      <c r="F58" s="220"/>
      <c r="G58" s="220"/>
      <c r="H58" s="220"/>
      <c r="I58" s="220"/>
      <c r="J58" s="220"/>
      <c r="K58" s="220"/>
      <c r="L58" s="220"/>
    </row>
    <row r="59" spans="1:12" x14ac:dyDescent="0.25">
      <c r="A59" s="215" t="s">
        <v>56</v>
      </c>
      <c r="B59" s="215"/>
      <c r="C59" s="215"/>
      <c r="D59" s="255" t="s">
        <v>59</v>
      </c>
      <c r="E59" s="255"/>
      <c r="F59" s="255"/>
      <c r="G59" s="255"/>
      <c r="H59" s="255"/>
      <c r="I59" s="255"/>
      <c r="J59" s="255"/>
      <c r="K59" s="255"/>
      <c r="L59" s="255"/>
    </row>
    <row r="60" spans="1:12" x14ac:dyDescent="0.25">
      <c r="A60" s="222" t="s">
        <v>43</v>
      </c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</row>
    <row r="61" spans="1:12" x14ac:dyDescent="0.25">
      <c r="A61" s="215" t="s">
        <v>55</v>
      </c>
      <c r="B61" s="215"/>
      <c r="C61" s="215"/>
      <c r="D61" s="215"/>
      <c r="E61" s="255" t="s">
        <v>59</v>
      </c>
      <c r="F61" s="255"/>
      <c r="G61" s="255"/>
      <c r="H61" s="255"/>
      <c r="I61" s="255"/>
      <c r="J61" s="255"/>
      <c r="K61" s="255"/>
      <c r="L61" s="255"/>
    </row>
    <row r="62" spans="1:12" x14ac:dyDescent="0.25">
      <c r="A62" s="222" t="s">
        <v>44</v>
      </c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</row>
    <row r="63" spans="1:12" x14ac:dyDescent="0.25">
      <c r="A63" s="215" t="s">
        <v>54</v>
      </c>
      <c r="B63" s="215"/>
      <c r="C63" s="215"/>
      <c r="D63" s="225" t="s">
        <v>59</v>
      </c>
      <c r="E63" s="225"/>
      <c r="F63" s="225"/>
      <c r="G63" s="225"/>
      <c r="H63" s="225"/>
      <c r="I63" s="225"/>
      <c r="J63" s="225"/>
      <c r="K63" s="225"/>
      <c r="L63" s="225"/>
    </row>
    <row r="64" spans="1:12" x14ac:dyDescent="0.25">
      <c r="A64" s="222" t="s">
        <v>44</v>
      </c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</row>
    <row r="65" spans="1:12" x14ac:dyDescent="0.25">
      <c r="A65" s="215" t="s">
        <v>115</v>
      </c>
      <c r="B65" s="215"/>
      <c r="C65" s="215"/>
      <c r="D65" s="225" t="s">
        <v>38</v>
      </c>
      <c r="E65" s="225"/>
      <c r="F65" s="225"/>
      <c r="G65" s="225"/>
      <c r="H65" s="225"/>
      <c r="I65" s="225"/>
      <c r="J65" s="225"/>
      <c r="K65" s="225"/>
      <c r="L65" s="225"/>
    </row>
    <row r="66" spans="1:12" x14ac:dyDescent="0.25">
      <c r="A66" s="222" t="s">
        <v>116</v>
      </c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</row>
    <row r="67" spans="1:12" x14ac:dyDescent="0.25">
      <c r="A67" s="240" t="s">
        <v>57</v>
      </c>
      <c r="B67" s="240"/>
      <c r="C67" s="240"/>
      <c r="D67" s="240"/>
      <c r="E67" s="240"/>
      <c r="F67" s="240"/>
      <c r="G67" s="240"/>
      <c r="H67" s="256" t="s">
        <v>35</v>
      </c>
      <c r="I67" s="256"/>
      <c r="J67" s="256"/>
      <c r="K67" s="256"/>
      <c r="L67" s="256"/>
    </row>
    <row r="68" spans="1:12" x14ac:dyDescent="0.25">
      <c r="A68" s="233" t="s">
        <v>45</v>
      </c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</row>
    <row r="69" spans="1:12" x14ac:dyDescent="0.25">
      <c r="A69" s="261" t="s">
        <v>117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</row>
    <row r="70" spans="1:12" x14ac:dyDescent="0.25">
      <c r="A70" s="233" t="s">
        <v>47</v>
      </c>
      <c r="B70" s="233"/>
      <c r="C70" s="233"/>
      <c r="D70" s="233"/>
      <c r="E70" s="233"/>
      <c r="F70" s="233"/>
      <c r="G70" s="233"/>
      <c r="H70" s="233"/>
      <c r="I70" s="233"/>
      <c r="J70" s="233"/>
      <c r="K70" s="233"/>
    </row>
    <row r="72" spans="1:12" x14ac:dyDescent="0.25">
      <c r="A72" s="215" t="s">
        <v>14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</row>
    <row r="73" spans="1:12" x14ac:dyDescent="0.25">
      <c r="A73" s="259" t="s">
        <v>60</v>
      </c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</row>
    <row r="74" spans="1:12" ht="12.75" customHeight="1" x14ac:dyDescent="0.25">
      <c r="A74" s="260" t="s">
        <v>62</v>
      </c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</row>
    <row r="75" spans="1:12" ht="12.75" hidden="1" customHeight="1" x14ac:dyDescent="0.2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</row>
    <row r="76" spans="1:12" x14ac:dyDescent="0.25">
      <c r="A76" s="220" t="s">
        <v>61</v>
      </c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</row>
    <row r="77" spans="1:12" ht="14.45" customHeight="1" x14ac:dyDescent="0.25">
      <c r="A77" s="226" t="s">
        <v>118</v>
      </c>
      <c r="B77" s="226"/>
      <c r="C77" s="226"/>
      <c r="D77" s="255" t="s">
        <v>38</v>
      </c>
      <c r="E77" s="255"/>
      <c r="F77" s="255"/>
      <c r="G77" s="255"/>
      <c r="H77" s="255"/>
      <c r="I77" s="255"/>
      <c r="J77" s="255"/>
      <c r="K77" s="255"/>
      <c r="L77" s="255"/>
    </row>
    <row r="78" spans="1:12" ht="12.75" customHeight="1" x14ac:dyDescent="0.25">
      <c r="A78" s="222" t="s">
        <v>21</v>
      </c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</row>
    <row r="79" spans="1:12" x14ac:dyDescent="0.25">
      <c r="A79" s="265" t="s">
        <v>23</v>
      </c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</row>
    <row r="80" spans="1:12" ht="20.45" customHeight="1" x14ac:dyDescent="0.25">
      <c r="A80" s="257" t="str">
        <f>IF(C17="","",C17)</f>
      </c>
      <c r="B80" s="257"/>
      <c r="C80" s="257"/>
      <c r="D80" s="257"/>
      <c r="E80" s="257"/>
      <c r="F80" s="257"/>
      <c r="G80" s="257"/>
      <c r="H80" s="257"/>
      <c r="I80" s="257"/>
      <c r="J80" s="7"/>
      <c r="K80" s="258"/>
      <c r="L80" s="258"/>
    </row>
    <row r="81" spans="1:12" ht="12" customHeight="1" x14ac:dyDescent="0.25">
      <c r="A81" s="222" t="s">
        <v>48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3.9" customHeight="1" x14ac:dyDescent="0.25">
      <c r="A82" s="265" t="s">
        <v>22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7.45" customHeight="1" x14ac:dyDescent="0.25">
      <c r="A83" s="257" t="str">
        <f>IF(C21="","",C21)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21.6" customHeight="1" x14ac:dyDescent="0.25">
      <c r="A85" s="257" t="str">
        <f>IF(C23="","",C23)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2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ht="27.75" hidden="1" customHeight="1" x14ac:dyDescent="0.25">
      <c r="A87" s="257"/>
      <c r="B87" s="257"/>
      <c r="C87" s="257"/>
      <c r="D87" s="257"/>
      <c r="E87" s="257"/>
      <c r="F87" s="257"/>
      <c r="G87" s="257"/>
      <c r="H87" s="257"/>
      <c r="I87" s="257"/>
      <c r="J87" s="7"/>
      <c r="K87" s="258"/>
      <c r="L87" s="258"/>
    </row>
    <row r="88" spans="1:12" ht="11.25" hidden="1" customHeight="1" x14ac:dyDescent="0.25">
      <c r="A88" s="222" t="s">
        <v>48</v>
      </c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</row>
    <row r="89" spans="1:12" ht="30" hidden="1" customHeight="1" x14ac:dyDescent="0.25">
      <c r="A89" s="257"/>
      <c r="B89" s="257"/>
      <c r="C89" s="257"/>
      <c r="D89" s="257"/>
      <c r="E89" s="257"/>
      <c r="F89" s="257"/>
      <c r="G89" s="257"/>
      <c r="H89" s="257"/>
      <c r="I89" s="257"/>
      <c r="J89" s="7"/>
      <c r="K89" s="258"/>
      <c r="L89" s="258"/>
    </row>
    <row r="90" spans="1:12" hidden="1" x14ac:dyDescent="0.25">
      <c r="A90" s="222" t="s">
        <v>224</v>
      </c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</row>
    <row r="91" spans="1:12" ht="16.149999999999999" customHeight="1" x14ac:dyDescent="0.25">
      <c r="A91" s="265" t="s">
        <v>49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</row>
    <row r="92" spans="1:12" ht="13.9" customHeight="1" x14ac:dyDescent="0.25">
      <c r="A92" s="257" t="str">
        <f>IF(C27="","",C27)</f>
      </c>
      <c r="B92" s="257"/>
      <c r="C92" s="257"/>
      <c r="D92" s="257"/>
      <c r="E92" s="257"/>
      <c r="F92" s="257"/>
      <c r="G92" s="257"/>
      <c r="H92" s="257"/>
      <c r="I92" s="257"/>
      <c r="J92" s="257"/>
      <c r="K92" s="266"/>
      <c r="L92" s="266"/>
    </row>
    <row r="93" spans="1:12" x14ac:dyDescent="0.25">
      <c r="A93" s="222" t="s">
        <v>2</v>
      </c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</row>
    <row r="94" spans="1:12" hidden="1" x14ac:dyDescent="0.25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66"/>
      <c r="L94" s="266"/>
    </row>
    <row r="95" spans="1:12" hidden="1" x14ac:dyDescent="0.25">
      <c r="A95" s="222" t="s">
        <v>2</v>
      </c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</row>
    <row r="96" spans="1:12" ht="15" customHeight="1" x14ac:dyDescent="0.25">
      <c r="A96" s="265" t="s">
        <v>24</v>
      </c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</row>
    <row r="97" spans="1:12" ht="13.9" customHeight="1" x14ac:dyDescent="0.25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0.5" hidden="1" customHeight="1" x14ac:dyDescent="0.25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</row>
    <row r="100" spans="1:12" ht="13.5" hidden="1" customHeight="1" x14ac:dyDescent="0.25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</row>
    <row r="101" spans="1:12" x14ac:dyDescent="0.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</row>
    <row r="102" spans="1:12" ht="13.9" customHeight="1" x14ac:dyDescent="0.25"/>
  </sheetData>
  <mergeCells count="130">
    <mergeCell ref="A9:L9"/>
    <mergeCell ref="K11:L11"/>
    <mergeCell ref="A12:B12"/>
    <mergeCell ref="K12:L12"/>
    <mergeCell ref="A14:B14"/>
    <mergeCell ref="C14:F14"/>
    <mergeCell ref="H14:L14"/>
    <mergeCell ref="I1:K1"/>
    <mergeCell ref="I2:K2"/>
    <mergeCell ref="A3:L3"/>
    <mergeCell ref="A4:L4"/>
    <mergeCell ref="A6:L6"/>
    <mergeCell ref="A8:F8"/>
    <mergeCell ref="G8:L8"/>
    <mergeCell ref="A22:L22"/>
    <mergeCell ref="C23:L23"/>
    <mergeCell ref="A24:L24"/>
    <mergeCell ref="C25:L25"/>
    <mergeCell ref="A26:L26"/>
    <mergeCell ref="C27:L27"/>
    <mergeCell ref="C15:F15"/>
    <mergeCell ref="A17:B17"/>
    <mergeCell ref="C17:L17"/>
    <mergeCell ref="A18:L18"/>
    <mergeCell ref="A20:C20"/>
    <mergeCell ref="C21:L21"/>
    <mergeCell ref="A34:L34"/>
    <mergeCell ref="A35:L35"/>
    <mergeCell ref="A36:J36"/>
    <mergeCell ref="K36:L36"/>
    <mergeCell ref="K37:L37"/>
    <mergeCell ref="A38:G38"/>
    <mergeCell ref="I38:L38"/>
    <mergeCell ref="A28:L28"/>
    <mergeCell ref="A29:B29"/>
    <mergeCell ref="C29:L29"/>
    <mergeCell ref="A30:L30"/>
    <mergeCell ref="A31:L31"/>
    <mergeCell ref="A33:L33"/>
    <mergeCell ref="A42:B42"/>
    <mergeCell ref="C42:E42"/>
    <mergeCell ref="G42:L42"/>
    <mergeCell ref="A43:L43"/>
    <mergeCell ref="A44:E44"/>
    <mergeCell ref="F44:L44"/>
    <mergeCell ref="A39:L39"/>
    <mergeCell ref="A40:B40"/>
    <mergeCell ref="C40:D40"/>
    <mergeCell ref="E40:F40"/>
    <mergeCell ref="G40:J40"/>
    <mergeCell ref="A41:L41"/>
    <mergeCell ref="A45:L45"/>
    <mergeCell ref="A46:K46"/>
    <mergeCell ref="A48:D49"/>
    <mergeCell ref="E48:F52"/>
    <mergeCell ref="G48:H52"/>
    <mergeCell ref="I48:J52"/>
    <mergeCell ref="K48:K52"/>
    <mergeCell ref="L48:L52"/>
    <mergeCell ref="A50:B52"/>
    <mergeCell ref="C50:D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60:L60"/>
    <mergeCell ref="A61:D61"/>
    <mergeCell ref="E61:L61"/>
    <mergeCell ref="A62:L62"/>
    <mergeCell ref="A63:C63"/>
    <mergeCell ref="D63:L63"/>
    <mergeCell ref="A56:L56"/>
    <mergeCell ref="A57:D57"/>
    <mergeCell ref="E57:L57"/>
    <mergeCell ref="A58:L58"/>
    <mergeCell ref="A59:C59"/>
    <mergeCell ref="D59:L59"/>
    <mergeCell ref="A68:L68"/>
    <mergeCell ref="A69:L69"/>
    <mergeCell ref="A70:K70"/>
    <mergeCell ref="A72:L72"/>
    <mergeCell ref="A73:L73"/>
    <mergeCell ref="A74:L74"/>
    <mergeCell ref="A64:L64"/>
    <mergeCell ref="A65:C65"/>
    <mergeCell ref="D65:L65"/>
    <mergeCell ref="A66:L66"/>
    <mergeCell ref="A67:G67"/>
    <mergeCell ref="H67:L67"/>
    <mergeCell ref="A80:I80"/>
    <mergeCell ref="K80:L80"/>
    <mergeCell ref="A81:L81"/>
    <mergeCell ref="A82:L82"/>
    <mergeCell ref="A83:I83"/>
    <mergeCell ref="K83:L83"/>
    <mergeCell ref="A75:L75"/>
    <mergeCell ref="A76:L76"/>
    <mergeCell ref="A77:C77"/>
    <mergeCell ref="D77:L77"/>
    <mergeCell ref="A78:L78"/>
    <mergeCell ref="A79:L79"/>
    <mergeCell ref="A88:L88"/>
    <mergeCell ref="A89:I89"/>
    <mergeCell ref="K89:L89"/>
    <mergeCell ref="A90:L90"/>
    <mergeCell ref="A91:L91"/>
    <mergeCell ref="A92:J92"/>
    <mergeCell ref="K92:L92"/>
    <mergeCell ref="A84:L84"/>
    <mergeCell ref="A85:I85"/>
    <mergeCell ref="K85:L85"/>
    <mergeCell ref="A86:L86"/>
    <mergeCell ref="A87:I87"/>
    <mergeCell ref="K87:L87"/>
    <mergeCell ref="A98:L98"/>
    <mergeCell ref="A99:L99"/>
    <mergeCell ref="A100:L100"/>
    <mergeCell ref="A101:L101"/>
    <mergeCell ref="A93:L93"/>
    <mergeCell ref="A94:J94"/>
    <mergeCell ref="K94:L94"/>
    <mergeCell ref="A95:L95"/>
    <mergeCell ref="A96:L96"/>
    <mergeCell ref="A97:L97"/>
  </mergeCells>
  <pageMargins left="0.78740157480314965" right="0.39370078740157483" top="0.39370078740157483" bottom="0.39370078740157483" header="0" footer="0"/>
  <pageSetup paperSize="9" scale="80" fitToHeight="2" orientation="portrait" r:id="rId1"/>
  <rowBreaks count="1" manualBreakCount="1">
    <brk id="55" max="11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5421-7D90-4630-9387-B836437AEECA}">
  <sheetPr codeName="Лист8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IF('Данные объект'!B3="","",'Данные объект'!B3)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198</v>
      </c>
      <c r="B13" s="309"/>
      <c r="C13" s="309"/>
      <c r="D13" s="309"/>
      <c r="E13" s="309"/>
      <c r="F13" s="309"/>
      <c r="G13" s="310" t="str">
        <f>IF('Данные объект'!B2="","",'Данные объект'!B2)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IF('Данные объект'!B6="","",'Данные объект'!B6)</f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3.4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0.45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7.45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69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 t="s">
        <v>99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63" t="s">
        <v>52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</row>
    <row r="45" spans="1:12" ht="15" customHeight="1" x14ac:dyDescent="0.25">
      <c r="A45" s="361" t="s">
        <v>68</v>
      </c>
      <c r="B45" s="361"/>
      <c r="C45" s="272"/>
      <c r="D45" s="272"/>
      <c r="E45" s="272"/>
      <c r="F45" s="23" t="s">
        <v>31</v>
      </c>
      <c r="G45" s="362" t="s">
        <v>79</v>
      </c>
      <c r="H45" s="362"/>
      <c r="I45" s="362"/>
      <c r="J45" s="362"/>
      <c r="K45" s="362"/>
      <c r="L45" s="362"/>
    </row>
    <row r="46" spans="1:12" ht="15" customHeight="1" x14ac:dyDescent="0.25">
      <c r="A46" s="363" t="s">
        <v>32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x14ac:dyDescent="0.25">
      <c r="A47" s="228" t="s">
        <v>33</v>
      </c>
      <c r="B47" s="228"/>
      <c r="C47" s="228"/>
      <c r="D47" s="228"/>
      <c r="E47" s="228"/>
      <c r="F47" s="229" t="s">
        <v>63</v>
      </c>
      <c r="G47" s="229"/>
      <c r="H47" s="229"/>
      <c r="I47" s="229"/>
      <c r="J47" s="229"/>
      <c r="K47" s="229"/>
      <c r="L47" s="22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67" t="str">
        <f>IF(C43="","",C43)</f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149999999999999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4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2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149999999999999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19.149999999999999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6.899999999999999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7.4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45:B45"/>
    <mergeCell ref="C45:E45"/>
    <mergeCell ref="A69:L69"/>
    <mergeCell ref="A70:G70"/>
    <mergeCell ref="H70:L70"/>
    <mergeCell ref="A72:L72"/>
    <mergeCell ref="A73:K73"/>
    <mergeCell ref="A80:C80"/>
    <mergeCell ref="D80:L80"/>
    <mergeCell ref="G45:L45"/>
    <mergeCell ref="A46:L46"/>
    <mergeCell ref="A47:E47"/>
    <mergeCell ref="F47:L47"/>
    <mergeCell ref="A60:D60"/>
    <mergeCell ref="E60:L60"/>
    <mergeCell ref="A62:C62"/>
    <mergeCell ref="D62:L62"/>
    <mergeCell ref="A63:L63"/>
    <mergeCell ref="A48:L48"/>
    <mergeCell ref="A49:K49"/>
    <mergeCell ref="A61:L61"/>
    <mergeCell ref="E64:L64"/>
    <mergeCell ref="A65:L65"/>
    <mergeCell ref="A66:C66"/>
    <mergeCell ref="A88:I88"/>
    <mergeCell ref="K88:L88"/>
    <mergeCell ref="A89:L89"/>
    <mergeCell ref="A91:J91"/>
    <mergeCell ref="A75:L75"/>
    <mergeCell ref="A81:L81"/>
    <mergeCell ref="A83:I83"/>
    <mergeCell ref="K83:L83"/>
    <mergeCell ref="A82:L82"/>
    <mergeCell ref="A87:L87"/>
    <mergeCell ref="A77:L77"/>
    <mergeCell ref="A85:L85"/>
    <mergeCell ref="A86:I86"/>
    <mergeCell ref="K86:L86"/>
    <mergeCell ref="A90:L90"/>
    <mergeCell ref="D66:L66"/>
    <mergeCell ref="A67:L67"/>
    <mergeCell ref="A68:C68"/>
    <mergeCell ref="D68:L68"/>
    <mergeCell ref="A97:L97"/>
    <mergeCell ref="A98:L98"/>
    <mergeCell ref="A57:B57"/>
    <mergeCell ref="C57:D57"/>
    <mergeCell ref="E57:F57"/>
    <mergeCell ref="G57:H57"/>
    <mergeCell ref="I57:J57"/>
    <mergeCell ref="A94:L94"/>
    <mergeCell ref="A95:L95"/>
    <mergeCell ref="A96:L96"/>
    <mergeCell ref="A93:L93"/>
    <mergeCell ref="A92:L92"/>
    <mergeCell ref="K91:L91"/>
    <mergeCell ref="A78:L78"/>
    <mergeCell ref="A79:L79"/>
    <mergeCell ref="A71:L71"/>
    <mergeCell ref="A84:L84"/>
    <mergeCell ref="A76:L76"/>
    <mergeCell ref="A64:D64"/>
    <mergeCell ref="A59:L59"/>
    <mergeCell ref="A51:D52"/>
    <mergeCell ref="E51:F55"/>
    <mergeCell ref="G51:H55"/>
    <mergeCell ref="I51:J55"/>
    <mergeCell ref="K51:K55"/>
    <mergeCell ref="L51:L55"/>
    <mergeCell ref="A53:B55"/>
    <mergeCell ref="C53:D55"/>
    <mergeCell ref="A56:B56"/>
    <mergeCell ref="C56:D56"/>
    <mergeCell ref="E56:F56"/>
    <mergeCell ref="G56:H56"/>
    <mergeCell ref="I56:J56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23:L23"/>
    <mergeCell ref="A13:F13"/>
    <mergeCell ref="G13:L1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K3:L3"/>
    <mergeCell ref="F5:G5"/>
    <mergeCell ref="I6:K6"/>
    <mergeCell ref="I7:K7"/>
    <mergeCell ref="A8:L8"/>
    <mergeCell ref="A9:L9"/>
    <mergeCell ref="A11:L11"/>
    <mergeCell ref="C20:F20"/>
    <mergeCell ref="A22:B22"/>
    <mergeCell ref="C22:L22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8" max="11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A79-EC00-4D1F-BF61-57216580BE91}">
  <dimension ref="A1:L102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IF('Данные объект'!B3="","",'Данные объект'!B3)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199</v>
      </c>
      <c r="B13" s="309"/>
      <c r="C13" s="309"/>
      <c r="D13" s="309"/>
      <c r="E13" s="309"/>
      <c r="F13" s="309"/>
      <c r="G13" s="310" t="str">
        <f>IF('Данные объект'!B2="","",'Данные объект'!B2)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IF('Данные объект'!B6="","",'Данные объект'!B6)</f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3.4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0.45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31.5" hidden="1" customHeight="1" x14ac:dyDescent="0.25">
      <c r="A30" s="18"/>
      <c r="B30" s="18"/>
      <c r="C30" s="329"/>
      <c r="D30" s="329"/>
      <c r="E30" s="329"/>
      <c r="F30" s="329"/>
      <c r="G30" s="329"/>
      <c r="H30" s="329"/>
      <c r="I30" s="329"/>
      <c r="J30" s="329"/>
      <c r="K30" s="329"/>
      <c r="L30" s="329"/>
    </row>
    <row r="31" spans="1:12" ht="15" hidden="1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7.45" customHeight="1" x14ac:dyDescent="0.25">
      <c r="A32" s="18"/>
      <c r="B32" s="18"/>
      <c r="C32" s="221" t="str">
        <f>IF('Данные объект'!B32="","",'Данные объект'!B32)</f>
      </c>
      <c r="D32" s="221"/>
      <c r="E32" s="221"/>
      <c r="F32" s="221"/>
      <c r="G32" s="221"/>
      <c r="H32" s="221"/>
      <c r="I32" s="221"/>
      <c r="J32" s="221"/>
      <c r="K32" s="221"/>
      <c r="L32" s="221"/>
    </row>
    <row r="33" spans="1:12" ht="13.9" customHeight="1" x14ac:dyDescent="0.25">
      <c r="A33" s="304" t="s">
        <v>2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ht="16.5" customHeight="1" x14ac:dyDescent="0.25">
      <c r="A34" s="228" t="s">
        <v>36</v>
      </c>
      <c r="B34" s="228"/>
      <c r="C34" s="229" t="str">
        <f>IF('Данные объект'!B51="","",'Данные объект'!B51)</f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304" t="s">
        <v>3</v>
      </c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</row>
    <row r="36" spans="1:12" x14ac:dyDescent="0.25">
      <c r="A36" s="278" t="s">
        <v>4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x14ac:dyDescent="0.25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</row>
    <row r="38" spans="1:12" x14ac:dyDescent="0.25">
      <c r="A38" s="278" t="s">
        <v>5</v>
      </c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</row>
    <row r="39" spans="1:12" ht="29.25" customHeight="1" x14ac:dyDescent="0.25">
      <c r="A39" s="305" t="s">
        <v>166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</row>
    <row r="40" spans="1:12" x14ac:dyDescent="0.25">
      <c r="A40" s="306" t="s">
        <v>6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</row>
    <row r="41" spans="1:12" ht="34.5" customHeight="1" x14ac:dyDescent="0.25">
      <c r="A41" s="313" t="s">
        <v>29</v>
      </c>
      <c r="B41" s="313"/>
      <c r="C41" s="313"/>
      <c r="D41" s="313"/>
      <c r="E41" s="313"/>
      <c r="F41" s="313"/>
      <c r="G41" s="313"/>
      <c r="H41" s="313"/>
      <c r="I41" s="313"/>
      <c r="J41" s="313"/>
      <c r="K41" s="236"/>
      <c r="L41" s="236"/>
    </row>
    <row r="42" spans="1:12" x14ac:dyDescent="0.25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311" t="s">
        <v>41</v>
      </c>
      <c r="L42" s="311"/>
    </row>
    <row r="43" spans="1:12" ht="29.25" customHeight="1" x14ac:dyDescent="0.25">
      <c r="A43" s="236"/>
      <c r="B43" s="236"/>
      <c r="C43" s="236"/>
      <c r="D43" s="236"/>
      <c r="E43" s="236"/>
      <c r="F43" s="236"/>
      <c r="G43" s="236"/>
      <c r="H43" s="122" t="s">
        <v>50</v>
      </c>
      <c r="I43" s="312" t="s">
        <v>99</v>
      </c>
      <c r="J43" s="312"/>
      <c r="K43" s="312"/>
      <c r="L43" s="312"/>
    </row>
    <row r="44" spans="1:12" x14ac:dyDescent="0.25">
      <c r="A44" s="306" t="s">
        <v>42</v>
      </c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</row>
    <row r="45" spans="1:12" ht="15" customHeight="1" x14ac:dyDescent="0.25">
      <c r="A45" s="278" t="s">
        <v>28</v>
      </c>
      <c r="B45" s="278"/>
      <c r="C45" s="312"/>
      <c r="D45" s="312"/>
      <c r="E45" s="278" t="s">
        <v>53</v>
      </c>
      <c r="F45" s="278"/>
      <c r="G45" s="312"/>
      <c r="H45" s="312"/>
      <c r="I45" s="312"/>
      <c r="J45" s="312"/>
      <c r="K45" s="123"/>
      <c r="L45" s="123"/>
    </row>
    <row r="46" spans="1:12" x14ac:dyDescent="0.25">
      <c r="A46" s="363" t="s">
        <v>52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ht="15" customHeight="1" x14ac:dyDescent="0.25">
      <c r="A47" s="361" t="s">
        <v>68</v>
      </c>
      <c r="B47" s="361"/>
      <c r="C47" s="272"/>
      <c r="D47" s="272"/>
      <c r="E47" s="272"/>
      <c r="F47" s="23" t="s">
        <v>31</v>
      </c>
      <c r="G47" s="362" t="s">
        <v>79</v>
      </c>
      <c r="H47" s="362"/>
      <c r="I47" s="362"/>
      <c r="J47" s="362"/>
      <c r="K47" s="362"/>
      <c r="L47" s="362"/>
    </row>
    <row r="48" spans="1:12" ht="15" customHeight="1" x14ac:dyDescent="0.25">
      <c r="A48" s="363" t="s">
        <v>32</v>
      </c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</row>
    <row r="49" spans="1:12" x14ac:dyDescent="0.25">
      <c r="A49" s="228" t="s">
        <v>33</v>
      </c>
      <c r="B49" s="228"/>
      <c r="C49" s="228"/>
      <c r="D49" s="228"/>
      <c r="E49" s="228"/>
      <c r="F49" s="229" t="s">
        <v>63</v>
      </c>
      <c r="G49" s="229"/>
      <c r="H49" s="229"/>
      <c r="I49" s="229"/>
      <c r="J49" s="229"/>
      <c r="K49" s="229"/>
      <c r="L49" s="229"/>
    </row>
    <row r="50" spans="1:12" x14ac:dyDescent="0.25">
      <c r="A50" s="304" t="s">
        <v>34</v>
      </c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</row>
    <row r="51" spans="1:12" ht="15" customHeight="1" x14ac:dyDescent="0.25">
      <c r="A51" s="228" t="s">
        <v>7</v>
      </c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18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3.9" customHeight="1" x14ac:dyDescent="0.25">
      <c r="A53" s="315" t="s">
        <v>17</v>
      </c>
      <c r="B53" s="316"/>
      <c r="C53" s="316"/>
      <c r="D53" s="317"/>
      <c r="E53" s="315" t="s">
        <v>9</v>
      </c>
      <c r="F53" s="317"/>
      <c r="G53" s="315" t="s">
        <v>10</v>
      </c>
      <c r="H53" s="317"/>
      <c r="I53" s="315" t="s">
        <v>11</v>
      </c>
      <c r="J53" s="317"/>
      <c r="K53" s="322" t="s">
        <v>15</v>
      </c>
      <c r="L53" s="322" t="s">
        <v>12</v>
      </c>
    </row>
    <row r="54" spans="1:12" x14ac:dyDescent="0.25">
      <c r="A54" s="318"/>
      <c r="B54" s="272"/>
      <c r="C54" s="272"/>
      <c r="D54" s="319"/>
      <c r="E54" s="320"/>
      <c r="F54" s="321"/>
      <c r="G54" s="320"/>
      <c r="H54" s="321"/>
      <c r="I54" s="320"/>
      <c r="J54" s="321"/>
      <c r="K54" s="323"/>
      <c r="L54" s="323"/>
    </row>
    <row r="55" spans="1:12" ht="13.9" customHeight="1" x14ac:dyDescent="0.25">
      <c r="A55" s="315" t="s">
        <v>8</v>
      </c>
      <c r="B55" s="317"/>
      <c r="C55" s="315" t="s">
        <v>19</v>
      </c>
      <c r="D55" s="317"/>
      <c r="E55" s="320"/>
      <c r="F55" s="321"/>
      <c r="G55" s="320"/>
      <c r="H55" s="321"/>
      <c r="I55" s="320"/>
      <c r="J55" s="321"/>
      <c r="K55" s="323"/>
      <c r="L55" s="323"/>
    </row>
    <row r="56" spans="1:12" x14ac:dyDescent="0.25">
      <c r="A56" s="320"/>
      <c r="B56" s="321"/>
      <c r="C56" s="320"/>
      <c r="D56" s="321"/>
      <c r="E56" s="320"/>
      <c r="F56" s="321"/>
      <c r="G56" s="320"/>
      <c r="H56" s="321"/>
      <c r="I56" s="320"/>
      <c r="J56" s="321"/>
      <c r="K56" s="323"/>
      <c r="L56" s="323"/>
    </row>
    <row r="57" spans="1:12" x14ac:dyDescent="0.25">
      <c r="A57" s="318"/>
      <c r="B57" s="319"/>
      <c r="C57" s="318"/>
      <c r="D57" s="319"/>
      <c r="E57" s="318"/>
      <c r="F57" s="319"/>
      <c r="G57" s="318"/>
      <c r="H57" s="319"/>
      <c r="I57" s="318"/>
      <c r="J57" s="319"/>
      <c r="K57" s="324"/>
      <c r="L57" s="324"/>
    </row>
    <row r="58" spans="1:12" x14ac:dyDescent="0.25">
      <c r="A58" s="298">
        <v>1</v>
      </c>
      <c r="B58" s="298"/>
      <c r="C58" s="298">
        <v>2</v>
      </c>
      <c r="D58" s="298"/>
      <c r="E58" s="298">
        <v>3</v>
      </c>
      <c r="F58" s="298"/>
      <c r="G58" s="298">
        <v>4</v>
      </c>
      <c r="H58" s="298"/>
      <c r="I58" s="298">
        <v>5</v>
      </c>
      <c r="J58" s="298"/>
      <c r="K58" s="95">
        <v>6</v>
      </c>
      <c r="L58" s="95">
        <v>7</v>
      </c>
    </row>
    <row r="59" spans="1:12" ht="13.9" customHeight="1" x14ac:dyDescent="0.25">
      <c r="A59" s="367" t="str">
        <f>IF(C45="","",C45)</f>
      </c>
      <c r="B59" s="367"/>
      <c r="C59" s="298" t="s">
        <v>38</v>
      </c>
      <c r="D59" s="298"/>
      <c r="E59" s="298" t="s">
        <v>39</v>
      </c>
      <c r="F59" s="298"/>
      <c r="G59" s="298" t="s">
        <v>38</v>
      </c>
      <c r="H59" s="298"/>
      <c r="I59" s="298" t="s">
        <v>38</v>
      </c>
      <c r="J59" s="298"/>
      <c r="K59" s="95" t="s">
        <v>38</v>
      </c>
      <c r="L59" s="25" t="s">
        <v>18</v>
      </c>
    </row>
    <row r="60" spans="1:12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225" t="s">
        <v>38</v>
      </c>
      <c r="E70" s="225"/>
      <c r="F70" s="225"/>
      <c r="G70" s="225"/>
      <c r="H70" s="225"/>
      <c r="I70" s="225"/>
      <c r="J70" s="225"/>
      <c r="K70" s="225"/>
      <c r="L70" s="225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19.149999999999999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4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ht="12" customHeight="1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19.149999999999999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9.149999999999999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2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ht="16.899999999999999" customHeight="1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ht="13.9" customHeight="1" x14ac:dyDescent="0.25">
      <c r="A93" s="257" t="str">
        <f>IF(C32="","",C32)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57"/>
      <c r="B95" s="257"/>
      <c r="C95" s="257"/>
      <c r="D95" s="257"/>
      <c r="E95" s="257"/>
      <c r="F95" s="257"/>
      <c r="G95" s="257"/>
      <c r="H95" s="257"/>
      <c r="I95" s="257"/>
      <c r="J95" s="257"/>
      <c r="K95" s="266"/>
      <c r="L95" s="266"/>
    </row>
    <row r="96" spans="1:12" x14ac:dyDescent="0.25">
      <c r="A96" s="222" t="s">
        <v>2</v>
      </c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</row>
    <row r="97" spans="1:12" ht="17.45" customHeight="1" x14ac:dyDescent="0.25">
      <c r="A97" s="265" t="s">
        <v>24</v>
      </c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</row>
    <row r="98" spans="1:12" ht="13.9" customHeight="1" x14ac:dyDescent="0.25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</row>
    <row r="99" spans="1:12" ht="10.5" customHeight="1" x14ac:dyDescent="0.25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</row>
    <row r="100" spans="1:12" ht="13.5" customHeight="1" x14ac:dyDescent="0.25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</row>
    <row r="101" spans="1:12" x14ac:dyDescent="0.25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</row>
    <row r="102" spans="1:12" ht="13.9" customHeight="1" x14ac:dyDescent="0.25"/>
  </sheetData>
  <mergeCells count="126">
    <mergeCell ref="A101:L101"/>
    <mergeCell ref="A94:L94"/>
    <mergeCell ref="A95:J95"/>
    <mergeCell ref="K95:L95"/>
    <mergeCell ref="A96:L96"/>
    <mergeCell ref="A97:L97"/>
    <mergeCell ref="A98:L98"/>
    <mergeCell ref="A92:L92"/>
    <mergeCell ref="A93:J93"/>
    <mergeCell ref="K93:L93"/>
    <mergeCell ref="A89:L89"/>
    <mergeCell ref="A90:I90"/>
    <mergeCell ref="K90:L90"/>
    <mergeCell ref="A91:L91"/>
    <mergeCell ref="A99:L99"/>
    <mergeCell ref="A100:L100"/>
    <mergeCell ref="A85:I85"/>
    <mergeCell ref="K85:L85"/>
    <mergeCell ref="A86:L86"/>
    <mergeCell ref="A87:L87"/>
    <mergeCell ref="A88:I88"/>
    <mergeCell ref="K88:L88"/>
    <mergeCell ref="A80:L80"/>
    <mergeCell ref="A81:L81"/>
    <mergeCell ref="A82:C82"/>
    <mergeCell ref="D82:L82"/>
    <mergeCell ref="A83:L83"/>
    <mergeCell ref="A84:L84"/>
    <mergeCell ref="A73:L73"/>
    <mergeCell ref="A74:L74"/>
    <mergeCell ref="A75:K75"/>
    <mergeCell ref="A77:L77"/>
    <mergeCell ref="A78:L78"/>
    <mergeCell ref="A79:L79"/>
    <mergeCell ref="A69:L69"/>
    <mergeCell ref="A70:C70"/>
    <mergeCell ref="D70:L70"/>
    <mergeCell ref="A71:L71"/>
    <mergeCell ref="A72:G72"/>
    <mergeCell ref="H72:L72"/>
    <mergeCell ref="A65:L65"/>
    <mergeCell ref="A66:D66"/>
    <mergeCell ref="E66:L66"/>
    <mergeCell ref="A67:L67"/>
    <mergeCell ref="A68:C68"/>
    <mergeCell ref="D68:L68"/>
    <mergeCell ref="A61:L61"/>
    <mergeCell ref="A62:D62"/>
    <mergeCell ref="E62:L62"/>
    <mergeCell ref="A63:L63"/>
    <mergeCell ref="A64:C64"/>
    <mergeCell ref="D64:L64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39:L39"/>
    <mergeCell ref="A40:L40"/>
    <mergeCell ref="A41:J41"/>
    <mergeCell ref="K41:L41"/>
    <mergeCell ref="K42:L42"/>
    <mergeCell ref="A43:G43"/>
    <mergeCell ref="I43:L43"/>
    <mergeCell ref="A33:L33"/>
    <mergeCell ref="A34:B34"/>
    <mergeCell ref="C34:L34"/>
    <mergeCell ref="A35:L35"/>
    <mergeCell ref="A36:L36"/>
    <mergeCell ref="A38:L38"/>
    <mergeCell ref="A27:L27"/>
    <mergeCell ref="C28:L28"/>
    <mergeCell ref="A29:L29"/>
    <mergeCell ref="C30:L30"/>
    <mergeCell ref="A31:L31"/>
    <mergeCell ref="C32:L32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61" max="11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F14-40FF-475E-ABC4-D4CD56EEA845}">
  <sheetPr codeName="Лист12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IF('Данные объект'!B3="","",'Данные объект'!B3)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119</v>
      </c>
      <c r="B13" s="309"/>
      <c r="C13" s="309"/>
      <c r="D13" s="309"/>
      <c r="E13" s="309"/>
      <c r="F13" s="309"/>
      <c r="G13" s="310" t="str">
        <f>IF('Данные объект'!B2="","",'Данные объект'!B2)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1.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IF('Данные объект'!B6="","",'Данные объект'!B6)</f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9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9.899999999999999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.600000000000001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28" t="s">
        <v>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29.25" customHeight="1" x14ac:dyDescent="0.25">
      <c r="A37" s="305" t="s">
        <v>75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 t="s">
        <v>77</v>
      </c>
      <c r="L39" s="236"/>
    </row>
    <row r="40" spans="1:12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 t="s">
        <v>76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61" t="s">
        <v>68</v>
      </c>
      <c r="B45" s="361"/>
      <c r="C45" s="272"/>
      <c r="D45" s="272"/>
      <c r="E45" s="272"/>
      <c r="F45" s="23" t="s">
        <v>31</v>
      </c>
      <c r="G45" s="362" t="s">
        <v>79</v>
      </c>
      <c r="H45" s="362"/>
      <c r="I45" s="362"/>
      <c r="J45" s="362"/>
      <c r="K45" s="362"/>
      <c r="L45" s="362"/>
    </row>
    <row r="46" spans="1:12" ht="15" customHeight="1" x14ac:dyDescent="0.25">
      <c r="A46" s="363" t="s">
        <v>32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x14ac:dyDescent="0.25">
      <c r="A47" s="228" t="s">
        <v>33</v>
      </c>
      <c r="B47" s="228"/>
      <c r="C47" s="228"/>
      <c r="D47" s="228"/>
      <c r="E47" s="228"/>
      <c r="F47" s="229" t="s">
        <v>63</v>
      </c>
      <c r="G47" s="229"/>
      <c r="H47" s="229"/>
      <c r="I47" s="229"/>
      <c r="J47" s="229"/>
      <c r="K47" s="229"/>
      <c r="L47" s="22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67" t="str">
        <f>IF(C43="","",C43)</f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899999999999999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3.9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9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1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16B4-FF36-4D94-8952-46081388647C}"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IF('Данные объект'!B3="","",'Данные объект'!B3)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174</v>
      </c>
      <c r="B13" s="309"/>
      <c r="C13" s="309"/>
      <c r="D13" s="309"/>
      <c r="E13" s="309"/>
      <c r="F13" s="309"/>
      <c r="G13" s="310" t="str">
        <f>IF('Данные объект'!B2="","",'Данные объект'!B2)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IF('Данные объект'!B6="","",'Данные объект'!B6)</f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22.9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149999999999999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9.899999999999999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8.600000000000001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172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 t="s">
        <v>76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/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68</v>
      </c>
      <c r="B45" s="313"/>
      <c r="C45" s="236"/>
      <c r="D45" s="236"/>
      <c r="E45" s="236"/>
      <c r="F45" s="122" t="s">
        <v>31</v>
      </c>
      <c r="G45" s="312" t="s">
        <v>79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63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95">
        <v>6</v>
      </c>
      <c r="L56" s="95">
        <v>7</v>
      </c>
    </row>
    <row r="57" spans="1:12" ht="13.9" customHeight="1" x14ac:dyDescent="0.25">
      <c r="A57" s="367" t="str">
        <f>IF(C43="","",C43)</f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95" t="s">
        <v>38</v>
      </c>
      <c r="L57" s="25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899999999999999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3.9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9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3.1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97:L97"/>
    <mergeCell ref="A98:L98"/>
    <mergeCell ref="A92:L92"/>
    <mergeCell ref="A93:L93"/>
    <mergeCell ref="A94:L94"/>
    <mergeCell ref="A90:L90"/>
    <mergeCell ref="A91:J91"/>
    <mergeCell ref="K91:L91"/>
    <mergeCell ref="A87:L87"/>
    <mergeCell ref="A88:I88"/>
    <mergeCell ref="K88:L88"/>
    <mergeCell ref="A89:L89"/>
    <mergeCell ref="A95:L95"/>
    <mergeCell ref="A96:L96"/>
    <mergeCell ref="A83:I83"/>
    <mergeCell ref="K83:L83"/>
    <mergeCell ref="A84:L84"/>
    <mergeCell ref="A85:L85"/>
    <mergeCell ref="A86:I86"/>
    <mergeCell ref="K86:L86"/>
    <mergeCell ref="A78:L78"/>
    <mergeCell ref="A79:L79"/>
    <mergeCell ref="A80:C80"/>
    <mergeCell ref="D80:L80"/>
    <mergeCell ref="A81:L81"/>
    <mergeCell ref="A82:L82"/>
    <mergeCell ref="A71:L71"/>
    <mergeCell ref="A72:L72"/>
    <mergeCell ref="A73:K73"/>
    <mergeCell ref="A75:L75"/>
    <mergeCell ref="A76:L76"/>
    <mergeCell ref="A77:L77"/>
    <mergeCell ref="A67:L67"/>
    <mergeCell ref="A68:C68"/>
    <mergeCell ref="D68:L68"/>
    <mergeCell ref="A69:L69"/>
    <mergeCell ref="A70:G70"/>
    <mergeCell ref="H70:L70"/>
    <mergeCell ref="A63:L63"/>
    <mergeCell ref="A64:D64"/>
    <mergeCell ref="E64:L64"/>
    <mergeCell ref="A65:L65"/>
    <mergeCell ref="A66:C66"/>
    <mergeCell ref="D66:L66"/>
    <mergeCell ref="A59:L59"/>
    <mergeCell ref="A60:D60"/>
    <mergeCell ref="E60:L60"/>
    <mergeCell ref="A61:L61"/>
    <mergeCell ref="A62:C62"/>
    <mergeCell ref="D62:L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8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8340-AF14-4F15-BB88-8A9E7D9CD7DC}">
  <sheetPr codeName="Лист9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200</v>
      </c>
      <c r="B13" s="309"/>
      <c r="C13" s="309"/>
      <c r="D13" s="309"/>
      <c r="E13" s="309"/>
      <c r="F13" s="309"/>
      <c r="G13" s="310" t="str">
        <f>IF('Провод СИП 3'!G13="","",'Провод СИП 3'!G13)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0.75" customHeight="1" x14ac:dyDescent="0.25">
      <c r="A16" s="330" t="str">
        <f>IF('Провод СИП 3'!A16="","",'Провод СИП 3'!A16)</f>
      </c>
      <c r="B16" s="330"/>
      <c r="C16" s="330"/>
      <c r="D16" s="330"/>
      <c r="E16" s="330"/>
      <c r="F16" s="330"/>
      <c r="G16" s="330"/>
      <c r="H16" s="18"/>
      <c r="I16" s="18"/>
      <c r="J16" s="18"/>
      <c r="K16" s="300" t="str">
        <f>'Провод СИП 3'!K16:L16</f>
      </c>
      <c r="L16" s="300"/>
    </row>
    <row r="17" spans="1:12" x14ac:dyDescent="0.25">
      <c r="A17" s="304" t="s">
        <v>1</v>
      </c>
      <c r="B17" s="304"/>
      <c r="C17" s="304"/>
      <c r="D17" s="304"/>
      <c r="E17" s="304"/>
      <c r="F17" s="304"/>
      <c r="G17" s="304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19.899999999999999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0.45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9.899999999999999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3.9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70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 t="s">
        <v>71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61" t="s">
        <v>68</v>
      </c>
      <c r="B45" s="361"/>
      <c r="C45" s="272"/>
      <c r="D45" s="272"/>
      <c r="E45" s="272"/>
      <c r="F45" s="23" t="s">
        <v>31</v>
      </c>
      <c r="G45" s="362" t="s">
        <v>79</v>
      </c>
      <c r="H45" s="362"/>
      <c r="I45" s="362"/>
      <c r="J45" s="362"/>
      <c r="K45" s="362"/>
      <c r="L45" s="362"/>
    </row>
    <row r="46" spans="1:12" ht="15" customHeight="1" x14ac:dyDescent="0.25">
      <c r="A46" s="363" t="s">
        <v>32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</row>
    <row r="47" spans="1:12" x14ac:dyDescent="0.25">
      <c r="A47" s="228" t="s">
        <v>33</v>
      </c>
      <c r="B47" s="228"/>
      <c r="C47" s="228"/>
      <c r="D47" s="228"/>
      <c r="E47" s="228"/>
      <c r="F47" s="229" t="s">
        <v>63</v>
      </c>
      <c r="G47" s="229"/>
      <c r="H47" s="229"/>
      <c r="I47" s="229"/>
      <c r="J47" s="229"/>
      <c r="K47" s="229"/>
      <c r="L47" s="229"/>
    </row>
    <row r="48" spans="1:12" x14ac:dyDescent="0.25">
      <c r="A48" s="304" t="s">
        <v>34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</row>
    <row r="49" spans="1:12" ht="15" customHeight="1" x14ac:dyDescent="0.25">
      <c r="A49" s="228" t="s">
        <v>7</v>
      </c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13.9" customHeight="1" x14ac:dyDescent="0.25">
      <c r="A51" s="315" t="s">
        <v>17</v>
      </c>
      <c r="B51" s="316"/>
      <c r="C51" s="316"/>
      <c r="D51" s="317"/>
      <c r="E51" s="315" t="s">
        <v>9</v>
      </c>
      <c r="F51" s="317"/>
      <c r="G51" s="315" t="s">
        <v>10</v>
      </c>
      <c r="H51" s="317"/>
      <c r="I51" s="315" t="s">
        <v>11</v>
      </c>
      <c r="J51" s="317"/>
      <c r="K51" s="322" t="s">
        <v>15</v>
      </c>
      <c r="L51" s="322" t="s">
        <v>12</v>
      </c>
    </row>
    <row r="52" spans="1:12" x14ac:dyDescent="0.25">
      <c r="A52" s="318"/>
      <c r="B52" s="272"/>
      <c r="C52" s="272"/>
      <c r="D52" s="319"/>
      <c r="E52" s="320"/>
      <c r="F52" s="321"/>
      <c r="G52" s="320"/>
      <c r="H52" s="321"/>
      <c r="I52" s="320"/>
      <c r="J52" s="321"/>
      <c r="K52" s="323"/>
      <c r="L52" s="323"/>
    </row>
    <row r="53" spans="1:12" ht="13.9" customHeight="1" x14ac:dyDescent="0.25">
      <c r="A53" s="315" t="s">
        <v>8</v>
      </c>
      <c r="B53" s="317"/>
      <c r="C53" s="315" t="s">
        <v>19</v>
      </c>
      <c r="D53" s="317"/>
      <c r="E53" s="320"/>
      <c r="F53" s="321"/>
      <c r="G53" s="320"/>
      <c r="H53" s="321"/>
      <c r="I53" s="320"/>
      <c r="J53" s="321"/>
      <c r="K53" s="323"/>
      <c r="L53" s="323"/>
    </row>
    <row r="54" spans="1:12" x14ac:dyDescent="0.25">
      <c r="A54" s="320"/>
      <c r="B54" s="321"/>
      <c r="C54" s="320"/>
      <c r="D54" s="321"/>
      <c r="E54" s="320"/>
      <c r="F54" s="321"/>
      <c r="G54" s="320"/>
      <c r="H54" s="321"/>
      <c r="I54" s="320"/>
      <c r="J54" s="321"/>
      <c r="K54" s="323"/>
      <c r="L54" s="323"/>
    </row>
    <row r="55" spans="1:12" x14ac:dyDescent="0.25">
      <c r="A55" s="318"/>
      <c r="B55" s="319"/>
      <c r="C55" s="318"/>
      <c r="D55" s="319"/>
      <c r="E55" s="318"/>
      <c r="F55" s="319"/>
      <c r="G55" s="318"/>
      <c r="H55" s="319"/>
      <c r="I55" s="318"/>
      <c r="J55" s="319"/>
      <c r="K55" s="324"/>
      <c r="L55" s="324"/>
    </row>
    <row r="56" spans="1:12" x14ac:dyDescent="0.25">
      <c r="A56" s="298">
        <v>1</v>
      </c>
      <c r="B56" s="298"/>
      <c r="C56" s="298">
        <v>2</v>
      </c>
      <c r="D56" s="298"/>
      <c r="E56" s="298">
        <v>3</v>
      </c>
      <c r="F56" s="298"/>
      <c r="G56" s="298">
        <v>4</v>
      </c>
      <c r="H56" s="298"/>
      <c r="I56" s="298">
        <v>5</v>
      </c>
      <c r="J56" s="298"/>
      <c r="K56" s="24">
        <v>6</v>
      </c>
      <c r="L56" s="24">
        <v>7</v>
      </c>
    </row>
    <row r="57" spans="1:12" ht="13.9" customHeight="1" x14ac:dyDescent="0.25">
      <c r="A57" s="367" t="str">
        <f>IF(C43="","",C43)</f>
      </c>
      <c r="B57" s="367"/>
      <c r="C57" s="298" t="s">
        <v>38</v>
      </c>
      <c r="D57" s="298"/>
      <c r="E57" s="298" t="s">
        <v>39</v>
      </c>
      <c r="F57" s="298"/>
      <c r="G57" s="298" t="s">
        <v>38</v>
      </c>
      <c r="H57" s="298"/>
      <c r="I57" s="298" t="s">
        <v>38</v>
      </c>
      <c r="J57" s="298"/>
      <c r="K57" s="24" t="s">
        <v>38</v>
      </c>
      <c r="L57" s="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0.4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2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3.9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7.4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6.149999999999999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1:L3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7:G17"/>
    <mergeCell ref="A16:G1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9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F94-A3D2-4B93-85F6-50D1179189A4}">
  <sheetPr codeName="Лист13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201</v>
      </c>
      <c r="B13" s="309"/>
      <c r="C13" s="309"/>
      <c r="D13" s="309"/>
      <c r="E13" s="309"/>
      <c r="F13" s="309"/>
      <c r="G13" s="310" t="str">
        <f>IF('Провод СИП 3'!G13="","",'Провод СИП 3'!G13)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8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3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H16" s="18"/>
      <c r="I16" s="18"/>
      <c r="J16" s="18"/>
      <c r="K16" s="300" t="str">
        <f>'Провод СИП 3'!K16:L16</f>
      </c>
      <c r="L16" s="300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2.1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0.45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19.899999999999999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19.149999999999999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6" t="s">
        <v>3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</row>
    <row r="34" spans="1:12" x14ac:dyDescent="0.25">
      <c r="A34" s="278" t="s">
        <v>4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</row>
    <row r="35" spans="1:12" x14ac:dyDescent="0.2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</row>
    <row r="36" spans="1:12" x14ac:dyDescent="0.25">
      <c r="A36" s="278" t="s">
        <v>5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2" ht="29.25" customHeight="1" x14ac:dyDescent="0.25">
      <c r="A37" s="305" t="s">
        <v>81</v>
      </c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</row>
    <row r="38" spans="1:12" x14ac:dyDescent="0.25">
      <c r="A38" s="306" t="s">
        <v>6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</row>
    <row r="39" spans="1:12" ht="34.5" customHeight="1" x14ac:dyDescent="0.25">
      <c r="A39" s="313" t="s">
        <v>29</v>
      </c>
      <c r="B39" s="313"/>
      <c r="C39" s="313"/>
      <c r="D39" s="313"/>
      <c r="E39" s="313"/>
      <c r="F39" s="313"/>
      <c r="G39" s="313"/>
      <c r="H39" s="313"/>
      <c r="I39" s="313"/>
      <c r="J39" s="313"/>
      <c r="K39" s="236"/>
      <c r="L39" s="236"/>
    </row>
    <row r="40" spans="1:12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311" t="s">
        <v>41</v>
      </c>
      <c r="L40" s="311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 t="s">
        <v>78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/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68</v>
      </c>
      <c r="B45" s="313"/>
      <c r="C45" s="236"/>
      <c r="D45" s="236"/>
      <c r="E45" s="236"/>
      <c r="F45" s="122" t="s">
        <v>31</v>
      </c>
      <c r="G45" s="312" t="s">
        <v>79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63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1" t="s">
        <v>17</v>
      </c>
      <c r="B51" s="332"/>
      <c r="C51" s="332"/>
      <c r="D51" s="333"/>
      <c r="E51" s="331" t="s">
        <v>9</v>
      </c>
      <c r="F51" s="333"/>
      <c r="G51" s="331" t="s">
        <v>10</v>
      </c>
      <c r="H51" s="333"/>
      <c r="I51" s="331" t="s">
        <v>11</v>
      </c>
      <c r="J51" s="333"/>
      <c r="K51" s="338" t="s">
        <v>15</v>
      </c>
      <c r="L51" s="338" t="s">
        <v>12</v>
      </c>
    </row>
    <row r="52" spans="1:12" x14ac:dyDescent="0.25">
      <c r="A52" s="334"/>
      <c r="B52" s="236"/>
      <c r="C52" s="236"/>
      <c r="D52" s="335"/>
      <c r="E52" s="336"/>
      <c r="F52" s="337"/>
      <c r="G52" s="336"/>
      <c r="H52" s="337"/>
      <c r="I52" s="336"/>
      <c r="J52" s="337"/>
      <c r="K52" s="339"/>
      <c r="L52" s="339"/>
    </row>
    <row r="53" spans="1:12" ht="13.9" customHeight="1" x14ac:dyDescent="0.25">
      <c r="A53" s="331" t="s">
        <v>8</v>
      </c>
      <c r="B53" s="333"/>
      <c r="C53" s="331" t="s">
        <v>19</v>
      </c>
      <c r="D53" s="333"/>
      <c r="E53" s="336"/>
      <c r="F53" s="337"/>
      <c r="G53" s="336"/>
      <c r="H53" s="337"/>
      <c r="I53" s="336"/>
      <c r="J53" s="337"/>
      <c r="K53" s="339"/>
      <c r="L53" s="339"/>
    </row>
    <row r="54" spans="1:12" x14ac:dyDescent="0.25">
      <c r="A54" s="336"/>
      <c r="B54" s="337"/>
      <c r="C54" s="336"/>
      <c r="D54" s="337"/>
      <c r="E54" s="336"/>
      <c r="F54" s="337"/>
      <c r="G54" s="336"/>
      <c r="H54" s="337"/>
      <c r="I54" s="336"/>
      <c r="J54" s="337"/>
      <c r="K54" s="339"/>
      <c r="L54" s="339"/>
    </row>
    <row r="55" spans="1:12" x14ac:dyDescent="0.25">
      <c r="A55" s="334"/>
      <c r="B55" s="335"/>
      <c r="C55" s="334"/>
      <c r="D55" s="335"/>
      <c r="E55" s="334"/>
      <c r="F55" s="335"/>
      <c r="G55" s="334"/>
      <c r="H55" s="335"/>
      <c r="I55" s="334"/>
      <c r="J55" s="335"/>
      <c r="K55" s="340"/>
      <c r="L55" s="340"/>
    </row>
    <row r="56" spans="1:12" x14ac:dyDescent="0.25">
      <c r="A56" s="325">
        <v>1</v>
      </c>
      <c r="B56" s="325"/>
      <c r="C56" s="325">
        <v>2</v>
      </c>
      <c r="D56" s="325"/>
      <c r="E56" s="325">
        <v>3</v>
      </c>
      <c r="F56" s="325"/>
      <c r="G56" s="325">
        <v>4</v>
      </c>
      <c r="H56" s="325"/>
      <c r="I56" s="325">
        <v>5</v>
      </c>
      <c r="J56" s="325"/>
      <c r="K56" s="108">
        <v>6</v>
      </c>
      <c r="L56" s="108">
        <v>7</v>
      </c>
    </row>
    <row r="57" spans="1:12" ht="13.9" customHeight="1" x14ac:dyDescent="0.25">
      <c r="A57" s="325" t="str">
        <f>IF(C43="","",C43)</f>
      </c>
      <c r="B57" s="325"/>
      <c r="C57" s="325" t="s">
        <v>38</v>
      </c>
      <c r="D57" s="325"/>
      <c r="E57" s="325" t="s">
        <v>39</v>
      </c>
      <c r="F57" s="325"/>
      <c r="G57" s="325" t="s">
        <v>38</v>
      </c>
      <c r="H57" s="325"/>
      <c r="I57" s="325" t="s">
        <v>38</v>
      </c>
      <c r="J57" s="325"/>
      <c r="K57" s="108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8.600000000000001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4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5.6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7.4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1.45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86:I86"/>
    <mergeCell ref="K86:L86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62:C62"/>
    <mergeCell ref="D62:L62"/>
    <mergeCell ref="A63:L63"/>
    <mergeCell ref="A87:L87"/>
    <mergeCell ref="A88:I88"/>
    <mergeCell ref="K88:L88"/>
    <mergeCell ref="A89:L89"/>
    <mergeCell ref="A82:L82"/>
    <mergeCell ref="A83:I83"/>
    <mergeCell ref="K83:L83"/>
    <mergeCell ref="A84:L84"/>
    <mergeCell ref="A85:L85"/>
    <mergeCell ref="A80:C80"/>
    <mergeCell ref="D80:L80"/>
    <mergeCell ref="A81:L81"/>
    <mergeCell ref="A75:L75"/>
    <mergeCell ref="A76:L76"/>
    <mergeCell ref="A77:L77"/>
    <mergeCell ref="A78:L78"/>
    <mergeCell ref="A79:L79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2:L72"/>
    <mergeCell ref="A73:K73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D045-F1C3-4B11-9A57-1FCB12AC385E}">
  <sheetPr codeName="Лист15"/>
  <dimension ref="A1:L99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28" t="s">
        <v>51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ht="27.6" customHeight="1" x14ac:dyDescent="0.25">
      <c r="A9" s="307" t="str">
        <f>'Провод СИП 3'!A9:L9</f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</row>
    <row r="10" spans="1:12" x14ac:dyDescent="0.25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5.75" x14ac:dyDescent="0.25">
      <c r="A13" s="309" t="s">
        <v>186</v>
      </c>
      <c r="B13" s="309"/>
      <c r="C13" s="309"/>
      <c r="D13" s="309"/>
      <c r="E13" s="309"/>
      <c r="F13" s="309"/>
      <c r="G13" s="310" t="str">
        <f>IF('Провод СИП 3'!G13="","",'Провод СИП 3'!G13)</f>
      </c>
      <c r="H13" s="310"/>
      <c r="I13" s="310"/>
      <c r="J13" s="310"/>
      <c r="K13" s="310"/>
      <c r="L13" s="310"/>
    </row>
    <row r="14" spans="1:12" ht="15.75" x14ac:dyDescent="0.25">
      <c r="A14" s="299" t="s">
        <v>0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</row>
    <row r="15" spans="1:12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2.25" customHeight="1" x14ac:dyDescent="0.25">
      <c r="A16" s="330" t="str">
        <f>IF('Провод СИП 3'!A16="","",'Провод СИП 3'!A16)</f>
      </c>
      <c r="B16" s="330"/>
      <c r="C16" s="330"/>
      <c r="D16" s="330"/>
      <c r="E16" s="330"/>
      <c r="F16" s="330"/>
      <c r="G16" s="330"/>
      <c r="H16" s="18"/>
      <c r="I16" s="18"/>
      <c r="J16" s="18"/>
      <c r="K16" s="300" t="str">
        <f>'Провод СИП 3'!K16:L16</f>
      </c>
      <c r="L16" s="300"/>
    </row>
    <row r="17" spans="1:12" x14ac:dyDescent="0.25">
      <c r="A17" s="304" t="s">
        <v>1</v>
      </c>
      <c r="B17" s="304"/>
      <c r="C17" s="304"/>
      <c r="D17" s="304"/>
      <c r="E17" s="304"/>
      <c r="F17" s="304"/>
      <c r="G17" s="304"/>
      <c r="H17" s="18"/>
      <c r="I17" s="18"/>
      <c r="J17" s="18"/>
      <c r="K17" s="301" t="s">
        <v>26</v>
      </c>
      <c r="L17" s="301"/>
    </row>
    <row r="18" spans="1:12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8.75" customHeight="1" x14ac:dyDescent="0.25">
      <c r="A19" s="228" t="s">
        <v>27</v>
      </c>
      <c r="B19" s="228"/>
      <c r="C19" s="302" t="str">
        <f>'Провод СИП 3'!C19:G19</f>
      </c>
      <c r="D19" s="302"/>
      <c r="E19" s="302"/>
      <c r="F19" s="302"/>
      <c r="G19" s="18"/>
      <c r="H19" s="303" t="str">
        <f>IF('Данные объект'!B43="","",'Данные объект'!B43)</f>
      </c>
      <c r="I19" s="303"/>
      <c r="J19" s="303"/>
      <c r="K19" s="303"/>
      <c r="L19" s="303"/>
    </row>
    <row r="20" spans="1:12" x14ac:dyDescent="0.25">
      <c r="A20" s="19"/>
      <c r="B20" s="19"/>
      <c r="C20" s="301" t="s">
        <v>25</v>
      </c>
      <c r="D20" s="301"/>
      <c r="E20" s="301"/>
      <c r="F20" s="301"/>
      <c r="G20" s="19"/>
      <c r="H20" s="19"/>
      <c r="I20" s="19"/>
      <c r="J20" s="19"/>
      <c r="K20" s="19"/>
      <c r="L20" s="19"/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20.45" customHeight="1" x14ac:dyDescent="0.25">
      <c r="A22" s="228" t="s">
        <v>67</v>
      </c>
      <c r="B22" s="228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304" t="s">
        <v>2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28" t="s">
        <v>16</v>
      </c>
      <c r="B25" s="228"/>
      <c r="C25" s="228"/>
      <c r="D25" s="18"/>
      <c r="E25" s="18"/>
      <c r="F25" s="18"/>
      <c r="G25" s="18"/>
      <c r="H25" s="18"/>
      <c r="I25" s="18"/>
      <c r="J25" s="18"/>
      <c r="K25" s="18"/>
      <c r="L25" s="18"/>
    </row>
    <row r="26" spans="1:12" ht="22.15" customHeight="1" x14ac:dyDescent="0.25">
      <c r="A26" s="18"/>
      <c r="B26" s="18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304" t="s">
        <v>2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</row>
    <row r="28" spans="1:12" ht="22.9" customHeight="1" x14ac:dyDescent="0.25">
      <c r="A28" s="18"/>
      <c r="B28" s="18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304" t="s">
        <v>2</v>
      </c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2" ht="21.6" customHeight="1" x14ac:dyDescent="0.25">
      <c r="A30" s="18"/>
      <c r="B30" s="18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304" t="s">
        <v>2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304" t="s">
        <v>3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1:12" x14ac:dyDescent="0.25">
      <c r="A34" s="228" t="s">
        <v>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228" t="s">
        <v>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37" spans="1:12" ht="29.25" customHeight="1" x14ac:dyDescent="0.25">
      <c r="A37" s="329" t="s">
        <v>177</v>
      </c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</row>
    <row r="38" spans="1:12" x14ac:dyDescent="0.25">
      <c r="A38" s="304" t="s">
        <v>6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</row>
    <row r="39" spans="1:12" ht="34.5" customHeight="1" x14ac:dyDescent="0.25">
      <c r="A39" s="361" t="s">
        <v>29</v>
      </c>
      <c r="B39" s="361"/>
      <c r="C39" s="361"/>
      <c r="D39" s="361"/>
      <c r="E39" s="361"/>
      <c r="F39" s="361"/>
      <c r="G39" s="361"/>
      <c r="H39" s="361"/>
      <c r="I39" s="361"/>
      <c r="J39" s="361"/>
      <c r="K39" s="272" t="s">
        <v>82</v>
      </c>
      <c r="L39" s="272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365" t="s">
        <v>41</v>
      </c>
      <c r="L40" s="365"/>
    </row>
    <row r="41" spans="1:12" ht="29.25" customHeight="1" x14ac:dyDescent="0.25">
      <c r="A41" s="236"/>
      <c r="B41" s="236"/>
      <c r="C41" s="236"/>
      <c r="D41" s="236"/>
      <c r="E41" s="236"/>
      <c r="F41" s="236"/>
      <c r="G41" s="236"/>
      <c r="H41" s="122" t="s">
        <v>50</v>
      </c>
      <c r="I41" s="312" t="s">
        <v>83</v>
      </c>
      <c r="J41" s="312"/>
      <c r="K41" s="312"/>
      <c r="L41" s="312"/>
    </row>
    <row r="42" spans="1:12" x14ac:dyDescent="0.25">
      <c r="A42" s="306" t="s">
        <v>42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</row>
    <row r="43" spans="1:12" ht="15" customHeight="1" x14ac:dyDescent="0.25">
      <c r="A43" s="278" t="s">
        <v>28</v>
      </c>
      <c r="B43" s="278"/>
      <c r="C43" s="312"/>
      <c r="D43" s="312"/>
      <c r="E43" s="278" t="s">
        <v>53</v>
      </c>
      <c r="F43" s="278"/>
      <c r="G43" s="312" t="s">
        <v>38</v>
      </c>
      <c r="H43" s="312"/>
      <c r="I43" s="312"/>
      <c r="J43" s="312"/>
      <c r="K43" s="123"/>
      <c r="L43" s="123"/>
    </row>
    <row r="44" spans="1:12" x14ac:dyDescent="0.25">
      <c r="A44" s="314" t="s">
        <v>52</v>
      </c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</row>
    <row r="45" spans="1:12" ht="15" customHeight="1" x14ac:dyDescent="0.25">
      <c r="A45" s="313" t="s">
        <v>68</v>
      </c>
      <c r="B45" s="313"/>
      <c r="C45" s="236"/>
      <c r="D45" s="236"/>
      <c r="E45" s="236"/>
      <c r="F45" s="122" t="s">
        <v>31</v>
      </c>
      <c r="G45" s="312" t="s">
        <v>79</v>
      </c>
      <c r="H45" s="312"/>
      <c r="I45" s="312"/>
      <c r="J45" s="312"/>
      <c r="K45" s="312"/>
      <c r="L45" s="312"/>
    </row>
    <row r="46" spans="1:12" ht="15" customHeight="1" x14ac:dyDescent="0.25">
      <c r="A46" s="314" t="s">
        <v>32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</row>
    <row r="47" spans="1:12" x14ac:dyDescent="0.25">
      <c r="A47" s="278" t="s">
        <v>33</v>
      </c>
      <c r="B47" s="278"/>
      <c r="C47" s="278"/>
      <c r="D47" s="278"/>
      <c r="E47" s="278"/>
      <c r="F47" s="279" t="s">
        <v>63</v>
      </c>
      <c r="G47" s="279"/>
      <c r="H47" s="279"/>
      <c r="I47" s="279"/>
      <c r="J47" s="279"/>
      <c r="K47" s="279"/>
      <c r="L47" s="279"/>
    </row>
    <row r="48" spans="1:12" x14ac:dyDescent="0.25">
      <c r="A48" s="306" t="s">
        <v>34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  <row r="49" spans="1:12" ht="15" customHeight="1" x14ac:dyDescent="0.25">
      <c r="A49" s="278" t="s">
        <v>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124"/>
    </row>
    <row r="50" spans="1:12" x14ac:dyDescent="0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</row>
    <row r="51" spans="1:12" ht="13.9" customHeight="1" x14ac:dyDescent="0.25">
      <c r="A51" s="331" t="s">
        <v>17</v>
      </c>
      <c r="B51" s="332"/>
      <c r="C51" s="332"/>
      <c r="D51" s="333"/>
      <c r="E51" s="331" t="s">
        <v>9</v>
      </c>
      <c r="F51" s="333"/>
      <c r="G51" s="331" t="s">
        <v>10</v>
      </c>
      <c r="H51" s="333"/>
      <c r="I51" s="331" t="s">
        <v>11</v>
      </c>
      <c r="J51" s="333"/>
      <c r="K51" s="338" t="s">
        <v>15</v>
      </c>
      <c r="L51" s="338" t="s">
        <v>12</v>
      </c>
    </row>
    <row r="52" spans="1:12" x14ac:dyDescent="0.25">
      <c r="A52" s="334"/>
      <c r="B52" s="236"/>
      <c r="C52" s="236"/>
      <c r="D52" s="335"/>
      <c r="E52" s="336"/>
      <c r="F52" s="337"/>
      <c r="G52" s="336"/>
      <c r="H52" s="337"/>
      <c r="I52" s="336"/>
      <c r="J52" s="337"/>
      <c r="K52" s="339"/>
      <c r="L52" s="339"/>
    </row>
    <row r="53" spans="1:12" ht="13.9" customHeight="1" x14ac:dyDescent="0.25">
      <c r="A53" s="331" t="s">
        <v>8</v>
      </c>
      <c r="B53" s="333"/>
      <c r="C53" s="331" t="s">
        <v>19</v>
      </c>
      <c r="D53" s="333"/>
      <c r="E53" s="336"/>
      <c r="F53" s="337"/>
      <c r="G53" s="336"/>
      <c r="H53" s="337"/>
      <c r="I53" s="336"/>
      <c r="J53" s="337"/>
      <c r="K53" s="339"/>
      <c r="L53" s="339"/>
    </row>
    <row r="54" spans="1:12" x14ac:dyDescent="0.25">
      <c r="A54" s="336"/>
      <c r="B54" s="337"/>
      <c r="C54" s="336"/>
      <c r="D54" s="337"/>
      <c r="E54" s="336"/>
      <c r="F54" s="337"/>
      <c r="G54" s="336"/>
      <c r="H54" s="337"/>
      <c r="I54" s="336"/>
      <c r="J54" s="337"/>
      <c r="K54" s="339"/>
      <c r="L54" s="339"/>
    </row>
    <row r="55" spans="1:12" x14ac:dyDescent="0.25">
      <c r="A55" s="334"/>
      <c r="B55" s="335"/>
      <c r="C55" s="334"/>
      <c r="D55" s="335"/>
      <c r="E55" s="334"/>
      <c r="F55" s="335"/>
      <c r="G55" s="334"/>
      <c r="H55" s="335"/>
      <c r="I55" s="334"/>
      <c r="J55" s="335"/>
      <c r="K55" s="340"/>
      <c r="L55" s="340"/>
    </row>
    <row r="56" spans="1:12" x14ac:dyDescent="0.25">
      <c r="A56" s="325">
        <v>1</v>
      </c>
      <c r="B56" s="325"/>
      <c r="C56" s="325">
        <v>2</v>
      </c>
      <c r="D56" s="325"/>
      <c r="E56" s="325">
        <v>3</v>
      </c>
      <c r="F56" s="325"/>
      <c r="G56" s="325">
        <v>4</v>
      </c>
      <c r="H56" s="325"/>
      <c r="I56" s="325">
        <v>5</v>
      </c>
      <c r="J56" s="325"/>
      <c r="K56" s="151">
        <v>6</v>
      </c>
      <c r="L56" s="151">
        <v>7</v>
      </c>
    </row>
    <row r="57" spans="1:12" ht="13.9" customHeight="1" x14ac:dyDescent="0.25">
      <c r="A57" s="325" t="str">
        <f>IF(C43="","",C43)</f>
      </c>
      <c r="B57" s="325"/>
      <c r="C57" s="325" t="s">
        <v>38</v>
      </c>
      <c r="D57" s="325"/>
      <c r="E57" s="325" t="s">
        <v>39</v>
      </c>
      <c r="F57" s="325"/>
      <c r="G57" s="325" t="s">
        <v>38</v>
      </c>
      <c r="H57" s="325"/>
      <c r="I57" s="325" t="s">
        <v>38</v>
      </c>
      <c r="J57" s="325"/>
      <c r="K57" s="151" t="s">
        <v>38</v>
      </c>
      <c r="L57" s="125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19.149999999999999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0.9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ht="11.45" customHeight="1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.600000000000001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12.6" customHeight="1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ht="13.9" customHeight="1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ht="15" customHeight="1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3.9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ht="10.5" hidden="1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hidden="1" customHeight="1" x14ac:dyDescent="0.25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  <row r="99" spans="1:12" ht="13.9" customHeight="1" x14ac:dyDescent="0.25"/>
  </sheetData>
  <mergeCells count="122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7:G17"/>
    <mergeCell ref="A16:G16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A75:L75"/>
    <mergeCell ref="A76:L76"/>
    <mergeCell ref="A77:L77"/>
    <mergeCell ref="A78:L78"/>
    <mergeCell ref="A79:L79"/>
    <mergeCell ref="A73:K73"/>
    <mergeCell ref="A80:C80"/>
    <mergeCell ref="D80:L80"/>
    <mergeCell ref="A81:L81"/>
    <mergeCell ref="K3:L3"/>
    <mergeCell ref="F5:G5"/>
    <mergeCell ref="A98:L98"/>
    <mergeCell ref="A93:L93"/>
    <mergeCell ref="A94:L94"/>
    <mergeCell ref="A95:L95"/>
    <mergeCell ref="A96:L96"/>
    <mergeCell ref="A97:L97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9" max="1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348B-17AF-4DDD-9C2B-A4C676F0CFF9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119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8.600000000000001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8.600000000000001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345" t="s">
        <v>100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346"/>
      <c r="L39" s="346"/>
    </row>
    <row r="40" spans="1:12" x14ac:dyDescent="0.2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237" t="s">
        <v>41</v>
      </c>
      <c r="L40" s="237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105" t="s">
        <v>50</v>
      </c>
      <c r="I41" s="368" t="s">
        <v>60</v>
      </c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71"/>
      <c r="D43" s="271"/>
      <c r="E43" s="231" t="s">
        <v>53</v>
      </c>
      <c r="F43" s="231"/>
      <c r="G43" s="271" t="str">
        <f>IF(C43="","",C43)</f>
      </c>
      <c r="H43" s="271"/>
      <c r="I43" s="271"/>
      <c r="J43" s="271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291" t="str">
        <f>IF(C43="","",C43)</f>
      </c>
      <c r="B57" s="292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0.4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899999999999999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0.4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K91:L91"/>
    <mergeCell ref="A92:L92"/>
    <mergeCell ref="A91:J91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3DE4-CDD9-47BD-8F97-783C0D9047DB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202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1.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1:12" ht="2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1:12" x14ac:dyDescent="0.25">
      <c r="A25" s="215" t="s">
        <v>16</v>
      </c>
      <c r="B25" s="215"/>
      <c r="C25" s="215"/>
    </row>
    <row r="26" spans="1:12" ht="24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.6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0.4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29.25" customHeight="1" x14ac:dyDescent="0.25">
      <c r="A37" s="234" t="s">
        <v>169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237" t="s">
        <v>41</v>
      </c>
      <c r="L40" s="237"/>
    </row>
    <row r="41" spans="1:12" ht="42.7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 t="str">
        <f>IF(C43="","",C43)</f>
      </c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93">
        <v>6</v>
      </c>
      <c r="L56" s="93">
        <v>7</v>
      </c>
    </row>
    <row r="57" spans="1:12" ht="26.45" customHeight="1" x14ac:dyDescent="0.25">
      <c r="A57" s="350" t="str">
        <f>IF(A37="","",A37)</f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93" t="s">
        <v>38</v>
      </c>
      <c r="L57" s="93" t="s">
        <v>18</v>
      </c>
    </row>
    <row r="58" spans="1:12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5.1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94:L94"/>
    <mergeCell ref="A95:L95"/>
    <mergeCell ref="A96:L96"/>
    <mergeCell ref="A90:L90"/>
    <mergeCell ref="A91:J91"/>
    <mergeCell ref="K91:L91"/>
    <mergeCell ref="A92:L92"/>
    <mergeCell ref="A89:L89"/>
    <mergeCell ref="A84:L84"/>
    <mergeCell ref="A85:L85"/>
    <mergeCell ref="A86:I86"/>
    <mergeCell ref="K86:L86"/>
    <mergeCell ref="A87:L87"/>
    <mergeCell ref="A88:I88"/>
    <mergeCell ref="K88:L88"/>
    <mergeCell ref="A93:L93"/>
    <mergeCell ref="A79:L79"/>
    <mergeCell ref="A80:C80"/>
    <mergeCell ref="D80:L80"/>
    <mergeCell ref="A81:L81"/>
    <mergeCell ref="A82:L82"/>
    <mergeCell ref="A83:I83"/>
    <mergeCell ref="K83:L83"/>
    <mergeCell ref="A72:L72"/>
    <mergeCell ref="A73:K73"/>
    <mergeCell ref="A75:L75"/>
    <mergeCell ref="A76:L76"/>
    <mergeCell ref="A77:L77"/>
    <mergeCell ref="A78:L78"/>
    <mergeCell ref="A68:C68"/>
    <mergeCell ref="D68:L68"/>
    <mergeCell ref="A69:L69"/>
    <mergeCell ref="A70:G70"/>
    <mergeCell ref="H70:L70"/>
    <mergeCell ref="A71:L71"/>
    <mergeCell ref="A64:D64"/>
    <mergeCell ref="E64:L64"/>
    <mergeCell ref="A65:L65"/>
    <mergeCell ref="A66:C66"/>
    <mergeCell ref="D66:L66"/>
    <mergeCell ref="A67:L67"/>
    <mergeCell ref="A60:D60"/>
    <mergeCell ref="E60:L60"/>
    <mergeCell ref="A61:L61"/>
    <mergeCell ref="A62:C62"/>
    <mergeCell ref="D62:L62"/>
    <mergeCell ref="A63:L63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27:L27"/>
    <mergeCell ref="C28:L28"/>
    <mergeCell ref="A29:L29"/>
    <mergeCell ref="C30:L30"/>
    <mergeCell ref="A31:L31"/>
    <mergeCell ref="C20:F20"/>
    <mergeCell ref="A22:B22"/>
    <mergeCell ref="C22:L22"/>
    <mergeCell ref="A23:L23"/>
    <mergeCell ref="A25:C25"/>
    <mergeCell ref="C26:L26"/>
    <mergeCell ref="K3:L3"/>
    <mergeCell ref="F5:G5"/>
    <mergeCell ref="A14:L14"/>
    <mergeCell ref="K16:L16"/>
    <mergeCell ref="K17:L17"/>
    <mergeCell ref="A19:B19"/>
    <mergeCell ref="C19:F19"/>
    <mergeCell ref="H19:L19"/>
    <mergeCell ref="I6:K6"/>
    <mergeCell ref="I7:K7"/>
    <mergeCell ref="A8:L8"/>
    <mergeCell ref="A9:L9"/>
    <mergeCell ref="A11:L11"/>
    <mergeCell ref="A13:F13"/>
    <mergeCell ref="G13:L13"/>
    <mergeCell ref="A16:G16"/>
    <mergeCell ref="A17:G17"/>
  </mergeCells>
  <pageMargins left="0.78740157480314965" right="0.39370078740157483" top="0.39370078740157483" bottom="0.39370078740157483" header="0" footer="0"/>
  <pageSetup paperSize="9" scale="77" fitToHeight="2" orientation="portrait" r:id="rId1"/>
  <rowBreaks count="1" manualBreakCount="1">
    <brk id="57" max="11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E1AA-B08B-4600-AC2C-92752FFD9051}">
  <dimension ref="A1:L98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0.4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18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14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20.4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30" hidden="1" customHeight="1" x14ac:dyDescent="0.25"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idden="1" x14ac:dyDescent="0.25">
      <c r="A33" s="222" t="s">
        <v>2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ht="16.5" customHeight="1" x14ac:dyDescent="0.25">
      <c r="A34" s="228" t="s">
        <v>36</v>
      </c>
      <c r="B34" s="228"/>
      <c r="C34" s="229" t="str">
        <f>IF('Данные объект'!B51="","",'Данные объект'!B51)</f>
      </c>
      <c r="D34" s="229"/>
      <c r="E34" s="229"/>
      <c r="F34" s="229"/>
      <c r="G34" s="229"/>
      <c r="H34" s="229"/>
      <c r="I34" s="229"/>
      <c r="J34" s="229"/>
      <c r="K34" s="229"/>
      <c r="L34" s="229"/>
    </row>
    <row r="35" spans="1:12" x14ac:dyDescent="0.25">
      <c r="A35" s="222" t="s">
        <v>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</row>
    <row r="36" spans="1:12" x14ac:dyDescent="0.25">
      <c r="A36" s="215" t="s">
        <v>4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8" spans="1:12" x14ac:dyDescent="0.25">
      <c r="A38" s="215" t="s">
        <v>5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</row>
    <row r="39" spans="1:12" ht="29.25" customHeight="1" x14ac:dyDescent="0.25">
      <c r="A39" s="345" t="s">
        <v>97</v>
      </c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x14ac:dyDescent="0.25">
      <c r="A40" s="222" t="s">
        <v>6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</row>
    <row r="41" spans="1:12" ht="34.5" customHeight="1" x14ac:dyDescent="0.25">
      <c r="A41" s="240" t="s">
        <v>29</v>
      </c>
      <c r="B41" s="240"/>
      <c r="C41" s="240"/>
      <c r="D41" s="240"/>
      <c r="E41" s="240"/>
      <c r="F41" s="240"/>
      <c r="G41" s="240"/>
      <c r="H41" s="240"/>
      <c r="I41" s="240"/>
      <c r="J41" s="240"/>
      <c r="K41" s="346" t="s">
        <v>98</v>
      </c>
      <c r="L41" s="346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273" t="s">
        <v>41</v>
      </c>
      <c r="L42" s="273"/>
    </row>
    <row r="43" spans="1:12" ht="29.25" customHeight="1" x14ac:dyDescent="0.25">
      <c r="A43" s="347"/>
      <c r="B43" s="347"/>
      <c r="C43" s="347"/>
      <c r="D43" s="347"/>
      <c r="E43" s="347"/>
      <c r="F43" s="347"/>
      <c r="G43" s="347"/>
      <c r="H43" s="8" t="s">
        <v>50</v>
      </c>
      <c r="I43" s="369" t="s">
        <v>60</v>
      </c>
      <c r="J43" s="271"/>
      <c r="K43" s="271"/>
      <c r="L43" s="271"/>
    </row>
    <row r="44" spans="1:12" x14ac:dyDescent="0.25">
      <c r="A44" s="222" t="s">
        <v>42</v>
      </c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</row>
    <row r="45" spans="1:12" ht="15" customHeight="1" x14ac:dyDescent="0.25">
      <c r="A45" s="215" t="s">
        <v>28</v>
      </c>
      <c r="B45" s="215"/>
      <c r="C45" s="271"/>
      <c r="D45" s="271"/>
      <c r="E45" s="215" t="s">
        <v>53</v>
      </c>
      <c r="F45" s="215"/>
      <c r="G45" s="271" t="str">
        <f>IF(C45="","",C45)</f>
      </c>
      <c r="H45" s="271"/>
      <c r="I45" s="271"/>
      <c r="J45" s="271"/>
      <c r="K45" s="4"/>
      <c r="L45" s="4"/>
    </row>
    <row r="46" spans="1:12" x14ac:dyDescent="0.25">
      <c r="A46" s="233" t="s">
        <v>52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ht="15" customHeight="1" x14ac:dyDescent="0.25">
      <c r="A47" s="240" t="s">
        <v>30</v>
      </c>
      <c r="B47" s="240"/>
      <c r="C47" s="241"/>
      <c r="D47" s="241"/>
      <c r="E47" s="241"/>
      <c r="F47" s="5" t="s">
        <v>31</v>
      </c>
      <c r="G47" s="242"/>
      <c r="H47" s="242"/>
      <c r="I47" s="242"/>
      <c r="J47" s="242"/>
      <c r="K47" s="242"/>
      <c r="L47" s="242"/>
    </row>
    <row r="48" spans="1:12" ht="15" customHeight="1" x14ac:dyDescent="0.25">
      <c r="A48" s="233" t="s">
        <v>32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</row>
    <row r="49" spans="1:12" x14ac:dyDescent="0.25">
      <c r="A49" s="215" t="s">
        <v>33</v>
      </c>
      <c r="B49" s="215"/>
      <c r="C49" s="215"/>
      <c r="D49" s="215"/>
      <c r="E49" s="215"/>
      <c r="F49" s="243" t="s">
        <v>63</v>
      </c>
      <c r="G49" s="243"/>
      <c r="H49" s="243"/>
      <c r="I49" s="243"/>
      <c r="J49" s="243"/>
      <c r="K49" s="243"/>
      <c r="L49" s="243"/>
    </row>
    <row r="50" spans="1:12" x14ac:dyDescent="0.25">
      <c r="A50" s="222" t="s">
        <v>34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</row>
    <row r="51" spans="1:12" ht="15" customHeight="1" x14ac:dyDescent="0.25">
      <c r="A51" s="215" t="s">
        <v>7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</row>
    <row r="53" spans="1:12" x14ac:dyDescent="0.25">
      <c r="A53" s="244" t="s">
        <v>17</v>
      </c>
      <c r="B53" s="245"/>
      <c r="C53" s="245"/>
      <c r="D53" s="246"/>
      <c r="E53" s="244" t="s">
        <v>9</v>
      </c>
      <c r="F53" s="246"/>
      <c r="G53" s="244" t="s">
        <v>10</v>
      </c>
      <c r="H53" s="246"/>
      <c r="I53" s="244" t="s">
        <v>11</v>
      </c>
      <c r="J53" s="246"/>
      <c r="K53" s="251" t="s">
        <v>15</v>
      </c>
      <c r="L53" s="251" t="s">
        <v>12</v>
      </c>
    </row>
    <row r="54" spans="1:12" x14ac:dyDescent="0.25">
      <c r="A54" s="247"/>
      <c r="B54" s="241"/>
      <c r="C54" s="241"/>
      <c r="D54" s="248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4" t="s">
        <v>8</v>
      </c>
      <c r="B55" s="246"/>
      <c r="C55" s="244" t="s">
        <v>19</v>
      </c>
      <c r="D55" s="246"/>
      <c r="E55" s="249"/>
      <c r="F55" s="250"/>
      <c r="G55" s="249"/>
      <c r="H55" s="250"/>
      <c r="I55" s="249"/>
      <c r="J55" s="250"/>
      <c r="K55" s="252"/>
      <c r="L55" s="252"/>
    </row>
    <row r="56" spans="1:12" x14ac:dyDescent="0.25">
      <c r="A56" s="249"/>
      <c r="B56" s="250"/>
      <c r="C56" s="249"/>
      <c r="D56" s="250"/>
      <c r="E56" s="249"/>
      <c r="F56" s="250"/>
      <c r="G56" s="249"/>
      <c r="H56" s="250"/>
      <c r="I56" s="249"/>
      <c r="J56" s="250"/>
      <c r="K56" s="252"/>
      <c r="L56" s="252"/>
    </row>
    <row r="57" spans="1:12" x14ac:dyDescent="0.25">
      <c r="A57" s="247"/>
      <c r="B57" s="248"/>
      <c r="C57" s="247"/>
      <c r="D57" s="248"/>
      <c r="E57" s="247"/>
      <c r="F57" s="248"/>
      <c r="G57" s="247"/>
      <c r="H57" s="248"/>
      <c r="I57" s="247"/>
      <c r="J57" s="248"/>
      <c r="K57" s="253"/>
      <c r="L57" s="253"/>
    </row>
    <row r="58" spans="1:12" x14ac:dyDescent="0.25">
      <c r="A58" s="239">
        <v>1</v>
      </c>
      <c r="B58" s="239"/>
      <c r="C58" s="239">
        <v>2</v>
      </c>
      <c r="D58" s="239"/>
      <c r="E58" s="239">
        <v>3</v>
      </c>
      <c r="F58" s="239"/>
      <c r="G58" s="239">
        <v>4</v>
      </c>
      <c r="H58" s="239"/>
      <c r="I58" s="239">
        <v>5</v>
      </c>
      <c r="J58" s="239"/>
      <c r="K58" s="11">
        <v>6</v>
      </c>
      <c r="L58" s="11">
        <v>7</v>
      </c>
    </row>
    <row r="59" spans="1:12" ht="26.45" customHeight="1" x14ac:dyDescent="0.25">
      <c r="A59" s="342" t="str">
        <f>IF(C45="","",C45)</f>
      </c>
      <c r="B59" s="343"/>
      <c r="C59" s="276" t="s">
        <v>38</v>
      </c>
      <c r="D59" s="277"/>
      <c r="E59" s="276" t="s">
        <v>39</v>
      </c>
      <c r="F59" s="277"/>
      <c r="G59" s="276" t="s">
        <v>38</v>
      </c>
      <c r="H59" s="277"/>
      <c r="I59" s="276" t="s">
        <v>38</v>
      </c>
      <c r="J59" s="277"/>
      <c r="K59" s="11" t="s">
        <v>38</v>
      </c>
      <c r="L59" s="11" t="s">
        <v>18</v>
      </c>
    </row>
    <row r="60" spans="1:12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x14ac:dyDescent="0.25">
      <c r="A61" s="240" t="s">
        <v>13</v>
      </c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</row>
    <row r="62" spans="1:12" x14ac:dyDescent="0.25">
      <c r="A62" s="215" t="s">
        <v>114</v>
      </c>
      <c r="B62" s="215"/>
      <c r="C62" s="215"/>
      <c r="D62" s="215"/>
      <c r="E62" s="255" t="s">
        <v>59</v>
      </c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20</v>
      </c>
      <c r="B63" s="222"/>
      <c r="C63" s="222"/>
      <c r="D63" s="222"/>
      <c r="E63" s="220"/>
      <c r="F63" s="220"/>
      <c r="G63" s="220"/>
      <c r="H63" s="220"/>
      <c r="I63" s="220"/>
      <c r="J63" s="220"/>
      <c r="K63" s="220"/>
      <c r="L63" s="220"/>
    </row>
    <row r="64" spans="1:12" x14ac:dyDescent="0.25">
      <c r="A64" s="215" t="s">
        <v>56</v>
      </c>
      <c r="B64" s="215"/>
      <c r="C64" s="215"/>
      <c r="D64" s="255" t="s">
        <v>59</v>
      </c>
      <c r="E64" s="255"/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43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55</v>
      </c>
      <c r="B66" s="215"/>
      <c r="C66" s="215"/>
      <c r="D66" s="215"/>
      <c r="E66" s="255" t="s">
        <v>59</v>
      </c>
      <c r="F66" s="255"/>
      <c r="G66" s="255"/>
      <c r="H66" s="255"/>
      <c r="I66" s="255"/>
      <c r="J66" s="255"/>
      <c r="K66" s="255"/>
      <c r="L66" s="25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54</v>
      </c>
      <c r="B68" s="215"/>
      <c r="C68" s="215"/>
      <c r="D68" s="225" t="s">
        <v>59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44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15" t="s">
        <v>115</v>
      </c>
      <c r="B70" s="215"/>
      <c r="C70" s="215"/>
      <c r="D70" s="225" t="s">
        <v>38</v>
      </c>
      <c r="E70" s="225"/>
      <c r="F70" s="225"/>
      <c r="G70" s="225"/>
      <c r="H70" s="225"/>
      <c r="I70" s="225"/>
      <c r="J70" s="225"/>
      <c r="K70" s="225"/>
      <c r="L70" s="225"/>
    </row>
    <row r="71" spans="1:12" x14ac:dyDescent="0.25">
      <c r="A71" s="222" t="s">
        <v>116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</row>
    <row r="72" spans="1:12" x14ac:dyDescent="0.25">
      <c r="A72" s="240" t="s">
        <v>57</v>
      </c>
      <c r="B72" s="240"/>
      <c r="C72" s="240"/>
      <c r="D72" s="240"/>
      <c r="E72" s="240"/>
      <c r="F72" s="240"/>
      <c r="G72" s="240"/>
      <c r="H72" s="256" t="s">
        <v>35</v>
      </c>
      <c r="I72" s="256"/>
      <c r="J72" s="256"/>
      <c r="K72" s="256"/>
      <c r="L72" s="256"/>
    </row>
    <row r="73" spans="1:12" x14ac:dyDescent="0.25">
      <c r="A73" s="233" t="s">
        <v>45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</row>
    <row r="74" spans="1:12" x14ac:dyDescent="0.25">
      <c r="A74" s="261" t="s">
        <v>117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</row>
    <row r="75" spans="1:12" x14ac:dyDescent="0.25">
      <c r="A75" s="233" t="s">
        <v>47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7" spans="1:12" x14ac:dyDescent="0.25">
      <c r="A77" s="215" t="s">
        <v>14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</row>
    <row r="78" spans="1:12" x14ac:dyDescent="0.25">
      <c r="A78" s="259" t="s">
        <v>60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ht="12.75" customHeight="1" x14ac:dyDescent="0.25">
      <c r="A79" s="260" t="s">
        <v>62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</row>
    <row r="80" spans="1:12" ht="12.75" hidden="1" customHeight="1" x14ac:dyDescent="0.2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</row>
    <row r="81" spans="1:12" x14ac:dyDescent="0.25">
      <c r="A81" s="220" t="s">
        <v>61</v>
      </c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 ht="14.45" customHeight="1" x14ac:dyDescent="0.25">
      <c r="A82" s="226" t="s">
        <v>118</v>
      </c>
      <c r="B82" s="226"/>
      <c r="C82" s="226"/>
      <c r="D82" s="255" t="s">
        <v>38</v>
      </c>
      <c r="E82" s="255"/>
      <c r="F82" s="255"/>
      <c r="G82" s="255"/>
      <c r="H82" s="255"/>
      <c r="I82" s="255"/>
      <c r="J82" s="255"/>
      <c r="K82" s="255"/>
      <c r="L82" s="255"/>
    </row>
    <row r="83" spans="1:12" ht="12.75" customHeight="1" x14ac:dyDescent="0.25">
      <c r="A83" s="222" t="s">
        <v>21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</row>
    <row r="84" spans="1:12" ht="17.25" customHeight="1" x14ac:dyDescent="0.25">
      <c r="A84" s="265" t="s">
        <v>23</v>
      </c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</row>
    <row r="85" spans="1:12" ht="22.9" customHeight="1" x14ac:dyDescent="0.25">
      <c r="A85" s="257" t="str">
        <f>IF(C22="","",C22)</f>
      </c>
      <c r="B85" s="257"/>
      <c r="C85" s="257"/>
      <c r="D85" s="257"/>
      <c r="E85" s="257"/>
      <c r="F85" s="257"/>
      <c r="G85" s="257"/>
      <c r="H85" s="257"/>
      <c r="I85" s="257"/>
      <c r="J85" s="7"/>
      <c r="K85" s="258"/>
      <c r="L85" s="258"/>
    </row>
    <row r="86" spans="1:12" ht="11.25" customHeight="1" x14ac:dyDescent="0.25">
      <c r="A86" s="222" t="s">
        <v>48</v>
      </c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</row>
    <row r="87" spans="1:12" x14ac:dyDescent="0.25">
      <c r="A87" s="265" t="s">
        <v>22</v>
      </c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</row>
    <row r="88" spans="1:12" ht="21" customHeight="1" x14ac:dyDescent="0.25">
      <c r="A88" s="257" t="str">
        <f>IF(C26="","",C26)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2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ht="24" customHeight="1" x14ac:dyDescent="0.25">
      <c r="A90" s="257" t="str">
        <f>IF(C28="","",C28)</f>
      </c>
      <c r="B90" s="257"/>
      <c r="C90" s="257"/>
      <c r="D90" s="257"/>
      <c r="E90" s="257"/>
      <c r="F90" s="257"/>
      <c r="G90" s="257"/>
      <c r="H90" s="257"/>
      <c r="I90" s="257"/>
      <c r="J90" s="7"/>
      <c r="K90" s="258"/>
      <c r="L90" s="258"/>
    </row>
    <row r="91" spans="1:12" ht="11.25" customHeight="1" x14ac:dyDescent="0.25">
      <c r="A91" s="222" t="s">
        <v>48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1:12" x14ac:dyDescent="0.25">
      <c r="A92" s="265" t="s">
        <v>49</v>
      </c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</row>
    <row r="93" spans="1:12" x14ac:dyDescent="0.25">
      <c r="A93" s="257" t="str">
        <f>IF(C30="","",C30)</f>
      </c>
      <c r="B93" s="257"/>
      <c r="C93" s="257"/>
      <c r="D93" s="257"/>
      <c r="E93" s="257"/>
      <c r="F93" s="257"/>
      <c r="G93" s="257"/>
      <c r="H93" s="257"/>
      <c r="I93" s="257"/>
      <c r="J93" s="257"/>
      <c r="K93" s="266"/>
      <c r="L93" s="266"/>
    </row>
    <row r="94" spans="1:12" x14ac:dyDescent="0.25">
      <c r="A94" s="222" t="s">
        <v>2</v>
      </c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</row>
    <row r="95" spans="1:12" x14ac:dyDescent="0.25">
      <c r="A95" s="265" t="s">
        <v>24</v>
      </c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</row>
    <row r="96" spans="1:12" ht="10.5" customHeight="1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</row>
    <row r="97" spans="1:12" ht="13.5" customHeight="1" x14ac:dyDescent="0.25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</row>
    <row r="98" spans="1:12" x14ac:dyDescent="0.25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</row>
  </sheetData>
  <mergeCells count="122">
    <mergeCell ref="A29:L29"/>
    <mergeCell ref="C30:L30"/>
    <mergeCell ref="A31:L31"/>
    <mergeCell ref="C32:L32"/>
    <mergeCell ref="A39:L39"/>
    <mergeCell ref="A40:L40"/>
    <mergeCell ref="A41:J41"/>
    <mergeCell ref="K41:L41"/>
    <mergeCell ref="K42:L42"/>
    <mergeCell ref="A33:L33"/>
    <mergeCell ref="A34:B34"/>
    <mergeCell ref="C34:L34"/>
    <mergeCell ref="A35:L35"/>
    <mergeCell ref="A36:L36"/>
    <mergeCell ref="A38:L38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3:G43"/>
    <mergeCell ref="I43:L43"/>
    <mergeCell ref="A50:L50"/>
    <mergeCell ref="A51:K51"/>
    <mergeCell ref="A53:D54"/>
    <mergeCell ref="E53:F57"/>
    <mergeCell ref="G53:H57"/>
    <mergeCell ref="I53:J57"/>
    <mergeCell ref="K53:K57"/>
    <mergeCell ref="L53:L57"/>
    <mergeCell ref="A55:B57"/>
    <mergeCell ref="C55:D57"/>
    <mergeCell ref="A47:B47"/>
    <mergeCell ref="C47:E47"/>
    <mergeCell ref="G47:L47"/>
    <mergeCell ref="A48:L48"/>
    <mergeCell ref="A49:E49"/>
    <mergeCell ref="F49:L49"/>
    <mergeCell ref="A44:L44"/>
    <mergeCell ref="A45:B45"/>
    <mergeCell ref="C45:D45"/>
    <mergeCell ref="E45:F45"/>
    <mergeCell ref="G45:J45"/>
    <mergeCell ref="A46:L46"/>
    <mergeCell ref="A61:L61"/>
    <mergeCell ref="A63:L63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2:D62"/>
    <mergeCell ref="E62:L62"/>
    <mergeCell ref="A79:L79"/>
    <mergeCell ref="A80:L80"/>
    <mergeCell ref="A81:L81"/>
    <mergeCell ref="A75:K75"/>
    <mergeCell ref="A82:C82"/>
    <mergeCell ref="D82:L82"/>
    <mergeCell ref="A83:L83"/>
    <mergeCell ref="A64:C64"/>
    <mergeCell ref="D64:L64"/>
    <mergeCell ref="A65:L65"/>
    <mergeCell ref="A73:L73"/>
    <mergeCell ref="A66:D66"/>
    <mergeCell ref="E66:L66"/>
    <mergeCell ref="A67:L67"/>
    <mergeCell ref="A68:C68"/>
    <mergeCell ref="D68:L68"/>
    <mergeCell ref="A69:L69"/>
    <mergeCell ref="A70:C70"/>
    <mergeCell ref="D70:L70"/>
    <mergeCell ref="A71:L71"/>
    <mergeCell ref="A72:G72"/>
    <mergeCell ref="H72:L72"/>
    <mergeCell ref="K3:L3"/>
    <mergeCell ref="F5:G5"/>
    <mergeCell ref="A95:L95"/>
    <mergeCell ref="A96:L96"/>
    <mergeCell ref="A97:L97"/>
    <mergeCell ref="A98:L98"/>
    <mergeCell ref="A92:L92"/>
    <mergeCell ref="K93:L93"/>
    <mergeCell ref="A94:L94"/>
    <mergeCell ref="A93:J93"/>
    <mergeCell ref="A88:I88"/>
    <mergeCell ref="K88:L88"/>
    <mergeCell ref="A89:L89"/>
    <mergeCell ref="A90:I90"/>
    <mergeCell ref="K90:L90"/>
    <mergeCell ref="A91:L91"/>
    <mergeCell ref="A74:L74"/>
    <mergeCell ref="A84:L84"/>
    <mergeCell ref="A85:I85"/>
    <mergeCell ref="K85:L85"/>
    <mergeCell ref="A86:L86"/>
    <mergeCell ref="A87:L87"/>
    <mergeCell ref="A77:L77"/>
    <mergeCell ref="A78:L78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9" max="11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07E-4C7C-4A15-BF4D-C58773B2CE06}"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107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9.149999999999999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21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7.45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345" t="s">
        <v>106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</row>
    <row r="38" spans="1:12" x14ac:dyDescent="0.25">
      <c r="A38" s="222" t="s">
        <v>6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</row>
    <row r="39" spans="1:12" ht="34.5" customHeight="1" x14ac:dyDescent="0.25">
      <c r="A39" s="240" t="s">
        <v>29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346"/>
      <c r="L39" s="346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273" t="s">
        <v>41</v>
      </c>
      <c r="L40" s="273"/>
    </row>
    <row r="41" spans="1:12" ht="29.25" customHeight="1" x14ac:dyDescent="0.25">
      <c r="A41" s="347"/>
      <c r="B41" s="347"/>
      <c r="C41" s="347"/>
      <c r="D41" s="347"/>
      <c r="E41" s="347"/>
      <c r="F41" s="347"/>
      <c r="G41" s="347"/>
      <c r="H41" s="5" t="s">
        <v>50</v>
      </c>
      <c r="I41" s="266"/>
      <c r="J41" s="266"/>
      <c r="K41" s="266"/>
      <c r="L41" s="266"/>
    </row>
    <row r="42" spans="1:12" x14ac:dyDescent="0.25">
      <c r="A42" s="222" t="s">
        <v>42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</row>
    <row r="43" spans="1:12" ht="15" customHeight="1" x14ac:dyDescent="0.25">
      <c r="A43" s="215" t="s">
        <v>28</v>
      </c>
      <c r="B43" s="215"/>
      <c r="C43" s="271"/>
      <c r="D43" s="271"/>
      <c r="E43" s="215" t="s">
        <v>53</v>
      </c>
      <c r="F43" s="215"/>
      <c r="G43" s="271" t="str">
        <f>IF(C43="","",C43)</f>
      </c>
      <c r="H43" s="271"/>
      <c r="I43" s="271"/>
      <c r="J43" s="271"/>
      <c r="K43" s="4"/>
      <c r="L43" s="4"/>
    </row>
    <row r="44" spans="1:12" x14ac:dyDescent="0.25">
      <c r="A44" s="233" t="s">
        <v>52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</row>
    <row r="45" spans="1:12" ht="15" customHeight="1" x14ac:dyDescent="0.25">
      <c r="A45" s="240" t="s">
        <v>30</v>
      </c>
      <c r="B45" s="240"/>
      <c r="C45" s="241"/>
      <c r="D45" s="241"/>
      <c r="E45" s="241"/>
      <c r="F45" s="5" t="s">
        <v>31</v>
      </c>
      <c r="G45" s="242"/>
      <c r="H45" s="242"/>
      <c r="I45" s="242"/>
      <c r="J45" s="242"/>
      <c r="K45" s="242"/>
      <c r="L45" s="24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42" t="str">
        <f>IF(C43="","",C43)</f>
      </c>
      <c r="B57" s="343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1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9.899999999999999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1.6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29:L29"/>
    <mergeCell ref="C30:L30"/>
    <mergeCell ref="A31:L31"/>
    <mergeCell ref="A37:L37"/>
    <mergeCell ref="A38:L38"/>
    <mergeCell ref="A39:J39"/>
    <mergeCell ref="K39:L39"/>
    <mergeCell ref="K40:L40"/>
    <mergeCell ref="A32:B32"/>
    <mergeCell ref="C32:L32"/>
    <mergeCell ref="A33:L33"/>
    <mergeCell ref="A34:L34"/>
    <mergeCell ref="A36:L36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4:L14"/>
    <mergeCell ref="K16:L16"/>
    <mergeCell ref="K17:L17"/>
    <mergeCell ref="A19:B19"/>
    <mergeCell ref="C19:F19"/>
    <mergeCell ref="H19:L19"/>
    <mergeCell ref="A16:G16"/>
    <mergeCell ref="A17:G17"/>
    <mergeCell ref="A41:G41"/>
    <mergeCell ref="I41:L41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45:B45"/>
    <mergeCell ref="C45:E45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59:L59"/>
    <mergeCell ref="A61:L61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60:D60"/>
    <mergeCell ref="E60:L60"/>
    <mergeCell ref="A77:L77"/>
    <mergeCell ref="A78:L78"/>
    <mergeCell ref="A79:L79"/>
    <mergeCell ref="A73:K73"/>
    <mergeCell ref="A80:C80"/>
    <mergeCell ref="D80:L80"/>
    <mergeCell ref="A81:L81"/>
    <mergeCell ref="A62:C62"/>
    <mergeCell ref="D62:L62"/>
    <mergeCell ref="A63:L63"/>
    <mergeCell ref="A71:L71"/>
    <mergeCell ref="A64:D64"/>
    <mergeCell ref="E64:L64"/>
    <mergeCell ref="A65:L65"/>
    <mergeCell ref="A66:C66"/>
    <mergeCell ref="D66:L66"/>
    <mergeCell ref="A67:L67"/>
    <mergeCell ref="A68:C68"/>
    <mergeCell ref="D68:L68"/>
    <mergeCell ref="A69:L69"/>
    <mergeCell ref="A70:G70"/>
    <mergeCell ref="H70:L70"/>
    <mergeCell ref="K3:L3"/>
    <mergeCell ref="F5:G5"/>
    <mergeCell ref="A93:L93"/>
    <mergeCell ref="A94:L94"/>
    <mergeCell ref="A95:L95"/>
    <mergeCell ref="A96:L96"/>
    <mergeCell ref="A90:L90"/>
    <mergeCell ref="A91:J91"/>
    <mergeCell ref="K91:L91"/>
    <mergeCell ref="A92:L92"/>
    <mergeCell ref="A86:I86"/>
    <mergeCell ref="K86:L86"/>
    <mergeCell ref="A87:L87"/>
    <mergeCell ref="A88:I88"/>
    <mergeCell ref="K88:L88"/>
    <mergeCell ref="A89:L89"/>
    <mergeCell ref="A72:L72"/>
    <mergeCell ref="A82:L82"/>
    <mergeCell ref="A83:I83"/>
    <mergeCell ref="K83:L83"/>
    <mergeCell ref="A84:L84"/>
    <mergeCell ref="A85:L85"/>
    <mergeCell ref="A75:L75"/>
    <mergeCell ref="A76:L76"/>
  </mergeCells>
  <pageMargins left="0.78740157480314965" right="0.39370078740157483" top="0.39370078740157483" bottom="0.39370078740157483" header="0" footer="0"/>
  <pageSetup paperSize="9" scale="79" fitToHeight="2" orientation="portrait" r:id="rId1"/>
  <rowBreaks count="1" manualBreakCount="1">
    <brk id="57" max="11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5B35-85DD-451D-B736-F732C566C914}">
  <sheetPr codeName="Лист20"/>
  <dimension ref="A1:L96"/>
  <sheetViews>
    <sheetView view="pageBreakPreview" zoomScaleNormal="100" zoomScaleSheetLayoutView="100" workbookViewId="0">
      <selection activeCell="A5" sqref="A1:XFD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'Провод СИП 3'!A9:L9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203</v>
      </c>
      <c r="B13" s="218"/>
      <c r="C13" s="218"/>
      <c r="D13" s="218"/>
      <c r="E13" s="218"/>
      <c r="F13" s="218"/>
      <c r="G13" s="219" t="str">
        <f>IF('Провод СИП 3'!G13="","",'Провод СИП 3'!G13)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'Провод СИП 3'!K16:L16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2.15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15" t="s">
        <v>16</v>
      </c>
      <c r="B25" s="215"/>
      <c r="C25" s="215"/>
    </row>
    <row r="26" spans="1:12" ht="22.15" customHeight="1" x14ac:dyDescent="0.25"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22" t="s">
        <v>2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</row>
    <row r="28" spans="1:12" ht="19.899999999999999" customHeight="1" x14ac:dyDescent="0.25"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22" t="s">
        <v>2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</row>
    <row r="30" spans="1:12" ht="19.899999999999999" customHeight="1" x14ac:dyDescent="0.25"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22" t="s">
        <v>2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</row>
    <row r="32" spans="1:12" ht="16.5" customHeight="1" x14ac:dyDescent="0.25">
      <c r="A32" s="228" t="s">
        <v>36</v>
      </c>
      <c r="B32" s="228"/>
      <c r="C32" s="229" t="str">
        <f>IF('Данные объект'!B51="","",'Данные объект'!B51)</f>
      </c>
      <c r="D32" s="229"/>
      <c r="E32" s="229"/>
      <c r="F32" s="229"/>
      <c r="G32" s="229"/>
      <c r="H32" s="229"/>
      <c r="I32" s="229"/>
      <c r="J32" s="229"/>
      <c r="K32" s="229"/>
      <c r="L32" s="229"/>
    </row>
    <row r="33" spans="1:12" x14ac:dyDescent="0.25">
      <c r="A33" s="222" t="s">
        <v>3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</row>
    <row r="34" spans="1:12" x14ac:dyDescent="0.25">
      <c r="A34" s="215" t="s">
        <v>4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</row>
    <row r="36" spans="1:12" x14ac:dyDescent="0.25">
      <c r="A36" s="215" t="s">
        <v>5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</row>
    <row r="37" spans="1:12" ht="29.25" customHeight="1" x14ac:dyDescent="0.25">
      <c r="A37" s="234" t="s">
        <v>96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 t="str">
        <f>IF(C43="","",C43)</f>
      </c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68" t="s">
        <v>32</v>
      </c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</row>
    <row r="47" spans="1:12" x14ac:dyDescent="0.25">
      <c r="A47" s="231" t="s">
        <v>33</v>
      </c>
      <c r="B47" s="231"/>
      <c r="C47" s="231"/>
      <c r="D47" s="231"/>
      <c r="E47" s="231"/>
      <c r="F47" s="274" t="s">
        <v>63</v>
      </c>
      <c r="G47" s="274"/>
      <c r="H47" s="274"/>
      <c r="I47" s="274"/>
      <c r="J47" s="274"/>
      <c r="K47" s="274"/>
      <c r="L47" s="274"/>
    </row>
    <row r="48" spans="1:12" x14ac:dyDescent="0.25">
      <c r="A48" s="230" t="s">
        <v>34</v>
      </c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spans="1:12" ht="15" customHeight="1" x14ac:dyDescent="0.25">
      <c r="A49" s="231" t="s">
        <v>7</v>
      </c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103"/>
    </row>
    <row r="50" spans="1:12" x14ac:dyDescent="0.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25">
      <c r="A51" s="280" t="s">
        <v>17</v>
      </c>
      <c r="B51" s="281"/>
      <c r="C51" s="281"/>
      <c r="D51" s="282"/>
      <c r="E51" s="280" t="s">
        <v>9</v>
      </c>
      <c r="F51" s="282"/>
      <c r="G51" s="280" t="s">
        <v>10</v>
      </c>
      <c r="H51" s="282"/>
      <c r="I51" s="280" t="s">
        <v>11</v>
      </c>
      <c r="J51" s="282"/>
      <c r="K51" s="287" t="s">
        <v>15</v>
      </c>
      <c r="L51" s="287" t="s">
        <v>12</v>
      </c>
    </row>
    <row r="52" spans="1:12" x14ac:dyDescent="0.25">
      <c r="A52" s="283"/>
      <c r="B52" s="238"/>
      <c r="C52" s="238"/>
      <c r="D52" s="284"/>
      <c r="E52" s="285"/>
      <c r="F52" s="286"/>
      <c r="G52" s="285"/>
      <c r="H52" s="286"/>
      <c r="I52" s="285"/>
      <c r="J52" s="286"/>
      <c r="K52" s="288"/>
      <c r="L52" s="288"/>
    </row>
    <row r="53" spans="1:12" x14ac:dyDescent="0.25">
      <c r="A53" s="280" t="s">
        <v>8</v>
      </c>
      <c r="B53" s="282"/>
      <c r="C53" s="280" t="s">
        <v>19</v>
      </c>
      <c r="D53" s="282"/>
      <c r="E53" s="285"/>
      <c r="F53" s="286"/>
      <c r="G53" s="285"/>
      <c r="H53" s="286"/>
      <c r="I53" s="285"/>
      <c r="J53" s="286"/>
      <c r="K53" s="288"/>
      <c r="L53" s="288"/>
    </row>
    <row r="54" spans="1:12" x14ac:dyDescent="0.25">
      <c r="A54" s="285"/>
      <c r="B54" s="286"/>
      <c r="C54" s="285"/>
      <c r="D54" s="286"/>
      <c r="E54" s="285"/>
      <c r="F54" s="286"/>
      <c r="G54" s="285"/>
      <c r="H54" s="286"/>
      <c r="I54" s="285"/>
      <c r="J54" s="286"/>
      <c r="K54" s="288"/>
      <c r="L54" s="288"/>
    </row>
    <row r="55" spans="1:12" x14ac:dyDescent="0.25">
      <c r="A55" s="283"/>
      <c r="B55" s="284"/>
      <c r="C55" s="283"/>
      <c r="D55" s="284"/>
      <c r="E55" s="283"/>
      <c r="F55" s="284"/>
      <c r="G55" s="283"/>
      <c r="H55" s="284"/>
      <c r="I55" s="283"/>
      <c r="J55" s="284"/>
      <c r="K55" s="289"/>
      <c r="L55" s="289"/>
    </row>
    <row r="56" spans="1:12" x14ac:dyDescent="0.25">
      <c r="A56" s="269">
        <v>1</v>
      </c>
      <c r="B56" s="269"/>
      <c r="C56" s="269">
        <v>2</v>
      </c>
      <c r="D56" s="269"/>
      <c r="E56" s="269">
        <v>3</v>
      </c>
      <c r="F56" s="269"/>
      <c r="G56" s="269">
        <v>4</v>
      </c>
      <c r="H56" s="269"/>
      <c r="I56" s="269">
        <v>5</v>
      </c>
      <c r="J56" s="269"/>
      <c r="K56" s="107">
        <v>6</v>
      </c>
      <c r="L56" s="107">
        <v>7</v>
      </c>
    </row>
    <row r="57" spans="1:12" ht="26.45" customHeight="1" x14ac:dyDescent="0.25">
      <c r="A57" s="291" t="str">
        <f>IF(C43="","",C43)</f>
      </c>
      <c r="B57" s="292"/>
      <c r="C57" s="291" t="s">
        <v>38</v>
      </c>
      <c r="D57" s="292"/>
      <c r="E57" s="291" t="s">
        <v>39</v>
      </c>
      <c r="F57" s="292"/>
      <c r="G57" s="291" t="s">
        <v>38</v>
      </c>
      <c r="H57" s="292"/>
      <c r="I57" s="291" t="s">
        <v>38</v>
      </c>
      <c r="J57" s="292"/>
      <c r="K57" s="107" t="s">
        <v>38</v>
      </c>
      <c r="L57" s="107" t="s">
        <v>18</v>
      </c>
    </row>
    <row r="58" spans="1:1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x14ac:dyDescent="0.25">
      <c r="A59" s="235" t="s">
        <v>13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4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18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A81:L81"/>
    <mergeCell ref="A14:L14"/>
    <mergeCell ref="K16:L16"/>
    <mergeCell ref="K17:L17"/>
    <mergeCell ref="A19:B19"/>
    <mergeCell ref="C19:F19"/>
    <mergeCell ref="H19:L19"/>
    <mergeCell ref="A29:L29"/>
    <mergeCell ref="C30:L30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45:B45"/>
    <mergeCell ref="C45:E45"/>
    <mergeCell ref="I6:K6"/>
    <mergeCell ref="I7:K7"/>
    <mergeCell ref="A8:L8"/>
    <mergeCell ref="A9:L9"/>
    <mergeCell ref="A11:L11"/>
    <mergeCell ref="A13:F13"/>
    <mergeCell ref="G13:L13"/>
    <mergeCell ref="A27:L27"/>
    <mergeCell ref="C28:L28"/>
    <mergeCell ref="C20:F20"/>
    <mergeCell ref="A22:B22"/>
    <mergeCell ref="C22:L22"/>
    <mergeCell ref="A23:L23"/>
    <mergeCell ref="A25:C25"/>
    <mergeCell ref="C26:L26"/>
    <mergeCell ref="A16:G16"/>
    <mergeCell ref="A17:G17"/>
    <mergeCell ref="G45:L45"/>
    <mergeCell ref="A46:L46"/>
    <mergeCell ref="A47:E47"/>
    <mergeCell ref="F47:L47"/>
    <mergeCell ref="A42:L42"/>
    <mergeCell ref="A43:B43"/>
    <mergeCell ref="C43:D43"/>
    <mergeCell ref="E43:F43"/>
    <mergeCell ref="G43:J43"/>
    <mergeCell ref="A44:L44"/>
    <mergeCell ref="A48:L48"/>
    <mergeCell ref="A49:K49"/>
    <mergeCell ref="A51:D52"/>
    <mergeCell ref="E51:F55"/>
    <mergeCell ref="G51:H55"/>
    <mergeCell ref="I51:J55"/>
    <mergeCell ref="K51:K55"/>
    <mergeCell ref="L51:L55"/>
    <mergeCell ref="A53:B55"/>
    <mergeCell ref="C53:D55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80:C80"/>
    <mergeCell ref="A61:L61"/>
    <mergeCell ref="A60:D60"/>
    <mergeCell ref="E60:L60"/>
    <mergeCell ref="A62:C62"/>
    <mergeCell ref="D62:L62"/>
    <mergeCell ref="A63:L63"/>
    <mergeCell ref="A64:D64"/>
    <mergeCell ref="E64:L64"/>
    <mergeCell ref="A65:L65"/>
    <mergeCell ref="D80:L80"/>
    <mergeCell ref="A68:C68"/>
    <mergeCell ref="A75:L75"/>
    <mergeCell ref="A76:L76"/>
    <mergeCell ref="A77:L77"/>
    <mergeCell ref="A78:L78"/>
    <mergeCell ref="A79:L79"/>
    <mergeCell ref="A71:L71"/>
    <mergeCell ref="D68:L68"/>
    <mergeCell ref="A69:L69"/>
    <mergeCell ref="A70:G70"/>
    <mergeCell ref="H70:L70"/>
    <mergeCell ref="A72:L72"/>
    <mergeCell ref="A73:K73"/>
    <mergeCell ref="K3:L3"/>
    <mergeCell ref="F5:G5"/>
    <mergeCell ref="A94:L94"/>
    <mergeCell ref="A95:L95"/>
    <mergeCell ref="A96:L96"/>
    <mergeCell ref="A92:L92"/>
    <mergeCell ref="A93:L93"/>
    <mergeCell ref="A90:L90"/>
    <mergeCell ref="K91:L91"/>
    <mergeCell ref="A87:L87"/>
    <mergeCell ref="A88:I88"/>
    <mergeCell ref="K88:L88"/>
    <mergeCell ref="A89:L89"/>
    <mergeCell ref="A91:J91"/>
    <mergeCell ref="A82:L82"/>
    <mergeCell ref="A83:I83"/>
    <mergeCell ref="K83:L83"/>
    <mergeCell ref="A84:L84"/>
    <mergeCell ref="A85:L85"/>
    <mergeCell ref="A86:I86"/>
    <mergeCell ref="K86:L86"/>
    <mergeCell ref="A66:C66"/>
    <mergeCell ref="D66:L66"/>
    <mergeCell ref="A67:L6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6E1B-111A-44D8-A8F6-54FE16EE1C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B14B-958C-417B-99F9-FAA187ED679D}">
  <dimension ref="A1:L96"/>
  <sheetViews>
    <sheetView view="pageBreakPreview" zoomScaleNormal="100" zoomScaleSheetLayoutView="100" workbookViewId="0">
      <selection activeCell="F5" sqref="F5:G5"/>
    </sheetView>
  </sheetViews>
  <sheetFormatPr defaultColWidth="9.140625" defaultRowHeight="15" x14ac:dyDescent="0.25"/>
  <cols>
    <col min="1" max="2" width="8.5703125" style="1" customWidth="1"/>
    <col min="3" max="3" width="12.140625" style="1" customWidth="1"/>
    <col min="4" max="4" width="9.7109375" style="1" customWidth="1"/>
    <col min="5" max="6" width="7.85546875" style="1" customWidth="1"/>
    <col min="7" max="8" width="6.85546875" style="1" customWidth="1"/>
    <col min="9" max="9" width="9.140625" style="1"/>
    <col min="10" max="10" width="5.42578125" style="1" customWidth="1"/>
    <col min="11" max="11" width="14" style="1" customWidth="1"/>
    <col min="12" max="12" width="15.28515625" style="1" customWidth="1"/>
    <col min="13" max="13" width="6.85546875" style="1" customWidth="1"/>
    <col min="14" max="16384" width="9.140625" style="1"/>
  </cols>
  <sheetData>
    <row r="1" spans="1:12" ht="35.25" customHeight="1" x14ac:dyDescent="0.25">
      <c r="K1" s="1" t="s">
        <v>210</v>
      </c>
    </row>
    <row r="2" spans="1:12" ht="14.25" customHeight="1" x14ac:dyDescent="0.25"/>
    <row r="3" spans="1:12" x14ac:dyDescent="0.25">
      <c r="K3" s="262"/>
      <c r="L3" s="262"/>
    </row>
    <row r="4" spans="1:12" ht="27.6" customHeight="1" x14ac:dyDescent="0.25"/>
    <row r="5" spans="1:12" ht="18.75" x14ac:dyDescent="0.25">
      <c r="F5" s="263" t="s">
        <v>212</v>
      </c>
      <c r="G5" s="263"/>
      <c r="K5" s="1" t="s">
        <v>211</v>
      </c>
    </row>
    <row r="6" spans="1:12" ht="35.25" customHeight="1" x14ac:dyDescent="0.25">
      <c r="I6" s="211" t="s">
        <v>40</v>
      </c>
      <c r="J6" s="212"/>
      <c r="K6" s="213"/>
    </row>
    <row r="7" spans="1:12" ht="14.25" customHeight="1" x14ac:dyDescent="0.25">
      <c r="I7" s="214" t="s">
        <v>37</v>
      </c>
      <c r="J7" s="214"/>
      <c r="K7" s="214"/>
      <c r="L7" s="6"/>
    </row>
    <row r="8" spans="1:12" x14ac:dyDescent="0.25">
      <c r="A8" s="215" t="s">
        <v>51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</row>
    <row r="9" spans="1:12" ht="27.6" customHeight="1" x14ac:dyDescent="0.25">
      <c r="A9" s="216" t="str">
        <f>IF('Данные объект'!B3="","",'Данные объект'!B3)</f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12" x14ac:dyDescent="0.25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</row>
    <row r="13" spans="1:12" ht="15.75" x14ac:dyDescent="0.25">
      <c r="A13" s="218" t="s">
        <v>204</v>
      </c>
      <c r="B13" s="218"/>
      <c r="C13" s="218"/>
      <c r="D13" s="218"/>
      <c r="E13" s="218"/>
      <c r="F13" s="218"/>
      <c r="G13" s="219" t="str">
        <f>IF('Данные объект'!B2="","",'Данные объект'!B2)</f>
      </c>
      <c r="H13" s="219"/>
      <c r="I13" s="219"/>
      <c r="J13" s="219"/>
      <c r="K13" s="219"/>
      <c r="L13" s="219"/>
    </row>
    <row r="14" spans="1:12" ht="15.75" x14ac:dyDescent="0.25">
      <c r="A14" s="223" t="s">
        <v>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</row>
    <row r="16" spans="1:12" ht="30.75" customHeight="1" x14ac:dyDescent="0.25">
      <c r="A16" s="227" t="str">
        <f>IF('Данные объект'!B5="","",'Данные объект'!B5)</f>
      </c>
      <c r="B16" s="227"/>
      <c r="C16" s="227"/>
      <c r="D16" s="227"/>
      <c r="E16" s="227"/>
      <c r="F16" s="227"/>
      <c r="G16" s="227"/>
      <c r="K16" s="224" t="str">
        <f>IF('Данные объект'!B6="","",'Данные объект'!B6)</f>
      </c>
      <c r="L16" s="224"/>
    </row>
    <row r="17" spans="1:12" x14ac:dyDescent="0.25">
      <c r="A17" s="220" t="s">
        <v>1</v>
      </c>
      <c r="B17" s="220"/>
      <c r="C17" s="220"/>
      <c r="D17" s="220"/>
      <c r="E17" s="220"/>
      <c r="F17" s="220"/>
      <c r="G17" s="220"/>
      <c r="K17" s="220" t="s">
        <v>26</v>
      </c>
      <c r="L17" s="220"/>
    </row>
    <row r="19" spans="1:12" ht="18.75" customHeight="1" x14ac:dyDescent="0.25">
      <c r="A19" s="215" t="s">
        <v>27</v>
      </c>
      <c r="B19" s="215"/>
      <c r="C19" s="225" t="str">
        <f>'Провод СИП 3'!C19:G19</f>
      </c>
      <c r="D19" s="225"/>
      <c r="E19" s="225"/>
      <c r="F19" s="225"/>
      <c r="G19" s="14"/>
      <c r="H19" s="226" t="str">
        <f>IF('Данные объект'!B43="","",'Данные объект'!B43)</f>
      </c>
      <c r="I19" s="226"/>
      <c r="J19" s="226"/>
      <c r="K19" s="226"/>
      <c r="L19" s="226"/>
    </row>
    <row r="20" spans="1:12" x14ac:dyDescent="0.25">
      <c r="A20" s="9"/>
      <c r="B20" s="9"/>
      <c r="C20" s="220" t="s">
        <v>25</v>
      </c>
      <c r="D20" s="220"/>
      <c r="E20" s="220"/>
      <c r="F20" s="220"/>
      <c r="G20" s="9"/>
      <c r="H20" s="9"/>
      <c r="I20" s="9"/>
      <c r="J20" s="9"/>
      <c r="K20" s="9"/>
      <c r="L20" s="9"/>
    </row>
    <row r="21" spans="1:12" x14ac:dyDescent="0.2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1" customHeight="1" x14ac:dyDescent="0.25">
      <c r="A22" s="215" t="s">
        <v>46</v>
      </c>
      <c r="B22" s="215"/>
      <c r="C22" s="221" t="str">
        <f>IF('Данные объект'!C45="","",'Данные объект'!C45)</f>
      </c>
      <c r="D22" s="221"/>
      <c r="E22" s="221"/>
      <c r="F22" s="221"/>
      <c r="G22" s="221"/>
      <c r="H22" s="221"/>
      <c r="I22" s="221"/>
      <c r="J22" s="221"/>
      <c r="K22" s="221"/>
      <c r="L22" s="221"/>
    </row>
    <row r="23" spans="1:12" x14ac:dyDescent="0.25">
      <c r="A23" s="222" t="s">
        <v>2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231" t="s">
        <v>16</v>
      </c>
      <c r="B25" s="231"/>
      <c r="C25" s="231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ht="24" customHeight="1" x14ac:dyDescent="0.25">
      <c r="A26" s="103"/>
      <c r="B26" s="103"/>
      <c r="C26" s="221" t="str">
        <f>IF('Данные объект'!C47="","",'Данные объект'!C47)</f>
      </c>
      <c r="D26" s="221"/>
      <c r="E26" s="221"/>
      <c r="F26" s="221"/>
      <c r="G26" s="221"/>
      <c r="H26" s="221"/>
      <c r="I26" s="221"/>
      <c r="J26" s="221"/>
      <c r="K26" s="221"/>
      <c r="L26" s="221"/>
    </row>
    <row r="27" spans="1:12" ht="15" customHeight="1" x14ac:dyDescent="0.25">
      <c r="A27" s="230" t="s">
        <v>2</v>
      </c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spans="1:12" ht="21.6" customHeight="1" x14ac:dyDescent="0.25">
      <c r="A28" s="103"/>
      <c r="B28" s="103"/>
      <c r="C28" s="221" t="str">
        <f>IF('Данные объект'!C49="","",'Данные объект'!C49)</f>
      </c>
      <c r="D28" s="221"/>
      <c r="E28" s="221"/>
      <c r="F28" s="221"/>
      <c r="G28" s="221"/>
      <c r="H28" s="221"/>
      <c r="I28" s="221"/>
      <c r="J28" s="221"/>
      <c r="K28" s="221"/>
      <c r="L28" s="221"/>
    </row>
    <row r="29" spans="1:12" ht="15" customHeight="1" x14ac:dyDescent="0.25">
      <c r="A29" s="230" t="s">
        <v>2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spans="1:12" ht="20.45" customHeight="1" x14ac:dyDescent="0.25">
      <c r="A30" s="103"/>
      <c r="B30" s="103"/>
      <c r="C30" s="221" t="str">
        <f>IF('Данные объект'!B32="","",'Данные объект'!B32)</f>
      </c>
      <c r="D30" s="221"/>
      <c r="E30" s="221"/>
      <c r="F30" s="221"/>
      <c r="G30" s="221"/>
      <c r="H30" s="221"/>
      <c r="I30" s="221"/>
      <c r="J30" s="221"/>
      <c r="K30" s="221"/>
      <c r="L30" s="221"/>
    </row>
    <row r="31" spans="1:12" ht="15" customHeight="1" x14ac:dyDescent="0.25">
      <c r="A31" s="230" t="s">
        <v>2</v>
      </c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spans="1:12" ht="16.5" customHeight="1" x14ac:dyDescent="0.25">
      <c r="A32" s="278" t="s">
        <v>36</v>
      </c>
      <c r="B32" s="278"/>
      <c r="C32" s="279" t="str">
        <f>IF('Данные объект'!B51="","",'Данные объект'!B51)</f>
      </c>
      <c r="D32" s="279"/>
      <c r="E32" s="279"/>
      <c r="F32" s="279"/>
      <c r="G32" s="279"/>
      <c r="H32" s="279"/>
      <c r="I32" s="279"/>
      <c r="J32" s="279"/>
      <c r="K32" s="279"/>
      <c r="L32" s="279"/>
    </row>
    <row r="33" spans="1:12" x14ac:dyDescent="0.25">
      <c r="A33" s="230" t="s">
        <v>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1" t="s">
        <v>4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</row>
    <row r="35" spans="1:12" x14ac:dyDescent="0.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</row>
    <row r="36" spans="1:12" x14ac:dyDescent="0.25">
      <c r="A36" s="231" t="s">
        <v>5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</row>
    <row r="37" spans="1:12" ht="29.25" customHeight="1" x14ac:dyDescent="0.25">
      <c r="A37" s="234" t="s">
        <v>171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</row>
    <row r="38" spans="1:12" x14ac:dyDescent="0.25">
      <c r="A38" s="230" t="s">
        <v>6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spans="1:12" ht="34.5" customHeight="1" x14ac:dyDescent="0.25">
      <c r="A39" s="235" t="s">
        <v>29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6"/>
      <c r="L39" s="236"/>
    </row>
    <row r="40" spans="1:12" x14ac:dyDescent="0.25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237" t="s">
        <v>41</v>
      </c>
      <c r="L40" s="237"/>
    </row>
    <row r="41" spans="1:12" ht="29.25" customHeight="1" x14ac:dyDescent="0.25">
      <c r="A41" s="238"/>
      <c r="B41" s="238"/>
      <c r="C41" s="238"/>
      <c r="D41" s="238"/>
      <c r="E41" s="238"/>
      <c r="F41" s="238"/>
      <c r="G41" s="238"/>
      <c r="H41" s="105" t="s">
        <v>50</v>
      </c>
      <c r="I41" s="232"/>
      <c r="J41" s="232"/>
      <c r="K41" s="232"/>
      <c r="L41" s="232"/>
    </row>
    <row r="42" spans="1:12" x14ac:dyDescent="0.25">
      <c r="A42" s="230" t="s">
        <v>42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1:12" ht="15" customHeight="1" x14ac:dyDescent="0.25">
      <c r="A43" s="231" t="s">
        <v>28</v>
      </c>
      <c r="B43" s="231"/>
      <c r="C43" s="232"/>
      <c r="D43" s="232"/>
      <c r="E43" s="231" t="s">
        <v>53</v>
      </c>
      <c r="F43" s="231"/>
      <c r="G43" s="232"/>
      <c r="H43" s="232"/>
      <c r="I43" s="232"/>
      <c r="J43" s="232"/>
      <c r="K43" s="106"/>
      <c r="L43" s="106"/>
    </row>
    <row r="44" spans="1:12" x14ac:dyDescent="0.25">
      <c r="A44" s="268" t="s">
        <v>52</v>
      </c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</row>
    <row r="45" spans="1:12" ht="15" customHeight="1" x14ac:dyDescent="0.25">
      <c r="A45" s="235" t="s">
        <v>30</v>
      </c>
      <c r="B45" s="235"/>
      <c r="C45" s="238"/>
      <c r="D45" s="238"/>
      <c r="E45" s="238"/>
      <c r="F45" s="105" t="s">
        <v>31</v>
      </c>
      <c r="G45" s="232"/>
      <c r="H45" s="232"/>
      <c r="I45" s="232"/>
      <c r="J45" s="232"/>
      <c r="K45" s="232"/>
      <c r="L45" s="232"/>
    </row>
    <row r="46" spans="1:12" ht="15" customHeight="1" x14ac:dyDescent="0.25">
      <c r="A46" s="233" t="s">
        <v>32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</row>
    <row r="47" spans="1:12" x14ac:dyDescent="0.25">
      <c r="A47" s="215" t="s">
        <v>33</v>
      </c>
      <c r="B47" s="215"/>
      <c r="C47" s="215"/>
      <c r="D47" s="215"/>
      <c r="E47" s="215"/>
      <c r="F47" s="243" t="s">
        <v>63</v>
      </c>
      <c r="G47" s="243"/>
      <c r="H47" s="243"/>
      <c r="I47" s="243"/>
      <c r="J47" s="243"/>
      <c r="K47" s="243"/>
      <c r="L47" s="243"/>
    </row>
    <row r="48" spans="1:12" x14ac:dyDescent="0.25">
      <c r="A48" s="222" t="s">
        <v>34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spans="1:12" ht="15" customHeight="1" x14ac:dyDescent="0.25">
      <c r="A49" s="215" t="s">
        <v>7</v>
      </c>
      <c r="B49" s="215"/>
      <c r="C49" s="215"/>
      <c r="D49" s="215"/>
      <c r="E49" s="215"/>
      <c r="F49" s="215"/>
      <c r="G49" s="215"/>
      <c r="H49" s="215"/>
      <c r="I49" s="215"/>
      <c r="J49" s="215"/>
      <c r="K49" s="215"/>
    </row>
    <row r="51" spans="1:12" x14ac:dyDescent="0.25">
      <c r="A51" s="244" t="s">
        <v>17</v>
      </c>
      <c r="B51" s="245"/>
      <c r="C51" s="245"/>
      <c r="D51" s="246"/>
      <c r="E51" s="244" t="s">
        <v>9</v>
      </c>
      <c r="F51" s="246"/>
      <c r="G51" s="244" t="s">
        <v>10</v>
      </c>
      <c r="H51" s="246"/>
      <c r="I51" s="244" t="s">
        <v>11</v>
      </c>
      <c r="J51" s="246"/>
      <c r="K51" s="251" t="s">
        <v>15</v>
      </c>
      <c r="L51" s="251" t="s">
        <v>12</v>
      </c>
    </row>
    <row r="52" spans="1:12" x14ac:dyDescent="0.25">
      <c r="A52" s="247"/>
      <c r="B52" s="241"/>
      <c r="C52" s="241"/>
      <c r="D52" s="248"/>
      <c r="E52" s="249"/>
      <c r="F52" s="250"/>
      <c r="G52" s="249"/>
      <c r="H52" s="250"/>
      <c r="I52" s="249"/>
      <c r="J52" s="250"/>
      <c r="K52" s="252"/>
      <c r="L52" s="252"/>
    </row>
    <row r="53" spans="1:12" x14ac:dyDescent="0.25">
      <c r="A53" s="244" t="s">
        <v>8</v>
      </c>
      <c r="B53" s="246"/>
      <c r="C53" s="244" t="s">
        <v>19</v>
      </c>
      <c r="D53" s="246"/>
      <c r="E53" s="249"/>
      <c r="F53" s="250"/>
      <c r="G53" s="249"/>
      <c r="H53" s="250"/>
      <c r="I53" s="249"/>
      <c r="J53" s="250"/>
      <c r="K53" s="252"/>
      <c r="L53" s="252"/>
    </row>
    <row r="54" spans="1:12" x14ac:dyDescent="0.25">
      <c r="A54" s="249"/>
      <c r="B54" s="250"/>
      <c r="C54" s="249"/>
      <c r="D54" s="250"/>
      <c r="E54" s="249"/>
      <c r="F54" s="250"/>
      <c r="G54" s="249"/>
      <c r="H54" s="250"/>
      <c r="I54" s="249"/>
      <c r="J54" s="250"/>
      <c r="K54" s="252"/>
      <c r="L54" s="252"/>
    </row>
    <row r="55" spans="1:12" x14ac:dyDescent="0.25">
      <c r="A55" s="247"/>
      <c r="B55" s="248"/>
      <c r="C55" s="247"/>
      <c r="D55" s="248"/>
      <c r="E55" s="247"/>
      <c r="F55" s="248"/>
      <c r="G55" s="247"/>
      <c r="H55" s="248"/>
      <c r="I55" s="247"/>
      <c r="J55" s="248"/>
      <c r="K55" s="253"/>
      <c r="L55" s="253"/>
    </row>
    <row r="56" spans="1:12" x14ac:dyDescent="0.25">
      <c r="A56" s="239">
        <v>1</v>
      </c>
      <c r="B56" s="239"/>
      <c r="C56" s="239">
        <v>2</v>
      </c>
      <c r="D56" s="239"/>
      <c r="E56" s="239">
        <v>3</v>
      </c>
      <c r="F56" s="239"/>
      <c r="G56" s="239">
        <v>4</v>
      </c>
      <c r="H56" s="239"/>
      <c r="I56" s="239">
        <v>5</v>
      </c>
      <c r="J56" s="239"/>
      <c r="K56" s="11">
        <v>6</v>
      </c>
      <c r="L56" s="11">
        <v>7</v>
      </c>
    </row>
    <row r="57" spans="1:12" ht="26.45" customHeight="1" x14ac:dyDescent="0.25">
      <c r="A57" s="350" t="str">
        <f>IF(C43="","",C43)</f>
      </c>
      <c r="B57" s="351"/>
      <c r="C57" s="276" t="s">
        <v>38</v>
      </c>
      <c r="D57" s="277"/>
      <c r="E57" s="276" t="s">
        <v>39</v>
      </c>
      <c r="F57" s="277"/>
      <c r="G57" s="276" t="s">
        <v>38</v>
      </c>
      <c r="H57" s="277"/>
      <c r="I57" s="276" t="s">
        <v>38</v>
      </c>
      <c r="J57" s="277"/>
      <c r="K57" s="11" t="s">
        <v>38</v>
      </c>
      <c r="L57" s="11" t="s">
        <v>18</v>
      </c>
    </row>
    <row r="58" spans="1:12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x14ac:dyDescent="0.25">
      <c r="A59" s="240" t="s">
        <v>13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</row>
    <row r="60" spans="1:12" x14ac:dyDescent="0.25">
      <c r="A60" s="215" t="s">
        <v>114</v>
      </c>
      <c r="B60" s="215"/>
      <c r="C60" s="215"/>
      <c r="D60" s="215"/>
      <c r="E60" s="255" t="s">
        <v>59</v>
      </c>
      <c r="F60" s="255"/>
      <c r="G60" s="255"/>
      <c r="H60" s="255"/>
      <c r="I60" s="255"/>
      <c r="J60" s="255"/>
      <c r="K60" s="255"/>
      <c r="L60" s="255"/>
    </row>
    <row r="61" spans="1:12" x14ac:dyDescent="0.25">
      <c r="A61" s="222" t="s">
        <v>20</v>
      </c>
      <c r="B61" s="222"/>
      <c r="C61" s="222"/>
      <c r="D61" s="222"/>
      <c r="E61" s="220"/>
      <c r="F61" s="220"/>
      <c r="G61" s="220"/>
      <c r="H61" s="220"/>
      <c r="I61" s="220"/>
      <c r="J61" s="220"/>
      <c r="K61" s="220"/>
      <c r="L61" s="220"/>
    </row>
    <row r="62" spans="1:12" x14ac:dyDescent="0.25">
      <c r="A62" s="215" t="s">
        <v>56</v>
      </c>
      <c r="B62" s="215"/>
      <c r="C62" s="215"/>
      <c r="D62" s="255" t="s">
        <v>59</v>
      </c>
      <c r="E62" s="255"/>
      <c r="F62" s="255"/>
      <c r="G62" s="255"/>
      <c r="H62" s="255"/>
      <c r="I62" s="255"/>
      <c r="J62" s="255"/>
      <c r="K62" s="255"/>
      <c r="L62" s="255"/>
    </row>
    <row r="63" spans="1:12" x14ac:dyDescent="0.25">
      <c r="A63" s="222" t="s">
        <v>43</v>
      </c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spans="1:12" x14ac:dyDescent="0.25">
      <c r="A64" s="215" t="s">
        <v>55</v>
      </c>
      <c r="B64" s="215"/>
      <c r="C64" s="215"/>
      <c r="D64" s="215"/>
      <c r="E64" s="255" t="s">
        <v>59</v>
      </c>
      <c r="F64" s="255"/>
      <c r="G64" s="255"/>
      <c r="H64" s="255"/>
      <c r="I64" s="255"/>
      <c r="J64" s="255"/>
      <c r="K64" s="255"/>
      <c r="L64" s="255"/>
    </row>
    <row r="65" spans="1:12" x14ac:dyDescent="0.25">
      <c r="A65" s="222" t="s">
        <v>44</v>
      </c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spans="1:12" x14ac:dyDescent="0.25">
      <c r="A66" s="215" t="s">
        <v>54</v>
      </c>
      <c r="B66" s="215"/>
      <c r="C66" s="215"/>
      <c r="D66" s="225" t="s">
        <v>59</v>
      </c>
      <c r="E66" s="225"/>
      <c r="F66" s="225"/>
      <c r="G66" s="225"/>
      <c r="H66" s="225"/>
      <c r="I66" s="225"/>
      <c r="J66" s="225"/>
      <c r="K66" s="225"/>
      <c r="L66" s="225"/>
    </row>
    <row r="67" spans="1:12" x14ac:dyDescent="0.25">
      <c r="A67" s="222" t="s">
        <v>44</v>
      </c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</row>
    <row r="68" spans="1:12" x14ac:dyDescent="0.25">
      <c r="A68" s="215" t="s">
        <v>115</v>
      </c>
      <c r="B68" s="215"/>
      <c r="C68" s="215"/>
      <c r="D68" s="225" t="s">
        <v>38</v>
      </c>
      <c r="E68" s="225"/>
      <c r="F68" s="225"/>
      <c r="G68" s="225"/>
      <c r="H68" s="225"/>
      <c r="I68" s="225"/>
      <c r="J68" s="225"/>
      <c r="K68" s="225"/>
      <c r="L68" s="225"/>
    </row>
    <row r="69" spans="1:12" x14ac:dyDescent="0.25">
      <c r="A69" s="222" t="s">
        <v>116</v>
      </c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</row>
    <row r="70" spans="1:12" x14ac:dyDescent="0.25">
      <c r="A70" s="240" t="s">
        <v>57</v>
      </c>
      <c r="B70" s="240"/>
      <c r="C70" s="240"/>
      <c r="D70" s="240"/>
      <c r="E70" s="240"/>
      <c r="F70" s="240"/>
      <c r="G70" s="240"/>
      <c r="H70" s="256" t="s">
        <v>35</v>
      </c>
      <c r="I70" s="256"/>
      <c r="J70" s="256"/>
      <c r="K70" s="256"/>
      <c r="L70" s="256"/>
    </row>
    <row r="71" spans="1:12" x14ac:dyDescent="0.25">
      <c r="A71" s="233" t="s">
        <v>45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</row>
    <row r="72" spans="1:12" x14ac:dyDescent="0.25">
      <c r="A72" s="261" t="s">
        <v>117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</row>
    <row r="73" spans="1:12" x14ac:dyDescent="0.25">
      <c r="A73" s="233" t="s">
        <v>47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</row>
    <row r="75" spans="1:12" x14ac:dyDescent="0.25">
      <c r="A75" s="215" t="s">
        <v>14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</row>
    <row r="76" spans="1:12" x14ac:dyDescent="0.25">
      <c r="A76" s="259" t="s">
        <v>60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</row>
    <row r="77" spans="1:12" ht="12.75" customHeight="1" x14ac:dyDescent="0.25">
      <c r="A77" s="260" t="s">
        <v>62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</row>
    <row r="78" spans="1:12" ht="12.75" hidden="1" customHeight="1" x14ac:dyDescent="0.2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</row>
    <row r="79" spans="1:12" x14ac:dyDescent="0.25">
      <c r="A79" s="220" t="s">
        <v>61</v>
      </c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2" ht="14.45" customHeight="1" x14ac:dyDescent="0.25">
      <c r="A80" s="226" t="s">
        <v>118</v>
      </c>
      <c r="B80" s="226"/>
      <c r="C80" s="226"/>
      <c r="D80" s="255" t="s">
        <v>38</v>
      </c>
      <c r="E80" s="255"/>
      <c r="F80" s="255"/>
      <c r="G80" s="255"/>
      <c r="H80" s="255"/>
      <c r="I80" s="255"/>
      <c r="J80" s="255"/>
      <c r="K80" s="255"/>
      <c r="L80" s="255"/>
    </row>
    <row r="81" spans="1:12" ht="12.75" customHeight="1" x14ac:dyDescent="0.25">
      <c r="A81" s="222" t="s">
        <v>21</v>
      </c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</row>
    <row r="82" spans="1:12" ht="17.25" customHeight="1" x14ac:dyDescent="0.25">
      <c r="A82" s="265" t="s">
        <v>23</v>
      </c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</row>
    <row r="83" spans="1:12" ht="25.15" customHeight="1" x14ac:dyDescent="0.25">
      <c r="A83" s="257" t="str">
        <f>IF(C22="","",C22)</f>
      </c>
      <c r="B83" s="257"/>
      <c r="C83" s="257"/>
      <c r="D83" s="257"/>
      <c r="E83" s="257"/>
      <c r="F83" s="257"/>
      <c r="G83" s="257"/>
      <c r="H83" s="257"/>
      <c r="I83" s="257"/>
      <c r="J83" s="7"/>
      <c r="K83" s="258"/>
      <c r="L83" s="258"/>
    </row>
    <row r="84" spans="1:12" ht="11.25" customHeight="1" x14ac:dyDescent="0.25">
      <c r="A84" s="222" t="s">
        <v>48</v>
      </c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</row>
    <row r="85" spans="1:12" x14ac:dyDescent="0.25">
      <c r="A85" s="265" t="s">
        <v>22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</row>
    <row r="86" spans="1:12" ht="22.15" customHeight="1" x14ac:dyDescent="0.25">
      <c r="A86" s="257" t="str">
        <f>IF(C26="","",C26)</f>
      </c>
      <c r="B86" s="257"/>
      <c r="C86" s="257"/>
      <c r="D86" s="257"/>
      <c r="E86" s="257"/>
      <c r="F86" s="257"/>
      <c r="G86" s="257"/>
      <c r="H86" s="257"/>
      <c r="I86" s="257"/>
      <c r="J86" s="7"/>
      <c r="K86" s="258"/>
      <c r="L86" s="258"/>
    </row>
    <row r="87" spans="1:12" ht="12" customHeight="1" x14ac:dyDescent="0.25">
      <c r="A87" s="222" t="s">
        <v>48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</row>
    <row r="88" spans="1:12" ht="22.15" customHeight="1" x14ac:dyDescent="0.25">
      <c r="A88" s="257" t="str">
        <f>IF(C28="","",C28)</f>
      </c>
      <c r="B88" s="257"/>
      <c r="C88" s="257"/>
      <c r="D88" s="257"/>
      <c r="E88" s="257"/>
      <c r="F88" s="257"/>
      <c r="G88" s="257"/>
      <c r="H88" s="257"/>
      <c r="I88" s="257"/>
      <c r="J88" s="7"/>
      <c r="K88" s="258"/>
      <c r="L88" s="258"/>
    </row>
    <row r="89" spans="1:12" ht="11.25" customHeight="1" x14ac:dyDescent="0.25">
      <c r="A89" s="222" t="s">
        <v>48</v>
      </c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</row>
    <row r="90" spans="1:12" x14ac:dyDescent="0.25">
      <c r="A90" s="265" t="s">
        <v>49</v>
      </c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</row>
    <row r="91" spans="1:12" x14ac:dyDescent="0.25">
      <c r="A91" s="257" t="str">
        <f>IF(C30="","",C30)</f>
      </c>
      <c r="B91" s="257"/>
      <c r="C91" s="257"/>
      <c r="D91" s="257"/>
      <c r="E91" s="257"/>
      <c r="F91" s="257"/>
      <c r="G91" s="257"/>
      <c r="H91" s="257"/>
      <c r="I91" s="257"/>
      <c r="J91" s="257"/>
      <c r="K91" s="266"/>
      <c r="L91" s="266"/>
    </row>
    <row r="92" spans="1:12" x14ac:dyDescent="0.25">
      <c r="A92" s="222" t="s">
        <v>2</v>
      </c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</row>
    <row r="93" spans="1:12" x14ac:dyDescent="0.25">
      <c r="A93" s="265" t="s">
        <v>24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</row>
    <row r="94" spans="1:12" ht="10.5" customHeight="1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</row>
    <row r="95" spans="1:12" ht="13.5" customHeight="1" x14ac:dyDescent="0.2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</row>
    <row r="96" spans="1:12" x14ac:dyDescent="0.25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</row>
  </sheetData>
  <mergeCells count="120">
    <mergeCell ref="I6:K6"/>
    <mergeCell ref="I7:K7"/>
    <mergeCell ref="A8:L8"/>
    <mergeCell ref="A9:L9"/>
    <mergeCell ref="A11:L11"/>
    <mergeCell ref="A27:L27"/>
    <mergeCell ref="C28:L28"/>
    <mergeCell ref="A29:L29"/>
    <mergeCell ref="C20:F20"/>
    <mergeCell ref="A22:B22"/>
    <mergeCell ref="C22:L22"/>
    <mergeCell ref="A23:L23"/>
    <mergeCell ref="A25:C25"/>
    <mergeCell ref="C26:L26"/>
    <mergeCell ref="A14:L14"/>
    <mergeCell ref="K16:L16"/>
    <mergeCell ref="A17:G17"/>
    <mergeCell ref="A13:F13"/>
    <mergeCell ref="G13:L13"/>
    <mergeCell ref="A16:G16"/>
    <mergeCell ref="K17:L17"/>
    <mergeCell ref="A19:B19"/>
    <mergeCell ref="C19:F19"/>
    <mergeCell ref="H19:L19"/>
    <mergeCell ref="C30:L30"/>
    <mergeCell ref="A42:L42"/>
    <mergeCell ref="A62:C62"/>
    <mergeCell ref="D62:L62"/>
    <mergeCell ref="I57:J57"/>
    <mergeCell ref="A45:B45"/>
    <mergeCell ref="C45:E45"/>
    <mergeCell ref="G45:L45"/>
    <mergeCell ref="A46:L46"/>
    <mergeCell ref="A47:E47"/>
    <mergeCell ref="F47:L47"/>
    <mergeCell ref="A59:L59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A48:L48"/>
    <mergeCell ref="A49:K49"/>
    <mergeCell ref="A51:D52"/>
    <mergeCell ref="A31:L31"/>
    <mergeCell ref="A37:L37"/>
    <mergeCell ref="A38:L38"/>
    <mergeCell ref="A39:J39"/>
    <mergeCell ref="K39:L39"/>
    <mergeCell ref="K40:L40"/>
    <mergeCell ref="A41:G41"/>
    <mergeCell ref="I41:L41"/>
    <mergeCell ref="A32:B32"/>
    <mergeCell ref="C32:L32"/>
    <mergeCell ref="A33:L33"/>
    <mergeCell ref="A34:L34"/>
    <mergeCell ref="A36:L36"/>
    <mergeCell ref="A66:C66"/>
    <mergeCell ref="D66:L66"/>
    <mergeCell ref="A69:L69"/>
    <mergeCell ref="A70:G70"/>
    <mergeCell ref="H70:L70"/>
    <mergeCell ref="A43:B43"/>
    <mergeCell ref="C43:D43"/>
    <mergeCell ref="E43:F43"/>
    <mergeCell ref="G43:J43"/>
    <mergeCell ref="A44:L44"/>
    <mergeCell ref="D68:L68"/>
    <mergeCell ref="A82:L82"/>
    <mergeCell ref="A83:I83"/>
    <mergeCell ref="K83:L83"/>
    <mergeCell ref="A84:L84"/>
    <mergeCell ref="A85:L85"/>
    <mergeCell ref="I51:J55"/>
    <mergeCell ref="K51:K55"/>
    <mergeCell ref="L51:L55"/>
    <mergeCell ref="A53:B55"/>
    <mergeCell ref="C53:D55"/>
    <mergeCell ref="A60:D60"/>
    <mergeCell ref="E60:L60"/>
    <mergeCell ref="A80:C80"/>
    <mergeCell ref="D80:L80"/>
    <mergeCell ref="A61:L61"/>
    <mergeCell ref="A63:L63"/>
    <mergeCell ref="A64:D64"/>
    <mergeCell ref="E51:F55"/>
    <mergeCell ref="G51:H55"/>
    <mergeCell ref="A78:L78"/>
    <mergeCell ref="A79:L79"/>
    <mergeCell ref="A71:L71"/>
    <mergeCell ref="A68:C68"/>
    <mergeCell ref="A65:L65"/>
    <mergeCell ref="K3:L3"/>
    <mergeCell ref="F5:G5"/>
    <mergeCell ref="K88:L88"/>
    <mergeCell ref="E64:L64"/>
    <mergeCell ref="A96:L96"/>
    <mergeCell ref="A90:L90"/>
    <mergeCell ref="K91:L91"/>
    <mergeCell ref="A92:L92"/>
    <mergeCell ref="A94:L94"/>
    <mergeCell ref="A95:L95"/>
    <mergeCell ref="A93:L93"/>
    <mergeCell ref="A91:J91"/>
    <mergeCell ref="A86:I86"/>
    <mergeCell ref="K86:L86"/>
    <mergeCell ref="A87:L87"/>
    <mergeCell ref="A88:I88"/>
    <mergeCell ref="A89:L89"/>
    <mergeCell ref="A81:L81"/>
    <mergeCell ref="A75:L75"/>
    <mergeCell ref="A76:L76"/>
    <mergeCell ref="A77:L77"/>
    <mergeCell ref="A72:L72"/>
    <mergeCell ref="A73:K73"/>
    <mergeCell ref="A67:L67"/>
  </mergeCells>
  <pageMargins left="0.78740157480314965" right="0.39370078740157483" top="0.39370078740157483" bottom="0.39370078740157483" header="0" footer="0"/>
  <pageSetup paperSize="9" scale="78" fitToHeight="2" orientation="portrait" r:id="rId1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46</vt:i4>
      </vt:variant>
      <vt:variant>
        <vt:lpstr>Именованные диапазоны</vt:lpstr>
      </vt:variant>
      <vt:variant>
        <vt:i4>43</vt:i4>
      </vt:variant>
    </vt:vector>
  </HeadingPairs>
  <TitlesOfParts>
    <vt:vector size="89" baseType="lpstr">
      <vt:lpstr>Данные организации</vt:lpstr>
      <vt:lpstr>Данные объект</vt:lpstr>
      <vt:lpstr> Журнал АВК</vt:lpstr>
      <vt:lpstr>КТП</vt:lpstr>
      <vt:lpstr>ТМГ</vt:lpstr>
      <vt:lpstr>РЛК</vt:lpstr>
      <vt:lpstr>ПРВТ</vt:lpstr>
      <vt:lpstr>счетчик СТЭМ</vt:lpstr>
      <vt:lpstr>выключатели ВА</vt:lpstr>
      <vt:lpstr>стойки</vt:lpstr>
      <vt:lpstr>лин.армат 6-10к</vt:lpstr>
      <vt:lpstr>лин.армат 0,4</vt:lpstr>
      <vt:lpstr>ВРЩ</vt:lpstr>
      <vt:lpstr>изоляторы</vt:lpstr>
      <vt:lpstr> муфты </vt:lpstr>
      <vt:lpstr>ПКТ</vt:lpstr>
      <vt:lpstr>ТТ Т-0,66</vt:lpstr>
      <vt:lpstr>РМК</vt:lpstr>
      <vt:lpstr>КРН</vt:lpstr>
      <vt:lpstr>КСО</vt:lpstr>
      <vt:lpstr>ТОЛ</vt:lpstr>
      <vt:lpstr>Провод СИП 3</vt:lpstr>
      <vt:lpstr>Провод СИП 2</vt:lpstr>
      <vt:lpstr>провод Пувг</vt:lpstr>
      <vt:lpstr>провод ПВС</vt:lpstr>
      <vt:lpstr>каб.АСБ</vt:lpstr>
      <vt:lpstr>АВБшв</vt:lpstr>
      <vt:lpstr>КВВГ</vt:lpstr>
      <vt:lpstr> фунд.КТП</vt:lpstr>
      <vt:lpstr>труба</vt:lpstr>
      <vt:lpstr>песок</vt:lpstr>
      <vt:lpstr>краска</vt:lpstr>
      <vt:lpstr>уголок 50</vt:lpstr>
      <vt:lpstr>уголок  63</vt:lpstr>
      <vt:lpstr>пол.40х4</vt:lpstr>
      <vt:lpstr>пол.50х4</vt:lpstr>
      <vt:lpstr>арм. 10</vt:lpstr>
      <vt:lpstr>арм. 12</vt:lpstr>
      <vt:lpstr>арм. 8</vt:lpstr>
      <vt:lpstr>швеллер</vt:lpstr>
      <vt:lpstr>Профлист</vt:lpstr>
      <vt:lpstr>упл.каб.прох.</vt:lpstr>
      <vt:lpstr>сиг.лента</vt:lpstr>
      <vt:lpstr>ПЗК</vt:lpstr>
      <vt:lpstr>Лист1</vt:lpstr>
      <vt:lpstr>ПНД</vt:lpstr>
      <vt:lpstr>' Журнал АВК'!Область_печати</vt:lpstr>
      <vt:lpstr>' муфты '!Область_печати</vt:lpstr>
      <vt:lpstr>' фунд.КТП'!Область_печати</vt:lpstr>
      <vt:lpstr>АВБшв!Область_печати</vt:lpstr>
      <vt:lpstr>'арм. 10'!Область_печати</vt:lpstr>
      <vt:lpstr>'арм. 12'!Область_печати</vt:lpstr>
      <vt:lpstr>'арм. 8'!Область_печати</vt:lpstr>
      <vt:lpstr>ВРЩ!Область_печати</vt:lpstr>
      <vt:lpstr>'выключатели ВА'!Область_печати</vt:lpstr>
      <vt:lpstr>изоляторы!Область_печати</vt:lpstr>
      <vt:lpstr>каб.АСБ!Область_печати</vt:lpstr>
      <vt:lpstr>КВВГ!Область_печати</vt:lpstr>
      <vt:lpstr>краска!Область_печати</vt:lpstr>
      <vt:lpstr>КРН!Область_печати</vt:lpstr>
      <vt:lpstr>КСО!Область_печати</vt:lpstr>
      <vt:lpstr>КТП!Область_печати</vt:lpstr>
      <vt:lpstr>'лин.армат 0,4'!Область_печати</vt:lpstr>
      <vt:lpstr>'лин.армат 6-10к'!Область_печати</vt:lpstr>
      <vt:lpstr>песок!Область_печати</vt:lpstr>
      <vt:lpstr>ПЗК!Область_печати</vt:lpstr>
      <vt:lpstr>ПКТ!Область_печати</vt:lpstr>
      <vt:lpstr>ПНД!Область_печати</vt:lpstr>
      <vt:lpstr>пол.40х4!Область_печати</vt:lpstr>
      <vt:lpstr>пол.50х4!Область_печати</vt:lpstr>
      <vt:lpstr>ПРВТ!Область_печати</vt:lpstr>
      <vt:lpstr>'провод ПВС'!Область_печати</vt:lpstr>
      <vt:lpstr>'провод Пувг'!Область_печати</vt:lpstr>
      <vt:lpstr>'Провод СИП 2'!Область_печати</vt:lpstr>
      <vt:lpstr>'Провод СИП 3'!Область_печати</vt:lpstr>
      <vt:lpstr>Профлист!Область_печати</vt:lpstr>
      <vt:lpstr>РЛК!Область_печати</vt:lpstr>
      <vt:lpstr>РМК!Область_печати</vt:lpstr>
      <vt:lpstr>сиг.лента!Область_печати</vt:lpstr>
      <vt:lpstr>стойки!Область_печати</vt:lpstr>
      <vt:lpstr>'счетчик СТЭМ'!Область_печати</vt:lpstr>
      <vt:lpstr>ТМГ!Область_печати</vt:lpstr>
      <vt:lpstr>ТОЛ!Область_печати</vt:lpstr>
      <vt:lpstr>труба!Область_печати</vt:lpstr>
      <vt:lpstr>'ТТ Т-0,66'!Область_печати</vt:lpstr>
      <vt:lpstr>'уголок  63'!Область_печати</vt:lpstr>
      <vt:lpstr>'уголок 50'!Область_печати</vt:lpstr>
      <vt:lpstr>упл.каб.прох.!Область_печати</vt:lpstr>
      <vt:lpstr>швеллер!Область_печати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Docs</dc:creator>
  <cp:lastModifiedBy>Executive Docs</cp:lastModifiedBy>
</cp:coreProperties>
</file>