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0BE147D6-0780-4198-95BC-38B076A856B6}" xr6:coauthVersionLast="45" xr6:coauthVersionMax="45" xr10:uidLastSave="{00000000-0000-0000-0000-000000000000}"/>
  <bookViews>
    <workbookView xWindow="30612" yWindow="-108" windowWidth="30936" windowHeight="16896" activeTab="1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1'!$A$1:$E$86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1" i="6" l="1"/>
  <c r="B21" i="6"/>
  <c r="A21" i="6"/>
  <c r="K18" i="6"/>
  <c r="B18" i="6"/>
  <c r="A18" i="6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K20" i="6" l="1"/>
  <c r="B67" i="5" l="1"/>
  <c r="B20" i="6"/>
  <c r="A20" i="6"/>
  <c r="A19" i="6"/>
  <c r="A16" i="6"/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C22" i="3" l="1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75" i="1" l="1"/>
  <c r="C74" i="1" s="1"/>
  <c r="C73" i="1" s="1"/>
  <c r="C72" i="1" s="1"/>
  <c r="C71" i="1" s="1"/>
  <c r="C70" i="1" s="1"/>
  <c r="C69" i="1" s="1"/>
  <c r="C68" i="1" s="1"/>
  <c r="C67" i="1" s="1"/>
  <c r="C66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B60" i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A62" i="7" l="1"/>
  <c r="P70" i="7"/>
  <c r="E47" i="4"/>
  <c r="D83" i="1"/>
  <c r="B42" i="5" l="1"/>
  <c r="E42" i="4"/>
  <c r="N67" i="7"/>
  <c r="B42" i="4"/>
  <c r="B83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<sst xmlns="http://schemas.openxmlformats.org/spreadsheetml/2006/main" count="480" uniqueCount="354">
  <si>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</si>
  <si>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</si>
  <si>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</si>
  <si>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</si>
  <si>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</si>
  <si>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</si>
  <si>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</si>
  <si>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</si>
  <si>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</si>
  <si>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</si>
  <si>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</si>
  <si>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</si>
  <si>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</si>
  <si>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</si>
  <si>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</si>
  <si>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</si>
  <si>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</si>
  <si>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</si>
  <si>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</si>
  <si>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</si>
  <si>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</si>
  <si>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</si>
  <si>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</si>
  <si>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</si>
  <si>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</si>
  <si>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</si>
  <si>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</si>
  <si>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</si>
  <si>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</si>
  <si>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</si>
  <si>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</si>
  <si>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</si>
  <si>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</si>
  <si>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</si>
  <si>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</si>
  <si>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</si>
  <si>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</si>
  <si>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</si>
  <si>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</si>
  <si>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</si>
  <si>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</si>
  <si>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</si>
  <si>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</si>
  <si>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</si>
  <si>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</si>
  <si>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</si>
  <si>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</si>
  <si>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</si>
  <si>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</si>
  <si>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</si>
  <si>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</si>
  <si>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</si>
  <si>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</si>
  <si>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</si>
  <si>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</si>
  <si>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</si>
  <si>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</si>
  <si>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</si>
  <si>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</si>
  <si>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</si>
  <si>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</si>
  <si>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</si>
  <si>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</si>
  <si>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</si>
  <si>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</si>
  <si>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</si>
  <si>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</si>
  <si>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</si>
  <si>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</si>
  <si>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</si>
  <si>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</si>
  <si>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</si>
  <si>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</si>
  <si>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</si>
  <si>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</si>
  <si>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</si>
  <si>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</si>
  <si>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</si>
  <si>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</si>
  <si>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</si>
  <si>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</si>
  <si>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</si>
  <si>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</si>
  <si>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</si>
  <si>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</si>
  <si>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</si>
  <si>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</si>
  <si>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</si>
  <si>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</si>
  <si>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</si>
  <si>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</si>
  <si>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</si>
  <si>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</si>
  <si>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</si>
  <si>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</si>
  <si>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</si>
  <si>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</si>
  <si>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</si>
  <si>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</si>
  <si>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</si>
  <si>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</si>
  <si>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</si>
  <si>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</si>
  <si>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</si>
  <si>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</si>
  <si>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</si>
  <si>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</si>
  <si>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</si>
  <si>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</si>
  <si>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</si>
  <si>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</si>
  <si>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</si>
  <si>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</si>
  <si>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</si>
  <si>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</si>
  <si>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</si>
  <si>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</si>
  <si>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</si>
  <si>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</si>
  <si>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</si>
  <si>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</si>
  <si>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</si>
  <si>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</si>
  <si>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</si>
  <si>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</si>
  <si>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</si>
  <si>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</si>
  <si>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</si>
  <si>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</si>
  <si>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</si>
  <si>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</si>
  <si>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</si>
  <si>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</si>
  <si>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</si>
  <si>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</si>
  <si>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</si>
  <si>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</si>
  <si>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</si>
  <si>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</si>
  <si>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</si>
  <si>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</si>
  <si>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</si>
  <si>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</si>
  <si>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</si>
  <si>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</si>
  <si>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</si>
  <si>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</si>
  <si>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</si>
  <si>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</si>
  <si>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</si>
  <si>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</si>
  <si>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</si>
  <si>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</si>
  <si>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</si>
  <si>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</si>
  <si>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</si>
  <si>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</si>
  <si>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</si>
  <si>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</si>
  <si>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</si>
  <si>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</si>
  <si>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</si>
  <si>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</si>
  <si>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</si>
  <si>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</si>
  <si>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</si>
  <si>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</si>
  <si>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</si>
  <si>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</si>
  <si>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</si>
  <si>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</si>
  <si>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</si>
  <si>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</si>
  <si>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</si>
  <si>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</si>
  <si>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</si>
  <si>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</si>
  <si>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</si>
  <si>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</si>
  <si>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</si>
  <si>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</si>
  <si>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</si>
  <si>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</si>
  <si>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</si>
  <si>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</si>
  <si>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</si>
  <si>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</si>
  <si>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</si>
  <si>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</si>
  <si>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</si>
  <si>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</si>
  <si>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</si>
  <si>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</si>
  <si>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</si>
  <si>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</si>
  <si>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</si>
  <si>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</si>
  <si>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</si>
  <si>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</si>
  <si>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</si>
  <si>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</si>
  <si>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</si>
  <si>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</si>
  <si>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</si>
  <si>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</si>
  <si>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</si>
  <si>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</si>
  <si>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</si>
  <si>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</si>
  <si>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</si>
  <si>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</si>
  <si>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</si>
  <si>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</si>
  <si>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</si>
  <si>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</si>
  <si>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</si>
  <si>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</si>
  <si>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</si>
  <si>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</si>
  <si>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</si>
  <si>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</si>
  <si>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</si>
  <si>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</si>
  <si>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</si>
  <si>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</si>
  <si>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</si>
  <si>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</si>
  <si>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</si>
  <si>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</si>
  <si>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</si>
  <si>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</si>
  <si>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</si>
  <si>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</si>
  <si>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</si>
  <si>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</si>
  <si>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</si>
  <si>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</si>
  <si>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</si>
  <si>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</si>
  <si>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</si>
  <si>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</si>
  <si>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</si>
  <si>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</si>
  <si>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</si>
  <si>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</si>
  <si>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</si>
  <si>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</si>
  <si>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</si>
  <si>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</si>
  <si>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</si>
  <si>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</si>
  <si>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</si>
  <si>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</si>
  <si>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</si>
  <si>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</si>
  <si>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</si>
  <si>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</si>
  <si>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</si>
  <si>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</si>
  <si>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</si>
  <si>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</si>
  <si>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</si>
  <si>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</si>
  <si>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</si>
  <si>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2025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</si>
  <si>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</si>
  <si>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</si>
  <si>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</si>
  <si>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</si>
  <si>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</si>
  <si>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</si>
  <si>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</si>
  <si>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</si>
  <si>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</si>
  <si>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</si>
  <si>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</si>
  <si>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</si>
  <si>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</si>
  <si>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</si>
  <si>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</si>
  <si>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</si>
  <si>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</si>
  <si>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</si>
  <si>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</si>
  <si>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</si>
  <si>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</si>
  <si>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</si>
  <si>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</si>
  <si>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</si>
  <si>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</si>
  <si>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</si>
  <si>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</si>
  <si>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</si>
  <si>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</si>
  <si>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</si>
  <si>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</si>
  <si>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</si>
  <si>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</si>
  <si>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</si>
  <si>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</si>
  <si>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</si>
  <si>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</si>
  <si>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</si>
  <si>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</si>
  <si>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</si>
  <si>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</si>
  <si>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</si>
  <si>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</si>
  <si>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</si>
  <si>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</si>
  <si>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</si>
  <si>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</si>
  <si>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</si>
  <si>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</si>
  <si>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</si>
  <si>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</si>
  <si>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</si>
  <si>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</si>
  <si>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</si>
  <si>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</si>
  <si>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</si>
  <si>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</si>
  <si>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</si>
  <si>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</si>
  <si>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</si>
  <si>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</si>
  <si>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</si>
  <si>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</si>
  <si>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</si>
  <si>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</si>
  <si>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</si>
  <si>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</si>
  <si>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</si>
  <si>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</si>
  <si>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</si>
  <si>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</si>
  <si>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</si>
  <si>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</si>
  <si>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</si>
  <si>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</si>
  <si>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</si>
  <si>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</si>
  <si>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</si>
  <si>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</si>
  <si>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</si>
  <si>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Vermeer Navigator D80x100 Series II</t>
  </si>
  <si>
    <t>(протяжка трех футляров труб ПНД Ø160мм в 2 буровых канала).</t>
  </si>
  <si>
    <t>3,00-12,00</t>
  </si>
  <si>
    <t>ГНБ №6</t>
  </si>
  <si>
    <t>2х(3х112)</t>
  </si>
  <si>
    <t>Исполнительный план № 6</t>
  </si>
  <si>
    <t>Труба F2 D160мм</t>
  </si>
  <si>
    <t>08.12.2025</t>
  </si>
  <si>
    <t>С180457-325834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</si>
</sst>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1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9" fillId="0" borderId="0" xfId="2" applyFont="1" applyAlignment="1">
      <alignment horizontal="left" wrapText="1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left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9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12" fillId="0" borderId="0" xfId="0" applyFont="1" applyAlignment="1">
      <alignment horizontal="right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justify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164" fontId="11" fillId="0" borderId="2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justify" vertical="top" wrapText="1"/>
    </xf>
    <xf numFmtId="0" fontId="5" fillId="0" borderId="0" xfId="0" applyFont="1" applyFill="1" applyAlignment="1">
      <alignment horizontal="left" vertical="top"/>
    </xf>
    <xf numFmtId="0" fontId="9" fillId="0" borderId="0" xfId="0" applyFont="1" applyBorder="1" applyAlignment="1">
      <alignment horizont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275</v>
      </c>
      <c r="B1" s="135"/>
      <c r="C1" s="136" t="s">
        <v>236</v>
      </c>
      <c r="D1" s="136" t="s">
        <v>276</v>
      </c>
      <c r="E1" s="137"/>
      <c r="F1" s="174" t="s">
        <v>277</v>
      </c>
      <c r="G1" s="174"/>
    </row>
    <row r="2" spans="1:7" ht="28.8" x14ac:dyDescent="0.3">
      <c r="A2" s="139" t="s">
        <v>278</v>
      </c>
      <c r="B2" s="139"/>
      <c r="C2" s="140" t="s">
        <v>279</v>
      </c>
      <c r="D2" s="140" t="s">
        <v>280</v>
      </c>
      <c r="E2" s="141"/>
      <c r="F2" s="175" t="s">
        <v>258</v>
      </c>
      <c r="G2" s="176"/>
    </row>
    <row r="3" spans="1:7" ht="63" customHeight="1" x14ac:dyDescent="0.3">
      <c r="A3" s="142" t="s">
        <v>281</v>
      </c>
      <c r="B3" s="142"/>
      <c r="C3" s="143" t="s">
        <v>282</v>
      </c>
      <c r="D3" s="143" t="s">
        <v>283</v>
      </c>
      <c r="E3" s="144"/>
      <c r="F3" s="177" t="s">
        <v>284</v>
      </c>
      <c r="G3" s="178"/>
    </row>
    <row r="4" spans="1:7" x14ac:dyDescent="0.3">
      <c r="A4" s="139" t="s">
        <v>285</v>
      </c>
      <c r="B4" s="139"/>
      <c r="C4" s="140"/>
      <c r="D4" s="140"/>
      <c r="E4" s="140"/>
      <c r="F4" s="140" t="s">
        <v>286</v>
      </c>
      <c r="G4" s="140" t="s">
        <v>287</v>
      </c>
    </row>
    <row r="5" spans="1:7" x14ac:dyDescent="0.3">
      <c r="A5" s="142"/>
      <c r="B5" s="142"/>
      <c r="C5" s="143"/>
      <c r="D5" s="143"/>
      <c r="E5" s="143"/>
      <c r="F5" s="143" t="s">
        <v>288</v>
      </c>
      <c r="G5" s="143" t="s">
        <v>289</v>
      </c>
    </row>
    <row r="6" spans="1:7" x14ac:dyDescent="0.3">
      <c r="A6" s="139" t="s">
        <v>290</v>
      </c>
      <c r="B6" s="139"/>
      <c r="C6" s="140" t="s">
        <v>291</v>
      </c>
      <c r="D6" s="140" t="s">
        <v>292</v>
      </c>
      <c r="E6" s="140"/>
      <c r="F6" s="140" t="s">
        <v>293</v>
      </c>
      <c r="G6" s="140" t="s">
        <v>294</v>
      </c>
    </row>
    <row r="7" spans="1:7" x14ac:dyDescent="0.3">
      <c r="A7" s="142" t="s">
        <v>295</v>
      </c>
      <c r="B7" s="142"/>
      <c r="C7" s="143" t="s">
        <v>296</v>
      </c>
      <c r="D7" s="143" t="s">
        <v>297</v>
      </c>
      <c r="E7" s="143"/>
      <c r="F7" s="143" t="s">
        <v>298</v>
      </c>
      <c r="G7" s="143" t="s">
        <v>299</v>
      </c>
    </row>
    <row r="8" spans="1:7" ht="28.8" x14ac:dyDescent="0.3">
      <c r="A8" s="139" t="s">
        <v>300</v>
      </c>
      <c r="B8" s="140" t="s">
        <v>247</v>
      </c>
      <c r="C8" s="140" t="s">
        <v>247</v>
      </c>
      <c r="D8" s="140" t="s">
        <v>301</v>
      </c>
      <c r="E8" s="140"/>
      <c r="F8" s="169" t="s">
        <v>302</v>
      </c>
      <c r="G8" s="169" t="s">
        <v>302</v>
      </c>
    </row>
    <row r="9" spans="1:7" ht="28.8" x14ac:dyDescent="0.3">
      <c r="A9" s="142" t="s">
        <v>303</v>
      </c>
      <c r="B9" s="143" t="s">
        <v>304</v>
      </c>
      <c r="C9" s="168" t="s">
        <v>304</v>
      </c>
      <c r="D9" s="143" t="s">
        <v>305</v>
      </c>
      <c r="E9" s="143"/>
      <c r="F9" s="170" t="s">
        <v>336</v>
      </c>
      <c r="G9" s="170" t="s">
        <v>341</v>
      </c>
    </row>
    <row r="10" spans="1:7" x14ac:dyDescent="0.3">
      <c r="A10" s="139" t="s">
        <v>306</v>
      </c>
      <c r="B10" s="140" t="s">
        <v>307</v>
      </c>
      <c r="C10" s="167" t="s">
        <v>307</v>
      </c>
      <c r="D10" s="140" t="s">
        <v>308</v>
      </c>
      <c r="E10" s="140"/>
      <c r="F10" s="169" t="s">
        <v>337</v>
      </c>
      <c r="G10" s="169" t="s">
        <v>335</v>
      </c>
    </row>
    <row r="11" spans="1:7" x14ac:dyDescent="0.3">
      <c r="A11" s="142" t="s">
        <v>309</v>
      </c>
      <c r="B11" s="142"/>
      <c r="C11" s="143"/>
      <c r="D11" s="143"/>
      <c r="E11" s="143"/>
      <c r="F11" s="171" t="s">
        <v>338</v>
      </c>
      <c r="G11" s="143" t="s">
        <v>310</v>
      </c>
    </row>
    <row r="12" spans="1:7" x14ac:dyDescent="0.3">
      <c r="A12" s="139" t="s">
        <v>311</v>
      </c>
      <c r="B12" s="139"/>
      <c r="C12" s="140"/>
      <c r="D12" s="140"/>
      <c r="E12" s="140"/>
      <c r="F12" s="172" t="s">
        <v>337</v>
      </c>
      <c r="G12" s="140"/>
    </row>
    <row r="13" spans="1:7" x14ac:dyDescent="0.3">
      <c r="A13" s="139" t="s">
        <v>312</v>
      </c>
      <c r="B13" s="139"/>
      <c r="C13" s="140" t="s">
        <v>312</v>
      </c>
      <c r="D13" s="140" t="s">
        <v>312</v>
      </c>
      <c r="E13" s="140"/>
      <c r="F13" s="140"/>
      <c r="G13" s="140"/>
    </row>
    <row r="14" spans="1:7" x14ac:dyDescent="0.3">
      <c r="A14" s="142" t="s">
        <v>313</v>
      </c>
      <c r="B14" s="142"/>
      <c r="C14" s="143" t="s">
        <v>314</v>
      </c>
      <c r="D14" s="143" t="s">
        <v>314</v>
      </c>
      <c r="E14" s="143"/>
      <c r="F14" s="171" t="s">
        <v>338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337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315</v>
      </c>
      <c r="E18" s="143"/>
      <c r="F18" s="143"/>
      <c r="G18" s="143"/>
    </row>
    <row r="19" spans="1:7" x14ac:dyDescent="0.3">
      <c r="A19" s="139" t="s">
        <v>316</v>
      </c>
      <c r="B19" s="139"/>
      <c r="C19" s="140" t="s">
        <v>246</v>
      </c>
      <c r="D19" s="140" t="s">
        <v>317</v>
      </c>
      <c r="E19" s="140"/>
      <c r="F19" s="140"/>
      <c r="G19" s="140"/>
    </row>
    <row r="20" spans="1:7" x14ac:dyDescent="0.3">
      <c r="A20" s="142" t="s">
        <v>318</v>
      </c>
      <c r="B20" s="142"/>
      <c r="C20" s="143" t="s">
        <v>240</v>
      </c>
      <c r="D20" s="143" t="s">
        <v>319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320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320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abSelected="1" workbookViewId="0">
      <selection activeCell="E3" sqref="E3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339</v>
      </c>
      <c r="C1" s="182" t="s">
        <v>230</v>
      </c>
      <c r="D1" s="182"/>
      <c r="E1" s="183" t="s">
        <v>353</v>
      </c>
      <c r="F1" s="183"/>
    </row>
    <row r="2" spans="1:8" ht="15.75" customHeight="1" x14ac:dyDescent="0.3">
      <c r="A2" s="134" t="s">
        <v>231</v>
      </c>
      <c r="B2" s="49" t="s">
        <v>286</v>
      </c>
      <c r="C2" s="181" t="s">
        <v>233</v>
      </c>
      <c r="D2" s="181"/>
      <c r="E2" s="184">
        <v>45569</v>
      </c>
      <c r="F2" s="184"/>
    </row>
    <row r="3" spans="1:8" x14ac:dyDescent="0.3">
      <c r="A3" s="134" t="s">
        <v>232</v>
      </c>
      <c r="B3" s="50" t="s">
        <v>340</v>
      </c>
    </row>
    <row r="4" spans="1:8" x14ac:dyDescent="0.3">
      <c r="A4" s="134" t="s">
        <v>255</v>
      </c>
      <c r="B4" s="75" t="s">
        <v>352</v>
      </c>
    </row>
    <row r="5" spans="1:8" x14ac:dyDescent="0.3">
      <c r="A5" s="133" t="s">
        <v>321</v>
      </c>
      <c r="B5" s="74" t="s">
        <v>264</v>
      </c>
    </row>
    <row r="6" spans="1:8" x14ac:dyDescent="0.3">
      <c r="A6" s="179" t="s">
        <v>234</v>
      </c>
      <c r="B6" s="180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322</v>
      </c>
      <c r="B8" s="153" t="s">
        <v>279</v>
      </c>
    </row>
    <row r="9" spans="1:8" ht="25.5" customHeight="1" x14ac:dyDescent="0.3">
      <c r="A9" s="157" t="s">
        <v>232</v>
      </c>
      <c r="B9" s="153" t="s">
        <v>282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323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307</v>
      </c>
      <c r="H14" s="6"/>
    </row>
    <row r="15" spans="1:8" x14ac:dyDescent="0.3">
      <c r="A15" s="134" t="s">
        <v>323</v>
      </c>
      <c r="B15" s="153" t="s">
        <v>304</v>
      </c>
      <c r="H15" s="129"/>
    </row>
    <row r="16" spans="1:8" x14ac:dyDescent="0.3">
      <c r="A16" s="185" t="s">
        <v>251</v>
      </c>
      <c r="B16" s="186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5" t="s">
        <v>241</v>
      </c>
      <c r="B22" s="186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322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302</v>
      </c>
    </row>
    <row r="27" spans="1:8" x14ac:dyDescent="0.3">
      <c r="A27" s="48" t="s">
        <v>239</v>
      </c>
      <c r="B27" s="49" t="s">
        <v>335</v>
      </c>
    </row>
    <row r="28" spans="1:8" x14ac:dyDescent="0.3">
      <c r="A28" s="48" t="s">
        <v>323</v>
      </c>
      <c r="B28" s="49" t="s">
        <v>341</v>
      </c>
    </row>
    <row r="29" spans="1:8" x14ac:dyDescent="0.3">
      <c r="A29" s="52"/>
      <c r="B29" s="53"/>
    </row>
    <row r="30" spans="1:8" x14ac:dyDescent="0.3">
      <c r="A30" s="179" t="s">
        <v>243</v>
      </c>
      <c r="B30" s="180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328</v>
      </c>
      <c r="B33" s="55" t="s">
        <v>342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348</v>
      </c>
    </row>
    <row r="37" spans="1:2" x14ac:dyDescent="0.3">
      <c r="A37" s="131" t="s">
        <v>274</v>
      </c>
      <c r="B37" s="132">
        <v>6</v>
      </c>
    </row>
    <row r="38" spans="1:2" x14ac:dyDescent="0.3">
      <c r="A38" s="131" t="s">
        <v>332</v>
      </c>
      <c r="B38" s="132">
        <v>756</v>
      </c>
    </row>
    <row r="39" spans="1:2" x14ac:dyDescent="0.3">
      <c r="A39" s="131" t="s">
        <v>331</v>
      </c>
      <c r="B39" s="132" t="s">
        <v>349</v>
      </c>
    </row>
    <row r="40" spans="1:2" x14ac:dyDescent="0.3">
      <c r="A40" s="131" t="s">
        <v>330</v>
      </c>
      <c r="B40" s="132">
        <v>6</v>
      </c>
    </row>
    <row r="41" spans="1:2" x14ac:dyDescent="0.3">
      <c r="A41" s="131" t="s">
        <v>329</v>
      </c>
      <c r="B41" s="132" t="s">
        <v>333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67" zoomScale="130" zoomScaleNormal="125" zoomScaleSheetLayoutView="130" workbookViewId="0">
      <selection activeCell="AU69" sqref="AU69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19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</row>
    <row r="5" spans="1:43" s="30" customFormat="1" ht="12" customHeight="1" x14ac:dyDescent="0.2">
      <c r="A5" s="191" t="str">
        <f>'Данные '!B36</f>
        <v>ГНБ №6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</row>
    <row r="6" spans="1:43" s="33" customFormat="1" ht="18.75" customHeight="1" x14ac:dyDescent="0.15">
      <c r="A6" s="188" t="s">
        <v>146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</row>
    <row r="7" spans="1:43" s="30" customFormat="1" ht="12.75" customHeight="1" x14ac:dyDescent="0.2">
      <c r="A7" s="187" t="s">
        <v>147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</row>
    <row r="8" spans="1:43" s="30" customFormat="1" ht="12" customHeight="1" x14ac:dyDescent="0.2">
      <c r="A8" s="191" t="str">
        <f>'Данные '!B23</f>
        <v>ПАО "Россети Московский регион"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</row>
    <row r="9" spans="1:43" s="33" customFormat="1" ht="19.5" customHeight="1" x14ac:dyDescent="0.15">
      <c r="A9" s="188" t="s">
        <v>148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</row>
    <row r="10" spans="1:43" s="30" customFormat="1" ht="12" customHeight="1" x14ac:dyDescent="0.2">
      <c r="A10" s="191" t="str">
        <f>'Данные '!B24</f>
        <v>ОГРН 1057746555811 ИНН 5036065113 КПП 772501001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</row>
    <row r="11" spans="1:43" s="33" customFormat="1" ht="28.5" customHeight="1" x14ac:dyDescent="0.15">
      <c r="A11" s="188" t="s">
        <v>149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</row>
    <row r="12" spans="1:43" s="30" customFormat="1" ht="12" customHeight="1" x14ac:dyDescent="0.2">
      <c r="A12" s="191" t="str">
        <f>'Данные '!B25</f>
        <v>115114, город Москва, проезд Павелецкий 2-й, дом 3, строение 2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</row>
    <row r="13" spans="1:43" s="33" customFormat="1" ht="11.25" customHeight="1" x14ac:dyDescent="0.15">
      <c r="A13" s="188" t="s">
        <v>150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191" t="str">
        <f>'Данные '!B7</f>
        <v>ООО "Энергосистемы"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</row>
    <row r="16" spans="1:43" s="33" customFormat="1" ht="9.75" customHeight="1" x14ac:dyDescent="0.15">
      <c r="A16" s="188" t="s">
        <v>152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</row>
    <row r="17" spans="1:36" s="30" customFormat="1" ht="12" customHeight="1" x14ac:dyDescent="0.2">
      <c r="A17" s="191" t="str">
        <f>'Данные '!B8</f>
        <v>ОГРН 1135044003709  ИНН 5044089069 КПП 504401001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</row>
    <row r="18" spans="1:36" s="33" customFormat="1" ht="8.25" customHeight="1" x14ac:dyDescent="0.15">
      <c r="A18" s="188" t="s">
        <v>153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</row>
    <row r="19" spans="1:36" s="30" customFormat="1" ht="12" customHeight="1" x14ac:dyDescent="0.2">
      <c r="A19" s="191" t="str">
        <f>'Данные '!B9</f>
        <v>141508, Московская область, г.о. Солнечногорск, г. Солнечногорск, ул. Промышленная, стр. 5, помещение 179</v>
      </c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</row>
    <row r="20" spans="1:36" s="33" customFormat="1" ht="27" customHeight="1" x14ac:dyDescent="0.15">
      <c r="A20" s="188" t="s">
        <v>154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191" t="str">
        <f>'Данные '!B7</f>
        <v>ООО "Энергосистемы"</v>
      </c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</row>
    <row r="23" spans="1:36" s="33" customFormat="1" ht="7.5" customHeight="1" x14ac:dyDescent="0.15">
      <c r="A23" s="192" t="s">
        <v>152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</row>
    <row r="24" spans="1:36" s="30" customFormat="1" ht="12" customHeight="1" x14ac:dyDescent="0.2">
      <c r="A24" s="196" t="str">
        <f>'Данные '!B8</f>
        <v>ОГРН 1135044003709  ИНН 5044089069 КПП 504401001</v>
      </c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</row>
    <row r="25" spans="1:36" s="33" customFormat="1" ht="7.5" customHeight="1" x14ac:dyDescent="0.15">
      <c r="A25" s="192" t="s">
        <v>156</v>
      </c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</row>
    <row r="26" spans="1:36" s="30" customFormat="1" ht="12" customHeight="1" x14ac:dyDescent="0.2">
      <c r="A26" s="196" t="str">
        <f>'Данные '!B9</f>
        <v>141508, Московская область, г.о. Солнечногорск, г. Солнечногорск, ул. Промышленная, стр. 5, помещение 179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</row>
    <row r="27" spans="1:36" s="33" customFormat="1" ht="22.5" customHeight="1" x14ac:dyDescent="0.15">
      <c r="A27" s="192" t="s">
        <v>157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197" t="s">
        <v>158</v>
      </c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</row>
    <row r="30" spans="1:36" s="30" customFormat="1" ht="12.9" customHeight="1" x14ac:dyDescent="0.2">
      <c r="A30" s="198" t="s">
        <v>159</v>
      </c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214">
        <f>'Данные '!B37</f>
        <v>6</v>
      </c>
      <c r="N32" s="214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199" t="str">
        <f>M76</f>
        <v>08.12.2025</v>
      </c>
      <c r="AA32" s="199"/>
      <c r="AB32" s="199"/>
      <c r="AC32" s="199"/>
      <c r="AD32" s="199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194" t="s">
        <v>161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</row>
    <row r="36" spans="1:52" s="30" customFormat="1" ht="14.25" customHeight="1" x14ac:dyDescent="0.2">
      <c r="A36" s="195" t="str">
        <f>'Данные '!H23</f>
        <v>Гл. специалист ССК УКС Алексанян Г.Р. Приказ №2363 от 29 июля 2025г (НРС С-50-069023)</v>
      </c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</row>
    <row r="37" spans="1:52" s="33" customFormat="1" ht="28.5" customHeight="1" x14ac:dyDescent="0.15">
      <c r="A37" s="192" t="s">
        <v>162</v>
      </c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</row>
    <row r="38" spans="1:52" s="30" customFormat="1" ht="21.75" customHeight="1" x14ac:dyDescent="0.2">
      <c r="A38" s="195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</row>
    <row r="39" spans="1:52" s="33" customFormat="1" ht="25.5" customHeight="1" x14ac:dyDescent="0.2">
      <c r="A39" s="201" t="s">
        <v>163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196" t="str">
        <f>'Данные '!H10</f>
        <v>Прораб ООО "Энергосистемы" Волков М.Ю., Приказ №05-ОТ/24 от 09 января 2024г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</row>
    <row r="42" spans="1:52" s="33" customFormat="1" ht="9" customHeight="1" x14ac:dyDescent="0.15">
      <c r="A42" s="192" t="s">
        <v>165</v>
      </c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</row>
    <row r="43" spans="1:52" s="30" customFormat="1" ht="17.25" customHeight="1" x14ac:dyDescent="0.2">
      <c r="A43" s="194" t="s">
        <v>166</v>
      </c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</row>
    <row r="44" spans="1:52" s="35" customFormat="1" ht="23.25" customHeight="1" x14ac:dyDescent="0.3">
      <c r="A44" s="195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</row>
    <row r="45" spans="1:52" s="33" customFormat="1" ht="30" customHeight="1" x14ac:dyDescent="0.15">
      <c r="A45" s="192" t="s">
        <v>167</v>
      </c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</row>
    <row r="46" spans="1:52" s="30" customFormat="1" ht="35.25" customHeight="1" x14ac:dyDescent="0.2">
      <c r="A46" s="200" t="s">
        <v>168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</row>
    <row r="47" spans="1:52" s="35" customFormat="1" ht="12.9" customHeight="1" x14ac:dyDescent="0.3">
      <c r="A47" s="196" t="s">
        <v>197</v>
      </c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</row>
    <row r="48" spans="1:52" s="33" customFormat="1" ht="29.25" customHeight="1" x14ac:dyDescent="0.15">
      <c r="A48" s="192" t="s">
        <v>169</v>
      </c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</row>
    <row r="49" spans="1:36" s="30" customFormat="1" ht="25.5" customHeight="1" x14ac:dyDescent="0.2">
      <c r="A49" s="200" t="s">
        <v>170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</row>
    <row r="50" spans="1:36" s="30" customFormat="1" ht="12" customHeight="1" x14ac:dyDescent="0.2">
      <c r="A50" s="195" t="str">
        <f>CONCATENATE('Данные '!B18, " ",'Данные '!B17," ",'Данные '!B19)</f>
        <v>Гл.инженер ООО «КСС Регион» Сигарев А.А.</v>
      </c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</row>
    <row r="51" spans="1:36" s="33" customFormat="1" ht="9.75" customHeight="1" x14ac:dyDescent="0.15">
      <c r="A51" s="192" t="s">
        <v>171</v>
      </c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</row>
    <row r="52" spans="1:36" s="30" customFormat="1" ht="12" customHeight="1" x14ac:dyDescent="0.2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</row>
    <row r="53" spans="1:36" s="33" customFormat="1" ht="16.5" customHeight="1" x14ac:dyDescent="0.15">
      <c r="A53" s="192" t="s">
        <v>172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2" t="str">
        <f>'Данные '!B17</f>
        <v>ООО «КСС Регион»</v>
      </c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</row>
    <row r="56" spans="1:36" s="33" customFormat="1" ht="10.5" customHeight="1" x14ac:dyDescent="0.15">
      <c r="A56" s="205" t="s">
        <v>174</v>
      </c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5">
        <f>M32</f>
        <v>6</v>
      </c>
      <c r="N59" s="195"/>
      <c r="O59" s="195"/>
      <c r="P59" s="111" t="s">
        <v>207</v>
      </c>
      <c r="Q59" s="112"/>
      <c r="R59" s="112"/>
      <c r="S59" s="112"/>
      <c r="T59" s="112"/>
      <c r="U59" s="210" t="s">
        <v>346</v>
      </c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</row>
    <row r="60" spans="1:36" s="33" customFormat="1" ht="8.25" customHeight="1" x14ac:dyDescent="0.15">
      <c r="A60" s="192" t="s">
        <v>177</v>
      </c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5" t="str">
        <f>'Данные '!B33</f>
        <v>4980-325834-217-09/24</v>
      </c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</row>
    <row r="63" spans="1:36" s="33" customFormat="1" ht="15" customHeight="1" x14ac:dyDescent="0.15">
      <c r="A63" s="192" t="s">
        <v>179</v>
      </c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210" t="s">
        <v>209</v>
      </c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  <c r="AD66" s="210"/>
      <c r="AE66" s="210"/>
      <c r="AF66" s="210"/>
      <c r="AG66" s="210"/>
      <c r="AH66" s="210"/>
      <c r="AI66" s="210"/>
      <c r="AJ66" s="210"/>
    </row>
    <row r="67" spans="1:36" s="30" customFormat="1" ht="12" customHeight="1" x14ac:dyDescent="0.2">
      <c r="A67" s="116" t="s">
        <v>263</v>
      </c>
      <c r="B67" s="116" t="s">
        <v>351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6">
        <f>'Данные '!B38</f>
        <v>756</v>
      </c>
      <c r="O67" s="206"/>
      <c r="P67" s="206"/>
      <c r="Q67" s="20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2" t="s">
        <v>208</v>
      </c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203" t="s">
        <v>210</v>
      </c>
      <c r="H70" s="203"/>
      <c r="I70" s="203"/>
      <c r="J70" s="203"/>
      <c r="K70" s="203"/>
      <c r="L70" s="203"/>
      <c r="M70" s="203"/>
      <c r="N70" s="203"/>
      <c r="O70" s="203"/>
      <c r="P70" s="202">
        <f>'Данные '!B37</f>
        <v>6</v>
      </c>
      <c r="Q70" s="202"/>
      <c r="R70" s="202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7"/>
      <c r="B71" s="207"/>
      <c r="C71" s="117"/>
      <c r="D71" s="117"/>
      <c r="E71" s="117"/>
      <c r="F71" s="117"/>
      <c r="G71" s="193" t="s">
        <v>183</v>
      </c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</row>
    <row r="72" spans="1:36" s="30" customFormat="1" ht="12" customHeight="1" x14ac:dyDescent="0.25">
      <c r="A72" s="203" t="s">
        <v>350</v>
      </c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spans="1:36" s="33" customFormat="1" ht="7.5" customHeight="1" x14ac:dyDescent="0.15">
      <c r="A73" s="192" t="s">
        <v>184</v>
      </c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09" t="str">
        <f>'Данные '!B4</f>
        <v>08.12.2025</v>
      </c>
      <c r="N75" s="209"/>
      <c r="O75" s="209"/>
      <c r="P75" s="209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8" t="str">
        <f>'Данные '!B4</f>
        <v>08.12.2025</v>
      </c>
      <c r="N76" s="208"/>
      <c r="O76" s="208"/>
      <c r="P76" s="208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203" t="s">
        <v>257</v>
      </c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</row>
    <row r="80" spans="1:36" s="33" customFormat="1" ht="8.25" customHeight="1" x14ac:dyDescent="0.15">
      <c r="A80" s="192" t="s">
        <v>188</v>
      </c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</row>
    <row r="81" spans="1:36" s="30" customFormat="1" ht="12" customHeight="1" x14ac:dyDescent="0.25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</row>
    <row r="82" spans="1:36" s="33" customFormat="1" ht="8.25" customHeight="1" x14ac:dyDescent="0.15">
      <c r="A82" s="192" t="s">
        <v>189</v>
      </c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</row>
    <row r="85" spans="1:36" s="33" customFormat="1" ht="9" customHeight="1" x14ac:dyDescent="0.15">
      <c r="A85" s="192" t="s">
        <v>191</v>
      </c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2"/>
      <c r="I88" s="202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203" t="s">
        <v>211</v>
      </c>
      <c r="C91" s="203"/>
      <c r="D91" s="203"/>
      <c r="E91" s="203"/>
      <c r="F91" s="203"/>
      <c r="G91" s="203"/>
      <c r="H91" s="203"/>
      <c r="I91" s="202">
        <f>M32</f>
        <v>6</v>
      </c>
      <c r="J91" s="202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4">
        <f>I91</f>
        <v>6</v>
      </c>
      <c r="S92" s="204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4">
        <f>I91</f>
        <v>6</v>
      </c>
      <c r="K93" s="204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6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266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267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268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269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270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88" t="s">
        <v>198</v>
      </c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211" t="str">
        <f>'Данные '!B27</f>
        <v>Алексанян Г.Р.</v>
      </c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211"/>
      <c r="AC108" s="211"/>
      <c r="AD108" s="211"/>
      <c r="AE108" s="211"/>
      <c r="AF108" s="211"/>
      <c r="AG108" s="211"/>
      <c r="AH108" s="211"/>
      <c r="AI108" s="211"/>
      <c r="AJ108" s="211"/>
    </row>
    <row r="109" spans="1:36" s="33" customFormat="1" ht="9" customHeight="1" x14ac:dyDescent="0.15">
      <c r="A109" s="212" t="s">
        <v>201</v>
      </c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213" t="s">
        <v>48</v>
      </c>
      <c r="AC109" s="213"/>
      <c r="AD109" s="213"/>
      <c r="AE109" s="213"/>
      <c r="AF109" s="213"/>
      <c r="AG109" s="213"/>
      <c r="AH109" s="213"/>
      <c r="AI109" s="213"/>
      <c r="AJ109" s="213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211" t="str">
        <f>'Данные '!B11</f>
        <v>Волков М.Ю.</v>
      </c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211"/>
      <c r="AC111" s="211"/>
      <c r="AD111" s="211"/>
      <c r="AE111" s="211"/>
      <c r="AF111" s="211"/>
      <c r="AG111" s="211"/>
      <c r="AH111" s="211"/>
      <c r="AI111" s="211"/>
      <c r="AJ111" s="211"/>
    </row>
    <row r="112" spans="1:36" s="33" customFormat="1" ht="9" customHeight="1" x14ac:dyDescent="0.15">
      <c r="A112" s="212" t="s">
        <v>201</v>
      </c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213" t="s">
        <v>48</v>
      </c>
      <c r="AC112" s="213"/>
      <c r="AD112" s="213"/>
      <c r="AE112" s="213"/>
      <c r="AF112" s="213"/>
      <c r="AG112" s="213"/>
      <c r="AH112" s="213"/>
      <c r="AI112" s="213"/>
      <c r="AJ112" s="213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211" t="str">
        <f>'Данные '!B14</f>
        <v>Русин В.А.</v>
      </c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211"/>
      <c r="AC115" s="211"/>
      <c r="AD115" s="211"/>
      <c r="AE115" s="211"/>
      <c r="AF115" s="211"/>
      <c r="AG115" s="211"/>
      <c r="AH115" s="211"/>
      <c r="AI115" s="211"/>
      <c r="AJ115" s="211"/>
    </row>
    <row r="116" spans="1:36" s="33" customFormat="1" ht="9" customHeight="1" x14ac:dyDescent="0.15">
      <c r="A116" s="212" t="s">
        <v>201</v>
      </c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213" t="s">
        <v>48</v>
      </c>
      <c r="AC116" s="213"/>
      <c r="AD116" s="213"/>
      <c r="AE116" s="213"/>
      <c r="AF116" s="213"/>
      <c r="AG116" s="213"/>
      <c r="AH116" s="213"/>
      <c r="AI116" s="213"/>
      <c r="AJ116" s="213"/>
    </row>
    <row r="117" spans="1:36" s="30" customFormat="1" ht="38.25" customHeight="1" x14ac:dyDescent="0.2">
      <c r="A117" s="215" t="s">
        <v>168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  <c r="AH117" s="215"/>
      <c r="AI117" s="215"/>
      <c r="AJ117" s="215"/>
    </row>
    <row r="118" spans="1:36" s="30" customFormat="1" ht="12" customHeight="1" x14ac:dyDescent="0.25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211"/>
      <c r="AC118" s="211"/>
      <c r="AD118" s="211"/>
      <c r="AE118" s="211"/>
      <c r="AF118" s="211"/>
      <c r="AG118" s="211"/>
      <c r="AH118" s="211"/>
      <c r="AI118" s="211"/>
      <c r="AJ118" s="211"/>
    </row>
    <row r="119" spans="1:36" s="33" customFormat="1" ht="9" customHeight="1" x14ac:dyDescent="0.15">
      <c r="A119" s="212" t="s">
        <v>201</v>
      </c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213" t="s">
        <v>48</v>
      </c>
      <c r="AC119" s="213"/>
      <c r="AD119" s="213"/>
      <c r="AE119" s="213"/>
      <c r="AF119" s="213"/>
      <c r="AG119" s="213"/>
      <c r="AH119" s="213"/>
      <c r="AI119" s="213"/>
      <c r="AJ119" s="213"/>
    </row>
    <row r="120" spans="1:36" s="30" customFormat="1" ht="24.75" customHeight="1" x14ac:dyDescent="0.2">
      <c r="A120" s="215" t="s">
        <v>170</v>
      </c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</row>
    <row r="121" spans="1:36" s="30" customFormat="1" ht="12" customHeight="1" x14ac:dyDescent="0.25">
      <c r="A121" s="211" t="str">
        <f>'Данные '!B19</f>
        <v>Сигарев А.А.</v>
      </c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211"/>
      <c r="AC121" s="211"/>
      <c r="AD121" s="211"/>
      <c r="AE121" s="211"/>
      <c r="AF121" s="211"/>
      <c r="AG121" s="211"/>
      <c r="AH121" s="211"/>
      <c r="AI121" s="211"/>
      <c r="AJ121" s="211"/>
    </row>
    <row r="122" spans="1:36" s="33" customFormat="1" ht="9" customHeight="1" x14ac:dyDescent="0.15">
      <c r="A122" s="212" t="s">
        <v>201</v>
      </c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213" t="s">
        <v>48</v>
      </c>
      <c r="AC122" s="213"/>
      <c r="AD122" s="213"/>
      <c r="AE122" s="213"/>
      <c r="AF122" s="213"/>
      <c r="AG122" s="213"/>
      <c r="AH122" s="213"/>
      <c r="AI122" s="213"/>
      <c r="AJ122" s="213"/>
    </row>
    <row r="123" spans="1:36" ht="12" customHeight="1" x14ac:dyDescent="0.25"/>
  </sheetData>
  <mergeCells count="97"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82:AJ82"/>
    <mergeCell ref="A84:AJ84"/>
    <mergeCell ref="A85:AJ85"/>
    <mergeCell ref="L86:AJ86"/>
    <mergeCell ref="H88:I88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50:AJ50"/>
    <mergeCell ref="A51:AJ51"/>
    <mergeCell ref="A52:AJ52"/>
    <mergeCell ref="A53:AJ53"/>
    <mergeCell ref="A55:AJ55"/>
    <mergeCell ref="A68:AJ68"/>
    <mergeCell ref="P70:R70"/>
    <mergeCell ref="A60:AJ60"/>
    <mergeCell ref="A62:AJ62"/>
    <mergeCell ref="A63:AJ63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7:AJ7"/>
    <mergeCell ref="A20:AJ20"/>
    <mergeCell ref="A4:AJ4"/>
    <mergeCell ref="A5:AJ5"/>
    <mergeCell ref="A6:AJ6"/>
    <mergeCell ref="A8:AJ8"/>
    <mergeCell ref="A9:AJ9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view="pageBreakPreview" zoomScale="90" zoomScaleNormal="100" zoomScaleSheetLayoutView="90" workbookViewId="0">
      <selection activeCell="D10" sqref="D10:E10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18" t="s">
        <v>8</v>
      </c>
      <c r="B1" s="219"/>
      <c r="C1" s="219"/>
      <c r="D1" s="219"/>
      <c r="E1" s="219"/>
    </row>
    <row r="2" spans="1:5" x14ac:dyDescent="0.3">
      <c r="A2" s="218" t="s">
        <v>9</v>
      </c>
      <c r="B2" s="219"/>
      <c r="C2" s="219"/>
      <c r="D2" s="219"/>
      <c r="E2" s="219"/>
    </row>
    <row r="4" spans="1:5" ht="30" customHeight="1" x14ac:dyDescent="0.3">
      <c r="A4" s="220" t="s">
        <v>265</v>
      </c>
      <c r="B4" s="219"/>
      <c r="C4" s="219"/>
      <c r="D4" s="219"/>
      <c r="E4" s="219"/>
    </row>
    <row r="6" spans="1:5" ht="45" customHeight="1" x14ac:dyDescent="0.3">
      <c r="A6" s="224" t="s">
        <v>3</v>
      </c>
      <c r="B6" s="224"/>
      <c r="C6" s="224"/>
      <c r="D6" s="225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25"/>
    </row>
    <row r="7" spans="1:5" ht="93.75" customHeight="1" x14ac:dyDescent="0.3">
      <c r="A7" s="224" t="s">
        <v>4</v>
      </c>
      <c r="B7" s="224"/>
      <c r="C7" s="224"/>
      <c r="D7" s="225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25"/>
    </row>
    <row r="8" spans="1:5" ht="48.75" customHeight="1" x14ac:dyDescent="0.3">
      <c r="A8" s="224" t="s">
        <v>5</v>
      </c>
      <c r="B8" s="224"/>
      <c r="C8" s="224"/>
      <c r="D8" s="225" t="str">
        <f>'Данные '!B3</f>
        <v>МО, Солнечногорский р-н, д. Ложки</v>
      </c>
      <c r="E8" s="225"/>
    </row>
    <row r="9" spans="1:5" ht="47.25" customHeight="1" x14ac:dyDescent="0.3">
      <c r="A9" s="224" t="s">
        <v>6</v>
      </c>
      <c r="B9" s="224"/>
      <c r="C9" s="224"/>
      <c r="D9" s="225" t="str">
        <f>'Данные '!B36</f>
        <v>ГНБ №6</v>
      </c>
      <c r="E9" s="225"/>
    </row>
    <row r="10" spans="1:5" ht="49.5" customHeight="1" x14ac:dyDescent="0.3">
      <c r="A10" s="224" t="s">
        <v>7</v>
      </c>
      <c r="B10" s="224"/>
      <c r="C10" s="224"/>
      <c r="D10" s="227" t="str">
        <f>'АОСР-1'!B67</f>
        <v>Труба F2 D160мм</v>
      </c>
      <c r="E10" s="227"/>
    </row>
    <row r="11" spans="1:5" ht="29.25" customHeight="1" x14ac:dyDescent="0.3">
      <c r="A11" s="226" t="s">
        <v>10</v>
      </c>
      <c r="B11" s="226"/>
      <c r="C11" s="226"/>
      <c r="D11" s="225" t="s">
        <v>345</v>
      </c>
      <c r="E11" s="225"/>
    </row>
    <row r="12" spans="1:5" ht="24" customHeight="1" x14ac:dyDescent="0.3">
      <c r="A12" s="226" t="s">
        <v>11</v>
      </c>
      <c r="B12" s="226"/>
      <c r="C12" s="226"/>
      <c r="D12" s="232" t="s">
        <v>347</v>
      </c>
      <c r="E12" s="232"/>
    </row>
    <row r="13" spans="1:5" ht="33.75" customHeight="1" x14ac:dyDescent="0.3">
      <c r="A13" s="226" t="s">
        <v>12</v>
      </c>
      <c r="B13" s="226"/>
      <c r="C13" s="226"/>
      <c r="D13" s="225" t="s">
        <v>248</v>
      </c>
      <c r="E13" s="225"/>
    </row>
    <row r="14" spans="1:5" ht="32.25" customHeight="1" x14ac:dyDescent="0.3">
      <c r="A14" s="226" t="s">
        <v>13</v>
      </c>
      <c r="B14" s="226"/>
      <c r="C14" s="226"/>
      <c r="D14" s="225" t="s">
        <v>271</v>
      </c>
      <c r="E14" s="225"/>
    </row>
    <row r="15" spans="1:5" ht="30" customHeight="1" x14ac:dyDescent="0.3">
      <c r="A15" s="226" t="s">
        <v>14</v>
      </c>
      <c r="B15" s="226"/>
      <c r="C15" s="226"/>
      <c r="D15" s="225" t="s">
        <v>271</v>
      </c>
      <c r="E15" s="225"/>
    </row>
    <row r="16" spans="1:5" x14ac:dyDescent="0.3">
      <c r="A16" s="3"/>
      <c r="B16" s="3"/>
      <c r="C16" s="3"/>
      <c r="D16" s="3"/>
      <c r="E16" s="3"/>
    </row>
    <row r="17" spans="1:5" x14ac:dyDescent="0.3">
      <c r="A17" s="221" t="s">
        <v>15</v>
      </c>
      <c r="B17" s="222"/>
      <c r="C17" s="222"/>
      <c r="D17" s="222"/>
      <c r="E17" s="222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33" t="s">
        <v>343</v>
      </c>
      <c r="B20" s="234"/>
      <c r="C20" s="234"/>
      <c r="D20" s="234"/>
      <c r="E20" s="235"/>
    </row>
    <row r="21" spans="1:5" x14ac:dyDescent="0.3">
      <c r="A21" s="173">
        <v>1</v>
      </c>
      <c r="B21" s="173">
        <v>-6</v>
      </c>
      <c r="C21" s="173">
        <v>21</v>
      </c>
      <c r="D21" s="173">
        <v>293</v>
      </c>
      <c r="E21" s="173" t="s">
        <v>272</v>
      </c>
    </row>
    <row r="22" spans="1:5" x14ac:dyDescent="0.3">
      <c r="A22" s="173">
        <f>A21+1</f>
        <v>2</v>
      </c>
      <c r="B22" s="173">
        <f>B21+6</f>
        <v>0</v>
      </c>
      <c r="C22" s="173">
        <v>18</v>
      </c>
      <c r="D22" s="173">
        <v>293</v>
      </c>
      <c r="E22" s="173"/>
    </row>
    <row r="23" spans="1:5" x14ac:dyDescent="0.3">
      <c r="A23" s="173">
        <f t="shared" ref="A23:A76" si="0">A22+1</f>
        <v>3</v>
      </c>
      <c r="B23" s="173">
        <f>B22+4.2</f>
        <v>4.2</v>
      </c>
      <c r="C23" s="173">
        <v>14</v>
      </c>
      <c r="D23" s="173">
        <v>367</v>
      </c>
      <c r="E23" s="173"/>
    </row>
    <row r="24" spans="1:5" x14ac:dyDescent="0.3">
      <c r="A24" s="173">
        <f t="shared" si="0"/>
        <v>4</v>
      </c>
      <c r="B24" s="173">
        <f>B23+1.68</f>
        <v>5.88</v>
      </c>
      <c r="C24" s="173">
        <v>10</v>
      </c>
      <c r="D24" s="173">
        <v>440</v>
      </c>
      <c r="E24" s="173"/>
    </row>
    <row r="25" spans="1:5" x14ac:dyDescent="0.3">
      <c r="A25" s="173">
        <f t="shared" si="0"/>
        <v>5</v>
      </c>
      <c r="B25" s="173">
        <f>B24+2.37</f>
        <v>8.25</v>
      </c>
      <c r="C25" s="173">
        <v>6</v>
      </c>
      <c r="D25" s="173">
        <v>536</v>
      </c>
      <c r="E25" s="173"/>
    </row>
    <row r="26" spans="1:5" x14ac:dyDescent="0.3">
      <c r="A26" s="173">
        <f t="shared" si="0"/>
        <v>6</v>
      </c>
      <c r="B26" s="173">
        <f>B25+2.55</f>
        <v>10.8</v>
      </c>
      <c r="C26" s="173">
        <v>4</v>
      </c>
      <c r="D26" s="173">
        <v>626</v>
      </c>
      <c r="E26" s="173"/>
    </row>
    <row r="27" spans="1:5" x14ac:dyDescent="0.3">
      <c r="A27" s="173">
        <f t="shared" si="0"/>
        <v>7</v>
      </c>
      <c r="B27" s="173">
        <f>B26+2.24</f>
        <v>13.040000000000001</v>
      </c>
      <c r="C27" s="173">
        <v>3</v>
      </c>
      <c r="D27" s="173">
        <v>697</v>
      </c>
      <c r="E27" s="5"/>
    </row>
    <row r="28" spans="1:5" x14ac:dyDescent="0.3">
      <c r="A28" s="173">
        <f t="shared" si="0"/>
        <v>8</v>
      </c>
      <c r="B28" s="173">
        <f>B27+2.35</f>
        <v>15.39</v>
      </c>
      <c r="C28" s="173">
        <v>1</v>
      </c>
      <c r="D28" s="173">
        <v>762</v>
      </c>
      <c r="E28" s="173"/>
    </row>
    <row r="29" spans="1:5" x14ac:dyDescent="0.3">
      <c r="A29" s="173">
        <f t="shared" si="0"/>
        <v>9</v>
      </c>
      <c r="B29" s="173">
        <f>B28+8.74</f>
        <v>24.130000000000003</v>
      </c>
      <c r="C29" s="173">
        <v>1</v>
      </c>
      <c r="D29" s="173">
        <v>997</v>
      </c>
      <c r="E29" s="173"/>
    </row>
    <row r="30" spans="1:5" x14ac:dyDescent="0.3">
      <c r="A30" s="173">
        <f t="shared" si="0"/>
        <v>10</v>
      </c>
      <c r="B30" s="173">
        <f>B29+1.71</f>
        <v>25.840000000000003</v>
      </c>
      <c r="C30" s="173">
        <v>1</v>
      </c>
      <c r="D30" s="173">
        <v>1016</v>
      </c>
      <c r="E30" s="173"/>
    </row>
    <row r="31" spans="1:5" x14ac:dyDescent="0.3">
      <c r="A31" s="173">
        <v>11</v>
      </c>
      <c r="B31" s="173">
        <f>B30+6.74</f>
        <v>32.580000000000005</v>
      </c>
      <c r="C31" s="173">
        <v>0</v>
      </c>
      <c r="D31" s="173">
        <v>1032</v>
      </c>
      <c r="E31" s="173"/>
    </row>
    <row r="32" spans="1:5" x14ac:dyDescent="0.3">
      <c r="A32" s="173">
        <v>12</v>
      </c>
      <c r="B32" s="173">
        <f>B31+16.76</f>
        <v>49.34</v>
      </c>
      <c r="C32" s="173">
        <v>0</v>
      </c>
      <c r="D32" s="173">
        <v>1047</v>
      </c>
      <c r="E32" s="173"/>
    </row>
    <row r="33" spans="1:5" x14ac:dyDescent="0.3">
      <c r="A33" s="173">
        <v>13</v>
      </c>
      <c r="B33" s="173">
        <f>B32+3.48</f>
        <v>52.82</v>
      </c>
      <c r="C33" s="173">
        <v>0</v>
      </c>
      <c r="D33" s="173">
        <v>1055</v>
      </c>
      <c r="E33" s="173"/>
    </row>
    <row r="34" spans="1:5" x14ac:dyDescent="0.3">
      <c r="A34" s="173">
        <v>14</v>
      </c>
      <c r="B34" s="173">
        <f>B33+3.25</f>
        <v>56.07</v>
      </c>
      <c r="C34" s="173">
        <v>0</v>
      </c>
      <c r="D34" s="173">
        <v>1055</v>
      </c>
      <c r="E34" s="173"/>
    </row>
    <row r="35" spans="1:5" x14ac:dyDescent="0.3">
      <c r="A35" s="173">
        <v>15</v>
      </c>
      <c r="B35" s="173">
        <f>B34+2.51</f>
        <v>58.58</v>
      </c>
      <c r="C35" s="173">
        <v>0</v>
      </c>
      <c r="D35" s="173">
        <v>1063</v>
      </c>
      <c r="E35" s="173"/>
    </row>
    <row r="36" spans="1:5" x14ac:dyDescent="0.3">
      <c r="A36" s="173">
        <v>16</v>
      </c>
      <c r="B36" s="173">
        <f>B35+9.88</f>
        <v>68.459999999999994</v>
      </c>
      <c r="C36" s="173">
        <v>1</v>
      </c>
      <c r="D36" s="173">
        <v>1091</v>
      </c>
      <c r="E36" s="173"/>
    </row>
    <row r="37" spans="1:5" x14ac:dyDescent="0.3">
      <c r="A37" s="173">
        <v>17</v>
      </c>
      <c r="B37" s="173">
        <f>B36+13.44</f>
        <v>81.899999999999991</v>
      </c>
      <c r="C37" s="173">
        <v>10</v>
      </c>
      <c r="D37" s="173">
        <v>995</v>
      </c>
      <c r="E37" s="5"/>
    </row>
    <row r="38" spans="1:5" x14ac:dyDescent="0.3">
      <c r="A38" s="173">
        <v>18</v>
      </c>
      <c r="B38" s="173">
        <f>B37+11.68</f>
        <v>93.579999999999984</v>
      </c>
      <c r="C38" s="173">
        <v>18</v>
      </c>
      <c r="D38" s="173">
        <v>705</v>
      </c>
      <c r="E38" s="5"/>
    </row>
    <row r="39" spans="1:5" x14ac:dyDescent="0.3">
      <c r="A39" s="173">
        <v>19</v>
      </c>
      <c r="B39" s="173">
        <f>B38+15.42</f>
        <v>108.99999999999999</v>
      </c>
      <c r="C39" s="173">
        <v>24</v>
      </c>
      <c r="D39" s="173">
        <v>127</v>
      </c>
      <c r="E39" s="5" t="s">
        <v>334</v>
      </c>
    </row>
    <row r="40" spans="1:5" x14ac:dyDescent="0.3">
      <c r="A40" s="236" t="s">
        <v>344</v>
      </c>
      <c r="B40" s="237"/>
      <c r="C40" s="237"/>
      <c r="D40" s="237"/>
      <c r="E40" s="238"/>
    </row>
    <row r="41" spans="1:5" x14ac:dyDescent="0.3">
      <c r="A41" s="173">
        <v>1</v>
      </c>
      <c r="B41" s="173">
        <v>-6</v>
      </c>
      <c r="C41" s="173">
        <v>21</v>
      </c>
      <c r="D41" s="173">
        <v>293</v>
      </c>
      <c r="E41" s="173" t="s">
        <v>272</v>
      </c>
    </row>
    <row r="42" spans="1:5" x14ac:dyDescent="0.3">
      <c r="A42" s="173">
        <f>A41+1</f>
        <v>2</v>
      </c>
      <c r="B42" s="173">
        <f>B41+6</f>
        <v>0</v>
      </c>
      <c r="C42" s="173">
        <v>18</v>
      </c>
      <c r="D42" s="173">
        <v>293</v>
      </c>
      <c r="E42" s="173"/>
    </row>
    <row r="43" spans="1:5" x14ac:dyDescent="0.3">
      <c r="A43" s="173">
        <f t="shared" si="0"/>
        <v>3</v>
      </c>
      <c r="B43" s="173">
        <f>B42+4.2</f>
        <v>4.2</v>
      </c>
      <c r="C43" s="173">
        <v>14</v>
      </c>
      <c r="D43" s="173">
        <v>367</v>
      </c>
      <c r="E43" s="173"/>
    </row>
    <row r="44" spans="1:5" x14ac:dyDescent="0.3">
      <c r="A44" s="173">
        <f t="shared" si="0"/>
        <v>4</v>
      </c>
      <c r="B44" s="173">
        <f>B43+1.68</f>
        <v>5.88</v>
      </c>
      <c r="C44" s="173">
        <v>10</v>
      </c>
      <c r="D44" s="173">
        <v>440</v>
      </c>
      <c r="E44" s="173"/>
    </row>
    <row r="45" spans="1:5" x14ac:dyDescent="0.3">
      <c r="A45" s="173">
        <f t="shared" si="0"/>
        <v>5</v>
      </c>
      <c r="B45" s="173">
        <f>B44+2.37</f>
        <v>8.25</v>
      </c>
      <c r="C45" s="173">
        <v>6</v>
      </c>
      <c r="D45" s="173">
        <v>536</v>
      </c>
      <c r="E45" s="173"/>
    </row>
    <row r="46" spans="1:5" x14ac:dyDescent="0.3">
      <c r="A46" s="173">
        <f t="shared" si="0"/>
        <v>6</v>
      </c>
      <c r="B46" s="173">
        <f>B45+2.55</f>
        <v>10.8</v>
      </c>
      <c r="C46" s="173">
        <v>4</v>
      </c>
      <c r="D46" s="173">
        <v>626</v>
      </c>
      <c r="E46" s="173"/>
    </row>
    <row r="47" spans="1:5" x14ac:dyDescent="0.3">
      <c r="A47" s="173">
        <f t="shared" si="0"/>
        <v>7</v>
      </c>
      <c r="B47" s="173">
        <f>B46+2.24</f>
        <v>13.040000000000001</v>
      </c>
      <c r="C47" s="173">
        <v>3</v>
      </c>
      <c r="D47" s="173">
        <v>697</v>
      </c>
      <c r="E47" s="5"/>
    </row>
    <row r="48" spans="1:5" x14ac:dyDescent="0.3">
      <c r="A48" s="173">
        <f t="shared" si="0"/>
        <v>8</v>
      </c>
      <c r="B48" s="173">
        <f>B47+2.35</f>
        <v>15.39</v>
      </c>
      <c r="C48" s="173">
        <v>1</v>
      </c>
      <c r="D48" s="173">
        <v>762</v>
      </c>
      <c r="E48" s="173"/>
    </row>
    <row r="49" spans="1:5" x14ac:dyDescent="0.3">
      <c r="A49" s="173">
        <f t="shared" si="0"/>
        <v>9</v>
      </c>
      <c r="B49" s="173">
        <f>B48+8.74</f>
        <v>24.130000000000003</v>
      </c>
      <c r="C49" s="173">
        <v>1</v>
      </c>
      <c r="D49" s="173">
        <v>997</v>
      </c>
      <c r="E49" s="173"/>
    </row>
    <row r="50" spans="1:5" x14ac:dyDescent="0.3">
      <c r="A50" s="5">
        <f t="shared" si="0"/>
        <v>10</v>
      </c>
      <c r="B50" s="173">
        <f>B49+1.71</f>
        <v>25.840000000000003</v>
      </c>
      <c r="C50" s="173">
        <v>1</v>
      </c>
      <c r="D50" s="173">
        <v>1016</v>
      </c>
      <c r="E50" s="5"/>
    </row>
    <row r="51" spans="1:5" x14ac:dyDescent="0.3">
      <c r="A51" s="5">
        <f t="shared" si="0"/>
        <v>11</v>
      </c>
      <c r="B51" s="173">
        <f>B50+6.74</f>
        <v>32.580000000000005</v>
      </c>
      <c r="C51" s="173">
        <v>0</v>
      </c>
      <c r="D51" s="173">
        <v>1032</v>
      </c>
      <c r="E51" s="5"/>
    </row>
    <row r="52" spans="1:5" x14ac:dyDescent="0.3">
      <c r="A52" s="5">
        <f t="shared" si="0"/>
        <v>12</v>
      </c>
      <c r="B52" s="173">
        <f>B51+16.76</f>
        <v>49.34</v>
      </c>
      <c r="C52" s="173">
        <v>0</v>
      </c>
      <c r="D52" s="173">
        <v>1047</v>
      </c>
      <c r="E52" s="5"/>
    </row>
    <row r="53" spans="1:5" x14ac:dyDescent="0.3">
      <c r="A53" s="5">
        <f t="shared" si="0"/>
        <v>13</v>
      </c>
      <c r="B53" s="173">
        <f>B52+3.48</f>
        <v>52.82</v>
      </c>
      <c r="C53" s="173">
        <v>0</v>
      </c>
      <c r="D53" s="173">
        <v>1055</v>
      </c>
      <c r="E53" s="5"/>
    </row>
    <row r="54" spans="1:5" x14ac:dyDescent="0.3">
      <c r="A54" s="5">
        <f t="shared" si="0"/>
        <v>14</v>
      </c>
      <c r="B54" s="173">
        <f>B53+3.25</f>
        <v>56.07</v>
      </c>
      <c r="C54" s="173">
        <v>0</v>
      </c>
      <c r="D54" s="173">
        <v>1055</v>
      </c>
      <c r="E54" s="5"/>
    </row>
    <row r="55" spans="1:5" x14ac:dyDescent="0.3">
      <c r="A55" s="5">
        <f t="shared" si="0"/>
        <v>15</v>
      </c>
      <c r="B55" s="173">
        <f>B54+2.51</f>
        <v>58.58</v>
      </c>
      <c r="C55" s="173">
        <v>0</v>
      </c>
      <c r="D55" s="173">
        <v>1063</v>
      </c>
      <c r="E55" s="5"/>
    </row>
    <row r="56" spans="1:5" x14ac:dyDescent="0.3">
      <c r="A56" s="5">
        <f t="shared" si="0"/>
        <v>16</v>
      </c>
      <c r="B56" s="173">
        <f>B55+9.88</f>
        <v>68.459999999999994</v>
      </c>
      <c r="C56" s="173">
        <v>1</v>
      </c>
      <c r="D56" s="173">
        <v>1091</v>
      </c>
      <c r="E56" s="5"/>
    </row>
    <row r="57" spans="1:5" x14ac:dyDescent="0.3">
      <c r="A57" s="5">
        <f t="shared" si="0"/>
        <v>17</v>
      </c>
      <c r="B57" s="173">
        <f>B56+13.44</f>
        <v>81.899999999999991</v>
      </c>
      <c r="C57" s="173">
        <v>10</v>
      </c>
      <c r="D57" s="173">
        <v>995</v>
      </c>
      <c r="E57" s="5"/>
    </row>
    <row r="58" spans="1:5" x14ac:dyDescent="0.3">
      <c r="A58" s="5">
        <f t="shared" si="0"/>
        <v>18</v>
      </c>
      <c r="B58" s="173">
        <f>B57+11.68</f>
        <v>93.579999999999984</v>
      </c>
      <c r="C58" s="173">
        <v>18</v>
      </c>
      <c r="D58" s="173">
        <v>705</v>
      </c>
      <c r="E58" s="5"/>
    </row>
    <row r="59" spans="1:5" x14ac:dyDescent="0.3">
      <c r="A59" s="5">
        <f t="shared" si="0"/>
        <v>19</v>
      </c>
      <c r="B59" s="173">
        <f>B58+15.42</f>
        <v>108.99999999999999</v>
      </c>
      <c r="C59" s="173">
        <v>24</v>
      </c>
      <c r="D59" s="173">
        <v>127</v>
      </c>
      <c r="E59" s="5" t="s">
        <v>334</v>
      </c>
    </row>
    <row r="60" spans="1:5" hidden="1" x14ac:dyDescent="0.3">
      <c r="A60" s="5">
        <f t="shared" si="0"/>
        <v>20</v>
      </c>
      <c r="B60" s="5">
        <f t="shared" ref="B60:B76" si="1">B59+3</f>
        <v>111.99999999999999</v>
      </c>
      <c r="C60" s="5">
        <v>0</v>
      </c>
      <c r="D60" s="5">
        <v>418</v>
      </c>
      <c r="E60" s="5"/>
    </row>
    <row r="61" spans="1:5" hidden="1" x14ac:dyDescent="0.3">
      <c r="A61" s="5">
        <f t="shared" si="0"/>
        <v>21</v>
      </c>
      <c r="B61" s="5">
        <f t="shared" si="1"/>
        <v>114.99999999999999</v>
      </c>
      <c r="C61" s="5">
        <v>0</v>
      </c>
      <c r="D61" s="5">
        <v>417</v>
      </c>
      <c r="E61" s="5"/>
    </row>
    <row r="62" spans="1:5" hidden="1" x14ac:dyDescent="0.3">
      <c r="A62" s="5">
        <f t="shared" si="0"/>
        <v>22</v>
      </c>
      <c r="B62" s="5">
        <f t="shared" si="1"/>
        <v>117.99999999999999</v>
      </c>
      <c r="C62" s="5">
        <v>0</v>
      </c>
      <c r="D62" s="5">
        <v>418</v>
      </c>
      <c r="E62" s="5"/>
    </row>
    <row r="63" spans="1:5" hidden="1" x14ac:dyDescent="0.3">
      <c r="A63" s="5">
        <f t="shared" si="0"/>
        <v>23</v>
      </c>
      <c r="B63" s="5">
        <f t="shared" si="1"/>
        <v>120.99999999999999</v>
      </c>
      <c r="C63" s="5">
        <v>0</v>
      </c>
      <c r="D63" s="5">
        <v>416</v>
      </c>
      <c r="E63" s="5"/>
    </row>
    <row r="64" spans="1:5" hidden="1" x14ac:dyDescent="0.3">
      <c r="A64" s="5">
        <f t="shared" si="0"/>
        <v>24</v>
      </c>
      <c r="B64" s="5">
        <f t="shared" si="1"/>
        <v>123.99999999999999</v>
      </c>
      <c r="C64" s="5">
        <v>0</v>
      </c>
      <c r="D64" s="5">
        <v>414</v>
      </c>
      <c r="E64" s="5"/>
    </row>
    <row r="65" spans="1:5" hidden="1" x14ac:dyDescent="0.3">
      <c r="A65" s="5">
        <f t="shared" si="0"/>
        <v>25</v>
      </c>
      <c r="B65" s="5">
        <f t="shared" si="1"/>
        <v>126.99999999999999</v>
      </c>
      <c r="C65" s="5">
        <v>0</v>
      </c>
      <c r="D65" s="5">
        <v>390</v>
      </c>
      <c r="E65" s="5"/>
    </row>
    <row r="66" spans="1:5" hidden="1" x14ac:dyDescent="0.3">
      <c r="A66" s="5">
        <f t="shared" si="0"/>
        <v>26</v>
      </c>
      <c r="B66" s="5">
        <f t="shared" si="1"/>
        <v>130</v>
      </c>
      <c r="C66" s="5">
        <f t="shared" ref="C66:C74" si="2">C67-3</f>
        <v>3</v>
      </c>
      <c r="D66" s="5">
        <v>354</v>
      </c>
      <c r="E66" s="5"/>
    </row>
    <row r="67" spans="1:5" hidden="1" x14ac:dyDescent="0.3">
      <c r="A67" s="5">
        <f t="shared" si="0"/>
        <v>27</v>
      </c>
      <c r="B67" s="5">
        <f t="shared" si="1"/>
        <v>133</v>
      </c>
      <c r="C67" s="5">
        <f t="shared" si="2"/>
        <v>6</v>
      </c>
      <c r="D67" s="5">
        <v>321</v>
      </c>
      <c r="E67" s="5"/>
    </row>
    <row r="68" spans="1:5" hidden="1" x14ac:dyDescent="0.3">
      <c r="A68" s="5">
        <f t="shared" si="0"/>
        <v>28</v>
      </c>
      <c r="B68" s="5">
        <f t="shared" si="1"/>
        <v>136</v>
      </c>
      <c r="C68" s="5">
        <f t="shared" si="2"/>
        <v>9</v>
      </c>
      <c r="D68" s="5">
        <v>290</v>
      </c>
      <c r="E68" s="5"/>
    </row>
    <row r="69" spans="1:5" hidden="1" x14ac:dyDescent="0.3">
      <c r="A69" s="5">
        <f t="shared" si="0"/>
        <v>29</v>
      </c>
      <c r="B69" s="5">
        <f t="shared" si="1"/>
        <v>139</v>
      </c>
      <c r="C69" s="5">
        <f t="shared" si="2"/>
        <v>12</v>
      </c>
      <c r="D69" s="5">
        <v>268</v>
      </c>
      <c r="E69" s="5"/>
    </row>
    <row r="70" spans="1:5" hidden="1" x14ac:dyDescent="0.3">
      <c r="A70" s="5">
        <f t="shared" si="0"/>
        <v>30</v>
      </c>
      <c r="B70" s="5">
        <f t="shared" si="1"/>
        <v>142</v>
      </c>
      <c r="C70" s="5">
        <f t="shared" si="2"/>
        <v>15</v>
      </c>
      <c r="D70" s="5">
        <v>221</v>
      </c>
      <c r="E70" s="5"/>
    </row>
    <row r="71" spans="1:5" hidden="1" x14ac:dyDescent="0.3">
      <c r="A71" s="5">
        <f t="shared" si="0"/>
        <v>31</v>
      </c>
      <c r="B71" s="5">
        <f t="shared" si="1"/>
        <v>145</v>
      </c>
      <c r="C71" s="5">
        <f t="shared" si="2"/>
        <v>18</v>
      </c>
      <c r="D71" s="5">
        <v>198</v>
      </c>
      <c r="E71" s="5"/>
    </row>
    <row r="72" spans="1:5" hidden="1" x14ac:dyDescent="0.3">
      <c r="A72" s="5">
        <f t="shared" si="0"/>
        <v>32</v>
      </c>
      <c r="B72" s="5">
        <f t="shared" si="1"/>
        <v>148</v>
      </c>
      <c r="C72" s="5">
        <f t="shared" si="2"/>
        <v>21</v>
      </c>
      <c r="D72" s="5">
        <v>165</v>
      </c>
      <c r="E72" s="5"/>
    </row>
    <row r="73" spans="1:5" hidden="1" x14ac:dyDescent="0.3">
      <c r="A73" s="5">
        <f t="shared" si="0"/>
        <v>33</v>
      </c>
      <c r="B73" s="5">
        <f t="shared" si="1"/>
        <v>151</v>
      </c>
      <c r="C73" s="5">
        <f t="shared" si="2"/>
        <v>24</v>
      </c>
      <c r="D73" s="5">
        <v>132</v>
      </c>
      <c r="E73" s="5"/>
    </row>
    <row r="74" spans="1:5" hidden="1" x14ac:dyDescent="0.3">
      <c r="A74" s="5">
        <f t="shared" si="0"/>
        <v>34</v>
      </c>
      <c r="B74" s="5">
        <f t="shared" si="1"/>
        <v>154</v>
      </c>
      <c r="C74" s="5">
        <f t="shared" si="2"/>
        <v>27</v>
      </c>
      <c r="D74" s="5">
        <v>111</v>
      </c>
      <c r="E74" s="5"/>
    </row>
    <row r="75" spans="1:5" hidden="1" x14ac:dyDescent="0.3">
      <c r="A75" s="5">
        <f t="shared" si="0"/>
        <v>35</v>
      </c>
      <c r="B75" s="5">
        <f t="shared" si="1"/>
        <v>157</v>
      </c>
      <c r="C75" s="5">
        <f>C76-3</f>
        <v>30</v>
      </c>
      <c r="D75" s="5">
        <v>105</v>
      </c>
      <c r="E75" s="5"/>
    </row>
    <row r="76" spans="1:5" hidden="1" x14ac:dyDescent="0.3">
      <c r="A76" s="5">
        <f t="shared" si="0"/>
        <v>36</v>
      </c>
      <c r="B76" s="5">
        <f t="shared" si="1"/>
        <v>160</v>
      </c>
      <c r="C76" s="5">
        <v>33</v>
      </c>
      <c r="D76" s="5">
        <v>96</v>
      </c>
      <c r="E76" s="5" t="s">
        <v>334</v>
      </c>
    </row>
    <row r="77" spans="1:5" ht="60.75" customHeight="1" x14ac:dyDescent="0.3">
      <c r="A77" s="223" t="s">
        <v>21</v>
      </c>
      <c r="B77" s="223"/>
      <c r="C77" s="223"/>
      <c r="D77" s="223"/>
      <c r="E77" s="223"/>
    </row>
    <row r="78" spans="1:5" x14ac:dyDescent="0.3">
      <c r="A78" s="3"/>
      <c r="B78" s="3"/>
      <c r="C78" s="3"/>
      <c r="D78" s="3"/>
      <c r="E78" s="3"/>
    </row>
    <row r="79" spans="1:5" x14ac:dyDescent="0.3">
      <c r="A79" s="230" t="s">
        <v>22</v>
      </c>
      <c r="B79" s="231"/>
      <c r="C79" s="231"/>
      <c r="D79" s="231"/>
      <c r="E79" s="231"/>
    </row>
    <row r="80" spans="1:5" x14ac:dyDescent="0.3">
      <c r="A80" s="77"/>
      <c r="B80" s="77"/>
      <c r="C80" s="77"/>
      <c r="D80" s="77"/>
      <c r="E80" s="77"/>
    </row>
    <row r="81" spans="1:5" ht="25.5" customHeight="1" x14ac:dyDescent="0.3">
      <c r="A81" s="125" t="s">
        <v>23</v>
      </c>
      <c r="B81" s="126">
        <v>2</v>
      </c>
      <c r="C81" s="125" t="s">
        <v>24</v>
      </c>
      <c r="D81" s="125"/>
      <c r="E81" s="77"/>
    </row>
    <row r="82" spans="1:5" ht="37.5" customHeight="1" x14ac:dyDescent="0.3">
      <c r="A82" s="125" t="s">
        <v>25</v>
      </c>
      <c r="B82" s="126">
        <v>500</v>
      </c>
      <c r="C82" s="125" t="s">
        <v>26</v>
      </c>
      <c r="D82" s="125"/>
      <c r="E82" s="77"/>
    </row>
    <row r="83" spans="1:5" ht="45" customHeight="1" x14ac:dyDescent="0.3">
      <c r="A83" s="125" t="s">
        <v>27</v>
      </c>
      <c r="B83" s="126" t="str">
        <f>'Данные '!B39</f>
        <v>2х(3х112)</v>
      </c>
      <c r="C83" s="125" t="s">
        <v>28</v>
      </c>
      <c r="D83" s="127" t="str">
        <f>'Данные '!B4</f>
        <v>08.12.2025</v>
      </c>
      <c r="E83" s="77"/>
    </row>
    <row r="84" spans="1:5" x14ac:dyDescent="0.3">
      <c r="A84" s="228" t="s">
        <v>0</v>
      </c>
      <c r="B84" s="228"/>
      <c r="C84" s="229"/>
      <c r="D84" s="229"/>
      <c r="E84" s="92" t="s">
        <v>249</v>
      </c>
    </row>
    <row r="85" spans="1:5" x14ac:dyDescent="0.3">
      <c r="A85" s="216" t="s">
        <v>1</v>
      </c>
      <c r="B85" s="216"/>
      <c r="C85" s="217"/>
      <c r="D85" s="217"/>
      <c r="E85" t="s">
        <v>249</v>
      </c>
    </row>
    <row r="86" spans="1:5" x14ac:dyDescent="0.3">
      <c r="A86" s="1"/>
      <c r="B86" s="1"/>
      <c r="C86" s="2"/>
      <c r="D86" s="2" t="s">
        <v>2</v>
      </c>
    </row>
  </sheetData>
  <mergeCells count="32">
    <mergeCell ref="A10:C10"/>
    <mergeCell ref="D9:E9"/>
    <mergeCell ref="D10:E10"/>
    <mergeCell ref="A11:C11"/>
    <mergeCell ref="A84:B84"/>
    <mergeCell ref="C84:D84"/>
    <mergeCell ref="A14:C14"/>
    <mergeCell ref="A15:C15"/>
    <mergeCell ref="A79:E79"/>
    <mergeCell ref="D11:E11"/>
    <mergeCell ref="D12:E12"/>
    <mergeCell ref="D13:E13"/>
    <mergeCell ref="D14:E14"/>
    <mergeCell ref="D15:E15"/>
    <mergeCell ref="A20:E20"/>
    <mergeCell ref="A40:E40"/>
    <mergeCell ref="A85:B85"/>
    <mergeCell ref="C85:D85"/>
    <mergeCell ref="A1:E1"/>
    <mergeCell ref="A2:E2"/>
    <mergeCell ref="A4:E4"/>
    <mergeCell ref="A17:E17"/>
    <mergeCell ref="A77:E77"/>
    <mergeCell ref="A6:C6"/>
    <mergeCell ref="D6:E6"/>
    <mergeCell ref="A7:C7"/>
    <mergeCell ref="D7:E7"/>
    <mergeCell ref="A8:C8"/>
    <mergeCell ref="D8:E8"/>
    <mergeCell ref="A9:C9"/>
    <mergeCell ref="A12:C12"/>
    <mergeCell ref="A13:C13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18" t="s">
        <v>29</v>
      </c>
      <c r="B1" s="240"/>
      <c r="C1" s="240"/>
      <c r="D1" s="240"/>
      <c r="E1" s="240"/>
      <c r="F1" s="240"/>
      <c r="G1" s="240"/>
    </row>
    <row r="2" spans="1:7" x14ac:dyDescent="0.3">
      <c r="A2" s="218" t="s">
        <v>30</v>
      </c>
      <c r="B2" s="240"/>
      <c r="C2" s="240"/>
      <c r="D2" s="240"/>
      <c r="E2" s="240"/>
      <c r="F2" s="240"/>
      <c r="G2" s="240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4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1"/>
      <c r="D4" s="241"/>
      <c r="E4" s="241"/>
      <c r="F4" s="241"/>
      <c r="G4" s="241"/>
    </row>
    <row r="5" spans="1:7" x14ac:dyDescent="0.3">
      <c r="A5" s="7" t="s">
        <v>32</v>
      </c>
      <c r="B5" s="242" t="str">
        <f>'Данные '!B36</f>
        <v>ГНБ №6</v>
      </c>
      <c r="C5" s="242"/>
      <c r="D5" s="242"/>
      <c r="E5" s="242"/>
      <c r="F5" s="242"/>
      <c r="G5" s="242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43">
        <f>'АОСР-1'!M32</f>
        <v>6</v>
      </c>
      <c r="D7" s="243"/>
      <c r="E7" s="6"/>
      <c r="F7" s="6"/>
      <c r="G7" s="6"/>
    </row>
    <row r="8" spans="1:7" ht="31.5" customHeight="1" x14ac:dyDescent="0.3">
      <c r="A8" s="239" t="s">
        <v>34</v>
      </c>
      <c r="B8" s="240"/>
      <c r="C8" s="240"/>
      <c r="D8" s="240"/>
      <c r="E8" s="240"/>
      <c r="F8" s="240"/>
      <c r="G8" s="240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6" t="str">
        <f>'Данные '!B4</f>
        <v>08.12.2025</v>
      </c>
      <c r="G10" s="246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4" t="s">
        <v>35</v>
      </c>
      <c r="B12" s="245"/>
      <c r="C12" s="245"/>
      <c r="D12" s="245"/>
      <c r="E12" s="245"/>
      <c r="F12" s="245"/>
      <c r="G12" s="245"/>
    </row>
    <row r="13" spans="1:7" ht="15.9" customHeight="1" x14ac:dyDescent="0.3">
      <c r="A13" s="12" t="s">
        <v>36</v>
      </c>
      <c r="B13" s="247" t="str">
        <f>CONCATENATE('Данные '!B18," ",'Данные '!B17," ",'Данные '!B19)</f>
        <v>Гл.инженер ООО «КСС Регион» Сигарев А.А.</v>
      </c>
      <c r="C13" s="247"/>
      <c r="D13" s="247"/>
      <c r="E13" s="247"/>
      <c r="F13" s="247"/>
      <c r="G13" s="247"/>
    </row>
    <row r="14" spans="1:7" ht="13.5" customHeight="1" x14ac:dyDescent="0.3">
      <c r="A14" s="12"/>
      <c r="B14" s="248" t="s">
        <v>37</v>
      </c>
      <c r="C14" s="248"/>
      <c r="D14" s="248"/>
      <c r="E14" s="248"/>
      <c r="F14" s="248"/>
      <c r="G14" s="248"/>
    </row>
    <row r="15" spans="1:7" ht="15.9" hidden="1" customHeight="1" x14ac:dyDescent="0.3">
      <c r="A15" s="12" t="s">
        <v>38</v>
      </c>
      <c r="B15" s="249" t="str">
        <f>CONCATENATE('Данные '!B20," ",'Данные '!B19," ",'Данные '!B21)</f>
        <v>- Сигарев А.А. Ефремкин Е.И.</v>
      </c>
      <c r="C15" s="249"/>
      <c r="D15" s="249"/>
      <c r="E15" s="249"/>
      <c r="F15" s="249"/>
      <c r="G15" s="249"/>
    </row>
    <row r="16" spans="1:7" ht="18" hidden="1" customHeight="1" x14ac:dyDescent="0.3">
      <c r="A16" s="12"/>
      <c r="B16" s="250" t="s">
        <v>37</v>
      </c>
      <c r="C16" s="250"/>
      <c r="D16" s="250"/>
      <c r="E16" s="250"/>
      <c r="F16" s="250"/>
      <c r="G16" s="250"/>
    </row>
    <row r="17" spans="1:7" x14ac:dyDescent="0.3">
      <c r="A17" s="12" t="s">
        <v>39</v>
      </c>
      <c r="B17" s="247" t="str">
        <f>CONCATENATE('Данные '!B10," ",'Данные '!B7," ",'Данные '!B11)</f>
        <v>Прораб ООО "Энергосистемы" Волков М.Ю.</v>
      </c>
      <c r="C17" s="247"/>
      <c r="D17" s="247"/>
      <c r="E17" s="247"/>
      <c r="F17" s="247"/>
      <c r="G17" s="247"/>
    </row>
    <row r="18" spans="1:7" ht="15" customHeight="1" x14ac:dyDescent="0.3">
      <c r="A18" s="12"/>
      <c r="B18" s="248" t="s">
        <v>37</v>
      </c>
      <c r="C18" s="248"/>
      <c r="D18" s="248"/>
      <c r="E18" s="248"/>
      <c r="F18" s="248"/>
      <c r="G18" s="248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51" t="s">
        <v>40</v>
      </c>
      <c r="B20" s="245"/>
      <c r="C20" s="245"/>
      <c r="D20" s="245"/>
      <c r="E20" s="245"/>
      <c r="F20" s="245"/>
      <c r="G20" s="245"/>
    </row>
    <row r="21" spans="1:7" ht="15" customHeight="1" x14ac:dyDescent="0.3">
      <c r="A21" s="10" t="s">
        <v>41</v>
      </c>
      <c r="B21" s="165" t="str">
        <f>B5</f>
        <v>ГНБ №6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7" t="str">
        <f>'Данные '!B33</f>
        <v>4980-325834-217-09/24</v>
      </c>
      <c r="C22" s="247"/>
      <c r="D22" s="247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51" t="s">
        <v>45</v>
      </c>
      <c r="B24" s="245"/>
      <c r="C24" s="245"/>
      <c r="D24" s="245"/>
      <c r="E24" s="245"/>
      <c r="F24" s="245"/>
      <c r="G24" s="245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4" t="s">
        <v>52</v>
      </c>
      <c r="B34" s="245"/>
      <c r="C34" s="245"/>
      <c r="D34" s="245"/>
      <c r="E34" s="245"/>
      <c r="F34" s="245"/>
      <c r="G34" s="245"/>
    </row>
    <row r="37" spans="1:7" ht="30" customHeight="1" x14ac:dyDescent="0.3"/>
  </sheetData>
  <mergeCells count="18"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  <mergeCell ref="A8:G8"/>
    <mergeCell ref="A1:G1"/>
    <mergeCell ref="A2:G2"/>
    <mergeCell ref="B4:G4"/>
    <mergeCell ref="B5:G5"/>
    <mergeCell ref="C7:D7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2" t="s">
        <v>29</v>
      </c>
      <c r="B1" s="252"/>
      <c r="C1" s="252"/>
      <c r="D1" s="252"/>
      <c r="E1" s="252"/>
      <c r="F1" s="252"/>
      <c r="G1" s="252"/>
      <c r="H1" s="252"/>
    </row>
    <row r="2" spans="1:8" ht="15" customHeight="1" x14ac:dyDescent="0.25">
      <c r="A2" s="252" t="s">
        <v>261</v>
      </c>
      <c r="B2" s="252"/>
      <c r="C2" s="252"/>
      <c r="D2" s="252"/>
      <c r="E2" s="252"/>
      <c r="F2" s="252"/>
      <c r="G2" s="252"/>
      <c r="H2" s="252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4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1"/>
      <c r="D4" s="241"/>
      <c r="E4" s="241"/>
      <c r="F4" s="241"/>
      <c r="G4" s="241"/>
      <c r="H4" s="241"/>
    </row>
    <row r="5" spans="1:8" x14ac:dyDescent="0.25">
      <c r="A5" s="64" t="s">
        <v>32</v>
      </c>
      <c r="B5" s="242" t="str">
        <f>'Данные '!B36</f>
        <v>ГНБ №6</v>
      </c>
      <c r="C5" s="242"/>
      <c r="D5" s="242"/>
      <c r="E5" s="242"/>
      <c r="F5" s="242"/>
      <c r="G5" s="242"/>
      <c r="H5" s="242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6</v>
      </c>
      <c r="E7" s="20"/>
      <c r="F7" s="20"/>
      <c r="G7" s="20"/>
      <c r="H7" s="20"/>
    </row>
    <row r="8" spans="1:8" ht="27.75" customHeight="1" x14ac:dyDescent="0.25">
      <c r="A8" s="254" t="s">
        <v>58</v>
      </c>
      <c r="B8" s="254"/>
      <c r="C8" s="254"/>
      <c r="D8" s="254"/>
      <c r="E8" s="254"/>
      <c r="F8" s="254"/>
      <c r="G8" s="254"/>
      <c r="H8" s="254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6" t="str">
        <f>'Форма 2'!F10</f>
        <v>08.12.2025</v>
      </c>
      <c r="G10" s="246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4" t="s">
        <v>35</v>
      </c>
      <c r="B12" s="245"/>
      <c r="C12" s="245"/>
      <c r="D12" s="245"/>
      <c r="E12" s="245"/>
      <c r="F12" s="245"/>
    </row>
    <row r="13" spans="1:8" x14ac:dyDescent="0.25">
      <c r="A13" s="64" t="s">
        <v>36</v>
      </c>
      <c r="B13" s="253" t="str">
        <f>CONCATENATE('Данные '!B18," ",'Данные '!B17," ",'Данные '!B19)</f>
        <v>Гл.инженер ООО «КСС Регион» Сигарев А.А.</v>
      </c>
      <c r="C13" s="253"/>
      <c r="D13" s="253"/>
      <c r="E13" s="253"/>
      <c r="F13" s="253"/>
      <c r="G13" s="253"/>
      <c r="H13" s="253"/>
    </row>
    <row r="14" spans="1:8" ht="17.25" customHeight="1" x14ac:dyDescent="0.25">
      <c r="A14" s="64"/>
      <c r="B14" s="255" t="s">
        <v>37</v>
      </c>
      <c r="C14" s="255"/>
      <c r="D14" s="255"/>
      <c r="E14" s="255"/>
      <c r="F14" s="255"/>
      <c r="G14" s="255"/>
      <c r="H14" s="255"/>
    </row>
    <row r="15" spans="1:8" ht="20.399999999999999" hidden="1" x14ac:dyDescent="0.25">
      <c r="A15" s="64" t="s">
        <v>38</v>
      </c>
      <c r="B15" s="241"/>
      <c r="C15" s="241"/>
      <c r="D15" s="241"/>
      <c r="E15" s="241"/>
      <c r="F15" s="241"/>
      <c r="G15" s="241"/>
      <c r="H15" s="241"/>
    </row>
    <row r="16" spans="1:8" ht="16.5" hidden="1" customHeight="1" x14ac:dyDescent="0.25">
      <c r="A16" s="64"/>
      <c r="B16" s="250" t="s">
        <v>37</v>
      </c>
      <c r="C16" s="250"/>
      <c r="D16" s="250"/>
      <c r="E16" s="250"/>
      <c r="F16" s="250"/>
      <c r="G16" s="250"/>
      <c r="H16" s="250"/>
    </row>
    <row r="17" spans="1:8" x14ac:dyDescent="0.25">
      <c r="A17" s="64" t="s">
        <v>39</v>
      </c>
      <c r="B17" s="247" t="str">
        <f>CONCATENATE('Данные '!B10," ",'Данные '!B7," ",'Данные '!B11)</f>
        <v>Прораб ООО "Энергосистемы" Волков М.Ю.</v>
      </c>
      <c r="C17" s="247"/>
      <c r="D17" s="247"/>
      <c r="E17" s="247"/>
      <c r="F17" s="247"/>
      <c r="G17" s="247"/>
      <c r="H17" s="247"/>
    </row>
    <row r="18" spans="1:8" ht="16.5" customHeight="1" x14ac:dyDescent="0.25">
      <c r="A18" s="64"/>
      <c r="B18" s="255" t="s">
        <v>37</v>
      </c>
      <c r="C18" s="255"/>
      <c r="D18" s="255"/>
      <c r="E18" s="255"/>
      <c r="F18" s="255"/>
      <c r="G18" s="255"/>
      <c r="H18" s="255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6" t="str">
        <f>B5</f>
        <v>ГНБ №6</v>
      </c>
      <c r="D20" s="256"/>
      <c r="E20" s="10"/>
      <c r="F20" s="244" t="s">
        <v>60</v>
      </c>
      <c r="G20" s="244"/>
      <c r="H20" s="244"/>
    </row>
    <row r="21" spans="1:8" ht="16.5" customHeight="1" x14ac:dyDescent="0.25">
      <c r="A21" s="244" t="s">
        <v>61</v>
      </c>
      <c r="B21" s="244"/>
      <c r="C21" s="253" t="str">
        <f>'Данные '!B33</f>
        <v>4980-325834-217-09/24</v>
      </c>
      <c r="D21" s="253"/>
      <c r="E21" s="253"/>
      <c r="F21" s="64"/>
      <c r="G21" s="64"/>
      <c r="H21" s="64"/>
    </row>
    <row r="22" spans="1:8" ht="14.25" customHeight="1" x14ac:dyDescent="0.25">
      <c r="A22" s="244" t="s">
        <v>262</v>
      </c>
      <c r="B22" s="244"/>
      <c r="C22" s="163">
        <f>'Форма 1'!B82</f>
        <v>500</v>
      </c>
      <c r="D22" s="69" t="s">
        <v>62</v>
      </c>
      <c r="E22" s="69"/>
      <c r="F22" s="69"/>
    </row>
    <row r="23" spans="1:8" ht="14.25" customHeight="1" x14ac:dyDescent="0.25">
      <c r="A23" s="244" t="s">
        <v>63</v>
      </c>
      <c r="B23" s="244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4" t="s">
        <v>52</v>
      </c>
      <c r="B33" s="245"/>
      <c r="C33" s="245"/>
      <c r="D33" s="245"/>
      <c r="E33" s="245"/>
      <c r="F33" s="245"/>
    </row>
  </sheetData>
  <mergeCells count="20"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  <mergeCell ref="A1:H1"/>
    <mergeCell ref="A2:H2"/>
    <mergeCell ref="B13:H13"/>
    <mergeCell ref="F20:H20"/>
    <mergeCell ref="A12:F12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12" zoomScaleNormal="100" zoomScaleSheetLayoutView="100" workbookViewId="0">
      <selection activeCell="K54" sqref="K54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2" t="s">
        <v>53</v>
      </c>
      <c r="B1" s="252"/>
      <c r="C1" s="252"/>
      <c r="D1" s="252"/>
      <c r="E1" s="252"/>
      <c r="F1" s="222"/>
      <c r="G1" s="222"/>
      <c r="H1" s="222"/>
    </row>
    <row r="2" spans="1:8" ht="15.9" customHeight="1" x14ac:dyDescent="0.2">
      <c r="A2" s="257" t="s">
        <v>64</v>
      </c>
      <c r="B2" s="257"/>
      <c r="C2" s="257"/>
      <c r="D2" s="257"/>
      <c r="E2" s="257"/>
      <c r="F2" s="231"/>
      <c r="G2" s="231"/>
      <c r="H2" s="231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6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61"/>
      <c r="D4" s="261"/>
      <c r="E4" s="261"/>
      <c r="F4" s="261"/>
      <c r="G4" s="261"/>
      <c r="H4" s="261"/>
    </row>
    <row r="5" spans="1:8" ht="10.8" x14ac:dyDescent="0.2">
      <c r="A5" s="78" t="s">
        <v>55</v>
      </c>
      <c r="B5" s="262" t="str">
        <f>'Данные '!B36</f>
        <v>ГНБ №6</v>
      </c>
      <c r="C5" s="262"/>
      <c r="D5" s="262"/>
      <c r="E5" s="262"/>
      <c r="F5" s="262"/>
      <c r="G5" s="262"/>
      <c r="H5" s="262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6</v>
      </c>
      <c r="E8" s="80"/>
      <c r="F8" s="80"/>
      <c r="G8" s="80"/>
      <c r="H8" s="80"/>
    </row>
    <row r="9" spans="1:8" ht="15.9" customHeight="1" x14ac:dyDescent="0.2">
      <c r="A9" s="258" t="s">
        <v>65</v>
      </c>
      <c r="B9" s="258"/>
      <c r="C9" s="258"/>
      <c r="D9" s="258"/>
      <c r="E9" s="258"/>
      <c r="F9" s="231"/>
      <c r="G9" s="231"/>
      <c r="H9" s="231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59" t="s">
        <v>66</v>
      </c>
      <c r="B11" s="259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7" t="str">
        <f>'Форма 2'!F10</f>
        <v>08.12.2025</v>
      </c>
      <c r="G13" s="267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59" t="s">
        <v>67</v>
      </c>
      <c r="B15" s="259"/>
      <c r="C15" s="259"/>
      <c r="D15" s="259"/>
      <c r="E15" s="259"/>
      <c r="F15" s="231"/>
      <c r="G15" s="231"/>
      <c r="H15" s="231"/>
    </row>
    <row r="16" spans="1:8" ht="10.8" x14ac:dyDescent="0.2">
      <c r="A16" s="78" t="s">
        <v>56</v>
      </c>
      <c r="B16" s="261" t="str">
        <f>CONCATENATE('Данные '!B18," ",'Данные '!B17," ",'Данные '!B19)</f>
        <v>Гл.инженер ООО «КСС Регион» Сигарев А.А.</v>
      </c>
      <c r="C16" s="261"/>
      <c r="D16" s="261"/>
      <c r="E16" s="261"/>
      <c r="F16" s="261"/>
      <c r="G16" s="261"/>
      <c r="H16" s="261"/>
    </row>
    <row r="17" spans="1:8" ht="15" customHeight="1" x14ac:dyDescent="0.2">
      <c r="A17" s="78"/>
      <c r="B17" s="263" t="s">
        <v>57</v>
      </c>
      <c r="C17" s="263"/>
      <c r="D17" s="263"/>
      <c r="E17" s="263"/>
      <c r="F17" s="263"/>
      <c r="G17" s="263"/>
      <c r="H17" s="263"/>
    </row>
    <row r="18" spans="1:8" ht="10.8" x14ac:dyDescent="0.2">
      <c r="A18" s="78" t="s">
        <v>68</v>
      </c>
      <c r="B18" s="261" t="str">
        <f>CONCATENATE('Данные '!B10," ",'Данные '!B7," ",'Данные '!B11)</f>
        <v>Прораб ООО "Энергосистемы" Волков М.Ю.</v>
      </c>
      <c r="C18" s="261"/>
      <c r="D18" s="261"/>
      <c r="E18" s="261"/>
      <c r="F18" s="261"/>
      <c r="G18" s="261"/>
      <c r="H18" s="261"/>
    </row>
    <row r="19" spans="1:8" ht="15" customHeight="1" x14ac:dyDescent="0.2">
      <c r="A19" s="78"/>
      <c r="B19" s="263" t="s">
        <v>57</v>
      </c>
      <c r="C19" s="263"/>
      <c r="D19" s="263"/>
      <c r="E19" s="263"/>
      <c r="F19" s="263"/>
      <c r="G19" s="263"/>
      <c r="H19" s="263"/>
    </row>
    <row r="20" spans="1:8" ht="15.75" hidden="1" customHeight="1" x14ac:dyDescent="0.2">
      <c r="A20" s="78" t="s">
        <v>69</v>
      </c>
      <c r="B20" s="264"/>
      <c r="C20" s="264"/>
      <c r="D20" s="264"/>
      <c r="E20" s="264"/>
      <c r="F20" s="264"/>
      <c r="G20" s="264"/>
      <c r="H20" s="264"/>
    </row>
    <row r="21" spans="1:8" ht="15" hidden="1" customHeight="1" x14ac:dyDescent="0.2">
      <c r="A21" s="78"/>
      <c r="B21" s="265" t="s">
        <v>57</v>
      </c>
      <c r="C21" s="265"/>
      <c r="D21" s="265"/>
      <c r="E21" s="265"/>
      <c r="F21" s="265"/>
      <c r="G21" s="265"/>
      <c r="H21" s="265"/>
    </row>
    <row r="22" spans="1:8" ht="20.399999999999999" hidden="1" x14ac:dyDescent="0.2">
      <c r="A22" s="78" t="s">
        <v>70</v>
      </c>
      <c r="B22" s="264"/>
      <c r="C22" s="264"/>
      <c r="D22" s="264"/>
      <c r="E22" s="264"/>
      <c r="F22" s="264"/>
      <c r="G22" s="264"/>
      <c r="H22" s="264"/>
    </row>
    <row r="23" spans="1:8" ht="15" hidden="1" customHeight="1" x14ac:dyDescent="0.2">
      <c r="A23" s="78"/>
      <c r="B23" s="265" t="s">
        <v>57</v>
      </c>
      <c r="C23" s="265"/>
      <c r="D23" s="265"/>
      <c r="E23" s="265"/>
      <c r="F23" s="265"/>
      <c r="G23" s="265"/>
      <c r="H23" s="265"/>
    </row>
    <row r="24" spans="1:8" ht="19.5" hidden="1" customHeight="1" x14ac:dyDescent="0.2">
      <c r="A24" s="78" t="s">
        <v>71</v>
      </c>
      <c r="B24" s="264"/>
      <c r="C24" s="264"/>
      <c r="D24" s="264"/>
      <c r="E24" s="264"/>
      <c r="F24" s="264"/>
      <c r="G24" s="264"/>
      <c r="H24" s="264"/>
    </row>
    <row r="25" spans="1:8" ht="11.25" hidden="1" customHeight="1" x14ac:dyDescent="0.2">
      <c r="A25" s="86"/>
      <c r="B25" s="265" t="s">
        <v>57</v>
      </c>
      <c r="C25" s="265"/>
      <c r="D25" s="265"/>
      <c r="E25" s="265"/>
      <c r="F25" s="265"/>
      <c r="G25" s="265"/>
      <c r="H25" s="265"/>
    </row>
    <row r="26" spans="1:8" ht="16.5" customHeight="1" x14ac:dyDescent="0.2">
      <c r="A26" s="259" t="s">
        <v>72</v>
      </c>
      <c r="B26" s="259"/>
      <c r="C26" s="84"/>
      <c r="D26" s="253" t="str">
        <f>'Данные '!B17</f>
        <v>ООО «КСС Регион»</v>
      </c>
      <c r="E26" s="253"/>
      <c r="F26" s="253"/>
      <c r="G26" s="253"/>
      <c r="H26" s="253"/>
    </row>
    <row r="27" spans="1:8" x14ac:dyDescent="0.2">
      <c r="A27" s="93"/>
      <c r="B27" s="93"/>
      <c r="C27" s="93"/>
      <c r="D27" s="263" t="s">
        <v>87</v>
      </c>
      <c r="E27" s="263"/>
      <c r="F27" s="263"/>
      <c r="G27" s="263"/>
      <c r="H27" s="263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0" t="s">
        <v>74</v>
      </c>
      <c r="B29" s="260"/>
      <c r="C29" s="260"/>
      <c r="D29" s="260"/>
      <c r="E29" s="260"/>
      <c r="F29" s="231"/>
      <c r="G29" s="231"/>
      <c r="H29" s="231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0" t="s">
        <v>75</v>
      </c>
      <c r="B31" s="260"/>
      <c r="C31" s="260"/>
      <c r="D31" s="260"/>
      <c r="E31" s="260"/>
      <c r="F31" s="231"/>
      <c r="G31" s="231"/>
      <c r="H31" s="231"/>
    </row>
    <row r="32" spans="1:8" ht="14.25" customHeight="1" x14ac:dyDescent="0.2">
      <c r="A32" s="259" t="s">
        <v>76</v>
      </c>
      <c r="B32" s="259"/>
      <c r="C32" s="259"/>
      <c r="D32" s="94">
        <f>'Данные '!B37</f>
        <v>6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3" t="str">
        <f>'Данные '!B31</f>
        <v>ООО "Энергосистемы"</v>
      </c>
      <c r="C33" s="253"/>
      <c r="D33" s="84" t="s">
        <v>89</v>
      </c>
      <c r="E33" s="253" t="str">
        <f>'Данные '!B33</f>
        <v>4980-325834-217-09/24</v>
      </c>
      <c r="F33" s="253"/>
      <c r="G33" s="253"/>
      <c r="H33" s="253"/>
    </row>
    <row r="34" spans="1:8" ht="17.25" customHeight="1" x14ac:dyDescent="0.2">
      <c r="A34" s="260" t="s">
        <v>77</v>
      </c>
      <c r="B34" s="260"/>
      <c r="C34" s="260"/>
      <c r="D34" s="260"/>
      <c r="E34" s="260"/>
      <c r="F34" s="231"/>
      <c r="G34" s="231"/>
      <c r="H34" s="231"/>
    </row>
    <row r="35" spans="1:8" ht="15.75" customHeight="1" x14ac:dyDescent="0.2">
      <c r="A35" s="260" t="s">
        <v>78</v>
      </c>
      <c r="B35" s="260"/>
      <c r="C35" s="260"/>
      <c r="D35" s="260"/>
      <c r="E35" s="260"/>
      <c r="F35" s="231"/>
      <c r="G35" s="231"/>
      <c r="H35" s="231"/>
    </row>
    <row r="36" spans="1:8" ht="32.1" hidden="1" customHeight="1" x14ac:dyDescent="0.2">
      <c r="A36" s="260" t="s">
        <v>79</v>
      </c>
      <c r="B36" s="260"/>
      <c r="C36" s="260"/>
      <c r="D36" s="260"/>
      <c r="E36" s="260"/>
      <c r="F36" s="231"/>
      <c r="G36" s="231"/>
      <c r="H36" s="231"/>
    </row>
    <row r="37" spans="1:8" ht="32.1" hidden="1" customHeight="1" x14ac:dyDescent="0.2">
      <c r="A37" s="260" t="s">
        <v>80</v>
      </c>
      <c r="B37" s="260"/>
      <c r="C37" s="260"/>
      <c r="D37" s="260"/>
      <c r="E37" s="260"/>
      <c r="F37" s="231"/>
      <c r="G37" s="231"/>
      <c r="H37" s="231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0" t="s">
        <v>81</v>
      </c>
      <c r="B39" s="260"/>
      <c r="C39" s="260"/>
      <c r="D39" s="260"/>
      <c r="E39" s="260"/>
      <c r="F39" s="231"/>
      <c r="G39" s="231"/>
      <c r="H39" s="231"/>
    </row>
    <row r="40" spans="1:8" ht="15.9" customHeight="1" x14ac:dyDescent="0.2">
      <c r="A40" s="84" t="s">
        <v>82</v>
      </c>
      <c r="B40" s="264"/>
      <c r="C40" s="264"/>
      <c r="D40" s="264"/>
      <c r="E40" s="264"/>
      <c r="F40" s="264"/>
      <c r="G40" s="264"/>
      <c r="H40" s="264"/>
    </row>
    <row r="41" spans="1:8" ht="17.25" customHeight="1" x14ac:dyDescent="0.2">
      <c r="A41" s="269" t="s">
        <v>90</v>
      </c>
      <c r="B41" s="269"/>
      <c r="C41" s="269"/>
      <c r="D41" s="269"/>
      <c r="E41" s="269"/>
      <c r="F41" s="269"/>
      <c r="G41" s="269"/>
      <c r="H41" s="269"/>
    </row>
    <row r="42" spans="1:8" ht="13.5" customHeight="1" x14ac:dyDescent="0.2">
      <c r="A42" s="95" t="s">
        <v>91</v>
      </c>
      <c r="B42" s="94">
        <f>'Данные '!B38</f>
        <v>756</v>
      </c>
      <c r="C42" s="95" t="s">
        <v>92</v>
      </c>
      <c r="D42" s="84"/>
      <c r="E42" s="253" t="str">
        <f>'АОСР-1'!B67</f>
        <v>Труба F2 D160мм</v>
      </c>
      <c r="F42" s="253"/>
      <c r="G42" s="253"/>
      <c r="H42" s="253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8" t="s">
        <v>95</v>
      </c>
      <c r="B45" s="260"/>
      <c r="C45" s="260"/>
      <c r="D45" s="260"/>
      <c r="E45" s="260"/>
      <c r="F45" s="231"/>
      <c r="G45" s="231"/>
      <c r="H45" s="231"/>
    </row>
    <row r="46" spans="1:8" ht="15.9" customHeight="1" x14ac:dyDescent="0.2">
      <c r="A46" s="268" t="s">
        <v>96</v>
      </c>
      <c r="B46" s="260"/>
      <c r="C46" s="260"/>
      <c r="D46" s="260"/>
      <c r="E46" s="260"/>
      <c r="F46" s="231"/>
      <c r="G46" s="231"/>
      <c r="H46" s="231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1'!B82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0" t="s">
        <v>83</v>
      </c>
      <c r="B49" s="260"/>
      <c r="C49" s="260"/>
      <c r="D49" s="260"/>
      <c r="E49" s="260"/>
      <c r="F49" s="231"/>
      <c r="G49" s="231"/>
      <c r="H49" s="231"/>
    </row>
    <row r="50" spans="1:8" ht="15" customHeight="1" x14ac:dyDescent="0.2">
      <c r="A50" s="260" t="s">
        <v>84</v>
      </c>
      <c r="B50" s="260"/>
      <c r="C50" s="260"/>
      <c r="D50" s="260"/>
      <c r="E50" s="260"/>
      <c r="F50" s="231"/>
      <c r="G50" s="231"/>
      <c r="H50" s="231"/>
    </row>
    <row r="51" spans="1:8" ht="25.5" customHeight="1" x14ac:dyDescent="0.2">
      <c r="A51" s="260" t="s">
        <v>85</v>
      </c>
      <c r="B51" s="260"/>
      <c r="C51" s="260"/>
      <c r="D51" s="260"/>
      <c r="E51" s="260"/>
      <c r="F51" s="231"/>
      <c r="G51" s="231"/>
      <c r="H51" s="231"/>
    </row>
    <row r="52" spans="1:8" ht="19.5" customHeight="1" x14ac:dyDescent="0.2">
      <c r="A52" s="268" t="s">
        <v>99</v>
      </c>
      <c r="B52" s="260"/>
      <c r="C52" s="260"/>
      <c r="D52" s="260"/>
      <c r="E52" s="260"/>
      <c r="F52" s="231"/>
      <c r="G52" s="231"/>
      <c r="H52" s="231"/>
    </row>
    <row r="54" spans="1:8" ht="15.9" customHeight="1" x14ac:dyDescent="0.2">
      <c r="A54" s="251" t="s">
        <v>86</v>
      </c>
      <c r="B54" s="251"/>
      <c r="C54" s="251"/>
      <c r="D54" s="251"/>
      <c r="E54" s="251"/>
      <c r="F54" s="222"/>
      <c r="G54" s="222"/>
      <c r="H54" s="222"/>
    </row>
    <row r="55" spans="1:8" x14ac:dyDescent="0.2">
      <c r="A55" s="162" t="s">
        <v>325</v>
      </c>
      <c r="B55" s="12"/>
      <c r="C55" s="12"/>
      <c r="D55" s="12"/>
      <c r="E55" s="266"/>
      <c r="F55" s="266"/>
      <c r="G55" s="270" t="str">
        <f>'Данные '!B19</f>
        <v>Сигарев А.А.</v>
      </c>
      <c r="H55" s="270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324</v>
      </c>
      <c r="B57" s="12"/>
      <c r="C57" s="12"/>
      <c r="D57" s="12"/>
      <c r="E57" s="266"/>
      <c r="F57" s="266"/>
      <c r="G57" s="270" t="str">
        <f>'Данные '!B11</f>
        <v>Волков М.Ю.</v>
      </c>
      <c r="H57" s="270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326</v>
      </c>
      <c r="B59" s="12"/>
      <c r="C59" s="12"/>
      <c r="D59" s="12"/>
      <c r="E59" s="266"/>
      <c r="F59" s="266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66"/>
      <c r="F61" s="266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G55:H55"/>
    <mergeCell ref="G57:H57"/>
    <mergeCell ref="E42:H42"/>
    <mergeCell ref="E55:F55"/>
    <mergeCell ref="E57:F57"/>
    <mergeCell ref="A45:H45"/>
    <mergeCell ref="A46:H46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B40:H40"/>
    <mergeCell ref="A34:H34"/>
    <mergeCell ref="A35:H35"/>
    <mergeCell ref="A36:H36"/>
    <mergeCell ref="A37:H37"/>
    <mergeCell ref="A32:C32"/>
    <mergeCell ref="B33:C33"/>
    <mergeCell ref="E33:H33"/>
    <mergeCell ref="A31:H31"/>
    <mergeCell ref="B19:H19"/>
    <mergeCell ref="B20:H20"/>
    <mergeCell ref="B21:H21"/>
    <mergeCell ref="B22:H22"/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4"/>
  <sheetViews>
    <sheetView view="pageBreakPreview" zoomScaleNormal="100" zoomScaleSheetLayoutView="100" workbookViewId="0">
      <selection activeCell="Q17" sqref="Q17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8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8"/>
      <c r="J4" s="278"/>
      <c r="K4" s="278"/>
    </row>
    <row r="5" spans="1:11" ht="14.4" x14ac:dyDescent="0.25">
      <c r="H5" s="27" t="s">
        <v>32</v>
      </c>
      <c r="I5" s="278" t="str">
        <f>'Данные '!B36</f>
        <v>ГНБ №6</v>
      </c>
      <c r="J5" s="278"/>
      <c r="K5" s="278"/>
    </row>
    <row r="7" spans="1:11" ht="15.6" x14ac:dyDescent="0.3">
      <c r="A7" s="279" t="s">
        <v>118</v>
      </c>
      <c r="B7" s="279"/>
      <c r="C7" s="279"/>
      <c r="D7" s="279"/>
      <c r="E7" s="279"/>
      <c r="F7" s="279"/>
      <c r="G7" s="279"/>
      <c r="H7" s="279"/>
      <c r="I7" s="279"/>
      <c r="J7" s="279"/>
      <c r="K7" s="279"/>
    </row>
    <row r="8" spans="1:11" ht="15.6" x14ac:dyDescent="0.3">
      <c r="A8" s="279" t="s">
        <v>119</v>
      </c>
      <c r="B8" s="279"/>
      <c r="C8" s="279"/>
      <c r="D8" s="279"/>
      <c r="E8" s="279"/>
      <c r="F8" s="279"/>
      <c r="G8" s="279"/>
      <c r="H8" s="279"/>
      <c r="I8" s="279"/>
      <c r="J8" s="279"/>
      <c r="K8" s="279"/>
    </row>
    <row r="11" spans="1:11" x14ac:dyDescent="0.25">
      <c r="A11" s="280" t="s">
        <v>120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</row>
    <row r="12" spans="1:11" x14ac:dyDescent="0.25">
      <c r="A12" s="271" t="s">
        <v>121</v>
      </c>
      <c r="B12" s="271" t="s">
        <v>122</v>
      </c>
      <c r="C12" s="271" t="s">
        <v>123</v>
      </c>
      <c r="D12" s="271"/>
      <c r="E12" s="271"/>
      <c r="F12" s="271"/>
      <c r="G12" s="271"/>
      <c r="H12" s="271"/>
      <c r="I12" s="271"/>
      <c r="J12" s="271"/>
      <c r="K12" s="271" t="s">
        <v>124</v>
      </c>
    </row>
    <row r="13" spans="1:11" ht="47.25" customHeight="1" x14ac:dyDescent="0.25">
      <c r="A13" s="271"/>
      <c r="B13" s="271"/>
      <c r="C13" s="271" t="s">
        <v>125</v>
      </c>
      <c r="D13" s="271" t="s">
        <v>126</v>
      </c>
      <c r="E13" s="271" t="s">
        <v>127</v>
      </c>
      <c r="F13" s="271" t="s">
        <v>128</v>
      </c>
      <c r="G13" s="271" t="s">
        <v>129</v>
      </c>
      <c r="H13" s="271" t="s">
        <v>130</v>
      </c>
      <c r="I13" s="271" t="s">
        <v>131</v>
      </c>
      <c r="J13" s="271"/>
      <c r="K13" s="271"/>
    </row>
    <row r="14" spans="1:11" x14ac:dyDescent="0.25">
      <c r="A14" s="271"/>
      <c r="B14" s="271"/>
      <c r="C14" s="271"/>
      <c r="D14" s="271"/>
      <c r="E14" s="271"/>
      <c r="F14" s="271"/>
      <c r="G14" s="271"/>
      <c r="H14" s="271"/>
      <c r="I14" s="28" t="s">
        <v>132</v>
      </c>
      <c r="J14" s="28" t="s">
        <v>133</v>
      </c>
      <c r="K14" s="271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2" t="str">
        <f>'Форма 1'!A20:E20</f>
        <v>Буровой канал №1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4"/>
    </row>
    <row r="17" spans="1:11" ht="32.4" x14ac:dyDescent="0.25">
      <c r="A17" s="73" t="str">
        <f>'Данные '!B4</f>
        <v>08.12.2025</v>
      </c>
      <c r="B17" s="58" t="str">
        <f>'Данные '!B36</f>
        <v>ГНБ №6</v>
      </c>
      <c r="C17" s="58">
        <v>1.02</v>
      </c>
      <c r="D17" s="58">
        <v>80</v>
      </c>
      <c r="E17" s="58">
        <v>11</v>
      </c>
      <c r="F17" s="58">
        <v>0.5</v>
      </c>
      <c r="G17" s="58">
        <v>14</v>
      </c>
      <c r="H17" s="58">
        <v>78</v>
      </c>
      <c r="I17" s="58">
        <v>16</v>
      </c>
      <c r="J17" s="58">
        <v>81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ht="32.4" x14ac:dyDescent="0.25">
      <c r="A18" s="73" t="str">
        <f>'Данные '!B4</f>
        <v>08.12.2025</v>
      </c>
      <c r="B18" s="58" t="str">
        <f>'Данные '!B36</f>
        <v>ГНБ №6</v>
      </c>
      <c r="C18" s="58">
        <v>1.02</v>
      </c>
      <c r="D18" s="58">
        <v>83</v>
      </c>
      <c r="E18" s="58">
        <v>12</v>
      </c>
      <c r="F18" s="58">
        <v>0.6</v>
      </c>
      <c r="G18" s="58">
        <v>13</v>
      </c>
      <c r="H18" s="58">
        <v>75</v>
      </c>
      <c r="I18" s="58">
        <v>18</v>
      </c>
      <c r="J18" s="58">
        <v>76</v>
      </c>
      <c r="K18" s="67" t="str">
        <f>CONCATENATE('Данные '!B18," ",'Данные '!B17," ",'Данные '!B19)</f>
        <v>Гл.инженер ООО «КСС Регион» Сигарев А.А.</v>
      </c>
    </row>
    <row r="19" spans="1:11" x14ac:dyDescent="0.25">
      <c r="A19" s="275" t="str">
        <f>'Форма 1'!A40:E40</f>
        <v>Буровой канал №2</v>
      </c>
      <c r="B19" s="276"/>
      <c r="C19" s="276"/>
      <c r="D19" s="276"/>
      <c r="E19" s="276"/>
      <c r="F19" s="276"/>
      <c r="G19" s="276"/>
      <c r="H19" s="276"/>
      <c r="I19" s="276"/>
      <c r="J19" s="276"/>
      <c r="K19" s="277"/>
    </row>
    <row r="20" spans="1:11" ht="34.200000000000003" customHeight="1" x14ac:dyDescent="0.25">
      <c r="A20" s="73" t="str">
        <f>'Данные '!B4</f>
        <v>08.12.2025</v>
      </c>
      <c r="B20" s="58" t="str">
        <f>'Данные '!B36</f>
        <v>ГНБ №6</v>
      </c>
      <c r="C20" s="58">
        <v>1.03</v>
      </c>
      <c r="D20" s="58">
        <v>79</v>
      </c>
      <c r="E20" s="58">
        <v>12</v>
      </c>
      <c r="F20" s="58">
        <v>0.5</v>
      </c>
      <c r="G20" s="58">
        <v>13</v>
      </c>
      <c r="H20" s="58">
        <v>80</v>
      </c>
      <c r="I20" s="58">
        <v>17</v>
      </c>
      <c r="J20" s="58">
        <v>79</v>
      </c>
      <c r="K20" s="67" t="str">
        <f>CONCATENATE('Данные '!B18," ",'Данные '!B17," ",'Данные '!B19)</f>
        <v>Гл.инженер ООО «КСС Регион» Сигарев А.А.</v>
      </c>
    </row>
    <row r="21" spans="1:11" ht="34.200000000000003" customHeight="1" x14ac:dyDescent="0.25">
      <c r="A21" s="73" t="str">
        <f>'Данные '!B4</f>
        <v>08.12.2025</v>
      </c>
      <c r="B21" s="58" t="str">
        <f>'Данные '!B36</f>
        <v>ГНБ №6</v>
      </c>
      <c r="C21" s="58">
        <v>1.03</v>
      </c>
      <c r="D21" s="58">
        <v>82</v>
      </c>
      <c r="E21" s="58">
        <v>10</v>
      </c>
      <c r="F21" s="58">
        <v>0.6</v>
      </c>
      <c r="G21" s="58">
        <v>13</v>
      </c>
      <c r="H21" s="58">
        <v>82</v>
      </c>
      <c r="I21" s="58">
        <v>19</v>
      </c>
      <c r="J21" s="58">
        <v>80</v>
      </c>
      <c r="K21" s="67" t="str">
        <f>CONCATENATE('Данные '!B18," ",'Данные '!B17," ",'Данные '!B19)</f>
        <v>Гл.инженер ООО «КСС Регион» Сигарев А.А.</v>
      </c>
    </row>
    <row r="23" spans="1:11" x14ac:dyDescent="0.25">
      <c r="A23" s="56" t="s">
        <v>259</v>
      </c>
    </row>
    <row r="24" spans="1:11" x14ac:dyDescent="0.25">
      <c r="A24" s="56" t="s">
        <v>327</v>
      </c>
    </row>
  </sheetData>
  <mergeCells count="18"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  <mergeCell ref="E13:E14"/>
    <mergeCell ref="A16:K16"/>
    <mergeCell ref="A19:K19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view="pageBreakPreview" topLeftCell="A32" zoomScaleNormal="100" zoomScaleSheetLayoutView="100" workbookViewId="0">
      <selection activeCell="I64" sqref="I64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2" t="s">
        <v>53</v>
      </c>
      <c r="B1" s="252"/>
      <c r="C1" s="252"/>
      <c r="D1" s="252"/>
      <c r="E1" s="252"/>
      <c r="F1" s="252"/>
      <c r="G1" s="252"/>
    </row>
    <row r="2" spans="1:7" x14ac:dyDescent="0.2">
      <c r="A2" s="257" t="s">
        <v>100</v>
      </c>
      <c r="B2" s="257"/>
      <c r="C2" s="257"/>
      <c r="D2" s="257"/>
      <c r="E2" s="257"/>
      <c r="F2" s="257"/>
      <c r="G2" s="257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28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81"/>
      <c r="D4" s="281"/>
      <c r="E4" s="281"/>
      <c r="F4" s="281"/>
      <c r="G4" s="281"/>
    </row>
    <row r="5" spans="1:7" ht="10.8" x14ac:dyDescent="0.2">
      <c r="A5" s="78" t="s">
        <v>55</v>
      </c>
      <c r="B5" s="262" t="str">
        <f>'Данные '!B36</f>
        <v>ГНБ №6</v>
      </c>
      <c r="C5" s="262"/>
      <c r="D5" s="262"/>
      <c r="E5" s="262"/>
      <c r="F5" s="262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6</v>
      </c>
      <c r="E7" s="80"/>
      <c r="F7" s="80"/>
      <c r="G7" s="80"/>
    </row>
    <row r="8" spans="1:7" ht="15.9" customHeight="1" x14ac:dyDescent="0.2">
      <c r="A8" s="292" t="s">
        <v>101</v>
      </c>
      <c r="B8" s="292"/>
      <c r="C8" s="292"/>
      <c r="D8" s="292"/>
      <c r="E8" s="292"/>
      <c r="F8" s="292"/>
      <c r="G8" s="292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61" t="e">
        <f>'Данные '!#REF!</f>
        <v>#REF!</v>
      </c>
      <c r="C10" s="261"/>
      <c r="D10" s="261"/>
      <c r="E10" s="261"/>
      <c r="F10" s="261"/>
      <c r="G10" s="261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7" t="str">
        <f>'Форма 2'!F10</f>
        <v>08.12.2025</v>
      </c>
      <c r="G12" s="267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30" t="s">
        <v>102</v>
      </c>
      <c r="B15" s="231"/>
      <c r="C15" s="231"/>
      <c r="D15" s="231"/>
      <c r="E15" s="231"/>
      <c r="F15" s="231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82" t="str">
        <f>CONCATENATE('Данные '!B18," ",'Данные '!B17," ",'Данные '!B19)</f>
        <v>Гл.инженер ООО «КСС Регион» Сигарев А.А.</v>
      </c>
      <c r="C17" s="282"/>
      <c r="D17" s="282"/>
      <c r="E17" s="282"/>
      <c r="F17" s="282"/>
      <c r="G17" s="282"/>
    </row>
    <row r="18" spans="1:7" ht="15" customHeight="1" x14ac:dyDescent="0.2">
      <c r="A18" s="78"/>
      <c r="B18" s="263" t="s">
        <v>57</v>
      </c>
      <c r="C18" s="263"/>
      <c r="D18" s="263"/>
      <c r="E18" s="263"/>
      <c r="F18" s="263"/>
      <c r="G18" s="263"/>
    </row>
    <row r="19" spans="1:7" ht="12.75" customHeight="1" x14ac:dyDescent="0.25">
      <c r="A19" s="78" t="s">
        <v>68</v>
      </c>
      <c r="B19" s="282" t="str">
        <f>CONCATENATE('Данные '!B10," ",'Данные '!B7," ",'Данные '!B11)</f>
        <v>Прораб ООО "Энергосистемы" Волков М.Ю.</v>
      </c>
      <c r="C19" s="282"/>
      <c r="D19" s="282"/>
      <c r="E19" s="282"/>
      <c r="F19" s="282"/>
      <c r="G19" s="282"/>
    </row>
    <row r="20" spans="1:7" ht="15" customHeight="1" x14ac:dyDescent="0.2">
      <c r="A20" s="78"/>
      <c r="B20" s="265" t="s">
        <v>57</v>
      </c>
      <c r="C20" s="265"/>
      <c r="D20" s="265"/>
      <c r="E20" s="265"/>
      <c r="F20" s="265"/>
      <c r="G20" s="265"/>
    </row>
    <row r="21" spans="1:7" ht="20.399999999999999" hidden="1" x14ac:dyDescent="0.25">
      <c r="A21" s="78" t="s">
        <v>69</v>
      </c>
      <c r="B21" s="282"/>
      <c r="C21" s="282"/>
      <c r="D21" s="282"/>
      <c r="E21" s="282"/>
      <c r="F21" s="282"/>
      <c r="G21" s="282"/>
    </row>
    <row r="22" spans="1:7" ht="15" hidden="1" customHeight="1" x14ac:dyDescent="0.2">
      <c r="A22" s="78"/>
      <c r="B22" s="265" t="s">
        <v>57</v>
      </c>
      <c r="C22" s="265"/>
      <c r="D22" s="265"/>
      <c r="E22" s="265"/>
      <c r="F22" s="265"/>
      <c r="G22" s="265"/>
    </row>
    <row r="23" spans="1:7" ht="30.6" x14ac:dyDescent="0.25">
      <c r="A23" s="78" t="s">
        <v>70</v>
      </c>
      <c r="B23" s="282"/>
      <c r="C23" s="282"/>
      <c r="D23" s="282"/>
      <c r="E23" s="282"/>
      <c r="F23" s="282"/>
      <c r="G23" s="282"/>
    </row>
    <row r="24" spans="1:7" ht="15" customHeight="1" x14ac:dyDescent="0.2">
      <c r="A24" s="78"/>
      <c r="B24" s="263" t="s">
        <v>57</v>
      </c>
      <c r="C24" s="263"/>
      <c r="D24" s="263"/>
      <c r="E24" s="263"/>
      <c r="F24" s="263"/>
      <c r="G24" s="263"/>
    </row>
    <row r="25" spans="1:7" ht="20.399999999999999" x14ac:dyDescent="0.25">
      <c r="A25" s="78" t="s">
        <v>71</v>
      </c>
      <c r="B25" s="282"/>
      <c r="C25" s="282"/>
      <c r="D25" s="282"/>
      <c r="E25" s="282"/>
      <c r="F25" s="282"/>
      <c r="G25" s="282"/>
    </row>
    <row r="26" spans="1:7" ht="13.5" customHeight="1" x14ac:dyDescent="0.2">
      <c r="A26" s="86"/>
      <c r="B26" s="263" t="s">
        <v>57</v>
      </c>
      <c r="C26" s="263"/>
      <c r="D26" s="263"/>
      <c r="E26" s="263"/>
      <c r="F26" s="263"/>
      <c r="G26" s="263"/>
    </row>
    <row r="27" spans="1:7" x14ac:dyDescent="0.2">
      <c r="A27" s="259" t="s">
        <v>72</v>
      </c>
      <c r="B27" s="259"/>
      <c r="C27" s="78"/>
      <c r="D27" s="78"/>
      <c r="E27" s="78"/>
      <c r="F27" s="77"/>
      <c r="G27" s="77"/>
    </row>
    <row r="28" spans="1:7" ht="10.8" x14ac:dyDescent="0.2">
      <c r="A28" s="261" t="str">
        <f>'Данные '!B7</f>
        <v>ООО "Энергосистемы"</v>
      </c>
      <c r="B28" s="261"/>
      <c r="C28" s="261"/>
      <c r="D28" s="261"/>
      <c r="E28" s="261"/>
      <c r="F28" s="261"/>
      <c r="G28" s="261"/>
    </row>
    <row r="29" spans="1:7" ht="11.25" customHeight="1" x14ac:dyDescent="0.2">
      <c r="A29" s="263" t="s">
        <v>73</v>
      </c>
      <c r="B29" s="263"/>
      <c r="C29" s="263"/>
      <c r="D29" s="263"/>
      <c r="E29" s="263"/>
      <c r="F29" s="263"/>
      <c r="G29" s="263"/>
    </row>
    <row r="30" spans="1:7" x14ac:dyDescent="0.2">
      <c r="A30" s="259" t="s">
        <v>103</v>
      </c>
      <c r="B30" s="259"/>
      <c r="C30" s="78"/>
      <c r="D30" s="78"/>
      <c r="E30" s="78"/>
      <c r="F30" s="77"/>
      <c r="G30" s="77"/>
    </row>
    <row r="31" spans="1:7" ht="25.2" customHeight="1" x14ac:dyDescent="0.2">
      <c r="A31" s="26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61"/>
      <c r="C31" s="261"/>
      <c r="D31" s="261"/>
      <c r="E31" s="261"/>
      <c r="F31" s="261"/>
      <c r="G31" s="261"/>
    </row>
    <row r="32" spans="1:7" x14ac:dyDescent="0.2">
      <c r="A32" s="265" t="s">
        <v>104</v>
      </c>
      <c r="B32" s="265"/>
      <c r="C32" s="265"/>
      <c r="D32" s="265"/>
      <c r="E32" s="265"/>
      <c r="F32" s="265"/>
      <c r="G32" s="265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87" t="s">
        <v>105</v>
      </c>
      <c r="B34" s="231"/>
      <c r="C34" s="231"/>
      <c r="D34" s="231"/>
      <c r="E34" s="231"/>
      <c r="F34" s="231"/>
      <c r="G34" s="77"/>
    </row>
    <row r="35" spans="1:7" ht="13.5" customHeight="1" x14ac:dyDescent="0.2">
      <c r="A35" s="289" t="s">
        <v>256</v>
      </c>
      <c r="B35" s="289"/>
      <c r="C35" s="289"/>
      <c r="D35" s="161" t="str">
        <f>'Данные '!B36</f>
        <v>ГНБ №6</v>
      </c>
      <c r="E35" s="71" t="s">
        <v>134</v>
      </c>
      <c r="F35" s="290" t="str">
        <f>'Данные '!B31</f>
        <v>ООО "Энергосистемы"</v>
      </c>
      <c r="G35" s="290"/>
    </row>
    <row r="36" spans="1:7" ht="15.9" customHeight="1" x14ac:dyDescent="0.2">
      <c r="A36" s="288" t="s">
        <v>106</v>
      </c>
      <c r="B36" s="285"/>
      <c r="C36" s="285"/>
      <c r="D36" s="285"/>
      <c r="E36" s="285"/>
      <c r="F36" s="285"/>
      <c r="G36" s="71"/>
    </row>
    <row r="37" spans="1:7" ht="15.9" customHeight="1" x14ac:dyDescent="0.2">
      <c r="A37" s="288" t="s">
        <v>107</v>
      </c>
      <c r="B37" s="285"/>
      <c r="C37" s="285"/>
      <c r="D37" s="285"/>
      <c r="E37" s="285"/>
      <c r="F37" s="285"/>
      <c r="G37" s="71"/>
    </row>
    <row r="38" spans="1:7" ht="24" customHeight="1" x14ac:dyDescent="0.2">
      <c r="A38" s="293" t="s">
        <v>108</v>
      </c>
      <c r="B38" s="293"/>
      <c r="C38" s="293"/>
      <c r="D38" s="293"/>
      <c r="E38" s="293"/>
      <c r="F38" s="293"/>
      <c r="G38" s="293"/>
    </row>
    <row r="39" spans="1:7" ht="15.75" customHeight="1" x14ac:dyDescent="0.2">
      <c r="A39" s="293" t="s">
        <v>109</v>
      </c>
      <c r="B39" s="293"/>
      <c r="C39" s="293"/>
      <c r="D39" s="293"/>
      <c r="E39" s="293"/>
      <c r="F39" s="293"/>
      <c r="G39" s="293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84" t="s">
        <v>110</v>
      </c>
      <c r="B41" s="285"/>
      <c r="C41" s="285"/>
      <c r="D41" s="285"/>
      <c r="E41" s="285"/>
      <c r="F41" s="285"/>
      <c r="G41" s="71"/>
    </row>
    <row r="42" spans="1:7" ht="15.75" customHeight="1" x14ac:dyDescent="0.2">
      <c r="A42" s="83" t="s">
        <v>135</v>
      </c>
      <c r="B42" s="161" t="str">
        <f>'Данные '!B39</f>
        <v>2х(3х112)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4" t="str">
        <f>'Форма 1'!D11</f>
        <v>Vermeer Navigator D80x100 Series II</v>
      </c>
      <c r="D43" s="294"/>
      <c r="E43" s="294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7" t="str">
        <f>B46</f>
        <v>08.12.2025</v>
      </c>
      <c r="C45" s="267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86" t="str">
        <f>F12</f>
        <v>08.12.2025</v>
      </c>
      <c r="C46" s="286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59" t="s">
        <v>111</v>
      </c>
      <c r="B48" s="259"/>
      <c r="C48" s="259"/>
      <c r="D48" s="77"/>
      <c r="E48" s="77"/>
      <c r="F48" s="77"/>
      <c r="G48" s="77"/>
    </row>
    <row r="49" spans="1:7" ht="24" customHeight="1" x14ac:dyDescent="0.2">
      <c r="A49" s="291" t="s">
        <v>273</v>
      </c>
      <c r="B49" s="291"/>
      <c r="C49" s="291"/>
      <c r="D49" s="291"/>
      <c r="E49" s="291"/>
      <c r="F49" s="291"/>
      <c r="G49" s="291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5" t="s">
        <v>112</v>
      </c>
      <c r="B51" s="265"/>
      <c r="C51" s="265"/>
      <c r="D51" s="265"/>
      <c r="E51" s="265"/>
      <c r="F51" s="265"/>
      <c r="G51" s="265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95" t="s">
        <v>142</v>
      </c>
      <c r="B53" s="259"/>
      <c r="C53" s="259"/>
      <c r="D53" s="259"/>
      <c r="E53" s="259"/>
      <c r="F53" s="259"/>
      <c r="G53" s="259"/>
    </row>
    <row r="54" spans="1:7" ht="10.8" x14ac:dyDescent="0.2">
      <c r="A54" s="249"/>
      <c r="B54" s="249"/>
      <c r="C54" s="249"/>
      <c r="D54" s="249"/>
      <c r="E54" s="249"/>
      <c r="F54" s="249"/>
      <c r="G54" s="249"/>
    </row>
    <row r="55" spans="1:7" x14ac:dyDescent="0.2">
      <c r="A55" s="296"/>
      <c r="B55" s="296"/>
      <c r="C55" s="296"/>
      <c r="D55" s="296"/>
      <c r="E55" s="296"/>
      <c r="F55" s="296"/>
      <c r="G55" s="296"/>
    </row>
    <row r="56" spans="1:7" ht="15" customHeight="1" x14ac:dyDescent="0.2">
      <c r="A56" s="255" t="s">
        <v>113</v>
      </c>
      <c r="B56" s="255"/>
      <c r="C56" s="255"/>
      <c r="D56" s="255"/>
      <c r="E56" s="255"/>
      <c r="F56" s="255"/>
      <c r="G56" s="255"/>
    </row>
    <row r="58" spans="1:7" ht="15.9" customHeight="1" x14ac:dyDescent="0.2">
      <c r="A58" s="297" t="s">
        <v>114</v>
      </c>
      <c r="B58" s="222"/>
      <c r="C58" s="222"/>
      <c r="D58" s="222"/>
      <c r="E58" s="222"/>
      <c r="F58" s="222"/>
    </row>
    <row r="59" spans="1:7" ht="26.25" customHeight="1" x14ac:dyDescent="0.2">
      <c r="A59" s="244" t="s">
        <v>115</v>
      </c>
      <c r="B59" s="244"/>
      <c r="C59" s="244"/>
      <c r="D59" s="244"/>
      <c r="E59" s="244"/>
      <c r="F59" s="244"/>
      <c r="G59" s="244"/>
    </row>
    <row r="60" spans="1:7" ht="10.8" x14ac:dyDescent="0.2">
      <c r="A60" s="249"/>
      <c r="B60" s="249"/>
      <c r="C60" s="249"/>
      <c r="D60" s="249"/>
      <c r="E60" s="249"/>
      <c r="F60" s="249"/>
      <c r="G60" s="249"/>
    </row>
    <row r="61" spans="1:7" x14ac:dyDescent="0.2">
      <c r="A61" s="266"/>
      <c r="B61" s="266"/>
      <c r="C61" s="266"/>
      <c r="D61" s="266"/>
      <c r="E61" s="266"/>
      <c r="F61" s="266"/>
      <c r="G61" s="266"/>
    </row>
    <row r="62" spans="1:7" ht="12.75" customHeight="1" x14ac:dyDescent="0.2">
      <c r="A62" s="250" t="s">
        <v>116</v>
      </c>
      <c r="B62" s="250"/>
      <c r="C62" s="250"/>
      <c r="D62" s="250"/>
      <c r="E62" s="250"/>
      <c r="F62" s="250"/>
      <c r="G62" s="250"/>
    </row>
    <row r="64" spans="1:7" ht="15.9" customHeight="1" x14ac:dyDescent="0.2">
      <c r="A64" s="251" t="s">
        <v>86</v>
      </c>
      <c r="B64" s="222"/>
      <c r="C64" s="222"/>
      <c r="D64" s="222"/>
      <c r="E64" s="222"/>
      <c r="F64" s="222"/>
    </row>
    <row r="65" spans="1:7" ht="26.25" customHeight="1" x14ac:dyDescent="0.25">
      <c r="A65" s="12" t="s">
        <v>56</v>
      </c>
      <c r="B65" s="241" t="str">
        <f>CONCATENATE('Данные '!B17,",",'Данные '!B18," ",'Данные '!B19)</f>
        <v>ООО «КСС Регион»,Гл.инженер Сигарев А.А.</v>
      </c>
      <c r="C65" s="241"/>
      <c r="D65" s="241"/>
      <c r="E65" s="22"/>
      <c r="F65" s="300"/>
      <c r="G65" s="300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41" t="str">
        <f>CONCATENATE('Данные '!B10,", ",'Данные '!B7," ",'Данные '!B11)</f>
        <v>Прораб, ООО "Энергосистемы" Волков М.Ю.</v>
      </c>
      <c r="C67" s="241"/>
      <c r="D67" s="241"/>
      <c r="E67" s="22"/>
      <c r="F67" s="300"/>
      <c r="G67" s="300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41"/>
      <c r="C69" s="241"/>
      <c r="D69" s="241"/>
      <c r="E69" s="22"/>
      <c r="F69" s="300"/>
      <c r="G69" s="300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98"/>
      <c r="C71" s="298"/>
      <c r="D71" s="298"/>
      <c r="E71" s="22"/>
      <c r="F71" s="299"/>
      <c r="G71" s="299"/>
    </row>
    <row r="72" spans="1:7" x14ac:dyDescent="0.2">
      <c r="A72" s="14"/>
      <c r="B72" s="21"/>
      <c r="C72" s="21"/>
      <c r="D72" s="21"/>
      <c r="E72" s="21"/>
    </row>
    <row r="74" spans="1:7" x14ac:dyDescent="0.2">
      <c r="A74" s="283"/>
      <c r="B74" s="222"/>
      <c r="C74" s="222"/>
      <c r="D74" s="222"/>
      <c r="E74" s="222"/>
      <c r="F74" s="222"/>
    </row>
    <row r="75" spans="1:7" ht="45" customHeight="1" x14ac:dyDescent="0.2">
      <c r="A75" s="251"/>
      <c r="B75" s="222"/>
      <c r="C75" s="222"/>
      <c r="D75" s="222"/>
      <c r="E75" s="222"/>
      <c r="F75" s="222"/>
    </row>
  </sheetData>
  <mergeCells count="58"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B4:G4"/>
    <mergeCell ref="A1:G1"/>
    <mergeCell ref="A2:G2"/>
    <mergeCell ref="A30:B30"/>
    <mergeCell ref="B19:G19"/>
    <mergeCell ref="B20:G20"/>
    <mergeCell ref="B21:G21"/>
    <mergeCell ref="B22:G22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2026-07-18T08:17:50Z</dcterms:modified>
</cp:coreProperties>
</file>