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5D7137FA-5AA1-4E67-BAB1-D17859FDDC8F}" xr6:coauthVersionLast="45" xr6:coauthVersionMax="47" xr10:uidLastSave="{00000000-0000-0000-0000-000000000000}"/>
  <bookViews>
    <workbookView xWindow="28680" yWindow="-120" windowWidth="29040" windowHeight="15840" tabRatio="786" firstSheet="1" activeTab="1" xr2:uid="{00000000-000D-0000-FFFF-FFFF00000000}"/>
  </bookViews>
  <sheets>
    <sheet name="данные строй" sheetId="13" state="hidden" r:id="rId1"/>
    <sheet name="Данные организации" sheetId="10" r:id="rId2"/>
    <sheet name="Данные объект" sheetId="11" r:id="rId3"/>
    <sheet name="АОСР-1" sheetId="2" r:id="rId4"/>
    <sheet name="АОСР-2" sheetId="4" r:id="rId5"/>
    <sheet name="АОСР-3" sheetId="7" r:id="rId6"/>
    <sheet name="АОСР-4" sheetId="8" r:id="rId7"/>
    <sheet name="АОСР-5" sheetId="9" r:id="rId8"/>
    <sheet name="АОСР-6" sheetId="14" r:id="rId9"/>
    <sheet name="АОСР-7" sheetId="15" r:id="rId10"/>
    <sheet name="АОСР-шурф" sheetId="12" state="hidden" r:id="rId11"/>
  </sheets>
  <externalReferences>
    <externalReference r:id="rId12"/>
  </externalReferences>
  <definedNames>
    <definedName name="Print_Area" localSheetId="3">'АОСР-1'!$A$1:$AJ$118</definedName>
    <definedName name="Print_Area" localSheetId="4">'АОСР-2'!$A$1:$AJ$119</definedName>
    <definedName name="Print_Area" localSheetId="5">'АОСР-3'!$A$1:$AJ$116</definedName>
    <definedName name="Print_Area" localSheetId="6">'АОСР-4'!$A$1:$AJ$116</definedName>
    <definedName name="Print_Area" localSheetId="7">'АОСР-5'!$A$1:$AJ$115</definedName>
    <definedName name="Print_Area" localSheetId="8">'АОСР-6'!$A$1:$AJ$117</definedName>
    <definedName name="Print_Area" localSheetId="9">'АОСР-7'!$A$1:$AJ$116</definedName>
    <definedName name="Print_Area" localSheetId="10">'АОСР-шурф'!$A$1:$AJ$115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2" i="15" l="1"/>
  <c r="B97" i="8"/>
  <c r="B96" i="8"/>
  <c r="B98" i="8"/>
  <c r="O63" i="2"/>
  <c r="P62" i="8" l="1"/>
  <c r="A62" i="14" l="1"/>
  <c r="B95" i="14" l="1"/>
  <c r="B94" i="14"/>
  <c r="B94" i="15"/>
  <c r="A62" i="15" l="1"/>
  <c r="A115" i="15"/>
  <c r="A109" i="15"/>
  <c r="A106" i="15"/>
  <c r="A102" i="15"/>
  <c r="A99" i="15"/>
  <c r="B93" i="15"/>
  <c r="P78" i="15"/>
  <c r="AB32" i="15" s="1"/>
  <c r="P77" i="15"/>
  <c r="A65" i="15"/>
  <c r="A58" i="15"/>
  <c r="A47" i="15"/>
  <c r="A44" i="15"/>
  <c r="A41" i="15"/>
  <c r="A38" i="15"/>
  <c r="E32" i="15"/>
  <c r="A26" i="15"/>
  <c r="A24" i="15"/>
  <c r="A22" i="15"/>
  <c r="A19" i="15"/>
  <c r="A17" i="15"/>
  <c r="A15" i="15"/>
  <c r="A12" i="15"/>
  <c r="A10" i="15"/>
  <c r="A8" i="15"/>
  <c r="A5" i="15"/>
  <c r="A4" i="15"/>
  <c r="A116" i="14"/>
  <c r="A110" i="14"/>
  <c r="A107" i="14"/>
  <c r="A103" i="14"/>
  <c r="A100" i="14"/>
  <c r="B93" i="14"/>
  <c r="P78" i="14"/>
  <c r="P77" i="14"/>
  <c r="A65" i="14"/>
  <c r="Q62" i="14"/>
  <c r="A58" i="14"/>
  <c r="A47" i="14"/>
  <c r="A44" i="14"/>
  <c r="A41" i="14"/>
  <c r="A38" i="14"/>
  <c r="AB32" i="14"/>
  <c r="E32" i="14"/>
  <c r="A26" i="14"/>
  <c r="A24" i="14"/>
  <c r="A22" i="14"/>
  <c r="A19" i="14"/>
  <c r="A17" i="14"/>
  <c r="A15" i="14"/>
  <c r="A12" i="14"/>
  <c r="A10" i="14"/>
  <c r="A8" i="14"/>
  <c r="A5" i="14"/>
  <c r="A4" i="14"/>
  <c r="H25" i="10" l="1"/>
  <c r="H24" i="10"/>
  <c r="H23" i="10"/>
  <c r="A108" i="12" l="1"/>
  <c r="Z62" i="9" l="1"/>
  <c r="U62" i="9"/>
  <c r="A112" i="8" l="1"/>
  <c r="A109" i="8"/>
  <c r="H70" i="4"/>
  <c r="C33" i="4"/>
  <c r="A108" i="9"/>
  <c r="A109" i="7"/>
  <c r="A112" i="4"/>
  <c r="A111" i="2"/>
  <c r="C34" i="11" l="1"/>
  <c r="C37" i="11"/>
  <c r="C36" i="11"/>
  <c r="C35" i="11"/>
  <c r="A36" i="14" l="1"/>
  <c r="A36" i="15"/>
  <c r="A47" i="12"/>
  <c r="A47" i="9"/>
  <c r="A47" i="8"/>
  <c r="A47" i="7"/>
  <c r="A48" i="4"/>
  <c r="A48" i="2"/>
  <c r="A98" i="9"/>
  <c r="A102" i="8"/>
  <c r="A99" i="7"/>
  <c r="A102" i="4"/>
  <c r="A101" i="2"/>
  <c r="B44" i="11" l="1"/>
  <c r="E32" i="9" l="1"/>
  <c r="E32" i="8"/>
  <c r="E32" i="7"/>
  <c r="E33" i="4"/>
  <c r="C33" i="11"/>
  <c r="C32" i="11"/>
  <c r="C31" i="11"/>
  <c r="C30" i="11"/>
  <c r="C29" i="11"/>
  <c r="C28" i="11"/>
  <c r="C27" i="11"/>
  <c r="C26" i="11"/>
  <c r="C21" i="11"/>
  <c r="C20" i="11"/>
  <c r="C19" i="11"/>
  <c r="C18" i="11"/>
  <c r="C17" i="11"/>
  <c r="C16" i="11"/>
  <c r="C15" i="11"/>
  <c r="C11" i="11"/>
  <c r="C23" i="11" l="1"/>
  <c r="C32" i="7"/>
  <c r="C32" i="8" s="1"/>
  <c r="C32" i="9" s="1"/>
  <c r="C32" i="14" s="1"/>
  <c r="C32" i="15" s="1"/>
  <c r="N62" i="9" l="1"/>
  <c r="I62" i="8"/>
  <c r="M62" i="7"/>
  <c r="B96" i="4"/>
  <c r="I63" i="4"/>
  <c r="P78" i="9"/>
  <c r="AB32" i="9" s="1"/>
  <c r="P77" i="9"/>
  <c r="P80" i="8"/>
  <c r="AB32" i="8" s="1"/>
  <c r="P79" i="8"/>
  <c r="P78" i="7"/>
  <c r="AB32" i="7" s="1"/>
  <c r="P77" i="7"/>
  <c r="P79" i="4"/>
  <c r="AB33" i="4" s="1"/>
  <c r="P78" i="4"/>
  <c r="P79" i="2"/>
  <c r="AB33" i="2" s="1"/>
  <c r="P78" i="2"/>
  <c r="P78" i="12"/>
  <c r="P77" i="12"/>
  <c r="A105" i="9"/>
  <c r="A101" i="9"/>
  <c r="A105" i="8"/>
  <c r="A106" i="7"/>
  <c r="A102" i="7"/>
  <c r="A109" i="4"/>
  <c r="A105" i="4"/>
  <c r="A108" i="2"/>
  <c r="A104" i="2"/>
  <c r="A105" i="12"/>
  <c r="A101" i="12"/>
  <c r="A98" i="12"/>
  <c r="A65" i="9"/>
  <c r="A65" i="8"/>
  <c r="A65" i="7"/>
  <c r="A66" i="4"/>
  <c r="A65" i="12"/>
  <c r="A66" i="2"/>
  <c r="A58" i="9"/>
  <c r="A44" i="9"/>
  <c r="A41" i="9"/>
  <c r="A36" i="9"/>
  <c r="A58" i="8"/>
  <c r="A44" i="8"/>
  <c r="A41" i="8"/>
  <c r="A36" i="8"/>
  <c r="A58" i="7"/>
  <c r="A44" i="7"/>
  <c r="A41" i="7"/>
  <c r="A36" i="7"/>
  <c r="A59" i="4"/>
  <c r="A45" i="4"/>
  <c r="A42" i="4"/>
  <c r="A37" i="4"/>
  <c r="A59" i="2"/>
  <c r="A45" i="2"/>
  <c r="A42" i="2"/>
  <c r="A37" i="2"/>
  <c r="A58" i="12"/>
  <c r="A44" i="12"/>
  <c r="A41" i="12"/>
  <c r="A36" i="12"/>
  <c r="AB32" i="12"/>
  <c r="A26" i="9"/>
  <c r="A24" i="9"/>
  <c r="A22" i="9"/>
  <c r="A19" i="9"/>
  <c r="A17" i="9"/>
  <c r="A15" i="9"/>
  <c r="A8" i="9"/>
  <c r="A5" i="9"/>
  <c r="A4" i="9"/>
  <c r="A26" i="8"/>
  <c r="A24" i="8"/>
  <c r="A22" i="8"/>
  <c r="A19" i="8"/>
  <c r="A17" i="8"/>
  <c r="A15" i="8"/>
  <c r="A8" i="8"/>
  <c r="A5" i="8"/>
  <c r="A4" i="8"/>
  <c r="A26" i="7"/>
  <c r="A24" i="7"/>
  <c r="A22" i="7"/>
  <c r="A19" i="7"/>
  <c r="A17" i="7"/>
  <c r="A15" i="7"/>
  <c r="A8" i="7"/>
  <c r="A5" i="7"/>
  <c r="A4" i="7"/>
  <c r="A27" i="4"/>
  <c r="A25" i="4"/>
  <c r="A23" i="4"/>
  <c r="A20" i="4"/>
  <c r="A18" i="4"/>
  <c r="A16" i="4"/>
  <c r="A9" i="4"/>
  <c r="A5" i="4"/>
  <c r="A4" i="4"/>
  <c r="A27" i="2"/>
  <c r="A25" i="2"/>
  <c r="A23" i="2"/>
  <c r="A20" i="2"/>
  <c r="A18" i="2"/>
  <c r="A16" i="2"/>
  <c r="A9" i="2"/>
  <c r="A5" i="2"/>
  <c r="A4" i="2"/>
  <c r="A26" i="12"/>
  <c r="A24" i="12"/>
  <c r="A22" i="12"/>
  <c r="A19" i="12"/>
  <c r="A17" i="12"/>
  <c r="A15" i="12"/>
  <c r="A8" i="12"/>
  <c r="A5" i="12"/>
  <c r="A4" i="12"/>
  <c r="A114" i="12"/>
  <c r="B93" i="12"/>
  <c r="A12" i="7"/>
  <c r="A10" i="7"/>
  <c r="D29" i="10"/>
  <c r="C29" i="10"/>
  <c r="G28" i="10"/>
  <c r="D28" i="10"/>
  <c r="C28" i="10"/>
  <c r="I27" i="10"/>
  <c r="G27" i="10"/>
  <c r="D27" i="10"/>
  <c r="C27" i="10"/>
  <c r="I26" i="10"/>
  <c r="G26" i="10"/>
  <c r="D26" i="10"/>
  <c r="C26" i="10"/>
  <c r="I25" i="10"/>
  <c r="G25" i="10"/>
  <c r="D25" i="10"/>
  <c r="C25" i="10"/>
  <c r="I24" i="10"/>
  <c r="G24" i="10"/>
  <c r="D24" i="10"/>
  <c r="C24" i="10"/>
  <c r="I23" i="10"/>
  <c r="G23" i="10"/>
  <c r="D23" i="10"/>
  <c r="C23" i="10"/>
  <c r="B93" i="9"/>
  <c r="B95" i="8"/>
  <c r="B94" i="7"/>
  <c r="B95" i="4"/>
  <c r="B94" i="4"/>
  <c r="B96" i="2"/>
  <c r="B95" i="2"/>
  <c r="B94" i="2"/>
  <c r="A114" i="9"/>
  <c r="B93" i="8"/>
  <c r="A115" i="7"/>
  <c r="B93" i="7"/>
  <c r="A118" i="4"/>
  <c r="A117" i="2"/>
  <c r="A11" i="2"/>
  <c r="A10" i="9" l="1"/>
  <c r="A12" i="9"/>
  <c r="A10" i="8"/>
  <c r="A12" i="8"/>
  <c r="A12" i="12"/>
  <c r="A11" i="4"/>
  <c r="A13" i="2"/>
  <c r="A13" i="4"/>
  <c r="A10" i="12"/>
  <c r="A38" i="12" l="1"/>
  <c r="A38" i="8"/>
  <c r="A38" i="9"/>
  <c r="A38" i="7"/>
  <c r="A39" i="4"/>
  <c r="A39" i="2"/>
  <c r="E32" i="12" l="1"/>
</calcChain>
</file>

<file path=xl/sharedStrings.xml><?xml version="1.0" encoding="utf-8"?>
<sst xmlns="http://schemas.openxmlformats.org/spreadsheetml/2006/main" count="1006" uniqueCount="259">
  <si>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</si>
  <si>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</si>
  <si>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</si>
  <si>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</si>
  <si>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</si>
  <si>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</si>
  <si>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</si>
  <si>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</si>
  <si>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</si>
  <si>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</si>
  <si>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</si>
  <si>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</si>
  <si>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</si>
  <si>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</si>
  <si>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</si>
  <si>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</si>
  <si>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</si>
  <si>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</si>
  <si>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</si>
  <si>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</si>
  <si>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</si>
  <si>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</si>
  <si>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</si>
  <si>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</si>
  <si>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</si>
  <si>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</si>
  <si>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</si>
  <si>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</si>
  <si>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</si>
  <si>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</si>
  <si>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</si>
  <si>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</si>
  <si>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</si>
  <si>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</si>
  <si>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</si>
  <si>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</si>
  <si>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</si>
  <si>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</si>
  <si>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</si>
  <si>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</si>
  <si>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</si>
  <si>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</si>
  <si>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</si>
  <si>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</si>
  <si>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</si>
  <si>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</si>
  <si>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</si>
  <si>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</si>
  <si>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</si>
  <si>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</si>
  <si>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</si>
  <si>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</si>
  <si>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</si>
  <si>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</si>
  <si>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</si>
  <si>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</si>
  <si>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</si>
  <si>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</si>
  <si>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</si>
  <si>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</si>
  <si>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</si>
  <si>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</si>
  <si>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</si>
  <si>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</si>
  <si>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</si>
  <si>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</si>
  <si>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</si>
  <si>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</si>
  <si>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</si>
  <si>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</si>
  <si>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</si>
  <si>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</si>
  <si>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</si>
  <si>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</si>
  <si>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</si>
  <si>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</si>
  <si>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</si>
  <si>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</si>
  <si>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</si>
  <si>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</si>
  <si>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</si>
  <si>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</si>
  <si>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</si>
  <si>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 xml:space="preserve">1. </t>
  </si>
  <si>
    <t>1 лист</t>
  </si>
  <si>
    <t>2.</t>
  </si>
  <si>
    <t>Уголок - 50х50х5</t>
  </si>
  <si>
    <t>3.</t>
  </si>
  <si>
    <t>;</t>
  </si>
  <si>
    <t>Исполнительная поопорная схема</t>
  </si>
  <si>
    <t>Монтаж опор</t>
  </si>
  <si>
    <t>Стойки</t>
  </si>
  <si>
    <t>шт</t>
  </si>
  <si>
    <t>5.</t>
  </si>
  <si>
    <t>Сертификат соответствия №</t>
  </si>
  <si>
    <t>Исполнительная схема заземления опор ВЛ</t>
  </si>
  <si>
    <t>Устройство заземления опор ВЛ</t>
  </si>
  <si>
    <t>Обратная засыпка заземления опор ВЛ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</si>
  <si>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</si>
  <si>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Заземление ВЛ</t>
  </si>
  <si>
    <t>Приказ №05-ОТ/24 от 09 января 2024г</t>
  </si>
  <si>
    <t>Инженер по строительному контролю</t>
  </si>
  <si>
    <t>Капитонов Д.А.</t>
  </si>
  <si>
    <t>Приказ № 18-ОТ/24 от 03 июня 2024 (НОСТРОЙ С-50-188017)</t>
  </si>
  <si>
    <t>организация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</si>
  <si>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</si>
  <si>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</si>
  <si>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</si>
  <si>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</si>
  <si>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</si>
  <si>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</si>
  <si>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</si>
  <si>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</si>
  <si>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</si>
  <si>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</si>
  <si>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</si>
  <si>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</si>
  <si>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</si>
  <si>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</si>
  <si>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</si>
  <si>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</si>
  <si>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</si>
  <si>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</si>
  <si>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</si>
  <si>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</si>
  <si>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</si>
  <si>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</si>
  <si>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</si>
  <si>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</si>
  <si>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</si>
  <si>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</si>
  <si>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</si>
  <si>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</si>
  <si>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</si>
  <si>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</si>
  <si>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</si>
  <si>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</si>
  <si>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</si>
  <si>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</si>
  <si>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</si>
  <si>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</si>
  <si>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</si>
  <si>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</si>
  <si>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</si>
  <si>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</si>
  <si>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</si>
  <si>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</si>
  <si>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</si>
  <si>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</si>
  <si>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</si>
  <si>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</si>
  <si>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</si>
  <si>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распорядительного документа, подтверждающего полномочия, </t>
  </si>
  <si>
    <t>3. При выполнении работ применены:</t>
  </si>
  <si>
    <t>Исполнительная схема шурфления под опоры</t>
  </si>
  <si>
    <t>Электромонтажные работы выполнены по проектной документации согласно требованиям СП 76.13330.2016 и ПУЭ</t>
  </si>
  <si>
    <t>1.</t>
  </si>
  <si>
    <t>1шурф</t>
  </si>
  <si>
    <t>Стойка железобетонная</t>
  </si>
  <si>
    <t>Самонесущий изолированный повод</t>
  </si>
  <si>
    <t>СВ 95-3</t>
  </si>
  <si>
    <t>СИП-3 1х50</t>
  </si>
  <si>
    <t>СВ 110-5</t>
  </si>
  <si>
    <t>СИП-3 1х70</t>
  </si>
  <si>
    <t>СИП-2 3х50+1х50</t>
  </si>
  <si>
    <t>СИП-2 3х70+1х70</t>
  </si>
  <si>
    <t>СИП-2 3х95+1х95</t>
  </si>
  <si>
    <t>СИП-2 3х120+1х120</t>
  </si>
  <si>
    <t>СИП-2 3х95+1х120</t>
  </si>
  <si>
    <t>СИП-4 4х16</t>
  </si>
  <si>
    <t>СИП-3 1х95</t>
  </si>
  <si>
    <t>СИП-4 2х16</t>
  </si>
  <si>
    <t>СИП-2 3х35+1х35</t>
  </si>
  <si>
    <t>Монтаж воздушной линии</t>
  </si>
  <si>
    <t>ВЛ-10кВ</t>
  </si>
  <si>
    <t>ВЛ-6кВ</t>
  </si>
  <si>
    <t>ВЛ-0,4кВ</t>
  </si>
  <si>
    <t xml:space="preserve">Разработка шурфа под опору </t>
  </si>
  <si>
    <t>)</t>
  </si>
  <si>
    <t xml:space="preserve">(1 стойка </t>
  </si>
  <si>
    <t>м</t>
  </si>
  <si>
    <t>м3</t>
  </si>
  <si>
    <t xml:space="preserve">Бурение скважины под монтаж опоры </t>
  </si>
  <si>
    <t xml:space="preserve">Бурение скважины под монтаж опор </t>
  </si>
  <si>
    <t xml:space="preserve">Монтаж опор по линии </t>
  </si>
  <si>
    <t>, в кол-ве</t>
  </si>
  <si>
    <t>опор</t>
  </si>
  <si>
    <t>стоек)</t>
  </si>
  <si>
    <t xml:space="preserve">Выемка грунта под заземление опор </t>
  </si>
  <si>
    <t>,</t>
  </si>
  <si>
    <t xml:space="preserve">Устройство заземления </t>
  </si>
  <si>
    <t xml:space="preserve">Обратная засыпка грунта заземления опор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</si>
  <si>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</si>
  <si>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ВРЩ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</si>
  <si>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</si>
  <si>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</si>
  <si>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</si>
  <si>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</si>
  <si>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</si>
  <si>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 xml:space="preserve">Главный инженер </t>
  </si>
  <si>
    <t>Приказ № ОТ-25 от 12.01.2024</t>
  </si>
  <si>
    <t>Горбан Г.К.</t>
  </si>
  <si>
    <t>/</t>
  </si>
  <si>
    <t>Исполнительная схема устройства опор</t>
  </si>
  <si>
    <t>/ВЛЗ</t>
  </si>
  <si>
    <t>Представители иных лиц:</t>
  </si>
  <si>
    <t>А также иные представители лиц, участвующих в освидетельствовании:</t>
  </si>
  <si>
    <t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t>
  </si>
  <si>
    <t>МО, Солнечногорский р-н, с.п. Кривцовское, в р-не д. Шапкино, СНТ "Костино", уч. 130</t>
  </si>
  <si>
    <t>ВЛ-0,4 кВ ф.4 от КТП-2719</t>
  </si>
  <si>
    <t>SAP - 331208</t>
  </si>
  <si>
    <t>Паспорт №3014 от 13.02.2024г.</t>
  </si>
  <si>
    <t>Сертификат №8683-2722</t>
  </si>
  <si>
    <r>
      <t xml:space="preserve">Арматура </t>
    </r>
    <r>
      <rPr>
        <b/>
        <sz val="8"/>
        <rFont val="Calibri"/>
        <family val="2"/>
        <charset val="204"/>
      </rPr>
      <t>Ø 8</t>
    </r>
  </si>
  <si>
    <t>Сертификат №4421644223</t>
  </si>
  <si>
    <r>
      <t xml:space="preserve">Полоса </t>
    </r>
    <r>
      <rPr>
        <b/>
        <sz val="8"/>
        <rFont val="Calibri"/>
        <family val="2"/>
        <charset val="204"/>
      </rPr>
      <t>40х4мм</t>
    </r>
  </si>
  <si>
    <t>Сертификат №93583</t>
  </si>
  <si>
    <t>Местный грунт</t>
  </si>
  <si>
    <t>Приказы Жижкевича и Хлебнова:</t>
  </si>
  <si>
    <t>№4516 от 28.12.2024</t>
  </si>
  <si>
    <t xml:space="preserve">№3560 от 24.10.2024 </t>
  </si>
  <si>
    <t>№263 от 31.01.2024</t>
  </si>
  <si>
    <t>№2041 от 26.06.2023</t>
  </si>
  <si>
    <t>№1755 от 07.06.2023</t>
  </si>
  <si>
    <t>Приказ № 13-ОТ/25 от 05 мая 2025 (НОСТРОЙ С-50-085497)</t>
  </si>
  <si>
    <t>Русин В.А.</t>
  </si>
  <si>
    <t>5019-331208-292-12/24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</si>
  <si>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</si>
  <si>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(номер, другие реквизиты чертежа, наименование проектной и/или рабочей документации, сведения о лицах, осуществляющих подготовку раздела проектной и/или рабочей документации)</t>
  </si>
  <si>
    <t xml:space="preserve">( </t>
  </si>
  <si>
    <t>(наименования и структурные единицы технических регламентов, иных нормативных правовых актов, разделы проектной и (или) рабочей документации)</t>
  </si>
  <si>
    <t>в кол-ве</t>
  </si>
  <si>
    <t>ООО "Энергосистемы"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</si>
  <si>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</si>
  <si>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</si>
  <si>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</si>
  <si>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</si>
  <si>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</si>
  <si>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Монтаж провода СИП и линейной арматуры</t>
  </si>
  <si>
    <t xml:space="preserve">СИП </t>
  </si>
  <si>
    <t>Паспорт качества</t>
  </si>
  <si>
    <t>Линейная арматура</t>
  </si>
  <si>
    <t>шт.</t>
  </si>
  <si>
    <t>Сертификат соответствия № РОСС RU.МЛ10.Н10783</t>
  </si>
  <si>
    <t>Исполнительная схема монтажа СИП</t>
  </si>
  <si>
    <t>Краска</t>
  </si>
  <si>
    <t>Сертификат соответствия № РОСС RU.НE42.H03935</t>
  </si>
  <si>
    <t>Исполнительная схема окраски опор</t>
  </si>
  <si>
    <t>_</t>
  </si>
  <si>
    <t>Приказ №2363 от 29 апреля 2025г. (НОСТРОЙ С-50-15922)</t>
  </si>
  <si>
    <t>оп.№</t>
  </si>
  <si>
    <t>4.</t>
  </si>
  <si>
    <t>Окраска опор по линии</t>
  </si>
  <si>
    <t>от оп.№</t>
  </si>
  <si>
    <t>до оп.№</t>
  </si>
  <si>
    <t>кг</t>
  </si>
  <si>
    <t>Приказ № от  2026г (НРС С-31-330248)</t>
  </si>
  <si>
    <t>Приказ №1904 от 03 июня 2026г (НРС С-50-069023)</t>
  </si>
  <si>
    <t>Арнаутов А.П.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</si>
</sst>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30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8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rgb="FFFF0000"/>
      <name val="Times New Roman"/>
      <family val="1"/>
      <charset val="204"/>
    </font>
    <font>
      <b/>
      <u/>
      <sz val="8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6" fillId="0" borderId="0"/>
    <xf numFmtId="0" fontId="27" fillId="0" borderId="0"/>
    <xf numFmtId="0" fontId="6" fillId="0" borderId="0"/>
    <xf numFmtId="0" fontId="1" fillId="0" borderId="0"/>
  </cellStyleXfs>
  <cellXfs count="173">
    <xf numFmtId="0" fontId="0" fillId="0" borderId="0" xfId="0"/>
    <xf numFmtId="0" fontId="4" fillId="0" borderId="0" xfId="2" applyFont="1"/>
    <xf numFmtId="0" fontId="4" fillId="0" borderId="0" xfId="2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0" fontId="4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7" fillId="0" borderId="0" xfId="2" applyFont="1"/>
    <xf numFmtId="0" fontId="9" fillId="0" borderId="0" xfId="2" applyFont="1" applyAlignment="1">
      <alignment vertical="center"/>
    </xf>
    <xf numFmtId="0" fontId="6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3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top"/>
    </xf>
    <xf numFmtId="0" fontId="13" fillId="0" borderId="0" xfId="2" applyFont="1"/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14" fillId="0" borderId="2" xfId="2" applyFont="1" applyBorder="1"/>
    <xf numFmtId="0" fontId="16" fillId="0" borderId="2" xfId="2" applyFont="1" applyBorder="1"/>
    <xf numFmtId="0" fontId="10" fillId="0" borderId="0" xfId="2" applyFont="1"/>
    <xf numFmtId="0" fontId="10" fillId="0" borderId="0" xfId="2" applyFont="1" applyAlignment="1">
      <alignment horizontal="right"/>
    </xf>
    <xf numFmtId="0" fontId="10" fillId="0" borderId="0" xfId="2" applyFont="1" applyAlignment="1">
      <alignment wrapText="1"/>
    </xf>
    <xf numFmtId="0" fontId="15" fillId="0" borderId="0" xfId="2" applyFont="1"/>
    <xf numFmtId="0" fontId="18" fillId="0" borderId="0" xfId="2" applyFont="1" applyAlignment="1">
      <alignment horizontal="center"/>
    </xf>
    <xf numFmtId="0" fontId="18" fillId="0" borderId="0" xfId="2" applyFont="1" applyAlignment="1">
      <alignment horizontal="right"/>
    </xf>
    <xf numFmtId="0" fontId="15" fillId="0" borderId="0" xfId="2" applyFont="1" applyAlignment="1">
      <alignment horizontal="left"/>
    </xf>
    <xf numFmtId="0" fontId="15" fillId="0" borderId="0" xfId="2" applyFont="1" applyAlignment="1">
      <alignment horizontal="left" vertical="top"/>
    </xf>
    <xf numFmtId="0" fontId="10" fillId="0" borderId="0" xfId="2" applyFont="1" applyAlignment="1">
      <alignment vertical="center"/>
    </xf>
    <xf numFmtId="0" fontId="17" fillId="0" borderId="1" xfId="2" applyFont="1" applyBorder="1" applyAlignment="1">
      <alignment vertical="center" wrapText="1"/>
    </xf>
    <xf numFmtId="0" fontId="17" fillId="0" borderId="1" xfId="2" applyFont="1" applyBorder="1" applyAlignment="1">
      <alignment horizontal="left"/>
    </xf>
    <xf numFmtId="0" fontId="17" fillId="0" borderId="1" xfId="2" applyFont="1" applyBorder="1"/>
    <xf numFmtId="0" fontId="10" fillId="0" borderId="0" xfId="2" applyFont="1" applyAlignment="1">
      <alignment horizontal="left"/>
    </xf>
    <xf numFmtId="0" fontId="19" fillId="0" borderId="0" xfId="2" applyFont="1" applyAlignment="1">
      <alignment horizontal="right"/>
    </xf>
    <xf numFmtId="0" fontId="17" fillId="0" borderId="2" xfId="2" applyFont="1" applyBorder="1"/>
    <xf numFmtId="0" fontId="17" fillId="0" borderId="0" xfId="2" applyFont="1"/>
    <xf numFmtId="0" fontId="10" fillId="0" borderId="0" xfId="2" applyFont="1" applyAlignment="1">
      <alignment horizontal="center"/>
    </xf>
    <xf numFmtId="0" fontId="17" fillId="0" borderId="2" xfId="2" applyFont="1" applyBorder="1" applyAlignment="1">
      <alignment horizontal="left"/>
    </xf>
    <xf numFmtId="0" fontId="21" fillId="0" borderId="9" xfId="1" applyFont="1" applyBorder="1" applyAlignment="1">
      <alignment vertical="center"/>
    </xf>
    <xf numFmtId="0" fontId="21" fillId="0" borderId="9" xfId="1" applyFont="1" applyBorder="1" applyAlignment="1">
      <alignment horizontal="center" vertical="center"/>
    </xf>
    <xf numFmtId="0" fontId="21" fillId="0" borderId="9" xfId="1" applyFont="1" applyBorder="1"/>
    <xf numFmtId="0" fontId="6" fillId="0" borderId="0" xfId="1"/>
    <xf numFmtId="0" fontId="6" fillId="2" borderId="3" xfId="1" applyFill="1" applyBorder="1" applyAlignment="1">
      <alignment vertical="center"/>
    </xf>
    <xf numFmtId="0" fontId="6" fillId="2" borderId="3" xfId="1" applyFill="1" applyBorder="1" applyAlignment="1">
      <alignment horizontal="center" vertical="center" wrapText="1"/>
    </xf>
    <xf numFmtId="0" fontId="6" fillId="2" borderId="4" xfId="1" applyFill="1" applyBorder="1" applyAlignment="1">
      <alignment horizontal="center" vertical="center" wrapText="1"/>
    </xf>
    <xf numFmtId="0" fontId="6" fillId="0" borderId="3" xfId="1" applyBorder="1" applyAlignment="1">
      <alignment vertical="center"/>
    </xf>
    <xf numFmtId="0" fontId="6" fillId="0" borderId="3" xfId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2" borderId="3" xfId="1" applyFill="1" applyBorder="1"/>
    <xf numFmtId="0" fontId="6" fillId="0" borderId="0" xfId="1" applyAlignment="1">
      <alignment wrapText="1"/>
    </xf>
    <xf numFmtId="0" fontId="6" fillId="3" borderId="3" xfId="1" applyFill="1" applyBorder="1" applyAlignment="1">
      <alignment wrapText="1"/>
    </xf>
    <xf numFmtId="0" fontId="6" fillId="3" borderId="0" xfId="1" applyFill="1" applyAlignment="1">
      <alignment wrapText="1"/>
    </xf>
    <xf numFmtId="0" fontId="6" fillId="4" borderId="0" xfId="1" applyFill="1" applyAlignment="1">
      <alignment wrapText="1"/>
    </xf>
    <xf numFmtId="0" fontId="6" fillId="5" borderId="3" xfId="1" applyFill="1" applyBorder="1" applyAlignment="1">
      <alignment wrapText="1"/>
    </xf>
    <xf numFmtId="0" fontId="6" fillId="5" borderId="0" xfId="1" applyFill="1" applyAlignment="1">
      <alignment wrapText="1"/>
    </xf>
    <xf numFmtId="0" fontId="6" fillId="4" borderId="3" xfId="1" applyFill="1" applyBorder="1" applyAlignment="1">
      <alignment wrapText="1"/>
    </xf>
    <xf numFmtId="0" fontId="6" fillId="6" borderId="0" xfId="1" applyFill="1" applyAlignment="1">
      <alignment wrapText="1"/>
    </xf>
    <xf numFmtId="0" fontId="6" fillId="4" borderId="3" xfId="1" applyFill="1" applyBorder="1"/>
    <xf numFmtId="164" fontId="23" fillId="8" borderId="3" xfId="0" applyNumberFormat="1" applyFont="1" applyFill="1" applyBorder="1" applyAlignment="1">
      <alignment horizontal="center" wrapText="1"/>
    </xf>
    <xf numFmtId="0" fontId="19" fillId="0" borderId="0" xfId="2" applyFont="1" applyAlignment="1">
      <alignment horizontal="center"/>
    </xf>
    <xf numFmtId="0" fontId="17" fillId="0" borderId="1" xfId="2" applyFont="1" applyBorder="1" applyAlignment="1">
      <alignment vertical="center"/>
    </xf>
    <xf numFmtId="0" fontId="10" fillId="0" borderId="1" xfId="2" applyFont="1" applyBorder="1"/>
    <xf numFmtId="0" fontId="19" fillId="0" borderId="0" xfId="2" applyFont="1"/>
    <xf numFmtId="0" fontId="18" fillId="0" borderId="0" xfId="2" applyFont="1"/>
    <xf numFmtId="0" fontId="5" fillId="0" borderId="0" xfId="1" applyFont="1" applyAlignment="1">
      <alignment horizontal="center" vertical="center"/>
    </xf>
    <xf numFmtId="0" fontId="0" fillId="10" borderId="0" xfId="0" applyFill="1"/>
    <xf numFmtId="0" fontId="22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14" fontId="0" fillId="0" borderId="0" xfId="0" applyNumberFormat="1"/>
    <xf numFmtId="0" fontId="23" fillId="0" borderId="4" xfId="0" applyFont="1" applyBorder="1" applyAlignment="1">
      <alignment horizontal="center" wrapText="1"/>
    </xf>
    <xf numFmtId="0" fontId="23" fillId="5" borderId="3" xfId="0" applyFont="1" applyFill="1" applyBorder="1" applyAlignment="1">
      <alignment horizontal="center" wrapText="1"/>
    </xf>
    <xf numFmtId="0" fontId="0" fillId="0" borderId="3" xfId="0" applyBorder="1"/>
    <xf numFmtId="0" fontId="6" fillId="0" borderId="3" xfId="0" applyFont="1" applyBorder="1"/>
    <xf numFmtId="0" fontId="23" fillId="0" borderId="6" xfId="0" applyFont="1" applyBorder="1" applyAlignment="1">
      <alignment horizontal="center" wrapText="1"/>
    </xf>
    <xf numFmtId="0" fontId="23" fillId="6" borderId="3" xfId="0" applyFont="1" applyFill="1" applyBorder="1" applyAlignment="1">
      <alignment horizontal="center" wrapText="1"/>
    </xf>
    <xf numFmtId="0" fontId="23" fillId="6" borderId="3" xfId="0" applyFont="1" applyFill="1" applyBorder="1" applyAlignment="1">
      <alignment horizontal="center"/>
    </xf>
    <xf numFmtId="0" fontId="6" fillId="0" borderId="0" xfId="0" applyFont="1"/>
    <xf numFmtId="0" fontId="23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1" xfId="2" applyFont="1" applyFill="1" applyBorder="1" applyAlignment="1">
      <alignment vertical="center"/>
    </xf>
    <xf numFmtId="0" fontId="17" fillId="0" borderId="1" xfId="2" applyFont="1" applyFill="1" applyBorder="1" applyAlignment="1">
      <alignment vertical="center" wrapText="1"/>
    </xf>
    <xf numFmtId="0" fontId="10" fillId="0" borderId="0" xfId="2" applyFont="1" applyFill="1"/>
    <xf numFmtId="0" fontId="7" fillId="0" borderId="0" xfId="2" applyFont="1" applyFill="1"/>
    <xf numFmtId="0" fontId="10" fillId="0" borderId="1" xfId="2" applyFont="1" applyFill="1" applyBorder="1"/>
    <xf numFmtId="0" fontId="23" fillId="6" borderId="3" xfId="3" applyFont="1" applyFill="1" applyBorder="1" applyAlignment="1">
      <alignment horizontal="center" wrapText="1"/>
    </xf>
    <xf numFmtId="0" fontId="23" fillId="6" borderId="3" xfId="3" applyFont="1" applyFill="1" applyBorder="1" applyAlignment="1">
      <alignment horizontal="center" wrapText="1"/>
    </xf>
    <xf numFmtId="0" fontId="22" fillId="7" borderId="3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14" fontId="23" fillId="7" borderId="3" xfId="0" applyNumberFormat="1" applyFont="1" applyFill="1" applyBorder="1" applyAlignment="1">
      <alignment horizont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28" fillId="0" borderId="0" xfId="0" applyFont="1"/>
    <xf numFmtId="0" fontId="17" fillId="9" borderId="1" xfId="2" applyFont="1" applyFill="1" applyBorder="1" applyAlignment="1">
      <alignment vertical="center"/>
    </xf>
    <xf numFmtId="0" fontId="17" fillId="9" borderId="1" xfId="2" applyFont="1" applyFill="1" applyBorder="1" applyAlignment="1">
      <alignment vertical="center" wrapText="1"/>
    </xf>
    <xf numFmtId="0" fontId="17" fillId="9" borderId="1" xfId="2" applyFont="1" applyFill="1" applyBorder="1" applyAlignment="1">
      <alignment horizontal="right" vertical="center" wrapText="1"/>
    </xf>
    <xf numFmtId="0" fontId="17" fillId="9" borderId="1" xfId="2" applyFont="1" applyFill="1" applyBorder="1"/>
    <xf numFmtId="0" fontId="10" fillId="9" borderId="1" xfId="2" applyFont="1" applyFill="1" applyBorder="1"/>
    <xf numFmtId="0" fontId="17" fillId="9" borderId="2" xfId="2" applyFont="1" applyFill="1" applyBorder="1"/>
    <xf numFmtId="0" fontId="17" fillId="9" borderId="2" xfId="2" applyFont="1" applyFill="1" applyBorder="1" applyAlignment="1">
      <alignment vertical="center"/>
    </xf>
    <xf numFmtId="0" fontId="6" fillId="2" borderId="4" xfId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11" borderId="1" xfId="2" applyFont="1" applyFill="1" applyBorder="1" applyAlignment="1">
      <alignment vertical="center" wrapText="1"/>
    </xf>
    <xf numFmtId="0" fontId="17" fillId="11" borderId="1" xfId="2" applyFont="1" applyFill="1" applyBorder="1"/>
    <xf numFmtId="0" fontId="10" fillId="11" borderId="1" xfId="2" applyFont="1" applyFill="1" applyBorder="1"/>
    <xf numFmtId="0" fontId="17" fillId="9" borderId="1" xfId="2" applyFont="1" applyFill="1" applyBorder="1" applyAlignment="1">
      <alignment horizontal="left"/>
    </xf>
    <xf numFmtId="0" fontId="17" fillId="0" borderId="1" xfId="2" applyFont="1" applyFill="1" applyBorder="1" applyAlignment="1">
      <alignment horizontal="center" vertical="center" wrapText="1"/>
    </xf>
    <xf numFmtId="0" fontId="10" fillId="9" borderId="1" xfId="2" applyFont="1" applyFill="1" applyBorder="1" applyAlignment="1">
      <alignment horizontal="center"/>
    </xf>
    <xf numFmtId="0" fontId="17" fillId="0" borderId="2" xfId="2" applyFont="1" applyBorder="1" applyAlignment="1"/>
    <xf numFmtId="0" fontId="21" fillId="0" borderId="9" xfId="1" applyFont="1" applyBorder="1" applyAlignment="1">
      <alignment horizontal="center"/>
    </xf>
    <xf numFmtId="0" fontId="6" fillId="2" borderId="4" xfId="1" applyFill="1" applyBorder="1" applyAlignment="1">
      <alignment horizontal="center" vertical="center" wrapText="1"/>
    </xf>
    <xf numFmtId="0" fontId="6" fillId="2" borderId="2" xfId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7" xfId="1" applyBorder="1" applyAlignment="1">
      <alignment horizontal="center" vertical="center" wrapText="1"/>
    </xf>
    <xf numFmtId="0" fontId="25" fillId="0" borderId="4" xfId="0" applyFont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25" fillId="0" borderId="4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0" xfId="0" applyFont="1" applyBorder="1" applyAlignment="1">
      <alignment horizontal="center" wrapText="1"/>
    </xf>
    <xf numFmtId="0" fontId="17" fillId="0" borderId="1" xfId="2" applyFont="1" applyBorder="1" applyAlignment="1">
      <alignment horizontal="center"/>
    </xf>
    <xf numFmtId="0" fontId="15" fillId="0" borderId="8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/>
    </xf>
    <xf numFmtId="0" fontId="10" fillId="0" borderId="0" xfId="2" applyFont="1" applyAlignment="1">
      <alignment horizontal="left" wrapText="1"/>
    </xf>
    <xf numFmtId="0" fontId="17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1" xfId="2" applyFont="1" applyBorder="1" applyAlignment="1">
      <alignment horizontal="center"/>
    </xf>
    <xf numFmtId="14" fontId="17" fillId="0" borderId="1" xfId="2" applyNumberFormat="1" applyFont="1" applyBorder="1" applyAlignment="1">
      <alignment horizontal="center"/>
    </xf>
    <xf numFmtId="0" fontId="10" fillId="0" borderId="0" xfId="2" applyFont="1" applyAlignment="1">
      <alignment horizontal="left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center" vertical="top"/>
    </xf>
    <xf numFmtId="0" fontId="17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0" fontId="8" fillId="0" borderId="0" xfId="2" applyFont="1" applyAlignment="1">
      <alignment horizontal="center" vertical="center"/>
    </xf>
    <xf numFmtId="0" fontId="17" fillId="0" borderId="1" xfId="2" applyFont="1" applyBorder="1" applyAlignment="1">
      <alignment horizontal="left"/>
    </xf>
    <xf numFmtId="0" fontId="17" fillId="0" borderId="1" xfId="2" applyFont="1" applyBorder="1" applyAlignment="1">
      <alignment horizontal="left" vertical="center"/>
    </xf>
    <xf numFmtId="0" fontId="15" fillId="0" borderId="8" xfId="2" applyFont="1" applyBorder="1" applyAlignment="1">
      <alignment horizontal="center" vertical="top" wrapText="1"/>
    </xf>
    <xf numFmtId="0" fontId="18" fillId="0" borderId="0" xfId="2" applyFont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0" borderId="1" xfId="2" applyFont="1" applyFill="1" applyBorder="1" applyAlignment="1">
      <alignment horizontal="center"/>
    </xf>
    <xf numFmtId="0" fontId="17" fillId="0" borderId="1" xfId="2" applyFont="1" applyFill="1" applyBorder="1" applyAlignment="1">
      <alignment horizontal="left" vertical="center" wrapText="1"/>
    </xf>
    <xf numFmtId="0" fontId="17" fillId="0" borderId="1" xfId="2" applyFont="1" applyFill="1" applyBorder="1" applyAlignment="1">
      <alignment horizontal="center" vertical="center" wrapText="1"/>
    </xf>
    <xf numFmtId="0" fontId="17" fillId="9" borderId="1" xfId="2" applyFont="1" applyFill="1" applyBorder="1" applyAlignment="1">
      <alignment horizontal="center" vertical="center" wrapText="1"/>
    </xf>
    <xf numFmtId="0" fontId="15" fillId="0" borderId="0" xfId="2" applyFont="1" applyFill="1" applyAlignment="1">
      <alignment horizontal="center" vertical="center" wrapText="1"/>
    </xf>
    <xf numFmtId="0" fontId="15" fillId="0" borderId="0" xfId="2" applyFont="1" applyFill="1" applyAlignment="1">
      <alignment horizontal="center" vertical="center"/>
    </xf>
    <xf numFmtId="0" fontId="15" fillId="0" borderId="8" xfId="2" applyFont="1" applyFill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 wrapText="1"/>
    </xf>
    <xf numFmtId="0" fontId="17" fillId="0" borderId="2" xfId="2" applyFont="1" applyBorder="1" applyAlignment="1">
      <alignment horizontal="left"/>
    </xf>
    <xf numFmtId="0" fontId="17" fillId="0" borderId="1" xfId="2" applyFont="1" applyFill="1" applyBorder="1" applyAlignment="1">
      <alignment horizontal="left" vertical="center"/>
    </xf>
    <xf numFmtId="0" fontId="17" fillId="0" borderId="1" xfId="2" applyFont="1" applyFill="1" applyBorder="1" applyAlignment="1">
      <alignment horizontal="center" vertical="center"/>
    </xf>
    <xf numFmtId="0" fontId="17" fillId="11" borderId="1" xfId="2" applyFont="1" applyFill="1" applyBorder="1" applyAlignment="1">
      <alignment horizontal="left" vertical="center" wrapText="1"/>
    </xf>
    <xf numFmtId="0" fontId="17" fillId="11" borderId="1" xfId="2" applyFont="1" applyFill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top"/>
    </xf>
    <xf numFmtId="0" fontId="15" fillId="0" borderId="8" xfId="2" applyFont="1" applyBorder="1" applyAlignment="1">
      <alignment horizontal="center"/>
    </xf>
    <xf numFmtId="0" fontId="17" fillId="9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0" fontId="1" fillId="2" borderId="3" xfId="8" applyFill="1" applyBorder="1" applyAlignment="1">
      <alignment horizontal="center" vertical="center" wrapText="1"/>
    </xf>
    <xf numFmtId="0" fontId="1" fillId="0" borderId="3" xfId="8" applyBorder="1" applyAlignment="1">
      <alignment horizontal="center" vertical="center" wrapText="1"/>
    </xf>
  </cellXfs>
  <cellStyles count="9">
    <cellStyle name="Денежный 2" xfId="4" xr:uid="{17C98E79-5537-4577-93CD-9CC3BAF7C4FE}"/>
    <cellStyle name="Обычный" xfId="0" builtinId="0"/>
    <cellStyle name="Обычный 2" xfId="1" xr:uid="{00000000-0005-0000-0000-000001000000}"/>
    <cellStyle name="Обычный 2 2" xfId="5" xr:uid="{F93D499B-C956-4D90-83EE-21E615649222}"/>
    <cellStyle name="Обычный 3" xfId="6" xr:uid="{E04E02A6-B2B1-4F32-8241-CCDF4DC97864}"/>
    <cellStyle name="Обычный 4" xfId="7" xr:uid="{2D7F6E6E-BEF0-4BEF-A10B-AE413C0FAEE9}"/>
    <cellStyle name="Обычный 5" xfId="3" xr:uid="{EA371A94-B83E-4CD9-A419-6630C892005D}"/>
    <cellStyle name="Обычный 6" xfId="8" xr:uid="{DE4F8EB8-A0DD-46E9-B547-BF3193AA73FC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&#1041;&#1080;&#1073;&#1080;&#1083;&#1080;&#1086;&#1090;&#1077;&#1082;&#1072;/&#1048;&#1089;&#1087;&#1086;&#1083;&#1085;&#1080;&#1090;&#1077;&#1083;&#1100;&#1085;&#1072;&#1103;%20&#1076;&#1086;&#1082;&#1091;&#1084;&#1077;&#1085;&#1090;&#1072;&#1094;&#1080;&#1103;/&#1048;&#1044;%202024&#1075;/4738%20&#1042;&#1051;&#1048;%20&#1043;&#1077;&#1092;&#1077;&#1089;&#1090;/4738%2012%20&#1040;&#1054;&#1057;&#1056;%20&#1042;&#1051;&#10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ш1"/>
      <sheetName val="АОСР-1ш2"/>
      <sheetName val="АОСР-1ш3"/>
      <sheetName val="АОСР-1ш4"/>
      <sheetName val="АОСР-1ш5"/>
      <sheetName val="АОСР-1ш6"/>
      <sheetName val="АОСР-1ш7"/>
      <sheetName val="АОСР-2"/>
      <sheetName val="АОСР-3"/>
      <sheetName val="АОСР-4"/>
      <sheetName val="АОСР-5"/>
      <sheetName val="АОСР-6"/>
    </sheetNames>
    <sheetDataSet>
      <sheetData sheetId="0">
        <row r="17">
          <cell r="B17" t="str">
            <v>Красилов К.А.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workbookViewId="0">
      <selection activeCell="H23" sqref="H23"/>
    </sheetView>
  </sheetViews>
  <sheetFormatPr defaultRowHeight="12.75" x14ac:dyDescent="0.2"/>
  <cols>
    <col min="1" max="1" width="15.6640625" customWidth="1"/>
    <col min="2" max="2" width="18.5" customWidth="1"/>
  </cols>
  <sheetData>
    <row r="2" spans="1:3" x14ac:dyDescent="0.2">
      <c r="A2" s="65" t="s">
        <v>158</v>
      </c>
      <c r="B2" s="65" t="s">
        <v>159</v>
      </c>
      <c r="C2" s="65" t="s">
        <v>173</v>
      </c>
    </row>
    <row r="3" spans="1:3" x14ac:dyDescent="0.2">
      <c r="A3" t="s">
        <v>160</v>
      </c>
      <c r="B3" t="s">
        <v>161</v>
      </c>
      <c r="C3" t="s">
        <v>174</v>
      </c>
    </row>
    <row r="4" spans="1:3" x14ac:dyDescent="0.2">
      <c r="A4" t="s">
        <v>162</v>
      </c>
      <c r="B4" t="s">
        <v>163</v>
      </c>
      <c r="C4" t="s">
        <v>175</v>
      </c>
    </row>
    <row r="5" spans="1:3" x14ac:dyDescent="0.2">
      <c r="B5" t="s">
        <v>164</v>
      </c>
      <c r="C5" t="s">
        <v>176</v>
      </c>
    </row>
    <row r="6" spans="1:3" x14ac:dyDescent="0.2">
      <c r="B6" t="s">
        <v>165</v>
      </c>
    </row>
    <row r="7" spans="1:3" x14ac:dyDescent="0.2">
      <c r="B7" t="s">
        <v>166</v>
      </c>
    </row>
    <row r="8" spans="1:3" x14ac:dyDescent="0.2">
      <c r="B8" t="s">
        <v>167</v>
      </c>
    </row>
    <row r="9" spans="1:3" x14ac:dyDescent="0.2">
      <c r="B9" t="s">
        <v>168</v>
      </c>
    </row>
    <row r="10" spans="1:3" x14ac:dyDescent="0.2">
      <c r="B10" t="s">
        <v>169</v>
      </c>
    </row>
    <row r="11" spans="1:3" x14ac:dyDescent="0.2">
      <c r="B11" t="s">
        <v>170</v>
      </c>
    </row>
    <row r="12" spans="1:3" x14ac:dyDescent="0.2">
      <c r="B12" t="s">
        <v>171</v>
      </c>
    </row>
    <row r="13" spans="1:3" x14ac:dyDescent="0.2">
      <c r="B13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topLeftCell="E1" workbookViewId="0">
      <selection activeCell="M13" sqref="M13"/>
    </sheetView>
  </sheetViews>
  <sheetFormatPr defaultColWidth="9.33203125" defaultRowHeight="12.75" x14ac:dyDescent="0.2"/>
  <cols>
    <col min="1" max="1" width="21.83203125" style="41" customWidth="1"/>
    <col min="2" max="2" width="43" style="41" customWidth="1"/>
    <col min="3" max="3" width="42.6640625" style="41" customWidth="1"/>
    <col min="4" max="6" width="40.6640625" style="41" customWidth="1"/>
    <col min="7" max="8" width="42.83203125" style="41" customWidth="1"/>
    <col min="9" max="9" width="42.1640625" style="41" customWidth="1"/>
    <col min="10" max="16384" width="9.33203125" style="41"/>
  </cols>
  <sheetData>
    <row r="1" spans="1:9" ht="15" x14ac:dyDescent="0.25">
      <c r="A1" s="38" t="s">
        <v>104</v>
      </c>
      <c r="B1" s="38"/>
      <c r="C1" s="39" t="s">
        <v>232</v>
      </c>
      <c r="D1" s="39" t="s">
        <v>105</v>
      </c>
      <c r="E1" s="39" t="s">
        <v>106</v>
      </c>
      <c r="F1" s="40"/>
      <c r="G1" s="122" t="s">
        <v>107</v>
      </c>
      <c r="H1" s="122"/>
      <c r="I1" s="122"/>
    </row>
    <row r="2" spans="1:9" ht="25.5" x14ac:dyDescent="0.2">
      <c r="A2" s="42" t="s">
        <v>108</v>
      </c>
      <c r="B2" s="42"/>
      <c r="C2" s="43" t="s">
        <v>109</v>
      </c>
      <c r="D2" s="43" t="s">
        <v>110</v>
      </c>
      <c r="E2" s="83" t="s">
        <v>194</v>
      </c>
      <c r="F2" s="44"/>
      <c r="G2" s="123" t="s">
        <v>82</v>
      </c>
      <c r="H2" s="124"/>
      <c r="I2" s="125"/>
    </row>
    <row r="3" spans="1:9" ht="63" customHeight="1" x14ac:dyDescent="0.2">
      <c r="A3" s="45" t="s">
        <v>66</v>
      </c>
      <c r="B3" s="45"/>
      <c r="C3" s="46" t="s">
        <v>111</v>
      </c>
      <c r="D3" s="46" t="s">
        <v>112</v>
      </c>
      <c r="E3" s="84" t="s">
        <v>195</v>
      </c>
      <c r="F3" s="47"/>
      <c r="G3" s="126" t="s">
        <v>113</v>
      </c>
      <c r="H3" s="127"/>
      <c r="I3" s="128"/>
    </row>
    <row r="4" spans="1:9" x14ac:dyDescent="0.2">
      <c r="A4" s="42" t="s">
        <v>114</v>
      </c>
      <c r="B4" s="42"/>
      <c r="C4" s="43"/>
      <c r="D4" s="43"/>
      <c r="E4" s="85"/>
      <c r="F4" s="43"/>
      <c r="G4" s="43" t="s">
        <v>115</v>
      </c>
      <c r="H4" s="43"/>
      <c r="I4" s="43" t="s">
        <v>116</v>
      </c>
    </row>
    <row r="5" spans="1:9" x14ac:dyDescent="0.2">
      <c r="A5" s="45"/>
      <c r="B5" s="45"/>
      <c r="C5" s="46"/>
      <c r="D5" s="46"/>
      <c r="E5" s="86"/>
      <c r="F5" s="46"/>
      <c r="G5" s="46" t="s">
        <v>117</v>
      </c>
      <c r="H5" s="46"/>
      <c r="I5" s="46" t="s">
        <v>118</v>
      </c>
    </row>
    <row r="6" spans="1:9" ht="15" x14ac:dyDescent="0.2">
      <c r="A6" s="42" t="s">
        <v>119</v>
      </c>
      <c r="B6" s="42"/>
      <c r="C6" s="43" t="s">
        <v>120</v>
      </c>
      <c r="D6" s="43" t="s">
        <v>121</v>
      </c>
      <c r="E6" s="85" t="s">
        <v>121</v>
      </c>
      <c r="F6" s="43"/>
      <c r="G6" s="43" t="s">
        <v>122</v>
      </c>
      <c r="H6" s="43"/>
      <c r="I6" s="171" t="s">
        <v>123</v>
      </c>
    </row>
    <row r="7" spans="1:9" ht="15" x14ac:dyDescent="0.2">
      <c r="A7" s="45" t="s">
        <v>124</v>
      </c>
      <c r="B7" s="45"/>
      <c r="C7" s="46" t="s">
        <v>125</v>
      </c>
      <c r="D7" s="46" t="s">
        <v>126</v>
      </c>
      <c r="E7" s="86" t="s">
        <v>196</v>
      </c>
      <c r="F7" s="46"/>
      <c r="G7" s="46" t="s">
        <v>74</v>
      </c>
      <c r="H7" s="46"/>
      <c r="I7" s="172" t="s">
        <v>258</v>
      </c>
    </row>
    <row r="8" spans="1:9" x14ac:dyDescent="0.2">
      <c r="A8" s="42" t="s">
        <v>127</v>
      </c>
      <c r="B8" s="85" t="s">
        <v>101</v>
      </c>
      <c r="C8" s="43" t="s">
        <v>101</v>
      </c>
      <c r="D8" s="43" t="s">
        <v>128</v>
      </c>
      <c r="E8" s="85" t="s">
        <v>128</v>
      </c>
      <c r="F8" s="43"/>
      <c r="G8" s="43" t="s">
        <v>129</v>
      </c>
      <c r="H8" s="110" t="s">
        <v>129</v>
      </c>
      <c r="I8" s="43" t="s">
        <v>129</v>
      </c>
    </row>
    <row r="9" spans="1:9" ht="25.5" x14ac:dyDescent="0.2">
      <c r="A9" s="45" t="s">
        <v>130</v>
      </c>
      <c r="B9" s="86" t="s">
        <v>224</v>
      </c>
      <c r="C9" s="46" t="s">
        <v>103</v>
      </c>
      <c r="D9" s="46" t="s">
        <v>131</v>
      </c>
      <c r="E9" s="86" t="s">
        <v>197</v>
      </c>
      <c r="F9" s="46"/>
      <c r="G9" s="46" t="s">
        <v>256</v>
      </c>
      <c r="H9" s="111" t="s">
        <v>236</v>
      </c>
      <c r="I9" s="46" t="s">
        <v>257</v>
      </c>
    </row>
    <row r="10" spans="1:9" x14ac:dyDescent="0.2">
      <c r="A10" s="42" t="s">
        <v>132</v>
      </c>
      <c r="B10" s="85" t="s">
        <v>225</v>
      </c>
      <c r="C10" s="43" t="s">
        <v>102</v>
      </c>
      <c r="D10" s="43" t="s">
        <v>133</v>
      </c>
      <c r="E10" s="85" t="s">
        <v>198</v>
      </c>
      <c r="F10" s="43"/>
      <c r="G10" s="43" t="s">
        <v>233</v>
      </c>
      <c r="H10" s="110" t="s">
        <v>237</v>
      </c>
      <c r="I10" s="43" t="s">
        <v>235</v>
      </c>
    </row>
    <row r="11" spans="1:9" x14ac:dyDescent="0.2">
      <c r="A11" s="45" t="s">
        <v>134</v>
      </c>
      <c r="B11" s="45"/>
      <c r="C11" s="46"/>
      <c r="D11" s="46"/>
      <c r="E11" s="46"/>
      <c r="F11" s="46"/>
      <c r="G11" s="86" t="s">
        <v>234</v>
      </c>
      <c r="H11" s="86"/>
      <c r="I11" s="46" t="s">
        <v>75</v>
      </c>
    </row>
    <row r="12" spans="1:9" x14ac:dyDescent="0.2">
      <c r="A12" s="42" t="s">
        <v>135</v>
      </c>
      <c r="B12" s="42"/>
      <c r="C12" s="43"/>
      <c r="D12" s="43"/>
      <c r="E12" s="43"/>
      <c r="F12" s="43"/>
      <c r="G12" s="85" t="s">
        <v>233</v>
      </c>
      <c r="H12" s="85"/>
      <c r="I12" s="43" t="s">
        <v>75</v>
      </c>
    </row>
    <row r="13" spans="1:9" x14ac:dyDescent="0.2">
      <c r="A13" s="42"/>
      <c r="B13" s="42"/>
      <c r="C13" s="43"/>
      <c r="D13" s="43"/>
      <c r="E13" s="43"/>
      <c r="F13" s="43"/>
      <c r="G13" s="43"/>
      <c r="H13" s="43"/>
      <c r="I13" s="43"/>
    </row>
    <row r="14" spans="1:9" x14ac:dyDescent="0.2">
      <c r="A14" s="45"/>
      <c r="B14" s="45"/>
      <c r="C14" s="46"/>
      <c r="D14" s="46"/>
      <c r="E14" s="46"/>
      <c r="F14" s="46"/>
      <c r="G14" s="46"/>
      <c r="H14" s="46"/>
      <c r="I14" s="46"/>
    </row>
    <row r="15" spans="1:9" x14ac:dyDescent="0.2">
      <c r="A15" s="42"/>
      <c r="B15" s="42"/>
      <c r="C15" s="43"/>
      <c r="D15" s="43"/>
      <c r="E15" s="43"/>
      <c r="F15" s="43"/>
      <c r="G15" s="43"/>
      <c r="H15" s="43"/>
      <c r="I15" s="85"/>
    </row>
    <row r="16" spans="1:9" x14ac:dyDescent="0.2">
      <c r="A16" s="45"/>
      <c r="B16" s="45"/>
      <c r="C16" s="46"/>
      <c r="D16" s="46"/>
      <c r="E16" s="46"/>
      <c r="F16" s="46"/>
      <c r="G16" s="46"/>
      <c r="H16" s="46"/>
      <c r="I16" s="46"/>
    </row>
    <row r="17" spans="1:9" x14ac:dyDescent="0.2">
      <c r="A17" s="42"/>
      <c r="B17" s="42"/>
      <c r="C17" s="43"/>
      <c r="D17" s="43"/>
      <c r="E17" s="43"/>
      <c r="F17" s="43"/>
      <c r="G17" s="43"/>
      <c r="H17" s="43"/>
      <c r="I17" s="43"/>
    </row>
    <row r="18" spans="1:9" x14ac:dyDescent="0.2">
      <c r="A18" s="45" t="s">
        <v>70</v>
      </c>
      <c r="B18" s="45"/>
      <c r="C18" s="46" t="s">
        <v>70</v>
      </c>
      <c r="D18" s="46" t="s">
        <v>137</v>
      </c>
      <c r="E18" s="86" t="s">
        <v>199</v>
      </c>
      <c r="F18" s="46"/>
      <c r="G18" s="46"/>
      <c r="H18" s="46"/>
      <c r="I18" s="46"/>
    </row>
    <row r="19" spans="1:9" x14ac:dyDescent="0.2">
      <c r="A19" s="42" t="s">
        <v>138</v>
      </c>
      <c r="B19" s="42"/>
      <c r="C19" s="43" t="s">
        <v>100</v>
      </c>
      <c r="D19" s="43" t="s">
        <v>139</v>
      </c>
      <c r="E19" s="85" t="s">
        <v>200</v>
      </c>
      <c r="F19" s="43"/>
      <c r="G19" s="43"/>
      <c r="H19" s="43"/>
      <c r="I19" s="43"/>
    </row>
    <row r="20" spans="1:9" x14ac:dyDescent="0.2">
      <c r="A20" s="45" t="s">
        <v>140</v>
      </c>
      <c r="B20" s="45"/>
      <c r="C20" s="46" t="s">
        <v>72</v>
      </c>
      <c r="D20" s="46" t="s">
        <v>141</v>
      </c>
      <c r="E20" s="86" t="s">
        <v>201</v>
      </c>
      <c r="F20" s="46"/>
      <c r="G20" s="46"/>
      <c r="H20" s="46"/>
      <c r="I20" s="46"/>
    </row>
    <row r="21" spans="1:9" x14ac:dyDescent="0.2">
      <c r="A21" s="48"/>
      <c r="B21" s="48"/>
      <c r="C21" s="43"/>
      <c r="D21" s="43"/>
      <c r="E21" s="43"/>
      <c r="F21" s="43"/>
      <c r="G21" s="43"/>
      <c r="H21" s="43"/>
      <c r="I21" s="43"/>
    </row>
    <row r="23" spans="1:9" ht="79.5" customHeight="1" x14ac:dyDescent="0.2">
      <c r="A23" s="49" t="s">
        <v>142</v>
      </c>
      <c r="B23" s="49"/>
      <c r="C23" s="50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50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51"/>
      <c r="G23" s="52" t="str">
        <f>CONCATENATE(G8," ",G1,"-",G10," .",G9)</f>
        <v>Гл. специалист ССК УКС ПАО "Россети Московский регион"-Курчин М.М. .Приказ № от  2026г (НРС С-31-330248)</v>
      </c>
      <c r="H23" s="52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52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6.5" x14ac:dyDescent="0.2">
      <c r="A24" s="49" t="s">
        <v>142</v>
      </c>
      <c r="B24" s="49"/>
      <c r="C24" s="50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50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51"/>
      <c r="G24" s="52" t="str">
        <f>CONCATENATE(G8," ",G1,"-",G10)</f>
        <v>Гл. специалист ССК УКС ПАО "Россети Московский регион"-Курчин М.М.</v>
      </c>
      <c r="H24" s="52" t="str">
        <f>CONCATENATE(H8," ",G1,"-",H10)</f>
        <v>Гл. специалист ССК УКС ПАО "Россети Московский регион"-Шатковский А.Н.</v>
      </c>
      <c r="I24" s="52" t="str">
        <f>CONCATENATE(I8," ",G1,"-",I10)</f>
        <v>Гл. специалист ССК УКС ПАО "Россети Московский регион"-Алексанян Г.Р.</v>
      </c>
    </row>
    <row r="25" spans="1:9" ht="51" x14ac:dyDescent="0.2">
      <c r="C25" s="53" t="str">
        <f>CONCATENATE(C8," ",C1,"-",C10,".",C9)</f>
        <v>Инженер по строительному контролю ООО "Энергосистемы"-Капитонов Д.А..Приказ № 18-ОТ/24 от 03 июня 2024 (НОСТРОЙ С-50-188017)</v>
      </c>
      <c r="D25" s="53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4"/>
      <c r="G25" s="52" t="str">
        <f>CONCATENATE(G8," ",G1)</f>
        <v>Гл. специалист ССК УКС ПАО "Россети Московский регион"</v>
      </c>
      <c r="H25" s="52" t="str">
        <f>CONCATENATE(H8," ",G1)</f>
        <v>Гл. специалист ССК УКС ПАО "Россети Московский регион"</v>
      </c>
      <c r="I25" s="52" t="str">
        <f>CONCATENATE(I8," ",G1)</f>
        <v>Гл. специалист ССК УКС ПАО "Россети Московский регион"</v>
      </c>
    </row>
    <row r="26" spans="1:9" ht="25.5" x14ac:dyDescent="0.2">
      <c r="C26" s="53" t="str">
        <f>CONCATENATE(C8," ",C1)</f>
        <v>Инженер по строительному контролю ООО "Энергосистемы"</v>
      </c>
      <c r="D26" s="53" t="str">
        <f>CONCATENATE(D8," ",D1)</f>
        <v>Специалист по строительному контролю ООО «Гефест»</v>
      </c>
      <c r="E26" s="54"/>
      <c r="G26" s="49" t="str">
        <f>CONCATENATE(G6," ",G1," ",G7)</f>
        <v>Начальник СРЭС СЭС филиала ПАО "Россети Московский регион" Чуев А.Н.</v>
      </c>
      <c r="H26" s="49"/>
      <c r="I26" s="49" t="str">
        <f>CONCATENATE(I6," ",G1," ",I7)</f>
        <v>Начальник ХРЭС СЭС филиала ПАО "Россети Московский регион" Арнаутов А.П.</v>
      </c>
    </row>
    <row r="27" spans="1:9" ht="38.25" x14ac:dyDescent="0.2">
      <c r="C27" s="55" t="str">
        <f>CONCATENATE(C18," ",C1,"-",C20,".",C19)</f>
        <v>Прораб ООО "Энергосистемы"-Волков М.Ю..Приказ №05-ОТ/24 от 09 января 2024г</v>
      </c>
      <c r="D27" s="55" t="str">
        <f>CONCATENATE(D18," ",D1,"-",D20,".",D19)</f>
        <v>Мастер электромонтажного участка  ООО «Гефест»-Красилов К.А..Приказ №01/24-ОТ от 15.01.2024</v>
      </c>
      <c r="E27" s="52"/>
      <c r="G27" s="56" t="str">
        <f>CONCATENATE(G14," ",G1," ",G15)</f>
        <v xml:space="preserve"> ПАО "Россети Московский регион" </v>
      </c>
      <c r="H27" s="56"/>
      <c r="I27" s="56" t="str">
        <f>CONCATENATE(I14," ",G1," ",I15)</f>
        <v xml:space="preserve"> ПАО "Россети Московский регион" </v>
      </c>
    </row>
    <row r="28" spans="1:9" ht="25.5" x14ac:dyDescent="0.2">
      <c r="C28" s="55" t="str">
        <f>CONCATENATE(C18," ",C1," ",C20)</f>
        <v>Прораб ООО "Энергосистемы" Волков М.Ю.</v>
      </c>
      <c r="D28" s="55" t="str">
        <f>CONCATENATE(D18," ",D1,"-",D20)</f>
        <v>Мастер электромонтажного участка  ООО «Гефест»-Красилов К.А.</v>
      </c>
      <c r="E28" s="52"/>
      <c r="G28" s="49" t="str">
        <f>CONCATENATE(G16," ",G1," ",G17)</f>
        <v xml:space="preserve"> ПАО "Россети Московский регион" </v>
      </c>
      <c r="H28" s="49"/>
    </row>
    <row r="29" spans="1:9" ht="25.5" x14ac:dyDescent="0.2">
      <c r="C29" s="57" t="str">
        <f>CONCATENATE(C18," ",C1)</f>
        <v>Прораб ООО "Энергосистемы"</v>
      </c>
      <c r="D29" s="55" t="str">
        <f>CONCATENATE(D18," ",D1)</f>
        <v>Мастер электромонтажного участка  ООО «Гефест»</v>
      </c>
      <c r="E29" s="5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77"/>
  <sheetViews>
    <sheetView zoomScale="90" zoomScaleNormal="90" workbookViewId="0">
      <selection activeCell="G41" sqref="G41"/>
    </sheetView>
  </sheetViews>
  <sheetFormatPr defaultRowHeight="12.75" x14ac:dyDescent="0.2"/>
  <cols>
    <col min="1" max="1" width="35" style="79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29" t="s">
        <v>143</v>
      </c>
      <c r="B1" s="130"/>
    </row>
    <row r="2" spans="1:3" ht="15" x14ac:dyDescent="0.25">
      <c r="A2" s="66" t="s">
        <v>144</v>
      </c>
      <c r="B2" s="94" t="s">
        <v>210</v>
      </c>
    </row>
    <row r="3" spans="1:3" ht="25.9" customHeight="1" x14ac:dyDescent="0.25">
      <c r="A3" s="67" t="s">
        <v>63</v>
      </c>
      <c r="B3" s="95" t="s">
        <v>207</v>
      </c>
    </row>
    <row r="4" spans="1:3" ht="15" x14ac:dyDescent="0.25">
      <c r="A4" s="68" t="s">
        <v>145</v>
      </c>
      <c r="B4" s="96" t="s">
        <v>115</v>
      </c>
    </row>
    <row r="5" spans="1:3" ht="15" x14ac:dyDescent="0.25">
      <c r="A5" s="68" t="s">
        <v>65</v>
      </c>
      <c r="B5" s="96" t="s">
        <v>208</v>
      </c>
    </row>
    <row r="6" spans="1:3" ht="15" x14ac:dyDescent="0.25">
      <c r="A6" s="68" t="s">
        <v>146</v>
      </c>
      <c r="B6" s="99">
        <v>45833</v>
      </c>
    </row>
    <row r="7" spans="1:3" ht="15" x14ac:dyDescent="0.25">
      <c r="A7" s="68" t="s">
        <v>147</v>
      </c>
      <c r="B7" s="99">
        <v>45833</v>
      </c>
      <c r="C7" s="69"/>
    </row>
    <row r="8" spans="1:3" ht="14.25" x14ac:dyDescent="0.2">
      <c r="A8" s="129" t="s">
        <v>148</v>
      </c>
      <c r="B8" s="130"/>
    </row>
    <row r="9" spans="1:3" ht="15" x14ac:dyDescent="0.25">
      <c r="A9" s="70" t="s">
        <v>193</v>
      </c>
      <c r="B9" s="58" t="s">
        <v>209</v>
      </c>
    </row>
    <row r="10" spans="1:3" ht="14.25" x14ac:dyDescent="0.2">
      <c r="A10" s="129" t="s">
        <v>67</v>
      </c>
      <c r="B10" s="130"/>
    </row>
    <row r="11" spans="1:3" ht="15" x14ac:dyDescent="0.25">
      <c r="A11" s="68" t="s">
        <v>68</v>
      </c>
      <c r="B11" s="71" t="s">
        <v>105</v>
      </c>
      <c r="C11" s="72" t="str">
        <f>CONCATENATE(B11," ",B12," ",B13)</f>
        <v>ООО «Гефест» ОГРН 1215000057238 ИНН 5044122213 КПП 504401001 141508, Московская область, г.о. Солнечногорск, г Солнечногорск, ул Промышленная, строение 29А, корпус 1, офис 11</v>
      </c>
    </row>
    <row r="12" spans="1:3" ht="15" x14ac:dyDescent="0.25">
      <c r="A12" s="68" t="s">
        <v>149</v>
      </c>
      <c r="B12" s="71" t="s">
        <v>110</v>
      </c>
      <c r="C12" s="72"/>
    </row>
    <row r="13" spans="1:3" ht="15" x14ac:dyDescent="0.25">
      <c r="A13" s="68" t="s">
        <v>66</v>
      </c>
      <c r="B13" s="71" t="s">
        <v>112</v>
      </c>
      <c r="C13" s="72"/>
    </row>
    <row r="14" spans="1:3" ht="15" hidden="1" x14ac:dyDescent="0.25">
      <c r="A14" s="68" t="s">
        <v>69</v>
      </c>
      <c r="B14" s="71" t="s">
        <v>121</v>
      </c>
      <c r="C14" s="72"/>
    </row>
    <row r="15" spans="1:3" ht="15" hidden="1" x14ac:dyDescent="0.25">
      <c r="A15" s="68" t="s">
        <v>150</v>
      </c>
      <c r="B15" s="71" t="s">
        <v>126</v>
      </c>
      <c r="C15" s="72" t="str">
        <f>CONCATENATE(B14," ",B11," ",B15)</f>
        <v xml:space="preserve">Генеральный директор ООО «Гефест» Звездов Р.Е. </v>
      </c>
    </row>
    <row r="16" spans="1:3" ht="15" x14ac:dyDescent="0.25">
      <c r="A16" s="68" t="s">
        <v>69</v>
      </c>
      <c r="B16" s="71" t="s">
        <v>101</v>
      </c>
      <c r="C16" s="72" t="str">
        <f>CONCATENATE(B16," ",B11)</f>
        <v>Инженер по строительному контролю ООО «Гефест»</v>
      </c>
    </row>
    <row r="17" spans="1:3" ht="15" x14ac:dyDescent="0.25">
      <c r="A17" s="68" t="s">
        <v>71</v>
      </c>
      <c r="B17" s="71" t="s">
        <v>133</v>
      </c>
      <c r="C17" s="73" t="str">
        <f>CONCATENATE(B16," ",B11," ",B17)</f>
        <v>Инженер по строительному контролю ООО «Гефест» Саженова Л.В.</v>
      </c>
    </row>
    <row r="18" spans="1:3" ht="15" x14ac:dyDescent="0.25">
      <c r="A18" s="68" t="s">
        <v>151</v>
      </c>
      <c r="B18" s="71" t="s">
        <v>131</v>
      </c>
      <c r="C18" s="73" t="str">
        <f>CONCATENATE(B16," ",B11," ",B17,".",B18)</f>
        <v>Инженер по строительному контролю ООО «Гефест» Саженова Л.В..Приказ №01/24-ОТ от 15.01.2024 (НРС № С-61-104369)</v>
      </c>
    </row>
    <row r="19" spans="1:3" ht="15" x14ac:dyDescent="0.25">
      <c r="A19" s="68" t="s">
        <v>69</v>
      </c>
      <c r="B19" s="71" t="s">
        <v>137</v>
      </c>
      <c r="C19" s="72" t="str">
        <f>CONCATENATE(B19," ",B11)</f>
        <v>Мастер электромонтажного участка  ООО «Гефест»</v>
      </c>
    </row>
    <row r="20" spans="1:3" ht="15" x14ac:dyDescent="0.25">
      <c r="A20" s="68" t="s">
        <v>71</v>
      </c>
      <c r="B20" s="71" t="s">
        <v>141</v>
      </c>
      <c r="C20" s="73" t="str">
        <f>CONCATENATE(B19," ",B11," ",B20)</f>
        <v>Мастер электромонтажного участка  ООО «Гефест» Красилов К.А.</v>
      </c>
    </row>
    <row r="21" spans="1:3" ht="15" x14ac:dyDescent="0.25">
      <c r="A21" s="74" t="s">
        <v>151</v>
      </c>
      <c r="B21" s="71" t="s">
        <v>139</v>
      </c>
      <c r="C21" s="73" t="str">
        <f>CONCATENATE(B19," ",B11," ",B20,".",B21)</f>
        <v>Мастер электромонтажного участка  ООО «Гефест» Красилов К.А..Приказ №01/24-ОТ от 15.01.2024</v>
      </c>
    </row>
    <row r="22" spans="1:3" ht="14.25" x14ac:dyDescent="0.2">
      <c r="A22" s="131" t="s">
        <v>73</v>
      </c>
      <c r="B22" s="132"/>
    </row>
    <row r="23" spans="1:3" ht="15" x14ac:dyDescent="0.25">
      <c r="A23" s="74" t="s">
        <v>68</v>
      </c>
      <c r="B23" s="75" t="s">
        <v>107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74" t="s">
        <v>149</v>
      </c>
      <c r="B24" s="92" t="s">
        <v>82</v>
      </c>
    </row>
    <row r="25" spans="1:3" ht="15" x14ac:dyDescent="0.25">
      <c r="A25" s="74" t="s">
        <v>66</v>
      </c>
      <c r="B25" s="92" t="s">
        <v>113</v>
      </c>
    </row>
    <row r="26" spans="1:3" ht="15" hidden="1" x14ac:dyDescent="0.25">
      <c r="A26" s="74" t="s">
        <v>69</v>
      </c>
      <c r="B26" s="76" t="s">
        <v>122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74" t="s">
        <v>71</v>
      </c>
      <c r="B27" s="75" t="s">
        <v>74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74" t="s">
        <v>69</v>
      </c>
      <c r="B28" s="75" t="s">
        <v>136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74" t="s">
        <v>71</v>
      </c>
      <c r="B29" s="75" t="s">
        <v>76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74" t="s">
        <v>69</v>
      </c>
      <c r="B30" s="75" t="s">
        <v>77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74" t="s">
        <v>71</v>
      </c>
      <c r="B31" s="75" t="s">
        <v>78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74" t="s">
        <v>69</v>
      </c>
      <c r="B32" s="75" t="s">
        <v>129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74" t="s">
        <v>71</v>
      </c>
      <c r="B33" s="75" t="s">
        <v>235</v>
      </c>
      <c r="C33" s="77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74" t="s">
        <v>151</v>
      </c>
      <c r="B34" s="93" t="s">
        <v>249</v>
      </c>
      <c r="C34" t="str">
        <f>CONCATENATE(B32," ",B23," ",B33,", ",B34)</f>
        <v>Гл. специалист ССК УКС ПАО "Россети Московский регион" Алексанян Г.Р., Приказ №2363 от 29 апреля 2025г. (НОСТРОЙ С-50-15922)</v>
      </c>
    </row>
    <row r="35" spans="1:31" ht="15" x14ac:dyDescent="0.25">
      <c r="A35" s="74" t="s">
        <v>69</v>
      </c>
      <c r="B35" s="75" t="s">
        <v>234</v>
      </c>
      <c r="C35" t="str">
        <f>CONCATENATE(B35," ",B23)</f>
        <v>Мастер СРЭС СЭС филиала ПАО "Россети Московский регион"</v>
      </c>
    </row>
    <row r="36" spans="1:31" ht="15" x14ac:dyDescent="0.25">
      <c r="A36" s="74" t="s">
        <v>71</v>
      </c>
      <c r="B36" s="75" t="s">
        <v>233</v>
      </c>
      <c r="C36" s="77" t="str">
        <f>CONCATENATE(B35," ",B23," ",B36)</f>
        <v>Мастер СРЭС СЭС филиала ПАО "Россети Московский регион" Курчин М.М.</v>
      </c>
    </row>
    <row r="37" spans="1:31" ht="15" x14ac:dyDescent="0.25">
      <c r="A37" s="74" t="s">
        <v>151</v>
      </c>
      <c r="B37" s="75"/>
      <c r="C37" t="str">
        <f>CONCATENATE(B35," ",B23," ",B36,", ",B37)</f>
        <v xml:space="preserve">Мастер СРЭС СЭС филиала ПАО "Россети Московский регион" Курчин М.М., </v>
      </c>
    </row>
    <row r="38" spans="1:31" ht="14.25" x14ac:dyDescent="0.2">
      <c r="A38" s="129" t="s">
        <v>79</v>
      </c>
      <c r="B38" s="133"/>
    </row>
    <row r="39" spans="1:31" ht="15" x14ac:dyDescent="0.25">
      <c r="A39" s="67" t="s">
        <v>68</v>
      </c>
      <c r="B39" s="78" t="s">
        <v>105</v>
      </c>
    </row>
    <row r="40" spans="1:31" ht="15" x14ac:dyDescent="0.25">
      <c r="A40" s="68" t="s">
        <v>149</v>
      </c>
      <c r="B40" s="78" t="s">
        <v>110</v>
      </c>
    </row>
    <row r="41" spans="1:31" ht="15" x14ac:dyDescent="0.25">
      <c r="A41" s="68" t="s">
        <v>66</v>
      </c>
      <c r="B41" s="78" t="s">
        <v>112</v>
      </c>
    </row>
    <row r="42" spans="1:31" ht="15" x14ac:dyDescent="0.25">
      <c r="A42" s="67" t="s">
        <v>64</v>
      </c>
      <c r="B42" s="78" t="s">
        <v>80</v>
      </c>
    </row>
    <row r="43" spans="1:31" ht="15" x14ac:dyDescent="0.25">
      <c r="A43" s="67" t="s">
        <v>18</v>
      </c>
      <c r="B43" s="78" t="s">
        <v>226</v>
      </c>
    </row>
    <row r="44" spans="1:31" ht="30.75" customHeight="1" x14ac:dyDescent="0.25">
      <c r="A44" s="67" t="s">
        <v>81</v>
      </c>
      <c r="B44" s="78" t="str">
        <f>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</row>
    <row r="45" spans="1:31" x14ac:dyDescent="0.2">
      <c r="C45" s="102" t="s">
        <v>218</v>
      </c>
    </row>
    <row r="46" spans="1:31" x14ac:dyDescent="0.2">
      <c r="C46" s="102"/>
    </row>
    <row r="47" spans="1:31" x14ac:dyDescent="0.2">
      <c r="C47" s="102"/>
      <c r="D47" s="80"/>
      <c r="E47" s="80"/>
      <c r="F47" s="80"/>
      <c r="G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</row>
    <row r="48" spans="1:31" x14ac:dyDescent="0.2">
      <c r="C48" s="102"/>
      <c r="D48" s="80"/>
      <c r="E48" s="80"/>
      <c r="F48" s="80"/>
      <c r="G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</row>
    <row r="49" spans="3:37" x14ac:dyDescent="0.2">
      <c r="C49" s="102" t="s">
        <v>219</v>
      </c>
      <c r="D49" s="80"/>
      <c r="E49" s="80"/>
      <c r="F49" s="80"/>
      <c r="G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</row>
    <row r="50" spans="3:37" x14ac:dyDescent="0.2">
      <c r="C50" s="102" t="s">
        <v>220</v>
      </c>
      <c r="D50" s="80"/>
      <c r="E50" s="80"/>
      <c r="F50" s="80"/>
      <c r="G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</row>
    <row r="51" spans="3:37" x14ac:dyDescent="0.2">
      <c r="C51" s="102" t="s">
        <v>221</v>
      </c>
      <c r="D51" s="80"/>
      <c r="E51" s="80"/>
      <c r="F51" s="80"/>
      <c r="G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</row>
    <row r="52" spans="3:37" x14ac:dyDescent="0.2">
      <c r="C52" s="102" t="s">
        <v>222</v>
      </c>
      <c r="D52" s="80"/>
      <c r="E52" s="80"/>
      <c r="F52" s="80"/>
      <c r="G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</row>
    <row r="53" spans="3:37" x14ac:dyDescent="0.2">
      <c r="C53" s="102" t="s">
        <v>223</v>
      </c>
      <c r="D53" s="80"/>
      <c r="E53" s="80"/>
      <c r="F53" s="80"/>
      <c r="G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</row>
    <row r="54" spans="3:37" x14ac:dyDescent="0.2">
      <c r="C54" s="80"/>
      <c r="D54" s="80"/>
      <c r="E54" s="80"/>
      <c r="F54" s="80"/>
      <c r="G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</row>
    <row r="58" spans="3:37" ht="14.45" customHeight="1" x14ac:dyDescent="0.2"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spans="3:37" ht="14.45" customHeight="1" x14ac:dyDescent="0.2"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spans="3:37" x14ac:dyDescent="0.2"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</row>
    <row r="61" spans="3:37" x14ac:dyDescent="0.2"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</row>
    <row r="62" spans="3:37" x14ac:dyDescent="0.2"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</row>
    <row r="63" spans="3:37" x14ac:dyDescent="0.2"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</row>
    <row r="64" spans="3:37" x14ac:dyDescent="0.2"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</row>
    <row r="65" spans="2:37" x14ac:dyDescent="0.2"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</row>
    <row r="66" spans="2:37" x14ac:dyDescent="0.2"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</row>
    <row r="67" spans="2:37" x14ac:dyDescent="0.2"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</row>
    <row r="68" spans="2:37" x14ac:dyDescent="0.2"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</row>
    <row r="69" spans="2:37" x14ac:dyDescent="0.2"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</row>
    <row r="70" spans="2:37" x14ac:dyDescent="0.2"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</row>
    <row r="71" spans="2:37" x14ac:dyDescent="0.2"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</row>
    <row r="72" spans="2:37" ht="14.45" customHeight="1" x14ac:dyDescent="0.2"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</row>
    <row r="77" spans="2:37" ht="16.149999999999999" customHeight="1" x14ac:dyDescent="0.2">
      <c r="B77" s="82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D2CA259A-264C-4655-90C0-E967A4858334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01A6E740-28E3-4EF0-BA3E-B3BF4B8CD961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4CCF833C-A36F-4F6F-BE6B-2F9F9EA6EE6F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2D8F1F6B-76B2-4E1B-A48D-5CCC1E47D703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28971941-EF37-4752-A47B-EA32C67CDC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19D02175-B785-4FDD-A283-655EFC06D16D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86F8A2CE-27B2-4823-9FE4-87F8A8D0F913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BE45275-543A-43D1-BFCB-05B1590B7987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D8EE3783-EEC0-404A-B9A3-F83166954C1D}">
          <x14:formula1>
            <xm:f>'Данные организации'!$C$3:$E$3</xm:f>
          </x14:formula1>
          <xm:sqref>B13 B41</xm:sqref>
        </x14:dataValidation>
        <x14:dataValidation type="list" allowBlank="1" showInputMessage="1" showErrorMessage="1" xr:uid="{F73391E4-D04B-44B3-A1A9-EA5D8E31C9E3}">
          <x14:formula1>
            <xm:f>'Данные организации'!$C$2:$E$2</xm:f>
          </x14:formula1>
          <xm:sqref>B12 B40</xm:sqref>
        </x14:dataValidation>
        <x14:dataValidation type="list" allowBlank="1" showInputMessage="1" showErrorMessage="1" xr:uid="{E1294370-1528-43F2-9989-F76148195741}">
          <x14:formula1>
            <xm:f>'Данные организации'!$C$1:$E$1</xm:f>
          </x14:formula1>
          <xm:sqref>B11 B39</xm:sqref>
        </x14:dataValidation>
        <x14:dataValidation type="list" allowBlank="1" showInputMessage="1" showErrorMessage="1" xr:uid="{E4DE5F65-E844-48B1-986A-26A2D48DE81A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426B8465-E934-4C18-915C-218F45ACA6FE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0E5744C3-0ADB-4A17-A276-F08B97838BCD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AAC742B2-110A-4B61-82B6-8EDFA2BA833E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3C52B9D5-CCA7-4E8E-A857-899E36EAE71A}">
          <x14:formula1>
            <xm:f>'Данные организации'!$G$11:$I$11</xm:f>
          </x14:formula1>
          <xm:sqref>B35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Q119"/>
  <sheetViews>
    <sheetView view="pageBreakPreview" topLeftCell="A52" zoomScale="125" zoomScaleNormal="125" zoomScaleSheetLayoutView="125" workbookViewId="0">
      <selection activeCell="AT51" sqref="AT51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1.25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1.25" customHeight="1" x14ac:dyDescent="0.25">
      <c r="A6" s="144" t="s">
        <v>227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3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20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9" t="s">
        <v>59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</row>
    <row r="11" spans="1:43" s="20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9" t="s">
        <v>60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</row>
    <row r="13" spans="1:43" s="20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9" t="s">
        <v>45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6" t="str">
        <f>'Данные объект'!B11</f>
        <v>ООО «Гефест»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9" t="s">
        <v>39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s="20" customFormat="1" ht="12" customHeight="1" x14ac:dyDescent="0.2">
      <c r="A18" s="146" t="str">
        <f>'Данные объект'!B12</f>
        <v>ОГРН 1215000057238 ИНН 5044122213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9" t="s">
        <v>46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s="20" customFormat="1" ht="12" customHeight="1" x14ac:dyDescent="0.2">
      <c r="A20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9" t="s">
        <v>61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6" t="str">
        <f>'Данные объект'!B39</f>
        <v>ООО «Гефест»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9" t="s">
        <v>38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</row>
    <row r="25" spans="1:36" s="20" customFormat="1" ht="12" customHeight="1" x14ac:dyDescent="0.2">
      <c r="A25" s="146" t="str">
        <f>'Данные объект'!B12</f>
        <v>ОГРН 1215000057238 ИНН 5044122213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9" t="s">
        <v>62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</row>
    <row r="27" spans="1:36" s="20" customFormat="1" ht="12" customHeight="1" x14ac:dyDescent="0.2">
      <c r="A27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9" t="s">
        <v>47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52" t="s">
        <v>36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</row>
    <row r="31" spans="1:36" s="20" customFormat="1" ht="12.95" customHeight="1" x14ac:dyDescent="0.2">
      <c r="A31" s="153" t="s">
        <v>19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</row>
    <row r="32" spans="1:36" ht="12.9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36" s="20" customFormat="1" ht="12.95" customHeight="1" x14ac:dyDescent="0.2">
      <c r="A33" s="25"/>
      <c r="B33" s="25" t="s">
        <v>18</v>
      </c>
      <c r="C33" s="134">
        <v>1</v>
      </c>
      <c r="D33" s="134"/>
      <c r="E33" s="154" t="s">
        <v>204</v>
      </c>
      <c r="F33" s="154"/>
      <c r="G33" s="154"/>
      <c r="H33" s="59"/>
      <c r="I33" s="59"/>
      <c r="J33" s="59"/>
      <c r="X33" s="21"/>
      <c r="Y33" s="35"/>
      <c r="Z33" s="35"/>
      <c r="AB33" s="142">
        <f>P79</f>
        <v>45833</v>
      </c>
      <c r="AC33" s="142"/>
      <c r="AD33" s="142"/>
      <c r="AE33" s="142"/>
      <c r="AF33" s="142"/>
      <c r="AG33" s="142"/>
      <c r="AH33" s="142"/>
      <c r="AI33" s="142"/>
    </row>
    <row r="34" spans="1:36" s="23" customFormat="1" ht="12.95" customHeight="1" x14ac:dyDescent="0.15">
      <c r="Y34" s="26"/>
      <c r="AA34" s="26"/>
      <c r="AB34" s="26"/>
      <c r="AC34" s="27" t="s">
        <v>17</v>
      </c>
      <c r="AD34" s="26"/>
      <c r="AE34" s="26"/>
      <c r="AF34" s="26"/>
      <c r="AG34" s="26"/>
      <c r="AH34" s="26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7" t="s">
        <v>48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</row>
    <row r="37" spans="1:36" s="20" customFormat="1" ht="23.25" customHeight="1" x14ac:dyDescent="0.2">
      <c r="A37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</row>
    <row r="38" spans="1:36" ht="28.5" customHeight="1" x14ac:dyDescent="0.25">
      <c r="A38" s="139" t="s">
        <v>152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36" s="20" customFormat="1" ht="24" customHeight="1" x14ac:dyDescent="0.2">
      <c r="A39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</row>
    <row r="40" spans="1:36" ht="25.5" customHeight="1" x14ac:dyDescent="0.25">
      <c r="A40" s="151" t="s">
        <v>49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6" t="str">
        <f>'Данные объект'!C21</f>
        <v>Мастер электромонтажного участка  ООО «Гефест» Красилов К.А..Приказ №01/24-ОТ от 15.01.2024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9" t="s">
        <v>26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</row>
    <row r="44" spans="1:36" s="20" customFormat="1" ht="15" customHeight="1" x14ac:dyDescent="0.2">
      <c r="A44" s="137" t="s">
        <v>50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</row>
    <row r="45" spans="1:36" s="28" customFormat="1" ht="21.75" customHeight="1" x14ac:dyDescent="0.2">
      <c r="A45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</row>
    <row r="46" spans="1:36" ht="30" customHeight="1" x14ac:dyDescent="0.25">
      <c r="A46" s="139" t="s">
        <v>51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</row>
    <row r="47" spans="1:36" ht="11.25" customHeight="1" x14ac:dyDescent="0.25">
      <c r="A47" s="137" t="s">
        <v>206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</row>
    <row r="48" spans="1:36" x14ac:dyDescent="0.25">
      <c r="A48" s="138" t="str">
        <f>'Данные объект'!$C$36</f>
        <v>Мастер СРЭС СЭС филиала ПАО "Россети Московский регион" Курчин М.М.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</row>
    <row r="49" spans="1:36" ht="12.75" customHeight="1" x14ac:dyDescent="0.25">
      <c r="A49" s="139" t="s">
        <v>26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</row>
    <row r="50" spans="1:36" s="20" customFormat="1" ht="38.25" customHeight="1" x14ac:dyDescent="0.2">
      <c r="A50" s="143" t="s">
        <v>52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</row>
    <row r="51" spans="1:36" s="28" customFormat="1" ht="12.95" customHeight="1" x14ac:dyDescent="0.2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</row>
    <row r="52" spans="1:36" ht="29.25" customHeight="1" x14ac:dyDescent="0.25">
      <c r="A52" s="139" t="s">
        <v>53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</row>
    <row r="53" spans="1:36" s="20" customFormat="1" ht="27" hidden="1" customHeight="1" x14ac:dyDescent="0.2">
      <c r="A53" s="143" t="s">
        <v>54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</row>
    <row r="54" spans="1:36" s="20" customFormat="1" ht="12" hidden="1" customHeight="1" x14ac:dyDescent="0.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</row>
    <row r="55" spans="1:36" ht="9.75" hidden="1" customHeight="1" x14ac:dyDescent="0.25">
      <c r="A55" s="139" t="s">
        <v>29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20" customFormat="1" ht="12" hidden="1" customHeight="1" x14ac:dyDescent="0.2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</row>
    <row r="57" spans="1:36" ht="16.5" hidden="1" customHeight="1" x14ac:dyDescent="0.25">
      <c r="A57" s="139" t="s">
        <v>55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4" t="str">
        <f>'Данные объект'!B11</f>
        <v>ООО «Гефест»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ht="10.5" customHeight="1" x14ac:dyDescent="0.25">
      <c r="A60" s="135" t="s">
        <v>40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20.25" customHeight="1" x14ac:dyDescent="0.2">
      <c r="A63" s="147" t="s">
        <v>183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87" t="str">
        <f>A5</f>
        <v>ВЛ-0,4 кВ ф.4 от КТП-2719</v>
      </c>
      <c r="P63" s="87"/>
      <c r="Q63" s="87"/>
      <c r="R63" s="60"/>
      <c r="S63" s="60"/>
      <c r="T63" s="60"/>
      <c r="U63" s="60"/>
      <c r="V63" s="60"/>
      <c r="W63" s="60"/>
      <c r="X63" s="103" t="s">
        <v>250</v>
      </c>
      <c r="Y63" s="103"/>
      <c r="Z63" s="60"/>
      <c r="AA63" s="60"/>
      <c r="AB63" s="29"/>
      <c r="AC63" s="29"/>
      <c r="AD63" s="29"/>
      <c r="AE63" s="29"/>
      <c r="AF63" s="29"/>
      <c r="AG63" s="29"/>
      <c r="AH63" s="29"/>
      <c r="AI63" s="29"/>
      <c r="AJ63" s="29"/>
    </row>
    <row r="64" spans="1:36" ht="8.25" customHeight="1" x14ac:dyDescent="0.25">
      <c r="A64" s="139" t="s">
        <v>14</v>
      </c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</row>
    <row r="65" spans="1:36" s="20" customFormat="1" ht="12" customHeight="1" x14ac:dyDescent="0.2">
      <c r="A65" s="20" t="s">
        <v>13</v>
      </c>
    </row>
    <row r="66" spans="1:36" s="20" customFormat="1" ht="12" customHeight="1" x14ac:dyDescent="0.2">
      <c r="A66" s="138" t="str">
        <f>'Данные объект'!B43</f>
        <v>5019-331208-292-12/24</v>
      </c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</row>
    <row r="67" spans="1:36" ht="15" customHeight="1" x14ac:dyDescent="0.25">
      <c r="A67" s="139" t="s">
        <v>228</v>
      </c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</row>
    <row r="68" spans="1:36" s="20" customFormat="1" ht="12" customHeight="1" x14ac:dyDescent="0.2">
      <c r="A68" s="20" t="s">
        <v>12</v>
      </c>
      <c r="P68" s="134" t="s">
        <v>75</v>
      </c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6" t="s">
        <v>56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</row>
    <row r="70" spans="1:36" s="20" customFormat="1" ht="12" customHeight="1" x14ac:dyDescent="0.2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ht="18.75" customHeight="1" x14ac:dyDescent="0.25">
      <c r="A71" s="139" t="s">
        <v>57</v>
      </c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4" t="s">
        <v>203</v>
      </c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31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31"/>
      <c r="AF73" s="31"/>
      <c r="AG73" s="31"/>
      <c r="AH73" s="31"/>
      <c r="AI73" s="31"/>
      <c r="AJ73" s="31"/>
    </row>
    <row r="74" spans="1:36" ht="7.5" customHeight="1" x14ac:dyDescent="0.25">
      <c r="A74" s="148"/>
      <c r="B74" s="148"/>
      <c r="C74" s="8"/>
      <c r="D74" s="8"/>
      <c r="E74" s="8"/>
      <c r="F74" s="8"/>
      <c r="G74" s="140" t="s">
        <v>9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s="20" customFormat="1" ht="12" customHeight="1" x14ac:dyDescent="0.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</row>
    <row r="76" spans="1:36" ht="7.5" customHeight="1" x14ac:dyDescent="0.25">
      <c r="A76" s="139" t="s">
        <v>31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2"/>
      <c r="E78" s="62"/>
      <c r="F78" s="62"/>
      <c r="G78" s="62"/>
      <c r="L78" s="21"/>
      <c r="M78" s="35"/>
      <c r="N78" s="35"/>
      <c r="P78" s="142">
        <f>'Данные объект'!B6</f>
        <v>45833</v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12" customHeight="1" x14ac:dyDescent="0.2">
      <c r="A79" s="20" t="s">
        <v>7</v>
      </c>
      <c r="D79" s="62"/>
      <c r="E79" s="62"/>
      <c r="F79" s="62"/>
      <c r="G79" s="62"/>
      <c r="L79" s="21"/>
      <c r="M79" s="35"/>
      <c r="N79" s="35"/>
      <c r="P79" s="142">
        <f>'Данные объект'!B7</f>
        <v>45833</v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9" t="s">
        <v>155</v>
      </c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</row>
    <row r="83" spans="1:36" ht="8.25" customHeight="1" x14ac:dyDescent="0.25">
      <c r="A83" s="139" t="s">
        <v>4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s="20" customFormat="1" ht="12" customHeight="1" x14ac:dyDescent="0.2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</row>
    <row r="85" spans="1:36" ht="8.25" customHeight="1" x14ac:dyDescent="0.25">
      <c r="A85" s="139" t="s">
        <v>58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4" t="s">
        <v>90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</row>
    <row r="88" spans="1:36" ht="9" customHeight="1" x14ac:dyDescent="0.25">
      <c r="A88" s="139" t="s">
        <v>32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</row>
    <row r="89" spans="1:36" s="20" customFormat="1" ht="12" customHeight="1" x14ac:dyDescent="0.2">
      <c r="A89" s="20" t="s">
        <v>2</v>
      </c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0" customFormat="1" ht="12" customHeight="1" x14ac:dyDescent="0.2">
      <c r="A91" s="20" t="s">
        <v>98</v>
      </c>
      <c r="H91" s="134"/>
      <c r="I91" s="134"/>
      <c r="J91" s="20" t="s">
        <v>33</v>
      </c>
    </row>
    <row r="92" spans="1:36" ht="4.5" customHeight="1" x14ac:dyDescent="0.25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83</v>
      </c>
      <c r="B94" s="31" t="str">
        <f>G73</f>
        <v>Исполнительная схема устройства опор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75</v>
      </c>
      <c r="S94" s="31" t="s">
        <v>84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85</v>
      </c>
      <c r="B95" s="34">
        <f>U73</f>
        <v>0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75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hidden="1" customHeight="1" x14ac:dyDescent="0.2">
      <c r="A96" s="31" t="s">
        <v>87</v>
      </c>
      <c r="B96" s="31">
        <f>A75</f>
        <v>0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 t="s">
        <v>75</v>
      </c>
      <c r="S96" s="31" t="s">
        <v>84</v>
      </c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9.75" customHeight="1" x14ac:dyDescent="0.25">
      <c r="A97" s="139" t="s">
        <v>0</v>
      </c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0" customFormat="1" ht="12" customHeight="1" x14ac:dyDescent="0.2">
      <c r="A99" s="20" t="s">
        <v>23</v>
      </c>
    </row>
    <row r="100" spans="1:36" s="20" customFormat="1" ht="12" customHeight="1" x14ac:dyDescent="0.2">
      <c r="A100" s="20" t="s">
        <v>24</v>
      </c>
    </row>
    <row r="101" spans="1:36" s="20" customFormat="1" ht="12" customHeight="1" x14ac:dyDescent="0.2">
      <c r="A101" s="134" t="str">
        <f>'Данные объект'!B33</f>
        <v>Алексанян Г.Р.</v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25</v>
      </c>
    </row>
    <row r="104" spans="1:36" s="20" customFormat="1" ht="12" customHeight="1" x14ac:dyDescent="0.2">
      <c r="A104" s="134" t="str">
        <f>'Данные объект'!B20</f>
        <v>Красилов К.А.</v>
      </c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134"/>
      <c r="AC104" s="134"/>
      <c r="AD104" s="134"/>
      <c r="AE104" s="134"/>
      <c r="AF104" s="134"/>
      <c r="AG104" s="134"/>
      <c r="AH104" s="134"/>
      <c r="AI104" s="134"/>
      <c r="AJ104" s="134"/>
    </row>
    <row r="105" spans="1:36" ht="9" customHeight="1" x14ac:dyDescent="0.25">
      <c r="A105" s="135" t="s">
        <v>35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6" t="s">
        <v>34</v>
      </c>
      <c r="AC105" s="136"/>
      <c r="AD105" s="136"/>
      <c r="AE105" s="136"/>
      <c r="AF105" s="136"/>
      <c r="AG105" s="136"/>
      <c r="AH105" s="136"/>
      <c r="AI105" s="136"/>
      <c r="AJ105" s="136"/>
    </row>
    <row r="106" spans="1:36" s="20" customFormat="1" ht="12" customHeight="1" x14ac:dyDescent="0.2">
      <c r="A106" s="20" t="s">
        <v>27</v>
      </c>
    </row>
    <row r="107" spans="1:36" s="20" customFormat="1" ht="12" customHeight="1" x14ac:dyDescent="0.2">
      <c r="A107" s="20" t="s">
        <v>28</v>
      </c>
    </row>
    <row r="108" spans="1:36" s="20" customFormat="1" ht="12" customHeight="1" x14ac:dyDescent="0.2">
      <c r="A108" s="134" t="str">
        <f>'Данные объект'!B17</f>
        <v>Саженова Л.В.</v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ht="12.75" customHeight="1" x14ac:dyDescent="0.25">
      <c r="A110" s="20" t="s">
        <v>205</v>
      </c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8"/>
      <c r="AC110" s="98"/>
      <c r="AD110" s="98"/>
      <c r="AE110" s="98"/>
      <c r="AF110" s="98"/>
      <c r="AG110" s="98"/>
      <c r="AH110" s="98"/>
      <c r="AI110" s="98"/>
      <c r="AJ110" s="98"/>
    </row>
    <row r="111" spans="1:36" ht="13.5" customHeight="1" x14ac:dyDescent="0.25">
      <c r="A111" s="134" t="str">
        <f>'Данные объект'!$B$36</f>
        <v>Курчин М.М.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33.75" customHeight="1" x14ac:dyDescent="0.2">
      <c r="A113" s="143" t="s">
        <v>52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ht="12" customHeight="1" x14ac:dyDescent="0.25">
      <c r="A114" s="141" t="s">
        <v>75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41" t="s">
        <v>75</v>
      </c>
      <c r="AC114" s="141"/>
      <c r="AD114" s="141"/>
      <c r="AE114" s="141"/>
      <c r="AF114" s="141"/>
      <c r="AG114" s="141"/>
      <c r="AH114" s="141"/>
      <c r="AI114" s="141"/>
      <c r="AJ114" s="141"/>
    </row>
    <row r="115" spans="1:36" ht="9" customHeight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s="20" customFormat="1" ht="25.5" hidden="1" customHeight="1" x14ac:dyDescent="0.2">
      <c r="A116" s="143" t="s">
        <v>54</v>
      </c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</row>
    <row r="117" spans="1:36" s="20" customFormat="1" ht="12" hidden="1" customHeight="1" x14ac:dyDescent="0.2">
      <c r="A117" s="134" t="e">
        <f>#REF!</f>
        <v>#REF!</v>
      </c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134"/>
      <c r="AC117" s="134"/>
      <c r="AD117" s="134"/>
      <c r="AE117" s="134"/>
      <c r="AF117" s="134"/>
      <c r="AG117" s="134"/>
      <c r="AH117" s="134"/>
      <c r="AI117" s="134"/>
      <c r="AJ117" s="134"/>
    </row>
    <row r="118" spans="1:36" ht="9" hidden="1" customHeight="1" x14ac:dyDescent="0.25">
      <c r="A118" s="135" t="s">
        <v>35</v>
      </c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6" t="s">
        <v>34</v>
      </c>
      <c r="AC118" s="136"/>
      <c r="AD118" s="136"/>
      <c r="AE118" s="136"/>
      <c r="AF118" s="136"/>
      <c r="AG118" s="136"/>
      <c r="AH118" s="136"/>
      <c r="AI118" s="136"/>
      <c r="AJ118" s="136"/>
    </row>
    <row r="119" spans="1:36" ht="12" customHeight="1" x14ac:dyDescent="0.25"/>
  </sheetData>
  <mergeCells count="101">
    <mergeCell ref="A38:AJ38"/>
    <mergeCell ref="A26:AJ26"/>
    <mergeCell ref="A27:AJ27"/>
    <mergeCell ref="A28:AJ28"/>
    <mergeCell ref="A30:AJ30"/>
    <mergeCell ref="C33:D33"/>
    <mergeCell ref="AB33:AI33"/>
    <mergeCell ref="A31:AJ31"/>
    <mergeCell ref="A37:AJ37"/>
    <mergeCell ref="E33:G33"/>
    <mergeCell ref="A36:AJ36"/>
    <mergeCell ref="A44:AJ44"/>
    <mergeCell ref="A50:AJ50"/>
    <mergeCell ref="A53:AJ53"/>
    <mergeCell ref="A45:AJ45"/>
    <mergeCell ref="A46:AJ46"/>
    <mergeCell ref="A51:AJ51"/>
    <mergeCell ref="A42:AJ42"/>
    <mergeCell ref="A39:AJ39"/>
    <mergeCell ref="A40:AJ40"/>
    <mergeCell ref="AB101:AJ101"/>
    <mergeCell ref="A101:O101"/>
    <mergeCell ref="A82:AJ82"/>
    <mergeCell ref="A104:O104"/>
    <mergeCell ref="L89:AJ89"/>
    <mergeCell ref="A97:AJ97"/>
    <mergeCell ref="A83:AJ83"/>
    <mergeCell ref="A84:AJ84"/>
    <mergeCell ref="H91:I91"/>
    <mergeCell ref="AB102:AJ102"/>
    <mergeCell ref="A102:O102"/>
    <mergeCell ref="AB104:AJ104"/>
    <mergeCell ref="P69:AJ69"/>
    <mergeCell ref="A71:AJ71"/>
    <mergeCell ref="A74:B74"/>
    <mergeCell ref="G74:AJ74"/>
    <mergeCell ref="A88:AJ88"/>
    <mergeCell ref="A75:AJ75"/>
    <mergeCell ref="A76:AJ76"/>
    <mergeCell ref="A87:AJ87"/>
    <mergeCell ref="A85:AJ85"/>
    <mergeCell ref="A60:AJ60"/>
    <mergeCell ref="A59:AJ59"/>
    <mergeCell ref="A52:AJ52"/>
    <mergeCell ref="A54:AJ54"/>
    <mergeCell ref="A55:AJ55"/>
    <mergeCell ref="A56:AJ56"/>
    <mergeCell ref="A57:AJ57"/>
    <mergeCell ref="P68:AJ68"/>
    <mergeCell ref="A63:N63"/>
    <mergeCell ref="A64:AJ64"/>
    <mergeCell ref="A66:AJ66"/>
    <mergeCell ref="A67:AJ67"/>
    <mergeCell ref="A117:O117"/>
    <mergeCell ref="AB117:AJ117"/>
    <mergeCell ref="A118:O118"/>
    <mergeCell ref="AB118:AJ118"/>
    <mergeCell ref="A116:AJ116"/>
    <mergeCell ref="A4:AJ4"/>
    <mergeCell ref="A5:AJ5"/>
    <mergeCell ref="A6:AJ6"/>
    <mergeCell ref="A9:AJ9"/>
    <mergeCell ref="A10:AJ10"/>
    <mergeCell ref="A7:AJ8"/>
    <mergeCell ref="A11:AJ11"/>
    <mergeCell ref="A12:AJ12"/>
    <mergeCell ref="A16:AJ16"/>
    <mergeCell ref="A17:AJ17"/>
    <mergeCell ref="A18:AJ18"/>
    <mergeCell ref="A21:AJ21"/>
    <mergeCell ref="A24:AJ24"/>
    <mergeCell ref="A25:AJ25"/>
    <mergeCell ref="A13:AJ13"/>
    <mergeCell ref="A14:AJ14"/>
    <mergeCell ref="A23:AJ23"/>
    <mergeCell ref="A19:AJ19"/>
    <mergeCell ref="A20:AJ20"/>
    <mergeCell ref="A111:O111"/>
    <mergeCell ref="AB111:AJ111"/>
    <mergeCell ref="A112:O112"/>
    <mergeCell ref="AB112:AJ112"/>
    <mergeCell ref="A47:AJ47"/>
    <mergeCell ref="A48:AJ48"/>
    <mergeCell ref="A49:AJ49"/>
    <mergeCell ref="A43:AJ43"/>
    <mergeCell ref="A115:O115"/>
    <mergeCell ref="AB115:AJ115"/>
    <mergeCell ref="A108:O108"/>
    <mergeCell ref="AB108:AJ108"/>
    <mergeCell ref="A109:O109"/>
    <mergeCell ref="AB109:AJ109"/>
    <mergeCell ref="A114:O114"/>
    <mergeCell ref="AB114:AJ114"/>
    <mergeCell ref="P78:W78"/>
    <mergeCell ref="P79:W79"/>
    <mergeCell ref="G73:S73"/>
    <mergeCell ref="U73:AD73"/>
    <mergeCell ref="A105:O105"/>
    <mergeCell ref="AB105:AJ105"/>
    <mergeCell ref="A113:AJ113"/>
    <mergeCell ref="A70:AJ7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Q120"/>
  <sheetViews>
    <sheetView view="pageBreakPreview" topLeftCell="A76" zoomScale="125" zoomScaleNormal="125" zoomScaleSheetLayoutView="125" workbookViewId="0">
      <selection activeCell="AU63" sqref="AU63"/>
    </sheetView>
  </sheetViews>
  <sheetFormatPr defaultColWidth="10.6640625" defaultRowHeight="15" x14ac:dyDescent="0.25"/>
  <cols>
    <col min="1" max="8" width="2.83203125" style="1" customWidth="1"/>
    <col min="9" max="10" width="4" style="1" customWidth="1"/>
    <col min="11" max="11" width="5.1640625" style="1" customWidth="1"/>
    <col min="12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1.25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0.5" customHeight="1" x14ac:dyDescent="0.25">
      <c r="A6" s="144" t="s">
        <v>227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3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</row>
    <row r="9" spans="1:43" s="20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9" t="s">
        <v>59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</row>
    <row r="11" spans="1:43" s="20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9" t="s">
        <v>60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</row>
    <row r="13" spans="1:43" s="20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9" t="s">
        <v>45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</row>
    <row r="15" spans="1:43" s="20" customFormat="1" ht="12" customHeight="1" x14ac:dyDescent="0.2">
      <c r="A15" s="20" t="s">
        <v>22</v>
      </c>
    </row>
    <row r="16" spans="1:43" s="20" customFormat="1" ht="12" customHeight="1" x14ac:dyDescent="0.2">
      <c r="A16" s="146" t="str">
        <f>'Данные объект'!B11</f>
        <v>ООО «Гефест»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9" t="s">
        <v>39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s="20" customFormat="1" ht="12" customHeight="1" x14ac:dyDescent="0.2">
      <c r="A18" s="146" t="str">
        <f>'Данные объект'!B12</f>
        <v>ОГРН 1215000057238 ИНН 5044122213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9" t="s">
        <v>46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s="20" customFormat="1" ht="12" customHeight="1" x14ac:dyDescent="0.2">
      <c r="A20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9" t="s">
        <v>61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</row>
    <row r="22" spans="1:36" s="20" customFormat="1" ht="12" customHeight="1" x14ac:dyDescent="0.2">
      <c r="A22" s="20" t="s">
        <v>20</v>
      </c>
    </row>
    <row r="23" spans="1:36" s="20" customFormat="1" ht="12" customHeight="1" x14ac:dyDescent="0.2">
      <c r="A23" s="146" t="str">
        <f>'Данные объект'!B39</f>
        <v>ООО «Гефест»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9" t="s">
        <v>38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</row>
    <row r="25" spans="1:36" s="20" customFormat="1" ht="12" customHeight="1" x14ac:dyDescent="0.2">
      <c r="A25" s="146" t="str">
        <f>'Данные объект'!B12</f>
        <v>ОГРН 1215000057238 ИНН 5044122213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9" t="s">
        <v>62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</row>
    <row r="27" spans="1:36" s="20" customFormat="1" ht="12" customHeight="1" x14ac:dyDescent="0.2">
      <c r="A27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9" t="s">
        <v>47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0" customFormat="1" ht="12.95" customHeight="1" x14ac:dyDescent="0.2">
      <c r="A30" s="152" t="s">
        <v>36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</row>
    <row r="31" spans="1:36" s="20" customFormat="1" ht="12.95" customHeight="1" x14ac:dyDescent="0.2">
      <c r="A31" s="153" t="s">
        <v>19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</row>
    <row r="32" spans="1:36" s="20" customFormat="1" ht="12.95" customHeigh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36" s="20" customFormat="1" ht="12.95" customHeight="1" x14ac:dyDescent="0.2">
      <c r="A33" s="25"/>
      <c r="B33" s="25" t="s">
        <v>18</v>
      </c>
      <c r="C33" s="134">
        <f>'АОСР-1'!C33+1</f>
        <v>2</v>
      </c>
      <c r="D33" s="134"/>
      <c r="E33" s="134" t="str">
        <f>'АОСР-1'!E33</f>
        <v>/ВЛЗ</v>
      </c>
      <c r="F33" s="134"/>
      <c r="G33" s="134"/>
      <c r="H33" s="59"/>
      <c r="I33" s="59"/>
      <c r="J33" s="59"/>
      <c r="X33" s="21"/>
      <c r="Y33" s="35"/>
      <c r="Z33" s="35"/>
      <c r="AB33" s="142">
        <f>P79</f>
        <v>45833</v>
      </c>
      <c r="AC33" s="142"/>
      <c r="AD33" s="142"/>
      <c r="AE33" s="142"/>
      <c r="AF33" s="142"/>
      <c r="AG33" s="142"/>
      <c r="AH33" s="142"/>
      <c r="AI33" s="142"/>
    </row>
    <row r="34" spans="1:36" ht="12.95" customHeight="1" x14ac:dyDescent="0.25">
      <c r="Y34" s="11"/>
      <c r="AA34" s="11"/>
      <c r="AB34" s="11"/>
      <c r="AC34" s="11"/>
      <c r="AD34" s="27" t="s">
        <v>17</v>
      </c>
      <c r="AE34" s="11"/>
      <c r="AF34" s="11"/>
      <c r="AG34" s="11"/>
      <c r="AH34" s="11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0" customFormat="1" ht="27.75" customHeight="1" x14ac:dyDescent="0.2">
      <c r="A36" s="137" t="s">
        <v>48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</row>
    <row r="37" spans="1:36" s="20" customFormat="1" ht="23.25" customHeight="1" x14ac:dyDescent="0.2">
      <c r="A37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</row>
    <row r="38" spans="1:36" ht="28.5" customHeight="1" x14ac:dyDescent="0.25">
      <c r="A38" s="139" t="s">
        <v>152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</row>
    <row r="39" spans="1:36" s="20" customFormat="1" ht="24" customHeight="1" x14ac:dyDescent="0.2">
      <c r="A39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</row>
    <row r="40" spans="1:36" ht="25.5" customHeight="1" x14ac:dyDescent="0.25">
      <c r="A40" s="151" t="s">
        <v>49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</row>
    <row r="41" spans="1:36" s="20" customFormat="1" ht="12" customHeight="1" x14ac:dyDescent="0.2">
      <c r="A41" s="20" t="s">
        <v>25</v>
      </c>
    </row>
    <row r="42" spans="1:36" s="20" customFormat="1" ht="12" customHeight="1" x14ac:dyDescent="0.2">
      <c r="A42" s="146" t="str">
        <f>'Данные объект'!C21</f>
        <v>Мастер электромонтажного участка  ООО «Гефест» Красилов К.А..Приказ №01/24-ОТ от 15.01.2024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9" t="s">
        <v>26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</row>
    <row r="44" spans="1:36" s="20" customFormat="1" ht="15" customHeight="1" x14ac:dyDescent="0.2">
      <c r="A44" s="137" t="s">
        <v>50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</row>
    <row r="45" spans="1:36" s="28" customFormat="1" ht="24.75" customHeight="1" x14ac:dyDescent="0.2">
      <c r="A45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</row>
    <row r="46" spans="1:36" ht="30" customHeight="1" x14ac:dyDescent="0.25">
      <c r="A46" s="139" t="s">
        <v>51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</row>
    <row r="47" spans="1:36" ht="12" customHeight="1" x14ac:dyDescent="0.25">
      <c r="A47" s="137" t="s">
        <v>206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</row>
    <row r="48" spans="1:36" ht="15" customHeight="1" x14ac:dyDescent="0.25">
      <c r="A48" s="138" t="str">
        <f>'Данные объект'!$C$36</f>
        <v>Мастер СРЭС СЭС филиала ПАО "Россети Московский регион" Курчин М.М.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</row>
    <row r="49" spans="1:36" ht="9.75" customHeight="1" x14ac:dyDescent="0.25">
      <c r="A49" s="139" t="s">
        <v>26</v>
      </c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</row>
    <row r="50" spans="1:36" s="20" customFormat="1" ht="38.25" customHeight="1" x14ac:dyDescent="0.2">
      <c r="A50" s="143" t="s">
        <v>52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</row>
    <row r="51" spans="1:36" s="28" customFormat="1" ht="12.95" customHeight="1" x14ac:dyDescent="0.2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</row>
    <row r="52" spans="1:36" ht="29.25" customHeight="1" x14ac:dyDescent="0.25">
      <c r="A52" s="139" t="s">
        <v>53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</row>
    <row r="53" spans="1:36" s="20" customFormat="1" ht="27" hidden="1" customHeight="1" x14ac:dyDescent="0.2">
      <c r="A53" s="143" t="s">
        <v>54</v>
      </c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</row>
    <row r="54" spans="1:36" s="20" customFormat="1" ht="12" hidden="1" customHeight="1" x14ac:dyDescent="0.2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</row>
    <row r="55" spans="1:36" ht="9.75" hidden="1" customHeight="1" x14ac:dyDescent="0.25">
      <c r="A55" s="139" t="s">
        <v>29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</row>
    <row r="56" spans="1:36" s="20" customFormat="1" ht="12" hidden="1" customHeight="1" x14ac:dyDescent="0.2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</row>
    <row r="57" spans="1:36" ht="16.5" hidden="1" customHeight="1" x14ac:dyDescent="0.25">
      <c r="A57" s="139" t="s">
        <v>55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</row>
    <row r="58" spans="1:36" s="20" customFormat="1" ht="12" customHeight="1" x14ac:dyDescent="0.2">
      <c r="A58" s="20" t="s">
        <v>16</v>
      </c>
    </row>
    <row r="59" spans="1:36" s="20" customFormat="1" ht="12.95" customHeight="1" x14ac:dyDescent="0.2">
      <c r="A59" s="134" t="str">
        <f>'Данные объект'!B11</f>
        <v>ООО «Гефест»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</row>
    <row r="60" spans="1:36" ht="10.5" customHeight="1" x14ac:dyDescent="0.25">
      <c r="A60" s="135" t="s">
        <v>40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</row>
    <row r="61" spans="1:36" s="20" customFormat="1" ht="12" customHeight="1" x14ac:dyDescent="0.2">
      <c r="A61" s="20" t="s">
        <v>15</v>
      </c>
    </row>
    <row r="62" spans="1:36" s="20" customFormat="1" ht="12" customHeight="1" x14ac:dyDescent="0.2">
      <c r="A62" s="20" t="s">
        <v>30</v>
      </c>
    </row>
    <row r="63" spans="1:36" s="20" customFormat="1" ht="22.5" customHeight="1" x14ac:dyDescent="0.2">
      <c r="A63" s="87" t="s">
        <v>184</v>
      </c>
      <c r="B63" s="87"/>
      <c r="C63" s="87"/>
      <c r="D63" s="87"/>
      <c r="E63" s="87"/>
      <c r="F63" s="87"/>
      <c r="G63" s="87"/>
      <c r="H63" s="87"/>
      <c r="I63" s="156" t="str">
        <f>'АОСР-1'!O63</f>
        <v>ВЛ-0,4 кВ ф.4 от КТП-2719</v>
      </c>
      <c r="J63" s="156"/>
      <c r="K63" s="156"/>
      <c r="L63" s="87" t="s">
        <v>185</v>
      </c>
      <c r="M63" s="87"/>
      <c r="N63" s="87"/>
      <c r="O63" s="87"/>
      <c r="P63" s="157">
        <v>4</v>
      </c>
      <c r="Q63" s="157"/>
      <c r="R63" s="157"/>
      <c r="S63" s="103" t="s">
        <v>186</v>
      </c>
      <c r="T63" s="104"/>
      <c r="U63" s="105" t="s">
        <v>229</v>
      </c>
      <c r="V63" s="105">
        <v>7</v>
      </c>
      <c r="W63" s="161" t="s">
        <v>187</v>
      </c>
      <c r="X63" s="161"/>
      <c r="Y63" s="161"/>
      <c r="Z63" s="161"/>
      <c r="AA63" s="161"/>
      <c r="AB63" s="88"/>
      <c r="AC63" s="88"/>
      <c r="AD63" s="88"/>
      <c r="AE63" s="88"/>
      <c r="AF63" s="88"/>
      <c r="AG63" s="88"/>
      <c r="AH63" s="88"/>
      <c r="AI63" s="88"/>
      <c r="AJ63" s="88"/>
    </row>
    <row r="64" spans="1:36" ht="8.25" customHeight="1" x14ac:dyDescent="0.25">
      <c r="A64" s="158" t="s">
        <v>14</v>
      </c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</row>
    <row r="65" spans="1:36" s="20" customFormat="1" ht="12" customHeight="1" x14ac:dyDescent="0.2">
      <c r="A65" s="89" t="s">
        <v>13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</row>
    <row r="66" spans="1:36" s="20" customFormat="1" ht="12" customHeight="1" x14ac:dyDescent="0.2">
      <c r="A66" s="156" t="str">
        <f>'Данные объект'!B43</f>
        <v>5019-331208-292-12/24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</row>
    <row r="67" spans="1:36" ht="15" customHeight="1" x14ac:dyDescent="0.25">
      <c r="A67" s="158" t="s">
        <v>228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</row>
    <row r="68" spans="1:36" s="20" customFormat="1" ht="12" customHeight="1" x14ac:dyDescent="0.2">
      <c r="A68" s="89" t="s">
        <v>12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s="2" customFormat="1" ht="7.5" customHeight="1" x14ac:dyDescent="0.2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160" t="s">
        <v>56</v>
      </c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</row>
    <row r="70" spans="1:36" s="20" customFormat="1" ht="12" customHeight="1" x14ac:dyDescent="0.2">
      <c r="A70" s="155" t="s">
        <v>91</v>
      </c>
      <c r="B70" s="155"/>
      <c r="C70" s="155"/>
      <c r="D70" s="157" t="s">
        <v>160</v>
      </c>
      <c r="E70" s="157"/>
      <c r="F70" s="157"/>
      <c r="G70" s="88" t="s">
        <v>75</v>
      </c>
      <c r="H70" s="156">
        <f>V63</f>
        <v>7</v>
      </c>
      <c r="I70" s="156"/>
      <c r="J70" s="156"/>
      <c r="K70" s="119" t="s">
        <v>92</v>
      </c>
      <c r="L70" s="91" t="s">
        <v>202</v>
      </c>
      <c r="M70" s="103" t="s">
        <v>211</v>
      </c>
      <c r="N70" s="107"/>
      <c r="O70" s="103"/>
      <c r="P70" s="103"/>
      <c r="Q70" s="103"/>
      <c r="R70" s="103"/>
      <c r="S70" s="87"/>
      <c r="T70" s="87"/>
      <c r="U70" s="87"/>
      <c r="V70" s="87"/>
      <c r="W70" s="87"/>
      <c r="X70" s="61"/>
      <c r="Y70" s="87"/>
      <c r="Z70" s="87"/>
      <c r="AA70" s="87"/>
      <c r="AB70" s="87"/>
      <c r="AC70" s="87"/>
      <c r="AD70" s="87"/>
      <c r="AE70" s="87"/>
      <c r="AF70" s="87"/>
      <c r="AG70" s="87"/>
      <c r="AH70" s="88"/>
      <c r="AI70" s="88"/>
      <c r="AJ70" s="88"/>
    </row>
    <row r="71" spans="1:36" ht="18.75" customHeight="1" x14ac:dyDescent="0.25">
      <c r="A71" s="158" t="s">
        <v>57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</row>
    <row r="72" spans="1:36" s="20" customFormat="1" ht="12" customHeight="1" x14ac:dyDescent="0.2">
      <c r="A72" s="20" t="s">
        <v>11</v>
      </c>
    </row>
    <row r="73" spans="1:36" s="20" customFormat="1" ht="12" customHeight="1" x14ac:dyDescent="0.2">
      <c r="A73" s="20" t="s">
        <v>10</v>
      </c>
      <c r="G73" s="134" t="s">
        <v>89</v>
      </c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31" t="s">
        <v>88</v>
      </c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31"/>
      <c r="AJ73" s="31"/>
    </row>
    <row r="74" spans="1:36" ht="7.5" customHeight="1" x14ac:dyDescent="0.25">
      <c r="A74" s="148"/>
      <c r="B74" s="148"/>
      <c r="C74" s="8"/>
      <c r="D74" s="8"/>
      <c r="E74" s="8"/>
      <c r="F74" s="8"/>
      <c r="G74" s="140" t="s">
        <v>9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s="20" customFormat="1" ht="12" customHeight="1" x14ac:dyDescent="0.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</row>
    <row r="76" spans="1:36" ht="7.5" customHeight="1" x14ac:dyDescent="0.25">
      <c r="A76" s="139" t="s">
        <v>31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0" customFormat="1" ht="12" customHeight="1" x14ac:dyDescent="0.2">
      <c r="A78" s="20" t="s">
        <v>8</v>
      </c>
      <c r="D78" s="62"/>
      <c r="E78" s="62"/>
      <c r="F78" s="62"/>
      <c r="G78" s="62"/>
      <c r="L78" s="21"/>
      <c r="M78" s="35"/>
      <c r="N78" s="35"/>
      <c r="P78" s="142">
        <f>'Данные объект'!B6</f>
        <v>45833</v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12" customHeight="1" x14ac:dyDescent="0.2">
      <c r="A79" s="20" t="s">
        <v>7</v>
      </c>
      <c r="D79" s="62"/>
      <c r="E79" s="62"/>
      <c r="F79" s="62"/>
      <c r="G79" s="62"/>
      <c r="L79" s="21"/>
      <c r="M79" s="35"/>
      <c r="N79" s="35"/>
      <c r="P79" s="142">
        <f>'Данные объект'!B7</f>
        <v>45833</v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7.5" customHeight="1" x14ac:dyDescent="0.2">
      <c r="A80" s="32"/>
      <c r="B80" s="32"/>
      <c r="C80" s="32"/>
      <c r="D80" s="33"/>
      <c r="E80" s="33"/>
      <c r="F80" s="33"/>
      <c r="G80" s="33"/>
    </row>
    <row r="81" spans="1:36" s="20" customFormat="1" ht="12" customHeight="1" x14ac:dyDescent="0.2">
      <c r="A81" s="20" t="s">
        <v>5</v>
      </c>
    </row>
    <row r="82" spans="1:36" s="20" customFormat="1" ht="12" customHeight="1" x14ac:dyDescent="0.2">
      <c r="A82" s="149" t="s">
        <v>155</v>
      </c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</row>
    <row r="83" spans="1:36" ht="8.25" customHeight="1" x14ac:dyDescent="0.25">
      <c r="A83" s="139" t="s">
        <v>4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s="20" customFormat="1" ht="12" customHeight="1" x14ac:dyDescent="0.2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</row>
    <row r="85" spans="1:36" ht="8.25" customHeight="1" x14ac:dyDescent="0.25">
      <c r="A85" s="139" t="s">
        <v>58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s="20" customFormat="1" ht="12" customHeight="1" x14ac:dyDescent="0.2">
      <c r="A86" s="20" t="s">
        <v>3</v>
      </c>
    </row>
    <row r="87" spans="1:36" s="20" customFormat="1" ht="12" customHeight="1" x14ac:dyDescent="0.2">
      <c r="A87" s="134" t="s">
        <v>99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</row>
    <row r="88" spans="1:36" ht="9" customHeight="1" x14ac:dyDescent="0.25">
      <c r="A88" s="139" t="s">
        <v>32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</row>
    <row r="89" spans="1:36" s="20" customFormat="1" ht="12" customHeight="1" x14ac:dyDescent="0.2">
      <c r="A89" s="20" t="s">
        <v>2</v>
      </c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</row>
    <row r="90" spans="1:36" s="20" customFormat="1" ht="6" customHeight="1" x14ac:dyDescent="0.2">
      <c r="D90" s="36"/>
      <c r="E90" s="36"/>
      <c r="F90" s="36"/>
      <c r="G90" s="36"/>
      <c r="H90" s="36"/>
      <c r="I90" s="36"/>
      <c r="J90" s="36"/>
    </row>
    <row r="91" spans="1:36" s="20" customFormat="1" ht="12" customHeight="1" x14ac:dyDescent="0.2">
      <c r="A91" s="20" t="s">
        <v>98</v>
      </c>
      <c r="H91" s="134"/>
      <c r="I91" s="134"/>
      <c r="J91" s="20" t="s">
        <v>33</v>
      </c>
    </row>
    <row r="92" spans="1:36" s="20" customFormat="1" ht="4.5" customHeight="1" x14ac:dyDescent="0.2"/>
    <row r="93" spans="1:36" s="20" customFormat="1" ht="12" customHeight="1" x14ac:dyDescent="0.2">
      <c r="A93" s="20" t="s">
        <v>1</v>
      </c>
    </row>
    <row r="94" spans="1:36" s="20" customFormat="1" ht="12" customHeight="1" x14ac:dyDescent="0.2">
      <c r="A94" s="31" t="s">
        <v>83</v>
      </c>
      <c r="B94" s="31" t="str">
        <f>G73</f>
        <v>Исполнительная поопорная схема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 t="s">
        <v>75</v>
      </c>
      <c r="S94" s="31" t="s">
        <v>84</v>
      </c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hidden="1" customHeight="1" x14ac:dyDescent="0.2">
      <c r="A95" s="34" t="s">
        <v>85</v>
      </c>
      <c r="B95" s="34">
        <f>U73</f>
        <v>0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75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4" t="s">
        <v>85</v>
      </c>
      <c r="B96" s="37" t="str">
        <f>M70</f>
        <v>Паспорт №3014 от 13.02.2024г.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/>
      <c r="R96" s="34" t="s">
        <v>75</v>
      </c>
      <c r="S96" s="34" t="s">
        <v>84</v>
      </c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0" customFormat="1" ht="12" hidden="1" customHeight="1" x14ac:dyDescent="0.2">
      <c r="A97" s="34" t="s">
        <v>93</v>
      </c>
      <c r="B97" s="37" t="s">
        <v>94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4"/>
      <c r="R97" s="34" t="s">
        <v>75</v>
      </c>
      <c r="S97" s="34" t="s">
        <v>84</v>
      </c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8.4499999999999993" customHeight="1" x14ac:dyDescent="0.25">
      <c r="A98" s="139" t="s">
        <v>0</v>
      </c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s="20" customFormat="1" ht="12" customHeight="1" x14ac:dyDescent="0.2">
      <c r="A102" s="134" t="str">
        <f>'Данные объект'!B33</f>
        <v>Алексанян Г.Р.</v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25</v>
      </c>
    </row>
    <row r="105" spans="1:36" s="20" customFormat="1" ht="12" customHeight="1" x14ac:dyDescent="0.2">
      <c r="A105" s="134" t="str">
        <f>'Данные объект'!B20</f>
        <v>Красилов К.А.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s="20" customFormat="1" ht="11.25" x14ac:dyDescent="0.2">
      <c r="A109" s="134" t="str">
        <f>'Данные объект'!B17</f>
        <v>Саженова Л.В.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ht="9" customHeight="1" x14ac:dyDescent="0.25">
      <c r="A111" s="20" t="s">
        <v>205</v>
      </c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8"/>
      <c r="AC111" s="98"/>
      <c r="AD111" s="98"/>
      <c r="AE111" s="98"/>
      <c r="AF111" s="98"/>
      <c r="AG111" s="98"/>
      <c r="AH111" s="98"/>
      <c r="AI111" s="98"/>
      <c r="AJ111" s="98"/>
    </row>
    <row r="112" spans="1:36" x14ac:dyDescent="0.25">
      <c r="A112" s="134" t="str">
        <f>'Данные объект'!$B$36</f>
        <v>Курчин М.М.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/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37.5" customHeight="1" x14ac:dyDescent="0.2">
      <c r="A114" s="143" t="s">
        <v>52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2" customHeight="1" x14ac:dyDescent="0.2">
      <c r="A115" s="134" t="s">
        <v>75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 t="s">
        <v>75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ht="9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s="20" customFormat="1" ht="24" hidden="1" customHeight="1" x14ac:dyDescent="0.2">
      <c r="A117" s="143" t="s">
        <v>54</v>
      </c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</row>
    <row r="118" spans="1:36" s="20" customFormat="1" ht="12" hidden="1" customHeight="1" x14ac:dyDescent="0.2">
      <c r="A118" s="134" t="e">
        <f>#REF!</f>
        <v>#REF!</v>
      </c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134"/>
      <c r="AC118" s="134"/>
      <c r="AD118" s="134"/>
      <c r="AE118" s="134"/>
      <c r="AF118" s="134"/>
      <c r="AG118" s="134"/>
      <c r="AH118" s="134"/>
      <c r="AI118" s="134"/>
      <c r="AJ118" s="134"/>
    </row>
    <row r="119" spans="1:36" ht="9" hidden="1" customHeight="1" x14ac:dyDescent="0.25">
      <c r="A119" s="135" t="s">
        <v>35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6" t="s">
        <v>34</v>
      </c>
      <c r="AC119" s="136"/>
      <c r="AD119" s="136"/>
      <c r="AE119" s="136"/>
      <c r="AF119" s="136"/>
      <c r="AG119" s="136"/>
      <c r="AH119" s="136"/>
      <c r="AI119" s="136"/>
      <c r="AJ119" s="136"/>
    </row>
    <row r="120" spans="1:36" ht="12" customHeight="1" x14ac:dyDescent="0.25"/>
  </sheetData>
  <mergeCells count="105">
    <mergeCell ref="W63:AA63"/>
    <mergeCell ref="A10:AJ10"/>
    <mergeCell ref="A11:AJ11"/>
    <mergeCell ref="A12:AJ12"/>
    <mergeCell ref="A13:AJ13"/>
    <mergeCell ref="A14:AJ14"/>
    <mergeCell ref="A4:AJ4"/>
    <mergeCell ref="A5:AJ5"/>
    <mergeCell ref="A6:AJ6"/>
    <mergeCell ref="A7:AJ8"/>
    <mergeCell ref="A9:AJ9"/>
    <mergeCell ref="A16:AJ16"/>
    <mergeCell ref="A17:AJ17"/>
    <mergeCell ref="A31:AJ31"/>
    <mergeCell ref="A18:AJ18"/>
    <mergeCell ref="A19:AJ19"/>
    <mergeCell ref="A20:AJ20"/>
    <mergeCell ref="A21:AJ21"/>
    <mergeCell ref="A23:AJ23"/>
    <mergeCell ref="A24:AJ24"/>
    <mergeCell ref="A38:AJ38"/>
    <mergeCell ref="A39:AJ39"/>
    <mergeCell ref="A40:AJ40"/>
    <mergeCell ref="A42:AJ42"/>
    <mergeCell ref="A43:AJ43"/>
    <mergeCell ref="A36:AJ36"/>
    <mergeCell ref="A37:AJ37"/>
    <mergeCell ref="A25:AJ25"/>
    <mergeCell ref="A26:AJ26"/>
    <mergeCell ref="A27:AJ27"/>
    <mergeCell ref="A28:AJ28"/>
    <mergeCell ref="A30:AJ30"/>
    <mergeCell ref="E33:G33"/>
    <mergeCell ref="C33:D33"/>
    <mergeCell ref="AB33:AI33"/>
    <mergeCell ref="A67:AJ67"/>
    <mergeCell ref="P68:AJ68"/>
    <mergeCell ref="P69:AJ69"/>
    <mergeCell ref="A71:AJ71"/>
    <mergeCell ref="P63:R63"/>
    <mergeCell ref="A64:AJ64"/>
    <mergeCell ref="A66:AJ66"/>
    <mergeCell ref="A44:AJ44"/>
    <mergeCell ref="A60:AJ60"/>
    <mergeCell ref="I63:K63"/>
    <mergeCell ref="A45:AJ45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47:AJ47"/>
    <mergeCell ref="A48:AJ48"/>
    <mergeCell ref="A49:AJ49"/>
    <mergeCell ref="P79:W79"/>
    <mergeCell ref="A76:AJ76"/>
    <mergeCell ref="A83:AJ83"/>
    <mergeCell ref="A84:AJ84"/>
    <mergeCell ref="A82:AJ82"/>
    <mergeCell ref="A74:B74"/>
    <mergeCell ref="G74:AJ74"/>
    <mergeCell ref="A70:C70"/>
    <mergeCell ref="A75:AJ75"/>
    <mergeCell ref="P78:W78"/>
    <mergeCell ref="H70:J70"/>
    <mergeCell ref="U73:AH73"/>
    <mergeCell ref="D70:F70"/>
    <mergeCell ref="G73:S73"/>
    <mergeCell ref="A118:O118"/>
    <mergeCell ref="AB118:AJ118"/>
    <mergeCell ref="A119:O119"/>
    <mergeCell ref="AB119:AJ119"/>
    <mergeCell ref="A109:O109"/>
    <mergeCell ref="AB109:AJ109"/>
    <mergeCell ref="A110:O110"/>
    <mergeCell ref="AB110:AJ110"/>
    <mergeCell ref="A114:AJ114"/>
    <mergeCell ref="A116:O116"/>
    <mergeCell ref="AB116:AJ116"/>
    <mergeCell ref="A115:O115"/>
    <mergeCell ref="AB115:AJ115"/>
    <mergeCell ref="A117:AJ117"/>
    <mergeCell ref="A85:AJ85"/>
    <mergeCell ref="A87:AJ87"/>
    <mergeCell ref="AB103:AJ103"/>
    <mergeCell ref="A88:AJ88"/>
    <mergeCell ref="A106:O106"/>
    <mergeCell ref="A112:O112"/>
    <mergeCell ref="AB112:AJ112"/>
    <mergeCell ref="A113:O113"/>
    <mergeCell ref="AB113:AJ113"/>
    <mergeCell ref="AB106:AJ106"/>
    <mergeCell ref="L89:AJ89"/>
    <mergeCell ref="H91:I91"/>
    <mergeCell ref="A98:AJ98"/>
    <mergeCell ref="A102:O102"/>
    <mergeCell ref="AB102:AJ102"/>
    <mergeCell ref="A103:O103"/>
    <mergeCell ref="A105:O105"/>
    <mergeCell ref="AB105:AJ105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A3387E-3E2F-4AD1-A349-FBEED0BFB63B}">
          <x14:formula1>
            <xm:f>'данные строй'!$A$3:$A$4</xm:f>
          </x14:formula1>
          <xm:sqref>D70:F70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Q117"/>
  <sheetViews>
    <sheetView view="pageBreakPreview" topLeftCell="A51" zoomScale="125" zoomScaleNormal="125" zoomScaleSheetLayoutView="125" workbookViewId="0">
      <selection activeCell="T62" sqref="T62"/>
    </sheetView>
  </sheetViews>
  <sheetFormatPr defaultColWidth="10.6640625" defaultRowHeight="15" x14ac:dyDescent="0.25"/>
  <cols>
    <col min="1" max="12" width="2.83203125" style="1" customWidth="1"/>
    <col min="13" max="13" width="4.6640625" style="1" customWidth="1"/>
    <col min="14" max="14" width="5.1640625" style="1" customWidth="1"/>
    <col min="15" max="15" width="5" style="1" customWidth="1"/>
    <col min="16" max="16" width="2.1640625" style="1" customWidth="1"/>
    <col min="17" max="17" width="5" style="1" customWidth="1"/>
    <col min="1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4.25" customHeight="1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1.25" customHeight="1" x14ac:dyDescent="0.25">
      <c r="A6" s="144" t="s">
        <v>227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  <v>ПАО "Россети Московский регион"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  <v>ОГРН 1057746555811 ИНН 5036065113 КПП 772501001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  <v>115114, город Москва, проезд Павелецкий 2-й, дом 3, строение 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  <v>ООО «Гефест»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  <v>ОГРН 1215000057238 ИНН 5044122213 КПП 504401001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  <v>ООО «Гефест»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  <v>ОГРН 1215000057238 ИНН 5044122213 КПП 504401001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'АОСР-2'!C33:D33+1</f>
        <v>3</v>
      </c>
      <c r="D32" s="134"/>
      <c r="E32" s="134" t="str">
        <f>'АОСР-1'!E33</f>
        <v>/ВЛЗ</v>
      </c>
      <c r="F32" s="134"/>
      <c r="G32" s="134"/>
      <c r="H32" s="59"/>
      <c r="I32" s="59"/>
      <c r="J32" s="59"/>
      <c r="X32" s="21"/>
      <c r="Y32" s="35"/>
      <c r="Z32" s="35"/>
      <c r="AB32" s="142">
        <f>P78</f>
        <v>45833</v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152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  <v>Мастер электромонтажного участка  ООО «Гефест» Красилов К.А..Приказ №01/24-ОТ от 15.01.2024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ht="12" customHeight="1" x14ac:dyDescent="0.25">
      <c r="A46" s="137" t="s">
        <v>206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5" customHeight="1" x14ac:dyDescent="0.25">
      <c r="A47" s="138" t="str">
        <f>'Данные объект'!$C$36</f>
        <v>Мастер СРЭС СЭС филиала ПАО "Россети Московский регион" Курчин М.М.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  <v>ООО «Гефест»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2.5" customHeight="1" x14ac:dyDescent="0.2">
      <c r="A62" s="163" t="s">
        <v>188</v>
      </c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56" t="str">
        <f>'АОСР-1'!O63</f>
        <v>ВЛ-0,4 кВ ф.4 от КТП-2719</v>
      </c>
      <c r="N62" s="156"/>
      <c r="O62" s="156"/>
      <c r="P62" s="87" t="s">
        <v>189</v>
      </c>
      <c r="Q62" s="164" t="s">
        <v>231</v>
      </c>
      <c r="R62" s="164"/>
      <c r="S62" s="164"/>
      <c r="T62" s="103"/>
      <c r="U62" s="87" t="s">
        <v>186</v>
      </c>
      <c r="V62" s="87"/>
      <c r="W62" s="61" t="s">
        <v>189</v>
      </c>
      <c r="X62" s="161">
        <v>3.6</v>
      </c>
      <c r="Y62" s="161"/>
      <c r="Z62" s="161"/>
      <c r="AA62" s="155" t="s">
        <v>181</v>
      </c>
      <c r="AB62" s="155"/>
      <c r="AC62" s="61"/>
      <c r="AD62" s="61"/>
      <c r="AE62" s="61"/>
      <c r="AF62" s="88"/>
      <c r="AG62" s="88"/>
      <c r="AH62" s="88"/>
      <c r="AI62" s="88"/>
      <c r="AJ62" s="88"/>
    </row>
    <row r="63" spans="1:36" ht="8.25" customHeight="1" x14ac:dyDescent="0.25">
      <c r="A63" s="158" t="s">
        <v>14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</row>
    <row r="64" spans="1:36" s="20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0" customFormat="1" ht="12" customHeight="1" x14ac:dyDescent="0.2">
      <c r="A65" s="156" t="str">
        <f>'Данные объект'!B43</f>
        <v>5019-331208-292-12/24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</row>
    <row r="66" spans="1:36" ht="15" customHeight="1" x14ac:dyDescent="0.25">
      <c r="A66" s="139" t="s">
        <v>41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2" customHeight="1" x14ac:dyDescent="0.2">
      <c r="A69" s="147"/>
      <c r="B69" s="147"/>
      <c r="C69" s="147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29"/>
      <c r="AG69" s="29"/>
      <c r="AH69" s="29"/>
      <c r="AI69" s="29"/>
      <c r="AJ69" s="29"/>
    </row>
    <row r="70" spans="1:36" ht="18.75" customHeight="1" x14ac:dyDescent="0.25">
      <c r="A70" s="139" t="s">
        <v>57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s="20" customFormat="1" ht="12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95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40" t="s">
        <v>9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s="20" customFormat="1" ht="12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7.5" customHeight="1" x14ac:dyDescent="0.25">
      <c r="A75" s="139" t="s">
        <v>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  <v>45833</v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  <v>45833</v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9" t="s">
        <v>155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9" t="s">
        <v>4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8.25" customHeight="1" x14ac:dyDescent="0.25">
      <c r="A84" s="139" t="s">
        <v>58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4" t="s">
        <v>96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9" customHeight="1" x14ac:dyDescent="0.25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4"/>
      <c r="I90" s="134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20" customFormat="1" ht="12" hidden="1" customHeight="1" x14ac:dyDescent="0.2">
      <c r="A93" s="31" t="s">
        <v>83</v>
      </c>
      <c r="B93" s="149">
        <f>G72</f>
        <v>0</v>
      </c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31" t="s">
        <v>75</v>
      </c>
      <c r="R93" s="31" t="s">
        <v>84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4" t="s">
        <v>156</v>
      </c>
      <c r="B94" s="162" t="str">
        <f>R72</f>
        <v>Исполнительная схема заземления опор ВЛ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75</v>
      </c>
      <c r="R94" s="34" t="s">
        <v>84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</row>
    <row r="95" spans="1:36" ht="9.75" customHeight="1" x14ac:dyDescent="0.25">
      <c r="A95" s="139" t="s">
        <v>0</v>
      </c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4" t="str">
        <f>'Данные объект'!B33</f>
        <v>Алексанян Г.Р.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4"/>
      <c r="AC99" s="134"/>
      <c r="AD99" s="134"/>
      <c r="AE99" s="134"/>
      <c r="AF99" s="134"/>
      <c r="AG99" s="134"/>
      <c r="AH99" s="134"/>
      <c r="AI99" s="134"/>
      <c r="AJ99" s="134"/>
    </row>
    <row r="100" spans="1:36" ht="9" customHeight="1" x14ac:dyDescent="0.25">
      <c r="A100" s="135" t="s">
        <v>35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6" t="s">
        <v>34</v>
      </c>
      <c r="AC100" s="136"/>
      <c r="AD100" s="136"/>
      <c r="AE100" s="136"/>
      <c r="AF100" s="136"/>
      <c r="AG100" s="136"/>
      <c r="AH100" s="136"/>
      <c r="AI100" s="136"/>
      <c r="AJ100" s="136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4" t="str">
        <f>'Данные объект'!B20</f>
        <v>Красилов К.А.</v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4" t="str">
        <f>'Данные объект'!B17</f>
        <v>Саженова Л.В.</v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4"/>
      <c r="AC106" s="134"/>
      <c r="AD106" s="134"/>
      <c r="AE106" s="134"/>
      <c r="AF106" s="134"/>
      <c r="AG106" s="134"/>
      <c r="AH106" s="134"/>
      <c r="AI106" s="134"/>
      <c r="AJ106" s="134"/>
    </row>
    <row r="107" spans="1:36" ht="9" customHeight="1" x14ac:dyDescent="0.25">
      <c r="A107" s="135" t="s">
        <v>35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6" t="s">
        <v>34</v>
      </c>
      <c r="AC107" s="136"/>
      <c r="AD107" s="136"/>
      <c r="AE107" s="136"/>
      <c r="AF107" s="136"/>
      <c r="AG107" s="136"/>
      <c r="AH107" s="136"/>
      <c r="AI107" s="136"/>
      <c r="AJ107" s="136"/>
    </row>
    <row r="108" spans="1:36" ht="9" customHeight="1" x14ac:dyDescent="0.25">
      <c r="A108" s="20" t="s">
        <v>205</v>
      </c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8"/>
      <c r="AC108" s="98"/>
      <c r="AD108" s="98"/>
      <c r="AE108" s="98"/>
      <c r="AF108" s="98"/>
      <c r="AG108" s="98"/>
      <c r="AH108" s="98"/>
      <c r="AI108" s="98"/>
      <c r="AJ108" s="98"/>
    </row>
    <row r="109" spans="1:36" x14ac:dyDescent="0.25">
      <c r="A109" s="134" t="str">
        <f>'Данные объект'!$B$36</f>
        <v>Курчин М.М.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s="20" customFormat="1" ht="37.5" customHeight="1" x14ac:dyDescent="0.2">
      <c r="A111" s="143" t="s">
        <v>52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0" customFormat="1" ht="12" customHeight="1" x14ac:dyDescent="0.2">
      <c r="A112" s="134" t="s">
        <v>75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4" t="s">
        <v>75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40.5" hidden="1" customHeight="1" x14ac:dyDescent="0.2">
      <c r="A114" s="143" t="s">
        <v>54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2" hidden="1" customHeight="1" x14ac:dyDescent="0.2">
      <c r="A115" s="134" t="e">
        <f>#REF!</f>
        <v>#REF!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/>
      <c r="AC115" s="134"/>
      <c r="AD115" s="134"/>
      <c r="AE115" s="134"/>
      <c r="AF115" s="134"/>
      <c r="AG115" s="134"/>
      <c r="AH115" s="134"/>
      <c r="AI115" s="134"/>
      <c r="AJ115" s="134"/>
    </row>
    <row r="116" spans="1:36" ht="9" hidden="1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customHeight="1" x14ac:dyDescent="0.25"/>
  </sheetData>
  <mergeCells count="109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63:AJ63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Q62:S62"/>
    <mergeCell ref="A74:AJ74"/>
    <mergeCell ref="A75:AJ75"/>
    <mergeCell ref="P77:W77"/>
    <mergeCell ref="P68:AJ68"/>
    <mergeCell ref="A69:C69"/>
    <mergeCell ref="D69:K69"/>
    <mergeCell ref="L69:M69"/>
    <mergeCell ref="N69:AE69"/>
    <mergeCell ref="A70:AJ70"/>
    <mergeCell ref="A116:O116"/>
    <mergeCell ref="AB116:AJ116"/>
    <mergeCell ref="R72:AD72"/>
    <mergeCell ref="A107:O107"/>
    <mergeCell ref="AB107:AJ107"/>
    <mergeCell ref="A111:AJ111"/>
    <mergeCell ref="A112:O112"/>
    <mergeCell ref="A100:O100"/>
    <mergeCell ref="AB100:AJ100"/>
    <mergeCell ref="AB112:AJ112"/>
    <mergeCell ref="A113:O113"/>
    <mergeCell ref="AB113:AJ113"/>
    <mergeCell ref="A102:O102"/>
    <mergeCell ref="AB102:AJ102"/>
    <mergeCell ref="A103:O103"/>
    <mergeCell ref="AB103:AJ103"/>
    <mergeCell ref="A106:O106"/>
    <mergeCell ref="AB106:AJ106"/>
    <mergeCell ref="A84:AJ84"/>
    <mergeCell ref="A86:AJ86"/>
    <mergeCell ref="A87:AJ87"/>
    <mergeCell ref="L88:AJ88"/>
    <mergeCell ref="H90:I90"/>
    <mergeCell ref="B93:P93"/>
    <mergeCell ref="A109:O109"/>
    <mergeCell ref="AB109:AJ109"/>
    <mergeCell ref="A110:O110"/>
    <mergeCell ref="AB110:AJ110"/>
    <mergeCell ref="A46:AJ46"/>
    <mergeCell ref="A47:AJ47"/>
    <mergeCell ref="A48:AJ48"/>
    <mergeCell ref="A114:AJ114"/>
    <mergeCell ref="A115:O115"/>
    <mergeCell ref="AB115:AJ115"/>
    <mergeCell ref="B94:P94"/>
    <mergeCell ref="A95:AJ95"/>
    <mergeCell ref="A99:O99"/>
    <mergeCell ref="AB99:AJ99"/>
    <mergeCell ref="A81:AJ81"/>
    <mergeCell ref="A82:AJ82"/>
    <mergeCell ref="A83:AJ83"/>
    <mergeCell ref="P78:W78"/>
    <mergeCell ref="A62:L62"/>
    <mergeCell ref="M62:O62"/>
    <mergeCell ref="X62:Z62"/>
    <mergeCell ref="AA62:AB62"/>
    <mergeCell ref="A73:B73"/>
    <mergeCell ref="G73:AJ73"/>
  </mergeCells>
  <pageMargins left="0.78740157480314965" right="0.27559055118110237" top="0.39370078740157483" bottom="0.39370078740157483" header="0" footer="0"/>
  <pageSetup paperSize="9" scale="93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Q116"/>
  <sheetViews>
    <sheetView view="pageBreakPreview" topLeftCell="A48" zoomScale="125" zoomScaleNormal="125" zoomScaleSheetLayoutView="125" workbookViewId="0">
      <selection activeCell="AP80" sqref="AP80"/>
    </sheetView>
  </sheetViews>
  <sheetFormatPr defaultColWidth="10.6640625" defaultRowHeight="15" x14ac:dyDescent="0.25"/>
  <cols>
    <col min="1" max="9" width="2.83203125" style="1" customWidth="1"/>
    <col min="10" max="11" width="4.83203125" style="1" customWidth="1"/>
    <col min="12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2.75" customHeight="1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0.5" customHeight="1" x14ac:dyDescent="0.25">
      <c r="A6" s="144" t="s">
        <v>227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  <v>ПАО "Россети Московский регион"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  <v>ОГРН 1057746555811 ИНН 5036065113 КПП 772501001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  <v>115114, город Москва, проезд Павелецкий 2-й, дом 3, строение 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  <v>ООО «Гефест»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  <v>ОГРН 1215000057238 ИНН 5044122213 КПП 504401001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  <v>ООО «Гефест»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  <v>ОГРН 1215000057238 ИНН 5044122213 КПП 504401001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'АОСР-3'!C32:D32+1</f>
        <v>4</v>
      </c>
      <c r="D32" s="134"/>
      <c r="E32" s="134" t="str">
        <f>'АОСР-1'!E33</f>
        <v>/ВЛЗ</v>
      </c>
      <c r="F32" s="134"/>
      <c r="G32" s="134"/>
      <c r="H32" s="59"/>
      <c r="I32" s="59"/>
      <c r="J32" s="59"/>
      <c r="X32" s="21"/>
      <c r="Y32" s="35"/>
      <c r="Z32" s="35"/>
      <c r="AB32" s="142">
        <f>P80</f>
        <v>45833</v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152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  <v>Мастер электромонтажного участка  ООО «Гефест» Красилов К.А..Приказ №01/24-ОТ от 15.01.2024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17.25" customHeight="1" x14ac:dyDescent="0.2">
      <c r="A44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206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5" customHeight="1" x14ac:dyDescent="0.25">
      <c r="A47" s="138" t="str">
        <f>'Данные объект'!$C$36</f>
        <v>Мастер СРЭС СЭС филиала ПАО "Россети Московский регион" Курчин М.М.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1.25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  <v>ООО «Гефест»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4.75" customHeight="1" x14ac:dyDescent="0.2">
      <c r="A62" s="163" t="s">
        <v>190</v>
      </c>
      <c r="B62" s="163"/>
      <c r="C62" s="163"/>
      <c r="D62" s="163"/>
      <c r="E62" s="163"/>
      <c r="F62" s="163"/>
      <c r="G62" s="163"/>
      <c r="H62" s="163"/>
      <c r="I62" s="156" t="str">
        <f>'АОСР-1'!O63</f>
        <v>ВЛ-0,4 кВ ф.4 от КТП-2719</v>
      </c>
      <c r="J62" s="156"/>
      <c r="K62" s="156"/>
      <c r="L62" s="87" t="s">
        <v>185</v>
      </c>
      <c r="M62" s="88"/>
      <c r="N62" s="88"/>
      <c r="O62" s="88"/>
      <c r="P62" s="156">
        <f>'АОСР-3'!T62</f>
        <v>0</v>
      </c>
      <c r="Q62" s="156"/>
      <c r="R62" s="156"/>
      <c r="S62" s="87" t="s">
        <v>186</v>
      </c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</row>
    <row r="63" spans="1:36" ht="8.25" customHeight="1" x14ac:dyDescent="0.25">
      <c r="A63" s="158" t="s">
        <v>14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</row>
    <row r="64" spans="1:36" s="20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0" customFormat="1" ht="12" customHeight="1" x14ac:dyDescent="0.2">
      <c r="A65" s="156" t="str">
        <f>'Данные объект'!B43</f>
        <v>5019-331208-292-12/24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</row>
    <row r="66" spans="1:36" ht="15" customHeight="1" x14ac:dyDescent="0.25">
      <c r="A66" s="158" t="s">
        <v>41</v>
      </c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</row>
    <row r="67" spans="1:36" s="20" customFormat="1" ht="12" customHeight="1" x14ac:dyDescent="0.2">
      <c r="A67" s="89" t="s">
        <v>12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</row>
    <row r="68" spans="1:36" s="2" customFormat="1" ht="9.6" customHeight="1" x14ac:dyDescent="0.2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160" t="s">
        <v>56</v>
      </c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</row>
    <row r="69" spans="1:36" s="20" customFormat="1" ht="12" customHeight="1" x14ac:dyDescent="0.2">
      <c r="A69" s="161" t="s">
        <v>86</v>
      </c>
      <c r="B69" s="161"/>
      <c r="C69" s="161"/>
      <c r="D69" s="161"/>
      <c r="E69" s="161"/>
      <c r="F69" s="161"/>
      <c r="G69" s="104" t="s">
        <v>75</v>
      </c>
      <c r="H69" s="157">
        <v>12</v>
      </c>
      <c r="I69" s="157"/>
      <c r="J69" s="106" t="s">
        <v>180</v>
      </c>
      <c r="K69" s="120" t="s">
        <v>202</v>
      </c>
      <c r="L69" s="103" t="s">
        <v>214</v>
      </c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</row>
    <row r="70" spans="1:36" s="20" customFormat="1" ht="12" customHeight="1" x14ac:dyDescent="0.2">
      <c r="A70" s="161" t="s">
        <v>213</v>
      </c>
      <c r="B70" s="161"/>
      <c r="C70" s="161"/>
      <c r="D70" s="161"/>
      <c r="E70" s="161"/>
      <c r="F70" s="161"/>
      <c r="G70" s="104" t="s">
        <v>75</v>
      </c>
      <c r="H70" s="157">
        <v>32</v>
      </c>
      <c r="I70" s="157"/>
      <c r="J70" s="108" t="s">
        <v>180</v>
      </c>
      <c r="K70" s="120" t="s">
        <v>202</v>
      </c>
      <c r="L70" s="103" t="s">
        <v>212</v>
      </c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ht="13.9" customHeight="1" x14ac:dyDescent="0.25">
      <c r="A71" s="161" t="s">
        <v>215</v>
      </c>
      <c r="B71" s="161"/>
      <c r="C71" s="161"/>
      <c r="D71" s="161"/>
      <c r="E71" s="161"/>
      <c r="F71" s="161"/>
      <c r="G71" s="104" t="s">
        <v>75</v>
      </c>
      <c r="H71" s="157">
        <v>6</v>
      </c>
      <c r="I71" s="157"/>
      <c r="J71" s="109" t="s">
        <v>180</v>
      </c>
      <c r="K71" s="120" t="s">
        <v>202</v>
      </c>
      <c r="L71" s="103" t="s">
        <v>216</v>
      </c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</row>
    <row r="72" spans="1:36" s="20" customFormat="1" ht="15.75" customHeight="1" x14ac:dyDescent="0.2">
      <c r="A72" s="158" t="s">
        <v>57</v>
      </c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</row>
    <row r="73" spans="1:36" s="20" customFormat="1" ht="12" customHeight="1" x14ac:dyDescent="0.2">
      <c r="A73" s="20" t="s">
        <v>11</v>
      </c>
    </row>
    <row r="74" spans="1:36" ht="15.6" customHeight="1" x14ac:dyDescent="0.25">
      <c r="A74" s="20" t="s">
        <v>10</v>
      </c>
      <c r="B74" s="20"/>
      <c r="C74" s="20"/>
      <c r="D74" s="20"/>
      <c r="E74" s="20"/>
      <c r="F74" s="20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134" t="s">
        <v>95</v>
      </c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31"/>
      <c r="AF74" s="31"/>
      <c r="AG74" s="31"/>
      <c r="AH74" s="31"/>
      <c r="AI74" s="31"/>
      <c r="AJ74" s="31"/>
    </row>
    <row r="75" spans="1:36" s="20" customFormat="1" ht="12" customHeight="1" x14ac:dyDescent="0.2">
      <c r="A75" s="148"/>
      <c r="B75" s="148"/>
      <c r="C75" s="8"/>
      <c r="D75" s="8"/>
      <c r="E75" s="8"/>
      <c r="F75" s="8"/>
      <c r="G75" s="140" t="s">
        <v>9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</row>
    <row r="77" spans="1:36" ht="9" customHeight="1" x14ac:dyDescent="0.25">
      <c r="A77" s="139" t="s">
        <v>31</v>
      </c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</row>
    <row r="78" spans="1:36" s="20" customFormat="1" ht="12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0" customFormat="1" ht="12" customHeight="1" x14ac:dyDescent="0.2">
      <c r="A79" s="20" t="s">
        <v>8</v>
      </c>
      <c r="D79" s="62"/>
      <c r="E79" s="62"/>
      <c r="F79" s="62"/>
      <c r="G79" s="62"/>
      <c r="L79" s="21"/>
      <c r="M79" s="35"/>
      <c r="N79" s="35"/>
      <c r="P79" s="142">
        <f>'Данные объект'!B6</f>
        <v>45833</v>
      </c>
      <c r="Q79" s="142"/>
      <c r="R79" s="142"/>
      <c r="S79" s="142"/>
      <c r="T79" s="142"/>
      <c r="U79" s="142"/>
      <c r="V79" s="142"/>
      <c r="W79" s="142"/>
      <c r="X79" s="20" t="s">
        <v>6</v>
      </c>
    </row>
    <row r="80" spans="1:36" s="20" customFormat="1" ht="11.45" customHeight="1" x14ac:dyDescent="0.2">
      <c r="A80" s="20" t="s">
        <v>7</v>
      </c>
      <c r="D80" s="62"/>
      <c r="E80" s="62"/>
      <c r="F80" s="62"/>
      <c r="G80" s="62"/>
      <c r="L80" s="21"/>
      <c r="M80" s="35"/>
      <c r="N80" s="35"/>
      <c r="P80" s="142">
        <f>'Данные объект'!B7</f>
        <v>45833</v>
      </c>
      <c r="Q80" s="142"/>
      <c r="R80" s="142"/>
      <c r="S80" s="142"/>
      <c r="T80" s="142"/>
      <c r="U80" s="142"/>
      <c r="V80" s="142"/>
      <c r="W80" s="142"/>
      <c r="X80" s="20" t="s">
        <v>6</v>
      </c>
    </row>
    <row r="81" spans="1:36" s="20" customFormat="1" ht="12" customHeight="1" x14ac:dyDescent="0.2">
      <c r="A81" s="32"/>
      <c r="B81" s="32"/>
      <c r="C81" s="32"/>
      <c r="D81" s="33"/>
      <c r="E81" s="33"/>
      <c r="F81" s="33"/>
      <c r="G81" s="33"/>
    </row>
    <row r="82" spans="1:36" s="20" customFormat="1" ht="12" customHeight="1" x14ac:dyDescent="0.2">
      <c r="A82" s="20" t="s">
        <v>5</v>
      </c>
    </row>
    <row r="83" spans="1:36" ht="12" customHeight="1" x14ac:dyDescent="0.25">
      <c r="A83" s="149" t="s">
        <v>155</v>
      </c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</row>
    <row r="84" spans="1:36" s="20" customFormat="1" ht="12" customHeight="1" x14ac:dyDescent="0.2">
      <c r="A84" s="139" t="s">
        <v>230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ht="10.5" customHeight="1" x14ac:dyDescent="0.25">
      <c r="A86" s="134" t="s">
        <v>97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s="20" customFormat="1" ht="12" customHeight="1" x14ac:dyDescent="0.2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ht="10.5" customHeight="1" x14ac:dyDescent="0.25">
      <c r="A88" s="20" t="s">
        <v>2</v>
      </c>
      <c r="B88" s="20"/>
      <c r="C88" s="20"/>
      <c r="D88" s="20"/>
      <c r="E88" s="20"/>
      <c r="F88" s="20"/>
      <c r="G88" s="20"/>
      <c r="H88" s="20"/>
      <c r="I88" s="61"/>
      <c r="J88" s="61"/>
      <c r="K88" s="61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s="20" customFormat="1" ht="12" customHeight="1" x14ac:dyDescent="0.25">
      <c r="A89" s="1"/>
      <c r="B89" s="1"/>
      <c r="C89" s="1"/>
      <c r="D89" s="4"/>
      <c r="E89" s="4"/>
      <c r="F89" s="4"/>
      <c r="G89" s="4"/>
      <c r="H89" s="4"/>
      <c r="I89" s="4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0.9" customHeight="1" x14ac:dyDescent="0.25">
      <c r="A90" s="20" t="s">
        <v>98</v>
      </c>
      <c r="B90" s="20"/>
      <c r="C90" s="20"/>
      <c r="D90" s="20"/>
      <c r="E90" s="20"/>
      <c r="F90" s="20"/>
      <c r="G90" s="20"/>
      <c r="H90" s="134"/>
      <c r="I90" s="134"/>
      <c r="J90" s="20" t="s">
        <v>33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</row>
    <row r="91" spans="1:36" s="20" customFormat="1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s="20" customFormat="1" ht="12" hidden="1" customHeight="1" x14ac:dyDescent="0.2">
      <c r="A92" s="20" t="s">
        <v>1</v>
      </c>
    </row>
    <row r="93" spans="1:36" s="20" customFormat="1" ht="12" hidden="1" customHeight="1" x14ac:dyDescent="0.2">
      <c r="A93" s="31" t="s">
        <v>83</v>
      </c>
      <c r="B93" s="149">
        <f>G74</f>
        <v>0</v>
      </c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31" t="s">
        <v>75</v>
      </c>
      <c r="R93" s="31" t="s">
        <v>84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0" customFormat="1" ht="12" customHeight="1" x14ac:dyDescent="0.2">
      <c r="A94" s="31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0" customFormat="1" ht="12" customHeight="1" x14ac:dyDescent="0.2">
      <c r="A95" s="34" t="s">
        <v>156</v>
      </c>
      <c r="B95" s="121" t="str">
        <f>R74</f>
        <v>Исполнительная схема заземления опор ВЛ</v>
      </c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34" t="s">
        <v>75</v>
      </c>
      <c r="R95" s="34" t="s">
        <v>84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0" customFormat="1" ht="12" customHeight="1" x14ac:dyDescent="0.2">
      <c r="A96" s="31" t="s">
        <v>85</v>
      </c>
      <c r="B96" s="37" t="str">
        <f>L69</f>
        <v>Сертификат №4421644223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4" t="s">
        <v>75</v>
      </c>
      <c r="R96" s="34" t="s">
        <v>84</v>
      </c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ht="12.75" customHeight="1" x14ac:dyDescent="0.25">
      <c r="A97" s="34" t="s">
        <v>87</v>
      </c>
      <c r="B97" s="121" t="str">
        <f>L70</f>
        <v>Сертификат №8683-2722</v>
      </c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34" t="s">
        <v>75</v>
      </c>
      <c r="R97" s="34" t="s">
        <v>84</v>
      </c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</row>
    <row r="98" spans="1:36" ht="12.75" customHeight="1" x14ac:dyDescent="0.25">
      <c r="A98" s="34" t="s">
        <v>251</v>
      </c>
      <c r="B98" s="121" t="str">
        <f>L71</f>
        <v>Сертификат №93583</v>
      </c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34" t="s">
        <v>75</v>
      </c>
      <c r="R98" s="34" t="s">
        <v>84</v>
      </c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</row>
    <row r="99" spans="1:36" ht="6.75" customHeight="1" x14ac:dyDescent="0.25">
      <c r="A99" s="139" t="s">
        <v>0</v>
      </c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</row>
    <row r="100" spans="1:36" s="20" customFormat="1" ht="12" customHeight="1" x14ac:dyDescent="0.2">
      <c r="A100" s="20" t="s">
        <v>23</v>
      </c>
    </row>
    <row r="101" spans="1:36" s="20" customFormat="1" ht="12" customHeight="1" x14ac:dyDescent="0.2">
      <c r="A101" s="20" t="s">
        <v>24</v>
      </c>
    </row>
    <row r="102" spans="1:36" ht="13.5" customHeight="1" x14ac:dyDescent="0.25">
      <c r="A102" s="134" t="str">
        <f>'Данные объект'!B33</f>
        <v>Алексанян Г.Р.</v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s="20" customFormat="1" ht="12" customHeight="1" x14ac:dyDescent="0.2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25</v>
      </c>
    </row>
    <row r="105" spans="1:36" ht="13.5" customHeight="1" x14ac:dyDescent="0.25">
      <c r="A105" s="134" t="str">
        <f>'Данные объект'!B20</f>
        <v>Красилов К.А.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s="20" customFormat="1" ht="12" customHeight="1" x14ac:dyDescent="0.2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s="20" customFormat="1" ht="12" customHeight="1" x14ac:dyDescent="0.2">
      <c r="A107" s="20" t="s">
        <v>27</v>
      </c>
    </row>
    <row r="108" spans="1:36" s="20" customFormat="1" ht="12" customHeight="1" x14ac:dyDescent="0.2">
      <c r="A108" s="20" t="s">
        <v>28</v>
      </c>
    </row>
    <row r="109" spans="1:36" ht="12" customHeight="1" x14ac:dyDescent="0.25">
      <c r="A109" s="134" t="str">
        <f>'Данные объект'!B17</f>
        <v>Саженова Л.В.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x14ac:dyDescent="0.25">
      <c r="A111" s="20" t="s">
        <v>205</v>
      </c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8"/>
      <c r="AC111" s="98"/>
      <c r="AD111" s="98"/>
      <c r="AE111" s="98"/>
      <c r="AF111" s="98"/>
      <c r="AG111" s="98"/>
      <c r="AH111" s="98"/>
      <c r="AI111" s="98"/>
      <c r="AJ111" s="98"/>
    </row>
    <row r="112" spans="1:36" ht="14.25" customHeight="1" x14ac:dyDescent="0.25">
      <c r="A112" s="134" t="str">
        <f>'Данные объект'!$B$36</f>
        <v>Курчин М.М.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/>
      <c r="AC112" s="134"/>
      <c r="AD112" s="134"/>
      <c r="AE112" s="134"/>
      <c r="AF112" s="134"/>
      <c r="AG112" s="134"/>
      <c r="AH112" s="134"/>
      <c r="AI112" s="134"/>
      <c r="AJ112" s="134"/>
    </row>
    <row r="113" spans="1:36" s="20" customFormat="1" ht="7.5" customHeight="1" x14ac:dyDescent="0.2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33" customHeight="1" x14ac:dyDescent="0.2">
      <c r="A114" s="143" t="s">
        <v>52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ht="11.25" customHeight="1" x14ac:dyDescent="0.25">
      <c r="A115" s="134" t="s">
        <v>75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 t="s">
        <v>75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ht="12" customHeight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</sheetData>
  <mergeCells count="101"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53:AJ53"/>
    <mergeCell ref="A54:AJ54"/>
    <mergeCell ref="A55:AJ55"/>
    <mergeCell ref="A56:AJ56"/>
    <mergeCell ref="A58:AJ58"/>
    <mergeCell ref="A35:AJ35"/>
    <mergeCell ref="A36:AJ36"/>
    <mergeCell ref="A37:AJ37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44:AJ44"/>
    <mergeCell ref="A45:AJ45"/>
    <mergeCell ref="A49:AJ49"/>
    <mergeCell ref="A50:AJ50"/>
    <mergeCell ref="A51:AJ51"/>
    <mergeCell ref="A52:AJ52"/>
    <mergeCell ref="A24:AJ24"/>
    <mergeCell ref="A46:AJ46"/>
    <mergeCell ref="A47:AJ47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8:AJ38"/>
    <mergeCell ref="A70:F70"/>
    <mergeCell ref="H70:I70"/>
    <mergeCell ref="A39:AJ39"/>
    <mergeCell ref="A41:AJ41"/>
    <mergeCell ref="A42:AJ42"/>
    <mergeCell ref="A43:AJ43"/>
    <mergeCell ref="A84:AJ84"/>
    <mergeCell ref="P80:W80"/>
    <mergeCell ref="A62:H62"/>
    <mergeCell ref="I62:K62"/>
    <mergeCell ref="A75:B75"/>
    <mergeCell ref="G75:AJ75"/>
    <mergeCell ref="A76:AJ76"/>
    <mergeCell ref="A77:AJ77"/>
    <mergeCell ref="P79:W79"/>
    <mergeCell ref="P68:AJ68"/>
    <mergeCell ref="A72:AJ72"/>
    <mergeCell ref="A71:F71"/>
    <mergeCell ref="H71:I71"/>
    <mergeCell ref="A83:AJ83"/>
    <mergeCell ref="P62:R62"/>
    <mergeCell ref="A63:AJ63"/>
    <mergeCell ref="A65:AJ65"/>
    <mergeCell ref="A59:AJ59"/>
    <mergeCell ref="A109:O109"/>
    <mergeCell ref="AB109:AJ109"/>
    <mergeCell ref="A99:AJ99"/>
    <mergeCell ref="A102:O102"/>
    <mergeCell ref="AB102:AJ102"/>
    <mergeCell ref="A103:O103"/>
    <mergeCell ref="AB103:AJ103"/>
    <mergeCell ref="AB105:AJ105"/>
    <mergeCell ref="A106:O106"/>
    <mergeCell ref="A48:AJ48"/>
    <mergeCell ref="A112:O112"/>
    <mergeCell ref="AB112:AJ112"/>
    <mergeCell ref="A113:O113"/>
    <mergeCell ref="AB113:AJ113"/>
    <mergeCell ref="A116:O116"/>
    <mergeCell ref="AB116:AJ116"/>
    <mergeCell ref="A69:F69"/>
    <mergeCell ref="H69:I69"/>
    <mergeCell ref="A110:O110"/>
    <mergeCell ref="AB110:AJ110"/>
    <mergeCell ref="A114:AJ114"/>
    <mergeCell ref="A115:O115"/>
    <mergeCell ref="R74:AD74"/>
    <mergeCell ref="AB115:AJ115"/>
    <mergeCell ref="A105:O105"/>
    <mergeCell ref="A86:AJ86"/>
    <mergeCell ref="A87:AJ87"/>
    <mergeCell ref="A66:AJ66"/>
    <mergeCell ref="P67:AJ67"/>
    <mergeCell ref="L88:AJ88"/>
    <mergeCell ref="H90:I90"/>
    <mergeCell ref="B93:P93"/>
    <mergeCell ref="AB106:AJ106"/>
  </mergeCells>
  <phoneticPr fontId="10" type="noConversion"/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AQ116"/>
  <sheetViews>
    <sheetView view="pageBreakPreview" topLeftCell="A51" zoomScale="125" zoomScaleNormal="125" zoomScaleSheetLayoutView="125" workbookViewId="0">
      <selection activeCell="AZ66" sqref="AZ66"/>
    </sheetView>
  </sheetViews>
  <sheetFormatPr defaultColWidth="10.6640625" defaultRowHeight="15" x14ac:dyDescent="0.25"/>
  <cols>
    <col min="1" max="15" width="2.83203125" style="1" customWidth="1"/>
    <col min="16" max="16" width="6.5" style="1" customWidth="1"/>
    <col min="1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227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  <v>ПАО "Россети Московский регион"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  <v>ОГРН 1057746555811 ИНН 5036065113 КПП 772501001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  <v>115114, город Москва, проезд Павелецкий 2-й, дом 3, строение 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  <v>ООО «Гефест»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  <v>ОГРН 1215000057238 ИНН 5044122213 КПП 504401001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  <v>ООО «Гефест»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  <v>ОГРН 1215000057238 ИНН 5044122213 КПП 504401001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>
        <f>'АОСР-4'!C32:D32+1</f>
        <v>5</v>
      </c>
      <c r="D32" s="134"/>
      <c r="E32" s="134" t="str">
        <f>'АОСР-1'!E33</f>
        <v>/ВЛЗ</v>
      </c>
      <c r="F32" s="134"/>
      <c r="G32" s="134"/>
      <c r="H32" s="59"/>
      <c r="I32" s="59"/>
      <c r="J32" s="59"/>
      <c r="X32" s="21"/>
      <c r="Y32" s="35"/>
      <c r="Z32" s="35"/>
      <c r="AB32" s="142">
        <f>P78</f>
        <v>45833</v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152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  <v>Мастер электромонтажного участка  ООО «Гефест» Красилов К.А..Приказ №01/24-ОТ от 15.01.2024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206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'Данные объект'!$C$36</f>
        <v>Мастер СРЭС СЭС филиала ПАО "Россети Московский регион" Курчин М.М.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  <v>ООО «Гефест»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7.75" customHeight="1" x14ac:dyDescent="0.2">
      <c r="A62" s="146" t="s">
        <v>191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38" t="str">
        <f>'АОСР-1'!O63</f>
        <v>ВЛ-0,4 кВ ф.4 от КТП-2719</v>
      </c>
      <c r="O62" s="138"/>
      <c r="P62" s="138"/>
      <c r="Q62" s="60" t="s">
        <v>185</v>
      </c>
      <c r="R62" s="29"/>
      <c r="S62" s="29"/>
      <c r="T62" s="29"/>
      <c r="U62" s="156">
        <f>'АОСР-3'!T62</f>
        <v>0</v>
      </c>
      <c r="V62" s="156"/>
      <c r="W62" s="156"/>
      <c r="X62" s="60" t="s">
        <v>186</v>
      </c>
      <c r="Y62" s="29"/>
      <c r="Z62" s="156">
        <f>'АОСР-3'!X62</f>
        <v>3.6</v>
      </c>
      <c r="AA62" s="156"/>
      <c r="AB62" s="29"/>
      <c r="AC62" s="138" t="s">
        <v>181</v>
      </c>
      <c r="AD62" s="138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  <v>5019-331208-292-12/24</v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 t="s">
        <v>217</v>
      </c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x14ac:dyDescent="0.2">
      <c r="A69" s="147"/>
      <c r="B69" s="147"/>
      <c r="C69" s="147"/>
      <c r="D69" s="147"/>
      <c r="E69" s="147"/>
      <c r="F69" s="147"/>
      <c r="G69" s="29"/>
      <c r="H69" s="138"/>
      <c r="I69" s="138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29"/>
      <c r="AG69" s="29"/>
      <c r="AH69" s="29"/>
      <c r="AI69" s="29"/>
      <c r="AJ69" s="29"/>
    </row>
    <row r="70" spans="1:36" ht="18" customHeight="1" x14ac:dyDescent="0.25">
      <c r="A70" s="135" t="s">
        <v>192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95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  <v>45833</v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  <v>45833</v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155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58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4" t="s">
        <v>238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4"/>
      <c r="I90" s="134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156</v>
      </c>
      <c r="B93" s="162" t="str">
        <f>R72</f>
        <v>Исполнительная схема заземления опор ВЛ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75</v>
      </c>
      <c r="R93" s="34" t="s">
        <v>84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35" t="s">
        <v>0</v>
      </c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</row>
    <row r="95" spans="1:36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4" t="str">
        <f>'Данные объект'!B33</f>
        <v>Алексанян Г.Р.</v>
      </c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4"/>
      <c r="AC98" s="134"/>
      <c r="AD98" s="134"/>
      <c r="AE98" s="134"/>
      <c r="AF98" s="134"/>
      <c r="AG98" s="134"/>
      <c r="AH98" s="134"/>
      <c r="AI98" s="134"/>
      <c r="AJ98" s="134"/>
    </row>
    <row r="99" spans="1:36" ht="9" customHeight="1" x14ac:dyDescent="0.25">
      <c r="A99" s="135" t="s">
        <v>35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6" t="s">
        <v>34</v>
      </c>
      <c r="AC99" s="136"/>
      <c r="AD99" s="136"/>
      <c r="AE99" s="136"/>
      <c r="AF99" s="136"/>
      <c r="AG99" s="136"/>
      <c r="AH99" s="136"/>
      <c r="AI99" s="136"/>
      <c r="AJ99" s="136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4" t="str">
        <f>'Данные объект'!B20</f>
        <v>Красилов К.А.</v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4" t="str">
        <f>'Данные объект'!B17</f>
        <v>Саженова Л.В.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ht="9" customHeight="1" x14ac:dyDescent="0.25">
      <c r="A107" s="20" t="s">
        <v>205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98"/>
      <c r="AC107" s="98"/>
      <c r="AD107" s="98"/>
      <c r="AE107" s="98"/>
      <c r="AF107" s="98"/>
      <c r="AG107" s="98"/>
      <c r="AH107" s="98"/>
      <c r="AI107" s="98"/>
      <c r="AJ107" s="98"/>
    </row>
    <row r="108" spans="1:36" x14ac:dyDescent="0.25">
      <c r="A108" s="134" t="str">
        <f>'Данные объект'!$B$36</f>
        <v>Курчин М.М.</v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s="20" customFormat="1" ht="35.25" customHeight="1" x14ac:dyDescent="0.2">
      <c r="A110" s="143" t="s">
        <v>52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</row>
    <row r="111" spans="1:36" s="20" customFormat="1" ht="12" customHeight="1" x14ac:dyDescent="0.2">
      <c r="A111" s="134" t="s">
        <v>75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4" t="s">
        <v>75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11.25" hidden="1" x14ac:dyDescent="0.2">
      <c r="A113" s="143" t="s">
        <v>54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s="20" customFormat="1" ht="11.25" hidden="1" x14ac:dyDescent="0.2">
      <c r="A114" s="134" t="e">
        <f>#REF!</f>
        <v>#REF!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hidden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customHeight="1" x14ac:dyDescent="0.25"/>
  </sheetData>
  <mergeCells count="107">
    <mergeCell ref="A4:AJ4"/>
    <mergeCell ref="A5:AJ5"/>
    <mergeCell ref="A6:AJ6"/>
    <mergeCell ref="A8:AJ8"/>
    <mergeCell ref="A15:AJ15"/>
    <mergeCell ref="A16:AJ16"/>
    <mergeCell ref="A9:AJ9"/>
    <mergeCell ref="A10:AJ10"/>
    <mergeCell ref="A11:AJ11"/>
    <mergeCell ref="A12:AJ12"/>
    <mergeCell ref="A13:AJ13"/>
    <mergeCell ref="A7:AJ7"/>
    <mergeCell ref="A17:AJ17"/>
    <mergeCell ref="A18:AJ18"/>
    <mergeCell ref="A41:AJ41"/>
    <mergeCell ref="A42:AJ42"/>
    <mergeCell ref="A43:AJ43"/>
    <mergeCell ref="A19:AJ19"/>
    <mergeCell ref="A20:AJ20"/>
    <mergeCell ref="A22:AJ22"/>
    <mergeCell ref="A23:AJ23"/>
    <mergeCell ref="P68:AJ68"/>
    <mergeCell ref="A69:F69"/>
    <mergeCell ref="A44:AJ44"/>
    <mergeCell ref="A24:AJ24"/>
    <mergeCell ref="A25:AJ25"/>
    <mergeCell ref="A26:AJ26"/>
    <mergeCell ref="A27:AJ27"/>
    <mergeCell ref="A29:AJ29"/>
    <mergeCell ref="A30:AJ30"/>
    <mergeCell ref="E32:G32"/>
    <mergeCell ref="C32:D32"/>
    <mergeCell ref="AB32:AI32"/>
    <mergeCell ref="A35:AJ35"/>
    <mergeCell ref="A36:AJ36"/>
    <mergeCell ref="A37:AJ37"/>
    <mergeCell ref="A38:AJ38"/>
    <mergeCell ref="A39:AJ39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A62:M62"/>
    <mergeCell ref="N62:P62"/>
    <mergeCell ref="U62:W62"/>
    <mergeCell ref="A45:AJ45"/>
    <mergeCell ref="A49:AJ49"/>
    <mergeCell ref="A50:AJ50"/>
    <mergeCell ref="A51:AJ51"/>
    <mergeCell ref="A52:AJ52"/>
    <mergeCell ref="A46:AJ46"/>
    <mergeCell ref="A47:AJ47"/>
    <mergeCell ref="A48:AJ48"/>
    <mergeCell ref="Z62:AA62"/>
    <mergeCell ref="AC62:AD62"/>
    <mergeCell ref="A63:AJ63"/>
    <mergeCell ref="H69:I69"/>
    <mergeCell ref="J69:AE69"/>
    <mergeCell ref="A74:AJ74"/>
    <mergeCell ref="A75:AJ75"/>
    <mergeCell ref="A70:AJ70"/>
    <mergeCell ref="A73:B73"/>
    <mergeCell ref="G73:AJ73"/>
    <mergeCell ref="A114:O114"/>
    <mergeCell ref="AB114:AJ114"/>
    <mergeCell ref="R72:AD72"/>
    <mergeCell ref="A99:O99"/>
    <mergeCell ref="P77:W77"/>
    <mergeCell ref="P78:W78"/>
    <mergeCell ref="AB99:AJ99"/>
    <mergeCell ref="L88:AJ88"/>
    <mergeCell ref="H90:I90"/>
    <mergeCell ref="B93:P93"/>
    <mergeCell ref="A94:AJ94"/>
    <mergeCell ref="A98:O98"/>
    <mergeCell ref="AB98:AJ98"/>
    <mergeCell ref="A81:AJ81"/>
    <mergeCell ref="A82:AJ82"/>
    <mergeCell ref="A83:AJ83"/>
    <mergeCell ref="A84:AJ84"/>
    <mergeCell ref="A86:AJ86"/>
    <mergeCell ref="A115:O115"/>
    <mergeCell ref="AB115:AJ115"/>
    <mergeCell ref="AB101:AJ101"/>
    <mergeCell ref="A108:O108"/>
    <mergeCell ref="AB108:AJ108"/>
    <mergeCell ref="A109:O109"/>
    <mergeCell ref="AB109:AJ109"/>
    <mergeCell ref="A113:AJ113"/>
    <mergeCell ref="A102:O102"/>
    <mergeCell ref="AB102:AJ102"/>
    <mergeCell ref="A105:O105"/>
    <mergeCell ref="AB105:AJ105"/>
    <mergeCell ref="A106:O106"/>
    <mergeCell ref="A110:AJ110"/>
    <mergeCell ref="A111:O111"/>
    <mergeCell ref="AB111:AJ111"/>
    <mergeCell ref="A112:O112"/>
    <mergeCell ref="AB112:AJ112"/>
    <mergeCell ref="AB106:AJ106"/>
    <mergeCell ref="A101:O101"/>
    <mergeCell ref="A87:AJ87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4547-AF6A-4485-9A6D-DE0C937BC204}">
  <sheetPr>
    <tabColor rgb="FF92D050"/>
    <pageSetUpPr fitToPage="1"/>
  </sheetPr>
  <dimension ref="A1:AQ118"/>
  <sheetViews>
    <sheetView view="pageBreakPreview" topLeftCell="A72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15" width="2.83203125" style="1" customWidth="1"/>
    <col min="16" max="16" width="6" style="1" customWidth="1"/>
    <col min="1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227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  <v>ПАО "Россети Московский регион"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  <v>ОГРН 1057746555811 ИНН 5036065113 КПП 772501001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  <v>115114, город Москва, проезд Павелецкий 2-й, дом 3, строение 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  <v>ООО «Гефест»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  <v>ОГРН 1215000057238 ИНН 5044122213 КПП 504401001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  <v>ООО «Гефест»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  <v>ОГРН 1215000057238 ИНН 5044122213 КПП 504401001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</row>
    <row r="32" spans="1:36" s="20" customFormat="1" ht="12.95" customHeight="1" x14ac:dyDescent="0.2">
      <c r="A32" s="25"/>
      <c r="B32" s="25" t="s">
        <v>18</v>
      </c>
      <c r="C32" s="134">
        <f>'АОСР-5'!C32:D32+1</f>
        <v>6</v>
      </c>
      <c r="D32" s="134"/>
      <c r="E32" s="134" t="str">
        <f>'АОСР-1'!E33</f>
        <v>/ВЛЗ</v>
      </c>
      <c r="F32" s="134"/>
      <c r="G32" s="134"/>
      <c r="H32" s="59"/>
      <c r="I32" s="59"/>
      <c r="J32" s="59"/>
      <c r="X32" s="21"/>
      <c r="Y32" s="35"/>
      <c r="Z32" s="35"/>
      <c r="AB32" s="142">
        <f>P78</f>
        <v>45833</v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152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  <v>Мастер электромонтажного участка  ООО «Гефест» Красилов К.А..Приказ №01/24-ОТ от 15.01.2024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206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'Данные объект'!$C$36</f>
        <v>Мастер СРЭС СЭС филиала ПАО "Россети Московский регион" Курчин М.М.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  <v>ООО «Гефест»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24" customHeight="1" x14ac:dyDescent="0.2">
      <c r="A62" s="146" t="str">
        <f>'АОСР-5'!A86:AJ86</f>
        <v>Монтаж провода СИП и линейной арматуры</v>
      </c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Q62" s="138" t="str">
        <f>'АОСР-1'!O63</f>
        <v>ВЛ-0,4 кВ ф.4 от КТП-2719</v>
      </c>
      <c r="R62" s="138"/>
      <c r="S62" s="138"/>
      <c r="T62" s="138"/>
      <c r="U62" s="138"/>
      <c r="V62" s="138"/>
      <c r="W62" s="88"/>
      <c r="X62" s="60"/>
      <c r="Y62" s="29"/>
      <c r="Z62" s="156"/>
      <c r="AA62" s="156"/>
      <c r="AB62" s="29"/>
      <c r="AC62" s="138"/>
      <c r="AD62" s="138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  <v>5019-331208-292-12/24</v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customHeight="1" x14ac:dyDescent="0.2">
      <c r="A69" s="161" t="s">
        <v>239</v>
      </c>
      <c r="B69" s="161"/>
      <c r="C69" s="161"/>
      <c r="D69" s="161"/>
      <c r="E69" s="161"/>
      <c r="F69" s="161"/>
      <c r="G69" s="104" t="s">
        <v>75</v>
      </c>
      <c r="H69" s="157">
        <v>12</v>
      </c>
      <c r="I69" s="157"/>
      <c r="J69" s="106" t="s">
        <v>180</v>
      </c>
      <c r="K69" s="107" t="s">
        <v>202</v>
      </c>
      <c r="L69" s="103" t="s">
        <v>240</v>
      </c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</row>
    <row r="70" spans="1:36" ht="23.25" customHeight="1" x14ac:dyDescent="0.25">
      <c r="A70" s="161" t="s">
        <v>241</v>
      </c>
      <c r="B70" s="161"/>
      <c r="C70" s="161"/>
      <c r="D70" s="161"/>
      <c r="E70" s="161"/>
      <c r="F70" s="161"/>
      <c r="G70" s="104" t="s">
        <v>75</v>
      </c>
      <c r="H70" s="157"/>
      <c r="I70" s="157"/>
      <c r="J70" s="108" t="s">
        <v>242</v>
      </c>
      <c r="K70" s="107" t="s">
        <v>202</v>
      </c>
      <c r="L70" s="118" t="s">
        <v>243</v>
      </c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244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  <v>45833</v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  <v>45833</v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155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58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34" t="s">
        <v>252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4"/>
      <c r="I90" s="134"/>
      <c r="J90" s="20" t="s">
        <v>33</v>
      </c>
    </row>
    <row r="91" spans="1:36" ht="12" customHeight="1" x14ac:dyDescent="0.25"/>
    <row r="92" spans="1:36" s="20" customFormat="1" ht="9.75" customHeight="1" x14ac:dyDescent="0.2">
      <c r="A92" s="20" t="s">
        <v>1</v>
      </c>
    </row>
    <row r="93" spans="1:36" ht="12" customHeight="1" x14ac:dyDescent="0.25">
      <c r="A93" s="19" t="s">
        <v>156</v>
      </c>
      <c r="B93" s="162" t="str">
        <f>R72</f>
        <v>Исполнительная схема монтажа СИП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75</v>
      </c>
      <c r="R93" s="34" t="s">
        <v>84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85</v>
      </c>
      <c r="B94" s="162" t="str">
        <f>L69</f>
        <v>Паспорт качества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75</v>
      </c>
      <c r="R94" s="34" t="s">
        <v>84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9" t="s">
        <v>87</v>
      </c>
      <c r="B95" s="162" t="str">
        <f>L70</f>
        <v>Сертификат соответствия № РОСС RU.МЛ10.Н10783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34" t="s">
        <v>75</v>
      </c>
      <c r="R95" s="34" t="s">
        <v>84</v>
      </c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spans="1:36" ht="12" customHeight="1" x14ac:dyDescent="0.25">
      <c r="A96" s="135" t="s">
        <v>0</v>
      </c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</row>
    <row r="97" spans="1:36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0" customFormat="1" ht="12" customHeight="1" x14ac:dyDescent="0.2">
      <c r="A98" s="20" t="s">
        <v>23</v>
      </c>
    </row>
    <row r="99" spans="1:36" s="20" customFormat="1" ht="12" customHeight="1" x14ac:dyDescent="0.2">
      <c r="A99" s="20" t="s">
        <v>24</v>
      </c>
    </row>
    <row r="100" spans="1:36" s="20" customFormat="1" ht="12" customHeight="1" x14ac:dyDescent="0.2">
      <c r="A100" s="134" t="str">
        <f>'Данные объект'!B33</f>
        <v>Алексанян Г.Р.</v>
      </c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134"/>
      <c r="AC100" s="134"/>
      <c r="AD100" s="134"/>
      <c r="AE100" s="134"/>
      <c r="AF100" s="134"/>
      <c r="AG100" s="134"/>
      <c r="AH100" s="134"/>
      <c r="AI100" s="134"/>
      <c r="AJ100" s="134"/>
    </row>
    <row r="101" spans="1:36" ht="9" customHeight="1" x14ac:dyDescent="0.25">
      <c r="A101" s="135" t="s">
        <v>35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6" t="s">
        <v>34</v>
      </c>
      <c r="AC101" s="136"/>
      <c r="AD101" s="136"/>
      <c r="AE101" s="136"/>
      <c r="AF101" s="136"/>
      <c r="AG101" s="136"/>
      <c r="AH101" s="136"/>
      <c r="AI101" s="136"/>
      <c r="AJ101" s="136"/>
    </row>
    <row r="102" spans="1:36" s="20" customFormat="1" ht="12" customHeight="1" x14ac:dyDescent="0.2">
      <c r="A102" s="20" t="s">
        <v>25</v>
      </c>
    </row>
    <row r="103" spans="1:36" s="20" customFormat="1" ht="12" customHeight="1" x14ac:dyDescent="0.2">
      <c r="A103" s="134" t="str">
        <f>'Данные объект'!B20</f>
        <v>Красилов К.А.</v>
      </c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134"/>
      <c r="AC103" s="134"/>
      <c r="AD103" s="134"/>
      <c r="AE103" s="134"/>
      <c r="AF103" s="134"/>
      <c r="AG103" s="134"/>
      <c r="AH103" s="134"/>
      <c r="AI103" s="134"/>
      <c r="AJ103" s="134"/>
    </row>
    <row r="104" spans="1:36" ht="9" customHeight="1" x14ac:dyDescent="0.25">
      <c r="A104" s="135" t="s">
        <v>35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6" t="s">
        <v>34</v>
      </c>
      <c r="AC104" s="136"/>
      <c r="AD104" s="136"/>
      <c r="AE104" s="136"/>
      <c r="AF104" s="136"/>
      <c r="AG104" s="136"/>
      <c r="AH104" s="136"/>
      <c r="AI104" s="136"/>
      <c r="AJ104" s="136"/>
    </row>
    <row r="105" spans="1:36" s="20" customFormat="1" ht="12" customHeight="1" x14ac:dyDescent="0.2">
      <c r="A105" s="20" t="s">
        <v>27</v>
      </c>
    </row>
    <row r="106" spans="1:36" s="20" customFormat="1" ht="12" customHeight="1" x14ac:dyDescent="0.2">
      <c r="A106" s="20" t="s">
        <v>28</v>
      </c>
    </row>
    <row r="107" spans="1:36" s="20" customFormat="1" ht="12" customHeight="1" x14ac:dyDescent="0.2">
      <c r="A107" s="134" t="str">
        <f>'Данные объект'!B17</f>
        <v>Саженова Л.В.</v>
      </c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134"/>
      <c r="AC107" s="134"/>
      <c r="AD107" s="134"/>
      <c r="AE107" s="134"/>
      <c r="AF107" s="134"/>
      <c r="AG107" s="134"/>
      <c r="AH107" s="134"/>
      <c r="AI107" s="134"/>
      <c r="AJ107" s="134"/>
    </row>
    <row r="108" spans="1:36" ht="9" customHeight="1" x14ac:dyDescent="0.25">
      <c r="A108" s="135" t="s">
        <v>35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6" t="s">
        <v>34</v>
      </c>
      <c r="AC108" s="136"/>
      <c r="AD108" s="136"/>
      <c r="AE108" s="136"/>
      <c r="AF108" s="136"/>
      <c r="AG108" s="136"/>
      <c r="AH108" s="136"/>
      <c r="AI108" s="136"/>
      <c r="AJ108" s="136"/>
    </row>
    <row r="109" spans="1:36" ht="9" customHeight="1" x14ac:dyDescent="0.25">
      <c r="A109" s="20" t="s">
        <v>205</v>
      </c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13"/>
      <c r="AC109" s="113"/>
      <c r="AD109" s="113"/>
      <c r="AE109" s="113"/>
      <c r="AF109" s="113"/>
      <c r="AG109" s="113"/>
      <c r="AH109" s="113"/>
      <c r="AI109" s="113"/>
      <c r="AJ109" s="113"/>
    </row>
    <row r="110" spans="1:36" x14ac:dyDescent="0.25">
      <c r="A110" s="134" t="str">
        <f>'Данные объект'!$B$36</f>
        <v>Курчин М.М.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/>
      <c r="AC110" s="134"/>
      <c r="AD110" s="134"/>
      <c r="AE110" s="134"/>
      <c r="AF110" s="134"/>
      <c r="AG110" s="134"/>
      <c r="AH110" s="134"/>
      <c r="AI110" s="134"/>
      <c r="AJ110" s="134"/>
    </row>
    <row r="111" spans="1:36" ht="9" customHeight="1" x14ac:dyDescent="0.25">
      <c r="A111" s="135" t="s">
        <v>35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6" t="s">
        <v>34</v>
      </c>
      <c r="AC111" s="136"/>
      <c r="AD111" s="136"/>
      <c r="AE111" s="136"/>
      <c r="AF111" s="136"/>
      <c r="AG111" s="136"/>
      <c r="AH111" s="136"/>
      <c r="AI111" s="136"/>
      <c r="AJ111" s="136"/>
    </row>
    <row r="112" spans="1:36" s="20" customFormat="1" ht="35.25" customHeight="1" x14ac:dyDescent="0.2">
      <c r="A112" s="143" t="s">
        <v>52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</row>
    <row r="113" spans="1:36" s="20" customFormat="1" ht="12" customHeight="1" x14ac:dyDescent="0.2">
      <c r="A113" s="134" t="s">
        <v>75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134" t="s">
        <v>75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ht="9" customHeight="1" x14ac:dyDescent="0.25">
      <c r="A114" s="135" t="s">
        <v>35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6" t="s">
        <v>34</v>
      </c>
      <c r="AC114" s="136"/>
      <c r="AD114" s="136"/>
      <c r="AE114" s="136"/>
      <c r="AF114" s="136"/>
      <c r="AG114" s="136"/>
      <c r="AH114" s="136"/>
      <c r="AI114" s="136"/>
      <c r="AJ114" s="136"/>
    </row>
    <row r="115" spans="1:36" s="20" customFormat="1" ht="11.25" hidden="1" x14ac:dyDescent="0.2">
      <c r="A115" s="143" t="s">
        <v>54</v>
      </c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</row>
    <row r="116" spans="1:36" s="20" customFormat="1" ht="11.25" hidden="1" x14ac:dyDescent="0.2">
      <c r="A116" s="134" t="e">
        <f>#REF!</f>
        <v>#REF!</v>
      </c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134"/>
      <c r="AC116" s="134"/>
      <c r="AD116" s="134"/>
      <c r="AE116" s="134"/>
      <c r="AF116" s="134"/>
      <c r="AG116" s="134"/>
      <c r="AH116" s="134"/>
      <c r="AI116" s="134"/>
      <c r="AJ116" s="134"/>
    </row>
    <row r="117" spans="1:36" hidden="1" x14ac:dyDescent="0.25">
      <c r="A117" s="135" t="s">
        <v>35</v>
      </c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6" t="s">
        <v>34</v>
      </c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/>
  </sheetData>
  <mergeCells count="108">
    <mergeCell ref="A114:O114"/>
    <mergeCell ref="AB114:AJ114"/>
    <mergeCell ref="A115:AJ115"/>
    <mergeCell ref="A116:O116"/>
    <mergeCell ref="AB116:AJ116"/>
    <mergeCell ref="A117:O117"/>
    <mergeCell ref="AB117:AJ117"/>
    <mergeCell ref="A110:O110"/>
    <mergeCell ref="AB110:AJ110"/>
    <mergeCell ref="A111:O111"/>
    <mergeCell ref="AB111:AJ111"/>
    <mergeCell ref="A112:AJ112"/>
    <mergeCell ref="A113:O113"/>
    <mergeCell ref="AB113:AJ113"/>
    <mergeCell ref="A104:O104"/>
    <mergeCell ref="AB104:AJ104"/>
    <mergeCell ref="A107:O107"/>
    <mergeCell ref="AB107:AJ107"/>
    <mergeCell ref="A108:O108"/>
    <mergeCell ref="AB108:AJ108"/>
    <mergeCell ref="A100:O100"/>
    <mergeCell ref="AB100:AJ100"/>
    <mergeCell ref="A101:O101"/>
    <mergeCell ref="AB101:AJ101"/>
    <mergeCell ref="A103:O103"/>
    <mergeCell ref="AB103:AJ103"/>
    <mergeCell ref="A86:AJ86"/>
    <mergeCell ref="A87:AJ87"/>
    <mergeCell ref="L88:AJ88"/>
    <mergeCell ref="H90:I90"/>
    <mergeCell ref="B93:P93"/>
    <mergeCell ref="A96:AJ96"/>
    <mergeCell ref="P77:W77"/>
    <mergeCell ref="P78:W78"/>
    <mergeCell ref="A81:AJ81"/>
    <mergeCell ref="A82:AJ82"/>
    <mergeCell ref="A83:AJ83"/>
    <mergeCell ref="A84:AJ84"/>
    <mergeCell ref="B94:P94"/>
    <mergeCell ref="B95:P95"/>
    <mergeCell ref="R72:AD72"/>
    <mergeCell ref="A73:B73"/>
    <mergeCell ref="G73:AJ73"/>
    <mergeCell ref="A74:AJ74"/>
    <mergeCell ref="A75:AJ75"/>
    <mergeCell ref="A70:F70"/>
    <mergeCell ref="H70:I70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62:M62"/>
    <mergeCell ref="Z62:AA62"/>
    <mergeCell ref="AC62:AD62"/>
    <mergeCell ref="A51:AJ51"/>
    <mergeCell ref="A52:AJ52"/>
    <mergeCell ref="A53:AJ53"/>
    <mergeCell ref="A54:AJ54"/>
    <mergeCell ref="A55:AJ55"/>
    <mergeCell ref="A56:AJ56"/>
    <mergeCell ref="Q62:V62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F209-B4FB-41E1-B7A0-DE5FD519992C}">
  <sheetPr>
    <tabColor rgb="FF92D050"/>
    <pageSetUpPr fitToPage="1"/>
  </sheetPr>
  <dimension ref="A1:AQ117"/>
  <sheetViews>
    <sheetView view="pageBreakPreview" topLeftCell="A57" zoomScale="125" zoomScaleNormal="125" zoomScaleSheetLayoutView="125" workbookViewId="0">
      <selection activeCell="AZ69" sqref="AZ69"/>
    </sheetView>
  </sheetViews>
  <sheetFormatPr defaultColWidth="10.6640625" defaultRowHeight="15" x14ac:dyDescent="0.25"/>
  <cols>
    <col min="1" max="14" width="2.83203125" style="1" customWidth="1"/>
    <col min="15" max="15" width="5.5" style="1" customWidth="1"/>
    <col min="16" max="16" width="2.83203125" style="1" customWidth="1"/>
    <col min="17" max="17" width="4.5" style="1" customWidth="1"/>
    <col min="1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20.25" customHeight="1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9.75" customHeight="1" x14ac:dyDescent="0.25">
      <c r="A6" s="144" t="s">
        <v>227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  <v>ПАО "Россети Московский регион"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  <v>ОГРН 1057746555811 ИНН 5036065113 КПП 772501001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  <v>115114, город Москва, проезд Павелецкий 2-й, дом 3, строение 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  <v>ООО «Гефест»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  <v>ОГРН 1215000057238 ИНН 5044122213 КПП 504401001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  <v>ООО «Гефест»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  <v>ОГРН 1215000057238 ИНН 5044122213 КПП 504401001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22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6" customHeight="1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</row>
    <row r="32" spans="1:36" s="20" customFormat="1" ht="12.95" customHeight="1" x14ac:dyDescent="0.2">
      <c r="A32" s="25"/>
      <c r="B32" s="25" t="s">
        <v>18</v>
      </c>
      <c r="C32" s="134">
        <f>'АОСР-6'!C32:D32+1</f>
        <v>7</v>
      </c>
      <c r="D32" s="134"/>
      <c r="E32" s="134" t="str">
        <f>'АОСР-1'!E33</f>
        <v>/ВЛЗ</v>
      </c>
      <c r="F32" s="134"/>
      <c r="G32" s="134"/>
      <c r="H32" s="59"/>
      <c r="I32" s="59"/>
      <c r="J32" s="59"/>
      <c r="X32" s="21"/>
      <c r="Y32" s="35"/>
      <c r="Z32" s="35"/>
      <c r="AB32" s="142">
        <f>P78</f>
        <v>45833</v>
      </c>
      <c r="AC32" s="142"/>
      <c r="AD32" s="142"/>
      <c r="AE32" s="142"/>
      <c r="AF32" s="142"/>
      <c r="AG32" s="142"/>
      <c r="AH32" s="142"/>
      <c r="AI32" s="142"/>
    </row>
    <row r="33" spans="1:36" ht="9" customHeight="1" x14ac:dyDescent="0.25">
      <c r="Y33" s="11"/>
      <c r="AA33" s="11"/>
      <c r="AB33" s="11"/>
      <c r="AC33" s="11"/>
      <c r="AD33" s="27" t="s">
        <v>17</v>
      </c>
      <c r="AE33" s="11"/>
      <c r="AF33" s="11"/>
      <c r="AG33" s="11"/>
      <c r="AH33" s="11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7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152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  <v>Мастер электромонтажного участка  ООО «Гефест» Красилов К.А..Приказ №01/24-ОТ от 15.01.2024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24.75" customHeight="1" x14ac:dyDescent="0.2">
      <c r="A44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x14ac:dyDescent="0.25">
      <c r="A46" s="137" t="s">
        <v>206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ht="13.5" customHeight="1" x14ac:dyDescent="0.25">
      <c r="A47" s="138" t="str">
        <f>'Данные объект'!$C$36</f>
        <v>Мастер СРЭС СЭС филиала ПАО "Россети Московский регион" Курчин М.М.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12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  <v>ООО «Гефест»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60" t="str">
        <f>'АОСР-6'!A86:AJ86</f>
        <v>Окраска опор по линии</v>
      </c>
      <c r="B62" s="60"/>
      <c r="C62" s="60"/>
      <c r="D62" s="60"/>
      <c r="E62" s="60"/>
      <c r="F62" s="60"/>
      <c r="G62" s="60"/>
      <c r="H62" s="60"/>
      <c r="I62" s="146" t="str">
        <f>'АОСР-1'!O63</f>
        <v>ВЛ-0,4 кВ ф.4 от КТП-2719</v>
      </c>
      <c r="J62" s="146"/>
      <c r="K62" s="146"/>
      <c r="L62" s="146"/>
      <c r="M62" s="146"/>
      <c r="N62" s="146"/>
      <c r="O62" s="146"/>
      <c r="P62" s="146"/>
      <c r="Q62" s="146"/>
      <c r="R62" s="103" t="s">
        <v>253</v>
      </c>
      <c r="S62" s="104"/>
      <c r="T62" s="104"/>
      <c r="U62" s="103"/>
      <c r="V62" s="103" t="s">
        <v>254</v>
      </c>
      <c r="W62" s="103"/>
      <c r="X62" s="103"/>
      <c r="Y62" s="87"/>
      <c r="Z62" s="87"/>
      <c r="AA62" s="87"/>
      <c r="AB62" s="29"/>
      <c r="AC62" s="60"/>
      <c r="AD62" s="60"/>
      <c r="AE62" s="29"/>
      <c r="AF62" s="29"/>
      <c r="AG62" s="29"/>
      <c r="AH62" s="29"/>
      <c r="AI62" s="29"/>
      <c r="AJ62" s="29"/>
    </row>
    <row r="63" spans="1:36" ht="8.25" customHeight="1" x14ac:dyDescent="0.25">
      <c r="A63" s="135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  <v>5019-331208-292-12/24</v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5" t="s">
        <v>41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0" customFormat="1" ht="12" customHeight="1" x14ac:dyDescent="0.2">
      <c r="A67" s="20" t="s">
        <v>12</v>
      </c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36" t="s">
        <v>56</v>
      </c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</row>
    <row r="69" spans="1:36" s="20" customFormat="1" ht="11.25" customHeight="1" x14ac:dyDescent="0.2">
      <c r="A69" s="165" t="s">
        <v>245</v>
      </c>
      <c r="B69" s="165"/>
      <c r="C69" s="165"/>
      <c r="D69" s="165"/>
      <c r="E69" s="165"/>
      <c r="F69" s="165"/>
      <c r="G69" s="115" t="s">
        <v>75</v>
      </c>
      <c r="H69" s="166">
        <v>12</v>
      </c>
      <c r="I69" s="166"/>
      <c r="J69" s="116" t="s">
        <v>255</v>
      </c>
      <c r="K69" s="117" t="s">
        <v>202</v>
      </c>
      <c r="L69" s="103" t="s">
        <v>246</v>
      </c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</row>
    <row r="70" spans="1:36" ht="21.75" hidden="1" customHeight="1" x14ac:dyDescent="0.25">
      <c r="A70" s="161" t="s">
        <v>241</v>
      </c>
      <c r="B70" s="161"/>
      <c r="C70" s="161"/>
      <c r="D70" s="161"/>
      <c r="E70" s="161"/>
      <c r="F70" s="161"/>
      <c r="G70" s="104" t="s">
        <v>75</v>
      </c>
      <c r="H70" s="157"/>
      <c r="I70" s="157"/>
      <c r="J70" s="108" t="s">
        <v>242</v>
      </c>
      <c r="K70" s="107" t="s">
        <v>202</v>
      </c>
      <c r="L70" s="103" t="s">
        <v>243</v>
      </c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20" customFormat="1" ht="12.75" customHeight="1" x14ac:dyDescent="0.2">
      <c r="A71" s="20" t="s">
        <v>11</v>
      </c>
    </row>
    <row r="72" spans="1:36" s="20" customFormat="1" ht="12" customHeight="1" x14ac:dyDescent="0.2">
      <c r="A72" s="20" t="s">
        <v>10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134" t="s">
        <v>247</v>
      </c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31"/>
      <c r="AF72" s="31"/>
      <c r="AG72" s="31"/>
      <c r="AH72" s="31"/>
      <c r="AI72" s="31"/>
      <c r="AJ72" s="31"/>
    </row>
    <row r="73" spans="1:36" ht="7.5" customHeight="1" x14ac:dyDescent="0.25">
      <c r="A73" s="148"/>
      <c r="B73" s="148"/>
      <c r="C73" s="8"/>
      <c r="D73" s="8"/>
      <c r="E73" s="8"/>
      <c r="F73" s="8"/>
      <c r="G73" s="136" t="s">
        <v>9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</row>
    <row r="74" spans="1:36" s="20" customFormat="1" ht="9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12" customHeight="1" x14ac:dyDescent="0.25">
      <c r="A75" s="135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1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  <v>45833</v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  <v>45833</v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ht="12" customHeight="1" x14ac:dyDescent="0.25">
      <c r="A79" s="6"/>
      <c r="B79" s="6"/>
      <c r="C79" s="6"/>
      <c r="D79" s="5"/>
      <c r="E79" s="5"/>
      <c r="F79" s="5"/>
      <c r="G79" s="5"/>
    </row>
    <row r="80" spans="1:36" s="20" customFormat="1" ht="8.25" customHeight="1" x14ac:dyDescent="0.2">
      <c r="A80" s="20" t="s">
        <v>5</v>
      </c>
    </row>
    <row r="81" spans="1:36" s="20" customFormat="1" ht="12" customHeight="1" x14ac:dyDescent="0.2">
      <c r="A81" s="149" t="s">
        <v>155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5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12" customHeight="1" x14ac:dyDescent="0.25">
      <c r="A84" s="135" t="s">
        <v>58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0" customFormat="1" ht="9" customHeight="1" x14ac:dyDescent="0.2">
      <c r="A85" s="20" t="s">
        <v>3</v>
      </c>
    </row>
    <row r="86" spans="1:36" s="20" customFormat="1" ht="12" customHeight="1" x14ac:dyDescent="0.2">
      <c r="A86" s="167" t="s">
        <v>248</v>
      </c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</row>
    <row r="87" spans="1:36" ht="6" customHeight="1" x14ac:dyDescent="0.25">
      <c r="A87" s="135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ht="4.5" customHeight="1" x14ac:dyDescent="0.25">
      <c r="D89" s="4"/>
      <c r="E89" s="4"/>
      <c r="F89" s="4"/>
      <c r="G89" s="4"/>
      <c r="H89" s="4"/>
      <c r="I89" s="4"/>
      <c r="J89" s="4"/>
    </row>
    <row r="90" spans="1:36" s="20" customFormat="1" ht="12" customHeight="1" x14ac:dyDescent="0.2">
      <c r="A90" s="20" t="s">
        <v>98</v>
      </c>
      <c r="H90" s="134"/>
      <c r="I90" s="134"/>
      <c r="J90" s="20" t="s">
        <v>33</v>
      </c>
    </row>
    <row r="91" spans="1:36" ht="12" customHeight="1" x14ac:dyDescent="0.25"/>
    <row r="92" spans="1:36" s="20" customFormat="1" ht="12.75" customHeight="1" x14ac:dyDescent="0.2">
      <c r="A92" s="20" t="s">
        <v>1</v>
      </c>
    </row>
    <row r="93" spans="1:36" ht="12" customHeight="1" x14ac:dyDescent="0.25">
      <c r="A93" s="19" t="s">
        <v>156</v>
      </c>
      <c r="B93" s="162" t="str">
        <f>R72</f>
        <v>Исполнительная схема окраски опор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34" t="s">
        <v>75</v>
      </c>
      <c r="R93" s="34" t="s">
        <v>84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ht="12" customHeight="1" x14ac:dyDescent="0.25">
      <c r="A94" s="19" t="s">
        <v>85</v>
      </c>
      <c r="B94" s="162" t="str">
        <f>L69</f>
        <v>Сертификат соответствия № РОСС RU.НE42.H03935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34" t="s">
        <v>75</v>
      </c>
      <c r="R94" s="34" t="s">
        <v>84</v>
      </c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spans="1:36" ht="12" customHeight="1" x14ac:dyDescent="0.25">
      <c r="A95" s="135" t="s">
        <v>0</v>
      </c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</row>
    <row r="96" spans="1:36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0" customFormat="1" ht="12" customHeight="1" x14ac:dyDescent="0.2">
      <c r="A97" s="20" t="s">
        <v>23</v>
      </c>
    </row>
    <row r="98" spans="1:36" s="20" customFormat="1" ht="12" customHeight="1" x14ac:dyDescent="0.2">
      <c r="A98" s="20" t="s">
        <v>24</v>
      </c>
    </row>
    <row r="99" spans="1:36" s="20" customFormat="1" ht="12" customHeight="1" x14ac:dyDescent="0.2">
      <c r="A99" s="134" t="str">
        <f>'Данные объект'!B33</f>
        <v>Алексанян Г.Р.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134"/>
      <c r="AC99" s="134"/>
      <c r="AD99" s="134"/>
      <c r="AE99" s="134"/>
      <c r="AF99" s="134"/>
      <c r="AG99" s="134"/>
      <c r="AH99" s="134"/>
      <c r="AI99" s="134"/>
      <c r="AJ99" s="134"/>
    </row>
    <row r="100" spans="1:36" ht="9" customHeight="1" x14ac:dyDescent="0.25">
      <c r="A100" s="135" t="s">
        <v>35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6" t="s">
        <v>34</v>
      </c>
      <c r="AC100" s="136"/>
      <c r="AD100" s="136"/>
      <c r="AE100" s="136"/>
      <c r="AF100" s="136"/>
      <c r="AG100" s="136"/>
      <c r="AH100" s="136"/>
      <c r="AI100" s="136"/>
      <c r="AJ100" s="136"/>
    </row>
    <row r="101" spans="1:36" s="20" customFormat="1" ht="12" customHeight="1" x14ac:dyDescent="0.2">
      <c r="A101" s="20" t="s">
        <v>25</v>
      </c>
    </row>
    <row r="102" spans="1:36" s="20" customFormat="1" ht="12" customHeight="1" x14ac:dyDescent="0.2">
      <c r="A102" s="134" t="str">
        <f>'Данные объект'!B20</f>
        <v>Красилов К.А.</v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134"/>
      <c r="AC102" s="134"/>
      <c r="AD102" s="134"/>
      <c r="AE102" s="134"/>
      <c r="AF102" s="134"/>
      <c r="AG102" s="134"/>
      <c r="AH102" s="134"/>
      <c r="AI102" s="134"/>
      <c r="AJ102" s="134"/>
    </row>
    <row r="103" spans="1:36" ht="9" customHeight="1" x14ac:dyDescent="0.25">
      <c r="A103" s="135" t="s">
        <v>35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6" t="s">
        <v>34</v>
      </c>
      <c r="AC103" s="136"/>
      <c r="AD103" s="136"/>
      <c r="AE103" s="136"/>
      <c r="AF103" s="136"/>
      <c r="AG103" s="136"/>
      <c r="AH103" s="136"/>
      <c r="AI103" s="136"/>
      <c r="AJ103" s="136"/>
    </row>
    <row r="104" spans="1:36" s="20" customFormat="1" ht="12" customHeight="1" x14ac:dyDescent="0.2">
      <c r="A104" s="20" t="s">
        <v>27</v>
      </c>
    </row>
    <row r="105" spans="1:36" s="20" customFormat="1" ht="12" customHeight="1" x14ac:dyDescent="0.2">
      <c r="A105" s="20" t="s">
        <v>28</v>
      </c>
    </row>
    <row r="106" spans="1:36" s="20" customFormat="1" ht="12" customHeight="1" x14ac:dyDescent="0.2">
      <c r="A106" s="134" t="str">
        <f>'Данные объект'!B17</f>
        <v>Саженова Л.В.</v>
      </c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134"/>
      <c r="AC106" s="134"/>
      <c r="AD106" s="134"/>
      <c r="AE106" s="134"/>
      <c r="AF106" s="134"/>
      <c r="AG106" s="134"/>
      <c r="AH106" s="134"/>
      <c r="AI106" s="134"/>
      <c r="AJ106" s="134"/>
    </row>
    <row r="107" spans="1:36" ht="9" customHeight="1" x14ac:dyDescent="0.25">
      <c r="A107" s="135" t="s">
        <v>35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6" t="s">
        <v>34</v>
      </c>
      <c r="AC107" s="136"/>
      <c r="AD107" s="136"/>
      <c r="AE107" s="136"/>
      <c r="AF107" s="136"/>
      <c r="AG107" s="136"/>
      <c r="AH107" s="136"/>
      <c r="AI107" s="136"/>
      <c r="AJ107" s="136"/>
    </row>
    <row r="108" spans="1:36" ht="9" customHeight="1" x14ac:dyDescent="0.25">
      <c r="A108" s="20" t="s">
        <v>205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13"/>
      <c r="AC108" s="113"/>
      <c r="AD108" s="113"/>
      <c r="AE108" s="113"/>
      <c r="AF108" s="113"/>
      <c r="AG108" s="113"/>
      <c r="AH108" s="113"/>
      <c r="AI108" s="113"/>
      <c r="AJ108" s="113"/>
    </row>
    <row r="109" spans="1:36" x14ac:dyDescent="0.25">
      <c r="A109" s="134" t="str">
        <f>'Данные объект'!$B$36</f>
        <v>Курчин М.М.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/>
      <c r="AC109" s="134"/>
      <c r="AD109" s="134"/>
      <c r="AE109" s="134"/>
      <c r="AF109" s="134"/>
      <c r="AG109" s="134"/>
      <c r="AH109" s="134"/>
      <c r="AI109" s="134"/>
      <c r="AJ109" s="134"/>
    </row>
    <row r="110" spans="1:36" ht="9" customHeight="1" x14ac:dyDescent="0.25">
      <c r="A110" s="135" t="s">
        <v>35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6" t="s">
        <v>34</v>
      </c>
      <c r="AC110" s="136"/>
      <c r="AD110" s="136"/>
      <c r="AE110" s="136"/>
      <c r="AF110" s="136"/>
      <c r="AG110" s="136"/>
      <c r="AH110" s="136"/>
      <c r="AI110" s="136"/>
      <c r="AJ110" s="136"/>
    </row>
    <row r="111" spans="1:36" s="20" customFormat="1" ht="35.25" customHeight="1" x14ac:dyDescent="0.2">
      <c r="A111" s="143" t="s">
        <v>52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20" customFormat="1" ht="12" customHeight="1" x14ac:dyDescent="0.2">
      <c r="A112" s="134" t="s">
        <v>75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134" t="s">
        <v>75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ht="9" customHeight="1" x14ac:dyDescent="0.25">
      <c r="A113" s="135" t="s">
        <v>35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6" t="s">
        <v>34</v>
      </c>
      <c r="AC113" s="136"/>
      <c r="AD113" s="136"/>
      <c r="AE113" s="136"/>
      <c r="AF113" s="136"/>
      <c r="AG113" s="136"/>
      <c r="AH113" s="136"/>
      <c r="AI113" s="136"/>
      <c r="AJ113" s="136"/>
    </row>
    <row r="114" spans="1:36" s="20" customFormat="1" ht="11.25" hidden="1" x14ac:dyDescent="0.2">
      <c r="A114" s="143" t="s">
        <v>54</v>
      </c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20" customFormat="1" ht="11.25" hidden="1" x14ac:dyDescent="0.2">
      <c r="A115" s="134" t="e">
        <f>#REF!</f>
        <v>#REF!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134"/>
      <c r="AC115" s="134"/>
      <c r="AD115" s="134"/>
      <c r="AE115" s="134"/>
      <c r="AF115" s="134"/>
      <c r="AG115" s="134"/>
      <c r="AH115" s="134"/>
      <c r="AI115" s="134"/>
      <c r="AJ115" s="134"/>
    </row>
    <row r="116" spans="1:36" hidden="1" x14ac:dyDescent="0.25">
      <c r="A116" s="135" t="s">
        <v>35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6" t="s">
        <v>34</v>
      </c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customHeight="1" x14ac:dyDescent="0.25"/>
  </sheetData>
  <mergeCells count="104"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113:O113"/>
    <mergeCell ref="AB113:AJ113"/>
    <mergeCell ref="A114:AJ114"/>
    <mergeCell ref="A115:O115"/>
    <mergeCell ref="AB115:AJ115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84:AJ84"/>
    <mergeCell ref="A86:AJ86"/>
    <mergeCell ref="A87:AJ87"/>
    <mergeCell ref="L88:AJ88"/>
    <mergeCell ref="H90:I90"/>
    <mergeCell ref="B93:P93"/>
    <mergeCell ref="B94:P94"/>
    <mergeCell ref="A75:AJ75"/>
    <mergeCell ref="P77:W77"/>
    <mergeCell ref="P78:W78"/>
    <mergeCell ref="A81:AJ81"/>
    <mergeCell ref="A82:AJ82"/>
    <mergeCell ref="A83:AJ83"/>
    <mergeCell ref="A70:F70"/>
    <mergeCell ref="H70:I70"/>
    <mergeCell ref="R72:AD72"/>
    <mergeCell ref="A73:B73"/>
    <mergeCell ref="G73:AJ73"/>
    <mergeCell ref="A74:AJ74"/>
    <mergeCell ref="A63:AJ63"/>
    <mergeCell ref="A65:AJ65"/>
    <mergeCell ref="A66:AJ66"/>
    <mergeCell ref="P67:AJ67"/>
    <mergeCell ref="P68:AJ68"/>
    <mergeCell ref="A69:F69"/>
    <mergeCell ref="H69:I69"/>
    <mergeCell ref="A58:AJ58"/>
    <mergeCell ref="A59:AJ59"/>
    <mergeCell ref="A51:AJ51"/>
    <mergeCell ref="A52:AJ52"/>
    <mergeCell ref="A53:AJ53"/>
    <mergeCell ref="A54:AJ54"/>
    <mergeCell ref="A55:AJ55"/>
    <mergeCell ref="A56:AJ56"/>
    <mergeCell ref="I62:Q62"/>
    <mergeCell ref="A45:AJ45"/>
    <mergeCell ref="A46:AJ46"/>
    <mergeCell ref="A47:AJ47"/>
    <mergeCell ref="A48:AJ48"/>
    <mergeCell ref="A49:AJ49"/>
    <mergeCell ref="A50:AJ50"/>
    <mergeCell ref="A42:AJ42"/>
    <mergeCell ref="A43:AJ43"/>
    <mergeCell ref="A44:AJ44"/>
    <mergeCell ref="C32:D32"/>
    <mergeCell ref="E32:G32"/>
    <mergeCell ref="AB32:AI32"/>
    <mergeCell ref="A35:AJ35"/>
    <mergeCell ref="A36:AJ36"/>
    <mergeCell ref="A37:AJ37"/>
    <mergeCell ref="A27:AJ27"/>
    <mergeCell ref="A29:AJ29"/>
    <mergeCell ref="A30:AJ30"/>
    <mergeCell ref="A20:AJ20"/>
    <mergeCell ref="A22:AJ22"/>
    <mergeCell ref="A23:AJ23"/>
    <mergeCell ref="A38:AJ38"/>
    <mergeCell ref="A39:AJ39"/>
    <mergeCell ref="A41:AJ41"/>
    <mergeCell ref="A4:AJ4"/>
    <mergeCell ref="A5:AJ5"/>
    <mergeCell ref="A6:AJ6"/>
    <mergeCell ref="A7:AJ7"/>
    <mergeCell ref="A8:AJ8"/>
    <mergeCell ref="A9:AJ9"/>
    <mergeCell ref="A24:AJ24"/>
    <mergeCell ref="A25:AJ25"/>
    <mergeCell ref="A26:AJ26"/>
    <mergeCell ref="A17:AJ17"/>
    <mergeCell ref="A18:AJ18"/>
    <mergeCell ref="A19:AJ19"/>
    <mergeCell ref="A10:AJ10"/>
    <mergeCell ref="A11:AJ11"/>
    <mergeCell ref="A12:AJ12"/>
    <mergeCell ref="A13:AJ13"/>
    <mergeCell ref="A15:AJ15"/>
    <mergeCell ref="A16:AJ16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Q116"/>
  <sheetViews>
    <sheetView view="pageBreakPreview" topLeftCell="A51" zoomScale="125" zoomScaleNormal="125" zoomScaleSheetLayoutView="125" workbookViewId="0">
      <selection activeCell="A45" sqref="A45:AJ45"/>
    </sheetView>
  </sheetViews>
  <sheetFormatPr defaultColWidth="10.6640625" defaultRowHeight="15" x14ac:dyDescent="0.25"/>
  <cols>
    <col min="1" max="13" width="2.83203125" style="1" customWidth="1"/>
    <col min="14" max="14" width="3.33203125" style="1" customWidth="1"/>
    <col min="15" max="31" width="2.83203125" style="1" customWidth="1"/>
    <col min="32" max="32" width="3" style="1" customWidth="1"/>
    <col min="33" max="35" width="2.83203125" style="1" customWidth="1"/>
    <col min="36" max="36" width="2.33203125" style="1" customWidth="1"/>
    <col min="37" max="51" width="2.83203125" style="1" customWidth="1"/>
    <col min="52" max="16384" width="10.6640625" style="1"/>
  </cols>
  <sheetData>
    <row r="1" spans="1:43" s="20" customFormat="1" ht="12.75" customHeight="1" x14ac:dyDescent="0.2">
      <c r="AJ1" s="21" t="s">
        <v>43</v>
      </c>
    </row>
    <row r="2" spans="1:43" s="20" customFormat="1" ht="11.25" customHeight="1" x14ac:dyDescent="0.2">
      <c r="AJ2" s="21" t="s">
        <v>42</v>
      </c>
    </row>
    <row r="3" spans="1:43" s="20" customFormat="1" ht="14.25" customHeight="1" x14ac:dyDescent="0.2">
      <c r="A3" s="20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20" customFormat="1" ht="24" customHeight="1" x14ac:dyDescent="0.2">
      <c r="A4" s="138" t="str">
        <f>'Данные объект'!B3</f>
        <v>Строительство ВЛИ-0,38 кВ от ВЛИ-0,38 кВ от ТП-10/0,4кВ №2719, ПС №329 "Осиновка", в т.ч. ПИР, МО, Солнечногорский р-н, с.п. Кривцовское, в р-не д. Шапкино, СНТ "Костино", уч. 130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</row>
    <row r="5" spans="1:43" s="20" customFormat="1" ht="13.5" customHeight="1" x14ac:dyDescent="0.2">
      <c r="A5" s="138" t="str">
        <f>'Данные объект'!B9</f>
        <v>ВЛ-0,4 кВ ф.4 от КТП-2719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</row>
    <row r="6" spans="1:43" ht="18.75" customHeight="1" x14ac:dyDescent="0.25">
      <c r="A6" s="139" t="s">
        <v>37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</row>
    <row r="7" spans="1:43" s="20" customFormat="1" ht="12.75" customHeight="1" x14ac:dyDescent="0.2">
      <c r="A7" s="137" t="s">
        <v>44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</row>
    <row r="8" spans="1:43" s="20" customFormat="1" ht="12" customHeight="1" x14ac:dyDescent="0.2">
      <c r="A8" s="146" t="str">
        <f>'Данные объект'!B23</f>
        <v>ПАО "Россети Московский регион"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</row>
    <row r="9" spans="1:43" ht="19.5" customHeight="1" x14ac:dyDescent="0.25">
      <c r="A9" s="139" t="s">
        <v>59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43" s="20" customFormat="1" ht="12" customHeight="1" x14ac:dyDescent="0.2">
      <c r="A10" s="146" t="str">
        <f>'Данные объект'!B24</f>
        <v>ОГРН 1057746555811 ИНН 5036065113 КПП 772501001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</row>
    <row r="11" spans="1:43" ht="28.5" customHeight="1" x14ac:dyDescent="0.25">
      <c r="A11" s="139" t="s">
        <v>60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43" s="20" customFormat="1" ht="12" customHeight="1" x14ac:dyDescent="0.2">
      <c r="A12" s="146" t="str">
        <f>'Данные объект'!B25</f>
        <v>115114, город Москва, проезд Павелецкий 2-й, дом 3, строение 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</row>
    <row r="13" spans="1:43" ht="11.25" customHeight="1" x14ac:dyDescent="0.25">
      <c r="A13" s="139" t="s">
        <v>45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43" s="20" customFormat="1" ht="12" customHeight="1" x14ac:dyDescent="0.2">
      <c r="A14" s="20" t="s">
        <v>22</v>
      </c>
    </row>
    <row r="15" spans="1:43" s="20" customFormat="1" ht="12" customHeight="1" x14ac:dyDescent="0.2">
      <c r="A15" s="146" t="str">
        <f>'Данные объект'!B11</f>
        <v>ООО «Гефест»</v>
      </c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</row>
    <row r="16" spans="1:43" ht="9.75" customHeight="1" x14ac:dyDescent="0.25">
      <c r="A16" s="139" t="s">
        <v>39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</row>
    <row r="17" spans="1:36" s="20" customFormat="1" ht="12" customHeight="1" x14ac:dyDescent="0.2">
      <c r="A17" s="146" t="str">
        <f>'Данные объект'!B12</f>
        <v>ОГРН 1215000057238 ИНН 5044122213 КПП 504401001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</row>
    <row r="18" spans="1:36" ht="8.25" customHeight="1" x14ac:dyDescent="0.25">
      <c r="A18" s="139" t="s">
        <v>46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</row>
    <row r="19" spans="1:36" s="20" customFormat="1" ht="12" customHeight="1" x14ac:dyDescent="0.2">
      <c r="A19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</row>
    <row r="20" spans="1:36" ht="27" customHeight="1" x14ac:dyDescent="0.25">
      <c r="A20" s="139" t="s">
        <v>61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</row>
    <row r="21" spans="1:36" s="20" customFormat="1" ht="12" customHeight="1" x14ac:dyDescent="0.2">
      <c r="A21" s="20" t="s">
        <v>20</v>
      </c>
    </row>
    <row r="22" spans="1:36" s="20" customFormat="1" ht="12" customHeight="1" x14ac:dyDescent="0.2">
      <c r="A22" s="146" t="str">
        <f>'Данные объект'!B39</f>
        <v>ООО «Гефест»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</row>
    <row r="23" spans="1:36" ht="7.5" customHeight="1" x14ac:dyDescent="0.25">
      <c r="A23" s="139" t="s">
        <v>38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s="20" customFormat="1" ht="12" customHeight="1" x14ac:dyDescent="0.2">
      <c r="A24" s="146" t="str">
        <f>'Данные объект'!B12</f>
        <v>ОГРН 1215000057238 ИНН 5044122213 КПП 504401001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</row>
    <row r="25" spans="1:36" ht="7.5" customHeight="1" x14ac:dyDescent="0.25">
      <c r="A25" s="139" t="s">
        <v>62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</row>
    <row r="26" spans="1:36" s="20" customFormat="1" ht="12" customHeight="1" x14ac:dyDescent="0.2">
      <c r="A26" s="146" t="str">
        <f>'Данные объект'!B13</f>
        <v>141508, Московская область, г.о. Солнечногорск, г Солнечногорск, ул Промышленная, строение 29А, корпус 1, офис 11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</row>
    <row r="27" spans="1:36" ht="19.5" customHeight="1" x14ac:dyDescent="0.25">
      <c r="A27" s="139" t="s">
        <v>47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0" customFormat="1" ht="12.95" customHeight="1" x14ac:dyDescent="0.2">
      <c r="A29" s="152" t="s">
        <v>36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</row>
    <row r="30" spans="1:36" s="20" customFormat="1" ht="12.95" customHeight="1" x14ac:dyDescent="0.2">
      <c r="A30" s="153" t="s">
        <v>19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</row>
    <row r="31" spans="1:36" s="20" customFormat="1" ht="12.95" customHeigh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36" s="20" customFormat="1" ht="12.95" customHeight="1" x14ac:dyDescent="0.2">
      <c r="A32" s="25"/>
      <c r="B32" s="25" t="s">
        <v>18</v>
      </c>
      <c r="C32" s="134" t="s">
        <v>157</v>
      </c>
      <c r="D32" s="134"/>
      <c r="E32" s="134" t="str">
        <f>'АОСР-1'!E33</f>
        <v>/ВЛЗ</v>
      </c>
      <c r="F32" s="134"/>
      <c r="G32" s="134"/>
      <c r="H32" s="59"/>
      <c r="I32" s="59"/>
      <c r="J32" s="59"/>
      <c r="X32" s="21"/>
      <c r="Y32" s="35"/>
      <c r="Z32" s="35"/>
      <c r="AB32" s="142">
        <f>'Данные объект'!B7</f>
        <v>45833</v>
      </c>
      <c r="AC32" s="142"/>
      <c r="AD32" s="142"/>
      <c r="AE32" s="142"/>
      <c r="AF32" s="142"/>
      <c r="AG32" s="142"/>
      <c r="AH32" s="142"/>
      <c r="AI32" s="142"/>
    </row>
    <row r="33" spans="1:36" ht="12.95" customHeight="1" x14ac:dyDescent="0.25">
      <c r="Y33" s="11"/>
      <c r="Z33" s="14"/>
      <c r="AA33" s="11"/>
      <c r="AB33" s="168" t="s">
        <v>17</v>
      </c>
      <c r="AC33" s="168"/>
      <c r="AD33" s="168"/>
      <c r="AE33" s="168"/>
      <c r="AF33" s="168"/>
      <c r="AG33" s="168"/>
      <c r="AH33" s="168"/>
      <c r="AI33" s="168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0" customFormat="1" ht="21.75" customHeight="1" x14ac:dyDescent="0.2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</row>
    <row r="36" spans="1:36" s="20" customFormat="1" ht="23.25" customHeight="1" x14ac:dyDescent="0.2">
      <c r="A36" s="138" t="str">
        <f>'Данные объект'!C34</f>
        <v>Гл. специалист ССК УКС ПАО "Россети Московский регион" Алексанян Г.Р., Приказ №2363 от 29 апреля 2025г. (НОСТРОЙ С-50-15922)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</row>
    <row r="37" spans="1:36" ht="28.5" customHeight="1" x14ac:dyDescent="0.25">
      <c r="A37" s="139" t="s">
        <v>152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</row>
    <row r="38" spans="1:36" s="20" customFormat="1" ht="24" customHeight="1" x14ac:dyDescent="0.2">
      <c r="A38" s="138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ht="25.5" customHeight="1" x14ac:dyDescent="0.25">
      <c r="A39" s="151" t="s">
        <v>49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</row>
    <row r="40" spans="1:36" s="20" customFormat="1" ht="12" customHeight="1" x14ac:dyDescent="0.2">
      <c r="A40" s="20" t="s">
        <v>25</v>
      </c>
    </row>
    <row r="41" spans="1:36" s="20" customFormat="1" ht="12" customHeight="1" x14ac:dyDescent="0.2">
      <c r="A41" s="146" t="str">
        <f>'Данные объект'!C21</f>
        <v>Мастер электромонтажного участка  ООО «Гефест» Красилов К.А..Приказ №01/24-ОТ от 15.01.2024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</row>
    <row r="42" spans="1:36" ht="9" customHeight="1" x14ac:dyDescent="0.25">
      <c r="A42" s="139" t="s">
        <v>26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</row>
    <row r="43" spans="1:36" s="20" customFormat="1" ht="15" customHeight="1" x14ac:dyDescent="0.2">
      <c r="A43" s="137" t="s">
        <v>50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</row>
    <row r="44" spans="1:36" s="28" customFormat="1" ht="11.25" x14ac:dyDescent="0.2">
      <c r="A44" s="138" t="str">
        <f>'Данные объект'!C18</f>
        <v>Инженер по строительному контролю ООО «Гефест» Саженова Л.В..Приказ №01/24-ОТ от 15.01.2024 (НРС № С-61-104369)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</row>
    <row r="45" spans="1:36" ht="30" customHeight="1" x14ac:dyDescent="0.25">
      <c r="A45" s="139" t="s">
        <v>51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</row>
    <row r="46" spans="1:36" ht="11.25" customHeight="1" x14ac:dyDescent="0.25">
      <c r="A46" s="137" t="s">
        <v>206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1:36" x14ac:dyDescent="0.25">
      <c r="A47" s="138" t="str">
        <f>'Данные объект'!$C$36</f>
        <v>Мастер СРЭС СЭС филиала ПАО "Россети Московский регион" Курчин М.М.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</row>
    <row r="48" spans="1:36" ht="9.75" customHeight="1" x14ac:dyDescent="0.25">
      <c r="A48" s="139" t="s">
        <v>26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</row>
    <row r="49" spans="1:36" s="20" customFormat="1" ht="38.25" customHeight="1" x14ac:dyDescent="0.2">
      <c r="A49" s="143" t="s">
        <v>52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</row>
    <row r="50" spans="1:36" s="28" customFormat="1" ht="12.95" customHeight="1" x14ac:dyDescent="0.2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</row>
    <row r="51" spans="1:36" ht="29.25" customHeight="1" x14ac:dyDescent="0.25">
      <c r="A51" s="139" t="s">
        <v>53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</row>
    <row r="52" spans="1:36" s="20" customFormat="1" ht="27" hidden="1" customHeight="1" x14ac:dyDescent="0.2">
      <c r="A52" s="143" t="s">
        <v>54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</row>
    <row r="53" spans="1:36" s="20" customFormat="1" ht="12" hidden="1" customHeight="1" x14ac:dyDescent="0.2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</row>
    <row r="54" spans="1:36" ht="9.75" hidden="1" customHeight="1" x14ac:dyDescent="0.25">
      <c r="A54" s="139" t="s">
        <v>29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</row>
    <row r="55" spans="1:36" s="20" customFormat="1" ht="12" hidden="1" customHeight="1" x14ac:dyDescent="0.2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ht="16.5" hidden="1" customHeight="1" x14ac:dyDescent="0.25">
      <c r="A56" s="139" t="s">
        <v>55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</row>
    <row r="57" spans="1:36" s="20" customFormat="1" ht="12" customHeight="1" x14ac:dyDescent="0.2">
      <c r="A57" s="20" t="s">
        <v>16</v>
      </c>
    </row>
    <row r="58" spans="1:36" s="20" customFormat="1" ht="12.95" customHeight="1" x14ac:dyDescent="0.2">
      <c r="A58" s="134" t="str">
        <f>'Данные объект'!B11</f>
        <v>ООО «Гефест»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0.5" customHeight="1" x14ac:dyDescent="0.25">
      <c r="A59" s="135" t="s">
        <v>40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s="20" customFormat="1" ht="12" customHeight="1" x14ac:dyDescent="0.2">
      <c r="A60" s="20" t="s">
        <v>15</v>
      </c>
    </row>
    <row r="61" spans="1:36" s="20" customFormat="1" ht="12" customHeight="1" x14ac:dyDescent="0.2">
      <c r="A61" s="20" t="s">
        <v>30</v>
      </c>
    </row>
    <row r="62" spans="1:36" s="20" customFormat="1" ht="12" customHeight="1" x14ac:dyDescent="0.2">
      <c r="A62" s="150" t="s">
        <v>177</v>
      </c>
      <c r="B62" s="150"/>
      <c r="C62" s="150"/>
      <c r="D62" s="150"/>
      <c r="E62" s="150"/>
      <c r="F62" s="150"/>
      <c r="G62" s="150"/>
      <c r="H62" s="150"/>
      <c r="I62" s="150"/>
      <c r="J62" s="169" t="s">
        <v>18</v>
      </c>
      <c r="K62" s="169"/>
      <c r="L62" s="169"/>
      <c r="M62" s="169"/>
      <c r="N62" s="169" t="s">
        <v>179</v>
      </c>
      <c r="O62" s="169"/>
      <c r="P62" s="169"/>
      <c r="Q62" s="169"/>
      <c r="R62" s="169" t="s">
        <v>160</v>
      </c>
      <c r="S62" s="169"/>
      <c r="T62" s="169"/>
      <c r="U62" s="169"/>
      <c r="V62" s="60" t="s">
        <v>178</v>
      </c>
      <c r="W62" s="60"/>
      <c r="X62" s="169" t="s">
        <v>181</v>
      </c>
      <c r="Y62" s="169"/>
      <c r="Z62" s="169"/>
      <c r="AA62" s="169"/>
      <c r="AB62" s="87"/>
      <c r="AC62" s="87"/>
      <c r="AD62" s="87"/>
      <c r="AE62" s="87"/>
      <c r="AF62" s="61"/>
      <c r="AG62" s="61"/>
      <c r="AH62" s="61"/>
      <c r="AI62" s="61"/>
      <c r="AJ62" s="61"/>
    </row>
    <row r="63" spans="1:36" ht="8.25" customHeight="1" x14ac:dyDescent="0.25">
      <c r="A63" s="139" t="s">
        <v>14</v>
      </c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</row>
    <row r="64" spans="1:36" s="20" customFormat="1" ht="12" customHeight="1" x14ac:dyDescent="0.2">
      <c r="A64" s="20" t="s">
        <v>13</v>
      </c>
    </row>
    <row r="65" spans="1:36" s="20" customFormat="1" ht="12" customHeight="1" x14ac:dyDescent="0.2">
      <c r="A65" s="138" t="str">
        <f>'Данные объект'!B43</f>
        <v>5019-331208-292-12/24</v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</row>
    <row r="66" spans="1:36" ht="15" customHeight="1" x14ac:dyDescent="0.25">
      <c r="A66" s="139" t="s">
        <v>41</v>
      </c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</row>
    <row r="67" spans="1:36" s="20" customFormat="1" ht="12" customHeight="1" x14ac:dyDescent="0.2">
      <c r="A67" s="20" t="s">
        <v>153</v>
      </c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40" t="s">
        <v>56</v>
      </c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</row>
    <row r="69" spans="1:36" s="20" customFormat="1" ht="12" customHeight="1" x14ac:dyDescent="0.2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</row>
    <row r="70" spans="1:36" ht="18.75" customHeight="1" x14ac:dyDescent="0.25">
      <c r="A70" s="139" t="s">
        <v>57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s="20" customFormat="1" ht="12" customHeight="1" x14ac:dyDescent="0.2">
      <c r="A71" s="20" t="s">
        <v>11</v>
      </c>
      <c r="H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s="20" customFormat="1" ht="12" customHeight="1" x14ac:dyDescent="0.2">
      <c r="A72" s="20" t="s">
        <v>10</v>
      </c>
      <c r="E72" s="31"/>
      <c r="F72" s="31" t="s">
        <v>154</v>
      </c>
      <c r="G72" s="61"/>
      <c r="H72" s="61"/>
      <c r="I72" s="61"/>
      <c r="J72" s="61"/>
      <c r="K72" s="61"/>
      <c r="L72" s="61"/>
      <c r="M72" s="61"/>
      <c r="N72" s="61"/>
      <c r="O72" s="61"/>
      <c r="P72" s="31"/>
      <c r="Q72" s="61"/>
      <c r="R72" s="61"/>
      <c r="S72" s="61"/>
      <c r="T72" s="61"/>
      <c r="U72" s="3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</row>
    <row r="73" spans="1:36" ht="7.5" customHeight="1" x14ac:dyDescent="0.25">
      <c r="A73" s="148"/>
      <c r="B73" s="148"/>
      <c r="C73" s="8"/>
      <c r="D73" s="8"/>
      <c r="E73" s="8"/>
      <c r="F73" s="8"/>
      <c r="G73" s="140" t="s">
        <v>9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s="20" customFormat="1" ht="12" customHeight="1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</row>
    <row r="75" spans="1:36" ht="7.5" customHeight="1" x14ac:dyDescent="0.25">
      <c r="A75" s="139" t="s">
        <v>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0" customFormat="1" ht="12" customHeight="1" x14ac:dyDescent="0.2">
      <c r="A77" s="20" t="s">
        <v>8</v>
      </c>
      <c r="D77" s="62"/>
      <c r="E77" s="62"/>
      <c r="F77" s="62"/>
      <c r="G77" s="62"/>
      <c r="L77" s="21"/>
      <c r="M77" s="35"/>
      <c r="N77" s="35"/>
      <c r="P77" s="142">
        <f>'Данные объект'!B6</f>
        <v>45833</v>
      </c>
      <c r="Q77" s="142"/>
      <c r="R77" s="142"/>
      <c r="S77" s="142"/>
      <c r="T77" s="142"/>
      <c r="U77" s="142"/>
      <c r="V77" s="142"/>
      <c r="W77" s="142"/>
      <c r="X77" s="20" t="s">
        <v>6</v>
      </c>
    </row>
    <row r="78" spans="1:36" s="20" customFormat="1" ht="12" customHeight="1" x14ac:dyDescent="0.2">
      <c r="A78" s="20" t="s">
        <v>7</v>
      </c>
      <c r="D78" s="62"/>
      <c r="E78" s="62"/>
      <c r="F78" s="62"/>
      <c r="G78" s="62"/>
      <c r="L78" s="21"/>
      <c r="M78" s="35"/>
      <c r="N78" s="35"/>
      <c r="P78" s="142">
        <f>'Данные объект'!B7</f>
        <v>45833</v>
      </c>
      <c r="Q78" s="142"/>
      <c r="R78" s="142"/>
      <c r="S78" s="142"/>
      <c r="T78" s="142"/>
      <c r="U78" s="142"/>
      <c r="V78" s="142"/>
      <c r="W78" s="142"/>
      <c r="X78" s="20" t="s">
        <v>6</v>
      </c>
    </row>
    <row r="79" spans="1:36" s="20" customFormat="1" ht="7.5" customHeight="1" x14ac:dyDescent="0.2">
      <c r="A79" s="32"/>
      <c r="B79" s="32"/>
      <c r="C79" s="32"/>
      <c r="D79" s="33"/>
      <c r="E79" s="33"/>
      <c r="F79" s="33"/>
      <c r="G79" s="33"/>
    </row>
    <row r="80" spans="1:36" s="20" customFormat="1" ht="12" customHeight="1" x14ac:dyDescent="0.2">
      <c r="A80" s="20" t="s">
        <v>5</v>
      </c>
    </row>
    <row r="81" spans="1:36" s="20" customFormat="1" ht="12" customHeight="1" x14ac:dyDescent="0.2">
      <c r="A81" s="149" t="s">
        <v>155</v>
      </c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</row>
    <row r="82" spans="1:36" ht="8.25" customHeight="1" x14ac:dyDescent="0.25">
      <c r="A82" s="139" t="s">
        <v>4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s="20" customFormat="1" ht="12" customHeight="1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</row>
    <row r="84" spans="1:36" ht="8.25" customHeight="1" x14ac:dyDescent="0.25">
      <c r="A84" s="139" t="s">
        <v>58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s="20" customFormat="1" ht="12" customHeight="1" x14ac:dyDescent="0.2">
      <c r="A85" s="20" t="s">
        <v>3</v>
      </c>
    </row>
    <row r="86" spans="1:36" s="20" customFormat="1" ht="12" customHeight="1" x14ac:dyDescent="0.2">
      <c r="A86" s="134" t="s">
        <v>182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</row>
    <row r="87" spans="1:36" ht="9" customHeight="1" x14ac:dyDescent="0.25">
      <c r="A87" s="139" t="s">
        <v>32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</row>
    <row r="88" spans="1:36" s="20" customFormat="1" ht="12" customHeight="1" x14ac:dyDescent="0.2">
      <c r="A88" s="20" t="s">
        <v>2</v>
      </c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</row>
    <row r="89" spans="1:36" s="20" customFormat="1" ht="6" customHeight="1" x14ac:dyDescent="0.2">
      <c r="D89" s="36"/>
      <c r="E89" s="36"/>
      <c r="F89" s="36"/>
      <c r="G89" s="36"/>
      <c r="H89" s="36"/>
      <c r="I89" s="36"/>
      <c r="J89" s="36"/>
    </row>
    <row r="90" spans="1:36" s="20" customFormat="1" ht="12" customHeight="1" x14ac:dyDescent="0.2">
      <c r="A90" s="20" t="s">
        <v>98</v>
      </c>
      <c r="H90" s="134"/>
      <c r="I90" s="134"/>
      <c r="J90" s="20" t="s">
        <v>33</v>
      </c>
    </row>
    <row r="91" spans="1:36" s="20" customFormat="1" ht="4.5" customHeight="1" x14ac:dyDescent="0.2"/>
    <row r="92" spans="1:36" s="20" customFormat="1" ht="12" customHeight="1" x14ac:dyDescent="0.2">
      <c r="A92" s="20" t="s">
        <v>1</v>
      </c>
    </row>
    <row r="93" spans="1:36" s="63" customFormat="1" ht="12" customHeight="1" x14ac:dyDescent="0.2">
      <c r="A93" s="31" t="s">
        <v>156</v>
      </c>
      <c r="B93" s="31" t="str">
        <f>F72</f>
        <v>Исполнительная схема шурфления под опоры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 t="s">
        <v>75</v>
      </c>
      <c r="T93" s="31" t="s">
        <v>84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ht="9.75" customHeight="1" x14ac:dyDescent="0.25">
      <c r="A94" s="139" t="s">
        <v>0</v>
      </c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</row>
    <row r="95" spans="1:36" ht="6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</row>
    <row r="96" spans="1:36" s="20" customFormat="1" ht="12" customHeight="1" x14ac:dyDescent="0.2">
      <c r="A96" s="20" t="s">
        <v>23</v>
      </c>
    </row>
    <row r="97" spans="1:36" s="20" customFormat="1" ht="12" customHeight="1" x14ac:dyDescent="0.2">
      <c r="A97" s="20" t="s">
        <v>24</v>
      </c>
    </row>
    <row r="98" spans="1:36" s="20" customFormat="1" ht="12" customHeight="1" x14ac:dyDescent="0.2">
      <c r="A98" s="134" t="str">
        <f>'Данные объект'!B33</f>
        <v>Алексанян Г.Р.</v>
      </c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134"/>
      <c r="AC98" s="134"/>
      <c r="AD98" s="134"/>
      <c r="AE98" s="134"/>
      <c r="AF98" s="134"/>
      <c r="AG98" s="134"/>
      <c r="AH98" s="134"/>
      <c r="AI98" s="134"/>
      <c r="AJ98" s="134"/>
    </row>
    <row r="99" spans="1:36" ht="9" customHeight="1" x14ac:dyDescent="0.25">
      <c r="A99" s="135" t="s">
        <v>35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6" t="s">
        <v>34</v>
      </c>
      <c r="AC99" s="136"/>
      <c r="AD99" s="136"/>
      <c r="AE99" s="136"/>
      <c r="AF99" s="136"/>
      <c r="AG99" s="136"/>
      <c r="AH99" s="136"/>
      <c r="AI99" s="136"/>
      <c r="AJ99" s="136"/>
    </row>
    <row r="100" spans="1:36" s="20" customFormat="1" ht="12" customHeight="1" x14ac:dyDescent="0.2">
      <c r="A100" s="20" t="s">
        <v>25</v>
      </c>
    </row>
    <row r="101" spans="1:36" s="20" customFormat="1" ht="12" customHeight="1" x14ac:dyDescent="0.2">
      <c r="A101" s="134" t="str">
        <f>'Данные объект'!B20</f>
        <v>Красилов К.А.</v>
      </c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134"/>
      <c r="AC101" s="134"/>
      <c r="AD101" s="134"/>
      <c r="AE101" s="134"/>
      <c r="AF101" s="134"/>
      <c r="AG101" s="134"/>
      <c r="AH101" s="134"/>
      <c r="AI101" s="134"/>
      <c r="AJ101" s="134"/>
    </row>
    <row r="102" spans="1:36" ht="9" customHeight="1" x14ac:dyDescent="0.25">
      <c r="A102" s="135" t="s">
        <v>35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6" t="s">
        <v>34</v>
      </c>
      <c r="AC102" s="136"/>
      <c r="AD102" s="136"/>
      <c r="AE102" s="136"/>
      <c r="AF102" s="136"/>
      <c r="AG102" s="136"/>
      <c r="AH102" s="136"/>
      <c r="AI102" s="136"/>
      <c r="AJ102" s="136"/>
    </row>
    <row r="103" spans="1:36" s="20" customFormat="1" ht="12" customHeight="1" x14ac:dyDescent="0.2">
      <c r="A103" s="20" t="s">
        <v>27</v>
      </c>
    </row>
    <row r="104" spans="1:36" s="20" customFormat="1" ht="12" customHeight="1" x14ac:dyDescent="0.2">
      <c r="A104" s="20" t="s">
        <v>28</v>
      </c>
    </row>
    <row r="105" spans="1:36" s="20" customFormat="1" ht="12" customHeight="1" x14ac:dyDescent="0.2">
      <c r="A105" s="134" t="str">
        <f>'Данные объект'!B17</f>
        <v>Саженова Л.В.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134"/>
      <c r="AC105" s="134"/>
      <c r="AD105" s="134"/>
      <c r="AE105" s="134"/>
      <c r="AF105" s="134"/>
      <c r="AG105" s="134"/>
      <c r="AH105" s="134"/>
      <c r="AI105" s="134"/>
      <c r="AJ105" s="134"/>
    </row>
    <row r="106" spans="1:36" ht="9" customHeight="1" x14ac:dyDescent="0.25">
      <c r="A106" s="135" t="s">
        <v>35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6" t="s">
        <v>34</v>
      </c>
      <c r="AC106" s="136"/>
      <c r="AD106" s="136"/>
      <c r="AE106" s="136"/>
      <c r="AF106" s="136"/>
      <c r="AG106" s="136"/>
      <c r="AH106" s="136"/>
      <c r="AI106" s="136"/>
      <c r="AJ106" s="136"/>
    </row>
    <row r="107" spans="1:36" ht="12" customHeight="1" x14ac:dyDescent="0.25">
      <c r="A107" s="20" t="s">
        <v>205</v>
      </c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01"/>
      <c r="AC107" s="101"/>
      <c r="AD107" s="101"/>
      <c r="AE107" s="101"/>
      <c r="AF107" s="101"/>
      <c r="AG107" s="101"/>
      <c r="AH107" s="101"/>
      <c r="AI107" s="101"/>
      <c r="AJ107" s="101"/>
    </row>
    <row r="108" spans="1:36" ht="14.25" customHeight="1" x14ac:dyDescent="0.25">
      <c r="A108" s="134" t="str">
        <f>'Данные объект'!$B$36</f>
        <v>Курчин М.М.</v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9" customHeight="1" x14ac:dyDescent="0.25">
      <c r="A109" s="135" t="s">
        <v>35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6" t="s">
        <v>34</v>
      </c>
      <c r="AC109" s="136"/>
      <c r="AD109" s="136"/>
      <c r="AE109" s="136"/>
      <c r="AF109" s="136"/>
      <c r="AG109" s="136"/>
      <c r="AH109" s="136"/>
      <c r="AI109" s="136"/>
      <c r="AJ109" s="136"/>
    </row>
    <row r="110" spans="1:36" s="20" customFormat="1" ht="39" customHeight="1" x14ac:dyDescent="0.2">
      <c r="A110" s="143" t="s">
        <v>52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</row>
    <row r="111" spans="1:36" s="20" customFormat="1" ht="12" customHeight="1" x14ac:dyDescent="0.2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ht="9" customHeight="1" x14ac:dyDescent="0.25">
      <c r="A112" s="135" t="s">
        <v>35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6" t="s">
        <v>34</v>
      </c>
      <c r="AC112" s="136"/>
      <c r="AD112" s="136"/>
      <c r="AE112" s="136"/>
      <c r="AF112" s="136"/>
      <c r="AG112" s="136"/>
      <c r="AH112" s="136"/>
      <c r="AI112" s="136"/>
      <c r="AJ112" s="136"/>
    </row>
    <row r="113" spans="1:36" s="20" customFormat="1" ht="40.5" hidden="1" customHeight="1" x14ac:dyDescent="0.2">
      <c r="A113" s="143" t="s">
        <v>54</v>
      </c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s="20" customFormat="1" ht="12" hidden="1" customHeight="1" x14ac:dyDescent="0.2">
      <c r="A114" s="134" t="str">
        <f>[1]Данные!B17</f>
        <v>Красилов К.А.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ht="9" hidden="1" customHeight="1" x14ac:dyDescent="0.25">
      <c r="A115" s="135" t="s">
        <v>35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6" t="s">
        <v>34</v>
      </c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customHeight="1" x14ac:dyDescent="0.25"/>
  </sheetData>
  <mergeCells count="104">
    <mergeCell ref="A114:O114"/>
    <mergeCell ref="AB114:AJ114"/>
    <mergeCell ref="A108:O108"/>
    <mergeCell ref="AB108:AJ108"/>
    <mergeCell ref="A109:O109"/>
    <mergeCell ref="AB109:AJ109"/>
    <mergeCell ref="A115:O115"/>
    <mergeCell ref="AB115:AJ115"/>
    <mergeCell ref="A110:AJ110"/>
    <mergeCell ref="A111:O111"/>
    <mergeCell ref="AB111:AJ111"/>
    <mergeCell ref="A112:O112"/>
    <mergeCell ref="AB112:AJ112"/>
    <mergeCell ref="A113:AJ113"/>
    <mergeCell ref="A99:O99"/>
    <mergeCell ref="AB99:AJ99"/>
    <mergeCell ref="A101:O101"/>
    <mergeCell ref="AB101:AJ101"/>
    <mergeCell ref="A102:O102"/>
    <mergeCell ref="AB102:AJ102"/>
    <mergeCell ref="A105:O105"/>
    <mergeCell ref="AB105:AJ105"/>
    <mergeCell ref="A106:O106"/>
    <mergeCell ref="AB106:AJ106"/>
    <mergeCell ref="A98:O98"/>
    <mergeCell ref="AB98:AJ98"/>
    <mergeCell ref="A74:AJ74"/>
    <mergeCell ref="A75:AJ75"/>
    <mergeCell ref="A81:AJ81"/>
    <mergeCell ref="A82:AJ82"/>
    <mergeCell ref="A83:AJ83"/>
    <mergeCell ref="A84:AJ84"/>
    <mergeCell ref="P77:W77"/>
    <mergeCell ref="P78:W78"/>
    <mergeCell ref="A86:AJ86"/>
    <mergeCell ref="A87:AJ87"/>
    <mergeCell ref="L88:AJ88"/>
    <mergeCell ref="H90:I90"/>
    <mergeCell ref="A94:AJ94"/>
    <mergeCell ref="A73:B73"/>
    <mergeCell ref="G73:AJ73"/>
    <mergeCell ref="A53:AJ53"/>
    <mergeCell ref="A54:AJ54"/>
    <mergeCell ref="A55:AJ55"/>
    <mergeCell ref="A56:AJ56"/>
    <mergeCell ref="A58:AJ58"/>
    <mergeCell ref="A59:AJ59"/>
    <mergeCell ref="X62:AA62"/>
    <mergeCell ref="J62:M62"/>
    <mergeCell ref="A62:I62"/>
    <mergeCell ref="N62:Q62"/>
    <mergeCell ref="R62:U62"/>
    <mergeCell ref="A63:AJ63"/>
    <mergeCell ref="A65:AJ65"/>
    <mergeCell ref="A66:AJ66"/>
    <mergeCell ref="L67:AJ67"/>
    <mergeCell ref="L68:AJ68"/>
    <mergeCell ref="A69:AJ69"/>
    <mergeCell ref="A70:AJ70"/>
    <mergeCell ref="E32:G32"/>
    <mergeCell ref="A35:AJ35"/>
    <mergeCell ref="A36:AJ36"/>
    <mergeCell ref="AB32:AI32"/>
    <mergeCell ref="AB33:AI33"/>
    <mergeCell ref="C32:D32"/>
    <mergeCell ref="A52:AJ52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46:AJ46"/>
    <mergeCell ref="A47:AJ47"/>
    <mergeCell ref="A48:AJ48"/>
    <mergeCell ref="A30:AJ30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16:AJ16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15:AJ15"/>
    <mergeCell ref="A7:AJ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АОСР-шурф</vt:lpstr>
      <vt:lpstr>'АОСР-1'!Print_Area</vt:lpstr>
      <vt:lpstr>'АОСР-2'!Print_Area</vt:lpstr>
      <vt:lpstr>'АОСР-3'!Print_Area</vt:lpstr>
      <vt:lpstr>'АОСР-4'!Print_Area</vt:lpstr>
      <vt:lpstr>'АОСР-5'!Print_Area</vt:lpstr>
      <vt:lpstr>'АОСР-6'!Print_Area</vt:lpstr>
      <vt:lpstr>'АОСР-7'!Print_Area</vt:lpstr>
      <vt:lpstr>'АОСР-шурф'!Print_Area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2026-06-24T06:31:38Z</cp:lastPrinted>
  <dcterms:created xsi:type="dcterms:W3CDTF">2018-02-24T16:53:12Z</dcterms:created>
  <dcterms:modified xsi:type="dcterms:W3CDTF">2026-07-15T07:15:32Z</dcterms:modified>
</cp:coreProperties>
</file>